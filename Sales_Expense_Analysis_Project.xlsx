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Monthly_Analysis" sheetId="3" state="visible" r:id="rId5"/>
    <sheet name="Product_Analysis" sheetId="4" state="visible" r:id="rId6"/>
    <sheet name="Clean_Data" sheetId="5" state="visible" r:id="rId7"/>
    <sheet name="Cleaning_Log" sheetId="6" state="visible" r:id="rId8"/>
    <sheet name="Raw_Sales" sheetId="7" state="visible" r:id="rId9"/>
    <sheet name="Raw_Expenses" sheetId="8" state="visible" r:id="rId10"/>
    <sheet name="Products" sheetId="9" state="visible" r:id="rId11"/>
  </sheets>
  <definedNames>
    <definedName function="false" hidden="true" localSheetId="7" name="_xlnm._FilterDatabase" vbProcedure="false">Raw_Expenses!$A$4:$C$2979</definedName>
    <definedName function="false" hidden="true" localSheetId="6" name="_xlnm._FilterDatabase" vbProcedure="false">Raw_Sales!$A$4:$J$3074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<sst xmlns="http://schemas.openxmlformats.org/spreadsheetml/2006/main" count="24367" uniqueCount="3234">
  <si>
    <t xml:space="preserve">SALES AND EXPENSE ANALYSIS USING ADVANCED EXCEL</t>
  </si>
  <si>
    <t xml:space="preserve">Project / Case Study</t>
  </si>
  <si>
    <t xml:space="preserve">Sales and Expense Analysis using Advanced Excel</t>
  </si>
  <si>
    <t xml:space="preserve">Tenure</t>
  </si>
  <si>
    <t xml:space="preserve">June – July 2026</t>
  </si>
  <si>
    <t xml:space="preserve">Tools Used</t>
  </si>
  <si>
    <t xml:space="preserve">MS Excel (Pivot Tables, VLOOKUP, XLOOKUP)</t>
  </si>
  <si>
    <t xml:space="preserve">Dataset</t>
  </si>
  <si>
    <t xml:space="preserve">3,000+ sales and expense records, Jan – Dec 2025</t>
  </si>
  <si>
    <t xml:space="preserve">Data note</t>
  </si>
  <si>
    <t xml:space="preserve">Illustrative sample data generated for this project – replace the Raw_Sales, Raw_Expenses and Products sheets with real data and every sheet updates.</t>
  </si>
  <si>
    <t xml:space="preserve">PROJECT OBJECTIVES</t>
  </si>
  <si>
    <t xml:space="preserve">1. Clean and combine 3,000+ sales and expense records using VLOOKUP and XLOOKUP / INDEX-MATCH, removing duplicates and mismatches.</t>
  </si>
  <si>
    <t xml:space="preserve">2. Use pivot tables and charts to track monthly revenue, cost and profit trends and pinpoint the top 5 products by profit.</t>
  </si>
  <si>
    <t xml:space="preserve">WORKFLOW – WHAT WAS DONE</t>
  </si>
  <si>
    <t xml:space="preserve">Step</t>
  </si>
  <si>
    <t xml:space="preserve">Task</t>
  </si>
  <si>
    <t xml:space="preserve">Excel feature / formula</t>
  </si>
  <si>
    <t xml:space="preserve">Output sheet</t>
  </si>
  <si>
    <t xml:space="preserve">Status</t>
  </si>
  <si>
    <t xml:space="preserve">Import raw sales &amp; expense data</t>
  </si>
  <si>
    <t xml:space="preserve">Raw_Sales, Raw_Expenses</t>
  </si>
  <si>
    <t xml:space="preserve">Raw_Sales</t>
  </si>
  <si>
    <t xml:space="preserve">✔ Done</t>
  </si>
  <si>
    <t xml:space="preserve">Standardise Product IDs</t>
  </si>
  <si>
    <t xml:space="preserve">UPPER(), TRIM()</t>
  </si>
  <si>
    <t xml:space="preserve">Detect and remove duplicates</t>
  </si>
  <si>
    <t xml:space="preserve">COUNTIF (expanding range)</t>
  </si>
  <si>
    <t xml:space="preserve">Raw_Sales / Cleaning_Log</t>
  </si>
  <si>
    <t xml:space="preserve">Find mismatched / missing IDs</t>
  </si>
  <si>
    <t xml:space="preserve">MATCH(), ISNUMBER()</t>
  </si>
  <si>
    <t xml:space="preserve">Join sales with product master</t>
  </si>
  <si>
    <t xml:space="preserve">VLOOKUP()</t>
  </si>
  <si>
    <t xml:space="preserve">Clean_Data</t>
  </si>
  <si>
    <t xml:space="preserve">Join sales with expense records</t>
  </si>
  <si>
    <t xml:space="preserve">INDEX() + MATCH() (XLOOKUP equivalent)</t>
  </si>
  <si>
    <t xml:space="preserve">Calculate Revenue, COGS, Cost, Profit, Margin</t>
  </si>
  <si>
    <t xml:space="preserve">Formulas</t>
  </si>
  <si>
    <t xml:space="preserve">Monthly revenue, cost &amp; profit trends</t>
  </si>
  <si>
    <t xml:space="preserve">SUMIFS() (pivot-style) + chart</t>
  </si>
  <si>
    <t xml:space="preserve">Monthly_Analysis</t>
  </si>
  <si>
    <t xml:space="preserve">Rank products and find Top 5 by profit</t>
  </si>
  <si>
    <t xml:space="preserve">SUMIFS(), RANK(), INDEX/MATCH</t>
  </si>
  <si>
    <t xml:space="preserve">Product_Analysis</t>
  </si>
  <si>
    <t xml:space="preserve">Build dashboard with KPIs and charts</t>
  </si>
  <si>
    <t xml:space="preserve">Charts, formula-driven insights</t>
  </si>
  <si>
    <t xml:space="preserve">Dashboard</t>
  </si>
  <si>
    <t xml:space="preserve">SHEET GUIDE</t>
  </si>
  <si>
    <t xml:space="preserve">KPIs, trend chart, Top 5 chart, key insights</t>
  </si>
  <si>
    <t xml:space="preserve">Monthly orders, revenue, cost, profit, margin, MoM growth</t>
  </si>
  <si>
    <t xml:space="preserve">Profit by product, ranking and Top 5 table</t>
  </si>
  <si>
    <t xml:space="preserve">Final cleaned dataset (Excel Table 'tblSales') – use this for pivot tables</t>
  </si>
  <si>
    <t xml:space="preserve">Cleaning_Log</t>
  </si>
  <si>
    <t xml:space="preserve">Counts of duplicates, fixes, exclusions and reconciliation</t>
  </si>
  <si>
    <t xml:space="preserve">Raw_Sales / Raw_Expenses</t>
  </si>
  <si>
    <t xml:space="preserve">Original data as received</t>
  </si>
  <si>
    <t xml:space="preserve">Products</t>
  </si>
  <si>
    <t xml:space="preserve">Product master with unit cost (blue = editable input)</t>
  </si>
  <si>
    <t xml:space="preserve">HOW TO ADD A TRUE PIVOT TABLE</t>
  </si>
  <si>
    <t xml:space="preserve">• Clean_Data → click any cell in the table → Insert → PivotTable → New Worksheet.</t>
  </si>
  <si>
    <t xml:space="preserve">• Monthly trend: Rows = Month; Values = Revenue, Total Cost, Profit (Sum). Insert → PivotChart.</t>
  </si>
  <si>
    <t xml:space="preserve">• Top 5: Rows = Product Name; Values = Profit (Sum); sort Largest to Smallest; Value Filter → Top 10 → set to 5.</t>
  </si>
  <si>
    <t xml:space="preserve">SALES &amp; EXPENSE ANALYSIS DASHBOARD</t>
  </si>
  <si>
    <t xml:space="preserve">Jan – Dec 2025  |  Source: Clean_Data  |  Amounts in $</t>
  </si>
  <si>
    <t xml:space="preserve">TOTAL REVENUE</t>
  </si>
  <si>
    <t xml:space="preserve">TOTAL COST</t>
  </si>
  <si>
    <t xml:space="preserve">TOTAL PROFIT</t>
  </si>
  <si>
    <t xml:space="preserve">PROFIT MARGIN</t>
  </si>
  <si>
    <t xml:space="preserve">ORDERS</t>
  </si>
  <si>
    <t xml:space="preserve">AVG ORDER VALUE</t>
  </si>
  <si>
    <t xml:space="preserve">KEY INSIGHTS (auto-generated from the data)</t>
  </si>
  <si>
    <t xml:space="preserve">Monthly Revenue, Cost &amp; Profit Trend</t>
  </si>
  <si>
    <t xml:space="preserve">SUMIFS summary of Clean_Data by month (pivot-table style). All figures update automatically.</t>
  </si>
  <si>
    <t xml:space="preserve">Month</t>
  </si>
  <si>
    <t xml:space="preserve">Orders</t>
  </si>
  <si>
    <t xml:space="preserve">Revenue</t>
  </si>
  <si>
    <t xml:space="preserve">COGS</t>
  </si>
  <si>
    <t xml:space="preserve">Operating Expense</t>
  </si>
  <si>
    <t xml:space="preserve">Total Cost</t>
  </si>
  <si>
    <t xml:space="preserve">Profit</t>
  </si>
  <si>
    <t xml:space="preserve">Profit Margin</t>
  </si>
  <si>
    <t xml:space="preserve">Revenue MoM %</t>
  </si>
  <si>
    <t xml:space="preserve">Total</t>
  </si>
  <si>
    <t xml:space="preserve">Note: Revenue = Qty × Unit Price; COGS = Qty × Unit Cost (Products sheet); Operating Expense from Raw_Expenses; Profit = Revenue − COGS − Operating Expense.</t>
  </si>
  <si>
    <t xml:space="preserve">Product Profitability &amp; Top 5 Ranking</t>
  </si>
  <si>
    <t xml:space="preserve">Profit by product, ranked. Top 5 table (right) is formula-driven from the ranking.</t>
  </si>
  <si>
    <t xml:space="preserve">TOP 5 PRODUCTS BY PROFIT</t>
  </si>
  <si>
    <t xml:space="preserve">Product ID</t>
  </si>
  <si>
    <t xml:space="preserve">Product Name</t>
  </si>
  <si>
    <t xml:space="preserve">Category</t>
  </si>
  <si>
    <t xml:space="preserve">Units Sold</t>
  </si>
  <si>
    <t xml:space="preserve">Rank</t>
  </si>
  <si>
    <t xml:space="preserve">Product</t>
  </si>
  <si>
    <t xml:space="preserve">% of Total Profit</t>
  </si>
  <si>
    <t xml:space="preserve">Top 5 combined</t>
  </si>
  <si>
    <t xml:space="preserve">Clean Combined Dataset</t>
  </si>
  <si>
    <t xml:space="preserve">Duplicates removed, IDs standardised, sales joined to product master (VLOOKUP) and expenses (INDEX/MATCH). Source for pivot tables.</t>
  </si>
  <si>
    <t xml:space="preserve">Order ID</t>
  </si>
  <si>
    <t xml:space="preserve">Order Date</t>
  </si>
  <si>
    <t xml:space="preserve">Qty</t>
  </si>
  <si>
    <t xml:space="preserve">Unit Price</t>
  </si>
  <si>
    <t xml:space="preserve">Region</t>
  </si>
  <si>
    <t xml:space="preserve">Unit Cost</t>
  </si>
  <si>
    <t xml:space="preserve">ORD-10001</t>
  </si>
  <si>
    <t xml:space="preserve">P015</t>
  </si>
  <si>
    <t xml:space="preserve">North</t>
  </si>
  <si>
    <t xml:space="preserve">ORD-10002</t>
  </si>
  <si>
    <t xml:space="preserve">P003</t>
  </si>
  <si>
    <t xml:space="preserve">East</t>
  </si>
  <si>
    <t xml:space="preserve">ORD-10003</t>
  </si>
  <si>
    <t xml:space="preserve">P016</t>
  </si>
  <si>
    <t xml:space="preserve">ORD-10004</t>
  </si>
  <si>
    <t xml:space="preserve">P005</t>
  </si>
  <si>
    <t xml:space="preserve">ORD-10005</t>
  </si>
  <si>
    <t xml:space="preserve">P012</t>
  </si>
  <si>
    <t xml:space="preserve">West</t>
  </si>
  <si>
    <t xml:space="preserve">ORD-10006</t>
  </si>
  <si>
    <t xml:space="preserve">P009</t>
  </si>
  <si>
    <t xml:space="preserve">South</t>
  </si>
  <si>
    <t xml:space="preserve">ORD-10007</t>
  </si>
  <si>
    <t xml:space="preserve">ORD-10008</t>
  </si>
  <si>
    <t xml:space="preserve">P018</t>
  </si>
  <si>
    <t xml:space="preserve">ORD-10009</t>
  </si>
  <si>
    <t xml:space="preserve">ORD-10010</t>
  </si>
  <si>
    <t xml:space="preserve">ORD-10011</t>
  </si>
  <si>
    <t xml:space="preserve">ORD-10012</t>
  </si>
  <si>
    <t xml:space="preserve">P001</t>
  </si>
  <si>
    <t xml:space="preserve">ORD-10013</t>
  </si>
  <si>
    <t xml:space="preserve">P020</t>
  </si>
  <si>
    <t xml:space="preserve">ORD-10014</t>
  </si>
  <si>
    <t xml:space="preserve">P011</t>
  </si>
  <si>
    <t xml:space="preserve">ORD-10015</t>
  </si>
  <si>
    <t xml:space="preserve">ORD-10016</t>
  </si>
  <si>
    <t xml:space="preserve">P019</t>
  </si>
  <si>
    <t xml:space="preserve">ORD-10017</t>
  </si>
  <si>
    <t xml:space="preserve">ORD-10018</t>
  </si>
  <si>
    <t xml:space="preserve">P002</t>
  </si>
  <si>
    <t xml:space="preserve">ORD-10019</t>
  </si>
  <si>
    <t xml:space="preserve">ORD-10020</t>
  </si>
  <si>
    <t xml:space="preserve">P006</t>
  </si>
  <si>
    <t xml:space="preserve">ORD-10021</t>
  </si>
  <si>
    <t xml:space="preserve">ORD-10022</t>
  </si>
  <si>
    <t xml:space="preserve">ORD-10023</t>
  </si>
  <si>
    <t xml:space="preserve">ORD-10024</t>
  </si>
  <si>
    <t xml:space="preserve">P013</t>
  </si>
  <si>
    <t xml:space="preserve">ORD-10025</t>
  </si>
  <si>
    <t xml:space="preserve">ORD-10026</t>
  </si>
  <si>
    <t xml:space="preserve">ORD-10027</t>
  </si>
  <si>
    <t xml:space="preserve">ORD-10028</t>
  </si>
  <si>
    <t xml:space="preserve">ORD-10029</t>
  </si>
  <si>
    <t xml:space="preserve">ORD-10030</t>
  </si>
  <si>
    <t xml:space="preserve">ORD-10031</t>
  </si>
  <si>
    <t xml:space="preserve">ORD-10032</t>
  </si>
  <si>
    <t xml:space="preserve">P010</t>
  </si>
  <si>
    <t xml:space="preserve">ORD-10033</t>
  </si>
  <si>
    <t xml:space="preserve">ORD-10034</t>
  </si>
  <si>
    <t xml:space="preserve">ORD-10035</t>
  </si>
  <si>
    <t xml:space="preserve">ORD-10036</t>
  </si>
  <si>
    <t xml:space="preserve">ORD-10037</t>
  </si>
  <si>
    <t xml:space="preserve">ORD-10038</t>
  </si>
  <si>
    <t xml:space="preserve">ORD-10039</t>
  </si>
  <si>
    <t xml:space="preserve">ORD-10040</t>
  </si>
  <si>
    <t xml:space="preserve">P017</t>
  </si>
  <si>
    <t xml:space="preserve">ORD-10041</t>
  </si>
  <si>
    <t xml:space="preserve">ORD-10042</t>
  </si>
  <si>
    <t xml:space="preserve">ORD-10043</t>
  </si>
  <si>
    <t xml:space="preserve">ORD-10044</t>
  </si>
  <si>
    <t xml:space="preserve">ORD-10045</t>
  </si>
  <si>
    <t xml:space="preserve">ORD-10046</t>
  </si>
  <si>
    <t xml:space="preserve">P004</t>
  </si>
  <si>
    <t xml:space="preserve">ORD-10047</t>
  </si>
  <si>
    <t xml:space="preserve">ORD-10048</t>
  </si>
  <si>
    <t xml:space="preserve">ORD-10049</t>
  </si>
  <si>
    <t xml:space="preserve">ORD-10050</t>
  </si>
  <si>
    <t xml:space="preserve">ORD-10051</t>
  </si>
  <si>
    <t xml:space="preserve">ORD-10052</t>
  </si>
  <si>
    <t xml:space="preserve">ORD-10053</t>
  </si>
  <si>
    <t xml:space="preserve">P014</t>
  </si>
  <si>
    <t xml:space="preserve">ORD-10054</t>
  </si>
  <si>
    <t xml:space="preserve">ORD-10055</t>
  </si>
  <si>
    <t xml:space="preserve">ORD-10056</t>
  </si>
  <si>
    <t xml:space="preserve">ORD-10057</t>
  </si>
  <si>
    <t xml:space="preserve">ORD-10058</t>
  </si>
  <si>
    <t xml:space="preserve">P007</t>
  </si>
  <si>
    <t xml:space="preserve">ORD-10059</t>
  </si>
  <si>
    <t xml:space="preserve">ORD-10060</t>
  </si>
  <si>
    <t xml:space="preserve">ORD-10061</t>
  </si>
  <si>
    <t xml:space="preserve">ORD-10062</t>
  </si>
  <si>
    <t xml:space="preserve">ORD-10063</t>
  </si>
  <si>
    <t xml:space="preserve">ORD-10064</t>
  </si>
  <si>
    <t xml:space="preserve">ORD-10065</t>
  </si>
  <si>
    <t xml:space="preserve">ORD-10066</t>
  </si>
  <si>
    <t xml:space="preserve">ORD-10067</t>
  </si>
  <si>
    <t xml:space="preserve">ORD-10068</t>
  </si>
  <si>
    <t xml:space="preserve">ORD-10069</t>
  </si>
  <si>
    <t xml:space="preserve">ORD-10070</t>
  </si>
  <si>
    <t xml:space="preserve">ORD-10071</t>
  </si>
  <si>
    <t xml:space="preserve">ORD-10072</t>
  </si>
  <si>
    <t xml:space="preserve">ORD-10073</t>
  </si>
  <si>
    <t xml:space="preserve">ORD-10074</t>
  </si>
  <si>
    <t xml:space="preserve">ORD-10075</t>
  </si>
  <si>
    <t xml:space="preserve">ORD-10076</t>
  </si>
  <si>
    <t xml:space="preserve">ORD-10077</t>
  </si>
  <si>
    <t xml:space="preserve">ORD-10078</t>
  </si>
  <si>
    <t xml:space="preserve">ORD-10079</t>
  </si>
  <si>
    <t xml:space="preserve">ORD-10080</t>
  </si>
  <si>
    <t xml:space="preserve">ORD-10081</t>
  </si>
  <si>
    <t xml:space="preserve">ORD-10082</t>
  </si>
  <si>
    <t xml:space="preserve">ORD-10083</t>
  </si>
  <si>
    <t xml:space="preserve">ORD-10084</t>
  </si>
  <si>
    <t xml:space="preserve">ORD-10085</t>
  </si>
  <si>
    <t xml:space="preserve">ORD-10086</t>
  </si>
  <si>
    <t xml:space="preserve">ORD-10087</t>
  </si>
  <si>
    <t xml:space="preserve">ORD-10088</t>
  </si>
  <si>
    <t xml:space="preserve">ORD-10089</t>
  </si>
  <si>
    <t xml:space="preserve">ORD-10090</t>
  </si>
  <si>
    <t xml:space="preserve">ORD-10091</t>
  </si>
  <si>
    <t xml:space="preserve">ORD-10092</t>
  </si>
  <si>
    <t xml:space="preserve">ORD-10093</t>
  </si>
  <si>
    <t xml:space="preserve">ORD-10094</t>
  </si>
  <si>
    <t xml:space="preserve">ORD-10095</t>
  </si>
  <si>
    <t xml:space="preserve">ORD-10096</t>
  </si>
  <si>
    <t xml:space="preserve">ORD-10097</t>
  </si>
  <si>
    <t xml:space="preserve">ORD-10098</t>
  </si>
  <si>
    <t xml:space="preserve">ORD-10099</t>
  </si>
  <si>
    <t xml:space="preserve">ORD-10100</t>
  </si>
  <si>
    <t xml:space="preserve">ORD-10101</t>
  </si>
  <si>
    <t xml:space="preserve">ORD-10102</t>
  </si>
  <si>
    <t xml:space="preserve">ORD-10103</t>
  </si>
  <si>
    <t xml:space="preserve">ORD-10104</t>
  </si>
  <si>
    <t xml:space="preserve">ORD-10105</t>
  </si>
  <si>
    <t xml:space="preserve">ORD-10106</t>
  </si>
  <si>
    <t xml:space="preserve">ORD-10107</t>
  </si>
  <si>
    <t xml:space="preserve">ORD-10108</t>
  </si>
  <si>
    <t xml:space="preserve">ORD-10109</t>
  </si>
  <si>
    <t xml:space="preserve">ORD-10110</t>
  </si>
  <si>
    <t xml:space="preserve">ORD-10111</t>
  </si>
  <si>
    <t xml:space="preserve">ORD-10112</t>
  </si>
  <si>
    <t xml:space="preserve">ORD-10113</t>
  </si>
  <si>
    <t xml:space="preserve">ORD-10114</t>
  </si>
  <si>
    <t xml:space="preserve">ORD-10115</t>
  </si>
  <si>
    <t xml:space="preserve">ORD-10116</t>
  </si>
  <si>
    <t xml:space="preserve">ORD-10117</t>
  </si>
  <si>
    <t xml:space="preserve">ORD-10118</t>
  </si>
  <si>
    <t xml:space="preserve">ORD-10119</t>
  </si>
  <si>
    <t xml:space="preserve">ORD-10120</t>
  </si>
  <si>
    <t xml:space="preserve">ORD-10121</t>
  </si>
  <si>
    <t xml:space="preserve">ORD-10122</t>
  </si>
  <si>
    <t xml:space="preserve">ORD-10123</t>
  </si>
  <si>
    <t xml:space="preserve">ORD-10124</t>
  </si>
  <si>
    <t xml:space="preserve">ORD-10125</t>
  </si>
  <si>
    <t xml:space="preserve">ORD-10126</t>
  </si>
  <si>
    <t xml:space="preserve">ORD-10127</t>
  </si>
  <si>
    <t xml:space="preserve">ORD-10128</t>
  </si>
  <si>
    <t xml:space="preserve">ORD-10129</t>
  </si>
  <si>
    <t xml:space="preserve">ORD-10130</t>
  </si>
  <si>
    <t xml:space="preserve">ORD-10131</t>
  </si>
  <si>
    <t xml:space="preserve">ORD-10132</t>
  </si>
  <si>
    <t xml:space="preserve">ORD-10133</t>
  </si>
  <si>
    <t xml:space="preserve">ORD-10134</t>
  </si>
  <si>
    <t xml:space="preserve">ORD-10135</t>
  </si>
  <si>
    <t xml:space="preserve">ORD-10136</t>
  </si>
  <si>
    <t xml:space="preserve">ORD-10137</t>
  </si>
  <si>
    <t xml:space="preserve">ORD-10138</t>
  </si>
  <si>
    <t xml:space="preserve">ORD-10139</t>
  </si>
  <si>
    <t xml:space="preserve">ORD-10140</t>
  </si>
  <si>
    <t xml:space="preserve">ORD-10141</t>
  </si>
  <si>
    <t xml:space="preserve">ORD-10142</t>
  </si>
  <si>
    <t xml:space="preserve">ORD-10143</t>
  </si>
  <si>
    <t xml:space="preserve">ORD-10144</t>
  </si>
  <si>
    <t xml:space="preserve">ORD-10145</t>
  </si>
  <si>
    <t xml:space="preserve">ORD-10146</t>
  </si>
  <si>
    <t xml:space="preserve">ORD-10147</t>
  </si>
  <si>
    <t xml:space="preserve">ORD-10148</t>
  </si>
  <si>
    <t xml:space="preserve">ORD-10149</t>
  </si>
  <si>
    <t xml:space="preserve">ORD-10150</t>
  </si>
  <si>
    <t xml:space="preserve">ORD-10151</t>
  </si>
  <si>
    <t xml:space="preserve">ORD-10152</t>
  </si>
  <si>
    <t xml:space="preserve">ORD-10153</t>
  </si>
  <si>
    <t xml:space="preserve">ORD-10154</t>
  </si>
  <si>
    <t xml:space="preserve">ORD-10155</t>
  </si>
  <si>
    <t xml:space="preserve">ORD-10156</t>
  </si>
  <si>
    <t xml:space="preserve">ORD-10157</t>
  </si>
  <si>
    <t xml:space="preserve">ORD-10158</t>
  </si>
  <si>
    <t xml:space="preserve">ORD-10159</t>
  </si>
  <si>
    <t xml:space="preserve">ORD-10160</t>
  </si>
  <si>
    <t xml:space="preserve">ORD-10161</t>
  </si>
  <si>
    <t xml:space="preserve">ORD-10162</t>
  </si>
  <si>
    <t xml:space="preserve">ORD-10163</t>
  </si>
  <si>
    <t xml:space="preserve">ORD-10164</t>
  </si>
  <si>
    <t xml:space="preserve">ORD-10165</t>
  </si>
  <si>
    <t xml:space="preserve">ORD-10166</t>
  </si>
  <si>
    <t xml:space="preserve">ORD-10167</t>
  </si>
  <si>
    <t xml:space="preserve">ORD-10168</t>
  </si>
  <si>
    <t xml:space="preserve">ORD-10169</t>
  </si>
  <si>
    <t xml:space="preserve">ORD-10170</t>
  </si>
  <si>
    <t xml:space="preserve">ORD-10171</t>
  </si>
  <si>
    <t xml:space="preserve">ORD-10172</t>
  </si>
  <si>
    <t xml:space="preserve">ORD-10173</t>
  </si>
  <si>
    <t xml:space="preserve">ORD-10174</t>
  </si>
  <si>
    <t xml:space="preserve">ORD-10175</t>
  </si>
  <si>
    <t xml:space="preserve">ORD-10176</t>
  </si>
  <si>
    <t xml:space="preserve">ORD-10177</t>
  </si>
  <si>
    <t xml:space="preserve">ORD-10178</t>
  </si>
  <si>
    <t xml:space="preserve">ORD-10179</t>
  </si>
  <si>
    <t xml:space="preserve">P008</t>
  </si>
  <si>
    <t xml:space="preserve">ORD-10180</t>
  </si>
  <si>
    <t xml:space="preserve">ORD-10181</t>
  </si>
  <si>
    <t xml:space="preserve">ORD-10182</t>
  </si>
  <si>
    <t xml:space="preserve">ORD-10183</t>
  </si>
  <si>
    <t xml:space="preserve">ORD-10184</t>
  </si>
  <si>
    <t xml:space="preserve">ORD-10185</t>
  </si>
  <si>
    <t xml:space="preserve">ORD-10186</t>
  </si>
  <si>
    <t xml:space="preserve">ORD-10187</t>
  </si>
  <si>
    <t xml:space="preserve">ORD-10188</t>
  </si>
  <si>
    <t xml:space="preserve">ORD-10189</t>
  </si>
  <si>
    <t xml:space="preserve">ORD-10190</t>
  </si>
  <si>
    <t xml:space="preserve">ORD-10191</t>
  </si>
  <si>
    <t xml:space="preserve">ORD-10192</t>
  </si>
  <si>
    <t xml:space="preserve">ORD-10193</t>
  </si>
  <si>
    <t xml:space="preserve">ORD-10194</t>
  </si>
  <si>
    <t xml:space="preserve">ORD-10195</t>
  </si>
  <si>
    <t xml:space="preserve">ORD-10196</t>
  </si>
  <si>
    <t xml:space="preserve">ORD-10197</t>
  </si>
  <si>
    <t xml:space="preserve">ORD-10198</t>
  </si>
  <si>
    <t xml:space="preserve">ORD-10199</t>
  </si>
  <si>
    <t xml:space="preserve">ORD-10200</t>
  </si>
  <si>
    <t xml:space="preserve">ORD-10201</t>
  </si>
  <si>
    <t xml:space="preserve">ORD-10202</t>
  </si>
  <si>
    <t xml:space="preserve">ORD-10203</t>
  </si>
  <si>
    <t xml:space="preserve">ORD-10204</t>
  </si>
  <si>
    <t xml:space="preserve">ORD-10205</t>
  </si>
  <si>
    <t xml:space="preserve">ORD-10206</t>
  </si>
  <si>
    <t xml:space="preserve">ORD-10207</t>
  </si>
  <si>
    <t xml:space="preserve">ORD-10208</t>
  </si>
  <si>
    <t xml:space="preserve">ORD-10209</t>
  </si>
  <si>
    <t xml:space="preserve">ORD-10210</t>
  </si>
  <si>
    <t xml:space="preserve">ORD-10211</t>
  </si>
  <si>
    <t xml:space="preserve">ORD-10212</t>
  </si>
  <si>
    <t xml:space="preserve">ORD-10213</t>
  </si>
  <si>
    <t xml:space="preserve">ORD-10214</t>
  </si>
  <si>
    <t xml:space="preserve">ORD-10215</t>
  </si>
  <si>
    <t xml:space="preserve">ORD-10216</t>
  </si>
  <si>
    <t xml:space="preserve">ORD-10217</t>
  </si>
  <si>
    <t xml:space="preserve">ORD-10218</t>
  </si>
  <si>
    <t xml:space="preserve">ORD-10219</t>
  </si>
  <si>
    <t xml:space="preserve">ORD-10220</t>
  </si>
  <si>
    <t xml:space="preserve">ORD-10221</t>
  </si>
  <si>
    <t xml:space="preserve">ORD-10222</t>
  </si>
  <si>
    <t xml:space="preserve">ORD-10223</t>
  </si>
  <si>
    <t xml:space="preserve">ORD-10224</t>
  </si>
  <si>
    <t xml:space="preserve">ORD-10225</t>
  </si>
  <si>
    <t xml:space="preserve">ORD-10226</t>
  </si>
  <si>
    <t xml:space="preserve">ORD-10227</t>
  </si>
  <si>
    <t xml:space="preserve">ORD-10228</t>
  </si>
  <si>
    <t xml:space="preserve">ORD-10229</t>
  </si>
  <si>
    <t xml:space="preserve">ORD-10230</t>
  </si>
  <si>
    <t xml:space="preserve">ORD-10231</t>
  </si>
  <si>
    <t xml:space="preserve">ORD-10232</t>
  </si>
  <si>
    <t xml:space="preserve">ORD-10233</t>
  </si>
  <si>
    <t xml:space="preserve">ORD-10234</t>
  </si>
  <si>
    <t xml:space="preserve">ORD-10235</t>
  </si>
  <si>
    <t xml:space="preserve">ORD-10236</t>
  </si>
  <si>
    <t xml:space="preserve">ORD-10237</t>
  </si>
  <si>
    <t xml:space="preserve">ORD-10238</t>
  </si>
  <si>
    <t xml:space="preserve">ORD-10239</t>
  </si>
  <si>
    <t xml:space="preserve">ORD-10240</t>
  </si>
  <si>
    <t xml:space="preserve">ORD-10241</t>
  </si>
  <si>
    <t xml:space="preserve">ORD-10242</t>
  </si>
  <si>
    <t xml:space="preserve">ORD-10243</t>
  </si>
  <si>
    <t xml:space="preserve">ORD-10244</t>
  </si>
  <si>
    <t xml:space="preserve">ORD-10245</t>
  </si>
  <si>
    <t xml:space="preserve">ORD-10246</t>
  </si>
  <si>
    <t xml:space="preserve">ORD-10247</t>
  </si>
  <si>
    <t xml:space="preserve">ORD-10248</t>
  </si>
  <si>
    <t xml:space="preserve">ORD-10249</t>
  </si>
  <si>
    <t xml:space="preserve">ORD-10250</t>
  </si>
  <si>
    <t xml:space="preserve">ORD-10251</t>
  </si>
  <si>
    <t xml:space="preserve">ORD-10252</t>
  </si>
  <si>
    <t xml:space="preserve">ORD-10253</t>
  </si>
  <si>
    <t xml:space="preserve">ORD-10254</t>
  </si>
  <si>
    <t xml:space="preserve">ORD-10255</t>
  </si>
  <si>
    <t xml:space="preserve">ORD-10256</t>
  </si>
  <si>
    <t xml:space="preserve">ORD-10257</t>
  </si>
  <si>
    <t xml:space="preserve">ORD-10258</t>
  </si>
  <si>
    <t xml:space="preserve">ORD-10259</t>
  </si>
  <si>
    <t xml:space="preserve">ORD-10260</t>
  </si>
  <si>
    <t xml:space="preserve">ORD-10261</t>
  </si>
  <si>
    <t xml:space="preserve">ORD-10262</t>
  </si>
  <si>
    <t xml:space="preserve">ORD-10263</t>
  </si>
  <si>
    <t xml:space="preserve">ORD-10264</t>
  </si>
  <si>
    <t xml:space="preserve">ORD-10265</t>
  </si>
  <si>
    <t xml:space="preserve">ORD-10266</t>
  </si>
  <si>
    <t xml:space="preserve">ORD-10267</t>
  </si>
  <si>
    <t xml:space="preserve">ORD-10268</t>
  </si>
  <si>
    <t xml:space="preserve">ORD-10269</t>
  </si>
  <si>
    <t xml:space="preserve">ORD-10270</t>
  </si>
  <si>
    <t xml:space="preserve">ORD-10271</t>
  </si>
  <si>
    <t xml:space="preserve">ORD-10272</t>
  </si>
  <si>
    <t xml:space="preserve">ORD-10273</t>
  </si>
  <si>
    <t xml:space="preserve">ORD-10274</t>
  </si>
  <si>
    <t xml:space="preserve">ORD-10275</t>
  </si>
  <si>
    <t xml:space="preserve">ORD-10276</t>
  </si>
  <si>
    <t xml:space="preserve">ORD-10277</t>
  </si>
  <si>
    <t xml:space="preserve">ORD-10278</t>
  </si>
  <si>
    <t xml:space="preserve">ORD-10279</t>
  </si>
  <si>
    <t xml:space="preserve">ORD-10280</t>
  </si>
  <si>
    <t xml:space="preserve">ORD-10281</t>
  </si>
  <si>
    <t xml:space="preserve">ORD-10282</t>
  </si>
  <si>
    <t xml:space="preserve">ORD-10283</t>
  </si>
  <si>
    <t xml:space="preserve">ORD-10284</t>
  </si>
  <si>
    <t xml:space="preserve">ORD-10285</t>
  </si>
  <si>
    <t xml:space="preserve">ORD-10286</t>
  </si>
  <si>
    <t xml:space="preserve">ORD-10287</t>
  </si>
  <si>
    <t xml:space="preserve">ORD-10288</t>
  </si>
  <si>
    <t xml:space="preserve">ORD-10289</t>
  </si>
  <si>
    <t xml:space="preserve">ORD-10290</t>
  </si>
  <si>
    <t xml:space="preserve">ORD-10291</t>
  </si>
  <si>
    <t xml:space="preserve">ORD-10292</t>
  </si>
  <si>
    <t xml:space="preserve">ORD-10293</t>
  </si>
  <si>
    <t xml:space="preserve">ORD-10294</t>
  </si>
  <si>
    <t xml:space="preserve">ORD-10295</t>
  </si>
  <si>
    <t xml:space="preserve">ORD-10296</t>
  </si>
  <si>
    <t xml:space="preserve">ORD-10297</t>
  </si>
  <si>
    <t xml:space="preserve">ORD-10298</t>
  </si>
  <si>
    <t xml:space="preserve">ORD-10299</t>
  </si>
  <si>
    <t xml:space="preserve">ORD-10300</t>
  </si>
  <si>
    <t xml:space="preserve">ORD-10301</t>
  </si>
  <si>
    <t xml:space="preserve">ORD-10302</t>
  </si>
  <si>
    <t xml:space="preserve">ORD-10303</t>
  </si>
  <si>
    <t xml:space="preserve">ORD-10304</t>
  </si>
  <si>
    <t xml:space="preserve">ORD-10305</t>
  </si>
  <si>
    <t xml:space="preserve">ORD-10306</t>
  </si>
  <si>
    <t xml:space="preserve">ORD-10307</t>
  </si>
  <si>
    <t xml:space="preserve">ORD-10308</t>
  </si>
  <si>
    <t xml:space="preserve">ORD-10309</t>
  </si>
  <si>
    <t xml:space="preserve">ORD-10310</t>
  </si>
  <si>
    <t xml:space="preserve">ORD-10311</t>
  </si>
  <si>
    <t xml:space="preserve">ORD-10312</t>
  </si>
  <si>
    <t xml:space="preserve">ORD-10313</t>
  </si>
  <si>
    <t xml:space="preserve">ORD-10314</t>
  </si>
  <si>
    <t xml:space="preserve">ORD-10315</t>
  </si>
  <si>
    <t xml:space="preserve">ORD-10316</t>
  </si>
  <si>
    <t xml:space="preserve">ORD-10317</t>
  </si>
  <si>
    <t xml:space="preserve">ORD-10318</t>
  </si>
  <si>
    <t xml:space="preserve">ORD-10319</t>
  </si>
  <si>
    <t xml:space="preserve">ORD-10320</t>
  </si>
  <si>
    <t xml:space="preserve">ORD-10321</t>
  </si>
  <si>
    <t xml:space="preserve">ORD-10322</t>
  </si>
  <si>
    <t xml:space="preserve">ORD-10323</t>
  </si>
  <si>
    <t xml:space="preserve">ORD-10324</t>
  </si>
  <si>
    <t xml:space="preserve">ORD-10325</t>
  </si>
  <si>
    <t xml:space="preserve">ORD-10326</t>
  </si>
  <si>
    <t xml:space="preserve">ORD-10327</t>
  </si>
  <si>
    <t xml:space="preserve">ORD-10328</t>
  </si>
  <si>
    <t xml:space="preserve">ORD-10329</t>
  </si>
  <si>
    <t xml:space="preserve">ORD-10330</t>
  </si>
  <si>
    <t xml:space="preserve">ORD-10331</t>
  </si>
  <si>
    <t xml:space="preserve">ORD-10332</t>
  </si>
  <si>
    <t xml:space="preserve">ORD-10333</t>
  </si>
  <si>
    <t xml:space="preserve">ORD-10334</t>
  </si>
  <si>
    <t xml:space="preserve">ORD-10335</t>
  </si>
  <si>
    <t xml:space="preserve">ORD-10336</t>
  </si>
  <si>
    <t xml:space="preserve">ORD-10337</t>
  </si>
  <si>
    <t xml:space="preserve">ORD-10338</t>
  </si>
  <si>
    <t xml:space="preserve">ORD-10339</t>
  </si>
  <si>
    <t xml:space="preserve">ORD-10340</t>
  </si>
  <si>
    <t xml:space="preserve">ORD-10341</t>
  </si>
  <si>
    <t xml:space="preserve">ORD-10342</t>
  </si>
  <si>
    <t xml:space="preserve">ORD-10343</t>
  </si>
  <si>
    <t xml:space="preserve">ORD-10344</t>
  </si>
  <si>
    <t xml:space="preserve">ORD-10345</t>
  </si>
  <si>
    <t xml:space="preserve">ORD-10346</t>
  </si>
  <si>
    <t xml:space="preserve">ORD-10347</t>
  </si>
  <si>
    <t xml:space="preserve">ORD-10348</t>
  </si>
  <si>
    <t xml:space="preserve">ORD-10349</t>
  </si>
  <si>
    <t xml:space="preserve">ORD-10350</t>
  </si>
  <si>
    <t xml:space="preserve">ORD-10351</t>
  </si>
  <si>
    <t xml:space="preserve">ORD-10352</t>
  </si>
  <si>
    <t xml:space="preserve">ORD-10353</t>
  </si>
  <si>
    <t xml:space="preserve">ORD-10354</t>
  </si>
  <si>
    <t xml:space="preserve">ORD-10355</t>
  </si>
  <si>
    <t xml:space="preserve">ORD-10356</t>
  </si>
  <si>
    <t xml:space="preserve">ORD-10357</t>
  </si>
  <si>
    <t xml:space="preserve">ORD-10358</t>
  </si>
  <si>
    <t xml:space="preserve">ORD-10359</t>
  </si>
  <si>
    <t xml:space="preserve">ORD-10360</t>
  </si>
  <si>
    <t xml:space="preserve">ORD-10361</t>
  </si>
  <si>
    <t xml:space="preserve">ORD-10362</t>
  </si>
  <si>
    <t xml:space="preserve">ORD-10363</t>
  </si>
  <si>
    <t xml:space="preserve">ORD-10364</t>
  </si>
  <si>
    <t xml:space="preserve">ORD-10365</t>
  </si>
  <si>
    <t xml:space="preserve">ORD-10366</t>
  </si>
  <si>
    <t xml:space="preserve">ORD-10367</t>
  </si>
  <si>
    <t xml:space="preserve">ORD-10368</t>
  </si>
  <si>
    <t xml:space="preserve">ORD-10369</t>
  </si>
  <si>
    <t xml:space="preserve">ORD-10370</t>
  </si>
  <si>
    <t xml:space="preserve">ORD-10371</t>
  </si>
  <si>
    <t xml:space="preserve">ORD-10372</t>
  </si>
  <si>
    <t xml:space="preserve">ORD-10373</t>
  </si>
  <si>
    <t xml:space="preserve">ORD-10374</t>
  </si>
  <si>
    <t xml:space="preserve">ORD-10375</t>
  </si>
  <si>
    <t xml:space="preserve">ORD-10376</t>
  </si>
  <si>
    <t xml:space="preserve">ORD-10377</t>
  </si>
  <si>
    <t xml:space="preserve">ORD-10378</t>
  </si>
  <si>
    <t xml:space="preserve">ORD-10379</t>
  </si>
  <si>
    <t xml:space="preserve">ORD-10380</t>
  </si>
  <si>
    <t xml:space="preserve">ORD-10381</t>
  </si>
  <si>
    <t xml:space="preserve">ORD-10382</t>
  </si>
  <si>
    <t xml:space="preserve">ORD-10383</t>
  </si>
  <si>
    <t xml:space="preserve">ORD-10384</t>
  </si>
  <si>
    <t xml:space="preserve">ORD-10385</t>
  </si>
  <si>
    <t xml:space="preserve">ORD-10386</t>
  </si>
  <si>
    <t xml:space="preserve">ORD-10387</t>
  </si>
  <si>
    <t xml:space="preserve">ORD-10388</t>
  </si>
  <si>
    <t xml:space="preserve">ORD-10389</t>
  </si>
  <si>
    <t xml:space="preserve">ORD-10390</t>
  </si>
  <si>
    <t xml:space="preserve">ORD-10391</t>
  </si>
  <si>
    <t xml:space="preserve">ORD-10392</t>
  </si>
  <si>
    <t xml:space="preserve">ORD-10393</t>
  </si>
  <si>
    <t xml:space="preserve">ORD-10394</t>
  </si>
  <si>
    <t xml:space="preserve">ORD-10395</t>
  </si>
  <si>
    <t xml:space="preserve">ORD-10396</t>
  </si>
  <si>
    <t xml:space="preserve">ORD-10397</t>
  </si>
  <si>
    <t xml:space="preserve">ORD-10398</t>
  </si>
  <si>
    <t xml:space="preserve">ORD-10399</t>
  </si>
  <si>
    <t xml:space="preserve">ORD-10400</t>
  </si>
  <si>
    <t xml:space="preserve">ORD-10401</t>
  </si>
  <si>
    <t xml:space="preserve">ORD-10402</t>
  </si>
  <si>
    <t xml:space="preserve">ORD-10403</t>
  </si>
  <si>
    <t xml:space="preserve">ORD-10404</t>
  </si>
  <si>
    <t xml:space="preserve">ORD-10405</t>
  </si>
  <si>
    <t xml:space="preserve">ORD-10406</t>
  </si>
  <si>
    <t xml:space="preserve">ORD-10407</t>
  </si>
  <si>
    <t xml:space="preserve">ORD-10408</t>
  </si>
  <si>
    <t xml:space="preserve">ORD-10409</t>
  </si>
  <si>
    <t xml:space="preserve">ORD-10410</t>
  </si>
  <si>
    <t xml:space="preserve">ORD-10411</t>
  </si>
  <si>
    <t xml:space="preserve">ORD-10412</t>
  </si>
  <si>
    <t xml:space="preserve">ORD-10413</t>
  </si>
  <si>
    <t xml:space="preserve">ORD-10414</t>
  </si>
  <si>
    <t xml:space="preserve">ORD-10415</t>
  </si>
  <si>
    <t xml:space="preserve">ORD-10416</t>
  </si>
  <si>
    <t xml:space="preserve">ORD-10417</t>
  </si>
  <si>
    <t xml:space="preserve">ORD-10418</t>
  </si>
  <si>
    <t xml:space="preserve">ORD-10419</t>
  </si>
  <si>
    <t xml:space="preserve">ORD-10420</t>
  </si>
  <si>
    <t xml:space="preserve">ORD-10421</t>
  </si>
  <si>
    <t xml:space="preserve">ORD-10422</t>
  </si>
  <si>
    <t xml:space="preserve">ORD-10423</t>
  </si>
  <si>
    <t xml:space="preserve">ORD-10424</t>
  </si>
  <si>
    <t xml:space="preserve">ORD-10425</t>
  </si>
  <si>
    <t xml:space="preserve">ORD-10426</t>
  </si>
  <si>
    <t xml:space="preserve">ORD-10427</t>
  </si>
  <si>
    <t xml:space="preserve">ORD-10428</t>
  </si>
  <si>
    <t xml:space="preserve">ORD-10429</t>
  </si>
  <si>
    <t xml:space="preserve">ORD-10430</t>
  </si>
  <si>
    <t xml:space="preserve">ORD-10431</t>
  </si>
  <si>
    <t xml:space="preserve">ORD-10432</t>
  </si>
  <si>
    <t xml:space="preserve">ORD-10433</t>
  </si>
  <si>
    <t xml:space="preserve">ORD-10434</t>
  </si>
  <si>
    <t xml:space="preserve">ORD-10435</t>
  </si>
  <si>
    <t xml:space="preserve">ORD-10436</t>
  </si>
  <si>
    <t xml:space="preserve">ORD-10437</t>
  </si>
  <si>
    <t xml:space="preserve">ORD-10438</t>
  </si>
  <si>
    <t xml:space="preserve">ORD-10439</t>
  </si>
  <si>
    <t xml:space="preserve">ORD-10440</t>
  </si>
  <si>
    <t xml:space="preserve">ORD-10441</t>
  </si>
  <si>
    <t xml:space="preserve">ORD-10442</t>
  </si>
  <si>
    <t xml:space="preserve">ORD-10443</t>
  </si>
  <si>
    <t xml:space="preserve">ORD-10444</t>
  </si>
  <si>
    <t xml:space="preserve">ORD-10445</t>
  </si>
  <si>
    <t xml:space="preserve">ORD-10446</t>
  </si>
  <si>
    <t xml:space="preserve">ORD-10447</t>
  </si>
  <si>
    <t xml:space="preserve">ORD-10448</t>
  </si>
  <si>
    <t xml:space="preserve">ORD-10449</t>
  </si>
  <si>
    <t xml:space="preserve">ORD-10450</t>
  </si>
  <si>
    <t xml:space="preserve">ORD-10451</t>
  </si>
  <si>
    <t xml:space="preserve">ORD-10452</t>
  </si>
  <si>
    <t xml:space="preserve">ORD-10453</t>
  </si>
  <si>
    <t xml:space="preserve">ORD-10454</t>
  </si>
  <si>
    <t xml:space="preserve">ORD-10455</t>
  </si>
  <si>
    <t xml:space="preserve">ORD-10456</t>
  </si>
  <si>
    <t xml:space="preserve">ORD-10457</t>
  </si>
  <si>
    <t xml:space="preserve">ORD-10458</t>
  </si>
  <si>
    <t xml:space="preserve">ORD-10459</t>
  </si>
  <si>
    <t xml:space="preserve">ORD-10460</t>
  </si>
  <si>
    <t xml:space="preserve">ORD-10461</t>
  </si>
  <si>
    <t xml:space="preserve">ORD-10462</t>
  </si>
  <si>
    <t xml:space="preserve">ORD-10463</t>
  </si>
  <si>
    <t xml:space="preserve">ORD-10464</t>
  </si>
  <si>
    <t xml:space="preserve">ORD-10465</t>
  </si>
  <si>
    <t xml:space="preserve">ORD-10466</t>
  </si>
  <si>
    <t xml:space="preserve">ORD-10467</t>
  </si>
  <si>
    <t xml:space="preserve">ORD-10468</t>
  </si>
  <si>
    <t xml:space="preserve">ORD-10469</t>
  </si>
  <si>
    <t xml:space="preserve">ORD-10470</t>
  </si>
  <si>
    <t xml:space="preserve">ORD-10471</t>
  </si>
  <si>
    <t xml:space="preserve">ORD-10472</t>
  </si>
  <si>
    <t xml:space="preserve">ORD-10473</t>
  </si>
  <si>
    <t xml:space="preserve">ORD-10474</t>
  </si>
  <si>
    <t xml:space="preserve">ORD-10475</t>
  </si>
  <si>
    <t xml:space="preserve">ORD-10476</t>
  </si>
  <si>
    <t xml:space="preserve">ORD-10477</t>
  </si>
  <si>
    <t xml:space="preserve">ORD-10478</t>
  </si>
  <si>
    <t xml:space="preserve">ORD-10479</t>
  </si>
  <si>
    <t xml:space="preserve">ORD-10480</t>
  </si>
  <si>
    <t xml:space="preserve">ORD-10481</t>
  </si>
  <si>
    <t xml:space="preserve">ORD-10482</t>
  </si>
  <si>
    <t xml:space="preserve">ORD-10483</t>
  </si>
  <si>
    <t xml:space="preserve">ORD-10484</t>
  </si>
  <si>
    <t xml:space="preserve">ORD-10485</t>
  </si>
  <si>
    <t xml:space="preserve">ORD-10486</t>
  </si>
  <si>
    <t xml:space="preserve">ORD-10487</t>
  </si>
  <si>
    <t xml:space="preserve">ORD-10488</t>
  </si>
  <si>
    <t xml:space="preserve">ORD-10489</t>
  </si>
  <si>
    <t xml:space="preserve">ORD-10490</t>
  </si>
  <si>
    <t xml:space="preserve">ORD-10491</t>
  </si>
  <si>
    <t xml:space="preserve">ORD-10492</t>
  </si>
  <si>
    <t xml:space="preserve">ORD-10493</t>
  </si>
  <si>
    <t xml:space="preserve">ORD-10494</t>
  </si>
  <si>
    <t xml:space="preserve">ORD-10495</t>
  </si>
  <si>
    <t xml:space="preserve">ORD-10496</t>
  </si>
  <si>
    <t xml:space="preserve">ORD-10497</t>
  </si>
  <si>
    <t xml:space="preserve">ORD-10498</t>
  </si>
  <si>
    <t xml:space="preserve">ORD-10499</t>
  </si>
  <si>
    <t xml:space="preserve">ORD-10500</t>
  </si>
  <si>
    <t xml:space="preserve">ORD-10501</t>
  </si>
  <si>
    <t xml:space="preserve">ORD-10502</t>
  </si>
  <si>
    <t xml:space="preserve">ORD-10503</t>
  </si>
  <si>
    <t xml:space="preserve">ORD-10504</t>
  </si>
  <si>
    <t xml:space="preserve">ORD-10505</t>
  </si>
  <si>
    <t xml:space="preserve">ORD-10506</t>
  </si>
  <si>
    <t xml:space="preserve">ORD-10507</t>
  </si>
  <si>
    <t xml:space="preserve">ORD-10508</t>
  </si>
  <si>
    <t xml:space="preserve">ORD-10509</t>
  </si>
  <si>
    <t xml:space="preserve">ORD-10510</t>
  </si>
  <si>
    <t xml:space="preserve">ORD-10511</t>
  </si>
  <si>
    <t xml:space="preserve">ORD-10512</t>
  </si>
  <si>
    <t xml:space="preserve">ORD-10513</t>
  </si>
  <si>
    <t xml:space="preserve">ORD-10514</t>
  </si>
  <si>
    <t xml:space="preserve">ORD-10515</t>
  </si>
  <si>
    <t xml:space="preserve">ORD-10516</t>
  </si>
  <si>
    <t xml:space="preserve">ORD-10517</t>
  </si>
  <si>
    <t xml:space="preserve">ORD-10518</t>
  </si>
  <si>
    <t xml:space="preserve">ORD-10519</t>
  </si>
  <si>
    <t xml:space="preserve">ORD-10520</t>
  </si>
  <si>
    <t xml:space="preserve">ORD-10521</t>
  </si>
  <si>
    <t xml:space="preserve">ORD-10522</t>
  </si>
  <si>
    <t xml:space="preserve">ORD-10523</t>
  </si>
  <si>
    <t xml:space="preserve">ORD-10524</t>
  </si>
  <si>
    <t xml:space="preserve">ORD-10525</t>
  </si>
  <si>
    <t xml:space="preserve">ORD-10526</t>
  </si>
  <si>
    <t xml:space="preserve">ORD-10527</t>
  </si>
  <si>
    <t xml:space="preserve">ORD-10528</t>
  </si>
  <si>
    <t xml:space="preserve">ORD-10529</t>
  </si>
  <si>
    <t xml:space="preserve">ORD-10530</t>
  </si>
  <si>
    <t xml:space="preserve">ORD-10531</t>
  </si>
  <si>
    <t xml:space="preserve">ORD-10532</t>
  </si>
  <si>
    <t xml:space="preserve">ORD-10533</t>
  </si>
  <si>
    <t xml:space="preserve">ORD-10534</t>
  </si>
  <si>
    <t xml:space="preserve">ORD-10535</t>
  </si>
  <si>
    <t xml:space="preserve">ORD-10536</t>
  </si>
  <si>
    <t xml:space="preserve">ORD-10537</t>
  </si>
  <si>
    <t xml:space="preserve">ORD-10538</t>
  </si>
  <si>
    <t xml:space="preserve">ORD-10539</t>
  </si>
  <si>
    <t xml:space="preserve">ORD-10540</t>
  </si>
  <si>
    <t xml:space="preserve">ORD-10541</t>
  </si>
  <si>
    <t xml:space="preserve">ORD-10542</t>
  </si>
  <si>
    <t xml:space="preserve">ORD-10543</t>
  </si>
  <si>
    <t xml:space="preserve">ORD-10544</t>
  </si>
  <si>
    <t xml:space="preserve">ORD-10545</t>
  </si>
  <si>
    <t xml:space="preserve">ORD-10546</t>
  </si>
  <si>
    <t xml:space="preserve">ORD-10547</t>
  </si>
  <si>
    <t xml:space="preserve">ORD-10548</t>
  </si>
  <si>
    <t xml:space="preserve">ORD-10549</t>
  </si>
  <si>
    <t xml:space="preserve">ORD-10550</t>
  </si>
  <si>
    <t xml:space="preserve">ORD-10551</t>
  </si>
  <si>
    <t xml:space="preserve">ORD-10552</t>
  </si>
  <si>
    <t xml:space="preserve">ORD-10553</t>
  </si>
  <si>
    <t xml:space="preserve">ORD-10554</t>
  </si>
  <si>
    <t xml:space="preserve">ORD-10555</t>
  </si>
  <si>
    <t xml:space="preserve">ORD-10556</t>
  </si>
  <si>
    <t xml:space="preserve">ORD-10557</t>
  </si>
  <si>
    <t xml:space="preserve">ORD-10558</t>
  </si>
  <si>
    <t xml:space="preserve">ORD-10559</t>
  </si>
  <si>
    <t xml:space="preserve">ORD-10560</t>
  </si>
  <si>
    <t xml:space="preserve">ORD-10561</t>
  </si>
  <si>
    <t xml:space="preserve">ORD-10562</t>
  </si>
  <si>
    <t xml:space="preserve">ORD-10563</t>
  </si>
  <si>
    <t xml:space="preserve">ORD-10564</t>
  </si>
  <si>
    <t xml:space="preserve">ORD-10565</t>
  </si>
  <si>
    <t xml:space="preserve">ORD-10566</t>
  </si>
  <si>
    <t xml:space="preserve">ORD-10567</t>
  </si>
  <si>
    <t xml:space="preserve">ORD-10568</t>
  </si>
  <si>
    <t xml:space="preserve">ORD-10569</t>
  </si>
  <si>
    <t xml:space="preserve">ORD-10570</t>
  </si>
  <si>
    <t xml:space="preserve">ORD-10571</t>
  </si>
  <si>
    <t xml:space="preserve">ORD-10572</t>
  </si>
  <si>
    <t xml:space="preserve">ORD-10573</t>
  </si>
  <si>
    <t xml:space="preserve">ORD-10574</t>
  </si>
  <si>
    <t xml:space="preserve">ORD-10575</t>
  </si>
  <si>
    <t xml:space="preserve">ORD-10576</t>
  </si>
  <si>
    <t xml:space="preserve">ORD-10577</t>
  </si>
  <si>
    <t xml:space="preserve">ORD-10578</t>
  </si>
  <si>
    <t xml:space="preserve">ORD-10579</t>
  </si>
  <si>
    <t xml:space="preserve">ORD-10580</t>
  </si>
  <si>
    <t xml:space="preserve">ORD-10581</t>
  </si>
  <si>
    <t xml:space="preserve">ORD-10582</t>
  </si>
  <si>
    <t xml:space="preserve">ORD-10583</t>
  </si>
  <si>
    <t xml:space="preserve">ORD-10584</t>
  </si>
  <si>
    <t xml:space="preserve">ORD-10585</t>
  </si>
  <si>
    <t xml:space="preserve">ORD-10586</t>
  </si>
  <si>
    <t xml:space="preserve">ORD-10587</t>
  </si>
  <si>
    <t xml:space="preserve">ORD-10588</t>
  </si>
  <si>
    <t xml:space="preserve">ORD-10589</t>
  </si>
  <si>
    <t xml:space="preserve">ORD-10590</t>
  </si>
  <si>
    <t xml:space="preserve">ORD-10591</t>
  </si>
  <si>
    <t xml:space="preserve">ORD-10592</t>
  </si>
  <si>
    <t xml:space="preserve">ORD-10593</t>
  </si>
  <si>
    <t xml:space="preserve">ORD-10594</t>
  </si>
  <si>
    <t xml:space="preserve">ORD-10595</t>
  </si>
  <si>
    <t xml:space="preserve">ORD-10596</t>
  </si>
  <si>
    <t xml:space="preserve">ORD-10597</t>
  </si>
  <si>
    <t xml:space="preserve">ORD-10598</t>
  </si>
  <si>
    <t xml:space="preserve">ORD-10599</t>
  </si>
  <si>
    <t xml:space="preserve">ORD-10600</t>
  </si>
  <si>
    <t xml:space="preserve">ORD-10601</t>
  </si>
  <si>
    <t xml:space="preserve">ORD-10602</t>
  </si>
  <si>
    <t xml:space="preserve">ORD-10603</t>
  </si>
  <si>
    <t xml:space="preserve">ORD-10604</t>
  </si>
  <si>
    <t xml:space="preserve">ORD-10605</t>
  </si>
  <si>
    <t xml:space="preserve">ORD-10606</t>
  </si>
  <si>
    <t xml:space="preserve">ORD-10607</t>
  </si>
  <si>
    <t xml:space="preserve">ORD-10608</t>
  </si>
  <si>
    <t xml:space="preserve">ORD-10609</t>
  </si>
  <si>
    <t xml:space="preserve">ORD-10610</t>
  </si>
  <si>
    <t xml:space="preserve">ORD-10611</t>
  </si>
  <si>
    <t xml:space="preserve">ORD-10612</t>
  </si>
  <si>
    <t xml:space="preserve">ORD-10613</t>
  </si>
  <si>
    <t xml:space="preserve">ORD-10614</t>
  </si>
  <si>
    <t xml:space="preserve">ORD-10615</t>
  </si>
  <si>
    <t xml:space="preserve">ORD-10616</t>
  </si>
  <si>
    <t xml:space="preserve">ORD-10617</t>
  </si>
  <si>
    <t xml:space="preserve">ORD-10618</t>
  </si>
  <si>
    <t xml:space="preserve">ORD-10619</t>
  </si>
  <si>
    <t xml:space="preserve">ORD-10620</t>
  </si>
  <si>
    <t xml:space="preserve">ORD-10621</t>
  </si>
  <si>
    <t xml:space="preserve">ORD-10622</t>
  </si>
  <si>
    <t xml:space="preserve">ORD-10623</t>
  </si>
  <si>
    <t xml:space="preserve">ORD-10624</t>
  </si>
  <si>
    <t xml:space="preserve">ORD-10625</t>
  </si>
  <si>
    <t xml:space="preserve">ORD-10626</t>
  </si>
  <si>
    <t xml:space="preserve">ORD-10627</t>
  </si>
  <si>
    <t xml:space="preserve">ORD-10628</t>
  </si>
  <si>
    <t xml:space="preserve">ORD-10629</t>
  </si>
  <si>
    <t xml:space="preserve">ORD-10630</t>
  </si>
  <si>
    <t xml:space="preserve">ORD-10631</t>
  </si>
  <si>
    <t xml:space="preserve">ORD-10632</t>
  </si>
  <si>
    <t xml:space="preserve">ORD-10633</t>
  </si>
  <si>
    <t xml:space="preserve">ORD-10634</t>
  </si>
  <si>
    <t xml:space="preserve">ORD-10635</t>
  </si>
  <si>
    <t xml:space="preserve">ORD-10636</t>
  </si>
  <si>
    <t xml:space="preserve">ORD-10637</t>
  </si>
  <si>
    <t xml:space="preserve">ORD-10638</t>
  </si>
  <si>
    <t xml:space="preserve">ORD-10639</t>
  </si>
  <si>
    <t xml:space="preserve">ORD-10640</t>
  </si>
  <si>
    <t xml:space="preserve">ORD-10641</t>
  </si>
  <si>
    <t xml:space="preserve">ORD-10642</t>
  </si>
  <si>
    <t xml:space="preserve">ORD-10643</t>
  </si>
  <si>
    <t xml:space="preserve">ORD-10644</t>
  </si>
  <si>
    <t xml:space="preserve">ORD-10645</t>
  </si>
  <si>
    <t xml:space="preserve">ORD-10646</t>
  </si>
  <si>
    <t xml:space="preserve">ORD-10647</t>
  </si>
  <si>
    <t xml:space="preserve">ORD-10648</t>
  </si>
  <si>
    <t xml:space="preserve">ORD-10649</t>
  </si>
  <si>
    <t xml:space="preserve">ORD-10650</t>
  </si>
  <si>
    <t xml:space="preserve">ORD-10651</t>
  </si>
  <si>
    <t xml:space="preserve">ORD-10652</t>
  </si>
  <si>
    <t xml:space="preserve">ORD-10653</t>
  </si>
  <si>
    <t xml:space="preserve">ORD-10654</t>
  </si>
  <si>
    <t xml:space="preserve">ORD-10655</t>
  </si>
  <si>
    <t xml:space="preserve">ORD-10656</t>
  </si>
  <si>
    <t xml:space="preserve">ORD-10657</t>
  </si>
  <si>
    <t xml:space="preserve">ORD-10658</t>
  </si>
  <si>
    <t xml:space="preserve">ORD-10659</t>
  </si>
  <si>
    <t xml:space="preserve">ORD-10660</t>
  </si>
  <si>
    <t xml:space="preserve">ORD-10661</t>
  </si>
  <si>
    <t xml:space="preserve">ORD-10662</t>
  </si>
  <si>
    <t xml:space="preserve">ORD-10663</t>
  </si>
  <si>
    <t xml:space="preserve">ORD-10664</t>
  </si>
  <si>
    <t xml:space="preserve">ORD-10665</t>
  </si>
  <si>
    <t xml:space="preserve">ORD-10666</t>
  </si>
  <si>
    <t xml:space="preserve">ORD-10667</t>
  </si>
  <si>
    <t xml:space="preserve">ORD-10668</t>
  </si>
  <si>
    <t xml:space="preserve">ORD-10669</t>
  </si>
  <si>
    <t xml:space="preserve">ORD-10670</t>
  </si>
  <si>
    <t xml:space="preserve">ORD-10671</t>
  </si>
  <si>
    <t xml:space="preserve">ORD-10672</t>
  </si>
  <si>
    <t xml:space="preserve">ORD-10673</t>
  </si>
  <si>
    <t xml:space="preserve">ORD-10674</t>
  </si>
  <si>
    <t xml:space="preserve">ORD-10675</t>
  </si>
  <si>
    <t xml:space="preserve">ORD-10676</t>
  </si>
  <si>
    <t xml:space="preserve">ORD-10677</t>
  </si>
  <si>
    <t xml:space="preserve">ORD-10678</t>
  </si>
  <si>
    <t xml:space="preserve">ORD-10679</t>
  </si>
  <si>
    <t xml:space="preserve">ORD-10680</t>
  </si>
  <si>
    <t xml:space="preserve">ORD-10681</t>
  </si>
  <si>
    <t xml:space="preserve">ORD-10682</t>
  </si>
  <si>
    <t xml:space="preserve">ORD-10683</t>
  </si>
  <si>
    <t xml:space="preserve">ORD-10684</t>
  </si>
  <si>
    <t xml:space="preserve">ORD-10685</t>
  </si>
  <si>
    <t xml:space="preserve">ORD-10686</t>
  </si>
  <si>
    <t xml:space="preserve">ORD-10687</t>
  </si>
  <si>
    <t xml:space="preserve">ORD-10688</t>
  </si>
  <si>
    <t xml:space="preserve">ORD-10689</t>
  </si>
  <si>
    <t xml:space="preserve">ORD-10690</t>
  </si>
  <si>
    <t xml:space="preserve">ORD-10691</t>
  </si>
  <si>
    <t xml:space="preserve">ORD-10692</t>
  </si>
  <si>
    <t xml:space="preserve">ORD-10693</t>
  </si>
  <si>
    <t xml:space="preserve">ORD-10694</t>
  </si>
  <si>
    <t xml:space="preserve">ORD-10695</t>
  </si>
  <si>
    <t xml:space="preserve">ORD-10696</t>
  </si>
  <si>
    <t xml:space="preserve">ORD-10697</t>
  </si>
  <si>
    <t xml:space="preserve">ORD-10698</t>
  </si>
  <si>
    <t xml:space="preserve">ORD-10699</t>
  </si>
  <si>
    <t xml:space="preserve">ORD-10700</t>
  </si>
  <si>
    <t xml:space="preserve">ORD-10701</t>
  </si>
  <si>
    <t xml:space="preserve">ORD-10702</t>
  </si>
  <si>
    <t xml:space="preserve">ORD-10703</t>
  </si>
  <si>
    <t xml:space="preserve">ORD-10704</t>
  </si>
  <si>
    <t xml:space="preserve">ORD-10705</t>
  </si>
  <si>
    <t xml:space="preserve">ORD-10706</t>
  </si>
  <si>
    <t xml:space="preserve">ORD-10707</t>
  </si>
  <si>
    <t xml:space="preserve">ORD-10708</t>
  </si>
  <si>
    <t xml:space="preserve">ORD-10709</t>
  </si>
  <si>
    <t xml:space="preserve">ORD-10710</t>
  </si>
  <si>
    <t xml:space="preserve">ORD-10711</t>
  </si>
  <si>
    <t xml:space="preserve">ORD-10712</t>
  </si>
  <si>
    <t xml:space="preserve">ORD-10713</t>
  </si>
  <si>
    <t xml:space="preserve">ORD-10714</t>
  </si>
  <si>
    <t xml:space="preserve">ORD-10715</t>
  </si>
  <si>
    <t xml:space="preserve">ORD-10716</t>
  </si>
  <si>
    <t xml:space="preserve">ORD-10717</t>
  </si>
  <si>
    <t xml:space="preserve">ORD-10718</t>
  </si>
  <si>
    <t xml:space="preserve">ORD-10719</t>
  </si>
  <si>
    <t xml:space="preserve">ORD-10720</t>
  </si>
  <si>
    <t xml:space="preserve">ORD-10721</t>
  </si>
  <si>
    <t xml:space="preserve">ORD-10722</t>
  </si>
  <si>
    <t xml:space="preserve">ORD-10723</t>
  </si>
  <si>
    <t xml:space="preserve">ORD-10724</t>
  </si>
  <si>
    <t xml:space="preserve">ORD-10725</t>
  </si>
  <si>
    <t xml:space="preserve">ORD-10726</t>
  </si>
  <si>
    <t xml:space="preserve">ORD-10727</t>
  </si>
  <si>
    <t xml:space="preserve">ORD-10728</t>
  </si>
  <si>
    <t xml:space="preserve">ORD-10729</t>
  </si>
  <si>
    <t xml:space="preserve">ORD-10730</t>
  </si>
  <si>
    <t xml:space="preserve">ORD-10731</t>
  </si>
  <si>
    <t xml:space="preserve">ORD-10732</t>
  </si>
  <si>
    <t xml:space="preserve">ORD-10733</t>
  </si>
  <si>
    <t xml:space="preserve">ORD-10734</t>
  </si>
  <si>
    <t xml:space="preserve">ORD-10735</t>
  </si>
  <si>
    <t xml:space="preserve">ORD-10736</t>
  </si>
  <si>
    <t xml:space="preserve">ORD-10737</t>
  </si>
  <si>
    <t xml:space="preserve">ORD-10738</t>
  </si>
  <si>
    <t xml:space="preserve">ORD-10739</t>
  </si>
  <si>
    <t xml:space="preserve">ORD-10740</t>
  </si>
  <si>
    <t xml:space="preserve">ORD-10741</t>
  </si>
  <si>
    <t xml:space="preserve">ORD-10742</t>
  </si>
  <si>
    <t xml:space="preserve">ORD-10743</t>
  </si>
  <si>
    <t xml:space="preserve">ORD-10744</t>
  </si>
  <si>
    <t xml:space="preserve">ORD-10745</t>
  </si>
  <si>
    <t xml:space="preserve">ORD-10746</t>
  </si>
  <si>
    <t xml:space="preserve">ORD-10747</t>
  </si>
  <si>
    <t xml:space="preserve">ORD-10748</t>
  </si>
  <si>
    <t xml:space="preserve">ORD-10749</t>
  </si>
  <si>
    <t xml:space="preserve">ORD-10750</t>
  </si>
  <si>
    <t xml:space="preserve">ORD-10751</t>
  </si>
  <si>
    <t xml:space="preserve">ORD-10752</t>
  </si>
  <si>
    <t xml:space="preserve">ORD-10753</t>
  </si>
  <si>
    <t xml:space="preserve">ORD-10754</t>
  </si>
  <si>
    <t xml:space="preserve">ORD-10755</t>
  </si>
  <si>
    <t xml:space="preserve">ORD-10756</t>
  </si>
  <si>
    <t xml:space="preserve">ORD-10757</t>
  </si>
  <si>
    <t xml:space="preserve">ORD-10758</t>
  </si>
  <si>
    <t xml:space="preserve">ORD-10759</t>
  </si>
  <si>
    <t xml:space="preserve">ORD-10760</t>
  </si>
  <si>
    <t xml:space="preserve">ORD-10761</t>
  </si>
  <si>
    <t xml:space="preserve">ORD-10762</t>
  </si>
  <si>
    <t xml:space="preserve">ORD-10763</t>
  </si>
  <si>
    <t xml:space="preserve">ORD-10764</t>
  </si>
  <si>
    <t xml:space="preserve">ORD-10765</t>
  </si>
  <si>
    <t xml:space="preserve">ORD-10766</t>
  </si>
  <si>
    <t xml:space="preserve">ORD-10767</t>
  </si>
  <si>
    <t xml:space="preserve">ORD-10768</t>
  </si>
  <si>
    <t xml:space="preserve">ORD-10769</t>
  </si>
  <si>
    <t xml:space="preserve">ORD-10770</t>
  </si>
  <si>
    <t xml:space="preserve">ORD-10771</t>
  </si>
  <si>
    <t xml:space="preserve">ORD-10772</t>
  </si>
  <si>
    <t xml:space="preserve">ORD-10773</t>
  </si>
  <si>
    <t xml:space="preserve">ORD-10774</t>
  </si>
  <si>
    <t xml:space="preserve">ORD-10775</t>
  </si>
  <si>
    <t xml:space="preserve">ORD-10776</t>
  </si>
  <si>
    <t xml:space="preserve">ORD-10777</t>
  </si>
  <si>
    <t xml:space="preserve">ORD-10778</t>
  </si>
  <si>
    <t xml:space="preserve">ORD-10779</t>
  </si>
  <si>
    <t xml:space="preserve">ORD-10780</t>
  </si>
  <si>
    <t xml:space="preserve">ORD-10781</t>
  </si>
  <si>
    <t xml:space="preserve">ORD-10782</t>
  </si>
  <si>
    <t xml:space="preserve">ORD-10783</t>
  </si>
  <si>
    <t xml:space="preserve">ORD-10784</t>
  </si>
  <si>
    <t xml:space="preserve">ORD-10785</t>
  </si>
  <si>
    <t xml:space="preserve">ORD-10786</t>
  </si>
  <si>
    <t xml:space="preserve">ORD-10787</t>
  </si>
  <si>
    <t xml:space="preserve">ORD-10788</t>
  </si>
  <si>
    <t xml:space="preserve">ORD-10789</t>
  </si>
  <si>
    <t xml:space="preserve">ORD-10790</t>
  </si>
  <si>
    <t xml:space="preserve">ORD-10791</t>
  </si>
  <si>
    <t xml:space="preserve">ORD-10792</t>
  </si>
  <si>
    <t xml:space="preserve">ORD-10793</t>
  </si>
  <si>
    <t xml:space="preserve">ORD-10794</t>
  </si>
  <si>
    <t xml:space="preserve">ORD-10795</t>
  </si>
  <si>
    <t xml:space="preserve">ORD-10796</t>
  </si>
  <si>
    <t xml:space="preserve">ORD-10797</t>
  </si>
  <si>
    <t xml:space="preserve">ORD-10798</t>
  </si>
  <si>
    <t xml:space="preserve">ORD-10799</t>
  </si>
  <si>
    <t xml:space="preserve">ORD-10800</t>
  </si>
  <si>
    <t xml:space="preserve">ORD-10801</t>
  </si>
  <si>
    <t xml:space="preserve">ORD-10802</t>
  </si>
  <si>
    <t xml:space="preserve">ORD-10803</t>
  </si>
  <si>
    <t xml:space="preserve">ORD-10804</t>
  </si>
  <si>
    <t xml:space="preserve">ORD-10805</t>
  </si>
  <si>
    <t xml:space="preserve">ORD-10806</t>
  </si>
  <si>
    <t xml:space="preserve">ORD-10807</t>
  </si>
  <si>
    <t xml:space="preserve">ORD-10808</t>
  </si>
  <si>
    <t xml:space="preserve">ORD-10809</t>
  </si>
  <si>
    <t xml:space="preserve">ORD-10810</t>
  </si>
  <si>
    <t xml:space="preserve">ORD-10811</t>
  </si>
  <si>
    <t xml:space="preserve">ORD-10812</t>
  </si>
  <si>
    <t xml:space="preserve">ORD-10813</t>
  </si>
  <si>
    <t xml:space="preserve">ORD-10814</t>
  </si>
  <si>
    <t xml:space="preserve">ORD-10815</t>
  </si>
  <si>
    <t xml:space="preserve">ORD-10816</t>
  </si>
  <si>
    <t xml:space="preserve">ORD-10817</t>
  </si>
  <si>
    <t xml:space="preserve">ORD-10818</t>
  </si>
  <si>
    <t xml:space="preserve">ORD-10819</t>
  </si>
  <si>
    <t xml:space="preserve">ORD-10820</t>
  </si>
  <si>
    <t xml:space="preserve">ORD-10821</t>
  </si>
  <si>
    <t xml:space="preserve">ORD-10822</t>
  </si>
  <si>
    <t xml:space="preserve">ORD-10823</t>
  </si>
  <si>
    <t xml:space="preserve">ORD-10824</t>
  </si>
  <si>
    <t xml:space="preserve">ORD-10825</t>
  </si>
  <si>
    <t xml:space="preserve">ORD-10826</t>
  </si>
  <si>
    <t xml:space="preserve">ORD-10827</t>
  </si>
  <si>
    <t xml:space="preserve">ORD-10828</t>
  </si>
  <si>
    <t xml:space="preserve">ORD-10829</t>
  </si>
  <si>
    <t xml:space="preserve">ORD-10830</t>
  </si>
  <si>
    <t xml:space="preserve">ORD-10831</t>
  </si>
  <si>
    <t xml:space="preserve">ORD-10832</t>
  </si>
  <si>
    <t xml:space="preserve">ORD-10833</t>
  </si>
  <si>
    <t xml:space="preserve">ORD-10834</t>
  </si>
  <si>
    <t xml:space="preserve">ORD-10835</t>
  </si>
  <si>
    <t xml:space="preserve">ORD-10836</t>
  </si>
  <si>
    <t xml:space="preserve">ORD-10837</t>
  </si>
  <si>
    <t xml:space="preserve">ORD-10838</t>
  </si>
  <si>
    <t xml:space="preserve">ORD-10839</t>
  </si>
  <si>
    <t xml:space="preserve">ORD-10840</t>
  </si>
  <si>
    <t xml:space="preserve">ORD-10841</t>
  </si>
  <si>
    <t xml:space="preserve">ORD-10842</t>
  </si>
  <si>
    <t xml:space="preserve">ORD-10843</t>
  </si>
  <si>
    <t xml:space="preserve">ORD-10844</t>
  </si>
  <si>
    <t xml:space="preserve">ORD-10845</t>
  </si>
  <si>
    <t xml:space="preserve">ORD-10846</t>
  </si>
  <si>
    <t xml:space="preserve">ORD-10847</t>
  </si>
  <si>
    <t xml:space="preserve">ORD-10848</t>
  </si>
  <si>
    <t xml:space="preserve">ORD-10849</t>
  </si>
  <si>
    <t xml:space="preserve">ORD-10850</t>
  </si>
  <si>
    <t xml:space="preserve">ORD-10851</t>
  </si>
  <si>
    <t xml:space="preserve">ORD-10852</t>
  </si>
  <si>
    <t xml:space="preserve">ORD-10853</t>
  </si>
  <si>
    <t xml:space="preserve">ORD-10854</t>
  </si>
  <si>
    <t xml:space="preserve">ORD-10855</t>
  </si>
  <si>
    <t xml:space="preserve">ORD-10856</t>
  </si>
  <si>
    <t xml:space="preserve">ORD-10857</t>
  </si>
  <si>
    <t xml:space="preserve">ORD-10858</t>
  </si>
  <si>
    <t xml:space="preserve">ORD-10859</t>
  </si>
  <si>
    <t xml:space="preserve">ORD-10860</t>
  </si>
  <si>
    <t xml:space="preserve">ORD-10861</t>
  </si>
  <si>
    <t xml:space="preserve">ORD-10862</t>
  </si>
  <si>
    <t xml:space="preserve">ORD-10863</t>
  </si>
  <si>
    <t xml:space="preserve">ORD-10864</t>
  </si>
  <si>
    <t xml:space="preserve">ORD-10865</t>
  </si>
  <si>
    <t xml:space="preserve">ORD-10866</t>
  </si>
  <si>
    <t xml:space="preserve">ORD-10867</t>
  </si>
  <si>
    <t xml:space="preserve">ORD-10868</t>
  </si>
  <si>
    <t xml:space="preserve">ORD-10869</t>
  </si>
  <si>
    <t xml:space="preserve">ORD-10870</t>
  </si>
  <si>
    <t xml:space="preserve">ORD-10871</t>
  </si>
  <si>
    <t xml:space="preserve">ORD-10872</t>
  </si>
  <si>
    <t xml:space="preserve">ORD-10873</t>
  </si>
  <si>
    <t xml:space="preserve">ORD-10874</t>
  </si>
  <si>
    <t xml:space="preserve">ORD-10875</t>
  </si>
  <si>
    <t xml:space="preserve">ORD-10876</t>
  </si>
  <si>
    <t xml:space="preserve">ORD-10877</t>
  </si>
  <si>
    <t xml:space="preserve">ORD-10878</t>
  </si>
  <si>
    <t xml:space="preserve">ORD-10879</t>
  </si>
  <si>
    <t xml:space="preserve">ORD-10880</t>
  </si>
  <si>
    <t xml:space="preserve">ORD-10881</t>
  </si>
  <si>
    <t xml:space="preserve">ORD-10882</t>
  </si>
  <si>
    <t xml:space="preserve">ORD-10883</t>
  </si>
  <si>
    <t xml:space="preserve">ORD-10884</t>
  </si>
  <si>
    <t xml:space="preserve">ORD-10885</t>
  </si>
  <si>
    <t xml:space="preserve">ORD-10886</t>
  </si>
  <si>
    <t xml:space="preserve">ORD-10887</t>
  </si>
  <si>
    <t xml:space="preserve">ORD-10888</t>
  </si>
  <si>
    <t xml:space="preserve">ORD-10889</t>
  </si>
  <si>
    <t xml:space="preserve">ORD-10890</t>
  </si>
  <si>
    <t xml:space="preserve">ORD-10891</t>
  </si>
  <si>
    <t xml:space="preserve">ORD-10892</t>
  </si>
  <si>
    <t xml:space="preserve">ORD-10893</t>
  </si>
  <si>
    <t xml:space="preserve">ORD-10894</t>
  </si>
  <si>
    <t xml:space="preserve">ORD-10895</t>
  </si>
  <si>
    <t xml:space="preserve">ORD-10896</t>
  </si>
  <si>
    <t xml:space="preserve">ORD-10897</t>
  </si>
  <si>
    <t xml:space="preserve">ORD-10898</t>
  </si>
  <si>
    <t xml:space="preserve">ORD-10899</t>
  </si>
  <si>
    <t xml:space="preserve">ORD-10900</t>
  </si>
  <si>
    <t xml:space="preserve">ORD-10901</t>
  </si>
  <si>
    <t xml:space="preserve">ORD-10902</t>
  </si>
  <si>
    <t xml:space="preserve">ORD-10903</t>
  </si>
  <si>
    <t xml:space="preserve">ORD-10904</t>
  </si>
  <si>
    <t xml:space="preserve">ORD-10905</t>
  </si>
  <si>
    <t xml:space="preserve">ORD-10906</t>
  </si>
  <si>
    <t xml:space="preserve">ORD-10907</t>
  </si>
  <si>
    <t xml:space="preserve">ORD-10908</t>
  </si>
  <si>
    <t xml:space="preserve">ORD-10909</t>
  </si>
  <si>
    <t xml:space="preserve">ORD-10910</t>
  </si>
  <si>
    <t xml:space="preserve">ORD-10911</t>
  </si>
  <si>
    <t xml:space="preserve">ORD-10912</t>
  </si>
  <si>
    <t xml:space="preserve">ORD-10913</t>
  </si>
  <si>
    <t xml:space="preserve">ORD-10914</t>
  </si>
  <si>
    <t xml:space="preserve">ORD-10915</t>
  </si>
  <si>
    <t xml:space="preserve">ORD-10916</t>
  </si>
  <si>
    <t xml:space="preserve">ORD-10917</t>
  </si>
  <si>
    <t xml:space="preserve">ORD-10918</t>
  </si>
  <si>
    <t xml:space="preserve">ORD-10919</t>
  </si>
  <si>
    <t xml:space="preserve">ORD-10920</t>
  </si>
  <si>
    <t xml:space="preserve">ORD-10921</t>
  </si>
  <si>
    <t xml:space="preserve">ORD-10922</t>
  </si>
  <si>
    <t xml:space="preserve">ORD-10923</t>
  </si>
  <si>
    <t xml:space="preserve">ORD-10924</t>
  </si>
  <si>
    <t xml:space="preserve">ORD-10925</t>
  </si>
  <si>
    <t xml:space="preserve">ORD-10926</t>
  </si>
  <si>
    <t xml:space="preserve">ORD-10927</t>
  </si>
  <si>
    <t xml:space="preserve">ORD-10928</t>
  </si>
  <si>
    <t xml:space="preserve">ORD-10929</t>
  </si>
  <si>
    <t xml:space="preserve">ORD-10930</t>
  </si>
  <si>
    <t xml:space="preserve">ORD-10931</t>
  </si>
  <si>
    <t xml:space="preserve">ORD-10932</t>
  </si>
  <si>
    <t xml:space="preserve">ORD-10933</t>
  </si>
  <si>
    <t xml:space="preserve">ORD-10934</t>
  </si>
  <si>
    <t xml:space="preserve">ORD-10935</t>
  </si>
  <si>
    <t xml:space="preserve">ORD-10936</t>
  </si>
  <si>
    <t xml:space="preserve">ORD-10937</t>
  </si>
  <si>
    <t xml:space="preserve">ORD-10938</t>
  </si>
  <si>
    <t xml:space="preserve">ORD-10939</t>
  </si>
  <si>
    <t xml:space="preserve">ORD-10940</t>
  </si>
  <si>
    <t xml:space="preserve">ORD-10941</t>
  </si>
  <si>
    <t xml:space="preserve">ORD-10942</t>
  </si>
  <si>
    <t xml:space="preserve">ORD-10943</t>
  </si>
  <si>
    <t xml:space="preserve">ORD-10944</t>
  </si>
  <si>
    <t xml:space="preserve">ORD-10945</t>
  </si>
  <si>
    <t xml:space="preserve">ORD-10946</t>
  </si>
  <si>
    <t xml:space="preserve">ORD-10947</t>
  </si>
  <si>
    <t xml:space="preserve">ORD-10948</t>
  </si>
  <si>
    <t xml:space="preserve">ORD-10949</t>
  </si>
  <si>
    <t xml:space="preserve">ORD-10950</t>
  </si>
  <si>
    <t xml:space="preserve">ORD-10951</t>
  </si>
  <si>
    <t xml:space="preserve">ORD-10952</t>
  </si>
  <si>
    <t xml:space="preserve">ORD-10953</t>
  </si>
  <si>
    <t xml:space="preserve">ORD-10955</t>
  </si>
  <si>
    <t xml:space="preserve">ORD-10956</t>
  </si>
  <si>
    <t xml:space="preserve">ORD-10957</t>
  </si>
  <si>
    <t xml:space="preserve">ORD-10958</t>
  </si>
  <si>
    <t xml:space="preserve">ORD-10960</t>
  </si>
  <si>
    <t xml:space="preserve">ORD-10961</t>
  </si>
  <si>
    <t xml:space="preserve">ORD-10962</t>
  </si>
  <si>
    <t xml:space="preserve">ORD-10963</t>
  </si>
  <si>
    <t xml:space="preserve">ORD-10964</t>
  </si>
  <si>
    <t xml:space="preserve">ORD-10965</t>
  </si>
  <si>
    <t xml:space="preserve">ORD-10966</t>
  </si>
  <si>
    <t xml:space="preserve">ORD-10967</t>
  </si>
  <si>
    <t xml:space="preserve">ORD-10968</t>
  </si>
  <si>
    <t xml:space="preserve">ORD-10969</t>
  </si>
  <si>
    <t xml:space="preserve">ORD-10970</t>
  </si>
  <si>
    <t xml:space="preserve">ORD-10971</t>
  </si>
  <si>
    <t xml:space="preserve">ORD-10972</t>
  </si>
  <si>
    <t xml:space="preserve">ORD-10973</t>
  </si>
  <si>
    <t xml:space="preserve">ORD-10974</t>
  </si>
  <si>
    <t xml:space="preserve">ORD-10975</t>
  </si>
  <si>
    <t xml:space="preserve">ORD-10976</t>
  </si>
  <si>
    <t xml:space="preserve">ORD-10977</t>
  </si>
  <si>
    <t xml:space="preserve">ORD-10978</t>
  </si>
  <si>
    <t xml:space="preserve">ORD-10979</t>
  </si>
  <si>
    <t xml:space="preserve">ORD-10980</t>
  </si>
  <si>
    <t xml:space="preserve">ORD-10981</t>
  </si>
  <si>
    <t xml:space="preserve">ORD-10982</t>
  </si>
  <si>
    <t xml:space="preserve">ORD-10983</t>
  </si>
  <si>
    <t xml:space="preserve">ORD-10984</t>
  </si>
  <si>
    <t xml:space="preserve">ORD-10985</t>
  </si>
  <si>
    <t xml:space="preserve">ORD-10986</t>
  </si>
  <si>
    <t xml:space="preserve">ORD-10987</t>
  </si>
  <si>
    <t xml:space="preserve">ORD-10988</t>
  </si>
  <si>
    <t xml:space="preserve">ORD-10989</t>
  </si>
  <si>
    <t xml:space="preserve">ORD-10990</t>
  </si>
  <si>
    <t xml:space="preserve">ORD-10991</t>
  </si>
  <si>
    <t xml:space="preserve">ORD-10992</t>
  </si>
  <si>
    <t xml:space="preserve">ORD-10993</t>
  </si>
  <si>
    <t xml:space="preserve">ORD-10994</t>
  </si>
  <si>
    <t xml:space="preserve">ORD-10995</t>
  </si>
  <si>
    <t xml:space="preserve">ORD-10996</t>
  </si>
  <si>
    <t xml:space="preserve">ORD-10997</t>
  </si>
  <si>
    <t xml:space="preserve">ORD-10998</t>
  </si>
  <si>
    <t xml:space="preserve">ORD-10999</t>
  </si>
  <si>
    <t xml:space="preserve">ORD-11000</t>
  </si>
  <si>
    <t xml:space="preserve">ORD-11001</t>
  </si>
  <si>
    <t xml:space="preserve">ORD-11002</t>
  </si>
  <si>
    <t xml:space="preserve">ORD-11003</t>
  </si>
  <si>
    <t xml:space="preserve">ORD-11004</t>
  </si>
  <si>
    <t xml:space="preserve">ORD-11005</t>
  </si>
  <si>
    <t xml:space="preserve">ORD-11006</t>
  </si>
  <si>
    <t xml:space="preserve">ORD-11007</t>
  </si>
  <si>
    <t xml:space="preserve">ORD-11008</t>
  </si>
  <si>
    <t xml:space="preserve">ORD-11009</t>
  </si>
  <si>
    <t xml:space="preserve">ORD-11010</t>
  </si>
  <si>
    <t xml:space="preserve">ORD-11011</t>
  </si>
  <si>
    <t xml:space="preserve">ORD-11012</t>
  </si>
  <si>
    <t xml:space="preserve">ORD-11013</t>
  </si>
  <si>
    <t xml:space="preserve">ORD-11014</t>
  </si>
  <si>
    <t xml:space="preserve">ORD-11015</t>
  </si>
  <si>
    <t xml:space="preserve">ORD-11016</t>
  </si>
  <si>
    <t xml:space="preserve">ORD-11017</t>
  </si>
  <si>
    <t xml:space="preserve">ORD-11018</t>
  </si>
  <si>
    <t xml:space="preserve">ORD-11019</t>
  </si>
  <si>
    <t xml:space="preserve">ORD-11020</t>
  </si>
  <si>
    <t xml:space="preserve">ORD-11021</t>
  </si>
  <si>
    <t xml:space="preserve">ORD-11022</t>
  </si>
  <si>
    <t xml:space="preserve">ORD-11023</t>
  </si>
  <si>
    <t xml:space="preserve">ORD-11024</t>
  </si>
  <si>
    <t xml:space="preserve">ORD-11025</t>
  </si>
  <si>
    <t xml:space="preserve">ORD-11026</t>
  </si>
  <si>
    <t xml:space="preserve">ORD-11027</t>
  </si>
  <si>
    <t xml:space="preserve">ORD-11028</t>
  </si>
  <si>
    <t xml:space="preserve">ORD-11029</t>
  </si>
  <si>
    <t xml:space="preserve">ORD-11030</t>
  </si>
  <si>
    <t xml:space="preserve">ORD-11031</t>
  </si>
  <si>
    <t xml:space="preserve">ORD-11032</t>
  </si>
  <si>
    <t xml:space="preserve">ORD-11033</t>
  </si>
  <si>
    <t xml:space="preserve">ORD-11034</t>
  </si>
  <si>
    <t xml:space="preserve">ORD-11035</t>
  </si>
  <si>
    <t xml:space="preserve">ORD-11036</t>
  </si>
  <si>
    <t xml:space="preserve">ORD-11037</t>
  </si>
  <si>
    <t xml:space="preserve">ORD-11038</t>
  </si>
  <si>
    <t xml:space="preserve">ORD-11039</t>
  </si>
  <si>
    <t xml:space="preserve">ORD-11040</t>
  </si>
  <si>
    <t xml:space="preserve">ORD-11041</t>
  </si>
  <si>
    <t xml:space="preserve">ORD-11042</t>
  </si>
  <si>
    <t xml:space="preserve">ORD-11043</t>
  </si>
  <si>
    <t xml:space="preserve">ORD-11044</t>
  </si>
  <si>
    <t xml:space="preserve">ORD-11045</t>
  </si>
  <si>
    <t xml:space="preserve">ORD-11046</t>
  </si>
  <si>
    <t xml:space="preserve">ORD-11047</t>
  </si>
  <si>
    <t xml:space="preserve">ORD-11048</t>
  </si>
  <si>
    <t xml:space="preserve">ORD-11049</t>
  </si>
  <si>
    <t xml:space="preserve">ORD-11050</t>
  </si>
  <si>
    <t xml:space="preserve">ORD-11051</t>
  </si>
  <si>
    <t xml:space="preserve">ORD-11052</t>
  </si>
  <si>
    <t xml:space="preserve">ORD-11053</t>
  </si>
  <si>
    <t xml:space="preserve">ORD-11054</t>
  </si>
  <si>
    <t xml:space="preserve">ORD-11055</t>
  </si>
  <si>
    <t xml:space="preserve">ORD-11056</t>
  </si>
  <si>
    <t xml:space="preserve">ORD-11057</t>
  </si>
  <si>
    <t xml:space="preserve">ORD-11058</t>
  </si>
  <si>
    <t xml:space="preserve">ORD-11059</t>
  </si>
  <si>
    <t xml:space="preserve">ORD-11060</t>
  </si>
  <si>
    <t xml:space="preserve">ORD-11061</t>
  </si>
  <si>
    <t xml:space="preserve">ORD-11062</t>
  </si>
  <si>
    <t xml:space="preserve">ORD-11063</t>
  </si>
  <si>
    <t xml:space="preserve">ORD-11064</t>
  </si>
  <si>
    <t xml:space="preserve">ORD-11065</t>
  </si>
  <si>
    <t xml:space="preserve">ORD-11066</t>
  </si>
  <si>
    <t xml:space="preserve">ORD-11067</t>
  </si>
  <si>
    <t xml:space="preserve">ORD-11068</t>
  </si>
  <si>
    <t xml:space="preserve">ORD-11069</t>
  </si>
  <si>
    <t xml:space="preserve">ORD-11070</t>
  </si>
  <si>
    <t xml:space="preserve">ORD-11071</t>
  </si>
  <si>
    <t xml:space="preserve">ORD-11072</t>
  </si>
  <si>
    <t xml:space="preserve">ORD-11073</t>
  </si>
  <si>
    <t xml:space="preserve">ORD-11074</t>
  </si>
  <si>
    <t xml:space="preserve">ORD-11075</t>
  </si>
  <si>
    <t xml:space="preserve">ORD-11076</t>
  </si>
  <si>
    <t xml:space="preserve">ORD-11077</t>
  </si>
  <si>
    <t xml:space="preserve">ORD-11078</t>
  </si>
  <si>
    <t xml:space="preserve">ORD-11079</t>
  </si>
  <si>
    <t xml:space="preserve">ORD-11080</t>
  </si>
  <si>
    <t xml:space="preserve">ORD-11081</t>
  </si>
  <si>
    <t xml:space="preserve">ORD-11082</t>
  </si>
  <si>
    <t xml:space="preserve">ORD-11083</t>
  </si>
  <si>
    <t xml:space="preserve">ORD-11084</t>
  </si>
  <si>
    <t xml:space="preserve">ORD-11085</t>
  </si>
  <si>
    <t xml:space="preserve">ORD-11086</t>
  </si>
  <si>
    <t xml:space="preserve">ORD-11087</t>
  </si>
  <si>
    <t xml:space="preserve">ORD-11088</t>
  </si>
  <si>
    <t xml:space="preserve">ORD-11089</t>
  </si>
  <si>
    <t xml:space="preserve">ORD-11090</t>
  </si>
  <si>
    <t xml:space="preserve">ORD-11091</t>
  </si>
  <si>
    <t xml:space="preserve">ORD-11092</t>
  </si>
  <si>
    <t xml:space="preserve">ORD-11093</t>
  </si>
  <si>
    <t xml:space="preserve">ORD-11094</t>
  </si>
  <si>
    <t xml:space="preserve">ORD-11095</t>
  </si>
  <si>
    <t xml:space="preserve">ORD-11096</t>
  </si>
  <si>
    <t xml:space="preserve">ORD-11097</t>
  </si>
  <si>
    <t xml:space="preserve">ORD-11098</t>
  </si>
  <si>
    <t xml:space="preserve">ORD-11099</t>
  </si>
  <si>
    <t xml:space="preserve">ORD-11100</t>
  </si>
  <si>
    <t xml:space="preserve">ORD-11101</t>
  </si>
  <si>
    <t xml:space="preserve">ORD-11102</t>
  </si>
  <si>
    <t xml:space="preserve">ORD-11103</t>
  </si>
  <si>
    <t xml:space="preserve">ORD-11104</t>
  </si>
  <si>
    <t xml:space="preserve">ORD-11105</t>
  </si>
  <si>
    <t xml:space="preserve">ORD-11106</t>
  </si>
  <si>
    <t xml:space="preserve">ORD-11107</t>
  </si>
  <si>
    <t xml:space="preserve">ORD-11108</t>
  </si>
  <si>
    <t xml:space="preserve">ORD-11109</t>
  </si>
  <si>
    <t xml:space="preserve">ORD-11110</t>
  </si>
  <si>
    <t xml:space="preserve">ORD-11111</t>
  </si>
  <si>
    <t xml:space="preserve">ORD-11112</t>
  </si>
  <si>
    <t xml:space="preserve">ORD-11113</t>
  </si>
  <si>
    <t xml:space="preserve">ORD-11114</t>
  </si>
  <si>
    <t xml:space="preserve">ORD-11115</t>
  </si>
  <si>
    <t xml:space="preserve">ORD-11116</t>
  </si>
  <si>
    <t xml:space="preserve">ORD-11117</t>
  </si>
  <si>
    <t xml:space="preserve">ORD-11118</t>
  </si>
  <si>
    <t xml:space="preserve">ORD-11119</t>
  </si>
  <si>
    <t xml:space="preserve">ORD-11120</t>
  </si>
  <si>
    <t xml:space="preserve">ORD-11121</t>
  </si>
  <si>
    <t xml:space="preserve">ORD-11122</t>
  </si>
  <si>
    <t xml:space="preserve">ORD-11123</t>
  </si>
  <si>
    <t xml:space="preserve">ORD-11124</t>
  </si>
  <si>
    <t xml:space="preserve">ORD-11125</t>
  </si>
  <si>
    <t xml:space="preserve">ORD-11126</t>
  </si>
  <si>
    <t xml:space="preserve">ORD-11127</t>
  </si>
  <si>
    <t xml:space="preserve">ORD-11128</t>
  </si>
  <si>
    <t xml:space="preserve">ORD-11129</t>
  </si>
  <si>
    <t xml:space="preserve">ORD-11130</t>
  </si>
  <si>
    <t xml:space="preserve">ORD-11131</t>
  </si>
  <si>
    <t xml:space="preserve">ORD-11132</t>
  </si>
  <si>
    <t xml:space="preserve">ORD-11133</t>
  </si>
  <si>
    <t xml:space="preserve">ORD-11134</t>
  </si>
  <si>
    <t xml:space="preserve">ORD-11135</t>
  </si>
  <si>
    <t xml:space="preserve">ORD-11136</t>
  </si>
  <si>
    <t xml:space="preserve">ORD-11137</t>
  </si>
  <si>
    <t xml:space="preserve">ORD-11138</t>
  </si>
  <si>
    <t xml:space="preserve">ORD-11139</t>
  </si>
  <si>
    <t xml:space="preserve">ORD-11140</t>
  </si>
  <si>
    <t xml:space="preserve">ORD-11141</t>
  </si>
  <si>
    <t xml:space="preserve">ORD-11142</t>
  </si>
  <si>
    <t xml:space="preserve">ORD-11143</t>
  </si>
  <si>
    <t xml:space="preserve">ORD-11144</t>
  </si>
  <si>
    <t xml:space="preserve">ORD-11145</t>
  </si>
  <si>
    <t xml:space="preserve">ORD-11146</t>
  </si>
  <si>
    <t xml:space="preserve">ORD-11147</t>
  </si>
  <si>
    <t xml:space="preserve">ORD-11148</t>
  </si>
  <si>
    <t xml:space="preserve">ORD-11149</t>
  </si>
  <si>
    <t xml:space="preserve">ORD-11150</t>
  </si>
  <si>
    <t xml:space="preserve">ORD-11151</t>
  </si>
  <si>
    <t xml:space="preserve">ORD-11152</t>
  </si>
  <si>
    <t xml:space="preserve">ORD-11153</t>
  </si>
  <si>
    <t xml:space="preserve">ORD-11154</t>
  </si>
  <si>
    <t xml:space="preserve">ORD-11155</t>
  </si>
  <si>
    <t xml:space="preserve">ORD-11156</t>
  </si>
  <si>
    <t xml:space="preserve">ORD-11157</t>
  </si>
  <si>
    <t xml:space="preserve">ORD-11158</t>
  </si>
  <si>
    <t xml:space="preserve">ORD-11159</t>
  </si>
  <si>
    <t xml:space="preserve">ORD-11160</t>
  </si>
  <si>
    <t xml:space="preserve">ORD-11161</t>
  </si>
  <si>
    <t xml:space="preserve">ORD-11162</t>
  </si>
  <si>
    <t xml:space="preserve">ORD-11163</t>
  </si>
  <si>
    <t xml:space="preserve">ORD-11164</t>
  </si>
  <si>
    <t xml:space="preserve">ORD-11165</t>
  </si>
  <si>
    <t xml:space="preserve">ORD-11166</t>
  </si>
  <si>
    <t xml:space="preserve">ORD-11167</t>
  </si>
  <si>
    <t xml:space="preserve">ORD-11168</t>
  </si>
  <si>
    <t xml:space="preserve">ORD-11169</t>
  </si>
  <si>
    <t xml:space="preserve">ORD-11170</t>
  </si>
  <si>
    <t xml:space="preserve">ORD-11171</t>
  </si>
  <si>
    <t xml:space="preserve">ORD-11172</t>
  </si>
  <si>
    <t xml:space="preserve">ORD-11173</t>
  </si>
  <si>
    <t xml:space="preserve">ORD-11174</t>
  </si>
  <si>
    <t xml:space="preserve">ORD-11175</t>
  </si>
  <si>
    <t xml:space="preserve">ORD-11176</t>
  </si>
  <si>
    <t xml:space="preserve">ORD-11177</t>
  </si>
  <si>
    <t xml:space="preserve">ORD-11178</t>
  </si>
  <si>
    <t xml:space="preserve">ORD-11179</t>
  </si>
  <si>
    <t xml:space="preserve">ORD-11180</t>
  </si>
  <si>
    <t xml:space="preserve">ORD-11181</t>
  </si>
  <si>
    <t xml:space="preserve">ORD-11182</t>
  </si>
  <si>
    <t xml:space="preserve">ORD-11183</t>
  </si>
  <si>
    <t xml:space="preserve">ORD-11184</t>
  </si>
  <si>
    <t xml:space="preserve">ORD-11185</t>
  </si>
  <si>
    <t xml:space="preserve">ORD-11186</t>
  </si>
  <si>
    <t xml:space="preserve">ORD-11187</t>
  </si>
  <si>
    <t xml:space="preserve">ORD-11188</t>
  </si>
  <si>
    <t xml:space="preserve">ORD-11189</t>
  </si>
  <si>
    <t xml:space="preserve">ORD-11190</t>
  </si>
  <si>
    <t xml:space="preserve">ORD-11191</t>
  </si>
  <si>
    <t xml:space="preserve">ORD-11192</t>
  </si>
  <si>
    <t xml:space="preserve">ORD-11193</t>
  </si>
  <si>
    <t xml:space="preserve">ORD-11194</t>
  </si>
  <si>
    <t xml:space="preserve">ORD-11195</t>
  </si>
  <si>
    <t xml:space="preserve">ORD-11196</t>
  </si>
  <si>
    <t xml:space="preserve">ORD-11197</t>
  </si>
  <si>
    <t xml:space="preserve">ORD-11198</t>
  </si>
  <si>
    <t xml:space="preserve">ORD-11199</t>
  </si>
  <si>
    <t xml:space="preserve">ORD-11200</t>
  </si>
  <si>
    <t xml:space="preserve">ORD-11201</t>
  </si>
  <si>
    <t xml:space="preserve">ORD-11203</t>
  </si>
  <si>
    <t xml:space="preserve">ORD-11204</t>
  </si>
  <si>
    <t xml:space="preserve">ORD-11205</t>
  </si>
  <si>
    <t xml:space="preserve">ORD-11206</t>
  </si>
  <si>
    <t xml:space="preserve">ORD-11207</t>
  </si>
  <si>
    <t xml:space="preserve">ORD-11208</t>
  </si>
  <si>
    <t xml:space="preserve">ORD-11209</t>
  </si>
  <si>
    <t xml:space="preserve">ORD-11210</t>
  </si>
  <si>
    <t xml:space="preserve">ORD-11211</t>
  </si>
  <si>
    <t xml:space="preserve">ORD-11212</t>
  </si>
  <si>
    <t xml:space="preserve">ORD-11213</t>
  </si>
  <si>
    <t xml:space="preserve">ORD-11214</t>
  </si>
  <si>
    <t xml:space="preserve">ORD-11215</t>
  </si>
  <si>
    <t xml:space="preserve">ORD-11216</t>
  </si>
  <si>
    <t xml:space="preserve">ORD-11217</t>
  </si>
  <si>
    <t xml:space="preserve">ORD-11218</t>
  </si>
  <si>
    <t xml:space="preserve">ORD-11219</t>
  </si>
  <si>
    <t xml:space="preserve">ORD-11220</t>
  </si>
  <si>
    <t xml:space="preserve">ORD-11221</t>
  </si>
  <si>
    <t xml:space="preserve">ORD-11222</t>
  </si>
  <si>
    <t xml:space="preserve">ORD-11223</t>
  </si>
  <si>
    <t xml:space="preserve">ORD-11224</t>
  </si>
  <si>
    <t xml:space="preserve">ORD-11225</t>
  </si>
  <si>
    <t xml:space="preserve">ORD-11226</t>
  </si>
  <si>
    <t xml:space="preserve">ORD-11227</t>
  </si>
  <si>
    <t xml:space="preserve">ORD-11228</t>
  </si>
  <si>
    <t xml:space="preserve">ORD-11229</t>
  </si>
  <si>
    <t xml:space="preserve">ORD-11230</t>
  </si>
  <si>
    <t xml:space="preserve">ORD-11231</t>
  </si>
  <si>
    <t xml:space="preserve">ORD-11232</t>
  </si>
  <si>
    <t xml:space="preserve">ORD-11234</t>
  </si>
  <si>
    <t xml:space="preserve">ORD-11235</t>
  </si>
  <si>
    <t xml:space="preserve">ORD-11236</t>
  </si>
  <si>
    <t xml:space="preserve">ORD-11237</t>
  </si>
  <si>
    <t xml:space="preserve">ORD-11238</t>
  </si>
  <si>
    <t xml:space="preserve">ORD-11239</t>
  </si>
  <si>
    <t xml:space="preserve">ORD-11240</t>
  </si>
  <si>
    <t xml:space="preserve">ORD-11241</t>
  </si>
  <si>
    <t xml:space="preserve">ORD-11242</t>
  </si>
  <si>
    <t xml:space="preserve">ORD-11243</t>
  </si>
  <si>
    <t xml:space="preserve">ORD-11244</t>
  </si>
  <si>
    <t xml:space="preserve">ORD-11245</t>
  </si>
  <si>
    <t xml:space="preserve">ORD-11246</t>
  </si>
  <si>
    <t xml:space="preserve">ORD-11247</t>
  </si>
  <si>
    <t xml:space="preserve">ORD-11248</t>
  </si>
  <si>
    <t xml:space="preserve">ORD-11249</t>
  </si>
  <si>
    <t xml:space="preserve">ORD-11250</t>
  </si>
  <si>
    <t xml:space="preserve">ORD-11251</t>
  </si>
  <si>
    <t xml:space="preserve">ORD-11252</t>
  </si>
  <si>
    <t xml:space="preserve">ORD-11253</t>
  </si>
  <si>
    <t xml:space="preserve">ORD-11254</t>
  </si>
  <si>
    <t xml:space="preserve">ORD-11255</t>
  </si>
  <si>
    <t xml:space="preserve">ORD-11256</t>
  </si>
  <si>
    <t xml:space="preserve">ORD-11257</t>
  </si>
  <si>
    <t xml:space="preserve">ORD-11258</t>
  </si>
  <si>
    <t xml:space="preserve">ORD-11259</t>
  </si>
  <si>
    <t xml:space="preserve">ORD-11260</t>
  </si>
  <si>
    <t xml:space="preserve">ORD-11261</t>
  </si>
  <si>
    <t xml:space="preserve">ORD-11262</t>
  </si>
  <si>
    <t xml:space="preserve">ORD-11263</t>
  </si>
  <si>
    <t xml:space="preserve">ORD-11264</t>
  </si>
  <si>
    <t xml:space="preserve">ORD-11265</t>
  </si>
  <si>
    <t xml:space="preserve">ORD-11266</t>
  </si>
  <si>
    <t xml:space="preserve">ORD-11267</t>
  </si>
  <si>
    <t xml:space="preserve">ORD-11268</t>
  </si>
  <si>
    <t xml:space="preserve">ORD-11269</t>
  </si>
  <si>
    <t xml:space="preserve">ORD-11270</t>
  </si>
  <si>
    <t xml:space="preserve">ORD-11271</t>
  </si>
  <si>
    <t xml:space="preserve">ORD-11272</t>
  </si>
  <si>
    <t xml:space="preserve">ORD-11273</t>
  </si>
  <si>
    <t xml:space="preserve">ORD-11274</t>
  </si>
  <si>
    <t xml:space="preserve">ORD-11275</t>
  </si>
  <si>
    <t xml:space="preserve">ORD-11276</t>
  </si>
  <si>
    <t xml:space="preserve">ORD-11277</t>
  </si>
  <si>
    <t xml:space="preserve">ORD-11278</t>
  </si>
  <si>
    <t xml:space="preserve">ORD-11279</t>
  </si>
  <si>
    <t xml:space="preserve">ORD-11280</t>
  </si>
  <si>
    <t xml:space="preserve">ORD-11281</t>
  </si>
  <si>
    <t xml:space="preserve">ORD-11282</t>
  </si>
  <si>
    <t xml:space="preserve">ORD-11283</t>
  </si>
  <si>
    <t xml:space="preserve">ORD-11284</t>
  </si>
  <si>
    <t xml:space="preserve">ORD-11285</t>
  </si>
  <si>
    <t xml:space="preserve">ORD-11286</t>
  </si>
  <si>
    <t xml:space="preserve">ORD-11287</t>
  </si>
  <si>
    <t xml:space="preserve">ORD-11288</t>
  </si>
  <si>
    <t xml:space="preserve">ORD-11289</t>
  </si>
  <si>
    <t xml:space="preserve">ORD-11290</t>
  </si>
  <si>
    <t xml:space="preserve">ORD-11291</t>
  </si>
  <si>
    <t xml:space="preserve">ORD-11292</t>
  </si>
  <si>
    <t xml:space="preserve">ORD-11293</t>
  </si>
  <si>
    <t xml:space="preserve">ORD-11294</t>
  </si>
  <si>
    <t xml:space="preserve">ORD-11295</t>
  </si>
  <si>
    <t xml:space="preserve">ORD-11296</t>
  </si>
  <si>
    <t xml:space="preserve">ORD-11297</t>
  </si>
  <si>
    <t xml:space="preserve">ORD-11298</t>
  </si>
  <si>
    <t xml:space="preserve">ORD-11299</t>
  </si>
  <si>
    <t xml:space="preserve">ORD-11300</t>
  </si>
  <si>
    <t xml:space="preserve">ORD-11301</t>
  </si>
  <si>
    <t xml:space="preserve">ORD-11302</t>
  </si>
  <si>
    <t xml:space="preserve">ORD-11303</t>
  </si>
  <si>
    <t xml:space="preserve">ORD-11304</t>
  </si>
  <si>
    <t xml:space="preserve">ORD-11305</t>
  </si>
  <si>
    <t xml:space="preserve">ORD-11306</t>
  </si>
  <si>
    <t xml:space="preserve">ORD-11307</t>
  </si>
  <si>
    <t xml:space="preserve">ORD-11308</t>
  </si>
  <si>
    <t xml:space="preserve">ORD-11309</t>
  </si>
  <si>
    <t xml:space="preserve">ORD-11310</t>
  </si>
  <si>
    <t xml:space="preserve">ORD-11311</t>
  </si>
  <si>
    <t xml:space="preserve">ORD-11312</t>
  </si>
  <si>
    <t xml:space="preserve">ORD-11313</t>
  </si>
  <si>
    <t xml:space="preserve">ORD-11314</t>
  </si>
  <si>
    <t xml:space="preserve">ORD-11315</t>
  </si>
  <si>
    <t xml:space="preserve">ORD-11316</t>
  </si>
  <si>
    <t xml:space="preserve">ORD-11317</t>
  </si>
  <si>
    <t xml:space="preserve">ORD-11318</t>
  </si>
  <si>
    <t xml:space="preserve">ORD-11319</t>
  </si>
  <si>
    <t xml:space="preserve">ORD-11320</t>
  </si>
  <si>
    <t xml:space="preserve">ORD-11321</t>
  </si>
  <si>
    <t xml:space="preserve">ORD-11322</t>
  </si>
  <si>
    <t xml:space="preserve">ORD-11323</t>
  </si>
  <si>
    <t xml:space="preserve">ORD-11324</t>
  </si>
  <si>
    <t xml:space="preserve">ORD-11325</t>
  </si>
  <si>
    <t xml:space="preserve">ORD-11326</t>
  </si>
  <si>
    <t xml:space="preserve">ORD-11327</t>
  </si>
  <si>
    <t xml:space="preserve">ORD-11328</t>
  </si>
  <si>
    <t xml:space="preserve">ORD-11329</t>
  </si>
  <si>
    <t xml:space="preserve">ORD-11330</t>
  </si>
  <si>
    <t xml:space="preserve">ORD-11331</t>
  </si>
  <si>
    <t xml:space="preserve">ORD-11332</t>
  </si>
  <si>
    <t xml:space="preserve">ORD-11333</t>
  </si>
  <si>
    <t xml:space="preserve">ORD-11334</t>
  </si>
  <si>
    <t xml:space="preserve">ORD-11335</t>
  </si>
  <si>
    <t xml:space="preserve">ORD-11336</t>
  </si>
  <si>
    <t xml:space="preserve">ORD-11337</t>
  </si>
  <si>
    <t xml:space="preserve">ORD-11338</t>
  </si>
  <si>
    <t xml:space="preserve">ORD-11339</t>
  </si>
  <si>
    <t xml:space="preserve">ORD-11340</t>
  </si>
  <si>
    <t xml:space="preserve">ORD-11342</t>
  </si>
  <si>
    <t xml:space="preserve">ORD-11343</t>
  </si>
  <si>
    <t xml:space="preserve">ORD-11344</t>
  </si>
  <si>
    <t xml:space="preserve">ORD-11345</t>
  </si>
  <si>
    <t xml:space="preserve">ORD-11346</t>
  </si>
  <si>
    <t xml:space="preserve">ORD-11347</t>
  </si>
  <si>
    <t xml:space="preserve">ORD-11348</t>
  </si>
  <si>
    <t xml:space="preserve">ORD-11349</t>
  </si>
  <si>
    <t xml:space="preserve">ORD-11350</t>
  </si>
  <si>
    <t xml:space="preserve">ORD-11351</t>
  </si>
  <si>
    <t xml:space="preserve">ORD-11352</t>
  </si>
  <si>
    <t xml:space="preserve">ORD-11353</t>
  </si>
  <si>
    <t xml:space="preserve">ORD-11354</t>
  </si>
  <si>
    <t xml:space="preserve">ORD-11355</t>
  </si>
  <si>
    <t xml:space="preserve">ORD-11356</t>
  </si>
  <si>
    <t xml:space="preserve">ORD-11357</t>
  </si>
  <si>
    <t xml:space="preserve">ORD-11358</t>
  </si>
  <si>
    <t xml:space="preserve">ORD-11359</t>
  </si>
  <si>
    <t xml:space="preserve">ORD-11360</t>
  </si>
  <si>
    <t xml:space="preserve">ORD-11362</t>
  </si>
  <si>
    <t xml:space="preserve">ORD-11363</t>
  </si>
  <si>
    <t xml:space="preserve">ORD-11364</t>
  </si>
  <si>
    <t xml:space="preserve">ORD-11365</t>
  </si>
  <si>
    <t xml:space="preserve">ORD-11366</t>
  </si>
  <si>
    <t xml:space="preserve">ORD-11367</t>
  </si>
  <si>
    <t xml:space="preserve">ORD-11368</t>
  </si>
  <si>
    <t xml:space="preserve">ORD-11369</t>
  </si>
  <si>
    <t xml:space="preserve">ORD-11370</t>
  </si>
  <si>
    <t xml:space="preserve">ORD-11371</t>
  </si>
  <si>
    <t xml:space="preserve">ORD-11372</t>
  </si>
  <si>
    <t xml:space="preserve">ORD-11373</t>
  </si>
  <si>
    <t xml:space="preserve">ORD-11374</t>
  </si>
  <si>
    <t xml:space="preserve">ORD-11375</t>
  </si>
  <si>
    <t xml:space="preserve">ORD-11376</t>
  </si>
  <si>
    <t xml:space="preserve">ORD-11377</t>
  </si>
  <si>
    <t xml:space="preserve">ORD-11378</t>
  </si>
  <si>
    <t xml:space="preserve">ORD-11379</t>
  </si>
  <si>
    <t xml:space="preserve">ORD-11380</t>
  </si>
  <si>
    <t xml:space="preserve">ORD-11381</t>
  </si>
  <si>
    <t xml:space="preserve">ORD-11382</t>
  </si>
  <si>
    <t xml:space="preserve">ORD-11383</t>
  </si>
  <si>
    <t xml:space="preserve">ORD-11384</t>
  </si>
  <si>
    <t xml:space="preserve">ORD-11385</t>
  </si>
  <si>
    <t xml:space="preserve">ORD-11386</t>
  </si>
  <si>
    <t xml:space="preserve">ORD-11387</t>
  </si>
  <si>
    <t xml:space="preserve">ORD-11388</t>
  </si>
  <si>
    <t xml:space="preserve">ORD-11389</t>
  </si>
  <si>
    <t xml:space="preserve">ORD-11390</t>
  </si>
  <si>
    <t xml:space="preserve">ORD-11391</t>
  </si>
  <si>
    <t xml:space="preserve">ORD-11392</t>
  </si>
  <si>
    <t xml:space="preserve">ORD-11393</t>
  </si>
  <si>
    <t xml:space="preserve">ORD-11394</t>
  </si>
  <si>
    <t xml:space="preserve">ORD-11395</t>
  </si>
  <si>
    <t xml:space="preserve">ORD-11396</t>
  </si>
  <si>
    <t xml:space="preserve">ORD-11397</t>
  </si>
  <si>
    <t xml:space="preserve">ORD-11398</t>
  </si>
  <si>
    <t xml:space="preserve">ORD-11399</t>
  </si>
  <si>
    <t xml:space="preserve">ORD-11400</t>
  </si>
  <si>
    <t xml:space="preserve">ORD-11401</t>
  </si>
  <si>
    <t xml:space="preserve">ORD-11402</t>
  </si>
  <si>
    <t xml:space="preserve">ORD-11403</t>
  </si>
  <si>
    <t xml:space="preserve">ORD-11404</t>
  </si>
  <si>
    <t xml:space="preserve">ORD-11405</t>
  </si>
  <si>
    <t xml:space="preserve">ORD-11406</t>
  </si>
  <si>
    <t xml:space="preserve">ORD-11407</t>
  </si>
  <si>
    <t xml:space="preserve">ORD-11408</t>
  </si>
  <si>
    <t xml:space="preserve">ORD-11409</t>
  </si>
  <si>
    <t xml:space="preserve">ORD-11410</t>
  </si>
  <si>
    <t xml:space="preserve">ORD-11411</t>
  </si>
  <si>
    <t xml:space="preserve">ORD-11412</t>
  </si>
  <si>
    <t xml:space="preserve">ORD-11413</t>
  </si>
  <si>
    <t xml:space="preserve">ORD-11414</t>
  </si>
  <si>
    <t xml:space="preserve">ORD-11415</t>
  </si>
  <si>
    <t xml:space="preserve">ORD-11416</t>
  </si>
  <si>
    <t xml:space="preserve">ORD-11417</t>
  </si>
  <si>
    <t xml:space="preserve">ORD-11418</t>
  </si>
  <si>
    <t xml:space="preserve">ORD-11419</t>
  </si>
  <si>
    <t xml:space="preserve">ORD-11420</t>
  </si>
  <si>
    <t xml:space="preserve">ORD-11421</t>
  </si>
  <si>
    <t xml:space="preserve">ORD-11422</t>
  </si>
  <si>
    <t xml:space="preserve">ORD-11423</t>
  </si>
  <si>
    <t xml:space="preserve">ORD-11424</t>
  </si>
  <si>
    <t xml:space="preserve">ORD-11425</t>
  </si>
  <si>
    <t xml:space="preserve">ORD-11426</t>
  </si>
  <si>
    <t xml:space="preserve">ORD-11427</t>
  </si>
  <si>
    <t xml:space="preserve">ORD-11428</t>
  </si>
  <si>
    <t xml:space="preserve">ORD-11429</t>
  </si>
  <si>
    <t xml:space="preserve">ORD-11430</t>
  </si>
  <si>
    <t xml:space="preserve">ORD-11431</t>
  </si>
  <si>
    <t xml:space="preserve">ORD-11432</t>
  </si>
  <si>
    <t xml:space="preserve">ORD-11433</t>
  </si>
  <si>
    <t xml:space="preserve">ORD-11434</t>
  </si>
  <si>
    <t xml:space="preserve">ORD-11435</t>
  </si>
  <si>
    <t xml:space="preserve">ORD-11436</t>
  </si>
  <si>
    <t xml:space="preserve">ORD-11437</t>
  </si>
  <si>
    <t xml:space="preserve">ORD-11438</t>
  </si>
  <si>
    <t xml:space="preserve">ORD-11439</t>
  </si>
  <si>
    <t xml:space="preserve">ORD-11440</t>
  </si>
  <si>
    <t xml:space="preserve">ORD-11441</t>
  </si>
  <si>
    <t xml:space="preserve">ORD-11442</t>
  </si>
  <si>
    <t xml:space="preserve">ORD-11443</t>
  </si>
  <si>
    <t xml:space="preserve">ORD-11444</t>
  </si>
  <si>
    <t xml:space="preserve">ORD-11445</t>
  </si>
  <si>
    <t xml:space="preserve">ORD-11446</t>
  </si>
  <si>
    <t xml:space="preserve">ORD-11447</t>
  </si>
  <si>
    <t xml:space="preserve">ORD-11448</t>
  </si>
  <si>
    <t xml:space="preserve">ORD-11449</t>
  </si>
  <si>
    <t xml:space="preserve">ORD-11450</t>
  </si>
  <si>
    <t xml:space="preserve">ORD-11451</t>
  </si>
  <si>
    <t xml:space="preserve">ORD-11452</t>
  </si>
  <si>
    <t xml:space="preserve">ORD-11453</t>
  </si>
  <si>
    <t xml:space="preserve">ORD-11454</t>
  </si>
  <si>
    <t xml:space="preserve">ORD-11456</t>
  </si>
  <si>
    <t xml:space="preserve">ORD-11457</t>
  </si>
  <si>
    <t xml:space="preserve">ORD-11458</t>
  </si>
  <si>
    <t xml:space="preserve">ORD-11459</t>
  </si>
  <si>
    <t xml:space="preserve">ORD-11460</t>
  </si>
  <si>
    <t xml:space="preserve">ORD-11461</t>
  </si>
  <si>
    <t xml:space="preserve">ORD-11462</t>
  </si>
  <si>
    <t xml:space="preserve">ORD-11463</t>
  </si>
  <si>
    <t xml:space="preserve">ORD-11464</t>
  </si>
  <si>
    <t xml:space="preserve">ORD-11465</t>
  </si>
  <si>
    <t xml:space="preserve">ORD-11466</t>
  </si>
  <si>
    <t xml:space="preserve">ORD-11467</t>
  </si>
  <si>
    <t xml:space="preserve">ORD-11468</t>
  </si>
  <si>
    <t xml:space="preserve">ORD-11469</t>
  </si>
  <si>
    <t xml:space="preserve">ORD-11470</t>
  </si>
  <si>
    <t xml:space="preserve">ORD-11471</t>
  </si>
  <si>
    <t xml:space="preserve">ORD-11472</t>
  </si>
  <si>
    <t xml:space="preserve">ORD-11473</t>
  </si>
  <si>
    <t xml:space="preserve">ORD-11474</t>
  </si>
  <si>
    <t xml:space="preserve">ORD-11475</t>
  </si>
  <si>
    <t xml:space="preserve">ORD-11476</t>
  </si>
  <si>
    <t xml:space="preserve">ORD-11477</t>
  </si>
  <si>
    <t xml:space="preserve">ORD-11478</t>
  </si>
  <si>
    <t xml:space="preserve">ORD-11479</t>
  </si>
  <si>
    <t xml:space="preserve">ORD-11480</t>
  </si>
  <si>
    <t xml:space="preserve">ORD-11481</t>
  </si>
  <si>
    <t xml:space="preserve">ORD-11482</t>
  </si>
  <si>
    <t xml:space="preserve">ORD-11483</t>
  </si>
  <si>
    <t xml:space="preserve">ORD-11484</t>
  </si>
  <si>
    <t xml:space="preserve">ORD-11485</t>
  </si>
  <si>
    <t xml:space="preserve">ORD-11486</t>
  </si>
  <si>
    <t xml:space="preserve">ORD-11487</t>
  </si>
  <si>
    <t xml:space="preserve">ORD-11488</t>
  </si>
  <si>
    <t xml:space="preserve">ORD-11489</t>
  </si>
  <si>
    <t xml:space="preserve">ORD-11490</t>
  </si>
  <si>
    <t xml:space="preserve">ORD-11491</t>
  </si>
  <si>
    <t xml:space="preserve">ORD-11492</t>
  </si>
  <si>
    <t xml:space="preserve">ORD-11493</t>
  </si>
  <si>
    <t xml:space="preserve">ORD-11494</t>
  </si>
  <si>
    <t xml:space="preserve">ORD-11495</t>
  </si>
  <si>
    <t xml:space="preserve">ORD-11496</t>
  </si>
  <si>
    <t xml:space="preserve">ORD-11497</t>
  </si>
  <si>
    <t xml:space="preserve">ORD-11498</t>
  </si>
  <si>
    <t xml:space="preserve">ORD-11499</t>
  </si>
  <si>
    <t xml:space="preserve">ORD-11500</t>
  </si>
  <si>
    <t xml:space="preserve">ORD-11501</t>
  </si>
  <si>
    <t xml:space="preserve">ORD-11502</t>
  </si>
  <si>
    <t xml:space="preserve">ORD-11503</t>
  </si>
  <si>
    <t xml:space="preserve">ORD-11504</t>
  </si>
  <si>
    <t xml:space="preserve">ORD-11505</t>
  </si>
  <si>
    <t xml:space="preserve">ORD-11506</t>
  </si>
  <si>
    <t xml:space="preserve">ORD-11507</t>
  </si>
  <si>
    <t xml:space="preserve">ORD-11508</t>
  </si>
  <si>
    <t xml:space="preserve">ORD-11509</t>
  </si>
  <si>
    <t xml:space="preserve">ORD-11510</t>
  </si>
  <si>
    <t xml:space="preserve">ORD-11511</t>
  </si>
  <si>
    <t xml:space="preserve">ORD-11512</t>
  </si>
  <si>
    <t xml:space="preserve">ORD-11513</t>
  </si>
  <si>
    <t xml:space="preserve">ORD-11514</t>
  </si>
  <si>
    <t xml:space="preserve">ORD-11515</t>
  </si>
  <si>
    <t xml:space="preserve">ORD-11516</t>
  </si>
  <si>
    <t xml:space="preserve">ORD-11517</t>
  </si>
  <si>
    <t xml:space="preserve">ORD-11518</t>
  </si>
  <si>
    <t xml:space="preserve">ORD-11519</t>
  </si>
  <si>
    <t xml:space="preserve">ORD-11520</t>
  </si>
  <si>
    <t xml:space="preserve">ORD-11521</t>
  </si>
  <si>
    <t xml:space="preserve">ORD-11522</t>
  </si>
  <si>
    <t xml:space="preserve">ORD-11523</t>
  </si>
  <si>
    <t xml:space="preserve">ORD-11524</t>
  </si>
  <si>
    <t xml:space="preserve">ORD-11525</t>
  </si>
  <si>
    <t xml:space="preserve">ORD-11526</t>
  </si>
  <si>
    <t xml:space="preserve">ORD-11527</t>
  </si>
  <si>
    <t xml:space="preserve">ORD-11528</t>
  </si>
  <si>
    <t xml:space="preserve">ORD-11529</t>
  </si>
  <si>
    <t xml:space="preserve">ORD-11530</t>
  </si>
  <si>
    <t xml:space="preserve">ORD-11531</t>
  </si>
  <si>
    <t xml:space="preserve">ORD-11532</t>
  </si>
  <si>
    <t xml:space="preserve">ORD-11533</t>
  </si>
  <si>
    <t xml:space="preserve">ORD-11534</t>
  </si>
  <si>
    <t xml:space="preserve">ORD-11535</t>
  </si>
  <si>
    <t xml:space="preserve">ORD-11536</t>
  </si>
  <si>
    <t xml:space="preserve">ORD-11537</t>
  </si>
  <si>
    <t xml:space="preserve">ORD-11538</t>
  </si>
  <si>
    <t xml:space="preserve">ORD-11539</t>
  </si>
  <si>
    <t xml:space="preserve">ORD-11540</t>
  </si>
  <si>
    <t xml:space="preserve">ORD-11541</t>
  </si>
  <si>
    <t xml:space="preserve">ORD-11542</t>
  </si>
  <si>
    <t xml:space="preserve">ORD-11543</t>
  </si>
  <si>
    <t xml:space="preserve">ORD-11545</t>
  </si>
  <si>
    <t xml:space="preserve">ORD-11546</t>
  </si>
  <si>
    <t xml:space="preserve">ORD-11547</t>
  </si>
  <si>
    <t xml:space="preserve">ORD-11548</t>
  </si>
  <si>
    <t xml:space="preserve">ORD-11549</t>
  </si>
  <si>
    <t xml:space="preserve">ORD-11550</t>
  </si>
  <si>
    <t xml:space="preserve">ORD-11551</t>
  </si>
  <si>
    <t xml:space="preserve">ORD-11552</t>
  </si>
  <si>
    <t xml:space="preserve">ORD-11553</t>
  </si>
  <si>
    <t xml:space="preserve">ORD-11554</t>
  </si>
  <si>
    <t xml:space="preserve">ORD-11555</t>
  </si>
  <si>
    <t xml:space="preserve">ORD-11556</t>
  </si>
  <si>
    <t xml:space="preserve">ORD-11557</t>
  </si>
  <si>
    <t xml:space="preserve">ORD-11558</t>
  </si>
  <si>
    <t xml:space="preserve">ORD-11559</t>
  </si>
  <si>
    <t xml:space="preserve">ORD-11560</t>
  </si>
  <si>
    <t xml:space="preserve">ORD-11561</t>
  </si>
  <si>
    <t xml:space="preserve">ORD-11562</t>
  </si>
  <si>
    <t xml:space="preserve">ORD-11563</t>
  </si>
  <si>
    <t xml:space="preserve">ORD-11564</t>
  </si>
  <si>
    <t xml:space="preserve">ORD-11565</t>
  </si>
  <si>
    <t xml:space="preserve">ORD-11566</t>
  </si>
  <si>
    <t xml:space="preserve">ORD-11567</t>
  </si>
  <si>
    <t xml:space="preserve">ORD-11568</t>
  </si>
  <si>
    <t xml:space="preserve">ORD-11569</t>
  </si>
  <si>
    <t xml:space="preserve">ORD-11570</t>
  </si>
  <si>
    <t xml:space="preserve">ORD-11571</t>
  </si>
  <si>
    <t xml:space="preserve">ORD-11572</t>
  </si>
  <si>
    <t xml:space="preserve">ORD-11573</t>
  </si>
  <si>
    <t xml:space="preserve">ORD-11574</t>
  </si>
  <si>
    <t xml:space="preserve">ORD-11575</t>
  </si>
  <si>
    <t xml:space="preserve">ORD-11576</t>
  </si>
  <si>
    <t xml:space="preserve">ORD-11577</t>
  </si>
  <si>
    <t xml:space="preserve">ORD-11578</t>
  </si>
  <si>
    <t xml:space="preserve">ORD-11579</t>
  </si>
  <si>
    <t xml:space="preserve">ORD-11580</t>
  </si>
  <si>
    <t xml:space="preserve">ORD-11581</t>
  </si>
  <si>
    <t xml:space="preserve">ORD-11582</t>
  </si>
  <si>
    <t xml:space="preserve">ORD-11583</t>
  </si>
  <si>
    <t xml:space="preserve">ORD-11584</t>
  </si>
  <si>
    <t xml:space="preserve">ORD-11585</t>
  </si>
  <si>
    <t xml:space="preserve">ORD-11586</t>
  </si>
  <si>
    <t xml:space="preserve">ORD-11587</t>
  </si>
  <si>
    <t xml:space="preserve">ORD-11588</t>
  </si>
  <si>
    <t xml:space="preserve">ORD-11589</t>
  </si>
  <si>
    <t xml:space="preserve">ORD-11590</t>
  </si>
  <si>
    <t xml:space="preserve">ORD-11591</t>
  </si>
  <si>
    <t xml:space="preserve">ORD-11593</t>
  </si>
  <si>
    <t xml:space="preserve">ORD-11594</t>
  </si>
  <si>
    <t xml:space="preserve">ORD-11595</t>
  </si>
  <si>
    <t xml:space="preserve">ORD-11596</t>
  </si>
  <si>
    <t xml:space="preserve">ORD-11597</t>
  </si>
  <si>
    <t xml:space="preserve">ORD-11598</t>
  </si>
  <si>
    <t xml:space="preserve">ORD-11599</t>
  </si>
  <si>
    <t xml:space="preserve">ORD-11600</t>
  </si>
  <si>
    <t xml:space="preserve">ORD-11601</t>
  </si>
  <si>
    <t xml:space="preserve">ORD-11602</t>
  </si>
  <si>
    <t xml:space="preserve">ORD-11603</t>
  </si>
  <si>
    <t xml:space="preserve">ORD-11604</t>
  </si>
  <si>
    <t xml:space="preserve">ORD-11605</t>
  </si>
  <si>
    <t xml:space="preserve">ORD-11606</t>
  </si>
  <si>
    <t xml:space="preserve">ORD-11607</t>
  </si>
  <si>
    <t xml:space="preserve">ORD-11608</t>
  </si>
  <si>
    <t xml:space="preserve">ORD-11609</t>
  </si>
  <si>
    <t xml:space="preserve">ORD-11610</t>
  </si>
  <si>
    <t xml:space="preserve">ORD-11611</t>
  </si>
  <si>
    <t xml:space="preserve">ORD-11612</t>
  </si>
  <si>
    <t xml:space="preserve">ORD-11613</t>
  </si>
  <si>
    <t xml:space="preserve">ORD-11614</t>
  </si>
  <si>
    <t xml:space="preserve">ORD-11615</t>
  </si>
  <si>
    <t xml:space="preserve">ORD-11616</t>
  </si>
  <si>
    <t xml:space="preserve">ORD-11617</t>
  </si>
  <si>
    <t xml:space="preserve">ORD-11618</t>
  </si>
  <si>
    <t xml:space="preserve">ORD-11619</t>
  </si>
  <si>
    <t xml:space="preserve">ORD-11620</t>
  </si>
  <si>
    <t xml:space="preserve">ORD-11622</t>
  </si>
  <si>
    <t xml:space="preserve">ORD-11623</t>
  </si>
  <si>
    <t xml:space="preserve">ORD-11624</t>
  </si>
  <si>
    <t xml:space="preserve">ORD-11625</t>
  </si>
  <si>
    <t xml:space="preserve">ORD-11626</t>
  </si>
  <si>
    <t xml:space="preserve">ORD-11627</t>
  </si>
  <si>
    <t xml:space="preserve">ORD-11628</t>
  </si>
  <si>
    <t xml:space="preserve">ORD-11629</t>
  </si>
  <si>
    <t xml:space="preserve">ORD-11630</t>
  </si>
  <si>
    <t xml:space="preserve">ORD-11631</t>
  </si>
  <si>
    <t xml:space="preserve">ORD-11632</t>
  </si>
  <si>
    <t xml:space="preserve">ORD-11633</t>
  </si>
  <si>
    <t xml:space="preserve">ORD-11634</t>
  </si>
  <si>
    <t xml:space="preserve">ORD-11635</t>
  </si>
  <si>
    <t xml:space="preserve">ORD-11636</t>
  </si>
  <si>
    <t xml:space="preserve">ORD-11637</t>
  </si>
  <si>
    <t xml:space="preserve">ORD-11638</t>
  </si>
  <si>
    <t xml:space="preserve">ORD-11639</t>
  </si>
  <si>
    <t xml:space="preserve">ORD-11640</t>
  </si>
  <si>
    <t xml:space="preserve">ORD-11641</t>
  </si>
  <si>
    <t xml:space="preserve">ORD-11642</t>
  </si>
  <si>
    <t xml:space="preserve">ORD-11643</t>
  </si>
  <si>
    <t xml:space="preserve">ORD-11644</t>
  </si>
  <si>
    <t xml:space="preserve">ORD-11645</t>
  </si>
  <si>
    <t xml:space="preserve">ORD-11646</t>
  </si>
  <si>
    <t xml:space="preserve">ORD-11647</t>
  </si>
  <si>
    <t xml:space="preserve">ORD-11648</t>
  </si>
  <si>
    <t xml:space="preserve">ORD-11649</t>
  </si>
  <si>
    <t xml:space="preserve">ORD-11650</t>
  </si>
  <si>
    <t xml:space="preserve">ORD-11651</t>
  </si>
  <si>
    <t xml:space="preserve">ORD-11652</t>
  </si>
  <si>
    <t xml:space="preserve">ORD-11653</t>
  </si>
  <si>
    <t xml:space="preserve">ORD-11654</t>
  </si>
  <si>
    <t xml:space="preserve">ORD-11655</t>
  </si>
  <si>
    <t xml:space="preserve">ORD-11656</t>
  </si>
  <si>
    <t xml:space="preserve">ORD-11657</t>
  </si>
  <si>
    <t xml:space="preserve">ORD-11658</t>
  </si>
  <si>
    <t xml:space="preserve">ORD-11659</t>
  </si>
  <si>
    <t xml:space="preserve">ORD-11660</t>
  </si>
  <si>
    <t xml:space="preserve">ORD-11661</t>
  </si>
  <si>
    <t xml:space="preserve">ORD-11662</t>
  </si>
  <si>
    <t xml:space="preserve">ORD-11663</t>
  </si>
  <si>
    <t xml:space="preserve">ORD-11664</t>
  </si>
  <si>
    <t xml:space="preserve">ORD-11665</t>
  </si>
  <si>
    <t xml:space="preserve">ORD-11666</t>
  </si>
  <si>
    <t xml:space="preserve">ORD-11667</t>
  </si>
  <si>
    <t xml:space="preserve">ORD-11668</t>
  </si>
  <si>
    <t xml:space="preserve">ORD-11669</t>
  </si>
  <si>
    <t xml:space="preserve">ORD-11670</t>
  </si>
  <si>
    <t xml:space="preserve">ORD-11671</t>
  </si>
  <si>
    <t xml:space="preserve">ORD-11672</t>
  </si>
  <si>
    <t xml:space="preserve">ORD-11673</t>
  </si>
  <si>
    <t xml:space="preserve">ORD-11674</t>
  </si>
  <si>
    <t xml:space="preserve">ORD-11675</t>
  </si>
  <si>
    <t xml:space="preserve">ORD-11676</t>
  </si>
  <si>
    <t xml:space="preserve">ORD-11677</t>
  </si>
  <si>
    <t xml:space="preserve">ORD-11678</t>
  </si>
  <si>
    <t xml:space="preserve">ORD-11679</t>
  </si>
  <si>
    <t xml:space="preserve">ORD-11680</t>
  </si>
  <si>
    <t xml:space="preserve">ORD-11681</t>
  </si>
  <si>
    <t xml:space="preserve">ORD-11682</t>
  </si>
  <si>
    <t xml:space="preserve">ORD-11683</t>
  </si>
  <si>
    <t xml:space="preserve">ORD-11684</t>
  </si>
  <si>
    <t xml:space="preserve">ORD-11685</t>
  </si>
  <si>
    <t xml:space="preserve">ORD-11686</t>
  </si>
  <si>
    <t xml:space="preserve">ORD-11687</t>
  </si>
  <si>
    <t xml:space="preserve">ORD-11688</t>
  </si>
  <si>
    <t xml:space="preserve">ORD-11689</t>
  </si>
  <si>
    <t xml:space="preserve">ORD-11690</t>
  </si>
  <si>
    <t xml:space="preserve">ORD-11691</t>
  </si>
  <si>
    <t xml:space="preserve">ORD-11692</t>
  </si>
  <si>
    <t xml:space="preserve">ORD-11693</t>
  </si>
  <si>
    <t xml:space="preserve">ORD-11694</t>
  </si>
  <si>
    <t xml:space="preserve">ORD-11695</t>
  </si>
  <si>
    <t xml:space="preserve">ORD-11696</t>
  </si>
  <si>
    <t xml:space="preserve">ORD-11697</t>
  </si>
  <si>
    <t xml:space="preserve">ORD-11698</t>
  </si>
  <si>
    <t xml:space="preserve">ORD-11699</t>
  </si>
  <si>
    <t xml:space="preserve">ORD-11700</t>
  </si>
  <si>
    <t xml:space="preserve">ORD-11701</t>
  </si>
  <si>
    <t xml:space="preserve">ORD-11702</t>
  </si>
  <si>
    <t xml:space="preserve">ORD-11703</t>
  </si>
  <si>
    <t xml:space="preserve">ORD-11704</t>
  </si>
  <si>
    <t xml:space="preserve">ORD-11705</t>
  </si>
  <si>
    <t xml:space="preserve">ORD-11706</t>
  </si>
  <si>
    <t xml:space="preserve">ORD-11707</t>
  </si>
  <si>
    <t xml:space="preserve">ORD-11708</t>
  </si>
  <si>
    <t xml:space="preserve">ORD-11709</t>
  </si>
  <si>
    <t xml:space="preserve">ORD-11710</t>
  </si>
  <si>
    <t xml:space="preserve">ORD-11711</t>
  </si>
  <si>
    <t xml:space="preserve">ORD-11712</t>
  </si>
  <si>
    <t xml:space="preserve">ORD-11713</t>
  </si>
  <si>
    <t xml:space="preserve">ORD-11714</t>
  </si>
  <si>
    <t xml:space="preserve">ORD-11715</t>
  </si>
  <si>
    <t xml:space="preserve">ORD-11716</t>
  </si>
  <si>
    <t xml:space="preserve">ORD-11717</t>
  </si>
  <si>
    <t xml:space="preserve">ORD-11718</t>
  </si>
  <si>
    <t xml:space="preserve">ORD-11719</t>
  </si>
  <si>
    <t xml:space="preserve">ORD-11720</t>
  </si>
  <si>
    <t xml:space="preserve">ORD-11721</t>
  </si>
  <si>
    <t xml:space="preserve">ORD-11722</t>
  </si>
  <si>
    <t xml:space="preserve">ORD-11723</t>
  </si>
  <si>
    <t xml:space="preserve">ORD-11724</t>
  </si>
  <si>
    <t xml:space="preserve">ORD-11725</t>
  </si>
  <si>
    <t xml:space="preserve">ORD-11726</t>
  </si>
  <si>
    <t xml:space="preserve">ORD-11727</t>
  </si>
  <si>
    <t xml:space="preserve">ORD-11728</t>
  </si>
  <si>
    <t xml:space="preserve">ORD-11729</t>
  </si>
  <si>
    <t xml:space="preserve">ORD-11730</t>
  </si>
  <si>
    <t xml:space="preserve">ORD-11731</t>
  </si>
  <si>
    <t xml:space="preserve">ORD-11732</t>
  </si>
  <si>
    <t xml:space="preserve">ORD-11733</t>
  </si>
  <si>
    <t xml:space="preserve">ORD-11734</t>
  </si>
  <si>
    <t xml:space="preserve">ORD-11735</t>
  </si>
  <si>
    <t xml:space="preserve">ORD-11736</t>
  </si>
  <si>
    <t xml:space="preserve">ORD-11737</t>
  </si>
  <si>
    <t xml:space="preserve">ORD-11738</t>
  </si>
  <si>
    <t xml:space="preserve">ORD-11739</t>
  </si>
  <si>
    <t xml:space="preserve">ORD-11740</t>
  </si>
  <si>
    <t xml:space="preserve">ORD-11741</t>
  </si>
  <si>
    <t xml:space="preserve">ORD-11742</t>
  </si>
  <si>
    <t xml:space="preserve">ORD-11744</t>
  </si>
  <si>
    <t xml:space="preserve">ORD-11745</t>
  </si>
  <si>
    <t xml:space="preserve">ORD-11746</t>
  </si>
  <si>
    <t xml:space="preserve">ORD-11747</t>
  </si>
  <si>
    <t xml:space="preserve">ORD-11748</t>
  </si>
  <si>
    <t xml:space="preserve">ORD-11749</t>
  </si>
  <si>
    <t xml:space="preserve">ORD-11750</t>
  </si>
  <si>
    <t xml:space="preserve">ORD-11751</t>
  </si>
  <si>
    <t xml:space="preserve">ORD-11752</t>
  </si>
  <si>
    <t xml:space="preserve">ORD-11753</t>
  </si>
  <si>
    <t xml:space="preserve">ORD-11754</t>
  </si>
  <si>
    <t xml:space="preserve">ORD-11755</t>
  </si>
  <si>
    <t xml:space="preserve">ORD-11756</t>
  </si>
  <si>
    <t xml:space="preserve">ORD-11757</t>
  </si>
  <si>
    <t xml:space="preserve">ORD-11758</t>
  </si>
  <si>
    <t xml:space="preserve">ORD-11759</t>
  </si>
  <si>
    <t xml:space="preserve">ORD-11760</t>
  </si>
  <si>
    <t xml:space="preserve">ORD-11761</t>
  </si>
  <si>
    <t xml:space="preserve">ORD-11762</t>
  </si>
  <si>
    <t xml:space="preserve">ORD-11763</t>
  </si>
  <si>
    <t xml:space="preserve">ORD-11764</t>
  </si>
  <si>
    <t xml:space="preserve">ORD-11765</t>
  </si>
  <si>
    <t xml:space="preserve">ORD-11766</t>
  </si>
  <si>
    <t xml:space="preserve">ORD-11767</t>
  </si>
  <si>
    <t xml:space="preserve">ORD-11768</t>
  </si>
  <si>
    <t xml:space="preserve">ORD-11769</t>
  </si>
  <si>
    <t xml:space="preserve">ORD-11770</t>
  </si>
  <si>
    <t xml:space="preserve">ORD-11771</t>
  </si>
  <si>
    <t xml:space="preserve">ORD-11772</t>
  </si>
  <si>
    <t xml:space="preserve">ORD-11773</t>
  </si>
  <si>
    <t xml:space="preserve">ORD-11774</t>
  </si>
  <si>
    <t xml:space="preserve">ORD-11776</t>
  </si>
  <si>
    <t xml:space="preserve">ORD-11777</t>
  </si>
  <si>
    <t xml:space="preserve">ORD-11778</t>
  </si>
  <si>
    <t xml:space="preserve">ORD-11779</t>
  </si>
  <si>
    <t xml:space="preserve">ORD-11780</t>
  </si>
  <si>
    <t xml:space="preserve">ORD-11781</t>
  </si>
  <si>
    <t xml:space="preserve">ORD-11782</t>
  </si>
  <si>
    <t xml:space="preserve">ORD-11783</t>
  </si>
  <si>
    <t xml:space="preserve">ORD-11784</t>
  </si>
  <si>
    <t xml:space="preserve">ORD-11785</t>
  </si>
  <si>
    <t xml:space="preserve">ORD-11786</t>
  </si>
  <si>
    <t xml:space="preserve">ORD-11787</t>
  </si>
  <si>
    <t xml:space="preserve">ORD-11788</t>
  </si>
  <si>
    <t xml:space="preserve">ORD-11789</t>
  </si>
  <si>
    <t xml:space="preserve">ORD-11790</t>
  </si>
  <si>
    <t xml:space="preserve">ORD-11791</t>
  </si>
  <si>
    <t xml:space="preserve">ORD-11792</t>
  </si>
  <si>
    <t xml:space="preserve">ORD-11793</t>
  </si>
  <si>
    <t xml:space="preserve">ORD-11794</t>
  </si>
  <si>
    <t xml:space="preserve">ORD-11795</t>
  </si>
  <si>
    <t xml:space="preserve">ORD-11796</t>
  </si>
  <si>
    <t xml:space="preserve">ORD-11797</t>
  </si>
  <si>
    <t xml:space="preserve">ORD-11798</t>
  </si>
  <si>
    <t xml:space="preserve">ORD-11799</t>
  </si>
  <si>
    <t xml:space="preserve">ORD-11800</t>
  </si>
  <si>
    <t xml:space="preserve">ORD-11801</t>
  </si>
  <si>
    <t xml:space="preserve">ORD-11802</t>
  </si>
  <si>
    <t xml:space="preserve">ORD-11803</t>
  </si>
  <si>
    <t xml:space="preserve">ORD-11804</t>
  </si>
  <si>
    <t xml:space="preserve">ORD-11805</t>
  </si>
  <si>
    <t xml:space="preserve">ORD-11806</t>
  </si>
  <si>
    <t xml:space="preserve">ORD-11807</t>
  </si>
  <si>
    <t xml:space="preserve">ORD-11808</t>
  </si>
  <si>
    <t xml:space="preserve">ORD-11809</t>
  </si>
  <si>
    <t xml:space="preserve">ORD-11810</t>
  </si>
  <si>
    <t xml:space="preserve">ORD-11811</t>
  </si>
  <si>
    <t xml:space="preserve">ORD-11812</t>
  </si>
  <si>
    <t xml:space="preserve">ORD-11813</t>
  </si>
  <si>
    <t xml:space="preserve">ORD-11814</t>
  </si>
  <si>
    <t xml:space="preserve">ORD-11815</t>
  </si>
  <si>
    <t xml:space="preserve">ORD-11816</t>
  </si>
  <si>
    <t xml:space="preserve">ORD-11817</t>
  </si>
  <si>
    <t xml:space="preserve">ORD-11818</t>
  </si>
  <si>
    <t xml:space="preserve">ORD-11819</t>
  </si>
  <si>
    <t xml:space="preserve">ORD-11820</t>
  </si>
  <si>
    <t xml:space="preserve">ORD-11821</t>
  </si>
  <si>
    <t xml:space="preserve">ORD-11822</t>
  </si>
  <si>
    <t xml:space="preserve">ORD-11823</t>
  </si>
  <si>
    <t xml:space="preserve">ORD-11825</t>
  </si>
  <si>
    <t xml:space="preserve">ORD-11826</t>
  </si>
  <si>
    <t xml:space="preserve">ORD-11827</t>
  </si>
  <si>
    <t xml:space="preserve">ORD-11828</t>
  </si>
  <si>
    <t xml:space="preserve">ORD-11829</t>
  </si>
  <si>
    <t xml:space="preserve">ORD-11830</t>
  </si>
  <si>
    <t xml:space="preserve">ORD-11831</t>
  </si>
  <si>
    <t xml:space="preserve">ORD-11832</t>
  </si>
  <si>
    <t xml:space="preserve">ORD-11833</t>
  </si>
  <si>
    <t xml:space="preserve">ORD-11834</t>
  </si>
  <si>
    <t xml:space="preserve">ORD-11835</t>
  </si>
  <si>
    <t xml:space="preserve">ORD-11836</t>
  </si>
  <si>
    <t xml:space="preserve">ORD-11837</t>
  </si>
  <si>
    <t xml:space="preserve">ORD-11838</t>
  </si>
  <si>
    <t xml:space="preserve">ORD-11839</t>
  </si>
  <si>
    <t xml:space="preserve">ORD-11840</t>
  </si>
  <si>
    <t xml:space="preserve">ORD-11841</t>
  </si>
  <si>
    <t xml:space="preserve">ORD-11842</t>
  </si>
  <si>
    <t xml:space="preserve">ORD-11843</t>
  </si>
  <si>
    <t xml:space="preserve">ORD-11844</t>
  </si>
  <si>
    <t xml:space="preserve">ORD-11845</t>
  </si>
  <si>
    <t xml:space="preserve">ORD-11846</t>
  </si>
  <si>
    <t xml:space="preserve">ORD-11847</t>
  </si>
  <si>
    <t xml:space="preserve">ORD-11848</t>
  </si>
  <si>
    <t xml:space="preserve">ORD-11849</t>
  </si>
  <si>
    <t xml:space="preserve">ORD-11850</t>
  </si>
  <si>
    <t xml:space="preserve">ORD-11851</t>
  </si>
  <si>
    <t xml:space="preserve">ORD-11852</t>
  </si>
  <si>
    <t xml:space="preserve">ORD-11853</t>
  </si>
  <si>
    <t xml:space="preserve">ORD-11854</t>
  </si>
  <si>
    <t xml:space="preserve">ORD-11855</t>
  </si>
  <si>
    <t xml:space="preserve">ORD-11856</t>
  </si>
  <si>
    <t xml:space="preserve">ORD-11857</t>
  </si>
  <si>
    <t xml:space="preserve">ORD-11858</t>
  </si>
  <si>
    <t xml:space="preserve">ORD-11859</t>
  </si>
  <si>
    <t xml:space="preserve">ORD-11860</t>
  </si>
  <si>
    <t xml:space="preserve">ORD-11861</t>
  </si>
  <si>
    <t xml:space="preserve">ORD-11862</t>
  </si>
  <si>
    <t xml:space="preserve">ORD-11863</t>
  </si>
  <si>
    <t xml:space="preserve">ORD-11864</t>
  </si>
  <si>
    <t xml:space="preserve">ORD-11865</t>
  </si>
  <si>
    <t xml:space="preserve">ORD-11866</t>
  </si>
  <si>
    <t xml:space="preserve">ORD-11867</t>
  </si>
  <si>
    <t xml:space="preserve">ORD-11868</t>
  </si>
  <si>
    <t xml:space="preserve">ORD-11869</t>
  </si>
  <si>
    <t xml:space="preserve">ORD-11870</t>
  </si>
  <si>
    <t xml:space="preserve">ORD-11871</t>
  </si>
  <si>
    <t xml:space="preserve">ORD-11872</t>
  </si>
  <si>
    <t xml:space="preserve">ORD-11873</t>
  </si>
  <si>
    <t xml:space="preserve">ORD-11874</t>
  </si>
  <si>
    <t xml:space="preserve">ORD-11875</t>
  </si>
  <si>
    <t xml:space="preserve">ORD-11876</t>
  </si>
  <si>
    <t xml:space="preserve">ORD-11877</t>
  </si>
  <si>
    <t xml:space="preserve">ORD-11878</t>
  </si>
  <si>
    <t xml:space="preserve">ORD-11879</t>
  </si>
  <si>
    <t xml:space="preserve">ORD-11880</t>
  </si>
  <si>
    <t xml:space="preserve">ORD-11881</t>
  </si>
  <si>
    <t xml:space="preserve">ORD-11882</t>
  </si>
  <si>
    <t xml:space="preserve">ORD-11883</t>
  </si>
  <si>
    <t xml:space="preserve">ORD-11884</t>
  </si>
  <si>
    <t xml:space="preserve">ORD-11885</t>
  </si>
  <si>
    <t xml:space="preserve">ORD-11886</t>
  </si>
  <si>
    <t xml:space="preserve">ORD-11887</t>
  </si>
  <si>
    <t xml:space="preserve">ORD-11888</t>
  </si>
  <si>
    <t xml:space="preserve">ORD-11889</t>
  </si>
  <si>
    <t xml:space="preserve">ORD-11890</t>
  </si>
  <si>
    <t xml:space="preserve">ORD-11891</t>
  </si>
  <si>
    <t xml:space="preserve">ORD-11892</t>
  </si>
  <si>
    <t xml:space="preserve">ORD-11893</t>
  </si>
  <si>
    <t xml:space="preserve">ORD-11894</t>
  </si>
  <si>
    <t xml:space="preserve">ORD-11895</t>
  </si>
  <si>
    <t xml:space="preserve">ORD-11896</t>
  </si>
  <si>
    <t xml:space="preserve">ORD-11897</t>
  </si>
  <si>
    <t xml:space="preserve">ORD-11898</t>
  </si>
  <si>
    <t xml:space="preserve">ORD-11899</t>
  </si>
  <si>
    <t xml:space="preserve">ORD-11900</t>
  </si>
  <si>
    <t xml:space="preserve">ORD-11901</t>
  </si>
  <si>
    <t xml:space="preserve">ORD-11902</t>
  </si>
  <si>
    <t xml:space="preserve">ORD-11903</t>
  </si>
  <si>
    <t xml:space="preserve">ORD-11904</t>
  </si>
  <si>
    <t xml:space="preserve">ORD-11905</t>
  </si>
  <si>
    <t xml:space="preserve">ORD-11906</t>
  </si>
  <si>
    <t xml:space="preserve">ORD-11907</t>
  </si>
  <si>
    <t xml:space="preserve">ORD-11908</t>
  </si>
  <si>
    <t xml:space="preserve">ORD-11909</t>
  </si>
  <si>
    <t xml:space="preserve">ORD-11910</t>
  </si>
  <si>
    <t xml:space="preserve">ORD-11911</t>
  </si>
  <si>
    <t xml:space="preserve">ORD-11912</t>
  </si>
  <si>
    <t xml:space="preserve">ORD-11913</t>
  </si>
  <si>
    <t xml:space="preserve">ORD-11914</t>
  </si>
  <si>
    <t xml:space="preserve">ORD-11915</t>
  </si>
  <si>
    <t xml:space="preserve">ORD-11916</t>
  </si>
  <si>
    <t xml:space="preserve">ORD-11917</t>
  </si>
  <si>
    <t xml:space="preserve">ORD-11918</t>
  </si>
  <si>
    <t xml:space="preserve">ORD-11919</t>
  </si>
  <si>
    <t xml:space="preserve">ORD-11920</t>
  </si>
  <si>
    <t xml:space="preserve">ORD-11921</t>
  </si>
  <si>
    <t xml:space="preserve">ORD-11922</t>
  </si>
  <si>
    <t xml:space="preserve">ORD-11923</t>
  </si>
  <si>
    <t xml:space="preserve">ORD-11924</t>
  </si>
  <si>
    <t xml:space="preserve">ORD-11925</t>
  </si>
  <si>
    <t xml:space="preserve">ORD-11926</t>
  </si>
  <si>
    <t xml:space="preserve">ORD-11927</t>
  </si>
  <si>
    <t xml:space="preserve">ORD-11928</t>
  </si>
  <si>
    <t xml:space="preserve">ORD-11929</t>
  </si>
  <si>
    <t xml:space="preserve">ORD-11930</t>
  </si>
  <si>
    <t xml:space="preserve">ORD-11931</t>
  </si>
  <si>
    <t xml:space="preserve">ORD-11932</t>
  </si>
  <si>
    <t xml:space="preserve">ORD-11933</t>
  </si>
  <si>
    <t xml:space="preserve">ORD-11934</t>
  </si>
  <si>
    <t xml:space="preserve">ORD-11935</t>
  </si>
  <si>
    <t xml:space="preserve">ORD-11936</t>
  </si>
  <si>
    <t xml:space="preserve">ORD-11937</t>
  </si>
  <si>
    <t xml:space="preserve">ORD-11938</t>
  </si>
  <si>
    <t xml:space="preserve">ORD-11939</t>
  </si>
  <si>
    <t xml:space="preserve">ORD-11940</t>
  </si>
  <si>
    <t xml:space="preserve">ORD-11941</t>
  </si>
  <si>
    <t xml:space="preserve">ORD-11942</t>
  </si>
  <si>
    <t xml:space="preserve">ORD-11943</t>
  </si>
  <si>
    <t xml:space="preserve">ORD-11944</t>
  </si>
  <si>
    <t xml:space="preserve">ORD-11945</t>
  </si>
  <si>
    <t xml:space="preserve">ORD-11946</t>
  </si>
  <si>
    <t xml:space="preserve">ORD-11947</t>
  </si>
  <si>
    <t xml:space="preserve">ORD-11948</t>
  </si>
  <si>
    <t xml:space="preserve">ORD-11949</t>
  </si>
  <si>
    <t xml:space="preserve">ORD-11950</t>
  </si>
  <si>
    <t xml:space="preserve">ORD-11951</t>
  </si>
  <si>
    <t xml:space="preserve">ORD-11952</t>
  </si>
  <si>
    <t xml:space="preserve">ORD-11953</t>
  </si>
  <si>
    <t xml:space="preserve">ORD-11954</t>
  </si>
  <si>
    <t xml:space="preserve">ORD-11955</t>
  </si>
  <si>
    <t xml:space="preserve">ORD-11956</t>
  </si>
  <si>
    <t xml:space="preserve">ORD-11957</t>
  </si>
  <si>
    <t xml:space="preserve">ORD-11958</t>
  </si>
  <si>
    <t xml:space="preserve">ORD-11959</t>
  </si>
  <si>
    <t xml:space="preserve">ORD-11960</t>
  </si>
  <si>
    <t xml:space="preserve">ORD-11961</t>
  </si>
  <si>
    <t xml:space="preserve">ORD-11962</t>
  </si>
  <si>
    <t xml:space="preserve">ORD-11963</t>
  </si>
  <si>
    <t xml:space="preserve">ORD-11964</t>
  </si>
  <si>
    <t xml:space="preserve">ORD-11965</t>
  </si>
  <si>
    <t xml:space="preserve">ORD-11966</t>
  </si>
  <si>
    <t xml:space="preserve">ORD-11967</t>
  </si>
  <si>
    <t xml:space="preserve">ORD-11968</t>
  </si>
  <si>
    <t xml:space="preserve">ORD-11969</t>
  </si>
  <si>
    <t xml:space="preserve">ORD-11970</t>
  </si>
  <si>
    <t xml:space="preserve">ORD-11971</t>
  </si>
  <si>
    <t xml:space="preserve">ORD-11972</t>
  </si>
  <si>
    <t xml:space="preserve">ORD-11973</t>
  </si>
  <si>
    <t xml:space="preserve">ORD-11974</t>
  </si>
  <si>
    <t xml:space="preserve">ORD-11975</t>
  </si>
  <si>
    <t xml:space="preserve">ORD-11976</t>
  </si>
  <si>
    <t xml:space="preserve">ORD-11977</t>
  </si>
  <si>
    <t xml:space="preserve">ORD-11978</t>
  </si>
  <si>
    <t xml:space="preserve">ORD-11979</t>
  </si>
  <si>
    <t xml:space="preserve">ORD-11980</t>
  </si>
  <si>
    <t xml:space="preserve">ORD-11981</t>
  </si>
  <si>
    <t xml:space="preserve">ORD-11982</t>
  </si>
  <si>
    <t xml:space="preserve">ORD-11983</t>
  </si>
  <si>
    <t xml:space="preserve">ORD-11984</t>
  </si>
  <si>
    <t xml:space="preserve">ORD-11985</t>
  </si>
  <si>
    <t xml:space="preserve">ORD-11986</t>
  </si>
  <si>
    <t xml:space="preserve">ORD-11987</t>
  </si>
  <si>
    <t xml:space="preserve">ORD-11988</t>
  </si>
  <si>
    <t xml:space="preserve">ORD-11989</t>
  </si>
  <si>
    <t xml:space="preserve">ORD-11990</t>
  </si>
  <si>
    <t xml:space="preserve">ORD-11991</t>
  </si>
  <si>
    <t xml:space="preserve">ORD-11992</t>
  </si>
  <si>
    <t xml:space="preserve">ORD-11993</t>
  </si>
  <si>
    <t xml:space="preserve">ORD-11994</t>
  </si>
  <si>
    <t xml:space="preserve">ORD-11995</t>
  </si>
  <si>
    <t xml:space="preserve">ORD-11996</t>
  </si>
  <si>
    <t xml:space="preserve">ORD-11997</t>
  </si>
  <si>
    <t xml:space="preserve">ORD-11998</t>
  </si>
  <si>
    <t xml:space="preserve">ORD-11999</t>
  </si>
  <si>
    <t xml:space="preserve">ORD-12000</t>
  </si>
  <si>
    <t xml:space="preserve">ORD-12001</t>
  </si>
  <si>
    <t xml:space="preserve">ORD-12002</t>
  </si>
  <si>
    <t xml:space="preserve">ORD-12003</t>
  </si>
  <si>
    <t xml:space="preserve">ORD-12004</t>
  </si>
  <si>
    <t xml:space="preserve">ORD-12005</t>
  </si>
  <si>
    <t xml:space="preserve">ORD-12006</t>
  </si>
  <si>
    <t xml:space="preserve">ORD-12007</t>
  </si>
  <si>
    <t xml:space="preserve">ORD-12008</t>
  </si>
  <si>
    <t xml:space="preserve">ORD-12009</t>
  </si>
  <si>
    <t xml:space="preserve">ORD-12010</t>
  </si>
  <si>
    <t xml:space="preserve">ORD-12011</t>
  </si>
  <si>
    <t xml:space="preserve">ORD-12012</t>
  </si>
  <si>
    <t xml:space="preserve">ORD-12013</t>
  </si>
  <si>
    <t xml:space="preserve">ORD-12014</t>
  </si>
  <si>
    <t xml:space="preserve">ORD-12015</t>
  </si>
  <si>
    <t xml:space="preserve">ORD-12016</t>
  </si>
  <si>
    <t xml:space="preserve">ORD-12017</t>
  </si>
  <si>
    <t xml:space="preserve">ORD-12018</t>
  </si>
  <si>
    <t xml:space="preserve">ORD-12019</t>
  </si>
  <si>
    <t xml:space="preserve">ORD-12020</t>
  </si>
  <si>
    <t xml:space="preserve">ORD-12021</t>
  </si>
  <si>
    <t xml:space="preserve">ORD-12022</t>
  </si>
  <si>
    <t xml:space="preserve">ORD-12023</t>
  </si>
  <si>
    <t xml:space="preserve">ORD-12024</t>
  </si>
  <si>
    <t xml:space="preserve">ORD-12025</t>
  </si>
  <si>
    <t xml:space="preserve">ORD-12026</t>
  </si>
  <si>
    <t xml:space="preserve">ORD-12027</t>
  </si>
  <si>
    <t xml:space="preserve">ORD-12028</t>
  </si>
  <si>
    <t xml:space="preserve">ORD-12029</t>
  </si>
  <si>
    <t xml:space="preserve">ORD-12030</t>
  </si>
  <si>
    <t xml:space="preserve">ORD-12031</t>
  </si>
  <si>
    <t xml:space="preserve">ORD-12032</t>
  </si>
  <si>
    <t xml:space="preserve">ORD-12033</t>
  </si>
  <si>
    <t xml:space="preserve">ORD-12034</t>
  </si>
  <si>
    <t xml:space="preserve">ORD-12035</t>
  </si>
  <si>
    <t xml:space="preserve">ORD-12036</t>
  </si>
  <si>
    <t xml:space="preserve">ORD-12037</t>
  </si>
  <si>
    <t xml:space="preserve">ORD-12038</t>
  </si>
  <si>
    <t xml:space="preserve">ORD-12039</t>
  </si>
  <si>
    <t xml:space="preserve">ORD-12040</t>
  </si>
  <si>
    <t xml:space="preserve">ORD-12041</t>
  </si>
  <si>
    <t xml:space="preserve">ORD-12042</t>
  </si>
  <si>
    <t xml:space="preserve">ORD-12043</t>
  </si>
  <si>
    <t xml:space="preserve">ORD-12044</t>
  </si>
  <si>
    <t xml:space="preserve">ORD-12045</t>
  </si>
  <si>
    <t xml:space="preserve">ORD-12046</t>
  </si>
  <si>
    <t xml:space="preserve">ORD-12047</t>
  </si>
  <si>
    <t xml:space="preserve">ORD-12048</t>
  </si>
  <si>
    <t xml:space="preserve">ORD-12049</t>
  </si>
  <si>
    <t xml:space="preserve">ORD-12050</t>
  </si>
  <si>
    <t xml:space="preserve">ORD-12051</t>
  </si>
  <si>
    <t xml:space="preserve">ORD-12052</t>
  </si>
  <si>
    <t xml:space="preserve">ORD-12053</t>
  </si>
  <si>
    <t xml:space="preserve">ORD-12054</t>
  </si>
  <si>
    <t xml:space="preserve">ORD-12055</t>
  </si>
  <si>
    <t xml:space="preserve">ORD-12056</t>
  </si>
  <si>
    <t xml:space="preserve">ORD-12057</t>
  </si>
  <si>
    <t xml:space="preserve">ORD-12058</t>
  </si>
  <si>
    <t xml:space="preserve">ORD-12059</t>
  </si>
  <si>
    <t xml:space="preserve">ORD-12060</t>
  </si>
  <si>
    <t xml:space="preserve">ORD-12061</t>
  </si>
  <si>
    <t xml:space="preserve">ORD-12062</t>
  </si>
  <si>
    <t xml:space="preserve">ORD-12063</t>
  </si>
  <si>
    <t xml:space="preserve">ORD-12064</t>
  </si>
  <si>
    <t xml:space="preserve">ORD-12065</t>
  </si>
  <si>
    <t xml:space="preserve">ORD-12066</t>
  </si>
  <si>
    <t xml:space="preserve">ORD-12067</t>
  </si>
  <si>
    <t xml:space="preserve">ORD-12068</t>
  </si>
  <si>
    <t xml:space="preserve">ORD-12069</t>
  </si>
  <si>
    <t xml:space="preserve">ORD-12070</t>
  </si>
  <si>
    <t xml:space="preserve">ORD-12071</t>
  </si>
  <si>
    <t xml:space="preserve">ORD-12072</t>
  </si>
  <si>
    <t xml:space="preserve">ORD-12073</t>
  </si>
  <si>
    <t xml:space="preserve">ORD-12074</t>
  </si>
  <si>
    <t xml:space="preserve">ORD-12075</t>
  </si>
  <si>
    <t xml:space="preserve">ORD-12076</t>
  </si>
  <si>
    <t xml:space="preserve">ORD-12077</t>
  </si>
  <si>
    <t xml:space="preserve">ORD-12078</t>
  </si>
  <si>
    <t xml:space="preserve">ORD-12079</t>
  </si>
  <si>
    <t xml:space="preserve">ORD-12080</t>
  </si>
  <si>
    <t xml:space="preserve">ORD-12081</t>
  </si>
  <si>
    <t xml:space="preserve">ORD-12082</t>
  </si>
  <si>
    <t xml:space="preserve">ORD-12083</t>
  </si>
  <si>
    <t xml:space="preserve">ORD-12084</t>
  </si>
  <si>
    <t xml:space="preserve">ORD-12085</t>
  </si>
  <si>
    <t xml:space="preserve">ORD-12086</t>
  </si>
  <si>
    <t xml:space="preserve">ORD-12087</t>
  </si>
  <si>
    <t xml:space="preserve">ORD-12088</t>
  </si>
  <si>
    <t xml:space="preserve">ORD-12089</t>
  </si>
  <si>
    <t xml:space="preserve">ORD-12090</t>
  </si>
  <si>
    <t xml:space="preserve">ORD-12091</t>
  </si>
  <si>
    <t xml:space="preserve">ORD-12092</t>
  </si>
  <si>
    <t xml:space="preserve">ORD-12093</t>
  </si>
  <si>
    <t xml:space="preserve">ORD-12094</t>
  </si>
  <si>
    <t xml:space="preserve">ORD-12095</t>
  </si>
  <si>
    <t xml:space="preserve">ORD-12096</t>
  </si>
  <si>
    <t xml:space="preserve">ORD-12097</t>
  </si>
  <si>
    <t xml:space="preserve">ORD-12098</t>
  </si>
  <si>
    <t xml:space="preserve">ORD-12099</t>
  </si>
  <si>
    <t xml:space="preserve">ORD-12100</t>
  </si>
  <si>
    <t xml:space="preserve">ORD-12101</t>
  </si>
  <si>
    <t xml:space="preserve">ORD-12102</t>
  </si>
  <si>
    <t xml:space="preserve">ORD-12103</t>
  </si>
  <si>
    <t xml:space="preserve">ORD-12104</t>
  </si>
  <si>
    <t xml:space="preserve">ORD-12105</t>
  </si>
  <si>
    <t xml:space="preserve">ORD-12106</t>
  </si>
  <si>
    <t xml:space="preserve">ORD-12107</t>
  </si>
  <si>
    <t xml:space="preserve">ORD-12108</t>
  </si>
  <si>
    <t xml:space="preserve">ORD-12109</t>
  </si>
  <si>
    <t xml:space="preserve">ORD-12110</t>
  </si>
  <si>
    <t xml:space="preserve">ORD-12111</t>
  </si>
  <si>
    <t xml:space="preserve">ORD-12112</t>
  </si>
  <si>
    <t xml:space="preserve">ORD-12113</t>
  </si>
  <si>
    <t xml:space="preserve">ORD-12114</t>
  </si>
  <si>
    <t xml:space="preserve">ORD-12115</t>
  </si>
  <si>
    <t xml:space="preserve">ORD-12116</t>
  </si>
  <si>
    <t xml:space="preserve">ORD-12117</t>
  </si>
  <si>
    <t xml:space="preserve">ORD-12118</t>
  </si>
  <si>
    <t xml:space="preserve">ORD-12119</t>
  </si>
  <si>
    <t xml:space="preserve">ORD-12120</t>
  </si>
  <si>
    <t xml:space="preserve">ORD-12121</t>
  </si>
  <si>
    <t xml:space="preserve">ORD-12122</t>
  </si>
  <si>
    <t xml:space="preserve">ORD-12123</t>
  </si>
  <si>
    <t xml:space="preserve">ORD-12124</t>
  </si>
  <si>
    <t xml:space="preserve">ORD-12125</t>
  </si>
  <si>
    <t xml:space="preserve">ORD-12126</t>
  </si>
  <si>
    <t xml:space="preserve">ORD-12127</t>
  </si>
  <si>
    <t xml:space="preserve">ORD-12128</t>
  </si>
  <si>
    <t xml:space="preserve">ORD-12129</t>
  </si>
  <si>
    <t xml:space="preserve">ORD-12130</t>
  </si>
  <si>
    <t xml:space="preserve">ORD-12131</t>
  </si>
  <si>
    <t xml:space="preserve">ORD-12132</t>
  </si>
  <si>
    <t xml:space="preserve">ORD-12133</t>
  </si>
  <si>
    <t xml:space="preserve">ORD-12134</t>
  </si>
  <si>
    <t xml:space="preserve">ORD-12135</t>
  </si>
  <si>
    <t xml:space="preserve">ORD-12136</t>
  </si>
  <si>
    <t xml:space="preserve">ORD-12137</t>
  </si>
  <si>
    <t xml:space="preserve">ORD-12138</t>
  </si>
  <si>
    <t xml:space="preserve">ORD-12139</t>
  </si>
  <si>
    <t xml:space="preserve">ORD-12140</t>
  </si>
  <si>
    <t xml:space="preserve">ORD-12141</t>
  </si>
  <si>
    <t xml:space="preserve">ORD-12142</t>
  </si>
  <si>
    <t xml:space="preserve">ORD-12143</t>
  </si>
  <si>
    <t xml:space="preserve">ORD-12144</t>
  </si>
  <si>
    <t xml:space="preserve">ORD-12145</t>
  </si>
  <si>
    <t xml:space="preserve">ORD-12146</t>
  </si>
  <si>
    <t xml:space="preserve">ORD-12147</t>
  </si>
  <si>
    <t xml:space="preserve">ORD-12148</t>
  </si>
  <si>
    <t xml:space="preserve">ORD-12149</t>
  </si>
  <si>
    <t xml:space="preserve">ORD-12150</t>
  </si>
  <si>
    <t xml:space="preserve">ORD-12151</t>
  </si>
  <si>
    <t xml:space="preserve">ORD-12152</t>
  </si>
  <si>
    <t xml:space="preserve">ORD-12153</t>
  </si>
  <si>
    <t xml:space="preserve">ORD-12154</t>
  </si>
  <si>
    <t xml:space="preserve">ORD-12155</t>
  </si>
  <si>
    <t xml:space="preserve">ORD-12156</t>
  </si>
  <si>
    <t xml:space="preserve">ORD-12157</t>
  </si>
  <si>
    <t xml:space="preserve">ORD-12158</t>
  </si>
  <si>
    <t xml:space="preserve">ORD-12159</t>
  </si>
  <si>
    <t xml:space="preserve">ORD-12160</t>
  </si>
  <si>
    <t xml:space="preserve">ORD-12161</t>
  </si>
  <si>
    <t xml:space="preserve">ORD-12162</t>
  </si>
  <si>
    <t xml:space="preserve">ORD-12163</t>
  </si>
  <si>
    <t xml:space="preserve">ORD-12164</t>
  </si>
  <si>
    <t xml:space="preserve">ORD-12165</t>
  </si>
  <si>
    <t xml:space="preserve">ORD-12166</t>
  </si>
  <si>
    <t xml:space="preserve">ORD-12167</t>
  </si>
  <si>
    <t xml:space="preserve">ORD-12168</t>
  </si>
  <si>
    <t xml:space="preserve">ORD-12169</t>
  </si>
  <si>
    <t xml:space="preserve">ORD-12170</t>
  </si>
  <si>
    <t xml:space="preserve">ORD-12171</t>
  </si>
  <si>
    <t xml:space="preserve">ORD-12172</t>
  </si>
  <si>
    <t xml:space="preserve">ORD-12173</t>
  </si>
  <si>
    <t xml:space="preserve">ORD-12174</t>
  </si>
  <si>
    <t xml:space="preserve">ORD-12175</t>
  </si>
  <si>
    <t xml:space="preserve">ORD-12176</t>
  </si>
  <si>
    <t xml:space="preserve">ORD-12177</t>
  </si>
  <si>
    <t xml:space="preserve">ORD-12178</t>
  </si>
  <si>
    <t xml:space="preserve">ORD-12179</t>
  </si>
  <si>
    <t xml:space="preserve">ORD-12180</t>
  </si>
  <si>
    <t xml:space="preserve">ORD-12181</t>
  </si>
  <si>
    <t xml:space="preserve">ORD-12182</t>
  </si>
  <si>
    <t xml:space="preserve">ORD-12183</t>
  </si>
  <si>
    <t xml:space="preserve">ORD-12184</t>
  </si>
  <si>
    <t xml:space="preserve">ORD-12185</t>
  </si>
  <si>
    <t xml:space="preserve">ORD-12186</t>
  </si>
  <si>
    <t xml:space="preserve">ORD-12187</t>
  </si>
  <si>
    <t xml:space="preserve">ORD-12188</t>
  </si>
  <si>
    <t xml:space="preserve">ORD-12189</t>
  </si>
  <si>
    <t xml:space="preserve">ORD-12190</t>
  </si>
  <si>
    <t xml:space="preserve">ORD-12191</t>
  </si>
  <si>
    <t xml:space="preserve">ORD-12192</t>
  </si>
  <si>
    <t xml:space="preserve">ORD-12193</t>
  </si>
  <si>
    <t xml:space="preserve">ORD-12194</t>
  </si>
  <si>
    <t xml:space="preserve">ORD-12195</t>
  </si>
  <si>
    <t xml:space="preserve">ORD-12196</t>
  </si>
  <si>
    <t xml:space="preserve">ORD-12197</t>
  </si>
  <si>
    <t xml:space="preserve">ORD-12198</t>
  </si>
  <si>
    <t xml:space="preserve">ORD-12199</t>
  </si>
  <si>
    <t xml:space="preserve">ORD-12200</t>
  </si>
  <si>
    <t xml:space="preserve">ORD-12201</t>
  </si>
  <si>
    <t xml:space="preserve">ORD-12202</t>
  </si>
  <si>
    <t xml:space="preserve">ORD-12203</t>
  </si>
  <si>
    <t xml:space="preserve">ORD-12204</t>
  </si>
  <si>
    <t xml:space="preserve">ORD-12205</t>
  </si>
  <si>
    <t xml:space="preserve">ORD-12206</t>
  </si>
  <si>
    <t xml:space="preserve">ORD-12207</t>
  </si>
  <si>
    <t xml:space="preserve">ORD-12208</t>
  </si>
  <si>
    <t xml:space="preserve">ORD-12209</t>
  </si>
  <si>
    <t xml:space="preserve">ORD-12210</t>
  </si>
  <si>
    <t xml:space="preserve">ORD-12211</t>
  </si>
  <si>
    <t xml:space="preserve">ORD-12212</t>
  </si>
  <si>
    <t xml:space="preserve">ORD-12213</t>
  </si>
  <si>
    <t xml:space="preserve">ORD-12214</t>
  </si>
  <si>
    <t xml:space="preserve">ORD-12215</t>
  </si>
  <si>
    <t xml:space="preserve">ORD-12216</t>
  </si>
  <si>
    <t xml:space="preserve">ORD-12217</t>
  </si>
  <si>
    <t xml:space="preserve">ORD-12218</t>
  </si>
  <si>
    <t xml:space="preserve">ORD-12219</t>
  </si>
  <si>
    <t xml:space="preserve">ORD-12220</t>
  </si>
  <si>
    <t xml:space="preserve">ORD-12221</t>
  </si>
  <si>
    <t xml:space="preserve">ORD-12222</t>
  </si>
  <si>
    <t xml:space="preserve">ORD-12223</t>
  </si>
  <si>
    <t xml:space="preserve">ORD-12224</t>
  </si>
  <si>
    <t xml:space="preserve">ORD-12225</t>
  </si>
  <si>
    <t xml:space="preserve">ORD-12226</t>
  </si>
  <si>
    <t xml:space="preserve">ORD-12227</t>
  </si>
  <si>
    <t xml:space="preserve">ORD-12228</t>
  </si>
  <si>
    <t xml:space="preserve">ORD-12229</t>
  </si>
  <si>
    <t xml:space="preserve">ORD-12230</t>
  </si>
  <si>
    <t xml:space="preserve">ORD-12231</t>
  </si>
  <si>
    <t xml:space="preserve">ORD-12232</t>
  </si>
  <si>
    <t xml:space="preserve">ORD-12233</t>
  </si>
  <si>
    <t xml:space="preserve">ORD-12234</t>
  </si>
  <si>
    <t xml:space="preserve">ORD-12235</t>
  </si>
  <si>
    <t xml:space="preserve">ORD-12236</t>
  </si>
  <si>
    <t xml:space="preserve">ORD-12237</t>
  </si>
  <si>
    <t xml:space="preserve">ORD-12238</t>
  </si>
  <si>
    <t xml:space="preserve">ORD-12239</t>
  </si>
  <si>
    <t xml:space="preserve">ORD-12240</t>
  </si>
  <si>
    <t xml:space="preserve">ORD-12241</t>
  </si>
  <si>
    <t xml:space="preserve">ORD-12242</t>
  </si>
  <si>
    <t xml:space="preserve">ORD-12243</t>
  </si>
  <si>
    <t xml:space="preserve">ORD-12244</t>
  </si>
  <si>
    <t xml:space="preserve">ORD-12245</t>
  </si>
  <si>
    <t xml:space="preserve">ORD-12246</t>
  </si>
  <si>
    <t xml:space="preserve">ORD-12247</t>
  </si>
  <si>
    <t xml:space="preserve">ORD-12248</t>
  </si>
  <si>
    <t xml:space="preserve">ORD-12249</t>
  </si>
  <si>
    <t xml:space="preserve">ORD-12250</t>
  </si>
  <si>
    <t xml:space="preserve">ORD-12251</t>
  </si>
  <si>
    <t xml:space="preserve">ORD-12252</t>
  </si>
  <si>
    <t xml:space="preserve">ORD-12253</t>
  </si>
  <si>
    <t xml:space="preserve">ORD-12254</t>
  </si>
  <si>
    <t xml:space="preserve">ORD-12255</t>
  </si>
  <si>
    <t xml:space="preserve">ORD-12256</t>
  </si>
  <si>
    <t xml:space="preserve">ORD-12257</t>
  </si>
  <si>
    <t xml:space="preserve">ORD-12258</t>
  </si>
  <si>
    <t xml:space="preserve">ORD-12259</t>
  </si>
  <si>
    <t xml:space="preserve">ORD-12260</t>
  </si>
  <si>
    <t xml:space="preserve">ORD-12261</t>
  </si>
  <si>
    <t xml:space="preserve">ORD-12262</t>
  </si>
  <si>
    <t xml:space="preserve">ORD-12263</t>
  </si>
  <si>
    <t xml:space="preserve">ORD-12264</t>
  </si>
  <si>
    <t xml:space="preserve">ORD-12265</t>
  </si>
  <si>
    <t xml:space="preserve">ORD-12266</t>
  </si>
  <si>
    <t xml:space="preserve">ORD-12267</t>
  </si>
  <si>
    <t xml:space="preserve">ORD-12268</t>
  </si>
  <si>
    <t xml:space="preserve">ORD-12269</t>
  </si>
  <si>
    <t xml:space="preserve">ORD-12270</t>
  </si>
  <si>
    <t xml:space="preserve">ORD-12271</t>
  </si>
  <si>
    <t xml:space="preserve">ORD-12272</t>
  </si>
  <si>
    <t xml:space="preserve">ORD-12273</t>
  </si>
  <si>
    <t xml:space="preserve">ORD-12274</t>
  </si>
  <si>
    <t xml:space="preserve">ORD-12275</t>
  </si>
  <si>
    <t xml:space="preserve">ORD-12276</t>
  </si>
  <si>
    <t xml:space="preserve">ORD-12277</t>
  </si>
  <si>
    <t xml:space="preserve">ORD-12278</t>
  </si>
  <si>
    <t xml:space="preserve">ORD-12279</t>
  </si>
  <si>
    <t xml:space="preserve">ORD-12280</t>
  </si>
  <si>
    <t xml:space="preserve">ORD-12281</t>
  </si>
  <si>
    <t xml:space="preserve">ORD-12282</t>
  </si>
  <si>
    <t xml:space="preserve">ORD-12283</t>
  </si>
  <si>
    <t xml:space="preserve">ORD-12284</t>
  </si>
  <si>
    <t xml:space="preserve">ORD-12285</t>
  </si>
  <si>
    <t xml:space="preserve">ORD-12286</t>
  </si>
  <si>
    <t xml:space="preserve">ORD-12287</t>
  </si>
  <si>
    <t xml:space="preserve">ORD-12288</t>
  </si>
  <si>
    <t xml:space="preserve">ORD-12289</t>
  </si>
  <si>
    <t xml:space="preserve">ORD-12290</t>
  </si>
  <si>
    <t xml:space="preserve">ORD-12291</t>
  </si>
  <si>
    <t xml:space="preserve">ORD-12292</t>
  </si>
  <si>
    <t xml:space="preserve">ORD-12293</t>
  </si>
  <si>
    <t xml:space="preserve">ORD-12294</t>
  </si>
  <si>
    <t xml:space="preserve">ORD-12295</t>
  </si>
  <si>
    <t xml:space="preserve">ORD-12296</t>
  </si>
  <si>
    <t xml:space="preserve">ORD-12297</t>
  </si>
  <si>
    <t xml:space="preserve">ORD-12298</t>
  </si>
  <si>
    <t xml:space="preserve">ORD-12299</t>
  </si>
  <si>
    <t xml:space="preserve">ORD-12300</t>
  </si>
  <si>
    <t xml:space="preserve">ORD-12301</t>
  </si>
  <si>
    <t xml:space="preserve">ORD-12302</t>
  </si>
  <si>
    <t xml:space="preserve">ORD-12303</t>
  </si>
  <si>
    <t xml:space="preserve">ORD-12304</t>
  </si>
  <si>
    <t xml:space="preserve">ORD-12305</t>
  </si>
  <si>
    <t xml:space="preserve">ORD-12306</t>
  </si>
  <si>
    <t xml:space="preserve">ORD-12307</t>
  </si>
  <si>
    <t xml:space="preserve">ORD-12308</t>
  </si>
  <si>
    <t xml:space="preserve">ORD-12309</t>
  </si>
  <si>
    <t xml:space="preserve">ORD-12310</t>
  </si>
  <si>
    <t xml:space="preserve">ORD-12311</t>
  </si>
  <si>
    <t xml:space="preserve">ORD-12312</t>
  </si>
  <si>
    <t xml:space="preserve">ORD-12313</t>
  </si>
  <si>
    <t xml:space="preserve">ORD-12314</t>
  </si>
  <si>
    <t xml:space="preserve">ORD-12315</t>
  </si>
  <si>
    <t xml:space="preserve">ORD-12316</t>
  </si>
  <si>
    <t xml:space="preserve">ORD-12317</t>
  </si>
  <si>
    <t xml:space="preserve">ORD-12318</t>
  </si>
  <si>
    <t xml:space="preserve">ORD-12319</t>
  </si>
  <si>
    <t xml:space="preserve">ORD-12320</t>
  </si>
  <si>
    <t xml:space="preserve">ORD-12321</t>
  </si>
  <si>
    <t xml:space="preserve">ORD-12322</t>
  </si>
  <si>
    <t xml:space="preserve">ORD-12323</t>
  </si>
  <si>
    <t xml:space="preserve">ORD-12324</t>
  </si>
  <si>
    <t xml:space="preserve">ORD-12325</t>
  </si>
  <si>
    <t xml:space="preserve">ORD-12326</t>
  </si>
  <si>
    <t xml:space="preserve">ORD-12327</t>
  </si>
  <si>
    <t xml:space="preserve">ORD-12328</t>
  </si>
  <si>
    <t xml:space="preserve">ORD-12329</t>
  </si>
  <si>
    <t xml:space="preserve">ORD-12330</t>
  </si>
  <si>
    <t xml:space="preserve">ORD-12331</t>
  </si>
  <si>
    <t xml:space="preserve">ORD-12332</t>
  </si>
  <si>
    <t xml:space="preserve">ORD-12333</t>
  </si>
  <si>
    <t xml:space="preserve">ORD-12334</t>
  </si>
  <si>
    <t xml:space="preserve">ORD-12335</t>
  </si>
  <si>
    <t xml:space="preserve">ORD-12336</t>
  </si>
  <si>
    <t xml:space="preserve">ORD-12337</t>
  </si>
  <si>
    <t xml:space="preserve">ORD-12338</t>
  </si>
  <si>
    <t xml:space="preserve">ORD-12340</t>
  </si>
  <si>
    <t xml:space="preserve">ORD-12341</t>
  </si>
  <si>
    <t xml:space="preserve">ORD-12342</t>
  </si>
  <si>
    <t xml:space="preserve">ORD-12343</t>
  </si>
  <si>
    <t xml:space="preserve">ORD-12344</t>
  </si>
  <si>
    <t xml:space="preserve">ORD-12345</t>
  </si>
  <si>
    <t xml:space="preserve">ORD-12346</t>
  </si>
  <si>
    <t xml:space="preserve">ORD-12347</t>
  </si>
  <si>
    <t xml:space="preserve">ORD-12348</t>
  </si>
  <si>
    <t xml:space="preserve">ORD-12349</t>
  </si>
  <si>
    <t xml:space="preserve">ORD-12350</t>
  </si>
  <si>
    <t xml:space="preserve">ORD-12351</t>
  </si>
  <si>
    <t xml:space="preserve">ORD-12352</t>
  </si>
  <si>
    <t xml:space="preserve">ORD-12353</t>
  </si>
  <si>
    <t xml:space="preserve">ORD-12354</t>
  </si>
  <si>
    <t xml:space="preserve">ORD-12355</t>
  </si>
  <si>
    <t xml:space="preserve">ORD-12356</t>
  </si>
  <si>
    <t xml:space="preserve">ORD-12357</t>
  </si>
  <si>
    <t xml:space="preserve">ORD-12358</t>
  </si>
  <si>
    <t xml:space="preserve">ORD-12359</t>
  </si>
  <si>
    <t xml:space="preserve">ORD-12360</t>
  </si>
  <si>
    <t xml:space="preserve">ORD-12361</t>
  </si>
  <si>
    <t xml:space="preserve">ORD-12362</t>
  </si>
  <si>
    <t xml:space="preserve">ORD-12363</t>
  </si>
  <si>
    <t xml:space="preserve">ORD-12364</t>
  </si>
  <si>
    <t xml:space="preserve">ORD-12365</t>
  </si>
  <si>
    <t xml:space="preserve">ORD-12366</t>
  </si>
  <si>
    <t xml:space="preserve">ORD-12367</t>
  </si>
  <si>
    <t xml:space="preserve">ORD-12368</t>
  </si>
  <si>
    <t xml:space="preserve">ORD-12369</t>
  </si>
  <si>
    <t xml:space="preserve">ORD-12370</t>
  </si>
  <si>
    <t xml:space="preserve">ORD-12371</t>
  </si>
  <si>
    <t xml:space="preserve">ORD-12372</t>
  </si>
  <si>
    <t xml:space="preserve">ORD-12373</t>
  </si>
  <si>
    <t xml:space="preserve">ORD-12374</t>
  </si>
  <si>
    <t xml:space="preserve">ORD-12375</t>
  </si>
  <si>
    <t xml:space="preserve">ORD-12376</t>
  </si>
  <si>
    <t xml:space="preserve">ORD-12377</t>
  </si>
  <si>
    <t xml:space="preserve">ORD-12378</t>
  </si>
  <si>
    <t xml:space="preserve">ORD-12379</t>
  </si>
  <si>
    <t xml:space="preserve">ORD-12380</t>
  </si>
  <si>
    <t xml:space="preserve">ORD-12381</t>
  </si>
  <si>
    <t xml:space="preserve">ORD-12382</t>
  </si>
  <si>
    <t xml:space="preserve">ORD-12383</t>
  </si>
  <si>
    <t xml:space="preserve">ORD-12384</t>
  </si>
  <si>
    <t xml:space="preserve">ORD-12385</t>
  </si>
  <si>
    <t xml:space="preserve">ORD-12386</t>
  </si>
  <si>
    <t xml:space="preserve">ORD-12387</t>
  </si>
  <si>
    <t xml:space="preserve">ORD-12388</t>
  </si>
  <si>
    <t xml:space="preserve">ORD-12389</t>
  </si>
  <si>
    <t xml:space="preserve">ORD-12390</t>
  </si>
  <si>
    <t xml:space="preserve">ORD-12391</t>
  </si>
  <si>
    <t xml:space="preserve">ORD-12392</t>
  </si>
  <si>
    <t xml:space="preserve">ORD-12393</t>
  </si>
  <si>
    <t xml:space="preserve">ORD-12394</t>
  </si>
  <si>
    <t xml:space="preserve">ORD-12395</t>
  </si>
  <si>
    <t xml:space="preserve">ORD-12396</t>
  </si>
  <si>
    <t xml:space="preserve">ORD-12397</t>
  </si>
  <si>
    <t xml:space="preserve">ORD-12398</t>
  </si>
  <si>
    <t xml:space="preserve">ORD-12399</t>
  </si>
  <si>
    <t xml:space="preserve">ORD-12400</t>
  </si>
  <si>
    <t xml:space="preserve">ORD-12401</t>
  </si>
  <si>
    <t xml:space="preserve">ORD-12402</t>
  </si>
  <si>
    <t xml:space="preserve">ORD-12403</t>
  </si>
  <si>
    <t xml:space="preserve">ORD-12404</t>
  </si>
  <si>
    <t xml:space="preserve">ORD-12405</t>
  </si>
  <si>
    <t xml:space="preserve">ORD-12406</t>
  </si>
  <si>
    <t xml:space="preserve">ORD-12407</t>
  </si>
  <si>
    <t xml:space="preserve">ORD-12408</t>
  </si>
  <si>
    <t xml:space="preserve">ORD-12409</t>
  </si>
  <si>
    <t xml:space="preserve">ORD-12410</t>
  </si>
  <si>
    <t xml:space="preserve">ORD-12411</t>
  </si>
  <si>
    <t xml:space="preserve">ORD-12412</t>
  </si>
  <si>
    <t xml:space="preserve">ORD-12413</t>
  </si>
  <si>
    <t xml:space="preserve">ORD-12414</t>
  </si>
  <si>
    <t xml:space="preserve">ORD-12415</t>
  </si>
  <si>
    <t xml:space="preserve">ORD-12416</t>
  </si>
  <si>
    <t xml:space="preserve">ORD-12417</t>
  </si>
  <si>
    <t xml:space="preserve">ORD-12418</t>
  </si>
  <si>
    <t xml:space="preserve">ORD-12419</t>
  </si>
  <si>
    <t xml:space="preserve">ORD-12420</t>
  </si>
  <si>
    <t xml:space="preserve">ORD-12421</t>
  </si>
  <si>
    <t xml:space="preserve">ORD-12422</t>
  </si>
  <si>
    <t xml:space="preserve">ORD-12423</t>
  </si>
  <si>
    <t xml:space="preserve">ORD-12424</t>
  </si>
  <si>
    <t xml:space="preserve">ORD-12425</t>
  </si>
  <si>
    <t xml:space="preserve">ORD-12426</t>
  </si>
  <si>
    <t xml:space="preserve">ORD-12427</t>
  </si>
  <si>
    <t xml:space="preserve">ORD-12428</t>
  </si>
  <si>
    <t xml:space="preserve">ORD-12429</t>
  </si>
  <si>
    <t xml:space="preserve">ORD-12430</t>
  </si>
  <si>
    <t xml:space="preserve">ORD-12431</t>
  </si>
  <si>
    <t xml:space="preserve">ORD-12432</t>
  </si>
  <si>
    <t xml:space="preserve">ORD-12433</t>
  </si>
  <si>
    <t xml:space="preserve">ORD-12434</t>
  </si>
  <si>
    <t xml:space="preserve">ORD-12435</t>
  </si>
  <si>
    <t xml:space="preserve">ORD-12436</t>
  </si>
  <si>
    <t xml:space="preserve">ORD-12437</t>
  </si>
  <si>
    <t xml:space="preserve">ORD-12438</t>
  </si>
  <si>
    <t xml:space="preserve">ORD-12439</t>
  </si>
  <si>
    <t xml:space="preserve">ORD-12440</t>
  </si>
  <si>
    <t xml:space="preserve">ORD-12441</t>
  </si>
  <si>
    <t xml:space="preserve">ORD-12442</t>
  </si>
  <si>
    <t xml:space="preserve">ORD-12443</t>
  </si>
  <si>
    <t xml:space="preserve">ORD-12444</t>
  </si>
  <si>
    <t xml:space="preserve">ORD-12445</t>
  </si>
  <si>
    <t xml:space="preserve">ORD-12446</t>
  </si>
  <si>
    <t xml:space="preserve">ORD-12447</t>
  </si>
  <si>
    <t xml:space="preserve">ORD-12448</t>
  </si>
  <si>
    <t xml:space="preserve">ORD-12449</t>
  </si>
  <si>
    <t xml:space="preserve">ORD-12450</t>
  </si>
  <si>
    <t xml:space="preserve">ORD-12451</t>
  </si>
  <si>
    <t xml:space="preserve">ORD-12452</t>
  </si>
  <si>
    <t xml:space="preserve">ORD-12453</t>
  </si>
  <si>
    <t xml:space="preserve">ORD-12454</t>
  </si>
  <si>
    <t xml:space="preserve">ORD-12455</t>
  </si>
  <si>
    <t xml:space="preserve">ORD-12456</t>
  </si>
  <si>
    <t xml:space="preserve">ORD-12457</t>
  </si>
  <si>
    <t xml:space="preserve">ORD-12458</t>
  </si>
  <si>
    <t xml:space="preserve">ORD-12459</t>
  </si>
  <si>
    <t xml:space="preserve">ORD-12460</t>
  </si>
  <si>
    <t xml:space="preserve">ORD-12461</t>
  </si>
  <si>
    <t xml:space="preserve">ORD-12462</t>
  </si>
  <si>
    <t xml:space="preserve">ORD-12463</t>
  </si>
  <si>
    <t xml:space="preserve">ORD-12464</t>
  </si>
  <si>
    <t xml:space="preserve">ORD-12465</t>
  </si>
  <si>
    <t xml:space="preserve">ORD-12466</t>
  </si>
  <si>
    <t xml:space="preserve">ORD-12467</t>
  </si>
  <si>
    <t xml:space="preserve">ORD-12468</t>
  </si>
  <si>
    <t xml:space="preserve">ORD-12469</t>
  </si>
  <si>
    <t xml:space="preserve">ORD-12470</t>
  </si>
  <si>
    <t xml:space="preserve">ORD-12471</t>
  </si>
  <si>
    <t xml:space="preserve">ORD-12472</t>
  </si>
  <si>
    <t xml:space="preserve">ORD-12473</t>
  </si>
  <si>
    <t xml:space="preserve">ORD-12474</t>
  </si>
  <si>
    <t xml:space="preserve">ORD-12475</t>
  </si>
  <si>
    <t xml:space="preserve">ORD-12476</t>
  </si>
  <si>
    <t xml:space="preserve">ORD-12477</t>
  </si>
  <si>
    <t xml:space="preserve">ORD-12478</t>
  </si>
  <si>
    <t xml:space="preserve">ORD-12479</t>
  </si>
  <si>
    <t xml:space="preserve">ORD-12480</t>
  </si>
  <si>
    <t xml:space="preserve">ORD-12481</t>
  </si>
  <si>
    <t xml:space="preserve">ORD-12482</t>
  </si>
  <si>
    <t xml:space="preserve">ORD-12483</t>
  </si>
  <si>
    <t xml:space="preserve">ORD-12484</t>
  </si>
  <si>
    <t xml:space="preserve">ORD-12485</t>
  </si>
  <si>
    <t xml:space="preserve">ORD-12486</t>
  </si>
  <si>
    <t xml:space="preserve">ORD-12487</t>
  </si>
  <si>
    <t xml:space="preserve">ORD-12488</t>
  </si>
  <si>
    <t xml:space="preserve">ORD-12489</t>
  </si>
  <si>
    <t xml:space="preserve">ORD-12490</t>
  </si>
  <si>
    <t xml:space="preserve">ORD-12491</t>
  </si>
  <si>
    <t xml:space="preserve">ORD-12492</t>
  </si>
  <si>
    <t xml:space="preserve">ORD-12493</t>
  </si>
  <si>
    <t xml:space="preserve">ORD-12494</t>
  </si>
  <si>
    <t xml:space="preserve">ORD-12495</t>
  </si>
  <si>
    <t xml:space="preserve">ORD-12496</t>
  </si>
  <si>
    <t xml:space="preserve">ORD-12497</t>
  </si>
  <si>
    <t xml:space="preserve">ORD-12498</t>
  </si>
  <si>
    <t xml:space="preserve">ORD-12499</t>
  </si>
  <si>
    <t xml:space="preserve">ORD-12500</t>
  </si>
  <si>
    <t xml:space="preserve">ORD-12501</t>
  </si>
  <si>
    <t xml:space="preserve">ORD-12502</t>
  </si>
  <si>
    <t xml:space="preserve">ORD-12503</t>
  </si>
  <si>
    <t xml:space="preserve">ORD-12504</t>
  </si>
  <si>
    <t xml:space="preserve">ORD-12505</t>
  </si>
  <si>
    <t xml:space="preserve">ORD-12506</t>
  </si>
  <si>
    <t xml:space="preserve">ORD-12507</t>
  </si>
  <si>
    <t xml:space="preserve">ORD-12508</t>
  </si>
  <si>
    <t xml:space="preserve">ORD-12509</t>
  </si>
  <si>
    <t xml:space="preserve">ORD-12510</t>
  </si>
  <si>
    <t xml:space="preserve">ORD-12511</t>
  </si>
  <si>
    <t xml:space="preserve">ORD-12512</t>
  </si>
  <si>
    <t xml:space="preserve">ORD-12513</t>
  </si>
  <si>
    <t xml:space="preserve">ORD-12514</t>
  </si>
  <si>
    <t xml:space="preserve">ORD-12515</t>
  </si>
  <si>
    <t xml:space="preserve">ORD-12516</t>
  </si>
  <si>
    <t xml:space="preserve">ORD-12517</t>
  </si>
  <si>
    <t xml:space="preserve">ORD-12518</t>
  </si>
  <si>
    <t xml:space="preserve">ORD-12519</t>
  </si>
  <si>
    <t xml:space="preserve">ORD-12520</t>
  </si>
  <si>
    <t xml:space="preserve">ORD-12521</t>
  </si>
  <si>
    <t xml:space="preserve">ORD-12522</t>
  </si>
  <si>
    <t xml:space="preserve">ORD-12523</t>
  </si>
  <si>
    <t xml:space="preserve">ORD-12524</t>
  </si>
  <si>
    <t xml:space="preserve">ORD-12525</t>
  </si>
  <si>
    <t xml:space="preserve">ORD-12526</t>
  </si>
  <si>
    <t xml:space="preserve">ORD-12527</t>
  </si>
  <si>
    <t xml:space="preserve">ORD-12528</t>
  </si>
  <si>
    <t xml:space="preserve">ORD-12529</t>
  </si>
  <si>
    <t xml:space="preserve">ORD-12530</t>
  </si>
  <si>
    <t xml:space="preserve">ORD-12531</t>
  </si>
  <si>
    <t xml:space="preserve">ORD-12532</t>
  </si>
  <si>
    <t xml:space="preserve">ORD-12533</t>
  </si>
  <si>
    <t xml:space="preserve">ORD-12534</t>
  </si>
  <si>
    <t xml:space="preserve">ORD-12535</t>
  </si>
  <si>
    <t xml:space="preserve">ORD-12536</t>
  </si>
  <si>
    <t xml:space="preserve">ORD-12537</t>
  </si>
  <si>
    <t xml:space="preserve">ORD-12538</t>
  </si>
  <si>
    <t xml:space="preserve">ORD-12539</t>
  </si>
  <si>
    <t xml:space="preserve">ORD-12540</t>
  </si>
  <si>
    <t xml:space="preserve">ORD-12541</t>
  </si>
  <si>
    <t xml:space="preserve">ORD-12542</t>
  </si>
  <si>
    <t xml:space="preserve">ORD-12543</t>
  </si>
  <si>
    <t xml:space="preserve">ORD-12544</t>
  </si>
  <si>
    <t xml:space="preserve">ORD-12545</t>
  </si>
  <si>
    <t xml:space="preserve">ORD-12546</t>
  </si>
  <si>
    <t xml:space="preserve">ORD-12547</t>
  </si>
  <si>
    <t xml:space="preserve">ORD-12548</t>
  </si>
  <si>
    <t xml:space="preserve">ORD-12549</t>
  </si>
  <si>
    <t xml:space="preserve">ORD-12550</t>
  </si>
  <si>
    <t xml:space="preserve">ORD-12551</t>
  </si>
  <si>
    <t xml:space="preserve">ORD-12552</t>
  </si>
  <si>
    <t xml:space="preserve">ORD-12553</t>
  </si>
  <si>
    <t xml:space="preserve">ORD-12554</t>
  </si>
  <si>
    <t xml:space="preserve">ORD-12555</t>
  </si>
  <si>
    <t xml:space="preserve">ORD-12556</t>
  </si>
  <si>
    <t xml:space="preserve">ORD-12557</t>
  </si>
  <si>
    <t xml:space="preserve">ORD-12558</t>
  </si>
  <si>
    <t xml:space="preserve">ORD-12559</t>
  </si>
  <si>
    <t xml:space="preserve">ORD-12560</t>
  </si>
  <si>
    <t xml:space="preserve">ORD-12561</t>
  </si>
  <si>
    <t xml:space="preserve">ORD-12562</t>
  </si>
  <si>
    <t xml:space="preserve">ORD-12563</t>
  </si>
  <si>
    <t xml:space="preserve">ORD-12564</t>
  </si>
  <si>
    <t xml:space="preserve">ORD-12565</t>
  </si>
  <si>
    <t xml:space="preserve">ORD-12566</t>
  </si>
  <si>
    <t xml:space="preserve">ORD-12567</t>
  </si>
  <si>
    <t xml:space="preserve">ORD-12568</t>
  </si>
  <si>
    <t xml:space="preserve">ORD-12569</t>
  </si>
  <si>
    <t xml:space="preserve">ORD-12570</t>
  </si>
  <si>
    <t xml:space="preserve">ORD-12571</t>
  </si>
  <si>
    <t xml:space="preserve">ORD-12572</t>
  </si>
  <si>
    <t xml:space="preserve">ORD-12573</t>
  </si>
  <si>
    <t xml:space="preserve">ORD-12574</t>
  </si>
  <si>
    <t xml:space="preserve">ORD-12575</t>
  </si>
  <si>
    <t xml:space="preserve">ORD-12576</t>
  </si>
  <si>
    <t xml:space="preserve">ORD-12577</t>
  </si>
  <si>
    <t xml:space="preserve">ORD-12578</t>
  </si>
  <si>
    <t xml:space="preserve">ORD-12579</t>
  </si>
  <si>
    <t xml:space="preserve">ORD-12580</t>
  </si>
  <si>
    <t xml:space="preserve">ORD-12581</t>
  </si>
  <si>
    <t xml:space="preserve">ORD-12582</t>
  </si>
  <si>
    <t xml:space="preserve">ORD-12583</t>
  </si>
  <si>
    <t xml:space="preserve">ORD-12584</t>
  </si>
  <si>
    <t xml:space="preserve">ORD-12585</t>
  </si>
  <si>
    <t xml:space="preserve">ORD-12586</t>
  </si>
  <si>
    <t xml:space="preserve">ORD-12587</t>
  </si>
  <si>
    <t xml:space="preserve">ORD-12588</t>
  </si>
  <si>
    <t xml:space="preserve">ORD-12589</t>
  </si>
  <si>
    <t xml:space="preserve">ORD-12590</t>
  </si>
  <si>
    <t xml:space="preserve">ORD-12591</t>
  </si>
  <si>
    <t xml:space="preserve">ORD-12592</t>
  </si>
  <si>
    <t xml:space="preserve">ORD-12593</t>
  </si>
  <si>
    <t xml:space="preserve">ORD-12594</t>
  </si>
  <si>
    <t xml:space="preserve">ORD-12595</t>
  </si>
  <si>
    <t xml:space="preserve">ORD-12596</t>
  </si>
  <si>
    <t xml:space="preserve">ORD-12597</t>
  </si>
  <si>
    <t xml:space="preserve">ORD-12598</t>
  </si>
  <si>
    <t xml:space="preserve">ORD-12599</t>
  </si>
  <si>
    <t xml:space="preserve">ORD-12600</t>
  </si>
  <si>
    <t xml:space="preserve">ORD-12601</t>
  </si>
  <si>
    <t xml:space="preserve">ORD-12602</t>
  </si>
  <si>
    <t xml:space="preserve">ORD-12603</t>
  </si>
  <si>
    <t xml:space="preserve">ORD-12604</t>
  </si>
  <si>
    <t xml:space="preserve">ORD-12605</t>
  </si>
  <si>
    <t xml:space="preserve">ORD-12606</t>
  </si>
  <si>
    <t xml:space="preserve">ORD-12607</t>
  </si>
  <si>
    <t xml:space="preserve">ORD-12608</t>
  </si>
  <si>
    <t xml:space="preserve">ORD-12609</t>
  </si>
  <si>
    <t xml:space="preserve">ORD-12610</t>
  </si>
  <si>
    <t xml:space="preserve">ORD-12611</t>
  </si>
  <si>
    <t xml:space="preserve">ORD-12612</t>
  </si>
  <si>
    <t xml:space="preserve">ORD-12613</t>
  </si>
  <si>
    <t xml:space="preserve">ORD-12614</t>
  </si>
  <si>
    <t xml:space="preserve">ORD-12615</t>
  </si>
  <si>
    <t xml:space="preserve">ORD-12616</t>
  </si>
  <si>
    <t xml:space="preserve">ORD-12617</t>
  </si>
  <si>
    <t xml:space="preserve">ORD-12618</t>
  </si>
  <si>
    <t xml:space="preserve">ORD-12619</t>
  </si>
  <si>
    <t xml:space="preserve">ORD-12620</t>
  </si>
  <si>
    <t xml:space="preserve">ORD-12621</t>
  </si>
  <si>
    <t xml:space="preserve">ORD-12622</t>
  </si>
  <si>
    <t xml:space="preserve">ORD-12623</t>
  </si>
  <si>
    <t xml:space="preserve">ORD-12624</t>
  </si>
  <si>
    <t xml:space="preserve">ORD-12625</t>
  </si>
  <si>
    <t xml:space="preserve">ORD-12626</t>
  </si>
  <si>
    <t xml:space="preserve">ORD-12627</t>
  </si>
  <si>
    <t xml:space="preserve">ORD-12628</t>
  </si>
  <si>
    <t xml:space="preserve">ORD-12629</t>
  </si>
  <si>
    <t xml:space="preserve">ORD-12630</t>
  </si>
  <si>
    <t xml:space="preserve">ORD-12631</t>
  </si>
  <si>
    <t xml:space="preserve">ORD-12632</t>
  </si>
  <si>
    <t xml:space="preserve">ORD-12633</t>
  </si>
  <si>
    <t xml:space="preserve">ORD-12634</t>
  </si>
  <si>
    <t xml:space="preserve">ORD-12635</t>
  </si>
  <si>
    <t xml:space="preserve">ORD-12636</t>
  </si>
  <si>
    <t xml:space="preserve">ORD-12637</t>
  </si>
  <si>
    <t xml:space="preserve">ORD-12638</t>
  </si>
  <si>
    <t xml:space="preserve">ORD-12639</t>
  </si>
  <si>
    <t xml:space="preserve">ORD-12640</t>
  </si>
  <si>
    <t xml:space="preserve">ORD-12641</t>
  </si>
  <si>
    <t xml:space="preserve">ORD-12642</t>
  </si>
  <si>
    <t xml:space="preserve">ORD-12643</t>
  </si>
  <si>
    <t xml:space="preserve">ORD-12644</t>
  </si>
  <si>
    <t xml:space="preserve">ORD-12645</t>
  </si>
  <si>
    <t xml:space="preserve">ORD-12646</t>
  </si>
  <si>
    <t xml:space="preserve">ORD-12647</t>
  </si>
  <si>
    <t xml:space="preserve">ORD-12648</t>
  </si>
  <si>
    <t xml:space="preserve">ORD-12649</t>
  </si>
  <si>
    <t xml:space="preserve">ORD-12650</t>
  </si>
  <si>
    <t xml:space="preserve">ORD-12651</t>
  </si>
  <si>
    <t xml:space="preserve">ORD-12652</t>
  </si>
  <si>
    <t xml:space="preserve">ORD-12653</t>
  </si>
  <si>
    <t xml:space="preserve">ORD-12654</t>
  </si>
  <si>
    <t xml:space="preserve">ORD-12655</t>
  </si>
  <si>
    <t xml:space="preserve">ORD-12656</t>
  </si>
  <si>
    <t xml:space="preserve">ORD-12657</t>
  </si>
  <si>
    <t xml:space="preserve">ORD-12658</t>
  </si>
  <si>
    <t xml:space="preserve">ORD-12659</t>
  </si>
  <si>
    <t xml:space="preserve">ORD-12660</t>
  </si>
  <si>
    <t xml:space="preserve">ORD-12661</t>
  </si>
  <si>
    <t xml:space="preserve">ORD-12662</t>
  </si>
  <si>
    <t xml:space="preserve">ORD-12663</t>
  </si>
  <si>
    <t xml:space="preserve">ORD-12664</t>
  </si>
  <si>
    <t xml:space="preserve">ORD-12665</t>
  </si>
  <si>
    <t xml:space="preserve">ORD-12666</t>
  </si>
  <si>
    <t xml:space="preserve">ORD-12667</t>
  </si>
  <si>
    <t xml:space="preserve">ORD-12668</t>
  </si>
  <si>
    <t xml:space="preserve">ORD-12669</t>
  </si>
  <si>
    <t xml:space="preserve">ORD-12670</t>
  </si>
  <si>
    <t xml:space="preserve">ORD-12671</t>
  </si>
  <si>
    <t xml:space="preserve">ORD-12672</t>
  </si>
  <si>
    <t xml:space="preserve">ORD-12673</t>
  </si>
  <si>
    <t xml:space="preserve">ORD-12674</t>
  </si>
  <si>
    <t xml:space="preserve">ORD-12675</t>
  </si>
  <si>
    <t xml:space="preserve">ORD-12676</t>
  </si>
  <si>
    <t xml:space="preserve">ORD-12677</t>
  </si>
  <si>
    <t xml:space="preserve">ORD-12678</t>
  </si>
  <si>
    <t xml:space="preserve">ORD-12679</t>
  </si>
  <si>
    <t xml:space="preserve">ORD-12680</t>
  </si>
  <si>
    <t xml:space="preserve">ORD-12681</t>
  </si>
  <si>
    <t xml:space="preserve">ORD-12682</t>
  </si>
  <si>
    <t xml:space="preserve">ORD-12683</t>
  </si>
  <si>
    <t xml:space="preserve">ORD-12684</t>
  </si>
  <si>
    <t xml:space="preserve">ORD-12685</t>
  </si>
  <si>
    <t xml:space="preserve">ORD-12686</t>
  </si>
  <si>
    <t xml:space="preserve">ORD-12687</t>
  </si>
  <si>
    <t xml:space="preserve">ORD-12688</t>
  </si>
  <si>
    <t xml:space="preserve">ORD-12689</t>
  </si>
  <si>
    <t xml:space="preserve">ORD-12690</t>
  </si>
  <si>
    <t xml:space="preserve">ORD-12691</t>
  </si>
  <si>
    <t xml:space="preserve">ORD-12692</t>
  </si>
  <si>
    <t xml:space="preserve">ORD-12693</t>
  </si>
  <si>
    <t xml:space="preserve">ORD-12694</t>
  </si>
  <si>
    <t xml:space="preserve">ORD-12695</t>
  </si>
  <si>
    <t xml:space="preserve">ORD-12696</t>
  </si>
  <si>
    <t xml:space="preserve">ORD-12697</t>
  </si>
  <si>
    <t xml:space="preserve">ORD-12698</t>
  </si>
  <si>
    <t xml:space="preserve">ORD-12699</t>
  </si>
  <si>
    <t xml:space="preserve">ORD-12700</t>
  </si>
  <si>
    <t xml:space="preserve">ORD-12701</t>
  </si>
  <si>
    <t xml:space="preserve">ORD-12702</t>
  </si>
  <si>
    <t xml:space="preserve">ORD-12703</t>
  </si>
  <si>
    <t xml:space="preserve">ORD-12704</t>
  </si>
  <si>
    <t xml:space="preserve">ORD-12705</t>
  </si>
  <si>
    <t xml:space="preserve">ORD-12706</t>
  </si>
  <si>
    <t xml:space="preserve">ORD-12707</t>
  </si>
  <si>
    <t xml:space="preserve">ORD-12708</t>
  </si>
  <si>
    <t xml:space="preserve">ORD-12709</t>
  </si>
  <si>
    <t xml:space="preserve">ORD-12710</t>
  </si>
  <si>
    <t xml:space="preserve">ORD-12711</t>
  </si>
  <si>
    <t xml:space="preserve">ORD-12712</t>
  </si>
  <si>
    <t xml:space="preserve">ORD-12713</t>
  </si>
  <si>
    <t xml:space="preserve">ORD-12714</t>
  </si>
  <si>
    <t xml:space="preserve">ORD-12715</t>
  </si>
  <si>
    <t xml:space="preserve">ORD-12716</t>
  </si>
  <si>
    <t xml:space="preserve">ORD-12717</t>
  </si>
  <si>
    <t xml:space="preserve">ORD-12718</t>
  </si>
  <si>
    <t xml:space="preserve">ORD-12719</t>
  </si>
  <si>
    <t xml:space="preserve">ORD-12720</t>
  </si>
  <si>
    <t xml:space="preserve">ORD-12721</t>
  </si>
  <si>
    <t xml:space="preserve">ORD-12722</t>
  </si>
  <si>
    <t xml:space="preserve">ORD-12723</t>
  </si>
  <si>
    <t xml:space="preserve">ORD-12724</t>
  </si>
  <si>
    <t xml:space="preserve">ORD-12725</t>
  </si>
  <si>
    <t xml:space="preserve">ORD-12726</t>
  </si>
  <si>
    <t xml:space="preserve">ORD-12727</t>
  </si>
  <si>
    <t xml:space="preserve">ORD-12728</t>
  </si>
  <si>
    <t xml:space="preserve">ORD-12729</t>
  </si>
  <si>
    <t xml:space="preserve">ORD-12730</t>
  </si>
  <si>
    <t xml:space="preserve">ORD-12731</t>
  </si>
  <si>
    <t xml:space="preserve">ORD-12732</t>
  </si>
  <si>
    <t xml:space="preserve">ORD-12733</t>
  </si>
  <si>
    <t xml:space="preserve">ORD-12734</t>
  </si>
  <si>
    <t xml:space="preserve">ORD-12735</t>
  </si>
  <si>
    <t xml:space="preserve">ORD-12736</t>
  </si>
  <si>
    <t xml:space="preserve">ORD-12737</t>
  </si>
  <si>
    <t xml:space="preserve">ORD-12738</t>
  </si>
  <si>
    <t xml:space="preserve">ORD-12739</t>
  </si>
  <si>
    <t xml:space="preserve">ORD-12740</t>
  </si>
  <si>
    <t xml:space="preserve">ORD-12741</t>
  </si>
  <si>
    <t xml:space="preserve">ORD-12742</t>
  </si>
  <si>
    <t xml:space="preserve">ORD-12743</t>
  </si>
  <si>
    <t xml:space="preserve">ORD-12744</t>
  </si>
  <si>
    <t xml:space="preserve">ORD-12745</t>
  </si>
  <si>
    <t xml:space="preserve">ORD-12746</t>
  </si>
  <si>
    <t xml:space="preserve">ORD-12747</t>
  </si>
  <si>
    <t xml:space="preserve">ORD-12748</t>
  </si>
  <si>
    <t xml:space="preserve">ORD-12749</t>
  </si>
  <si>
    <t xml:space="preserve">ORD-12750</t>
  </si>
  <si>
    <t xml:space="preserve">ORD-12751</t>
  </si>
  <si>
    <t xml:space="preserve">ORD-12752</t>
  </si>
  <si>
    <t xml:space="preserve">ORD-12753</t>
  </si>
  <si>
    <t xml:space="preserve">ORD-12754</t>
  </si>
  <si>
    <t xml:space="preserve">ORD-12755</t>
  </si>
  <si>
    <t xml:space="preserve">ORD-12756</t>
  </si>
  <si>
    <t xml:space="preserve">ORD-12757</t>
  </si>
  <si>
    <t xml:space="preserve">ORD-12758</t>
  </si>
  <si>
    <t xml:space="preserve">ORD-12759</t>
  </si>
  <si>
    <t xml:space="preserve">ORD-12760</t>
  </si>
  <si>
    <t xml:space="preserve">ORD-12761</t>
  </si>
  <si>
    <t xml:space="preserve">ORD-12762</t>
  </si>
  <si>
    <t xml:space="preserve">ORD-12763</t>
  </si>
  <si>
    <t xml:space="preserve">ORD-12764</t>
  </si>
  <si>
    <t xml:space="preserve">ORD-12765</t>
  </si>
  <si>
    <t xml:space="preserve">ORD-12766</t>
  </si>
  <si>
    <t xml:space="preserve">ORD-12767</t>
  </si>
  <si>
    <t xml:space="preserve">ORD-12768</t>
  </si>
  <si>
    <t xml:space="preserve">ORD-12769</t>
  </si>
  <si>
    <t xml:space="preserve">ORD-12770</t>
  </si>
  <si>
    <t xml:space="preserve">ORD-12771</t>
  </si>
  <si>
    <t xml:space="preserve">ORD-12772</t>
  </si>
  <si>
    <t xml:space="preserve">ORD-12773</t>
  </si>
  <si>
    <t xml:space="preserve">ORD-12774</t>
  </si>
  <si>
    <t xml:space="preserve">ORD-12775</t>
  </si>
  <si>
    <t xml:space="preserve">ORD-12776</t>
  </si>
  <si>
    <t xml:space="preserve">ORD-12777</t>
  </si>
  <si>
    <t xml:space="preserve">ORD-12778</t>
  </si>
  <si>
    <t xml:space="preserve">ORD-12779</t>
  </si>
  <si>
    <t xml:space="preserve">ORD-12780</t>
  </si>
  <si>
    <t xml:space="preserve">ORD-12781</t>
  </si>
  <si>
    <t xml:space="preserve">ORD-12782</t>
  </si>
  <si>
    <t xml:space="preserve">ORD-12783</t>
  </si>
  <si>
    <t xml:space="preserve">ORD-12784</t>
  </si>
  <si>
    <t xml:space="preserve">ORD-12785</t>
  </si>
  <si>
    <t xml:space="preserve">ORD-12786</t>
  </si>
  <si>
    <t xml:space="preserve">ORD-12787</t>
  </si>
  <si>
    <t xml:space="preserve">ORD-12788</t>
  </si>
  <si>
    <t xml:space="preserve">ORD-12789</t>
  </si>
  <si>
    <t xml:space="preserve">ORD-12790</t>
  </si>
  <si>
    <t xml:space="preserve">ORD-12791</t>
  </si>
  <si>
    <t xml:space="preserve">ORD-12792</t>
  </si>
  <si>
    <t xml:space="preserve">ORD-12793</t>
  </si>
  <si>
    <t xml:space="preserve">ORD-12794</t>
  </si>
  <si>
    <t xml:space="preserve">ORD-12795</t>
  </si>
  <si>
    <t xml:space="preserve">ORD-12796</t>
  </si>
  <si>
    <t xml:space="preserve">ORD-12797</t>
  </si>
  <si>
    <t xml:space="preserve">ORD-12798</t>
  </si>
  <si>
    <t xml:space="preserve">ORD-12799</t>
  </si>
  <si>
    <t xml:space="preserve">ORD-12800</t>
  </si>
  <si>
    <t xml:space="preserve">ORD-12801</t>
  </si>
  <si>
    <t xml:space="preserve">ORD-12802</t>
  </si>
  <si>
    <t xml:space="preserve">ORD-12803</t>
  </si>
  <si>
    <t xml:space="preserve">ORD-12804</t>
  </si>
  <si>
    <t xml:space="preserve">ORD-12805</t>
  </si>
  <si>
    <t xml:space="preserve">ORD-12806</t>
  </si>
  <si>
    <t xml:space="preserve">ORD-12807</t>
  </si>
  <si>
    <t xml:space="preserve">ORD-12808</t>
  </si>
  <si>
    <t xml:space="preserve">ORD-12809</t>
  </si>
  <si>
    <t xml:space="preserve">ORD-12810</t>
  </si>
  <si>
    <t xml:space="preserve">ORD-12811</t>
  </si>
  <si>
    <t xml:space="preserve">ORD-12812</t>
  </si>
  <si>
    <t xml:space="preserve">ORD-12813</t>
  </si>
  <si>
    <t xml:space="preserve">ORD-12814</t>
  </si>
  <si>
    <t xml:space="preserve">ORD-12815</t>
  </si>
  <si>
    <t xml:space="preserve">ORD-12816</t>
  </si>
  <si>
    <t xml:space="preserve">ORD-12817</t>
  </si>
  <si>
    <t xml:space="preserve">ORD-12818</t>
  </si>
  <si>
    <t xml:space="preserve">ORD-12819</t>
  </si>
  <si>
    <t xml:space="preserve">ORD-12820</t>
  </si>
  <si>
    <t xml:space="preserve">ORD-12821</t>
  </si>
  <si>
    <t xml:space="preserve">ORD-12822</t>
  </si>
  <si>
    <t xml:space="preserve">ORD-12823</t>
  </si>
  <si>
    <t xml:space="preserve">ORD-12824</t>
  </si>
  <si>
    <t xml:space="preserve">ORD-12825</t>
  </si>
  <si>
    <t xml:space="preserve">ORD-12826</t>
  </si>
  <si>
    <t xml:space="preserve">ORD-12827</t>
  </si>
  <si>
    <t xml:space="preserve">ORD-12828</t>
  </si>
  <si>
    <t xml:space="preserve">ORD-12829</t>
  </si>
  <si>
    <t xml:space="preserve">ORD-12830</t>
  </si>
  <si>
    <t xml:space="preserve">ORD-12831</t>
  </si>
  <si>
    <t xml:space="preserve">ORD-12832</t>
  </si>
  <si>
    <t xml:space="preserve">ORD-12833</t>
  </si>
  <si>
    <t xml:space="preserve">ORD-12834</t>
  </si>
  <si>
    <t xml:space="preserve">ORD-12835</t>
  </si>
  <si>
    <t xml:space="preserve">ORD-12836</t>
  </si>
  <si>
    <t xml:space="preserve">ORD-12837</t>
  </si>
  <si>
    <t xml:space="preserve">ORD-12838</t>
  </si>
  <si>
    <t xml:space="preserve">ORD-12839</t>
  </si>
  <si>
    <t xml:space="preserve">ORD-12840</t>
  </si>
  <si>
    <t xml:space="preserve">ORD-12841</t>
  </si>
  <si>
    <t xml:space="preserve">ORD-12842</t>
  </si>
  <si>
    <t xml:space="preserve">ORD-12843</t>
  </si>
  <si>
    <t xml:space="preserve">ORD-12844</t>
  </si>
  <si>
    <t xml:space="preserve">ORD-12845</t>
  </si>
  <si>
    <t xml:space="preserve">ORD-12846</t>
  </si>
  <si>
    <t xml:space="preserve">ORD-12847</t>
  </si>
  <si>
    <t xml:space="preserve">ORD-12848</t>
  </si>
  <si>
    <t xml:space="preserve">ORD-12849</t>
  </si>
  <si>
    <t xml:space="preserve">ORD-12850</t>
  </si>
  <si>
    <t xml:space="preserve">ORD-12851</t>
  </si>
  <si>
    <t xml:space="preserve">ORD-12852</t>
  </si>
  <si>
    <t xml:space="preserve">ORD-12853</t>
  </si>
  <si>
    <t xml:space="preserve">ORD-12854</t>
  </si>
  <si>
    <t xml:space="preserve">ORD-12855</t>
  </si>
  <si>
    <t xml:space="preserve">ORD-12856</t>
  </si>
  <si>
    <t xml:space="preserve">ORD-12857</t>
  </si>
  <si>
    <t xml:space="preserve">ORD-12858</t>
  </si>
  <si>
    <t xml:space="preserve">ORD-12859</t>
  </si>
  <si>
    <t xml:space="preserve">ORD-12860</t>
  </si>
  <si>
    <t xml:space="preserve">ORD-12861</t>
  </si>
  <si>
    <t xml:space="preserve">ORD-12862</t>
  </si>
  <si>
    <t xml:space="preserve">ORD-12863</t>
  </si>
  <si>
    <t xml:space="preserve">ORD-12864</t>
  </si>
  <si>
    <t xml:space="preserve">ORD-12865</t>
  </si>
  <si>
    <t xml:space="preserve">ORD-12866</t>
  </si>
  <si>
    <t xml:space="preserve">ORD-12867</t>
  </si>
  <si>
    <t xml:space="preserve">ORD-12868</t>
  </si>
  <si>
    <t xml:space="preserve">ORD-12869</t>
  </si>
  <si>
    <t xml:space="preserve">ORD-12870</t>
  </si>
  <si>
    <t xml:space="preserve">ORD-12871</t>
  </si>
  <si>
    <t xml:space="preserve">ORD-12872</t>
  </si>
  <si>
    <t xml:space="preserve">ORD-12873</t>
  </si>
  <si>
    <t xml:space="preserve">ORD-12874</t>
  </si>
  <si>
    <t xml:space="preserve">ORD-12875</t>
  </si>
  <si>
    <t xml:space="preserve">ORD-12876</t>
  </si>
  <si>
    <t xml:space="preserve">ORD-12877</t>
  </si>
  <si>
    <t xml:space="preserve">ORD-12878</t>
  </si>
  <si>
    <t xml:space="preserve">ORD-12879</t>
  </si>
  <si>
    <t xml:space="preserve">ORD-12880</t>
  </si>
  <si>
    <t xml:space="preserve">ORD-12881</t>
  </si>
  <si>
    <t xml:space="preserve">ORD-12882</t>
  </si>
  <si>
    <t xml:space="preserve">ORD-12883</t>
  </si>
  <si>
    <t xml:space="preserve">ORD-12884</t>
  </si>
  <si>
    <t xml:space="preserve">ORD-12885</t>
  </si>
  <si>
    <t xml:space="preserve">ORD-12886</t>
  </si>
  <si>
    <t xml:space="preserve">ORD-12887</t>
  </si>
  <si>
    <t xml:space="preserve">ORD-12888</t>
  </si>
  <si>
    <t xml:space="preserve">ORD-12889</t>
  </si>
  <si>
    <t xml:space="preserve">ORD-12890</t>
  </si>
  <si>
    <t xml:space="preserve">ORD-12891</t>
  </si>
  <si>
    <t xml:space="preserve">ORD-12892</t>
  </si>
  <si>
    <t xml:space="preserve">ORD-12893</t>
  </si>
  <si>
    <t xml:space="preserve">ORD-12894</t>
  </si>
  <si>
    <t xml:space="preserve">ORD-12895</t>
  </si>
  <si>
    <t xml:space="preserve">ORD-12896</t>
  </si>
  <si>
    <t xml:space="preserve">ORD-12897</t>
  </si>
  <si>
    <t xml:space="preserve">ORD-12898</t>
  </si>
  <si>
    <t xml:space="preserve">ORD-12899</t>
  </si>
  <si>
    <t xml:space="preserve">ORD-12900</t>
  </si>
  <si>
    <t xml:space="preserve">ORD-12901</t>
  </si>
  <si>
    <t xml:space="preserve">ORD-12902</t>
  </si>
  <si>
    <t xml:space="preserve">ORD-12903</t>
  </si>
  <si>
    <t xml:space="preserve">ORD-12904</t>
  </si>
  <si>
    <t xml:space="preserve">ORD-12905</t>
  </si>
  <si>
    <t xml:space="preserve">ORD-12906</t>
  </si>
  <si>
    <t xml:space="preserve">ORD-12907</t>
  </si>
  <si>
    <t xml:space="preserve">ORD-12908</t>
  </si>
  <si>
    <t xml:space="preserve">ORD-12909</t>
  </si>
  <si>
    <t xml:space="preserve">ORD-12910</t>
  </si>
  <si>
    <t xml:space="preserve">ORD-12911</t>
  </si>
  <si>
    <t xml:space="preserve">ORD-12912</t>
  </si>
  <si>
    <t xml:space="preserve">ORD-12913</t>
  </si>
  <si>
    <t xml:space="preserve">ORD-12914</t>
  </si>
  <si>
    <t xml:space="preserve">ORD-12915</t>
  </si>
  <si>
    <t xml:space="preserve">ORD-12916</t>
  </si>
  <si>
    <t xml:space="preserve">ORD-12917</t>
  </si>
  <si>
    <t xml:space="preserve">ORD-12918</t>
  </si>
  <si>
    <t xml:space="preserve">ORD-12919</t>
  </si>
  <si>
    <t xml:space="preserve">ORD-12921</t>
  </si>
  <si>
    <t xml:space="preserve">ORD-12922</t>
  </si>
  <si>
    <t xml:space="preserve">ORD-12923</t>
  </si>
  <si>
    <t xml:space="preserve">ORD-12924</t>
  </si>
  <si>
    <t xml:space="preserve">ORD-12925</t>
  </si>
  <si>
    <t xml:space="preserve">ORD-12926</t>
  </si>
  <si>
    <t xml:space="preserve">ORD-12927</t>
  </si>
  <si>
    <t xml:space="preserve">ORD-12928</t>
  </si>
  <si>
    <t xml:space="preserve">ORD-12929</t>
  </si>
  <si>
    <t xml:space="preserve">ORD-12930</t>
  </si>
  <si>
    <t xml:space="preserve">ORD-12931</t>
  </si>
  <si>
    <t xml:space="preserve">ORD-12932</t>
  </si>
  <si>
    <t xml:space="preserve">ORD-12933</t>
  </si>
  <si>
    <t xml:space="preserve">ORD-12934</t>
  </si>
  <si>
    <t xml:space="preserve">ORD-12935</t>
  </si>
  <si>
    <t xml:space="preserve">ORD-12936</t>
  </si>
  <si>
    <t xml:space="preserve">ORD-12937</t>
  </si>
  <si>
    <t xml:space="preserve">ORD-12938</t>
  </si>
  <si>
    <t xml:space="preserve">ORD-12939</t>
  </si>
  <si>
    <t xml:space="preserve">ORD-12940</t>
  </si>
  <si>
    <t xml:space="preserve">ORD-12941</t>
  </si>
  <si>
    <t xml:space="preserve">ORD-12942</t>
  </si>
  <si>
    <t xml:space="preserve">ORD-12943</t>
  </si>
  <si>
    <t xml:space="preserve">ORD-12944</t>
  </si>
  <si>
    <t xml:space="preserve">ORD-12945</t>
  </si>
  <si>
    <t xml:space="preserve">ORD-12946</t>
  </si>
  <si>
    <t xml:space="preserve">ORD-12947</t>
  </si>
  <si>
    <t xml:space="preserve">ORD-12948</t>
  </si>
  <si>
    <t xml:space="preserve">ORD-12949</t>
  </si>
  <si>
    <t xml:space="preserve">ORD-12950</t>
  </si>
  <si>
    <t xml:space="preserve">ORD-12951</t>
  </si>
  <si>
    <t xml:space="preserve">ORD-12952</t>
  </si>
  <si>
    <t xml:space="preserve">ORD-12953</t>
  </si>
  <si>
    <t xml:space="preserve">ORD-12954</t>
  </si>
  <si>
    <t xml:space="preserve">ORD-12955</t>
  </si>
  <si>
    <t xml:space="preserve">ORD-12956</t>
  </si>
  <si>
    <t xml:space="preserve">ORD-12957</t>
  </si>
  <si>
    <t xml:space="preserve">ORD-12958</t>
  </si>
  <si>
    <t xml:space="preserve">ORD-12959</t>
  </si>
  <si>
    <t xml:space="preserve">ORD-12960</t>
  </si>
  <si>
    <t xml:space="preserve">ORD-12961</t>
  </si>
  <si>
    <t xml:space="preserve">ORD-12962</t>
  </si>
  <si>
    <t xml:space="preserve">ORD-12963</t>
  </si>
  <si>
    <t xml:space="preserve">ORD-12964</t>
  </si>
  <si>
    <t xml:space="preserve">ORD-12965</t>
  </si>
  <si>
    <t xml:space="preserve">ORD-12966</t>
  </si>
  <si>
    <t xml:space="preserve">ORD-12967</t>
  </si>
  <si>
    <t xml:space="preserve">ORD-12968</t>
  </si>
  <si>
    <t xml:space="preserve">ORD-12969</t>
  </si>
  <si>
    <t xml:space="preserve">ORD-12970</t>
  </si>
  <si>
    <t xml:space="preserve">ORD-12971</t>
  </si>
  <si>
    <t xml:space="preserve">ORD-12972</t>
  </si>
  <si>
    <t xml:space="preserve">ORD-12973</t>
  </si>
  <si>
    <t xml:space="preserve">ORD-12974</t>
  </si>
  <si>
    <t xml:space="preserve">ORD-12975</t>
  </si>
  <si>
    <t xml:space="preserve">ORD-12976</t>
  </si>
  <si>
    <t xml:space="preserve">ORD-12977</t>
  </si>
  <si>
    <t xml:space="preserve">ORD-12978</t>
  </si>
  <si>
    <t xml:space="preserve">ORD-12979</t>
  </si>
  <si>
    <t xml:space="preserve">ORD-12980</t>
  </si>
  <si>
    <t xml:space="preserve">ORD-12981</t>
  </si>
  <si>
    <t xml:space="preserve">ORD-12982</t>
  </si>
  <si>
    <t xml:space="preserve">ORD-12983</t>
  </si>
  <si>
    <t xml:space="preserve">ORD-12984</t>
  </si>
  <si>
    <t xml:space="preserve">ORD-12985</t>
  </si>
  <si>
    <t xml:space="preserve">ORD-12986</t>
  </si>
  <si>
    <t xml:space="preserve">ORD-12987</t>
  </si>
  <si>
    <t xml:space="preserve">ORD-12988</t>
  </si>
  <si>
    <t xml:space="preserve">ORD-12989</t>
  </si>
  <si>
    <t xml:space="preserve">ORD-12990</t>
  </si>
  <si>
    <t xml:space="preserve">ORD-12991</t>
  </si>
  <si>
    <t xml:space="preserve">ORD-12992</t>
  </si>
  <si>
    <t xml:space="preserve">ORD-12993</t>
  </si>
  <si>
    <t xml:space="preserve">ORD-12994</t>
  </si>
  <si>
    <t xml:space="preserve">ORD-12995</t>
  </si>
  <si>
    <t xml:space="preserve">ORD-12996</t>
  </si>
  <si>
    <t xml:space="preserve">ORD-12997</t>
  </si>
  <si>
    <t xml:space="preserve">ORD-12998</t>
  </si>
  <si>
    <t xml:space="preserve">ORD-12999</t>
  </si>
  <si>
    <t xml:space="preserve">ORD-13000</t>
  </si>
  <si>
    <t xml:space="preserve">Data Cleaning &amp; Validation Log</t>
  </si>
  <si>
    <t xml:space="preserve">Every figure is a live formula on the raw and clean sheets.</t>
  </si>
  <si>
    <t xml:space="preserve">Check</t>
  </si>
  <si>
    <t xml:space="preserve">Result</t>
  </si>
  <si>
    <t xml:space="preserve">What it means / action taken</t>
  </si>
  <si>
    <t xml:space="preserve">Raw sales records received</t>
  </si>
  <si>
    <t xml:space="preserve">Rows in the original sales export</t>
  </si>
  <si>
    <t xml:space="preserve">Duplicate records</t>
  </si>
  <si>
    <t xml:space="preserve">Same Order ID repeated – later copies removed</t>
  </si>
  <si>
    <t xml:space="preserve">Product IDs needing formatting fix</t>
  </si>
  <si>
    <t xml:space="preserve">Extra spaces / lowercase – fixed with UPPER(TRIM())</t>
  </si>
  <si>
    <t xml:space="preserve">Unmatched Product IDs (non-duplicate)</t>
  </si>
  <si>
    <t xml:space="preserve">ID not found in Product master – excluded and flagged for follow-up</t>
  </si>
  <si>
    <t xml:space="preserve">Records kept for analysis</t>
  </si>
  <si>
    <t xml:space="preserve">Unique, matched records</t>
  </si>
  <si>
    <t xml:space="preserve">Records in Clean_Data sheet</t>
  </si>
  <si>
    <t xml:space="preserve">Should equal 'Records kept'</t>
  </si>
  <si>
    <t xml:space="preserve">Reconciliation check</t>
  </si>
  <si>
    <t xml:space="preserve">Clean_Data vs. Raw_Sales 'Keep' rows</t>
  </si>
  <si>
    <t xml:space="preserve">Orders with no expense record</t>
  </si>
  <si>
    <t xml:space="preserve">Operating expense treated as 0 – verify with finance</t>
  </si>
  <si>
    <t xml:space="preserve">Total raw expense records</t>
  </si>
  <si>
    <t xml:space="preserve">Expense rows received</t>
  </si>
  <si>
    <t xml:space="preserve">Cleaning steps applied</t>
  </si>
  <si>
    <t xml:space="preserve">1. Standardised Product IDs with UPPER(TRIM()) to remove spaces and case differences.</t>
  </si>
  <si>
    <t xml:space="preserve">2. Flagged duplicates with an expanding COUNTIF on Order ID; only the first occurrence is kept.</t>
  </si>
  <si>
    <t xml:space="preserve">3. Validated each Product ID against the Product master with MATCH; unmatched IDs excluded.</t>
  </si>
  <si>
    <t xml:space="preserve">4. Combined sales with product details using VLOOKUP and with expenses using INDEX/MATCH (the classic equivalent of XLOOKUP).</t>
  </si>
  <si>
    <t xml:space="preserve">5. Reconciled record counts between Raw_Sales and Clean_Data.</t>
  </si>
  <si>
    <t xml:space="preserve">Raw Sales Records (as received)</t>
  </si>
  <si>
    <t xml:space="preserve">Columns A–F are the raw export. Columns G–J are cleaning checks driven by formulas.</t>
  </si>
  <si>
    <t xml:space="preserve">Product ID (raw)</t>
  </si>
  <si>
    <t xml:space="preserve">Product ID (clean)</t>
  </si>
  <si>
    <t xml:space="preserve">Product Match?</t>
  </si>
  <si>
    <t xml:space="preserve">Duplicate?</t>
  </si>
  <si>
    <t xml:space="preserve">Action</t>
  </si>
  <si>
    <t xml:space="preserve">p001</t>
  </si>
  <si>
    <t xml:space="preserve">p016</t>
  </si>
  <si>
    <t xml:space="preserve">p003</t>
  </si>
  <si>
    <t xml:space="preserve"> P019 </t>
  </si>
  <si>
    <t xml:space="preserve"> P015 </t>
  </si>
  <si>
    <t xml:space="preserve"> P002 </t>
  </si>
  <si>
    <t xml:space="preserve">p002</t>
  </si>
  <si>
    <t xml:space="preserve">p011</t>
  </si>
  <si>
    <t xml:space="preserve">p007</t>
  </si>
  <si>
    <t xml:space="preserve">p015</t>
  </si>
  <si>
    <t xml:space="preserve">p005</t>
  </si>
  <si>
    <t xml:space="preserve"> P010 </t>
  </si>
  <si>
    <t xml:space="preserve">ORD-10954</t>
  </si>
  <si>
    <t xml:space="preserve">P901</t>
  </si>
  <si>
    <t xml:space="preserve">ORD-10959</t>
  </si>
  <si>
    <t xml:space="preserve">P906</t>
  </si>
  <si>
    <t xml:space="preserve">p019</t>
  </si>
  <si>
    <t xml:space="preserve"> P012 </t>
  </si>
  <si>
    <t xml:space="preserve">ORD-11202</t>
  </si>
  <si>
    <t xml:space="preserve">P907</t>
  </si>
  <si>
    <t xml:space="preserve">ORD-11233</t>
  </si>
  <si>
    <t xml:space="preserve">P905</t>
  </si>
  <si>
    <t xml:space="preserve"> P006 </t>
  </si>
  <si>
    <t xml:space="preserve">ORD-11341</t>
  </si>
  <si>
    <t xml:space="preserve">ORD-11361</t>
  </si>
  <si>
    <t xml:space="preserve">P904</t>
  </si>
  <si>
    <t xml:space="preserve">ORD-11455</t>
  </si>
  <si>
    <t xml:space="preserve">ORD-11544</t>
  </si>
  <si>
    <t xml:space="preserve">P902</t>
  </si>
  <si>
    <t xml:space="preserve"> P014 </t>
  </si>
  <si>
    <t xml:space="preserve"> P004 </t>
  </si>
  <si>
    <t xml:space="preserve">ORD-11592</t>
  </si>
  <si>
    <t xml:space="preserve">p012</t>
  </si>
  <si>
    <t xml:space="preserve">ORD-11621</t>
  </si>
  <si>
    <t xml:space="preserve">P909</t>
  </si>
  <si>
    <t xml:space="preserve">ORD-11743</t>
  </si>
  <si>
    <t xml:space="preserve">ORD-11775</t>
  </si>
  <si>
    <t xml:space="preserve">ORD-11824</t>
  </si>
  <si>
    <t xml:space="preserve">P908</t>
  </si>
  <si>
    <t xml:space="preserve"> P001 </t>
  </si>
  <si>
    <t xml:space="preserve">p004</t>
  </si>
  <si>
    <t xml:space="preserve">ORD-12339</t>
  </si>
  <si>
    <t xml:space="preserve">P900</t>
  </si>
  <si>
    <t xml:space="preserve"> P016 </t>
  </si>
  <si>
    <t xml:space="preserve">p006</t>
  </si>
  <si>
    <t xml:space="preserve">p014</t>
  </si>
  <si>
    <t xml:space="preserve"> P003 </t>
  </si>
  <si>
    <t xml:space="preserve"> P011 </t>
  </si>
  <si>
    <t xml:space="preserve">p018</t>
  </si>
  <si>
    <t xml:space="preserve">ORD-12920</t>
  </si>
  <si>
    <t xml:space="preserve">P903</t>
  </si>
  <si>
    <t xml:space="preserve">Raw Expense Records (as received)</t>
  </si>
  <si>
    <t xml:space="preserve">One expense record per order: Shipping, Marketing, Packaging or Platform Fees.</t>
  </si>
  <si>
    <t xml:space="preserve">Expense Type</t>
  </si>
  <si>
    <t xml:space="preserve">Expense Amount</t>
  </si>
  <si>
    <t xml:space="preserve">Platform Fees</t>
  </si>
  <si>
    <t xml:space="preserve">Shipping</t>
  </si>
  <si>
    <t xml:space="preserve">Packaging</t>
  </si>
  <si>
    <t xml:space="preserve">Marketing</t>
  </si>
  <si>
    <t xml:space="preserve">Product Master</t>
  </si>
  <si>
    <t xml:space="preserve">Lookup table used by VLOOKUP / INDEX-MATCH. Unit costs are inputs (blue).</t>
  </si>
  <si>
    <t xml:space="preserve">List Price</t>
  </si>
  <si>
    <t xml:space="preserve">Wireless Mouse</t>
  </si>
  <si>
    <t xml:space="preserve">Electronics</t>
  </si>
  <si>
    <t xml:space="preserve">Mechanical Keyboard</t>
  </si>
  <si>
    <t xml:space="preserve">USB-C Hub</t>
  </si>
  <si>
    <t xml:space="preserve">Laptop Stand</t>
  </si>
  <si>
    <t xml:space="preserve">Accessories</t>
  </si>
  <si>
    <t xml:space="preserve">HD Webcam</t>
  </si>
  <si>
    <t xml:space="preserve">Noise-Cancelling Headphones</t>
  </si>
  <si>
    <t xml:space="preserve">Office Chair</t>
  </si>
  <si>
    <t xml:space="preserve">Furniture</t>
  </si>
  <si>
    <t xml:space="preserve">Standing Desk</t>
  </si>
  <si>
    <t xml:space="preserve">Desk Lamp</t>
  </si>
  <si>
    <t xml:space="preserve">24-inch Monitor</t>
  </si>
  <si>
    <t xml:space="preserve">Notebook Set</t>
  </si>
  <si>
    <t xml:space="preserve">Stationery</t>
  </si>
  <si>
    <t xml:space="preserve">Gel Pen Pack</t>
  </si>
  <si>
    <t xml:space="preserve">Whiteboard</t>
  </si>
  <si>
    <t xml:space="preserve">Backpack</t>
  </si>
  <si>
    <t xml:space="preserve">Water Bottle</t>
  </si>
  <si>
    <t xml:space="preserve">Phone Stand</t>
  </si>
  <si>
    <t xml:space="preserve">Bluetooth Speaker</t>
  </si>
  <si>
    <t xml:space="preserve">External SSD 1TB</t>
  </si>
  <si>
    <t xml:space="preserve">Printer Paper Ream</t>
  </si>
  <si>
    <t xml:space="preserve">Ergonomic Footrest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</si>
</sst>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"/>
    <numFmt numFmtId="167" formatCode="#,##0"/>
    <numFmt numFmtId="168" formatCode="\$#,##0"/>
    <numFmt numFmtId="169" formatCode="mmm\-yyyy"/>
    <numFmt numFmtId="170" formatCode="General"/>
    <numFmt numFmtId="171" formatCode="dd\-mmm\-yyyy"/>
    <numFmt numFmtId="172" formatCode="\$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2E75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</font>
      <fill>
        <patternFill>
          <bgColor rgb="FFFFE69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Total Cost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Monthly_Analysis!C5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Monthly_Analysis!$A$6:$A$17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Monthly_Analysis!$C$6:$C$17</c:f>
              <c:numCache>
                <c:formatCode>\$#,##0;"($"#,##0\);\-</c:formatCode>
                <c:ptCount val="12"/>
                <c:pt idx="0">
                  <c:v>29209.06</c:v>
                </c:pt>
                <c:pt idx="1">
                  <c:v>20310.63</c:v>
                </c:pt>
                <c:pt idx="2">
                  <c:v>33633.95</c:v>
                </c:pt>
                <c:pt idx="3">
                  <c:v>27498.26</c:v>
                </c:pt>
                <c:pt idx="4">
                  <c:v>29595.33</c:v>
                </c:pt>
                <c:pt idx="5">
                  <c:v>30965.46</c:v>
                </c:pt>
                <c:pt idx="6">
                  <c:v>31222.43</c:v>
                </c:pt>
                <c:pt idx="7">
                  <c:v>33224.72</c:v>
                </c:pt>
                <c:pt idx="8">
                  <c:v>34426.33</c:v>
                </c:pt>
                <c:pt idx="9">
                  <c:v>37015.49</c:v>
                </c:pt>
                <c:pt idx="10">
                  <c:v>42870.74</c:v>
                </c:pt>
                <c:pt idx="11">
                  <c:v>44234.98</c:v>
                </c:pt>
              </c:numCache>
            </c:numRef>
          </c:val>
        </c:ser>
        <c:ser>
          <c:idx val="1"/>
          <c:order val="1"/>
          <c:tx>
            <c:strRef>
              <c:f>Monthly_Analysis!F5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Monthly_Analysis!$A$6:$A$17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Monthly_Analysis!$F$6:$F$17</c:f>
              <c:numCache>
                <c:formatCode>\$#,##0;"($"#,##0\);\-</c:formatCode>
                <c:ptCount val="12"/>
                <c:pt idx="0">
                  <c:v>15396.04</c:v>
                </c:pt>
                <c:pt idx="1">
                  <c:v>10443.35</c:v>
                </c:pt>
                <c:pt idx="2">
                  <c:v>17866.56</c:v>
                </c:pt>
                <c:pt idx="3">
                  <c:v>14269.82</c:v>
                </c:pt>
                <c:pt idx="4">
                  <c:v>15606.16</c:v>
                </c:pt>
                <c:pt idx="5">
                  <c:v>16202.89</c:v>
                </c:pt>
                <c:pt idx="6">
                  <c:v>16345.74</c:v>
                </c:pt>
                <c:pt idx="7">
                  <c:v>17310.54</c:v>
                </c:pt>
                <c:pt idx="8">
                  <c:v>17711.98</c:v>
                </c:pt>
                <c:pt idx="9">
                  <c:v>19592.35</c:v>
                </c:pt>
                <c:pt idx="10">
                  <c:v>22031.07</c:v>
                </c:pt>
                <c:pt idx="11">
                  <c:v>22663.25</c:v>
                </c:pt>
              </c:numCache>
            </c:numRef>
          </c:val>
        </c:ser>
        <c:gapWidth val="150"/>
        <c:overlap val="0"/>
        <c:axId val="43216643"/>
        <c:axId val="38727227"/>
      </c:barChart>
      <c:lineChart>
        <c:grouping val="standard"/>
        <c:varyColors val="0"/>
        <c:ser>
          <c:idx val="2"/>
          <c:order val="2"/>
          <c:tx>
            <c:strRef>
              <c:f>Monthly_Analysis!G5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Monthly_Analysis!$A$6:$A$17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Monthly_Analysis!$G$6:$G$17</c:f>
              <c:numCache>
                <c:formatCode>\$#,##0;"($"#,##0\);\-</c:formatCode>
                <c:ptCount val="12"/>
                <c:pt idx="0">
                  <c:v>13813.02</c:v>
                </c:pt>
                <c:pt idx="1">
                  <c:v>9867.28</c:v>
                </c:pt>
                <c:pt idx="2">
                  <c:v>15767.39</c:v>
                </c:pt>
                <c:pt idx="3">
                  <c:v>13228.44</c:v>
                </c:pt>
                <c:pt idx="4">
                  <c:v>13989.17</c:v>
                </c:pt>
                <c:pt idx="5">
                  <c:v>14762.57</c:v>
                </c:pt>
                <c:pt idx="6">
                  <c:v>14876.69</c:v>
                </c:pt>
                <c:pt idx="7">
                  <c:v>15914.18</c:v>
                </c:pt>
                <c:pt idx="8">
                  <c:v>16714.35</c:v>
                </c:pt>
                <c:pt idx="9">
                  <c:v>17423.14</c:v>
                </c:pt>
                <c:pt idx="10">
                  <c:v>20839.67</c:v>
                </c:pt>
                <c:pt idx="11">
                  <c:v>21571.73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216643"/>
        <c:axId val="38727227"/>
      </c:lineChart>
      <c:catAx>
        <c:axId val="43216643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27227"/>
        <c:crosses val="autoZero"/>
        <c:auto val="1"/>
        <c:lblAlgn val="ctr"/>
        <c:lblOffset val="100"/>
        <c:noMultiLvlLbl val="0"/>
      </c:catAx>
      <c:valAx>
        <c:axId val="38727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166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Product_Analysis!N5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Product_Analysis!$L$6:$L$10</c:f>
              <c:strCache>
                <c:ptCount val="5"/>
                <c:pt idx="0">
                  <c:v>Office Chair</c:v>
                </c:pt>
                <c:pt idx="1">
                  <c:v>Standing Desk</c:v>
                </c:pt>
                <c:pt idx="2">
                  <c:v>Noise-Cancelling Headphones</c:v>
                </c:pt>
                <c:pt idx="3">
                  <c:v>24-inch Monitor</c:v>
                </c:pt>
                <c:pt idx="4">
                  <c:v>External SSD 1TB</c:v>
                </c:pt>
              </c:strCache>
            </c:strRef>
          </c:cat>
          <c:val>
            <c:numRef>
              <c:f>Product_Analysis!$N$6:$N$10</c:f>
              <c:numCache>
                <c:formatCode>\$#,##0;"($"#,##0\);\-</c:formatCode>
                <c:ptCount val="5"/>
                <c:pt idx="0">
                  <c:v>23444.77</c:v>
                </c:pt>
                <c:pt idx="1">
                  <c:v>20954.41</c:v>
                </c:pt>
                <c:pt idx="2">
                  <c:v>19850.6</c:v>
                </c:pt>
                <c:pt idx="3">
                  <c:v>13408.59</c:v>
                </c:pt>
                <c:pt idx="4">
                  <c:v>13366.46</c:v>
                </c:pt>
              </c:numCache>
            </c:numRef>
          </c:val>
        </c:ser>
        <c:gapWidth val="150"/>
        <c:overlap val="0"/>
        <c:axId val="14808365"/>
        <c:axId val="98498372"/>
      </c:barChart>
      <c:catAx>
        <c:axId val="148083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98372"/>
        <c:crosses val="autoZero"/>
        <c:auto val="1"/>
        <c:lblAlgn val="ctr"/>
        <c:lblOffset val="100"/>
        <c:noMultiLvlLbl val="0"/>
      </c:catAx>
      <c:valAx>
        <c:axId val="98498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08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621720</xdr:colOff>
      <xdr:row>24</xdr:row>
      <xdr:rowOff>11520</xdr:rowOff>
    </xdr:to>
    <xdr:graphicFrame>
      <xdr:nvGraphicFramePr>
        <xdr:cNvPr id="0" name="Chart 1"/>
        <xdr:cNvGraphicFramePr/>
      </xdr:nvGraphicFramePr>
      <xdr:xfrm>
        <a:off x="0" y="1523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13</xdr:col>
      <xdr:colOff>206640</xdr:colOff>
      <xdr:row>24</xdr:row>
      <xdr:rowOff>11520</xdr:rowOff>
    </xdr:to>
    <xdr:graphicFrame>
      <xdr:nvGraphicFramePr>
        <xdr:cNvPr id="1" name="Chart 2"/>
        <xdr:cNvGraphicFramePr/>
      </xdr:nvGraphicFramePr>
      <xdr:xfrm>
        <a:off x="6414120" y="1523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Sales" displayName="tblSales" ref="A4:P2989" headerRowCount="1" totalsRowCount="0" totalsRowShown="0">
  <autoFilter ref="A4:P2989"/>
  <tableColumns count="16">
    <tableColumn id="1" name="Order ID"/>
    <tableColumn id="2" name="Order Date"/>
    <tableColumn id="3" name="Product ID"/>
    <tableColumn id="4" name="Qty"/>
    <tableColumn id="5" name="Unit Price"/>
    <tableColumn id="6" name="Region"/>
    <tableColumn id="7" name="Product Name"/>
    <tableColumn id="8" name="Category"/>
    <tableColumn id="9" name="Unit Cost"/>
    <tableColumn id="10" name="Month"/>
    <tableColumn id="11" name="Revenue"/>
    <tableColumn id="12" name="COGS"/>
    <tableColumn id="13" name="Operating Expense"/>
    <tableColumn id="14" name="Total Cost"/>
    <tableColumn id="15" name="Profit"/>
    <tableColumn id="16" name="Profit 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1"/>
      <c r="C2" s="1"/>
      <c r="D2" s="1"/>
      <c r="E2" s="1"/>
      <c r="F2" s="1"/>
    </row>
    <row r="4" customFormat="false" ht="15" hidden="false" customHeight="true" outlineLevel="0" collapsed="false">
      <c r="B4" s="2" t="s">
        <v>1</v>
      </c>
      <c r="C4" s="3" t="s">
        <v>2</v>
      </c>
      <c r="D4" s="3"/>
      <c r="E4" s="3"/>
      <c r="F4" s="3"/>
    </row>
    <row r="5" customFormat="false" ht="15" hidden="false" customHeight="true" outlineLevel="0" collapsed="false">
      <c r="B5" s="2" t="s">
        <v>3</v>
      </c>
      <c r="C5" s="3" t="s">
        <v>4</v>
      </c>
      <c r="D5" s="3"/>
      <c r="E5" s="3"/>
      <c r="F5" s="3"/>
    </row>
    <row r="6" customFormat="false" ht="15" hidden="false" customHeight="true" outlineLevel="0" collapsed="false">
      <c r="B6" s="2" t="s">
        <v>5</v>
      </c>
      <c r="C6" s="3" t="s">
        <v>6</v>
      </c>
      <c r="D6" s="3"/>
      <c r="E6" s="3"/>
      <c r="F6" s="3"/>
    </row>
    <row r="7" customFormat="false" ht="15" hidden="false" customHeight="true" outlineLevel="0" collapsed="false">
      <c r="B7" s="2" t="s">
        <v>7</v>
      </c>
      <c r="C7" s="3" t="s">
        <v>8</v>
      </c>
      <c r="D7" s="3"/>
      <c r="E7" s="3"/>
      <c r="F7" s="3"/>
    </row>
    <row r="8" customFormat="false" ht="30" hidden="false" customHeight="true" outlineLevel="0" collapsed="false">
      <c r="B8" s="2" t="s">
        <v>9</v>
      </c>
      <c r="C8" s="3" t="s">
        <v>10</v>
      </c>
      <c r="D8" s="3"/>
      <c r="E8" s="3"/>
      <c r="F8" s="3"/>
    </row>
    <row r="10" customFormat="false" ht="15" hidden="false" customHeight="false" outlineLevel="0" collapsed="false">
      <c r="B10" s="4" t="s">
        <v>11</v>
      </c>
    </row>
    <row r="11" customFormat="false" ht="27.75" hidden="false" customHeight="true" outlineLevel="0" collapsed="false">
      <c r="B11" s="5" t="s">
        <v>12</v>
      </c>
      <c r="C11" s="5"/>
      <c r="D11" s="5"/>
      <c r="E11" s="5"/>
      <c r="F11" s="5"/>
    </row>
    <row r="12" customFormat="false" ht="27.75" hidden="false" customHeight="true" outlineLevel="0" collapsed="false">
      <c r="B12" s="5" t="s">
        <v>13</v>
      </c>
      <c r="C12" s="5"/>
      <c r="D12" s="5"/>
      <c r="E12" s="5"/>
      <c r="F12" s="5"/>
    </row>
    <row r="14" customFormat="false" ht="15" hidden="false" customHeight="false" outlineLevel="0" collapsed="false">
      <c r="B14" s="4" t="s">
        <v>14</v>
      </c>
    </row>
    <row r="15" customFormat="false" ht="30" hidden="false" customHeight="true" outlineLevel="0" collapsed="false">
      <c r="B15" s="6" t="s">
        <v>15</v>
      </c>
      <c r="C15" s="6" t="s">
        <v>16</v>
      </c>
      <c r="D15" s="6" t="s">
        <v>17</v>
      </c>
      <c r="E15" s="6" t="s">
        <v>18</v>
      </c>
      <c r="F15" s="6" t="s">
        <v>19</v>
      </c>
    </row>
    <row r="16" customFormat="false" ht="15" hidden="false" customHeight="false" outlineLevel="0" collapsed="false">
      <c r="B16" s="7" t="n">
        <v>1</v>
      </c>
      <c r="C16" s="8" t="s">
        <v>20</v>
      </c>
      <c r="D16" s="8" t="s">
        <v>21</v>
      </c>
      <c r="E16" s="8" t="s">
        <v>22</v>
      </c>
      <c r="F16" s="9" t="s">
        <v>23</v>
      </c>
    </row>
    <row r="17" customFormat="false" ht="15" hidden="false" customHeight="false" outlineLevel="0" collapsed="false">
      <c r="B17" s="10" t="n">
        <v>2</v>
      </c>
      <c r="C17" s="11" t="s">
        <v>24</v>
      </c>
      <c r="D17" s="11" t="s">
        <v>25</v>
      </c>
      <c r="E17" s="11" t="s">
        <v>22</v>
      </c>
      <c r="F17" s="12" t="s">
        <v>23</v>
      </c>
    </row>
    <row r="18" customFormat="false" ht="23.85" hidden="false" customHeight="false" outlineLevel="0" collapsed="false">
      <c r="B18" s="7" t="n">
        <v>3</v>
      </c>
      <c r="C18" s="8" t="s">
        <v>26</v>
      </c>
      <c r="D18" s="8" t="s">
        <v>27</v>
      </c>
      <c r="E18" s="8" t="s">
        <v>28</v>
      </c>
      <c r="F18" s="9" t="s">
        <v>23</v>
      </c>
    </row>
    <row r="19" customFormat="false" ht="23.85" hidden="false" customHeight="false" outlineLevel="0" collapsed="false">
      <c r="B19" s="10" t="n">
        <v>4</v>
      </c>
      <c r="C19" s="11" t="s">
        <v>29</v>
      </c>
      <c r="D19" s="11" t="s">
        <v>30</v>
      </c>
      <c r="E19" s="11" t="s">
        <v>28</v>
      </c>
      <c r="F19" s="12" t="s">
        <v>23</v>
      </c>
    </row>
    <row r="20" customFormat="false" ht="15" hidden="false" customHeight="false" outlineLevel="0" collapsed="false">
      <c r="B20" s="7" t="n">
        <v>5</v>
      </c>
      <c r="C20" s="8" t="s">
        <v>31</v>
      </c>
      <c r="D20" s="8" t="s">
        <v>32</v>
      </c>
      <c r="E20" s="8" t="s">
        <v>33</v>
      </c>
      <c r="F20" s="9" t="s">
        <v>23</v>
      </c>
    </row>
    <row r="21" customFormat="false" ht="23.85" hidden="false" customHeight="false" outlineLevel="0" collapsed="false">
      <c r="B21" s="10" t="n">
        <v>6</v>
      </c>
      <c r="C21" s="11" t="s">
        <v>34</v>
      </c>
      <c r="D21" s="11" t="s">
        <v>35</v>
      </c>
      <c r="E21" s="11" t="s">
        <v>33</v>
      </c>
      <c r="F21" s="12" t="s">
        <v>23</v>
      </c>
    </row>
    <row r="22" customFormat="false" ht="15" hidden="false" customHeight="false" outlineLevel="0" collapsed="false">
      <c r="B22" s="7" t="n">
        <v>7</v>
      </c>
      <c r="C22" s="8" t="s">
        <v>36</v>
      </c>
      <c r="D22" s="8" t="s">
        <v>37</v>
      </c>
      <c r="E22" s="8" t="s">
        <v>33</v>
      </c>
      <c r="F22" s="9" t="s">
        <v>23</v>
      </c>
    </row>
    <row r="23" customFormat="false" ht="15" hidden="false" customHeight="false" outlineLevel="0" collapsed="false">
      <c r="B23" s="10" t="n">
        <v>8</v>
      </c>
      <c r="C23" s="11" t="s">
        <v>38</v>
      </c>
      <c r="D23" s="11" t="s">
        <v>39</v>
      </c>
      <c r="E23" s="11" t="s">
        <v>40</v>
      </c>
      <c r="F23" s="12" t="s">
        <v>23</v>
      </c>
    </row>
    <row r="24" customFormat="false" ht="23.85" hidden="false" customHeight="false" outlineLevel="0" collapsed="false">
      <c r="B24" s="7" t="n">
        <v>9</v>
      </c>
      <c r="C24" s="8" t="s">
        <v>41</v>
      </c>
      <c r="D24" s="8" t="s">
        <v>42</v>
      </c>
      <c r="E24" s="8" t="s">
        <v>43</v>
      </c>
      <c r="F24" s="9" t="s">
        <v>23</v>
      </c>
    </row>
    <row r="25" customFormat="false" ht="15" hidden="false" customHeight="false" outlineLevel="0" collapsed="false">
      <c r="B25" s="10" t="n">
        <v>10</v>
      </c>
      <c r="C25" s="11" t="s">
        <v>44</v>
      </c>
      <c r="D25" s="11" t="s">
        <v>45</v>
      </c>
      <c r="E25" s="11" t="s">
        <v>46</v>
      </c>
      <c r="F25" s="12" t="s">
        <v>23</v>
      </c>
    </row>
    <row r="27" customFormat="false" ht="15" hidden="false" customHeight="false" outlineLevel="0" collapsed="false">
      <c r="B27" s="4" t="s">
        <v>47</v>
      </c>
    </row>
    <row r="28" customFormat="false" ht="15" hidden="false" customHeight="false" outlineLevel="0" collapsed="false">
      <c r="B28" s="13" t="s">
        <v>46</v>
      </c>
      <c r="C28" s="14" t="s">
        <v>48</v>
      </c>
      <c r="D28" s="14"/>
      <c r="E28" s="14"/>
      <c r="F28" s="14"/>
    </row>
    <row r="29" customFormat="false" ht="15" hidden="false" customHeight="false" outlineLevel="0" collapsed="false">
      <c r="B29" s="13" t="s">
        <v>40</v>
      </c>
      <c r="C29" s="14" t="s">
        <v>49</v>
      </c>
      <c r="D29" s="14"/>
      <c r="E29" s="14"/>
      <c r="F29" s="14"/>
    </row>
    <row r="30" customFormat="false" ht="15" hidden="false" customHeight="false" outlineLevel="0" collapsed="false">
      <c r="B30" s="13" t="s">
        <v>43</v>
      </c>
      <c r="C30" s="14" t="s">
        <v>50</v>
      </c>
      <c r="D30" s="14"/>
      <c r="E30" s="14"/>
      <c r="F30" s="14"/>
    </row>
    <row r="31" customFormat="false" ht="15" hidden="false" customHeight="false" outlineLevel="0" collapsed="false">
      <c r="B31" s="13" t="s">
        <v>33</v>
      </c>
      <c r="C31" s="14" t="s">
        <v>51</v>
      </c>
      <c r="D31" s="14"/>
      <c r="E31" s="14"/>
      <c r="F31" s="14"/>
    </row>
    <row r="32" customFormat="false" ht="15" hidden="false" customHeight="false" outlineLevel="0" collapsed="false">
      <c r="B32" s="13" t="s">
        <v>52</v>
      </c>
      <c r="C32" s="14" t="s">
        <v>53</v>
      </c>
      <c r="D32" s="14"/>
      <c r="E32" s="14"/>
      <c r="F32" s="14"/>
    </row>
    <row r="33" customFormat="false" ht="15" hidden="false" customHeight="false" outlineLevel="0" collapsed="false">
      <c r="B33" s="13" t="s">
        <v>54</v>
      </c>
      <c r="C33" s="14" t="s">
        <v>55</v>
      </c>
      <c r="D33" s="14"/>
      <c r="E33" s="14"/>
      <c r="F33" s="14"/>
    </row>
    <row r="34" customFormat="false" ht="15" hidden="false" customHeight="false" outlineLevel="0" collapsed="false">
      <c r="B34" s="13" t="s">
        <v>56</v>
      </c>
      <c r="C34" s="14" t="s">
        <v>57</v>
      </c>
      <c r="D34" s="14"/>
      <c r="E34" s="14"/>
      <c r="F34" s="14"/>
    </row>
    <row r="36" customFormat="false" ht="15" hidden="false" customHeight="false" outlineLevel="0" collapsed="false">
      <c r="B36" s="4" t="s">
        <v>58</v>
      </c>
    </row>
    <row r="37" customFormat="false" ht="15" hidden="false" customHeight="false" outlineLevel="0" collapsed="false">
      <c r="B37" s="14" t="s">
        <v>59</v>
      </c>
      <c r="C37" s="14"/>
      <c r="D37" s="14"/>
      <c r="E37" s="14"/>
      <c r="F37" s="14"/>
    </row>
    <row r="38" customFormat="false" ht="15" hidden="false" customHeight="false" outlineLevel="0" collapsed="false">
      <c r="B38" s="14" t="s">
        <v>60</v>
      </c>
      <c r="C38" s="14"/>
      <c r="D38" s="14"/>
      <c r="E38" s="14"/>
      <c r="F38" s="14"/>
    </row>
    <row r="39" customFormat="false" ht="15" hidden="false" customHeight="false" outlineLevel="0" collapsed="false">
      <c r="B39" s="14" t="s">
        <v>61</v>
      </c>
      <c r="C39" s="14"/>
      <c r="D39" s="14"/>
      <c r="E39" s="14"/>
      <c r="F39" s="14"/>
    </row>
  </sheetData>
  <mergeCells count="18">
    <mergeCell ref="B1:F2"/>
    <mergeCell ref="C4:F4"/>
    <mergeCell ref="C5:F5"/>
    <mergeCell ref="C6:F6"/>
    <mergeCell ref="C7:F7"/>
    <mergeCell ref="C8:F8"/>
    <mergeCell ref="B11:F11"/>
    <mergeCell ref="B12:F12"/>
    <mergeCell ref="C28:F28"/>
    <mergeCell ref="C29:F29"/>
    <mergeCell ref="C30:F30"/>
    <mergeCell ref="C31:F31"/>
    <mergeCell ref="C32:F32"/>
    <mergeCell ref="C33:F33"/>
    <mergeCell ref="C34:F34"/>
    <mergeCell ref="B37:F37"/>
    <mergeCell ref="B38:F38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</cols>
  <sheetData>
    <row r="1" customFormat="false" ht="15" hidden="false" customHeight="false" outlineLevel="0" collapsed="false">
      <c r="A1" s="15" t="s">
        <v>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15" hidden="false" customHeight="false" outlineLevel="0" collapsed="false">
      <c r="A3" s="16" t="s">
        <v>63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5" customFormat="false" ht="15" hidden="false" customHeight="false" outlineLevel="0" collapsed="false">
      <c r="A5" s="17" t="s">
        <v>64</v>
      </c>
      <c r="B5" s="17"/>
      <c r="C5" s="17" t="s">
        <v>65</v>
      </c>
      <c r="D5" s="17"/>
      <c r="E5" s="17" t="s">
        <v>66</v>
      </c>
      <c r="F5" s="17"/>
      <c r="G5" s="17" t="s">
        <v>67</v>
      </c>
      <c r="H5" s="17"/>
      <c r="I5" s="17" t="s">
        <v>68</v>
      </c>
      <c r="J5" s="17"/>
      <c r="K5" s="17" t="s">
        <v>69</v>
      </c>
      <c r="L5" s="17"/>
    </row>
    <row r="6" customFormat="false" ht="15" hidden="false" customHeight="false" outlineLevel="0" collapsed="false">
      <c r="A6" s="18" t="n">
        <f aca="false">Monthly_Analysis!C18</f>
        <v>394207.38</v>
      </c>
      <c r="B6" s="18"/>
      <c r="C6" s="18" t="n">
        <f aca="false">Monthly_Analysis!F18</f>
        <v>205439.75</v>
      </c>
      <c r="D6" s="18"/>
      <c r="E6" s="18" t="n">
        <f aca="false">Monthly_Analysis!G18</f>
        <v>188767.63</v>
      </c>
      <c r="F6" s="18"/>
      <c r="G6" s="19" t="n">
        <f aca="false">Monthly_Analysis!H18</f>
        <v>0.478853617606043</v>
      </c>
      <c r="H6" s="19"/>
      <c r="I6" s="20" t="n">
        <f aca="false">Monthly_Analysis!B18</f>
        <v>2985</v>
      </c>
      <c r="J6" s="20"/>
      <c r="K6" s="18" t="n">
        <f aca="false">IF(Monthly_Analysis!B18=0,0,Monthly_Analysis!C18/Monthly_Analysis!B18)</f>
        <v>132.062773869347</v>
      </c>
      <c r="L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9"/>
      <c r="H7" s="19"/>
      <c r="I7" s="20"/>
      <c r="J7" s="20"/>
      <c r="K7" s="18"/>
      <c r="L7" s="18"/>
    </row>
    <row r="28" customFormat="false" ht="15" hidden="false" customHeight="false" outlineLevel="0" collapsed="false">
      <c r="A28" s="4" t="s">
        <v>70</v>
      </c>
    </row>
    <row r="29" customFormat="false" ht="15" hidden="false" customHeight="false" outlineLevel="0" collapsed="false">
      <c r="A29" s="14" t="str">
        <f aca="false">"• Best profit month: "&amp;TEXT(INDEX(Monthly_Analysis!$A$6:$A$17,MATCH(MAX(Monthly_Analysis!$G$6:$G$17),Monthly_Analysis!$G$6:$G$17,0)),"mmmm yyyy")&amp;" with profit of $"&amp;TEXT(MAX(Monthly_Analysis!$G$6:$G$17),"#,##0")&amp;"."</f>
        <v>• Best profit month: December 2025 with profit of $21,572.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5" hidden="false" customHeight="false" outlineLevel="0" collapsed="false">
      <c r="A30" s="14" t="str">
        <f aca="false">"• Weakest profit month: "&amp;TEXT(INDEX(Monthly_Analysis!$A$6:$A$17,MATCH(MIN(Monthly_Analysis!$G$6:$G$17),Monthly_Analysis!$G$6:$G$17,0)),"mmmm yyyy")&amp;" with profit of $"&amp;TEXT(MIN(Monthly_Analysis!$G$6:$G$17),"#,##0")&amp;"."</f>
        <v>• Weakest profit month: February 2025 with profit of $9,867.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A31" s="14" t="str">
        <f aca="false">"• #1 product by profit: "&amp;Product_Analysis!L6&amp;" ($"&amp;TEXT(Product_Analysis!N6,"#,##0")&amp;", "&amp;TEXT(Product_Analysis!P6,"0.0%")&amp;" of total profit)."</f>
        <v>• #1 product by profit: Office Chair ($23,445, 12.4% of total profit).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5" hidden="false" customHeight="false" outlineLevel="0" collapsed="false">
      <c r="A32" s="14" t="str">
        <f aca="false">"• The Top 5 products generate "&amp;TEXT(Product_Analysis!P11,"0.0%")&amp;" of total profit."</f>
        <v>• The Top 5 products generate 48.2% of total profit.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5" hidden="false" customHeight="false" outlineLevel="0" collapsed="false">
      <c r="A33" s="14" t="str">
        <f aca="false">"• Overall profit margin is "&amp;TEXT(Monthly_Analysis!H18,"0.0%")&amp;" on revenue of $"&amp;TEXT(Monthly_Analysis!C18,"#,##0")&amp;"."</f>
        <v>• Overall profit margin is 47.9% on revenue of $394,207.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</sheetData>
  <mergeCells count="19">
    <mergeCell ref="A1:L2"/>
    <mergeCell ref="A3:L3"/>
    <mergeCell ref="A5:B5"/>
    <mergeCell ref="C5:D5"/>
    <mergeCell ref="E5:F5"/>
    <mergeCell ref="G5:H5"/>
    <mergeCell ref="I5:J5"/>
    <mergeCell ref="K5:L5"/>
    <mergeCell ref="A6:B7"/>
    <mergeCell ref="C6:D7"/>
    <mergeCell ref="E6:F7"/>
    <mergeCell ref="G6:H7"/>
    <mergeCell ref="I6:J7"/>
    <mergeCell ref="K6:L7"/>
    <mergeCell ref="A29:L29"/>
    <mergeCell ref="A30:L30"/>
    <mergeCell ref="A31:L31"/>
    <mergeCell ref="A32:L32"/>
    <mergeCell ref="A33:L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21" t="s">
        <v>71</v>
      </c>
    </row>
    <row r="2" customFormat="false" ht="15" hidden="false" customHeight="false" outlineLevel="0" collapsed="false">
      <c r="A2" s="22" t="s">
        <v>72</v>
      </c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  <c r="H3" s="23"/>
      <c r="I3" s="23"/>
    </row>
    <row r="5" customFormat="false" ht="30" hidden="false" customHeight="true" outlineLevel="0" collapsed="false">
      <c r="A5" s="6" t="s">
        <v>73</v>
      </c>
      <c r="B5" s="6" t="s">
        <v>74</v>
      </c>
      <c r="C5" s="6" t="s">
        <v>75</v>
      </c>
      <c r="D5" s="6" t="s">
        <v>76</v>
      </c>
      <c r="E5" s="6" t="s">
        <v>77</v>
      </c>
      <c r="F5" s="6" t="s">
        <v>78</v>
      </c>
      <c r="G5" s="6" t="s">
        <v>79</v>
      </c>
      <c r="H5" s="6" t="s">
        <v>80</v>
      </c>
      <c r="I5" s="6" t="s">
        <v>81</v>
      </c>
    </row>
    <row r="6" customFormat="false" ht="15" hidden="false" customHeight="false" outlineLevel="0" collapsed="false">
      <c r="A6" s="24" t="n">
        <v>45658</v>
      </c>
      <c r="B6" s="25" t="n">
        <f aca="false">COUNTIFS(Clean_Data!$J$5:$J$2989,$A6)</f>
        <v>202</v>
      </c>
      <c r="C6" s="26" t="n">
        <f aca="false">SUMIFS(Clean_Data!$K$5:$K$2989,Clean_Data!$J$5:$J$2989,$A6)</f>
        <v>29209.06</v>
      </c>
      <c r="D6" s="26" t="n">
        <f aca="false">SUMIFS(Clean_Data!$L$5:$L$2989,Clean_Data!$J$5:$J$2989,$A6)</f>
        <v>13576</v>
      </c>
      <c r="E6" s="26" t="n">
        <f aca="false">SUMIFS(Clean_Data!$M$5:$M$2989,Clean_Data!$J$5:$J$2989,$A6)</f>
        <v>1820.04</v>
      </c>
      <c r="F6" s="26" t="n">
        <f aca="false">D6+E6</f>
        <v>15396.04</v>
      </c>
      <c r="G6" s="26" t="n">
        <f aca="false">C6-F6</f>
        <v>13813.02</v>
      </c>
      <c r="H6" s="27" t="n">
        <f aca="false">IF(C6=0,0,G6/C6)</f>
        <v>0.472901900985516</v>
      </c>
      <c r="I6" s="27"/>
    </row>
    <row r="7" customFormat="false" ht="15" hidden="false" customHeight="false" outlineLevel="0" collapsed="false">
      <c r="A7" s="24" t="n">
        <v>45689</v>
      </c>
      <c r="B7" s="25" t="n">
        <f aca="false">COUNTIFS(Clean_Data!$J$5:$J$2989,$A7)</f>
        <v>174</v>
      </c>
      <c r="C7" s="26" t="n">
        <f aca="false">SUMIFS(Clean_Data!$K$5:$K$2989,Clean_Data!$J$5:$J$2989,$A7)</f>
        <v>20310.63</v>
      </c>
      <c r="D7" s="26" t="n">
        <f aca="false">SUMIFS(Clean_Data!$L$5:$L$2989,Clean_Data!$J$5:$J$2989,$A7)</f>
        <v>9077</v>
      </c>
      <c r="E7" s="26" t="n">
        <f aca="false">SUMIFS(Clean_Data!$M$5:$M$2989,Clean_Data!$J$5:$J$2989,$A7)</f>
        <v>1366.35</v>
      </c>
      <c r="F7" s="26" t="n">
        <f aca="false">D7+E7</f>
        <v>10443.35</v>
      </c>
      <c r="G7" s="26" t="n">
        <f aca="false">C7-F7</f>
        <v>9867.28</v>
      </c>
      <c r="H7" s="27" t="n">
        <f aca="false">IF(C7=0,0,G7/C7)</f>
        <v>0.485818509814811</v>
      </c>
      <c r="I7" s="27" t="n">
        <f aca="false">IF(C6=0,0,C7/C6-1)</f>
        <v>-0.304646229628752</v>
      </c>
    </row>
    <row r="8" customFormat="false" ht="15" hidden="false" customHeight="false" outlineLevel="0" collapsed="false">
      <c r="A8" s="24" t="n">
        <v>45717</v>
      </c>
      <c r="B8" s="25" t="n">
        <f aca="false">COUNTIFS(Clean_Data!$J$5:$J$2989,$A8)</f>
        <v>221</v>
      </c>
      <c r="C8" s="26" t="n">
        <f aca="false">SUMIFS(Clean_Data!$K$5:$K$2989,Clean_Data!$J$5:$J$2989,$A8)</f>
        <v>33633.95</v>
      </c>
      <c r="D8" s="26" t="n">
        <f aca="false">SUMIFS(Clean_Data!$L$5:$L$2989,Clean_Data!$J$5:$J$2989,$A8)</f>
        <v>15595</v>
      </c>
      <c r="E8" s="26" t="n">
        <f aca="false">SUMIFS(Clean_Data!$M$5:$M$2989,Clean_Data!$J$5:$J$2989,$A8)</f>
        <v>2271.56</v>
      </c>
      <c r="F8" s="26" t="n">
        <f aca="false">D8+E8</f>
        <v>17866.56</v>
      </c>
      <c r="G8" s="26" t="n">
        <f aca="false">C8-F8</f>
        <v>15767.39</v>
      </c>
      <c r="H8" s="27" t="n">
        <f aca="false">IF(C8=0,0,G8/C8)</f>
        <v>0.46879388237183</v>
      </c>
      <c r="I8" s="27" t="n">
        <f aca="false">IF(C7=0,0,C8/C7-1)</f>
        <v>0.655977682622351</v>
      </c>
    </row>
    <row r="9" customFormat="false" ht="15" hidden="false" customHeight="false" outlineLevel="0" collapsed="false">
      <c r="A9" s="24" t="n">
        <v>45748</v>
      </c>
      <c r="B9" s="25" t="n">
        <f aca="false">COUNTIFS(Clean_Data!$J$5:$J$2989,$A9)</f>
        <v>226</v>
      </c>
      <c r="C9" s="26" t="n">
        <f aca="false">SUMIFS(Clean_Data!$K$5:$K$2989,Clean_Data!$J$5:$J$2989,$A9)</f>
        <v>27498.26</v>
      </c>
      <c r="D9" s="26" t="n">
        <f aca="false">SUMIFS(Clean_Data!$L$5:$L$2989,Clean_Data!$J$5:$J$2989,$A9)</f>
        <v>12567</v>
      </c>
      <c r="E9" s="26" t="n">
        <f aca="false">SUMIFS(Clean_Data!$M$5:$M$2989,Clean_Data!$J$5:$J$2989,$A9)</f>
        <v>1702.82</v>
      </c>
      <c r="F9" s="26" t="n">
        <f aca="false">D9+E9</f>
        <v>14269.82</v>
      </c>
      <c r="G9" s="26" t="n">
        <f aca="false">C9-F9</f>
        <v>13228.44</v>
      </c>
      <c r="H9" s="27" t="n">
        <f aca="false">IF(C9=0,0,G9/C9)</f>
        <v>0.481064620088689</v>
      </c>
      <c r="I9" s="27" t="n">
        <f aca="false">IF(C8=0,0,C9/C8-1)</f>
        <v>-0.182425495667324</v>
      </c>
    </row>
    <row r="10" customFormat="false" ht="15" hidden="false" customHeight="false" outlineLevel="0" collapsed="false">
      <c r="A10" s="24" t="n">
        <v>45778</v>
      </c>
      <c r="B10" s="25" t="n">
        <f aca="false">COUNTIFS(Clean_Data!$J$5:$J$2989,$A10)</f>
        <v>218</v>
      </c>
      <c r="C10" s="26" t="n">
        <f aca="false">SUMIFS(Clean_Data!$K$5:$K$2989,Clean_Data!$J$5:$J$2989,$A10)</f>
        <v>29595.33</v>
      </c>
      <c r="D10" s="26" t="n">
        <f aca="false">SUMIFS(Clean_Data!$L$5:$L$2989,Clean_Data!$J$5:$J$2989,$A10)</f>
        <v>13717</v>
      </c>
      <c r="E10" s="26" t="n">
        <f aca="false">SUMIFS(Clean_Data!$M$5:$M$2989,Clean_Data!$J$5:$J$2989,$A10)</f>
        <v>1889.16</v>
      </c>
      <c r="F10" s="26" t="n">
        <f aca="false">D10+E10</f>
        <v>15606.16</v>
      </c>
      <c r="G10" s="26" t="n">
        <f aca="false">C10-F10</f>
        <v>13989.17</v>
      </c>
      <c r="H10" s="27" t="n">
        <f aca="false">IF(C10=0,0,G10/C10)</f>
        <v>0.472681669709377</v>
      </c>
      <c r="I10" s="27" t="n">
        <f aca="false">IF(C9=0,0,C10/C9-1)</f>
        <v>0.0762619162085165</v>
      </c>
    </row>
    <row r="11" customFormat="false" ht="15" hidden="false" customHeight="false" outlineLevel="0" collapsed="false">
      <c r="A11" s="24" t="n">
        <v>45809</v>
      </c>
      <c r="B11" s="25" t="n">
        <f aca="false">COUNTIFS(Clean_Data!$J$5:$J$2989,$A11)</f>
        <v>212</v>
      </c>
      <c r="C11" s="26" t="n">
        <f aca="false">SUMIFS(Clean_Data!$K$5:$K$2989,Clean_Data!$J$5:$J$2989,$A11)</f>
        <v>30965.46</v>
      </c>
      <c r="D11" s="26" t="n">
        <f aca="false">SUMIFS(Clean_Data!$L$5:$L$2989,Clean_Data!$J$5:$J$2989,$A11)</f>
        <v>14234</v>
      </c>
      <c r="E11" s="26" t="n">
        <f aca="false">SUMIFS(Clean_Data!$M$5:$M$2989,Clean_Data!$J$5:$J$2989,$A11)</f>
        <v>1968.89</v>
      </c>
      <c r="F11" s="26" t="n">
        <f aca="false">D11+E11</f>
        <v>16202.89</v>
      </c>
      <c r="G11" s="26" t="n">
        <f aca="false">C11-F11</f>
        <v>14762.57</v>
      </c>
      <c r="H11" s="27" t="n">
        <f aca="false">IF(C11=0,0,G11/C11)</f>
        <v>0.476743119591958</v>
      </c>
      <c r="I11" s="27" t="n">
        <f aca="false">IF(C10=0,0,C11/C10-1)</f>
        <v>0.0462954797260242</v>
      </c>
    </row>
    <row r="12" customFormat="false" ht="15" hidden="false" customHeight="false" outlineLevel="0" collapsed="false">
      <c r="A12" s="24" t="n">
        <v>45839</v>
      </c>
      <c r="B12" s="25" t="n">
        <f aca="false">COUNTIFS(Clean_Data!$J$5:$J$2989,$A12)</f>
        <v>231</v>
      </c>
      <c r="C12" s="26" t="n">
        <f aca="false">SUMIFS(Clean_Data!$K$5:$K$2989,Clean_Data!$J$5:$J$2989,$A12)</f>
        <v>31222.43</v>
      </c>
      <c r="D12" s="26" t="n">
        <f aca="false">SUMIFS(Clean_Data!$L$5:$L$2989,Clean_Data!$J$5:$J$2989,$A12)</f>
        <v>14307</v>
      </c>
      <c r="E12" s="26" t="n">
        <f aca="false">SUMIFS(Clean_Data!$M$5:$M$2989,Clean_Data!$J$5:$J$2989,$A12)</f>
        <v>2038.74</v>
      </c>
      <c r="F12" s="26" t="n">
        <f aca="false">D12+E12</f>
        <v>16345.74</v>
      </c>
      <c r="G12" s="26" t="n">
        <f aca="false">C12-F12</f>
        <v>14876.69</v>
      </c>
      <c r="H12" s="27" t="n">
        <f aca="false">IF(C12=0,0,G12/C12)</f>
        <v>0.476474444814193</v>
      </c>
      <c r="I12" s="27" t="n">
        <f aca="false">IF(C11=0,0,C12/C11-1)</f>
        <v>0.00829860108650093</v>
      </c>
    </row>
    <row r="13" customFormat="false" ht="15" hidden="false" customHeight="false" outlineLevel="0" collapsed="false">
      <c r="A13" s="24" t="n">
        <v>45870</v>
      </c>
      <c r="B13" s="25" t="n">
        <f aca="false">COUNTIFS(Clean_Data!$J$5:$J$2989,$A13)</f>
        <v>246</v>
      </c>
      <c r="C13" s="26" t="n">
        <f aca="false">SUMIFS(Clean_Data!$K$5:$K$2989,Clean_Data!$J$5:$J$2989,$A13)</f>
        <v>33224.72</v>
      </c>
      <c r="D13" s="26" t="n">
        <f aca="false">SUMIFS(Clean_Data!$L$5:$L$2989,Clean_Data!$J$5:$J$2989,$A13)</f>
        <v>15252</v>
      </c>
      <c r="E13" s="26" t="n">
        <f aca="false">SUMIFS(Clean_Data!$M$5:$M$2989,Clean_Data!$J$5:$J$2989,$A13)</f>
        <v>2058.54</v>
      </c>
      <c r="F13" s="26" t="n">
        <f aca="false">D13+E13</f>
        <v>17310.54</v>
      </c>
      <c r="G13" s="26" t="n">
        <f aca="false">C13-F13</f>
        <v>15914.18</v>
      </c>
      <c r="H13" s="27" t="n">
        <f aca="false">IF(C13=0,0,G13/C13)</f>
        <v>0.478986128400781</v>
      </c>
      <c r="I13" s="27" t="n">
        <f aca="false">IF(C12=0,0,C13/C12-1)</f>
        <v>0.0641298579258565</v>
      </c>
    </row>
    <row r="14" customFormat="false" ht="15" hidden="false" customHeight="false" outlineLevel="0" collapsed="false">
      <c r="A14" s="24" t="n">
        <v>45901</v>
      </c>
      <c r="B14" s="25" t="n">
        <f aca="false">COUNTIFS(Clean_Data!$J$5:$J$2989,$A14)</f>
        <v>275</v>
      </c>
      <c r="C14" s="26" t="n">
        <f aca="false">SUMIFS(Clean_Data!$K$5:$K$2989,Clean_Data!$J$5:$J$2989,$A14)</f>
        <v>34426.33</v>
      </c>
      <c r="D14" s="26" t="n">
        <f aca="false">SUMIFS(Clean_Data!$L$5:$L$2989,Clean_Data!$J$5:$J$2989,$A14)</f>
        <v>15588</v>
      </c>
      <c r="E14" s="26" t="n">
        <f aca="false">SUMIFS(Clean_Data!$M$5:$M$2989,Clean_Data!$J$5:$J$2989,$A14)</f>
        <v>2123.98</v>
      </c>
      <c r="F14" s="26" t="n">
        <f aca="false">D14+E14</f>
        <v>17711.98</v>
      </c>
      <c r="G14" s="26" t="n">
        <f aca="false">C14-F14</f>
        <v>16714.35</v>
      </c>
      <c r="H14" s="27" t="n">
        <f aca="false">IF(C14=0,0,G14/C14)</f>
        <v>0.485510654199852</v>
      </c>
      <c r="I14" s="27" t="n">
        <f aca="false">IF(C13=0,0,C14/C13-1)</f>
        <v>0.0361661437628369</v>
      </c>
    </row>
    <row r="15" customFormat="false" ht="15" hidden="false" customHeight="false" outlineLevel="0" collapsed="false">
      <c r="A15" s="24" t="n">
        <v>45931</v>
      </c>
      <c r="B15" s="25" t="n">
        <f aca="false">COUNTIFS(Clean_Data!$J$5:$J$2989,$A15)</f>
        <v>240</v>
      </c>
      <c r="C15" s="26" t="n">
        <f aca="false">SUMIFS(Clean_Data!$K$5:$K$2989,Clean_Data!$J$5:$J$2989,$A15)</f>
        <v>37015.49</v>
      </c>
      <c r="D15" s="26" t="n">
        <f aca="false">SUMIFS(Clean_Data!$L$5:$L$2989,Clean_Data!$J$5:$J$2989,$A15)</f>
        <v>17183</v>
      </c>
      <c r="E15" s="26" t="n">
        <f aca="false">SUMIFS(Clean_Data!$M$5:$M$2989,Clean_Data!$J$5:$J$2989,$A15)</f>
        <v>2409.35</v>
      </c>
      <c r="F15" s="26" t="n">
        <f aca="false">D15+E15</f>
        <v>19592.35</v>
      </c>
      <c r="G15" s="26" t="n">
        <f aca="false">C15-F15</f>
        <v>17423.14</v>
      </c>
      <c r="H15" s="27" t="n">
        <f aca="false">IF(C15=0,0,G15/C15)</f>
        <v>0.470698618335189</v>
      </c>
      <c r="I15" s="27" t="n">
        <f aca="false">IF(C14=0,0,C15/C14-1)</f>
        <v>0.0752087137955162</v>
      </c>
    </row>
    <row r="16" customFormat="false" ht="15" hidden="false" customHeight="false" outlineLevel="0" collapsed="false">
      <c r="A16" s="24" t="n">
        <v>45962</v>
      </c>
      <c r="B16" s="25" t="n">
        <f aca="false">COUNTIFS(Clean_Data!$J$5:$J$2989,$A16)</f>
        <v>373</v>
      </c>
      <c r="C16" s="26" t="n">
        <f aca="false">SUMIFS(Clean_Data!$K$5:$K$2989,Clean_Data!$J$5:$J$2989,$A16)</f>
        <v>42870.74</v>
      </c>
      <c r="D16" s="26" t="n">
        <f aca="false">SUMIFS(Clean_Data!$L$5:$L$2989,Clean_Data!$J$5:$J$2989,$A16)</f>
        <v>19277</v>
      </c>
      <c r="E16" s="26" t="n">
        <f aca="false">SUMIFS(Clean_Data!$M$5:$M$2989,Clean_Data!$J$5:$J$2989,$A16)</f>
        <v>2754.07</v>
      </c>
      <c r="F16" s="26" t="n">
        <f aca="false">D16+E16</f>
        <v>22031.07</v>
      </c>
      <c r="G16" s="26" t="n">
        <f aca="false">C16-F16</f>
        <v>20839.67</v>
      </c>
      <c r="H16" s="27" t="n">
        <f aca="false">IF(C16=0,0,G16/C16)</f>
        <v>0.486104741835574</v>
      </c>
      <c r="I16" s="27" t="n">
        <f aca="false">IF(C15=0,0,C16/C15-1)</f>
        <v>0.158183776575698</v>
      </c>
    </row>
    <row r="17" customFormat="false" ht="15" hidden="false" customHeight="false" outlineLevel="0" collapsed="false">
      <c r="A17" s="24" t="n">
        <v>45992</v>
      </c>
      <c r="B17" s="25" t="n">
        <f aca="false">COUNTIFS(Clean_Data!$J$5:$J$2989,$A17)</f>
        <v>367</v>
      </c>
      <c r="C17" s="26" t="n">
        <f aca="false">SUMIFS(Clean_Data!$K$5:$K$2989,Clean_Data!$J$5:$J$2989,$A17)</f>
        <v>44234.98</v>
      </c>
      <c r="D17" s="26" t="n">
        <f aca="false">SUMIFS(Clean_Data!$L$5:$L$2989,Clean_Data!$J$5:$J$2989,$A17)</f>
        <v>19893</v>
      </c>
      <c r="E17" s="26" t="n">
        <f aca="false">SUMIFS(Clean_Data!$M$5:$M$2989,Clean_Data!$J$5:$J$2989,$A17)</f>
        <v>2770.25</v>
      </c>
      <c r="F17" s="26" t="n">
        <f aca="false">D17+E17</f>
        <v>22663.25</v>
      </c>
      <c r="G17" s="26" t="n">
        <f aca="false">C17-F17</f>
        <v>21571.73</v>
      </c>
      <c r="H17" s="27" t="n">
        <f aca="false">IF(C17=0,0,G17/C17)</f>
        <v>0.487662252814402</v>
      </c>
      <c r="I17" s="27" t="n">
        <f aca="false">IF(C16=0,0,C17/C16-1)</f>
        <v>0.0318221705526895</v>
      </c>
    </row>
    <row r="18" customFormat="false" ht="15" hidden="false" customHeight="false" outlineLevel="0" collapsed="false">
      <c r="A18" s="28" t="s">
        <v>82</v>
      </c>
      <c r="B18" s="29" t="n">
        <f aca="false">SUM(B6:B17)</f>
        <v>2985</v>
      </c>
      <c r="C18" s="30" t="n">
        <f aca="false">SUM(C6:C17)</f>
        <v>394207.38</v>
      </c>
      <c r="D18" s="30" t="n">
        <f aca="false">SUM(D6:D17)</f>
        <v>180266</v>
      </c>
      <c r="E18" s="30" t="n">
        <f aca="false">SUM(E6:E17)</f>
        <v>25173.75</v>
      </c>
      <c r="F18" s="30" t="n">
        <f aca="false">SUM(F6:F17)</f>
        <v>205439.75</v>
      </c>
      <c r="G18" s="30" t="n">
        <f aca="false">SUM(G6:G17)</f>
        <v>188767.63</v>
      </c>
      <c r="H18" s="31" t="n">
        <f aca="false">IF(C18=0,0,G18/C18)</f>
        <v>0.478853617606043</v>
      </c>
      <c r="I18" s="31"/>
    </row>
    <row r="19" customFormat="false" ht="15" hidden="false" customHeight="false" outlineLevel="0" collapsed="false">
      <c r="A19" s="32" t="s">
        <v>83</v>
      </c>
    </row>
  </sheetData>
  <conditionalFormatting sqref="G6:G17">
    <cfRule type="dataBar" priority="2">
      <dataBar showValue="1" minLength="10" maxLength="90">
        <cfvo type="min" val="0"/>
        <cfvo type="max" val="0"/>
        <color rgb="FF9BC2E6"/>
      </dataBar>
      <extLst>
        <ext xmlns:x14="http://schemas.microsoft.com/office/spreadsheetml/2009/9/main" uri="{B025F937-C7B1-47D3-B67F-A62EFF666E3E}">
          <x14:id>{ECDA7FF6-506E-4F16-8CA0-16D94AA15236}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DA7FF6-506E-4F16-8CA0-16D94AA15236}">
            <x14:dataBar minLength="10" maxLength="90" axisPosition="none" gradient="true">
              <x14:cfvo type="min"/>
              <x14:cfvo type="max"/>
              <x14:negativeFillColor rgb="FF9BC2E6"/>
              <x14:axisColor rgb="FF000000"/>
            </x14:dataBar>
          </x14:cfRule>
          <xm:sqref>G6:G17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3"/>
    <col collapsed="false" customWidth="true" hidden="false" outlineLevel="0" max="11" min="11" style="0" width="7"/>
    <col collapsed="false" customWidth="true" hidden="false" outlineLevel="0" max="12" min="12" style="0" width="29"/>
    <col collapsed="false" customWidth="true" hidden="false" outlineLevel="0" max="14" min="13" style="0" width="14"/>
    <col collapsed="false" customWidth="true" hidden="false" outlineLevel="0" max="15" min="15" style="0" width="13"/>
    <col collapsed="false" customWidth="true" hidden="false" outlineLevel="0" max="16" min="16" style="0" width="15"/>
  </cols>
  <sheetData>
    <row r="1" customFormat="false" ht="19.7" hidden="false" customHeight="false" outlineLevel="0" collapsed="false">
      <c r="A1" s="21" t="s">
        <v>84</v>
      </c>
    </row>
    <row r="2" customFormat="false" ht="15" hidden="false" customHeight="false" outlineLevel="0" collapsed="false">
      <c r="A2" s="22" t="s">
        <v>85</v>
      </c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customFormat="false" ht="15" hidden="false" customHeight="false" outlineLevel="0" collapsed="false">
      <c r="K4" s="4" t="s">
        <v>86</v>
      </c>
    </row>
    <row r="5" customFormat="false" ht="30" hidden="false" customHeight="true" outlineLevel="0" collapsed="false">
      <c r="A5" s="6" t="s">
        <v>87</v>
      </c>
      <c r="B5" s="6" t="s">
        <v>88</v>
      </c>
      <c r="C5" s="6" t="s">
        <v>89</v>
      </c>
      <c r="D5" s="6" t="s">
        <v>90</v>
      </c>
      <c r="E5" s="6" t="s">
        <v>75</v>
      </c>
      <c r="F5" s="6" t="s">
        <v>78</v>
      </c>
      <c r="G5" s="6" t="s">
        <v>79</v>
      </c>
      <c r="H5" s="6" t="s">
        <v>80</v>
      </c>
      <c r="I5" s="6" t="s">
        <v>91</v>
      </c>
      <c r="K5" s="6" t="s">
        <v>91</v>
      </c>
      <c r="L5" s="6" t="s">
        <v>92</v>
      </c>
      <c r="M5" s="6" t="s">
        <v>75</v>
      </c>
      <c r="N5" s="6" t="s">
        <v>79</v>
      </c>
      <c r="O5" s="6" t="s">
        <v>80</v>
      </c>
      <c r="P5" s="6" t="s">
        <v>93</v>
      </c>
    </row>
    <row r="6" customFormat="false" ht="15" hidden="false" customHeight="false" outlineLevel="0" collapsed="false">
      <c r="A6" s="33" t="str">
        <f aca="false">Products!A5</f>
        <v>P001</v>
      </c>
      <c r="B6" s="33" t="str">
        <f aca="false">Products!B5</f>
        <v>Wireless Mouse</v>
      </c>
      <c r="C6" s="33" t="str">
        <f aca="false">Products!C5</f>
        <v>Electronics</v>
      </c>
      <c r="D6" s="25" t="n">
        <f aca="false">SUMIFS(Clean_Data!$D$5:$D$2989,Clean_Data!$C$5:$C$2989,$A6)</f>
        <v>638</v>
      </c>
      <c r="E6" s="26" t="n">
        <f aca="false">SUMIFS(Clean_Data!$K$5:$K$2989,Clean_Data!$C$5:$C$2989,$A6)</f>
        <v>15280.44</v>
      </c>
      <c r="F6" s="26" t="n">
        <f aca="false">SUMIFS(Clean_Data!$N$5:$N$2989,Clean_Data!$C$5:$C$2989,$A6)</f>
        <v>8645.99</v>
      </c>
      <c r="G6" s="26" t="n">
        <f aca="false">E6-F6</f>
        <v>6634.45</v>
      </c>
      <c r="H6" s="27" t="n">
        <f aca="false">IF(E6=0,0,G6/E6)</f>
        <v>0.434179251382814</v>
      </c>
      <c r="I6" s="34" t="n">
        <f aca="false">RANK(G6,$G$6:$G$25,0)</f>
        <v>11</v>
      </c>
      <c r="K6" s="35" t="n">
        <v>1</v>
      </c>
      <c r="L6" s="36" t="str">
        <f aca="false">INDEX($B$6:$B$25,MATCH($K6,$I$6:$I$25,0))</f>
        <v>Office Chair</v>
      </c>
      <c r="M6" s="26" t="n">
        <f aca="false">INDEX($E$6:$E$25,MATCH($K6,$I$6:$I$25,0))</f>
        <v>50296.98</v>
      </c>
      <c r="N6" s="26" t="n">
        <f aca="false">INDEX($G$6:$G$25,MATCH($K6,$I$6:$I$25,0))</f>
        <v>23444.77</v>
      </c>
      <c r="O6" s="27" t="n">
        <f aca="false">INDEX($H$6:$H$25,MATCH($K6,$I$6:$I$25,0))</f>
        <v>0.466126793298524</v>
      </c>
      <c r="P6" s="27" t="n">
        <f aca="false">IF($G$26=0,0,N6/$G$26)</f>
        <v>0.124199101297187</v>
      </c>
    </row>
    <row r="7" customFormat="false" ht="15" hidden="false" customHeight="false" outlineLevel="0" collapsed="false">
      <c r="A7" s="33" t="str">
        <f aca="false">Products!A6</f>
        <v>P002</v>
      </c>
      <c r="B7" s="33" t="str">
        <f aca="false">Products!B6</f>
        <v>Mechanical Keyboard</v>
      </c>
      <c r="C7" s="33" t="str">
        <f aca="false">Products!C6</f>
        <v>Electronics</v>
      </c>
      <c r="D7" s="25" t="n">
        <f aca="false">SUMIFS(Clean_Data!$D$5:$D$2989,Clean_Data!$C$5:$C$2989,$A7)</f>
        <v>358</v>
      </c>
      <c r="E7" s="26" t="n">
        <f aca="false">SUMIFS(Clean_Data!$K$5:$K$2989,Clean_Data!$C$5:$C$2989,$A7)</f>
        <v>27174.12</v>
      </c>
      <c r="F7" s="26" t="n">
        <f aca="false">SUMIFS(Clean_Data!$N$5:$N$2989,Clean_Data!$C$5:$C$2989,$A7)</f>
        <v>15374.08</v>
      </c>
      <c r="G7" s="26" t="n">
        <f aca="false">E7-F7</f>
        <v>11800.04</v>
      </c>
      <c r="H7" s="27" t="n">
        <f aca="false">IF(E7=0,0,G7/E7)</f>
        <v>0.434238164842137</v>
      </c>
      <c r="I7" s="34" t="n">
        <f aca="false">RANK(G7,$G$6:$G$25,0)</f>
        <v>7</v>
      </c>
      <c r="K7" s="35" t="n">
        <v>2</v>
      </c>
      <c r="L7" s="36" t="str">
        <f aca="false">INDEX($B$6:$B$25,MATCH($K7,$I$6:$I$25,0))</f>
        <v>Standing Desk</v>
      </c>
      <c r="M7" s="26" t="n">
        <f aca="false">INDEX($E$6:$E$25,MATCH($K7,$I$6:$I$25,0))</f>
        <v>45186.33</v>
      </c>
      <c r="N7" s="26" t="n">
        <f aca="false">INDEX($G$6:$G$25,MATCH($K7,$I$6:$I$25,0))</f>
        <v>20954.41</v>
      </c>
      <c r="O7" s="27" t="n">
        <f aca="false">INDEX($H$6:$H$25,MATCH($K7,$I$6:$I$25,0))</f>
        <v>0.46373339016468</v>
      </c>
      <c r="P7" s="27" t="n">
        <f aca="false">IF($G$26=0,0,N7/$G$26)</f>
        <v>0.111006373285505</v>
      </c>
    </row>
    <row r="8" customFormat="false" ht="15" hidden="false" customHeight="false" outlineLevel="0" collapsed="false">
      <c r="A8" s="33" t="str">
        <f aca="false">Products!A7</f>
        <v>P003</v>
      </c>
      <c r="B8" s="33" t="str">
        <f aca="false">Products!B7</f>
        <v>USB-C Hub</v>
      </c>
      <c r="C8" s="33" t="str">
        <f aca="false">Products!C7</f>
        <v>Electronics</v>
      </c>
      <c r="D8" s="25" t="n">
        <f aca="false">SUMIFS(Clean_Data!$D$5:$D$2989,Clean_Data!$C$5:$C$2989,$A8)</f>
        <v>375</v>
      </c>
      <c r="E8" s="26" t="n">
        <f aca="false">SUMIFS(Clean_Data!$K$5:$K$2989,Clean_Data!$C$5:$C$2989,$A8)</f>
        <v>12633.14</v>
      </c>
      <c r="F8" s="26" t="n">
        <f aca="false">SUMIFS(Clean_Data!$N$5:$N$2989,Clean_Data!$C$5:$C$2989,$A8)</f>
        <v>6053.21</v>
      </c>
      <c r="G8" s="26" t="n">
        <f aca="false">E8-F8</f>
        <v>6579.93</v>
      </c>
      <c r="H8" s="27" t="n">
        <f aca="false">IF(E8=0,0,G8/E8)</f>
        <v>0.520846757021611</v>
      </c>
      <c r="I8" s="34" t="n">
        <f aca="false">RANK(G8,$G$6:$G$25,0)</f>
        <v>12</v>
      </c>
      <c r="K8" s="35" t="n">
        <v>3</v>
      </c>
      <c r="L8" s="36" t="str">
        <f aca="false">INDEX($B$6:$B$25,MATCH($K8,$I$6:$I$25,0))</f>
        <v>Noise-Cancelling Headphones</v>
      </c>
      <c r="M8" s="26" t="n">
        <f aca="false">INDEX($E$6:$E$25,MATCH($K8,$I$6:$I$25,0))</f>
        <v>40554.19</v>
      </c>
      <c r="N8" s="26" t="n">
        <f aca="false">INDEX($G$6:$G$25,MATCH($K8,$I$6:$I$25,0))</f>
        <v>19850.6</v>
      </c>
      <c r="O8" s="27" t="n">
        <f aca="false">INDEX($H$6:$H$25,MATCH($K8,$I$6:$I$25,0))</f>
        <v>0.48948333082229</v>
      </c>
      <c r="P8" s="27" t="n">
        <f aca="false">IF($G$26=0,0,N8/$G$26)</f>
        <v>0.105158919460927</v>
      </c>
    </row>
    <row r="9" customFormat="false" ht="15" hidden="false" customHeight="false" outlineLevel="0" collapsed="false">
      <c r="A9" s="33" t="str">
        <f aca="false">Products!A8</f>
        <v>P004</v>
      </c>
      <c r="B9" s="33" t="str">
        <f aca="false">Products!B8</f>
        <v>Laptop Stand</v>
      </c>
      <c r="C9" s="33" t="str">
        <f aca="false">Products!C8</f>
        <v>Accessories</v>
      </c>
      <c r="D9" s="25" t="n">
        <f aca="false">SUMIFS(Clean_Data!$D$5:$D$2989,Clean_Data!$C$5:$C$2989,$A9)</f>
        <v>400</v>
      </c>
      <c r="E9" s="26" t="n">
        <f aca="false">SUMIFS(Clean_Data!$K$5:$K$2989,Clean_Data!$C$5:$C$2989,$A9)</f>
        <v>11186.64</v>
      </c>
      <c r="F9" s="26" t="n">
        <f aca="false">SUMIFS(Clean_Data!$N$5:$N$2989,Clean_Data!$C$5:$C$2989,$A9)</f>
        <v>5100.53</v>
      </c>
      <c r="G9" s="26" t="n">
        <f aca="false">E9-F9</f>
        <v>6086.11</v>
      </c>
      <c r="H9" s="27" t="n">
        <f aca="false">IF(E9=0,0,G9/E9)</f>
        <v>0.544051654473551</v>
      </c>
      <c r="I9" s="34" t="n">
        <f aca="false">RANK(G9,$G$6:$G$25,0)</f>
        <v>13</v>
      </c>
      <c r="K9" s="35" t="n">
        <v>4</v>
      </c>
      <c r="L9" s="36" t="str">
        <f aca="false">INDEX($B$6:$B$25,MATCH($K9,$I$6:$I$25,0))</f>
        <v>24-inch Monitor</v>
      </c>
      <c r="M9" s="26" t="n">
        <f aca="false">INDEX($E$6:$E$25,MATCH($K9,$I$6:$I$25,0))</f>
        <v>32295.49</v>
      </c>
      <c r="N9" s="26" t="n">
        <f aca="false">INDEX($G$6:$G$25,MATCH($K9,$I$6:$I$25,0))</f>
        <v>13408.59</v>
      </c>
      <c r="O9" s="27" t="n">
        <f aca="false">INDEX($H$6:$H$25,MATCH($K9,$I$6:$I$25,0))</f>
        <v>0.415184596982427</v>
      </c>
      <c r="P9" s="27" t="n">
        <f aca="false">IF($G$26=0,0,N9/$G$26)</f>
        <v>0.0710322527225669</v>
      </c>
    </row>
    <row r="10" customFormat="false" ht="15" hidden="false" customHeight="false" outlineLevel="0" collapsed="false">
      <c r="A10" s="33" t="str">
        <f aca="false">Products!A9</f>
        <v>P005</v>
      </c>
      <c r="B10" s="33" t="str">
        <f aca="false">Products!B9</f>
        <v>HD Webcam</v>
      </c>
      <c r="C10" s="33" t="str">
        <f aca="false">Products!C9</f>
        <v>Electronics</v>
      </c>
      <c r="D10" s="25" t="n">
        <f aca="false">SUMIFS(Clean_Data!$D$5:$D$2989,Clean_Data!$C$5:$C$2989,$A10)</f>
        <v>379</v>
      </c>
      <c r="E10" s="26" t="n">
        <f aca="false">SUMIFS(Clean_Data!$K$5:$K$2989,Clean_Data!$C$5:$C$2989,$A10)</f>
        <v>20020.22</v>
      </c>
      <c r="F10" s="26" t="n">
        <f aca="false">SUMIFS(Clean_Data!$N$5:$N$2989,Clean_Data!$C$5:$C$2989,$A10)</f>
        <v>9623.05</v>
      </c>
      <c r="G10" s="26" t="n">
        <f aca="false">E10-F10</f>
        <v>10397.17</v>
      </c>
      <c r="H10" s="27" t="n">
        <f aca="false">IF(E10=0,0,G10/E10)</f>
        <v>0.519333453878129</v>
      </c>
      <c r="I10" s="34" t="n">
        <f aca="false">RANK(G10,$G$6:$G$25,0)</f>
        <v>8</v>
      </c>
      <c r="K10" s="35" t="n">
        <v>5</v>
      </c>
      <c r="L10" s="36" t="str">
        <f aca="false">INDEX($B$6:$B$25,MATCH($K10,$I$6:$I$25,0))</f>
        <v>External SSD 1TB</v>
      </c>
      <c r="M10" s="26" t="n">
        <f aca="false">INDEX($E$6:$E$25,MATCH($K10,$I$6:$I$25,0))</f>
        <v>33962.29</v>
      </c>
      <c r="N10" s="26" t="n">
        <f aca="false">INDEX($G$6:$G$25,MATCH($K10,$I$6:$I$25,0))</f>
        <v>13366.46</v>
      </c>
      <c r="O10" s="27" t="n">
        <f aca="false">INDEX($H$6:$H$25,MATCH($K10,$I$6:$I$25,0))</f>
        <v>0.393567689340148</v>
      </c>
      <c r="P10" s="27" t="n">
        <f aca="false">IF($G$26=0,0,N10/$G$26)</f>
        <v>0.0708090682708683</v>
      </c>
    </row>
    <row r="11" customFormat="false" ht="15" hidden="false" customHeight="false" outlineLevel="0" collapsed="false">
      <c r="A11" s="33" t="str">
        <f aca="false">Products!A10</f>
        <v>P006</v>
      </c>
      <c r="B11" s="33" t="str">
        <f aca="false">Products!B10</f>
        <v>Noise-Cancelling Headphones</v>
      </c>
      <c r="C11" s="33" t="str">
        <f aca="false">Products!C10</f>
        <v>Electronics</v>
      </c>
      <c r="D11" s="25" t="n">
        <f aca="false">SUMIFS(Clean_Data!$D$5:$D$2989,Clean_Data!$C$5:$C$2989,$A11)</f>
        <v>327</v>
      </c>
      <c r="E11" s="26" t="n">
        <f aca="false">SUMIFS(Clean_Data!$K$5:$K$2989,Clean_Data!$C$5:$C$2989,$A11)</f>
        <v>40554.19</v>
      </c>
      <c r="F11" s="26" t="n">
        <f aca="false">SUMIFS(Clean_Data!$N$5:$N$2989,Clean_Data!$C$5:$C$2989,$A11)</f>
        <v>20703.59</v>
      </c>
      <c r="G11" s="26" t="n">
        <f aca="false">E11-F11</f>
        <v>19850.6</v>
      </c>
      <c r="H11" s="27" t="n">
        <f aca="false">IF(E11=0,0,G11/E11)</f>
        <v>0.48948333082229</v>
      </c>
      <c r="I11" s="34" t="n">
        <f aca="false">RANK(G11,$G$6:$G$25,0)</f>
        <v>3</v>
      </c>
      <c r="K11" s="37"/>
      <c r="L11" s="28" t="s">
        <v>94</v>
      </c>
      <c r="M11" s="37"/>
      <c r="N11" s="30" t="n">
        <f aca="false">SUM(N6:N10)</f>
        <v>91024.83</v>
      </c>
      <c r="O11" s="37"/>
      <c r="P11" s="31" t="n">
        <f aca="false">SUM(P6:P10)</f>
        <v>0.482205715037054</v>
      </c>
    </row>
    <row r="12" customFormat="false" ht="15" hidden="false" customHeight="false" outlineLevel="0" collapsed="false">
      <c r="A12" s="33" t="str">
        <f aca="false">Products!A11</f>
        <v>P007</v>
      </c>
      <c r="B12" s="33" t="str">
        <f aca="false">Products!B11</f>
        <v>Office Chair</v>
      </c>
      <c r="C12" s="33" t="str">
        <f aca="false">Products!C11</f>
        <v>Furniture</v>
      </c>
      <c r="D12" s="25" t="n">
        <f aca="false">SUMIFS(Clean_Data!$D$5:$D$2989,Clean_Data!$C$5:$C$2989,$A12)</f>
        <v>277</v>
      </c>
      <c r="E12" s="26" t="n">
        <f aca="false">SUMIFS(Clean_Data!$K$5:$K$2989,Clean_Data!$C$5:$C$2989,$A12)</f>
        <v>50296.98</v>
      </c>
      <c r="F12" s="26" t="n">
        <f aca="false">SUMIFS(Clean_Data!$N$5:$N$2989,Clean_Data!$C$5:$C$2989,$A12)</f>
        <v>26852.21</v>
      </c>
      <c r="G12" s="26" t="n">
        <f aca="false">E12-F12</f>
        <v>23444.77</v>
      </c>
      <c r="H12" s="27" t="n">
        <f aca="false">IF(E12=0,0,G12/E12)</f>
        <v>0.466126793298524</v>
      </c>
      <c r="I12" s="34" t="n">
        <f aca="false">RANK(G12,$G$6:$G$25,0)</f>
        <v>1</v>
      </c>
    </row>
    <row r="13" customFormat="false" ht="15" hidden="false" customHeight="false" outlineLevel="0" collapsed="false">
      <c r="A13" s="33" t="str">
        <f aca="false">Products!A12</f>
        <v>P008</v>
      </c>
      <c r="B13" s="33" t="str">
        <f aca="false">Products!B12</f>
        <v>Standing Desk</v>
      </c>
      <c r="C13" s="33" t="str">
        <f aca="false">Products!C12</f>
        <v>Furniture</v>
      </c>
      <c r="D13" s="25" t="n">
        <f aca="false">SUMIFS(Clean_Data!$D$5:$D$2989,Clean_Data!$C$5:$C$2989,$A13)</f>
        <v>134</v>
      </c>
      <c r="E13" s="26" t="n">
        <f aca="false">SUMIFS(Clean_Data!$K$5:$K$2989,Clean_Data!$C$5:$C$2989,$A13)</f>
        <v>45186.33</v>
      </c>
      <c r="F13" s="26" t="n">
        <f aca="false">SUMIFS(Clean_Data!$N$5:$N$2989,Clean_Data!$C$5:$C$2989,$A13)</f>
        <v>24231.92</v>
      </c>
      <c r="G13" s="26" t="n">
        <f aca="false">E13-F13</f>
        <v>20954.41</v>
      </c>
      <c r="H13" s="27" t="n">
        <f aca="false">IF(E13=0,0,G13/E13)</f>
        <v>0.46373339016468</v>
      </c>
      <c r="I13" s="34" t="n">
        <f aca="false">RANK(G13,$G$6:$G$25,0)</f>
        <v>2</v>
      </c>
    </row>
    <row r="14" customFormat="false" ht="15" hidden="false" customHeight="false" outlineLevel="0" collapsed="false">
      <c r="A14" s="33" t="str">
        <f aca="false">Products!A13</f>
        <v>P009</v>
      </c>
      <c r="B14" s="33" t="str">
        <f aca="false">Products!B13</f>
        <v>Desk Lamp</v>
      </c>
      <c r="C14" s="33" t="str">
        <f aca="false">Products!C13</f>
        <v>Furniture</v>
      </c>
      <c r="D14" s="25" t="n">
        <f aca="false">SUMIFS(Clean_Data!$D$5:$D$2989,Clean_Data!$C$5:$C$2989,$A14)</f>
        <v>440</v>
      </c>
      <c r="E14" s="26" t="n">
        <f aca="false">SUMIFS(Clean_Data!$K$5:$K$2989,Clean_Data!$C$5:$C$2989,$A14)</f>
        <v>13538.45</v>
      </c>
      <c r="F14" s="26" t="n">
        <f aca="false">SUMIFS(Clean_Data!$N$5:$N$2989,Clean_Data!$C$5:$C$2989,$A14)</f>
        <v>6561.6</v>
      </c>
      <c r="G14" s="26" t="n">
        <f aca="false">E14-F14</f>
        <v>6976.85</v>
      </c>
      <c r="H14" s="27" t="n">
        <f aca="false">IF(E14=0,0,G14/E14)</f>
        <v>0.515335950570412</v>
      </c>
      <c r="I14" s="34" t="n">
        <f aca="false">RANK(G14,$G$6:$G$25,0)</f>
        <v>10</v>
      </c>
    </row>
    <row r="15" customFormat="false" ht="15" hidden="false" customHeight="false" outlineLevel="0" collapsed="false">
      <c r="A15" s="33" t="str">
        <f aca="false">Products!A14</f>
        <v>P010</v>
      </c>
      <c r="B15" s="33" t="str">
        <f aca="false">Products!B14</f>
        <v>24-inch Monitor</v>
      </c>
      <c r="C15" s="33" t="str">
        <f aca="false">Products!C14</f>
        <v>Electronics</v>
      </c>
      <c r="D15" s="25" t="n">
        <f aca="false">SUMIFS(Clean_Data!$D$5:$D$2989,Clean_Data!$C$5:$C$2989,$A15)</f>
        <v>188</v>
      </c>
      <c r="E15" s="26" t="n">
        <f aca="false">SUMIFS(Clean_Data!$K$5:$K$2989,Clean_Data!$C$5:$C$2989,$A15)</f>
        <v>32295.49</v>
      </c>
      <c r="F15" s="26" t="n">
        <f aca="false">SUMIFS(Clean_Data!$N$5:$N$2989,Clean_Data!$C$5:$C$2989,$A15)</f>
        <v>18886.9</v>
      </c>
      <c r="G15" s="26" t="n">
        <f aca="false">E15-F15</f>
        <v>13408.59</v>
      </c>
      <c r="H15" s="27" t="n">
        <f aca="false">IF(E15=0,0,G15/E15)</f>
        <v>0.415184596982427</v>
      </c>
      <c r="I15" s="34" t="n">
        <f aca="false">RANK(G15,$G$6:$G$25,0)</f>
        <v>4</v>
      </c>
    </row>
    <row r="16" customFormat="false" ht="15" hidden="false" customHeight="false" outlineLevel="0" collapsed="false">
      <c r="A16" s="33" t="str">
        <f aca="false">Products!A15</f>
        <v>P011</v>
      </c>
      <c r="B16" s="33" t="str">
        <f aca="false">Products!B15</f>
        <v>Notebook Set</v>
      </c>
      <c r="C16" s="33" t="str">
        <f aca="false">Products!C15</f>
        <v>Stationery</v>
      </c>
      <c r="D16" s="25" t="n">
        <f aca="false">SUMIFS(Clean_Data!$D$5:$D$2989,Clean_Data!$C$5:$C$2989,$A16)</f>
        <v>658</v>
      </c>
      <c r="E16" s="26" t="n">
        <f aca="false">SUMIFS(Clean_Data!$K$5:$K$2989,Clean_Data!$C$5:$C$2989,$A16)</f>
        <v>5683.53</v>
      </c>
      <c r="F16" s="26" t="n">
        <f aca="false">SUMIFS(Clean_Data!$N$5:$N$2989,Clean_Data!$C$5:$C$2989,$A16)</f>
        <v>2334.63</v>
      </c>
      <c r="G16" s="26" t="n">
        <f aca="false">E16-F16</f>
        <v>3348.9</v>
      </c>
      <c r="H16" s="27" t="n">
        <f aca="false">IF(E16=0,0,G16/E16)</f>
        <v>0.5892288771239</v>
      </c>
      <c r="I16" s="34" t="n">
        <f aca="false">RANK(G16,$G$6:$G$25,0)</f>
        <v>18</v>
      </c>
    </row>
    <row r="17" customFormat="false" ht="15" hidden="false" customHeight="false" outlineLevel="0" collapsed="false">
      <c r="A17" s="33" t="str">
        <f aca="false">Products!A16</f>
        <v>P012</v>
      </c>
      <c r="B17" s="33" t="str">
        <f aca="false">Products!B16</f>
        <v>Gel Pen Pack</v>
      </c>
      <c r="C17" s="33" t="str">
        <f aca="false">Products!C16</f>
        <v>Stationery</v>
      </c>
      <c r="D17" s="25" t="n">
        <f aca="false">SUMIFS(Clean_Data!$D$5:$D$2989,Clean_Data!$C$5:$C$2989,$A17)</f>
        <v>721</v>
      </c>
      <c r="E17" s="26" t="n">
        <f aca="false">SUMIFS(Clean_Data!$K$5:$K$2989,Clean_Data!$C$5:$C$2989,$A17)</f>
        <v>4143.88</v>
      </c>
      <c r="F17" s="26" t="n">
        <f aca="false">SUMIFS(Clean_Data!$N$5:$N$2989,Clean_Data!$C$5:$C$2989,$A17)</f>
        <v>1705.26</v>
      </c>
      <c r="G17" s="26" t="n">
        <f aca="false">E17-F17</f>
        <v>2438.62</v>
      </c>
      <c r="H17" s="27" t="n">
        <f aca="false">IF(E17=0,0,G17/E17)</f>
        <v>0.588487118352848</v>
      </c>
      <c r="I17" s="34" t="n">
        <f aca="false">RANK(G17,$G$6:$G$25,0)</f>
        <v>19</v>
      </c>
    </row>
    <row r="18" customFormat="false" ht="15" hidden="false" customHeight="false" outlineLevel="0" collapsed="false">
      <c r="A18" s="33" t="str">
        <f aca="false">Products!A17</f>
        <v>P013</v>
      </c>
      <c r="B18" s="33" t="str">
        <f aca="false">Products!B17</f>
        <v>Whiteboard</v>
      </c>
      <c r="C18" s="33" t="str">
        <f aca="false">Products!C17</f>
        <v>Furniture</v>
      </c>
      <c r="D18" s="25" t="n">
        <f aca="false">SUMIFS(Clean_Data!$D$5:$D$2989,Clean_Data!$C$5:$C$2989,$A18)</f>
        <v>198</v>
      </c>
      <c r="E18" s="26" t="n">
        <f aca="false">SUMIFS(Clean_Data!$K$5:$K$2989,Clean_Data!$C$5:$C$2989,$A18)</f>
        <v>11195.76</v>
      </c>
      <c r="F18" s="26" t="n">
        <f aca="false">SUMIFS(Clean_Data!$N$5:$N$2989,Clean_Data!$C$5:$C$2989,$A18)</f>
        <v>6237.89</v>
      </c>
      <c r="G18" s="26" t="n">
        <f aca="false">E18-F18</f>
        <v>4957.87</v>
      </c>
      <c r="H18" s="27" t="n">
        <f aca="false">IF(E18=0,0,G18/E18)</f>
        <v>0.442834608816195</v>
      </c>
      <c r="I18" s="34" t="n">
        <f aca="false">RANK(G18,$G$6:$G$25,0)</f>
        <v>15</v>
      </c>
    </row>
    <row r="19" customFormat="false" ht="15" hidden="false" customHeight="false" outlineLevel="0" collapsed="false">
      <c r="A19" s="33" t="str">
        <f aca="false">Products!A18</f>
        <v>P014</v>
      </c>
      <c r="B19" s="33" t="str">
        <f aca="false">Products!B18</f>
        <v>Backpack</v>
      </c>
      <c r="C19" s="33" t="str">
        <f aca="false">Products!C18</f>
        <v>Accessories</v>
      </c>
      <c r="D19" s="25" t="n">
        <f aca="false">SUMIFS(Clean_Data!$D$5:$D$2989,Clean_Data!$C$5:$C$2989,$A19)</f>
        <v>415</v>
      </c>
      <c r="E19" s="26" t="n">
        <f aca="false">SUMIFS(Clean_Data!$K$5:$K$2989,Clean_Data!$C$5:$C$2989,$A19)</f>
        <v>17904.07</v>
      </c>
      <c r="F19" s="26" t="n">
        <f aca="false">SUMIFS(Clean_Data!$N$5:$N$2989,Clean_Data!$C$5:$C$2989,$A19)</f>
        <v>8164.5</v>
      </c>
      <c r="G19" s="26" t="n">
        <f aca="false">E19-F19</f>
        <v>9739.57</v>
      </c>
      <c r="H19" s="27" t="n">
        <f aca="false">IF(E19=0,0,G19/E19)</f>
        <v>0.543986367345525</v>
      </c>
      <c r="I19" s="34" t="n">
        <f aca="false">RANK(G19,$G$6:$G$25,0)</f>
        <v>9</v>
      </c>
    </row>
    <row r="20" customFormat="false" ht="15" hidden="false" customHeight="false" outlineLevel="0" collapsed="false">
      <c r="A20" s="33" t="str">
        <f aca="false">Products!A19</f>
        <v>P015</v>
      </c>
      <c r="B20" s="33" t="str">
        <f aca="false">Products!B19</f>
        <v>Water Bottle</v>
      </c>
      <c r="C20" s="33" t="str">
        <f aca="false">Products!C19</f>
        <v>Accessories</v>
      </c>
      <c r="D20" s="25" t="n">
        <f aca="false">SUMIFS(Clean_Data!$D$5:$D$2989,Clean_Data!$C$5:$C$2989,$A20)</f>
        <v>521</v>
      </c>
      <c r="E20" s="26" t="n">
        <f aca="false">SUMIFS(Clean_Data!$K$5:$K$2989,Clean_Data!$C$5:$C$2989,$A20)</f>
        <v>8007.47</v>
      </c>
      <c r="F20" s="26" t="n">
        <f aca="false">SUMIFS(Clean_Data!$N$5:$N$2989,Clean_Data!$C$5:$C$2989,$A20)</f>
        <v>3132.54</v>
      </c>
      <c r="G20" s="26" t="n">
        <f aca="false">E20-F20</f>
        <v>4874.93</v>
      </c>
      <c r="H20" s="27" t="n">
        <f aca="false">IF(E20=0,0,G20/E20)</f>
        <v>0.608797785068193</v>
      </c>
      <c r="I20" s="34" t="n">
        <f aca="false">RANK(G20,$G$6:$G$25,0)</f>
        <v>16</v>
      </c>
    </row>
    <row r="21" customFormat="false" ht="15" hidden="false" customHeight="false" outlineLevel="0" collapsed="false">
      <c r="A21" s="33" t="str">
        <f aca="false">Products!A20</f>
        <v>P016</v>
      </c>
      <c r="B21" s="33" t="str">
        <f aca="false">Products!B20</f>
        <v>Phone Stand</v>
      </c>
      <c r="C21" s="33" t="str">
        <f aca="false">Products!C20</f>
        <v>Accessories</v>
      </c>
      <c r="D21" s="25" t="n">
        <f aca="false">SUMIFS(Clean_Data!$D$5:$D$2989,Clean_Data!$C$5:$C$2989,$A21)</f>
        <v>450</v>
      </c>
      <c r="E21" s="26" t="n">
        <f aca="false">SUMIFS(Clean_Data!$K$5:$K$2989,Clean_Data!$C$5:$C$2989,$A21)</f>
        <v>6035.88</v>
      </c>
      <c r="F21" s="26" t="n">
        <f aca="false">SUMIFS(Clean_Data!$N$5:$N$2989,Clean_Data!$C$5:$C$2989,$A21)</f>
        <v>2199.12</v>
      </c>
      <c r="G21" s="26" t="n">
        <f aca="false">E21-F21</f>
        <v>3836.76</v>
      </c>
      <c r="H21" s="27" t="n">
        <f aca="false">IF(E21=0,0,G21/E21)</f>
        <v>0.635658760611543</v>
      </c>
      <c r="I21" s="34" t="n">
        <f aca="false">RANK(G21,$G$6:$G$25,0)</f>
        <v>17</v>
      </c>
    </row>
    <row r="22" customFormat="false" ht="15" hidden="false" customHeight="false" outlineLevel="0" collapsed="false">
      <c r="A22" s="33" t="str">
        <f aca="false">Products!A21</f>
        <v>P017</v>
      </c>
      <c r="B22" s="33" t="str">
        <f aca="false">Products!B21</f>
        <v>Bluetooth Speaker</v>
      </c>
      <c r="C22" s="33" t="str">
        <f aca="false">Products!C21</f>
        <v>Electronics</v>
      </c>
      <c r="D22" s="25" t="n">
        <f aca="false">SUMIFS(Clean_Data!$D$5:$D$2989,Clean_Data!$C$5:$C$2989,$A22)</f>
        <v>374</v>
      </c>
      <c r="E22" s="26" t="n">
        <f aca="false">SUMIFS(Clean_Data!$K$5:$K$2989,Clean_Data!$C$5:$C$2989,$A22)</f>
        <v>24723.6</v>
      </c>
      <c r="F22" s="26" t="n">
        <f aca="false">SUMIFS(Clean_Data!$N$5:$N$2989,Clean_Data!$C$5:$C$2989,$A22)</f>
        <v>12080.32</v>
      </c>
      <c r="G22" s="26" t="n">
        <f aca="false">E22-F22</f>
        <v>12643.28</v>
      </c>
      <c r="H22" s="27" t="n">
        <f aca="false">IF(E22=0,0,G22/E22)</f>
        <v>0.511385073371192</v>
      </c>
      <c r="I22" s="34" t="n">
        <f aca="false">RANK(G22,$G$6:$G$25,0)</f>
        <v>6</v>
      </c>
    </row>
    <row r="23" customFormat="false" ht="15" hidden="false" customHeight="false" outlineLevel="0" collapsed="false">
      <c r="A23" s="33" t="str">
        <f aca="false">Products!A22</f>
        <v>P018</v>
      </c>
      <c r="B23" s="33" t="str">
        <f aca="false">Products!B22</f>
        <v>External SSD 1TB</v>
      </c>
      <c r="C23" s="33" t="str">
        <f aca="false">Products!C22</f>
        <v>Electronics</v>
      </c>
      <c r="D23" s="25" t="n">
        <f aca="false">SUMIFS(Clean_Data!$D$5:$D$2989,Clean_Data!$C$5:$C$2989,$A23)</f>
        <v>298</v>
      </c>
      <c r="E23" s="26" t="n">
        <f aca="false">SUMIFS(Clean_Data!$K$5:$K$2989,Clean_Data!$C$5:$C$2989,$A23)</f>
        <v>33962.29</v>
      </c>
      <c r="F23" s="26" t="n">
        <f aca="false">SUMIFS(Clean_Data!$N$5:$N$2989,Clean_Data!$C$5:$C$2989,$A23)</f>
        <v>20595.83</v>
      </c>
      <c r="G23" s="26" t="n">
        <f aca="false">E23-F23</f>
        <v>13366.46</v>
      </c>
      <c r="H23" s="27" t="n">
        <f aca="false">IF(E23=0,0,G23/E23)</f>
        <v>0.393567689340148</v>
      </c>
      <c r="I23" s="34" t="n">
        <f aca="false">RANK(G23,$G$6:$G$25,0)</f>
        <v>5</v>
      </c>
    </row>
    <row r="24" customFormat="false" ht="15" hidden="false" customHeight="false" outlineLevel="0" collapsed="false">
      <c r="A24" s="33" t="str">
        <f aca="false">Products!A23</f>
        <v>P019</v>
      </c>
      <c r="B24" s="33" t="str">
        <f aca="false">Products!B23</f>
        <v>Printer Paper Ream</v>
      </c>
      <c r="C24" s="33" t="str">
        <f aca="false">Products!C23</f>
        <v>Stationery</v>
      </c>
      <c r="D24" s="25" t="n">
        <f aca="false">SUMIFS(Clean_Data!$D$5:$D$2989,Clean_Data!$C$5:$C$2989,$A24)</f>
        <v>520</v>
      </c>
      <c r="E24" s="26" t="n">
        <f aca="false">SUMIFS(Clean_Data!$K$5:$K$2989,Clean_Data!$C$5:$C$2989,$A24)</f>
        <v>4496.01</v>
      </c>
      <c r="F24" s="26" t="n">
        <f aca="false">SUMIFS(Clean_Data!$N$5:$N$2989,Clean_Data!$C$5:$C$2989,$A24)</f>
        <v>2372.14</v>
      </c>
      <c r="G24" s="26" t="n">
        <f aca="false">E24-F24</f>
        <v>2123.87</v>
      </c>
      <c r="H24" s="27" t="n">
        <f aca="false">IF(E24=0,0,G24/E24)</f>
        <v>0.472389963545455</v>
      </c>
      <c r="I24" s="34" t="n">
        <f aca="false">RANK(G24,$G$6:$G$25,0)</f>
        <v>20</v>
      </c>
    </row>
    <row r="25" customFormat="false" ht="15" hidden="false" customHeight="false" outlineLevel="0" collapsed="false">
      <c r="A25" s="33" t="str">
        <f aca="false">Products!A24</f>
        <v>P020</v>
      </c>
      <c r="B25" s="33" t="str">
        <f aca="false">Products!B24</f>
        <v>Ergonomic Footrest</v>
      </c>
      <c r="C25" s="33" t="str">
        <f aca="false">Products!C24</f>
        <v>Furniture</v>
      </c>
      <c r="D25" s="25" t="n">
        <f aca="false">SUMIFS(Clean_Data!$D$5:$D$2989,Clean_Data!$C$5:$C$2989,$A25)</f>
        <v>264</v>
      </c>
      <c r="E25" s="26" t="n">
        <f aca="false">SUMIFS(Clean_Data!$K$5:$K$2989,Clean_Data!$C$5:$C$2989,$A25)</f>
        <v>9888.89</v>
      </c>
      <c r="F25" s="26" t="n">
        <f aca="false">SUMIFS(Clean_Data!$N$5:$N$2989,Clean_Data!$C$5:$C$2989,$A25)</f>
        <v>4584.44</v>
      </c>
      <c r="G25" s="26" t="n">
        <f aca="false">E25-F25</f>
        <v>5304.45</v>
      </c>
      <c r="H25" s="27" t="n">
        <f aca="false">IF(E25=0,0,G25/E25)</f>
        <v>0.536404995909551</v>
      </c>
      <c r="I25" s="34" t="n">
        <f aca="false">RANK(G25,$G$6:$G$25,0)</f>
        <v>14</v>
      </c>
    </row>
    <row r="26" customFormat="false" ht="15" hidden="false" customHeight="false" outlineLevel="0" collapsed="false">
      <c r="A26" s="28" t="s">
        <v>82</v>
      </c>
      <c r="B26" s="28"/>
      <c r="C26" s="28"/>
      <c r="D26" s="29" t="n">
        <f aca="false">SUM(D6:D25)</f>
        <v>7935</v>
      </c>
      <c r="E26" s="30" t="n">
        <f aca="false">SUM(E6:E25)</f>
        <v>394207.38</v>
      </c>
      <c r="F26" s="30" t="n">
        <f aca="false">SUM(F6:F25)</f>
        <v>205439.75</v>
      </c>
      <c r="G26" s="30" t="n">
        <f aca="false">SUM(G6:G25)</f>
        <v>188767.63</v>
      </c>
      <c r="H26" s="31" t="n">
        <f aca="false">IF(E26=0,0,G26/E26)</f>
        <v>0.478853617606043</v>
      </c>
      <c r="I26" s="38"/>
    </row>
  </sheetData>
  <conditionalFormatting sqref="G6:G25">
    <cfRule type="dataBar" priority="2">
      <dataBar showValue="1" minLength="10" maxLength="90">
        <cfvo type="min" val="0"/>
        <cfvo type="max" val="0"/>
        <color rgb="FFA9D08E"/>
      </dataBar>
      <extLst>
        <ext xmlns:x14="http://schemas.microsoft.com/office/spreadsheetml/2009/9/main" uri="{B025F937-C7B1-47D3-B67F-A62EFF666E3E}">
          <x14:id>{2E1933BA-C6AB-4C44-ADD9-2C992FFF7F96}</x14:id>
        </ext>
      </extLst>
    </cfRule>
  </conditionalFormatting>
  <conditionalFormatting sqref="I6:I25">
    <cfRule type="cellIs" priority="3" operator="lessThanOrEqual" aboveAverage="0" equalAverage="0" bottom="0" percent="0" rank="0" text="" dxfId="0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1933BA-C6AB-4C44-ADD9-2C992FFF7F96}">
            <x14:dataBar minLength="10" maxLength="90" axisPosition="none" gradient="true">
              <x14:cfvo type="min"/>
              <x14:cfvo type="max"/>
              <x14:negativeFillColor rgb="FFA9D08E"/>
              <x14:axisColor rgb="FF000000"/>
            </x14:dataBar>
          </x14:cfRule>
          <xm:sqref>G6:G25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29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21" t="s">
        <v>95</v>
      </c>
    </row>
    <row r="2" customFormat="false" ht="15" hidden="false" customHeight="false" outlineLevel="0" collapsed="false">
      <c r="A2" s="22" t="s">
        <v>96</v>
      </c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customFormat="false" ht="30" hidden="false" customHeight="true" outlineLevel="0" collapsed="false">
      <c r="A4" s="6" t="s">
        <v>97</v>
      </c>
      <c r="B4" s="6" t="s">
        <v>98</v>
      </c>
      <c r="C4" s="6" t="s">
        <v>87</v>
      </c>
      <c r="D4" s="6" t="s">
        <v>99</v>
      </c>
      <c r="E4" s="6" t="s">
        <v>100</v>
      </c>
      <c r="F4" s="6" t="s">
        <v>101</v>
      </c>
      <c r="G4" s="6" t="s">
        <v>88</v>
      </c>
      <c r="H4" s="6" t="s">
        <v>89</v>
      </c>
      <c r="I4" s="6" t="s">
        <v>102</v>
      </c>
      <c r="J4" s="6" t="s">
        <v>73</v>
      </c>
      <c r="K4" s="6" t="s">
        <v>75</v>
      </c>
      <c r="L4" s="6" t="s">
        <v>76</v>
      </c>
      <c r="M4" s="6" t="s">
        <v>77</v>
      </c>
      <c r="N4" s="6" t="s">
        <v>78</v>
      </c>
      <c r="O4" s="6" t="s">
        <v>79</v>
      </c>
      <c r="P4" s="6" t="s">
        <v>80</v>
      </c>
    </row>
    <row r="5" customFormat="false" ht="15" hidden="false" customHeight="false" outlineLevel="0" collapsed="false">
      <c r="A5" s="39" t="s">
        <v>103</v>
      </c>
      <c r="B5" s="40" t="n">
        <v>45658</v>
      </c>
      <c r="C5" s="39" t="s">
        <v>104</v>
      </c>
      <c r="D5" s="39" t="n">
        <v>3</v>
      </c>
      <c r="E5" s="41" t="n">
        <v>15.73</v>
      </c>
      <c r="F5" s="39" t="s">
        <v>105</v>
      </c>
      <c r="G5" s="39" t="str">
        <f aca="false">VLOOKUP(C5,Products!$A$5:$D$24,2,FALSE())</f>
        <v>Water Bottle</v>
      </c>
      <c r="H5" s="39" t="str">
        <f aca="false">VLOOKUP(C5,Products!$A$5:$D$24,3,FALSE())</f>
        <v>Accessories</v>
      </c>
      <c r="I5" s="41" t="n">
        <f aca="false">VLOOKUP(C5,Products!$A$5:$D$24,4,FALSE())</f>
        <v>5</v>
      </c>
      <c r="J5" s="42" t="n">
        <f aca="false">DATE(YEAR(B5),MONTH(B5),1)</f>
        <v>45658</v>
      </c>
      <c r="K5" s="41" t="n">
        <f aca="false">D5*E5</f>
        <v>47.19</v>
      </c>
      <c r="L5" s="41" t="n">
        <f aca="false">D5*I5</f>
        <v>15</v>
      </c>
      <c r="M5" s="41" t="n">
        <f aca="false">IFERROR(INDEX(Raw_Expenses!$C$5:$C$2979,MATCH(A5,Raw_Expenses!$A$5:$A$2979,0)),0)</f>
        <v>1.93</v>
      </c>
      <c r="N5" s="41" t="n">
        <f aca="false">L5+M5</f>
        <v>16.93</v>
      </c>
      <c r="O5" s="41" t="n">
        <f aca="false">K5-N5</f>
        <v>30.26</v>
      </c>
      <c r="P5" s="43" t="n">
        <f aca="false">IF(K5=0,0,O5/K5)</f>
        <v>0.641237550328459</v>
      </c>
    </row>
    <row r="6" customFormat="false" ht="15" hidden="false" customHeight="false" outlineLevel="0" collapsed="false">
      <c r="A6" s="39" t="s">
        <v>106</v>
      </c>
      <c r="B6" s="40" t="n">
        <v>45658</v>
      </c>
      <c r="C6" s="39" t="s">
        <v>107</v>
      </c>
      <c r="D6" s="39" t="n">
        <v>3</v>
      </c>
      <c r="E6" s="41" t="n">
        <v>32.29</v>
      </c>
      <c r="F6" s="39" t="s">
        <v>108</v>
      </c>
      <c r="G6" s="39" t="str">
        <f aca="false">VLOOKUP(C6,Products!$A$5:$D$24,2,FALSE())</f>
        <v>USB-C Hub</v>
      </c>
      <c r="H6" s="39" t="str">
        <f aca="false">VLOOKUP(C6,Products!$A$5:$D$24,3,FALSE())</f>
        <v>Electronics</v>
      </c>
      <c r="I6" s="41" t="n">
        <f aca="false">VLOOKUP(C6,Products!$A$5:$D$24,4,FALSE())</f>
        <v>14</v>
      </c>
      <c r="J6" s="42" t="n">
        <f aca="false">DATE(YEAR(B6),MONTH(B6),1)</f>
        <v>45658</v>
      </c>
      <c r="K6" s="41" t="n">
        <f aca="false">D6*E6</f>
        <v>96.87</v>
      </c>
      <c r="L6" s="41" t="n">
        <f aca="false">D6*I6</f>
        <v>42</v>
      </c>
      <c r="M6" s="41" t="n">
        <f aca="false">IFERROR(INDEX(Raw_Expenses!$C$5:$C$2979,MATCH(A6,Raw_Expenses!$A$5:$A$2979,0)),0)</f>
        <v>7.9</v>
      </c>
      <c r="N6" s="41" t="n">
        <f aca="false">L6+M6</f>
        <v>49.9</v>
      </c>
      <c r="O6" s="41" t="n">
        <f aca="false">K6-N6</f>
        <v>46.97</v>
      </c>
      <c r="P6" s="43" t="n">
        <f aca="false">IF(K6=0,0,O6/K6)</f>
        <v>0.48487663879426</v>
      </c>
    </row>
    <row r="7" customFormat="false" ht="15" hidden="false" customHeight="false" outlineLevel="0" collapsed="false">
      <c r="A7" s="39" t="s">
        <v>109</v>
      </c>
      <c r="B7" s="40" t="n">
        <v>45658</v>
      </c>
      <c r="C7" s="39" t="s">
        <v>110</v>
      </c>
      <c r="D7" s="39" t="n">
        <v>5</v>
      </c>
      <c r="E7" s="41" t="n">
        <v>13.36</v>
      </c>
      <c r="F7" s="39" t="s">
        <v>105</v>
      </c>
      <c r="G7" s="39" t="str">
        <f aca="false">VLOOKUP(C7,Products!$A$5:$D$24,2,FALSE())</f>
        <v>Phone Stand</v>
      </c>
      <c r="H7" s="39" t="str">
        <f aca="false">VLOOKUP(C7,Products!$A$5:$D$24,3,FALSE())</f>
        <v>Accessories</v>
      </c>
      <c r="I7" s="41" t="n">
        <f aca="false">VLOOKUP(C7,Products!$A$5:$D$24,4,FALSE())</f>
        <v>4</v>
      </c>
      <c r="J7" s="42" t="n">
        <f aca="false">DATE(YEAR(B7),MONTH(B7),1)</f>
        <v>45658</v>
      </c>
      <c r="K7" s="41" t="n">
        <f aca="false">D7*E7</f>
        <v>66.8</v>
      </c>
      <c r="L7" s="41" t="n">
        <f aca="false">D7*I7</f>
        <v>20</v>
      </c>
      <c r="M7" s="41" t="n">
        <f aca="false">IFERROR(INDEX(Raw_Expenses!$C$5:$C$2979,MATCH(A7,Raw_Expenses!$A$5:$A$2979,0)),0)</f>
        <v>4.1</v>
      </c>
      <c r="N7" s="41" t="n">
        <f aca="false">L7+M7</f>
        <v>24.1</v>
      </c>
      <c r="O7" s="41" t="n">
        <f aca="false">K7-N7</f>
        <v>42.7</v>
      </c>
      <c r="P7" s="43" t="n">
        <f aca="false">IF(K7=0,0,O7/K7)</f>
        <v>0.639221556886228</v>
      </c>
    </row>
    <row r="8" customFormat="false" ht="15" hidden="false" customHeight="false" outlineLevel="0" collapsed="false">
      <c r="A8" s="39" t="s">
        <v>111</v>
      </c>
      <c r="B8" s="40" t="n">
        <v>45658</v>
      </c>
      <c r="C8" s="39" t="s">
        <v>112</v>
      </c>
      <c r="D8" s="39" t="n">
        <v>2</v>
      </c>
      <c r="E8" s="41" t="n">
        <v>54.82</v>
      </c>
      <c r="F8" s="39" t="s">
        <v>105</v>
      </c>
      <c r="G8" s="39" t="str">
        <f aca="false">VLOOKUP(C8,Products!$A$5:$D$24,2,FALSE())</f>
        <v>HD Webcam</v>
      </c>
      <c r="H8" s="39" t="str">
        <f aca="false">VLOOKUP(C8,Products!$A$5:$D$24,3,FALSE())</f>
        <v>Electronics</v>
      </c>
      <c r="I8" s="41" t="n">
        <f aca="false">VLOOKUP(C8,Products!$A$5:$D$24,4,FALSE())</f>
        <v>22</v>
      </c>
      <c r="J8" s="42" t="n">
        <f aca="false">DATE(YEAR(B8),MONTH(B8),1)</f>
        <v>45658</v>
      </c>
      <c r="K8" s="41" t="n">
        <f aca="false">D8*E8</f>
        <v>109.64</v>
      </c>
      <c r="L8" s="41" t="n">
        <f aca="false">D8*I8</f>
        <v>44</v>
      </c>
      <c r="M8" s="41" t="n">
        <f aca="false">IFERROR(INDEX(Raw_Expenses!$C$5:$C$2979,MATCH(A8,Raw_Expenses!$A$5:$A$2979,0)),0)</f>
        <v>7.06</v>
      </c>
      <c r="N8" s="41" t="n">
        <f aca="false">L8+M8</f>
        <v>51.06</v>
      </c>
      <c r="O8" s="41" t="n">
        <f aca="false">K8-N8</f>
        <v>58.58</v>
      </c>
      <c r="P8" s="43" t="n">
        <f aca="false">IF(K8=0,0,O8/K8)</f>
        <v>0.534294053265232</v>
      </c>
    </row>
    <row r="9" customFormat="false" ht="15" hidden="false" customHeight="false" outlineLevel="0" collapsed="false">
      <c r="A9" s="39" t="s">
        <v>113</v>
      </c>
      <c r="B9" s="40" t="n">
        <v>45658</v>
      </c>
      <c r="C9" s="39" t="s">
        <v>114</v>
      </c>
      <c r="D9" s="39" t="n">
        <v>2</v>
      </c>
      <c r="E9" s="41" t="n">
        <v>5.91</v>
      </c>
      <c r="F9" s="39" t="s">
        <v>115</v>
      </c>
      <c r="G9" s="39" t="str">
        <f aca="false">VLOOKUP(C9,Products!$A$5:$D$24,2,FALSE())</f>
        <v>Gel Pen Pack</v>
      </c>
      <c r="H9" s="39" t="str">
        <f aca="false">VLOOKUP(C9,Products!$A$5:$D$24,3,FALSE())</f>
        <v>Stationery</v>
      </c>
      <c r="I9" s="41" t="n">
        <f aca="false">VLOOKUP(C9,Products!$A$5:$D$24,4,FALSE())</f>
        <v>2</v>
      </c>
      <c r="J9" s="42" t="n">
        <f aca="false">DATE(YEAR(B9),MONTH(B9),1)</f>
        <v>45658</v>
      </c>
      <c r="K9" s="41" t="n">
        <f aca="false">D9*E9</f>
        <v>11.82</v>
      </c>
      <c r="L9" s="41" t="n">
        <f aca="false">D9*I9</f>
        <v>4</v>
      </c>
      <c r="M9" s="41" t="n">
        <f aca="false">IFERROR(INDEX(Raw_Expenses!$C$5:$C$2979,MATCH(A9,Raw_Expenses!$A$5:$A$2979,0)),0)</f>
        <v>0.49</v>
      </c>
      <c r="N9" s="41" t="n">
        <f aca="false">L9+M9</f>
        <v>4.49</v>
      </c>
      <c r="O9" s="41" t="n">
        <f aca="false">K9-N9</f>
        <v>7.33</v>
      </c>
      <c r="P9" s="43" t="n">
        <f aca="false">IF(K9=0,0,O9/K9)</f>
        <v>0.620135363790186</v>
      </c>
    </row>
    <row r="10" customFormat="false" ht="15" hidden="false" customHeight="false" outlineLevel="0" collapsed="false">
      <c r="A10" s="39" t="s">
        <v>116</v>
      </c>
      <c r="B10" s="40" t="n">
        <v>45658</v>
      </c>
      <c r="C10" s="39" t="s">
        <v>117</v>
      </c>
      <c r="D10" s="39" t="n">
        <v>4</v>
      </c>
      <c r="E10" s="41" t="n">
        <v>29.73</v>
      </c>
      <c r="F10" s="39" t="s">
        <v>118</v>
      </c>
      <c r="G10" s="39" t="str">
        <f aca="false">VLOOKUP(C10,Products!$A$5:$D$24,2,FALSE())</f>
        <v>Desk Lamp</v>
      </c>
      <c r="H10" s="39" t="str">
        <f aca="false">VLOOKUP(C10,Products!$A$5:$D$24,3,FALSE())</f>
        <v>Furniture</v>
      </c>
      <c r="I10" s="41" t="n">
        <f aca="false">VLOOKUP(C10,Products!$A$5:$D$24,4,FALSE())</f>
        <v>13</v>
      </c>
      <c r="J10" s="42" t="n">
        <f aca="false">DATE(YEAR(B10),MONTH(B10),1)</f>
        <v>45658</v>
      </c>
      <c r="K10" s="41" t="n">
        <f aca="false">D10*E10</f>
        <v>118.92</v>
      </c>
      <c r="L10" s="41" t="n">
        <f aca="false">D10*I10</f>
        <v>52</v>
      </c>
      <c r="M10" s="41" t="n">
        <f aca="false">IFERROR(INDEX(Raw_Expenses!$C$5:$C$2979,MATCH(A10,Raw_Expenses!$A$5:$A$2979,0)),0)</f>
        <v>9.63</v>
      </c>
      <c r="N10" s="41" t="n">
        <f aca="false">L10+M10</f>
        <v>61.63</v>
      </c>
      <c r="O10" s="41" t="n">
        <f aca="false">K10-N10</f>
        <v>57.29</v>
      </c>
      <c r="P10" s="43" t="n">
        <f aca="false">IF(K10=0,0,O10/K10)</f>
        <v>0.481752438614194</v>
      </c>
    </row>
    <row r="11" customFormat="false" ht="15" hidden="false" customHeight="false" outlineLevel="0" collapsed="false">
      <c r="A11" s="39" t="s">
        <v>119</v>
      </c>
      <c r="B11" s="40" t="n">
        <v>45658</v>
      </c>
      <c r="C11" s="39" t="s">
        <v>117</v>
      </c>
      <c r="D11" s="39" t="n">
        <v>1</v>
      </c>
      <c r="E11" s="41" t="n">
        <v>30.8</v>
      </c>
      <c r="F11" s="39" t="s">
        <v>105</v>
      </c>
      <c r="G11" s="39" t="str">
        <f aca="false">VLOOKUP(C11,Products!$A$5:$D$24,2,FALSE())</f>
        <v>Desk Lamp</v>
      </c>
      <c r="H11" s="39" t="str">
        <f aca="false">VLOOKUP(C11,Products!$A$5:$D$24,3,FALSE())</f>
        <v>Furniture</v>
      </c>
      <c r="I11" s="41" t="n">
        <f aca="false">VLOOKUP(C11,Products!$A$5:$D$24,4,FALSE())</f>
        <v>13</v>
      </c>
      <c r="J11" s="42" t="n">
        <f aca="false">DATE(YEAR(B11),MONTH(B11),1)</f>
        <v>45658</v>
      </c>
      <c r="K11" s="41" t="n">
        <f aca="false">D11*E11</f>
        <v>30.8</v>
      </c>
      <c r="L11" s="41" t="n">
        <f aca="false">D11*I11</f>
        <v>13</v>
      </c>
      <c r="M11" s="41" t="n">
        <f aca="false">IFERROR(INDEX(Raw_Expenses!$C$5:$C$2979,MATCH(A11,Raw_Expenses!$A$5:$A$2979,0)),0)</f>
        <v>2.2</v>
      </c>
      <c r="N11" s="41" t="n">
        <f aca="false">L11+M11</f>
        <v>15.2</v>
      </c>
      <c r="O11" s="41" t="n">
        <f aca="false">K11-N11</f>
        <v>15.6</v>
      </c>
      <c r="P11" s="43" t="n">
        <f aca="false">IF(K11=0,0,O11/K11)</f>
        <v>0.506493506493507</v>
      </c>
    </row>
    <row r="12" customFormat="false" ht="15" hidden="false" customHeight="false" outlineLevel="0" collapsed="false">
      <c r="A12" s="39" t="s">
        <v>120</v>
      </c>
      <c r="B12" s="40" t="n">
        <v>45659</v>
      </c>
      <c r="C12" s="39" t="s">
        <v>121</v>
      </c>
      <c r="D12" s="39" t="n">
        <v>2</v>
      </c>
      <c r="E12" s="41" t="n">
        <v>115.64</v>
      </c>
      <c r="F12" s="39" t="s">
        <v>115</v>
      </c>
      <c r="G12" s="39" t="str">
        <f aca="false">VLOOKUP(C12,Products!$A$5:$D$24,2,FALSE())</f>
        <v>External SSD 1TB</v>
      </c>
      <c r="H12" s="39" t="str">
        <f aca="false">VLOOKUP(C12,Products!$A$5:$D$24,3,FALSE())</f>
        <v>Electronics</v>
      </c>
      <c r="I12" s="41" t="n">
        <f aca="false">VLOOKUP(C12,Products!$A$5:$D$24,4,FALSE())</f>
        <v>62</v>
      </c>
      <c r="J12" s="42" t="n">
        <f aca="false">DATE(YEAR(B12),MONTH(B12),1)</f>
        <v>45658</v>
      </c>
      <c r="K12" s="41" t="n">
        <f aca="false">D12*E12</f>
        <v>231.28</v>
      </c>
      <c r="L12" s="41" t="n">
        <f aca="false">D12*I12</f>
        <v>124</v>
      </c>
      <c r="M12" s="41" t="n">
        <f aca="false">IFERROR(INDEX(Raw_Expenses!$C$5:$C$2979,MATCH(A12,Raw_Expenses!$A$5:$A$2979,0)),0)</f>
        <v>17.45</v>
      </c>
      <c r="N12" s="41" t="n">
        <f aca="false">L12+M12</f>
        <v>141.45</v>
      </c>
      <c r="O12" s="41" t="n">
        <f aca="false">K12-N12</f>
        <v>89.83</v>
      </c>
      <c r="P12" s="43" t="n">
        <f aca="false">IF(K12=0,0,O12/K12)</f>
        <v>0.388403666551366</v>
      </c>
    </row>
    <row r="13" customFormat="false" ht="15" hidden="false" customHeight="false" outlineLevel="0" collapsed="false">
      <c r="A13" s="39" t="s">
        <v>122</v>
      </c>
      <c r="B13" s="40" t="n">
        <v>45659</v>
      </c>
      <c r="C13" s="39" t="s">
        <v>104</v>
      </c>
      <c r="D13" s="39" t="n">
        <v>1</v>
      </c>
      <c r="E13" s="41" t="n">
        <v>15.92</v>
      </c>
      <c r="F13" s="39" t="s">
        <v>108</v>
      </c>
      <c r="G13" s="39" t="str">
        <f aca="false">VLOOKUP(C13,Products!$A$5:$D$24,2,FALSE())</f>
        <v>Water Bottle</v>
      </c>
      <c r="H13" s="39" t="str">
        <f aca="false">VLOOKUP(C13,Products!$A$5:$D$24,3,FALSE())</f>
        <v>Accessories</v>
      </c>
      <c r="I13" s="41" t="n">
        <f aca="false">VLOOKUP(C13,Products!$A$5:$D$24,4,FALSE())</f>
        <v>5</v>
      </c>
      <c r="J13" s="42" t="n">
        <f aca="false">DATE(YEAR(B13),MONTH(B13),1)</f>
        <v>45658</v>
      </c>
      <c r="K13" s="41" t="n">
        <f aca="false">D13*E13</f>
        <v>15.92</v>
      </c>
      <c r="L13" s="41" t="n">
        <f aca="false">D13*I13</f>
        <v>5</v>
      </c>
      <c r="M13" s="41" t="n">
        <f aca="false">IFERROR(INDEX(Raw_Expenses!$C$5:$C$2979,MATCH(A13,Raw_Expenses!$A$5:$A$2979,0)),0)</f>
        <v>1.41</v>
      </c>
      <c r="N13" s="41" t="n">
        <f aca="false">L13+M13</f>
        <v>6.41</v>
      </c>
      <c r="O13" s="41" t="n">
        <f aca="false">K13-N13</f>
        <v>9.51</v>
      </c>
      <c r="P13" s="43" t="n">
        <f aca="false">IF(K13=0,0,O13/K13)</f>
        <v>0.597361809045226</v>
      </c>
    </row>
    <row r="14" customFormat="false" ht="15" hidden="false" customHeight="false" outlineLevel="0" collapsed="false">
      <c r="A14" s="39" t="s">
        <v>123</v>
      </c>
      <c r="B14" s="40" t="n">
        <v>45659</v>
      </c>
      <c r="C14" s="39" t="s">
        <v>110</v>
      </c>
      <c r="D14" s="39" t="n">
        <v>2</v>
      </c>
      <c r="E14" s="41" t="n">
        <v>13.66</v>
      </c>
      <c r="F14" s="39" t="s">
        <v>118</v>
      </c>
      <c r="G14" s="39" t="str">
        <f aca="false">VLOOKUP(C14,Products!$A$5:$D$24,2,FALSE())</f>
        <v>Phone Stand</v>
      </c>
      <c r="H14" s="39" t="str">
        <f aca="false">VLOOKUP(C14,Products!$A$5:$D$24,3,FALSE())</f>
        <v>Accessories</v>
      </c>
      <c r="I14" s="41" t="n">
        <f aca="false">VLOOKUP(C14,Products!$A$5:$D$24,4,FALSE())</f>
        <v>4</v>
      </c>
      <c r="J14" s="42" t="n">
        <f aca="false">DATE(YEAR(B14),MONTH(B14),1)</f>
        <v>45658</v>
      </c>
      <c r="K14" s="41" t="n">
        <f aca="false">D14*E14</f>
        <v>27.32</v>
      </c>
      <c r="L14" s="41" t="n">
        <f aca="false">D14*I14</f>
        <v>8</v>
      </c>
      <c r="M14" s="41" t="n">
        <f aca="false">IFERROR(INDEX(Raw_Expenses!$C$5:$C$2979,MATCH(A14,Raw_Expenses!$A$5:$A$2979,0)),0)</f>
        <v>1.19</v>
      </c>
      <c r="N14" s="41" t="n">
        <f aca="false">L14+M14</f>
        <v>9.19</v>
      </c>
      <c r="O14" s="41" t="n">
        <f aca="false">K14-N14</f>
        <v>18.13</v>
      </c>
      <c r="P14" s="43" t="n">
        <f aca="false">IF(K14=0,0,O14/K14)</f>
        <v>0.663616398243046</v>
      </c>
    </row>
    <row r="15" customFormat="false" ht="15" hidden="false" customHeight="false" outlineLevel="0" collapsed="false">
      <c r="A15" s="39" t="s">
        <v>124</v>
      </c>
      <c r="B15" s="40" t="n">
        <v>45660</v>
      </c>
      <c r="C15" s="39" t="s">
        <v>107</v>
      </c>
      <c r="D15" s="39" t="n">
        <v>1</v>
      </c>
      <c r="E15" s="41" t="n">
        <v>34.04</v>
      </c>
      <c r="F15" s="39" t="s">
        <v>115</v>
      </c>
      <c r="G15" s="39" t="str">
        <f aca="false">VLOOKUP(C15,Products!$A$5:$D$24,2,FALSE())</f>
        <v>USB-C Hub</v>
      </c>
      <c r="H15" s="39" t="str">
        <f aca="false">VLOOKUP(C15,Products!$A$5:$D$24,3,FALSE())</f>
        <v>Electronics</v>
      </c>
      <c r="I15" s="41" t="n">
        <f aca="false">VLOOKUP(C15,Products!$A$5:$D$24,4,FALSE())</f>
        <v>14</v>
      </c>
      <c r="J15" s="42" t="n">
        <f aca="false">DATE(YEAR(B15),MONTH(B15),1)</f>
        <v>45658</v>
      </c>
      <c r="K15" s="41" t="n">
        <f aca="false">D15*E15</f>
        <v>34.04</v>
      </c>
      <c r="L15" s="41" t="n">
        <f aca="false">D15*I15</f>
        <v>14</v>
      </c>
      <c r="M15" s="41" t="n">
        <f aca="false">IFERROR(INDEX(Raw_Expenses!$C$5:$C$2979,MATCH(A15,Raw_Expenses!$A$5:$A$2979,0)),0)</f>
        <v>2.36</v>
      </c>
      <c r="N15" s="41" t="n">
        <f aca="false">L15+M15</f>
        <v>16.36</v>
      </c>
      <c r="O15" s="41" t="n">
        <f aca="false">K15-N15</f>
        <v>17.68</v>
      </c>
      <c r="P15" s="43" t="n">
        <f aca="false">IF(K15=0,0,O15/K15)</f>
        <v>0.519388954171563</v>
      </c>
    </row>
    <row r="16" customFormat="false" ht="15" hidden="false" customHeight="false" outlineLevel="0" collapsed="false">
      <c r="A16" s="39" t="s">
        <v>125</v>
      </c>
      <c r="B16" s="40" t="n">
        <v>45660</v>
      </c>
      <c r="C16" s="39" t="s">
        <v>126</v>
      </c>
      <c r="D16" s="39" t="n">
        <v>1</v>
      </c>
      <c r="E16" s="41" t="n">
        <v>23.2</v>
      </c>
      <c r="F16" s="39" t="s">
        <v>118</v>
      </c>
      <c r="G16" s="39" t="str">
        <f aca="false">VLOOKUP(C16,Products!$A$5:$D$24,2,FALSE())</f>
        <v>Wireless Mouse</v>
      </c>
      <c r="H16" s="39" t="str">
        <f aca="false">VLOOKUP(C16,Products!$A$5:$D$24,3,FALSE())</f>
        <v>Electronics</v>
      </c>
      <c r="I16" s="41" t="n">
        <f aca="false">VLOOKUP(C16,Products!$A$5:$D$24,4,FALSE())</f>
        <v>12</v>
      </c>
      <c r="J16" s="42" t="n">
        <f aca="false">DATE(YEAR(B16),MONTH(B16),1)</f>
        <v>45658</v>
      </c>
      <c r="K16" s="41" t="n">
        <f aca="false">D16*E16</f>
        <v>23.2</v>
      </c>
      <c r="L16" s="41" t="n">
        <f aca="false">D16*I16</f>
        <v>12</v>
      </c>
      <c r="M16" s="41" t="n">
        <f aca="false">IFERROR(INDEX(Raw_Expenses!$C$5:$C$2979,MATCH(A16,Raw_Expenses!$A$5:$A$2979,0)),0)</f>
        <v>1.9</v>
      </c>
      <c r="N16" s="41" t="n">
        <f aca="false">L16+M16</f>
        <v>13.9</v>
      </c>
      <c r="O16" s="41" t="n">
        <f aca="false">K16-N16</f>
        <v>9.3</v>
      </c>
      <c r="P16" s="43" t="n">
        <f aca="false">IF(K16=0,0,O16/K16)</f>
        <v>0.400862068965517</v>
      </c>
    </row>
    <row r="17" customFormat="false" ht="15" hidden="false" customHeight="false" outlineLevel="0" collapsed="false">
      <c r="A17" s="39" t="s">
        <v>127</v>
      </c>
      <c r="B17" s="40" t="n">
        <v>45660</v>
      </c>
      <c r="C17" s="39" t="s">
        <v>128</v>
      </c>
      <c r="D17" s="39" t="n">
        <v>2</v>
      </c>
      <c r="E17" s="41" t="n">
        <v>37.09</v>
      </c>
      <c r="F17" s="39" t="s">
        <v>118</v>
      </c>
      <c r="G17" s="39" t="str">
        <f aca="false">VLOOKUP(C17,Products!$A$5:$D$24,2,FALSE())</f>
        <v>Ergonomic Footrest</v>
      </c>
      <c r="H17" s="39" t="str">
        <f aca="false">VLOOKUP(C17,Products!$A$5:$D$24,3,FALSE())</f>
        <v>Furniture</v>
      </c>
      <c r="I17" s="41" t="n">
        <f aca="false">VLOOKUP(C17,Products!$A$5:$D$24,4,FALSE())</f>
        <v>15</v>
      </c>
      <c r="J17" s="42" t="n">
        <f aca="false">DATE(YEAR(B17),MONTH(B17),1)</f>
        <v>45658</v>
      </c>
      <c r="K17" s="41" t="n">
        <f aca="false">D17*E17</f>
        <v>74.18</v>
      </c>
      <c r="L17" s="41" t="n">
        <f aca="false">D17*I17</f>
        <v>30</v>
      </c>
      <c r="M17" s="41" t="n">
        <f aca="false">IFERROR(INDEX(Raw_Expenses!$C$5:$C$2979,MATCH(A17,Raw_Expenses!$A$5:$A$2979,0)),0)</f>
        <v>3.87</v>
      </c>
      <c r="N17" s="41" t="n">
        <f aca="false">L17+M17</f>
        <v>33.87</v>
      </c>
      <c r="O17" s="41" t="n">
        <f aca="false">K17-N17</f>
        <v>40.31</v>
      </c>
      <c r="P17" s="43" t="n">
        <f aca="false">IF(K17=0,0,O17/K17)</f>
        <v>0.543407926664869</v>
      </c>
    </row>
    <row r="18" customFormat="false" ht="15" hidden="false" customHeight="false" outlineLevel="0" collapsed="false">
      <c r="A18" s="39" t="s">
        <v>129</v>
      </c>
      <c r="B18" s="40" t="n">
        <v>45660</v>
      </c>
      <c r="C18" s="39" t="s">
        <v>130</v>
      </c>
      <c r="D18" s="39" t="n">
        <v>1</v>
      </c>
      <c r="E18" s="41" t="n">
        <v>8.87</v>
      </c>
      <c r="F18" s="39" t="s">
        <v>115</v>
      </c>
      <c r="G18" s="39" t="str">
        <f aca="false">VLOOKUP(C18,Products!$A$5:$D$24,2,FALSE())</f>
        <v>Notebook Set</v>
      </c>
      <c r="H18" s="39" t="str">
        <f aca="false">VLOOKUP(C18,Products!$A$5:$D$24,3,FALSE())</f>
        <v>Stationery</v>
      </c>
      <c r="I18" s="41" t="n">
        <f aca="false">VLOOKUP(C18,Products!$A$5:$D$24,4,FALSE())</f>
        <v>3</v>
      </c>
      <c r="J18" s="42" t="n">
        <f aca="false">DATE(YEAR(B18),MONTH(B18),1)</f>
        <v>45658</v>
      </c>
      <c r="K18" s="41" t="n">
        <f aca="false">D18*E18</f>
        <v>8.87</v>
      </c>
      <c r="L18" s="41" t="n">
        <f aca="false">D18*I18</f>
        <v>3</v>
      </c>
      <c r="M18" s="41" t="n">
        <f aca="false">IFERROR(INDEX(Raw_Expenses!$C$5:$C$2979,MATCH(A18,Raw_Expenses!$A$5:$A$2979,0)),0)</f>
        <v>0.52</v>
      </c>
      <c r="N18" s="41" t="n">
        <f aca="false">L18+M18</f>
        <v>3.52</v>
      </c>
      <c r="O18" s="41" t="n">
        <f aca="false">K18-N18</f>
        <v>5.35</v>
      </c>
      <c r="P18" s="43" t="n">
        <f aca="false">IF(K18=0,0,O18/K18)</f>
        <v>0.60315670800451</v>
      </c>
    </row>
    <row r="19" customFormat="false" ht="15" hidden="false" customHeight="false" outlineLevel="0" collapsed="false">
      <c r="A19" s="39" t="s">
        <v>131</v>
      </c>
      <c r="B19" s="40" t="n">
        <v>45660</v>
      </c>
      <c r="C19" s="39" t="s">
        <v>114</v>
      </c>
      <c r="D19" s="39" t="n">
        <v>5</v>
      </c>
      <c r="E19" s="41" t="n">
        <v>5.65</v>
      </c>
      <c r="F19" s="39" t="s">
        <v>118</v>
      </c>
      <c r="G19" s="39" t="str">
        <f aca="false">VLOOKUP(C19,Products!$A$5:$D$24,2,FALSE())</f>
        <v>Gel Pen Pack</v>
      </c>
      <c r="H19" s="39" t="str">
        <f aca="false">VLOOKUP(C19,Products!$A$5:$D$24,3,FALSE())</f>
        <v>Stationery</v>
      </c>
      <c r="I19" s="41" t="n">
        <f aca="false">VLOOKUP(C19,Products!$A$5:$D$24,4,FALSE())</f>
        <v>2</v>
      </c>
      <c r="J19" s="42" t="n">
        <f aca="false">DATE(YEAR(B19),MONTH(B19),1)</f>
        <v>45658</v>
      </c>
      <c r="K19" s="41" t="n">
        <f aca="false">D19*E19</f>
        <v>28.25</v>
      </c>
      <c r="L19" s="41" t="n">
        <f aca="false">D19*I19</f>
        <v>10</v>
      </c>
      <c r="M19" s="41" t="n">
        <f aca="false">IFERROR(INDEX(Raw_Expenses!$C$5:$C$2979,MATCH(A19,Raw_Expenses!$A$5:$A$2979,0)),0)</f>
        <v>2.02</v>
      </c>
      <c r="N19" s="41" t="n">
        <f aca="false">L19+M19</f>
        <v>12.02</v>
      </c>
      <c r="O19" s="41" t="n">
        <f aca="false">K19-N19</f>
        <v>16.23</v>
      </c>
      <c r="P19" s="43" t="n">
        <f aca="false">IF(K19=0,0,O19/K19)</f>
        <v>0.574513274336283</v>
      </c>
    </row>
    <row r="20" customFormat="false" ht="15" hidden="false" customHeight="false" outlineLevel="0" collapsed="false">
      <c r="A20" s="39" t="s">
        <v>132</v>
      </c>
      <c r="B20" s="40" t="n">
        <v>45660</v>
      </c>
      <c r="C20" s="39" t="s">
        <v>133</v>
      </c>
      <c r="D20" s="39" t="n">
        <v>3</v>
      </c>
      <c r="E20" s="41" t="n">
        <v>8.94</v>
      </c>
      <c r="F20" s="39" t="s">
        <v>115</v>
      </c>
      <c r="G20" s="39" t="str">
        <f aca="false">VLOOKUP(C20,Products!$A$5:$D$24,2,FALSE())</f>
        <v>Printer Paper Ream</v>
      </c>
      <c r="H20" s="39" t="str">
        <f aca="false">VLOOKUP(C20,Products!$A$5:$D$24,3,FALSE())</f>
        <v>Stationery</v>
      </c>
      <c r="I20" s="41" t="n">
        <f aca="false">VLOOKUP(C20,Products!$A$5:$D$24,4,FALSE())</f>
        <v>4</v>
      </c>
      <c r="J20" s="42" t="n">
        <f aca="false">DATE(YEAR(B20),MONTH(B20),1)</f>
        <v>45658</v>
      </c>
      <c r="K20" s="41" t="n">
        <f aca="false">D20*E20</f>
        <v>26.82</v>
      </c>
      <c r="L20" s="41" t="n">
        <f aca="false">D20*I20</f>
        <v>12</v>
      </c>
      <c r="M20" s="41" t="n">
        <f aca="false">IFERROR(INDEX(Raw_Expenses!$C$5:$C$2979,MATCH(A20,Raw_Expenses!$A$5:$A$2979,0)),0)</f>
        <v>2.03</v>
      </c>
      <c r="N20" s="41" t="n">
        <f aca="false">L20+M20</f>
        <v>14.03</v>
      </c>
      <c r="O20" s="41" t="n">
        <f aca="false">K20-N20</f>
        <v>12.79</v>
      </c>
      <c r="P20" s="43" t="n">
        <f aca="false">IF(K20=0,0,O20/K20)</f>
        <v>0.476882923191648</v>
      </c>
    </row>
    <row r="21" customFormat="false" ht="15" hidden="false" customHeight="false" outlineLevel="0" collapsed="false">
      <c r="A21" s="39" t="s">
        <v>134</v>
      </c>
      <c r="B21" s="40" t="n">
        <v>45660</v>
      </c>
      <c r="C21" s="39" t="s">
        <v>114</v>
      </c>
      <c r="D21" s="39" t="n">
        <v>2</v>
      </c>
      <c r="E21" s="41" t="n">
        <v>5.62</v>
      </c>
      <c r="F21" s="39" t="s">
        <v>115</v>
      </c>
      <c r="G21" s="39" t="str">
        <f aca="false">VLOOKUP(C21,Products!$A$5:$D$24,2,FALSE())</f>
        <v>Gel Pen Pack</v>
      </c>
      <c r="H21" s="39" t="str">
        <f aca="false">VLOOKUP(C21,Products!$A$5:$D$24,3,FALSE())</f>
        <v>Stationery</v>
      </c>
      <c r="I21" s="41" t="n">
        <f aca="false">VLOOKUP(C21,Products!$A$5:$D$24,4,FALSE())</f>
        <v>2</v>
      </c>
      <c r="J21" s="42" t="n">
        <f aca="false">DATE(YEAR(B21),MONTH(B21),1)</f>
        <v>45658</v>
      </c>
      <c r="K21" s="41" t="n">
        <f aca="false">D21*E21</f>
        <v>11.24</v>
      </c>
      <c r="L21" s="41" t="n">
        <f aca="false">D21*I21</f>
        <v>4</v>
      </c>
      <c r="M21" s="41" t="n">
        <f aca="false">IFERROR(INDEX(Raw_Expenses!$C$5:$C$2979,MATCH(A21,Raw_Expenses!$A$5:$A$2979,0)),0)</f>
        <v>0.81</v>
      </c>
      <c r="N21" s="41" t="n">
        <f aca="false">L21+M21</f>
        <v>4.81</v>
      </c>
      <c r="O21" s="41" t="n">
        <f aca="false">K21-N21</f>
        <v>6.43</v>
      </c>
      <c r="P21" s="43" t="n">
        <f aca="false">IF(K21=0,0,O21/K21)</f>
        <v>0.572064056939502</v>
      </c>
    </row>
    <row r="22" customFormat="false" ht="15" hidden="false" customHeight="false" outlineLevel="0" collapsed="false">
      <c r="A22" s="39" t="s">
        <v>135</v>
      </c>
      <c r="B22" s="40" t="n">
        <v>45660</v>
      </c>
      <c r="C22" s="39" t="s">
        <v>136</v>
      </c>
      <c r="D22" s="39" t="n">
        <v>4</v>
      </c>
      <c r="E22" s="41" t="n">
        <v>78.77</v>
      </c>
      <c r="F22" s="39" t="s">
        <v>105</v>
      </c>
      <c r="G22" s="39" t="str">
        <f aca="false">VLOOKUP(C22,Products!$A$5:$D$24,2,FALSE())</f>
        <v>Mechanical Keyboard</v>
      </c>
      <c r="H22" s="39" t="str">
        <f aca="false">VLOOKUP(C22,Products!$A$5:$D$24,3,FALSE())</f>
        <v>Electronics</v>
      </c>
      <c r="I22" s="41" t="n">
        <f aca="false">VLOOKUP(C22,Products!$A$5:$D$24,4,FALSE())</f>
        <v>38</v>
      </c>
      <c r="J22" s="42" t="n">
        <f aca="false">DATE(YEAR(B22),MONTH(B22),1)</f>
        <v>45658</v>
      </c>
      <c r="K22" s="41" t="n">
        <f aca="false">D22*E22</f>
        <v>315.08</v>
      </c>
      <c r="L22" s="41" t="n">
        <f aca="false">D22*I22</f>
        <v>152</v>
      </c>
      <c r="M22" s="41" t="n">
        <f aca="false">IFERROR(INDEX(Raw_Expenses!$C$5:$C$2979,MATCH(A22,Raw_Expenses!$A$5:$A$2979,0)),0)</f>
        <v>21.92</v>
      </c>
      <c r="N22" s="41" t="n">
        <f aca="false">L22+M22</f>
        <v>173.92</v>
      </c>
      <c r="O22" s="41" t="n">
        <f aca="false">K22-N22</f>
        <v>141.16</v>
      </c>
      <c r="P22" s="43" t="n">
        <f aca="false">IF(K22=0,0,O22/K22)</f>
        <v>0.448013202996064</v>
      </c>
    </row>
    <row r="23" customFormat="false" ht="15" hidden="false" customHeight="false" outlineLevel="0" collapsed="false">
      <c r="A23" s="39" t="s">
        <v>137</v>
      </c>
      <c r="B23" s="40" t="n">
        <v>45660</v>
      </c>
      <c r="C23" s="39" t="s">
        <v>133</v>
      </c>
      <c r="D23" s="39" t="n">
        <v>8</v>
      </c>
      <c r="E23" s="41" t="n">
        <v>8.46</v>
      </c>
      <c r="F23" s="39" t="s">
        <v>108</v>
      </c>
      <c r="G23" s="39" t="str">
        <f aca="false">VLOOKUP(C23,Products!$A$5:$D$24,2,FALSE())</f>
        <v>Printer Paper Ream</v>
      </c>
      <c r="H23" s="39" t="str">
        <f aca="false">VLOOKUP(C23,Products!$A$5:$D$24,3,FALSE())</f>
        <v>Stationery</v>
      </c>
      <c r="I23" s="41" t="n">
        <f aca="false">VLOOKUP(C23,Products!$A$5:$D$24,4,FALSE())</f>
        <v>4</v>
      </c>
      <c r="J23" s="42" t="n">
        <f aca="false">DATE(YEAR(B23),MONTH(B23),1)</f>
        <v>45658</v>
      </c>
      <c r="K23" s="41" t="n">
        <f aca="false">D23*E23</f>
        <v>67.68</v>
      </c>
      <c r="L23" s="41" t="n">
        <f aca="false">D23*I23</f>
        <v>32</v>
      </c>
      <c r="M23" s="41" t="n">
        <f aca="false">IFERROR(INDEX(Raw_Expenses!$C$5:$C$2979,MATCH(A23,Raw_Expenses!$A$5:$A$2979,0)),0)</f>
        <v>3.75</v>
      </c>
      <c r="N23" s="41" t="n">
        <f aca="false">L23+M23</f>
        <v>35.75</v>
      </c>
      <c r="O23" s="41" t="n">
        <f aca="false">K23-N23</f>
        <v>31.93</v>
      </c>
      <c r="P23" s="43" t="n">
        <f aca="false">IF(K23=0,0,O23/K23)</f>
        <v>0.471778959810875</v>
      </c>
    </row>
    <row r="24" customFormat="false" ht="15" hidden="false" customHeight="false" outlineLevel="0" collapsed="false">
      <c r="A24" s="39" t="s">
        <v>138</v>
      </c>
      <c r="B24" s="40" t="n">
        <v>45661</v>
      </c>
      <c r="C24" s="39" t="s">
        <v>139</v>
      </c>
      <c r="D24" s="39" t="n">
        <v>2</v>
      </c>
      <c r="E24" s="41" t="n">
        <v>123.45</v>
      </c>
      <c r="F24" s="39" t="s">
        <v>105</v>
      </c>
      <c r="G24" s="39" t="str">
        <f aca="false">VLOOKUP(C24,Products!$A$5:$D$24,2,FALSE())</f>
        <v>Noise-Cancelling Headphones</v>
      </c>
      <c r="H24" s="39" t="str">
        <f aca="false">VLOOKUP(C24,Products!$A$5:$D$24,3,FALSE())</f>
        <v>Electronics</v>
      </c>
      <c r="I24" s="41" t="n">
        <f aca="false">VLOOKUP(C24,Products!$A$5:$D$24,4,FALSE())</f>
        <v>55</v>
      </c>
      <c r="J24" s="42" t="n">
        <f aca="false">DATE(YEAR(B24),MONTH(B24),1)</f>
        <v>45658</v>
      </c>
      <c r="K24" s="41" t="n">
        <f aca="false">D24*E24</f>
        <v>246.9</v>
      </c>
      <c r="L24" s="41" t="n">
        <f aca="false">D24*I24</f>
        <v>110</v>
      </c>
      <c r="M24" s="41" t="n">
        <f aca="false">IFERROR(INDEX(Raw_Expenses!$C$5:$C$2979,MATCH(A24,Raw_Expenses!$A$5:$A$2979,0)),0)</f>
        <v>15.86</v>
      </c>
      <c r="N24" s="41" t="n">
        <f aca="false">L24+M24</f>
        <v>125.86</v>
      </c>
      <c r="O24" s="41" t="n">
        <f aca="false">K24-N24</f>
        <v>121.04</v>
      </c>
      <c r="P24" s="43" t="n">
        <f aca="false">IF(K24=0,0,O24/K24)</f>
        <v>0.490238963142973</v>
      </c>
    </row>
    <row r="25" customFormat="false" ht="15" hidden="false" customHeight="false" outlineLevel="0" collapsed="false">
      <c r="A25" s="39" t="s">
        <v>140</v>
      </c>
      <c r="B25" s="40" t="n">
        <v>45661</v>
      </c>
      <c r="C25" s="39" t="s">
        <v>126</v>
      </c>
      <c r="D25" s="39" t="n">
        <v>2</v>
      </c>
      <c r="E25" s="41" t="n">
        <v>24.71</v>
      </c>
      <c r="F25" s="39" t="s">
        <v>118</v>
      </c>
      <c r="G25" s="39" t="str">
        <f aca="false">VLOOKUP(C25,Products!$A$5:$D$24,2,FALSE())</f>
        <v>Wireless Mouse</v>
      </c>
      <c r="H25" s="39" t="str">
        <f aca="false">VLOOKUP(C25,Products!$A$5:$D$24,3,FALSE())</f>
        <v>Electronics</v>
      </c>
      <c r="I25" s="41" t="n">
        <f aca="false">VLOOKUP(C25,Products!$A$5:$D$24,4,FALSE())</f>
        <v>12</v>
      </c>
      <c r="J25" s="42" t="n">
        <f aca="false">DATE(YEAR(B25),MONTH(B25),1)</f>
        <v>45658</v>
      </c>
      <c r="K25" s="41" t="n">
        <f aca="false">D25*E25</f>
        <v>49.42</v>
      </c>
      <c r="L25" s="41" t="n">
        <f aca="false">D25*I25</f>
        <v>24</v>
      </c>
      <c r="M25" s="41" t="n">
        <f aca="false">IFERROR(INDEX(Raw_Expenses!$C$5:$C$2979,MATCH(A25,Raw_Expenses!$A$5:$A$2979,0)),0)</f>
        <v>2.87</v>
      </c>
      <c r="N25" s="41" t="n">
        <f aca="false">L25+M25</f>
        <v>26.87</v>
      </c>
      <c r="O25" s="41" t="n">
        <f aca="false">K25-N25</f>
        <v>22.55</v>
      </c>
      <c r="P25" s="43" t="n">
        <f aca="false">IF(K25=0,0,O25/K25)</f>
        <v>0.456292998785917</v>
      </c>
    </row>
    <row r="26" customFormat="false" ht="15" hidden="false" customHeight="false" outlineLevel="0" collapsed="false">
      <c r="A26" s="39" t="s">
        <v>141</v>
      </c>
      <c r="B26" s="40" t="n">
        <v>45661</v>
      </c>
      <c r="C26" s="39" t="s">
        <v>130</v>
      </c>
      <c r="D26" s="39" t="n">
        <v>1</v>
      </c>
      <c r="E26" s="41" t="n">
        <v>8.92</v>
      </c>
      <c r="F26" s="39" t="s">
        <v>105</v>
      </c>
      <c r="G26" s="39" t="str">
        <f aca="false">VLOOKUP(C26,Products!$A$5:$D$24,2,FALSE())</f>
        <v>Notebook Set</v>
      </c>
      <c r="H26" s="39" t="str">
        <f aca="false">VLOOKUP(C26,Products!$A$5:$D$24,3,FALSE())</f>
        <v>Stationery</v>
      </c>
      <c r="I26" s="41" t="n">
        <f aca="false">VLOOKUP(C26,Products!$A$5:$D$24,4,FALSE())</f>
        <v>3</v>
      </c>
      <c r="J26" s="42" t="n">
        <f aca="false">DATE(YEAR(B26),MONTH(B26),1)</f>
        <v>45658</v>
      </c>
      <c r="K26" s="41" t="n">
        <f aca="false">D26*E26</f>
        <v>8.92</v>
      </c>
      <c r="L26" s="41" t="n">
        <f aca="false">D26*I26</f>
        <v>3</v>
      </c>
      <c r="M26" s="41" t="n">
        <f aca="false">IFERROR(INDEX(Raw_Expenses!$C$5:$C$2979,MATCH(A26,Raw_Expenses!$A$5:$A$2979,0)),0)</f>
        <v>0.47</v>
      </c>
      <c r="N26" s="41" t="n">
        <f aca="false">L26+M26</f>
        <v>3.47</v>
      </c>
      <c r="O26" s="41" t="n">
        <f aca="false">K26-N26</f>
        <v>5.45</v>
      </c>
      <c r="P26" s="43" t="n">
        <f aca="false">IF(K26=0,0,O26/K26)</f>
        <v>0.610986547085202</v>
      </c>
    </row>
    <row r="27" customFormat="false" ht="15" hidden="false" customHeight="false" outlineLevel="0" collapsed="false">
      <c r="A27" s="39" t="s">
        <v>142</v>
      </c>
      <c r="B27" s="40" t="n">
        <v>45661</v>
      </c>
      <c r="C27" s="39" t="s">
        <v>126</v>
      </c>
      <c r="D27" s="39" t="n">
        <v>1</v>
      </c>
      <c r="E27" s="41" t="n">
        <v>24.58</v>
      </c>
      <c r="F27" s="39" t="s">
        <v>105</v>
      </c>
      <c r="G27" s="39" t="str">
        <f aca="false">VLOOKUP(C27,Products!$A$5:$D$24,2,FALSE())</f>
        <v>Wireless Mouse</v>
      </c>
      <c r="H27" s="39" t="str">
        <f aca="false">VLOOKUP(C27,Products!$A$5:$D$24,3,FALSE())</f>
        <v>Electronics</v>
      </c>
      <c r="I27" s="41" t="n">
        <f aca="false">VLOOKUP(C27,Products!$A$5:$D$24,4,FALSE())</f>
        <v>12</v>
      </c>
      <c r="J27" s="42" t="n">
        <f aca="false">DATE(YEAR(B27),MONTH(B27),1)</f>
        <v>45658</v>
      </c>
      <c r="K27" s="41" t="n">
        <f aca="false">D27*E27</f>
        <v>24.58</v>
      </c>
      <c r="L27" s="41" t="n">
        <f aca="false">D27*I27</f>
        <v>12</v>
      </c>
      <c r="M27" s="41" t="n">
        <f aca="false">IFERROR(INDEX(Raw_Expenses!$C$5:$C$2979,MATCH(A27,Raw_Expenses!$A$5:$A$2979,0)),0)</f>
        <v>1.12</v>
      </c>
      <c r="N27" s="41" t="n">
        <f aca="false">L27+M27</f>
        <v>13.12</v>
      </c>
      <c r="O27" s="41" t="n">
        <f aca="false">K27-N27</f>
        <v>11.46</v>
      </c>
      <c r="P27" s="43" t="n">
        <f aca="false">IF(K27=0,0,O27/K27)</f>
        <v>0.466232709519935</v>
      </c>
    </row>
    <row r="28" customFormat="false" ht="15" hidden="false" customHeight="false" outlineLevel="0" collapsed="false">
      <c r="A28" s="39" t="s">
        <v>143</v>
      </c>
      <c r="B28" s="40" t="n">
        <v>45661</v>
      </c>
      <c r="C28" s="39" t="s">
        <v>144</v>
      </c>
      <c r="D28" s="39" t="n">
        <v>1</v>
      </c>
      <c r="E28" s="41" t="n">
        <v>56.08</v>
      </c>
      <c r="F28" s="39" t="s">
        <v>105</v>
      </c>
      <c r="G28" s="39" t="str">
        <f aca="false">VLOOKUP(C28,Products!$A$5:$D$24,2,FALSE())</f>
        <v>Whiteboard</v>
      </c>
      <c r="H28" s="39" t="str">
        <f aca="false">VLOOKUP(C28,Products!$A$5:$D$24,3,FALSE())</f>
        <v>Furniture</v>
      </c>
      <c r="I28" s="41" t="n">
        <f aca="false">VLOOKUP(C28,Products!$A$5:$D$24,4,FALSE())</f>
        <v>28</v>
      </c>
      <c r="J28" s="42" t="n">
        <f aca="false">DATE(YEAR(B28),MONTH(B28),1)</f>
        <v>45658</v>
      </c>
      <c r="K28" s="41" t="n">
        <f aca="false">D28*E28</f>
        <v>56.08</v>
      </c>
      <c r="L28" s="41" t="n">
        <f aca="false">D28*I28</f>
        <v>28</v>
      </c>
      <c r="M28" s="41" t="n">
        <f aca="false">IFERROR(INDEX(Raw_Expenses!$C$5:$C$2979,MATCH(A28,Raw_Expenses!$A$5:$A$2979,0)),0)</f>
        <v>3.46</v>
      </c>
      <c r="N28" s="41" t="n">
        <f aca="false">L28+M28</f>
        <v>31.46</v>
      </c>
      <c r="O28" s="41" t="n">
        <f aca="false">K28-N28</f>
        <v>24.62</v>
      </c>
      <c r="P28" s="43" t="n">
        <f aca="false">IF(K28=0,0,O28/K28)</f>
        <v>0.439015691868759</v>
      </c>
    </row>
    <row r="29" customFormat="false" ht="15" hidden="false" customHeight="false" outlineLevel="0" collapsed="false">
      <c r="A29" s="39" t="s">
        <v>145</v>
      </c>
      <c r="B29" s="40" t="n">
        <v>45661</v>
      </c>
      <c r="C29" s="39" t="s">
        <v>130</v>
      </c>
      <c r="D29" s="39" t="n">
        <v>3</v>
      </c>
      <c r="E29" s="41" t="n">
        <v>8.46</v>
      </c>
      <c r="F29" s="39" t="s">
        <v>105</v>
      </c>
      <c r="G29" s="39" t="str">
        <f aca="false">VLOOKUP(C29,Products!$A$5:$D$24,2,FALSE())</f>
        <v>Notebook Set</v>
      </c>
      <c r="H29" s="39" t="str">
        <f aca="false">VLOOKUP(C29,Products!$A$5:$D$24,3,FALSE())</f>
        <v>Stationery</v>
      </c>
      <c r="I29" s="41" t="n">
        <f aca="false">VLOOKUP(C29,Products!$A$5:$D$24,4,FALSE())</f>
        <v>3</v>
      </c>
      <c r="J29" s="42" t="n">
        <f aca="false">DATE(YEAR(B29),MONTH(B29),1)</f>
        <v>45658</v>
      </c>
      <c r="K29" s="41" t="n">
        <f aca="false">D29*E29</f>
        <v>25.38</v>
      </c>
      <c r="L29" s="41" t="n">
        <f aca="false">D29*I29</f>
        <v>9</v>
      </c>
      <c r="M29" s="41" t="n">
        <f aca="false">IFERROR(INDEX(Raw_Expenses!$C$5:$C$2979,MATCH(A29,Raw_Expenses!$A$5:$A$2979,0)),0)</f>
        <v>1.15</v>
      </c>
      <c r="N29" s="41" t="n">
        <f aca="false">L29+M29</f>
        <v>10.15</v>
      </c>
      <c r="O29" s="41" t="n">
        <f aca="false">K29-N29</f>
        <v>15.23</v>
      </c>
      <c r="P29" s="43" t="n">
        <f aca="false">IF(K29=0,0,O29/K29)</f>
        <v>0.600078802206462</v>
      </c>
    </row>
    <row r="30" customFormat="false" ht="15" hidden="false" customHeight="false" outlineLevel="0" collapsed="false">
      <c r="A30" s="39" t="s">
        <v>146</v>
      </c>
      <c r="B30" s="40" t="n">
        <v>45661</v>
      </c>
      <c r="C30" s="39" t="s">
        <v>144</v>
      </c>
      <c r="D30" s="39" t="n">
        <v>1</v>
      </c>
      <c r="E30" s="41" t="n">
        <v>56.12</v>
      </c>
      <c r="F30" s="39" t="s">
        <v>108</v>
      </c>
      <c r="G30" s="39" t="str">
        <f aca="false">VLOOKUP(C30,Products!$A$5:$D$24,2,FALSE())</f>
        <v>Whiteboard</v>
      </c>
      <c r="H30" s="39" t="str">
        <f aca="false">VLOOKUP(C30,Products!$A$5:$D$24,3,FALSE())</f>
        <v>Furniture</v>
      </c>
      <c r="I30" s="41" t="n">
        <f aca="false">VLOOKUP(C30,Products!$A$5:$D$24,4,FALSE())</f>
        <v>28</v>
      </c>
      <c r="J30" s="42" t="n">
        <f aca="false">DATE(YEAR(B30),MONTH(B30),1)</f>
        <v>45658</v>
      </c>
      <c r="K30" s="41" t="n">
        <f aca="false">D30*E30</f>
        <v>56.12</v>
      </c>
      <c r="L30" s="41" t="n">
        <f aca="false">D30*I30</f>
        <v>28</v>
      </c>
      <c r="M30" s="41" t="n">
        <f aca="false">IFERROR(INDEX(Raw_Expenses!$C$5:$C$2979,MATCH(A30,Raw_Expenses!$A$5:$A$2979,0)),0)</f>
        <v>2.99</v>
      </c>
      <c r="N30" s="41" t="n">
        <f aca="false">L30+M30</f>
        <v>30.99</v>
      </c>
      <c r="O30" s="41" t="n">
        <f aca="false">K30-N30</f>
        <v>25.13</v>
      </c>
      <c r="P30" s="43" t="n">
        <f aca="false">IF(K30=0,0,O30/K30)</f>
        <v>0.447790449037776</v>
      </c>
    </row>
    <row r="31" customFormat="false" ht="15" hidden="false" customHeight="false" outlineLevel="0" collapsed="false">
      <c r="A31" s="39" t="s">
        <v>147</v>
      </c>
      <c r="B31" s="40" t="n">
        <v>45661</v>
      </c>
      <c r="C31" s="39" t="s">
        <v>144</v>
      </c>
      <c r="D31" s="39" t="n">
        <v>4</v>
      </c>
      <c r="E31" s="41" t="n">
        <v>57.97</v>
      </c>
      <c r="F31" s="39" t="s">
        <v>115</v>
      </c>
      <c r="G31" s="39" t="str">
        <f aca="false">VLOOKUP(C31,Products!$A$5:$D$24,2,FALSE())</f>
        <v>Whiteboard</v>
      </c>
      <c r="H31" s="39" t="str">
        <f aca="false">VLOOKUP(C31,Products!$A$5:$D$24,3,FALSE())</f>
        <v>Furniture</v>
      </c>
      <c r="I31" s="41" t="n">
        <f aca="false">VLOOKUP(C31,Products!$A$5:$D$24,4,FALSE())</f>
        <v>28</v>
      </c>
      <c r="J31" s="42" t="n">
        <f aca="false">DATE(YEAR(B31),MONTH(B31),1)</f>
        <v>45658</v>
      </c>
      <c r="K31" s="41" t="n">
        <f aca="false">D31*E31</f>
        <v>231.88</v>
      </c>
      <c r="L31" s="41" t="n">
        <f aca="false">D31*I31</f>
        <v>112</v>
      </c>
      <c r="M31" s="41" t="n">
        <f aca="false">IFERROR(INDEX(Raw_Expenses!$C$5:$C$2979,MATCH(A31,Raw_Expenses!$A$5:$A$2979,0)),0)</f>
        <v>16.92</v>
      </c>
      <c r="N31" s="41" t="n">
        <f aca="false">L31+M31</f>
        <v>128.92</v>
      </c>
      <c r="O31" s="41" t="n">
        <f aca="false">K31-N31</f>
        <v>102.96</v>
      </c>
      <c r="P31" s="43" t="n">
        <f aca="false">IF(K31=0,0,O31/K31)</f>
        <v>0.444022770398482</v>
      </c>
    </row>
    <row r="32" customFormat="false" ht="15" hidden="false" customHeight="false" outlineLevel="0" collapsed="false">
      <c r="A32" s="39" t="s">
        <v>148</v>
      </c>
      <c r="B32" s="40" t="n">
        <v>45661</v>
      </c>
      <c r="C32" s="39" t="s">
        <v>133</v>
      </c>
      <c r="D32" s="39" t="n">
        <v>2</v>
      </c>
      <c r="E32" s="41" t="n">
        <v>8.42</v>
      </c>
      <c r="F32" s="39" t="s">
        <v>115</v>
      </c>
      <c r="G32" s="39" t="str">
        <f aca="false">VLOOKUP(C32,Products!$A$5:$D$24,2,FALSE())</f>
        <v>Printer Paper Ream</v>
      </c>
      <c r="H32" s="39" t="str">
        <f aca="false">VLOOKUP(C32,Products!$A$5:$D$24,3,FALSE())</f>
        <v>Stationery</v>
      </c>
      <c r="I32" s="41" t="n">
        <f aca="false">VLOOKUP(C32,Products!$A$5:$D$24,4,FALSE())</f>
        <v>4</v>
      </c>
      <c r="J32" s="42" t="n">
        <f aca="false">DATE(YEAR(B32),MONTH(B32),1)</f>
        <v>45658</v>
      </c>
      <c r="K32" s="41" t="n">
        <f aca="false">D32*E32</f>
        <v>16.84</v>
      </c>
      <c r="L32" s="41" t="n">
        <f aca="false">D32*I32</f>
        <v>8</v>
      </c>
      <c r="M32" s="41" t="n">
        <f aca="false">IFERROR(INDEX(Raw_Expenses!$C$5:$C$2979,MATCH(A32,Raw_Expenses!$A$5:$A$2979,0)),0)</f>
        <v>1.41</v>
      </c>
      <c r="N32" s="41" t="n">
        <f aca="false">L32+M32</f>
        <v>9.41</v>
      </c>
      <c r="O32" s="41" t="n">
        <f aca="false">K32-N32</f>
        <v>7.43</v>
      </c>
      <c r="P32" s="43" t="n">
        <f aca="false">IF(K32=0,0,O32/K32)</f>
        <v>0.441211401425178</v>
      </c>
    </row>
    <row r="33" customFormat="false" ht="15" hidden="false" customHeight="false" outlineLevel="0" collapsed="false">
      <c r="A33" s="39" t="s">
        <v>149</v>
      </c>
      <c r="B33" s="40" t="n">
        <v>45661</v>
      </c>
      <c r="C33" s="39" t="s">
        <v>121</v>
      </c>
      <c r="D33" s="39" t="n">
        <v>2</v>
      </c>
      <c r="E33" s="41" t="n">
        <v>118.86</v>
      </c>
      <c r="F33" s="39" t="s">
        <v>108</v>
      </c>
      <c r="G33" s="39" t="str">
        <f aca="false">VLOOKUP(C33,Products!$A$5:$D$24,2,FALSE())</f>
        <v>External SSD 1TB</v>
      </c>
      <c r="H33" s="39" t="str">
        <f aca="false">VLOOKUP(C33,Products!$A$5:$D$24,3,FALSE())</f>
        <v>Electronics</v>
      </c>
      <c r="I33" s="41" t="n">
        <f aca="false">VLOOKUP(C33,Products!$A$5:$D$24,4,FALSE())</f>
        <v>62</v>
      </c>
      <c r="J33" s="42" t="n">
        <f aca="false">DATE(YEAR(B33),MONTH(B33),1)</f>
        <v>45658</v>
      </c>
      <c r="K33" s="41" t="n">
        <f aca="false">D33*E33</f>
        <v>237.72</v>
      </c>
      <c r="L33" s="41" t="n">
        <f aca="false">D33*I33</f>
        <v>124</v>
      </c>
      <c r="M33" s="41" t="n">
        <f aca="false">IFERROR(INDEX(Raw_Expenses!$C$5:$C$2979,MATCH(A33,Raw_Expenses!$A$5:$A$2979,0)),0)</f>
        <v>20.96</v>
      </c>
      <c r="N33" s="41" t="n">
        <f aca="false">L33+M33</f>
        <v>144.96</v>
      </c>
      <c r="O33" s="41" t="n">
        <f aca="false">K33-N33</f>
        <v>92.76</v>
      </c>
      <c r="P33" s="43" t="n">
        <f aca="false">IF(K33=0,0,O33/K33)</f>
        <v>0.390206966178698</v>
      </c>
    </row>
    <row r="34" customFormat="false" ht="15" hidden="false" customHeight="false" outlineLevel="0" collapsed="false">
      <c r="A34" s="39" t="s">
        <v>150</v>
      </c>
      <c r="B34" s="40" t="n">
        <v>45662</v>
      </c>
      <c r="C34" s="39" t="s">
        <v>144</v>
      </c>
      <c r="D34" s="39" t="n">
        <v>4</v>
      </c>
      <c r="E34" s="41" t="n">
        <v>58.59</v>
      </c>
      <c r="F34" s="39" t="s">
        <v>108</v>
      </c>
      <c r="G34" s="39" t="str">
        <f aca="false">VLOOKUP(C34,Products!$A$5:$D$24,2,FALSE())</f>
        <v>Whiteboard</v>
      </c>
      <c r="H34" s="39" t="str">
        <f aca="false">VLOOKUP(C34,Products!$A$5:$D$24,3,FALSE())</f>
        <v>Furniture</v>
      </c>
      <c r="I34" s="41" t="n">
        <f aca="false">VLOOKUP(C34,Products!$A$5:$D$24,4,FALSE())</f>
        <v>28</v>
      </c>
      <c r="J34" s="42" t="n">
        <f aca="false">DATE(YEAR(B34),MONTH(B34),1)</f>
        <v>45658</v>
      </c>
      <c r="K34" s="41" t="n">
        <f aca="false">D34*E34</f>
        <v>234.36</v>
      </c>
      <c r="L34" s="41" t="n">
        <f aca="false">D34*I34</f>
        <v>112</v>
      </c>
      <c r="M34" s="41" t="n">
        <f aca="false">IFERROR(INDEX(Raw_Expenses!$C$5:$C$2979,MATCH(A34,Raw_Expenses!$A$5:$A$2979,0)),0)</f>
        <v>16.38</v>
      </c>
      <c r="N34" s="41" t="n">
        <f aca="false">L34+M34</f>
        <v>128.38</v>
      </c>
      <c r="O34" s="41" t="n">
        <f aca="false">K34-N34</f>
        <v>105.98</v>
      </c>
      <c r="P34" s="43" t="n">
        <f aca="false">IF(K34=0,0,O34/K34)</f>
        <v>0.45221027479092</v>
      </c>
    </row>
    <row r="35" customFormat="false" ht="15" hidden="false" customHeight="false" outlineLevel="0" collapsed="false">
      <c r="A35" s="39" t="s">
        <v>151</v>
      </c>
      <c r="B35" s="40" t="n">
        <v>45662</v>
      </c>
      <c r="C35" s="39" t="s">
        <v>114</v>
      </c>
      <c r="D35" s="39" t="n">
        <v>1</v>
      </c>
      <c r="E35" s="41" t="n">
        <v>5.55</v>
      </c>
      <c r="F35" s="39" t="s">
        <v>118</v>
      </c>
      <c r="G35" s="39" t="str">
        <f aca="false">VLOOKUP(C35,Products!$A$5:$D$24,2,FALSE())</f>
        <v>Gel Pen Pack</v>
      </c>
      <c r="H35" s="39" t="str">
        <f aca="false">VLOOKUP(C35,Products!$A$5:$D$24,3,FALSE())</f>
        <v>Stationery</v>
      </c>
      <c r="I35" s="41" t="n">
        <f aca="false">VLOOKUP(C35,Products!$A$5:$D$24,4,FALSE())</f>
        <v>2</v>
      </c>
      <c r="J35" s="42" t="n">
        <f aca="false">DATE(YEAR(B35),MONTH(B35),1)</f>
        <v>45658</v>
      </c>
      <c r="K35" s="41" t="n">
        <f aca="false">D35*E35</f>
        <v>5.55</v>
      </c>
      <c r="L35" s="41" t="n">
        <f aca="false">D35*I35</f>
        <v>2</v>
      </c>
      <c r="M35" s="41" t="n">
        <f aca="false">IFERROR(INDEX(Raw_Expenses!$C$5:$C$2979,MATCH(A35,Raw_Expenses!$A$5:$A$2979,0)),0)</f>
        <v>0.28</v>
      </c>
      <c r="N35" s="41" t="n">
        <f aca="false">L35+M35</f>
        <v>2.28</v>
      </c>
      <c r="O35" s="41" t="n">
        <f aca="false">K35-N35</f>
        <v>3.27</v>
      </c>
      <c r="P35" s="43" t="n">
        <f aca="false">IF(K35=0,0,O35/K35)</f>
        <v>0.589189189189189</v>
      </c>
    </row>
    <row r="36" customFormat="false" ht="15" hidden="false" customHeight="false" outlineLevel="0" collapsed="false">
      <c r="A36" s="39" t="s">
        <v>152</v>
      </c>
      <c r="B36" s="40" t="n">
        <v>45662</v>
      </c>
      <c r="C36" s="39" t="s">
        <v>153</v>
      </c>
      <c r="D36" s="39" t="n">
        <v>1</v>
      </c>
      <c r="E36" s="41" t="n">
        <v>172.75</v>
      </c>
      <c r="F36" s="39" t="s">
        <v>108</v>
      </c>
      <c r="G36" s="39" t="str">
        <f aca="false">VLOOKUP(C36,Products!$A$5:$D$24,2,FALSE())</f>
        <v>24-inch Monitor</v>
      </c>
      <c r="H36" s="39" t="str">
        <f aca="false">VLOOKUP(C36,Products!$A$5:$D$24,3,FALSE())</f>
        <v>Electronics</v>
      </c>
      <c r="I36" s="41" t="n">
        <f aca="false">VLOOKUP(C36,Products!$A$5:$D$24,4,FALSE())</f>
        <v>90</v>
      </c>
      <c r="J36" s="42" t="n">
        <f aca="false">DATE(YEAR(B36),MONTH(B36),1)</f>
        <v>45658</v>
      </c>
      <c r="K36" s="41" t="n">
        <f aca="false">D36*E36</f>
        <v>172.75</v>
      </c>
      <c r="L36" s="41" t="n">
        <f aca="false">D36*I36</f>
        <v>90</v>
      </c>
      <c r="M36" s="41" t="n">
        <f aca="false">IFERROR(INDEX(Raw_Expenses!$C$5:$C$2979,MATCH(A36,Raw_Expenses!$A$5:$A$2979,0)),0)</f>
        <v>11.08</v>
      </c>
      <c r="N36" s="41" t="n">
        <f aca="false">L36+M36</f>
        <v>101.08</v>
      </c>
      <c r="O36" s="41" t="n">
        <f aca="false">K36-N36</f>
        <v>71.67</v>
      </c>
      <c r="P36" s="43" t="n">
        <f aca="false">IF(K36=0,0,O36/K36)</f>
        <v>0.414876989869754</v>
      </c>
    </row>
    <row r="37" customFormat="false" ht="15" hidden="false" customHeight="false" outlineLevel="0" collapsed="false">
      <c r="A37" s="39" t="s">
        <v>154</v>
      </c>
      <c r="B37" s="40" t="n">
        <v>45662</v>
      </c>
      <c r="C37" s="39" t="s">
        <v>136</v>
      </c>
      <c r="D37" s="39" t="n">
        <v>4</v>
      </c>
      <c r="E37" s="41" t="n">
        <v>76.91</v>
      </c>
      <c r="F37" s="39" t="s">
        <v>105</v>
      </c>
      <c r="G37" s="39" t="str">
        <f aca="false">VLOOKUP(C37,Products!$A$5:$D$24,2,FALSE())</f>
        <v>Mechanical Keyboard</v>
      </c>
      <c r="H37" s="39" t="str">
        <f aca="false">VLOOKUP(C37,Products!$A$5:$D$24,3,FALSE())</f>
        <v>Electronics</v>
      </c>
      <c r="I37" s="41" t="n">
        <f aca="false">VLOOKUP(C37,Products!$A$5:$D$24,4,FALSE())</f>
        <v>38</v>
      </c>
      <c r="J37" s="42" t="n">
        <f aca="false">DATE(YEAR(B37),MONTH(B37),1)</f>
        <v>45658</v>
      </c>
      <c r="K37" s="41" t="n">
        <f aca="false">D37*E37</f>
        <v>307.64</v>
      </c>
      <c r="L37" s="41" t="n">
        <f aca="false">D37*I37</f>
        <v>152</v>
      </c>
      <c r="M37" s="41" t="n">
        <f aca="false">IFERROR(INDEX(Raw_Expenses!$C$5:$C$2979,MATCH(A37,Raw_Expenses!$A$5:$A$2979,0)),0)</f>
        <v>19.37</v>
      </c>
      <c r="N37" s="41" t="n">
        <f aca="false">L37+M37</f>
        <v>171.37</v>
      </c>
      <c r="O37" s="41" t="n">
        <f aca="false">K37-N37</f>
        <v>136.27</v>
      </c>
      <c r="P37" s="43" t="n">
        <f aca="false">IF(K37=0,0,O37/K37)</f>
        <v>0.442952801976336</v>
      </c>
    </row>
    <row r="38" customFormat="false" ht="15" hidden="false" customHeight="false" outlineLevel="0" collapsed="false">
      <c r="A38" s="39" t="s">
        <v>155</v>
      </c>
      <c r="B38" s="40" t="n">
        <v>45662</v>
      </c>
      <c r="C38" s="39" t="s">
        <v>139</v>
      </c>
      <c r="D38" s="39" t="n">
        <v>3</v>
      </c>
      <c r="E38" s="41" t="n">
        <v>121.78</v>
      </c>
      <c r="F38" s="39" t="s">
        <v>115</v>
      </c>
      <c r="G38" s="39" t="str">
        <f aca="false">VLOOKUP(C38,Products!$A$5:$D$24,2,FALSE())</f>
        <v>Noise-Cancelling Headphones</v>
      </c>
      <c r="H38" s="39" t="str">
        <f aca="false">VLOOKUP(C38,Products!$A$5:$D$24,3,FALSE())</f>
        <v>Electronics</v>
      </c>
      <c r="I38" s="41" t="n">
        <f aca="false">VLOOKUP(C38,Products!$A$5:$D$24,4,FALSE())</f>
        <v>55</v>
      </c>
      <c r="J38" s="42" t="n">
        <f aca="false">DATE(YEAR(B38),MONTH(B38),1)</f>
        <v>45658</v>
      </c>
      <c r="K38" s="41" t="n">
        <f aca="false">D38*E38</f>
        <v>365.34</v>
      </c>
      <c r="L38" s="41" t="n">
        <f aca="false">D38*I38</f>
        <v>165</v>
      </c>
      <c r="M38" s="41" t="n">
        <f aca="false">IFERROR(INDEX(Raw_Expenses!$C$5:$C$2979,MATCH(A38,Raw_Expenses!$A$5:$A$2979,0)),0)</f>
        <v>17.93</v>
      </c>
      <c r="N38" s="41" t="n">
        <f aca="false">L38+M38</f>
        <v>182.93</v>
      </c>
      <c r="O38" s="41" t="n">
        <f aca="false">K38-N38</f>
        <v>182.41</v>
      </c>
      <c r="P38" s="43" t="n">
        <f aca="false">IF(K38=0,0,O38/K38)</f>
        <v>0.499288334154486</v>
      </c>
    </row>
    <row r="39" customFormat="false" ht="15" hidden="false" customHeight="false" outlineLevel="0" collapsed="false">
      <c r="A39" s="39" t="s">
        <v>156</v>
      </c>
      <c r="B39" s="40" t="n">
        <v>45662</v>
      </c>
      <c r="C39" s="39" t="s">
        <v>126</v>
      </c>
      <c r="D39" s="39" t="n">
        <v>2</v>
      </c>
      <c r="E39" s="41" t="n">
        <v>23.36</v>
      </c>
      <c r="F39" s="39" t="s">
        <v>115</v>
      </c>
      <c r="G39" s="39" t="str">
        <f aca="false">VLOOKUP(C39,Products!$A$5:$D$24,2,FALSE())</f>
        <v>Wireless Mouse</v>
      </c>
      <c r="H39" s="39" t="str">
        <f aca="false">VLOOKUP(C39,Products!$A$5:$D$24,3,FALSE())</f>
        <v>Electronics</v>
      </c>
      <c r="I39" s="41" t="n">
        <f aca="false">VLOOKUP(C39,Products!$A$5:$D$24,4,FALSE())</f>
        <v>12</v>
      </c>
      <c r="J39" s="42" t="n">
        <f aca="false">DATE(YEAR(B39),MONTH(B39),1)</f>
        <v>45658</v>
      </c>
      <c r="K39" s="41" t="n">
        <f aca="false">D39*E39</f>
        <v>46.72</v>
      </c>
      <c r="L39" s="41" t="n">
        <f aca="false">D39*I39</f>
        <v>24</v>
      </c>
      <c r="M39" s="41" t="n">
        <f aca="false">IFERROR(INDEX(Raw_Expenses!$C$5:$C$2979,MATCH(A39,Raw_Expenses!$A$5:$A$2979,0)),0)</f>
        <v>3.43</v>
      </c>
      <c r="N39" s="41" t="n">
        <f aca="false">L39+M39</f>
        <v>27.43</v>
      </c>
      <c r="O39" s="41" t="n">
        <f aca="false">K39-N39</f>
        <v>19.29</v>
      </c>
      <c r="P39" s="43" t="n">
        <f aca="false">IF(K39=0,0,O39/K39)</f>
        <v>0.412885273972603</v>
      </c>
    </row>
    <row r="40" customFormat="false" ht="15" hidden="false" customHeight="false" outlineLevel="0" collapsed="false">
      <c r="A40" s="39" t="s">
        <v>157</v>
      </c>
      <c r="B40" s="40" t="n">
        <v>45662</v>
      </c>
      <c r="C40" s="39" t="s">
        <v>139</v>
      </c>
      <c r="D40" s="39" t="n">
        <v>1</v>
      </c>
      <c r="E40" s="41" t="n">
        <v>121.04</v>
      </c>
      <c r="F40" s="39" t="s">
        <v>118</v>
      </c>
      <c r="G40" s="39" t="str">
        <f aca="false">VLOOKUP(C40,Products!$A$5:$D$24,2,FALSE())</f>
        <v>Noise-Cancelling Headphones</v>
      </c>
      <c r="H40" s="39" t="str">
        <f aca="false">VLOOKUP(C40,Products!$A$5:$D$24,3,FALSE())</f>
        <v>Electronics</v>
      </c>
      <c r="I40" s="41" t="n">
        <f aca="false">VLOOKUP(C40,Products!$A$5:$D$24,4,FALSE())</f>
        <v>55</v>
      </c>
      <c r="J40" s="42" t="n">
        <f aca="false">DATE(YEAR(B40),MONTH(B40),1)</f>
        <v>45658</v>
      </c>
      <c r="K40" s="41" t="n">
        <f aca="false">D40*E40</f>
        <v>121.04</v>
      </c>
      <c r="L40" s="41" t="n">
        <f aca="false">D40*I40</f>
        <v>55</v>
      </c>
      <c r="M40" s="41" t="n">
        <f aca="false">IFERROR(INDEX(Raw_Expenses!$C$5:$C$2979,MATCH(A40,Raw_Expenses!$A$5:$A$2979,0)),0)</f>
        <v>9.89</v>
      </c>
      <c r="N40" s="41" t="n">
        <f aca="false">L40+M40</f>
        <v>64.89</v>
      </c>
      <c r="O40" s="41" t="n">
        <f aca="false">K40-N40</f>
        <v>56.15</v>
      </c>
      <c r="P40" s="43" t="n">
        <f aca="false">IF(K40=0,0,O40/K40)</f>
        <v>0.463896232650364</v>
      </c>
    </row>
    <row r="41" customFormat="false" ht="15" hidden="false" customHeight="false" outlineLevel="0" collapsed="false">
      <c r="A41" s="39" t="s">
        <v>158</v>
      </c>
      <c r="B41" s="40" t="n">
        <v>45663</v>
      </c>
      <c r="C41" s="39" t="s">
        <v>110</v>
      </c>
      <c r="D41" s="39" t="n">
        <v>3</v>
      </c>
      <c r="E41" s="41" t="n">
        <v>13.26</v>
      </c>
      <c r="F41" s="39" t="s">
        <v>118</v>
      </c>
      <c r="G41" s="39" t="str">
        <f aca="false">VLOOKUP(C41,Products!$A$5:$D$24,2,FALSE())</f>
        <v>Phone Stand</v>
      </c>
      <c r="H41" s="39" t="str">
        <f aca="false">VLOOKUP(C41,Products!$A$5:$D$24,3,FALSE())</f>
        <v>Accessories</v>
      </c>
      <c r="I41" s="41" t="n">
        <f aca="false">VLOOKUP(C41,Products!$A$5:$D$24,4,FALSE())</f>
        <v>4</v>
      </c>
      <c r="J41" s="42" t="n">
        <f aca="false">DATE(YEAR(B41),MONTH(B41),1)</f>
        <v>45658</v>
      </c>
      <c r="K41" s="41" t="n">
        <f aca="false">D41*E41</f>
        <v>39.78</v>
      </c>
      <c r="L41" s="41" t="n">
        <f aca="false">D41*I41</f>
        <v>12</v>
      </c>
      <c r="M41" s="41" t="n">
        <f aca="false">IFERROR(INDEX(Raw_Expenses!$C$5:$C$2979,MATCH(A41,Raw_Expenses!$A$5:$A$2979,0)),0)</f>
        <v>0</v>
      </c>
      <c r="N41" s="41" t="n">
        <f aca="false">L41+M41</f>
        <v>12</v>
      </c>
      <c r="O41" s="41" t="n">
        <f aca="false">K41-N41</f>
        <v>27.78</v>
      </c>
      <c r="P41" s="43" t="n">
        <f aca="false">IF(K41=0,0,O41/K41)</f>
        <v>0.698340874811463</v>
      </c>
    </row>
    <row r="42" customFormat="false" ht="15" hidden="false" customHeight="false" outlineLevel="0" collapsed="false">
      <c r="A42" s="39" t="s">
        <v>159</v>
      </c>
      <c r="B42" s="40" t="n">
        <v>45663</v>
      </c>
      <c r="C42" s="39" t="s">
        <v>130</v>
      </c>
      <c r="D42" s="39" t="n">
        <v>1</v>
      </c>
      <c r="E42" s="41" t="n">
        <v>8.92</v>
      </c>
      <c r="F42" s="39" t="s">
        <v>108</v>
      </c>
      <c r="G42" s="39" t="str">
        <f aca="false">VLOOKUP(C42,Products!$A$5:$D$24,2,FALSE())</f>
        <v>Notebook Set</v>
      </c>
      <c r="H42" s="39" t="str">
        <f aca="false">VLOOKUP(C42,Products!$A$5:$D$24,3,FALSE())</f>
        <v>Stationery</v>
      </c>
      <c r="I42" s="41" t="n">
        <f aca="false">VLOOKUP(C42,Products!$A$5:$D$24,4,FALSE())</f>
        <v>3</v>
      </c>
      <c r="J42" s="42" t="n">
        <f aca="false">DATE(YEAR(B42),MONTH(B42),1)</f>
        <v>45658</v>
      </c>
      <c r="K42" s="41" t="n">
        <f aca="false">D42*E42</f>
        <v>8.92</v>
      </c>
      <c r="L42" s="41" t="n">
        <f aca="false">D42*I42</f>
        <v>3</v>
      </c>
      <c r="M42" s="41" t="n">
        <f aca="false">IFERROR(INDEX(Raw_Expenses!$C$5:$C$2979,MATCH(A42,Raw_Expenses!$A$5:$A$2979,0)),0)</f>
        <v>0.63</v>
      </c>
      <c r="N42" s="41" t="n">
        <f aca="false">L42+M42</f>
        <v>3.63</v>
      </c>
      <c r="O42" s="41" t="n">
        <f aca="false">K42-N42</f>
        <v>5.29</v>
      </c>
      <c r="P42" s="43" t="n">
        <f aca="false">IF(K42=0,0,O42/K42)</f>
        <v>0.59304932735426</v>
      </c>
    </row>
    <row r="43" customFormat="false" ht="15" hidden="false" customHeight="false" outlineLevel="0" collapsed="false">
      <c r="A43" s="39" t="s">
        <v>160</v>
      </c>
      <c r="B43" s="40" t="n">
        <v>45663</v>
      </c>
      <c r="C43" s="39" t="s">
        <v>104</v>
      </c>
      <c r="D43" s="39" t="n">
        <v>1</v>
      </c>
      <c r="E43" s="41" t="n">
        <v>15.18</v>
      </c>
      <c r="F43" s="39" t="s">
        <v>115</v>
      </c>
      <c r="G43" s="39" t="str">
        <f aca="false">VLOOKUP(C43,Products!$A$5:$D$24,2,FALSE())</f>
        <v>Water Bottle</v>
      </c>
      <c r="H43" s="39" t="str">
        <f aca="false">VLOOKUP(C43,Products!$A$5:$D$24,3,FALSE())</f>
        <v>Accessories</v>
      </c>
      <c r="I43" s="41" t="n">
        <f aca="false">VLOOKUP(C43,Products!$A$5:$D$24,4,FALSE())</f>
        <v>5</v>
      </c>
      <c r="J43" s="42" t="n">
        <f aca="false">DATE(YEAR(B43),MONTH(B43),1)</f>
        <v>45658</v>
      </c>
      <c r="K43" s="41" t="n">
        <f aca="false">D43*E43</f>
        <v>15.18</v>
      </c>
      <c r="L43" s="41" t="n">
        <f aca="false">D43*I43</f>
        <v>5</v>
      </c>
      <c r="M43" s="41" t="n">
        <f aca="false">IFERROR(INDEX(Raw_Expenses!$C$5:$C$2979,MATCH(A43,Raw_Expenses!$A$5:$A$2979,0)),0)</f>
        <v>1.28</v>
      </c>
      <c r="N43" s="41" t="n">
        <f aca="false">L43+M43</f>
        <v>6.28</v>
      </c>
      <c r="O43" s="41" t="n">
        <f aca="false">K43-N43</f>
        <v>8.9</v>
      </c>
      <c r="P43" s="43" t="n">
        <f aca="false">IF(K43=0,0,O43/K43)</f>
        <v>0.586297760210804</v>
      </c>
    </row>
    <row r="44" customFormat="false" ht="15" hidden="false" customHeight="false" outlineLevel="0" collapsed="false">
      <c r="A44" s="39" t="s">
        <v>161</v>
      </c>
      <c r="B44" s="40" t="n">
        <v>45663</v>
      </c>
      <c r="C44" s="39" t="s">
        <v>162</v>
      </c>
      <c r="D44" s="39" t="n">
        <v>3</v>
      </c>
      <c r="E44" s="41" t="n">
        <v>67.74</v>
      </c>
      <c r="F44" s="39" t="s">
        <v>118</v>
      </c>
      <c r="G44" s="39" t="str">
        <f aca="false">VLOOKUP(C44,Products!$A$5:$D$24,2,FALSE())</f>
        <v>Bluetooth Speaker</v>
      </c>
      <c r="H44" s="39" t="str">
        <f aca="false">VLOOKUP(C44,Products!$A$5:$D$24,3,FALSE())</f>
        <v>Electronics</v>
      </c>
      <c r="I44" s="41" t="n">
        <f aca="false">VLOOKUP(C44,Products!$A$5:$D$24,4,FALSE())</f>
        <v>28</v>
      </c>
      <c r="J44" s="42" t="n">
        <f aca="false">DATE(YEAR(B44),MONTH(B44),1)</f>
        <v>45658</v>
      </c>
      <c r="K44" s="41" t="n">
        <f aca="false">D44*E44</f>
        <v>203.22</v>
      </c>
      <c r="L44" s="41" t="n">
        <f aca="false">D44*I44</f>
        <v>84</v>
      </c>
      <c r="M44" s="41" t="n">
        <f aca="false">IFERROR(INDEX(Raw_Expenses!$C$5:$C$2979,MATCH(A44,Raw_Expenses!$A$5:$A$2979,0)),0)</f>
        <v>17.73</v>
      </c>
      <c r="N44" s="41" t="n">
        <f aca="false">L44+M44</f>
        <v>101.73</v>
      </c>
      <c r="O44" s="41" t="n">
        <f aca="false">K44-N44</f>
        <v>101.49</v>
      </c>
      <c r="P44" s="43" t="n">
        <f aca="false">IF(K44=0,0,O44/K44)</f>
        <v>0.499409506938293</v>
      </c>
    </row>
    <row r="45" customFormat="false" ht="15" hidden="false" customHeight="false" outlineLevel="0" collapsed="false">
      <c r="A45" s="39" t="s">
        <v>163</v>
      </c>
      <c r="B45" s="40" t="n">
        <v>45664</v>
      </c>
      <c r="C45" s="39" t="s">
        <v>114</v>
      </c>
      <c r="D45" s="39" t="n">
        <v>2</v>
      </c>
      <c r="E45" s="41" t="n">
        <v>5.68</v>
      </c>
      <c r="F45" s="39" t="s">
        <v>105</v>
      </c>
      <c r="G45" s="39" t="str">
        <f aca="false">VLOOKUP(C45,Products!$A$5:$D$24,2,FALSE())</f>
        <v>Gel Pen Pack</v>
      </c>
      <c r="H45" s="39" t="str">
        <f aca="false">VLOOKUP(C45,Products!$A$5:$D$24,3,FALSE())</f>
        <v>Stationery</v>
      </c>
      <c r="I45" s="41" t="n">
        <f aca="false">VLOOKUP(C45,Products!$A$5:$D$24,4,FALSE())</f>
        <v>2</v>
      </c>
      <c r="J45" s="42" t="n">
        <f aca="false">DATE(YEAR(B45),MONTH(B45),1)</f>
        <v>45658</v>
      </c>
      <c r="K45" s="41" t="n">
        <f aca="false">D45*E45</f>
        <v>11.36</v>
      </c>
      <c r="L45" s="41" t="n">
        <f aca="false">D45*I45</f>
        <v>4</v>
      </c>
      <c r="M45" s="41" t="n">
        <f aca="false">IFERROR(INDEX(Raw_Expenses!$C$5:$C$2979,MATCH(A45,Raw_Expenses!$A$5:$A$2979,0)),0)</f>
        <v>0.57</v>
      </c>
      <c r="N45" s="41" t="n">
        <f aca="false">L45+M45</f>
        <v>4.57</v>
      </c>
      <c r="O45" s="41" t="n">
        <f aca="false">K45-N45</f>
        <v>6.79</v>
      </c>
      <c r="P45" s="43" t="n">
        <f aca="false">IF(K45=0,0,O45/K45)</f>
        <v>0.597711267605634</v>
      </c>
    </row>
    <row r="46" customFormat="false" ht="15" hidden="false" customHeight="false" outlineLevel="0" collapsed="false">
      <c r="A46" s="39" t="s">
        <v>164</v>
      </c>
      <c r="B46" s="40" t="n">
        <v>45664</v>
      </c>
      <c r="C46" s="39" t="s">
        <v>126</v>
      </c>
      <c r="D46" s="39" t="n">
        <v>1</v>
      </c>
      <c r="E46" s="41" t="n">
        <v>23.01</v>
      </c>
      <c r="F46" s="39" t="s">
        <v>118</v>
      </c>
      <c r="G46" s="39" t="str">
        <f aca="false">VLOOKUP(C46,Products!$A$5:$D$24,2,FALSE())</f>
        <v>Wireless Mouse</v>
      </c>
      <c r="H46" s="39" t="str">
        <f aca="false">VLOOKUP(C46,Products!$A$5:$D$24,3,FALSE())</f>
        <v>Electronics</v>
      </c>
      <c r="I46" s="41" t="n">
        <f aca="false">VLOOKUP(C46,Products!$A$5:$D$24,4,FALSE())</f>
        <v>12</v>
      </c>
      <c r="J46" s="42" t="n">
        <f aca="false">DATE(YEAR(B46),MONTH(B46),1)</f>
        <v>45658</v>
      </c>
      <c r="K46" s="41" t="n">
        <f aca="false">D46*E46</f>
        <v>23.01</v>
      </c>
      <c r="L46" s="41" t="n">
        <f aca="false">D46*I46</f>
        <v>12</v>
      </c>
      <c r="M46" s="41" t="n">
        <f aca="false">IFERROR(INDEX(Raw_Expenses!$C$5:$C$2979,MATCH(A46,Raw_Expenses!$A$5:$A$2979,0)),0)</f>
        <v>1.92</v>
      </c>
      <c r="N46" s="41" t="n">
        <f aca="false">L46+M46</f>
        <v>13.92</v>
      </c>
      <c r="O46" s="41" t="n">
        <f aca="false">K46-N46</f>
        <v>9.09</v>
      </c>
      <c r="P46" s="43" t="n">
        <f aca="false">IF(K46=0,0,O46/K46)</f>
        <v>0.395045632333768</v>
      </c>
    </row>
    <row r="47" customFormat="false" ht="15" hidden="false" customHeight="false" outlineLevel="0" collapsed="false">
      <c r="A47" s="39" t="s">
        <v>165</v>
      </c>
      <c r="B47" s="40" t="n">
        <v>45664</v>
      </c>
      <c r="C47" s="39" t="s">
        <v>107</v>
      </c>
      <c r="D47" s="39" t="n">
        <v>1</v>
      </c>
      <c r="E47" s="41" t="n">
        <v>32.4</v>
      </c>
      <c r="F47" s="39" t="s">
        <v>118</v>
      </c>
      <c r="G47" s="39" t="str">
        <f aca="false">VLOOKUP(C47,Products!$A$5:$D$24,2,FALSE())</f>
        <v>USB-C Hub</v>
      </c>
      <c r="H47" s="39" t="str">
        <f aca="false">VLOOKUP(C47,Products!$A$5:$D$24,3,FALSE())</f>
        <v>Electronics</v>
      </c>
      <c r="I47" s="41" t="n">
        <f aca="false">VLOOKUP(C47,Products!$A$5:$D$24,4,FALSE())</f>
        <v>14</v>
      </c>
      <c r="J47" s="42" t="n">
        <f aca="false">DATE(YEAR(B47),MONTH(B47),1)</f>
        <v>45658</v>
      </c>
      <c r="K47" s="41" t="n">
        <f aca="false">D47*E47</f>
        <v>32.4</v>
      </c>
      <c r="L47" s="41" t="n">
        <f aca="false">D47*I47</f>
        <v>14</v>
      </c>
      <c r="M47" s="41" t="n">
        <f aca="false">IFERROR(INDEX(Raw_Expenses!$C$5:$C$2979,MATCH(A47,Raw_Expenses!$A$5:$A$2979,0)),0)</f>
        <v>2.08</v>
      </c>
      <c r="N47" s="41" t="n">
        <f aca="false">L47+M47</f>
        <v>16.08</v>
      </c>
      <c r="O47" s="41" t="n">
        <f aca="false">K47-N47</f>
        <v>16.32</v>
      </c>
      <c r="P47" s="43" t="n">
        <f aca="false">IF(K47=0,0,O47/K47)</f>
        <v>0.503703703703704</v>
      </c>
    </row>
    <row r="48" customFormat="false" ht="15" hidden="false" customHeight="false" outlineLevel="0" collapsed="false">
      <c r="A48" s="39" t="s">
        <v>166</v>
      </c>
      <c r="B48" s="40" t="n">
        <v>45664</v>
      </c>
      <c r="C48" s="39" t="s">
        <v>139</v>
      </c>
      <c r="D48" s="39" t="n">
        <v>3</v>
      </c>
      <c r="E48" s="41" t="n">
        <v>125.88</v>
      </c>
      <c r="F48" s="39" t="s">
        <v>115</v>
      </c>
      <c r="G48" s="39" t="str">
        <f aca="false">VLOOKUP(C48,Products!$A$5:$D$24,2,FALSE())</f>
        <v>Noise-Cancelling Headphones</v>
      </c>
      <c r="H48" s="39" t="str">
        <f aca="false">VLOOKUP(C48,Products!$A$5:$D$24,3,FALSE())</f>
        <v>Electronics</v>
      </c>
      <c r="I48" s="41" t="n">
        <f aca="false">VLOOKUP(C48,Products!$A$5:$D$24,4,FALSE())</f>
        <v>55</v>
      </c>
      <c r="J48" s="42" t="n">
        <f aca="false">DATE(YEAR(B48),MONTH(B48),1)</f>
        <v>45658</v>
      </c>
      <c r="K48" s="41" t="n">
        <f aca="false">D48*E48</f>
        <v>377.64</v>
      </c>
      <c r="L48" s="41" t="n">
        <f aca="false">D48*I48</f>
        <v>165</v>
      </c>
      <c r="M48" s="41" t="n">
        <f aca="false">IFERROR(INDEX(Raw_Expenses!$C$5:$C$2979,MATCH(A48,Raw_Expenses!$A$5:$A$2979,0)),0)</f>
        <v>29.86</v>
      </c>
      <c r="N48" s="41" t="n">
        <f aca="false">L48+M48</f>
        <v>194.86</v>
      </c>
      <c r="O48" s="41" t="n">
        <f aca="false">K48-N48</f>
        <v>182.78</v>
      </c>
      <c r="P48" s="43" t="n">
        <f aca="false">IF(K48=0,0,O48/K48)</f>
        <v>0.484005931575045</v>
      </c>
    </row>
    <row r="49" customFormat="false" ht="15" hidden="false" customHeight="false" outlineLevel="0" collapsed="false">
      <c r="A49" s="39" t="s">
        <v>167</v>
      </c>
      <c r="B49" s="40" t="n">
        <v>45664</v>
      </c>
      <c r="C49" s="39" t="s">
        <v>162</v>
      </c>
      <c r="D49" s="39" t="n">
        <v>5</v>
      </c>
      <c r="E49" s="41" t="n">
        <v>67.17</v>
      </c>
      <c r="F49" s="39" t="s">
        <v>115</v>
      </c>
      <c r="G49" s="39" t="str">
        <f aca="false">VLOOKUP(C49,Products!$A$5:$D$24,2,FALSE())</f>
        <v>Bluetooth Speaker</v>
      </c>
      <c r="H49" s="39" t="str">
        <f aca="false">VLOOKUP(C49,Products!$A$5:$D$24,3,FALSE())</f>
        <v>Electronics</v>
      </c>
      <c r="I49" s="41" t="n">
        <f aca="false">VLOOKUP(C49,Products!$A$5:$D$24,4,FALSE())</f>
        <v>28</v>
      </c>
      <c r="J49" s="42" t="n">
        <f aca="false">DATE(YEAR(B49),MONTH(B49),1)</f>
        <v>45658</v>
      </c>
      <c r="K49" s="41" t="n">
        <f aca="false">D49*E49</f>
        <v>335.85</v>
      </c>
      <c r="L49" s="41" t="n">
        <f aca="false">D49*I49</f>
        <v>140</v>
      </c>
      <c r="M49" s="41" t="n">
        <f aca="false">IFERROR(INDEX(Raw_Expenses!$C$5:$C$2979,MATCH(A49,Raw_Expenses!$A$5:$A$2979,0)),0)</f>
        <v>19.13</v>
      </c>
      <c r="N49" s="41" t="n">
        <f aca="false">L49+M49</f>
        <v>159.13</v>
      </c>
      <c r="O49" s="41" t="n">
        <f aca="false">K49-N49</f>
        <v>176.72</v>
      </c>
      <c r="P49" s="43" t="n">
        <f aca="false">IF(K49=0,0,O49/K49)</f>
        <v>0.52618728599077</v>
      </c>
    </row>
    <row r="50" customFormat="false" ht="15" hidden="false" customHeight="false" outlineLevel="0" collapsed="false">
      <c r="A50" s="39" t="s">
        <v>168</v>
      </c>
      <c r="B50" s="40" t="n">
        <v>45664</v>
      </c>
      <c r="C50" s="39" t="s">
        <v>169</v>
      </c>
      <c r="D50" s="39" t="n">
        <v>1</v>
      </c>
      <c r="E50" s="41" t="n">
        <v>28.18</v>
      </c>
      <c r="F50" s="39" t="s">
        <v>108</v>
      </c>
      <c r="G50" s="39" t="str">
        <f aca="false">VLOOKUP(C50,Products!$A$5:$D$24,2,FALSE())</f>
        <v>Laptop Stand</v>
      </c>
      <c r="H50" s="39" t="str">
        <f aca="false">VLOOKUP(C50,Products!$A$5:$D$24,3,FALSE())</f>
        <v>Accessories</v>
      </c>
      <c r="I50" s="41" t="n">
        <f aca="false">VLOOKUP(C50,Products!$A$5:$D$24,4,FALSE())</f>
        <v>11</v>
      </c>
      <c r="J50" s="42" t="n">
        <f aca="false">DATE(YEAR(B50),MONTH(B50),1)</f>
        <v>45658</v>
      </c>
      <c r="K50" s="41" t="n">
        <f aca="false">D50*E50</f>
        <v>28.18</v>
      </c>
      <c r="L50" s="41" t="n">
        <f aca="false">D50*I50</f>
        <v>11</v>
      </c>
      <c r="M50" s="41" t="n">
        <f aca="false">IFERROR(INDEX(Raw_Expenses!$C$5:$C$2979,MATCH(A50,Raw_Expenses!$A$5:$A$2979,0)),0)</f>
        <v>1.62</v>
      </c>
      <c r="N50" s="41" t="n">
        <f aca="false">L50+M50</f>
        <v>12.62</v>
      </c>
      <c r="O50" s="41" t="n">
        <f aca="false">K50-N50</f>
        <v>15.56</v>
      </c>
      <c r="P50" s="43" t="n">
        <f aca="false">IF(K50=0,0,O50/K50)</f>
        <v>0.552164655784244</v>
      </c>
    </row>
    <row r="51" customFormat="false" ht="15" hidden="false" customHeight="false" outlineLevel="0" collapsed="false">
      <c r="A51" s="39" t="s">
        <v>170</v>
      </c>
      <c r="B51" s="40" t="n">
        <v>45664</v>
      </c>
      <c r="C51" s="39" t="s">
        <v>130</v>
      </c>
      <c r="D51" s="39" t="n">
        <v>5</v>
      </c>
      <c r="E51" s="41" t="n">
        <v>8.94</v>
      </c>
      <c r="F51" s="39" t="s">
        <v>105</v>
      </c>
      <c r="G51" s="39" t="str">
        <f aca="false">VLOOKUP(C51,Products!$A$5:$D$24,2,FALSE())</f>
        <v>Notebook Set</v>
      </c>
      <c r="H51" s="39" t="str">
        <f aca="false">VLOOKUP(C51,Products!$A$5:$D$24,3,FALSE())</f>
        <v>Stationery</v>
      </c>
      <c r="I51" s="41" t="n">
        <f aca="false">VLOOKUP(C51,Products!$A$5:$D$24,4,FALSE())</f>
        <v>3</v>
      </c>
      <c r="J51" s="42" t="n">
        <f aca="false">DATE(YEAR(B51),MONTH(B51),1)</f>
        <v>45658</v>
      </c>
      <c r="K51" s="41" t="n">
        <f aca="false">D51*E51</f>
        <v>44.7</v>
      </c>
      <c r="L51" s="41" t="n">
        <f aca="false">D51*I51</f>
        <v>15</v>
      </c>
      <c r="M51" s="41" t="n">
        <f aca="false">IFERROR(INDEX(Raw_Expenses!$C$5:$C$2979,MATCH(A51,Raw_Expenses!$A$5:$A$2979,0)),0)</f>
        <v>3.68</v>
      </c>
      <c r="N51" s="41" t="n">
        <f aca="false">L51+M51</f>
        <v>18.68</v>
      </c>
      <c r="O51" s="41" t="n">
        <f aca="false">K51-N51</f>
        <v>26.02</v>
      </c>
      <c r="P51" s="43" t="n">
        <f aca="false">IF(K51=0,0,O51/K51)</f>
        <v>0.582102908277405</v>
      </c>
    </row>
    <row r="52" customFormat="false" ht="15" hidden="false" customHeight="false" outlineLevel="0" collapsed="false">
      <c r="A52" s="39" t="s">
        <v>171</v>
      </c>
      <c r="B52" s="40" t="n">
        <v>45664</v>
      </c>
      <c r="C52" s="39" t="s">
        <v>107</v>
      </c>
      <c r="D52" s="39" t="n">
        <v>4</v>
      </c>
      <c r="E52" s="41" t="n">
        <v>33.11</v>
      </c>
      <c r="F52" s="39" t="s">
        <v>108</v>
      </c>
      <c r="G52" s="39" t="str">
        <f aca="false">VLOOKUP(C52,Products!$A$5:$D$24,2,FALSE())</f>
        <v>USB-C Hub</v>
      </c>
      <c r="H52" s="39" t="str">
        <f aca="false">VLOOKUP(C52,Products!$A$5:$D$24,3,FALSE())</f>
        <v>Electronics</v>
      </c>
      <c r="I52" s="41" t="n">
        <f aca="false">VLOOKUP(C52,Products!$A$5:$D$24,4,FALSE())</f>
        <v>14</v>
      </c>
      <c r="J52" s="42" t="n">
        <f aca="false">DATE(YEAR(B52),MONTH(B52),1)</f>
        <v>45658</v>
      </c>
      <c r="K52" s="41" t="n">
        <f aca="false">D52*E52</f>
        <v>132.44</v>
      </c>
      <c r="L52" s="41" t="n">
        <f aca="false">D52*I52</f>
        <v>56</v>
      </c>
      <c r="M52" s="41" t="n">
        <f aca="false">IFERROR(INDEX(Raw_Expenses!$C$5:$C$2979,MATCH(A52,Raw_Expenses!$A$5:$A$2979,0)),0)</f>
        <v>10.39</v>
      </c>
      <c r="N52" s="41" t="n">
        <f aca="false">L52+M52</f>
        <v>66.39</v>
      </c>
      <c r="O52" s="41" t="n">
        <f aca="false">K52-N52</f>
        <v>66.05</v>
      </c>
      <c r="P52" s="43" t="n">
        <f aca="false">IF(K52=0,0,O52/K52)</f>
        <v>0.498716399879191</v>
      </c>
    </row>
    <row r="53" customFormat="false" ht="15" hidden="false" customHeight="false" outlineLevel="0" collapsed="false">
      <c r="A53" s="39" t="s">
        <v>172</v>
      </c>
      <c r="B53" s="40" t="n">
        <v>45665</v>
      </c>
      <c r="C53" s="39" t="s">
        <v>169</v>
      </c>
      <c r="D53" s="39" t="n">
        <v>2</v>
      </c>
      <c r="E53" s="41" t="n">
        <v>27.86</v>
      </c>
      <c r="F53" s="39" t="s">
        <v>118</v>
      </c>
      <c r="G53" s="39" t="str">
        <f aca="false">VLOOKUP(C53,Products!$A$5:$D$24,2,FALSE())</f>
        <v>Laptop Stand</v>
      </c>
      <c r="H53" s="39" t="str">
        <f aca="false">VLOOKUP(C53,Products!$A$5:$D$24,3,FALSE())</f>
        <v>Accessories</v>
      </c>
      <c r="I53" s="41" t="n">
        <f aca="false">VLOOKUP(C53,Products!$A$5:$D$24,4,FALSE())</f>
        <v>11</v>
      </c>
      <c r="J53" s="42" t="n">
        <f aca="false">DATE(YEAR(B53),MONTH(B53),1)</f>
        <v>45658</v>
      </c>
      <c r="K53" s="41" t="n">
        <f aca="false">D53*E53</f>
        <v>55.72</v>
      </c>
      <c r="L53" s="41" t="n">
        <f aca="false">D53*I53</f>
        <v>22</v>
      </c>
      <c r="M53" s="41" t="n">
        <f aca="false">IFERROR(INDEX(Raw_Expenses!$C$5:$C$2979,MATCH(A53,Raw_Expenses!$A$5:$A$2979,0)),0)</f>
        <v>4.25</v>
      </c>
      <c r="N53" s="41" t="n">
        <f aca="false">L53+M53</f>
        <v>26.25</v>
      </c>
      <c r="O53" s="41" t="n">
        <f aca="false">K53-N53</f>
        <v>29.47</v>
      </c>
      <c r="P53" s="43" t="n">
        <f aca="false">IF(K53=0,0,O53/K53)</f>
        <v>0.528894472361809</v>
      </c>
    </row>
    <row r="54" customFormat="false" ht="15" hidden="false" customHeight="false" outlineLevel="0" collapsed="false">
      <c r="A54" s="39" t="s">
        <v>173</v>
      </c>
      <c r="B54" s="40" t="n">
        <v>45665</v>
      </c>
      <c r="C54" s="39" t="s">
        <v>169</v>
      </c>
      <c r="D54" s="39" t="n">
        <v>1</v>
      </c>
      <c r="E54" s="41" t="n">
        <v>27.44</v>
      </c>
      <c r="F54" s="39" t="s">
        <v>105</v>
      </c>
      <c r="G54" s="39" t="str">
        <f aca="false">VLOOKUP(C54,Products!$A$5:$D$24,2,FALSE())</f>
        <v>Laptop Stand</v>
      </c>
      <c r="H54" s="39" t="str">
        <f aca="false">VLOOKUP(C54,Products!$A$5:$D$24,3,FALSE())</f>
        <v>Accessories</v>
      </c>
      <c r="I54" s="41" t="n">
        <f aca="false">VLOOKUP(C54,Products!$A$5:$D$24,4,FALSE())</f>
        <v>11</v>
      </c>
      <c r="J54" s="42" t="n">
        <f aca="false">DATE(YEAR(B54),MONTH(B54),1)</f>
        <v>45658</v>
      </c>
      <c r="K54" s="41" t="n">
        <f aca="false">D54*E54</f>
        <v>27.44</v>
      </c>
      <c r="L54" s="41" t="n">
        <f aca="false">D54*I54</f>
        <v>11</v>
      </c>
      <c r="M54" s="41" t="n">
        <f aca="false">IFERROR(INDEX(Raw_Expenses!$C$5:$C$2979,MATCH(A54,Raw_Expenses!$A$5:$A$2979,0)),0)</f>
        <v>1.68</v>
      </c>
      <c r="N54" s="41" t="n">
        <f aca="false">L54+M54</f>
        <v>12.68</v>
      </c>
      <c r="O54" s="41" t="n">
        <f aca="false">K54-N54</f>
        <v>14.76</v>
      </c>
      <c r="P54" s="43" t="n">
        <f aca="false">IF(K54=0,0,O54/K54)</f>
        <v>0.537900874635569</v>
      </c>
    </row>
    <row r="55" customFormat="false" ht="15" hidden="false" customHeight="false" outlineLevel="0" collapsed="false">
      <c r="A55" s="39" t="s">
        <v>174</v>
      </c>
      <c r="B55" s="40" t="n">
        <v>45665</v>
      </c>
      <c r="C55" s="39" t="s">
        <v>104</v>
      </c>
      <c r="D55" s="39" t="n">
        <v>5</v>
      </c>
      <c r="E55" s="41" t="n">
        <v>15.46</v>
      </c>
      <c r="F55" s="39" t="s">
        <v>118</v>
      </c>
      <c r="G55" s="39" t="str">
        <f aca="false">VLOOKUP(C55,Products!$A$5:$D$24,2,FALSE())</f>
        <v>Water Bottle</v>
      </c>
      <c r="H55" s="39" t="str">
        <f aca="false">VLOOKUP(C55,Products!$A$5:$D$24,3,FALSE())</f>
        <v>Accessories</v>
      </c>
      <c r="I55" s="41" t="n">
        <f aca="false">VLOOKUP(C55,Products!$A$5:$D$24,4,FALSE())</f>
        <v>5</v>
      </c>
      <c r="J55" s="42" t="n">
        <f aca="false">DATE(YEAR(B55),MONTH(B55),1)</f>
        <v>45658</v>
      </c>
      <c r="K55" s="41" t="n">
        <f aca="false">D55*E55</f>
        <v>77.3</v>
      </c>
      <c r="L55" s="41" t="n">
        <f aca="false">D55*I55</f>
        <v>25</v>
      </c>
      <c r="M55" s="41" t="n">
        <f aca="false">IFERROR(INDEX(Raw_Expenses!$C$5:$C$2979,MATCH(A55,Raw_Expenses!$A$5:$A$2979,0)),0)</f>
        <v>5.2</v>
      </c>
      <c r="N55" s="41" t="n">
        <f aca="false">L55+M55</f>
        <v>30.2</v>
      </c>
      <c r="O55" s="41" t="n">
        <f aca="false">K55-N55</f>
        <v>47.1</v>
      </c>
      <c r="P55" s="43" t="n">
        <f aca="false">IF(K55=0,0,O55/K55)</f>
        <v>0.609314359637775</v>
      </c>
    </row>
    <row r="56" customFormat="false" ht="15" hidden="false" customHeight="false" outlineLevel="0" collapsed="false">
      <c r="A56" s="39" t="s">
        <v>175</v>
      </c>
      <c r="B56" s="40" t="n">
        <v>45665</v>
      </c>
      <c r="C56" s="39" t="s">
        <v>121</v>
      </c>
      <c r="D56" s="39" t="n">
        <v>2</v>
      </c>
      <c r="E56" s="41" t="n">
        <v>113.18</v>
      </c>
      <c r="F56" s="39" t="s">
        <v>118</v>
      </c>
      <c r="G56" s="39" t="str">
        <f aca="false">VLOOKUP(C56,Products!$A$5:$D$24,2,FALSE())</f>
        <v>External SSD 1TB</v>
      </c>
      <c r="H56" s="39" t="str">
        <f aca="false">VLOOKUP(C56,Products!$A$5:$D$24,3,FALSE())</f>
        <v>Electronics</v>
      </c>
      <c r="I56" s="41" t="n">
        <f aca="false">VLOOKUP(C56,Products!$A$5:$D$24,4,FALSE())</f>
        <v>62</v>
      </c>
      <c r="J56" s="42" t="n">
        <f aca="false">DATE(YEAR(B56),MONTH(B56),1)</f>
        <v>45658</v>
      </c>
      <c r="K56" s="41" t="n">
        <f aca="false">D56*E56</f>
        <v>226.36</v>
      </c>
      <c r="L56" s="41" t="n">
        <f aca="false">D56*I56</f>
        <v>124</v>
      </c>
      <c r="M56" s="41" t="n">
        <f aca="false">IFERROR(INDEX(Raw_Expenses!$C$5:$C$2979,MATCH(A56,Raw_Expenses!$A$5:$A$2979,0)),0)</f>
        <v>0</v>
      </c>
      <c r="N56" s="41" t="n">
        <f aca="false">L56+M56</f>
        <v>124</v>
      </c>
      <c r="O56" s="41" t="n">
        <f aca="false">K56-N56</f>
        <v>102.36</v>
      </c>
      <c r="P56" s="43" t="n">
        <f aca="false">IF(K56=0,0,O56/K56)</f>
        <v>0.452200035341933</v>
      </c>
    </row>
    <row r="57" customFormat="false" ht="15" hidden="false" customHeight="false" outlineLevel="0" collapsed="false">
      <c r="A57" s="39" t="s">
        <v>176</v>
      </c>
      <c r="B57" s="40" t="n">
        <v>45665</v>
      </c>
      <c r="C57" s="39" t="s">
        <v>177</v>
      </c>
      <c r="D57" s="39" t="n">
        <v>3</v>
      </c>
      <c r="E57" s="41" t="n">
        <v>44.74</v>
      </c>
      <c r="F57" s="39" t="s">
        <v>108</v>
      </c>
      <c r="G57" s="39" t="str">
        <f aca="false">VLOOKUP(C57,Products!$A$5:$D$24,2,FALSE())</f>
        <v>Backpack</v>
      </c>
      <c r="H57" s="39" t="str">
        <f aca="false">VLOOKUP(C57,Products!$A$5:$D$24,3,FALSE())</f>
        <v>Accessories</v>
      </c>
      <c r="I57" s="41" t="n">
        <f aca="false">VLOOKUP(C57,Products!$A$5:$D$24,4,FALSE())</f>
        <v>17</v>
      </c>
      <c r="J57" s="42" t="n">
        <f aca="false">DATE(YEAR(B57),MONTH(B57),1)</f>
        <v>45658</v>
      </c>
      <c r="K57" s="41" t="n">
        <f aca="false">D57*E57</f>
        <v>134.22</v>
      </c>
      <c r="L57" s="41" t="n">
        <f aca="false">D57*I57</f>
        <v>51</v>
      </c>
      <c r="M57" s="41" t="n">
        <f aca="false">IFERROR(INDEX(Raw_Expenses!$C$5:$C$2979,MATCH(A57,Raw_Expenses!$A$5:$A$2979,0)),0)</f>
        <v>5.91</v>
      </c>
      <c r="N57" s="41" t="n">
        <f aca="false">L57+M57</f>
        <v>56.91</v>
      </c>
      <c r="O57" s="41" t="n">
        <f aca="false">K57-N57</f>
        <v>77.31</v>
      </c>
      <c r="P57" s="43" t="n">
        <f aca="false">IF(K57=0,0,O57/K57)</f>
        <v>0.575994635672776</v>
      </c>
    </row>
    <row r="58" customFormat="false" ht="15" hidden="false" customHeight="false" outlineLevel="0" collapsed="false">
      <c r="A58" s="39" t="s">
        <v>178</v>
      </c>
      <c r="B58" s="40" t="n">
        <v>45665</v>
      </c>
      <c r="C58" s="39" t="s">
        <v>162</v>
      </c>
      <c r="D58" s="39" t="n">
        <v>2</v>
      </c>
      <c r="E58" s="41" t="n">
        <v>65.61</v>
      </c>
      <c r="F58" s="39" t="s">
        <v>118</v>
      </c>
      <c r="G58" s="39" t="str">
        <f aca="false">VLOOKUP(C58,Products!$A$5:$D$24,2,FALSE())</f>
        <v>Bluetooth Speaker</v>
      </c>
      <c r="H58" s="39" t="str">
        <f aca="false">VLOOKUP(C58,Products!$A$5:$D$24,3,FALSE())</f>
        <v>Electronics</v>
      </c>
      <c r="I58" s="41" t="n">
        <f aca="false">VLOOKUP(C58,Products!$A$5:$D$24,4,FALSE())</f>
        <v>28</v>
      </c>
      <c r="J58" s="42" t="n">
        <f aca="false">DATE(YEAR(B58),MONTH(B58),1)</f>
        <v>45658</v>
      </c>
      <c r="K58" s="41" t="n">
        <f aca="false">D58*E58</f>
        <v>131.22</v>
      </c>
      <c r="L58" s="41" t="n">
        <f aca="false">D58*I58</f>
        <v>56</v>
      </c>
      <c r="M58" s="41" t="n">
        <f aca="false">IFERROR(INDEX(Raw_Expenses!$C$5:$C$2979,MATCH(A58,Raw_Expenses!$A$5:$A$2979,0)),0)</f>
        <v>7.31</v>
      </c>
      <c r="N58" s="41" t="n">
        <f aca="false">L58+M58</f>
        <v>63.31</v>
      </c>
      <c r="O58" s="41" t="n">
        <f aca="false">K58-N58</f>
        <v>67.91</v>
      </c>
      <c r="P58" s="43" t="n">
        <f aca="false">IF(K58=0,0,O58/K58)</f>
        <v>0.517527815881725</v>
      </c>
    </row>
    <row r="59" customFormat="false" ht="15" hidden="false" customHeight="false" outlineLevel="0" collapsed="false">
      <c r="A59" s="39" t="s">
        <v>179</v>
      </c>
      <c r="B59" s="40" t="n">
        <v>45665</v>
      </c>
      <c r="C59" s="39" t="s">
        <v>110</v>
      </c>
      <c r="D59" s="39" t="n">
        <v>5</v>
      </c>
      <c r="E59" s="41" t="n">
        <v>13.54</v>
      </c>
      <c r="F59" s="39" t="s">
        <v>118</v>
      </c>
      <c r="G59" s="39" t="str">
        <f aca="false">VLOOKUP(C59,Products!$A$5:$D$24,2,FALSE())</f>
        <v>Phone Stand</v>
      </c>
      <c r="H59" s="39" t="str">
        <f aca="false">VLOOKUP(C59,Products!$A$5:$D$24,3,FALSE())</f>
        <v>Accessories</v>
      </c>
      <c r="I59" s="41" t="n">
        <f aca="false">VLOOKUP(C59,Products!$A$5:$D$24,4,FALSE())</f>
        <v>4</v>
      </c>
      <c r="J59" s="42" t="n">
        <f aca="false">DATE(YEAR(B59),MONTH(B59),1)</f>
        <v>45658</v>
      </c>
      <c r="K59" s="41" t="n">
        <f aca="false">D59*E59</f>
        <v>67.7</v>
      </c>
      <c r="L59" s="41" t="n">
        <f aca="false">D59*I59</f>
        <v>20</v>
      </c>
      <c r="M59" s="41" t="n">
        <f aca="false">IFERROR(INDEX(Raw_Expenses!$C$5:$C$2979,MATCH(A59,Raw_Expenses!$A$5:$A$2979,0)),0)</f>
        <v>6.02</v>
      </c>
      <c r="N59" s="41" t="n">
        <f aca="false">L59+M59</f>
        <v>26.02</v>
      </c>
      <c r="O59" s="41" t="n">
        <f aca="false">K59-N59</f>
        <v>41.68</v>
      </c>
      <c r="P59" s="43" t="n">
        <f aca="false">IF(K59=0,0,O59/K59)</f>
        <v>0.615657311669129</v>
      </c>
    </row>
    <row r="60" customFormat="false" ht="15" hidden="false" customHeight="false" outlineLevel="0" collapsed="false">
      <c r="A60" s="39" t="s">
        <v>180</v>
      </c>
      <c r="B60" s="40" t="n">
        <v>45665</v>
      </c>
      <c r="C60" s="39" t="s">
        <v>177</v>
      </c>
      <c r="D60" s="39" t="n">
        <v>5</v>
      </c>
      <c r="E60" s="41" t="n">
        <v>42.74</v>
      </c>
      <c r="F60" s="39" t="s">
        <v>108</v>
      </c>
      <c r="G60" s="39" t="str">
        <f aca="false">VLOOKUP(C60,Products!$A$5:$D$24,2,FALSE())</f>
        <v>Backpack</v>
      </c>
      <c r="H60" s="39" t="str">
        <f aca="false">VLOOKUP(C60,Products!$A$5:$D$24,3,FALSE())</f>
        <v>Accessories</v>
      </c>
      <c r="I60" s="41" t="n">
        <f aca="false">VLOOKUP(C60,Products!$A$5:$D$24,4,FALSE())</f>
        <v>17</v>
      </c>
      <c r="J60" s="42" t="n">
        <f aca="false">DATE(YEAR(B60),MONTH(B60),1)</f>
        <v>45658</v>
      </c>
      <c r="K60" s="41" t="n">
        <f aca="false">D60*E60</f>
        <v>213.7</v>
      </c>
      <c r="L60" s="41" t="n">
        <f aca="false">D60*I60</f>
        <v>85</v>
      </c>
      <c r="M60" s="41" t="n">
        <f aca="false">IFERROR(INDEX(Raw_Expenses!$C$5:$C$2979,MATCH(A60,Raw_Expenses!$A$5:$A$2979,0)),0)</f>
        <v>17.36</v>
      </c>
      <c r="N60" s="41" t="n">
        <f aca="false">L60+M60</f>
        <v>102.36</v>
      </c>
      <c r="O60" s="41" t="n">
        <f aca="false">K60-N60</f>
        <v>111.34</v>
      </c>
      <c r="P60" s="43" t="n">
        <f aca="false">IF(K60=0,0,O60/K60)</f>
        <v>0.521010762751521</v>
      </c>
    </row>
    <row r="61" customFormat="false" ht="15" hidden="false" customHeight="false" outlineLevel="0" collapsed="false">
      <c r="A61" s="39" t="s">
        <v>181</v>
      </c>
      <c r="B61" s="40" t="n">
        <v>45665</v>
      </c>
      <c r="C61" s="39" t="s">
        <v>133</v>
      </c>
      <c r="D61" s="39" t="n">
        <v>5</v>
      </c>
      <c r="E61" s="41" t="n">
        <v>8.62</v>
      </c>
      <c r="F61" s="39" t="s">
        <v>115</v>
      </c>
      <c r="G61" s="39" t="str">
        <f aca="false">VLOOKUP(C61,Products!$A$5:$D$24,2,FALSE())</f>
        <v>Printer Paper Ream</v>
      </c>
      <c r="H61" s="39" t="str">
        <f aca="false">VLOOKUP(C61,Products!$A$5:$D$24,3,FALSE())</f>
        <v>Stationery</v>
      </c>
      <c r="I61" s="41" t="n">
        <f aca="false">VLOOKUP(C61,Products!$A$5:$D$24,4,FALSE())</f>
        <v>4</v>
      </c>
      <c r="J61" s="42" t="n">
        <f aca="false">DATE(YEAR(B61),MONTH(B61),1)</f>
        <v>45658</v>
      </c>
      <c r="K61" s="41" t="n">
        <f aca="false">D61*E61</f>
        <v>43.1</v>
      </c>
      <c r="L61" s="41" t="n">
        <f aca="false">D61*I61</f>
        <v>20</v>
      </c>
      <c r="M61" s="41" t="n">
        <f aca="false">IFERROR(INDEX(Raw_Expenses!$C$5:$C$2979,MATCH(A61,Raw_Expenses!$A$5:$A$2979,0)),0)</f>
        <v>2.94</v>
      </c>
      <c r="N61" s="41" t="n">
        <f aca="false">L61+M61</f>
        <v>22.94</v>
      </c>
      <c r="O61" s="41" t="n">
        <f aca="false">K61-N61</f>
        <v>20.16</v>
      </c>
      <c r="P61" s="43" t="n">
        <f aca="false">IF(K61=0,0,O61/K61)</f>
        <v>0.467749419953596</v>
      </c>
    </row>
    <row r="62" customFormat="false" ht="15" hidden="false" customHeight="false" outlineLevel="0" collapsed="false">
      <c r="A62" s="39" t="s">
        <v>182</v>
      </c>
      <c r="B62" s="40" t="n">
        <v>45665</v>
      </c>
      <c r="C62" s="39" t="s">
        <v>183</v>
      </c>
      <c r="D62" s="39" t="n">
        <v>2</v>
      </c>
      <c r="E62" s="41" t="n">
        <v>179.44</v>
      </c>
      <c r="F62" s="39" t="s">
        <v>115</v>
      </c>
      <c r="G62" s="39" t="str">
        <f aca="false">VLOOKUP(C62,Products!$A$5:$D$24,2,FALSE())</f>
        <v>Office Chair</v>
      </c>
      <c r="H62" s="39" t="str">
        <f aca="false">VLOOKUP(C62,Products!$A$5:$D$24,3,FALSE())</f>
        <v>Furniture</v>
      </c>
      <c r="I62" s="41" t="n">
        <f aca="false">VLOOKUP(C62,Products!$A$5:$D$24,4,FALSE())</f>
        <v>85</v>
      </c>
      <c r="J62" s="42" t="n">
        <f aca="false">DATE(YEAR(B62),MONTH(B62),1)</f>
        <v>45658</v>
      </c>
      <c r="K62" s="41" t="n">
        <f aca="false">D62*E62</f>
        <v>358.88</v>
      </c>
      <c r="L62" s="41" t="n">
        <f aca="false">D62*I62</f>
        <v>170</v>
      </c>
      <c r="M62" s="41" t="n">
        <f aca="false">IFERROR(INDEX(Raw_Expenses!$C$5:$C$2979,MATCH(A62,Raw_Expenses!$A$5:$A$2979,0)),0)</f>
        <v>29.29</v>
      </c>
      <c r="N62" s="41" t="n">
        <f aca="false">L62+M62</f>
        <v>199.29</v>
      </c>
      <c r="O62" s="41" t="n">
        <f aca="false">K62-N62</f>
        <v>159.59</v>
      </c>
      <c r="P62" s="43" t="n">
        <f aca="false">IF(K62=0,0,O62/K62)</f>
        <v>0.444689032545698</v>
      </c>
    </row>
    <row r="63" customFormat="false" ht="15" hidden="false" customHeight="false" outlineLevel="0" collapsed="false">
      <c r="A63" s="39" t="s">
        <v>184</v>
      </c>
      <c r="B63" s="40" t="n">
        <v>45665</v>
      </c>
      <c r="C63" s="39" t="s">
        <v>130</v>
      </c>
      <c r="D63" s="39" t="n">
        <v>5</v>
      </c>
      <c r="E63" s="41" t="n">
        <v>8.77</v>
      </c>
      <c r="F63" s="39" t="s">
        <v>105</v>
      </c>
      <c r="G63" s="39" t="str">
        <f aca="false">VLOOKUP(C63,Products!$A$5:$D$24,2,FALSE())</f>
        <v>Notebook Set</v>
      </c>
      <c r="H63" s="39" t="str">
        <f aca="false">VLOOKUP(C63,Products!$A$5:$D$24,3,FALSE())</f>
        <v>Stationery</v>
      </c>
      <c r="I63" s="41" t="n">
        <f aca="false">VLOOKUP(C63,Products!$A$5:$D$24,4,FALSE())</f>
        <v>3</v>
      </c>
      <c r="J63" s="42" t="n">
        <f aca="false">DATE(YEAR(B63),MONTH(B63),1)</f>
        <v>45658</v>
      </c>
      <c r="K63" s="41" t="n">
        <f aca="false">D63*E63</f>
        <v>43.85</v>
      </c>
      <c r="L63" s="41" t="n">
        <f aca="false">D63*I63</f>
        <v>15</v>
      </c>
      <c r="M63" s="41" t="n">
        <f aca="false">IFERROR(INDEX(Raw_Expenses!$C$5:$C$2979,MATCH(A63,Raw_Expenses!$A$5:$A$2979,0)),0)</f>
        <v>2.38</v>
      </c>
      <c r="N63" s="41" t="n">
        <f aca="false">L63+M63</f>
        <v>17.38</v>
      </c>
      <c r="O63" s="41" t="n">
        <f aca="false">K63-N63</f>
        <v>26.47</v>
      </c>
      <c r="P63" s="43" t="n">
        <f aca="false">IF(K63=0,0,O63/K63)</f>
        <v>0.603648802736602</v>
      </c>
    </row>
    <row r="64" customFormat="false" ht="15" hidden="false" customHeight="false" outlineLevel="0" collapsed="false">
      <c r="A64" s="39" t="s">
        <v>185</v>
      </c>
      <c r="B64" s="40" t="n">
        <v>45665</v>
      </c>
      <c r="C64" s="39" t="s">
        <v>121</v>
      </c>
      <c r="D64" s="39" t="n">
        <v>1</v>
      </c>
      <c r="E64" s="41" t="n">
        <v>114.83</v>
      </c>
      <c r="F64" s="39" t="s">
        <v>105</v>
      </c>
      <c r="G64" s="39" t="str">
        <f aca="false">VLOOKUP(C64,Products!$A$5:$D$24,2,FALSE())</f>
        <v>External SSD 1TB</v>
      </c>
      <c r="H64" s="39" t="str">
        <f aca="false">VLOOKUP(C64,Products!$A$5:$D$24,3,FALSE())</f>
        <v>Electronics</v>
      </c>
      <c r="I64" s="41" t="n">
        <f aca="false">VLOOKUP(C64,Products!$A$5:$D$24,4,FALSE())</f>
        <v>62</v>
      </c>
      <c r="J64" s="42" t="n">
        <f aca="false">DATE(YEAR(B64),MONTH(B64),1)</f>
        <v>45658</v>
      </c>
      <c r="K64" s="41" t="n">
        <f aca="false">D64*E64</f>
        <v>114.83</v>
      </c>
      <c r="L64" s="41" t="n">
        <f aca="false">D64*I64</f>
        <v>62</v>
      </c>
      <c r="M64" s="41" t="n">
        <f aca="false">IFERROR(INDEX(Raw_Expenses!$C$5:$C$2979,MATCH(A64,Raw_Expenses!$A$5:$A$2979,0)),0)</f>
        <v>9.95</v>
      </c>
      <c r="N64" s="41" t="n">
        <f aca="false">L64+M64</f>
        <v>71.95</v>
      </c>
      <c r="O64" s="41" t="n">
        <f aca="false">K64-N64</f>
        <v>42.88</v>
      </c>
      <c r="P64" s="43" t="n">
        <f aca="false">IF(K64=0,0,O64/K64)</f>
        <v>0.373421579726552</v>
      </c>
    </row>
    <row r="65" customFormat="false" ht="15" hidden="false" customHeight="false" outlineLevel="0" collapsed="false">
      <c r="A65" s="39" t="s">
        <v>186</v>
      </c>
      <c r="B65" s="40" t="n">
        <v>45666</v>
      </c>
      <c r="C65" s="39" t="s">
        <v>162</v>
      </c>
      <c r="D65" s="39" t="n">
        <v>4</v>
      </c>
      <c r="E65" s="41" t="n">
        <v>67.46</v>
      </c>
      <c r="F65" s="39" t="s">
        <v>105</v>
      </c>
      <c r="G65" s="39" t="str">
        <f aca="false">VLOOKUP(C65,Products!$A$5:$D$24,2,FALSE())</f>
        <v>Bluetooth Speaker</v>
      </c>
      <c r="H65" s="39" t="str">
        <f aca="false">VLOOKUP(C65,Products!$A$5:$D$24,3,FALSE())</f>
        <v>Electronics</v>
      </c>
      <c r="I65" s="41" t="n">
        <f aca="false">VLOOKUP(C65,Products!$A$5:$D$24,4,FALSE())</f>
        <v>28</v>
      </c>
      <c r="J65" s="42" t="n">
        <f aca="false">DATE(YEAR(B65),MONTH(B65),1)</f>
        <v>45658</v>
      </c>
      <c r="K65" s="41" t="n">
        <f aca="false">D65*E65</f>
        <v>269.84</v>
      </c>
      <c r="L65" s="41" t="n">
        <f aca="false">D65*I65</f>
        <v>112</v>
      </c>
      <c r="M65" s="41" t="n">
        <f aca="false">IFERROR(INDEX(Raw_Expenses!$C$5:$C$2979,MATCH(A65,Raw_Expenses!$A$5:$A$2979,0)),0)</f>
        <v>20.98</v>
      </c>
      <c r="N65" s="41" t="n">
        <f aca="false">L65+M65</f>
        <v>132.98</v>
      </c>
      <c r="O65" s="41" t="n">
        <f aca="false">K65-N65</f>
        <v>136.86</v>
      </c>
      <c r="P65" s="43" t="n">
        <f aca="false">IF(K65=0,0,O65/K65)</f>
        <v>0.507189445597391</v>
      </c>
    </row>
    <row r="66" customFormat="false" ht="15" hidden="false" customHeight="false" outlineLevel="0" collapsed="false">
      <c r="A66" s="39" t="s">
        <v>187</v>
      </c>
      <c r="B66" s="40" t="n">
        <v>45666</v>
      </c>
      <c r="C66" s="39" t="s">
        <v>162</v>
      </c>
      <c r="D66" s="39" t="n">
        <v>2</v>
      </c>
      <c r="E66" s="41" t="n">
        <v>64.74</v>
      </c>
      <c r="F66" s="39" t="s">
        <v>115</v>
      </c>
      <c r="G66" s="39" t="str">
        <f aca="false">VLOOKUP(C66,Products!$A$5:$D$24,2,FALSE())</f>
        <v>Bluetooth Speaker</v>
      </c>
      <c r="H66" s="39" t="str">
        <f aca="false">VLOOKUP(C66,Products!$A$5:$D$24,3,FALSE())</f>
        <v>Electronics</v>
      </c>
      <c r="I66" s="41" t="n">
        <f aca="false">VLOOKUP(C66,Products!$A$5:$D$24,4,FALSE())</f>
        <v>28</v>
      </c>
      <c r="J66" s="42" t="n">
        <f aca="false">DATE(YEAR(B66),MONTH(B66),1)</f>
        <v>45658</v>
      </c>
      <c r="K66" s="41" t="n">
        <f aca="false">D66*E66</f>
        <v>129.48</v>
      </c>
      <c r="L66" s="41" t="n">
        <f aca="false">D66*I66</f>
        <v>56</v>
      </c>
      <c r="M66" s="41" t="n">
        <f aca="false">IFERROR(INDEX(Raw_Expenses!$C$5:$C$2979,MATCH(A66,Raw_Expenses!$A$5:$A$2979,0)),0)</f>
        <v>5.86</v>
      </c>
      <c r="N66" s="41" t="n">
        <f aca="false">L66+M66</f>
        <v>61.86</v>
      </c>
      <c r="O66" s="41" t="n">
        <f aca="false">K66-N66</f>
        <v>67.62</v>
      </c>
      <c r="P66" s="43" t="n">
        <f aca="false">IF(K66=0,0,O66/K66)</f>
        <v>0.52224281742354</v>
      </c>
    </row>
    <row r="67" customFormat="false" ht="15" hidden="false" customHeight="false" outlineLevel="0" collapsed="false">
      <c r="A67" s="39" t="s">
        <v>188</v>
      </c>
      <c r="B67" s="40" t="n">
        <v>45666</v>
      </c>
      <c r="C67" s="39" t="s">
        <v>177</v>
      </c>
      <c r="D67" s="39" t="n">
        <v>1</v>
      </c>
      <c r="E67" s="41" t="n">
        <v>43.97</v>
      </c>
      <c r="F67" s="39" t="s">
        <v>115</v>
      </c>
      <c r="G67" s="39" t="str">
        <f aca="false">VLOOKUP(C67,Products!$A$5:$D$24,2,FALSE())</f>
        <v>Backpack</v>
      </c>
      <c r="H67" s="39" t="str">
        <f aca="false">VLOOKUP(C67,Products!$A$5:$D$24,3,FALSE())</f>
        <v>Accessories</v>
      </c>
      <c r="I67" s="41" t="n">
        <f aca="false">VLOOKUP(C67,Products!$A$5:$D$24,4,FALSE())</f>
        <v>17</v>
      </c>
      <c r="J67" s="42" t="n">
        <f aca="false">DATE(YEAR(B67),MONTH(B67),1)</f>
        <v>45658</v>
      </c>
      <c r="K67" s="41" t="n">
        <f aca="false">D67*E67</f>
        <v>43.97</v>
      </c>
      <c r="L67" s="41" t="n">
        <f aca="false">D67*I67</f>
        <v>17</v>
      </c>
      <c r="M67" s="41" t="n">
        <f aca="false">IFERROR(INDEX(Raw_Expenses!$C$5:$C$2979,MATCH(A67,Raw_Expenses!$A$5:$A$2979,0)),0)</f>
        <v>3.84</v>
      </c>
      <c r="N67" s="41" t="n">
        <f aca="false">L67+M67</f>
        <v>20.84</v>
      </c>
      <c r="O67" s="41" t="n">
        <f aca="false">K67-N67</f>
        <v>23.13</v>
      </c>
      <c r="P67" s="43" t="n">
        <f aca="false">IF(K67=0,0,O67/K67)</f>
        <v>0.526040482146918</v>
      </c>
    </row>
    <row r="68" customFormat="false" ht="15" hidden="false" customHeight="false" outlineLevel="0" collapsed="false">
      <c r="A68" s="39" t="s">
        <v>189</v>
      </c>
      <c r="B68" s="40" t="n">
        <v>45666</v>
      </c>
      <c r="C68" s="39" t="s">
        <v>133</v>
      </c>
      <c r="D68" s="39" t="n">
        <v>2</v>
      </c>
      <c r="E68" s="41" t="n">
        <v>8.9</v>
      </c>
      <c r="F68" s="39" t="s">
        <v>105</v>
      </c>
      <c r="G68" s="39" t="str">
        <f aca="false">VLOOKUP(C68,Products!$A$5:$D$24,2,FALSE())</f>
        <v>Printer Paper Ream</v>
      </c>
      <c r="H68" s="39" t="str">
        <f aca="false">VLOOKUP(C68,Products!$A$5:$D$24,3,FALSE())</f>
        <v>Stationery</v>
      </c>
      <c r="I68" s="41" t="n">
        <f aca="false">VLOOKUP(C68,Products!$A$5:$D$24,4,FALSE())</f>
        <v>4</v>
      </c>
      <c r="J68" s="42" t="n">
        <f aca="false">DATE(YEAR(B68),MONTH(B68),1)</f>
        <v>45658</v>
      </c>
      <c r="K68" s="41" t="n">
        <f aca="false">D68*E68</f>
        <v>17.8</v>
      </c>
      <c r="L68" s="41" t="n">
        <f aca="false">D68*I68</f>
        <v>8</v>
      </c>
      <c r="M68" s="41" t="n">
        <f aca="false">IFERROR(INDEX(Raw_Expenses!$C$5:$C$2979,MATCH(A68,Raw_Expenses!$A$5:$A$2979,0)),0)</f>
        <v>0.88</v>
      </c>
      <c r="N68" s="41" t="n">
        <f aca="false">L68+M68</f>
        <v>8.88</v>
      </c>
      <c r="O68" s="41" t="n">
        <f aca="false">K68-N68</f>
        <v>8.92</v>
      </c>
      <c r="P68" s="43" t="n">
        <f aca="false">IF(K68=0,0,O68/K68)</f>
        <v>0.501123595505618</v>
      </c>
    </row>
    <row r="69" customFormat="false" ht="15" hidden="false" customHeight="false" outlineLevel="0" collapsed="false">
      <c r="A69" s="39" t="s">
        <v>190</v>
      </c>
      <c r="B69" s="40" t="n">
        <v>45666</v>
      </c>
      <c r="C69" s="39" t="s">
        <v>104</v>
      </c>
      <c r="D69" s="39" t="n">
        <v>2</v>
      </c>
      <c r="E69" s="41" t="n">
        <v>15.4</v>
      </c>
      <c r="F69" s="39" t="s">
        <v>118</v>
      </c>
      <c r="G69" s="39" t="str">
        <f aca="false">VLOOKUP(C69,Products!$A$5:$D$24,2,FALSE())</f>
        <v>Water Bottle</v>
      </c>
      <c r="H69" s="39" t="str">
        <f aca="false">VLOOKUP(C69,Products!$A$5:$D$24,3,FALSE())</f>
        <v>Accessories</v>
      </c>
      <c r="I69" s="41" t="n">
        <f aca="false">VLOOKUP(C69,Products!$A$5:$D$24,4,FALSE())</f>
        <v>5</v>
      </c>
      <c r="J69" s="42" t="n">
        <f aca="false">DATE(YEAR(B69),MONTH(B69),1)</f>
        <v>45658</v>
      </c>
      <c r="K69" s="41" t="n">
        <f aca="false">D69*E69</f>
        <v>30.8</v>
      </c>
      <c r="L69" s="41" t="n">
        <f aca="false">D69*I69</f>
        <v>10</v>
      </c>
      <c r="M69" s="41" t="n">
        <f aca="false">IFERROR(INDEX(Raw_Expenses!$C$5:$C$2979,MATCH(A69,Raw_Expenses!$A$5:$A$2979,0)),0)</f>
        <v>2.08</v>
      </c>
      <c r="N69" s="41" t="n">
        <f aca="false">L69+M69</f>
        <v>12.08</v>
      </c>
      <c r="O69" s="41" t="n">
        <f aca="false">K69-N69</f>
        <v>18.72</v>
      </c>
      <c r="P69" s="43" t="n">
        <f aca="false">IF(K69=0,0,O69/K69)</f>
        <v>0.607792207792208</v>
      </c>
    </row>
    <row r="70" customFormat="false" ht="15" hidden="false" customHeight="false" outlineLevel="0" collapsed="false">
      <c r="A70" s="39" t="s">
        <v>191</v>
      </c>
      <c r="B70" s="40" t="n">
        <v>45666</v>
      </c>
      <c r="C70" s="39" t="s">
        <v>169</v>
      </c>
      <c r="D70" s="39" t="n">
        <v>2</v>
      </c>
      <c r="E70" s="41" t="n">
        <v>28.22</v>
      </c>
      <c r="F70" s="39" t="s">
        <v>108</v>
      </c>
      <c r="G70" s="39" t="str">
        <f aca="false">VLOOKUP(C70,Products!$A$5:$D$24,2,FALSE())</f>
        <v>Laptop Stand</v>
      </c>
      <c r="H70" s="39" t="str">
        <f aca="false">VLOOKUP(C70,Products!$A$5:$D$24,3,FALSE())</f>
        <v>Accessories</v>
      </c>
      <c r="I70" s="41" t="n">
        <f aca="false">VLOOKUP(C70,Products!$A$5:$D$24,4,FALSE())</f>
        <v>11</v>
      </c>
      <c r="J70" s="42" t="n">
        <f aca="false">DATE(YEAR(B70),MONTH(B70),1)</f>
        <v>45658</v>
      </c>
      <c r="K70" s="41" t="n">
        <f aca="false">D70*E70</f>
        <v>56.44</v>
      </c>
      <c r="L70" s="41" t="n">
        <f aca="false">D70*I70</f>
        <v>22</v>
      </c>
      <c r="M70" s="41" t="n">
        <f aca="false">IFERROR(INDEX(Raw_Expenses!$C$5:$C$2979,MATCH(A70,Raw_Expenses!$A$5:$A$2979,0)),0)</f>
        <v>3</v>
      </c>
      <c r="N70" s="41" t="n">
        <f aca="false">L70+M70</f>
        <v>25</v>
      </c>
      <c r="O70" s="41" t="n">
        <f aca="false">K70-N70</f>
        <v>31.44</v>
      </c>
      <c r="P70" s="43" t="n">
        <f aca="false">IF(K70=0,0,O70/K70)</f>
        <v>0.557051736357194</v>
      </c>
    </row>
    <row r="71" customFormat="false" ht="15" hidden="false" customHeight="false" outlineLevel="0" collapsed="false">
      <c r="A71" s="39" t="s">
        <v>192</v>
      </c>
      <c r="B71" s="40" t="n">
        <v>45666</v>
      </c>
      <c r="C71" s="39" t="s">
        <v>169</v>
      </c>
      <c r="D71" s="39" t="n">
        <v>2</v>
      </c>
      <c r="E71" s="41" t="n">
        <v>26.82</v>
      </c>
      <c r="F71" s="39" t="s">
        <v>108</v>
      </c>
      <c r="G71" s="39" t="str">
        <f aca="false">VLOOKUP(C71,Products!$A$5:$D$24,2,FALSE())</f>
        <v>Laptop Stand</v>
      </c>
      <c r="H71" s="39" t="str">
        <f aca="false">VLOOKUP(C71,Products!$A$5:$D$24,3,FALSE())</f>
        <v>Accessories</v>
      </c>
      <c r="I71" s="41" t="n">
        <f aca="false">VLOOKUP(C71,Products!$A$5:$D$24,4,FALSE())</f>
        <v>11</v>
      </c>
      <c r="J71" s="42" t="n">
        <f aca="false">DATE(YEAR(B71),MONTH(B71),1)</f>
        <v>45658</v>
      </c>
      <c r="K71" s="41" t="n">
        <f aca="false">D71*E71</f>
        <v>53.64</v>
      </c>
      <c r="L71" s="41" t="n">
        <f aca="false">D71*I71</f>
        <v>22</v>
      </c>
      <c r="M71" s="41" t="n">
        <f aca="false">IFERROR(INDEX(Raw_Expenses!$C$5:$C$2979,MATCH(A71,Raw_Expenses!$A$5:$A$2979,0)),0)</f>
        <v>4.41</v>
      </c>
      <c r="N71" s="41" t="n">
        <f aca="false">L71+M71</f>
        <v>26.41</v>
      </c>
      <c r="O71" s="41" t="n">
        <f aca="false">K71-N71</f>
        <v>27.23</v>
      </c>
      <c r="P71" s="43" t="n">
        <f aca="false">IF(K71=0,0,O71/K71)</f>
        <v>0.507643549589858</v>
      </c>
    </row>
    <row r="72" customFormat="false" ht="15" hidden="false" customHeight="false" outlineLevel="0" collapsed="false">
      <c r="A72" s="39" t="s">
        <v>193</v>
      </c>
      <c r="B72" s="40" t="n">
        <v>45666</v>
      </c>
      <c r="C72" s="39" t="s">
        <v>126</v>
      </c>
      <c r="D72" s="39" t="n">
        <v>1</v>
      </c>
      <c r="E72" s="41" t="n">
        <v>24.57</v>
      </c>
      <c r="F72" s="39" t="s">
        <v>105</v>
      </c>
      <c r="G72" s="39" t="str">
        <f aca="false">VLOOKUP(C72,Products!$A$5:$D$24,2,FALSE())</f>
        <v>Wireless Mouse</v>
      </c>
      <c r="H72" s="39" t="str">
        <f aca="false">VLOOKUP(C72,Products!$A$5:$D$24,3,FALSE())</f>
        <v>Electronics</v>
      </c>
      <c r="I72" s="41" t="n">
        <f aca="false">VLOOKUP(C72,Products!$A$5:$D$24,4,FALSE())</f>
        <v>12</v>
      </c>
      <c r="J72" s="42" t="n">
        <f aca="false">DATE(YEAR(B72),MONTH(B72),1)</f>
        <v>45658</v>
      </c>
      <c r="K72" s="41" t="n">
        <f aca="false">D72*E72</f>
        <v>24.57</v>
      </c>
      <c r="L72" s="41" t="n">
        <f aca="false">D72*I72</f>
        <v>12</v>
      </c>
      <c r="M72" s="41" t="n">
        <f aca="false">IFERROR(INDEX(Raw_Expenses!$C$5:$C$2979,MATCH(A72,Raw_Expenses!$A$5:$A$2979,0)),0)</f>
        <v>1.31</v>
      </c>
      <c r="N72" s="41" t="n">
        <f aca="false">L72+M72</f>
        <v>13.31</v>
      </c>
      <c r="O72" s="41" t="n">
        <f aca="false">K72-N72</f>
        <v>11.26</v>
      </c>
      <c r="P72" s="43" t="n">
        <f aca="false">IF(K72=0,0,O72/K72)</f>
        <v>0.458282458282458</v>
      </c>
    </row>
    <row r="73" customFormat="false" ht="15" hidden="false" customHeight="false" outlineLevel="0" collapsed="false">
      <c r="A73" s="39" t="s">
        <v>194</v>
      </c>
      <c r="B73" s="40" t="n">
        <v>45666</v>
      </c>
      <c r="C73" s="39" t="s">
        <v>136</v>
      </c>
      <c r="D73" s="39" t="n">
        <v>1</v>
      </c>
      <c r="E73" s="41" t="n">
        <v>73.73</v>
      </c>
      <c r="F73" s="39" t="s">
        <v>105</v>
      </c>
      <c r="G73" s="39" t="str">
        <f aca="false">VLOOKUP(C73,Products!$A$5:$D$24,2,FALSE())</f>
        <v>Mechanical Keyboard</v>
      </c>
      <c r="H73" s="39" t="str">
        <f aca="false">VLOOKUP(C73,Products!$A$5:$D$24,3,FALSE())</f>
        <v>Electronics</v>
      </c>
      <c r="I73" s="41" t="n">
        <f aca="false">VLOOKUP(C73,Products!$A$5:$D$24,4,FALSE())</f>
        <v>38</v>
      </c>
      <c r="J73" s="42" t="n">
        <f aca="false">DATE(YEAR(B73),MONTH(B73),1)</f>
        <v>45658</v>
      </c>
      <c r="K73" s="41" t="n">
        <f aca="false">D73*E73</f>
        <v>73.73</v>
      </c>
      <c r="L73" s="41" t="n">
        <f aca="false">D73*I73</f>
        <v>38</v>
      </c>
      <c r="M73" s="41" t="n">
        <f aca="false">IFERROR(INDEX(Raw_Expenses!$C$5:$C$2979,MATCH(A73,Raw_Expenses!$A$5:$A$2979,0)),0)</f>
        <v>4.59</v>
      </c>
      <c r="N73" s="41" t="n">
        <f aca="false">L73+M73</f>
        <v>42.59</v>
      </c>
      <c r="O73" s="41" t="n">
        <f aca="false">K73-N73</f>
        <v>31.14</v>
      </c>
      <c r="P73" s="43" t="n">
        <f aca="false">IF(K73=0,0,O73/K73)</f>
        <v>0.422351824223518</v>
      </c>
    </row>
    <row r="74" customFormat="false" ht="15" hidden="false" customHeight="false" outlineLevel="0" collapsed="false">
      <c r="A74" s="39" t="s">
        <v>195</v>
      </c>
      <c r="B74" s="40" t="n">
        <v>45666</v>
      </c>
      <c r="C74" s="39" t="s">
        <v>114</v>
      </c>
      <c r="D74" s="39" t="n">
        <v>3</v>
      </c>
      <c r="E74" s="41" t="n">
        <v>5.56</v>
      </c>
      <c r="F74" s="39" t="s">
        <v>118</v>
      </c>
      <c r="G74" s="39" t="str">
        <f aca="false">VLOOKUP(C74,Products!$A$5:$D$24,2,FALSE())</f>
        <v>Gel Pen Pack</v>
      </c>
      <c r="H74" s="39" t="str">
        <f aca="false">VLOOKUP(C74,Products!$A$5:$D$24,3,FALSE())</f>
        <v>Stationery</v>
      </c>
      <c r="I74" s="41" t="n">
        <f aca="false">VLOOKUP(C74,Products!$A$5:$D$24,4,FALSE())</f>
        <v>2</v>
      </c>
      <c r="J74" s="42" t="n">
        <f aca="false">DATE(YEAR(B74),MONTH(B74),1)</f>
        <v>45658</v>
      </c>
      <c r="K74" s="41" t="n">
        <f aca="false">D74*E74</f>
        <v>16.68</v>
      </c>
      <c r="L74" s="41" t="n">
        <f aca="false">D74*I74</f>
        <v>6</v>
      </c>
      <c r="M74" s="41" t="n">
        <f aca="false">IFERROR(INDEX(Raw_Expenses!$C$5:$C$2979,MATCH(A74,Raw_Expenses!$A$5:$A$2979,0)),0)</f>
        <v>1.31</v>
      </c>
      <c r="N74" s="41" t="n">
        <f aca="false">L74+M74</f>
        <v>7.31</v>
      </c>
      <c r="O74" s="41" t="n">
        <f aca="false">K74-N74</f>
        <v>9.37</v>
      </c>
      <c r="P74" s="43" t="n">
        <f aca="false">IF(K74=0,0,O74/K74)</f>
        <v>0.561750599520384</v>
      </c>
    </row>
    <row r="75" customFormat="false" ht="15" hidden="false" customHeight="false" outlineLevel="0" collapsed="false">
      <c r="A75" s="39" t="s">
        <v>196</v>
      </c>
      <c r="B75" s="40" t="n">
        <v>45667</v>
      </c>
      <c r="C75" s="39" t="s">
        <v>133</v>
      </c>
      <c r="D75" s="39" t="n">
        <v>1</v>
      </c>
      <c r="E75" s="41" t="n">
        <v>8.69</v>
      </c>
      <c r="F75" s="39" t="s">
        <v>115</v>
      </c>
      <c r="G75" s="39" t="str">
        <f aca="false">VLOOKUP(C75,Products!$A$5:$D$24,2,FALSE())</f>
        <v>Printer Paper Ream</v>
      </c>
      <c r="H75" s="39" t="str">
        <f aca="false">VLOOKUP(C75,Products!$A$5:$D$24,3,FALSE())</f>
        <v>Stationery</v>
      </c>
      <c r="I75" s="41" t="n">
        <f aca="false">VLOOKUP(C75,Products!$A$5:$D$24,4,FALSE())</f>
        <v>4</v>
      </c>
      <c r="J75" s="42" t="n">
        <f aca="false">DATE(YEAR(B75),MONTH(B75),1)</f>
        <v>45658</v>
      </c>
      <c r="K75" s="41" t="n">
        <f aca="false">D75*E75</f>
        <v>8.69</v>
      </c>
      <c r="L75" s="41" t="n">
        <f aca="false">D75*I75</f>
        <v>4</v>
      </c>
      <c r="M75" s="41" t="n">
        <f aca="false">IFERROR(INDEX(Raw_Expenses!$C$5:$C$2979,MATCH(A75,Raw_Expenses!$A$5:$A$2979,0)),0)</f>
        <v>0.5</v>
      </c>
      <c r="N75" s="41" t="n">
        <f aca="false">L75+M75</f>
        <v>4.5</v>
      </c>
      <c r="O75" s="41" t="n">
        <f aca="false">K75-N75</f>
        <v>4.19</v>
      </c>
      <c r="P75" s="43" t="n">
        <f aca="false">IF(K75=0,0,O75/K75)</f>
        <v>0.482163406214039</v>
      </c>
    </row>
    <row r="76" customFormat="false" ht="15" hidden="false" customHeight="false" outlineLevel="0" collapsed="false">
      <c r="A76" s="39" t="s">
        <v>197</v>
      </c>
      <c r="B76" s="40" t="n">
        <v>45667</v>
      </c>
      <c r="C76" s="39" t="s">
        <v>107</v>
      </c>
      <c r="D76" s="39" t="n">
        <v>4</v>
      </c>
      <c r="E76" s="41" t="n">
        <v>34.51</v>
      </c>
      <c r="F76" s="39" t="s">
        <v>118</v>
      </c>
      <c r="G76" s="39" t="str">
        <f aca="false">VLOOKUP(C76,Products!$A$5:$D$24,2,FALSE())</f>
        <v>USB-C Hub</v>
      </c>
      <c r="H76" s="39" t="str">
        <f aca="false">VLOOKUP(C76,Products!$A$5:$D$24,3,FALSE())</f>
        <v>Electronics</v>
      </c>
      <c r="I76" s="41" t="n">
        <f aca="false">VLOOKUP(C76,Products!$A$5:$D$24,4,FALSE())</f>
        <v>14</v>
      </c>
      <c r="J76" s="42" t="n">
        <f aca="false">DATE(YEAR(B76),MONTH(B76),1)</f>
        <v>45658</v>
      </c>
      <c r="K76" s="41" t="n">
        <f aca="false">D76*E76</f>
        <v>138.04</v>
      </c>
      <c r="L76" s="41" t="n">
        <f aca="false">D76*I76</f>
        <v>56</v>
      </c>
      <c r="M76" s="41" t="n">
        <f aca="false">IFERROR(INDEX(Raw_Expenses!$C$5:$C$2979,MATCH(A76,Raw_Expenses!$A$5:$A$2979,0)),0)</f>
        <v>12.21</v>
      </c>
      <c r="N76" s="41" t="n">
        <f aca="false">L76+M76</f>
        <v>68.21</v>
      </c>
      <c r="O76" s="41" t="n">
        <f aca="false">K76-N76</f>
        <v>69.83</v>
      </c>
      <c r="P76" s="43" t="n">
        <f aca="false">IF(K76=0,0,O76/K76)</f>
        <v>0.505867864387134</v>
      </c>
    </row>
    <row r="77" customFormat="false" ht="15" hidden="false" customHeight="false" outlineLevel="0" collapsed="false">
      <c r="A77" s="39" t="s">
        <v>198</v>
      </c>
      <c r="B77" s="40" t="n">
        <v>45667</v>
      </c>
      <c r="C77" s="39" t="s">
        <v>162</v>
      </c>
      <c r="D77" s="39" t="n">
        <v>2</v>
      </c>
      <c r="E77" s="41" t="n">
        <v>64.28</v>
      </c>
      <c r="F77" s="39" t="s">
        <v>105</v>
      </c>
      <c r="G77" s="39" t="str">
        <f aca="false">VLOOKUP(C77,Products!$A$5:$D$24,2,FALSE())</f>
        <v>Bluetooth Speaker</v>
      </c>
      <c r="H77" s="39" t="str">
        <f aca="false">VLOOKUP(C77,Products!$A$5:$D$24,3,FALSE())</f>
        <v>Electronics</v>
      </c>
      <c r="I77" s="41" t="n">
        <f aca="false">VLOOKUP(C77,Products!$A$5:$D$24,4,FALSE())</f>
        <v>28</v>
      </c>
      <c r="J77" s="42" t="n">
        <f aca="false">DATE(YEAR(B77),MONTH(B77),1)</f>
        <v>45658</v>
      </c>
      <c r="K77" s="41" t="n">
        <f aca="false">D77*E77</f>
        <v>128.56</v>
      </c>
      <c r="L77" s="41" t="n">
        <f aca="false">D77*I77</f>
        <v>56</v>
      </c>
      <c r="M77" s="41" t="n">
        <f aca="false">IFERROR(INDEX(Raw_Expenses!$C$5:$C$2979,MATCH(A77,Raw_Expenses!$A$5:$A$2979,0)),0)</f>
        <v>11.3</v>
      </c>
      <c r="N77" s="41" t="n">
        <f aca="false">L77+M77</f>
        <v>67.3</v>
      </c>
      <c r="O77" s="41" t="n">
        <f aca="false">K77-N77</f>
        <v>61.26</v>
      </c>
      <c r="P77" s="43" t="n">
        <f aca="false">IF(K77=0,0,O77/K77)</f>
        <v>0.476509023024269</v>
      </c>
    </row>
    <row r="78" customFormat="false" ht="15" hidden="false" customHeight="false" outlineLevel="0" collapsed="false">
      <c r="A78" s="39" t="s">
        <v>199</v>
      </c>
      <c r="B78" s="40" t="n">
        <v>45667</v>
      </c>
      <c r="C78" s="39" t="s">
        <v>153</v>
      </c>
      <c r="D78" s="39" t="n">
        <v>5</v>
      </c>
      <c r="E78" s="41" t="n">
        <v>175.17</v>
      </c>
      <c r="F78" s="39" t="s">
        <v>105</v>
      </c>
      <c r="G78" s="39" t="str">
        <f aca="false">VLOOKUP(C78,Products!$A$5:$D$24,2,FALSE())</f>
        <v>24-inch Monitor</v>
      </c>
      <c r="H78" s="39" t="str">
        <f aca="false">VLOOKUP(C78,Products!$A$5:$D$24,3,FALSE())</f>
        <v>Electronics</v>
      </c>
      <c r="I78" s="41" t="n">
        <f aca="false">VLOOKUP(C78,Products!$A$5:$D$24,4,FALSE())</f>
        <v>90</v>
      </c>
      <c r="J78" s="42" t="n">
        <f aca="false">DATE(YEAR(B78),MONTH(B78),1)</f>
        <v>45658</v>
      </c>
      <c r="K78" s="41" t="n">
        <f aca="false">D78*E78</f>
        <v>875.85</v>
      </c>
      <c r="L78" s="41" t="n">
        <f aca="false">D78*I78</f>
        <v>450</v>
      </c>
      <c r="M78" s="41" t="n">
        <f aca="false">IFERROR(INDEX(Raw_Expenses!$C$5:$C$2979,MATCH(A78,Raw_Expenses!$A$5:$A$2979,0)),0)</f>
        <v>70.87</v>
      </c>
      <c r="N78" s="41" t="n">
        <f aca="false">L78+M78</f>
        <v>520.87</v>
      </c>
      <c r="O78" s="41" t="n">
        <f aca="false">K78-N78</f>
        <v>354.98</v>
      </c>
      <c r="P78" s="43" t="n">
        <f aca="false">IF(K78=0,0,O78/K78)</f>
        <v>0.405297710795227</v>
      </c>
    </row>
    <row r="79" customFormat="false" ht="15" hidden="false" customHeight="false" outlineLevel="0" collapsed="false">
      <c r="A79" s="39" t="s">
        <v>200</v>
      </c>
      <c r="B79" s="40" t="n">
        <v>45667</v>
      </c>
      <c r="C79" s="39" t="s">
        <v>139</v>
      </c>
      <c r="D79" s="39" t="n">
        <v>5</v>
      </c>
      <c r="E79" s="41" t="n">
        <v>120.06</v>
      </c>
      <c r="F79" s="39" t="s">
        <v>108</v>
      </c>
      <c r="G79" s="39" t="str">
        <f aca="false">VLOOKUP(C79,Products!$A$5:$D$24,2,FALSE())</f>
        <v>Noise-Cancelling Headphones</v>
      </c>
      <c r="H79" s="39" t="str">
        <f aca="false">VLOOKUP(C79,Products!$A$5:$D$24,3,FALSE())</f>
        <v>Electronics</v>
      </c>
      <c r="I79" s="41" t="n">
        <f aca="false">VLOOKUP(C79,Products!$A$5:$D$24,4,FALSE())</f>
        <v>55</v>
      </c>
      <c r="J79" s="42" t="n">
        <f aca="false">DATE(YEAR(B79),MONTH(B79),1)</f>
        <v>45658</v>
      </c>
      <c r="K79" s="41" t="n">
        <f aca="false">D79*E79</f>
        <v>600.3</v>
      </c>
      <c r="L79" s="41" t="n">
        <f aca="false">D79*I79</f>
        <v>275</v>
      </c>
      <c r="M79" s="41" t="n">
        <f aca="false">IFERROR(INDEX(Raw_Expenses!$C$5:$C$2979,MATCH(A79,Raw_Expenses!$A$5:$A$2979,0)),0)</f>
        <v>38.37</v>
      </c>
      <c r="N79" s="41" t="n">
        <f aca="false">L79+M79</f>
        <v>313.37</v>
      </c>
      <c r="O79" s="41" t="n">
        <f aca="false">K79-N79</f>
        <v>286.93</v>
      </c>
      <c r="P79" s="43" t="n">
        <f aca="false">IF(K79=0,0,O79/K79)</f>
        <v>0.477977677827753</v>
      </c>
    </row>
    <row r="80" customFormat="false" ht="15" hidden="false" customHeight="false" outlineLevel="0" collapsed="false">
      <c r="A80" s="39" t="s">
        <v>201</v>
      </c>
      <c r="B80" s="40" t="n">
        <v>45667</v>
      </c>
      <c r="C80" s="39" t="s">
        <v>107</v>
      </c>
      <c r="D80" s="39" t="n">
        <v>4</v>
      </c>
      <c r="E80" s="41" t="n">
        <v>34.96</v>
      </c>
      <c r="F80" s="39" t="s">
        <v>105</v>
      </c>
      <c r="G80" s="39" t="str">
        <f aca="false">VLOOKUP(C80,Products!$A$5:$D$24,2,FALSE())</f>
        <v>USB-C Hub</v>
      </c>
      <c r="H80" s="39" t="str">
        <f aca="false">VLOOKUP(C80,Products!$A$5:$D$24,3,FALSE())</f>
        <v>Electronics</v>
      </c>
      <c r="I80" s="41" t="n">
        <f aca="false">VLOOKUP(C80,Products!$A$5:$D$24,4,FALSE())</f>
        <v>14</v>
      </c>
      <c r="J80" s="42" t="n">
        <f aca="false">DATE(YEAR(B80),MONTH(B80),1)</f>
        <v>45658</v>
      </c>
      <c r="K80" s="41" t="n">
        <f aca="false">D80*E80</f>
        <v>139.84</v>
      </c>
      <c r="L80" s="41" t="n">
        <f aca="false">D80*I80</f>
        <v>56</v>
      </c>
      <c r="M80" s="41" t="n">
        <f aca="false">IFERROR(INDEX(Raw_Expenses!$C$5:$C$2979,MATCH(A80,Raw_Expenses!$A$5:$A$2979,0)),0)</f>
        <v>12.37</v>
      </c>
      <c r="N80" s="41" t="n">
        <f aca="false">L80+M80</f>
        <v>68.37</v>
      </c>
      <c r="O80" s="41" t="n">
        <f aca="false">K80-N80</f>
        <v>71.47</v>
      </c>
      <c r="P80" s="43" t="n">
        <f aca="false">IF(K80=0,0,O80/K80)</f>
        <v>0.51108409610984</v>
      </c>
    </row>
    <row r="81" customFormat="false" ht="15" hidden="false" customHeight="false" outlineLevel="0" collapsed="false">
      <c r="A81" s="39" t="s">
        <v>202</v>
      </c>
      <c r="B81" s="40" t="n">
        <v>45667</v>
      </c>
      <c r="C81" s="39" t="s">
        <v>133</v>
      </c>
      <c r="D81" s="39" t="n">
        <v>1</v>
      </c>
      <c r="E81" s="41" t="n">
        <v>8.53</v>
      </c>
      <c r="F81" s="39" t="s">
        <v>115</v>
      </c>
      <c r="G81" s="39" t="str">
        <f aca="false">VLOOKUP(C81,Products!$A$5:$D$24,2,FALSE())</f>
        <v>Printer Paper Ream</v>
      </c>
      <c r="H81" s="39" t="str">
        <f aca="false">VLOOKUP(C81,Products!$A$5:$D$24,3,FALSE())</f>
        <v>Stationery</v>
      </c>
      <c r="I81" s="41" t="n">
        <f aca="false">VLOOKUP(C81,Products!$A$5:$D$24,4,FALSE())</f>
        <v>4</v>
      </c>
      <c r="J81" s="42" t="n">
        <f aca="false">DATE(YEAR(B81),MONTH(B81),1)</f>
        <v>45658</v>
      </c>
      <c r="K81" s="41" t="n">
        <f aca="false">D81*E81</f>
        <v>8.53</v>
      </c>
      <c r="L81" s="41" t="n">
        <f aca="false">D81*I81</f>
        <v>4</v>
      </c>
      <c r="M81" s="41" t="n">
        <f aca="false">IFERROR(INDEX(Raw_Expenses!$C$5:$C$2979,MATCH(A81,Raw_Expenses!$A$5:$A$2979,0)),0)</f>
        <v>0.39</v>
      </c>
      <c r="N81" s="41" t="n">
        <f aca="false">L81+M81</f>
        <v>4.39</v>
      </c>
      <c r="O81" s="41" t="n">
        <f aca="false">K81-N81</f>
        <v>4.14</v>
      </c>
      <c r="P81" s="43" t="n">
        <f aca="false">IF(K81=0,0,O81/K81)</f>
        <v>0.485345838218054</v>
      </c>
    </row>
    <row r="82" customFormat="false" ht="15" hidden="false" customHeight="false" outlineLevel="0" collapsed="false">
      <c r="A82" s="39" t="s">
        <v>203</v>
      </c>
      <c r="B82" s="40" t="n">
        <v>45668</v>
      </c>
      <c r="C82" s="39" t="s">
        <v>136</v>
      </c>
      <c r="D82" s="39" t="n">
        <v>3</v>
      </c>
      <c r="E82" s="41" t="n">
        <v>73.12</v>
      </c>
      <c r="F82" s="39" t="s">
        <v>105</v>
      </c>
      <c r="G82" s="39" t="str">
        <f aca="false">VLOOKUP(C82,Products!$A$5:$D$24,2,FALSE())</f>
        <v>Mechanical Keyboard</v>
      </c>
      <c r="H82" s="39" t="str">
        <f aca="false">VLOOKUP(C82,Products!$A$5:$D$24,3,FALSE())</f>
        <v>Electronics</v>
      </c>
      <c r="I82" s="41" t="n">
        <f aca="false">VLOOKUP(C82,Products!$A$5:$D$24,4,FALSE())</f>
        <v>38</v>
      </c>
      <c r="J82" s="42" t="n">
        <f aca="false">DATE(YEAR(B82),MONTH(B82),1)</f>
        <v>45658</v>
      </c>
      <c r="K82" s="41" t="n">
        <f aca="false">D82*E82</f>
        <v>219.36</v>
      </c>
      <c r="L82" s="41" t="n">
        <f aca="false">D82*I82</f>
        <v>114</v>
      </c>
      <c r="M82" s="41" t="n">
        <f aca="false">IFERROR(INDEX(Raw_Expenses!$C$5:$C$2979,MATCH(A82,Raw_Expenses!$A$5:$A$2979,0)),0)</f>
        <v>9.59</v>
      </c>
      <c r="N82" s="41" t="n">
        <f aca="false">L82+M82</f>
        <v>123.59</v>
      </c>
      <c r="O82" s="41" t="n">
        <f aca="false">K82-N82</f>
        <v>95.77</v>
      </c>
      <c r="P82" s="43" t="n">
        <f aca="false">IF(K82=0,0,O82/K82)</f>
        <v>0.4365882567469</v>
      </c>
    </row>
    <row r="83" customFormat="false" ht="15" hidden="false" customHeight="false" outlineLevel="0" collapsed="false">
      <c r="A83" s="39" t="s">
        <v>204</v>
      </c>
      <c r="B83" s="40" t="n">
        <v>45668</v>
      </c>
      <c r="C83" s="39" t="s">
        <v>177</v>
      </c>
      <c r="D83" s="39" t="n">
        <v>1</v>
      </c>
      <c r="E83" s="41" t="n">
        <v>44.65</v>
      </c>
      <c r="F83" s="39" t="s">
        <v>105</v>
      </c>
      <c r="G83" s="39" t="str">
        <f aca="false">VLOOKUP(C83,Products!$A$5:$D$24,2,FALSE())</f>
        <v>Backpack</v>
      </c>
      <c r="H83" s="39" t="str">
        <f aca="false">VLOOKUP(C83,Products!$A$5:$D$24,3,FALSE())</f>
        <v>Accessories</v>
      </c>
      <c r="I83" s="41" t="n">
        <f aca="false">VLOOKUP(C83,Products!$A$5:$D$24,4,FALSE())</f>
        <v>17</v>
      </c>
      <c r="J83" s="42" t="n">
        <f aca="false">DATE(YEAR(B83),MONTH(B83),1)</f>
        <v>45658</v>
      </c>
      <c r="K83" s="41" t="n">
        <f aca="false">D83*E83</f>
        <v>44.65</v>
      </c>
      <c r="L83" s="41" t="n">
        <f aca="false">D83*I83</f>
        <v>17</v>
      </c>
      <c r="M83" s="41" t="n">
        <f aca="false">IFERROR(INDEX(Raw_Expenses!$C$5:$C$2979,MATCH(A83,Raw_Expenses!$A$5:$A$2979,0)),0)</f>
        <v>2.01</v>
      </c>
      <c r="N83" s="41" t="n">
        <f aca="false">L83+M83</f>
        <v>19.01</v>
      </c>
      <c r="O83" s="41" t="n">
        <f aca="false">K83-N83</f>
        <v>25.64</v>
      </c>
      <c r="P83" s="43" t="n">
        <f aca="false">IF(K83=0,0,O83/K83)</f>
        <v>0.57424412094065</v>
      </c>
    </row>
    <row r="84" customFormat="false" ht="15" hidden="false" customHeight="false" outlineLevel="0" collapsed="false">
      <c r="A84" s="39" t="s">
        <v>205</v>
      </c>
      <c r="B84" s="40" t="n">
        <v>45668</v>
      </c>
      <c r="C84" s="39" t="s">
        <v>104</v>
      </c>
      <c r="D84" s="39" t="n">
        <v>5</v>
      </c>
      <c r="E84" s="41" t="n">
        <v>15.05</v>
      </c>
      <c r="F84" s="39" t="s">
        <v>118</v>
      </c>
      <c r="G84" s="39" t="str">
        <f aca="false">VLOOKUP(C84,Products!$A$5:$D$24,2,FALSE())</f>
        <v>Water Bottle</v>
      </c>
      <c r="H84" s="39" t="str">
        <f aca="false">VLOOKUP(C84,Products!$A$5:$D$24,3,FALSE())</f>
        <v>Accessories</v>
      </c>
      <c r="I84" s="41" t="n">
        <f aca="false">VLOOKUP(C84,Products!$A$5:$D$24,4,FALSE())</f>
        <v>5</v>
      </c>
      <c r="J84" s="42" t="n">
        <f aca="false">DATE(YEAR(B84),MONTH(B84),1)</f>
        <v>45658</v>
      </c>
      <c r="K84" s="41" t="n">
        <f aca="false">D84*E84</f>
        <v>75.25</v>
      </c>
      <c r="L84" s="41" t="n">
        <f aca="false">D84*I84</f>
        <v>25</v>
      </c>
      <c r="M84" s="41" t="n">
        <f aca="false">IFERROR(INDEX(Raw_Expenses!$C$5:$C$2979,MATCH(A84,Raw_Expenses!$A$5:$A$2979,0)),0)</f>
        <v>5.61</v>
      </c>
      <c r="N84" s="41" t="n">
        <f aca="false">L84+M84</f>
        <v>30.61</v>
      </c>
      <c r="O84" s="41" t="n">
        <f aca="false">K84-N84</f>
        <v>44.64</v>
      </c>
      <c r="P84" s="43" t="n">
        <f aca="false">IF(K84=0,0,O84/K84)</f>
        <v>0.593222591362126</v>
      </c>
    </row>
    <row r="85" customFormat="false" ht="15" hidden="false" customHeight="false" outlineLevel="0" collapsed="false">
      <c r="A85" s="39" t="s">
        <v>206</v>
      </c>
      <c r="B85" s="40" t="n">
        <v>45668</v>
      </c>
      <c r="C85" s="39" t="s">
        <v>112</v>
      </c>
      <c r="D85" s="39" t="n">
        <v>1</v>
      </c>
      <c r="E85" s="41" t="n">
        <v>53.2</v>
      </c>
      <c r="F85" s="39" t="s">
        <v>118</v>
      </c>
      <c r="G85" s="39" t="str">
        <f aca="false">VLOOKUP(C85,Products!$A$5:$D$24,2,FALSE())</f>
        <v>HD Webcam</v>
      </c>
      <c r="H85" s="39" t="str">
        <f aca="false">VLOOKUP(C85,Products!$A$5:$D$24,3,FALSE())</f>
        <v>Electronics</v>
      </c>
      <c r="I85" s="41" t="n">
        <f aca="false">VLOOKUP(C85,Products!$A$5:$D$24,4,FALSE())</f>
        <v>22</v>
      </c>
      <c r="J85" s="42" t="n">
        <f aca="false">DATE(YEAR(B85),MONTH(B85),1)</f>
        <v>45658</v>
      </c>
      <c r="K85" s="41" t="n">
        <f aca="false">D85*E85</f>
        <v>53.2</v>
      </c>
      <c r="L85" s="41" t="n">
        <f aca="false">D85*I85</f>
        <v>22</v>
      </c>
      <c r="M85" s="41" t="n">
        <f aca="false">IFERROR(INDEX(Raw_Expenses!$C$5:$C$2979,MATCH(A85,Raw_Expenses!$A$5:$A$2979,0)),0)</f>
        <v>3.61</v>
      </c>
      <c r="N85" s="41" t="n">
        <f aca="false">L85+M85</f>
        <v>25.61</v>
      </c>
      <c r="O85" s="41" t="n">
        <f aca="false">K85-N85</f>
        <v>27.59</v>
      </c>
      <c r="P85" s="43" t="n">
        <f aca="false">IF(K85=0,0,O85/K85)</f>
        <v>0.518609022556391</v>
      </c>
    </row>
    <row r="86" customFormat="false" ht="15" hidden="false" customHeight="false" outlineLevel="0" collapsed="false">
      <c r="A86" s="39" t="s">
        <v>207</v>
      </c>
      <c r="B86" s="40" t="n">
        <v>45668</v>
      </c>
      <c r="C86" s="39" t="s">
        <v>153</v>
      </c>
      <c r="D86" s="39" t="n">
        <v>1</v>
      </c>
      <c r="E86" s="41" t="n">
        <v>169.65</v>
      </c>
      <c r="F86" s="39" t="s">
        <v>108</v>
      </c>
      <c r="G86" s="39" t="str">
        <f aca="false">VLOOKUP(C86,Products!$A$5:$D$24,2,FALSE())</f>
        <v>24-inch Monitor</v>
      </c>
      <c r="H86" s="39" t="str">
        <f aca="false">VLOOKUP(C86,Products!$A$5:$D$24,3,FALSE())</f>
        <v>Electronics</v>
      </c>
      <c r="I86" s="41" t="n">
        <f aca="false">VLOOKUP(C86,Products!$A$5:$D$24,4,FALSE())</f>
        <v>90</v>
      </c>
      <c r="J86" s="42" t="n">
        <f aca="false">DATE(YEAR(B86),MONTH(B86),1)</f>
        <v>45658</v>
      </c>
      <c r="K86" s="41" t="n">
        <f aca="false">D86*E86</f>
        <v>169.65</v>
      </c>
      <c r="L86" s="41" t="n">
        <f aca="false">D86*I86</f>
        <v>90</v>
      </c>
      <c r="M86" s="41" t="n">
        <f aca="false">IFERROR(INDEX(Raw_Expenses!$C$5:$C$2979,MATCH(A86,Raw_Expenses!$A$5:$A$2979,0)),0)</f>
        <v>12.59</v>
      </c>
      <c r="N86" s="41" t="n">
        <f aca="false">L86+M86</f>
        <v>102.59</v>
      </c>
      <c r="O86" s="41" t="n">
        <f aca="false">K86-N86</f>
        <v>67.06</v>
      </c>
      <c r="P86" s="43" t="n">
        <f aca="false">IF(K86=0,0,O86/K86)</f>
        <v>0.395284409077513</v>
      </c>
    </row>
    <row r="87" customFormat="false" ht="15" hidden="false" customHeight="false" outlineLevel="0" collapsed="false">
      <c r="A87" s="39" t="s">
        <v>208</v>
      </c>
      <c r="B87" s="40" t="n">
        <v>45668</v>
      </c>
      <c r="C87" s="39" t="s">
        <v>112</v>
      </c>
      <c r="D87" s="39" t="n">
        <v>5</v>
      </c>
      <c r="E87" s="41" t="n">
        <v>53.24</v>
      </c>
      <c r="F87" s="39" t="s">
        <v>108</v>
      </c>
      <c r="G87" s="39" t="str">
        <f aca="false">VLOOKUP(C87,Products!$A$5:$D$24,2,FALSE())</f>
        <v>HD Webcam</v>
      </c>
      <c r="H87" s="39" t="str">
        <f aca="false">VLOOKUP(C87,Products!$A$5:$D$24,3,FALSE())</f>
        <v>Electronics</v>
      </c>
      <c r="I87" s="41" t="n">
        <f aca="false">VLOOKUP(C87,Products!$A$5:$D$24,4,FALSE())</f>
        <v>22</v>
      </c>
      <c r="J87" s="42" t="n">
        <f aca="false">DATE(YEAR(B87),MONTH(B87),1)</f>
        <v>45658</v>
      </c>
      <c r="K87" s="41" t="n">
        <f aca="false">D87*E87</f>
        <v>266.2</v>
      </c>
      <c r="L87" s="41" t="n">
        <f aca="false">D87*I87</f>
        <v>110</v>
      </c>
      <c r="M87" s="41" t="n">
        <f aca="false">IFERROR(INDEX(Raw_Expenses!$C$5:$C$2979,MATCH(A87,Raw_Expenses!$A$5:$A$2979,0)),0)</f>
        <v>13.26</v>
      </c>
      <c r="N87" s="41" t="n">
        <f aca="false">L87+M87</f>
        <v>123.26</v>
      </c>
      <c r="O87" s="41" t="n">
        <f aca="false">K87-N87</f>
        <v>142.94</v>
      </c>
      <c r="P87" s="43" t="n">
        <f aca="false">IF(K87=0,0,O87/K87)</f>
        <v>0.536964688204358</v>
      </c>
    </row>
    <row r="88" customFormat="false" ht="15" hidden="false" customHeight="false" outlineLevel="0" collapsed="false">
      <c r="A88" s="39" t="s">
        <v>209</v>
      </c>
      <c r="B88" s="40" t="n">
        <v>45668</v>
      </c>
      <c r="C88" s="39" t="s">
        <v>104</v>
      </c>
      <c r="D88" s="39" t="n">
        <v>1</v>
      </c>
      <c r="E88" s="41" t="n">
        <v>15.57</v>
      </c>
      <c r="F88" s="39" t="s">
        <v>108</v>
      </c>
      <c r="G88" s="39" t="str">
        <f aca="false">VLOOKUP(C88,Products!$A$5:$D$24,2,FALSE())</f>
        <v>Water Bottle</v>
      </c>
      <c r="H88" s="39" t="str">
        <f aca="false">VLOOKUP(C88,Products!$A$5:$D$24,3,FALSE())</f>
        <v>Accessories</v>
      </c>
      <c r="I88" s="41" t="n">
        <f aca="false">VLOOKUP(C88,Products!$A$5:$D$24,4,FALSE())</f>
        <v>5</v>
      </c>
      <c r="J88" s="42" t="n">
        <f aca="false">DATE(YEAR(B88),MONTH(B88),1)</f>
        <v>45658</v>
      </c>
      <c r="K88" s="41" t="n">
        <f aca="false">D88*E88</f>
        <v>15.57</v>
      </c>
      <c r="L88" s="41" t="n">
        <f aca="false">D88*I88</f>
        <v>5</v>
      </c>
      <c r="M88" s="41" t="n">
        <f aca="false">IFERROR(INDEX(Raw_Expenses!$C$5:$C$2979,MATCH(A88,Raw_Expenses!$A$5:$A$2979,0)),0)</f>
        <v>1.08</v>
      </c>
      <c r="N88" s="41" t="n">
        <f aca="false">L88+M88</f>
        <v>6.08</v>
      </c>
      <c r="O88" s="41" t="n">
        <f aca="false">K88-N88</f>
        <v>9.49</v>
      </c>
      <c r="P88" s="43" t="n">
        <f aca="false">IF(K88=0,0,O88/K88)</f>
        <v>0.609505459216442</v>
      </c>
    </row>
    <row r="89" customFormat="false" ht="15" hidden="false" customHeight="false" outlineLevel="0" collapsed="false">
      <c r="A89" s="39" t="s">
        <v>210</v>
      </c>
      <c r="B89" s="40" t="n">
        <v>45668</v>
      </c>
      <c r="C89" s="39" t="s">
        <v>144</v>
      </c>
      <c r="D89" s="39" t="n">
        <v>1</v>
      </c>
      <c r="E89" s="41" t="n">
        <v>55.33</v>
      </c>
      <c r="F89" s="39" t="s">
        <v>108</v>
      </c>
      <c r="G89" s="39" t="str">
        <f aca="false">VLOOKUP(C89,Products!$A$5:$D$24,2,FALSE())</f>
        <v>Whiteboard</v>
      </c>
      <c r="H89" s="39" t="str">
        <f aca="false">VLOOKUP(C89,Products!$A$5:$D$24,3,FALSE())</f>
        <v>Furniture</v>
      </c>
      <c r="I89" s="41" t="n">
        <f aca="false">VLOOKUP(C89,Products!$A$5:$D$24,4,FALSE())</f>
        <v>28</v>
      </c>
      <c r="J89" s="42" t="n">
        <f aca="false">DATE(YEAR(B89),MONTH(B89),1)</f>
        <v>45658</v>
      </c>
      <c r="K89" s="41" t="n">
        <f aca="false">D89*E89</f>
        <v>55.33</v>
      </c>
      <c r="L89" s="41" t="n">
        <f aca="false">D89*I89</f>
        <v>28</v>
      </c>
      <c r="M89" s="41" t="n">
        <f aca="false">IFERROR(INDEX(Raw_Expenses!$C$5:$C$2979,MATCH(A89,Raw_Expenses!$A$5:$A$2979,0)),0)</f>
        <v>2.48</v>
      </c>
      <c r="N89" s="41" t="n">
        <f aca="false">L89+M89</f>
        <v>30.48</v>
      </c>
      <c r="O89" s="41" t="n">
        <f aca="false">K89-N89</f>
        <v>24.85</v>
      </c>
      <c r="P89" s="43" t="n">
        <f aca="false">IF(K89=0,0,O89/K89)</f>
        <v>0.449123441171155</v>
      </c>
    </row>
    <row r="90" customFormat="false" ht="15" hidden="false" customHeight="false" outlineLevel="0" collapsed="false">
      <c r="A90" s="39" t="s">
        <v>211</v>
      </c>
      <c r="B90" s="40" t="n">
        <v>45668</v>
      </c>
      <c r="C90" s="39" t="s">
        <v>114</v>
      </c>
      <c r="D90" s="39" t="n">
        <v>6</v>
      </c>
      <c r="E90" s="41" t="n">
        <v>5.76</v>
      </c>
      <c r="F90" s="39" t="s">
        <v>115</v>
      </c>
      <c r="G90" s="39" t="str">
        <f aca="false">VLOOKUP(C90,Products!$A$5:$D$24,2,FALSE())</f>
        <v>Gel Pen Pack</v>
      </c>
      <c r="H90" s="39" t="str">
        <f aca="false">VLOOKUP(C90,Products!$A$5:$D$24,3,FALSE())</f>
        <v>Stationery</v>
      </c>
      <c r="I90" s="41" t="n">
        <f aca="false">VLOOKUP(C90,Products!$A$5:$D$24,4,FALSE())</f>
        <v>2</v>
      </c>
      <c r="J90" s="42" t="n">
        <f aca="false">DATE(YEAR(B90),MONTH(B90),1)</f>
        <v>45658</v>
      </c>
      <c r="K90" s="41" t="n">
        <f aca="false">D90*E90</f>
        <v>34.56</v>
      </c>
      <c r="L90" s="41" t="n">
        <f aca="false">D90*I90</f>
        <v>12</v>
      </c>
      <c r="M90" s="41" t="n">
        <f aca="false">IFERROR(INDEX(Raw_Expenses!$C$5:$C$2979,MATCH(A90,Raw_Expenses!$A$5:$A$2979,0)),0)</f>
        <v>2.7</v>
      </c>
      <c r="N90" s="41" t="n">
        <f aca="false">L90+M90</f>
        <v>14.7</v>
      </c>
      <c r="O90" s="41" t="n">
        <f aca="false">K90-N90</f>
        <v>19.86</v>
      </c>
      <c r="P90" s="43" t="n">
        <f aca="false">IF(K90=0,0,O90/K90)</f>
        <v>0.574652777777778</v>
      </c>
    </row>
    <row r="91" customFormat="false" ht="15" hidden="false" customHeight="false" outlineLevel="0" collapsed="false">
      <c r="A91" s="39" t="s">
        <v>212</v>
      </c>
      <c r="B91" s="40" t="n">
        <v>45669</v>
      </c>
      <c r="C91" s="39" t="s">
        <v>112</v>
      </c>
      <c r="D91" s="39" t="n">
        <v>6</v>
      </c>
      <c r="E91" s="41" t="n">
        <v>55</v>
      </c>
      <c r="F91" s="39" t="s">
        <v>118</v>
      </c>
      <c r="G91" s="39" t="str">
        <f aca="false">VLOOKUP(C91,Products!$A$5:$D$24,2,FALSE())</f>
        <v>HD Webcam</v>
      </c>
      <c r="H91" s="39" t="str">
        <f aca="false">VLOOKUP(C91,Products!$A$5:$D$24,3,FALSE())</f>
        <v>Electronics</v>
      </c>
      <c r="I91" s="41" t="n">
        <f aca="false">VLOOKUP(C91,Products!$A$5:$D$24,4,FALSE())</f>
        <v>22</v>
      </c>
      <c r="J91" s="42" t="n">
        <f aca="false">DATE(YEAR(B91),MONTH(B91),1)</f>
        <v>45658</v>
      </c>
      <c r="K91" s="41" t="n">
        <f aca="false">D91*E91</f>
        <v>330</v>
      </c>
      <c r="L91" s="41" t="n">
        <f aca="false">D91*I91</f>
        <v>132</v>
      </c>
      <c r="M91" s="41" t="n">
        <f aca="false">IFERROR(INDEX(Raw_Expenses!$C$5:$C$2979,MATCH(A91,Raw_Expenses!$A$5:$A$2979,0)),0)</f>
        <v>21.37</v>
      </c>
      <c r="N91" s="41" t="n">
        <f aca="false">L91+M91</f>
        <v>153.37</v>
      </c>
      <c r="O91" s="41" t="n">
        <f aca="false">K91-N91</f>
        <v>176.63</v>
      </c>
      <c r="P91" s="43" t="n">
        <f aca="false">IF(K91=0,0,O91/K91)</f>
        <v>0.535242424242424</v>
      </c>
    </row>
    <row r="92" customFormat="false" ht="15" hidden="false" customHeight="false" outlineLevel="0" collapsed="false">
      <c r="A92" s="39" t="s">
        <v>213</v>
      </c>
      <c r="B92" s="40" t="n">
        <v>45669</v>
      </c>
      <c r="C92" s="39" t="s">
        <v>126</v>
      </c>
      <c r="D92" s="39" t="n">
        <v>4</v>
      </c>
      <c r="E92" s="41" t="n">
        <v>23.5</v>
      </c>
      <c r="F92" s="39" t="s">
        <v>105</v>
      </c>
      <c r="G92" s="39" t="str">
        <f aca="false">VLOOKUP(C92,Products!$A$5:$D$24,2,FALSE())</f>
        <v>Wireless Mouse</v>
      </c>
      <c r="H92" s="39" t="str">
        <f aca="false">VLOOKUP(C92,Products!$A$5:$D$24,3,FALSE())</f>
        <v>Electronics</v>
      </c>
      <c r="I92" s="41" t="n">
        <f aca="false">VLOOKUP(C92,Products!$A$5:$D$24,4,FALSE())</f>
        <v>12</v>
      </c>
      <c r="J92" s="42" t="n">
        <f aca="false">DATE(YEAR(B92),MONTH(B92),1)</f>
        <v>45658</v>
      </c>
      <c r="K92" s="41" t="n">
        <f aca="false">D92*E92</f>
        <v>94</v>
      </c>
      <c r="L92" s="41" t="n">
        <f aca="false">D92*I92</f>
        <v>48</v>
      </c>
      <c r="M92" s="41" t="n">
        <f aca="false">IFERROR(INDEX(Raw_Expenses!$C$5:$C$2979,MATCH(A92,Raw_Expenses!$A$5:$A$2979,0)),0)</f>
        <v>6.15</v>
      </c>
      <c r="N92" s="41" t="n">
        <f aca="false">L92+M92</f>
        <v>54.15</v>
      </c>
      <c r="O92" s="41" t="n">
        <f aca="false">K92-N92</f>
        <v>39.85</v>
      </c>
      <c r="P92" s="43" t="n">
        <f aca="false">IF(K92=0,0,O92/K92)</f>
        <v>0.423936170212766</v>
      </c>
    </row>
    <row r="93" customFormat="false" ht="15" hidden="false" customHeight="false" outlineLevel="0" collapsed="false">
      <c r="A93" s="39" t="s">
        <v>214</v>
      </c>
      <c r="B93" s="40" t="n">
        <v>45669</v>
      </c>
      <c r="C93" s="39" t="s">
        <v>162</v>
      </c>
      <c r="D93" s="39" t="n">
        <v>1</v>
      </c>
      <c r="E93" s="41" t="n">
        <v>67</v>
      </c>
      <c r="F93" s="39" t="s">
        <v>118</v>
      </c>
      <c r="G93" s="39" t="str">
        <f aca="false">VLOOKUP(C93,Products!$A$5:$D$24,2,FALSE())</f>
        <v>Bluetooth Speaker</v>
      </c>
      <c r="H93" s="39" t="str">
        <f aca="false">VLOOKUP(C93,Products!$A$5:$D$24,3,FALSE())</f>
        <v>Electronics</v>
      </c>
      <c r="I93" s="41" t="n">
        <f aca="false">VLOOKUP(C93,Products!$A$5:$D$24,4,FALSE())</f>
        <v>28</v>
      </c>
      <c r="J93" s="42" t="n">
        <f aca="false">DATE(YEAR(B93),MONTH(B93),1)</f>
        <v>45658</v>
      </c>
      <c r="K93" s="41" t="n">
        <f aca="false">D93*E93</f>
        <v>67</v>
      </c>
      <c r="L93" s="41" t="n">
        <f aca="false">D93*I93</f>
        <v>28</v>
      </c>
      <c r="M93" s="41" t="n">
        <f aca="false">IFERROR(INDEX(Raw_Expenses!$C$5:$C$2979,MATCH(A93,Raw_Expenses!$A$5:$A$2979,0)),0)</f>
        <v>6.01</v>
      </c>
      <c r="N93" s="41" t="n">
        <f aca="false">L93+M93</f>
        <v>34.01</v>
      </c>
      <c r="O93" s="41" t="n">
        <f aca="false">K93-N93</f>
        <v>32.99</v>
      </c>
      <c r="P93" s="43" t="n">
        <f aca="false">IF(K93=0,0,O93/K93)</f>
        <v>0.492388059701493</v>
      </c>
    </row>
    <row r="94" customFormat="false" ht="15" hidden="false" customHeight="false" outlineLevel="0" collapsed="false">
      <c r="A94" s="39" t="s">
        <v>215</v>
      </c>
      <c r="B94" s="40" t="n">
        <v>45670</v>
      </c>
      <c r="C94" s="39" t="s">
        <v>104</v>
      </c>
      <c r="D94" s="39" t="n">
        <v>1</v>
      </c>
      <c r="E94" s="41" t="n">
        <v>15.76</v>
      </c>
      <c r="F94" s="39" t="s">
        <v>108</v>
      </c>
      <c r="G94" s="39" t="str">
        <f aca="false">VLOOKUP(C94,Products!$A$5:$D$24,2,FALSE())</f>
        <v>Water Bottle</v>
      </c>
      <c r="H94" s="39" t="str">
        <f aca="false">VLOOKUP(C94,Products!$A$5:$D$24,3,FALSE())</f>
        <v>Accessories</v>
      </c>
      <c r="I94" s="41" t="n">
        <f aca="false">VLOOKUP(C94,Products!$A$5:$D$24,4,FALSE())</f>
        <v>5</v>
      </c>
      <c r="J94" s="42" t="n">
        <f aca="false">DATE(YEAR(B94),MONTH(B94),1)</f>
        <v>45658</v>
      </c>
      <c r="K94" s="41" t="n">
        <f aca="false">D94*E94</f>
        <v>15.76</v>
      </c>
      <c r="L94" s="41" t="n">
        <f aca="false">D94*I94</f>
        <v>5</v>
      </c>
      <c r="M94" s="41" t="n">
        <f aca="false">IFERROR(INDEX(Raw_Expenses!$C$5:$C$2979,MATCH(A94,Raw_Expenses!$A$5:$A$2979,0)),0)</f>
        <v>0.88</v>
      </c>
      <c r="N94" s="41" t="n">
        <f aca="false">L94+M94</f>
        <v>5.88</v>
      </c>
      <c r="O94" s="41" t="n">
        <f aca="false">K94-N94</f>
        <v>9.88</v>
      </c>
      <c r="P94" s="43" t="n">
        <f aca="false">IF(K94=0,0,O94/K94)</f>
        <v>0.626903553299492</v>
      </c>
    </row>
    <row r="95" customFormat="false" ht="15" hidden="false" customHeight="false" outlineLevel="0" collapsed="false">
      <c r="A95" s="39" t="s">
        <v>216</v>
      </c>
      <c r="B95" s="40" t="n">
        <v>45670</v>
      </c>
      <c r="C95" s="39" t="s">
        <v>130</v>
      </c>
      <c r="D95" s="39" t="n">
        <v>2</v>
      </c>
      <c r="E95" s="41" t="n">
        <v>8.65</v>
      </c>
      <c r="F95" s="39" t="s">
        <v>115</v>
      </c>
      <c r="G95" s="39" t="str">
        <f aca="false">VLOOKUP(C95,Products!$A$5:$D$24,2,FALSE())</f>
        <v>Notebook Set</v>
      </c>
      <c r="H95" s="39" t="str">
        <f aca="false">VLOOKUP(C95,Products!$A$5:$D$24,3,FALSE())</f>
        <v>Stationery</v>
      </c>
      <c r="I95" s="41" t="n">
        <f aca="false">VLOOKUP(C95,Products!$A$5:$D$24,4,FALSE())</f>
        <v>3</v>
      </c>
      <c r="J95" s="42" t="n">
        <f aca="false">DATE(YEAR(B95),MONTH(B95),1)</f>
        <v>45658</v>
      </c>
      <c r="K95" s="41" t="n">
        <f aca="false">D95*E95</f>
        <v>17.3</v>
      </c>
      <c r="L95" s="41" t="n">
        <f aca="false">D95*I95</f>
        <v>6</v>
      </c>
      <c r="M95" s="41" t="n">
        <f aca="false">IFERROR(INDEX(Raw_Expenses!$C$5:$C$2979,MATCH(A95,Raw_Expenses!$A$5:$A$2979,0)),0)</f>
        <v>1.37</v>
      </c>
      <c r="N95" s="41" t="n">
        <f aca="false">L95+M95</f>
        <v>7.37</v>
      </c>
      <c r="O95" s="41" t="n">
        <f aca="false">K95-N95</f>
        <v>9.93</v>
      </c>
      <c r="P95" s="43" t="n">
        <f aca="false">IF(K95=0,0,O95/K95)</f>
        <v>0.573988439306358</v>
      </c>
    </row>
    <row r="96" customFormat="false" ht="15" hidden="false" customHeight="false" outlineLevel="0" collapsed="false">
      <c r="A96" s="39" t="s">
        <v>217</v>
      </c>
      <c r="B96" s="40" t="n">
        <v>45670</v>
      </c>
      <c r="C96" s="39" t="s">
        <v>126</v>
      </c>
      <c r="D96" s="39" t="n">
        <v>3</v>
      </c>
      <c r="E96" s="41" t="n">
        <v>24.16</v>
      </c>
      <c r="F96" s="39" t="s">
        <v>105</v>
      </c>
      <c r="G96" s="39" t="str">
        <f aca="false">VLOOKUP(C96,Products!$A$5:$D$24,2,FALSE())</f>
        <v>Wireless Mouse</v>
      </c>
      <c r="H96" s="39" t="str">
        <f aca="false">VLOOKUP(C96,Products!$A$5:$D$24,3,FALSE())</f>
        <v>Electronics</v>
      </c>
      <c r="I96" s="41" t="n">
        <f aca="false">VLOOKUP(C96,Products!$A$5:$D$24,4,FALSE())</f>
        <v>12</v>
      </c>
      <c r="J96" s="42" t="n">
        <f aca="false">DATE(YEAR(B96),MONTH(B96),1)</f>
        <v>45658</v>
      </c>
      <c r="K96" s="41" t="n">
        <f aca="false">D96*E96</f>
        <v>72.48</v>
      </c>
      <c r="L96" s="41" t="n">
        <f aca="false">D96*I96</f>
        <v>36</v>
      </c>
      <c r="M96" s="41" t="n">
        <f aca="false">IFERROR(INDEX(Raw_Expenses!$C$5:$C$2979,MATCH(A96,Raw_Expenses!$A$5:$A$2979,0)),0)</f>
        <v>6.23</v>
      </c>
      <c r="N96" s="41" t="n">
        <f aca="false">L96+M96</f>
        <v>42.23</v>
      </c>
      <c r="O96" s="41" t="n">
        <f aca="false">K96-N96</f>
        <v>30.25</v>
      </c>
      <c r="P96" s="43" t="n">
        <f aca="false">IF(K96=0,0,O96/K96)</f>
        <v>0.41735651214128</v>
      </c>
    </row>
    <row r="97" customFormat="false" ht="15" hidden="false" customHeight="false" outlineLevel="0" collapsed="false">
      <c r="A97" s="39" t="s">
        <v>218</v>
      </c>
      <c r="B97" s="40" t="n">
        <v>45670</v>
      </c>
      <c r="C97" s="39" t="s">
        <v>112</v>
      </c>
      <c r="D97" s="39" t="n">
        <v>5</v>
      </c>
      <c r="E97" s="41" t="n">
        <v>52.71</v>
      </c>
      <c r="F97" s="39" t="s">
        <v>105</v>
      </c>
      <c r="G97" s="39" t="str">
        <f aca="false">VLOOKUP(C97,Products!$A$5:$D$24,2,FALSE())</f>
        <v>HD Webcam</v>
      </c>
      <c r="H97" s="39" t="str">
        <f aca="false">VLOOKUP(C97,Products!$A$5:$D$24,3,FALSE())</f>
        <v>Electronics</v>
      </c>
      <c r="I97" s="41" t="n">
        <f aca="false">VLOOKUP(C97,Products!$A$5:$D$24,4,FALSE())</f>
        <v>22</v>
      </c>
      <c r="J97" s="42" t="n">
        <f aca="false">DATE(YEAR(B97),MONTH(B97),1)</f>
        <v>45658</v>
      </c>
      <c r="K97" s="41" t="n">
        <f aca="false">D97*E97</f>
        <v>263.55</v>
      </c>
      <c r="L97" s="41" t="n">
        <f aca="false">D97*I97</f>
        <v>110</v>
      </c>
      <c r="M97" s="41" t="n">
        <f aca="false">IFERROR(INDEX(Raw_Expenses!$C$5:$C$2979,MATCH(A97,Raw_Expenses!$A$5:$A$2979,0)),0)</f>
        <v>0</v>
      </c>
      <c r="N97" s="41" t="n">
        <f aca="false">L97+M97</f>
        <v>110</v>
      </c>
      <c r="O97" s="41" t="n">
        <f aca="false">K97-N97</f>
        <v>153.55</v>
      </c>
      <c r="P97" s="43" t="n">
        <f aca="false">IF(K97=0,0,O97/K97)</f>
        <v>0.582621893378866</v>
      </c>
    </row>
    <row r="98" customFormat="false" ht="15" hidden="false" customHeight="false" outlineLevel="0" collapsed="false">
      <c r="A98" s="39" t="s">
        <v>219</v>
      </c>
      <c r="B98" s="40" t="n">
        <v>45670</v>
      </c>
      <c r="C98" s="39" t="s">
        <v>126</v>
      </c>
      <c r="D98" s="39" t="n">
        <v>1</v>
      </c>
      <c r="E98" s="41" t="n">
        <v>24.83</v>
      </c>
      <c r="F98" s="39" t="s">
        <v>105</v>
      </c>
      <c r="G98" s="39" t="str">
        <f aca="false">VLOOKUP(C98,Products!$A$5:$D$24,2,FALSE())</f>
        <v>Wireless Mouse</v>
      </c>
      <c r="H98" s="39" t="str">
        <f aca="false">VLOOKUP(C98,Products!$A$5:$D$24,3,FALSE())</f>
        <v>Electronics</v>
      </c>
      <c r="I98" s="41" t="n">
        <f aca="false">VLOOKUP(C98,Products!$A$5:$D$24,4,FALSE())</f>
        <v>12</v>
      </c>
      <c r="J98" s="42" t="n">
        <f aca="false">DATE(YEAR(B98),MONTH(B98),1)</f>
        <v>45658</v>
      </c>
      <c r="K98" s="41" t="n">
        <f aca="false">D98*E98</f>
        <v>24.83</v>
      </c>
      <c r="L98" s="41" t="n">
        <f aca="false">D98*I98</f>
        <v>12</v>
      </c>
      <c r="M98" s="41" t="n">
        <f aca="false">IFERROR(INDEX(Raw_Expenses!$C$5:$C$2979,MATCH(A98,Raw_Expenses!$A$5:$A$2979,0)),0)</f>
        <v>1.76</v>
      </c>
      <c r="N98" s="41" t="n">
        <f aca="false">L98+M98</f>
        <v>13.76</v>
      </c>
      <c r="O98" s="41" t="n">
        <f aca="false">K98-N98</f>
        <v>11.07</v>
      </c>
      <c r="P98" s="43" t="n">
        <f aca="false">IF(K98=0,0,O98/K98)</f>
        <v>0.445831655255739</v>
      </c>
    </row>
    <row r="99" customFormat="false" ht="15" hidden="false" customHeight="false" outlineLevel="0" collapsed="false">
      <c r="A99" s="39" t="s">
        <v>220</v>
      </c>
      <c r="B99" s="40" t="n">
        <v>45670</v>
      </c>
      <c r="C99" s="39" t="s">
        <v>112</v>
      </c>
      <c r="D99" s="39" t="n">
        <v>8</v>
      </c>
      <c r="E99" s="41" t="n">
        <v>52.82</v>
      </c>
      <c r="F99" s="39" t="s">
        <v>115</v>
      </c>
      <c r="G99" s="39" t="str">
        <f aca="false">VLOOKUP(C99,Products!$A$5:$D$24,2,FALSE())</f>
        <v>HD Webcam</v>
      </c>
      <c r="H99" s="39" t="str">
        <f aca="false">VLOOKUP(C99,Products!$A$5:$D$24,3,FALSE())</f>
        <v>Electronics</v>
      </c>
      <c r="I99" s="41" t="n">
        <f aca="false">VLOOKUP(C99,Products!$A$5:$D$24,4,FALSE())</f>
        <v>22</v>
      </c>
      <c r="J99" s="42" t="n">
        <f aca="false">DATE(YEAR(B99),MONTH(B99),1)</f>
        <v>45658</v>
      </c>
      <c r="K99" s="41" t="n">
        <f aca="false">D99*E99</f>
        <v>422.56</v>
      </c>
      <c r="L99" s="41" t="n">
        <f aca="false">D99*I99</f>
        <v>176</v>
      </c>
      <c r="M99" s="41" t="n">
        <f aca="false">IFERROR(INDEX(Raw_Expenses!$C$5:$C$2979,MATCH(A99,Raw_Expenses!$A$5:$A$2979,0)),0)</f>
        <v>19.77</v>
      </c>
      <c r="N99" s="41" t="n">
        <f aca="false">L99+M99</f>
        <v>195.77</v>
      </c>
      <c r="O99" s="41" t="n">
        <f aca="false">K99-N99</f>
        <v>226.79</v>
      </c>
      <c r="P99" s="43" t="n">
        <f aca="false">IF(K99=0,0,O99/K99)</f>
        <v>0.536704846648997</v>
      </c>
    </row>
    <row r="100" customFormat="false" ht="15" hidden="false" customHeight="false" outlineLevel="0" collapsed="false">
      <c r="A100" s="39" t="s">
        <v>221</v>
      </c>
      <c r="B100" s="40" t="n">
        <v>45670</v>
      </c>
      <c r="C100" s="39" t="s">
        <v>114</v>
      </c>
      <c r="D100" s="39" t="n">
        <v>1</v>
      </c>
      <c r="E100" s="41" t="n">
        <v>5.91</v>
      </c>
      <c r="F100" s="39" t="s">
        <v>108</v>
      </c>
      <c r="G100" s="39" t="str">
        <f aca="false">VLOOKUP(C100,Products!$A$5:$D$24,2,FALSE())</f>
        <v>Gel Pen Pack</v>
      </c>
      <c r="H100" s="39" t="str">
        <f aca="false">VLOOKUP(C100,Products!$A$5:$D$24,3,FALSE())</f>
        <v>Stationery</v>
      </c>
      <c r="I100" s="41" t="n">
        <f aca="false">VLOOKUP(C100,Products!$A$5:$D$24,4,FALSE())</f>
        <v>2</v>
      </c>
      <c r="J100" s="42" t="n">
        <f aca="false">DATE(YEAR(B100),MONTH(B100),1)</f>
        <v>45658</v>
      </c>
      <c r="K100" s="41" t="n">
        <f aca="false">D100*E100</f>
        <v>5.91</v>
      </c>
      <c r="L100" s="41" t="n">
        <f aca="false">D100*I100</f>
        <v>2</v>
      </c>
      <c r="M100" s="41" t="n">
        <f aca="false">IFERROR(INDEX(Raw_Expenses!$C$5:$C$2979,MATCH(A100,Raw_Expenses!$A$5:$A$2979,0)),0)</f>
        <v>0.44</v>
      </c>
      <c r="N100" s="41" t="n">
        <f aca="false">L100+M100</f>
        <v>2.44</v>
      </c>
      <c r="O100" s="41" t="n">
        <f aca="false">K100-N100</f>
        <v>3.47</v>
      </c>
      <c r="P100" s="43" t="n">
        <f aca="false">IF(K100=0,0,O100/K100)</f>
        <v>0.587140439932318</v>
      </c>
    </row>
    <row r="101" customFormat="false" ht="15" hidden="false" customHeight="false" outlineLevel="0" collapsed="false">
      <c r="A101" s="39" t="s">
        <v>222</v>
      </c>
      <c r="B101" s="40" t="n">
        <v>45671</v>
      </c>
      <c r="C101" s="39" t="s">
        <v>112</v>
      </c>
      <c r="D101" s="39" t="n">
        <v>1</v>
      </c>
      <c r="E101" s="41" t="n">
        <v>51.57</v>
      </c>
      <c r="F101" s="39" t="s">
        <v>115</v>
      </c>
      <c r="G101" s="39" t="str">
        <f aca="false">VLOOKUP(C101,Products!$A$5:$D$24,2,FALSE())</f>
        <v>HD Webcam</v>
      </c>
      <c r="H101" s="39" t="str">
        <f aca="false">VLOOKUP(C101,Products!$A$5:$D$24,3,FALSE())</f>
        <v>Electronics</v>
      </c>
      <c r="I101" s="41" t="n">
        <f aca="false">VLOOKUP(C101,Products!$A$5:$D$24,4,FALSE())</f>
        <v>22</v>
      </c>
      <c r="J101" s="42" t="n">
        <f aca="false">DATE(YEAR(B101),MONTH(B101),1)</f>
        <v>45658</v>
      </c>
      <c r="K101" s="41" t="n">
        <f aca="false">D101*E101</f>
        <v>51.57</v>
      </c>
      <c r="L101" s="41" t="n">
        <f aca="false">D101*I101</f>
        <v>22</v>
      </c>
      <c r="M101" s="41" t="n">
        <f aca="false">IFERROR(INDEX(Raw_Expenses!$C$5:$C$2979,MATCH(A101,Raw_Expenses!$A$5:$A$2979,0)),0)</f>
        <v>4.22</v>
      </c>
      <c r="N101" s="41" t="n">
        <f aca="false">L101+M101</f>
        <v>26.22</v>
      </c>
      <c r="O101" s="41" t="n">
        <f aca="false">K101-N101</f>
        <v>25.35</v>
      </c>
      <c r="P101" s="43" t="n">
        <f aca="false">IF(K101=0,0,O101/K101)</f>
        <v>0.491564863292612</v>
      </c>
    </row>
    <row r="102" customFormat="false" ht="15" hidden="false" customHeight="false" outlineLevel="0" collapsed="false">
      <c r="A102" s="39" t="s">
        <v>223</v>
      </c>
      <c r="B102" s="40" t="n">
        <v>45671</v>
      </c>
      <c r="C102" s="39" t="s">
        <v>177</v>
      </c>
      <c r="D102" s="39" t="n">
        <v>2</v>
      </c>
      <c r="E102" s="41" t="n">
        <v>42.29</v>
      </c>
      <c r="F102" s="39" t="s">
        <v>108</v>
      </c>
      <c r="G102" s="39" t="str">
        <f aca="false">VLOOKUP(C102,Products!$A$5:$D$24,2,FALSE())</f>
        <v>Backpack</v>
      </c>
      <c r="H102" s="39" t="str">
        <f aca="false">VLOOKUP(C102,Products!$A$5:$D$24,3,FALSE())</f>
        <v>Accessories</v>
      </c>
      <c r="I102" s="41" t="n">
        <f aca="false">VLOOKUP(C102,Products!$A$5:$D$24,4,FALSE())</f>
        <v>17</v>
      </c>
      <c r="J102" s="42" t="n">
        <f aca="false">DATE(YEAR(B102),MONTH(B102),1)</f>
        <v>45658</v>
      </c>
      <c r="K102" s="41" t="n">
        <f aca="false">D102*E102</f>
        <v>84.58</v>
      </c>
      <c r="L102" s="41" t="n">
        <f aca="false">D102*I102</f>
        <v>34</v>
      </c>
      <c r="M102" s="41" t="n">
        <f aca="false">IFERROR(INDEX(Raw_Expenses!$C$5:$C$2979,MATCH(A102,Raw_Expenses!$A$5:$A$2979,0)),0)</f>
        <v>4.14</v>
      </c>
      <c r="N102" s="41" t="n">
        <f aca="false">L102+M102</f>
        <v>38.14</v>
      </c>
      <c r="O102" s="41" t="n">
        <f aca="false">K102-N102</f>
        <v>46.44</v>
      </c>
      <c r="P102" s="43" t="n">
        <f aca="false">IF(K102=0,0,O102/K102)</f>
        <v>0.549065973043273</v>
      </c>
    </row>
    <row r="103" customFormat="false" ht="15" hidden="false" customHeight="false" outlineLevel="0" collapsed="false">
      <c r="A103" s="39" t="s">
        <v>224</v>
      </c>
      <c r="B103" s="40" t="n">
        <v>45671</v>
      </c>
      <c r="C103" s="39" t="s">
        <v>177</v>
      </c>
      <c r="D103" s="39" t="n">
        <v>2</v>
      </c>
      <c r="E103" s="41" t="n">
        <v>41.67</v>
      </c>
      <c r="F103" s="39" t="s">
        <v>105</v>
      </c>
      <c r="G103" s="39" t="str">
        <f aca="false">VLOOKUP(C103,Products!$A$5:$D$24,2,FALSE())</f>
        <v>Backpack</v>
      </c>
      <c r="H103" s="39" t="str">
        <f aca="false">VLOOKUP(C103,Products!$A$5:$D$24,3,FALSE())</f>
        <v>Accessories</v>
      </c>
      <c r="I103" s="41" t="n">
        <f aca="false">VLOOKUP(C103,Products!$A$5:$D$24,4,FALSE())</f>
        <v>17</v>
      </c>
      <c r="J103" s="42" t="n">
        <f aca="false">DATE(YEAR(B103),MONTH(B103),1)</f>
        <v>45658</v>
      </c>
      <c r="K103" s="41" t="n">
        <f aca="false">D103*E103</f>
        <v>83.34</v>
      </c>
      <c r="L103" s="41" t="n">
        <f aca="false">D103*I103</f>
        <v>34</v>
      </c>
      <c r="M103" s="41" t="n">
        <f aca="false">IFERROR(INDEX(Raw_Expenses!$C$5:$C$2979,MATCH(A103,Raw_Expenses!$A$5:$A$2979,0)),0)</f>
        <v>7.19</v>
      </c>
      <c r="N103" s="41" t="n">
        <f aca="false">L103+M103</f>
        <v>41.19</v>
      </c>
      <c r="O103" s="41" t="n">
        <f aca="false">K103-N103</f>
        <v>42.15</v>
      </c>
      <c r="P103" s="43" t="n">
        <f aca="false">IF(K103=0,0,O103/K103)</f>
        <v>0.505759539236861</v>
      </c>
    </row>
    <row r="104" customFormat="false" ht="15" hidden="false" customHeight="false" outlineLevel="0" collapsed="false">
      <c r="A104" s="39" t="s">
        <v>225</v>
      </c>
      <c r="B104" s="40" t="n">
        <v>45671</v>
      </c>
      <c r="C104" s="39" t="s">
        <v>114</v>
      </c>
      <c r="D104" s="39" t="n">
        <v>6</v>
      </c>
      <c r="E104" s="41" t="n">
        <v>5.62</v>
      </c>
      <c r="F104" s="39" t="s">
        <v>105</v>
      </c>
      <c r="G104" s="39" t="str">
        <f aca="false">VLOOKUP(C104,Products!$A$5:$D$24,2,FALSE())</f>
        <v>Gel Pen Pack</v>
      </c>
      <c r="H104" s="39" t="str">
        <f aca="false">VLOOKUP(C104,Products!$A$5:$D$24,3,FALSE())</f>
        <v>Stationery</v>
      </c>
      <c r="I104" s="41" t="n">
        <f aca="false">VLOOKUP(C104,Products!$A$5:$D$24,4,FALSE())</f>
        <v>2</v>
      </c>
      <c r="J104" s="42" t="n">
        <f aca="false">DATE(YEAR(B104),MONTH(B104),1)</f>
        <v>45658</v>
      </c>
      <c r="K104" s="41" t="n">
        <f aca="false">D104*E104</f>
        <v>33.72</v>
      </c>
      <c r="L104" s="41" t="n">
        <f aca="false">D104*I104</f>
        <v>12</v>
      </c>
      <c r="M104" s="41" t="n">
        <f aca="false">IFERROR(INDEX(Raw_Expenses!$C$5:$C$2979,MATCH(A104,Raw_Expenses!$A$5:$A$2979,0)),0)</f>
        <v>1.45</v>
      </c>
      <c r="N104" s="41" t="n">
        <f aca="false">L104+M104</f>
        <v>13.45</v>
      </c>
      <c r="O104" s="41" t="n">
        <f aca="false">K104-N104</f>
        <v>20.27</v>
      </c>
      <c r="P104" s="43" t="n">
        <f aca="false">IF(K104=0,0,O104/K104)</f>
        <v>0.601126927639383</v>
      </c>
    </row>
    <row r="105" customFormat="false" ht="15" hidden="false" customHeight="false" outlineLevel="0" collapsed="false">
      <c r="A105" s="39" t="s">
        <v>226</v>
      </c>
      <c r="B105" s="40" t="n">
        <v>45671</v>
      </c>
      <c r="C105" s="39" t="s">
        <v>117</v>
      </c>
      <c r="D105" s="39" t="n">
        <v>4</v>
      </c>
      <c r="E105" s="41" t="n">
        <v>29.66</v>
      </c>
      <c r="F105" s="39" t="s">
        <v>118</v>
      </c>
      <c r="G105" s="39" t="str">
        <f aca="false">VLOOKUP(C105,Products!$A$5:$D$24,2,FALSE())</f>
        <v>Desk Lamp</v>
      </c>
      <c r="H105" s="39" t="str">
        <f aca="false">VLOOKUP(C105,Products!$A$5:$D$24,3,FALSE())</f>
        <v>Furniture</v>
      </c>
      <c r="I105" s="41" t="n">
        <f aca="false">VLOOKUP(C105,Products!$A$5:$D$24,4,FALSE())</f>
        <v>13</v>
      </c>
      <c r="J105" s="42" t="n">
        <f aca="false">DATE(YEAR(B105),MONTH(B105),1)</f>
        <v>45658</v>
      </c>
      <c r="K105" s="41" t="n">
        <f aca="false">D105*E105</f>
        <v>118.64</v>
      </c>
      <c r="L105" s="41" t="n">
        <f aca="false">D105*I105</f>
        <v>52</v>
      </c>
      <c r="M105" s="41" t="n">
        <f aca="false">IFERROR(INDEX(Raw_Expenses!$C$5:$C$2979,MATCH(A105,Raw_Expenses!$A$5:$A$2979,0)),0)</f>
        <v>4.85</v>
      </c>
      <c r="N105" s="41" t="n">
        <f aca="false">L105+M105</f>
        <v>56.85</v>
      </c>
      <c r="O105" s="41" t="n">
        <f aca="false">K105-N105</f>
        <v>61.79</v>
      </c>
      <c r="P105" s="43" t="n">
        <f aca="false">IF(K105=0,0,O105/K105)</f>
        <v>0.520819285232637</v>
      </c>
    </row>
    <row r="106" customFormat="false" ht="15" hidden="false" customHeight="false" outlineLevel="0" collapsed="false">
      <c r="A106" s="39" t="s">
        <v>227</v>
      </c>
      <c r="B106" s="40" t="n">
        <v>45671</v>
      </c>
      <c r="C106" s="39" t="s">
        <v>107</v>
      </c>
      <c r="D106" s="39" t="n">
        <v>3</v>
      </c>
      <c r="E106" s="41" t="n">
        <v>34.88</v>
      </c>
      <c r="F106" s="39" t="s">
        <v>105</v>
      </c>
      <c r="G106" s="39" t="str">
        <f aca="false">VLOOKUP(C106,Products!$A$5:$D$24,2,FALSE())</f>
        <v>USB-C Hub</v>
      </c>
      <c r="H106" s="39" t="str">
        <f aca="false">VLOOKUP(C106,Products!$A$5:$D$24,3,FALSE())</f>
        <v>Electronics</v>
      </c>
      <c r="I106" s="41" t="n">
        <f aca="false">VLOOKUP(C106,Products!$A$5:$D$24,4,FALSE())</f>
        <v>14</v>
      </c>
      <c r="J106" s="42" t="n">
        <f aca="false">DATE(YEAR(B106),MONTH(B106),1)</f>
        <v>45658</v>
      </c>
      <c r="K106" s="41" t="n">
        <f aca="false">D106*E106</f>
        <v>104.64</v>
      </c>
      <c r="L106" s="41" t="n">
        <f aca="false">D106*I106</f>
        <v>42</v>
      </c>
      <c r="M106" s="41" t="n">
        <f aca="false">IFERROR(INDEX(Raw_Expenses!$C$5:$C$2979,MATCH(A106,Raw_Expenses!$A$5:$A$2979,0)),0)</f>
        <v>5.13</v>
      </c>
      <c r="N106" s="41" t="n">
        <f aca="false">L106+M106</f>
        <v>47.13</v>
      </c>
      <c r="O106" s="41" t="n">
        <f aca="false">K106-N106</f>
        <v>57.51</v>
      </c>
      <c r="P106" s="43" t="n">
        <f aca="false">IF(K106=0,0,O106/K106)</f>
        <v>0.549598623853211</v>
      </c>
    </row>
    <row r="107" customFormat="false" ht="15" hidden="false" customHeight="false" outlineLevel="0" collapsed="false">
      <c r="A107" s="39" t="s">
        <v>228</v>
      </c>
      <c r="B107" s="40" t="n">
        <v>45672</v>
      </c>
      <c r="C107" s="39" t="s">
        <v>153</v>
      </c>
      <c r="D107" s="39" t="n">
        <v>1</v>
      </c>
      <c r="E107" s="41" t="n">
        <v>178.25</v>
      </c>
      <c r="F107" s="39" t="s">
        <v>105</v>
      </c>
      <c r="G107" s="39" t="str">
        <f aca="false">VLOOKUP(C107,Products!$A$5:$D$24,2,FALSE())</f>
        <v>24-inch Monitor</v>
      </c>
      <c r="H107" s="39" t="str">
        <f aca="false">VLOOKUP(C107,Products!$A$5:$D$24,3,FALSE())</f>
        <v>Electronics</v>
      </c>
      <c r="I107" s="41" t="n">
        <f aca="false">VLOOKUP(C107,Products!$A$5:$D$24,4,FALSE())</f>
        <v>90</v>
      </c>
      <c r="J107" s="42" t="n">
        <f aca="false">DATE(YEAR(B107),MONTH(B107),1)</f>
        <v>45658</v>
      </c>
      <c r="K107" s="41" t="n">
        <f aca="false">D107*E107</f>
        <v>178.25</v>
      </c>
      <c r="L107" s="41" t="n">
        <f aca="false">D107*I107</f>
        <v>90</v>
      </c>
      <c r="M107" s="41" t="n">
        <f aca="false">IFERROR(INDEX(Raw_Expenses!$C$5:$C$2979,MATCH(A107,Raw_Expenses!$A$5:$A$2979,0)),0)</f>
        <v>15.71</v>
      </c>
      <c r="N107" s="41" t="n">
        <f aca="false">L107+M107</f>
        <v>105.71</v>
      </c>
      <c r="O107" s="41" t="n">
        <f aca="false">K107-N107</f>
        <v>72.54</v>
      </c>
      <c r="P107" s="43" t="n">
        <f aca="false">IF(K107=0,0,O107/K107)</f>
        <v>0.40695652173913</v>
      </c>
    </row>
    <row r="108" customFormat="false" ht="15" hidden="false" customHeight="false" outlineLevel="0" collapsed="false">
      <c r="A108" s="39" t="s">
        <v>229</v>
      </c>
      <c r="B108" s="40" t="n">
        <v>45672</v>
      </c>
      <c r="C108" s="39" t="s">
        <v>128</v>
      </c>
      <c r="D108" s="39" t="n">
        <v>1</v>
      </c>
      <c r="E108" s="41" t="n">
        <v>37.26</v>
      </c>
      <c r="F108" s="39" t="s">
        <v>118</v>
      </c>
      <c r="G108" s="39" t="str">
        <f aca="false">VLOOKUP(C108,Products!$A$5:$D$24,2,FALSE())</f>
        <v>Ergonomic Footrest</v>
      </c>
      <c r="H108" s="39" t="str">
        <f aca="false">VLOOKUP(C108,Products!$A$5:$D$24,3,FALSE())</f>
        <v>Furniture</v>
      </c>
      <c r="I108" s="41" t="n">
        <f aca="false">VLOOKUP(C108,Products!$A$5:$D$24,4,FALSE())</f>
        <v>15</v>
      </c>
      <c r="J108" s="42" t="n">
        <f aca="false">DATE(YEAR(B108),MONTH(B108),1)</f>
        <v>45658</v>
      </c>
      <c r="K108" s="41" t="n">
        <f aca="false">D108*E108</f>
        <v>37.26</v>
      </c>
      <c r="L108" s="41" t="n">
        <f aca="false">D108*I108</f>
        <v>15</v>
      </c>
      <c r="M108" s="41" t="n">
        <f aca="false">IFERROR(INDEX(Raw_Expenses!$C$5:$C$2979,MATCH(A108,Raw_Expenses!$A$5:$A$2979,0)),0)</f>
        <v>2.72</v>
      </c>
      <c r="N108" s="41" t="n">
        <f aca="false">L108+M108</f>
        <v>17.72</v>
      </c>
      <c r="O108" s="41" t="n">
        <f aca="false">K108-N108</f>
        <v>19.54</v>
      </c>
      <c r="P108" s="43" t="n">
        <f aca="false">IF(K108=0,0,O108/K108)</f>
        <v>0.524422973698336</v>
      </c>
    </row>
    <row r="109" customFormat="false" ht="15" hidden="false" customHeight="false" outlineLevel="0" collapsed="false">
      <c r="A109" s="39" t="s">
        <v>230</v>
      </c>
      <c r="B109" s="40" t="n">
        <v>45672</v>
      </c>
      <c r="C109" s="39" t="s">
        <v>126</v>
      </c>
      <c r="D109" s="39" t="n">
        <v>1</v>
      </c>
      <c r="E109" s="41" t="n">
        <v>23.59</v>
      </c>
      <c r="F109" s="39" t="s">
        <v>108</v>
      </c>
      <c r="G109" s="39" t="str">
        <f aca="false">VLOOKUP(C109,Products!$A$5:$D$24,2,FALSE())</f>
        <v>Wireless Mouse</v>
      </c>
      <c r="H109" s="39" t="str">
        <f aca="false">VLOOKUP(C109,Products!$A$5:$D$24,3,FALSE())</f>
        <v>Electronics</v>
      </c>
      <c r="I109" s="41" t="n">
        <f aca="false">VLOOKUP(C109,Products!$A$5:$D$24,4,FALSE())</f>
        <v>12</v>
      </c>
      <c r="J109" s="42" t="n">
        <f aca="false">DATE(YEAR(B109),MONTH(B109),1)</f>
        <v>45658</v>
      </c>
      <c r="K109" s="41" t="n">
        <f aca="false">D109*E109</f>
        <v>23.59</v>
      </c>
      <c r="L109" s="41" t="n">
        <f aca="false">D109*I109</f>
        <v>12</v>
      </c>
      <c r="M109" s="41" t="n">
        <f aca="false">IFERROR(INDEX(Raw_Expenses!$C$5:$C$2979,MATCH(A109,Raw_Expenses!$A$5:$A$2979,0)),0)</f>
        <v>1.66</v>
      </c>
      <c r="N109" s="41" t="n">
        <f aca="false">L109+M109</f>
        <v>13.66</v>
      </c>
      <c r="O109" s="41" t="n">
        <f aca="false">K109-N109</f>
        <v>9.93</v>
      </c>
      <c r="P109" s="43" t="n">
        <f aca="false">IF(K109=0,0,O109/K109)</f>
        <v>0.420941076727427</v>
      </c>
    </row>
    <row r="110" customFormat="false" ht="15" hidden="false" customHeight="false" outlineLevel="0" collapsed="false">
      <c r="A110" s="39" t="s">
        <v>231</v>
      </c>
      <c r="B110" s="40" t="n">
        <v>45672</v>
      </c>
      <c r="C110" s="39" t="s">
        <v>107</v>
      </c>
      <c r="D110" s="39" t="n">
        <v>1</v>
      </c>
      <c r="E110" s="41" t="n">
        <v>32.2</v>
      </c>
      <c r="F110" s="39" t="s">
        <v>118</v>
      </c>
      <c r="G110" s="39" t="str">
        <f aca="false">VLOOKUP(C110,Products!$A$5:$D$24,2,FALSE())</f>
        <v>USB-C Hub</v>
      </c>
      <c r="H110" s="39" t="str">
        <f aca="false">VLOOKUP(C110,Products!$A$5:$D$24,3,FALSE())</f>
        <v>Electronics</v>
      </c>
      <c r="I110" s="41" t="n">
        <f aca="false">VLOOKUP(C110,Products!$A$5:$D$24,4,FALSE())</f>
        <v>14</v>
      </c>
      <c r="J110" s="42" t="n">
        <f aca="false">DATE(YEAR(B110),MONTH(B110),1)</f>
        <v>45658</v>
      </c>
      <c r="K110" s="41" t="n">
        <f aca="false">D110*E110</f>
        <v>32.2</v>
      </c>
      <c r="L110" s="41" t="n">
        <f aca="false">D110*I110</f>
        <v>14</v>
      </c>
      <c r="M110" s="41" t="n">
        <f aca="false">IFERROR(INDEX(Raw_Expenses!$C$5:$C$2979,MATCH(A110,Raw_Expenses!$A$5:$A$2979,0)),0)</f>
        <v>2.23</v>
      </c>
      <c r="N110" s="41" t="n">
        <f aca="false">L110+M110</f>
        <v>16.23</v>
      </c>
      <c r="O110" s="41" t="n">
        <f aca="false">K110-N110</f>
        <v>15.97</v>
      </c>
      <c r="P110" s="43" t="n">
        <f aca="false">IF(K110=0,0,O110/K110)</f>
        <v>0.495962732919255</v>
      </c>
    </row>
    <row r="111" customFormat="false" ht="15" hidden="false" customHeight="false" outlineLevel="0" collapsed="false">
      <c r="A111" s="39" t="s">
        <v>232</v>
      </c>
      <c r="B111" s="40" t="n">
        <v>45672</v>
      </c>
      <c r="C111" s="39" t="s">
        <v>162</v>
      </c>
      <c r="D111" s="39" t="n">
        <v>2</v>
      </c>
      <c r="E111" s="41" t="n">
        <v>63.74</v>
      </c>
      <c r="F111" s="39" t="s">
        <v>105</v>
      </c>
      <c r="G111" s="39" t="str">
        <f aca="false">VLOOKUP(C111,Products!$A$5:$D$24,2,FALSE())</f>
        <v>Bluetooth Speaker</v>
      </c>
      <c r="H111" s="39" t="str">
        <f aca="false">VLOOKUP(C111,Products!$A$5:$D$24,3,FALSE())</f>
        <v>Electronics</v>
      </c>
      <c r="I111" s="41" t="n">
        <f aca="false">VLOOKUP(C111,Products!$A$5:$D$24,4,FALSE())</f>
        <v>28</v>
      </c>
      <c r="J111" s="42" t="n">
        <f aca="false">DATE(YEAR(B111),MONTH(B111),1)</f>
        <v>45658</v>
      </c>
      <c r="K111" s="41" t="n">
        <f aca="false">D111*E111</f>
        <v>127.48</v>
      </c>
      <c r="L111" s="41" t="n">
        <f aca="false">D111*I111</f>
        <v>56</v>
      </c>
      <c r="M111" s="41" t="n">
        <f aca="false">IFERROR(INDEX(Raw_Expenses!$C$5:$C$2979,MATCH(A111,Raw_Expenses!$A$5:$A$2979,0)),0)</f>
        <v>9.25</v>
      </c>
      <c r="N111" s="41" t="n">
        <f aca="false">L111+M111</f>
        <v>65.25</v>
      </c>
      <c r="O111" s="41" t="n">
        <f aca="false">K111-N111</f>
        <v>62.23</v>
      </c>
      <c r="P111" s="43" t="n">
        <f aca="false">IF(K111=0,0,O111/K111)</f>
        <v>0.488155004706621</v>
      </c>
    </row>
    <row r="112" customFormat="false" ht="15" hidden="false" customHeight="false" outlineLevel="0" collapsed="false">
      <c r="A112" s="39" t="s">
        <v>233</v>
      </c>
      <c r="B112" s="40" t="n">
        <v>45672</v>
      </c>
      <c r="C112" s="39" t="s">
        <v>169</v>
      </c>
      <c r="D112" s="39" t="n">
        <v>1</v>
      </c>
      <c r="E112" s="41" t="n">
        <v>28.45</v>
      </c>
      <c r="F112" s="39" t="s">
        <v>115</v>
      </c>
      <c r="G112" s="39" t="str">
        <f aca="false">VLOOKUP(C112,Products!$A$5:$D$24,2,FALSE())</f>
        <v>Laptop Stand</v>
      </c>
      <c r="H112" s="39" t="str">
        <f aca="false">VLOOKUP(C112,Products!$A$5:$D$24,3,FALSE())</f>
        <v>Accessories</v>
      </c>
      <c r="I112" s="41" t="n">
        <f aca="false">VLOOKUP(C112,Products!$A$5:$D$24,4,FALSE())</f>
        <v>11</v>
      </c>
      <c r="J112" s="42" t="n">
        <f aca="false">DATE(YEAR(B112),MONTH(B112),1)</f>
        <v>45658</v>
      </c>
      <c r="K112" s="41" t="n">
        <f aca="false">D112*E112</f>
        <v>28.45</v>
      </c>
      <c r="L112" s="41" t="n">
        <f aca="false">D112*I112</f>
        <v>11</v>
      </c>
      <c r="M112" s="41" t="n">
        <f aca="false">IFERROR(INDEX(Raw_Expenses!$C$5:$C$2979,MATCH(A112,Raw_Expenses!$A$5:$A$2979,0)),0)</f>
        <v>1.51</v>
      </c>
      <c r="N112" s="41" t="n">
        <f aca="false">L112+M112</f>
        <v>12.51</v>
      </c>
      <c r="O112" s="41" t="n">
        <f aca="false">K112-N112</f>
        <v>15.94</v>
      </c>
      <c r="P112" s="43" t="n">
        <f aca="false">IF(K112=0,0,O112/K112)</f>
        <v>0.560281195079086</v>
      </c>
    </row>
    <row r="113" customFormat="false" ht="15" hidden="false" customHeight="false" outlineLevel="0" collapsed="false">
      <c r="A113" s="39" t="s">
        <v>234</v>
      </c>
      <c r="B113" s="40" t="n">
        <v>45672</v>
      </c>
      <c r="C113" s="39" t="s">
        <v>104</v>
      </c>
      <c r="D113" s="39" t="n">
        <v>2</v>
      </c>
      <c r="E113" s="41" t="n">
        <v>15.68</v>
      </c>
      <c r="F113" s="39" t="s">
        <v>105</v>
      </c>
      <c r="G113" s="39" t="str">
        <f aca="false">VLOOKUP(C113,Products!$A$5:$D$24,2,FALSE())</f>
        <v>Water Bottle</v>
      </c>
      <c r="H113" s="39" t="str">
        <f aca="false">VLOOKUP(C113,Products!$A$5:$D$24,3,FALSE())</f>
        <v>Accessories</v>
      </c>
      <c r="I113" s="41" t="n">
        <f aca="false">VLOOKUP(C113,Products!$A$5:$D$24,4,FALSE())</f>
        <v>5</v>
      </c>
      <c r="J113" s="42" t="n">
        <f aca="false">DATE(YEAR(B113),MONTH(B113),1)</f>
        <v>45658</v>
      </c>
      <c r="K113" s="41" t="n">
        <f aca="false">D113*E113</f>
        <v>31.36</v>
      </c>
      <c r="L113" s="41" t="n">
        <f aca="false">D113*I113</f>
        <v>10</v>
      </c>
      <c r="M113" s="41" t="n">
        <f aca="false">IFERROR(INDEX(Raw_Expenses!$C$5:$C$2979,MATCH(A113,Raw_Expenses!$A$5:$A$2979,0)),0)</f>
        <v>2.79</v>
      </c>
      <c r="N113" s="41" t="n">
        <f aca="false">L113+M113</f>
        <v>12.79</v>
      </c>
      <c r="O113" s="41" t="n">
        <f aca="false">K113-N113</f>
        <v>18.57</v>
      </c>
      <c r="P113" s="43" t="n">
        <f aca="false">IF(K113=0,0,O113/K113)</f>
        <v>0.592155612244898</v>
      </c>
    </row>
    <row r="114" customFormat="false" ht="15" hidden="false" customHeight="false" outlineLevel="0" collapsed="false">
      <c r="A114" s="39" t="s">
        <v>235</v>
      </c>
      <c r="B114" s="40" t="n">
        <v>45672</v>
      </c>
      <c r="C114" s="39" t="s">
        <v>114</v>
      </c>
      <c r="D114" s="39" t="n">
        <v>2</v>
      </c>
      <c r="E114" s="41" t="n">
        <v>5.67</v>
      </c>
      <c r="F114" s="39" t="s">
        <v>115</v>
      </c>
      <c r="G114" s="39" t="str">
        <f aca="false">VLOOKUP(C114,Products!$A$5:$D$24,2,FALSE())</f>
        <v>Gel Pen Pack</v>
      </c>
      <c r="H114" s="39" t="str">
        <f aca="false">VLOOKUP(C114,Products!$A$5:$D$24,3,FALSE())</f>
        <v>Stationery</v>
      </c>
      <c r="I114" s="41" t="n">
        <f aca="false">VLOOKUP(C114,Products!$A$5:$D$24,4,FALSE())</f>
        <v>2</v>
      </c>
      <c r="J114" s="42" t="n">
        <f aca="false">DATE(YEAR(B114),MONTH(B114),1)</f>
        <v>45658</v>
      </c>
      <c r="K114" s="41" t="n">
        <f aca="false">D114*E114</f>
        <v>11.34</v>
      </c>
      <c r="L114" s="41" t="n">
        <f aca="false">D114*I114</f>
        <v>4</v>
      </c>
      <c r="M114" s="41" t="n">
        <f aca="false">IFERROR(INDEX(Raw_Expenses!$C$5:$C$2979,MATCH(A114,Raw_Expenses!$A$5:$A$2979,0)),0)</f>
        <v>0.85</v>
      </c>
      <c r="N114" s="41" t="n">
        <f aca="false">L114+M114</f>
        <v>4.85</v>
      </c>
      <c r="O114" s="41" t="n">
        <f aca="false">K114-N114</f>
        <v>6.49</v>
      </c>
      <c r="P114" s="43" t="n">
        <f aca="false">IF(K114=0,0,O114/K114)</f>
        <v>0.572310405643739</v>
      </c>
    </row>
    <row r="115" customFormat="false" ht="15" hidden="false" customHeight="false" outlineLevel="0" collapsed="false">
      <c r="A115" s="39" t="s">
        <v>236</v>
      </c>
      <c r="B115" s="40" t="n">
        <v>45672</v>
      </c>
      <c r="C115" s="39" t="s">
        <v>177</v>
      </c>
      <c r="D115" s="39" t="n">
        <v>5</v>
      </c>
      <c r="E115" s="41" t="n">
        <v>44.65</v>
      </c>
      <c r="F115" s="39" t="s">
        <v>105</v>
      </c>
      <c r="G115" s="39" t="str">
        <f aca="false">VLOOKUP(C115,Products!$A$5:$D$24,2,FALSE())</f>
        <v>Backpack</v>
      </c>
      <c r="H115" s="39" t="str">
        <f aca="false">VLOOKUP(C115,Products!$A$5:$D$24,3,FALSE())</f>
        <v>Accessories</v>
      </c>
      <c r="I115" s="41" t="n">
        <f aca="false">VLOOKUP(C115,Products!$A$5:$D$24,4,FALSE())</f>
        <v>17</v>
      </c>
      <c r="J115" s="42" t="n">
        <f aca="false">DATE(YEAR(B115),MONTH(B115),1)</f>
        <v>45658</v>
      </c>
      <c r="K115" s="41" t="n">
        <f aca="false">D115*E115</f>
        <v>223.25</v>
      </c>
      <c r="L115" s="41" t="n">
        <f aca="false">D115*I115</f>
        <v>85</v>
      </c>
      <c r="M115" s="41" t="n">
        <f aca="false">IFERROR(INDEX(Raw_Expenses!$C$5:$C$2979,MATCH(A115,Raw_Expenses!$A$5:$A$2979,0)),0)</f>
        <v>10.32</v>
      </c>
      <c r="N115" s="41" t="n">
        <f aca="false">L115+M115</f>
        <v>95.32</v>
      </c>
      <c r="O115" s="41" t="n">
        <f aca="false">K115-N115</f>
        <v>127.93</v>
      </c>
      <c r="P115" s="43" t="n">
        <f aca="false">IF(K115=0,0,O115/K115)</f>
        <v>0.573034714445689</v>
      </c>
    </row>
    <row r="116" customFormat="false" ht="15" hidden="false" customHeight="false" outlineLevel="0" collapsed="false">
      <c r="A116" s="39" t="s">
        <v>237</v>
      </c>
      <c r="B116" s="40" t="n">
        <v>45672</v>
      </c>
      <c r="C116" s="39" t="s">
        <v>128</v>
      </c>
      <c r="D116" s="39" t="n">
        <v>2</v>
      </c>
      <c r="E116" s="41" t="n">
        <v>37.8</v>
      </c>
      <c r="F116" s="39" t="s">
        <v>108</v>
      </c>
      <c r="G116" s="39" t="str">
        <f aca="false">VLOOKUP(C116,Products!$A$5:$D$24,2,FALSE())</f>
        <v>Ergonomic Footrest</v>
      </c>
      <c r="H116" s="39" t="str">
        <f aca="false">VLOOKUP(C116,Products!$A$5:$D$24,3,FALSE())</f>
        <v>Furniture</v>
      </c>
      <c r="I116" s="41" t="n">
        <f aca="false">VLOOKUP(C116,Products!$A$5:$D$24,4,FALSE())</f>
        <v>15</v>
      </c>
      <c r="J116" s="42" t="n">
        <f aca="false">DATE(YEAR(B116),MONTH(B116),1)</f>
        <v>45658</v>
      </c>
      <c r="K116" s="41" t="n">
        <f aca="false">D116*E116</f>
        <v>75.6</v>
      </c>
      <c r="L116" s="41" t="n">
        <f aca="false">D116*I116</f>
        <v>30</v>
      </c>
      <c r="M116" s="41" t="n">
        <f aca="false">IFERROR(INDEX(Raw_Expenses!$C$5:$C$2979,MATCH(A116,Raw_Expenses!$A$5:$A$2979,0)),0)</f>
        <v>3.38</v>
      </c>
      <c r="N116" s="41" t="n">
        <f aca="false">L116+M116</f>
        <v>33.38</v>
      </c>
      <c r="O116" s="41" t="n">
        <f aca="false">K116-N116</f>
        <v>42.22</v>
      </c>
      <c r="P116" s="43" t="n">
        <f aca="false">IF(K116=0,0,O116/K116)</f>
        <v>0.558465608465608</v>
      </c>
    </row>
    <row r="117" customFormat="false" ht="15" hidden="false" customHeight="false" outlineLevel="0" collapsed="false">
      <c r="A117" s="39" t="s">
        <v>238</v>
      </c>
      <c r="B117" s="40" t="n">
        <v>45673</v>
      </c>
      <c r="C117" s="39" t="s">
        <v>136</v>
      </c>
      <c r="D117" s="39" t="n">
        <v>6</v>
      </c>
      <c r="E117" s="41" t="n">
        <v>73.08</v>
      </c>
      <c r="F117" s="39" t="s">
        <v>115</v>
      </c>
      <c r="G117" s="39" t="str">
        <f aca="false">VLOOKUP(C117,Products!$A$5:$D$24,2,FALSE())</f>
        <v>Mechanical Keyboard</v>
      </c>
      <c r="H117" s="39" t="str">
        <f aca="false">VLOOKUP(C117,Products!$A$5:$D$24,3,FALSE())</f>
        <v>Electronics</v>
      </c>
      <c r="I117" s="41" t="n">
        <f aca="false">VLOOKUP(C117,Products!$A$5:$D$24,4,FALSE())</f>
        <v>38</v>
      </c>
      <c r="J117" s="42" t="n">
        <f aca="false">DATE(YEAR(B117),MONTH(B117),1)</f>
        <v>45658</v>
      </c>
      <c r="K117" s="41" t="n">
        <f aca="false">D117*E117</f>
        <v>438.48</v>
      </c>
      <c r="L117" s="41" t="n">
        <f aca="false">D117*I117</f>
        <v>228</v>
      </c>
      <c r="M117" s="41" t="n">
        <f aca="false">IFERROR(INDEX(Raw_Expenses!$C$5:$C$2979,MATCH(A117,Raw_Expenses!$A$5:$A$2979,0)),0)</f>
        <v>28.05</v>
      </c>
      <c r="N117" s="41" t="n">
        <f aca="false">L117+M117</f>
        <v>256.05</v>
      </c>
      <c r="O117" s="41" t="n">
        <f aca="false">K117-N117</f>
        <v>182.43</v>
      </c>
      <c r="P117" s="43" t="n">
        <f aca="false">IF(K117=0,0,O117/K117)</f>
        <v>0.416050903119869</v>
      </c>
    </row>
    <row r="118" customFormat="false" ht="15" hidden="false" customHeight="false" outlineLevel="0" collapsed="false">
      <c r="A118" s="39" t="s">
        <v>239</v>
      </c>
      <c r="B118" s="40" t="n">
        <v>45673</v>
      </c>
      <c r="C118" s="39" t="s">
        <v>107</v>
      </c>
      <c r="D118" s="39" t="n">
        <v>2</v>
      </c>
      <c r="E118" s="41" t="n">
        <v>32.38</v>
      </c>
      <c r="F118" s="39" t="s">
        <v>105</v>
      </c>
      <c r="G118" s="39" t="str">
        <f aca="false">VLOOKUP(C118,Products!$A$5:$D$24,2,FALSE())</f>
        <v>USB-C Hub</v>
      </c>
      <c r="H118" s="39" t="str">
        <f aca="false">VLOOKUP(C118,Products!$A$5:$D$24,3,FALSE())</f>
        <v>Electronics</v>
      </c>
      <c r="I118" s="41" t="n">
        <f aca="false">VLOOKUP(C118,Products!$A$5:$D$24,4,FALSE())</f>
        <v>14</v>
      </c>
      <c r="J118" s="42" t="n">
        <f aca="false">DATE(YEAR(B118),MONTH(B118),1)</f>
        <v>45658</v>
      </c>
      <c r="K118" s="41" t="n">
        <f aca="false">D118*E118</f>
        <v>64.76</v>
      </c>
      <c r="L118" s="41" t="n">
        <f aca="false">D118*I118</f>
        <v>28</v>
      </c>
      <c r="M118" s="41" t="n">
        <f aca="false">IFERROR(INDEX(Raw_Expenses!$C$5:$C$2979,MATCH(A118,Raw_Expenses!$A$5:$A$2979,0)),0)</f>
        <v>4.2</v>
      </c>
      <c r="N118" s="41" t="n">
        <f aca="false">L118+M118</f>
        <v>32.2</v>
      </c>
      <c r="O118" s="41" t="n">
        <f aca="false">K118-N118</f>
        <v>32.56</v>
      </c>
      <c r="P118" s="43" t="n">
        <f aca="false">IF(K118=0,0,O118/K118)</f>
        <v>0.502779493514515</v>
      </c>
    </row>
    <row r="119" customFormat="false" ht="15" hidden="false" customHeight="false" outlineLevel="0" collapsed="false">
      <c r="A119" s="39" t="s">
        <v>240</v>
      </c>
      <c r="B119" s="40" t="n">
        <v>45673</v>
      </c>
      <c r="C119" s="39" t="s">
        <v>136</v>
      </c>
      <c r="D119" s="39" t="n">
        <v>2</v>
      </c>
      <c r="E119" s="41" t="n">
        <v>74.99</v>
      </c>
      <c r="F119" s="39" t="s">
        <v>108</v>
      </c>
      <c r="G119" s="39" t="str">
        <f aca="false">VLOOKUP(C119,Products!$A$5:$D$24,2,FALSE())</f>
        <v>Mechanical Keyboard</v>
      </c>
      <c r="H119" s="39" t="str">
        <f aca="false">VLOOKUP(C119,Products!$A$5:$D$24,3,FALSE())</f>
        <v>Electronics</v>
      </c>
      <c r="I119" s="41" t="n">
        <f aca="false">VLOOKUP(C119,Products!$A$5:$D$24,4,FALSE())</f>
        <v>38</v>
      </c>
      <c r="J119" s="42" t="n">
        <f aca="false">DATE(YEAR(B119),MONTH(B119),1)</f>
        <v>45658</v>
      </c>
      <c r="K119" s="41" t="n">
        <f aca="false">D119*E119</f>
        <v>149.98</v>
      </c>
      <c r="L119" s="41" t="n">
        <f aca="false">D119*I119</f>
        <v>76</v>
      </c>
      <c r="M119" s="41" t="n">
        <f aca="false">IFERROR(INDEX(Raw_Expenses!$C$5:$C$2979,MATCH(A119,Raw_Expenses!$A$5:$A$2979,0)),0)</f>
        <v>11.25</v>
      </c>
      <c r="N119" s="41" t="n">
        <f aca="false">L119+M119</f>
        <v>87.25</v>
      </c>
      <c r="O119" s="41" t="n">
        <f aca="false">K119-N119</f>
        <v>62.73</v>
      </c>
      <c r="P119" s="43" t="n">
        <f aca="false">IF(K119=0,0,O119/K119)</f>
        <v>0.418255767435658</v>
      </c>
    </row>
    <row r="120" customFormat="false" ht="15" hidden="false" customHeight="false" outlineLevel="0" collapsed="false">
      <c r="A120" s="39" t="s">
        <v>241</v>
      </c>
      <c r="B120" s="40" t="n">
        <v>45673</v>
      </c>
      <c r="C120" s="39" t="s">
        <v>114</v>
      </c>
      <c r="D120" s="39" t="n">
        <v>2</v>
      </c>
      <c r="E120" s="41" t="n">
        <v>5.77</v>
      </c>
      <c r="F120" s="39" t="s">
        <v>115</v>
      </c>
      <c r="G120" s="39" t="str">
        <f aca="false">VLOOKUP(C120,Products!$A$5:$D$24,2,FALSE())</f>
        <v>Gel Pen Pack</v>
      </c>
      <c r="H120" s="39" t="str">
        <f aca="false">VLOOKUP(C120,Products!$A$5:$D$24,3,FALSE())</f>
        <v>Stationery</v>
      </c>
      <c r="I120" s="41" t="n">
        <f aca="false">VLOOKUP(C120,Products!$A$5:$D$24,4,FALSE())</f>
        <v>2</v>
      </c>
      <c r="J120" s="42" t="n">
        <f aca="false">DATE(YEAR(B120),MONTH(B120),1)</f>
        <v>45658</v>
      </c>
      <c r="K120" s="41" t="n">
        <f aca="false">D120*E120</f>
        <v>11.54</v>
      </c>
      <c r="L120" s="41" t="n">
        <f aca="false">D120*I120</f>
        <v>4</v>
      </c>
      <c r="M120" s="41" t="n">
        <f aca="false">IFERROR(INDEX(Raw_Expenses!$C$5:$C$2979,MATCH(A120,Raw_Expenses!$A$5:$A$2979,0)),0)</f>
        <v>0.6</v>
      </c>
      <c r="N120" s="41" t="n">
        <f aca="false">L120+M120</f>
        <v>4.6</v>
      </c>
      <c r="O120" s="41" t="n">
        <f aca="false">K120-N120</f>
        <v>6.94</v>
      </c>
      <c r="P120" s="43" t="n">
        <f aca="false">IF(K120=0,0,O120/K120)</f>
        <v>0.601386481802426</v>
      </c>
    </row>
    <row r="121" customFormat="false" ht="15" hidden="false" customHeight="false" outlineLevel="0" collapsed="false">
      <c r="A121" s="39" t="s">
        <v>242</v>
      </c>
      <c r="B121" s="40" t="n">
        <v>45673</v>
      </c>
      <c r="C121" s="39" t="s">
        <v>130</v>
      </c>
      <c r="D121" s="39" t="n">
        <v>6</v>
      </c>
      <c r="E121" s="41" t="n">
        <v>8.33</v>
      </c>
      <c r="F121" s="39" t="s">
        <v>105</v>
      </c>
      <c r="G121" s="39" t="str">
        <f aca="false">VLOOKUP(C121,Products!$A$5:$D$24,2,FALSE())</f>
        <v>Notebook Set</v>
      </c>
      <c r="H121" s="39" t="str">
        <f aca="false">VLOOKUP(C121,Products!$A$5:$D$24,3,FALSE())</f>
        <v>Stationery</v>
      </c>
      <c r="I121" s="41" t="n">
        <f aca="false">VLOOKUP(C121,Products!$A$5:$D$24,4,FALSE())</f>
        <v>3</v>
      </c>
      <c r="J121" s="42" t="n">
        <f aca="false">DATE(YEAR(B121),MONTH(B121),1)</f>
        <v>45658</v>
      </c>
      <c r="K121" s="41" t="n">
        <f aca="false">D121*E121</f>
        <v>49.98</v>
      </c>
      <c r="L121" s="41" t="n">
        <f aca="false">D121*I121</f>
        <v>18</v>
      </c>
      <c r="M121" s="41" t="n">
        <f aca="false">IFERROR(INDEX(Raw_Expenses!$C$5:$C$2979,MATCH(A121,Raw_Expenses!$A$5:$A$2979,0)),0)</f>
        <v>3.78</v>
      </c>
      <c r="N121" s="41" t="n">
        <f aca="false">L121+M121</f>
        <v>21.78</v>
      </c>
      <c r="O121" s="41" t="n">
        <f aca="false">K121-N121</f>
        <v>28.2</v>
      </c>
      <c r="P121" s="43" t="n">
        <f aca="false">IF(K121=0,0,O121/K121)</f>
        <v>0.564225690276111</v>
      </c>
    </row>
    <row r="122" customFormat="false" ht="15" hidden="false" customHeight="false" outlineLevel="0" collapsed="false">
      <c r="A122" s="39" t="s">
        <v>243</v>
      </c>
      <c r="B122" s="40" t="n">
        <v>45673</v>
      </c>
      <c r="C122" s="39" t="s">
        <v>177</v>
      </c>
      <c r="D122" s="39" t="n">
        <v>4</v>
      </c>
      <c r="E122" s="41" t="n">
        <v>41.45</v>
      </c>
      <c r="F122" s="39" t="s">
        <v>118</v>
      </c>
      <c r="G122" s="39" t="str">
        <f aca="false">VLOOKUP(C122,Products!$A$5:$D$24,2,FALSE())</f>
        <v>Backpack</v>
      </c>
      <c r="H122" s="39" t="str">
        <f aca="false">VLOOKUP(C122,Products!$A$5:$D$24,3,FALSE())</f>
        <v>Accessories</v>
      </c>
      <c r="I122" s="41" t="n">
        <f aca="false">VLOOKUP(C122,Products!$A$5:$D$24,4,FALSE())</f>
        <v>17</v>
      </c>
      <c r="J122" s="42" t="n">
        <f aca="false">DATE(YEAR(B122),MONTH(B122),1)</f>
        <v>45658</v>
      </c>
      <c r="K122" s="41" t="n">
        <f aca="false">D122*E122</f>
        <v>165.8</v>
      </c>
      <c r="L122" s="41" t="n">
        <f aca="false">D122*I122</f>
        <v>68</v>
      </c>
      <c r="M122" s="41" t="n">
        <f aca="false">IFERROR(INDEX(Raw_Expenses!$C$5:$C$2979,MATCH(A122,Raw_Expenses!$A$5:$A$2979,0)),0)</f>
        <v>6.87</v>
      </c>
      <c r="N122" s="41" t="n">
        <f aca="false">L122+M122</f>
        <v>74.87</v>
      </c>
      <c r="O122" s="41" t="n">
        <f aca="false">K122-N122</f>
        <v>90.93</v>
      </c>
      <c r="P122" s="43" t="n">
        <f aca="false">IF(K122=0,0,O122/K122)</f>
        <v>0.548431845597105</v>
      </c>
    </row>
    <row r="123" customFormat="false" ht="15" hidden="false" customHeight="false" outlineLevel="0" collapsed="false">
      <c r="A123" s="39" t="s">
        <v>244</v>
      </c>
      <c r="B123" s="40" t="n">
        <v>45673</v>
      </c>
      <c r="C123" s="39" t="s">
        <v>107</v>
      </c>
      <c r="D123" s="39" t="n">
        <v>2</v>
      </c>
      <c r="E123" s="41" t="n">
        <v>32.57</v>
      </c>
      <c r="F123" s="39" t="s">
        <v>108</v>
      </c>
      <c r="G123" s="39" t="str">
        <f aca="false">VLOOKUP(C123,Products!$A$5:$D$24,2,FALSE())</f>
        <v>USB-C Hub</v>
      </c>
      <c r="H123" s="39" t="str">
        <f aca="false">VLOOKUP(C123,Products!$A$5:$D$24,3,FALSE())</f>
        <v>Electronics</v>
      </c>
      <c r="I123" s="41" t="n">
        <f aca="false">VLOOKUP(C123,Products!$A$5:$D$24,4,FALSE())</f>
        <v>14</v>
      </c>
      <c r="J123" s="42" t="n">
        <f aca="false">DATE(YEAR(B123),MONTH(B123),1)</f>
        <v>45658</v>
      </c>
      <c r="K123" s="41" t="n">
        <f aca="false">D123*E123</f>
        <v>65.14</v>
      </c>
      <c r="L123" s="41" t="n">
        <f aca="false">D123*I123</f>
        <v>28</v>
      </c>
      <c r="M123" s="41" t="n">
        <f aca="false">IFERROR(INDEX(Raw_Expenses!$C$5:$C$2979,MATCH(A123,Raw_Expenses!$A$5:$A$2979,0)),0)</f>
        <v>2.93</v>
      </c>
      <c r="N123" s="41" t="n">
        <f aca="false">L123+M123</f>
        <v>30.93</v>
      </c>
      <c r="O123" s="41" t="n">
        <f aca="false">K123-N123</f>
        <v>34.21</v>
      </c>
      <c r="P123" s="43" t="n">
        <f aca="false">IF(K123=0,0,O123/K123)</f>
        <v>0.525176542830826</v>
      </c>
    </row>
    <row r="124" customFormat="false" ht="15" hidden="false" customHeight="false" outlineLevel="0" collapsed="false">
      <c r="A124" s="39" t="s">
        <v>245</v>
      </c>
      <c r="B124" s="40" t="n">
        <v>45673</v>
      </c>
      <c r="C124" s="39" t="s">
        <v>153</v>
      </c>
      <c r="D124" s="39" t="n">
        <v>3</v>
      </c>
      <c r="E124" s="41" t="n">
        <v>165.82</v>
      </c>
      <c r="F124" s="39" t="s">
        <v>105</v>
      </c>
      <c r="G124" s="39" t="str">
        <f aca="false">VLOOKUP(C124,Products!$A$5:$D$24,2,FALSE())</f>
        <v>24-inch Monitor</v>
      </c>
      <c r="H124" s="39" t="str">
        <f aca="false">VLOOKUP(C124,Products!$A$5:$D$24,3,FALSE())</f>
        <v>Electronics</v>
      </c>
      <c r="I124" s="41" t="n">
        <f aca="false">VLOOKUP(C124,Products!$A$5:$D$24,4,FALSE())</f>
        <v>90</v>
      </c>
      <c r="J124" s="42" t="n">
        <f aca="false">DATE(YEAR(B124),MONTH(B124),1)</f>
        <v>45658</v>
      </c>
      <c r="K124" s="41" t="n">
        <f aca="false">D124*E124</f>
        <v>497.46</v>
      </c>
      <c r="L124" s="41" t="n">
        <f aca="false">D124*I124</f>
        <v>270</v>
      </c>
      <c r="M124" s="41" t="n">
        <f aca="false">IFERROR(INDEX(Raw_Expenses!$C$5:$C$2979,MATCH(A124,Raw_Expenses!$A$5:$A$2979,0)),0)</f>
        <v>41.4</v>
      </c>
      <c r="N124" s="41" t="n">
        <f aca="false">L124+M124</f>
        <v>311.4</v>
      </c>
      <c r="O124" s="41" t="n">
        <f aca="false">K124-N124</f>
        <v>186.06</v>
      </c>
      <c r="P124" s="43" t="n">
        <f aca="false">IF(K124=0,0,O124/K124)</f>
        <v>0.374020021710288</v>
      </c>
    </row>
    <row r="125" customFormat="false" ht="15" hidden="false" customHeight="false" outlineLevel="0" collapsed="false">
      <c r="A125" s="39" t="s">
        <v>246</v>
      </c>
      <c r="B125" s="40" t="n">
        <v>45673</v>
      </c>
      <c r="C125" s="39" t="s">
        <v>128</v>
      </c>
      <c r="D125" s="39" t="n">
        <v>1</v>
      </c>
      <c r="E125" s="41" t="n">
        <v>37.33</v>
      </c>
      <c r="F125" s="39" t="s">
        <v>105</v>
      </c>
      <c r="G125" s="39" t="str">
        <f aca="false">VLOOKUP(C125,Products!$A$5:$D$24,2,FALSE())</f>
        <v>Ergonomic Footrest</v>
      </c>
      <c r="H125" s="39" t="str">
        <f aca="false">VLOOKUP(C125,Products!$A$5:$D$24,3,FALSE())</f>
        <v>Furniture</v>
      </c>
      <c r="I125" s="41" t="n">
        <f aca="false">VLOOKUP(C125,Products!$A$5:$D$24,4,FALSE())</f>
        <v>15</v>
      </c>
      <c r="J125" s="42" t="n">
        <f aca="false">DATE(YEAR(B125),MONTH(B125),1)</f>
        <v>45658</v>
      </c>
      <c r="K125" s="41" t="n">
        <f aca="false">D125*E125</f>
        <v>37.33</v>
      </c>
      <c r="L125" s="41" t="n">
        <f aca="false">D125*I125</f>
        <v>15</v>
      </c>
      <c r="M125" s="41" t="n">
        <f aca="false">IFERROR(INDEX(Raw_Expenses!$C$5:$C$2979,MATCH(A125,Raw_Expenses!$A$5:$A$2979,0)),0)</f>
        <v>2.44</v>
      </c>
      <c r="N125" s="41" t="n">
        <f aca="false">L125+M125</f>
        <v>17.44</v>
      </c>
      <c r="O125" s="41" t="n">
        <f aca="false">K125-N125</f>
        <v>19.89</v>
      </c>
      <c r="P125" s="43" t="n">
        <f aca="false">IF(K125=0,0,O125/K125)</f>
        <v>0.532815429949103</v>
      </c>
    </row>
    <row r="126" customFormat="false" ht="15" hidden="false" customHeight="false" outlineLevel="0" collapsed="false">
      <c r="A126" s="39" t="s">
        <v>247</v>
      </c>
      <c r="B126" s="40" t="n">
        <v>45674</v>
      </c>
      <c r="C126" s="39" t="s">
        <v>183</v>
      </c>
      <c r="D126" s="39" t="n">
        <v>3</v>
      </c>
      <c r="E126" s="41" t="n">
        <v>183.68</v>
      </c>
      <c r="F126" s="39" t="s">
        <v>105</v>
      </c>
      <c r="G126" s="39" t="str">
        <f aca="false">VLOOKUP(C126,Products!$A$5:$D$24,2,FALSE())</f>
        <v>Office Chair</v>
      </c>
      <c r="H126" s="39" t="str">
        <f aca="false">VLOOKUP(C126,Products!$A$5:$D$24,3,FALSE())</f>
        <v>Furniture</v>
      </c>
      <c r="I126" s="41" t="n">
        <f aca="false">VLOOKUP(C126,Products!$A$5:$D$24,4,FALSE())</f>
        <v>85</v>
      </c>
      <c r="J126" s="42" t="n">
        <f aca="false">DATE(YEAR(B126),MONTH(B126),1)</f>
        <v>45658</v>
      </c>
      <c r="K126" s="41" t="n">
        <f aca="false">D126*E126</f>
        <v>551.04</v>
      </c>
      <c r="L126" s="41" t="n">
        <f aca="false">D126*I126</f>
        <v>255</v>
      </c>
      <c r="M126" s="41" t="n">
        <f aca="false">IFERROR(INDEX(Raw_Expenses!$C$5:$C$2979,MATCH(A126,Raw_Expenses!$A$5:$A$2979,0)),0)</f>
        <v>26.16</v>
      </c>
      <c r="N126" s="41" t="n">
        <f aca="false">L126+M126</f>
        <v>281.16</v>
      </c>
      <c r="O126" s="41" t="n">
        <f aca="false">K126-N126</f>
        <v>269.88</v>
      </c>
      <c r="P126" s="43" t="n">
        <f aca="false">IF(K126=0,0,O126/K126)</f>
        <v>0.489764808362369</v>
      </c>
    </row>
    <row r="127" customFormat="false" ht="15" hidden="false" customHeight="false" outlineLevel="0" collapsed="false">
      <c r="A127" s="39" t="s">
        <v>248</v>
      </c>
      <c r="B127" s="40" t="n">
        <v>45674</v>
      </c>
      <c r="C127" s="39" t="s">
        <v>107</v>
      </c>
      <c r="D127" s="39" t="n">
        <v>1</v>
      </c>
      <c r="E127" s="41" t="n">
        <v>34.71</v>
      </c>
      <c r="F127" s="39" t="s">
        <v>118</v>
      </c>
      <c r="G127" s="39" t="str">
        <f aca="false">VLOOKUP(C127,Products!$A$5:$D$24,2,FALSE())</f>
        <v>USB-C Hub</v>
      </c>
      <c r="H127" s="39" t="str">
        <f aca="false">VLOOKUP(C127,Products!$A$5:$D$24,3,FALSE())</f>
        <v>Electronics</v>
      </c>
      <c r="I127" s="41" t="n">
        <f aca="false">VLOOKUP(C127,Products!$A$5:$D$24,4,FALSE())</f>
        <v>14</v>
      </c>
      <c r="J127" s="42" t="n">
        <f aca="false">DATE(YEAR(B127),MONTH(B127),1)</f>
        <v>45658</v>
      </c>
      <c r="K127" s="41" t="n">
        <f aca="false">D127*E127</f>
        <v>34.71</v>
      </c>
      <c r="L127" s="41" t="n">
        <f aca="false">D127*I127</f>
        <v>14</v>
      </c>
      <c r="M127" s="41" t="n">
        <f aca="false">IFERROR(INDEX(Raw_Expenses!$C$5:$C$2979,MATCH(A127,Raw_Expenses!$A$5:$A$2979,0)),0)</f>
        <v>2.72</v>
      </c>
      <c r="N127" s="41" t="n">
        <f aca="false">L127+M127</f>
        <v>16.72</v>
      </c>
      <c r="O127" s="41" t="n">
        <f aca="false">K127-N127</f>
        <v>17.99</v>
      </c>
      <c r="P127" s="43" t="n">
        <f aca="false">IF(K127=0,0,O127/K127)</f>
        <v>0.518294439642754</v>
      </c>
    </row>
    <row r="128" customFormat="false" ht="15" hidden="false" customHeight="false" outlineLevel="0" collapsed="false">
      <c r="A128" s="39" t="s">
        <v>249</v>
      </c>
      <c r="B128" s="40" t="n">
        <v>45674</v>
      </c>
      <c r="C128" s="39" t="s">
        <v>117</v>
      </c>
      <c r="D128" s="39" t="n">
        <v>2</v>
      </c>
      <c r="E128" s="41" t="n">
        <v>29.85</v>
      </c>
      <c r="F128" s="39" t="s">
        <v>118</v>
      </c>
      <c r="G128" s="39" t="str">
        <f aca="false">VLOOKUP(C128,Products!$A$5:$D$24,2,FALSE())</f>
        <v>Desk Lamp</v>
      </c>
      <c r="H128" s="39" t="str">
        <f aca="false">VLOOKUP(C128,Products!$A$5:$D$24,3,FALSE())</f>
        <v>Furniture</v>
      </c>
      <c r="I128" s="41" t="n">
        <f aca="false">VLOOKUP(C128,Products!$A$5:$D$24,4,FALSE())</f>
        <v>13</v>
      </c>
      <c r="J128" s="42" t="n">
        <f aca="false">DATE(YEAR(B128),MONTH(B128),1)</f>
        <v>45658</v>
      </c>
      <c r="K128" s="41" t="n">
        <f aca="false">D128*E128</f>
        <v>59.7</v>
      </c>
      <c r="L128" s="41" t="n">
        <f aca="false">D128*I128</f>
        <v>26</v>
      </c>
      <c r="M128" s="41" t="n">
        <f aca="false">IFERROR(INDEX(Raw_Expenses!$C$5:$C$2979,MATCH(A128,Raw_Expenses!$A$5:$A$2979,0)),0)</f>
        <v>4.51</v>
      </c>
      <c r="N128" s="41" t="n">
        <f aca="false">L128+M128</f>
        <v>30.51</v>
      </c>
      <c r="O128" s="41" t="n">
        <f aca="false">K128-N128</f>
        <v>29.19</v>
      </c>
      <c r="P128" s="43" t="n">
        <f aca="false">IF(K128=0,0,O128/K128)</f>
        <v>0.488944723618091</v>
      </c>
    </row>
    <row r="129" customFormat="false" ht="15" hidden="false" customHeight="false" outlineLevel="0" collapsed="false">
      <c r="A129" s="39" t="s">
        <v>250</v>
      </c>
      <c r="B129" s="40" t="n">
        <v>45674</v>
      </c>
      <c r="C129" s="39" t="s">
        <v>136</v>
      </c>
      <c r="D129" s="39" t="n">
        <v>2</v>
      </c>
      <c r="E129" s="41" t="n">
        <v>78.13</v>
      </c>
      <c r="F129" s="39" t="s">
        <v>118</v>
      </c>
      <c r="G129" s="39" t="str">
        <f aca="false">VLOOKUP(C129,Products!$A$5:$D$24,2,FALSE())</f>
        <v>Mechanical Keyboard</v>
      </c>
      <c r="H129" s="39" t="str">
        <f aca="false">VLOOKUP(C129,Products!$A$5:$D$24,3,FALSE())</f>
        <v>Electronics</v>
      </c>
      <c r="I129" s="41" t="n">
        <f aca="false">VLOOKUP(C129,Products!$A$5:$D$24,4,FALSE())</f>
        <v>38</v>
      </c>
      <c r="J129" s="42" t="n">
        <f aca="false">DATE(YEAR(B129),MONTH(B129),1)</f>
        <v>45658</v>
      </c>
      <c r="K129" s="41" t="n">
        <f aca="false">D129*E129</f>
        <v>156.26</v>
      </c>
      <c r="L129" s="41" t="n">
        <f aca="false">D129*I129</f>
        <v>76</v>
      </c>
      <c r="M129" s="41" t="n">
        <f aca="false">IFERROR(INDEX(Raw_Expenses!$C$5:$C$2979,MATCH(A129,Raw_Expenses!$A$5:$A$2979,0)),0)</f>
        <v>6.93</v>
      </c>
      <c r="N129" s="41" t="n">
        <f aca="false">L129+M129</f>
        <v>82.93</v>
      </c>
      <c r="O129" s="41" t="n">
        <f aca="false">K129-N129</f>
        <v>73.33</v>
      </c>
      <c r="P129" s="43" t="n">
        <f aca="false">IF(K129=0,0,O129/K129)</f>
        <v>0.469281965954179</v>
      </c>
    </row>
    <row r="130" customFormat="false" ht="15" hidden="false" customHeight="false" outlineLevel="0" collapsed="false">
      <c r="A130" s="39" t="s">
        <v>251</v>
      </c>
      <c r="B130" s="40" t="n">
        <v>45674</v>
      </c>
      <c r="C130" s="39" t="s">
        <v>117</v>
      </c>
      <c r="D130" s="39" t="n">
        <v>3</v>
      </c>
      <c r="E130" s="41" t="n">
        <v>30.82</v>
      </c>
      <c r="F130" s="39" t="s">
        <v>118</v>
      </c>
      <c r="G130" s="39" t="str">
        <f aca="false">VLOOKUP(C130,Products!$A$5:$D$24,2,FALSE())</f>
        <v>Desk Lamp</v>
      </c>
      <c r="H130" s="39" t="str">
        <f aca="false">VLOOKUP(C130,Products!$A$5:$D$24,3,FALSE())</f>
        <v>Furniture</v>
      </c>
      <c r="I130" s="41" t="n">
        <f aca="false">VLOOKUP(C130,Products!$A$5:$D$24,4,FALSE())</f>
        <v>13</v>
      </c>
      <c r="J130" s="42" t="n">
        <f aca="false">DATE(YEAR(B130),MONTH(B130),1)</f>
        <v>45658</v>
      </c>
      <c r="K130" s="41" t="n">
        <f aca="false">D130*E130</f>
        <v>92.46</v>
      </c>
      <c r="L130" s="41" t="n">
        <f aca="false">D130*I130</f>
        <v>39</v>
      </c>
      <c r="M130" s="41" t="n">
        <f aca="false">IFERROR(INDEX(Raw_Expenses!$C$5:$C$2979,MATCH(A130,Raw_Expenses!$A$5:$A$2979,0)),0)</f>
        <v>4.95</v>
      </c>
      <c r="N130" s="41" t="n">
        <f aca="false">L130+M130</f>
        <v>43.95</v>
      </c>
      <c r="O130" s="41" t="n">
        <f aca="false">K130-N130</f>
        <v>48.51</v>
      </c>
      <c r="P130" s="43" t="n">
        <f aca="false">IF(K130=0,0,O130/K130)</f>
        <v>0.524659312134977</v>
      </c>
    </row>
    <row r="131" customFormat="false" ht="15" hidden="false" customHeight="false" outlineLevel="0" collapsed="false">
      <c r="A131" s="39" t="s">
        <v>252</v>
      </c>
      <c r="B131" s="40" t="n">
        <v>45674</v>
      </c>
      <c r="C131" s="39" t="s">
        <v>162</v>
      </c>
      <c r="D131" s="39" t="n">
        <v>1</v>
      </c>
      <c r="E131" s="41" t="n">
        <v>68.63</v>
      </c>
      <c r="F131" s="39" t="s">
        <v>105</v>
      </c>
      <c r="G131" s="39" t="str">
        <f aca="false">VLOOKUP(C131,Products!$A$5:$D$24,2,FALSE())</f>
        <v>Bluetooth Speaker</v>
      </c>
      <c r="H131" s="39" t="str">
        <f aca="false">VLOOKUP(C131,Products!$A$5:$D$24,3,FALSE())</f>
        <v>Electronics</v>
      </c>
      <c r="I131" s="41" t="n">
        <f aca="false">VLOOKUP(C131,Products!$A$5:$D$24,4,FALSE())</f>
        <v>28</v>
      </c>
      <c r="J131" s="42" t="n">
        <f aca="false">DATE(YEAR(B131),MONTH(B131),1)</f>
        <v>45658</v>
      </c>
      <c r="K131" s="41" t="n">
        <f aca="false">D131*E131</f>
        <v>68.63</v>
      </c>
      <c r="L131" s="41" t="n">
        <f aca="false">D131*I131</f>
        <v>28</v>
      </c>
      <c r="M131" s="41" t="n">
        <f aca="false">IFERROR(INDEX(Raw_Expenses!$C$5:$C$2979,MATCH(A131,Raw_Expenses!$A$5:$A$2979,0)),0)</f>
        <v>3.58</v>
      </c>
      <c r="N131" s="41" t="n">
        <f aca="false">L131+M131</f>
        <v>31.58</v>
      </c>
      <c r="O131" s="41" t="n">
        <f aca="false">K131-N131</f>
        <v>37.05</v>
      </c>
      <c r="P131" s="43" t="n">
        <f aca="false">IF(K131=0,0,O131/K131)</f>
        <v>0.539851376948856</v>
      </c>
    </row>
    <row r="132" customFormat="false" ht="15" hidden="false" customHeight="false" outlineLevel="0" collapsed="false">
      <c r="A132" s="39" t="s">
        <v>253</v>
      </c>
      <c r="B132" s="40" t="n">
        <v>45675</v>
      </c>
      <c r="C132" s="39" t="s">
        <v>133</v>
      </c>
      <c r="D132" s="39" t="n">
        <v>5</v>
      </c>
      <c r="E132" s="41" t="n">
        <v>8.31</v>
      </c>
      <c r="F132" s="39" t="s">
        <v>118</v>
      </c>
      <c r="G132" s="39" t="str">
        <f aca="false">VLOOKUP(C132,Products!$A$5:$D$24,2,FALSE())</f>
        <v>Printer Paper Ream</v>
      </c>
      <c r="H132" s="39" t="str">
        <f aca="false">VLOOKUP(C132,Products!$A$5:$D$24,3,FALSE())</f>
        <v>Stationery</v>
      </c>
      <c r="I132" s="41" t="n">
        <f aca="false">VLOOKUP(C132,Products!$A$5:$D$24,4,FALSE())</f>
        <v>4</v>
      </c>
      <c r="J132" s="42" t="n">
        <f aca="false">DATE(YEAR(B132),MONTH(B132),1)</f>
        <v>45658</v>
      </c>
      <c r="K132" s="41" t="n">
        <f aca="false">D132*E132</f>
        <v>41.55</v>
      </c>
      <c r="L132" s="41" t="n">
        <f aca="false">D132*I132</f>
        <v>20</v>
      </c>
      <c r="M132" s="41" t="n">
        <f aca="false">IFERROR(INDEX(Raw_Expenses!$C$5:$C$2979,MATCH(A132,Raw_Expenses!$A$5:$A$2979,0)),0)</f>
        <v>3.62</v>
      </c>
      <c r="N132" s="41" t="n">
        <f aca="false">L132+M132</f>
        <v>23.62</v>
      </c>
      <c r="O132" s="41" t="n">
        <f aca="false">K132-N132</f>
        <v>17.93</v>
      </c>
      <c r="P132" s="43" t="n">
        <f aca="false">IF(K132=0,0,O132/K132)</f>
        <v>0.431528279181709</v>
      </c>
    </row>
    <row r="133" customFormat="false" ht="15" hidden="false" customHeight="false" outlineLevel="0" collapsed="false">
      <c r="A133" s="39" t="s">
        <v>254</v>
      </c>
      <c r="B133" s="40" t="n">
        <v>45675</v>
      </c>
      <c r="C133" s="39" t="s">
        <v>121</v>
      </c>
      <c r="D133" s="39" t="n">
        <v>6</v>
      </c>
      <c r="E133" s="41" t="n">
        <v>114.65</v>
      </c>
      <c r="F133" s="39" t="s">
        <v>108</v>
      </c>
      <c r="G133" s="39" t="str">
        <f aca="false">VLOOKUP(C133,Products!$A$5:$D$24,2,FALSE())</f>
        <v>External SSD 1TB</v>
      </c>
      <c r="H133" s="39" t="str">
        <f aca="false">VLOOKUP(C133,Products!$A$5:$D$24,3,FALSE())</f>
        <v>Electronics</v>
      </c>
      <c r="I133" s="41" t="n">
        <f aca="false">VLOOKUP(C133,Products!$A$5:$D$24,4,FALSE())</f>
        <v>62</v>
      </c>
      <c r="J133" s="42" t="n">
        <f aca="false">DATE(YEAR(B133),MONTH(B133),1)</f>
        <v>45658</v>
      </c>
      <c r="K133" s="41" t="n">
        <f aca="false">D133*E133</f>
        <v>687.9</v>
      </c>
      <c r="L133" s="41" t="n">
        <f aca="false">D133*I133</f>
        <v>372</v>
      </c>
      <c r="M133" s="41" t="n">
        <f aca="false">IFERROR(INDEX(Raw_Expenses!$C$5:$C$2979,MATCH(A133,Raw_Expenses!$A$5:$A$2979,0)),0)</f>
        <v>28.56</v>
      </c>
      <c r="N133" s="41" t="n">
        <f aca="false">L133+M133</f>
        <v>400.56</v>
      </c>
      <c r="O133" s="41" t="n">
        <f aca="false">K133-N133</f>
        <v>287.34</v>
      </c>
      <c r="P133" s="43" t="n">
        <f aca="false">IF(K133=0,0,O133/K133)</f>
        <v>0.417706061927606</v>
      </c>
    </row>
    <row r="134" customFormat="false" ht="15" hidden="false" customHeight="false" outlineLevel="0" collapsed="false">
      <c r="A134" s="39" t="s">
        <v>255</v>
      </c>
      <c r="B134" s="40" t="n">
        <v>45675</v>
      </c>
      <c r="C134" s="39" t="s">
        <v>114</v>
      </c>
      <c r="D134" s="39" t="n">
        <v>6</v>
      </c>
      <c r="E134" s="41" t="n">
        <v>5.9</v>
      </c>
      <c r="F134" s="39" t="s">
        <v>118</v>
      </c>
      <c r="G134" s="39" t="str">
        <f aca="false">VLOOKUP(C134,Products!$A$5:$D$24,2,FALSE())</f>
        <v>Gel Pen Pack</v>
      </c>
      <c r="H134" s="39" t="str">
        <f aca="false">VLOOKUP(C134,Products!$A$5:$D$24,3,FALSE())</f>
        <v>Stationery</v>
      </c>
      <c r="I134" s="41" t="n">
        <f aca="false">VLOOKUP(C134,Products!$A$5:$D$24,4,FALSE())</f>
        <v>2</v>
      </c>
      <c r="J134" s="42" t="n">
        <f aca="false">DATE(YEAR(B134),MONTH(B134),1)</f>
        <v>45658</v>
      </c>
      <c r="K134" s="41" t="n">
        <f aca="false">D134*E134</f>
        <v>35.4</v>
      </c>
      <c r="L134" s="41" t="n">
        <f aca="false">D134*I134</f>
        <v>12</v>
      </c>
      <c r="M134" s="41" t="n">
        <f aca="false">IFERROR(INDEX(Raw_Expenses!$C$5:$C$2979,MATCH(A134,Raw_Expenses!$A$5:$A$2979,0)),0)</f>
        <v>2.48</v>
      </c>
      <c r="N134" s="41" t="n">
        <f aca="false">L134+M134</f>
        <v>14.48</v>
      </c>
      <c r="O134" s="41" t="n">
        <f aca="false">K134-N134</f>
        <v>20.92</v>
      </c>
      <c r="P134" s="43" t="n">
        <f aca="false">IF(K134=0,0,O134/K134)</f>
        <v>0.590960451977401</v>
      </c>
    </row>
    <row r="135" customFormat="false" ht="15" hidden="false" customHeight="false" outlineLevel="0" collapsed="false">
      <c r="A135" s="39" t="s">
        <v>256</v>
      </c>
      <c r="B135" s="40" t="n">
        <v>45676</v>
      </c>
      <c r="C135" s="39" t="s">
        <v>117</v>
      </c>
      <c r="D135" s="39" t="n">
        <v>1</v>
      </c>
      <c r="E135" s="41" t="n">
        <v>31.87</v>
      </c>
      <c r="F135" s="39" t="s">
        <v>115</v>
      </c>
      <c r="G135" s="39" t="str">
        <f aca="false">VLOOKUP(C135,Products!$A$5:$D$24,2,FALSE())</f>
        <v>Desk Lamp</v>
      </c>
      <c r="H135" s="39" t="str">
        <f aca="false">VLOOKUP(C135,Products!$A$5:$D$24,3,FALSE())</f>
        <v>Furniture</v>
      </c>
      <c r="I135" s="41" t="n">
        <f aca="false">VLOOKUP(C135,Products!$A$5:$D$24,4,FALSE())</f>
        <v>13</v>
      </c>
      <c r="J135" s="42" t="n">
        <f aca="false">DATE(YEAR(B135),MONTH(B135),1)</f>
        <v>45658</v>
      </c>
      <c r="K135" s="41" t="n">
        <f aca="false">D135*E135</f>
        <v>31.87</v>
      </c>
      <c r="L135" s="41" t="n">
        <f aca="false">D135*I135</f>
        <v>13</v>
      </c>
      <c r="M135" s="41" t="n">
        <f aca="false">IFERROR(INDEX(Raw_Expenses!$C$5:$C$2979,MATCH(A135,Raw_Expenses!$A$5:$A$2979,0)),0)</f>
        <v>1.49</v>
      </c>
      <c r="N135" s="41" t="n">
        <f aca="false">L135+M135</f>
        <v>14.49</v>
      </c>
      <c r="O135" s="41" t="n">
        <f aca="false">K135-N135</f>
        <v>17.38</v>
      </c>
      <c r="P135" s="43" t="n">
        <f aca="false">IF(K135=0,0,O135/K135)</f>
        <v>0.545340445560088</v>
      </c>
    </row>
    <row r="136" customFormat="false" ht="15" hidden="false" customHeight="false" outlineLevel="0" collapsed="false">
      <c r="A136" s="39" t="s">
        <v>257</v>
      </c>
      <c r="B136" s="40" t="n">
        <v>45676</v>
      </c>
      <c r="C136" s="39" t="s">
        <v>107</v>
      </c>
      <c r="D136" s="39" t="n">
        <v>1</v>
      </c>
      <c r="E136" s="41" t="n">
        <v>33</v>
      </c>
      <c r="F136" s="39" t="s">
        <v>105</v>
      </c>
      <c r="G136" s="39" t="str">
        <f aca="false">VLOOKUP(C136,Products!$A$5:$D$24,2,FALSE())</f>
        <v>USB-C Hub</v>
      </c>
      <c r="H136" s="39" t="str">
        <f aca="false">VLOOKUP(C136,Products!$A$5:$D$24,3,FALSE())</f>
        <v>Electronics</v>
      </c>
      <c r="I136" s="41" t="n">
        <f aca="false">VLOOKUP(C136,Products!$A$5:$D$24,4,FALSE())</f>
        <v>14</v>
      </c>
      <c r="J136" s="42" t="n">
        <f aca="false">DATE(YEAR(B136),MONTH(B136),1)</f>
        <v>45658</v>
      </c>
      <c r="K136" s="41" t="n">
        <f aca="false">D136*E136</f>
        <v>33</v>
      </c>
      <c r="L136" s="41" t="n">
        <f aca="false">D136*I136</f>
        <v>14</v>
      </c>
      <c r="M136" s="41" t="n">
        <f aca="false">IFERROR(INDEX(Raw_Expenses!$C$5:$C$2979,MATCH(A136,Raw_Expenses!$A$5:$A$2979,0)),0)</f>
        <v>2.31</v>
      </c>
      <c r="N136" s="41" t="n">
        <f aca="false">L136+M136</f>
        <v>16.31</v>
      </c>
      <c r="O136" s="41" t="n">
        <f aca="false">K136-N136</f>
        <v>16.69</v>
      </c>
      <c r="P136" s="43" t="n">
        <f aca="false">IF(K136=0,0,O136/K136)</f>
        <v>0.505757575757576</v>
      </c>
    </row>
    <row r="137" customFormat="false" ht="15" hidden="false" customHeight="false" outlineLevel="0" collapsed="false">
      <c r="A137" s="39" t="s">
        <v>258</v>
      </c>
      <c r="B137" s="40" t="n">
        <v>45676</v>
      </c>
      <c r="C137" s="39" t="s">
        <v>133</v>
      </c>
      <c r="D137" s="39" t="n">
        <v>1</v>
      </c>
      <c r="E137" s="41" t="n">
        <v>8.5</v>
      </c>
      <c r="F137" s="39" t="s">
        <v>115</v>
      </c>
      <c r="G137" s="39" t="str">
        <f aca="false">VLOOKUP(C137,Products!$A$5:$D$24,2,FALSE())</f>
        <v>Printer Paper Ream</v>
      </c>
      <c r="H137" s="39" t="str">
        <f aca="false">VLOOKUP(C137,Products!$A$5:$D$24,3,FALSE())</f>
        <v>Stationery</v>
      </c>
      <c r="I137" s="41" t="n">
        <f aca="false">VLOOKUP(C137,Products!$A$5:$D$24,4,FALSE())</f>
        <v>4</v>
      </c>
      <c r="J137" s="42" t="n">
        <f aca="false">DATE(YEAR(B137),MONTH(B137),1)</f>
        <v>45658</v>
      </c>
      <c r="K137" s="41" t="n">
        <f aca="false">D137*E137</f>
        <v>8.5</v>
      </c>
      <c r="L137" s="41" t="n">
        <f aca="false">D137*I137</f>
        <v>4</v>
      </c>
      <c r="M137" s="41" t="n">
        <f aca="false">IFERROR(INDEX(Raw_Expenses!$C$5:$C$2979,MATCH(A137,Raw_Expenses!$A$5:$A$2979,0)),0)</f>
        <v>0.67</v>
      </c>
      <c r="N137" s="41" t="n">
        <f aca="false">L137+M137</f>
        <v>4.67</v>
      </c>
      <c r="O137" s="41" t="n">
        <f aca="false">K137-N137</f>
        <v>3.83</v>
      </c>
      <c r="P137" s="43" t="n">
        <f aca="false">IF(K137=0,0,O137/K137)</f>
        <v>0.450588235294118</v>
      </c>
    </row>
    <row r="138" customFormat="false" ht="15" hidden="false" customHeight="false" outlineLevel="0" collapsed="false">
      <c r="A138" s="39" t="s">
        <v>259</v>
      </c>
      <c r="B138" s="40" t="n">
        <v>45676</v>
      </c>
      <c r="C138" s="39" t="s">
        <v>183</v>
      </c>
      <c r="D138" s="39" t="n">
        <v>1</v>
      </c>
      <c r="E138" s="41" t="n">
        <v>181.14</v>
      </c>
      <c r="F138" s="39" t="s">
        <v>115</v>
      </c>
      <c r="G138" s="39" t="str">
        <f aca="false">VLOOKUP(C138,Products!$A$5:$D$24,2,FALSE())</f>
        <v>Office Chair</v>
      </c>
      <c r="H138" s="39" t="str">
        <f aca="false">VLOOKUP(C138,Products!$A$5:$D$24,3,FALSE())</f>
        <v>Furniture</v>
      </c>
      <c r="I138" s="41" t="n">
        <f aca="false">VLOOKUP(C138,Products!$A$5:$D$24,4,FALSE())</f>
        <v>85</v>
      </c>
      <c r="J138" s="42" t="n">
        <f aca="false">DATE(YEAR(B138),MONTH(B138),1)</f>
        <v>45658</v>
      </c>
      <c r="K138" s="41" t="n">
        <f aca="false">D138*E138</f>
        <v>181.14</v>
      </c>
      <c r="L138" s="41" t="n">
        <f aca="false">D138*I138</f>
        <v>85</v>
      </c>
      <c r="M138" s="41" t="n">
        <f aca="false">IFERROR(INDEX(Raw_Expenses!$C$5:$C$2979,MATCH(A138,Raw_Expenses!$A$5:$A$2979,0)),0)</f>
        <v>8.21</v>
      </c>
      <c r="N138" s="41" t="n">
        <f aca="false">L138+M138</f>
        <v>93.21</v>
      </c>
      <c r="O138" s="41" t="n">
        <f aca="false">K138-N138</f>
        <v>87.93</v>
      </c>
      <c r="P138" s="43" t="n">
        <f aca="false">IF(K138=0,0,O138/K138)</f>
        <v>0.485425637628354</v>
      </c>
    </row>
    <row r="139" customFormat="false" ht="15" hidden="false" customHeight="false" outlineLevel="0" collapsed="false">
      <c r="A139" s="39" t="s">
        <v>260</v>
      </c>
      <c r="B139" s="40" t="n">
        <v>45676</v>
      </c>
      <c r="C139" s="39" t="s">
        <v>126</v>
      </c>
      <c r="D139" s="39" t="n">
        <v>1</v>
      </c>
      <c r="E139" s="41" t="n">
        <v>23.19</v>
      </c>
      <c r="F139" s="39" t="s">
        <v>105</v>
      </c>
      <c r="G139" s="39" t="str">
        <f aca="false">VLOOKUP(C139,Products!$A$5:$D$24,2,FALSE())</f>
        <v>Wireless Mouse</v>
      </c>
      <c r="H139" s="39" t="str">
        <f aca="false">VLOOKUP(C139,Products!$A$5:$D$24,3,FALSE())</f>
        <v>Electronics</v>
      </c>
      <c r="I139" s="41" t="n">
        <f aca="false">VLOOKUP(C139,Products!$A$5:$D$24,4,FALSE())</f>
        <v>12</v>
      </c>
      <c r="J139" s="42" t="n">
        <f aca="false">DATE(YEAR(B139),MONTH(B139),1)</f>
        <v>45658</v>
      </c>
      <c r="K139" s="41" t="n">
        <f aca="false">D139*E139</f>
        <v>23.19</v>
      </c>
      <c r="L139" s="41" t="n">
        <f aca="false">D139*I139</f>
        <v>12</v>
      </c>
      <c r="M139" s="41" t="n">
        <f aca="false">IFERROR(INDEX(Raw_Expenses!$C$5:$C$2979,MATCH(A139,Raw_Expenses!$A$5:$A$2979,0)),0)</f>
        <v>0.99</v>
      </c>
      <c r="N139" s="41" t="n">
        <f aca="false">L139+M139</f>
        <v>12.99</v>
      </c>
      <c r="O139" s="41" t="n">
        <f aca="false">K139-N139</f>
        <v>10.2</v>
      </c>
      <c r="P139" s="43" t="n">
        <f aca="false">IF(K139=0,0,O139/K139)</f>
        <v>0.439844760672704</v>
      </c>
    </row>
    <row r="140" customFormat="false" ht="15" hidden="false" customHeight="false" outlineLevel="0" collapsed="false">
      <c r="A140" s="39" t="s">
        <v>261</v>
      </c>
      <c r="B140" s="40" t="n">
        <v>45676</v>
      </c>
      <c r="C140" s="39" t="s">
        <v>133</v>
      </c>
      <c r="D140" s="39" t="n">
        <v>2</v>
      </c>
      <c r="E140" s="41" t="n">
        <v>8.8</v>
      </c>
      <c r="F140" s="39" t="s">
        <v>105</v>
      </c>
      <c r="G140" s="39" t="str">
        <f aca="false">VLOOKUP(C140,Products!$A$5:$D$24,2,FALSE())</f>
        <v>Printer Paper Ream</v>
      </c>
      <c r="H140" s="39" t="str">
        <f aca="false">VLOOKUP(C140,Products!$A$5:$D$24,3,FALSE())</f>
        <v>Stationery</v>
      </c>
      <c r="I140" s="41" t="n">
        <f aca="false">VLOOKUP(C140,Products!$A$5:$D$24,4,FALSE())</f>
        <v>4</v>
      </c>
      <c r="J140" s="42" t="n">
        <f aca="false">DATE(YEAR(B140),MONTH(B140),1)</f>
        <v>45658</v>
      </c>
      <c r="K140" s="41" t="n">
        <f aca="false">D140*E140</f>
        <v>17.6</v>
      </c>
      <c r="L140" s="41" t="n">
        <f aca="false">D140*I140</f>
        <v>8</v>
      </c>
      <c r="M140" s="41" t="n">
        <f aca="false">IFERROR(INDEX(Raw_Expenses!$C$5:$C$2979,MATCH(A140,Raw_Expenses!$A$5:$A$2979,0)),0)</f>
        <v>0.79</v>
      </c>
      <c r="N140" s="41" t="n">
        <f aca="false">L140+M140</f>
        <v>8.79</v>
      </c>
      <c r="O140" s="41" t="n">
        <f aca="false">K140-N140</f>
        <v>8.81</v>
      </c>
      <c r="P140" s="43" t="n">
        <f aca="false">IF(K140=0,0,O140/K140)</f>
        <v>0.500568181818182</v>
      </c>
    </row>
    <row r="141" customFormat="false" ht="15" hidden="false" customHeight="false" outlineLevel="0" collapsed="false">
      <c r="A141" s="39" t="s">
        <v>262</v>
      </c>
      <c r="B141" s="40" t="n">
        <v>45676</v>
      </c>
      <c r="C141" s="39" t="s">
        <v>133</v>
      </c>
      <c r="D141" s="39" t="n">
        <v>2</v>
      </c>
      <c r="E141" s="41" t="n">
        <v>8.8</v>
      </c>
      <c r="F141" s="39" t="s">
        <v>108</v>
      </c>
      <c r="G141" s="39" t="str">
        <f aca="false">VLOOKUP(C141,Products!$A$5:$D$24,2,FALSE())</f>
        <v>Printer Paper Ream</v>
      </c>
      <c r="H141" s="39" t="str">
        <f aca="false">VLOOKUP(C141,Products!$A$5:$D$24,3,FALSE())</f>
        <v>Stationery</v>
      </c>
      <c r="I141" s="41" t="n">
        <f aca="false">VLOOKUP(C141,Products!$A$5:$D$24,4,FALSE())</f>
        <v>4</v>
      </c>
      <c r="J141" s="42" t="n">
        <f aca="false">DATE(YEAR(B141),MONTH(B141),1)</f>
        <v>45658</v>
      </c>
      <c r="K141" s="41" t="n">
        <f aca="false">D141*E141</f>
        <v>17.6</v>
      </c>
      <c r="L141" s="41" t="n">
        <f aca="false">D141*I141</f>
        <v>8</v>
      </c>
      <c r="M141" s="41" t="n">
        <f aca="false">IFERROR(INDEX(Raw_Expenses!$C$5:$C$2979,MATCH(A141,Raw_Expenses!$A$5:$A$2979,0)),0)</f>
        <v>1.51</v>
      </c>
      <c r="N141" s="41" t="n">
        <f aca="false">L141+M141</f>
        <v>9.51</v>
      </c>
      <c r="O141" s="41" t="n">
        <f aca="false">K141-N141</f>
        <v>8.09</v>
      </c>
      <c r="P141" s="43" t="n">
        <f aca="false">IF(K141=0,0,O141/K141)</f>
        <v>0.459659090909091</v>
      </c>
    </row>
    <row r="142" customFormat="false" ht="15" hidden="false" customHeight="false" outlineLevel="0" collapsed="false">
      <c r="A142" s="39" t="s">
        <v>263</v>
      </c>
      <c r="B142" s="40" t="n">
        <v>45676</v>
      </c>
      <c r="C142" s="39" t="s">
        <v>183</v>
      </c>
      <c r="D142" s="39" t="n">
        <v>4</v>
      </c>
      <c r="E142" s="41" t="n">
        <v>183.65</v>
      </c>
      <c r="F142" s="39" t="s">
        <v>118</v>
      </c>
      <c r="G142" s="39" t="str">
        <f aca="false">VLOOKUP(C142,Products!$A$5:$D$24,2,FALSE())</f>
        <v>Office Chair</v>
      </c>
      <c r="H142" s="39" t="str">
        <f aca="false">VLOOKUP(C142,Products!$A$5:$D$24,3,FALSE())</f>
        <v>Furniture</v>
      </c>
      <c r="I142" s="41" t="n">
        <f aca="false">VLOOKUP(C142,Products!$A$5:$D$24,4,FALSE())</f>
        <v>85</v>
      </c>
      <c r="J142" s="42" t="n">
        <f aca="false">DATE(YEAR(B142),MONTH(B142),1)</f>
        <v>45658</v>
      </c>
      <c r="K142" s="41" t="n">
        <f aca="false">D142*E142</f>
        <v>734.6</v>
      </c>
      <c r="L142" s="41" t="n">
        <f aca="false">D142*I142</f>
        <v>340</v>
      </c>
      <c r="M142" s="41" t="n">
        <f aca="false">IFERROR(INDEX(Raw_Expenses!$C$5:$C$2979,MATCH(A142,Raw_Expenses!$A$5:$A$2979,0)),0)</f>
        <v>43.39</v>
      </c>
      <c r="N142" s="41" t="n">
        <f aca="false">L142+M142</f>
        <v>383.39</v>
      </c>
      <c r="O142" s="41" t="n">
        <f aca="false">K142-N142</f>
        <v>351.21</v>
      </c>
      <c r="P142" s="43" t="n">
        <f aca="false">IF(K142=0,0,O142/K142)</f>
        <v>0.47809692349578</v>
      </c>
    </row>
    <row r="143" customFormat="false" ht="15" hidden="false" customHeight="false" outlineLevel="0" collapsed="false">
      <c r="A143" s="39" t="s">
        <v>264</v>
      </c>
      <c r="B143" s="40" t="n">
        <v>45676</v>
      </c>
      <c r="C143" s="39" t="s">
        <v>126</v>
      </c>
      <c r="D143" s="39" t="n">
        <v>2</v>
      </c>
      <c r="E143" s="41" t="n">
        <v>24.11</v>
      </c>
      <c r="F143" s="39" t="s">
        <v>105</v>
      </c>
      <c r="G143" s="39" t="str">
        <f aca="false">VLOOKUP(C143,Products!$A$5:$D$24,2,FALSE())</f>
        <v>Wireless Mouse</v>
      </c>
      <c r="H143" s="39" t="str">
        <f aca="false">VLOOKUP(C143,Products!$A$5:$D$24,3,FALSE())</f>
        <v>Electronics</v>
      </c>
      <c r="I143" s="41" t="n">
        <f aca="false">VLOOKUP(C143,Products!$A$5:$D$24,4,FALSE())</f>
        <v>12</v>
      </c>
      <c r="J143" s="42" t="n">
        <f aca="false">DATE(YEAR(B143),MONTH(B143),1)</f>
        <v>45658</v>
      </c>
      <c r="K143" s="41" t="n">
        <f aca="false">D143*E143</f>
        <v>48.22</v>
      </c>
      <c r="L143" s="41" t="n">
        <f aca="false">D143*I143</f>
        <v>24</v>
      </c>
      <c r="M143" s="41" t="n">
        <f aca="false">IFERROR(INDEX(Raw_Expenses!$C$5:$C$2979,MATCH(A143,Raw_Expenses!$A$5:$A$2979,0)),0)</f>
        <v>3.3</v>
      </c>
      <c r="N143" s="41" t="n">
        <f aca="false">L143+M143</f>
        <v>27.3</v>
      </c>
      <c r="O143" s="41" t="n">
        <f aca="false">K143-N143</f>
        <v>20.92</v>
      </c>
      <c r="P143" s="43" t="n">
        <f aca="false">IF(K143=0,0,O143/K143)</f>
        <v>0.433844877644131</v>
      </c>
    </row>
    <row r="144" customFormat="false" ht="15" hidden="false" customHeight="false" outlineLevel="0" collapsed="false">
      <c r="A144" s="39" t="s">
        <v>265</v>
      </c>
      <c r="B144" s="40" t="n">
        <v>45677</v>
      </c>
      <c r="C144" s="39" t="s">
        <v>162</v>
      </c>
      <c r="D144" s="39" t="n">
        <v>4</v>
      </c>
      <c r="E144" s="41" t="n">
        <v>65.14</v>
      </c>
      <c r="F144" s="39" t="s">
        <v>118</v>
      </c>
      <c r="G144" s="39" t="str">
        <f aca="false">VLOOKUP(C144,Products!$A$5:$D$24,2,FALSE())</f>
        <v>Bluetooth Speaker</v>
      </c>
      <c r="H144" s="39" t="str">
        <f aca="false">VLOOKUP(C144,Products!$A$5:$D$24,3,FALSE())</f>
        <v>Electronics</v>
      </c>
      <c r="I144" s="41" t="n">
        <f aca="false">VLOOKUP(C144,Products!$A$5:$D$24,4,FALSE())</f>
        <v>28</v>
      </c>
      <c r="J144" s="42" t="n">
        <f aca="false">DATE(YEAR(B144),MONTH(B144),1)</f>
        <v>45658</v>
      </c>
      <c r="K144" s="41" t="n">
        <f aca="false">D144*E144</f>
        <v>260.56</v>
      </c>
      <c r="L144" s="41" t="n">
        <f aca="false">D144*I144</f>
        <v>112</v>
      </c>
      <c r="M144" s="41" t="n">
        <f aca="false">IFERROR(INDEX(Raw_Expenses!$C$5:$C$2979,MATCH(A144,Raw_Expenses!$A$5:$A$2979,0)),0)</f>
        <v>12.38</v>
      </c>
      <c r="N144" s="41" t="n">
        <f aca="false">L144+M144</f>
        <v>124.38</v>
      </c>
      <c r="O144" s="41" t="n">
        <f aca="false">K144-N144</f>
        <v>136.18</v>
      </c>
      <c r="P144" s="43" t="n">
        <f aca="false">IF(K144=0,0,O144/K144)</f>
        <v>0.522643536997237</v>
      </c>
    </row>
    <row r="145" customFormat="false" ht="15" hidden="false" customHeight="false" outlineLevel="0" collapsed="false">
      <c r="A145" s="39" t="s">
        <v>266</v>
      </c>
      <c r="B145" s="40" t="n">
        <v>45677</v>
      </c>
      <c r="C145" s="39" t="s">
        <v>130</v>
      </c>
      <c r="D145" s="39" t="n">
        <v>1</v>
      </c>
      <c r="E145" s="41" t="n">
        <v>8.47</v>
      </c>
      <c r="F145" s="39" t="s">
        <v>105</v>
      </c>
      <c r="G145" s="39" t="str">
        <f aca="false">VLOOKUP(C145,Products!$A$5:$D$24,2,FALSE())</f>
        <v>Notebook Set</v>
      </c>
      <c r="H145" s="39" t="str">
        <f aca="false">VLOOKUP(C145,Products!$A$5:$D$24,3,FALSE())</f>
        <v>Stationery</v>
      </c>
      <c r="I145" s="41" t="n">
        <f aca="false">VLOOKUP(C145,Products!$A$5:$D$24,4,FALSE())</f>
        <v>3</v>
      </c>
      <c r="J145" s="42" t="n">
        <f aca="false">DATE(YEAR(B145),MONTH(B145),1)</f>
        <v>45658</v>
      </c>
      <c r="K145" s="41" t="n">
        <f aca="false">D145*E145</f>
        <v>8.47</v>
      </c>
      <c r="L145" s="41" t="n">
        <f aca="false">D145*I145</f>
        <v>3</v>
      </c>
      <c r="M145" s="41" t="n">
        <f aca="false">IFERROR(INDEX(Raw_Expenses!$C$5:$C$2979,MATCH(A145,Raw_Expenses!$A$5:$A$2979,0)),0)</f>
        <v>0.39</v>
      </c>
      <c r="N145" s="41" t="n">
        <f aca="false">L145+M145</f>
        <v>3.39</v>
      </c>
      <c r="O145" s="41" t="n">
        <f aca="false">K145-N145</f>
        <v>5.08</v>
      </c>
      <c r="P145" s="43" t="n">
        <f aca="false">IF(K145=0,0,O145/K145)</f>
        <v>0.599763872491145</v>
      </c>
    </row>
    <row r="146" customFormat="false" ht="15" hidden="false" customHeight="false" outlineLevel="0" collapsed="false">
      <c r="A146" s="39" t="s">
        <v>267</v>
      </c>
      <c r="B146" s="40" t="n">
        <v>45677</v>
      </c>
      <c r="C146" s="39" t="s">
        <v>153</v>
      </c>
      <c r="D146" s="39" t="n">
        <v>1</v>
      </c>
      <c r="E146" s="41" t="n">
        <v>175.91</v>
      </c>
      <c r="F146" s="39" t="s">
        <v>118</v>
      </c>
      <c r="G146" s="39" t="str">
        <f aca="false">VLOOKUP(C146,Products!$A$5:$D$24,2,FALSE())</f>
        <v>24-inch Monitor</v>
      </c>
      <c r="H146" s="39" t="str">
        <f aca="false">VLOOKUP(C146,Products!$A$5:$D$24,3,FALSE())</f>
        <v>Electronics</v>
      </c>
      <c r="I146" s="41" t="n">
        <f aca="false">VLOOKUP(C146,Products!$A$5:$D$24,4,FALSE())</f>
        <v>90</v>
      </c>
      <c r="J146" s="42" t="n">
        <f aca="false">DATE(YEAR(B146),MONTH(B146),1)</f>
        <v>45658</v>
      </c>
      <c r="K146" s="41" t="n">
        <f aca="false">D146*E146</f>
        <v>175.91</v>
      </c>
      <c r="L146" s="41" t="n">
        <f aca="false">D146*I146</f>
        <v>90</v>
      </c>
      <c r="M146" s="41" t="n">
        <f aca="false">IFERROR(INDEX(Raw_Expenses!$C$5:$C$2979,MATCH(A146,Raw_Expenses!$A$5:$A$2979,0)),0)</f>
        <v>14.61</v>
      </c>
      <c r="N146" s="41" t="n">
        <f aca="false">L146+M146</f>
        <v>104.61</v>
      </c>
      <c r="O146" s="41" t="n">
        <f aca="false">K146-N146</f>
        <v>71.3</v>
      </c>
      <c r="P146" s="43" t="n">
        <f aca="false">IF(K146=0,0,O146/K146)</f>
        <v>0.405320902734353</v>
      </c>
    </row>
    <row r="147" customFormat="false" ht="15" hidden="false" customHeight="false" outlineLevel="0" collapsed="false">
      <c r="A147" s="39" t="s">
        <v>268</v>
      </c>
      <c r="B147" s="40" t="n">
        <v>45677</v>
      </c>
      <c r="C147" s="39" t="s">
        <v>128</v>
      </c>
      <c r="D147" s="39" t="n">
        <v>2</v>
      </c>
      <c r="E147" s="41" t="n">
        <v>36.65</v>
      </c>
      <c r="F147" s="39" t="s">
        <v>105</v>
      </c>
      <c r="G147" s="39" t="str">
        <f aca="false">VLOOKUP(C147,Products!$A$5:$D$24,2,FALSE())</f>
        <v>Ergonomic Footrest</v>
      </c>
      <c r="H147" s="39" t="str">
        <f aca="false">VLOOKUP(C147,Products!$A$5:$D$24,3,FALSE())</f>
        <v>Furniture</v>
      </c>
      <c r="I147" s="41" t="n">
        <f aca="false">VLOOKUP(C147,Products!$A$5:$D$24,4,FALSE())</f>
        <v>15</v>
      </c>
      <c r="J147" s="42" t="n">
        <f aca="false">DATE(YEAR(B147),MONTH(B147),1)</f>
        <v>45658</v>
      </c>
      <c r="K147" s="41" t="n">
        <f aca="false">D147*E147</f>
        <v>73.3</v>
      </c>
      <c r="L147" s="41" t="n">
        <f aca="false">D147*I147</f>
        <v>30</v>
      </c>
      <c r="M147" s="41" t="n">
        <f aca="false">IFERROR(INDEX(Raw_Expenses!$C$5:$C$2979,MATCH(A147,Raw_Expenses!$A$5:$A$2979,0)),0)</f>
        <v>4.1</v>
      </c>
      <c r="N147" s="41" t="n">
        <f aca="false">L147+M147</f>
        <v>34.1</v>
      </c>
      <c r="O147" s="41" t="n">
        <f aca="false">K147-N147</f>
        <v>39.2</v>
      </c>
      <c r="P147" s="43" t="n">
        <f aca="false">IF(K147=0,0,O147/K147)</f>
        <v>0.534788540245566</v>
      </c>
    </row>
    <row r="148" customFormat="false" ht="15" hidden="false" customHeight="false" outlineLevel="0" collapsed="false">
      <c r="A148" s="39" t="s">
        <v>269</v>
      </c>
      <c r="B148" s="40" t="n">
        <v>45677</v>
      </c>
      <c r="C148" s="39" t="s">
        <v>117</v>
      </c>
      <c r="D148" s="39" t="n">
        <v>1</v>
      </c>
      <c r="E148" s="41" t="n">
        <v>31.22</v>
      </c>
      <c r="F148" s="39" t="s">
        <v>105</v>
      </c>
      <c r="G148" s="39" t="str">
        <f aca="false">VLOOKUP(C148,Products!$A$5:$D$24,2,FALSE())</f>
        <v>Desk Lamp</v>
      </c>
      <c r="H148" s="39" t="str">
        <f aca="false">VLOOKUP(C148,Products!$A$5:$D$24,3,FALSE())</f>
        <v>Furniture</v>
      </c>
      <c r="I148" s="41" t="n">
        <f aca="false">VLOOKUP(C148,Products!$A$5:$D$24,4,FALSE())</f>
        <v>13</v>
      </c>
      <c r="J148" s="42" t="n">
        <f aca="false">DATE(YEAR(B148),MONTH(B148),1)</f>
        <v>45658</v>
      </c>
      <c r="K148" s="41" t="n">
        <f aca="false">D148*E148</f>
        <v>31.22</v>
      </c>
      <c r="L148" s="41" t="n">
        <f aca="false">D148*I148</f>
        <v>13</v>
      </c>
      <c r="M148" s="41" t="n">
        <f aca="false">IFERROR(INDEX(Raw_Expenses!$C$5:$C$2979,MATCH(A148,Raw_Expenses!$A$5:$A$2979,0)),0)</f>
        <v>1.56</v>
      </c>
      <c r="N148" s="41" t="n">
        <f aca="false">L148+M148</f>
        <v>14.56</v>
      </c>
      <c r="O148" s="41" t="n">
        <f aca="false">K148-N148</f>
        <v>16.66</v>
      </c>
      <c r="P148" s="43" t="n">
        <f aca="false">IF(K148=0,0,O148/K148)</f>
        <v>0.533632286995516</v>
      </c>
    </row>
    <row r="149" customFormat="false" ht="15" hidden="false" customHeight="false" outlineLevel="0" collapsed="false">
      <c r="A149" s="39" t="s">
        <v>270</v>
      </c>
      <c r="B149" s="40" t="n">
        <v>45678</v>
      </c>
      <c r="C149" s="39" t="s">
        <v>112</v>
      </c>
      <c r="D149" s="39" t="n">
        <v>4</v>
      </c>
      <c r="E149" s="41" t="n">
        <v>54.36</v>
      </c>
      <c r="F149" s="39" t="s">
        <v>105</v>
      </c>
      <c r="G149" s="39" t="str">
        <f aca="false">VLOOKUP(C149,Products!$A$5:$D$24,2,FALSE())</f>
        <v>HD Webcam</v>
      </c>
      <c r="H149" s="39" t="str">
        <f aca="false">VLOOKUP(C149,Products!$A$5:$D$24,3,FALSE())</f>
        <v>Electronics</v>
      </c>
      <c r="I149" s="41" t="n">
        <f aca="false">VLOOKUP(C149,Products!$A$5:$D$24,4,FALSE())</f>
        <v>22</v>
      </c>
      <c r="J149" s="42" t="n">
        <f aca="false">DATE(YEAR(B149),MONTH(B149),1)</f>
        <v>45658</v>
      </c>
      <c r="K149" s="41" t="n">
        <f aca="false">D149*E149</f>
        <v>217.44</v>
      </c>
      <c r="L149" s="41" t="n">
        <f aca="false">D149*I149</f>
        <v>88</v>
      </c>
      <c r="M149" s="41" t="n">
        <f aca="false">IFERROR(INDEX(Raw_Expenses!$C$5:$C$2979,MATCH(A149,Raw_Expenses!$A$5:$A$2979,0)),0)</f>
        <v>15.36</v>
      </c>
      <c r="N149" s="41" t="n">
        <f aca="false">L149+M149</f>
        <v>103.36</v>
      </c>
      <c r="O149" s="41" t="n">
        <f aca="false">K149-N149</f>
        <v>114.08</v>
      </c>
      <c r="P149" s="43" t="n">
        <f aca="false">IF(K149=0,0,O149/K149)</f>
        <v>0.524650478292862</v>
      </c>
    </row>
    <row r="150" customFormat="false" ht="15" hidden="false" customHeight="false" outlineLevel="0" collapsed="false">
      <c r="A150" s="39" t="s">
        <v>271</v>
      </c>
      <c r="B150" s="40" t="n">
        <v>45678</v>
      </c>
      <c r="C150" s="39" t="s">
        <v>136</v>
      </c>
      <c r="D150" s="39" t="n">
        <v>3</v>
      </c>
      <c r="E150" s="41" t="n">
        <v>76.44</v>
      </c>
      <c r="F150" s="39" t="s">
        <v>118</v>
      </c>
      <c r="G150" s="39" t="str">
        <f aca="false">VLOOKUP(C150,Products!$A$5:$D$24,2,FALSE())</f>
        <v>Mechanical Keyboard</v>
      </c>
      <c r="H150" s="39" t="str">
        <f aca="false">VLOOKUP(C150,Products!$A$5:$D$24,3,FALSE())</f>
        <v>Electronics</v>
      </c>
      <c r="I150" s="41" t="n">
        <f aca="false">VLOOKUP(C150,Products!$A$5:$D$24,4,FALSE())</f>
        <v>38</v>
      </c>
      <c r="J150" s="42" t="n">
        <f aca="false">DATE(YEAR(B150),MONTH(B150),1)</f>
        <v>45658</v>
      </c>
      <c r="K150" s="41" t="n">
        <f aca="false">D150*E150</f>
        <v>229.32</v>
      </c>
      <c r="L150" s="41" t="n">
        <f aca="false">D150*I150</f>
        <v>114</v>
      </c>
      <c r="M150" s="41" t="n">
        <f aca="false">IFERROR(INDEX(Raw_Expenses!$C$5:$C$2979,MATCH(A150,Raw_Expenses!$A$5:$A$2979,0)),0)</f>
        <v>10.19</v>
      </c>
      <c r="N150" s="41" t="n">
        <f aca="false">L150+M150</f>
        <v>124.19</v>
      </c>
      <c r="O150" s="41" t="n">
        <f aca="false">K150-N150</f>
        <v>105.13</v>
      </c>
      <c r="P150" s="43" t="n">
        <f aca="false">IF(K150=0,0,O150/K150)</f>
        <v>0.458442351299494</v>
      </c>
    </row>
    <row r="151" customFormat="false" ht="15" hidden="false" customHeight="false" outlineLevel="0" collapsed="false">
      <c r="A151" s="39" t="s">
        <v>272</v>
      </c>
      <c r="B151" s="40" t="n">
        <v>45678</v>
      </c>
      <c r="C151" s="39" t="s">
        <v>126</v>
      </c>
      <c r="D151" s="39" t="n">
        <v>4</v>
      </c>
      <c r="E151" s="41" t="n">
        <v>23.95</v>
      </c>
      <c r="F151" s="39" t="s">
        <v>115</v>
      </c>
      <c r="G151" s="39" t="str">
        <f aca="false">VLOOKUP(C151,Products!$A$5:$D$24,2,FALSE())</f>
        <v>Wireless Mouse</v>
      </c>
      <c r="H151" s="39" t="str">
        <f aca="false">VLOOKUP(C151,Products!$A$5:$D$24,3,FALSE())</f>
        <v>Electronics</v>
      </c>
      <c r="I151" s="41" t="n">
        <f aca="false">VLOOKUP(C151,Products!$A$5:$D$24,4,FALSE())</f>
        <v>12</v>
      </c>
      <c r="J151" s="42" t="n">
        <f aca="false">DATE(YEAR(B151),MONTH(B151),1)</f>
        <v>45658</v>
      </c>
      <c r="K151" s="41" t="n">
        <f aca="false">D151*E151</f>
        <v>95.8</v>
      </c>
      <c r="L151" s="41" t="n">
        <f aca="false">D151*I151</f>
        <v>48</v>
      </c>
      <c r="M151" s="41" t="n">
        <f aca="false">IFERROR(INDEX(Raw_Expenses!$C$5:$C$2979,MATCH(A151,Raw_Expenses!$A$5:$A$2979,0)),0)</f>
        <v>6.16</v>
      </c>
      <c r="N151" s="41" t="n">
        <f aca="false">L151+M151</f>
        <v>54.16</v>
      </c>
      <c r="O151" s="41" t="n">
        <f aca="false">K151-N151</f>
        <v>41.64</v>
      </c>
      <c r="P151" s="43" t="n">
        <f aca="false">IF(K151=0,0,O151/K151)</f>
        <v>0.434655532359081</v>
      </c>
    </row>
    <row r="152" customFormat="false" ht="15" hidden="false" customHeight="false" outlineLevel="0" collapsed="false">
      <c r="A152" s="39" t="s">
        <v>273</v>
      </c>
      <c r="B152" s="40" t="n">
        <v>45678</v>
      </c>
      <c r="C152" s="39" t="s">
        <v>169</v>
      </c>
      <c r="D152" s="39" t="n">
        <v>4</v>
      </c>
      <c r="E152" s="41" t="n">
        <v>27.38</v>
      </c>
      <c r="F152" s="39" t="s">
        <v>105</v>
      </c>
      <c r="G152" s="39" t="str">
        <f aca="false">VLOOKUP(C152,Products!$A$5:$D$24,2,FALSE())</f>
        <v>Laptop Stand</v>
      </c>
      <c r="H152" s="39" t="str">
        <f aca="false">VLOOKUP(C152,Products!$A$5:$D$24,3,FALSE())</f>
        <v>Accessories</v>
      </c>
      <c r="I152" s="41" t="n">
        <f aca="false">VLOOKUP(C152,Products!$A$5:$D$24,4,FALSE())</f>
        <v>11</v>
      </c>
      <c r="J152" s="42" t="n">
        <f aca="false">DATE(YEAR(B152),MONTH(B152),1)</f>
        <v>45658</v>
      </c>
      <c r="K152" s="41" t="n">
        <f aca="false">D152*E152</f>
        <v>109.52</v>
      </c>
      <c r="L152" s="41" t="n">
        <f aca="false">D152*I152</f>
        <v>44</v>
      </c>
      <c r="M152" s="41" t="n">
        <f aca="false">IFERROR(INDEX(Raw_Expenses!$C$5:$C$2979,MATCH(A152,Raw_Expenses!$A$5:$A$2979,0)),0)</f>
        <v>9.18</v>
      </c>
      <c r="N152" s="41" t="n">
        <f aca="false">L152+M152</f>
        <v>53.18</v>
      </c>
      <c r="O152" s="41" t="n">
        <f aca="false">K152-N152</f>
        <v>56.34</v>
      </c>
      <c r="P152" s="43" t="n">
        <f aca="false">IF(K152=0,0,O152/K152)</f>
        <v>0.514426588750913</v>
      </c>
    </row>
    <row r="153" customFormat="false" ht="15" hidden="false" customHeight="false" outlineLevel="0" collapsed="false">
      <c r="A153" s="39" t="s">
        <v>274</v>
      </c>
      <c r="B153" s="40" t="n">
        <v>45678</v>
      </c>
      <c r="C153" s="39" t="s">
        <v>107</v>
      </c>
      <c r="D153" s="39" t="n">
        <v>1</v>
      </c>
      <c r="E153" s="41" t="n">
        <v>33.57</v>
      </c>
      <c r="F153" s="39" t="s">
        <v>118</v>
      </c>
      <c r="G153" s="39" t="str">
        <f aca="false">VLOOKUP(C153,Products!$A$5:$D$24,2,FALSE())</f>
        <v>USB-C Hub</v>
      </c>
      <c r="H153" s="39" t="str">
        <f aca="false">VLOOKUP(C153,Products!$A$5:$D$24,3,FALSE())</f>
        <v>Electronics</v>
      </c>
      <c r="I153" s="41" t="n">
        <f aca="false">VLOOKUP(C153,Products!$A$5:$D$24,4,FALSE())</f>
        <v>14</v>
      </c>
      <c r="J153" s="42" t="n">
        <f aca="false">DATE(YEAR(B153),MONTH(B153),1)</f>
        <v>45658</v>
      </c>
      <c r="K153" s="41" t="n">
        <f aca="false">D153*E153</f>
        <v>33.57</v>
      </c>
      <c r="L153" s="41" t="n">
        <f aca="false">D153*I153</f>
        <v>14</v>
      </c>
      <c r="M153" s="41" t="n">
        <f aca="false">IFERROR(INDEX(Raw_Expenses!$C$5:$C$2979,MATCH(A153,Raw_Expenses!$A$5:$A$2979,0)),0)</f>
        <v>2.46</v>
      </c>
      <c r="N153" s="41" t="n">
        <f aca="false">L153+M153</f>
        <v>16.46</v>
      </c>
      <c r="O153" s="41" t="n">
        <f aca="false">K153-N153</f>
        <v>17.11</v>
      </c>
      <c r="P153" s="43" t="n">
        <f aca="false">IF(K153=0,0,O153/K153)</f>
        <v>0.509681263032469</v>
      </c>
    </row>
    <row r="154" customFormat="false" ht="15" hidden="false" customHeight="false" outlineLevel="0" collapsed="false">
      <c r="A154" s="39" t="s">
        <v>275</v>
      </c>
      <c r="B154" s="40" t="n">
        <v>45679</v>
      </c>
      <c r="C154" s="39" t="s">
        <v>169</v>
      </c>
      <c r="D154" s="39" t="n">
        <v>3</v>
      </c>
      <c r="E154" s="41" t="n">
        <v>28.67</v>
      </c>
      <c r="F154" s="39" t="s">
        <v>105</v>
      </c>
      <c r="G154" s="39" t="str">
        <f aca="false">VLOOKUP(C154,Products!$A$5:$D$24,2,FALSE())</f>
        <v>Laptop Stand</v>
      </c>
      <c r="H154" s="39" t="str">
        <f aca="false">VLOOKUP(C154,Products!$A$5:$D$24,3,FALSE())</f>
        <v>Accessories</v>
      </c>
      <c r="I154" s="41" t="n">
        <f aca="false">VLOOKUP(C154,Products!$A$5:$D$24,4,FALSE())</f>
        <v>11</v>
      </c>
      <c r="J154" s="42" t="n">
        <f aca="false">DATE(YEAR(B154),MONTH(B154),1)</f>
        <v>45658</v>
      </c>
      <c r="K154" s="41" t="n">
        <f aca="false">D154*E154</f>
        <v>86.01</v>
      </c>
      <c r="L154" s="41" t="n">
        <f aca="false">D154*I154</f>
        <v>33</v>
      </c>
      <c r="M154" s="41" t="n">
        <f aca="false">IFERROR(INDEX(Raw_Expenses!$C$5:$C$2979,MATCH(A154,Raw_Expenses!$A$5:$A$2979,0)),0)</f>
        <v>5.65</v>
      </c>
      <c r="N154" s="41" t="n">
        <f aca="false">L154+M154</f>
        <v>38.65</v>
      </c>
      <c r="O154" s="41" t="n">
        <f aca="false">K154-N154</f>
        <v>47.36</v>
      </c>
      <c r="P154" s="43" t="n">
        <f aca="false">IF(K154=0,0,O154/K154)</f>
        <v>0.55063364725032</v>
      </c>
    </row>
    <row r="155" customFormat="false" ht="15" hidden="false" customHeight="false" outlineLevel="0" collapsed="false">
      <c r="A155" s="39" t="s">
        <v>276</v>
      </c>
      <c r="B155" s="40" t="n">
        <v>45679</v>
      </c>
      <c r="C155" s="39" t="s">
        <v>117</v>
      </c>
      <c r="D155" s="39" t="n">
        <v>2</v>
      </c>
      <c r="E155" s="41" t="n">
        <v>30.19</v>
      </c>
      <c r="F155" s="39" t="s">
        <v>105</v>
      </c>
      <c r="G155" s="39" t="str">
        <f aca="false">VLOOKUP(C155,Products!$A$5:$D$24,2,FALSE())</f>
        <v>Desk Lamp</v>
      </c>
      <c r="H155" s="39" t="str">
        <f aca="false">VLOOKUP(C155,Products!$A$5:$D$24,3,FALSE())</f>
        <v>Furniture</v>
      </c>
      <c r="I155" s="41" t="n">
        <f aca="false">VLOOKUP(C155,Products!$A$5:$D$24,4,FALSE())</f>
        <v>13</v>
      </c>
      <c r="J155" s="42" t="n">
        <f aca="false">DATE(YEAR(B155),MONTH(B155),1)</f>
        <v>45658</v>
      </c>
      <c r="K155" s="41" t="n">
        <f aca="false">D155*E155</f>
        <v>60.38</v>
      </c>
      <c r="L155" s="41" t="n">
        <f aca="false">D155*I155</f>
        <v>26</v>
      </c>
      <c r="M155" s="41" t="n">
        <f aca="false">IFERROR(INDEX(Raw_Expenses!$C$5:$C$2979,MATCH(A155,Raw_Expenses!$A$5:$A$2979,0)),0)</f>
        <v>5.4</v>
      </c>
      <c r="N155" s="41" t="n">
        <f aca="false">L155+M155</f>
        <v>31.4</v>
      </c>
      <c r="O155" s="41" t="n">
        <f aca="false">K155-N155</f>
        <v>28.98</v>
      </c>
      <c r="P155" s="43" t="n">
        <f aca="false">IF(K155=0,0,O155/K155)</f>
        <v>0.479960251738987</v>
      </c>
    </row>
    <row r="156" customFormat="false" ht="15" hidden="false" customHeight="false" outlineLevel="0" collapsed="false">
      <c r="A156" s="39" t="s">
        <v>277</v>
      </c>
      <c r="B156" s="40" t="n">
        <v>45679</v>
      </c>
      <c r="C156" s="39" t="s">
        <v>162</v>
      </c>
      <c r="D156" s="39" t="n">
        <v>1</v>
      </c>
      <c r="E156" s="41" t="n">
        <v>66.99</v>
      </c>
      <c r="F156" s="39" t="s">
        <v>105</v>
      </c>
      <c r="G156" s="39" t="str">
        <f aca="false">VLOOKUP(C156,Products!$A$5:$D$24,2,FALSE())</f>
        <v>Bluetooth Speaker</v>
      </c>
      <c r="H156" s="39" t="str">
        <f aca="false">VLOOKUP(C156,Products!$A$5:$D$24,3,FALSE())</f>
        <v>Electronics</v>
      </c>
      <c r="I156" s="41" t="n">
        <f aca="false">VLOOKUP(C156,Products!$A$5:$D$24,4,FALSE())</f>
        <v>28</v>
      </c>
      <c r="J156" s="42" t="n">
        <f aca="false">DATE(YEAR(B156),MONTH(B156),1)</f>
        <v>45658</v>
      </c>
      <c r="K156" s="41" t="n">
        <f aca="false">D156*E156</f>
        <v>66.99</v>
      </c>
      <c r="L156" s="41" t="n">
        <f aca="false">D156*I156</f>
        <v>28</v>
      </c>
      <c r="M156" s="41" t="n">
        <f aca="false">IFERROR(INDEX(Raw_Expenses!$C$5:$C$2979,MATCH(A156,Raw_Expenses!$A$5:$A$2979,0)),0)</f>
        <v>3.7</v>
      </c>
      <c r="N156" s="41" t="n">
        <f aca="false">L156+M156</f>
        <v>31.7</v>
      </c>
      <c r="O156" s="41" t="n">
        <f aca="false">K156-N156</f>
        <v>35.29</v>
      </c>
      <c r="P156" s="43" t="n">
        <f aca="false">IF(K156=0,0,O156/K156)</f>
        <v>0.526795044036423</v>
      </c>
    </row>
    <row r="157" customFormat="false" ht="15" hidden="false" customHeight="false" outlineLevel="0" collapsed="false">
      <c r="A157" s="39" t="s">
        <v>278</v>
      </c>
      <c r="B157" s="40" t="n">
        <v>45679</v>
      </c>
      <c r="C157" s="39" t="s">
        <v>177</v>
      </c>
      <c r="D157" s="39" t="n">
        <v>2</v>
      </c>
      <c r="E157" s="41" t="n">
        <v>41.69</v>
      </c>
      <c r="F157" s="39" t="s">
        <v>105</v>
      </c>
      <c r="G157" s="39" t="str">
        <f aca="false">VLOOKUP(C157,Products!$A$5:$D$24,2,FALSE())</f>
        <v>Backpack</v>
      </c>
      <c r="H157" s="39" t="str">
        <f aca="false">VLOOKUP(C157,Products!$A$5:$D$24,3,FALSE())</f>
        <v>Accessories</v>
      </c>
      <c r="I157" s="41" t="n">
        <f aca="false">VLOOKUP(C157,Products!$A$5:$D$24,4,FALSE())</f>
        <v>17</v>
      </c>
      <c r="J157" s="42" t="n">
        <f aca="false">DATE(YEAR(B157),MONTH(B157),1)</f>
        <v>45658</v>
      </c>
      <c r="K157" s="41" t="n">
        <f aca="false">D157*E157</f>
        <v>83.38</v>
      </c>
      <c r="L157" s="41" t="n">
        <f aca="false">D157*I157</f>
        <v>34</v>
      </c>
      <c r="M157" s="41" t="n">
        <f aca="false">IFERROR(INDEX(Raw_Expenses!$C$5:$C$2979,MATCH(A157,Raw_Expenses!$A$5:$A$2979,0)),0)</f>
        <v>5.95</v>
      </c>
      <c r="N157" s="41" t="n">
        <f aca="false">L157+M157</f>
        <v>39.95</v>
      </c>
      <c r="O157" s="41" t="n">
        <f aca="false">K157-N157</f>
        <v>43.43</v>
      </c>
      <c r="P157" s="43" t="n">
        <f aca="false">IF(K157=0,0,O157/K157)</f>
        <v>0.520868313744303</v>
      </c>
    </row>
    <row r="158" customFormat="false" ht="15" hidden="false" customHeight="false" outlineLevel="0" collapsed="false">
      <c r="A158" s="39" t="s">
        <v>279</v>
      </c>
      <c r="B158" s="40" t="n">
        <v>45679</v>
      </c>
      <c r="C158" s="39" t="s">
        <v>153</v>
      </c>
      <c r="D158" s="39" t="n">
        <v>2</v>
      </c>
      <c r="E158" s="41" t="n">
        <v>175.45</v>
      </c>
      <c r="F158" s="39" t="s">
        <v>108</v>
      </c>
      <c r="G158" s="39" t="str">
        <f aca="false">VLOOKUP(C158,Products!$A$5:$D$24,2,FALSE())</f>
        <v>24-inch Monitor</v>
      </c>
      <c r="H158" s="39" t="str">
        <f aca="false">VLOOKUP(C158,Products!$A$5:$D$24,3,FALSE())</f>
        <v>Electronics</v>
      </c>
      <c r="I158" s="41" t="n">
        <f aca="false">VLOOKUP(C158,Products!$A$5:$D$24,4,FALSE())</f>
        <v>90</v>
      </c>
      <c r="J158" s="42" t="n">
        <f aca="false">DATE(YEAR(B158),MONTH(B158),1)</f>
        <v>45658</v>
      </c>
      <c r="K158" s="41" t="n">
        <f aca="false">D158*E158</f>
        <v>350.9</v>
      </c>
      <c r="L158" s="41" t="n">
        <f aca="false">D158*I158</f>
        <v>180</v>
      </c>
      <c r="M158" s="41" t="n">
        <f aca="false">IFERROR(INDEX(Raw_Expenses!$C$5:$C$2979,MATCH(A158,Raw_Expenses!$A$5:$A$2979,0)),0)</f>
        <v>19.4</v>
      </c>
      <c r="N158" s="41" t="n">
        <f aca="false">L158+M158</f>
        <v>199.4</v>
      </c>
      <c r="O158" s="41" t="n">
        <f aca="false">K158-N158</f>
        <v>151.5</v>
      </c>
      <c r="P158" s="43" t="n">
        <f aca="false">IF(K158=0,0,O158/K158)</f>
        <v>0.431746936449131</v>
      </c>
    </row>
    <row r="159" customFormat="false" ht="15" hidden="false" customHeight="false" outlineLevel="0" collapsed="false">
      <c r="A159" s="39" t="s">
        <v>280</v>
      </c>
      <c r="B159" s="40" t="n">
        <v>45679</v>
      </c>
      <c r="C159" s="39" t="s">
        <v>177</v>
      </c>
      <c r="D159" s="39" t="n">
        <v>1</v>
      </c>
      <c r="E159" s="41" t="n">
        <v>43.67</v>
      </c>
      <c r="F159" s="39" t="s">
        <v>105</v>
      </c>
      <c r="G159" s="39" t="str">
        <f aca="false">VLOOKUP(C159,Products!$A$5:$D$24,2,FALSE())</f>
        <v>Backpack</v>
      </c>
      <c r="H159" s="39" t="str">
        <f aca="false">VLOOKUP(C159,Products!$A$5:$D$24,3,FALSE())</f>
        <v>Accessories</v>
      </c>
      <c r="I159" s="41" t="n">
        <f aca="false">VLOOKUP(C159,Products!$A$5:$D$24,4,FALSE())</f>
        <v>17</v>
      </c>
      <c r="J159" s="42" t="n">
        <f aca="false">DATE(YEAR(B159),MONTH(B159),1)</f>
        <v>45658</v>
      </c>
      <c r="K159" s="41" t="n">
        <f aca="false">D159*E159</f>
        <v>43.67</v>
      </c>
      <c r="L159" s="41" t="n">
        <f aca="false">D159*I159</f>
        <v>17</v>
      </c>
      <c r="M159" s="41" t="n">
        <f aca="false">IFERROR(INDEX(Raw_Expenses!$C$5:$C$2979,MATCH(A159,Raw_Expenses!$A$5:$A$2979,0)),0)</f>
        <v>2.13</v>
      </c>
      <c r="N159" s="41" t="n">
        <f aca="false">L159+M159</f>
        <v>19.13</v>
      </c>
      <c r="O159" s="41" t="n">
        <f aca="false">K159-N159</f>
        <v>24.54</v>
      </c>
      <c r="P159" s="43" t="n">
        <f aca="false">IF(K159=0,0,O159/K159)</f>
        <v>0.561941836501031</v>
      </c>
    </row>
    <row r="160" customFormat="false" ht="15" hidden="false" customHeight="false" outlineLevel="0" collapsed="false">
      <c r="A160" s="39" t="s">
        <v>281</v>
      </c>
      <c r="B160" s="40" t="n">
        <v>45679</v>
      </c>
      <c r="C160" s="39" t="s">
        <v>112</v>
      </c>
      <c r="D160" s="39" t="n">
        <v>3</v>
      </c>
      <c r="E160" s="41" t="n">
        <v>53.11</v>
      </c>
      <c r="F160" s="39" t="s">
        <v>115</v>
      </c>
      <c r="G160" s="39" t="str">
        <f aca="false">VLOOKUP(C160,Products!$A$5:$D$24,2,FALSE())</f>
        <v>HD Webcam</v>
      </c>
      <c r="H160" s="39" t="str">
        <f aca="false">VLOOKUP(C160,Products!$A$5:$D$24,3,FALSE())</f>
        <v>Electronics</v>
      </c>
      <c r="I160" s="41" t="n">
        <f aca="false">VLOOKUP(C160,Products!$A$5:$D$24,4,FALSE())</f>
        <v>22</v>
      </c>
      <c r="J160" s="42" t="n">
        <f aca="false">DATE(YEAR(B160),MONTH(B160),1)</f>
        <v>45658</v>
      </c>
      <c r="K160" s="41" t="n">
        <f aca="false">D160*E160</f>
        <v>159.33</v>
      </c>
      <c r="L160" s="41" t="n">
        <f aca="false">D160*I160</f>
        <v>66</v>
      </c>
      <c r="M160" s="41" t="n">
        <f aca="false">IFERROR(INDEX(Raw_Expenses!$C$5:$C$2979,MATCH(A160,Raw_Expenses!$A$5:$A$2979,0)),0)</f>
        <v>13.79</v>
      </c>
      <c r="N160" s="41" t="n">
        <f aca="false">L160+M160</f>
        <v>79.79</v>
      </c>
      <c r="O160" s="41" t="n">
        <f aca="false">K160-N160</f>
        <v>79.54</v>
      </c>
      <c r="P160" s="43" t="n">
        <f aca="false">IF(K160=0,0,O160/K160)</f>
        <v>0.499215464758677</v>
      </c>
    </row>
    <row r="161" customFormat="false" ht="15" hidden="false" customHeight="false" outlineLevel="0" collapsed="false">
      <c r="A161" s="39" t="s">
        <v>282</v>
      </c>
      <c r="B161" s="40" t="n">
        <v>45679</v>
      </c>
      <c r="C161" s="39" t="s">
        <v>117</v>
      </c>
      <c r="D161" s="39" t="n">
        <v>2</v>
      </c>
      <c r="E161" s="41" t="n">
        <v>31.41</v>
      </c>
      <c r="F161" s="39" t="s">
        <v>105</v>
      </c>
      <c r="G161" s="39" t="str">
        <f aca="false">VLOOKUP(C161,Products!$A$5:$D$24,2,FALSE())</f>
        <v>Desk Lamp</v>
      </c>
      <c r="H161" s="39" t="str">
        <f aca="false">VLOOKUP(C161,Products!$A$5:$D$24,3,FALSE())</f>
        <v>Furniture</v>
      </c>
      <c r="I161" s="41" t="n">
        <f aca="false">VLOOKUP(C161,Products!$A$5:$D$24,4,FALSE())</f>
        <v>13</v>
      </c>
      <c r="J161" s="42" t="n">
        <f aca="false">DATE(YEAR(B161),MONTH(B161),1)</f>
        <v>45658</v>
      </c>
      <c r="K161" s="41" t="n">
        <f aca="false">D161*E161</f>
        <v>62.82</v>
      </c>
      <c r="L161" s="41" t="n">
        <f aca="false">D161*I161</f>
        <v>26</v>
      </c>
      <c r="M161" s="41" t="n">
        <f aca="false">IFERROR(INDEX(Raw_Expenses!$C$5:$C$2979,MATCH(A161,Raw_Expenses!$A$5:$A$2979,0)),0)</f>
        <v>4.88</v>
      </c>
      <c r="N161" s="41" t="n">
        <f aca="false">L161+M161</f>
        <v>30.88</v>
      </c>
      <c r="O161" s="41" t="n">
        <f aca="false">K161-N161</f>
        <v>31.94</v>
      </c>
      <c r="P161" s="43" t="n">
        <f aca="false">IF(K161=0,0,O161/K161)</f>
        <v>0.508436803565743</v>
      </c>
    </row>
    <row r="162" customFormat="false" ht="15" hidden="false" customHeight="false" outlineLevel="0" collapsed="false">
      <c r="A162" s="39" t="s">
        <v>283</v>
      </c>
      <c r="B162" s="40" t="n">
        <v>45679</v>
      </c>
      <c r="C162" s="39" t="s">
        <v>121</v>
      </c>
      <c r="D162" s="39" t="n">
        <v>6</v>
      </c>
      <c r="E162" s="41" t="n">
        <v>110.64</v>
      </c>
      <c r="F162" s="39" t="s">
        <v>105</v>
      </c>
      <c r="G162" s="39" t="str">
        <f aca="false">VLOOKUP(C162,Products!$A$5:$D$24,2,FALSE())</f>
        <v>External SSD 1TB</v>
      </c>
      <c r="H162" s="39" t="str">
        <f aca="false">VLOOKUP(C162,Products!$A$5:$D$24,3,FALSE())</f>
        <v>Electronics</v>
      </c>
      <c r="I162" s="41" t="n">
        <f aca="false">VLOOKUP(C162,Products!$A$5:$D$24,4,FALSE())</f>
        <v>62</v>
      </c>
      <c r="J162" s="42" t="n">
        <f aca="false">DATE(YEAR(B162),MONTH(B162),1)</f>
        <v>45658</v>
      </c>
      <c r="K162" s="41" t="n">
        <f aca="false">D162*E162</f>
        <v>663.84</v>
      </c>
      <c r="L162" s="41" t="n">
        <f aca="false">D162*I162</f>
        <v>372</v>
      </c>
      <c r="M162" s="41" t="n">
        <f aca="false">IFERROR(INDEX(Raw_Expenses!$C$5:$C$2979,MATCH(A162,Raw_Expenses!$A$5:$A$2979,0)),0)</f>
        <v>36.64</v>
      </c>
      <c r="N162" s="41" t="n">
        <f aca="false">L162+M162</f>
        <v>408.64</v>
      </c>
      <c r="O162" s="41" t="n">
        <f aca="false">K162-N162</f>
        <v>255.2</v>
      </c>
      <c r="P162" s="43" t="n">
        <f aca="false">IF(K162=0,0,O162/K162)</f>
        <v>0.384429983128465</v>
      </c>
    </row>
    <row r="163" customFormat="false" ht="15" hidden="false" customHeight="false" outlineLevel="0" collapsed="false">
      <c r="A163" s="39" t="s">
        <v>284</v>
      </c>
      <c r="B163" s="40" t="n">
        <v>45680</v>
      </c>
      <c r="C163" s="39" t="s">
        <v>126</v>
      </c>
      <c r="D163" s="39" t="n">
        <v>1</v>
      </c>
      <c r="E163" s="41" t="n">
        <v>23.61</v>
      </c>
      <c r="F163" s="39" t="s">
        <v>115</v>
      </c>
      <c r="G163" s="39" t="str">
        <f aca="false">VLOOKUP(C163,Products!$A$5:$D$24,2,FALSE())</f>
        <v>Wireless Mouse</v>
      </c>
      <c r="H163" s="39" t="str">
        <f aca="false">VLOOKUP(C163,Products!$A$5:$D$24,3,FALSE())</f>
        <v>Electronics</v>
      </c>
      <c r="I163" s="41" t="n">
        <f aca="false">VLOOKUP(C163,Products!$A$5:$D$24,4,FALSE())</f>
        <v>12</v>
      </c>
      <c r="J163" s="42" t="n">
        <f aca="false">DATE(YEAR(B163),MONTH(B163),1)</f>
        <v>45658</v>
      </c>
      <c r="K163" s="41" t="n">
        <f aca="false">D163*E163</f>
        <v>23.61</v>
      </c>
      <c r="L163" s="41" t="n">
        <f aca="false">D163*I163</f>
        <v>12</v>
      </c>
      <c r="M163" s="41" t="n">
        <f aca="false">IFERROR(INDEX(Raw_Expenses!$C$5:$C$2979,MATCH(A163,Raw_Expenses!$A$5:$A$2979,0)),0)</f>
        <v>1.62</v>
      </c>
      <c r="N163" s="41" t="n">
        <f aca="false">L163+M163</f>
        <v>13.62</v>
      </c>
      <c r="O163" s="41" t="n">
        <f aca="false">K163-N163</f>
        <v>9.99</v>
      </c>
      <c r="P163" s="43" t="n">
        <f aca="false">IF(K163=0,0,O163/K163)</f>
        <v>0.423125794155019</v>
      </c>
    </row>
    <row r="164" customFormat="false" ht="15" hidden="false" customHeight="false" outlineLevel="0" collapsed="false">
      <c r="A164" s="39" t="s">
        <v>285</v>
      </c>
      <c r="B164" s="40" t="n">
        <v>45680</v>
      </c>
      <c r="C164" s="39" t="s">
        <v>177</v>
      </c>
      <c r="D164" s="39" t="n">
        <v>2</v>
      </c>
      <c r="E164" s="41" t="n">
        <v>43.16</v>
      </c>
      <c r="F164" s="39" t="s">
        <v>108</v>
      </c>
      <c r="G164" s="39" t="str">
        <f aca="false">VLOOKUP(C164,Products!$A$5:$D$24,2,FALSE())</f>
        <v>Backpack</v>
      </c>
      <c r="H164" s="39" t="str">
        <f aca="false">VLOOKUP(C164,Products!$A$5:$D$24,3,FALSE())</f>
        <v>Accessories</v>
      </c>
      <c r="I164" s="41" t="n">
        <f aca="false">VLOOKUP(C164,Products!$A$5:$D$24,4,FALSE())</f>
        <v>17</v>
      </c>
      <c r="J164" s="42" t="n">
        <f aca="false">DATE(YEAR(B164),MONTH(B164),1)</f>
        <v>45658</v>
      </c>
      <c r="K164" s="41" t="n">
        <f aca="false">D164*E164</f>
        <v>86.32</v>
      </c>
      <c r="L164" s="41" t="n">
        <f aca="false">D164*I164</f>
        <v>34</v>
      </c>
      <c r="M164" s="41" t="n">
        <f aca="false">IFERROR(INDEX(Raw_Expenses!$C$5:$C$2979,MATCH(A164,Raw_Expenses!$A$5:$A$2979,0)),0)</f>
        <v>6.75</v>
      </c>
      <c r="N164" s="41" t="n">
        <f aca="false">L164+M164</f>
        <v>40.75</v>
      </c>
      <c r="O164" s="41" t="n">
        <f aca="false">K164-N164</f>
        <v>45.57</v>
      </c>
      <c r="P164" s="43" t="n">
        <f aca="false">IF(K164=0,0,O164/K164)</f>
        <v>0.52791936978684</v>
      </c>
    </row>
    <row r="165" customFormat="false" ht="15" hidden="false" customHeight="false" outlineLevel="0" collapsed="false">
      <c r="A165" s="39" t="s">
        <v>286</v>
      </c>
      <c r="B165" s="40" t="n">
        <v>45680</v>
      </c>
      <c r="C165" s="39" t="s">
        <v>169</v>
      </c>
      <c r="D165" s="39" t="n">
        <v>8</v>
      </c>
      <c r="E165" s="41" t="n">
        <v>28.53</v>
      </c>
      <c r="F165" s="39" t="s">
        <v>118</v>
      </c>
      <c r="G165" s="39" t="str">
        <f aca="false">VLOOKUP(C165,Products!$A$5:$D$24,2,FALSE())</f>
        <v>Laptop Stand</v>
      </c>
      <c r="H165" s="39" t="str">
        <f aca="false">VLOOKUP(C165,Products!$A$5:$D$24,3,FALSE())</f>
        <v>Accessories</v>
      </c>
      <c r="I165" s="41" t="n">
        <f aca="false">VLOOKUP(C165,Products!$A$5:$D$24,4,FALSE())</f>
        <v>11</v>
      </c>
      <c r="J165" s="42" t="n">
        <f aca="false">DATE(YEAR(B165),MONTH(B165),1)</f>
        <v>45658</v>
      </c>
      <c r="K165" s="41" t="n">
        <f aca="false">D165*E165</f>
        <v>228.24</v>
      </c>
      <c r="L165" s="41" t="n">
        <f aca="false">D165*I165</f>
        <v>88</v>
      </c>
      <c r="M165" s="41" t="n">
        <f aca="false">IFERROR(INDEX(Raw_Expenses!$C$5:$C$2979,MATCH(A165,Raw_Expenses!$A$5:$A$2979,0)),0)</f>
        <v>14.84</v>
      </c>
      <c r="N165" s="41" t="n">
        <f aca="false">L165+M165</f>
        <v>102.84</v>
      </c>
      <c r="O165" s="41" t="n">
        <f aca="false">K165-N165</f>
        <v>125.4</v>
      </c>
      <c r="P165" s="43" t="n">
        <f aca="false">IF(K165=0,0,O165/K165)</f>
        <v>0.549421661409043</v>
      </c>
    </row>
    <row r="166" customFormat="false" ht="15" hidden="false" customHeight="false" outlineLevel="0" collapsed="false">
      <c r="A166" s="39" t="s">
        <v>287</v>
      </c>
      <c r="B166" s="40" t="n">
        <v>45680</v>
      </c>
      <c r="C166" s="39" t="s">
        <v>126</v>
      </c>
      <c r="D166" s="39" t="n">
        <v>4</v>
      </c>
      <c r="E166" s="41" t="n">
        <v>24.19</v>
      </c>
      <c r="F166" s="39" t="s">
        <v>115</v>
      </c>
      <c r="G166" s="39" t="str">
        <f aca="false">VLOOKUP(C166,Products!$A$5:$D$24,2,FALSE())</f>
        <v>Wireless Mouse</v>
      </c>
      <c r="H166" s="39" t="str">
        <f aca="false">VLOOKUP(C166,Products!$A$5:$D$24,3,FALSE())</f>
        <v>Electronics</v>
      </c>
      <c r="I166" s="41" t="n">
        <f aca="false">VLOOKUP(C166,Products!$A$5:$D$24,4,FALSE())</f>
        <v>12</v>
      </c>
      <c r="J166" s="42" t="n">
        <f aca="false">DATE(YEAR(B166),MONTH(B166),1)</f>
        <v>45658</v>
      </c>
      <c r="K166" s="41" t="n">
        <f aca="false">D166*E166</f>
        <v>96.76</v>
      </c>
      <c r="L166" s="41" t="n">
        <f aca="false">D166*I166</f>
        <v>48</v>
      </c>
      <c r="M166" s="41" t="n">
        <f aca="false">IFERROR(INDEX(Raw_Expenses!$C$5:$C$2979,MATCH(A166,Raw_Expenses!$A$5:$A$2979,0)),0)</f>
        <v>4.01</v>
      </c>
      <c r="N166" s="41" t="n">
        <f aca="false">L166+M166</f>
        <v>52.01</v>
      </c>
      <c r="O166" s="41" t="n">
        <f aca="false">K166-N166</f>
        <v>44.75</v>
      </c>
      <c r="P166" s="43" t="n">
        <f aca="false">IF(K166=0,0,O166/K166)</f>
        <v>0.462484497726333</v>
      </c>
    </row>
    <row r="167" customFormat="false" ht="15" hidden="false" customHeight="false" outlineLevel="0" collapsed="false">
      <c r="A167" s="39" t="s">
        <v>288</v>
      </c>
      <c r="B167" s="40" t="n">
        <v>45680</v>
      </c>
      <c r="C167" s="39" t="s">
        <v>128</v>
      </c>
      <c r="D167" s="39" t="n">
        <v>1</v>
      </c>
      <c r="E167" s="41" t="n">
        <v>37.66</v>
      </c>
      <c r="F167" s="39" t="s">
        <v>108</v>
      </c>
      <c r="G167" s="39" t="str">
        <f aca="false">VLOOKUP(C167,Products!$A$5:$D$24,2,FALSE())</f>
        <v>Ergonomic Footrest</v>
      </c>
      <c r="H167" s="39" t="str">
        <f aca="false">VLOOKUP(C167,Products!$A$5:$D$24,3,FALSE())</f>
        <v>Furniture</v>
      </c>
      <c r="I167" s="41" t="n">
        <f aca="false">VLOOKUP(C167,Products!$A$5:$D$24,4,FALSE())</f>
        <v>15</v>
      </c>
      <c r="J167" s="42" t="n">
        <f aca="false">DATE(YEAR(B167),MONTH(B167),1)</f>
        <v>45658</v>
      </c>
      <c r="K167" s="41" t="n">
        <f aca="false">D167*E167</f>
        <v>37.66</v>
      </c>
      <c r="L167" s="41" t="n">
        <f aca="false">D167*I167</f>
        <v>15</v>
      </c>
      <c r="M167" s="41" t="n">
        <f aca="false">IFERROR(INDEX(Raw_Expenses!$C$5:$C$2979,MATCH(A167,Raw_Expenses!$A$5:$A$2979,0)),0)</f>
        <v>2.35</v>
      </c>
      <c r="N167" s="41" t="n">
        <f aca="false">L167+M167</f>
        <v>17.35</v>
      </c>
      <c r="O167" s="41" t="n">
        <f aca="false">K167-N167</f>
        <v>20.31</v>
      </c>
      <c r="P167" s="43" t="n">
        <f aca="false">IF(K167=0,0,O167/K167)</f>
        <v>0.539298990971853</v>
      </c>
    </row>
    <row r="168" customFormat="false" ht="15" hidden="false" customHeight="false" outlineLevel="0" collapsed="false">
      <c r="A168" s="39" t="s">
        <v>289</v>
      </c>
      <c r="B168" s="40" t="n">
        <v>45680</v>
      </c>
      <c r="C168" s="39" t="s">
        <v>104</v>
      </c>
      <c r="D168" s="39" t="n">
        <v>3</v>
      </c>
      <c r="E168" s="41" t="n">
        <v>15.05</v>
      </c>
      <c r="F168" s="39" t="s">
        <v>108</v>
      </c>
      <c r="G168" s="39" t="str">
        <f aca="false">VLOOKUP(C168,Products!$A$5:$D$24,2,FALSE())</f>
        <v>Water Bottle</v>
      </c>
      <c r="H168" s="39" t="str">
        <f aca="false">VLOOKUP(C168,Products!$A$5:$D$24,3,FALSE())</f>
        <v>Accessories</v>
      </c>
      <c r="I168" s="41" t="n">
        <f aca="false">VLOOKUP(C168,Products!$A$5:$D$24,4,FALSE())</f>
        <v>5</v>
      </c>
      <c r="J168" s="42" t="n">
        <f aca="false">DATE(YEAR(B168),MONTH(B168),1)</f>
        <v>45658</v>
      </c>
      <c r="K168" s="41" t="n">
        <f aca="false">D168*E168</f>
        <v>45.15</v>
      </c>
      <c r="L168" s="41" t="n">
        <f aca="false">D168*I168</f>
        <v>15</v>
      </c>
      <c r="M168" s="41" t="n">
        <f aca="false">IFERROR(INDEX(Raw_Expenses!$C$5:$C$2979,MATCH(A168,Raw_Expenses!$A$5:$A$2979,0)),0)</f>
        <v>2.29</v>
      </c>
      <c r="N168" s="41" t="n">
        <f aca="false">L168+M168</f>
        <v>17.29</v>
      </c>
      <c r="O168" s="41" t="n">
        <f aca="false">K168-N168</f>
        <v>27.86</v>
      </c>
      <c r="P168" s="43" t="n">
        <f aca="false">IF(K168=0,0,O168/K168)</f>
        <v>0.617054263565892</v>
      </c>
    </row>
    <row r="169" customFormat="false" ht="15" hidden="false" customHeight="false" outlineLevel="0" collapsed="false">
      <c r="A169" s="39" t="s">
        <v>290</v>
      </c>
      <c r="B169" s="40" t="n">
        <v>45680</v>
      </c>
      <c r="C169" s="39" t="s">
        <v>133</v>
      </c>
      <c r="D169" s="39" t="n">
        <v>1</v>
      </c>
      <c r="E169" s="41" t="n">
        <v>8.58</v>
      </c>
      <c r="F169" s="39" t="s">
        <v>105</v>
      </c>
      <c r="G169" s="39" t="str">
        <f aca="false">VLOOKUP(C169,Products!$A$5:$D$24,2,FALSE())</f>
        <v>Printer Paper Ream</v>
      </c>
      <c r="H169" s="39" t="str">
        <f aca="false">VLOOKUP(C169,Products!$A$5:$D$24,3,FALSE())</f>
        <v>Stationery</v>
      </c>
      <c r="I169" s="41" t="n">
        <f aca="false">VLOOKUP(C169,Products!$A$5:$D$24,4,FALSE())</f>
        <v>4</v>
      </c>
      <c r="J169" s="42" t="n">
        <f aca="false">DATE(YEAR(B169),MONTH(B169),1)</f>
        <v>45658</v>
      </c>
      <c r="K169" s="41" t="n">
        <f aca="false">D169*E169</f>
        <v>8.58</v>
      </c>
      <c r="L169" s="41" t="n">
        <f aca="false">D169*I169</f>
        <v>4</v>
      </c>
      <c r="M169" s="41" t="n">
        <f aca="false">IFERROR(INDEX(Raw_Expenses!$C$5:$C$2979,MATCH(A169,Raw_Expenses!$A$5:$A$2979,0)),0)</f>
        <v>0.59</v>
      </c>
      <c r="N169" s="41" t="n">
        <f aca="false">L169+M169</f>
        <v>4.59</v>
      </c>
      <c r="O169" s="41" t="n">
        <f aca="false">K169-N169</f>
        <v>3.99</v>
      </c>
      <c r="P169" s="43" t="n">
        <f aca="false">IF(K169=0,0,O169/K169)</f>
        <v>0.465034965034965</v>
      </c>
    </row>
    <row r="170" customFormat="false" ht="15" hidden="false" customHeight="false" outlineLevel="0" collapsed="false">
      <c r="A170" s="39" t="s">
        <v>291</v>
      </c>
      <c r="B170" s="40" t="n">
        <v>45680</v>
      </c>
      <c r="C170" s="39" t="s">
        <v>139</v>
      </c>
      <c r="D170" s="39" t="n">
        <v>3</v>
      </c>
      <c r="E170" s="41" t="n">
        <v>128.72</v>
      </c>
      <c r="F170" s="39" t="s">
        <v>105</v>
      </c>
      <c r="G170" s="39" t="str">
        <f aca="false">VLOOKUP(C170,Products!$A$5:$D$24,2,FALSE())</f>
        <v>Noise-Cancelling Headphones</v>
      </c>
      <c r="H170" s="39" t="str">
        <f aca="false">VLOOKUP(C170,Products!$A$5:$D$24,3,FALSE())</f>
        <v>Electronics</v>
      </c>
      <c r="I170" s="41" t="n">
        <f aca="false">VLOOKUP(C170,Products!$A$5:$D$24,4,FALSE())</f>
        <v>55</v>
      </c>
      <c r="J170" s="42" t="n">
        <f aca="false">DATE(YEAR(B170),MONTH(B170),1)</f>
        <v>45658</v>
      </c>
      <c r="K170" s="41" t="n">
        <f aca="false">D170*E170</f>
        <v>386.16</v>
      </c>
      <c r="L170" s="41" t="n">
        <f aca="false">D170*I170</f>
        <v>165</v>
      </c>
      <c r="M170" s="41" t="n">
        <f aca="false">IFERROR(INDEX(Raw_Expenses!$C$5:$C$2979,MATCH(A170,Raw_Expenses!$A$5:$A$2979,0)),0)</f>
        <v>22.08</v>
      </c>
      <c r="N170" s="41" t="n">
        <f aca="false">L170+M170</f>
        <v>187.08</v>
      </c>
      <c r="O170" s="41" t="n">
        <f aca="false">K170-N170</f>
        <v>199.08</v>
      </c>
      <c r="P170" s="43" t="n">
        <f aca="false">IF(K170=0,0,O170/K170)</f>
        <v>0.515537600994407</v>
      </c>
    </row>
    <row r="171" customFormat="false" ht="15" hidden="false" customHeight="false" outlineLevel="0" collapsed="false">
      <c r="A171" s="39" t="s">
        <v>292</v>
      </c>
      <c r="B171" s="40" t="n">
        <v>45681</v>
      </c>
      <c r="C171" s="39" t="s">
        <v>121</v>
      </c>
      <c r="D171" s="39" t="n">
        <v>3</v>
      </c>
      <c r="E171" s="41" t="n">
        <v>118.4</v>
      </c>
      <c r="F171" s="39" t="s">
        <v>108</v>
      </c>
      <c r="G171" s="39" t="str">
        <f aca="false">VLOOKUP(C171,Products!$A$5:$D$24,2,FALSE())</f>
        <v>External SSD 1TB</v>
      </c>
      <c r="H171" s="39" t="str">
        <f aca="false">VLOOKUP(C171,Products!$A$5:$D$24,3,FALSE())</f>
        <v>Electronics</v>
      </c>
      <c r="I171" s="41" t="n">
        <f aca="false">VLOOKUP(C171,Products!$A$5:$D$24,4,FALSE())</f>
        <v>62</v>
      </c>
      <c r="J171" s="42" t="n">
        <f aca="false">DATE(YEAR(B171),MONTH(B171),1)</f>
        <v>45658</v>
      </c>
      <c r="K171" s="41" t="n">
        <f aca="false">D171*E171</f>
        <v>355.2</v>
      </c>
      <c r="L171" s="41" t="n">
        <f aca="false">D171*I171</f>
        <v>186</v>
      </c>
      <c r="M171" s="41" t="n">
        <f aca="false">IFERROR(INDEX(Raw_Expenses!$C$5:$C$2979,MATCH(A171,Raw_Expenses!$A$5:$A$2979,0)),0)</f>
        <v>28.97</v>
      </c>
      <c r="N171" s="41" t="n">
        <f aca="false">L171+M171</f>
        <v>214.97</v>
      </c>
      <c r="O171" s="41" t="n">
        <f aca="false">K171-N171</f>
        <v>140.23</v>
      </c>
      <c r="P171" s="43" t="n">
        <f aca="false">IF(K171=0,0,O171/K171)</f>
        <v>0.394791666666667</v>
      </c>
    </row>
    <row r="172" customFormat="false" ht="15" hidden="false" customHeight="false" outlineLevel="0" collapsed="false">
      <c r="A172" s="39" t="s">
        <v>293</v>
      </c>
      <c r="B172" s="40" t="n">
        <v>45681</v>
      </c>
      <c r="C172" s="39" t="s">
        <v>104</v>
      </c>
      <c r="D172" s="39" t="n">
        <v>2</v>
      </c>
      <c r="E172" s="41" t="n">
        <v>15.53</v>
      </c>
      <c r="F172" s="39" t="s">
        <v>105</v>
      </c>
      <c r="G172" s="39" t="str">
        <f aca="false">VLOOKUP(C172,Products!$A$5:$D$24,2,FALSE())</f>
        <v>Water Bottle</v>
      </c>
      <c r="H172" s="39" t="str">
        <f aca="false">VLOOKUP(C172,Products!$A$5:$D$24,3,FALSE())</f>
        <v>Accessories</v>
      </c>
      <c r="I172" s="41" t="n">
        <f aca="false">VLOOKUP(C172,Products!$A$5:$D$24,4,FALSE())</f>
        <v>5</v>
      </c>
      <c r="J172" s="42" t="n">
        <f aca="false">DATE(YEAR(B172),MONTH(B172),1)</f>
        <v>45658</v>
      </c>
      <c r="K172" s="41" t="n">
        <f aca="false">D172*E172</f>
        <v>31.06</v>
      </c>
      <c r="L172" s="41" t="n">
        <f aca="false">D172*I172</f>
        <v>10</v>
      </c>
      <c r="M172" s="41" t="n">
        <f aca="false">IFERROR(INDEX(Raw_Expenses!$C$5:$C$2979,MATCH(A172,Raw_Expenses!$A$5:$A$2979,0)),0)</f>
        <v>2.62</v>
      </c>
      <c r="N172" s="41" t="n">
        <f aca="false">L172+M172</f>
        <v>12.62</v>
      </c>
      <c r="O172" s="41" t="n">
        <f aca="false">K172-N172</f>
        <v>18.44</v>
      </c>
      <c r="P172" s="43" t="n">
        <f aca="false">IF(K172=0,0,O172/K172)</f>
        <v>0.593689632968448</v>
      </c>
    </row>
    <row r="173" customFormat="false" ht="15" hidden="false" customHeight="false" outlineLevel="0" collapsed="false">
      <c r="A173" s="39" t="s">
        <v>294</v>
      </c>
      <c r="B173" s="40" t="n">
        <v>45681</v>
      </c>
      <c r="C173" s="39" t="s">
        <v>130</v>
      </c>
      <c r="D173" s="39" t="n">
        <v>8</v>
      </c>
      <c r="E173" s="41" t="n">
        <v>8.7</v>
      </c>
      <c r="F173" s="39" t="s">
        <v>115</v>
      </c>
      <c r="G173" s="39" t="str">
        <f aca="false">VLOOKUP(C173,Products!$A$5:$D$24,2,FALSE())</f>
        <v>Notebook Set</v>
      </c>
      <c r="H173" s="39" t="str">
        <f aca="false">VLOOKUP(C173,Products!$A$5:$D$24,3,FALSE())</f>
        <v>Stationery</v>
      </c>
      <c r="I173" s="41" t="n">
        <f aca="false">VLOOKUP(C173,Products!$A$5:$D$24,4,FALSE())</f>
        <v>3</v>
      </c>
      <c r="J173" s="42" t="n">
        <f aca="false">DATE(YEAR(B173),MONTH(B173),1)</f>
        <v>45658</v>
      </c>
      <c r="K173" s="41" t="n">
        <f aca="false">D173*E173</f>
        <v>69.6</v>
      </c>
      <c r="L173" s="41" t="n">
        <f aca="false">D173*I173</f>
        <v>24</v>
      </c>
      <c r="M173" s="41" t="n">
        <f aca="false">IFERROR(INDEX(Raw_Expenses!$C$5:$C$2979,MATCH(A173,Raw_Expenses!$A$5:$A$2979,0)),0)</f>
        <v>0</v>
      </c>
      <c r="N173" s="41" t="n">
        <f aca="false">L173+M173</f>
        <v>24</v>
      </c>
      <c r="O173" s="41" t="n">
        <f aca="false">K173-N173</f>
        <v>45.6</v>
      </c>
      <c r="P173" s="43" t="n">
        <f aca="false">IF(K173=0,0,O173/K173)</f>
        <v>0.655172413793103</v>
      </c>
    </row>
    <row r="174" customFormat="false" ht="15" hidden="false" customHeight="false" outlineLevel="0" collapsed="false">
      <c r="A174" s="39" t="s">
        <v>295</v>
      </c>
      <c r="B174" s="40" t="n">
        <v>45681</v>
      </c>
      <c r="C174" s="39" t="s">
        <v>128</v>
      </c>
      <c r="D174" s="39" t="n">
        <v>3</v>
      </c>
      <c r="E174" s="41" t="n">
        <v>38.66</v>
      </c>
      <c r="F174" s="39" t="s">
        <v>108</v>
      </c>
      <c r="G174" s="39" t="str">
        <f aca="false">VLOOKUP(C174,Products!$A$5:$D$24,2,FALSE())</f>
        <v>Ergonomic Footrest</v>
      </c>
      <c r="H174" s="39" t="str">
        <f aca="false">VLOOKUP(C174,Products!$A$5:$D$24,3,FALSE())</f>
        <v>Furniture</v>
      </c>
      <c r="I174" s="41" t="n">
        <f aca="false">VLOOKUP(C174,Products!$A$5:$D$24,4,FALSE())</f>
        <v>15</v>
      </c>
      <c r="J174" s="42" t="n">
        <f aca="false">DATE(YEAR(B174),MONTH(B174),1)</f>
        <v>45658</v>
      </c>
      <c r="K174" s="41" t="n">
        <f aca="false">D174*E174</f>
        <v>115.98</v>
      </c>
      <c r="L174" s="41" t="n">
        <f aca="false">D174*I174</f>
        <v>45</v>
      </c>
      <c r="M174" s="41" t="n">
        <f aca="false">IFERROR(INDEX(Raw_Expenses!$C$5:$C$2979,MATCH(A174,Raw_Expenses!$A$5:$A$2979,0)),0)</f>
        <v>7.26</v>
      </c>
      <c r="N174" s="41" t="n">
        <f aca="false">L174+M174</f>
        <v>52.26</v>
      </c>
      <c r="O174" s="41" t="n">
        <f aca="false">K174-N174</f>
        <v>63.72</v>
      </c>
      <c r="P174" s="43" t="n">
        <f aca="false">IF(K174=0,0,O174/K174)</f>
        <v>0.549405069839627</v>
      </c>
    </row>
    <row r="175" customFormat="false" ht="15" hidden="false" customHeight="false" outlineLevel="0" collapsed="false">
      <c r="A175" s="39" t="s">
        <v>296</v>
      </c>
      <c r="B175" s="40" t="n">
        <v>45681</v>
      </c>
      <c r="C175" s="39" t="s">
        <v>153</v>
      </c>
      <c r="D175" s="39" t="n">
        <v>6</v>
      </c>
      <c r="E175" s="41" t="n">
        <v>178.06</v>
      </c>
      <c r="F175" s="39" t="s">
        <v>115</v>
      </c>
      <c r="G175" s="39" t="str">
        <f aca="false">VLOOKUP(C175,Products!$A$5:$D$24,2,FALSE())</f>
        <v>24-inch Monitor</v>
      </c>
      <c r="H175" s="39" t="str">
        <f aca="false">VLOOKUP(C175,Products!$A$5:$D$24,3,FALSE())</f>
        <v>Electronics</v>
      </c>
      <c r="I175" s="41" t="n">
        <f aca="false">VLOOKUP(C175,Products!$A$5:$D$24,4,FALSE())</f>
        <v>90</v>
      </c>
      <c r="J175" s="42" t="n">
        <f aca="false">DATE(YEAR(B175),MONTH(B175),1)</f>
        <v>45658</v>
      </c>
      <c r="K175" s="41" t="n">
        <f aca="false">D175*E175</f>
        <v>1068.36</v>
      </c>
      <c r="L175" s="41" t="n">
        <f aca="false">D175*I175</f>
        <v>540</v>
      </c>
      <c r="M175" s="41" t="n">
        <f aca="false">IFERROR(INDEX(Raw_Expenses!$C$5:$C$2979,MATCH(A175,Raw_Expenses!$A$5:$A$2979,0)),0)</f>
        <v>47.76</v>
      </c>
      <c r="N175" s="41" t="n">
        <f aca="false">L175+M175</f>
        <v>587.76</v>
      </c>
      <c r="O175" s="41" t="n">
        <f aca="false">K175-N175</f>
        <v>480.6</v>
      </c>
      <c r="P175" s="43" t="n">
        <f aca="false">IF(K175=0,0,O175/K175)</f>
        <v>0.449848365719421</v>
      </c>
    </row>
    <row r="176" customFormat="false" ht="15" hidden="false" customHeight="false" outlineLevel="0" collapsed="false">
      <c r="A176" s="39" t="s">
        <v>297</v>
      </c>
      <c r="B176" s="40" t="n">
        <v>45681</v>
      </c>
      <c r="C176" s="39" t="s">
        <v>112</v>
      </c>
      <c r="D176" s="39" t="n">
        <v>2</v>
      </c>
      <c r="E176" s="41" t="n">
        <v>54.34</v>
      </c>
      <c r="F176" s="39" t="s">
        <v>118</v>
      </c>
      <c r="G176" s="39" t="str">
        <f aca="false">VLOOKUP(C176,Products!$A$5:$D$24,2,FALSE())</f>
        <v>HD Webcam</v>
      </c>
      <c r="H176" s="39" t="str">
        <f aca="false">VLOOKUP(C176,Products!$A$5:$D$24,3,FALSE())</f>
        <v>Electronics</v>
      </c>
      <c r="I176" s="41" t="n">
        <f aca="false">VLOOKUP(C176,Products!$A$5:$D$24,4,FALSE())</f>
        <v>22</v>
      </c>
      <c r="J176" s="42" t="n">
        <f aca="false">DATE(YEAR(B176),MONTH(B176),1)</f>
        <v>45658</v>
      </c>
      <c r="K176" s="41" t="n">
        <f aca="false">D176*E176</f>
        <v>108.68</v>
      </c>
      <c r="L176" s="41" t="n">
        <f aca="false">D176*I176</f>
        <v>44</v>
      </c>
      <c r="M176" s="41" t="n">
        <f aca="false">IFERROR(INDEX(Raw_Expenses!$C$5:$C$2979,MATCH(A176,Raw_Expenses!$A$5:$A$2979,0)),0)</f>
        <v>4.76</v>
      </c>
      <c r="N176" s="41" t="n">
        <f aca="false">L176+M176</f>
        <v>48.76</v>
      </c>
      <c r="O176" s="41" t="n">
        <f aca="false">K176-N176</f>
        <v>59.92</v>
      </c>
      <c r="P176" s="43" t="n">
        <f aca="false">IF(K176=0,0,O176/K176)</f>
        <v>0.551343393448657</v>
      </c>
    </row>
    <row r="177" customFormat="false" ht="15" hidden="false" customHeight="false" outlineLevel="0" collapsed="false">
      <c r="A177" s="39" t="s">
        <v>298</v>
      </c>
      <c r="B177" s="40" t="n">
        <v>45682</v>
      </c>
      <c r="C177" s="39" t="s">
        <v>114</v>
      </c>
      <c r="D177" s="39" t="n">
        <v>1</v>
      </c>
      <c r="E177" s="41" t="n">
        <v>5.54</v>
      </c>
      <c r="F177" s="39" t="s">
        <v>108</v>
      </c>
      <c r="G177" s="39" t="str">
        <f aca="false">VLOOKUP(C177,Products!$A$5:$D$24,2,FALSE())</f>
        <v>Gel Pen Pack</v>
      </c>
      <c r="H177" s="39" t="str">
        <f aca="false">VLOOKUP(C177,Products!$A$5:$D$24,3,FALSE())</f>
        <v>Stationery</v>
      </c>
      <c r="I177" s="41" t="n">
        <f aca="false">VLOOKUP(C177,Products!$A$5:$D$24,4,FALSE())</f>
        <v>2</v>
      </c>
      <c r="J177" s="42" t="n">
        <f aca="false">DATE(YEAR(B177),MONTH(B177),1)</f>
        <v>45658</v>
      </c>
      <c r="K177" s="41" t="n">
        <f aca="false">D177*E177</f>
        <v>5.54</v>
      </c>
      <c r="L177" s="41" t="n">
        <f aca="false">D177*I177</f>
        <v>2</v>
      </c>
      <c r="M177" s="41" t="n">
        <f aca="false">IFERROR(INDEX(Raw_Expenses!$C$5:$C$2979,MATCH(A177,Raw_Expenses!$A$5:$A$2979,0)),0)</f>
        <v>0.34</v>
      </c>
      <c r="N177" s="41" t="n">
        <f aca="false">L177+M177</f>
        <v>2.34</v>
      </c>
      <c r="O177" s="41" t="n">
        <f aca="false">K177-N177</f>
        <v>3.2</v>
      </c>
      <c r="P177" s="43" t="n">
        <f aca="false">IF(K177=0,0,O177/K177)</f>
        <v>0.577617328519856</v>
      </c>
    </row>
    <row r="178" customFormat="false" ht="15" hidden="false" customHeight="false" outlineLevel="0" collapsed="false">
      <c r="A178" s="39" t="s">
        <v>299</v>
      </c>
      <c r="B178" s="40" t="n">
        <v>45682</v>
      </c>
      <c r="C178" s="39" t="s">
        <v>139</v>
      </c>
      <c r="D178" s="39" t="n">
        <v>1</v>
      </c>
      <c r="E178" s="41" t="n">
        <v>128.98</v>
      </c>
      <c r="F178" s="39" t="s">
        <v>105</v>
      </c>
      <c r="G178" s="39" t="str">
        <f aca="false">VLOOKUP(C178,Products!$A$5:$D$24,2,FALSE())</f>
        <v>Noise-Cancelling Headphones</v>
      </c>
      <c r="H178" s="39" t="str">
        <f aca="false">VLOOKUP(C178,Products!$A$5:$D$24,3,FALSE())</f>
        <v>Electronics</v>
      </c>
      <c r="I178" s="41" t="n">
        <f aca="false">VLOOKUP(C178,Products!$A$5:$D$24,4,FALSE())</f>
        <v>55</v>
      </c>
      <c r="J178" s="42" t="n">
        <f aca="false">DATE(YEAR(B178),MONTH(B178),1)</f>
        <v>45658</v>
      </c>
      <c r="K178" s="41" t="n">
        <f aca="false">D178*E178</f>
        <v>128.98</v>
      </c>
      <c r="L178" s="41" t="n">
        <f aca="false">D178*I178</f>
        <v>55</v>
      </c>
      <c r="M178" s="41" t="n">
        <f aca="false">IFERROR(INDEX(Raw_Expenses!$C$5:$C$2979,MATCH(A178,Raw_Expenses!$A$5:$A$2979,0)),0)</f>
        <v>7.67</v>
      </c>
      <c r="N178" s="41" t="n">
        <f aca="false">L178+M178</f>
        <v>62.67</v>
      </c>
      <c r="O178" s="41" t="n">
        <f aca="false">K178-N178</f>
        <v>66.31</v>
      </c>
      <c r="P178" s="43" t="n">
        <f aca="false">IF(K178=0,0,O178/K178)</f>
        <v>0.51411071483951</v>
      </c>
    </row>
    <row r="179" customFormat="false" ht="15" hidden="false" customHeight="false" outlineLevel="0" collapsed="false">
      <c r="A179" s="39" t="s">
        <v>300</v>
      </c>
      <c r="B179" s="40" t="n">
        <v>45682</v>
      </c>
      <c r="C179" s="39" t="s">
        <v>130</v>
      </c>
      <c r="D179" s="39" t="n">
        <v>4</v>
      </c>
      <c r="E179" s="41" t="n">
        <v>8.75</v>
      </c>
      <c r="F179" s="39" t="s">
        <v>118</v>
      </c>
      <c r="G179" s="39" t="str">
        <f aca="false">VLOOKUP(C179,Products!$A$5:$D$24,2,FALSE())</f>
        <v>Notebook Set</v>
      </c>
      <c r="H179" s="39" t="str">
        <f aca="false">VLOOKUP(C179,Products!$A$5:$D$24,3,FALSE())</f>
        <v>Stationery</v>
      </c>
      <c r="I179" s="41" t="n">
        <f aca="false">VLOOKUP(C179,Products!$A$5:$D$24,4,FALSE())</f>
        <v>3</v>
      </c>
      <c r="J179" s="42" t="n">
        <f aca="false">DATE(YEAR(B179),MONTH(B179),1)</f>
        <v>45658</v>
      </c>
      <c r="K179" s="41" t="n">
        <f aca="false">D179*E179</f>
        <v>35</v>
      </c>
      <c r="L179" s="41" t="n">
        <f aca="false">D179*I179</f>
        <v>12</v>
      </c>
      <c r="M179" s="41" t="n">
        <f aca="false">IFERROR(INDEX(Raw_Expenses!$C$5:$C$2979,MATCH(A179,Raw_Expenses!$A$5:$A$2979,0)),0)</f>
        <v>1.74</v>
      </c>
      <c r="N179" s="41" t="n">
        <f aca="false">L179+M179</f>
        <v>13.74</v>
      </c>
      <c r="O179" s="41" t="n">
        <f aca="false">K179-N179</f>
        <v>21.26</v>
      </c>
      <c r="P179" s="43" t="n">
        <f aca="false">IF(K179=0,0,O179/K179)</f>
        <v>0.607428571428571</v>
      </c>
    </row>
    <row r="180" customFormat="false" ht="15" hidden="false" customHeight="false" outlineLevel="0" collapsed="false">
      <c r="A180" s="39" t="s">
        <v>301</v>
      </c>
      <c r="B180" s="40" t="n">
        <v>45682</v>
      </c>
      <c r="C180" s="39" t="s">
        <v>128</v>
      </c>
      <c r="D180" s="39" t="n">
        <v>3</v>
      </c>
      <c r="E180" s="41" t="n">
        <v>37.91</v>
      </c>
      <c r="F180" s="39" t="s">
        <v>108</v>
      </c>
      <c r="G180" s="39" t="str">
        <f aca="false">VLOOKUP(C180,Products!$A$5:$D$24,2,FALSE())</f>
        <v>Ergonomic Footrest</v>
      </c>
      <c r="H180" s="39" t="str">
        <f aca="false">VLOOKUP(C180,Products!$A$5:$D$24,3,FALSE())</f>
        <v>Furniture</v>
      </c>
      <c r="I180" s="41" t="n">
        <f aca="false">VLOOKUP(C180,Products!$A$5:$D$24,4,FALSE())</f>
        <v>15</v>
      </c>
      <c r="J180" s="42" t="n">
        <f aca="false">DATE(YEAR(B180),MONTH(B180),1)</f>
        <v>45658</v>
      </c>
      <c r="K180" s="41" t="n">
        <f aca="false">D180*E180</f>
        <v>113.73</v>
      </c>
      <c r="L180" s="41" t="n">
        <f aca="false">D180*I180</f>
        <v>45</v>
      </c>
      <c r="M180" s="41" t="n">
        <f aca="false">IFERROR(INDEX(Raw_Expenses!$C$5:$C$2979,MATCH(A180,Raw_Expenses!$A$5:$A$2979,0)),0)</f>
        <v>5.17</v>
      </c>
      <c r="N180" s="41" t="n">
        <f aca="false">L180+M180</f>
        <v>50.17</v>
      </c>
      <c r="O180" s="41" t="n">
        <f aca="false">K180-N180</f>
        <v>63.56</v>
      </c>
      <c r="P180" s="43" t="n">
        <f aca="false">IF(K180=0,0,O180/K180)</f>
        <v>0.558867493185615</v>
      </c>
    </row>
    <row r="181" customFormat="false" ht="15" hidden="false" customHeight="false" outlineLevel="0" collapsed="false">
      <c r="A181" s="39" t="s">
        <v>302</v>
      </c>
      <c r="B181" s="40" t="n">
        <v>45682</v>
      </c>
      <c r="C181" s="39" t="s">
        <v>126</v>
      </c>
      <c r="D181" s="39" t="n">
        <v>4</v>
      </c>
      <c r="E181" s="41" t="n">
        <v>23.28</v>
      </c>
      <c r="F181" s="39" t="s">
        <v>105</v>
      </c>
      <c r="G181" s="39" t="str">
        <f aca="false">VLOOKUP(C181,Products!$A$5:$D$24,2,FALSE())</f>
        <v>Wireless Mouse</v>
      </c>
      <c r="H181" s="39" t="str">
        <f aca="false">VLOOKUP(C181,Products!$A$5:$D$24,3,FALSE())</f>
        <v>Electronics</v>
      </c>
      <c r="I181" s="41" t="n">
        <f aca="false">VLOOKUP(C181,Products!$A$5:$D$24,4,FALSE())</f>
        <v>12</v>
      </c>
      <c r="J181" s="42" t="n">
        <f aca="false">DATE(YEAR(B181),MONTH(B181),1)</f>
        <v>45658</v>
      </c>
      <c r="K181" s="41" t="n">
        <f aca="false">D181*E181</f>
        <v>93.12</v>
      </c>
      <c r="L181" s="41" t="n">
        <f aca="false">D181*I181</f>
        <v>48</v>
      </c>
      <c r="M181" s="41" t="n">
        <f aca="false">IFERROR(INDEX(Raw_Expenses!$C$5:$C$2979,MATCH(A181,Raw_Expenses!$A$5:$A$2979,0)),0)</f>
        <v>3.97</v>
      </c>
      <c r="N181" s="41" t="n">
        <f aca="false">L181+M181</f>
        <v>51.97</v>
      </c>
      <c r="O181" s="41" t="n">
        <f aca="false">K181-N181</f>
        <v>41.15</v>
      </c>
      <c r="P181" s="43" t="n">
        <f aca="false">IF(K181=0,0,O181/K181)</f>
        <v>0.441902920962199</v>
      </c>
    </row>
    <row r="182" customFormat="false" ht="15" hidden="false" customHeight="false" outlineLevel="0" collapsed="false">
      <c r="A182" s="39" t="s">
        <v>303</v>
      </c>
      <c r="B182" s="40" t="n">
        <v>45682</v>
      </c>
      <c r="C182" s="39" t="s">
        <v>183</v>
      </c>
      <c r="D182" s="39" t="n">
        <v>1</v>
      </c>
      <c r="E182" s="41" t="n">
        <v>188.93</v>
      </c>
      <c r="F182" s="39" t="s">
        <v>118</v>
      </c>
      <c r="G182" s="39" t="str">
        <f aca="false">VLOOKUP(C182,Products!$A$5:$D$24,2,FALSE())</f>
        <v>Office Chair</v>
      </c>
      <c r="H182" s="39" t="str">
        <f aca="false">VLOOKUP(C182,Products!$A$5:$D$24,3,FALSE())</f>
        <v>Furniture</v>
      </c>
      <c r="I182" s="41" t="n">
        <f aca="false">VLOOKUP(C182,Products!$A$5:$D$24,4,FALSE())</f>
        <v>85</v>
      </c>
      <c r="J182" s="42" t="n">
        <f aca="false">DATE(YEAR(B182),MONTH(B182),1)</f>
        <v>45658</v>
      </c>
      <c r="K182" s="41" t="n">
        <f aca="false">D182*E182</f>
        <v>188.93</v>
      </c>
      <c r="L182" s="41" t="n">
        <f aca="false">D182*I182</f>
        <v>85</v>
      </c>
      <c r="M182" s="41" t="n">
        <f aca="false">IFERROR(INDEX(Raw_Expenses!$C$5:$C$2979,MATCH(A182,Raw_Expenses!$A$5:$A$2979,0)),0)</f>
        <v>12.53</v>
      </c>
      <c r="N182" s="41" t="n">
        <f aca="false">L182+M182</f>
        <v>97.53</v>
      </c>
      <c r="O182" s="41" t="n">
        <f aca="false">K182-N182</f>
        <v>91.4</v>
      </c>
      <c r="P182" s="43" t="n">
        <f aca="false">IF(K182=0,0,O182/K182)</f>
        <v>0.483777060286879</v>
      </c>
    </row>
    <row r="183" customFormat="false" ht="15" hidden="false" customHeight="false" outlineLevel="0" collapsed="false">
      <c r="A183" s="39" t="s">
        <v>304</v>
      </c>
      <c r="B183" s="40" t="n">
        <v>45683</v>
      </c>
      <c r="C183" s="39" t="s">
        <v>305</v>
      </c>
      <c r="D183" s="39" t="n">
        <v>4</v>
      </c>
      <c r="E183" s="41" t="n">
        <v>322.27</v>
      </c>
      <c r="F183" s="39" t="s">
        <v>105</v>
      </c>
      <c r="G183" s="39" t="str">
        <f aca="false">VLOOKUP(C183,Products!$A$5:$D$24,2,FALSE())</f>
        <v>Standing Desk</v>
      </c>
      <c r="H183" s="39" t="str">
        <f aca="false">VLOOKUP(C183,Products!$A$5:$D$24,3,FALSE())</f>
        <v>Furniture</v>
      </c>
      <c r="I183" s="41" t="n">
        <f aca="false">VLOOKUP(C183,Products!$A$5:$D$24,4,FALSE())</f>
        <v>160</v>
      </c>
      <c r="J183" s="42" t="n">
        <f aca="false">DATE(YEAR(B183),MONTH(B183),1)</f>
        <v>45658</v>
      </c>
      <c r="K183" s="41" t="n">
        <f aca="false">D183*E183</f>
        <v>1289.08</v>
      </c>
      <c r="L183" s="41" t="n">
        <f aca="false">D183*I183</f>
        <v>640</v>
      </c>
      <c r="M183" s="41" t="n">
        <f aca="false">IFERROR(INDEX(Raw_Expenses!$C$5:$C$2979,MATCH(A183,Raw_Expenses!$A$5:$A$2979,0)),0)</f>
        <v>59.01</v>
      </c>
      <c r="N183" s="41" t="n">
        <f aca="false">L183+M183</f>
        <v>699.01</v>
      </c>
      <c r="O183" s="41" t="n">
        <f aca="false">K183-N183</f>
        <v>590.07</v>
      </c>
      <c r="P183" s="43" t="n">
        <f aca="false">IF(K183=0,0,O183/K183)</f>
        <v>0.457745058491327</v>
      </c>
    </row>
    <row r="184" customFormat="false" ht="15" hidden="false" customHeight="false" outlineLevel="0" collapsed="false">
      <c r="A184" s="39" t="s">
        <v>306</v>
      </c>
      <c r="B184" s="40" t="n">
        <v>45683</v>
      </c>
      <c r="C184" s="39" t="s">
        <v>121</v>
      </c>
      <c r="D184" s="39" t="n">
        <v>2</v>
      </c>
      <c r="E184" s="41" t="n">
        <v>111.38</v>
      </c>
      <c r="F184" s="39" t="s">
        <v>118</v>
      </c>
      <c r="G184" s="39" t="str">
        <f aca="false">VLOOKUP(C184,Products!$A$5:$D$24,2,FALSE())</f>
        <v>External SSD 1TB</v>
      </c>
      <c r="H184" s="39" t="str">
        <f aca="false">VLOOKUP(C184,Products!$A$5:$D$24,3,FALSE())</f>
        <v>Electronics</v>
      </c>
      <c r="I184" s="41" t="n">
        <f aca="false">VLOOKUP(C184,Products!$A$5:$D$24,4,FALSE())</f>
        <v>62</v>
      </c>
      <c r="J184" s="42" t="n">
        <f aca="false">DATE(YEAR(B184),MONTH(B184),1)</f>
        <v>45658</v>
      </c>
      <c r="K184" s="41" t="n">
        <f aca="false">D184*E184</f>
        <v>222.76</v>
      </c>
      <c r="L184" s="41" t="n">
        <f aca="false">D184*I184</f>
        <v>124</v>
      </c>
      <c r="M184" s="41" t="n">
        <f aca="false">IFERROR(INDEX(Raw_Expenses!$C$5:$C$2979,MATCH(A184,Raw_Expenses!$A$5:$A$2979,0)),0)</f>
        <v>9.59</v>
      </c>
      <c r="N184" s="41" t="n">
        <f aca="false">L184+M184</f>
        <v>133.59</v>
      </c>
      <c r="O184" s="41" t="n">
        <f aca="false">K184-N184</f>
        <v>89.17</v>
      </c>
      <c r="P184" s="43" t="n">
        <f aca="false">IF(K184=0,0,O184/K184)</f>
        <v>0.400296282995152</v>
      </c>
    </row>
    <row r="185" customFormat="false" ht="15" hidden="false" customHeight="false" outlineLevel="0" collapsed="false">
      <c r="A185" s="39" t="s">
        <v>307</v>
      </c>
      <c r="B185" s="40" t="n">
        <v>45683</v>
      </c>
      <c r="C185" s="39" t="s">
        <v>139</v>
      </c>
      <c r="D185" s="39" t="n">
        <v>4</v>
      </c>
      <c r="E185" s="41" t="n">
        <v>122.54</v>
      </c>
      <c r="F185" s="39" t="s">
        <v>115</v>
      </c>
      <c r="G185" s="39" t="str">
        <f aca="false">VLOOKUP(C185,Products!$A$5:$D$24,2,FALSE())</f>
        <v>Noise-Cancelling Headphones</v>
      </c>
      <c r="H185" s="39" t="str">
        <f aca="false">VLOOKUP(C185,Products!$A$5:$D$24,3,FALSE())</f>
        <v>Electronics</v>
      </c>
      <c r="I185" s="41" t="n">
        <f aca="false">VLOOKUP(C185,Products!$A$5:$D$24,4,FALSE())</f>
        <v>55</v>
      </c>
      <c r="J185" s="42" t="n">
        <f aca="false">DATE(YEAR(B185),MONTH(B185),1)</f>
        <v>45658</v>
      </c>
      <c r="K185" s="41" t="n">
        <f aca="false">D185*E185</f>
        <v>490.16</v>
      </c>
      <c r="L185" s="41" t="n">
        <f aca="false">D185*I185</f>
        <v>220</v>
      </c>
      <c r="M185" s="41" t="n">
        <f aca="false">IFERROR(INDEX(Raw_Expenses!$C$5:$C$2979,MATCH(A185,Raw_Expenses!$A$5:$A$2979,0)),0)</f>
        <v>43.78</v>
      </c>
      <c r="N185" s="41" t="n">
        <f aca="false">L185+M185</f>
        <v>263.78</v>
      </c>
      <c r="O185" s="41" t="n">
        <f aca="false">K185-N185</f>
        <v>226.38</v>
      </c>
      <c r="P185" s="43" t="n">
        <f aca="false">IF(K185=0,0,O185/K185)</f>
        <v>0.461849192100539</v>
      </c>
    </row>
    <row r="186" customFormat="false" ht="15" hidden="false" customHeight="false" outlineLevel="0" collapsed="false">
      <c r="A186" s="39" t="s">
        <v>308</v>
      </c>
      <c r="B186" s="40" t="n">
        <v>45683</v>
      </c>
      <c r="C186" s="39" t="s">
        <v>133</v>
      </c>
      <c r="D186" s="39" t="n">
        <v>1</v>
      </c>
      <c r="E186" s="41" t="n">
        <v>8.45</v>
      </c>
      <c r="F186" s="39" t="s">
        <v>108</v>
      </c>
      <c r="G186" s="39" t="str">
        <f aca="false">VLOOKUP(C186,Products!$A$5:$D$24,2,FALSE())</f>
        <v>Printer Paper Ream</v>
      </c>
      <c r="H186" s="39" t="str">
        <f aca="false">VLOOKUP(C186,Products!$A$5:$D$24,3,FALSE())</f>
        <v>Stationery</v>
      </c>
      <c r="I186" s="41" t="n">
        <f aca="false">VLOOKUP(C186,Products!$A$5:$D$24,4,FALSE())</f>
        <v>4</v>
      </c>
      <c r="J186" s="42" t="n">
        <f aca="false">DATE(YEAR(B186),MONTH(B186),1)</f>
        <v>45658</v>
      </c>
      <c r="K186" s="41" t="n">
        <f aca="false">D186*E186</f>
        <v>8.45</v>
      </c>
      <c r="L186" s="41" t="n">
        <f aca="false">D186*I186</f>
        <v>4</v>
      </c>
      <c r="M186" s="41" t="n">
        <f aca="false">IFERROR(INDEX(Raw_Expenses!$C$5:$C$2979,MATCH(A186,Raw_Expenses!$A$5:$A$2979,0)),0)</f>
        <v>0.71</v>
      </c>
      <c r="N186" s="41" t="n">
        <f aca="false">L186+M186</f>
        <v>4.71</v>
      </c>
      <c r="O186" s="41" t="n">
        <f aca="false">K186-N186</f>
        <v>3.74</v>
      </c>
      <c r="P186" s="43" t="n">
        <f aca="false">IF(K186=0,0,O186/K186)</f>
        <v>0.442603550295858</v>
      </c>
    </row>
    <row r="187" customFormat="false" ht="15" hidden="false" customHeight="false" outlineLevel="0" collapsed="false">
      <c r="A187" s="39" t="s">
        <v>309</v>
      </c>
      <c r="B187" s="40" t="n">
        <v>45683</v>
      </c>
      <c r="C187" s="39" t="s">
        <v>104</v>
      </c>
      <c r="D187" s="39" t="n">
        <v>1</v>
      </c>
      <c r="E187" s="41" t="n">
        <v>15.73</v>
      </c>
      <c r="F187" s="39" t="s">
        <v>115</v>
      </c>
      <c r="G187" s="39" t="str">
        <f aca="false">VLOOKUP(C187,Products!$A$5:$D$24,2,FALSE())</f>
        <v>Water Bottle</v>
      </c>
      <c r="H187" s="39" t="str">
        <f aca="false">VLOOKUP(C187,Products!$A$5:$D$24,3,FALSE())</f>
        <v>Accessories</v>
      </c>
      <c r="I187" s="41" t="n">
        <f aca="false">VLOOKUP(C187,Products!$A$5:$D$24,4,FALSE())</f>
        <v>5</v>
      </c>
      <c r="J187" s="42" t="n">
        <f aca="false">DATE(YEAR(B187),MONTH(B187),1)</f>
        <v>45658</v>
      </c>
      <c r="K187" s="41" t="n">
        <f aca="false">D187*E187</f>
        <v>15.73</v>
      </c>
      <c r="L187" s="41" t="n">
        <f aca="false">D187*I187</f>
        <v>5</v>
      </c>
      <c r="M187" s="41" t="n">
        <f aca="false">IFERROR(INDEX(Raw_Expenses!$C$5:$C$2979,MATCH(A187,Raw_Expenses!$A$5:$A$2979,0)),0)</f>
        <v>1.28</v>
      </c>
      <c r="N187" s="41" t="n">
        <f aca="false">L187+M187</f>
        <v>6.28</v>
      </c>
      <c r="O187" s="41" t="n">
        <f aca="false">K187-N187</f>
        <v>9.45</v>
      </c>
      <c r="P187" s="43" t="n">
        <f aca="false">IF(K187=0,0,O187/K187)</f>
        <v>0.600762873490146</v>
      </c>
    </row>
    <row r="188" customFormat="false" ht="15" hidden="false" customHeight="false" outlineLevel="0" collapsed="false">
      <c r="A188" s="39" t="s">
        <v>310</v>
      </c>
      <c r="B188" s="40" t="n">
        <v>45683</v>
      </c>
      <c r="C188" s="39" t="s">
        <v>177</v>
      </c>
      <c r="D188" s="39" t="n">
        <v>1</v>
      </c>
      <c r="E188" s="41" t="n">
        <v>43.9</v>
      </c>
      <c r="F188" s="39" t="s">
        <v>108</v>
      </c>
      <c r="G188" s="39" t="str">
        <f aca="false">VLOOKUP(C188,Products!$A$5:$D$24,2,FALSE())</f>
        <v>Backpack</v>
      </c>
      <c r="H188" s="39" t="str">
        <f aca="false">VLOOKUP(C188,Products!$A$5:$D$24,3,FALSE())</f>
        <v>Accessories</v>
      </c>
      <c r="I188" s="41" t="n">
        <f aca="false">VLOOKUP(C188,Products!$A$5:$D$24,4,FALSE())</f>
        <v>17</v>
      </c>
      <c r="J188" s="42" t="n">
        <f aca="false">DATE(YEAR(B188),MONTH(B188),1)</f>
        <v>45658</v>
      </c>
      <c r="K188" s="41" t="n">
        <f aca="false">D188*E188</f>
        <v>43.9</v>
      </c>
      <c r="L188" s="41" t="n">
        <f aca="false">D188*I188</f>
        <v>17</v>
      </c>
      <c r="M188" s="41" t="n">
        <f aca="false">IFERROR(INDEX(Raw_Expenses!$C$5:$C$2979,MATCH(A188,Raw_Expenses!$A$5:$A$2979,0)),0)</f>
        <v>2.97</v>
      </c>
      <c r="N188" s="41" t="n">
        <f aca="false">L188+M188</f>
        <v>19.97</v>
      </c>
      <c r="O188" s="41" t="n">
        <f aca="false">K188-N188</f>
        <v>23.93</v>
      </c>
      <c r="P188" s="43" t="n">
        <f aca="false">IF(K188=0,0,O188/K188)</f>
        <v>0.545102505694761</v>
      </c>
    </row>
    <row r="189" customFormat="false" ht="15" hidden="false" customHeight="false" outlineLevel="0" collapsed="false">
      <c r="A189" s="39" t="s">
        <v>311</v>
      </c>
      <c r="B189" s="40" t="n">
        <v>45683</v>
      </c>
      <c r="C189" s="39" t="s">
        <v>104</v>
      </c>
      <c r="D189" s="39" t="n">
        <v>2</v>
      </c>
      <c r="E189" s="41" t="n">
        <v>15.94</v>
      </c>
      <c r="F189" s="39" t="s">
        <v>118</v>
      </c>
      <c r="G189" s="39" t="str">
        <f aca="false">VLOOKUP(C189,Products!$A$5:$D$24,2,FALSE())</f>
        <v>Water Bottle</v>
      </c>
      <c r="H189" s="39" t="str">
        <f aca="false">VLOOKUP(C189,Products!$A$5:$D$24,3,FALSE())</f>
        <v>Accessories</v>
      </c>
      <c r="I189" s="41" t="n">
        <f aca="false">VLOOKUP(C189,Products!$A$5:$D$24,4,FALSE())</f>
        <v>5</v>
      </c>
      <c r="J189" s="42" t="n">
        <f aca="false">DATE(YEAR(B189),MONTH(B189),1)</f>
        <v>45658</v>
      </c>
      <c r="K189" s="41" t="n">
        <f aca="false">D189*E189</f>
        <v>31.88</v>
      </c>
      <c r="L189" s="41" t="n">
        <f aca="false">D189*I189</f>
        <v>10</v>
      </c>
      <c r="M189" s="41" t="n">
        <f aca="false">IFERROR(INDEX(Raw_Expenses!$C$5:$C$2979,MATCH(A189,Raw_Expenses!$A$5:$A$2979,0)),0)</f>
        <v>1.99</v>
      </c>
      <c r="N189" s="41" t="n">
        <f aca="false">L189+M189</f>
        <v>11.99</v>
      </c>
      <c r="O189" s="41" t="n">
        <f aca="false">K189-N189</f>
        <v>19.89</v>
      </c>
      <c r="P189" s="43" t="n">
        <f aca="false">IF(K189=0,0,O189/K189)</f>
        <v>0.623902132998745</v>
      </c>
    </row>
    <row r="190" customFormat="false" ht="15" hidden="false" customHeight="false" outlineLevel="0" collapsed="false">
      <c r="A190" s="39" t="s">
        <v>312</v>
      </c>
      <c r="B190" s="40" t="n">
        <v>45683</v>
      </c>
      <c r="C190" s="39" t="s">
        <v>139</v>
      </c>
      <c r="D190" s="39" t="n">
        <v>1</v>
      </c>
      <c r="E190" s="41" t="n">
        <v>128.72</v>
      </c>
      <c r="F190" s="39" t="s">
        <v>118</v>
      </c>
      <c r="G190" s="39" t="str">
        <f aca="false">VLOOKUP(C190,Products!$A$5:$D$24,2,FALSE())</f>
        <v>Noise-Cancelling Headphones</v>
      </c>
      <c r="H190" s="39" t="str">
        <f aca="false">VLOOKUP(C190,Products!$A$5:$D$24,3,FALSE())</f>
        <v>Electronics</v>
      </c>
      <c r="I190" s="41" t="n">
        <f aca="false">VLOOKUP(C190,Products!$A$5:$D$24,4,FALSE())</f>
        <v>55</v>
      </c>
      <c r="J190" s="42" t="n">
        <f aca="false">DATE(YEAR(B190),MONTH(B190),1)</f>
        <v>45658</v>
      </c>
      <c r="K190" s="41" t="n">
        <f aca="false">D190*E190</f>
        <v>128.72</v>
      </c>
      <c r="L190" s="41" t="n">
        <f aca="false">D190*I190</f>
        <v>55</v>
      </c>
      <c r="M190" s="41" t="n">
        <f aca="false">IFERROR(INDEX(Raw_Expenses!$C$5:$C$2979,MATCH(A190,Raw_Expenses!$A$5:$A$2979,0)),0)</f>
        <v>7.92</v>
      </c>
      <c r="N190" s="41" t="n">
        <f aca="false">L190+M190</f>
        <v>62.92</v>
      </c>
      <c r="O190" s="41" t="n">
        <f aca="false">K190-N190</f>
        <v>65.8</v>
      </c>
      <c r="P190" s="43" t="n">
        <f aca="false">IF(K190=0,0,O190/K190)</f>
        <v>0.511187072715973</v>
      </c>
    </row>
    <row r="191" customFormat="false" ht="15" hidden="false" customHeight="false" outlineLevel="0" collapsed="false">
      <c r="A191" s="39" t="s">
        <v>313</v>
      </c>
      <c r="B191" s="40" t="n">
        <v>45683</v>
      </c>
      <c r="C191" s="39" t="s">
        <v>136</v>
      </c>
      <c r="D191" s="39" t="n">
        <v>2</v>
      </c>
      <c r="E191" s="41" t="n">
        <v>73.49</v>
      </c>
      <c r="F191" s="39" t="s">
        <v>118</v>
      </c>
      <c r="G191" s="39" t="str">
        <f aca="false">VLOOKUP(C191,Products!$A$5:$D$24,2,FALSE())</f>
        <v>Mechanical Keyboard</v>
      </c>
      <c r="H191" s="39" t="str">
        <f aca="false">VLOOKUP(C191,Products!$A$5:$D$24,3,FALSE())</f>
        <v>Electronics</v>
      </c>
      <c r="I191" s="41" t="n">
        <f aca="false">VLOOKUP(C191,Products!$A$5:$D$24,4,FALSE())</f>
        <v>38</v>
      </c>
      <c r="J191" s="42" t="n">
        <f aca="false">DATE(YEAR(B191),MONTH(B191),1)</f>
        <v>45658</v>
      </c>
      <c r="K191" s="41" t="n">
        <f aca="false">D191*E191</f>
        <v>146.98</v>
      </c>
      <c r="L191" s="41" t="n">
        <f aca="false">D191*I191</f>
        <v>76</v>
      </c>
      <c r="M191" s="41" t="n">
        <f aca="false">IFERROR(INDEX(Raw_Expenses!$C$5:$C$2979,MATCH(A191,Raw_Expenses!$A$5:$A$2979,0)),0)</f>
        <v>7.76</v>
      </c>
      <c r="N191" s="41" t="n">
        <f aca="false">L191+M191</f>
        <v>83.76</v>
      </c>
      <c r="O191" s="41" t="n">
        <f aca="false">K191-N191</f>
        <v>63.22</v>
      </c>
      <c r="P191" s="43" t="n">
        <f aca="false">IF(K191=0,0,O191/K191)</f>
        <v>0.430126547829637</v>
      </c>
    </row>
    <row r="192" customFormat="false" ht="15" hidden="false" customHeight="false" outlineLevel="0" collapsed="false">
      <c r="A192" s="39" t="s">
        <v>314</v>
      </c>
      <c r="B192" s="40" t="n">
        <v>45684</v>
      </c>
      <c r="C192" s="39" t="s">
        <v>177</v>
      </c>
      <c r="D192" s="39" t="n">
        <v>6</v>
      </c>
      <c r="E192" s="41" t="n">
        <v>43.98</v>
      </c>
      <c r="F192" s="39" t="s">
        <v>115</v>
      </c>
      <c r="G192" s="39" t="str">
        <f aca="false">VLOOKUP(C192,Products!$A$5:$D$24,2,FALSE())</f>
        <v>Backpack</v>
      </c>
      <c r="H192" s="39" t="str">
        <f aca="false">VLOOKUP(C192,Products!$A$5:$D$24,3,FALSE())</f>
        <v>Accessories</v>
      </c>
      <c r="I192" s="41" t="n">
        <f aca="false">VLOOKUP(C192,Products!$A$5:$D$24,4,FALSE())</f>
        <v>17</v>
      </c>
      <c r="J192" s="42" t="n">
        <f aca="false">DATE(YEAR(B192),MONTH(B192),1)</f>
        <v>45658</v>
      </c>
      <c r="K192" s="41" t="n">
        <f aca="false">D192*E192</f>
        <v>263.88</v>
      </c>
      <c r="L192" s="41" t="n">
        <f aca="false">D192*I192</f>
        <v>102</v>
      </c>
      <c r="M192" s="41" t="n">
        <f aca="false">IFERROR(INDEX(Raw_Expenses!$C$5:$C$2979,MATCH(A192,Raw_Expenses!$A$5:$A$2979,0)),0)</f>
        <v>17.87</v>
      </c>
      <c r="N192" s="41" t="n">
        <f aca="false">L192+M192</f>
        <v>119.87</v>
      </c>
      <c r="O192" s="41" t="n">
        <f aca="false">K192-N192</f>
        <v>144.01</v>
      </c>
      <c r="P192" s="43" t="n">
        <f aca="false">IF(K192=0,0,O192/K192)</f>
        <v>0.545740488100652</v>
      </c>
    </row>
    <row r="193" customFormat="false" ht="15" hidden="false" customHeight="false" outlineLevel="0" collapsed="false">
      <c r="A193" s="39" t="s">
        <v>315</v>
      </c>
      <c r="B193" s="40" t="n">
        <v>45684</v>
      </c>
      <c r="C193" s="39" t="s">
        <v>121</v>
      </c>
      <c r="D193" s="39" t="n">
        <v>6</v>
      </c>
      <c r="E193" s="41" t="n">
        <v>110.94</v>
      </c>
      <c r="F193" s="39" t="s">
        <v>105</v>
      </c>
      <c r="G193" s="39" t="str">
        <f aca="false">VLOOKUP(C193,Products!$A$5:$D$24,2,FALSE())</f>
        <v>External SSD 1TB</v>
      </c>
      <c r="H193" s="39" t="str">
        <f aca="false">VLOOKUP(C193,Products!$A$5:$D$24,3,FALSE())</f>
        <v>Electronics</v>
      </c>
      <c r="I193" s="41" t="n">
        <f aca="false">VLOOKUP(C193,Products!$A$5:$D$24,4,FALSE())</f>
        <v>62</v>
      </c>
      <c r="J193" s="42" t="n">
        <f aca="false">DATE(YEAR(B193),MONTH(B193),1)</f>
        <v>45658</v>
      </c>
      <c r="K193" s="41" t="n">
        <f aca="false">D193*E193</f>
        <v>665.64</v>
      </c>
      <c r="L193" s="41" t="n">
        <f aca="false">D193*I193</f>
        <v>372</v>
      </c>
      <c r="M193" s="41" t="n">
        <f aca="false">IFERROR(INDEX(Raw_Expenses!$C$5:$C$2979,MATCH(A193,Raw_Expenses!$A$5:$A$2979,0)),0)</f>
        <v>37.94</v>
      </c>
      <c r="N193" s="41" t="n">
        <f aca="false">L193+M193</f>
        <v>409.94</v>
      </c>
      <c r="O193" s="41" t="n">
        <f aca="false">K193-N193</f>
        <v>255.7</v>
      </c>
      <c r="P193" s="43" t="n">
        <f aca="false">IF(K193=0,0,O193/K193)</f>
        <v>0.384141578030166</v>
      </c>
    </row>
    <row r="194" customFormat="false" ht="15" hidden="false" customHeight="false" outlineLevel="0" collapsed="false">
      <c r="A194" s="39" t="s">
        <v>316</v>
      </c>
      <c r="B194" s="40" t="n">
        <v>45684</v>
      </c>
      <c r="C194" s="39" t="s">
        <v>136</v>
      </c>
      <c r="D194" s="39" t="n">
        <v>2</v>
      </c>
      <c r="E194" s="41" t="n">
        <v>77.23</v>
      </c>
      <c r="F194" s="39" t="s">
        <v>105</v>
      </c>
      <c r="G194" s="39" t="str">
        <f aca="false">VLOOKUP(C194,Products!$A$5:$D$24,2,FALSE())</f>
        <v>Mechanical Keyboard</v>
      </c>
      <c r="H194" s="39" t="str">
        <f aca="false">VLOOKUP(C194,Products!$A$5:$D$24,3,FALSE())</f>
        <v>Electronics</v>
      </c>
      <c r="I194" s="41" t="n">
        <f aca="false">VLOOKUP(C194,Products!$A$5:$D$24,4,FALSE())</f>
        <v>38</v>
      </c>
      <c r="J194" s="42" t="n">
        <f aca="false">DATE(YEAR(B194),MONTH(B194),1)</f>
        <v>45658</v>
      </c>
      <c r="K194" s="41" t="n">
        <f aca="false">D194*E194</f>
        <v>154.46</v>
      </c>
      <c r="L194" s="41" t="n">
        <f aca="false">D194*I194</f>
        <v>76</v>
      </c>
      <c r="M194" s="41" t="n">
        <f aca="false">IFERROR(INDEX(Raw_Expenses!$C$5:$C$2979,MATCH(A194,Raw_Expenses!$A$5:$A$2979,0)),0)</f>
        <v>9.06</v>
      </c>
      <c r="N194" s="41" t="n">
        <f aca="false">L194+M194</f>
        <v>85.06</v>
      </c>
      <c r="O194" s="41" t="n">
        <f aca="false">K194-N194</f>
        <v>69.4</v>
      </c>
      <c r="P194" s="43" t="n">
        <f aca="false">IF(K194=0,0,O194/K194)</f>
        <v>0.449307264016574</v>
      </c>
    </row>
    <row r="195" customFormat="false" ht="15" hidden="false" customHeight="false" outlineLevel="0" collapsed="false">
      <c r="A195" s="39" t="s">
        <v>317</v>
      </c>
      <c r="B195" s="40" t="n">
        <v>45684</v>
      </c>
      <c r="C195" s="39" t="s">
        <v>117</v>
      </c>
      <c r="D195" s="39" t="n">
        <v>3</v>
      </c>
      <c r="E195" s="41" t="n">
        <v>30.7</v>
      </c>
      <c r="F195" s="39" t="s">
        <v>118</v>
      </c>
      <c r="G195" s="39" t="str">
        <f aca="false">VLOOKUP(C195,Products!$A$5:$D$24,2,FALSE())</f>
        <v>Desk Lamp</v>
      </c>
      <c r="H195" s="39" t="str">
        <f aca="false">VLOOKUP(C195,Products!$A$5:$D$24,3,FALSE())</f>
        <v>Furniture</v>
      </c>
      <c r="I195" s="41" t="n">
        <f aca="false">VLOOKUP(C195,Products!$A$5:$D$24,4,FALSE())</f>
        <v>13</v>
      </c>
      <c r="J195" s="42" t="n">
        <f aca="false">DATE(YEAR(B195),MONTH(B195),1)</f>
        <v>45658</v>
      </c>
      <c r="K195" s="41" t="n">
        <f aca="false">D195*E195</f>
        <v>92.1</v>
      </c>
      <c r="L195" s="41" t="n">
        <f aca="false">D195*I195</f>
        <v>39</v>
      </c>
      <c r="M195" s="41" t="n">
        <f aca="false">IFERROR(INDEX(Raw_Expenses!$C$5:$C$2979,MATCH(A195,Raw_Expenses!$A$5:$A$2979,0)),0)</f>
        <v>6.84</v>
      </c>
      <c r="N195" s="41" t="n">
        <f aca="false">L195+M195</f>
        <v>45.84</v>
      </c>
      <c r="O195" s="41" t="n">
        <f aca="false">K195-N195</f>
        <v>46.26</v>
      </c>
      <c r="P195" s="43" t="n">
        <f aca="false">IF(K195=0,0,O195/K195)</f>
        <v>0.50228013029316</v>
      </c>
    </row>
    <row r="196" customFormat="false" ht="15" hidden="false" customHeight="false" outlineLevel="0" collapsed="false">
      <c r="A196" s="39" t="s">
        <v>318</v>
      </c>
      <c r="B196" s="40" t="n">
        <v>45684</v>
      </c>
      <c r="C196" s="39" t="s">
        <v>107</v>
      </c>
      <c r="D196" s="39" t="n">
        <v>2</v>
      </c>
      <c r="E196" s="41" t="n">
        <v>33.19</v>
      </c>
      <c r="F196" s="39" t="s">
        <v>108</v>
      </c>
      <c r="G196" s="39" t="str">
        <f aca="false">VLOOKUP(C196,Products!$A$5:$D$24,2,FALSE())</f>
        <v>USB-C Hub</v>
      </c>
      <c r="H196" s="39" t="str">
        <f aca="false">VLOOKUP(C196,Products!$A$5:$D$24,3,FALSE())</f>
        <v>Electronics</v>
      </c>
      <c r="I196" s="41" t="n">
        <f aca="false">VLOOKUP(C196,Products!$A$5:$D$24,4,FALSE())</f>
        <v>14</v>
      </c>
      <c r="J196" s="42" t="n">
        <f aca="false">DATE(YEAR(B196),MONTH(B196),1)</f>
        <v>45658</v>
      </c>
      <c r="K196" s="41" t="n">
        <f aca="false">D196*E196</f>
        <v>66.38</v>
      </c>
      <c r="L196" s="41" t="n">
        <f aca="false">D196*I196</f>
        <v>28</v>
      </c>
      <c r="M196" s="41" t="n">
        <f aca="false">IFERROR(INDEX(Raw_Expenses!$C$5:$C$2979,MATCH(A196,Raw_Expenses!$A$5:$A$2979,0)),0)</f>
        <v>5.45</v>
      </c>
      <c r="N196" s="41" t="n">
        <f aca="false">L196+M196</f>
        <v>33.45</v>
      </c>
      <c r="O196" s="41" t="n">
        <f aca="false">K196-N196</f>
        <v>32.93</v>
      </c>
      <c r="P196" s="43" t="n">
        <f aca="false">IF(K196=0,0,O196/K196)</f>
        <v>0.496083157577584</v>
      </c>
    </row>
    <row r="197" customFormat="false" ht="15" hidden="false" customHeight="false" outlineLevel="0" collapsed="false">
      <c r="A197" s="39" t="s">
        <v>319</v>
      </c>
      <c r="B197" s="40" t="n">
        <v>45684</v>
      </c>
      <c r="C197" s="39" t="s">
        <v>107</v>
      </c>
      <c r="D197" s="39" t="n">
        <v>8</v>
      </c>
      <c r="E197" s="41" t="n">
        <v>33.29</v>
      </c>
      <c r="F197" s="39" t="s">
        <v>118</v>
      </c>
      <c r="G197" s="39" t="str">
        <f aca="false">VLOOKUP(C197,Products!$A$5:$D$24,2,FALSE())</f>
        <v>USB-C Hub</v>
      </c>
      <c r="H197" s="39" t="str">
        <f aca="false">VLOOKUP(C197,Products!$A$5:$D$24,3,FALSE())</f>
        <v>Electronics</v>
      </c>
      <c r="I197" s="41" t="n">
        <f aca="false">VLOOKUP(C197,Products!$A$5:$D$24,4,FALSE())</f>
        <v>14</v>
      </c>
      <c r="J197" s="42" t="n">
        <f aca="false">DATE(YEAR(B197),MONTH(B197),1)</f>
        <v>45658</v>
      </c>
      <c r="K197" s="41" t="n">
        <f aca="false">D197*E197</f>
        <v>266.32</v>
      </c>
      <c r="L197" s="41" t="n">
        <f aca="false">D197*I197</f>
        <v>112</v>
      </c>
      <c r="M197" s="41" t="n">
        <f aca="false">IFERROR(INDEX(Raw_Expenses!$C$5:$C$2979,MATCH(A197,Raw_Expenses!$A$5:$A$2979,0)),0)</f>
        <v>13.01</v>
      </c>
      <c r="N197" s="41" t="n">
        <f aca="false">L197+M197</f>
        <v>125.01</v>
      </c>
      <c r="O197" s="41" t="n">
        <f aca="false">K197-N197</f>
        <v>141.31</v>
      </c>
      <c r="P197" s="43" t="n">
        <f aca="false">IF(K197=0,0,O197/K197)</f>
        <v>0.530602282967858</v>
      </c>
    </row>
    <row r="198" customFormat="false" ht="15" hidden="false" customHeight="false" outlineLevel="0" collapsed="false">
      <c r="A198" s="39" t="s">
        <v>320</v>
      </c>
      <c r="B198" s="40" t="n">
        <v>45684</v>
      </c>
      <c r="C198" s="39" t="s">
        <v>169</v>
      </c>
      <c r="D198" s="39" t="n">
        <v>5</v>
      </c>
      <c r="E198" s="41" t="n">
        <v>28.39</v>
      </c>
      <c r="F198" s="39" t="s">
        <v>105</v>
      </c>
      <c r="G198" s="39" t="str">
        <f aca="false">VLOOKUP(C198,Products!$A$5:$D$24,2,FALSE())</f>
        <v>Laptop Stand</v>
      </c>
      <c r="H198" s="39" t="str">
        <f aca="false">VLOOKUP(C198,Products!$A$5:$D$24,3,FALSE())</f>
        <v>Accessories</v>
      </c>
      <c r="I198" s="41" t="n">
        <f aca="false">VLOOKUP(C198,Products!$A$5:$D$24,4,FALSE())</f>
        <v>11</v>
      </c>
      <c r="J198" s="42" t="n">
        <f aca="false">DATE(YEAR(B198),MONTH(B198),1)</f>
        <v>45658</v>
      </c>
      <c r="K198" s="41" t="n">
        <f aca="false">D198*E198</f>
        <v>141.95</v>
      </c>
      <c r="L198" s="41" t="n">
        <f aca="false">D198*I198</f>
        <v>55</v>
      </c>
      <c r="M198" s="41" t="n">
        <f aca="false">IFERROR(INDEX(Raw_Expenses!$C$5:$C$2979,MATCH(A198,Raw_Expenses!$A$5:$A$2979,0)),0)</f>
        <v>8.47</v>
      </c>
      <c r="N198" s="41" t="n">
        <f aca="false">L198+M198</f>
        <v>63.47</v>
      </c>
      <c r="O198" s="41" t="n">
        <f aca="false">K198-N198</f>
        <v>78.48</v>
      </c>
      <c r="P198" s="43" t="n">
        <f aca="false">IF(K198=0,0,O198/K198)</f>
        <v>0.552870729129975</v>
      </c>
    </row>
    <row r="199" customFormat="false" ht="15" hidden="false" customHeight="false" outlineLevel="0" collapsed="false">
      <c r="A199" s="39" t="s">
        <v>321</v>
      </c>
      <c r="B199" s="40" t="n">
        <v>45684</v>
      </c>
      <c r="C199" s="39" t="s">
        <v>104</v>
      </c>
      <c r="D199" s="39" t="n">
        <v>3</v>
      </c>
      <c r="E199" s="41" t="n">
        <v>14.93</v>
      </c>
      <c r="F199" s="39" t="s">
        <v>108</v>
      </c>
      <c r="G199" s="39" t="str">
        <f aca="false">VLOOKUP(C199,Products!$A$5:$D$24,2,FALSE())</f>
        <v>Water Bottle</v>
      </c>
      <c r="H199" s="39" t="str">
        <f aca="false">VLOOKUP(C199,Products!$A$5:$D$24,3,FALSE())</f>
        <v>Accessories</v>
      </c>
      <c r="I199" s="41" t="n">
        <f aca="false">VLOOKUP(C199,Products!$A$5:$D$24,4,FALSE())</f>
        <v>5</v>
      </c>
      <c r="J199" s="42" t="n">
        <f aca="false">DATE(YEAR(B199),MONTH(B199),1)</f>
        <v>45658</v>
      </c>
      <c r="K199" s="41" t="n">
        <f aca="false">D199*E199</f>
        <v>44.79</v>
      </c>
      <c r="L199" s="41" t="n">
        <f aca="false">D199*I199</f>
        <v>15</v>
      </c>
      <c r="M199" s="41" t="n">
        <f aca="false">IFERROR(INDEX(Raw_Expenses!$C$5:$C$2979,MATCH(A199,Raw_Expenses!$A$5:$A$2979,0)),0)</f>
        <v>3.93</v>
      </c>
      <c r="N199" s="41" t="n">
        <f aca="false">L199+M199</f>
        <v>18.93</v>
      </c>
      <c r="O199" s="41" t="n">
        <f aca="false">K199-N199</f>
        <v>25.86</v>
      </c>
      <c r="P199" s="43" t="n">
        <f aca="false">IF(K199=0,0,O199/K199)</f>
        <v>0.577361018084394</v>
      </c>
    </row>
    <row r="200" customFormat="false" ht="15" hidden="false" customHeight="false" outlineLevel="0" collapsed="false">
      <c r="A200" s="39" t="s">
        <v>322</v>
      </c>
      <c r="B200" s="40" t="n">
        <v>45684</v>
      </c>
      <c r="C200" s="39" t="s">
        <v>177</v>
      </c>
      <c r="D200" s="39" t="n">
        <v>1</v>
      </c>
      <c r="E200" s="41" t="n">
        <v>43.36</v>
      </c>
      <c r="F200" s="39" t="s">
        <v>118</v>
      </c>
      <c r="G200" s="39" t="str">
        <f aca="false">VLOOKUP(C200,Products!$A$5:$D$24,2,FALSE())</f>
        <v>Backpack</v>
      </c>
      <c r="H200" s="39" t="str">
        <f aca="false">VLOOKUP(C200,Products!$A$5:$D$24,3,FALSE())</f>
        <v>Accessories</v>
      </c>
      <c r="I200" s="41" t="n">
        <f aca="false">VLOOKUP(C200,Products!$A$5:$D$24,4,FALSE())</f>
        <v>17</v>
      </c>
      <c r="J200" s="42" t="n">
        <f aca="false">DATE(YEAR(B200),MONTH(B200),1)</f>
        <v>45658</v>
      </c>
      <c r="K200" s="41" t="n">
        <f aca="false">D200*E200</f>
        <v>43.36</v>
      </c>
      <c r="L200" s="41" t="n">
        <f aca="false">D200*I200</f>
        <v>17</v>
      </c>
      <c r="M200" s="41" t="n">
        <f aca="false">IFERROR(INDEX(Raw_Expenses!$C$5:$C$2979,MATCH(A200,Raw_Expenses!$A$5:$A$2979,0)),0)</f>
        <v>1.96</v>
      </c>
      <c r="N200" s="41" t="n">
        <f aca="false">L200+M200</f>
        <v>18.96</v>
      </c>
      <c r="O200" s="41" t="n">
        <f aca="false">K200-N200</f>
        <v>24.4</v>
      </c>
      <c r="P200" s="43" t="n">
        <f aca="false">IF(K200=0,0,O200/K200)</f>
        <v>0.562730627306273</v>
      </c>
    </row>
    <row r="201" customFormat="false" ht="15" hidden="false" customHeight="false" outlineLevel="0" collapsed="false">
      <c r="A201" s="39" t="s">
        <v>323</v>
      </c>
      <c r="B201" s="40" t="n">
        <v>45685</v>
      </c>
      <c r="C201" s="39" t="s">
        <v>114</v>
      </c>
      <c r="D201" s="39" t="n">
        <v>2</v>
      </c>
      <c r="E201" s="41" t="n">
        <v>5.74</v>
      </c>
      <c r="F201" s="39" t="s">
        <v>115</v>
      </c>
      <c r="G201" s="39" t="str">
        <f aca="false">VLOOKUP(C201,Products!$A$5:$D$24,2,FALSE())</f>
        <v>Gel Pen Pack</v>
      </c>
      <c r="H201" s="39" t="str">
        <f aca="false">VLOOKUP(C201,Products!$A$5:$D$24,3,FALSE())</f>
        <v>Stationery</v>
      </c>
      <c r="I201" s="41" t="n">
        <f aca="false">VLOOKUP(C201,Products!$A$5:$D$24,4,FALSE())</f>
        <v>2</v>
      </c>
      <c r="J201" s="42" t="n">
        <f aca="false">DATE(YEAR(B201),MONTH(B201),1)</f>
        <v>45658</v>
      </c>
      <c r="K201" s="41" t="n">
        <f aca="false">D201*E201</f>
        <v>11.48</v>
      </c>
      <c r="L201" s="41" t="n">
        <f aca="false">D201*I201</f>
        <v>4</v>
      </c>
      <c r="M201" s="41" t="n">
        <f aca="false">IFERROR(INDEX(Raw_Expenses!$C$5:$C$2979,MATCH(A201,Raw_Expenses!$A$5:$A$2979,0)),0)</f>
        <v>0.53</v>
      </c>
      <c r="N201" s="41" t="n">
        <f aca="false">L201+M201</f>
        <v>4.53</v>
      </c>
      <c r="O201" s="41" t="n">
        <f aca="false">K201-N201</f>
        <v>6.95</v>
      </c>
      <c r="P201" s="43" t="n">
        <f aca="false">IF(K201=0,0,O201/K201)</f>
        <v>0.605400696864112</v>
      </c>
    </row>
    <row r="202" customFormat="false" ht="15" hidden="false" customHeight="false" outlineLevel="0" collapsed="false">
      <c r="A202" s="39" t="s">
        <v>324</v>
      </c>
      <c r="B202" s="40" t="n">
        <v>45685</v>
      </c>
      <c r="C202" s="39" t="s">
        <v>114</v>
      </c>
      <c r="D202" s="39" t="n">
        <v>4</v>
      </c>
      <c r="E202" s="41" t="n">
        <v>5.54</v>
      </c>
      <c r="F202" s="39" t="s">
        <v>118</v>
      </c>
      <c r="G202" s="39" t="str">
        <f aca="false">VLOOKUP(C202,Products!$A$5:$D$24,2,FALSE())</f>
        <v>Gel Pen Pack</v>
      </c>
      <c r="H202" s="39" t="str">
        <f aca="false">VLOOKUP(C202,Products!$A$5:$D$24,3,FALSE())</f>
        <v>Stationery</v>
      </c>
      <c r="I202" s="41" t="n">
        <f aca="false">VLOOKUP(C202,Products!$A$5:$D$24,4,FALSE())</f>
        <v>2</v>
      </c>
      <c r="J202" s="42" t="n">
        <f aca="false">DATE(YEAR(B202),MONTH(B202),1)</f>
        <v>45658</v>
      </c>
      <c r="K202" s="41" t="n">
        <f aca="false">D202*E202</f>
        <v>22.16</v>
      </c>
      <c r="L202" s="41" t="n">
        <f aca="false">D202*I202</f>
        <v>8</v>
      </c>
      <c r="M202" s="41" t="n">
        <f aca="false">IFERROR(INDEX(Raw_Expenses!$C$5:$C$2979,MATCH(A202,Raw_Expenses!$A$5:$A$2979,0)),0)</f>
        <v>1.2</v>
      </c>
      <c r="N202" s="41" t="n">
        <f aca="false">L202+M202</f>
        <v>9.2</v>
      </c>
      <c r="O202" s="41" t="n">
        <f aca="false">K202-N202</f>
        <v>12.96</v>
      </c>
      <c r="P202" s="43" t="n">
        <f aca="false">IF(K202=0,0,O202/K202)</f>
        <v>0.584837545126354</v>
      </c>
    </row>
    <row r="203" customFormat="false" ht="15" hidden="false" customHeight="false" outlineLevel="0" collapsed="false">
      <c r="A203" s="39" t="s">
        <v>325</v>
      </c>
      <c r="B203" s="40" t="n">
        <v>45685</v>
      </c>
      <c r="C203" s="39" t="s">
        <v>121</v>
      </c>
      <c r="D203" s="39" t="n">
        <v>8</v>
      </c>
      <c r="E203" s="41" t="n">
        <v>114.56</v>
      </c>
      <c r="F203" s="39" t="s">
        <v>115</v>
      </c>
      <c r="G203" s="39" t="str">
        <f aca="false">VLOOKUP(C203,Products!$A$5:$D$24,2,FALSE())</f>
        <v>External SSD 1TB</v>
      </c>
      <c r="H203" s="39" t="str">
        <f aca="false">VLOOKUP(C203,Products!$A$5:$D$24,3,FALSE())</f>
        <v>Electronics</v>
      </c>
      <c r="I203" s="41" t="n">
        <f aca="false">VLOOKUP(C203,Products!$A$5:$D$24,4,FALSE())</f>
        <v>62</v>
      </c>
      <c r="J203" s="42" t="n">
        <f aca="false">DATE(YEAR(B203),MONTH(B203),1)</f>
        <v>45658</v>
      </c>
      <c r="K203" s="41" t="n">
        <f aca="false">D203*E203</f>
        <v>916.48</v>
      </c>
      <c r="L203" s="41" t="n">
        <f aca="false">D203*I203</f>
        <v>496</v>
      </c>
      <c r="M203" s="41" t="n">
        <f aca="false">IFERROR(INDEX(Raw_Expenses!$C$5:$C$2979,MATCH(A203,Raw_Expenses!$A$5:$A$2979,0)),0)</f>
        <v>77.78</v>
      </c>
      <c r="N203" s="41" t="n">
        <f aca="false">L203+M203</f>
        <v>573.78</v>
      </c>
      <c r="O203" s="41" t="n">
        <f aca="false">K203-N203</f>
        <v>342.7</v>
      </c>
      <c r="P203" s="43" t="n">
        <f aca="false">IF(K203=0,0,O203/K203)</f>
        <v>0.373930691340782</v>
      </c>
    </row>
    <row r="204" customFormat="false" ht="15" hidden="false" customHeight="false" outlineLevel="0" collapsed="false">
      <c r="A204" s="39" t="s">
        <v>326</v>
      </c>
      <c r="B204" s="40" t="n">
        <v>45685</v>
      </c>
      <c r="C204" s="39" t="s">
        <v>130</v>
      </c>
      <c r="D204" s="39" t="n">
        <v>2</v>
      </c>
      <c r="E204" s="41" t="n">
        <v>8.39</v>
      </c>
      <c r="F204" s="39" t="s">
        <v>118</v>
      </c>
      <c r="G204" s="39" t="str">
        <f aca="false">VLOOKUP(C204,Products!$A$5:$D$24,2,FALSE())</f>
        <v>Notebook Set</v>
      </c>
      <c r="H204" s="39" t="str">
        <f aca="false">VLOOKUP(C204,Products!$A$5:$D$24,3,FALSE())</f>
        <v>Stationery</v>
      </c>
      <c r="I204" s="41" t="n">
        <f aca="false">VLOOKUP(C204,Products!$A$5:$D$24,4,FALSE())</f>
        <v>3</v>
      </c>
      <c r="J204" s="42" t="n">
        <f aca="false">DATE(YEAR(B204),MONTH(B204),1)</f>
        <v>45658</v>
      </c>
      <c r="K204" s="41" t="n">
        <f aca="false">D204*E204</f>
        <v>16.78</v>
      </c>
      <c r="L204" s="41" t="n">
        <f aca="false">D204*I204</f>
        <v>6</v>
      </c>
      <c r="M204" s="41" t="n">
        <f aca="false">IFERROR(INDEX(Raw_Expenses!$C$5:$C$2979,MATCH(A204,Raw_Expenses!$A$5:$A$2979,0)),0)</f>
        <v>1.06</v>
      </c>
      <c r="N204" s="41" t="n">
        <f aca="false">L204+M204</f>
        <v>7.06</v>
      </c>
      <c r="O204" s="41" t="n">
        <f aca="false">K204-N204</f>
        <v>9.72</v>
      </c>
      <c r="P204" s="43" t="n">
        <f aca="false">IF(K204=0,0,O204/K204)</f>
        <v>0.579261025029797</v>
      </c>
    </row>
    <row r="205" customFormat="false" ht="15" hidden="false" customHeight="false" outlineLevel="0" collapsed="false">
      <c r="A205" s="39" t="s">
        <v>327</v>
      </c>
      <c r="B205" s="40" t="n">
        <v>45685</v>
      </c>
      <c r="C205" s="39" t="s">
        <v>107</v>
      </c>
      <c r="D205" s="39" t="n">
        <v>1</v>
      </c>
      <c r="E205" s="41" t="n">
        <v>34.38</v>
      </c>
      <c r="F205" s="39" t="s">
        <v>108</v>
      </c>
      <c r="G205" s="39" t="str">
        <f aca="false">VLOOKUP(C205,Products!$A$5:$D$24,2,FALSE())</f>
        <v>USB-C Hub</v>
      </c>
      <c r="H205" s="39" t="str">
        <f aca="false">VLOOKUP(C205,Products!$A$5:$D$24,3,FALSE())</f>
        <v>Electronics</v>
      </c>
      <c r="I205" s="41" t="n">
        <f aca="false">VLOOKUP(C205,Products!$A$5:$D$24,4,FALSE())</f>
        <v>14</v>
      </c>
      <c r="J205" s="42" t="n">
        <f aca="false">DATE(YEAR(B205),MONTH(B205),1)</f>
        <v>45658</v>
      </c>
      <c r="K205" s="41" t="n">
        <f aca="false">D205*E205</f>
        <v>34.38</v>
      </c>
      <c r="L205" s="41" t="n">
        <f aca="false">D205*I205</f>
        <v>14</v>
      </c>
      <c r="M205" s="41" t="n">
        <f aca="false">IFERROR(INDEX(Raw_Expenses!$C$5:$C$2979,MATCH(A205,Raw_Expenses!$A$5:$A$2979,0)),0)</f>
        <v>1.45</v>
      </c>
      <c r="N205" s="41" t="n">
        <f aca="false">L205+M205</f>
        <v>15.45</v>
      </c>
      <c r="O205" s="41" t="n">
        <f aca="false">K205-N205</f>
        <v>18.93</v>
      </c>
      <c r="P205" s="43" t="n">
        <f aca="false">IF(K205=0,0,O205/K205)</f>
        <v>0.550610820244328</v>
      </c>
    </row>
    <row r="206" customFormat="false" ht="15" hidden="false" customHeight="false" outlineLevel="0" collapsed="false">
      <c r="A206" s="39" t="s">
        <v>328</v>
      </c>
      <c r="B206" s="40" t="n">
        <v>45685</v>
      </c>
      <c r="C206" s="39" t="s">
        <v>305</v>
      </c>
      <c r="D206" s="39" t="n">
        <v>4</v>
      </c>
      <c r="E206" s="41" t="n">
        <v>334.74</v>
      </c>
      <c r="F206" s="39" t="s">
        <v>105</v>
      </c>
      <c r="G206" s="39" t="str">
        <f aca="false">VLOOKUP(C206,Products!$A$5:$D$24,2,FALSE())</f>
        <v>Standing Desk</v>
      </c>
      <c r="H206" s="39" t="str">
        <f aca="false">VLOOKUP(C206,Products!$A$5:$D$24,3,FALSE())</f>
        <v>Furniture</v>
      </c>
      <c r="I206" s="41" t="n">
        <f aca="false">VLOOKUP(C206,Products!$A$5:$D$24,4,FALSE())</f>
        <v>160</v>
      </c>
      <c r="J206" s="42" t="n">
        <f aca="false">DATE(YEAR(B206),MONTH(B206),1)</f>
        <v>45658</v>
      </c>
      <c r="K206" s="41" t="n">
        <f aca="false">D206*E206</f>
        <v>1338.96</v>
      </c>
      <c r="L206" s="41" t="n">
        <f aca="false">D206*I206</f>
        <v>640</v>
      </c>
      <c r="M206" s="41" t="n">
        <f aca="false">IFERROR(INDEX(Raw_Expenses!$C$5:$C$2979,MATCH(A206,Raw_Expenses!$A$5:$A$2979,0)),0)</f>
        <v>91.67</v>
      </c>
      <c r="N206" s="41" t="n">
        <f aca="false">L206+M206</f>
        <v>731.67</v>
      </c>
      <c r="O206" s="41" t="n">
        <f aca="false">K206-N206</f>
        <v>607.29</v>
      </c>
      <c r="P206" s="43" t="n">
        <f aca="false">IF(K206=0,0,O206/K206)</f>
        <v>0.453553504212224</v>
      </c>
    </row>
    <row r="207" customFormat="false" ht="15" hidden="false" customHeight="false" outlineLevel="0" collapsed="false">
      <c r="A207" s="39" t="s">
        <v>329</v>
      </c>
      <c r="B207" s="40" t="n">
        <v>45689</v>
      </c>
      <c r="C207" s="39" t="s">
        <v>162</v>
      </c>
      <c r="D207" s="39" t="n">
        <v>1</v>
      </c>
      <c r="E207" s="41" t="n">
        <v>64.22</v>
      </c>
      <c r="F207" s="39" t="s">
        <v>115</v>
      </c>
      <c r="G207" s="39" t="str">
        <f aca="false">VLOOKUP(C207,Products!$A$5:$D$24,2,FALSE())</f>
        <v>Bluetooth Speaker</v>
      </c>
      <c r="H207" s="39" t="str">
        <f aca="false">VLOOKUP(C207,Products!$A$5:$D$24,3,FALSE())</f>
        <v>Electronics</v>
      </c>
      <c r="I207" s="41" t="n">
        <f aca="false">VLOOKUP(C207,Products!$A$5:$D$24,4,FALSE())</f>
        <v>28</v>
      </c>
      <c r="J207" s="42" t="n">
        <f aca="false">DATE(YEAR(B207),MONTH(B207),1)</f>
        <v>45689</v>
      </c>
      <c r="K207" s="41" t="n">
        <f aca="false">D207*E207</f>
        <v>64.22</v>
      </c>
      <c r="L207" s="41" t="n">
        <f aca="false">D207*I207</f>
        <v>28</v>
      </c>
      <c r="M207" s="41" t="n">
        <f aca="false">IFERROR(INDEX(Raw_Expenses!$C$5:$C$2979,MATCH(A207,Raw_Expenses!$A$5:$A$2979,0)),0)</f>
        <v>3.74</v>
      </c>
      <c r="N207" s="41" t="n">
        <f aca="false">L207+M207</f>
        <v>31.74</v>
      </c>
      <c r="O207" s="41" t="n">
        <f aca="false">K207-N207</f>
        <v>32.48</v>
      </c>
      <c r="P207" s="43" t="n">
        <f aca="false">IF(K207=0,0,O207/K207)</f>
        <v>0.5057614450327</v>
      </c>
    </row>
    <row r="208" customFormat="false" ht="15" hidden="false" customHeight="false" outlineLevel="0" collapsed="false">
      <c r="A208" s="39" t="s">
        <v>330</v>
      </c>
      <c r="B208" s="40" t="n">
        <v>45689</v>
      </c>
      <c r="C208" s="39" t="s">
        <v>110</v>
      </c>
      <c r="D208" s="39" t="n">
        <v>4</v>
      </c>
      <c r="E208" s="41" t="n">
        <v>13.46</v>
      </c>
      <c r="F208" s="39" t="s">
        <v>115</v>
      </c>
      <c r="G208" s="39" t="str">
        <f aca="false">VLOOKUP(C208,Products!$A$5:$D$24,2,FALSE())</f>
        <v>Phone Stand</v>
      </c>
      <c r="H208" s="39" t="str">
        <f aca="false">VLOOKUP(C208,Products!$A$5:$D$24,3,FALSE())</f>
        <v>Accessories</v>
      </c>
      <c r="I208" s="41" t="n">
        <f aca="false">VLOOKUP(C208,Products!$A$5:$D$24,4,FALSE())</f>
        <v>4</v>
      </c>
      <c r="J208" s="42" t="n">
        <f aca="false">DATE(YEAR(B208),MONTH(B208),1)</f>
        <v>45689</v>
      </c>
      <c r="K208" s="41" t="n">
        <f aca="false">D208*E208</f>
        <v>53.84</v>
      </c>
      <c r="L208" s="41" t="n">
        <f aca="false">D208*I208</f>
        <v>16</v>
      </c>
      <c r="M208" s="41" t="n">
        <f aca="false">IFERROR(INDEX(Raw_Expenses!$C$5:$C$2979,MATCH(A208,Raw_Expenses!$A$5:$A$2979,0)),0)</f>
        <v>4.78</v>
      </c>
      <c r="N208" s="41" t="n">
        <f aca="false">L208+M208</f>
        <v>20.78</v>
      </c>
      <c r="O208" s="41" t="n">
        <f aca="false">K208-N208</f>
        <v>33.06</v>
      </c>
      <c r="P208" s="43" t="n">
        <f aca="false">IF(K208=0,0,O208/K208)</f>
        <v>0.614041604754829</v>
      </c>
    </row>
    <row r="209" customFormat="false" ht="15" hidden="false" customHeight="false" outlineLevel="0" collapsed="false">
      <c r="A209" s="39" t="s">
        <v>331</v>
      </c>
      <c r="B209" s="40" t="n">
        <v>45689</v>
      </c>
      <c r="C209" s="39" t="s">
        <v>130</v>
      </c>
      <c r="D209" s="39" t="n">
        <v>3</v>
      </c>
      <c r="E209" s="41" t="n">
        <v>8.79</v>
      </c>
      <c r="F209" s="39" t="s">
        <v>118</v>
      </c>
      <c r="G209" s="39" t="str">
        <f aca="false">VLOOKUP(C209,Products!$A$5:$D$24,2,FALSE())</f>
        <v>Notebook Set</v>
      </c>
      <c r="H209" s="39" t="str">
        <f aca="false">VLOOKUP(C209,Products!$A$5:$D$24,3,FALSE())</f>
        <v>Stationery</v>
      </c>
      <c r="I209" s="41" t="n">
        <f aca="false">VLOOKUP(C209,Products!$A$5:$D$24,4,FALSE())</f>
        <v>3</v>
      </c>
      <c r="J209" s="42" t="n">
        <f aca="false">DATE(YEAR(B209),MONTH(B209),1)</f>
        <v>45689</v>
      </c>
      <c r="K209" s="41" t="n">
        <f aca="false">D209*E209</f>
        <v>26.37</v>
      </c>
      <c r="L209" s="41" t="n">
        <f aca="false">D209*I209</f>
        <v>9</v>
      </c>
      <c r="M209" s="41" t="n">
        <f aca="false">IFERROR(INDEX(Raw_Expenses!$C$5:$C$2979,MATCH(A209,Raw_Expenses!$A$5:$A$2979,0)),0)</f>
        <v>2.34</v>
      </c>
      <c r="N209" s="41" t="n">
        <f aca="false">L209+M209</f>
        <v>11.34</v>
      </c>
      <c r="O209" s="41" t="n">
        <f aca="false">K209-N209</f>
        <v>15.03</v>
      </c>
      <c r="P209" s="43" t="n">
        <f aca="false">IF(K209=0,0,O209/K209)</f>
        <v>0.569965870307167</v>
      </c>
    </row>
    <row r="210" customFormat="false" ht="15" hidden="false" customHeight="false" outlineLevel="0" collapsed="false">
      <c r="A210" s="39" t="s">
        <v>332</v>
      </c>
      <c r="B210" s="40" t="n">
        <v>45689</v>
      </c>
      <c r="C210" s="39" t="s">
        <v>112</v>
      </c>
      <c r="D210" s="39" t="n">
        <v>1</v>
      </c>
      <c r="E210" s="41" t="n">
        <v>50.95</v>
      </c>
      <c r="F210" s="39" t="s">
        <v>105</v>
      </c>
      <c r="G210" s="39" t="str">
        <f aca="false">VLOOKUP(C210,Products!$A$5:$D$24,2,FALSE())</f>
        <v>HD Webcam</v>
      </c>
      <c r="H210" s="39" t="str">
        <f aca="false">VLOOKUP(C210,Products!$A$5:$D$24,3,FALSE())</f>
        <v>Electronics</v>
      </c>
      <c r="I210" s="41" t="n">
        <f aca="false">VLOOKUP(C210,Products!$A$5:$D$24,4,FALSE())</f>
        <v>22</v>
      </c>
      <c r="J210" s="42" t="n">
        <f aca="false">DATE(YEAR(B210),MONTH(B210),1)</f>
        <v>45689</v>
      </c>
      <c r="K210" s="41" t="n">
        <f aca="false">D210*E210</f>
        <v>50.95</v>
      </c>
      <c r="L210" s="41" t="n">
        <f aca="false">D210*I210</f>
        <v>22</v>
      </c>
      <c r="M210" s="41" t="n">
        <f aca="false">IFERROR(INDEX(Raw_Expenses!$C$5:$C$2979,MATCH(A210,Raw_Expenses!$A$5:$A$2979,0)),0)</f>
        <v>4.02</v>
      </c>
      <c r="N210" s="41" t="n">
        <f aca="false">L210+M210</f>
        <v>26.02</v>
      </c>
      <c r="O210" s="41" t="n">
        <f aca="false">K210-N210</f>
        <v>24.93</v>
      </c>
      <c r="P210" s="43" t="n">
        <f aca="false">IF(K210=0,0,O210/K210)</f>
        <v>0.489303238469087</v>
      </c>
    </row>
    <row r="211" customFormat="false" ht="15" hidden="false" customHeight="false" outlineLevel="0" collapsed="false">
      <c r="A211" s="39" t="s">
        <v>333</v>
      </c>
      <c r="B211" s="40" t="n">
        <v>45689</v>
      </c>
      <c r="C211" s="39" t="s">
        <v>117</v>
      </c>
      <c r="D211" s="39" t="n">
        <v>1</v>
      </c>
      <c r="E211" s="41" t="n">
        <v>31.09</v>
      </c>
      <c r="F211" s="39" t="s">
        <v>108</v>
      </c>
      <c r="G211" s="39" t="str">
        <f aca="false">VLOOKUP(C211,Products!$A$5:$D$24,2,FALSE())</f>
        <v>Desk Lamp</v>
      </c>
      <c r="H211" s="39" t="str">
        <f aca="false">VLOOKUP(C211,Products!$A$5:$D$24,3,FALSE())</f>
        <v>Furniture</v>
      </c>
      <c r="I211" s="41" t="n">
        <f aca="false">VLOOKUP(C211,Products!$A$5:$D$24,4,FALSE())</f>
        <v>13</v>
      </c>
      <c r="J211" s="42" t="n">
        <f aca="false">DATE(YEAR(B211),MONTH(B211),1)</f>
        <v>45689</v>
      </c>
      <c r="K211" s="41" t="n">
        <f aca="false">D211*E211</f>
        <v>31.09</v>
      </c>
      <c r="L211" s="41" t="n">
        <f aca="false">D211*I211</f>
        <v>13</v>
      </c>
      <c r="M211" s="41" t="n">
        <f aca="false">IFERROR(INDEX(Raw_Expenses!$C$5:$C$2979,MATCH(A211,Raw_Expenses!$A$5:$A$2979,0)),0)</f>
        <v>1.39</v>
      </c>
      <c r="N211" s="41" t="n">
        <f aca="false">L211+M211</f>
        <v>14.39</v>
      </c>
      <c r="O211" s="41" t="n">
        <f aca="false">K211-N211</f>
        <v>16.7</v>
      </c>
      <c r="P211" s="43" t="n">
        <f aca="false">IF(K211=0,0,O211/K211)</f>
        <v>0.537150209070441</v>
      </c>
    </row>
    <row r="212" customFormat="false" ht="15" hidden="false" customHeight="false" outlineLevel="0" collapsed="false">
      <c r="A212" s="39" t="s">
        <v>334</v>
      </c>
      <c r="B212" s="40" t="n">
        <v>45689</v>
      </c>
      <c r="C212" s="39" t="s">
        <v>177</v>
      </c>
      <c r="D212" s="39" t="n">
        <v>3</v>
      </c>
      <c r="E212" s="41" t="n">
        <v>43.69</v>
      </c>
      <c r="F212" s="39" t="s">
        <v>108</v>
      </c>
      <c r="G212" s="39" t="str">
        <f aca="false">VLOOKUP(C212,Products!$A$5:$D$24,2,FALSE())</f>
        <v>Backpack</v>
      </c>
      <c r="H212" s="39" t="str">
        <f aca="false">VLOOKUP(C212,Products!$A$5:$D$24,3,FALSE())</f>
        <v>Accessories</v>
      </c>
      <c r="I212" s="41" t="n">
        <f aca="false">VLOOKUP(C212,Products!$A$5:$D$24,4,FALSE())</f>
        <v>17</v>
      </c>
      <c r="J212" s="42" t="n">
        <f aca="false">DATE(YEAR(B212),MONTH(B212),1)</f>
        <v>45689</v>
      </c>
      <c r="K212" s="41" t="n">
        <f aca="false">D212*E212</f>
        <v>131.07</v>
      </c>
      <c r="L212" s="41" t="n">
        <f aca="false">D212*I212</f>
        <v>51</v>
      </c>
      <c r="M212" s="41" t="n">
        <f aca="false">IFERROR(INDEX(Raw_Expenses!$C$5:$C$2979,MATCH(A212,Raw_Expenses!$A$5:$A$2979,0)),0)</f>
        <v>10.15</v>
      </c>
      <c r="N212" s="41" t="n">
        <f aca="false">L212+M212</f>
        <v>61.15</v>
      </c>
      <c r="O212" s="41" t="n">
        <f aca="false">K212-N212</f>
        <v>69.92</v>
      </c>
      <c r="P212" s="43" t="n">
        <f aca="false">IF(K212=0,0,O212/K212)</f>
        <v>0.533455405508507</v>
      </c>
    </row>
    <row r="213" customFormat="false" ht="15" hidden="false" customHeight="false" outlineLevel="0" collapsed="false">
      <c r="A213" s="39" t="s">
        <v>335</v>
      </c>
      <c r="B213" s="40" t="n">
        <v>45689</v>
      </c>
      <c r="C213" s="39" t="s">
        <v>114</v>
      </c>
      <c r="D213" s="39" t="n">
        <v>3</v>
      </c>
      <c r="E213" s="41" t="n">
        <v>5.81</v>
      </c>
      <c r="F213" s="39" t="s">
        <v>115</v>
      </c>
      <c r="G213" s="39" t="str">
        <f aca="false">VLOOKUP(C213,Products!$A$5:$D$24,2,FALSE())</f>
        <v>Gel Pen Pack</v>
      </c>
      <c r="H213" s="39" t="str">
        <f aca="false">VLOOKUP(C213,Products!$A$5:$D$24,3,FALSE())</f>
        <v>Stationery</v>
      </c>
      <c r="I213" s="41" t="n">
        <f aca="false">VLOOKUP(C213,Products!$A$5:$D$24,4,FALSE())</f>
        <v>2</v>
      </c>
      <c r="J213" s="42" t="n">
        <f aca="false">DATE(YEAR(B213),MONTH(B213),1)</f>
        <v>45689</v>
      </c>
      <c r="K213" s="41" t="n">
        <f aca="false">D213*E213</f>
        <v>17.43</v>
      </c>
      <c r="L213" s="41" t="n">
        <f aca="false">D213*I213</f>
        <v>6</v>
      </c>
      <c r="M213" s="41" t="n">
        <f aca="false">IFERROR(INDEX(Raw_Expenses!$C$5:$C$2979,MATCH(A213,Raw_Expenses!$A$5:$A$2979,0)),0)</f>
        <v>0.73</v>
      </c>
      <c r="N213" s="41" t="n">
        <f aca="false">L213+M213</f>
        <v>6.73</v>
      </c>
      <c r="O213" s="41" t="n">
        <f aca="false">K213-N213</f>
        <v>10.7</v>
      </c>
      <c r="P213" s="43" t="n">
        <f aca="false">IF(K213=0,0,O213/K213)</f>
        <v>0.613884107860012</v>
      </c>
    </row>
    <row r="214" customFormat="false" ht="15" hidden="false" customHeight="false" outlineLevel="0" collapsed="false">
      <c r="A214" s="39" t="s">
        <v>336</v>
      </c>
      <c r="B214" s="40" t="n">
        <v>45689</v>
      </c>
      <c r="C214" s="39" t="s">
        <v>128</v>
      </c>
      <c r="D214" s="39" t="n">
        <v>2</v>
      </c>
      <c r="E214" s="41" t="n">
        <v>38.32</v>
      </c>
      <c r="F214" s="39" t="s">
        <v>108</v>
      </c>
      <c r="G214" s="39" t="str">
        <f aca="false">VLOOKUP(C214,Products!$A$5:$D$24,2,FALSE())</f>
        <v>Ergonomic Footrest</v>
      </c>
      <c r="H214" s="39" t="str">
        <f aca="false">VLOOKUP(C214,Products!$A$5:$D$24,3,FALSE())</f>
        <v>Furniture</v>
      </c>
      <c r="I214" s="41" t="n">
        <f aca="false">VLOOKUP(C214,Products!$A$5:$D$24,4,FALSE())</f>
        <v>15</v>
      </c>
      <c r="J214" s="42" t="n">
        <f aca="false">DATE(YEAR(B214),MONTH(B214),1)</f>
        <v>45689</v>
      </c>
      <c r="K214" s="41" t="n">
        <f aca="false">D214*E214</f>
        <v>76.64</v>
      </c>
      <c r="L214" s="41" t="n">
        <f aca="false">D214*I214</f>
        <v>30</v>
      </c>
      <c r="M214" s="41" t="n">
        <f aca="false">IFERROR(INDEX(Raw_Expenses!$C$5:$C$2979,MATCH(A214,Raw_Expenses!$A$5:$A$2979,0)),0)</f>
        <v>6.85</v>
      </c>
      <c r="N214" s="41" t="n">
        <f aca="false">L214+M214</f>
        <v>36.85</v>
      </c>
      <c r="O214" s="41" t="n">
        <f aca="false">K214-N214</f>
        <v>39.79</v>
      </c>
      <c r="P214" s="43" t="n">
        <f aca="false">IF(K214=0,0,O214/K214)</f>
        <v>0.519180584551148</v>
      </c>
    </row>
    <row r="215" customFormat="false" ht="15" hidden="false" customHeight="false" outlineLevel="0" collapsed="false">
      <c r="A215" s="39" t="s">
        <v>337</v>
      </c>
      <c r="B215" s="40" t="n">
        <v>45690</v>
      </c>
      <c r="C215" s="39" t="s">
        <v>130</v>
      </c>
      <c r="D215" s="39" t="n">
        <v>8</v>
      </c>
      <c r="E215" s="41" t="n">
        <v>8.62</v>
      </c>
      <c r="F215" s="39" t="s">
        <v>108</v>
      </c>
      <c r="G215" s="39" t="str">
        <f aca="false">VLOOKUP(C215,Products!$A$5:$D$24,2,FALSE())</f>
        <v>Notebook Set</v>
      </c>
      <c r="H215" s="39" t="str">
        <f aca="false">VLOOKUP(C215,Products!$A$5:$D$24,3,FALSE())</f>
        <v>Stationery</v>
      </c>
      <c r="I215" s="41" t="n">
        <f aca="false">VLOOKUP(C215,Products!$A$5:$D$24,4,FALSE())</f>
        <v>3</v>
      </c>
      <c r="J215" s="42" t="n">
        <f aca="false">DATE(YEAR(B215),MONTH(B215),1)</f>
        <v>45689</v>
      </c>
      <c r="K215" s="41" t="n">
        <f aca="false">D215*E215</f>
        <v>68.96</v>
      </c>
      <c r="L215" s="41" t="n">
        <f aca="false">D215*I215</f>
        <v>24</v>
      </c>
      <c r="M215" s="41" t="n">
        <f aca="false">IFERROR(INDEX(Raw_Expenses!$C$5:$C$2979,MATCH(A215,Raw_Expenses!$A$5:$A$2979,0)),0)</f>
        <v>3.89</v>
      </c>
      <c r="N215" s="41" t="n">
        <f aca="false">L215+M215</f>
        <v>27.89</v>
      </c>
      <c r="O215" s="41" t="n">
        <f aca="false">K215-N215</f>
        <v>41.07</v>
      </c>
      <c r="P215" s="43" t="n">
        <f aca="false">IF(K215=0,0,O215/K215)</f>
        <v>0.595562645011601</v>
      </c>
    </row>
    <row r="216" customFormat="false" ht="15" hidden="false" customHeight="false" outlineLevel="0" collapsed="false">
      <c r="A216" s="39" t="s">
        <v>338</v>
      </c>
      <c r="B216" s="40" t="n">
        <v>45690</v>
      </c>
      <c r="C216" s="39" t="s">
        <v>121</v>
      </c>
      <c r="D216" s="39" t="n">
        <v>3</v>
      </c>
      <c r="E216" s="41" t="n">
        <v>111.08</v>
      </c>
      <c r="F216" s="39" t="s">
        <v>108</v>
      </c>
      <c r="G216" s="39" t="str">
        <f aca="false">VLOOKUP(C216,Products!$A$5:$D$24,2,FALSE())</f>
        <v>External SSD 1TB</v>
      </c>
      <c r="H216" s="39" t="str">
        <f aca="false">VLOOKUP(C216,Products!$A$5:$D$24,3,FALSE())</f>
        <v>Electronics</v>
      </c>
      <c r="I216" s="41" t="n">
        <f aca="false">VLOOKUP(C216,Products!$A$5:$D$24,4,FALSE())</f>
        <v>62</v>
      </c>
      <c r="J216" s="42" t="n">
        <f aca="false">DATE(YEAR(B216),MONTH(B216),1)</f>
        <v>45689</v>
      </c>
      <c r="K216" s="41" t="n">
        <f aca="false">D216*E216</f>
        <v>333.24</v>
      </c>
      <c r="L216" s="41" t="n">
        <f aca="false">D216*I216</f>
        <v>186</v>
      </c>
      <c r="M216" s="41" t="n">
        <f aca="false">IFERROR(INDEX(Raw_Expenses!$C$5:$C$2979,MATCH(A216,Raw_Expenses!$A$5:$A$2979,0)),0)</f>
        <v>24.28</v>
      </c>
      <c r="N216" s="41" t="n">
        <f aca="false">L216+M216</f>
        <v>210.28</v>
      </c>
      <c r="O216" s="41" t="n">
        <f aca="false">K216-N216</f>
        <v>122.96</v>
      </c>
      <c r="P216" s="43" t="n">
        <f aca="false">IF(K216=0,0,O216/K216)</f>
        <v>0.368983315328292</v>
      </c>
    </row>
    <row r="217" customFormat="false" ht="15" hidden="false" customHeight="false" outlineLevel="0" collapsed="false">
      <c r="A217" s="39" t="s">
        <v>339</v>
      </c>
      <c r="B217" s="40" t="n">
        <v>45690</v>
      </c>
      <c r="C217" s="39" t="s">
        <v>112</v>
      </c>
      <c r="D217" s="39" t="n">
        <v>2</v>
      </c>
      <c r="E217" s="41" t="n">
        <v>50.88</v>
      </c>
      <c r="F217" s="39" t="s">
        <v>118</v>
      </c>
      <c r="G217" s="39" t="str">
        <f aca="false">VLOOKUP(C217,Products!$A$5:$D$24,2,FALSE())</f>
        <v>HD Webcam</v>
      </c>
      <c r="H217" s="39" t="str">
        <f aca="false">VLOOKUP(C217,Products!$A$5:$D$24,3,FALSE())</f>
        <v>Electronics</v>
      </c>
      <c r="I217" s="41" t="n">
        <f aca="false">VLOOKUP(C217,Products!$A$5:$D$24,4,FALSE())</f>
        <v>22</v>
      </c>
      <c r="J217" s="42" t="n">
        <f aca="false">DATE(YEAR(B217),MONTH(B217),1)</f>
        <v>45689</v>
      </c>
      <c r="K217" s="41" t="n">
        <f aca="false">D217*E217</f>
        <v>101.76</v>
      </c>
      <c r="L217" s="41" t="n">
        <f aca="false">D217*I217</f>
        <v>44</v>
      </c>
      <c r="M217" s="41" t="n">
        <f aca="false">IFERROR(INDEX(Raw_Expenses!$C$5:$C$2979,MATCH(A217,Raw_Expenses!$A$5:$A$2979,0)),0)</f>
        <v>6.47</v>
      </c>
      <c r="N217" s="41" t="n">
        <f aca="false">L217+M217</f>
        <v>50.47</v>
      </c>
      <c r="O217" s="41" t="n">
        <f aca="false">K217-N217</f>
        <v>51.29</v>
      </c>
      <c r="P217" s="43" t="n">
        <f aca="false">IF(K217=0,0,O217/K217)</f>
        <v>0.504029088050315</v>
      </c>
    </row>
    <row r="218" customFormat="false" ht="15" hidden="false" customHeight="false" outlineLevel="0" collapsed="false">
      <c r="A218" s="39" t="s">
        <v>340</v>
      </c>
      <c r="B218" s="40" t="n">
        <v>45690</v>
      </c>
      <c r="C218" s="39" t="s">
        <v>110</v>
      </c>
      <c r="D218" s="39" t="n">
        <v>2</v>
      </c>
      <c r="E218" s="41" t="n">
        <v>13.34</v>
      </c>
      <c r="F218" s="39" t="s">
        <v>105</v>
      </c>
      <c r="G218" s="39" t="str">
        <f aca="false">VLOOKUP(C218,Products!$A$5:$D$24,2,FALSE())</f>
        <v>Phone Stand</v>
      </c>
      <c r="H218" s="39" t="str">
        <f aca="false">VLOOKUP(C218,Products!$A$5:$D$24,3,FALSE())</f>
        <v>Accessories</v>
      </c>
      <c r="I218" s="41" t="n">
        <f aca="false">VLOOKUP(C218,Products!$A$5:$D$24,4,FALSE())</f>
        <v>4</v>
      </c>
      <c r="J218" s="42" t="n">
        <f aca="false">DATE(YEAR(B218),MONTH(B218),1)</f>
        <v>45689</v>
      </c>
      <c r="K218" s="41" t="n">
        <f aca="false">D218*E218</f>
        <v>26.68</v>
      </c>
      <c r="L218" s="41" t="n">
        <f aca="false">D218*I218</f>
        <v>8</v>
      </c>
      <c r="M218" s="41" t="n">
        <f aca="false">IFERROR(INDEX(Raw_Expenses!$C$5:$C$2979,MATCH(A218,Raw_Expenses!$A$5:$A$2979,0)),0)</f>
        <v>1.18</v>
      </c>
      <c r="N218" s="41" t="n">
        <f aca="false">L218+M218</f>
        <v>9.18</v>
      </c>
      <c r="O218" s="41" t="n">
        <f aca="false">K218-N218</f>
        <v>17.5</v>
      </c>
      <c r="P218" s="43" t="n">
        <f aca="false">IF(K218=0,0,O218/K218)</f>
        <v>0.65592203898051</v>
      </c>
    </row>
    <row r="219" customFormat="false" ht="15" hidden="false" customHeight="false" outlineLevel="0" collapsed="false">
      <c r="A219" s="39" t="s">
        <v>341</v>
      </c>
      <c r="B219" s="40" t="n">
        <v>45690</v>
      </c>
      <c r="C219" s="39" t="s">
        <v>130</v>
      </c>
      <c r="D219" s="39" t="n">
        <v>3</v>
      </c>
      <c r="E219" s="41" t="n">
        <v>8.7</v>
      </c>
      <c r="F219" s="39" t="s">
        <v>115</v>
      </c>
      <c r="G219" s="39" t="str">
        <f aca="false">VLOOKUP(C219,Products!$A$5:$D$24,2,FALSE())</f>
        <v>Notebook Set</v>
      </c>
      <c r="H219" s="39" t="str">
        <f aca="false">VLOOKUP(C219,Products!$A$5:$D$24,3,FALSE())</f>
        <v>Stationery</v>
      </c>
      <c r="I219" s="41" t="n">
        <f aca="false">VLOOKUP(C219,Products!$A$5:$D$24,4,FALSE())</f>
        <v>3</v>
      </c>
      <c r="J219" s="42" t="n">
        <f aca="false">DATE(YEAR(B219),MONTH(B219),1)</f>
        <v>45689</v>
      </c>
      <c r="K219" s="41" t="n">
        <f aca="false">D219*E219</f>
        <v>26.1</v>
      </c>
      <c r="L219" s="41" t="n">
        <f aca="false">D219*I219</f>
        <v>9</v>
      </c>
      <c r="M219" s="41" t="n">
        <f aca="false">IFERROR(INDEX(Raw_Expenses!$C$5:$C$2979,MATCH(A219,Raw_Expenses!$A$5:$A$2979,0)),0)</f>
        <v>1.84</v>
      </c>
      <c r="N219" s="41" t="n">
        <f aca="false">L219+M219</f>
        <v>10.84</v>
      </c>
      <c r="O219" s="41" t="n">
        <f aca="false">K219-N219</f>
        <v>15.26</v>
      </c>
      <c r="P219" s="43" t="n">
        <f aca="false">IF(K219=0,0,O219/K219)</f>
        <v>0.584674329501916</v>
      </c>
    </row>
    <row r="220" customFormat="false" ht="15" hidden="false" customHeight="false" outlineLevel="0" collapsed="false">
      <c r="A220" s="39" t="s">
        <v>342</v>
      </c>
      <c r="B220" s="40" t="n">
        <v>45690</v>
      </c>
      <c r="C220" s="39" t="s">
        <v>133</v>
      </c>
      <c r="D220" s="39" t="n">
        <v>4</v>
      </c>
      <c r="E220" s="41" t="n">
        <v>8.84</v>
      </c>
      <c r="F220" s="39" t="s">
        <v>118</v>
      </c>
      <c r="G220" s="39" t="str">
        <f aca="false">VLOOKUP(C220,Products!$A$5:$D$24,2,FALSE())</f>
        <v>Printer Paper Ream</v>
      </c>
      <c r="H220" s="39" t="str">
        <f aca="false">VLOOKUP(C220,Products!$A$5:$D$24,3,FALSE())</f>
        <v>Stationery</v>
      </c>
      <c r="I220" s="41" t="n">
        <f aca="false">VLOOKUP(C220,Products!$A$5:$D$24,4,FALSE())</f>
        <v>4</v>
      </c>
      <c r="J220" s="42" t="n">
        <f aca="false">DATE(YEAR(B220),MONTH(B220),1)</f>
        <v>45689</v>
      </c>
      <c r="K220" s="41" t="n">
        <f aca="false">D220*E220</f>
        <v>35.36</v>
      </c>
      <c r="L220" s="41" t="n">
        <f aca="false">D220*I220</f>
        <v>16</v>
      </c>
      <c r="M220" s="41" t="n">
        <f aca="false">IFERROR(INDEX(Raw_Expenses!$C$5:$C$2979,MATCH(A220,Raw_Expenses!$A$5:$A$2979,0)),0)</f>
        <v>1.75</v>
      </c>
      <c r="N220" s="41" t="n">
        <f aca="false">L220+M220</f>
        <v>17.75</v>
      </c>
      <c r="O220" s="41" t="n">
        <f aca="false">K220-N220</f>
        <v>17.61</v>
      </c>
      <c r="P220" s="43" t="n">
        <f aca="false">IF(K220=0,0,O220/K220)</f>
        <v>0.49802036199095</v>
      </c>
    </row>
    <row r="221" customFormat="false" ht="15" hidden="false" customHeight="false" outlineLevel="0" collapsed="false">
      <c r="A221" s="39" t="s">
        <v>343</v>
      </c>
      <c r="B221" s="40" t="n">
        <v>45690</v>
      </c>
      <c r="C221" s="39" t="s">
        <v>112</v>
      </c>
      <c r="D221" s="39" t="n">
        <v>2</v>
      </c>
      <c r="E221" s="41" t="n">
        <v>54.01</v>
      </c>
      <c r="F221" s="39" t="s">
        <v>115</v>
      </c>
      <c r="G221" s="39" t="str">
        <f aca="false">VLOOKUP(C221,Products!$A$5:$D$24,2,FALSE())</f>
        <v>HD Webcam</v>
      </c>
      <c r="H221" s="39" t="str">
        <f aca="false">VLOOKUP(C221,Products!$A$5:$D$24,3,FALSE())</f>
        <v>Electronics</v>
      </c>
      <c r="I221" s="41" t="n">
        <f aca="false">VLOOKUP(C221,Products!$A$5:$D$24,4,FALSE())</f>
        <v>22</v>
      </c>
      <c r="J221" s="42" t="n">
        <f aca="false">DATE(YEAR(B221),MONTH(B221),1)</f>
        <v>45689</v>
      </c>
      <c r="K221" s="41" t="n">
        <f aca="false">D221*E221</f>
        <v>108.02</v>
      </c>
      <c r="L221" s="41" t="n">
        <f aca="false">D221*I221</f>
        <v>44</v>
      </c>
      <c r="M221" s="41" t="n">
        <f aca="false">IFERROR(INDEX(Raw_Expenses!$C$5:$C$2979,MATCH(A221,Raw_Expenses!$A$5:$A$2979,0)),0)</f>
        <v>0</v>
      </c>
      <c r="N221" s="41" t="n">
        <f aca="false">L221+M221</f>
        <v>44</v>
      </c>
      <c r="O221" s="41" t="n">
        <f aca="false">K221-N221</f>
        <v>64.02</v>
      </c>
      <c r="P221" s="43" t="n">
        <f aca="false">IF(K221=0,0,O221/K221)</f>
        <v>0.592668024439919</v>
      </c>
    </row>
    <row r="222" customFormat="false" ht="15" hidden="false" customHeight="false" outlineLevel="0" collapsed="false">
      <c r="A222" s="39" t="s">
        <v>344</v>
      </c>
      <c r="B222" s="40" t="n">
        <v>45690</v>
      </c>
      <c r="C222" s="39" t="s">
        <v>130</v>
      </c>
      <c r="D222" s="39" t="n">
        <v>5</v>
      </c>
      <c r="E222" s="41" t="n">
        <v>8.77</v>
      </c>
      <c r="F222" s="39" t="s">
        <v>108</v>
      </c>
      <c r="G222" s="39" t="str">
        <f aca="false">VLOOKUP(C222,Products!$A$5:$D$24,2,FALSE())</f>
        <v>Notebook Set</v>
      </c>
      <c r="H222" s="39" t="str">
        <f aca="false">VLOOKUP(C222,Products!$A$5:$D$24,3,FALSE())</f>
        <v>Stationery</v>
      </c>
      <c r="I222" s="41" t="n">
        <f aca="false">VLOOKUP(C222,Products!$A$5:$D$24,4,FALSE())</f>
        <v>3</v>
      </c>
      <c r="J222" s="42" t="n">
        <f aca="false">DATE(YEAR(B222),MONTH(B222),1)</f>
        <v>45689</v>
      </c>
      <c r="K222" s="41" t="n">
        <f aca="false">D222*E222</f>
        <v>43.85</v>
      </c>
      <c r="L222" s="41" t="n">
        <f aca="false">D222*I222</f>
        <v>15</v>
      </c>
      <c r="M222" s="41" t="n">
        <f aca="false">IFERROR(INDEX(Raw_Expenses!$C$5:$C$2979,MATCH(A222,Raw_Expenses!$A$5:$A$2979,0)),0)</f>
        <v>3.65</v>
      </c>
      <c r="N222" s="41" t="n">
        <f aca="false">L222+M222</f>
        <v>18.65</v>
      </c>
      <c r="O222" s="41" t="n">
        <f aca="false">K222-N222</f>
        <v>25.2</v>
      </c>
      <c r="P222" s="43" t="n">
        <f aca="false">IF(K222=0,0,O222/K222)</f>
        <v>0.574686431014823</v>
      </c>
    </row>
    <row r="223" customFormat="false" ht="15" hidden="false" customHeight="false" outlineLevel="0" collapsed="false">
      <c r="A223" s="39" t="s">
        <v>345</v>
      </c>
      <c r="B223" s="40" t="n">
        <v>45690</v>
      </c>
      <c r="C223" s="39" t="s">
        <v>117</v>
      </c>
      <c r="D223" s="39" t="n">
        <v>3</v>
      </c>
      <c r="E223" s="41" t="n">
        <v>31.07</v>
      </c>
      <c r="F223" s="39" t="s">
        <v>118</v>
      </c>
      <c r="G223" s="39" t="str">
        <f aca="false">VLOOKUP(C223,Products!$A$5:$D$24,2,FALSE())</f>
        <v>Desk Lamp</v>
      </c>
      <c r="H223" s="39" t="str">
        <f aca="false">VLOOKUP(C223,Products!$A$5:$D$24,3,FALSE())</f>
        <v>Furniture</v>
      </c>
      <c r="I223" s="41" t="n">
        <f aca="false">VLOOKUP(C223,Products!$A$5:$D$24,4,FALSE())</f>
        <v>13</v>
      </c>
      <c r="J223" s="42" t="n">
        <f aca="false">DATE(YEAR(B223),MONTH(B223),1)</f>
        <v>45689</v>
      </c>
      <c r="K223" s="41" t="n">
        <f aca="false">D223*E223</f>
        <v>93.21</v>
      </c>
      <c r="L223" s="41" t="n">
        <f aca="false">D223*I223</f>
        <v>39</v>
      </c>
      <c r="M223" s="41" t="n">
        <f aca="false">IFERROR(INDEX(Raw_Expenses!$C$5:$C$2979,MATCH(A223,Raw_Expenses!$A$5:$A$2979,0)),0)</f>
        <v>0</v>
      </c>
      <c r="N223" s="41" t="n">
        <f aca="false">L223+M223</f>
        <v>39</v>
      </c>
      <c r="O223" s="41" t="n">
        <f aca="false">K223-N223</f>
        <v>54.21</v>
      </c>
      <c r="P223" s="43" t="n">
        <f aca="false">IF(K223=0,0,O223/K223)</f>
        <v>0.581589958158996</v>
      </c>
    </row>
    <row r="224" customFormat="false" ht="15" hidden="false" customHeight="false" outlineLevel="0" collapsed="false">
      <c r="A224" s="39" t="s">
        <v>346</v>
      </c>
      <c r="B224" s="40" t="n">
        <v>45690</v>
      </c>
      <c r="C224" s="39" t="s">
        <v>121</v>
      </c>
      <c r="D224" s="39" t="n">
        <v>2</v>
      </c>
      <c r="E224" s="41" t="n">
        <v>116.49</v>
      </c>
      <c r="F224" s="39" t="s">
        <v>105</v>
      </c>
      <c r="G224" s="39" t="str">
        <f aca="false">VLOOKUP(C224,Products!$A$5:$D$24,2,FALSE())</f>
        <v>External SSD 1TB</v>
      </c>
      <c r="H224" s="39" t="str">
        <f aca="false">VLOOKUP(C224,Products!$A$5:$D$24,3,FALSE())</f>
        <v>Electronics</v>
      </c>
      <c r="I224" s="41" t="n">
        <f aca="false">VLOOKUP(C224,Products!$A$5:$D$24,4,FALSE())</f>
        <v>62</v>
      </c>
      <c r="J224" s="42" t="n">
        <f aca="false">DATE(YEAR(B224),MONTH(B224),1)</f>
        <v>45689</v>
      </c>
      <c r="K224" s="41" t="n">
        <f aca="false">D224*E224</f>
        <v>232.98</v>
      </c>
      <c r="L224" s="41" t="n">
        <f aca="false">D224*I224</f>
        <v>124</v>
      </c>
      <c r="M224" s="41" t="n">
        <f aca="false">IFERROR(INDEX(Raw_Expenses!$C$5:$C$2979,MATCH(A224,Raw_Expenses!$A$5:$A$2979,0)),0)</f>
        <v>14.59</v>
      </c>
      <c r="N224" s="41" t="n">
        <f aca="false">L224+M224</f>
        <v>138.59</v>
      </c>
      <c r="O224" s="41" t="n">
        <f aca="false">K224-N224</f>
        <v>94.39</v>
      </c>
      <c r="P224" s="43" t="n">
        <f aca="false">IF(K224=0,0,O224/K224)</f>
        <v>0.405142072280882</v>
      </c>
    </row>
    <row r="225" customFormat="false" ht="15" hidden="false" customHeight="false" outlineLevel="0" collapsed="false">
      <c r="A225" s="39" t="s">
        <v>347</v>
      </c>
      <c r="B225" s="40" t="n">
        <v>45690</v>
      </c>
      <c r="C225" s="39" t="s">
        <v>162</v>
      </c>
      <c r="D225" s="39" t="n">
        <v>5</v>
      </c>
      <c r="E225" s="41" t="n">
        <v>68.7</v>
      </c>
      <c r="F225" s="39" t="s">
        <v>108</v>
      </c>
      <c r="G225" s="39" t="str">
        <f aca="false">VLOOKUP(C225,Products!$A$5:$D$24,2,FALSE())</f>
        <v>Bluetooth Speaker</v>
      </c>
      <c r="H225" s="39" t="str">
        <f aca="false">VLOOKUP(C225,Products!$A$5:$D$24,3,FALSE())</f>
        <v>Electronics</v>
      </c>
      <c r="I225" s="41" t="n">
        <f aca="false">VLOOKUP(C225,Products!$A$5:$D$24,4,FALSE())</f>
        <v>28</v>
      </c>
      <c r="J225" s="42" t="n">
        <f aca="false">DATE(YEAR(B225),MONTH(B225),1)</f>
        <v>45689</v>
      </c>
      <c r="K225" s="41" t="n">
        <f aca="false">D225*E225</f>
        <v>343.5</v>
      </c>
      <c r="L225" s="41" t="n">
        <f aca="false">D225*I225</f>
        <v>140</v>
      </c>
      <c r="M225" s="41" t="n">
        <f aca="false">IFERROR(INDEX(Raw_Expenses!$C$5:$C$2979,MATCH(A225,Raw_Expenses!$A$5:$A$2979,0)),0)</f>
        <v>30.2</v>
      </c>
      <c r="N225" s="41" t="n">
        <f aca="false">L225+M225</f>
        <v>170.2</v>
      </c>
      <c r="O225" s="41" t="n">
        <f aca="false">K225-N225</f>
        <v>173.3</v>
      </c>
      <c r="P225" s="43" t="n">
        <f aca="false">IF(K225=0,0,O225/K225)</f>
        <v>0.504512372634643</v>
      </c>
    </row>
    <row r="226" customFormat="false" ht="15" hidden="false" customHeight="false" outlineLevel="0" collapsed="false">
      <c r="A226" s="39" t="s">
        <v>348</v>
      </c>
      <c r="B226" s="40" t="n">
        <v>45690</v>
      </c>
      <c r="C226" s="39" t="s">
        <v>121</v>
      </c>
      <c r="D226" s="39" t="n">
        <v>5</v>
      </c>
      <c r="E226" s="41" t="n">
        <v>118.26</v>
      </c>
      <c r="F226" s="39" t="s">
        <v>108</v>
      </c>
      <c r="G226" s="39" t="str">
        <f aca="false">VLOOKUP(C226,Products!$A$5:$D$24,2,FALSE())</f>
        <v>External SSD 1TB</v>
      </c>
      <c r="H226" s="39" t="str">
        <f aca="false">VLOOKUP(C226,Products!$A$5:$D$24,3,FALSE())</f>
        <v>Electronics</v>
      </c>
      <c r="I226" s="41" t="n">
        <f aca="false">VLOOKUP(C226,Products!$A$5:$D$24,4,FALSE())</f>
        <v>62</v>
      </c>
      <c r="J226" s="42" t="n">
        <f aca="false">DATE(YEAR(B226),MONTH(B226),1)</f>
        <v>45689</v>
      </c>
      <c r="K226" s="41" t="n">
        <f aca="false">D226*E226</f>
        <v>591.3</v>
      </c>
      <c r="L226" s="41" t="n">
        <f aca="false">D226*I226</f>
        <v>310</v>
      </c>
      <c r="M226" s="41" t="n">
        <f aca="false">IFERROR(INDEX(Raw_Expenses!$C$5:$C$2979,MATCH(A226,Raw_Expenses!$A$5:$A$2979,0)),0)</f>
        <v>39.34</v>
      </c>
      <c r="N226" s="41" t="n">
        <f aca="false">L226+M226</f>
        <v>349.34</v>
      </c>
      <c r="O226" s="41" t="n">
        <f aca="false">K226-N226</f>
        <v>241.96</v>
      </c>
      <c r="P226" s="43" t="n">
        <f aca="false">IF(K226=0,0,O226/K226)</f>
        <v>0.409200067647556</v>
      </c>
    </row>
    <row r="227" customFormat="false" ht="15" hidden="false" customHeight="false" outlineLevel="0" collapsed="false">
      <c r="A227" s="39" t="s">
        <v>349</v>
      </c>
      <c r="B227" s="40" t="n">
        <v>45690</v>
      </c>
      <c r="C227" s="39" t="s">
        <v>104</v>
      </c>
      <c r="D227" s="39" t="n">
        <v>1</v>
      </c>
      <c r="E227" s="41" t="n">
        <v>15.05</v>
      </c>
      <c r="F227" s="39" t="s">
        <v>108</v>
      </c>
      <c r="G227" s="39" t="str">
        <f aca="false">VLOOKUP(C227,Products!$A$5:$D$24,2,FALSE())</f>
        <v>Water Bottle</v>
      </c>
      <c r="H227" s="39" t="str">
        <f aca="false">VLOOKUP(C227,Products!$A$5:$D$24,3,FALSE())</f>
        <v>Accessories</v>
      </c>
      <c r="I227" s="41" t="n">
        <f aca="false">VLOOKUP(C227,Products!$A$5:$D$24,4,FALSE())</f>
        <v>5</v>
      </c>
      <c r="J227" s="42" t="n">
        <f aca="false">DATE(YEAR(B227),MONTH(B227),1)</f>
        <v>45689</v>
      </c>
      <c r="K227" s="41" t="n">
        <f aca="false">D227*E227</f>
        <v>15.05</v>
      </c>
      <c r="L227" s="41" t="n">
        <f aca="false">D227*I227</f>
        <v>5</v>
      </c>
      <c r="M227" s="41" t="n">
        <f aca="false">IFERROR(INDEX(Raw_Expenses!$C$5:$C$2979,MATCH(A227,Raw_Expenses!$A$5:$A$2979,0)),0)</f>
        <v>0.91</v>
      </c>
      <c r="N227" s="41" t="n">
        <f aca="false">L227+M227</f>
        <v>5.91</v>
      </c>
      <c r="O227" s="41" t="n">
        <f aca="false">K227-N227</f>
        <v>9.14</v>
      </c>
      <c r="P227" s="43" t="n">
        <f aca="false">IF(K227=0,0,O227/K227)</f>
        <v>0.607308970099668</v>
      </c>
    </row>
    <row r="228" customFormat="false" ht="15" hidden="false" customHeight="false" outlineLevel="0" collapsed="false">
      <c r="A228" s="39" t="s">
        <v>350</v>
      </c>
      <c r="B228" s="40" t="n">
        <v>45690</v>
      </c>
      <c r="C228" s="39" t="s">
        <v>305</v>
      </c>
      <c r="D228" s="39" t="n">
        <v>6</v>
      </c>
      <c r="E228" s="41" t="n">
        <v>328.06</v>
      </c>
      <c r="F228" s="39" t="s">
        <v>115</v>
      </c>
      <c r="G228" s="39" t="str">
        <f aca="false">VLOOKUP(C228,Products!$A$5:$D$24,2,FALSE())</f>
        <v>Standing Desk</v>
      </c>
      <c r="H228" s="39" t="str">
        <f aca="false">VLOOKUP(C228,Products!$A$5:$D$24,3,FALSE())</f>
        <v>Furniture</v>
      </c>
      <c r="I228" s="41" t="n">
        <f aca="false">VLOOKUP(C228,Products!$A$5:$D$24,4,FALSE())</f>
        <v>160</v>
      </c>
      <c r="J228" s="42" t="n">
        <f aca="false">DATE(YEAR(B228),MONTH(B228),1)</f>
        <v>45689</v>
      </c>
      <c r="K228" s="41" t="n">
        <f aca="false">D228*E228</f>
        <v>1968.36</v>
      </c>
      <c r="L228" s="41" t="n">
        <f aca="false">D228*I228</f>
        <v>960</v>
      </c>
      <c r="M228" s="41" t="n">
        <f aca="false">IFERROR(INDEX(Raw_Expenses!$C$5:$C$2979,MATCH(A228,Raw_Expenses!$A$5:$A$2979,0)),0)</f>
        <v>137.05</v>
      </c>
      <c r="N228" s="41" t="n">
        <f aca="false">L228+M228</f>
        <v>1097.05</v>
      </c>
      <c r="O228" s="41" t="n">
        <f aca="false">K228-N228</f>
        <v>871.31</v>
      </c>
      <c r="P228" s="43" t="n">
        <f aca="false">IF(K228=0,0,O228/K228)</f>
        <v>0.442657847141783</v>
      </c>
    </row>
    <row r="229" customFormat="false" ht="15" hidden="false" customHeight="false" outlineLevel="0" collapsed="false">
      <c r="A229" s="39" t="s">
        <v>351</v>
      </c>
      <c r="B229" s="40" t="n">
        <v>45690</v>
      </c>
      <c r="C229" s="39" t="s">
        <v>169</v>
      </c>
      <c r="D229" s="39" t="n">
        <v>3</v>
      </c>
      <c r="E229" s="41" t="n">
        <v>28.91</v>
      </c>
      <c r="F229" s="39" t="s">
        <v>108</v>
      </c>
      <c r="G229" s="39" t="str">
        <f aca="false">VLOOKUP(C229,Products!$A$5:$D$24,2,FALSE())</f>
        <v>Laptop Stand</v>
      </c>
      <c r="H229" s="39" t="str">
        <f aca="false">VLOOKUP(C229,Products!$A$5:$D$24,3,FALSE())</f>
        <v>Accessories</v>
      </c>
      <c r="I229" s="41" t="n">
        <f aca="false">VLOOKUP(C229,Products!$A$5:$D$24,4,FALSE())</f>
        <v>11</v>
      </c>
      <c r="J229" s="42" t="n">
        <f aca="false">DATE(YEAR(B229),MONTH(B229),1)</f>
        <v>45689</v>
      </c>
      <c r="K229" s="41" t="n">
        <f aca="false">D229*E229</f>
        <v>86.73</v>
      </c>
      <c r="L229" s="41" t="n">
        <f aca="false">D229*I229</f>
        <v>33</v>
      </c>
      <c r="M229" s="41" t="n">
        <f aca="false">IFERROR(INDEX(Raw_Expenses!$C$5:$C$2979,MATCH(A229,Raw_Expenses!$A$5:$A$2979,0)),0)</f>
        <v>7.66</v>
      </c>
      <c r="N229" s="41" t="n">
        <f aca="false">L229+M229</f>
        <v>40.66</v>
      </c>
      <c r="O229" s="41" t="n">
        <f aca="false">K229-N229</f>
        <v>46.07</v>
      </c>
      <c r="P229" s="43" t="n">
        <f aca="false">IF(K229=0,0,O229/K229)</f>
        <v>0.531188746685115</v>
      </c>
    </row>
    <row r="230" customFormat="false" ht="15" hidden="false" customHeight="false" outlineLevel="0" collapsed="false">
      <c r="A230" s="39" t="s">
        <v>352</v>
      </c>
      <c r="B230" s="40" t="n">
        <v>45691</v>
      </c>
      <c r="C230" s="39" t="s">
        <v>153</v>
      </c>
      <c r="D230" s="39" t="n">
        <v>1</v>
      </c>
      <c r="E230" s="41" t="n">
        <v>171.06</v>
      </c>
      <c r="F230" s="39" t="s">
        <v>105</v>
      </c>
      <c r="G230" s="39" t="str">
        <f aca="false">VLOOKUP(C230,Products!$A$5:$D$24,2,FALSE())</f>
        <v>24-inch Monitor</v>
      </c>
      <c r="H230" s="39" t="str">
        <f aca="false">VLOOKUP(C230,Products!$A$5:$D$24,3,FALSE())</f>
        <v>Electronics</v>
      </c>
      <c r="I230" s="41" t="n">
        <f aca="false">VLOOKUP(C230,Products!$A$5:$D$24,4,FALSE())</f>
        <v>90</v>
      </c>
      <c r="J230" s="42" t="n">
        <f aca="false">DATE(YEAR(B230),MONTH(B230),1)</f>
        <v>45689</v>
      </c>
      <c r="K230" s="41" t="n">
        <f aca="false">D230*E230</f>
        <v>171.06</v>
      </c>
      <c r="L230" s="41" t="n">
        <f aca="false">D230*I230</f>
        <v>90</v>
      </c>
      <c r="M230" s="41" t="n">
        <f aca="false">IFERROR(INDEX(Raw_Expenses!$C$5:$C$2979,MATCH(A230,Raw_Expenses!$A$5:$A$2979,0)),0)</f>
        <v>13.69</v>
      </c>
      <c r="N230" s="41" t="n">
        <f aca="false">L230+M230</f>
        <v>103.69</v>
      </c>
      <c r="O230" s="41" t="n">
        <f aca="false">K230-N230</f>
        <v>67.37</v>
      </c>
      <c r="P230" s="43" t="n">
        <f aca="false">IF(K230=0,0,O230/K230)</f>
        <v>0.393838419268093</v>
      </c>
    </row>
    <row r="231" customFormat="false" ht="15" hidden="false" customHeight="false" outlineLevel="0" collapsed="false">
      <c r="A231" s="39" t="s">
        <v>353</v>
      </c>
      <c r="B231" s="40" t="n">
        <v>45691</v>
      </c>
      <c r="C231" s="39" t="s">
        <v>114</v>
      </c>
      <c r="D231" s="39" t="n">
        <v>3</v>
      </c>
      <c r="E231" s="41" t="n">
        <v>5.85</v>
      </c>
      <c r="F231" s="39" t="s">
        <v>115</v>
      </c>
      <c r="G231" s="39" t="str">
        <f aca="false">VLOOKUP(C231,Products!$A$5:$D$24,2,FALSE())</f>
        <v>Gel Pen Pack</v>
      </c>
      <c r="H231" s="39" t="str">
        <f aca="false">VLOOKUP(C231,Products!$A$5:$D$24,3,FALSE())</f>
        <v>Stationery</v>
      </c>
      <c r="I231" s="41" t="n">
        <f aca="false">VLOOKUP(C231,Products!$A$5:$D$24,4,FALSE())</f>
        <v>2</v>
      </c>
      <c r="J231" s="42" t="n">
        <f aca="false">DATE(YEAR(B231),MONTH(B231),1)</f>
        <v>45689</v>
      </c>
      <c r="K231" s="41" t="n">
        <f aca="false">D231*E231</f>
        <v>17.55</v>
      </c>
      <c r="L231" s="41" t="n">
        <f aca="false">D231*I231</f>
        <v>6</v>
      </c>
      <c r="M231" s="41" t="n">
        <f aca="false">IFERROR(INDEX(Raw_Expenses!$C$5:$C$2979,MATCH(A231,Raw_Expenses!$A$5:$A$2979,0)),0)</f>
        <v>1.35</v>
      </c>
      <c r="N231" s="41" t="n">
        <f aca="false">L231+M231</f>
        <v>7.35</v>
      </c>
      <c r="O231" s="41" t="n">
        <f aca="false">K231-N231</f>
        <v>10.2</v>
      </c>
      <c r="P231" s="43" t="n">
        <f aca="false">IF(K231=0,0,O231/K231)</f>
        <v>0.581196581196581</v>
      </c>
    </row>
    <row r="232" customFormat="false" ht="15" hidden="false" customHeight="false" outlineLevel="0" collapsed="false">
      <c r="A232" s="39" t="s">
        <v>354</v>
      </c>
      <c r="B232" s="40" t="n">
        <v>45691</v>
      </c>
      <c r="C232" s="39" t="s">
        <v>126</v>
      </c>
      <c r="D232" s="39" t="n">
        <v>3</v>
      </c>
      <c r="E232" s="41" t="n">
        <v>23.41</v>
      </c>
      <c r="F232" s="39" t="s">
        <v>115</v>
      </c>
      <c r="G232" s="39" t="str">
        <f aca="false">VLOOKUP(C232,Products!$A$5:$D$24,2,FALSE())</f>
        <v>Wireless Mouse</v>
      </c>
      <c r="H232" s="39" t="str">
        <f aca="false">VLOOKUP(C232,Products!$A$5:$D$24,3,FALSE())</f>
        <v>Electronics</v>
      </c>
      <c r="I232" s="41" t="n">
        <f aca="false">VLOOKUP(C232,Products!$A$5:$D$24,4,FALSE())</f>
        <v>12</v>
      </c>
      <c r="J232" s="42" t="n">
        <f aca="false">DATE(YEAR(B232),MONTH(B232),1)</f>
        <v>45689</v>
      </c>
      <c r="K232" s="41" t="n">
        <f aca="false">D232*E232</f>
        <v>70.23</v>
      </c>
      <c r="L232" s="41" t="n">
        <f aca="false">D232*I232</f>
        <v>36</v>
      </c>
      <c r="M232" s="41" t="n">
        <f aca="false">IFERROR(INDEX(Raw_Expenses!$C$5:$C$2979,MATCH(A232,Raw_Expenses!$A$5:$A$2979,0)),0)</f>
        <v>5.59</v>
      </c>
      <c r="N232" s="41" t="n">
        <f aca="false">L232+M232</f>
        <v>41.59</v>
      </c>
      <c r="O232" s="41" t="n">
        <f aca="false">K232-N232</f>
        <v>28.64</v>
      </c>
      <c r="P232" s="43" t="n">
        <f aca="false">IF(K232=0,0,O232/K232)</f>
        <v>0.407802933219422</v>
      </c>
    </row>
    <row r="233" customFormat="false" ht="15" hidden="false" customHeight="false" outlineLevel="0" collapsed="false">
      <c r="A233" s="39" t="s">
        <v>355</v>
      </c>
      <c r="B233" s="40" t="n">
        <v>45691</v>
      </c>
      <c r="C233" s="39" t="s">
        <v>133</v>
      </c>
      <c r="D233" s="39" t="n">
        <v>3</v>
      </c>
      <c r="E233" s="41" t="n">
        <v>8.64</v>
      </c>
      <c r="F233" s="39" t="s">
        <v>115</v>
      </c>
      <c r="G233" s="39" t="str">
        <f aca="false">VLOOKUP(C233,Products!$A$5:$D$24,2,FALSE())</f>
        <v>Printer Paper Ream</v>
      </c>
      <c r="H233" s="39" t="str">
        <f aca="false">VLOOKUP(C233,Products!$A$5:$D$24,3,FALSE())</f>
        <v>Stationery</v>
      </c>
      <c r="I233" s="41" t="n">
        <f aca="false">VLOOKUP(C233,Products!$A$5:$D$24,4,FALSE())</f>
        <v>4</v>
      </c>
      <c r="J233" s="42" t="n">
        <f aca="false">DATE(YEAR(B233),MONTH(B233),1)</f>
        <v>45689</v>
      </c>
      <c r="K233" s="41" t="n">
        <f aca="false">D233*E233</f>
        <v>25.92</v>
      </c>
      <c r="L233" s="41" t="n">
        <f aca="false">D233*I233</f>
        <v>12</v>
      </c>
      <c r="M233" s="41" t="n">
        <f aca="false">IFERROR(INDEX(Raw_Expenses!$C$5:$C$2979,MATCH(A233,Raw_Expenses!$A$5:$A$2979,0)),0)</f>
        <v>1.7</v>
      </c>
      <c r="N233" s="41" t="n">
        <f aca="false">L233+M233</f>
        <v>13.7</v>
      </c>
      <c r="O233" s="41" t="n">
        <f aca="false">K233-N233</f>
        <v>12.22</v>
      </c>
      <c r="P233" s="43" t="n">
        <f aca="false">IF(K233=0,0,O233/K233)</f>
        <v>0.471450617283951</v>
      </c>
    </row>
    <row r="234" customFormat="false" ht="15" hidden="false" customHeight="false" outlineLevel="0" collapsed="false">
      <c r="A234" s="39" t="s">
        <v>356</v>
      </c>
      <c r="B234" s="40" t="n">
        <v>45691</v>
      </c>
      <c r="C234" s="39" t="s">
        <v>139</v>
      </c>
      <c r="D234" s="39" t="n">
        <v>2</v>
      </c>
      <c r="E234" s="41" t="n">
        <v>120.19</v>
      </c>
      <c r="F234" s="39" t="s">
        <v>115</v>
      </c>
      <c r="G234" s="39" t="str">
        <f aca="false">VLOOKUP(C234,Products!$A$5:$D$24,2,FALSE())</f>
        <v>Noise-Cancelling Headphones</v>
      </c>
      <c r="H234" s="39" t="str">
        <f aca="false">VLOOKUP(C234,Products!$A$5:$D$24,3,FALSE())</f>
        <v>Electronics</v>
      </c>
      <c r="I234" s="41" t="n">
        <f aca="false">VLOOKUP(C234,Products!$A$5:$D$24,4,FALSE())</f>
        <v>55</v>
      </c>
      <c r="J234" s="42" t="n">
        <f aca="false">DATE(YEAR(B234),MONTH(B234),1)</f>
        <v>45689</v>
      </c>
      <c r="K234" s="41" t="n">
        <f aca="false">D234*E234</f>
        <v>240.38</v>
      </c>
      <c r="L234" s="41" t="n">
        <f aca="false">D234*I234</f>
        <v>110</v>
      </c>
      <c r="M234" s="41" t="n">
        <f aca="false">IFERROR(INDEX(Raw_Expenses!$C$5:$C$2979,MATCH(A234,Raw_Expenses!$A$5:$A$2979,0)),0)</f>
        <v>13.48</v>
      </c>
      <c r="N234" s="41" t="n">
        <f aca="false">L234+M234</f>
        <v>123.48</v>
      </c>
      <c r="O234" s="41" t="n">
        <f aca="false">K234-N234</f>
        <v>116.9</v>
      </c>
      <c r="P234" s="43" t="n">
        <f aca="false">IF(K234=0,0,O234/K234)</f>
        <v>0.486313337216075</v>
      </c>
    </row>
    <row r="235" customFormat="false" ht="15" hidden="false" customHeight="false" outlineLevel="0" collapsed="false">
      <c r="A235" s="39" t="s">
        <v>357</v>
      </c>
      <c r="B235" s="40" t="n">
        <v>45691</v>
      </c>
      <c r="C235" s="39" t="s">
        <v>117</v>
      </c>
      <c r="D235" s="39" t="n">
        <v>4</v>
      </c>
      <c r="E235" s="41" t="n">
        <v>31.87</v>
      </c>
      <c r="F235" s="39" t="s">
        <v>108</v>
      </c>
      <c r="G235" s="39" t="str">
        <f aca="false">VLOOKUP(C235,Products!$A$5:$D$24,2,FALSE())</f>
        <v>Desk Lamp</v>
      </c>
      <c r="H235" s="39" t="str">
        <f aca="false">VLOOKUP(C235,Products!$A$5:$D$24,3,FALSE())</f>
        <v>Furniture</v>
      </c>
      <c r="I235" s="41" t="n">
        <f aca="false">VLOOKUP(C235,Products!$A$5:$D$24,4,FALSE())</f>
        <v>13</v>
      </c>
      <c r="J235" s="42" t="n">
        <f aca="false">DATE(YEAR(B235),MONTH(B235),1)</f>
        <v>45689</v>
      </c>
      <c r="K235" s="41" t="n">
        <f aca="false">D235*E235</f>
        <v>127.48</v>
      </c>
      <c r="L235" s="41" t="n">
        <f aca="false">D235*I235</f>
        <v>52</v>
      </c>
      <c r="M235" s="41" t="n">
        <f aca="false">IFERROR(INDEX(Raw_Expenses!$C$5:$C$2979,MATCH(A235,Raw_Expenses!$A$5:$A$2979,0)),0)</f>
        <v>10.24</v>
      </c>
      <c r="N235" s="41" t="n">
        <f aca="false">L235+M235</f>
        <v>62.24</v>
      </c>
      <c r="O235" s="41" t="n">
        <f aca="false">K235-N235</f>
        <v>65.24</v>
      </c>
      <c r="P235" s="43" t="n">
        <f aca="false">IF(K235=0,0,O235/K235)</f>
        <v>0.51176655161594</v>
      </c>
    </row>
    <row r="236" customFormat="false" ht="15" hidden="false" customHeight="false" outlineLevel="0" collapsed="false">
      <c r="A236" s="39" t="s">
        <v>358</v>
      </c>
      <c r="B236" s="40" t="n">
        <v>45691</v>
      </c>
      <c r="C236" s="39" t="s">
        <v>110</v>
      </c>
      <c r="D236" s="39" t="n">
        <v>1</v>
      </c>
      <c r="E236" s="41" t="n">
        <v>13.96</v>
      </c>
      <c r="F236" s="39" t="s">
        <v>115</v>
      </c>
      <c r="G236" s="39" t="str">
        <f aca="false">VLOOKUP(C236,Products!$A$5:$D$24,2,FALSE())</f>
        <v>Phone Stand</v>
      </c>
      <c r="H236" s="39" t="str">
        <f aca="false">VLOOKUP(C236,Products!$A$5:$D$24,3,FALSE())</f>
        <v>Accessories</v>
      </c>
      <c r="I236" s="41" t="n">
        <f aca="false">VLOOKUP(C236,Products!$A$5:$D$24,4,FALSE())</f>
        <v>4</v>
      </c>
      <c r="J236" s="42" t="n">
        <f aca="false">DATE(YEAR(B236),MONTH(B236),1)</f>
        <v>45689</v>
      </c>
      <c r="K236" s="41" t="n">
        <f aca="false">D236*E236</f>
        <v>13.96</v>
      </c>
      <c r="L236" s="41" t="n">
        <f aca="false">D236*I236</f>
        <v>4</v>
      </c>
      <c r="M236" s="41" t="n">
        <f aca="false">IFERROR(INDEX(Raw_Expenses!$C$5:$C$2979,MATCH(A236,Raw_Expenses!$A$5:$A$2979,0)),0)</f>
        <v>0.61</v>
      </c>
      <c r="N236" s="41" t="n">
        <f aca="false">L236+M236</f>
        <v>4.61</v>
      </c>
      <c r="O236" s="41" t="n">
        <f aca="false">K236-N236</f>
        <v>9.35</v>
      </c>
      <c r="P236" s="43" t="n">
        <f aca="false">IF(K236=0,0,O236/K236)</f>
        <v>0.669770773638969</v>
      </c>
    </row>
    <row r="237" customFormat="false" ht="15" hidden="false" customHeight="false" outlineLevel="0" collapsed="false">
      <c r="A237" s="39" t="s">
        <v>359</v>
      </c>
      <c r="B237" s="40" t="n">
        <v>45691</v>
      </c>
      <c r="C237" s="39" t="s">
        <v>110</v>
      </c>
      <c r="D237" s="39" t="n">
        <v>2</v>
      </c>
      <c r="E237" s="41" t="n">
        <v>13.97</v>
      </c>
      <c r="F237" s="39" t="s">
        <v>118</v>
      </c>
      <c r="G237" s="39" t="str">
        <f aca="false">VLOOKUP(C237,Products!$A$5:$D$24,2,FALSE())</f>
        <v>Phone Stand</v>
      </c>
      <c r="H237" s="39" t="str">
        <f aca="false">VLOOKUP(C237,Products!$A$5:$D$24,3,FALSE())</f>
        <v>Accessories</v>
      </c>
      <c r="I237" s="41" t="n">
        <f aca="false">VLOOKUP(C237,Products!$A$5:$D$24,4,FALSE())</f>
        <v>4</v>
      </c>
      <c r="J237" s="42" t="n">
        <f aca="false">DATE(YEAR(B237),MONTH(B237),1)</f>
        <v>45689</v>
      </c>
      <c r="K237" s="41" t="n">
        <f aca="false">D237*E237</f>
        <v>27.94</v>
      </c>
      <c r="L237" s="41" t="n">
        <f aca="false">D237*I237</f>
        <v>8</v>
      </c>
      <c r="M237" s="41" t="n">
        <f aca="false">IFERROR(INDEX(Raw_Expenses!$C$5:$C$2979,MATCH(A237,Raw_Expenses!$A$5:$A$2979,0)),0)</f>
        <v>1.77</v>
      </c>
      <c r="N237" s="41" t="n">
        <f aca="false">L237+M237</f>
        <v>9.77</v>
      </c>
      <c r="O237" s="41" t="n">
        <f aca="false">K237-N237</f>
        <v>18.17</v>
      </c>
      <c r="P237" s="43" t="n">
        <f aca="false">IF(K237=0,0,O237/K237)</f>
        <v>0.650322118826056</v>
      </c>
    </row>
    <row r="238" customFormat="false" ht="15" hidden="false" customHeight="false" outlineLevel="0" collapsed="false">
      <c r="A238" s="39" t="s">
        <v>360</v>
      </c>
      <c r="B238" s="40" t="n">
        <v>45692</v>
      </c>
      <c r="C238" s="39" t="s">
        <v>107</v>
      </c>
      <c r="D238" s="39" t="n">
        <v>4</v>
      </c>
      <c r="E238" s="41" t="n">
        <v>32.5</v>
      </c>
      <c r="F238" s="39" t="s">
        <v>115</v>
      </c>
      <c r="G238" s="39" t="str">
        <f aca="false">VLOOKUP(C238,Products!$A$5:$D$24,2,FALSE())</f>
        <v>USB-C Hub</v>
      </c>
      <c r="H238" s="39" t="str">
        <f aca="false">VLOOKUP(C238,Products!$A$5:$D$24,3,FALSE())</f>
        <v>Electronics</v>
      </c>
      <c r="I238" s="41" t="n">
        <f aca="false">VLOOKUP(C238,Products!$A$5:$D$24,4,FALSE())</f>
        <v>14</v>
      </c>
      <c r="J238" s="42" t="n">
        <f aca="false">DATE(YEAR(B238),MONTH(B238),1)</f>
        <v>45689</v>
      </c>
      <c r="K238" s="41" t="n">
        <f aca="false">D238*E238</f>
        <v>130</v>
      </c>
      <c r="L238" s="41" t="n">
        <f aca="false">D238*I238</f>
        <v>56</v>
      </c>
      <c r="M238" s="41" t="n">
        <f aca="false">IFERROR(INDEX(Raw_Expenses!$C$5:$C$2979,MATCH(A238,Raw_Expenses!$A$5:$A$2979,0)),0)</f>
        <v>8.19</v>
      </c>
      <c r="N238" s="41" t="n">
        <f aca="false">L238+M238</f>
        <v>64.19</v>
      </c>
      <c r="O238" s="41" t="n">
        <f aca="false">K238-N238</f>
        <v>65.81</v>
      </c>
      <c r="P238" s="43" t="n">
        <f aca="false">IF(K238=0,0,O238/K238)</f>
        <v>0.506230769230769</v>
      </c>
    </row>
    <row r="239" customFormat="false" ht="15" hidden="false" customHeight="false" outlineLevel="0" collapsed="false">
      <c r="A239" s="39" t="s">
        <v>361</v>
      </c>
      <c r="B239" s="40" t="n">
        <v>45692</v>
      </c>
      <c r="C239" s="39" t="s">
        <v>130</v>
      </c>
      <c r="D239" s="39" t="n">
        <v>1</v>
      </c>
      <c r="E239" s="41" t="n">
        <v>8.7</v>
      </c>
      <c r="F239" s="39" t="s">
        <v>108</v>
      </c>
      <c r="G239" s="39" t="str">
        <f aca="false">VLOOKUP(C239,Products!$A$5:$D$24,2,FALSE())</f>
        <v>Notebook Set</v>
      </c>
      <c r="H239" s="39" t="str">
        <f aca="false">VLOOKUP(C239,Products!$A$5:$D$24,3,FALSE())</f>
        <v>Stationery</v>
      </c>
      <c r="I239" s="41" t="n">
        <f aca="false">VLOOKUP(C239,Products!$A$5:$D$24,4,FALSE())</f>
        <v>3</v>
      </c>
      <c r="J239" s="42" t="n">
        <f aca="false">DATE(YEAR(B239),MONTH(B239),1)</f>
        <v>45689</v>
      </c>
      <c r="K239" s="41" t="n">
        <f aca="false">D239*E239</f>
        <v>8.7</v>
      </c>
      <c r="L239" s="41" t="n">
        <f aca="false">D239*I239</f>
        <v>3</v>
      </c>
      <c r="M239" s="41" t="n">
        <f aca="false">IFERROR(INDEX(Raw_Expenses!$C$5:$C$2979,MATCH(A239,Raw_Expenses!$A$5:$A$2979,0)),0)</f>
        <v>0.54</v>
      </c>
      <c r="N239" s="41" t="n">
        <f aca="false">L239+M239</f>
        <v>3.54</v>
      </c>
      <c r="O239" s="41" t="n">
        <f aca="false">K239-N239</f>
        <v>5.16</v>
      </c>
      <c r="P239" s="43" t="n">
        <f aca="false">IF(K239=0,0,O239/K239)</f>
        <v>0.593103448275862</v>
      </c>
    </row>
    <row r="240" customFormat="false" ht="15" hidden="false" customHeight="false" outlineLevel="0" collapsed="false">
      <c r="A240" s="39" t="s">
        <v>362</v>
      </c>
      <c r="B240" s="40" t="n">
        <v>45692</v>
      </c>
      <c r="C240" s="39" t="s">
        <v>128</v>
      </c>
      <c r="D240" s="39" t="n">
        <v>4</v>
      </c>
      <c r="E240" s="41" t="n">
        <v>37.72</v>
      </c>
      <c r="F240" s="39" t="s">
        <v>118</v>
      </c>
      <c r="G240" s="39" t="str">
        <f aca="false">VLOOKUP(C240,Products!$A$5:$D$24,2,FALSE())</f>
        <v>Ergonomic Footrest</v>
      </c>
      <c r="H240" s="39" t="str">
        <f aca="false">VLOOKUP(C240,Products!$A$5:$D$24,3,FALSE())</f>
        <v>Furniture</v>
      </c>
      <c r="I240" s="41" t="n">
        <f aca="false">VLOOKUP(C240,Products!$A$5:$D$24,4,FALSE())</f>
        <v>15</v>
      </c>
      <c r="J240" s="42" t="n">
        <f aca="false">DATE(YEAR(B240),MONTH(B240),1)</f>
        <v>45689</v>
      </c>
      <c r="K240" s="41" t="n">
        <f aca="false">D240*E240</f>
        <v>150.88</v>
      </c>
      <c r="L240" s="41" t="n">
        <f aca="false">D240*I240</f>
        <v>60</v>
      </c>
      <c r="M240" s="41" t="n">
        <f aca="false">IFERROR(INDEX(Raw_Expenses!$C$5:$C$2979,MATCH(A240,Raw_Expenses!$A$5:$A$2979,0)),0)</f>
        <v>13.27</v>
      </c>
      <c r="N240" s="41" t="n">
        <f aca="false">L240+M240</f>
        <v>73.27</v>
      </c>
      <c r="O240" s="41" t="n">
        <f aca="false">K240-N240</f>
        <v>77.61</v>
      </c>
      <c r="P240" s="43" t="n">
        <f aca="false">IF(K240=0,0,O240/K240)</f>
        <v>0.514382290562036</v>
      </c>
    </row>
    <row r="241" customFormat="false" ht="15" hidden="false" customHeight="false" outlineLevel="0" collapsed="false">
      <c r="A241" s="39" t="s">
        <v>363</v>
      </c>
      <c r="B241" s="40" t="n">
        <v>45692</v>
      </c>
      <c r="C241" s="39" t="s">
        <v>107</v>
      </c>
      <c r="D241" s="39" t="n">
        <v>1</v>
      </c>
      <c r="E241" s="41" t="n">
        <v>32.99</v>
      </c>
      <c r="F241" s="39" t="s">
        <v>105</v>
      </c>
      <c r="G241" s="39" t="str">
        <f aca="false">VLOOKUP(C241,Products!$A$5:$D$24,2,FALSE())</f>
        <v>USB-C Hub</v>
      </c>
      <c r="H241" s="39" t="str">
        <f aca="false">VLOOKUP(C241,Products!$A$5:$D$24,3,FALSE())</f>
        <v>Electronics</v>
      </c>
      <c r="I241" s="41" t="n">
        <f aca="false">VLOOKUP(C241,Products!$A$5:$D$24,4,FALSE())</f>
        <v>14</v>
      </c>
      <c r="J241" s="42" t="n">
        <f aca="false">DATE(YEAR(B241),MONTH(B241),1)</f>
        <v>45689</v>
      </c>
      <c r="K241" s="41" t="n">
        <f aca="false">D241*E241</f>
        <v>32.99</v>
      </c>
      <c r="L241" s="41" t="n">
        <f aca="false">D241*I241</f>
        <v>14</v>
      </c>
      <c r="M241" s="41" t="n">
        <f aca="false">IFERROR(INDEX(Raw_Expenses!$C$5:$C$2979,MATCH(A241,Raw_Expenses!$A$5:$A$2979,0)),0)</f>
        <v>1.99</v>
      </c>
      <c r="N241" s="41" t="n">
        <f aca="false">L241+M241</f>
        <v>15.99</v>
      </c>
      <c r="O241" s="41" t="n">
        <f aca="false">K241-N241</f>
        <v>17</v>
      </c>
      <c r="P241" s="43" t="n">
        <f aca="false">IF(K241=0,0,O241/K241)</f>
        <v>0.515307668990603</v>
      </c>
    </row>
    <row r="242" customFormat="false" ht="15" hidden="false" customHeight="false" outlineLevel="0" collapsed="false">
      <c r="A242" s="39" t="s">
        <v>364</v>
      </c>
      <c r="B242" s="40" t="n">
        <v>45693</v>
      </c>
      <c r="C242" s="39" t="s">
        <v>133</v>
      </c>
      <c r="D242" s="39" t="n">
        <v>2</v>
      </c>
      <c r="E242" s="41" t="n">
        <v>8.37</v>
      </c>
      <c r="F242" s="39" t="s">
        <v>118</v>
      </c>
      <c r="G242" s="39" t="str">
        <f aca="false">VLOOKUP(C242,Products!$A$5:$D$24,2,FALSE())</f>
        <v>Printer Paper Ream</v>
      </c>
      <c r="H242" s="39" t="str">
        <f aca="false">VLOOKUP(C242,Products!$A$5:$D$24,3,FALSE())</f>
        <v>Stationery</v>
      </c>
      <c r="I242" s="41" t="n">
        <f aca="false">VLOOKUP(C242,Products!$A$5:$D$24,4,FALSE())</f>
        <v>4</v>
      </c>
      <c r="J242" s="42" t="n">
        <f aca="false">DATE(YEAR(B242),MONTH(B242),1)</f>
        <v>45689</v>
      </c>
      <c r="K242" s="41" t="n">
        <f aca="false">D242*E242</f>
        <v>16.74</v>
      </c>
      <c r="L242" s="41" t="n">
        <f aca="false">D242*I242</f>
        <v>8</v>
      </c>
      <c r="M242" s="41" t="n">
        <f aca="false">IFERROR(INDEX(Raw_Expenses!$C$5:$C$2979,MATCH(A242,Raw_Expenses!$A$5:$A$2979,0)),0)</f>
        <v>0.69</v>
      </c>
      <c r="N242" s="41" t="n">
        <f aca="false">L242+M242</f>
        <v>8.69</v>
      </c>
      <c r="O242" s="41" t="n">
        <f aca="false">K242-N242</f>
        <v>8.05</v>
      </c>
      <c r="P242" s="43" t="n">
        <f aca="false">IF(K242=0,0,O242/K242)</f>
        <v>0.480884109916368</v>
      </c>
    </row>
    <row r="243" customFormat="false" ht="15" hidden="false" customHeight="false" outlineLevel="0" collapsed="false">
      <c r="A243" s="39" t="s">
        <v>365</v>
      </c>
      <c r="B243" s="40" t="n">
        <v>45693</v>
      </c>
      <c r="C243" s="39" t="s">
        <v>139</v>
      </c>
      <c r="D243" s="39" t="n">
        <v>1</v>
      </c>
      <c r="E243" s="41" t="n">
        <v>119.36</v>
      </c>
      <c r="F243" s="39" t="s">
        <v>108</v>
      </c>
      <c r="G243" s="39" t="str">
        <f aca="false">VLOOKUP(C243,Products!$A$5:$D$24,2,FALSE())</f>
        <v>Noise-Cancelling Headphones</v>
      </c>
      <c r="H243" s="39" t="str">
        <f aca="false">VLOOKUP(C243,Products!$A$5:$D$24,3,FALSE())</f>
        <v>Electronics</v>
      </c>
      <c r="I243" s="41" t="n">
        <f aca="false">VLOOKUP(C243,Products!$A$5:$D$24,4,FALSE())</f>
        <v>55</v>
      </c>
      <c r="J243" s="42" t="n">
        <f aca="false">DATE(YEAR(B243),MONTH(B243),1)</f>
        <v>45689</v>
      </c>
      <c r="K243" s="41" t="n">
        <f aca="false">D243*E243</f>
        <v>119.36</v>
      </c>
      <c r="L243" s="41" t="n">
        <f aca="false">D243*I243</f>
        <v>55</v>
      </c>
      <c r="M243" s="41" t="n">
        <f aca="false">IFERROR(INDEX(Raw_Expenses!$C$5:$C$2979,MATCH(A243,Raw_Expenses!$A$5:$A$2979,0)),0)</f>
        <v>7.8</v>
      </c>
      <c r="N243" s="41" t="n">
        <f aca="false">L243+M243</f>
        <v>62.8</v>
      </c>
      <c r="O243" s="41" t="n">
        <f aca="false">K243-N243</f>
        <v>56.56</v>
      </c>
      <c r="P243" s="43" t="n">
        <f aca="false">IF(K243=0,0,O243/K243)</f>
        <v>0.473860589812333</v>
      </c>
    </row>
    <row r="244" customFormat="false" ht="15" hidden="false" customHeight="false" outlineLevel="0" collapsed="false">
      <c r="A244" s="39" t="s">
        <v>366</v>
      </c>
      <c r="B244" s="40" t="n">
        <v>45693</v>
      </c>
      <c r="C244" s="39" t="s">
        <v>121</v>
      </c>
      <c r="D244" s="39" t="n">
        <v>3</v>
      </c>
      <c r="E244" s="41" t="n">
        <v>113.77</v>
      </c>
      <c r="F244" s="39" t="s">
        <v>115</v>
      </c>
      <c r="G244" s="39" t="str">
        <f aca="false">VLOOKUP(C244,Products!$A$5:$D$24,2,FALSE())</f>
        <v>External SSD 1TB</v>
      </c>
      <c r="H244" s="39" t="str">
        <f aca="false">VLOOKUP(C244,Products!$A$5:$D$24,3,FALSE())</f>
        <v>Electronics</v>
      </c>
      <c r="I244" s="41" t="n">
        <f aca="false">VLOOKUP(C244,Products!$A$5:$D$24,4,FALSE())</f>
        <v>62</v>
      </c>
      <c r="J244" s="42" t="n">
        <f aca="false">DATE(YEAR(B244),MONTH(B244),1)</f>
        <v>45689</v>
      </c>
      <c r="K244" s="41" t="n">
        <f aca="false">D244*E244</f>
        <v>341.31</v>
      </c>
      <c r="L244" s="41" t="n">
        <f aca="false">D244*I244</f>
        <v>186</v>
      </c>
      <c r="M244" s="41" t="n">
        <f aca="false">IFERROR(INDEX(Raw_Expenses!$C$5:$C$2979,MATCH(A244,Raw_Expenses!$A$5:$A$2979,0)),0)</f>
        <v>20.56</v>
      </c>
      <c r="N244" s="41" t="n">
        <f aca="false">L244+M244</f>
        <v>206.56</v>
      </c>
      <c r="O244" s="41" t="n">
        <f aca="false">K244-N244</f>
        <v>134.75</v>
      </c>
      <c r="P244" s="43" t="n">
        <f aca="false">IF(K244=0,0,O244/K244)</f>
        <v>0.394802379068882</v>
      </c>
    </row>
    <row r="245" customFormat="false" ht="15" hidden="false" customHeight="false" outlineLevel="0" collapsed="false">
      <c r="A245" s="39" t="s">
        <v>367</v>
      </c>
      <c r="B245" s="40" t="n">
        <v>45693</v>
      </c>
      <c r="C245" s="39" t="s">
        <v>139</v>
      </c>
      <c r="D245" s="39" t="n">
        <v>1</v>
      </c>
      <c r="E245" s="41" t="n">
        <v>128.13</v>
      </c>
      <c r="F245" s="39" t="s">
        <v>118</v>
      </c>
      <c r="G245" s="39" t="str">
        <f aca="false">VLOOKUP(C245,Products!$A$5:$D$24,2,FALSE())</f>
        <v>Noise-Cancelling Headphones</v>
      </c>
      <c r="H245" s="39" t="str">
        <f aca="false">VLOOKUP(C245,Products!$A$5:$D$24,3,FALSE())</f>
        <v>Electronics</v>
      </c>
      <c r="I245" s="41" t="n">
        <f aca="false">VLOOKUP(C245,Products!$A$5:$D$24,4,FALSE())</f>
        <v>55</v>
      </c>
      <c r="J245" s="42" t="n">
        <f aca="false">DATE(YEAR(B245),MONTH(B245),1)</f>
        <v>45689</v>
      </c>
      <c r="K245" s="41" t="n">
        <f aca="false">D245*E245</f>
        <v>128.13</v>
      </c>
      <c r="L245" s="41" t="n">
        <f aca="false">D245*I245</f>
        <v>55</v>
      </c>
      <c r="M245" s="41" t="n">
        <f aca="false">IFERROR(INDEX(Raw_Expenses!$C$5:$C$2979,MATCH(A245,Raw_Expenses!$A$5:$A$2979,0)),0)</f>
        <v>10.56</v>
      </c>
      <c r="N245" s="41" t="n">
        <f aca="false">L245+M245</f>
        <v>65.56</v>
      </c>
      <c r="O245" s="41" t="n">
        <f aca="false">K245-N245</f>
        <v>62.57</v>
      </c>
      <c r="P245" s="43" t="n">
        <f aca="false">IF(K245=0,0,O245/K245)</f>
        <v>0.488332162647311</v>
      </c>
    </row>
    <row r="246" customFormat="false" ht="15" hidden="false" customHeight="false" outlineLevel="0" collapsed="false">
      <c r="A246" s="39" t="s">
        <v>368</v>
      </c>
      <c r="B246" s="40" t="n">
        <v>45694</v>
      </c>
      <c r="C246" s="39" t="s">
        <v>133</v>
      </c>
      <c r="D246" s="39" t="n">
        <v>3</v>
      </c>
      <c r="E246" s="41" t="n">
        <v>8.31</v>
      </c>
      <c r="F246" s="39" t="s">
        <v>105</v>
      </c>
      <c r="G246" s="39" t="str">
        <f aca="false">VLOOKUP(C246,Products!$A$5:$D$24,2,FALSE())</f>
        <v>Printer Paper Ream</v>
      </c>
      <c r="H246" s="39" t="str">
        <f aca="false">VLOOKUP(C246,Products!$A$5:$D$24,3,FALSE())</f>
        <v>Stationery</v>
      </c>
      <c r="I246" s="41" t="n">
        <f aca="false">VLOOKUP(C246,Products!$A$5:$D$24,4,FALSE())</f>
        <v>4</v>
      </c>
      <c r="J246" s="42" t="n">
        <f aca="false">DATE(YEAR(B246),MONTH(B246),1)</f>
        <v>45689</v>
      </c>
      <c r="K246" s="41" t="n">
        <f aca="false">D246*E246</f>
        <v>24.93</v>
      </c>
      <c r="L246" s="41" t="n">
        <f aca="false">D246*I246</f>
        <v>12</v>
      </c>
      <c r="M246" s="41" t="n">
        <f aca="false">IFERROR(INDEX(Raw_Expenses!$C$5:$C$2979,MATCH(A246,Raw_Expenses!$A$5:$A$2979,0)),0)</f>
        <v>1.44</v>
      </c>
      <c r="N246" s="41" t="n">
        <f aca="false">L246+M246</f>
        <v>13.44</v>
      </c>
      <c r="O246" s="41" t="n">
        <f aca="false">K246-N246</f>
        <v>11.49</v>
      </c>
      <c r="P246" s="43" t="n">
        <f aca="false">IF(K246=0,0,O246/K246)</f>
        <v>0.460890493381468</v>
      </c>
    </row>
    <row r="247" customFormat="false" ht="15" hidden="false" customHeight="false" outlineLevel="0" collapsed="false">
      <c r="A247" s="39" t="s">
        <v>369</v>
      </c>
      <c r="B247" s="40" t="n">
        <v>45694</v>
      </c>
      <c r="C247" s="39" t="s">
        <v>126</v>
      </c>
      <c r="D247" s="39" t="n">
        <v>5</v>
      </c>
      <c r="E247" s="41" t="n">
        <v>23.73</v>
      </c>
      <c r="F247" s="39" t="s">
        <v>115</v>
      </c>
      <c r="G247" s="39" t="str">
        <f aca="false">VLOOKUP(C247,Products!$A$5:$D$24,2,FALSE())</f>
        <v>Wireless Mouse</v>
      </c>
      <c r="H247" s="39" t="str">
        <f aca="false">VLOOKUP(C247,Products!$A$5:$D$24,3,FALSE())</f>
        <v>Electronics</v>
      </c>
      <c r="I247" s="41" t="n">
        <f aca="false">VLOOKUP(C247,Products!$A$5:$D$24,4,FALSE())</f>
        <v>12</v>
      </c>
      <c r="J247" s="42" t="n">
        <f aca="false">DATE(YEAR(B247),MONTH(B247),1)</f>
        <v>45689</v>
      </c>
      <c r="K247" s="41" t="n">
        <f aca="false">D247*E247</f>
        <v>118.65</v>
      </c>
      <c r="L247" s="41" t="n">
        <f aca="false">D247*I247</f>
        <v>60</v>
      </c>
      <c r="M247" s="41" t="n">
        <f aca="false">IFERROR(INDEX(Raw_Expenses!$C$5:$C$2979,MATCH(A247,Raw_Expenses!$A$5:$A$2979,0)),0)</f>
        <v>8.81</v>
      </c>
      <c r="N247" s="41" t="n">
        <f aca="false">L247+M247</f>
        <v>68.81</v>
      </c>
      <c r="O247" s="41" t="n">
        <f aca="false">K247-N247</f>
        <v>49.84</v>
      </c>
      <c r="P247" s="43" t="n">
        <f aca="false">IF(K247=0,0,O247/K247)</f>
        <v>0.420058997050148</v>
      </c>
    </row>
    <row r="248" customFormat="false" ht="15" hidden="false" customHeight="false" outlineLevel="0" collapsed="false">
      <c r="A248" s="39" t="s">
        <v>370</v>
      </c>
      <c r="B248" s="40" t="n">
        <v>45694</v>
      </c>
      <c r="C248" s="39" t="s">
        <v>104</v>
      </c>
      <c r="D248" s="39" t="n">
        <v>2</v>
      </c>
      <c r="E248" s="41" t="n">
        <v>15.94</v>
      </c>
      <c r="F248" s="39" t="s">
        <v>115</v>
      </c>
      <c r="G248" s="39" t="str">
        <f aca="false">VLOOKUP(C248,Products!$A$5:$D$24,2,FALSE())</f>
        <v>Water Bottle</v>
      </c>
      <c r="H248" s="39" t="str">
        <f aca="false">VLOOKUP(C248,Products!$A$5:$D$24,3,FALSE())</f>
        <v>Accessories</v>
      </c>
      <c r="I248" s="41" t="n">
        <f aca="false">VLOOKUP(C248,Products!$A$5:$D$24,4,FALSE())</f>
        <v>5</v>
      </c>
      <c r="J248" s="42" t="n">
        <f aca="false">DATE(YEAR(B248),MONTH(B248),1)</f>
        <v>45689</v>
      </c>
      <c r="K248" s="41" t="n">
        <f aca="false">D248*E248</f>
        <v>31.88</v>
      </c>
      <c r="L248" s="41" t="n">
        <f aca="false">D248*I248</f>
        <v>10</v>
      </c>
      <c r="M248" s="41" t="n">
        <f aca="false">IFERROR(INDEX(Raw_Expenses!$C$5:$C$2979,MATCH(A248,Raw_Expenses!$A$5:$A$2979,0)),0)</f>
        <v>2.15</v>
      </c>
      <c r="N248" s="41" t="n">
        <f aca="false">L248+M248</f>
        <v>12.15</v>
      </c>
      <c r="O248" s="41" t="n">
        <f aca="false">K248-N248</f>
        <v>19.73</v>
      </c>
      <c r="P248" s="43" t="n">
        <f aca="false">IF(K248=0,0,O248/K248)</f>
        <v>0.618883312421581</v>
      </c>
    </row>
    <row r="249" customFormat="false" ht="15" hidden="false" customHeight="false" outlineLevel="0" collapsed="false">
      <c r="A249" s="39" t="s">
        <v>371</v>
      </c>
      <c r="B249" s="40" t="n">
        <v>45694</v>
      </c>
      <c r="C249" s="39" t="s">
        <v>133</v>
      </c>
      <c r="D249" s="39" t="n">
        <v>1</v>
      </c>
      <c r="E249" s="41" t="n">
        <v>8.99</v>
      </c>
      <c r="F249" s="39" t="s">
        <v>108</v>
      </c>
      <c r="G249" s="39" t="str">
        <f aca="false">VLOOKUP(C249,Products!$A$5:$D$24,2,FALSE())</f>
        <v>Printer Paper Ream</v>
      </c>
      <c r="H249" s="39" t="str">
        <f aca="false">VLOOKUP(C249,Products!$A$5:$D$24,3,FALSE())</f>
        <v>Stationery</v>
      </c>
      <c r="I249" s="41" t="n">
        <f aca="false">VLOOKUP(C249,Products!$A$5:$D$24,4,FALSE())</f>
        <v>4</v>
      </c>
      <c r="J249" s="42" t="n">
        <f aca="false">DATE(YEAR(B249),MONTH(B249),1)</f>
        <v>45689</v>
      </c>
      <c r="K249" s="41" t="n">
        <f aca="false">D249*E249</f>
        <v>8.99</v>
      </c>
      <c r="L249" s="41" t="n">
        <f aca="false">D249*I249</f>
        <v>4</v>
      </c>
      <c r="M249" s="41" t="n">
        <f aca="false">IFERROR(INDEX(Raw_Expenses!$C$5:$C$2979,MATCH(A249,Raw_Expenses!$A$5:$A$2979,0)),0)</f>
        <v>0.63</v>
      </c>
      <c r="N249" s="41" t="n">
        <f aca="false">L249+M249</f>
        <v>4.63</v>
      </c>
      <c r="O249" s="41" t="n">
        <f aca="false">K249-N249</f>
        <v>4.36</v>
      </c>
      <c r="P249" s="43" t="n">
        <f aca="false">IF(K249=0,0,O249/K249)</f>
        <v>0.484983314794216</v>
      </c>
    </row>
    <row r="250" customFormat="false" ht="15" hidden="false" customHeight="false" outlineLevel="0" collapsed="false">
      <c r="A250" s="39" t="s">
        <v>372</v>
      </c>
      <c r="B250" s="40" t="n">
        <v>45694</v>
      </c>
      <c r="C250" s="39" t="s">
        <v>114</v>
      </c>
      <c r="D250" s="39" t="n">
        <v>2</v>
      </c>
      <c r="E250" s="41" t="n">
        <v>5.8</v>
      </c>
      <c r="F250" s="39" t="s">
        <v>108</v>
      </c>
      <c r="G250" s="39" t="str">
        <f aca="false">VLOOKUP(C250,Products!$A$5:$D$24,2,FALSE())</f>
        <v>Gel Pen Pack</v>
      </c>
      <c r="H250" s="39" t="str">
        <f aca="false">VLOOKUP(C250,Products!$A$5:$D$24,3,FALSE())</f>
        <v>Stationery</v>
      </c>
      <c r="I250" s="41" t="n">
        <f aca="false">VLOOKUP(C250,Products!$A$5:$D$24,4,FALSE())</f>
        <v>2</v>
      </c>
      <c r="J250" s="42" t="n">
        <f aca="false">DATE(YEAR(B250),MONTH(B250),1)</f>
        <v>45689</v>
      </c>
      <c r="K250" s="41" t="n">
        <f aca="false">D250*E250</f>
        <v>11.6</v>
      </c>
      <c r="L250" s="41" t="n">
        <f aca="false">D250*I250</f>
        <v>4</v>
      </c>
      <c r="M250" s="41" t="n">
        <f aca="false">IFERROR(INDEX(Raw_Expenses!$C$5:$C$2979,MATCH(A250,Raw_Expenses!$A$5:$A$2979,0)),0)</f>
        <v>0.54</v>
      </c>
      <c r="N250" s="41" t="n">
        <f aca="false">L250+M250</f>
        <v>4.54</v>
      </c>
      <c r="O250" s="41" t="n">
        <f aca="false">K250-N250</f>
        <v>7.06</v>
      </c>
      <c r="P250" s="43" t="n">
        <f aca="false">IF(K250=0,0,O250/K250)</f>
        <v>0.608620689655172</v>
      </c>
    </row>
    <row r="251" customFormat="false" ht="15" hidden="false" customHeight="false" outlineLevel="0" collapsed="false">
      <c r="A251" s="39" t="s">
        <v>373</v>
      </c>
      <c r="B251" s="40" t="n">
        <v>45694</v>
      </c>
      <c r="C251" s="39" t="s">
        <v>104</v>
      </c>
      <c r="D251" s="39" t="n">
        <v>2</v>
      </c>
      <c r="E251" s="41" t="n">
        <v>15.69</v>
      </c>
      <c r="F251" s="39" t="s">
        <v>108</v>
      </c>
      <c r="G251" s="39" t="str">
        <f aca="false">VLOOKUP(C251,Products!$A$5:$D$24,2,FALSE())</f>
        <v>Water Bottle</v>
      </c>
      <c r="H251" s="39" t="str">
        <f aca="false">VLOOKUP(C251,Products!$A$5:$D$24,3,FALSE())</f>
        <v>Accessories</v>
      </c>
      <c r="I251" s="41" t="n">
        <f aca="false">VLOOKUP(C251,Products!$A$5:$D$24,4,FALSE())</f>
        <v>5</v>
      </c>
      <c r="J251" s="42" t="n">
        <f aca="false">DATE(YEAR(B251),MONTH(B251),1)</f>
        <v>45689</v>
      </c>
      <c r="K251" s="41" t="n">
        <f aca="false">D251*E251</f>
        <v>31.38</v>
      </c>
      <c r="L251" s="41" t="n">
        <f aca="false">D251*I251</f>
        <v>10</v>
      </c>
      <c r="M251" s="41" t="n">
        <f aca="false">IFERROR(INDEX(Raw_Expenses!$C$5:$C$2979,MATCH(A251,Raw_Expenses!$A$5:$A$2979,0)),0)</f>
        <v>2.2</v>
      </c>
      <c r="N251" s="41" t="n">
        <f aca="false">L251+M251</f>
        <v>12.2</v>
      </c>
      <c r="O251" s="41" t="n">
        <f aca="false">K251-N251</f>
        <v>19.18</v>
      </c>
      <c r="P251" s="43" t="n">
        <f aca="false">IF(K251=0,0,O251/K251)</f>
        <v>0.611217335882728</v>
      </c>
    </row>
    <row r="252" customFormat="false" ht="15" hidden="false" customHeight="false" outlineLevel="0" collapsed="false">
      <c r="A252" s="39" t="s">
        <v>374</v>
      </c>
      <c r="B252" s="40" t="n">
        <v>45694</v>
      </c>
      <c r="C252" s="39" t="s">
        <v>153</v>
      </c>
      <c r="D252" s="39" t="n">
        <v>2</v>
      </c>
      <c r="E252" s="41" t="n">
        <v>168.49</v>
      </c>
      <c r="F252" s="39" t="s">
        <v>105</v>
      </c>
      <c r="G252" s="39" t="str">
        <f aca="false">VLOOKUP(C252,Products!$A$5:$D$24,2,FALSE())</f>
        <v>24-inch Monitor</v>
      </c>
      <c r="H252" s="39" t="str">
        <f aca="false">VLOOKUP(C252,Products!$A$5:$D$24,3,FALSE())</f>
        <v>Electronics</v>
      </c>
      <c r="I252" s="41" t="n">
        <f aca="false">VLOOKUP(C252,Products!$A$5:$D$24,4,FALSE())</f>
        <v>90</v>
      </c>
      <c r="J252" s="42" t="n">
        <f aca="false">DATE(YEAR(B252),MONTH(B252),1)</f>
        <v>45689</v>
      </c>
      <c r="K252" s="41" t="n">
        <f aca="false">D252*E252</f>
        <v>336.98</v>
      </c>
      <c r="L252" s="41" t="n">
        <f aca="false">D252*I252</f>
        <v>180</v>
      </c>
      <c r="M252" s="41" t="n">
        <f aca="false">IFERROR(INDEX(Raw_Expenses!$C$5:$C$2979,MATCH(A252,Raw_Expenses!$A$5:$A$2979,0)),0)</f>
        <v>16.1</v>
      </c>
      <c r="N252" s="41" t="n">
        <f aca="false">L252+M252</f>
        <v>196.1</v>
      </c>
      <c r="O252" s="41" t="n">
        <f aca="false">K252-N252</f>
        <v>140.88</v>
      </c>
      <c r="P252" s="43" t="n">
        <f aca="false">IF(K252=0,0,O252/K252)</f>
        <v>0.418066354086296</v>
      </c>
    </row>
    <row r="253" customFormat="false" ht="15" hidden="false" customHeight="false" outlineLevel="0" collapsed="false">
      <c r="A253" s="39" t="s">
        <v>375</v>
      </c>
      <c r="B253" s="40" t="n">
        <v>45695</v>
      </c>
      <c r="C253" s="39" t="s">
        <v>104</v>
      </c>
      <c r="D253" s="39" t="n">
        <v>1</v>
      </c>
      <c r="E253" s="41" t="n">
        <v>14.87</v>
      </c>
      <c r="F253" s="39" t="s">
        <v>118</v>
      </c>
      <c r="G253" s="39" t="str">
        <f aca="false">VLOOKUP(C253,Products!$A$5:$D$24,2,FALSE())</f>
        <v>Water Bottle</v>
      </c>
      <c r="H253" s="39" t="str">
        <f aca="false">VLOOKUP(C253,Products!$A$5:$D$24,3,FALSE())</f>
        <v>Accessories</v>
      </c>
      <c r="I253" s="41" t="n">
        <f aca="false">VLOOKUP(C253,Products!$A$5:$D$24,4,FALSE())</f>
        <v>5</v>
      </c>
      <c r="J253" s="42" t="n">
        <f aca="false">DATE(YEAR(B253),MONTH(B253),1)</f>
        <v>45689</v>
      </c>
      <c r="K253" s="41" t="n">
        <f aca="false">D253*E253</f>
        <v>14.87</v>
      </c>
      <c r="L253" s="41" t="n">
        <f aca="false">D253*I253</f>
        <v>5</v>
      </c>
      <c r="M253" s="41" t="n">
        <f aca="false">IFERROR(INDEX(Raw_Expenses!$C$5:$C$2979,MATCH(A253,Raw_Expenses!$A$5:$A$2979,0)),0)</f>
        <v>0.73</v>
      </c>
      <c r="N253" s="41" t="n">
        <f aca="false">L253+M253</f>
        <v>5.73</v>
      </c>
      <c r="O253" s="41" t="n">
        <f aca="false">K253-N253</f>
        <v>9.14</v>
      </c>
      <c r="P253" s="43" t="n">
        <f aca="false">IF(K253=0,0,O253/K253)</f>
        <v>0.614660390047075</v>
      </c>
    </row>
    <row r="254" customFormat="false" ht="15" hidden="false" customHeight="false" outlineLevel="0" collapsed="false">
      <c r="A254" s="39" t="s">
        <v>376</v>
      </c>
      <c r="B254" s="40" t="n">
        <v>45695</v>
      </c>
      <c r="C254" s="39" t="s">
        <v>144</v>
      </c>
      <c r="D254" s="39" t="n">
        <v>6</v>
      </c>
      <c r="E254" s="41" t="n">
        <v>55.17</v>
      </c>
      <c r="F254" s="39" t="s">
        <v>115</v>
      </c>
      <c r="G254" s="39" t="str">
        <f aca="false">VLOOKUP(C254,Products!$A$5:$D$24,2,FALSE())</f>
        <v>Whiteboard</v>
      </c>
      <c r="H254" s="39" t="str">
        <f aca="false">VLOOKUP(C254,Products!$A$5:$D$24,3,FALSE())</f>
        <v>Furniture</v>
      </c>
      <c r="I254" s="41" t="n">
        <f aca="false">VLOOKUP(C254,Products!$A$5:$D$24,4,FALSE())</f>
        <v>28</v>
      </c>
      <c r="J254" s="42" t="n">
        <f aca="false">DATE(YEAR(B254),MONTH(B254),1)</f>
        <v>45689</v>
      </c>
      <c r="K254" s="41" t="n">
        <f aca="false">D254*E254</f>
        <v>331.02</v>
      </c>
      <c r="L254" s="41" t="n">
        <f aca="false">D254*I254</f>
        <v>168</v>
      </c>
      <c r="M254" s="41" t="n">
        <f aca="false">IFERROR(INDEX(Raw_Expenses!$C$5:$C$2979,MATCH(A254,Raw_Expenses!$A$5:$A$2979,0)),0)</f>
        <v>17.63</v>
      </c>
      <c r="N254" s="41" t="n">
        <f aca="false">L254+M254</f>
        <v>185.63</v>
      </c>
      <c r="O254" s="41" t="n">
        <f aca="false">K254-N254</f>
        <v>145.39</v>
      </c>
      <c r="P254" s="43" t="n">
        <f aca="false">IF(K254=0,0,O254/K254)</f>
        <v>0.439218174128451</v>
      </c>
    </row>
    <row r="255" customFormat="false" ht="15" hidden="false" customHeight="false" outlineLevel="0" collapsed="false">
      <c r="A255" s="39" t="s">
        <v>377</v>
      </c>
      <c r="B255" s="40" t="n">
        <v>45695</v>
      </c>
      <c r="C255" s="39" t="s">
        <v>107</v>
      </c>
      <c r="D255" s="39" t="n">
        <v>2</v>
      </c>
      <c r="E255" s="41" t="n">
        <v>33.93</v>
      </c>
      <c r="F255" s="39" t="s">
        <v>118</v>
      </c>
      <c r="G255" s="39" t="str">
        <f aca="false">VLOOKUP(C255,Products!$A$5:$D$24,2,FALSE())</f>
        <v>USB-C Hub</v>
      </c>
      <c r="H255" s="39" t="str">
        <f aca="false">VLOOKUP(C255,Products!$A$5:$D$24,3,FALSE())</f>
        <v>Electronics</v>
      </c>
      <c r="I255" s="41" t="n">
        <f aca="false">VLOOKUP(C255,Products!$A$5:$D$24,4,FALSE())</f>
        <v>14</v>
      </c>
      <c r="J255" s="42" t="n">
        <f aca="false">DATE(YEAR(B255),MONTH(B255),1)</f>
        <v>45689</v>
      </c>
      <c r="K255" s="41" t="n">
        <f aca="false">D255*E255</f>
        <v>67.86</v>
      </c>
      <c r="L255" s="41" t="n">
        <f aca="false">D255*I255</f>
        <v>28</v>
      </c>
      <c r="M255" s="41" t="n">
        <f aca="false">IFERROR(INDEX(Raw_Expenses!$C$5:$C$2979,MATCH(A255,Raw_Expenses!$A$5:$A$2979,0)),0)</f>
        <v>5.12</v>
      </c>
      <c r="N255" s="41" t="n">
        <f aca="false">L255+M255</f>
        <v>33.12</v>
      </c>
      <c r="O255" s="41" t="n">
        <f aca="false">K255-N255</f>
        <v>34.74</v>
      </c>
      <c r="P255" s="43" t="n">
        <f aca="false">IF(K255=0,0,O255/K255)</f>
        <v>0.511936339522547</v>
      </c>
    </row>
    <row r="256" customFormat="false" ht="15" hidden="false" customHeight="false" outlineLevel="0" collapsed="false">
      <c r="A256" s="39" t="s">
        <v>378</v>
      </c>
      <c r="B256" s="40" t="n">
        <v>45695</v>
      </c>
      <c r="C256" s="39" t="s">
        <v>177</v>
      </c>
      <c r="D256" s="39" t="n">
        <v>1</v>
      </c>
      <c r="E256" s="41" t="n">
        <v>43</v>
      </c>
      <c r="F256" s="39" t="s">
        <v>118</v>
      </c>
      <c r="G256" s="39" t="str">
        <f aca="false">VLOOKUP(C256,Products!$A$5:$D$24,2,FALSE())</f>
        <v>Backpack</v>
      </c>
      <c r="H256" s="39" t="str">
        <f aca="false">VLOOKUP(C256,Products!$A$5:$D$24,3,FALSE())</f>
        <v>Accessories</v>
      </c>
      <c r="I256" s="41" t="n">
        <f aca="false">VLOOKUP(C256,Products!$A$5:$D$24,4,FALSE())</f>
        <v>17</v>
      </c>
      <c r="J256" s="42" t="n">
        <f aca="false">DATE(YEAR(B256),MONTH(B256),1)</f>
        <v>45689</v>
      </c>
      <c r="K256" s="41" t="n">
        <f aca="false">D256*E256</f>
        <v>43</v>
      </c>
      <c r="L256" s="41" t="n">
        <f aca="false">D256*I256</f>
        <v>17</v>
      </c>
      <c r="M256" s="41" t="n">
        <f aca="false">IFERROR(INDEX(Raw_Expenses!$C$5:$C$2979,MATCH(A256,Raw_Expenses!$A$5:$A$2979,0)),0)</f>
        <v>2.12</v>
      </c>
      <c r="N256" s="41" t="n">
        <f aca="false">L256+M256</f>
        <v>19.12</v>
      </c>
      <c r="O256" s="41" t="n">
        <f aca="false">K256-N256</f>
        <v>23.88</v>
      </c>
      <c r="P256" s="43" t="n">
        <f aca="false">IF(K256=0,0,O256/K256)</f>
        <v>0.555348837209302</v>
      </c>
    </row>
    <row r="257" customFormat="false" ht="15" hidden="false" customHeight="false" outlineLevel="0" collapsed="false">
      <c r="A257" s="39" t="s">
        <v>379</v>
      </c>
      <c r="B257" s="40" t="n">
        <v>45695</v>
      </c>
      <c r="C257" s="39" t="s">
        <v>133</v>
      </c>
      <c r="D257" s="39" t="n">
        <v>2</v>
      </c>
      <c r="E257" s="41" t="n">
        <v>8.29</v>
      </c>
      <c r="F257" s="39" t="s">
        <v>118</v>
      </c>
      <c r="G257" s="39" t="str">
        <f aca="false">VLOOKUP(C257,Products!$A$5:$D$24,2,FALSE())</f>
        <v>Printer Paper Ream</v>
      </c>
      <c r="H257" s="39" t="str">
        <f aca="false">VLOOKUP(C257,Products!$A$5:$D$24,3,FALSE())</f>
        <v>Stationery</v>
      </c>
      <c r="I257" s="41" t="n">
        <f aca="false">VLOOKUP(C257,Products!$A$5:$D$24,4,FALSE())</f>
        <v>4</v>
      </c>
      <c r="J257" s="42" t="n">
        <f aca="false">DATE(YEAR(B257),MONTH(B257),1)</f>
        <v>45689</v>
      </c>
      <c r="K257" s="41" t="n">
        <f aca="false">D257*E257</f>
        <v>16.58</v>
      </c>
      <c r="L257" s="41" t="n">
        <f aca="false">D257*I257</f>
        <v>8</v>
      </c>
      <c r="M257" s="41" t="n">
        <f aca="false">IFERROR(INDEX(Raw_Expenses!$C$5:$C$2979,MATCH(A257,Raw_Expenses!$A$5:$A$2979,0)),0)</f>
        <v>1.15</v>
      </c>
      <c r="N257" s="41" t="n">
        <f aca="false">L257+M257</f>
        <v>9.15</v>
      </c>
      <c r="O257" s="41" t="n">
        <f aca="false">K257-N257</f>
        <v>7.43</v>
      </c>
      <c r="P257" s="43" t="n">
        <f aca="false">IF(K257=0,0,O257/K257)</f>
        <v>0.448130277442702</v>
      </c>
    </row>
    <row r="258" customFormat="false" ht="15" hidden="false" customHeight="false" outlineLevel="0" collapsed="false">
      <c r="A258" s="39" t="s">
        <v>380</v>
      </c>
      <c r="B258" s="40" t="n">
        <v>45695</v>
      </c>
      <c r="C258" s="39" t="s">
        <v>104</v>
      </c>
      <c r="D258" s="39" t="n">
        <v>2</v>
      </c>
      <c r="E258" s="41" t="n">
        <v>14.92</v>
      </c>
      <c r="F258" s="39" t="s">
        <v>115</v>
      </c>
      <c r="G258" s="39" t="str">
        <f aca="false">VLOOKUP(C258,Products!$A$5:$D$24,2,FALSE())</f>
        <v>Water Bottle</v>
      </c>
      <c r="H258" s="39" t="str">
        <f aca="false">VLOOKUP(C258,Products!$A$5:$D$24,3,FALSE())</f>
        <v>Accessories</v>
      </c>
      <c r="I258" s="41" t="n">
        <f aca="false">VLOOKUP(C258,Products!$A$5:$D$24,4,FALSE())</f>
        <v>5</v>
      </c>
      <c r="J258" s="42" t="n">
        <f aca="false">DATE(YEAR(B258),MONTH(B258),1)</f>
        <v>45689</v>
      </c>
      <c r="K258" s="41" t="n">
        <f aca="false">D258*E258</f>
        <v>29.84</v>
      </c>
      <c r="L258" s="41" t="n">
        <f aca="false">D258*I258</f>
        <v>10</v>
      </c>
      <c r="M258" s="41" t="n">
        <f aca="false">IFERROR(INDEX(Raw_Expenses!$C$5:$C$2979,MATCH(A258,Raw_Expenses!$A$5:$A$2979,0)),0)</f>
        <v>1.58</v>
      </c>
      <c r="N258" s="41" t="n">
        <f aca="false">L258+M258</f>
        <v>11.58</v>
      </c>
      <c r="O258" s="41" t="n">
        <f aca="false">K258-N258</f>
        <v>18.26</v>
      </c>
      <c r="P258" s="43" t="n">
        <f aca="false">IF(K258=0,0,O258/K258)</f>
        <v>0.611930294906166</v>
      </c>
    </row>
    <row r="259" customFormat="false" ht="15" hidden="false" customHeight="false" outlineLevel="0" collapsed="false">
      <c r="A259" s="39" t="s">
        <v>381</v>
      </c>
      <c r="B259" s="40" t="n">
        <v>45695</v>
      </c>
      <c r="C259" s="39" t="s">
        <v>104</v>
      </c>
      <c r="D259" s="39" t="n">
        <v>3</v>
      </c>
      <c r="E259" s="41" t="n">
        <v>15.99</v>
      </c>
      <c r="F259" s="39" t="s">
        <v>118</v>
      </c>
      <c r="G259" s="39" t="str">
        <f aca="false">VLOOKUP(C259,Products!$A$5:$D$24,2,FALSE())</f>
        <v>Water Bottle</v>
      </c>
      <c r="H259" s="39" t="str">
        <f aca="false">VLOOKUP(C259,Products!$A$5:$D$24,3,FALSE())</f>
        <v>Accessories</v>
      </c>
      <c r="I259" s="41" t="n">
        <f aca="false">VLOOKUP(C259,Products!$A$5:$D$24,4,FALSE())</f>
        <v>5</v>
      </c>
      <c r="J259" s="42" t="n">
        <f aca="false">DATE(YEAR(B259),MONTH(B259),1)</f>
        <v>45689</v>
      </c>
      <c r="K259" s="41" t="n">
        <f aca="false">D259*E259</f>
        <v>47.97</v>
      </c>
      <c r="L259" s="41" t="n">
        <f aca="false">D259*I259</f>
        <v>15</v>
      </c>
      <c r="M259" s="41" t="n">
        <f aca="false">IFERROR(INDEX(Raw_Expenses!$C$5:$C$2979,MATCH(A259,Raw_Expenses!$A$5:$A$2979,0)),0)</f>
        <v>3.87</v>
      </c>
      <c r="N259" s="41" t="n">
        <f aca="false">L259+M259</f>
        <v>18.87</v>
      </c>
      <c r="O259" s="41" t="n">
        <f aca="false">K259-N259</f>
        <v>29.1</v>
      </c>
      <c r="P259" s="43" t="n">
        <f aca="false">IF(K259=0,0,O259/K259)</f>
        <v>0.606629143214509</v>
      </c>
    </row>
    <row r="260" customFormat="false" ht="15" hidden="false" customHeight="false" outlineLevel="0" collapsed="false">
      <c r="A260" s="39" t="s">
        <v>382</v>
      </c>
      <c r="B260" s="40" t="n">
        <v>45695</v>
      </c>
      <c r="C260" s="39" t="s">
        <v>177</v>
      </c>
      <c r="D260" s="39" t="n">
        <v>1</v>
      </c>
      <c r="E260" s="41" t="n">
        <v>44.31</v>
      </c>
      <c r="F260" s="39" t="s">
        <v>118</v>
      </c>
      <c r="G260" s="39" t="str">
        <f aca="false">VLOOKUP(C260,Products!$A$5:$D$24,2,FALSE())</f>
        <v>Backpack</v>
      </c>
      <c r="H260" s="39" t="str">
        <f aca="false">VLOOKUP(C260,Products!$A$5:$D$24,3,FALSE())</f>
        <v>Accessories</v>
      </c>
      <c r="I260" s="41" t="n">
        <f aca="false">VLOOKUP(C260,Products!$A$5:$D$24,4,FALSE())</f>
        <v>17</v>
      </c>
      <c r="J260" s="42" t="n">
        <f aca="false">DATE(YEAR(B260),MONTH(B260),1)</f>
        <v>45689</v>
      </c>
      <c r="K260" s="41" t="n">
        <f aca="false">D260*E260</f>
        <v>44.31</v>
      </c>
      <c r="L260" s="41" t="n">
        <f aca="false">D260*I260</f>
        <v>17</v>
      </c>
      <c r="M260" s="41" t="n">
        <f aca="false">IFERROR(INDEX(Raw_Expenses!$C$5:$C$2979,MATCH(A260,Raw_Expenses!$A$5:$A$2979,0)),0)</f>
        <v>3.64</v>
      </c>
      <c r="N260" s="41" t="n">
        <f aca="false">L260+M260</f>
        <v>20.64</v>
      </c>
      <c r="O260" s="41" t="n">
        <f aca="false">K260-N260</f>
        <v>23.67</v>
      </c>
      <c r="P260" s="43" t="n">
        <f aca="false">IF(K260=0,0,O260/K260)</f>
        <v>0.534190927555857</v>
      </c>
    </row>
    <row r="261" customFormat="false" ht="15" hidden="false" customHeight="false" outlineLevel="0" collapsed="false">
      <c r="A261" s="39" t="s">
        <v>383</v>
      </c>
      <c r="B261" s="40" t="n">
        <v>45695</v>
      </c>
      <c r="C261" s="39" t="s">
        <v>107</v>
      </c>
      <c r="D261" s="39" t="n">
        <v>3</v>
      </c>
      <c r="E261" s="41" t="n">
        <v>34.94</v>
      </c>
      <c r="F261" s="39" t="s">
        <v>105</v>
      </c>
      <c r="G261" s="39" t="str">
        <f aca="false">VLOOKUP(C261,Products!$A$5:$D$24,2,FALSE())</f>
        <v>USB-C Hub</v>
      </c>
      <c r="H261" s="39" t="str">
        <f aca="false">VLOOKUP(C261,Products!$A$5:$D$24,3,FALSE())</f>
        <v>Electronics</v>
      </c>
      <c r="I261" s="41" t="n">
        <f aca="false">VLOOKUP(C261,Products!$A$5:$D$24,4,FALSE())</f>
        <v>14</v>
      </c>
      <c r="J261" s="42" t="n">
        <f aca="false">DATE(YEAR(B261),MONTH(B261),1)</f>
        <v>45689</v>
      </c>
      <c r="K261" s="41" t="n">
        <f aca="false">D261*E261</f>
        <v>104.82</v>
      </c>
      <c r="L261" s="41" t="n">
        <f aca="false">D261*I261</f>
        <v>42</v>
      </c>
      <c r="M261" s="41" t="n">
        <f aca="false">IFERROR(INDEX(Raw_Expenses!$C$5:$C$2979,MATCH(A261,Raw_Expenses!$A$5:$A$2979,0)),0)</f>
        <v>4.79</v>
      </c>
      <c r="N261" s="41" t="n">
        <f aca="false">L261+M261</f>
        <v>46.79</v>
      </c>
      <c r="O261" s="41" t="n">
        <f aca="false">K261-N261</f>
        <v>58.03</v>
      </c>
      <c r="P261" s="43" t="n">
        <f aca="false">IF(K261=0,0,O261/K261)</f>
        <v>0.553615722190422</v>
      </c>
    </row>
    <row r="262" customFormat="false" ht="15" hidden="false" customHeight="false" outlineLevel="0" collapsed="false">
      <c r="A262" s="39" t="s">
        <v>384</v>
      </c>
      <c r="B262" s="40" t="n">
        <v>45695</v>
      </c>
      <c r="C262" s="39" t="s">
        <v>162</v>
      </c>
      <c r="D262" s="39" t="n">
        <v>4</v>
      </c>
      <c r="E262" s="41" t="n">
        <v>68.14</v>
      </c>
      <c r="F262" s="39" t="s">
        <v>115</v>
      </c>
      <c r="G262" s="39" t="str">
        <f aca="false">VLOOKUP(C262,Products!$A$5:$D$24,2,FALSE())</f>
        <v>Bluetooth Speaker</v>
      </c>
      <c r="H262" s="39" t="str">
        <f aca="false">VLOOKUP(C262,Products!$A$5:$D$24,3,FALSE())</f>
        <v>Electronics</v>
      </c>
      <c r="I262" s="41" t="n">
        <f aca="false">VLOOKUP(C262,Products!$A$5:$D$24,4,FALSE())</f>
        <v>28</v>
      </c>
      <c r="J262" s="42" t="n">
        <f aca="false">DATE(YEAR(B262),MONTH(B262),1)</f>
        <v>45689</v>
      </c>
      <c r="K262" s="41" t="n">
        <f aca="false">D262*E262</f>
        <v>272.56</v>
      </c>
      <c r="L262" s="41" t="n">
        <f aca="false">D262*I262</f>
        <v>112</v>
      </c>
      <c r="M262" s="41" t="n">
        <f aca="false">IFERROR(INDEX(Raw_Expenses!$C$5:$C$2979,MATCH(A262,Raw_Expenses!$A$5:$A$2979,0)),0)</f>
        <v>20.71</v>
      </c>
      <c r="N262" s="41" t="n">
        <f aca="false">L262+M262</f>
        <v>132.71</v>
      </c>
      <c r="O262" s="41" t="n">
        <f aca="false">K262-N262</f>
        <v>139.85</v>
      </c>
      <c r="P262" s="43" t="n">
        <f aca="false">IF(K262=0,0,O262/K262)</f>
        <v>0.513098033460522</v>
      </c>
    </row>
    <row r="263" customFormat="false" ht="15" hidden="false" customHeight="false" outlineLevel="0" collapsed="false">
      <c r="A263" s="39" t="s">
        <v>385</v>
      </c>
      <c r="B263" s="40" t="n">
        <v>45696</v>
      </c>
      <c r="C263" s="39" t="s">
        <v>107</v>
      </c>
      <c r="D263" s="39" t="n">
        <v>1</v>
      </c>
      <c r="E263" s="41" t="n">
        <v>33.45</v>
      </c>
      <c r="F263" s="39" t="s">
        <v>115</v>
      </c>
      <c r="G263" s="39" t="str">
        <f aca="false">VLOOKUP(C263,Products!$A$5:$D$24,2,FALSE())</f>
        <v>USB-C Hub</v>
      </c>
      <c r="H263" s="39" t="str">
        <f aca="false">VLOOKUP(C263,Products!$A$5:$D$24,3,FALSE())</f>
        <v>Electronics</v>
      </c>
      <c r="I263" s="41" t="n">
        <f aca="false">VLOOKUP(C263,Products!$A$5:$D$24,4,FALSE())</f>
        <v>14</v>
      </c>
      <c r="J263" s="42" t="n">
        <f aca="false">DATE(YEAR(B263),MONTH(B263),1)</f>
        <v>45689</v>
      </c>
      <c r="K263" s="41" t="n">
        <f aca="false">D263*E263</f>
        <v>33.45</v>
      </c>
      <c r="L263" s="41" t="n">
        <f aca="false">D263*I263</f>
        <v>14</v>
      </c>
      <c r="M263" s="41" t="n">
        <f aca="false">IFERROR(INDEX(Raw_Expenses!$C$5:$C$2979,MATCH(A263,Raw_Expenses!$A$5:$A$2979,0)),0)</f>
        <v>1.7</v>
      </c>
      <c r="N263" s="41" t="n">
        <f aca="false">L263+M263</f>
        <v>15.7</v>
      </c>
      <c r="O263" s="41" t="n">
        <f aca="false">K263-N263</f>
        <v>17.75</v>
      </c>
      <c r="P263" s="43" t="n">
        <f aca="false">IF(K263=0,0,O263/K263)</f>
        <v>0.530642750373692</v>
      </c>
    </row>
    <row r="264" customFormat="false" ht="15" hidden="false" customHeight="false" outlineLevel="0" collapsed="false">
      <c r="A264" s="39" t="s">
        <v>386</v>
      </c>
      <c r="B264" s="40" t="n">
        <v>45696</v>
      </c>
      <c r="C264" s="39" t="s">
        <v>130</v>
      </c>
      <c r="D264" s="39" t="n">
        <v>2</v>
      </c>
      <c r="E264" s="41" t="n">
        <v>8.94</v>
      </c>
      <c r="F264" s="39" t="s">
        <v>115</v>
      </c>
      <c r="G264" s="39" t="str">
        <f aca="false">VLOOKUP(C264,Products!$A$5:$D$24,2,FALSE())</f>
        <v>Notebook Set</v>
      </c>
      <c r="H264" s="39" t="str">
        <f aca="false">VLOOKUP(C264,Products!$A$5:$D$24,3,FALSE())</f>
        <v>Stationery</v>
      </c>
      <c r="I264" s="41" t="n">
        <f aca="false">VLOOKUP(C264,Products!$A$5:$D$24,4,FALSE())</f>
        <v>3</v>
      </c>
      <c r="J264" s="42" t="n">
        <f aca="false">DATE(YEAR(B264),MONTH(B264),1)</f>
        <v>45689</v>
      </c>
      <c r="K264" s="41" t="n">
        <f aca="false">D264*E264</f>
        <v>17.88</v>
      </c>
      <c r="L264" s="41" t="n">
        <f aca="false">D264*I264</f>
        <v>6</v>
      </c>
      <c r="M264" s="41" t="n">
        <f aca="false">IFERROR(INDEX(Raw_Expenses!$C$5:$C$2979,MATCH(A264,Raw_Expenses!$A$5:$A$2979,0)),0)</f>
        <v>0.79</v>
      </c>
      <c r="N264" s="41" t="n">
        <f aca="false">L264+M264</f>
        <v>6.79</v>
      </c>
      <c r="O264" s="41" t="n">
        <f aca="false">K264-N264</f>
        <v>11.09</v>
      </c>
      <c r="P264" s="43" t="n">
        <f aca="false">IF(K264=0,0,O264/K264)</f>
        <v>0.620246085011186</v>
      </c>
    </row>
    <row r="265" customFormat="false" ht="15" hidden="false" customHeight="false" outlineLevel="0" collapsed="false">
      <c r="A265" s="39" t="s">
        <v>387</v>
      </c>
      <c r="B265" s="40" t="n">
        <v>45696</v>
      </c>
      <c r="C265" s="39" t="s">
        <v>162</v>
      </c>
      <c r="D265" s="39" t="n">
        <v>3</v>
      </c>
      <c r="E265" s="41" t="n">
        <v>64.59</v>
      </c>
      <c r="F265" s="39" t="s">
        <v>118</v>
      </c>
      <c r="G265" s="39" t="str">
        <f aca="false">VLOOKUP(C265,Products!$A$5:$D$24,2,FALSE())</f>
        <v>Bluetooth Speaker</v>
      </c>
      <c r="H265" s="39" t="str">
        <f aca="false">VLOOKUP(C265,Products!$A$5:$D$24,3,FALSE())</f>
        <v>Electronics</v>
      </c>
      <c r="I265" s="41" t="n">
        <f aca="false">VLOOKUP(C265,Products!$A$5:$D$24,4,FALSE())</f>
        <v>28</v>
      </c>
      <c r="J265" s="42" t="n">
        <f aca="false">DATE(YEAR(B265),MONTH(B265),1)</f>
        <v>45689</v>
      </c>
      <c r="K265" s="41" t="n">
        <f aca="false">D265*E265</f>
        <v>193.77</v>
      </c>
      <c r="L265" s="41" t="n">
        <f aca="false">D265*I265</f>
        <v>84</v>
      </c>
      <c r="M265" s="41" t="n">
        <f aca="false">IFERROR(INDEX(Raw_Expenses!$C$5:$C$2979,MATCH(A265,Raw_Expenses!$A$5:$A$2979,0)),0)</f>
        <v>8.85</v>
      </c>
      <c r="N265" s="41" t="n">
        <f aca="false">L265+M265</f>
        <v>92.85</v>
      </c>
      <c r="O265" s="41" t="n">
        <f aca="false">K265-N265</f>
        <v>100.92</v>
      </c>
      <c r="P265" s="43" t="n">
        <f aca="false">IF(K265=0,0,O265/K265)</f>
        <v>0.520823656912835</v>
      </c>
    </row>
    <row r="266" customFormat="false" ht="15" hidden="false" customHeight="false" outlineLevel="0" collapsed="false">
      <c r="A266" s="39" t="s">
        <v>388</v>
      </c>
      <c r="B266" s="40" t="n">
        <v>45696</v>
      </c>
      <c r="C266" s="39" t="s">
        <v>110</v>
      </c>
      <c r="D266" s="39" t="n">
        <v>2</v>
      </c>
      <c r="E266" s="41" t="n">
        <v>13.43</v>
      </c>
      <c r="F266" s="39" t="s">
        <v>108</v>
      </c>
      <c r="G266" s="39" t="str">
        <f aca="false">VLOOKUP(C266,Products!$A$5:$D$24,2,FALSE())</f>
        <v>Phone Stand</v>
      </c>
      <c r="H266" s="39" t="str">
        <f aca="false">VLOOKUP(C266,Products!$A$5:$D$24,3,FALSE())</f>
        <v>Accessories</v>
      </c>
      <c r="I266" s="41" t="n">
        <f aca="false">VLOOKUP(C266,Products!$A$5:$D$24,4,FALSE())</f>
        <v>4</v>
      </c>
      <c r="J266" s="42" t="n">
        <f aca="false">DATE(YEAR(B266),MONTH(B266),1)</f>
        <v>45689</v>
      </c>
      <c r="K266" s="41" t="n">
        <f aca="false">D266*E266</f>
        <v>26.86</v>
      </c>
      <c r="L266" s="41" t="n">
        <f aca="false">D266*I266</f>
        <v>8</v>
      </c>
      <c r="M266" s="41" t="n">
        <f aca="false">IFERROR(INDEX(Raw_Expenses!$C$5:$C$2979,MATCH(A266,Raw_Expenses!$A$5:$A$2979,0)),0)</f>
        <v>2.38</v>
      </c>
      <c r="N266" s="41" t="n">
        <f aca="false">L266+M266</f>
        <v>10.38</v>
      </c>
      <c r="O266" s="41" t="n">
        <f aca="false">K266-N266</f>
        <v>16.48</v>
      </c>
      <c r="P266" s="43" t="n">
        <f aca="false">IF(K266=0,0,O266/K266)</f>
        <v>0.61355174981385</v>
      </c>
    </row>
    <row r="267" customFormat="false" ht="15" hidden="false" customHeight="false" outlineLevel="0" collapsed="false">
      <c r="A267" s="39" t="s">
        <v>389</v>
      </c>
      <c r="B267" s="40" t="n">
        <v>45696</v>
      </c>
      <c r="C267" s="39" t="s">
        <v>126</v>
      </c>
      <c r="D267" s="39" t="n">
        <v>1</v>
      </c>
      <c r="E267" s="41" t="n">
        <v>24.92</v>
      </c>
      <c r="F267" s="39" t="s">
        <v>105</v>
      </c>
      <c r="G267" s="39" t="str">
        <f aca="false">VLOOKUP(C267,Products!$A$5:$D$24,2,FALSE())</f>
        <v>Wireless Mouse</v>
      </c>
      <c r="H267" s="39" t="str">
        <f aca="false">VLOOKUP(C267,Products!$A$5:$D$24,3,FALSE())</f>
        <v>Electronics</v>
      </c>
      <c r="I267" s="41" t="n">
        <f aca="false">VLOOKUP(C267,Products!$A$5:$D$24,4,FALSE())</f>
        <v>12</v>
      </c>
      <c r="J267" s="42" t="n">
        <f aca="false">DATE(YEAR(B267),MONTH(B267),1)</f>
        <v>45689</v>
      </c>
      <c r="K267" s="41" t="n">
        <f aca="false">D267*E267</f>
        <v>24.92</v>
      </c>
      <c r="L267" s="41" t="n">
        <f aca="false">D267*I267</f>
        <v>12</v>
      </c>
      <c r="M267" s="41" t="n">
        <f aca="false">IFERROR(INDEX(Raw_Expenses!$C$5:$C$2979,MATCH(A267,Raw_Expenses!$A$5:$A$2979,0)),0)</f>
        <v>1.4</v>
      </c>
      <c r="N267" s="41" t="n">
        <f aca="false">L267+M267</f>
        <v>13.4</v>
      </c>
      <c r="O267" s="41" t="n">
        <f aca="false">K267-N267</f>
        <v>11.52</v>
      </c>
      <c r="P267" s="43" t="n">
        <f aca="false">IF(K267=0,0,O267/K267)</f>
        <v>0.462279293739968</v>
      </c>
    </row>
    <row r="268" customFormat="false" ht="15" hidden="false" customHeight="false" outlineLevel="0" collapsed="false">
      <c r="A268" s="39" t="s">
        <v>390</v>
      </c>
      <c r="B268" s="40" t="n">
        <v>45696</v>
      </c>
      <c r="C268" s="39" t="s">
        <v>104</v>
      </c>
      <c r="D268" s="39" t="n">
        <v>5</v>
      </c>
      <c r="E268" s="41" t="n">
        <v>15.98</v>
      </c>
      <c r="F268" s="39" t="s">
        <v>115</v>
      </c>
      <c r="G268" s="39" t="str">
        <f aca="false">VLOOKUP(C268,Products!$A$5:$D$24,2,FALSE())</f>
        <v>Water Bottle</v>
      </c>
      <c r="H268" s="39" t="str">
        <f aca="false">VLOOKUP(C268,Products!$A$5:$D$24,3,FALSE())</f>
        <v>Accessories</v>
      </c>
      <c r="I268" s="41" t="n">
        <f aca="false">VLOOKUP(C268,Products!$A$5:$D$24,4,FALSE())</f>
        <v>5</v>
      </c>
      <c r="J268" s="42" t="n">
        <f aca="false">DATE(YEAR(B268),MONTH(B268),1)</f>
        <v>45689</v>
      </c>
      <c r="K268" s="41" t="n">
        <f aca="false">D268*E268</f>
        <v>79.9</v>
      </c>
      <c r="L268" s="41" t="n">
        <f aca="false">D268*I268</f>
        <v>25</v>
      </c>
      <c r="M268" s="41" t="n">
        <f aca="false">IFERROR(INDEX(Raw_Expenses!$C$5:$C$2979,MATCH(A268,Raw_Expenses!$A$5:$A$2979,0)),0)</f>
        <v>6.51</v>
      </c>
      <c r="N268" s="41" t="n">
        <f aca="false">L268+M268</f>
        <v>31.51</v>
      </c>
      <c r="O268" s="41" t="n">
        <f aca="false">K268-N268</f>
        <v>48.39</v>
      </c>
      <c r="P268" s="43" t="n">
        <f aca="false">IF(K268=0,0,O268/K268)</f>
        <v>0.605632040050063</v>
      </c>
    </row>
    <row r="269" customFormat="false" ht="15" hidden="false" customHeight="false" outlineLevel="0" collapsed="false">
      <c r="A269" s="39" t="s">
        <v>391</v>
      </c>
      <c r="B269" s="40" t="n">
        <v>45696</v>
      </c>
      <c r="C269" s="39" t="s">
        <v>114</v>
      </c>
      <c r="D269" s="39" t="n">
        <v>2</v>
      </c>
      <c r="E269" s="41" t="n">
        <v>6</v>
      </c>
      <c r="F269" s="39" t="s">
        <v>108</v>
      </c>
      <c r="G269" s="39" t="str">
        <f aca="false">VLOOKUP(C269,Products!$A$5:$D$24,2,FALSE())</f>
        <v>Gel Pen Pack</v>
      </c>
      <c r="H269" s="39" t="str">
        <f aca="false">VLOOKUP(C269,Products!$A$5:$D$24,3,FALSE())</f>
        <v>Stationery</v>
      </c>
      <c r="I269" s="41" t="n">
        <f aca="false">VLOOKUP(C269,Products!$A$5:$D$24,4,FALSE())</f>
        <v>2</v>
      </c>
      <c r="J269" s="42" t="n">
        <f aca="false">DATE(YEAR(B269),MONTH(B269),1)</f>
        <v>45689</v>
      </c>
      <c r="K269" s="41" t="n">
        <f aca="false">D269*E269</f>
        <v>12</v>
      </c>
      <c r="L269" s="41" t="n">
        <f aca="false">D269*I269</f>
        <v>4</v>
      </c>
      <c r="M269" s="41" t="n">
        <f aca="false">IFERROR(INDEX(Raw_Expenses!$C$5:$C$2979,MATCH(A269,Raw_Expenses!$A$5:$A$2979,0)),0)</f>
        <v>0.97</v>
      </c>
      <c r="N269" s="41" t="n">
        <f aca="false">L269+M269</f>
        <v>4.97</v>
      </c>
      <c r="O269" s="41" t="n">
        <f aca="false">K269-N269</f>
        <v>7.03</v>
      </c>
      <c r="P269" s="43" t="n">
        <f aca="false">IF(K269=0,0,O269/K269)</f>
        <v>0.585833333333333</v>
      </c>
    </row>
    <row r="270" customFormat="false" ht="15" hidden="false" customHeight="false" outlineLevel="0" collapsed="false">
      <c r="A270" s="39" t="s">
        <v>392</v>
      </c>
      <c r="B270" s="40" t="n">
        <v>45696</v>
      </c>
      <c r="C270" s="39" t="s">
        <v>162</v>
      </c>
      <c r="D270" s="39" t="n">
        <v>3</v>
      </c>
      <c r="E270" s="41" t="n">
        <v>67.2</v>
      </c>
      <c r="F270" s="39" t="s">
        <v>105</v>
      </c>
      <c r="G270" s="39" t="str">
        <f aca="false">VLOOKUP(C270,Products!$A$5:$D$24,2,FALSE())</f>
        <v>Bluetooth Speaker</v>
      </c>
      <c r="H270" s="39" t="str">
        <f aca="false">VLOOKUP(C270,Products!$A$5:$D$24,3,FALSE())</f>
        <v>Electronics</v>
      </c>
      <c r="I270" s="41" t="n">
        <f aca="false">VLOOKUP(C270,Products!$A$5:$D$24,4,FALSE())</f>
        <v>28</v>
      </c>
      <c r="J270" s="42" t="n">
        <f aca="false">DATE(YEAR(B270),MONTH(B270),1)</f>
        <v>45689</v>
      </c>
      <c r="K270" s="41" t="n">
        <f aca="false">D270*E270</f>
        <v>201.6</v>
      </c>
      <c r="L270" s="41" t="n">
        <f aca="false">D270*I270</f>
        <v>84</v>
      </c>
      <c r="M270" s="41" t="n">
        <f aca="false">IFERROR(INDEX(Raw_Expenses!$C$5:$C$2979,MATCH(A270,Raw_Expenses!$A$5:$A$2979,0)),0)</f>
        <v>11.96</v>
      </c>
      <c r="N270" s="41" t="n">
        <f aca="false">L270+M270</f>
        <v>95.96</v>
      </c>
      <c r="O270" s="41" t="n">
        <f aca="false">K270-N270</f>
        <v>105.64</v>
      </c>
      <c r="P270" s="43" t="n">
        <f aca="false">IF(K270=0,0,O270/K270)</f>
        <v>0.524007936507937</v>
      </c>
    </row>
    <row r="271" customFormat="false" ht="15" hidden="false" customHeight="false" outlineLevel="0" collapsed="false">
      <c r="A271" s="39" t="s">
        <v>393</v>
      </c>
      <c r="B271" s="40" t="n">
        <v>45697</v>
      </c>
      <c r="C271" s="39" t="s">
        <v>183</v>
      </c>
      <c r="D271" s="39" t="n">
        <v>3</v>
      </c>
      <c r="E271" s="41" t="n">
        <v>184.99</v>
      </c>
      <c r="F271" s="39" t="s">
        <v>105</v>
      </c>
      <c r="G271" s="39" t="str">
        <f aca="false">VLOOKUP(C271,Products!$A$5:$D$24,2,FALSE())</f>
        <v>Office Chair</v>
      </c>
      <c r="H271" s="39" t="str">
        <f aca="false">VLOOKUP(C271,Products!$A$5:$D$24,3,FALSE())</f>
        <v>Furniture</v>
      </c>
      <c r="I271" s="41" t="n">
        <f aca="false">VLOOKUP(C271,Products!$A$5:$D$24,4,FALSE())</f>
        <v>85</v>
      </c>
      <c r="J271" s="42" t="n">
        <f aca="false">DATE(YEAR(B271),MONTH(B271),1)</f>
        <v>45689</v>
      </c>
      <c r="K271" s="41" t="n">
        <f aca="false">D271*E271</f>
        <v>554.97</v>
      </c>
      <c r="L271" s="41" t="n">
        <f aca="false">D271*I271</f>
        <v>255</v>
      </c>
      <c r="M271" s="41" t="n">
        <f aca="false">IFERROR(INDEX(Raw_Expenses!$C$5:$C$2979,MATCH(A271,Raw_Expenses!$A$5:$A$2979,0)),0)</f>
        <v>49.29</v>
      </c>
      <c r="N271" s="41" t="n">
        <f aca="false">L271+M271</f>
        <v>304.29</v>
      </c>
      <c r="O271" s="41" t="n">
        <f aca="false">K271-N271</f>
        <v>250.68</v>
      </c>
      <c r="P271" s="43" t="n">
        <f aca="false">IF(K271=0,0,O271/K271)</f>
        <v>0.451700091896859</v>
      </c>
    </row>
    <row r="272" customFormat="false" ht="15" hidden="false" customHeight="false" outlineLevel="0" collapsed="false">
      <c r="A272" s="39" t="s">
        <v>394</v>
      </c>
      <c r="B272" s="40" t="n">
        <v>45697</v>
      </c>
      <c r="C272" s="39" t="s">
        <v>133</v>
      </c>
      <c r="D272" s="39" t="n">
        <v>1</v>
      </c>
      <c r="E272" s="41" t="n">
        <v>8.64</v>
      </c>
      <c r="F272" s="39" t="s">
        <v>105</v>
      </c>
      <c r="G272" s="39" t="str">
        <f aca="false">VLOOKUP(C272,Products!$A$5:$D$24,2,FALSE())</f>
        <v>Printer Paper Ream</v>
      </c>
      <c r="H272" s="39" t="str">
        <f aca="false">VLOOKUP(C272,Products!$A$5:$D$24,3,FALSE())</f>
        <v>Stationery</v>
      </c>
      <c r="I272" s="41" t="n">
        <f aca="false">VLOOKUP(C272,Products!$A$5:$D$24,4,FALSE())</f>
        <v>4</v>
      </c>
      <c r="J272" s="42" t="n">
        <f aca="false">DATE(YEAR(B272),MONTH(B272),1)</f>
        <v>45689</v>
      </c>
      <c r="K272" s="41" t="n">
        <f aca="false">D272*E272</f>
        <v>8.64</v>
      </c>
      <c r="L272" s="41" t="n">
        <f aca="false">D272*I272</f>
        <v>4</v>
      </c>
      <c r="M272" s="41" t="n">
        <f aca="false">IFERROR(INDEX(Raw_Expenses!$C$5:$C$2979,MATCH(A272,Raw_Expenses!$A$5:$A$2979,0)),0)</f>
        <v>0.76</v>
      </c>
      <c r="N272" s="41" t="n">
        <f aca="false">L272+M272</f>
        <v>4.76</v>
      </c>
      <c r="O272" s="41" t="n">
        <f aca="false">K272-N272</f>
        <v>3.88</v>
      </c>
      <c r="P272" s="43" t="n">
        <f aca="false">IF(K272=0,0,O272/K272)</f>
        <v>0.449074074074074</v>
      </c>
    </row>
    <row r="273" customFormat="false" ht="15" hidden="false" customHeight="false" outlineLevel="0" collapsed="false">
      <c r="A273" s="39" t="s">
        <v>395</v>
      </c>
      <c r="B273" s="40" t="n">
        <v>45697</v>
      </c>
      <c r="C273" s="39" t="s">
        <v>117</v>
      </c>
      <c r="D273" s="39" t="n">
        <v>3</v>
      </c>
      <c r="E273" s="41" t="n">
        <v>30.34</v>
      </c>
      <c r="F273" s="39" t="s">
        <v>108</v>
      </c>
      <c r="G273" s="39" t="str">
        <f aca="false">VLOOKUP(C273,Products!$A$5:$D$24,2,FALSE())</f>
        <v>Desk Lamp</v>
      </c>
      <c r="H273" s="39" t="str">
        <f aca="false">VLOOKUP(C273,Products!$A$5:$D$24,3,FALSE())</f>
        <v>Furniture</v>
      </c>
      <c r="I273" s="41" t="n">
        <f aca="false">VLOOKUP(C273,Products!$A$5:$D$24,4,FALSE())</f>
        <v>13</v>
      </c>
      <c r="J273" s="42" t="n">
        <f aca="false">DATE(YEAR(B273),MONTH(B273),1)</f>
        <v>45689</v>
      </c>
      <c r="K273" s="41" t="n">
        <f aca="false">D273*E273</f>
        <v>91.02</v>
      </c>
      <c r="L273" s="41" t="n">
        <f aca="false">D273*I273</f>
        <v>39</v>
      </c>
      <c r="M273" s="41" t="n">
        <f aca="false">IFERROR(INDEX(Raw_Expenses!$C$5:$C$2979,MATCH(A273,Raw_Expenses!$A$5:$A$2979,0)),0)</f>
        <v>4.66</v>
      </c>
      <c r="N273" s="41" t="n">
        <f aca="false">L273+M273</f>
        <v>43.66</v>
      </c>
      <c r="O273" s="41" t="n">
        <f aca="false">K273-N273</f>
        <v>47.36</v>
      </c>
      <c r="P273" s="43" t="n">
        <f aca="false">IF(K273=0,0,O273/K273)</f>
        <v>0.520325203252033</v>
      </c>
    </row>
    <row r="274" customFormat="false" ht="15" hidden="false" customHeight="false" outlineLevel="0" collapsed="false">
      <c r="A274" s="39" t="s">
        <v>396</v>
      </c>
      <c r="B274" s="40" t="n">
        <v>45697</v>
      </c>
      <c r="C274" s="39" t="s">
        <v>112</v>
      </c>
      <c r="D274" s="39" t="n">
        <v>2</v>
      </c>
      <c r="E274" s="41" t="n">
        <v>52.76</v>
      </c>
      <c r="F274" s="39" t="s">
        <v>105</v>
      </c>
      <c r="G274" s="39" t="str">
        <f aca="false">VLOOKUP(C274,Products!$A$5:$D$24,2,FALSE())</f>
        <v>HD Webcam</v>
      </c>
      <c r="H274" s="39" t="str">
        <f aca="false">VLOOKUP(C274,Products!$A$5:$D$24,3,FALSE())</f>
        <v>Electronics</v>
      </c>
      <c r="I274" s="41" t="n">
        <f aca="false">VLOOKUP(C274,Products!$A$5:$D$24,4,FALSE())</f>
        <v>22</v>
      </c>
      <c r="J274" s="42" t="n">
        <f aca="false">DATE(YEAR(B274),MONTH(B274),1)</f>
        <v>45689</v>
      </c>
      <c r="K274" s="41" t="n">
        <f aca="false">D274*E274</f>
        <v>105.52</v>
      </c>
      <c r="L274" s="41" t="n">
        <f aca="false">D274*I274</f>
        <v>44</v>
      </c>
      <c r="M274" s="41" t="n">
        <f aca="false">IFERROR(INDEX(Raw_Expenses!$C$5:$C$2979,MATCH(A274,Raw_Expenses!$A$5:$A$2979,0)),0)</f>
        <v>7.86</v>
      </c>
      <c r="N274" s="41" t="n">
        <f aca="false">L274+M274</f>
        <v>51.86</v>
      </c>
      <c r="O274" s="41" t="n">
        <f aca="false">K274-N274</f>
        <v>53.66</v>
      </c>
      <c r="P274" s="43" t="n">
        <f aca="false">IF(K274=0,0,O274/K274)</f>
        <v>0.508529188779378</v>
      </c>
    </row>
    <row r="275" customFormat="false" ht="15" hidden="false" customHeight="false" outlineLevel="0" collapsed="false">
      <c r="A275" s="39" t="s">
        <v>397</v>
      </c>
      <c r="B275" s="40" t="n">
        <v>45698</v>
      </c>
      <c r="C275" s="39" t="s">
        <v>114</v>
      </c>
      <c r="D275" s="39" t="n">
        <v>1</v>
      </c>
      <c r="E275" s="41" t="n">
        <v>5.99</v>
      </c>
      <c r="F275" s="39" t="s">
        <v>118</v>
      </c>
      <c r="G275" s="39" t="str">
        <f aca="false">VLOOKUP(C275,Products!$A$5:$D$24,2,FALSE())</f>
        <v>Gel Pen Pack</v>
      </c>
      <c r="H275" s="39" t="str">
        <f aca="false">VLOOKUP(C275,Products!$A$5:$D$24,3,FALSE())</f>
        <v>Stationery</v>
      </c>
      <c r="I275" s="41" t="n">
        <f aca="false">VLOOKUP(C275,Products!$A$5:$D$24,4,FALSE())</f>
        <v>2</v>
      </c>
      <c r="J275" s="42" t="n">
        <f aca="false">DATE(YEAR(B275),MONTH(B275),1)</f>
        <v>45689</v>
      </c>
      <c r="K275" s="41" t="n">
        <f aca="false">D275*E275</f>
        <v>5.99</v>
      </c>
      <c r="L275" s="41" t="n">
        <f aca="false">D275*I275</f>
        <v>2</v>
      </c>
      <c r="M275" s="41" t="n">
        <f aca="false">IFERROR(INDEX(Raw_Expenses!$C$5:$C$2979,MATCH(A275,Raw_Expenses!$A$5:$A$2979,0)),0)</f>
        <v>0.29</v>
      </c>
      <c r="N275" s="41" t="n">
        <f aca="false">L275+M275</f>
        <v>2.29</v>
      </c>
      <c r="O275" s="41" t="n">
        <f aca="false">K275-N275</f>
        <v>3.7</v>
      </c>
      <c r="P275" s="43" t="n">
        <f aca="false">IF(K275=0,0,O275/K275)</f>
        <v>0.617696160267112</v>
      </c>
    </row>
    <row r="276" customFormat="false" ht="15" hidden="false" customHeight="false" outlineLevel="0" collapsed="false">
      <c r="A276" s="39" t="s">
        <v>398</v>
      </c>
      <c r="B276" s="40" t="n">
        <v>45698</v>
      </c>
      <c r="C276" s="39" t="s">
        <v>104</v>
      </c>
      <c r="D276" s="39" t="n">
        <v>2</v>
      </c>
      <c r="E276" s="41" t="n">
        <v>14.89</v>
      </c>
      <c r="F276" s="39" t="s">
        <v>115</v>
      </c>
      <c r="G276" s="39" t="str">
        <f aca="false">VLOOKUP(C276,Products!$A$5:$D$24,2,FALSE())</f>
        <v>Water Bottle</v>
      </c>
      <c r="H276" s="39" t="str">
        <f aca="false">VLOOKUP(C276,Products!$A$5:$D$24,3,FALSE())</f>
        <v>Accessories</v>
      </c>
      <c r="I276" s="41" t="n">
        <f aca="false">VLOOKUP(C276,Products!$A$5:$D$24,4,FALSE())</f>
        <v>5</v>
      </c>
      <c r="J276" s="42" t="n">
        <f aca="false">DATE(YEAR(B276),MONTH(B276),1)</f>
        <v>45689</v>
      </c>
      <c r="K276" s="41" t="n">
        <f aca="false">D276*E276</f>
        <v>29.78</v>
      </c>
      <c r="L276" s="41" t="n">
        <f aca="false">D276*I276</f>
        <v>10</v>
      </c>
      <c r="M276" s="41" t="n">
        <f aca="false">IFERROR(INDEX(Raw_Expenses!$C$5:$C$2979,MATCH(A276,Raw_Expenses!$A$5:$A$2979,0)),0)</f>
        <v>1.3</v>
      </c>
      <c r="N276" s="41" t="n">
        <f aca="false">L276+M276</f>
        <v>11.3</v>
      </c>
      <c r="O276" s="41" t="n">
        <f aca="false">K276-N276</f>
        <v>18.48</v>
      </c>
      <c r="P276" s="43" t="n">
        <f aca="false">IF(K276=0,0,O276/K276)</f>
        <v>0.620550705171256</v>
      </c>
    </row>
    <row r="277" customFormat="false" ht="15" hidden="false" customHeight="false" outlineLevel="0" collapsed="false">
      <c r="A277" s="39" t="s">
        <v>399</v>
      </c>
      <c r="B277" s="40" t="n">
        <v>45698</v>
      </c>
      <c r="C277" s="39" t="s">
        <v>126</v>
      </c>
      <c r="D277" s="39" t="n">
        <v>1</v>
      </c>
      <c r="E277" s="41" t="n">
        <v>24.14</v>
      </c>
      <c r="F277" s="39" t="s">
        <v>105</v>
      </c>
      <c r="G277" s="39" t="str">
        <f aca="false">VLOOKUP(C277,Products!$A$5:$D$24,2,FALSE())</f>
        <v>Wireless Mouse</v>
      </c>
      <c r="H277" s="39" t="str">
        <f aca="false">VLOOKUP(C277,Products!$A$5:$D$24,3,FALSE())</f>
        <v>Electronics</v>
      </c>
      <c r="I277" s="41" t="n">
        <f aca="false">VLOOKUP(C277,Products!$A$5:$D$24,4,FALSE())</f>
        <v>12</v>
      </c>
      <c r="J277" s="42" t="n">
        <f aca="false">DATE(YEAR(B277),MONTH(B277),1)</f>
        <v>45689</v>
      </c>
      <c r="K277" s="41" t="n">
        <f aca="false">D277*E277</f>
        <v>24.14</v>
      </c>
      <c r="L277" s="41" t="n">
        <f aca="false">D277*I277</f>
        <v>12</v>
      </c>
      <c r="M277" s="41" t="n">
        <f aca="false">IFERROR(INDEX(Raw_Expenses!$C$5:$C$2979,MATCH(A277,Raw_Expenses!$A$5:$A$2979,0)),0)</f>
        <v>1.76</v>
      </c>
      <c r="N277" s="41" t="n">
        <f aca="false">L277+M277</f>
        <v>13.76</v>
      </c>
      <c r="O277" s="41" t="n">
        <f aca="false">K277-N277</f>
        <v>10.38</v>
      </c>
      <c r="P277" s="43" t="n">
        <f aca="false">IF(K277=0,0,O277/K277)</f>
        <v>0.429991714995858</v>
      </c>
    </row>
    <row r="278" customFormat="false" ht="15" hidden="false" customHeight="false" outlineLevel="0" collapsed="false">
      <c r="A278" s="39" t="s">
        <v>400</v>
      </c>
      <c r="B278" s="40" t="n">
        <v>45698</v>
      </c>
      <c r="C278" s="39" t="s">
        <v>177</v>
      </c>
      <c r="D278" s="39" t="n">
        <v>4</v>
      </c>
      <c r="E278" s="41" t="n">
        <v>44.24</v>
      </c>
      <c r="F278" s="39" t="s">
        <v>118</v>
      </c>
      <c r="G278" s="39" t="str">
        <f aca="false">VLOOKUP(C278,Products!$A$5:$D$24,2,FALSE())</f>
        <v>Backpack</v>
      </c>
      <c r="H278" s="39" t="str">
        <f aca="false">VLOOKUP(C278,Products!$A$5:$D$24,3,FALSE())</f>
        <v>Accessories</v>
      </c>
      <c r="I278" s="41" t="n">
        <f aca="false">VLOOKUP(C278,Products!$A$5:$D$24,4,FALSE())</f>
        <v>17</v>
      </c>
      <c r="J278" s="42" t="n">
        <f aca="false">DATE(YEAR(B278),MONTH(B278),1)</f>
        <v>45689</v>
      </c>
      <c r="K278" s="41" t="n">
        <f aca="false">D278*E278</f>
        <v>176.96</v>
      </c>
      <c r="L278" s="41" t="n">
        <f aca="false">D278*I278</f>
        <v>68</v>
      </c>
      <c r="M278" s="41" t="n">
        <f aca="false">IFERROR(INDEX(Raw_Expenses!$C$5:$C$2979,MATCH(A278,Raw_Expenses!$A$5:$A$2979,0)),0)</f>
        <v>12.58</v>
      </c>
      <c r="N278" s="41" t="n">
        <f aca="false">L278+M278</f>
        <v>80.58</v>
      </c>
      <c r="O278" s="41" t="n">
        <f aca="false">K278-N278</f>
        <v>96.38</v>
      </c>
      <c r="P278" s="43" t="n">
        <f aca="false">IF(K278=0,0,O278/K278)</f>
        <v>0.544642857142857</v>
      </c>
    </row>
    <row r="279" customFormat="false" ht="15" hidden="false" customHeight="false" outlineLevel="0" collapsed="false">
      <c r="A279" s="39" t="s">
        <v>401</v>
      </c>
      <c r="B279" s="40" t="n">
        <v>45698</v>
      </c>
      <c r="C279" s="39" t="s">
        <v>130</v>
      </c>
      <c r="D279" s="39" t="n">
        <v>4</v>
      </c>
      <c r="E279" s="41" t="n">
        <v>8.48</v>
      </c>
      <c r="F279" s="39" t="s">
        <v>118</v>
      </c>
      <c r="G279" s="39" t="str">
        <f aca="false">VLOOKUP(C279,Products!$A$5:$D$24,2,FALSE())</f>
        <v>Notebook Set</v>
      </c>
      <c r="H279" s="39" t="str">
        <f aca="false">VLOOKUP(C279,Products!$A$5:$D$24,3,FALSE())</f>
        <v>Stationery</v>
      </c>
      <c r="I279" s="41" t="n">
        <f aca="false">VLOOKUP(C279,Products!$A$5:$D$24,4,FALSE())</f>
        <v>3</v>
      </c>
      <c r="J279" s="42" t="n">
        <f aca="false">DATE(YEAR(B279),MONTH(B279),1)</f>
        <v>45689</v>
      </c>
      <c r="K279" s="41" t="n">
        <f aca="false">D279*E279</f>
        <v>33.92</v>
      </c>
      <c r="L279" s="41" t="n">
        <f aca="false">D279*I279</f>
        <v>12</v>
      </c>
      <c r="M279" s="41" t="n">
        <f aca="false">IFERROR(INDEX(Raw_Expenses!$C$5:$C$2979,MATCH(A279,Raw_Expenses!$A$5:$A$2979,0)),0)</f>
        <v>1.45</v>
      </c>
      <c r="N279" s="41" t="n">
        <f aca="false">L279+M279</f>
        <v>13.45</v>
      </c>
      <c r="O279" s="41" t="n">
        <f aca="false">K279-N279</f>
        <v>20.47</v>
      </c>
      <c r="P279" s="43" t="n">
        <f aca="false">IF(K279=0,0,O279/K279)</f>
        <v>0.603478773584906</v>
      </c>
    </row>
    <row r="280" customFormat="false" ht="15" hidden="false" customHeight="false" outlineLevel="0" collapsed="false">
      <c r="A280" s="39" t="s">
        <v>402</v>
      </c>
      <c r="B280" s="40" t="n">
        <v>45699</v>
      </c>
      <c r="C280" s="39" t="s">
        <v>121</v>
      </c>
      <c r="D280" s="39" t="n">
        <v>1</v>
      </c>
      <c r="E280" s="41" t="n">
        <v>113.87</v>
      </c>
      <c r="F280" s="39" t="s">
        <v>115</v>
      </c>
      <c r="G280" s="39" t="str">
        <f aca="false">VLOOKUP(C280,Products!$A$5:$D$24,2,FALSE())</f>
        <v>External SSD 1TB</v>
      </c>
      <c r="H280" s="39" t="str">
        <f aca="false">VLOOKUP(C280,Products!$A$5:$D$24,3,FALSE())</f>
        <v>Electronics</v>
      </c>
      <c r="I280" s="41" t="n">
        <f aca="false">VLOOKUP(C280,Products!$A$5:$D$24,4,FALSE())</f>
        <v>62</v>
      </c>
      <c r="J280" s="42" t="n">
        <f aca="false">DATE(YEAR(B280),MONTH(B280),1)</f>
        <v>45689</v>
      </c>
      <c r="K280" s="41" t="n">
        <f aca="false">D280*E280</f>
        <v>113.87</v>
      </c>
      <c r="L280" s="41" t="n">
        <f aca="false">D280*I280</f>
        <v>62</v>
      </c>
      <c r="M280" s="41" t="n">
        <f aca="false">IFERROR(INDEX(Raw_Expenses!$C$5:$C$2979,MATCH(A280,Raw_Expenses!$A$5:$A$2979,0)),0)</f>
        <v>9.48</v>
      </c>
      <c r="N280" s="41" t="n">
        <f aca="false">L280+M280</f>
        <v>71.48</v>
      </c>
      <c r="O280" s="41" t="n">
        <f aca="false">K280-N280</f>
        <v>42.39</v>
      </c>
      <c r="P280" s="43" t="n">
        <f aca="false">IF(K280=0,0,O280/K280)</f>
        <v>0.37226661982963</v>
      </c>
    </row>
    <row r="281" customFormat="false" ht="15" hidden="false" customHeight="false" outlineLevel="0" collapsed="false">
      <c r="A281" s="39" t="s">
        <v>403</v>
      </c>
      <c r="B281" s="40" t="n">
        <v>45699</v>
      </c>
      <c r="C281" s="39" t="s">
        <v>130</v>
      </c>
      <c r="D281" s="39" t="n">
        <v>5</v>
      </c>
      <c r="E281" s="41" t="n">
        <v>8.88</v>
      </c>
      <c r="F281" s="39" t="s">
        <v>105</v>
      </c>
      <c r="G281" s="39" t="str">
        <f aca="false">VLOOKUP(C281,Products!$A$5:$D$24,2,FALSE())</f>
        <v>Notebook Set</v>
      </c>
      <c r="H281" s="39" t="str">
        <f aca="false">VLOOKUP(C281,Products!$A$5:$D$24,3,FALSE())</f>
        <v>Stationery</v>
      </c>
      <c r="I281" s="41" t="n">
        <f aca="false">VLOOKUP(C281,Products!$A$5:$D$24,4,FALSE())</f>
        <v>3</v>
      </c>
      <c r="J281" s="42" t="n">
        <f aca="false">DATE(YEAR(B281),MONTH(B281),1)</f>
        <v>45689</v>
      </c>
      <c r="K281" s="41" t="n">
        <f aca="false">D281*E281</f>
        <v>44.4</v>
      </c>
      <c r="L281" s="41" t="n">
        <f aca="false">D281*I281</f>
        <v>15</v>
      </c>
      <c r="M281" s="41" t="n">
        <f aca="false">IFERROR(INDEX(Raw_Expenses!$C$5:$C$2979,MATCH(A281,Raw_Expenses!$A$5:$A$2979,0)),0)</f>
        <v>2.98</v>
      </c>
      <c r="N281" s="41" t="n">
        <f aca="false">L281+M281</f>
        <v>17.98</v>
      </c>
      <c r="O281" s="41" t="n">
        <f aca="false">K281-N281</f>
        <v>26.42</v>
      </c>
      <c r="P281" s="43" t="n">
        <f aca="false">IF(K281=0,0,O281/K281)</f>
        <v>0.595045045045045</v>
      </c>
    </row>
    <row r="282" customFormat="false" ht="15" hidden="false" customHeight="false" outlineLevel="0" collapsed="false">
      <c r="A282" s="39" t="s">
        <v>404</v>
      </c>
      <c r="B282" s="40" t="n">
        <v>45699</v>
      </c>
      <c r="C282" s="39" t="s">
        <v>169</v>
      </c>
      <c r="D282" s="39" t="n">
        <v>3</v>
      </c>
      <c r="E282" s="41" t="n">
        <v>28.6</v>
      </c>
      <c r="F282" s="39" t="s">
        <v>118</v>
      </c>
      <c r="G282" s="39" t="str">
        <f aca="false">VLOOKUP(C282,Products!$A$5:$D$24,2,FALSE())</f>
        <v>Laptop Stand</v>
      </c>
      <c r="H282" s="39" t="str">
        <f aca="false">VLOOKUP(C282,Products!$A$5:$D$24,3,FALSE())</f>
        <v>Accessories</v>
      </c>
      <c r="I282" s="41" t="n">
        <f aca="false">VLOOKUP(C282,Products!$A$5:$D$24,4,FALSE())</f>
        <v>11</v>
      </c>
      <c r="J282" s="42" t="n">
        <f aca="false">DATE(YEAR(B282),MONTH(B282),1)</f>
        <v>45689</v>
      </c>
      <c r="K282" s="41" t="n">
        <f aca="false">D282*E282</f>
        <v>85.8</v>
      </c>
      <c r="L282" s="41" t="n">
        <f aca="false">D282*I282</f>
        <v>33</v>
      </c>
      <c r="M282" s="41" t="n">
        <f aca="false">IFERROR(INDEX(Raw_Expenses!$C$5:$C$2979,MATCH(A282,Raw_Expenses!$A$5:$A$2979,0)),0)</f>
        <v>5.09</v>
      </c>
      <c r="N282" s="41" t="n">
        <f aca="false">L282+M282</f>
        <v>38.09</v>
      </c>
      <c r="O282" s="41" t="n">
        <f aca="false">K282-N282</f>
        <v>47.71</v>
      </c>
      <c r="P282" s="43" t="n">
        <f aca="false">IF(K282=0,0,O282/K282)</f>
        <v>0.556060606060606</v>
      </c>
    </row>
    <row r="283" customFormat="false" ht="15" hidden="false" customHeight="false" outlineLevel="0" collapsed="false">
      <c r="A283" s="39" t="s">
        <v>405</v>
      </c>
      <c r="B283" s="40" t="n">
        <v>45699</v>
      </c>
      <c r="C283" s="39" t="s">
        <v>133</v>
      </c>
      <c r="D283" s="39" t="n">
        <v>1</v>
      </c>
      <c r="E283" s="41" t="n">
        <v>8.36</v>
      </c>
      <c r="F283" s="39" t="s">
        <v>105</v>
      </c>
      <c r="G283" s="39" t="str">
        <f aca="false">VLOOKUP(C283,Products!$A$5:$D$24,2,FALSE())</f>
        <v>Printer Paper Ream</v>
      </c>
      <c r="H283" s="39" t="str">
        <f aca="false">VLOOKUP(C283,Products!$A$5:$D$24,3,FALSE())</f>
        <v>Stationery</v>
      </c>
      <c r="I283" s="41" t="n">
        <f aca="false">VLOOKUP(C283,Products!$A$5:$D$24,4,FALSE())</f>
        <v>4</v>
      </c>
      <c r="J283" s="42" t="n">
        <f aca="false">DATE(YEAR(B283),MONTH(B283),1)</f>
        <v>45689</v>
      </c>
      <c r="K283" s="41" t="n">
        <f aca="false">D283*E283</f>
        <v>8.36</v>
      </c>
      <c r="L283" s="41" t="n">
        <f aca="false">D283*I283</f>
        <v>4</v>
      </c>
      <c r="M283" s="41" t="n">
        <f aca="false">IFERROR(INDEX(Raw_Expenses!$C$5:$C$2979,MATCH(A283,Raw_Expenses!$A$5:$A$2979,0)),0)</f>
        <v>0.49</v>
      </c>
      <c r="N283" s="41" t="n">
        <f aca="false">L283+M283</f>
        <v>4.49</v>
      </c>
      <c r="O283" s="41" t="n">
        <f aca="false">K283-N283</f>
        <v>3.87</v>
      </c>
      <c r="P283" s="43" t="n">
        <f aca="false">IF(K283=0,0,O283/K283)</f>
        <v>0.462918660287081</v>
      </c>
    </row>
    <row r="284" customFormat="false" ht="15" hidden="false" customHeight="false" outlineLevel="0" collapsed="false">
      <c r="A284" s="39" t="s">
        <v>406</v>
      </c>
      <c r="B284" s="40" t="n">
        <v>45699</v>
      </c>
      <c r="C284" s="39" t="s">
        <v>126</v>
      </c>
      <c r="D284" s="39" t="n">
        <v>2</v>
      </c>
      <c r="E284" s="41" t="n">
        <v>24.96</v>
      </c>
      <c r="F284" s="39" t="s">
        <v>115</v>
      </c>
      <c r="G284" s="39" t="str">
        <f aca="false">VLOOKUP(C284,Products!$A$5:$D$24,2,FALSE())</f>
        <v>Wireless Mouse</v>
      </c>
      <c r="H284" s="39" t="str">
        <f aca="false">VLOOKUP(C284,Products!$A$5:$D$24,3,FALSE())</f>
        <v>Electronics</v>
      </c>
      <c r="I284" s="41" t="n">
        <f aca="false">VLOOKUP(C284,Products!$A$5:$D$24,4,FALSE())</f>
        <v>12</v>
      </c>
      <c r="J284" s="42" t="n">
        <f aca="false">DATE(YEAR(B284),MONTH(B284),1)</f>
        <v>45689</v>
      </c>
      <c r="K284" s="41" t="n">
        <f aca="false">D284*E284</f>
        <v>49.92</v>
      </c>
      <c r="L284" s="41" t="n">
        <f aca="false">D284*I284</f>
        <v>24</v>
      </c>
      <c r="M284" s="41" t="n">
        <f aca="false">IFERROR(INDEX(Raw_Expenses!$C$5:$C$2979,MATCH(A284,Raw_Expenses!$A$5:$A$2979,0)),0)</f>
        <v>2.65</v>
      </c>
      <c r="N284" s="41" t="n">
        <f aca="false">L284+M284</f>
        <v>26.65</v>
      </c>
      <c r="O284" s="41" t="n">
        <f aca="false">K284-N284</f>
        <v>23.27</v>
      </c>
      <c r="P284" s="43" t="n">
        <f aca="false">IF(K284=0,0,O284/K284)</f>
        <v>0.466145833333333</v>
      </c>
    </row>
    <row r="285" customFormat="false" ht="15" hidden="false" customHeight="false" outlineLevel="0" collapsed="false">
      <c r="A285" s="39" t="s">
        <v>407</v>
      </c>
      <c r="B285" s="40" t="n">
        <v>45700</v>
      </c>
      <c r="C285" s="39" t="s">
        <v>169</v>
      </c>
      <c r="D285" s="39" t="n">
        <v>3</v>
      </c>
      <c r="E285" s="41" t="n">
        <v>27.79</v>
      </c>
      <c r="F285" s="39" t="s">
        <v>105</v>
      </c>
      <c r="G285" s="39" t="str">
        <f aca="false">VLOOKUP(C285,Products!$A$5:$D$24,2,FALSE())</f>
        <v>Laptop Stand</v>
      </c>
      <c r="H285" s="39" t="str">
        <f aca="false">VLOOKUP(C285,Products!$A$5:$D$24,3,FALSE())</f>
        <v>Accessories</v>
      </c>
      <c r="I285" s="41" t="n">
        <f aca="false">VLOOKUP(C285,Products!$A$5:$D$24,4,FALSE())</f>
        <v>11</v>
      </c>
      <c r="J285" s="42" t="n">
        <f aca="false">DATE(YEAR(B285),MONTH(B285),1)</f>
        <v>45689</v>
      </c>
      <c r="K285" s="41" t="n">
        <f aca="false">D285*E285</f>
        <v>83.37</v>
      </c>
      <c r="L285" s="41" t="n">
        <f aca="false">D285*I285</f>
        <v>33</v>
      </c>
      <c r="M285" s="41" t="n">
        <f aca="false">IFERROR(INDEX(Raw_Expenses!$C$5:$C$2979,MATCH(A285,Raw_Expenses!$A$5:$A$2979,0)),0)</f>
        <v>4.82</v>
      </c>
      <c r="N285" s="41" t="n">
        <f aca="false">L285+M285</f>
        <v>37.82</v>
      </c>
      <c r="O285" s="41" t="n">
        <f aca="false">K285-N285</f>
        <v>45.55</v>
      </c>
      <c r="P285" s="43" t="n">
        <f aca="false">IF(K285=0,0,O285/K285)</f>
        <v>0.546359601775219</v>
      </c>
    </row>
    <row r="286" customFormat="false" ht="15" hidden="false" customHeight="false" outlineLevel="0" collapsed="false">
      <c r="A286" s="39" t="s">
        <v>408</v>
      </c>
      <c r="B286" s="40" t="n">
        <v>45700</v>
      </c>
      <c r="C286" s="39" t="s">
        <v>162</v>
      </c>
      <c r="D286" s="39" t="n">
        <v>1</v>
      </c>
      <c r="E286" s="41" t="n">
        <v>68.06</v>
      </c>
      <c r="F286" s="39" t="s">
        <v>115</v>
      </c>
      <c r="G286" s="39" t="str">
        <f aca="false">VLOOKUP(C286,Products!$A$5:$D$24,2,FALSE())</f>
        <v>Bluetooth Speaker</v>
      </c>
      <c r="H286" s="39" t="str">
        <f aca="false">VLOOKUP(C286,Products!$A$5:$D$24,3,FALSE())</f>
        <v>Electronics</v>
      </c>
      <c r="I286" s="41" t="n">
        <f aca="false">VLOOKUP(C286,Products!$A$5:$D$24,4,FALSE())</f>
        <v>28</v>
      </c>
      <c r="J286" s="42" t="n">
        <f aca="false">DATE(YEAR(B286),MONTH(B286),1)</f>
        <v>45689</v>
      </c>
      <c r="K286" s="41" t="n">
        <f aca="false">D286*E286</f>
        <v>68.06</v>
      </c>
      <c r="L286" s="41" t="n">
        <f aca="false">D286*I286</f>
        <v>28</v>
      </c>
      <c r="M286" s="41" t="n">
        <f aca="false">IFERROR(INDEX(Raw_Expenses!$C$5:$C$2979,MATCH(A286,Raw_Expenses!$A$5:$A$2979,0)),0)</f>
        <v>4.28</v>
      </c>
      <c r="N286" s="41" t="n">
        <f aca="false">L286+M286</f>
        <v>32.28</v>
      </c>
      <c r="O286" s="41" t="n">
        <f aca="false">K286-N286</f>
        <v>35.78</v>
      </c>
      <c r="P286" s="43" t="n">
        <f aca="false">IF(K286=0,0,O286/K286)</f>
        <v>0.525712606523656</v>
      </c>
    </row>
    <row r="287" customFormat="false" ht="15" hidden="false" customHeight="false" outlineLevel="0" collapsed="false">
      <c r="A287" s="39" t="s">
        <v>409</v>
      </c>
      <c r="B287" s="40" t="n">
        <v>45700</v>
      </c>
      <c r="C287" s="39" t="s">
        <v>107</v>
      </c>
      <c r="D287" s="39" t="n">
        <v>1</v>
      </c>
      <c r="E287" s="41" t="n">
        <v>34.64</v>
      </c>
      <c r="F287" s="39" t="s">
        <v>105</v>
      </c>
      <c r="G287" s="39" t="str">
        <f aca="false">VLOOKUP(C287,Products!$A$5:$D$24,2,FALSE())</f>
        <v>USB-C Hub</v>
      </c>
      <c r="H287" s="39" t="str">
        <f aca="false">VLOOKUP(C287,Products!$A$5:$D$24,3,FALSE())</f>
        <v>Electronics</v>
      </c>
      <c r="I287" s="41" t="n">
        <f aca="false">VLOOKUP(C287,Products!$A$5:$D$24,4,FALSE())</f>
        <v>14</v>
      </c>
      <c r="J287" s="42" t="n">
        <f aca="false">DATE(YEAR(B287),MONTH(B287),1)</f>
        <v>45689</v>
      </c>
      <c r="K287" s="41" t="n">
        <f aca="false">D287*E287</f>
        <v>34.64</v>
      </c>
      <c r="L287" s="41" t="n">
        <f aca="false">D287*I287</f>
        <v>14</v>
      </c>
      <c r="M287" s="41" t="n">
        <f aca="false">IFERROR(INDEX(Raw_Expenses!$C$5:$C$2979,MATCH(A287,Raw_Expenses!$A$5:$A$2979,0)),0)</f>
        <v>3.08</v>
      </c>
      <c r="N287" s="41" t="n">
        <f aca="false">L287+M287</f>
        <v>17.08</v>
      </c>
      <c r="O287" s="41" t="n">
        <f aca="false">K287-N287</f>
        <v>17.56</v>
      </c>
      <c r="P287" s="43" t="n">
        <f aca="false">IF(K287=0,0,O287/K287)</f>
        <v>0.506928406466513</v>
      </c>
    </row>
    <row r="288" customFormat="false" ht="15" hidden="false" customHeight="false" outlineLevel="0" collapsed="false">
      <c r="A288" s="39" t="s">
        <v>410</v>
      </c>
      <c r="B288" s="40" t="n">
        <v>45700</v>
      </c>
      <c r="C288" s="39" t="s">
        <v>110</v>
      </c>
      <c r="D288" s="39" t="n">
        <v>1</v>
      </c>
      <c r="E288" s="41" t="n">
        <v>13.75</v>
      </c>
      <c r="F288" s="39" t="s">
        <v>108</v>
      </c>
      <c r="G288" s="39" t="str">
        <f aca="false">VLOOKUP(C288,Products!$A$5:$D$24,2,FALSE())</f>
        <v>Phone Stand</v>
      </c>
      <c r="H288" s="39" t="str">
        <f aca="false">VLOOKUP(C288,Products!$A$5:$D$24,3,FALSE())</f>
        <v>Accessories</v>
      </c>
      <c r="I288" s="41" t="n">
        <f aca="false">VLOOKUP(C288,Products!$A$5:$D$24,4,FALSE())</f>
        <v>4</v>
      </c>
      <c r="J288" s="42" t="n">
        <f aca="false">DATE(YEAR(B288),MONTH(B288),1)</f>
        <v>45689</v>
      </c>
      <c r="K288" s="41" t="n">
        <f aca="false">D288*E288</f>
        <v>13.75</v>
      </c>
      <c r="L288" s="41" t="n">
        <f aca="false">D288*I288</f>
        <v>4</v>
      </c>
      <c r="M288" s="41" t="n">
        <f aca="false">IFERROR(INDEX(Raw_Expenses!$C$5:$C$2979,MATCH(A288,Raw_Expenses!$A$5:$A$2979,0)),0)</f>
        <v>0.88</v>
      </c>
      <c r="N288" s="41" t="n">
        <f aca="false">L288+M288</f>
        <v>4.88</v>
      </c>
      <c r="O288" s="41" t="n">
        <f aca="false">K288-N288</f>
        <v>8.87</v>
      </c>
      <c r="P288" s="43" t="n">
        <f aca="false">IF(K288=0,0,O288/K288)</f>
        <v>0.645090909090909</v>
      </c>
    </row>
    <row r="289" customFormat="false" ht="15" hidden="false" customHeight="false" outlineLevel="0" collapsed="false">
      <c r="A289" s="39" t="s">
        <v>411</v>
      </c>
      <c r="B289" s="40" t="n">
        <v>45701</v>
      </c>
      <c r="C289" s="39" t="s">
        <v>104</v>
      </c>
      <c r="D289" s="39" t="n">
        <v>5</v>
      </c>
      <c r="E289" s="41" t="n">
        <v>15.68</v>
      </c>
      <c r="F289" s="39" t="s">
        <v>105</v>
      </c>
      <c r="G289" s="39" t="str">
        <f aca="false">VLOOKUP(C289,Products!$A$5:$D$24,2,FALSE())</f>
        <v>Water Bottle</v>
      </c>
      <c r="H289" s="39" t="str">
        <f aca="false">VLOOKUP(C289,Products!$A$5:$D$24,3,FALSE())</f>
        <v>Accessories</v>
      </c>
      <c r="I289" s="41" t="n">
        <f aca="false">VLOOKUP(C289,Products!$A$5:$D$24,4,FALSE())</f>
        <v>5</v>
      </c>
      <c r="J289" s="42" t="n">
        <f aca="false">DATE(YEAR(B289),MONTH(B289),1)</f>
        <v>45689</v>
      </c>
      <c r="K289" s="41" t="n">
        <f aca="false">D289*E289</f>
        <v>78.4</v>
      </c>
      <c r="L289" s="41" t="n">
        <f aca="false">D289*I289</f>
        <v>25</v>
      </c>
      <c r="M289" s="41" t="n">
        <f aca="false">IFERROR(INDEX(Raw_Expenses!$C$5:$C$2979,MATCH(A289,Raw_Expenses!$A$5:$A$2979,0)),0)</f>
        <v>5.39</v>
      </c>
      <c r="N289" s="41" t="n">
        <f aca="false">L289+M289</f>
        <v>30.39</v>
      </c>
      <c r="O289" s="41" t="n">
        <f aca="false">K289-N289</f>
        <v>48.01</v>
      </c>
      <c r="P289" s="43" t="n">
        <f aca="false">IF(K289=0,0,O289/K289)</f>
        <v>0.612372448979592</v>
      </c>
    </row>
    <row r="290" customFormat="false" ht="15" hidden="false" customHeight="false" outlineLevel="0" collapsed="false">
      <c r="A290" s="39" t="s">
        <v>412</v>
      </c>
      <c r="B290" s="40" t="n">
        <v>45701</v>
      </c>
      <c r="C290" s="39" t="s">
        <v>136</v>
      </c>
      <c r="D290" s="39" t="n">
        <v>2</v>
      </c>
      <c r="E290" s="41" t="n">
        <v>77.6</v>
      </c>
      <c r="F290" s="39" t="s">
        <v>115</v>
      </c>
      <c r="G290" s="39" t="str">
        <f aca="false">VLOOKUP(C290,Products!$A$5:$D$24,2,FALSE())</f>
        <v>Mechanical Keyboard</v>
      </c>
      <c r="H290" s="39" t="str">
        <f aca="false">VLOOKUP(C290,Products!$A$5:$D$24,3,FALSE())</f>
        <v>Electronics</v>
      </c>
      <c r="I290" s="41" t="n">
        <f aca="false">VLOOKUP(C290,Products!$A$5:$D$24,4,FALSE())</f>
        <v>38</v>
      </c>
      <c r="J290" s="42" t="n">
        <f aca="false">DATE(YEAR(B290),MONTH(B290),1)</f>
        <v>45689</v>
      </c>
      <c r="K290" s="41" t="n">
        <f aca="false">D290*E290</f>
        <v>155.2</v>
      </c>
      <c r="L290" s="41" t="n">
        <f aca="false">D290*I290</f>
        <v>76</v>
      </c>
      <c r="M290" s="41" t="n">
        <f aca="false">IFERROR(INDEX(Raw_Expenses!$C$5:$C$2979,MATCH(A290,Raw_Expenses!$A$5:$A$2979,0)),0)</f>
        <v>8.77</v>
      </c>
      <c r="N290" s="41" t="n">
        <f aca="false">L290+M290</f>
        <v>84.77</v>
      </c>
      <c r="O290" s="41" t="n">
        <f aca="false">K290-N290</f>
        <v>70.43</v>
      </c>
      <c r="P290" s="43" t="n">
        <f aca="false">IF(K290=0,0,O290/K290)</f>
        <v>0.453801546391753</v>
      </c>
    </row>
    <row r="291" customFormat="false" ht="15" hidden="false" customHeight="false" outlineLevel="0" collapsed="false">
      <c r="A291" s="39" t="s">
        <v>413</v>
      </c>
      <c r="B291" s="40" t="n">
        <v>45701</v>
      </c>
      <c r="C291" s="39" t="s">
        <v>169</v>
      </c>
      <c r="D291" s="39" t="n">
        <v>4</v>
      </c>
      <c r="E291" s="41" t="n">
        <v>27.86</v>
      </c>
      <c r="F291" s="39" t="s">
        <v>108</v>
      </c>
      <c r="G291" s="39" t="str">
        <f aca="false">VLOOKUP(C291,Products!$A$5:$D$24,2,FALSE())</f>
        <v>Laptop Stand</v>
      </c>
      <c r="H291" s="39" t="str">
        <f aca="false">VLOOKUP(C291,Products!$A$5:$D$24,3,FALSE())</f>
        <v>Accessories</v>
      </c>
      <c r="I291" s="41" t="n">
        <f aca="false">VLOOKUP(C291,Products!$A$5:$D$24,4,FALSE())</f>
        <v>11</v>
      </c>
      <c r="J291" s="42" t="n">
        <f aca="false">DATE(YEAR(B291),MONTH(B291),1)</f>
        <v>45689</v>
      </c>
      <c r="K291" s="41" t="n">
        <f aca="false">D291*E291</f>
        <v>111.44</v>
      </c>
      <c r="L291" s="41" t="n">
        <f aca="false">D291*I291</f>
        <v>44</v>
      </c>
      <c r="M291" s="41" t="n">
        <f aca="false">IFERROR(INDEX(Raw_Expenses!$C$5:$C$2979,MATCH(A291,Raw_Expenses!$A$5:$A$2979,0)),0)</f>
        <v>9.58</v>
      </c>
      <c r="N291" s="41" t="n">
        <f aca="false">L291+M291</f>
        <v>53.58</v>
      </c>
      <c r="O291" s="41" t="n">
        <f aca="false">K291-N291</f>
        <v>57.86</v>
      </c>
      <c r="P291" s="43" t="n">
        <f aca="false">IF(K291=0,0,O291/K291)</f>
        <v>0.519203158650395</v>
      </c>
    </row>
    <row r="292" customFormat="false" ht="15" hidden="false" customHeight="false" outlineLevel="0" collapsed="false">
      <c r="A292" s="39" t="s">
        <v>414</v>
      </c>
      <c r="B292" s="40" t="n">
        <v>45702</v>
      </c>
      <c r="C292" s="39" t="s">
        <v>169</v>
      </c>
      <c r="D292" s="39" t="n">
        <v>1</v>
      </c>
      <c r="E292" s="41" t="n">
        <v>28.29</v>
      </c>
      <c r="F292" s="39" t="s">
        <v>105</v>
      </c>
      <c r="G292" s="39" t="str">
        <f aca="false">VLOOKUP(C292,Products!$A$5:$D$24,2,FALSE())</f>
        <v>Laptop Stand</v>
      </c>
      <c r="H292" s="39" t="str">
        <f aca="false">VLOOKUP(C292,Products!$A$5:$D$24,3,FALSE())</f>
        <v>Accessories</v>
      </c>
      <c r="I292" s="41" t="n">
        <f aca="false">VLOOKUP(C292,Products!$A$5:$D$24,4,FALSE())</f>
        <v>11</v>
      </c>
      <c r="J292" s="42" t="n">
        <f aca="false">DATE(YEAR(B292),MONTH(B292),1)</f>
        <v>45689</v>
      </c>
      <c r="K292" s="41" t="n">
        <f aca="false">D292*E292</f>
        <v>28.29</v>
      </c>
      <c r="L292" s="41" t="n">
        <f aca="false">D292*I292</f>
        <v>11</v>
      </c>
      <c r="M292" s="41" t="n">
        <f aca="false">IFERROR(INDEX(Raw_Expenses!$C$5:$C$2979,MATCH(A292,Raw_Expenses!$A$5:$A$2979,0)),0)</f>
        <v>0</v>
      </c>
      <c r="N292" s="41" t="n">
        <f aca="false">L292+M292</f>
        <v>11</v>
      </c>
      <c r="O292" s="41" t="n">
        <f aca="false">K292-N292</f>
        <v>17.29</v>
      </c>
      <c r="P292" s="43" t="n">
        <f aca="false">IF(K292=0,0,O292/K292)</f>
        <v>0.611170024743726</v>
      </c>
    </row>
    <row r="293" customFormat="false" ht="15" hidden="false" customHeight="false" outlineLevel="0" collapsed="false">
      <c r="A293" s="39" t="s">
        <v>415</v>
      </c>
      <c r="B293" s="40" t="n">
        <v>45702</v>
      </c>
      <c r="C293" s="39" t="s">
        <v>107</v>
      </c>
      <c r="D293" s="39" t="n">
        <v>6</v>
      </c>
      <c r="E293" s="41" t="n">
        <v>34.61</v>
      </c>
      <c r="F293" s="39" t="s">
        <v>118</v>
      </c>
      <c r="G293" s="39" t="str">
        <f aca="false">VLOOKUP(C293,Products!$A$5:$D$24,2,FALSE())</f>
        <v>USB-C Hub</v>
      </c>
      <c r="H293" s="39" t="str">
        <f aca="false">VLOOKUP(C293,Products!$A$5:$D$24,3,FALSE())</f>
        <v>Electronics</v>
      </c>
      <c r="I293" s="41" t="n">
        <f aca="false">VLOOKUP(C293,Products!$A$5:$D$24,4,FALSE())</f>
        <v>14</v>
      </c>
      <c r="J293" s="42" t="n">
        <f aca="false">DATE(YEAR(B293),MONTH(B293),1)</f>
        <v>45689</v>
      </c>
      <c r="K293" s="41" t="n">
        <f aca="false">D293*E293</f>
        <v>207.66</v>
      </c>
      <c r="L293" s="41" t="n">
        <f aca="false">D293*I293</f>
        <v>84</v>
      </c>
      <c r="M293" s="41" t="n">
        <f aca="false">IFERROR(INDEX(Raw_Expenses!$C$5:$C$2979,MATCH(A293,Raw_Expenses!$A$5:$A$2979,0)),0)</f>
        <v>14.2</v>
      </c>
      <c r="N293" s="41" t="n">
        <f aca="false">L293+M293</f>
        <v>98.2</v>
      </c>
      <c r="O293" s="41" t="n">
        <f aca="false">K293-N293</f>
        <v>109.46</v>
      </c>
      <c r="P293" s="43" t="n">
        <f aca="false">IF(K293=0,0,O293/K293)</f>
        <v>0.527111624771261</v>
      </c>
    </row>
    <row r="294" customFormat="false" ht="15" hidden="false" customHeight="false" outlineLevel="0" collapsed="false">
      <c r="A294" s="39" t="s">
        <v>416</v>
      </c>
      <c r="B294" s="40" t="n">
        <v>45702</v>
      </c>
      <c r="C294" s="39" t="s">
        <v>169</v>
      </c>
      <c r="D294" s="39" t="n">
        <v>6</v>
      </c>
      <c r="E294" s="41" t="n">
        <v>28.09</v>
      </c>
      <c r="F294" s="39" t="s">
        <v>105</v>
      </c>
      <c r="G294" s="39" t="str">
        <f aca="false">VLOOKUP(C294,Products!$A$5:$D$24,2,FALSE())</f>
        <v>Laptop Stand</v>
      </c>
      <c r="H294" s="39" t="str">
        <f aca="false">VLOOKUP(C294,Products!$A$5:$D$24,3,FALSE())</f>
        <v>Accessories</v>
      </c>
      <c r="I294" s="41" t="n">
        <f aca="false">VLOOKUP(C294,Products!$A$5:$D$24,4,FALSE())</f>
        <v>11</v>
      </c>
      <c r="J294" s="42" t="n">
        <f aca="false">DATE(YEAR(B294),MONTH(B294),1)</f>
        <v>45689</v>
      </c>
      <c r="K294" s="41" t="n">
        <f aca="false">D294*E294</f>
        <v>168.54</v>
      </c>
      <c r="L294" s="41" t="n">
        <f aca="false">D294*I294</f>
        <v>66</v>
      </c>
      <c r="M294" s="41" t="n">
        <f aca="false">IFERROR(INDEX(Raw_Expenses!$C$5:$C$2979,MATCH(A294,Raw_Expenses!$A$5:$A$2979,0)),0)</f>
        <v>8.6</v>
      </c>
      <c r="N294" s="41" t="n">
        <f aca="false">L294+M294</f>
        <v>74.6</v>
      </c>
      <c r="O294" s="41" t="n">
        <f aca="false">K294-N294</f>
        <v>93.94</v>
      </c>
      <c r="P294" s="43" t="n">
        <f aca="false">IF(K294=0,0,O294/K294)</f>
        <v>0.557375103832918</v>
      </c>
    </row>
    <row r="295" customFormat="false" ht="15" hidden="false" customHeight="false" outlineLevel="0" collapsed="false">
      <c r="A295" s="39" t="s">
        <v>417</v>
      </c>
      <c r="B295" s="40" t="n">
        <v>45703</v>
      </c>
      <c r="C295" s="39" t="s">
        <v>110</v>
      </c>
      <c r="D295" s="39" t="n">
        <v>3</v>
      </c>
      <c r="E295" s="41" t="n">
        <v>12.91</v>
      </c>
      <c r="F295" s="39" t="s">
        <v>115</v>
      </c>
      <c r="G295" s="39" t="str">
        <f aca="false">VLOOKUP(C295,Products!$A$5:$D$24,2,FALSE())</f>
        <v>Phone Stand</v>
      </c>
      <c r="H295" s="39" t="str">
        <f aca="false">VLOOKUP(C295,Products!$A$5:$D$24,3,FALSE())</f>
        <v>Accessories</v>
      </c>
      <c r="I295" s="41" t="n">
        <f aca="false">VLOOKUP(C295,Products!$A$5:$D$24,4,FALSE())</f>
        <v>4</v>
      </c>
      <c r="J295" s="42" t="n">
        <f aca="false">DATE(YEAR(B295),MONTH(B295),1)</f>
        <v>45689</v>
      </c>
      <c r="K295" s="41" t="n">
        <f aca="false">D295*E295</f>
        <v>38.73</v>
      </c>
      <c r="L295" s="41" t="n">
        <f aca="false">D295*I295</f>
        <v>12</v>
      </c>
      <c r="M295" s="41" t="n">
        <f aca="false">IFERROR(INDEX(Raw_Expenses!$C$5:$C$2979,MATCH(A295,Raw_Expenses!$A$5:$A$2979,0)),0)</f>
        <v>1.82</v>
      </c>
      <c r="N295" s="41" t="n">
        <f aca="false">L295+M295</f>
        <v>13.82</v>
      </c>
      <c r="O295" s="41" t="n">
        <f aca="false">K295-N295</f>
        <v>24.91</v>
      </c>
      <c r="P295" s="43" t="n">
        <f aca="false">IF(K295=0,0,O295/K295)</f>
        <v>0.643170668732249</v>
      </c>
    </row>
    <row r="296" customFormat="false" ht="15" hidden="false" customHeight="false" outlineLevel="0" collapsed="false">
      <c r="A296" s="39" t="s">
        <v>418</v>
      </c>
      <c r="B296" s="40" t="n">
        <v>45703</v>
      </c>
      <c r="C296" s="39" t="s">
        <v>104</v>
      </c>
      <c r="D296" s="39" t="n">
        <v>2</v>
      </c>
      <c r="E296" s="41" t="n">
        <v>15.88</v>
      </c>
      <c r="F296" s="39" t="s">
        <v>118</v>
      </c>
      <c r="G296" s="39" t="str">
        <f aca="false">VLOOKUP(C296,Products!$A$5:$D$24,2,FALSE())</f>
        <v>Water Bottle</v>
      </c>
      <c r="H296" s="39" t="str">
        <f aca="false">VLOOKUP(C296,Products!$A$5:$D$24,3,FALSE())</f>
        <v>Accessories</v>
      </c>
      <c r="I296" s="41" t="n">
        <f aca="false">VLOOKUP(C296,Products!$A$5:$D$24,4,FALSE())</f>
        <v>5</v>
      </c>
      <c r="J296" s="42" t="n">
        <f aca="false">DATE(YEAR(B296),MONTH(B296),1)</f>
        <v>45689</v>
      </c>
      <c r="K296" s="41" t="n">
        <f aca="false">D296*E296</f>
        <v>31.76</v>
      </c>
      <c r="L296" s="41" t="n">
        <f aca="false">D296*I296</f>
        <v>10</v>
      </c>
      <c r="M296" s="41" t="n">
        <f aca="false">IFERROR(INDEX(Raw_Expenses!$C$5:$C$2979,MATCH(A296,Raw_Expenses!$A$5:$A$2979,0)),0)</f>
        <v>1.45</v>
      </c>
      <c r="N296" s="41" t="n">
        <f aca="false">L296+M296</f>
        <v>11.45</v>
      </c>
      <c r="O296" s="41" t="n">
        <f aca="false">K296-N296</f>
        <v>20.31</v>
      </c>
      <c r="P296" s="43" t="n">
        <f aca="false">IF(K296=0,0,O296/K296)</f>
        <v>0.63948362720403</v>
      </c>
    </row>
    <row r="297" customFormat="false" ht="15" hidden="false" customHeight="false" outlineLevel="0" collapsed="false">
      <c r="A297" s="39" t="s">
        <v>419</v>
      </c>
      <c r="B297" s="40" t="n">
        <v>45703</v>
      </c>
      <c r="C297" s="39" t="s">
        <v>162</v>
      </c>
      <c r="D297" s="39" t="n">
        <v>1</v>
      </c>
      <c r="E297" s="41" t="n">
        <v>68.01</v>
      </c>
      <c r="F297" s="39" t="s">
        <v>118</v>
      </c>
      <c r="G297" s="39" t="str">
        <f aca="false">VLOOKUP(C297,Products!$A$5:$D$24,2,FALSE())</f>
        <v>Bluetooth Speaker</v>
      </c>
      <c r="H297" s="39" t="str">
        <f aca="false">VLOOKUP(C297,Products!$A$5:$D$24,3,FALSE())</f>
        <v>Electronics</v>
      </c>
      <c r="I297" s="41" t="n">
        <f aca="false">VLOOKUP(C297,Products!$A$5:$D$24,4,FALSE())</f>
        <v>28</v>
      </c>
      <c r="J297" s="42" t="n">
        <f aca="false">DATE(YEAR(B297),MONTH(B297),1)</f>
        <v>45689</v>
      </c>
      <c r="K297" s="41" t="n">
        <f aca="false">D297*E297</f>
        <v>68.01</v>
      </c>
      <c r="L297" s="41" t="n">
        <f aca="false">D297*I297</f>
        <v>28</v>
      </c>
      <c r="M297" s="41" t="n">
        <f aca="false">IFERROR(INDEX(Raw_Expenses!$C$5:$C$2979,MATCH(A297,Raw_Expenses!$A$5:$A$2979,0)),0)</f>
        <v>4.44</v>
      </c>
      <c r="N297" s="41" t="n">
        <f aca="false">L297+M297</f>
        <v>32.44</v>
      </c>
      <c r="O297" s="41" t="n">
        <f aca="false">K297-N297</f>
        <v>35.57</v>
      </c>
      <c r="P297" s="43" t="n">
        <f aca="false">IF(K297=0,0,O297/K297)</f>
        <v>0.523011321864432</v>
      </c>
    </row>
    <row r="298" customFormat="false" ht="15" hidden="false" customHeight="false" outlineLevel="0" collapsed="false">
      <c r="A298" s="39" t="s">
        <v>420</v>
      </c>
      <c r="B298" s="40" t="n">
        <v>45704</v>
      </c>
      <c r="C298" s="39" t="s">
        <v>128</v>
      </c>
      <c r="D298" s="39" t="n">
        <v>3</v>
      </c>
      <c r="E298" s="41" t="n">
        <v>38.5</v>
      </c>
      <c r="F298" s="39" t="s">
        <v>118</v>
      </c>
      <c r="G298" s="39" t="str">
        <f aca="false">VLOOKUP(C298,Products!$A$5:$D$24,2,FALSE())</f>
        <v>Ergonomic Footrest</v>
      </c>
      <c r="H298" s="39" t="str">
        <f aca="false">VLOOKUP(C298,Products!$A$5:$D$24,3,FALSE())</f>
        <v>Furniture</v>
      </c>
      <c r="I298" s="41" t="n">
        <f aca="false">VLOOKUP(C298,Products!$A$5:$D$24,4,FALSE())</f>
        <v>15</v>
      </c>
      <c r="J298" s="42" t="n">
        <f aca="false">DATE(YEAR(B298),MONTH(B298),1)</f>
        <v>45689</v>
      </c>
      <c r="K298" s="41" t="n">
        <f aca="false">D298*E298</f>
        <v>115.5</v>
      </c>
      <c r="L298" s="41" t="n">
        <f aca="false">D298*I298</f>
        <v>45</v>
      </c>
      <c r="M298" s="41" t="n">
        <f aca="false">IFERROR(INDEX(Raw_Expenses!$C$5:$C$2979,MATCH(A298,Raw_Expenses!$A$5:$A$2979,0)),0)</f>
        <v>9.38</v>
      </c>
      <c r="N298" s="41" t="n">
        <f aca="false">L298+M298</f>
        <v>54.38</v>
      </c>
      <c r="O298" s="41" t="n">
        <f aca="false">K298-N298</f>
        <v>61.12</v>
      </c>
      <c r="P298" s="43" t="n">
        <f aca="false">IF(K298=0,0,O298/K298)</f>
        <v>0.529177489177489</v>
      </c>
    </row>
    <row r="299" customFormat="false" ht="15" hidden="false" customHeight="false" outlineLevel="0" collapsed="false">
      <c r="A299" s="39" t="s">
        <v>421</v>
      </c>
      <c r="B299" s="40" t="n">
        <v>45704</v>
      </c>
      <c r="C299" s="39" t="s">
        <v>130</v>
      </c>
      <c r="D299" s="39" t="n">
        <v>6</v>
      </c>
      <c r="E299" s="41" t="n">
        <v>8.76</v>
      </c>
      <c r="F299" s="39" t="s">
        <v>108</v>
      </c>
      <c r="G299" s="39" t="str">
        <f aca="false">VLOOKUP(C299,Products!$A$5:$D$24,2,FALSE())</f>
        <v>Notebook Set</v>
      </c>
      <c r="H299" s="39" t="str">
        <f aca="false">VLOOKUP(C299,Products!$A$5:$D$24,3,FALSE())</f>
        <v>Stationery</v>
      </c>
      <c r="I299" s="41" t="n">
        <f aca="false">VLOOKUP(C299,Products!$A$5:$D$24,4,FALSE())</f>
        <v>3</v>
      </c>
      <c r="J299" s="42" t="n">
        <f aca="false">DATE(YEAR(B299),MONTH(B299),1)</f>
        <v>45689</v>
      </c>
      <c r="K299" s="41" t="n">
        <f aca="false">D299*E299</f>
        <v>52.56</v>
      </c>
      <c r="L299" s="41" t="n">
        <f aca="false">D299*I299</f>
        <v>18</v>
      </c>
      <c r="M299" s="41" t="n">
        <f aca="false">IFERROR(INDEX(Raw_Expenses!$C$5:$C$2979,MATCH(A299,Raw_Expenses!$A$5:$A$2979,0)),0)</f>
        <v>2.15</v>
      </c>
      <c r="N299" s="41" t="n">
        <f aca="false">L299+M299</f>
        <v>20.15</v>
      </c>
      <c r="O299" s="41" t="n">
        <f aca="false">K299-N299</f>
        <v>32.41</v>
      </c>
      <c r="P299" s="43" t="n">
        <f aca="false">IF(K299=0,0,O299/K299)</f>
        <v>0.616628614916286</v>
      </c>
    </row>
    <row r="300" customFormat="false" ht="15" hidden="false" customHeight="false" outlineLevel="0" collapsed="false">
      <c r="A300" s="39" t="s">
        <v>422</v>
      </c>
      <c r="B300" s="40" t="n">
        <v>45704</v>
      </c>
      <c r="C300" s="39" t="s">
        <v>177</v>
      </c>
      <c r="D300" s="39" t="n">
        <v>1</v>
      </c>
      <c r="E300" s="41" t="n">
        <v>44.89</v>
      </c>
      <c r="F300" s="39" t="s">
        <v>108</v>
      </c>
      <c r="G300" s="39" t="str">
        <f aca="false">VLOOKUP(C300,Products!$A$5:$D$24,2,FALSE())</f>
        <v>Backpack</v>
      </c>
      <c r="H300" s="39" t="str">
        <f aca="false">VLOOKUP(C300,Products!$A$5:$D$24,3,FALSE())</f>
        <v>Accessories</v>
      </c>
      <c r="I300" s="41" t="n">
        <f aca="false">VLOOKUP(C300,Products!$A$5:$D$24,4,FALSE())</f>
        <v>17</v>
      </c>
      <c r="J300" s="42" t="n">
        <f aca="false">DATE(YEAR(B300),MONTH(B300),1)</f>
        <v>45689</v>
      </c>
      <c r="K300" s="41" t="n">
        <f aca="false">D300*E300</f>
        <v>44.89</v>
      </c>
      <c r="L300" s="41" t="n">
        <f aca="false">D300*I300</f>
        <v>17</v>
      </c>
      <c r="M300" s="41" t="n">
        <f aca="false">IFERROR(INDEX(Raw_Expenses!$C$5:$C$2979,MATCH(A300,Raw_Expenses!$A$5:$A$2979,0)),0)</f>
        <v>4.01</v>
      </c>
      <c r="N300" s="41" t="n">
        <f aca="false">L300+M300</f>
        <v>21.01</v>
      </c>
      <c r="O300" s="41" t="n">
        <f aca="false">K300-N300</f>
        <v>23.88</v>
      </c>
      <c r="P300" s="43" t="n">
        <f aca="false">IF(K300=0,0,O300/K300)</f>
        <v>0.531967030519047</v>
      </c>
    </row>
    <row r="301" customFormat="false" ht="15" hidden="false" customHeight="false" outlineLevel="0" collapsed="false">
      <c r="A301" s="39" t="s">
        <v>423</v>
      </c>
      <c r="B301" s="40" t="n">
        <v>45704</v>
      </c>
      <c r="C301" s="39" t="s">
        <v>126</v>
      </c>
      <c r="D301" s="39" t="n">
        <v>1</v>
      </c>
      <c r="E301" s="41" t="n">
        <v>23.55</v>
      </c>
      <c r="F301" s="39" t="s">
        <v>115</v>
      </c>
      <c r="G301" s="39" t="str">
        <f aca="false">VLOOKUP(C301,Products!$A$5:$D$24,2,FALSE())</f>
        <v>Wireless Mouse</v>
      </c>
      <c r="H301" s="39" t="str">
        <f aca="false">VLOOKUP(C301,Products!$A$5:$D$24,3,FALSE())</f>
        <v>Electronics</v>
      </c>
      <c r="I301" s="41" t="n">
        <f aca="false">VLOOKUP(C301,Products!$A$5:$D$24,4,FALSE())</f>
        <v>12</v>
      </c>
      <c r="J301" s="42" t="n">
        <f aca="false">DATE(YEAR(B301),MONTH(B301),1)</f>
        <v>45689</v>
      </c>
      <c r="K301" s="41" t="n">
        <f aca="false">D301*E301</f>
        <v>23.55</v>
      </c>
      <c r="L301" s="41" t="n">
        <f aca="false">D301*I301</f>
        <v>12</v>
      </c>
      <c r="M301" s="41" t="n">
        <f aca="false">IFERROR(INDEX(Raw_Expenses!$C$5:$C$2979,MATCH(A301,Raw_Expenses!$A$5:$A$2979,0)),0)</f>
        <v>1.14</v>
      </c>
      <c r="N301" s="41" t="n">
        <f aca="false">L301+M301</f>
        <v>13.14</v>
      </c>
      <c r="O301" s="41" t="n">
        <f aca="false">K301-N301</f>
        <v>10.41</v>
      </c>
      <c r="P301" s="43" t="n">
        <f aca="false">IF(K301=0,0,O301/K301)</f>
        <v>0.44203821656051</v>
      </c>
    </row>
    <row r="302" customFormat="false" ht="15" hidden="false" customHeight="false" outlineLevel="0" collapsed="false">
      <c r="A302" s="39" t="s">
        <v>424</v>
      </c>
      <c r="B302" s="40" t="n">
        <v>45704</v>
      </c>
      <c r="C302" s="39" t="s">
        <v>117</v>
      </c>
      <c r="D302" s="39" t="n">
        <v>5</v>
      </c>
      <c r="E302" s="41" t="n">
        <v>31.45</v>
      </c>
      <c r="F302" s="39" t="s">
        <v>115</v>
      </c>
      <c r="G302" s="39" t="str">
        <f aca="false">VLOOKUP(C302,Products!$A$5:$D$24,2,FALSE())</f>
        <v>Desk Lamp</v>
      </c>
      <c r="H302" s="39" t="str">
        <f aca="false">VLOOKUP(C302,Products!$A$5:$D$24,3,FALSE())</f>
        <v>Furniture</v>
      </c>
      <c r="I302" s="41" t="n">
        <f aca="false">VLOOKUP(C302,Products!$A$5:$D$24,4,FALSE())</f>
        <v>13</v>
      </c>
      <c r="J302" s="42" t="n">
        <f aca="false">DATE(YEAR(B302),MONTH(B302),1)</f>
        <v>45689</v>
      </c>
      <c r="K302" s="41" t="n">
        <f aca="false">D302*E302</f>
        <v>157.25</v>
      </c>
      <c r="L302" s="41" t="n">
        <f aca="false">D302*I302</f>
        <v>65</v>
      </c>
      <c r="M302" s="41" t="n">
        <f aca="false">IFERROR(INDEX(Raw_Expenses!$C$5:$C$2979,MATCH(A302,Raw_Expenses!$A$5:$A$2979,0)),0)</f>
        <v>7.51</v>
      </c>
      <c r="N302" s="41" t="n">
        <f aca="false">L302+M302</f>
        <v>72.51</v>
      </c>
      <c r="O302" s="41" t="n">
        <f aca="false">K302-N302</f>
        <v>84.74</v>
      </c>
      <c r="P302" s="43" t="n">
        <f aca="false">IF(K302=0,0,O302/K302)</f>
        <v>0.538887122416534</v>
      </c>
    </row>
    <row r="303" customFormat="false" ht="15" hidden="false" customHeight="false" outlineLevel="0" collapsed="false">
      <c r="A303" s="39" t="s">
        <v>425</v>
      </c>
      <c r="B303" s="40" t="n">
        <v>45704</v>
      </c>
      <c r="C303" s="39" t="s">
        <v>162</v>
      </c>
      <c r="D303" s="39" t="n">
        <v>2</v>
      </c>
      <c r="E303" s="41" t="n">
        <v>68.89</v>
      </c>
      <c r="F303" s="39" t="s">
        <v>108</v>
      </c>
      <c r="G303" s="39" t="str">
        <f aca="false">VLOOKUP(C303,Products!$A$5:$D$24,2,FALSE())</f>
        <v>Bluetooth Speaker</v>
      </c>
      <c r="H303" s="39" t="str">
        <f aca="false">VLOOKUP(C303,Products!$A$5:$D$24,3,FALSE())</f>
        <v>Electronics</v>
      </c>
      <c r="I303" s="41" t="n">
        <f aca="false">VLOOKUP(C303,Products!$A$5:$D$24,4,FALSE())</f>
        <v>28</v>
      </c>
      <c r="J303" s="42" t="n">
        <f aca="false">DATE(YEAR(B303),MONTH(B303),1)</f>
        <v>45689</v>
      </c>
      <c r="K303" s="41" t="n">
        <f aca="false">D303*E303</f>
        <v>137.78</v>
      </c>
      <c r="L303" s="41" t="n">
        <f aca="false">D303*I303</f>
        <v>56</v>
      </c>
      <c r="M303" s="41" t="n">
        <f aca="false">IFERROR(INDEX(Raw_Expenses!$C$5:$C$2979,MATCH(A303,Raw_Expenses!$A$5:$A$2979,0)),0)</f>
        <v>8.93</v>
      </c>
      <c r="N303" s="41" t="n">
        <f aca="false">L303+M303</f>
        <v>64.93</v>
      </c>
      <c r="O303" s="41" t="n">
        <f aca="false">K303-N303</f>
        <v>72.85</v>
      </c>
      <c r="P303" s="43" t="n">
        <f aca="false">IF(K303=0,0,O303/K303)</f>
        <v>0.528741471911743</v>
      </c>
    </row>
    <row r="304" customFormat="false" ht="15" hidden="false" customHeight="false" outlineLevel="0" collapsed="false">
      <c r="A304" s="39" t="s">
        <v>426</v>
      </c>
      <c r="B304" s="40" t="n">
        <v>45705</v>
      </c>
      <c r="C304" s="39" t="s">
        <v>133</v>
      </c>
      <c r="D304" s="39" t="n">
        <v>6</v>
      </c>
      <c r="E304" s="41" t="n">
        <v>8.75</v>
      </c>
      <c r="F304" s="39" t="s">
        <v>118</v>
      </c>
      <c r="G304" s="39" t="str">
        <f aca="false">VLOOKUP(C304,Products!$A$5:$D$24,2,FALSE())</f>
        <v>Printer Paper Ream</v>
      </c>
      <c r="H304" s="39" t="str">
        <f aca="false">VLOOKUP(C304,Products!$A$5:$D$24,3,FALSE())</f>
        <v>Stationery</v>
      </c>
      <c r="I304" s="41" t="n">
        <f aca="false">VLOOKUP(C304,Products!$A$5:$D$24,4,FALSE())</f>
        <v>4</v>
      </c>
      <c r="J304" s="42" t="n">
        <f aca="false">DATE(YEAR(B304),MONTH(B304),1)</f>
        <v>45689</v>
      </c>
      <c r="K304" s="41" t="n">
        <f aca="false">D304*E304</f>
        <v>52.5</v>
      </c>
      <c r="L304" s="41" t="n">
        <f aca="false">D304*I304</f>
        <v>24</v>
      </c>
      <c r="M304" s="41" t="n">
        <f aca="false">IFERROR(INDEX(Raw_Expenses!$C$5:$C$2979,MATCH(A304,Raw_Expenses!$A$5:$A$2979,0)),0)</f>
        <v>2.99</v>
      </c>
      <c r="N304" s="41" t="n">
        <f aca="false">L304+M304</f>
        <v>26.99</v>
      </c>
      <c r="O304" s="41" t="n">
        <f aca="false">K304-N304</f>
        <v>25.51</v>
      </c>
      <c r="P304" s="43" t="n">
        <f aca="false">IF(K304=0,0,O304/K304)</f>
        <v>0.485904761904762</v>
      </c>
    </row>
    <row r="305" customFormat="false" ht="15" hidden="false" customHeight="false" outlineLevel="0" collapsed="false">
      <c r="A305" s="39" t="s">
        <v>427</v>
      </c>
      <c r="B305" s="40" t="n">
        <v>45705</v>
      </c>
      <c r="C305" s="39" t="s">
        <v>114</v>
      </c>
      <c r="D305" s="39" t="n">
        <v>1</v>
      </c>
      <c r="E305" s="41" t="n">
        <v>5.78</v>
      </c>
      <c r="F305" s="39" t="s">
        <v>108</v>
      </c>
      <c r="G305" s="39" t="str">
        <f aca="false">VLOOKUP(C305,Products!$A$5:$D$24,2,FALSE())</f>
        <v>Gel Pen Pack</v>
      </c>
      <c r="H305" s="39" t="str">
        <f aca="false">VLOOKUP(C305,Products!$A$5:$D$24,3,FALSE())</f>
        <v>Stationery</v>
      </c>
      <c r="I305" s="41" t="n">
        <f aca="false">VLOOKUP(C305,Products!$A$5:$D$24,4,FALSE())</f>
        <v>2</v>
      </c>
      <c r="J305" s="42" t="n">
        <f aca="false">DATE(YEAR(B305),MONTH(B305),1)</f>
        <v>45689</v>
      </c>
      <c r="K305" s="41" t="n">
        <f aca="false">D305*E305</f>
        <v>5.78</v>
      </c>
      <c r="L305" s="41" t="n">
        <f aca="false">D305*I305</f>
        <v>2</v>
      </c>
      <c r="M305" s="41" t="n">
        <f aca="false">IFERROR(INDEX(Raw_Expenses!$C$5:$C$2979,MATCH(A305,Raw_Expenses!$A$5:$A$2979,0)),0)</f>
        <v>0.24</v>
      </c>
      <c r="N305" s="41" t="n">
        <f aca="false">L305+M305</f>
        <v>2.24</v>
      </c>
      <c r="O305" s="41" t="n">
        <f aca="false">K305-N305</f>
        <v>3.54</v>
      </c>
      <c r="P305" s="43" t="n">
        <f aca="false">IF(K305=0,0,O305/K305)</f>
        <v>0.612456747404844</v>
      </c>
    </row>
    <row r="306" customFormat="false" ht="15" hidden="false" customHeight="false" outlineLevel="0" collapsed="false">
      <c r="A306" s="39" t="s">
        <v>428</v>
      </c>
      <c r="B306" s="40" t="n">
        <v>45705</v>
      </c>
      <c r="C306" s="39" t="s">
        <v>104</v>
      </c>
      <c r="D306" s="39" t="n">
        <v>1</v>
      </c>
      <c r="E306" s="41" t="n">
        <v>15.66</v>
      </c>
      <c r="F306" s="39" t="s">
        <v>118</v>
      </c>
      <c r="G306" s="39" t="str">
        <f aca="false">VLOOKUP(C306,Products!$A$5:$D$24,2,FALSE())</f>
        <v>Water Bottle</v>
      </c>
      <c r="H306" s="39" t="str">
        <f aca="false">VLOOKUP(C306,Products!$A$5:$D$24,3,FALSE())</f>
        <v>Accessories</v>
      </c>
      <c r="I306" s="41" t="n">
        <f aca="false">VLOOKUP(C306,Products!$A$5:$D$24,4,FALSE())</f>
        <v>5</v>
      </c>
      <c r="J306" s="42" t="n">
        <f aca="false">DATE(YEAR(B306),MONTH(B306),1)</f>
        <v>45689</v>
      </c>
      <c r="K306" s="41" t="n">
        <f aca="false">D306*E306</f>
        <v>15.66</v>
      </c>
      <c r="L306" s="41" t="n">
        <f aca="false">D306*I306</f>
        <v>5</v>
      </c>
      <c r="M306" s="41" t="n">
        <f aca="false">IFERROR(INDEX(Raw_Expenses!$C$5:$C$2979,MATCH(A306,Raw_Expenses!$A$5:$A$2979,0)),0)</f>
        <v>1.32</v>
      </c>
      <c r="N306" s="41" t="n">
        <f aca="false">L306+M306</f>
        <v>6.32</v>
      </c>
      <c r="O306" s="41" t="n">
        <f aca="false">K306-N306</f>
        <v>9.34</v>
      </c>
      <c r="P306" s="43" t="n">
        <f aca="false">IF(K306=0,0,O306/K306)</f>
        <v>0.596424010217114</v>
      </c>
    </row>
    <row r="307" customFormat="false" ht="15" hidden="false" customHeight="false" outlineLevel="0" collapsed="false">
      <c r="A307" s="39" t="s">
        <v>429</v>
      </c>
      <c r="B307" s="40" t="n">
        <v>45705</v>
      </c>
      <c r="C307" s="39" t="s">
        <v>169</v>
      </c>
      <c r="D307" s="39" t="n">
        <v>2</v>
      </c>
      <c r="E307" s="41" t="n">
        <v>27.11</v>
      </c>
      <c r="F307" s="39" t="s">
        <v>118</v>
      </c>
      <c r="G307" s="39" t="str">
        <f aca="false">VLOOKUP(C307,Products!$A$5:$D$24,2,FALSE())</f>
        <v>Laptop Stand</v>
      </c>
      <c r="H307" s="39" t="str">
        <f aca="false">VLOOKUP(C307,Products!$A$5:$D$24,3,FALSE())</f>
        <v>Accessories</v>
      </c>
      <c r="I307" s="41" t="n">
        <f aca="false">VLOOKUP(C307,Products!$A$5:$D$24,4,FALSE())</f>
        <v>11</v>
      </c>
      <c r="J307" s="42" t="n">
        <f aca="false">DATE(YEAR(B307),MONTH(B307),1)</f>
        <v>45689</v>
      </c>
      <c r="K307" s="41" t="n">
        <f aca="false">D307*E307</f>
        <v>54.22</v>
      </c>
      <c r="L307" s="41" t="n">
        <f aca="false">D307*I307</f>
        <v>22</v>
      </c>
      <c r="M307" s="41" t="n">
        <f aca="false">IFERROR(INDEX(Raw_Expenses!$C$5:$C$2979,MATCH(A307,Raw_Expenses!$A$5:$A$2979,0)),0)</f>
        <v>2.93</v>
      </c>
      <c r="N307" s="41" t="n">
        <f aca="false">L307+M307</f>
        <v>24.93</v>
      </c>
      <c r="O307" s="41" t="n">
        <f aca="false">K307-N307</f>
        <v>29.29</v>
      </c>
      <c r="P307" s="43" t="n">
        <f aca="false">IF(K307=0,0,O307/K307)</f>
        <v>0.540206565842862</v>
      </c>
    </row>
    <row r="308" customFormat="false" ht="15" hidden="false" customHeight="false" outlineLevel="0" collapsed="false">
      <c r="A308" s="39" t="s">
        <v>430</v>
      </c>
      <c r="B308" s="40" t="n">
        <v>45706</v>
      </c>
      <c r="C308" s="39" t="s">
        <v>114</v>
      </c>
      <c r="D308" s="39" t="n">
        <v>1</v>
      </c>
      <c r="E308" s="41" t="n">
        <v>5.92</v>
      </c>
      <c r="F308" s="39" t="s">
        <v>118</v>
      </c>
      <c r="G308" s="39" t="str">
        <f aca="false">VLOOKUP(C308,Products!$A$5:$D$24,2,FALSE())</f>
        <v>Gel Pen Pack</v>
      </c>
      <c r="H308" s="39" t="str">
        <f aca="false">VLOOKUP(C308,Products!$A$5:$D$24,3,FALSE())</f>
        <v>Stationery</v>
      </c>
      <c r="I308" s="41" t="n">
        <f aca="false">VLOOKUP(C308,Products!$A$5:$D$24,4,FALSE())</f>
        <v>2</v>
      </c>
      <c r="J308" s="42" t="n">
        <f aca="false">DATE(YEAR(B308),MONTH(B308),1)</f>
        <v>45689</v>
      </c>
      <c r="K308" s="41" t="n">
        <f aca="false">D308*E308</f>
        <v>5.92</v>
      </c>
      <c r="L308" s="41" t="n">
        <f aca="false">D308*I308</f>
        <v>2</v>
      </c>
      <c r="M308" s="41" t="n">
        <f aca="false">IFERROR(INDEX(Raw_Expenses!$C$5:$C$2979,MATCH(A308,Raw_Expenses!$A$5:$A$2979,0)),0)</f>
        <v>0.41</v>
      </c>
      <c r="N308" s="41" t="n">
        <f aca="false">L308+M308</f>
        <v>2.41</v>
      </c>
      <c r="O308" s="41" t="n">
        <f aca="false">K308-N308</f>
        <v>3.51</v>
      </c>
      <c r="P308" s="43" t="n">
        <f aca="false">IF(K308=0,0,O308/K308)</f>
        <v>0.592905405405405</v>
      </c>
    </row>
    <row r="309" customFormat="false" ht="15" hidden="false" customHeight="false" outlineLevel="0" collapsed="false">
      <c r="A309" s="39" t="s">
        <v>431</v>
      </c>
      <c r="B309" s="40" t="n">
        <v>45706</v>
      </c>
      <c r="C309" s="39" t="s">
        <v>112</v>
      </c>
      <c r="D309" s="39" t="n">
        <v>3</v>
      </c>
      <c r="E309" s="41" t="n">
        <v>50.81</v>
      </c>
      <c r="F309" s="39" t="s">
        <v>118</v>
      </c>
      <c r="G309" s="39" t="str">
        <f aca="false">VLOOKUP(C309,Products!$A$5:$D$24,2,FALSE())</f>
        <v>HD Webcam</v>
      </c>
      <c r="H309" s="39" t="str">
        <f aca="false">VLOOKUP(C309,Products!$A$5:$D$24,3,FALSE())</f>
        <v>Electronics</v>
      </c>
      <c r="I309" s="41" t="n">
        <f aca="false">VLOOKUP(C309,Products!$A$5:$D$24,4,FALSE())</f>
        <v>22</v>
      </c>
      <c r="J309" s="42" t="n">
        <f aca="false">DATE(YEAR(B309),MONTH(B309),1)</f>
        <v>45689</v>
      </c>
      <c r="K309" s="41" t="n">
        <f aca="false">D309*E309</f>
        <v>152.43</v>
      </c>
      <c r="L309" s="41" t="n">
        <f aca="false">D309*I309</f>
        <v>66</v>
      </c>
      <c r="M309" s="41" t="n">
        <f aca="false">IFERROR(INDEX(Raw_Expenses!$C$5:$C$2979,MATCH(A309,Raw_Expenses!$A$5:$A$2979,0)),0)</f>
        <v>8.27</v>
      </c>
      <c r="N309" s="41" t="n">
        <f aca="false">L309+M309</f>
        <v>74.27</v>
      </c>
      <c r="O309" s="41" t="n">
        <f aca="false">K309-N309</f>
        <v>78.16</v>
      </c>
      <c r="P309" s="43" t="n">
        <f aca="false">IF(K309=0,0,O309/K309)</f>
        <v>0.512759955389359</v>
      </c>
    </row>
    <row r="310" customFormat="false" ht="15" hidden="false" customHeight="false" outlineLevel="0" collapsed="false">
      <c r="A310" s="39" t="s">
        <v>432</v>
      </c>
      <c r="B310" s="40" t="n">
        <v>45706</v>
      </c>
      <c r="C310" s="39" t="s">
        <v>130</v>
      </c>
      <c r="D310" s="39" t="n">
        <v>4</v>
      </c>
      <c r="E310" s="41" t="n">
        <v>8.29</v>
      </c>
      <c r="F310" s="39" t="s">
        <v>115</v>
      </c>
      <c r="G310" s="39" t="str">
        <f aca="false">VLOOKUP(C310,Products!$A$5:$D$24,2,FALSE())</f>
        <v>Notebook Set</v>
      </c>
      <c r="H310" s="39" t="str">
        <f aca="false">VLOOKUP(C310,Products!$A$5:$D$24,3,FALSE())</f>
        <v>Stationery</v>
      </c>
      <c r="I310" s="41" t="n">
        <f aca="false">VLOOKUP(C310,Products!$A$5:$D$24,4,FALSE())</f>
        <v>3</v>
      </c>
      <c r="J310" s="42" t="n">
        <f aca="false">DATE(YEAR(B310),MONTH(B310),1)</f>
        <v>45689</v>
      </c>
      <c r="K310" s="41" t="n">
        <f aca="false">D310*E310</f>
        <v>33.16</v>
      </c>
      <c r="L310" s="41" t="n">
        <f aca="false">D310*I310</f>
        <v>12</v>
      </c>
      <c r="M310" s="41" t="n">
        <f aca="false">IFERROR(INDEX(Raw_Expenses!$C$5:$C$2979,MATCH(A310,Raw_Expenses!$A$5:$A$2979,0)),0)</f>
        <v>1.85</v>
      </c>
      <c r="N310" s="41" t="n">
        <f aca="false">L310+M310</f>
        <v>13.85</v>
      </c>
      <c r="O310" s="41" t="n">
        <f aca="false">K310-N310</f>
        <v>19.31</v>
      </c>
      <c r="P310" s="43" t="n">
        <f aca="false">IF(K310=0,0,O310/K310)</f>
        <v>0.58232810615199</v>
      </c>
    </row>
    <row r="311" customFormat="false" ht="15" hidden="false" customHeight="false" outlineLevel="0" collapsed="false">
      <c r="A311" s="39" t="s">
        <v>433</v>
      </c>
      <c r="B311" s="40" t="n">
        <v>45706</v>
      </c>
      <c r="C311" s="39" t="s">
        <v>126</v>
      </c>
      <c r="D311" s="39" t="n">
        <v>2</v>
      </c>
      <c r="E311" s="41" t="n">
        <v>24.28</v>
      </c>
      <c r="F311" s="39" t="s">
        <v>115</v>
      </c>
      <c r="G311" s="39" t="str">
        <f aca="false">VLOOKUP(C311,Products!$A$5:$D$24,2,FALSE())</f>
        <v>Wireless Mouse</v>
      </c>
      <c r="H311" s="39" t="str">
        <f aca="false">VLOOKUP(C311,Products!$A$5:$D$24,3,FALSE())</f>
        <v>Electronics</v>
      </c>
      <c r="I311" s="41" t="n">
        <f aca="false">VLOOKUP(C311,Products!$A$5:$D$24,4,FALSE())</f>
        <v>12</v>
      </c>
      <c r="J311" s="42" t="n">
        <f aca="false">DATE(YEAR(B311),MONTH(B311),1)</f>
        <v>45689</v>
      </c>
      <c r="K311" s="41" t="n">
        <f aca="false">D311*E311</f>
        <v>48.56</v>
      </c>
      <c r="L311" s="41" t="n">
        <f aca="false">D311*I311</f>
        <v>24</v>
      </c>
      <c r="M311" s="41" t="n">
        <f aca="false">IFERROR(INDEX(Raw_Expenses!$C$5:$C$2979,MATCH(A311,Raw_Expenses!$A$5:$A$2979,0)),0)</f>
        <v>2.87</v>
      </c>
      <c r="N311" s="41" t="n">
        <f aca="false">L311+M311</f>
        <v>26.87</v>
      </c>
      <c r="O311" s="41" t="n">
        <f aca="false">K311-N311</f>
        <v>21.69</v>
      </c>
      <c r="P311" s="43" t="n">
        <f aca="false">IF(K311=0,0,O311/K311)</f>
        <v>0.44666392092257</v>
      </c>
    </row>
    <row r="312" customFormat="false" ht="15" hidden="false" customHeight="false" outlineLevel="0" collapsed="false">
      <c r="A312" s="39" t="s">
        <v>434</v>
      </c>
      <c r="B312" s="40" t="n">
        <v>45706</v>
      </c>
      <c r="C312" s="39" t="s">
        <v>110</v>
      </c>
      <c r="D312" s="39" t="n">
        <v>2</v>
      </c>
      <c r="E312" s="41" t="n">
        <v>13.19</v>
      </c>
      <c r="F312" s="39" t="s">
        <v>105</v>
      </c>
      <c r="G312" s="39" t="str">
        <f aca="false">VLOOKUP(C312,Products!$A$5:$D$24,2,FALSE())</f>
        <v>Phone Stand</v>
      </c>
      <c r="H312" s="39" t="str">
        <f aca="false">VLOOKUP(C312,Products!$A$5:$D$24,3,FALSE())</f>
        <v>Accessories</v>
      </c>
      <c r="I312" s="41" t="n">
        <f aca="false">VLOOKUP(C312,Products!$A$5:$D$24,4,FALSE())</f>
        <v>4</v>
      </c>
      <c r="J312" s="42" t="n">
        <f aca="false">DATE(YEAR(B312),MONTH(B312),1)</f>
        <v>45689</v>
      </c>
      <c r="K312" s="41" t="n">
        <f aca="false">D312*E312</f>
        <v>26.38</v>
      </c>
      <c r="L312" s="41" t="n">
        <f aca="false">D312*I312</f>
        <v>8</v>
      </c>
      <c r="M312" s="41" t="n">
        <f aca="false">IFERROR(INDEX(Raw_Expenses!$C$5:$C$2979,MATCH(A312,Raw_Expenses!$A$5:$A$2979,0)),0)</f>
        <v>1.49</v>
      </c>
      <c r="N312" s="41" t="n">
        <f aca="false">L312+M312</f>
        <v>9.49</v>
      </c>
      <c r="O312" s="41" t="n">
        <f aca="false">K312-N312</f>
        <v>16.89</v>
      </c>
      <c r="P312" s="43" t="n">
        <f aca="false">IF(K312=0,0,O312/K312)</f>
        <v>0.640257771038666</v>
      </c>
    </row>
    <row r="313" customFormat="false" ht="15" hidden="false" customHeight="false" outlineLevel="0" collapsed="false">
      <c r="A313" s="39" t="s">
        <v>435</v>
      </c>
      <c r="B313" s="40" t="n">
        <v>45706</v>
      </c>
      <c r="C313" s="39" t="s">
        <v>133</v>
      </c>
      <c r="D313" s="39" t="n">
        <v>8</v>
      </c>
      <c r="E313" s="41" t="n">
        <v>8.59</v>
      </c>
      <c r="F313" s="39" t="s">
        <v>105</v>
      </c>
      <c r="G313" s="39" t="str">
        <f aca="false">VLOOKUP(C313,Products!$A$5:$D$24,2,FALSE())</f>
        <v>Printer Paper Ream</v>
      </c>
      <c r="H313" s="39" t="str">
        <f aca="false">VLOOKUP(C313,Products!$A$5:$D$24,3,FALSE())</f>
        <v>Stationery</v>
      </c>
      <c r="I313" s="41" t="n">
        <f aca="false">VLOOKUP(C313,Products!$A$5:$D$24,4,FALSE())</f>
        <v>4</v>
      </c>
      <c r="J313" s="42" t="n">
        <f aca="false">DATE(YEAR(B313),MONTH(B313),1)</f>
        <v>45689</v>
      </c>
      <c r="K313" s="41" t="n">
        <f aca="false">D313*E313</f>
        <v>68.72</v>
      </c>
      <c r="L313" s="41" t="n">
        <f aca="false">D313*I313</f>
        <v>32</v>
      </c>
      <c r="M313" s="41" t="n">
        <f aca="false">IFERROR(INDEX(Raw_Expenses!$C$5:$C$2979,MATCH(A313,Raw_Expenses!$A$5:$A$2979,0)),0)</f>
        <v>3.36</v>
      </c>
      <c r="N313" s="41" t="n">
        <f aca="false">L313+M313</f>
        <v>35.36</v>
      </c>
      <c r="O313" s="41" t="n">
        <f aca="false">K313-N313</f>
        <v>33.36</v>
      </c>
      <c r="P313" s="43" t="n">
        <f aca="false">IF(K313=0,0,O313/K313)</f>
        <v>0.485448195576251</v>
      </c>
    </row>
    <row r="314" customFormat="false" ht="15" hidden="false" customHeight="false" outlineLevel="0" collapsed="false">
      <c r="A314" s="39" t="s">
        <v>436</v>
      </c>
      <c r="B314" s="40" t="n">
        <v>45707</v>
      </c>
      <c r="C314" s="39" t="s">
        <v>162</v>
      </c>
      <c r="D314" s="39" t="n">
        <v>4</v>
      </c>
      <c r="E314" s="41" t="n">
        <v>67.34</v>
      </c>
      <c r="F314" s="39" t="s">
        <v>108</v>
      </c>
      <c r="G314" s="39" t="str">
        <f aca="false">VLOOKUP(C314,Products!$A$5:$D$24,2,FALSE())</f>
        <v>Bluetooth Speaker</v>
      </c>
      <c r="H314" s="39" t="str">
        <f aca="false">VLOOKUP(C314,Products!$A$5:$D$24,3,FALSE())</f>
        <v>Electronics</v>
      </c>
      <c r="I314" s="41" t="n">
        <f aca="false">VLOOKUP(C314,Products!$A$5:$D$24,4,FALSE())</f>
        <v>28</v>
      </c>
      <c r="J314" s="42" t="n">
        <f aca="false">DATE(YEAR(B314),MONTH(B314),1)</f>
        <v>45689</v>
      </c>
      <c r="K314" s="41" t="n">
        <f aca="false">D314*E314</f>
        <v>269.36</v>
      </c>
      <c r="L314" s="41" t="n">
        <f aca="false">D314*I314</f>
        <v>112</v>
      </c>
      <c r="M314" s="41" t="n">
        <f aca="false">IFERROR(INDEX(Raw_Expenses!$C$5:$C$2979,MATCH(A314,Raw_Expenses!$A$5:$A$2979,0)),0)</f>
        <v>11.37</v>
      </c>
      <c r="N314" s="41" t="n">
        <f aca="false">L314+M314</f>
        <v>123.37</v>
      </c>
      <c r="O314" s="41" t="n">
        <f aca="false">K314-N314</f>
        <v>145.99</v>
      </c>
      <c r="P314" s="43" t="n">
        <f aca="false">IF(K314=0,0,O314/K314)</f>
        <v>0.541988416988417</v>
      </c>
    </row>
    <row r="315" customFormat="false" ht="15" hidden="false" customHeight="false" outlineLevel="0" collapsed="false">
      <c r="A315" s="39" t="s">
        <v>437</v>
      </c>
      <c r="B315" s="40" t="n">
        <v>45707</v>
      </c>
      <c r="C315" s="39" t="s">
        <v>128</v>
      </c>
      <c r="D315" s="39" t="n">
        <v>3</v>
      </c>
      <c r="E315" s="41" t="n">
        <v>35.9</v>
      </c>
      <c r="F315" s="39" t="s">
        <v>118</v>
      </c>
      <c r="G315" s="39" t="str">
        <f aca="false">VLOOKUP(C315,Products!$A$5:$D$24,2,FALSE())</f>
        <v>Ergonomic Footrest</v>
      </c>
      <c r="H315" s="39" t="str">
        <f aca="false">VLOOKUP(C315,Products!$A$5:$D$24,3,FALSE())</f>
        <v>Furniture</v>
      </c>
      <c r="I315" s="41" t="n">
        <f aca="false">VLOOKUP(C315,Products!$A$5:$D$24,4,FALSE())</f>
        <v>15</v>
      </c>
      <c r="J315" s="42" t="n">
        <f aca="false">DATE(YEAR(B315),MONTH(B315),1)</f>
        <v>45689</v>
      </c>
      <c r="K315" s="41" t="n">
        <f aca="false">D315*E315</f>
        <v>107.7</v>
      </c>
      <c r="L315" s="41" t="n">
        <f aca="false">D315*I315</f>
        <v>45</v>
      </c>
      <c r="M315" s="41" t="n">
        <f aca="false">IFERROR(INDEX(Raw_Expenses!$C$5:$C$2979,MATCH(A315,Raw_Expenses!$A$5:$A$2979,0)),0)</f>
        <v>6.84</v>
      </c>
      <c r="N315" s="41" t="n">
        <f aca="false">L315+M315</f>
        <v>51.84</v>
      </c>
      <c r="O315" s="41" t="n">
        <f aca="false">K315-N315</f>
        <v>55.86</v>
      </c>
      <c r="P315" s="43" t="n">
        <f aca="false">IF(K315=0,0,O315/K315)</f>
        <v>0.51866295264624</v>
      </c>
    </row>
    <row r="316" customFormat="false" ht="15" hidden="false" customHeight="false" outlineLevel="0" collapsed="false">
      <c r="A316" s="39" t="s">
        <v>438</v>
      </c>
      <c r="B316" s="40" t="n">
        <v>45707</v>
      </c>
      <c r="C316" s="39" t="s">
        <v>144</v>
      </c>
      <c r="D316" s="39" t="n">
        <v>1</v>
      </c>
      <c r="E316" s="41" t="n">
        <v>56.88</v>
      </c>
      <c r="F316" s="39" t="s">
        <v>118</v>
      </c>
      <c r="G316" s="39" t="str">
        <f aca="false">VLOOKUP(C316,Products!$A$5:$D$24,2,FALSE())</f>
        <v>Whiteboard</v>
      </c>
      <c r="H316" s="39" t="str">
        <f aca="false">VLOOKUP(C316,Products!$A$5:$D$24,3,FALSE())</f>
        <v>Furniture</v>
      </c>
      <c r="I316" s="41" t="n">
        <f aca="false">VLOOKUP(C316,Products!$A$5:$D$24,4,FALSE())</f>
        <v>28</v>
      </c>
      <c r="J316" s="42" t="n">
        <f aca="false">DATE(YEAR(B316),MONTH(B316),1)</f>
        <v>45689</v>
      </c>
      <c r="K316" s="41" t="n">
        <f aca="false">D316*E316</f>
        <v>56.88</v>
      </c>
      <c r="L316" s="41" t="n">
        <f aca="false">D316*I316</f>
        <v>28</v>
      </c>
      <c r="M316" s="41" t="n">
        <f aca="false">IFERROR(INDEX(Raw_Expenses!$C$5:$C$2979,MATCH(A316,Raw_Expenses!$A$5:$A$2979,0)),0)</f>
        <v>2.35</v>
      </c>
      <c r="N316" s="41" t="n">
        <f aca="false">L316+M316</f>
        <v>30.35</v>
      </c>
      <c r="O316" s="41" t="n">
        <f aca="false">K316-N316</f>
        <v>26.53</v>
      </c>
      <c r="P316" s="43" t="n">
        <f aca="false">IF(K316=0,0,O316/K316)</f>
        <v>0.466420534458509</v>
      </c>
    </row>
    <row r="317" customFormat="false" ht="15" hidden="false" customHeight="false" outlineLevel="0" collapsed="false">
      <c r="A317" s="39" t="s">
        <v>439</v>
      </c>
      <c r="B317" s="40" t="n">
        <v>45707</v>
      </c>
      <c r="C317" s="39" t="s">
        <v>117</v>
      </c>
      <c r="D317" s="39" t="n">
        <v>2</v>
      </c>
      <c r="E317" s="41" t="n">
        <v>30.89</v>
      </c>
      <c r="F317" s="39" t="s">
        <v>105</v>
      </c>
      <c r="G317" s="39" t="str">
        <f aca="false">VLOOKUP(C317,Products!$A$5:$D$24,2,FALSE())</f>
        <v>Desk Lamp</v>
      </c>
      <c r="H317" s="39" t="str">
        <f aca="false">VLOOKUP(C317,Products!$A$5:$D$24,3,FALSE())</f>
        <v>Furniture</v>
      </c>
      <c r="I317" s="41" t="n">
        <f aca="false">VLOOKUP(C317,Products!$A$5:$D$24,4,FALSE())</f>
        <v>13</v>
      </c>
      <c r="J317" s="42" t="n">
        <f aca="false">DATE(YEAR(B317),MONTH(B317),1)</f>
        <v>45689</v>
      </c>
      <c r="K317" s="41" t="n">
        <f aca="false">D317*E317</f>
        <v>61.78</v>
      </c>
      <c r="L317" s="41" t="n">
        <f aca="false">D317*I317</f>
        <v>26</v>
      </c>
      <c r="M317" s="41" t="n">
        <f aca="false">IFERROR(INDEX(Raw_Expenses!$C$5:$C$2979,MATCH(A317,Raw_Expenses!$A$5:$A$2979,0)),0)</f>
        <v>3.01</v>
      </c>
      <c r="N317" s="41" t="n">
        <f aca="false">L317+M317</f>
        <v>29.01</v>
      </c>
      <c r="O317" s="41" t="n">
        <f aca="false">K317-N317</f>
        <v>32.77</v>
      </c>
      <c r="P317" s="43" t="n">
        <f aca="false">IF(K317=0,0,O317/K317)</f>
        <v>0.530430560051797</v>
      </c>
    </row>
    <row r="318" customFormat="false" ht="15" hidden="false" customHeight="false" outlineLevel="0" collapsed="false">
      <c r="A318" s="39" t="s">
        <v>440</v>
      </c>
      <c r="B318" s="40" t="n">
        <v>45707</v>
      </c>
      <c r="C318" s="39" t="s">
        <v>114</v>
      </c>
      <c r="D318" s="39" t="n">
        <v>6</v>
      </c>
      <c r="E318" s="41" t="n">
        <v>5.71</v>
      </c>
      <c r="F318" s="39" t="s">
        <v>108</v>
      </c>
      <c r="G318" s="39" t="str">
        <f aca="false">VLOOKUP(C318,Products!$A$5:$D$24,2,FALSE())</f>
        <v>Gel Pen Pack</v>
      </c>
      <c r="H318" s="39" t="str">
        <f aca="false">VLOOKUP(C318,Products!$A$5:$D$24,3,FALSE())</f>
        <v>Stationery</v>
      </c>
      <c r="I318" s="41" t="n">
        <f aca="false">VLOOKUP(C318,Products!$A$5:$D$24,4,FALSE())</f>
        <v>2</v>
      </c>
      <c r="J318" s="42" t="n">
        <f aca="false">DATE(YEAR(B318),MONTH(B318),1)</f>
        <v>45689</v>
      </c>
      <c r="K318" s="41" t="n">
        <f aca="false">D318*E318</f>
        <v>34.26</v>
      </c>
      <c r="L318" s="41" t="n">
        <f aca="false">D318*I318</f>
        <v>12</v>
      </c>
      <c r="M318" s="41" t="n">
        <f aca="false">IFERROR(INDEX(Raw_Expenses!$C$5:$C$2979,MATCH(A318,Raw_Expenses!$A$5:$A$2979,0)),0)</f>
        <v>1.44</v>
      </c>
      <c r="N318" s="41" t="n">
        <f aca="false">L318+M318</f>
        <v>13.44</v>
      </c>
      <c r="O318" s="41" t="n">
        <f aca="false">K318-N318</f>
        <v>20.82</v>
      </c>
      <c r="P318" s="43" t="n">
        <f aca="false">IF(K318=0,0,O318/K318)</f>
        <v>0.607705779334501</v>
      </c>
    </row>
    <row r="319" customFormat="false" ht="15" hidden="false" customHeight="false" outlineLevel="0" collapsed="false">
      <c r="A319" s="39" t="s">
        <v>441</v>
      </c>
      <c r="B319" s="40" t="n">
        <v>45707</v>
      </c>
      <c r="C319" s="39" t="s">
        <v>169</v>
      </c>
      <c r="D319" s="39" t="n">
        <v>8</v>
      </c>
      <c r="E319" s="41" t="n">
        <v>27.72</v>
      </c>
      <c r="F319" s="39" t="s">
        <v>105</v>
      </c>
      <c r="G319" s="39" t="str">
        <f aca="false">VLOOKUP(C319,Products!$A$5:$D$24,2,FALSE())</f>
        <v>Laptop Stand</v>
      </c>
      <c r="H319" s="39" t="str">
        <f aca="false">VLOOKUP(C319,Products!$A$5:$D$24,3,FALSE())</f>
        <v>Accessories</v>
      </c>
      <c r="I319" s="41" t="n">
        <f aca="false">VLOOKUP(C319,Products!$A$5:$D$24,4,FALSE())</f>
        <v>11</v>
      </c>
      <c r="J319" s="42" t="n">
        <f aca="false">DATE(YEAR(B319),MONTH(B319),1)</f>
        <v>45689</v>
      </c>
      <c r="K319" s="41" t="n">
        <f aca="false">D319*E319</f>
        <v>221.76</v>
      </c>
      <c r="L319" s="41" t="n">
        <f aca="false">D319*I319</f>
        <v>88</v>
      </c>
      <c r="M319" s="41" t="n">
        <f aca="false">IFERROR(INDEX(Raw_Expenses!$C$5:$C$2979,MATCH(A319,Raw_Expenses!$A$5:$A$2979,0)),0)</f>
        <v>18.21</v>
      </c>
      <c r="N319" s="41" t="n">
        <f aca="false">L319+M319</f>
        <v>106.21</v>
      </c>
      <c r="O319" s="41" t="n">
        <f aca="false">K319-N319</f>
        <v>115.55</v>
      </c>
      <c r="P319" s="43" t="n">
        <f aca="false">IF(K319=0,0,O319/K319)</f>
        <v>0.521058802308802</v>
      </c>
    </row>
    <row r="320" customFormat="false" ht="15" hidden="false" customHeight="false" outlineLevel="0" collapsed="false">
      <c r="A320" s="39" t="s">
        <v>442</v>
      </c>
      <c r="B320" s="40" t="n">
        <v>45707</v>
      </c>
      <c r="C320" s="39" t="s">
        <v>121</v>
      </c>
      <c r="D320" s="39" t="n">
        <v>1</v>
      </c>
      <c r="E320" s="41" t="n">
        <v>113.03</v>
      </c>
      <c r="F320" s="39" t="s">
        <v>108</v>
      </c>
      <c r="G320" s="39" t="str">
        <f aca="false">VLOOKUP(C320,Products!$A$5:$D$24,2,FALSE())</f>
        <v>External SSD 1TB</v>
      </c>
      <c r="H320" s="39" t="str">
        <f aca="false">VLOOKUP(C320,Products!$A$5:$D$24,3,FALSE())</f>
        <v>Electronics</v>
      </c>
      <c r="I320" s="41" t="n">
        <f aca="false">VLOOKUP(C320,Products!$A$5:$D$24,4,FALSE())</f>
        <v>62</v>
      </c>
      <c r="J320" s="42" t="n">
        <f aca="false">DATE(YEAR(B320),MONTH(B320),1)</f>
        <v>45689</v>
      </c>
      <c r="K320" s="41" t="n">
        <f aca="false">D320*E320</f>
        <v>113.03</v>
      </c>
      <c r="L320" s="41" t="n">
        <f aca="false">D320*I320</f>
        <v>62</v>
      </c>
      <c r="M320" s="41" t="n">
        <f aca="false">IFERROR(INDEX(Raw_Expenses!$C$5:$C$2979,MATCH(A320,Raw_Expenses!$A$5:$A$2979,0)),0)</f>
        <v>9.27</v>
      </c>
      <c r="N320" s="41" t="n">
        <f aca="false">L320+M320</f>
        <v>71.27</v>
      </c>
      <c r="O320" s="41" t="n">
        <f aca="false">K320-N320</f>
        <v>41.76</v>
      </c>
      <c r="P320" s="43" t="n">
        <f aca="false">IF(K320=0,0,O320/K320)</f>
        <v>0.369459435548085</v>
      </c>
    </row>
    <row r="321" customFormat="false" ht="15" hidden="false" customHeight="false" outlineLevel="0" collapsed="false">
      <c r="A321" s="39" t="s">
        <v>443</v>
      </c>
      <c r="B321" s="40" t="n">
        <v>45707</v>
      </c>
      <c r="C321" s="39" t="s">
        <v>117</v>
      </c>
      <c r="D321" s="39" t="n">
        <v>6</v>
      </c>
      <c r="E321" s="41" t="n">
        <v>30.75</v>
      </c>
      <c r="F321" s="39" t="s">
        <v>118</v>
      </c>
      <c r="G321" s="39" t="str">
        <f aca="false">VLOOKUP(C321,Products!$A$5:$D$24,2,FALSE())</f>
        <v>Desk Lamp</v>
      </c>
      <c r="H321" s="39" t="str">
        <f aca="false">VLOOKUP(C321,Products!$A$5:$D$24,3,FALSE())</f>
        <v>Furniture</v>
      </c>
      <c r="I321" s="41" t="n">
        <f aca="false">VLOOKUP(C321,Products!$A$5:$D$24,4,FALSE())</f>
        <v>13</v>
      </c>
      <c r="J321" s="42" t="n">
        <f aca="false">DATE(YEAR(B321),MONTH(B321),1)</f>
        <v>45689</v>
      </c>
      <c r="K321" s="41" t="n">
        <f aca="false">D321*E321</f>
        <v>184.5</v>
      </c>
      <c r="L321" s="41" t="n">
        <f aca="false">D321*I321</f>
        <v>78</v>
      </c>
      <c r="M321" s="41" t="n">
        <f aca="false">IFERROR(INDEX(Raw_Expenses!$C$5:$C$2979,MATCH(A321,Raw_Expenses!$A$5:$A$2979,0)),0)</f>
        <v>8.02</v>
      </c>
      <c r="N321" s="41" t="n">
        <f aca="false">L321+M321</f>
        <v>86.02</v>
      </c>
      <c r="O321" s="41" t="n">
        <f aca="false">K321-N321</f>
        <v>98.48</v>
      </c>
      <c r="P321" s="43" t="n">
        <f aca="false">IF(K321=0,0,O321/K321)</f>
        <v>0.533766937669377</v>
      </c>
    </row>
    <row r="322" customFormat="false" ht="15" hidden="false" customHeight="false" outlineLevel="0" collapsed="false">
      <c r="A322" s="39" t="s">
        <v>444</v>
      </c>
      <c r="B322" s="40" t="n">
        <v>45707</v>
      </c>
      <c r="C322" s="39" t="s">
        <v>110</v>
      </c>
      <c r="D322" s="39" t="n">
        <v>3</v>
      </c>
      <c r="E322" s="41" t="n">
        <v>13.78</v>
      </c>
      <c r="F322" s="39" t="s">
        <v>118</v>
      </c>
      <c r="G322" s="39" t="str">
        <f aca="false">VLOOKUP(C322,Products!$A$5:$D$24,2,FALSE())</f>
        <v>Phone Stand</v>
      </c>
      <c r="H322" s="39" t="str">
        <f aca="false">VLOOKUP(C322,Products!$A$5:$D$24,3,FALSE())</f>
        <v>Accessories</v>
      </c>
      <c r="I322" s="41" t="n">
        <f aca="false">VLOOKUP(C322,Products!$A$5:$D$24,4,FALSE())</f>
        <v>4</v>
      </c>
      <c r="J322" s="42" t="n">
        <f aca="false">DATE(YEAR(B322),MONTH(B322),1)</f>
        <v>45689</v>
      </c>
      <c r="K322" s="41" t="n">
        <f aca="false">D322*E322</f>
        <v>41.34</v>
      </c>
      <c r="L322" s="41" t="n">
        <f aca="false">D322*I322</f>
        <v>12</v>
      </c>
      <c r="M322" s="41" t="n">
        <f aca="false">IFERROR(INDEX(Raw_Expenses!$C$5:$C$2979,MATCH(A322,Raw_Expenses!$A$5:$A$2979,0)),0)</f>
        <v>2.38</v>
      </c>
      <c r="N322" s="41" t="n">
        <f aca="false">L322+M322</f>
        <v>14.38</v>
      </c>
      <c r="O322" s="41" t="n">
        <f aca="false">K322-N322</f>
        <v>26.96</v>
      </c>
      <c r="P322" s="43" t="n">
        <f aca="false">IF(K322=0,0,O322/K322)</f>
        <v>0.652152878567973</v>
      </c>
    </row>
    <row r="323" customFormat="false" ht="15" hidden="false" customHeight="false" outlineLevel="0" collapsed="false">
      <c r="A323" s="39" t="s">
        <v>445</v>
      </c>
      <c r="B323" s="40" t="n">
        <v>45707</v>
      </c>
      <c r="C323" s="39" t="s">
        <v>130</v>
      </c>
      <c r="D323" s="39" t="n">
        <v>3</v>
      </c>
      <c r="E323" s="41" t="n">
        <v>8.7</v>
      </c>
      <c r="F323" s="39" t="s">
        <v>105</v>
      </c>
      <c r="G323" s="39" t="str">
        <f aca="false">VLOOKUP(C323,Products!$A$5:$D$24,2,FALSE())</f>
        <v>Notebook Set</v>
      </c>
      <c r="H323" s="39" t="str">
        <f aca="false">VLOOKUP(C323,Products!$A$5:$D$24,3,FALSE())</f>
        <v>Stationery</v>
      </c>
      <c r="I323" s="41" t="n">
        <f aca="false">VLOOKUP(C323,Products!$A$5:$D$24,4,FALSE())</f>
        <v>3</v>
      </c>
      <c r="J323" s="42" t="n">
        <f aca="false">DATE(YEAR(B323),MONTH(B323),1)</f>
        <v>45689</v>
      </c>
      <c r="K323" s="41" t="n">
        <f aca="false">D323*E323</f>
        <v>26.1</v>
      </c>
      <c r="L323" s="41" t="n">
        <f aca="false">D323*I323</f>
        <v>9</v>
      </c>
      <c r="M323" s="41" t="n">
        <f aca="false">IFERROR(INDEX(Raw_Expenses!$C$5:$C$2979,MATCH(A323,Raw_Expenses!$A$5:$A$2979,0)),0)</f>
        <v>1.25</v>
      </c>
      <c r="N323" s="41" t="n">
        <f aca="false">L323+M323</f>
        <v>10.25</v>
      </c>
      <c r="O323" s="41" t="n">
        <f aca="false">K323-N323</f>
        <v>15.85</v>
      </c>
      <c r="P323" s="43" t="n">
        <f aca="false">IF(K323=0,0,O323/K323)</f>
        <v>0.60727969348659</v>
      </c>
    </row>
    <row r="324" customFormat="false" ht="15" hidden="false" customHeight="false" outlineLevel="0" collapsed="false">
      <c r="A324" s="39" t="s">
        <v>446</v>
      </c>
      <c r="B324" s="40" t="n">
        <v>45707</v>
      </c>
      <c r="C324" s="39" t="s">
        <v>183</v>
      </c>
      <c r="D324" s="39" t="n">
        <v>4</v>
      </c>
      <c r="E324" s="41" t="n">
        <v>178.63</v>
      </c>
      <c r="F324" s="39" t="s">
        <v>105</v>
      </c>
      <c r="G324" s="39" t="str">
        <f aca="false">VLOOKUP(C324,Products!$A$5:$D$24,2,FALSE())</f>
        <v>Office Chair</v>
      </c>
      <c r="H324" s="39" t="str">
        <f aca="false">VLOOKUP(C324,Products!$A$5:$D$24,3,FALSE())</f>
        <v>Furniture</v>
      </c>
      <c r="I324" s="41" t="n">
        <f aca="false">VLOOKUP(C324,Products!$A$5:$D$24,4,FALSE())</f>
        <v>85</v>
      </c>
      <c r="J324" s="42" t="n">
        <f aca="false">DATE(YEAR(B324),MONTH(B324),1)</f>
        <v>45689</v>
      </c>
      <c r="K324" s="41" t="n">
        <f aca="false">D324*E324</f>
        <v>714.52</v>
      </c>
      <c r="L324" s="41" t="n">
        <f aca="false">D324*I324</f>
        <v>340</v>
      </c>
      <c r="M324" s="41" t="n">
        <f aca="false">IFERROR(INDEX(Raw_Expenses!$C$5:$C$2979,MATCH(A324,Raw_Expenses!$A$5:$A$2979,0)),0)</f>
        <v>52.09</v>
      </c>
      <c r="N324" s="41" t="n">
        <f aca="false">L324+M324</f>
        <v>392.09</v>
      </c>
      <c r="O324" s="41" t="n">
        <f aca="false">K324-N324</f>
        <v>322.43</v>
      </c>
      <c r="P324" s="43" t="n">
        <f aca="false">IF(K324=0,0,O324/K324)</f>
        <v>0.451253988691709</v>
      </c>
    </row>
    <row r="325" customFormat="false" ht="15" hidden="false" customHeight="false" outlineLevel="0" collapsed="false">
      <c r="A325" s="39" t="s">
        <v>447</v>
      </c>
      <c r="B325" s="40" t="n">
        <v>45708</v>
      </c>
      <c r="C325" s="39" t="s">
        <v>114</v>
      </c>
      <c r="D325" s="39" t="n">
        <v>1</v>
      </c>
      <c r="E325" s="41" t="n">
        <v>5.82</v>
      </c>
      <c r="F325" s="39" t="s">
        <v>118</v>
      </c>
      <c r="G325" s="39" t="str">
        <f aca="false">VLOOKUP(C325,Products!$A$5:$D$24,2,FALSE())</f>
        <v>Gel Pen Pack</v>
      </c>
      <c r="H325" s="39" t="str">
        <f aca="false">VLOOKUP(C325,Products!$A$5:$D$24,3,FALSE())</f>
        <v>Stationery</v>
      </c>
      <c r="I325" s="41" t="n">
        <f aca="false">VLOOKUP(C325,Products!$A$5:$D$24,4,FALSE())</f>
        <v>2</v>
      </c>
      <c r="J325" s="42" t="n">
        <f aca="false">DATE(YEAR(B325),MONTH(B325),1)</f>
        <v>45689</v>
      </c>
      <c r="K325" s="41" t="n">
        <f aca="false">D325*E325</f>
        <v>5.82</v>
      </c>
      <c r="L325" s="41" t="n">
        <f aca="false">D325*I325</f>
        <v>2</v>
      </c>
      <c r="M325" s="41" t="n">
        <f aca="false">IFERROR(INDEX(Raw_Expenses!$C$5:$C$2979,MATCH(A325,Raw_Expenses!$A$5:$A$2979,0)),0)</f>
        <v>0.45</v>
      </c>
      <c r="N325" s="41" t="n">
        <f aca="false">L325+M325</f>
        <v>2.45</v>
      </c>
      <c r="O325" s="41" t="n">
        <f aca="false">K325-N325</f>
        <v>3.37</v>
      </c>
      <c r="P325" s="43" t="n">
        <f aca="false">IF(K325=0,0,O325/K325)</f>
        <v>0.579037800687285</v>
      </c>
    </row>
    <row r="326" customFormat="false" ht="15" hidden="false" customHeight="false" outlineLevel="0" collapsed="false">
      <c r="A326" s="39" t="s">
        <v>448</v>
      </c>
      <c r="B326" s="40" t="n">
        <v>45708</v>
      </c>
      <c r="C326" s="39" t="s">
        <v>169</v>
      </c>
      <c r="D326" s="39" t="n">
        <v>3</v>
      </c>
      <c r="E326" s="41" t="n">
        <v>28.36</v>
      </c>
      <c r="F326" s="39" t="s">
        <v>108</v>
      </c>
      <c r="G326" s="39" t="str">
        <f aca="false">VLOOKUP(C326,Products!$A$5:$D$24,2,FALSE())</f>
        <v>Laptop Stand</v>
      </c>
      <c r="H326" s="39" t="str">
        <f aca="false">VLOOKUP(C326,Products!$A$5:$D$24,3,FALSE())</f>
        <v>Accessories</v>
      </c>
      <c r="I326" s="41" t="n">
        <f aca="false">VLOOKUP(C326,Products!$A$5:$D$24,4,FALSE())</f>
        <v>11</v>
      </c>
      <c r="J326" s="42" t="n">
        <f aca="false">DATE(YEAR(B326),MONTH(B326),1)</f>
        <v>45689</v>
      </c>
      <c r="K326" s="41" t="n">
        <f aca="false">D326*E326</f>
        <v>85.08</v>
      </c>
      <c r="L326" s="41" t="n">
        <f aca="false">D326*I326</f>
        <v>33</v>
      </c>
      <c r="M326" s="41" t="n">
        <f aca="false">IFERROR(INDEX(Raw_Expenses!$C$5:$C$2979,MATCH(A326,Raw_Expenses!$A$5:$A$2979,0)),0)</f>
        <v>4.61</v>
      </c>
      <c r="N326" s="41" t="n">
        <f aca="false">L326+M326</f>
        <v>37.61</v>
      </c>
      <c r="O326" s="41" t="n">
        <f aca="false">K326-N326</f>
        <v>47.47</v>
      </c>
      <c r="P326" s="43" t="n">
        <f aca="false">IF(K326=0,0,O326/K326)</f>
        <v>0.557945463093559</v>
      </c>
    </row>
    <row r="327" customFormat="false" ht="15" hidden="false" customHeight="false" outlineLevel="0" collapsed="false">
      <c r="A327" s="39" t="s">
        <v>449</v>
      </c>
      <c r="B327" s="40" t="n">
        <v>45708</v>
      </c>
      <c r="C327" s="39" t="s">
        <v>162</v>
      </c>
      <c r="D327" s="39" t="n">
        <v>1</v>
      </c>
      <c r="E327" s="41" t="n">
        <v>65.27</v>
      </c>
      <c r="F327" s="39" t="s">
        <v>108</v>
      </c>
      <c r="G327" s="39" t="str">
        <f aca="false">VLOOKUP(C327,Products!$A$5:$D$24,2,FALSE())</f>
        <v>Bluetooth Speaker</v>
      </c>
      <c r="H327" s="39" t="str">
        <f aca="false">VLOOKUP(C327,Products!$A$5:$D$24,3,FALSE())</f>
        <v>Electronics</v>
      </c>
      <c r="I327" s="41" t="n">
        <f aca="false">VLOOKUP(C327,Products!$A$5:$D$24,4,FALSE())</f>
        <v>28</v>
      </c>
      <c r="J327" s="42" t="n">
        <f aca="false">DATE(YEAR(B327),MONTH(B327),1)</f>
        <v>45689</v>
      </c>
      <c r="K327" s="41" t="n">
        <f aca="false">D327*E327</f>
        <v>65.27</v>
      </c>
      <c r="L327" s="41" t="n">
        <f aca="false">D327*I327</f>
        <v>28</v>
      </c>
      <c r="M327" s="41" t="n">
        <f aca="false">IFERROR(INDEX(Raw_Expenses!$C$5:$C$2979,MATCH(A327,Raw_Expenses!$A$5:$A$2979,0)),0)</f>
        <v>4.03</v>
      </c>
      <c r="N327" s="41" t="n">
        <f aca="false">L327+M327</f>
        <v>32.03</v>
      </c>
      <c r="O327" s="41" t="n">
        <f aca="false">K327-N327</f>
        <v>33.24</v>
      </c>
      <c r="P327" s="43" t="n">
        <f aca="false">IF(K327=0,0,O327/K327)</f>
        <v>0.509269189520453</v>
      </c>
    </row>
    <row r="328" customFormat="false" ht="15" hidden="false" customHeight="false" outlineLevel="0" collapsed="false">
      <c r="A328" s="39" t="s">
        <v>450</v>
      </c>
      <c r="B328" s="40" t="n">
        <v>45708</v>
      </c>
      <c r="C328" s="39" t="s">
        <v>130</v>
      </c>
      <c r="D328" s="39" t="n">
        <v>5</v>
      </c>
      <c r="E328" s="41" t="n">
        <v>8.77</v>
      </c>
      <c r="F328" s="39" t="s">
        <v>115</v>
      </c>
      <c r="G328" s="39" t="str">
        <f aca="false">VLOOKUP(C328,Products!$A$5:$D$24,2,FALSE())</f>
        <v>Notebook Set</v>
      </c>
      <c r="H328" s="39" t="str">
        <f aca="false">VLOOKUP(C328,Products!$A$5:$D$24,3,FALSE())</f>
        <v>Stationery</v>
      </c>
      <c r="I328" s="41" t="n">
        <f aca="false">VLOOKUP(C328,Products!$A$5:$D$24,4,FALSE())</f>
        <v>3</v>
      </c>
      <c r="J328" s="42" t="n">
        <f aca="false">DATE(YEAR(B328),MONTH(B328),1)</f>
        <v>45689</v>
      </c>
      <c r="K328" s="41" t="n">
        <f aca="false">D328*E328</f>
        <v>43.85</v>
      </c>
      <c r="L328" s="41" t="n">
        <f aca="false">D328*I328</f>
        <v>15</v>
      </c>
      <c r="M328" s="41" t="n">
        <f aca="false">IFERROR(INDEX(Raw_Expenses!$C$5:$C$2979,MATCH(A328,Raw_Expenses!$A$5:$A$2979,0)),0)</f>
        <v>2.08</v>
      </c>
      <c r="N328" s="41" t="n">
        <f aca="false">L328+M328</f>
        <v>17.08</v>
      </c>
      <c r="O328" s="41" t="n">
        <f aca="false">K328-N328</f>
        <v>26.77</v>
      </c>
      <c r="P328" s="43" t="n">
        <f aca="false">IF(K328=0,0,O328/K328)</f>
        <v>0.610490307867731</v>
      </c>
    </row>
    <row r="329" customFormat="false" ht="15" hidden="false" customHeight="false" outlineLevel="0" collapsed="false">
      <c r="A329" s="39" t="s">
        <v>451</v>
      </c>
      <c r="B329" s="40" t="n">
        <v>45708</v>
      </c>
      <c r="C329" s="39" t="s">
        <v>130</v>
      </c>
      <c r="D329" s="39" t="n">
        <v>5</v>
      </c>
      <c r="E329" s="41" t="n">
        <v>8.63</v>
      </c>
      <c r="F329" s="39" t="s">
        <v>115</v>
      </c>
      <c r="G329" s="39" t="str">
        <f aca="false">VLOOKUP(C329,Products!$A$5:$D$24,2,FALSE())</f>
        <v>Notebook Set</v>
      </c>
      <c r="H329" s="39" t="str">
        <f aca="false">VLOOKUP(C329,Products!$A$5:$D$24,3,FALSE())</f>
        <v>Stationery</v>
      </c>
      <c r="I329" s="41" t="n">
        <f aca="false">VLOOKUP(C329,Products!$A$5:$D$24,4,FALSE())</f>
        <v>3</v>
      </c>
      <c r="J329" s="42" t="n">
        <f aca="false">DATE(YEAR(B329),MONTH(B329),1)</f>
        <v>45689</v>
      </c>
      <c r="K329" s="41" t="n">
        <f aca="false">D329*E329</f>
        <v>43.15</v>
      </c>
      <c r="L329" s="41" t="n">
        <f aca="false">D329*I329</f>
        <v>15</v>
      </c>
      <c r="M329" s="41" t="n">
        <f aca="false">IFERROR(INDEX(Raw_Expenses!$C$5:$C$2979,MATCH(A329,Raw_Expenses!$A$5:$A$2979,0)),0)</f>
        <v>2.04</v>
      </c>
      <c r="N329" s="41" t="n">
        <f aca="false">L329+M329</f>
        <v>17.04</v>
      </c>
      <c r="O329" s="41" t="n">
        <f aca="false">K329-N329</f>
        <v>26.11</v>
      </c>
      <c r="P329" s="43" t="n">
        <f aca="false">IF(K329=0,0,O329/K329)</f>
        <v>0.605098493626883</v>
      </c>
    </row>
    <row r="330" customFormat="false" ht="15" hidden="false" customHeight="false" outlineLevel="0" collapsed="false">
      <c r="A330" s="39" t="s">
        <v>452</v>
      </c>
      <c r="B330" s="40" t="n">
        <v>45708</v>
      </c>
      <c r="C330" s="39" t="s">
        <v>104</v>
      </c>
      <c r="D330" s="39" t="n">
        <v>1</v>
      </c>
      <c r="E330" s="41" t="n">
        <v>15.48</v>
      </c>
      <c r="F330" s="39" t="s">
        <v>108</v>
      </c>
      <c r="G330" s="39" t="str">
        <f aca="false">VLOOKUP(C330,Products!$A$5:$D$24,2,FALSE())</f>
        <v>Water Bottle</v>
      </c>
      <c r="H330" s="39" t="str">
        <f aca="false">VLOOKUP(C330,Products!$A$5:$D$24,3,FALSE())</f>
        <v>Accessories</v>
      </c>
      <c r="I330" s="41" t="n">
        <f aca="false">VLOOKUP(C330,Products!$A$5:$D$24,4,FALSE())</f>
        <v>5</v>
      </c>
      <c r="J330" s="42" t="n">
        <f aca="false">DATE(YEAR(B330),MONTH(B330),1)</f>
        <v>45689</v>
      </c>
      <c r="K330" s="41" t="n">
        <f aca="false">D330*E330</f>
        <v>15.48</v>
      </c>
      <c r="L330" s="41" t="n">
        <f aca="false">D330*I330</f>
        <v>5</v>
      </c>
      <c r="M330" s="41" t="n">
        <f aca="false">IFERROR(INDEX(Raw_Expenses!$C$5:$C$2979,MATCH(A330,Raw_Expenses!$A$5:$A$2979,0)),0)</f>
        <v>0.87</v>
      </c>
      <c r="N330" s="41" t="n">
        <f aca="false">L330+M330</f>
        <v>5.87</v>
      </c>
      <c r="O330" s="41" t="n">
        <f aca="false">K330-N330</f>
        <v>9.61</v>
      </c>
      <c r="P330" s="43" t="n">
        <f aca="false">IF(K330=0,0,O330/K330)</f>
        <v>0.620801033591731</v>
      </c>
    </row>
    <row r="331" customFormat="false" ht="15" hidden="false" customHeight="false" outlineLevel="0" collapsed="false">
      <c r="A331" s="39" t="s">
        <v>453</v>
      </c>
      <c r="B331" s="40" t="n">
        <v>45709</v>
      </c>
      <c r="C331" s="39" t="s">
        <v>121</v>
      </c>
      <c r="D331" s="39" t="n">
        <v>1</v>
      </c>
      <c r="E331" s="41" t="n">
        <v>117.19</v>
      </c>
      <c r="F331" s="39" t="s">
        <v>105</v>
      </c>
      <c r="G331" s="39" t="str">
        <f aca="false">VLOOKUP(C331,Products!$A$5:$D$24,2,FALSE())</f>
        <v>External SSD 1TB</v>
      </c>
      <c r="H331" s="39" t="str">
        <f aca="false">VLOOKUP(C331,Products!$A$5:$D$24,3,FALSE())</f>
        <v>Electronics</v>
      </c>
      <c r="I331" s="41" t="n">
        <f aca="false">VLOOKUP(C331,Products!$A$5:$D$24,4,FALSE())</f>
        <v>62</v>
      </c>
      <c r="J331" s="42" t="n">
        <f aca="false">DATE(YEAR(B331),MONTH(B331),1)</f>
        <v>45689</v>
      </c>
      <c r="K331" s="41" t="n">
        <f aca="false">D331*E331</f>
        <v>117.19</v>
      </c>
      <c r="L331" s="41" t="n">
        <f aca="false">D331*I331</f>
        <v>62</v>
      </c>
      <c r="M331" s="41" t="n">
        <f aca="false">IFERROR(INDEX(Raw_Expenses!$C$5:$C$2979,MATCH(A331,Raw_Expenses!$A$5:$A$2979,0)),0)</f>
        <v>4.97</v>
      </c>
      <c r="N331" s="41" t="n">
        <f aca="false">L331+M331</f>
        <v>66.97</v>
      </c>
      <c r="O331" s="41" t="n">
        <f aca="false">K331-N331</f>
        <v>50.22</v>
      </c>
      <c r="P331" s="43" t="n">
        <f aca="false">IF(K331=0,0,O331/K331)</f>
        <v>0.428534857923031</v>
      </c>
    </row>
    <row r="332" customFormat="false" ht="15" hidden="false" customHeight="false" outlineLevel="0" collapsed="false">
      <c r="A332" s="39" t="s">
        <v>454</v>
      </c>
      <c r="B332" s="40" t="n">
        <v>45709</v>
      </c>
      <c r="C332" s="39" t="s">
        <v>112</v>
      </c>
      <c r="D332" s="39" t="n">
        <v>1</v>
      </c>
      <c r="E332" s="41" t="n">
        <v>54.18</v>
      </c>
      <c r="F332" s="39" t="s">
        <v>115</v>
      </c>
      <c r="G332" s="39" t="str">
        <f aca="false">VLOOKUP(C332,Products!$A$5:$D$24,2,FALSE())</f>
        <v>HD Webcam</v>
      </c>
      <c r="H332" s="39" t="str">
        <f aca="false">VLOOKUP(C332,Products!$A$5:$D$24,3,FALSE())</f>
        <v>Electronics</v>
      </c>
      <c r="I332" s="41" t="n">
        <f aca="false">VLOOKUP(C332,Products!$A$5:$D$24,4,FALSE())</f>
        <v>22</v>
      </c>
      <c r="J332" s="42" t="n">
        <f aca="false">DATE(YEAR(B332),MONTH(B332),1)</f>
        <v>45689</v>
      </c>
      <c r="K332" s="41" t="n">
        <f aca="false">D332*E332</f>
        <v>54.18</v>
      </c>
      <c r="L332" s="41" t="n">
        <f aca="false">D332*I332</f>
        <v>22</v>
      </c>
      <c r="M332" s="41" t="n">
        <f aca="false">IFERROR(INDEX(Raw_Expenses!$C$5:$C$2979,MATCH(A332,Raw_Expenses!$A$5:$A$2979,0)),0)</f>
        <v>2.81</v>
      </c>
      <c r="N332" s="41" t="n">
        <f aca="false">L332+M332</f>
        <v>24.81</v>
      </c>
      <c r="O332" s="41" t="n">
        <f aca="false">K332-N332</f>
        <v>29.37</v>
      </c>
      <c r="P332" s="43" t="n">
        <f aca="false">IF(K332=0,0,O332/K332)</f>
        <v>0.542081949058693</v>
      </c>
    </row>
    <row r="333" customFormat="false" ht="15" hidden="false" customHeight="false" outlineLevel="0" collapsed="false">
      <c r="A333" s="39" t="s">
        <v>455</v>
      </c>
      <c r="B333" s="40" t="n">
        <v>45709</v>
      </c>
      <c r="C333" s="39" t="s">
        <v>169</v>
      </c>
      <c r="D333" s="39" t="n">
        <v>5</v>
      </c>
      <c r="E333" s="41" t="n">
        <v>28.11</v>
      </c>
      <c r="F333" s="39" t="s">
        <v>115</v>
      </c>
      <c r="G333" s="39" t="str">
        <f aca="false">VLOOKUP(C333,Products!$A$5:$D$24,2,FALSE())</f>
        <v>Laptop Stand</v>
      </c>
      <c r="H333" s="39" t="str">
        <f aca="false">VLOOKUP(C333,Products!$A$5:$D$24,3,FALSE())</f>
        <v>Accessories</v>
      </c>
      <c r="I333" s="41" t="n">
        <f aca="false">VLOOKUP(C333,Products!$A$5:$D$24,4,FALSE())</f>
        <v>11</v>
      </c>
      <c r="J333" s="42" t="n">
        <f aca="false">DATE(YEAR(B333),MONTH(B333),1)</f>
        <v>45689</v>
      </c>
      <c r="K333" s="41" t="n">
        <f aca="false">D333*E333</f>
        <v>140.55</v>
      </c>
      <c r="L333" s="41" t="n">
        <f aca="false">D333*I333</f>
        <v>55</v>
      </c>
      <c r="M333" s="41" t="n">
        <f aca="false">IFERROR(INDEX(Raw_Expenses!$C$5:$C$2979,MATCH(A333,Raw_Expenses!$A$5:$A$2979,0)),0)</f>
        <v>8.9</v>
      </c>
      <c r="N333" s="41" t="n">
        <f aca="false">L333+M333</f>
        <v>63.9</v>
      </c>
      <c r="O333" s="41" t="n">
        <f aca="false">K333-N333</f>
        <v>76.65</v>
      </c>
      <c r="P333" s="43" t="n">
        <f aca="false">IF(K333=0,0,O333/K333)</f>
        <v>0.545357524012807</v>
      </c>
    </row>
    <row r="334" customFormat="false" ht="15" hidden="false" customHeight="false" outlineLevel="0" collapsed="false">
      <c r="A334" s="39" t="s">
        <v>456</v>
      </c>
      <c r="B334" s="40" t="n">
        <v>45709</v>
      </c>
      <c r="C334" s="39" t="s">
        <v>114</v>
      </c>
      <c r="D334" s="39" t="n">
        <v>1</v>
      </c>
      <c r="E334" s="41" t="n">
        <v>5.87</v>
      </c>
      <c r="F334" s="39" t="s">
        <v>115</v>
      </c>
      <c r="G334" s="39" t="str">
        <f aca="false">VLOOKUP(C334,Products!$A$5:$D$24,2,FALSE())</f>
        <v>Gel Pen Pack</v>
      </c>
      <c r="H334" s="39" t="str">
        <f aca="false">VLOOKUP(C334,Products!$A$5:$D$24,3,FALSE())</f>
        <v>Stationery</v>
      </c>
      <c r="I334" s="41" t="n">
        <f aca="false">VLOOKUP(C334,Products!$A$5:$D$24,4,FALSE())</f>
        <v>2</v>
      </c>
      <c r="J334" s="42" t="n">
        <f aca="false">DATE(YEAR(B334),MONTH(B334),1)</f>
        <v>45689</v>
      </c>
      <c r="K334" s="41" t="n">
        <f aca="false">D334*E334</f>
        <v>5.87</v>
      </c>
      <c r="L334" s="41" t="n">
        <f aca="false">D334*I334</f>
        <v>2</v>
      </c>
      <c r="M334" s="41" t="n">
        <f aca="false">IFERROR(INDEX(Raw_Expenses!$C$5:$C$2979,MATCH(A334,Raw_Expenses!$A$5:$A$2979,0)),0)</f>
        <v>0.45</v>
      </c>
      <c r="N334" s="41" t="n">
        <f aca="false">L334+M334</f>
        <v>2.45</v>
      </c>
      <c r="O334" s="41" t="n">
        <f aca="false">K334-N334</f>
        <v>3.42</v>
      </c>
      <c r="P334" s="43" t="n">
        <f aca="false">IF(K334=0,0,O334/K334)</f>
        <v>0.582623509369676</v>
      </c>
    </row>
    <row r="335" customFormat="false" ht="15" hidden="false" customHeight="false" outlineLevel="0" collapsed="false">
      <c r="A335" s="39" t="s">
        <v>457</v>
      </c>
      <c r="B335" s="40" t="n">
        <v>45709</v>
      </c>
      <c r="C335" s="39" t="s">
        <v>169</v>
      </c>
      <c r="D335" s="39" t="n">
        <v>3</v>
      </c>
      <c r="E335" s="41" t="n">
        <v>28.66</v>
      </c>
      <c r="F335" s="39" t="s">
        <v>118</v>
      </c>
      <c r="G335" s="39" t="str">
        <f aca="false">VLOOKUP(C335,Products!$A$5:$D$24,2,FALSE())</f>
        <v>Laptop Stand</v>
      </c>
      <c r="H335" s="39" t="str">
        <f aca="false">VLOOKUP(C335,Products!$A$5:$D$24,3,FALSE())</f>
        <v>Accessories</v>
      </c>
      <c r="I335" s="41" t="n">
        <f aca="false">VLOOKUP(C335,Products!$A$5:$D$24,4,FALSE())</f>
        <v>11</v>
      </c>
      <c r="J335" s="42" t="n">
        <f aca="false">DATE(YEAR(B335),MONTH(B335),1)</f>
        <v>45689</v>
      </c>
      <c r="K335" s="41" t="n">
        <f aca="false">D335*E335</f>
        <v>85.98</v>
      </c>
      <c r="L335" s="41" t="n">
        <f aca="false">D335*I335</f>
        <v>33</v>
      </c>
      <c r="M335" s="41" t="n">
        <f aca="false">IFERROR(INDEX(Raw_Expenses!$C$5:$C$2979,MATCH(A335,Raw_Expenses!$A$5:$A$2979,0)),0)</f>
        <v>3.83</v>
      </c>
      <c r="N335" s="41" t="n">
        <f aca="false">L335+M335</f>
        <v>36.83</v>
      </c>
      <c r="O335" s="41" t="n">
        <f aca="false">K335-N335</f>
        <v>49.15</v>
      </c>
      <c r="P335" s="43" t="n">
        <f aca="false">IF(K335=0,0,O335/K335)</f>
        <v>0.571644568504303</v>
      </c>
    </row>
    <row r="336" customFormat="false" ht="15" hidden="false" customHeight="false" outlineLevel="0" collapsed="false">
      <c r="A336" s="39" t="s">
        <v>458</v>
      </c>
      <c r="B336" s="40" t="n">
        <v>45709</v>
      </c>
      <c r="C336" s="39" t="s">
        <v>133</v>
      </c>
      <c r="D336" s="39" t="n">
        <v>2</v>
      </c>
      <c r="E336" s="41" t="n">
        <v>8.37</v>
      </c>
      <c r="F336" s="39" t="s">
        <v>105</v>
      </c>
      <c r="G336" s="39" t="str">
        <f aca="false">VLOOKUP(C336,Products!$A$5:$D$24,2,FALSE())</f>
        <v>Printer Paper Ream</v>
      </c>
      <c r="H336" s="39" t="str">
        <f aca="false">VLOOKUP(C336,Products!$A$5:$D$24,3,FALSE())</f>
        <v>Stationery</v>
      </c>
      <c r="I336" s="41" t="n">
        <f aca="false">VLOOKUP(C336,Products!$A$5:$D$24,4,FALSE())</f>
        <v>4</v>
      </c>
      <c r="J336" s="42" t="n">
        <f aca="false">DATE(YEAR(B336),MONTH(B336),1)</f>
        <v>45689</v>
      </c>
      <c r="K336" s="41" t="n">
        <f aca="false">D336*E336</f>
        <v>16.74</v>
      </c>
      <c r="L336" s="41" t="n">
        <f aca="false">D336*I336</f>
        <v>8</v>
      </c>
      <c r="M336" s="41" t="n">
        <f aca="false">IFERROR(INDEX(Raw_Expenses!$C$5:$C$2979,MATCH(A336,Raw_Expenses!$A$5:$A$2979,0)),0)</f>
        <v>0.9</v>
      </c>
      <c r="N336" s="41" t="n">
        <f aca="false">L336+M336</f>
        <v>8.9</v>
      </c>
      <c r="O336" s="41" t="n">
        <f aca="false">K336-N336</f>
        <v>7.84</v>
      </c>
      <c r="P336" s="43" t="n">
        <f aca="false">IF(K336=0,0,O336/K336)</f>
        <v>0.468339307048984</v>
      </c>
    </row>
    <row r="337" customFormat="false" ht="15" hidden="false" customHeight="false" outlineLevel="0" collapsed="false">
      <c r="A337" s="39" t="s">
        <v>459</v>
      </c>
      <c r="B337" s="40" t="n">
        <v>45709</v>
      </c>
      <c r="C337" s="39" t="s">
        <v>114</v>
      </c>
      <c r="D337" s="39" t="n">
        <v>2</v>
      </c>
      <c r="E337" s="41" t="n">
        <v>5.66</v>
      </c>
      <c r="F337" s="39" t="s">
        <v>108</v>
      </c>
      <c r="G337" s="39" t="str">
        <f aca="false">VLOOKUP(C337,Products!$A$5:$D$24,2,FALSE())</f>
        <v>Gel Pen Pack</v>
      </c>
      <c r="H337" s="39" t="str">
        <f aca="false">VLOOKUP(C337,Products!$A$5:$D$24,3,FALSE())</f>
        <v>Stationery</v>
      </c>
      <c r="I337" s="41" t="n">
        <f aca="false">VLOOKUP(C337,Products!$A$5:$D$24,4,FALSE())</f>
        <v>2</v>
      </c>
      <c r="J337" s="42" t="n">
        <f aca="false">DATE(YEAR(B337),MONTH(B337),1)</f>
        <v>45689</v>
      </c>
      <c r="K337" s="41" t="n">
        <f aca="false">D337*E337</f>
        <v>11.32</v>
      </c>
      <c r="L337" s="41" t="n">
        <f aca="false">D337*I337</f>
        <v>4</v>
      </c>
      <c r="M337" s="41" t="n">
        <f aca="false">IFERROR(INDEX(Raw_Expenses!$C$5:$C$2979,MATCH(A337,Raw_Expenses!$A$5:$A$2979,0)),0)</f>
        <v>0.53</v>
      </c>
      <c r="N337" s="41" t="n">
        <f aca="false">L337+M337</f>
        <v>4.53</v>
      </c>
      <c r="O337" s="41" t="n">
        <f aca="false">K337-N337</f>
        <v>6.79</v>
      </c>
      <c r="P337" s="43" t="n">
        <f aca="false">IF(K337=0,0,O337/K337)</f>
        <v>0.59982332155477</v>
      </c>
    </row>
    <row r="338" customFormat="false" ht="15" hidden="false" customHeight="false" outlineLevel="0" collapsed="false">
      <c r="A338" s="39" t="s">
        <v>460</v>
      </c>
      <c r="B338" s="40" t="n">
        <v>45709</v>
      </c>
      <c r="C338" s="39" t="s">
        <v>110</v>
      </c>
      <c r="D338" s="39" t="n">
        <v>5</v>
      </c>
      <c r="E338" s="41" t="n">
        <v>13.74</v>
      </c>
      <c r="F338" s="39" t="s">
        <v>115</v>
      </c>
      <c r="G338" s="39" t="str">
        <f aca="false">VLOOKUP(C338,Products!$A$5:$D$24,2,FALSE())</f>
        <v>Phone Stand</v>
      </c>
      <c r="H338" s="39" t="str">
        <f aca="false">VLOOKUP(C338,Products!$A$5:$D$24,3,FALSE())</f>
        <v>Accessories</v>
      </c>
      <c r="I338" s="41" t="n">
        <f aca="false">VLOOKUP(C338,Products!$A$5:$D$24,4,FALSE())</f>
        <v>4</v>
      </c>
      <c r="J338" s="42" t="n">
        <f aca="false">DATE(YEAR(B338),MONTH(B338),1)</f>
        <v>45689</v>
      </c>
      <c r="K338" s="41" t="n">
        <f aca="false">D338*E338</f>
        <v>68.7</v>
      </c>
      <c r="L338" s="41" t="n">
        <f aca="false">D338*I338</f>
        <v>20</v>
      </c>
      <c r="M338" s="41" t="n">
        <f aca="false">IFERROR(INDEX(Raw_Expenses!$C$5:$C$2979,MATCH(A338,Raw_Expenses!$A$5:$A$2979,0)),0)</f>
        <v>5.85</v>
      </c>
      <c r="N338" s="41" t="n">
        <f aca="false">L338+M338</f>
        <v>25.85</v>
      </c>
      <c r="O338" s="41" t="n">
        <f aca="false">K338-N338</f>
        <v>42.85</v>
      </c>
      <c r="P338" s="43" t="n">
        <f aca="false">IF(K338=0,0,O338/K338)</f>
        <v>0.62372634643377</v>
      </c>
    </row>
    <row r="339" customFormat="false" ht="15" hidden="false" customHeight="false" outlineLevel="0" collapsed="false">
      <c r="A339" s="39" t="s">
        <v>461</v>
      </c>
      <c r="B339" s="40" t="n">
        <v>45710</v>
      </c>
      <c r="C339" s="39" t="s">
        <v>107</v>
      </c>
      <c r="D339" s="39" t="n">
        <v>4</v>
      </c>
      <c r="E339" s="41" t="n">
        <v>32.58</v>
      </c>
      <c r="F339" s="39" t="s">
        <v>108</v>
      </c>
      <c r="G339" s="39" t="str">
        <f aca="false">VLOOKUP(C339,Products!$A$5:$D$24,2,FALSE())</f>
        <v>USB-C Hub</v>
      </c>
      <c r="H339" s="39" t="str">
        <f aca="false">VLOOKUP(C339,Products!$A$5:$D$24,3,FALSE())</f>
        <v>Electronics</v>
      </c>
      <c r="I339" s="41" t="n">
        <f aca="false">VLOOKUP(C339,Products!$A$5:$D$24,4,FALSE())</f>
        <v>14</v>
      </c>
      <c r="J339" s="42" t="n">
        <f aca="false">DATE(YEAR(B339),MONTH(B339),1)</f>
        <v>45689</v>
      </c>
      <c r="K339" s="41" t="n">
        <f aca="false">D339*E339</f>
        <v>130.32</v>
      </c>
      <c r="L339" s="41" t="n">
        <f aca="false">D339*I339</f>
        <v>56</v>
      </c>
      <c r="M339" s="41" t="n">
        <f aca="false">IFERROR(INDEX(Raw_Expenses!$C$5:$C$2979,MATCH(A339,Raw_Expenses!$A$5:$A$2979,0)),0)</f>
        <v>6.25</v>
      </c>
      <c r="N339" s="41" t="n">
        <f aca="false">L339+M339</f>
        <v>62.25</v>
      </c>
      <c r="O339" s="41" t="n">
        <f aca="false">K339-N339</f>
        <v>68.07</v>
      </c>
      <c r="P339" s="43" t="n">
        <f aca="false">IF(K339=0,0,O339/K339)</f>
        <v>0.522329650092081</v>
      </c>
    </row>
    <row r="340" customFormat="false" ht="15" hidden="false" customHeight="false" outlineLevel="0" collapsed="false">
      <c r="A340" s="39" t="s">
        <v>462</v>
      </c>
      <c r="B340" s="40" t="n">
        <v>45710</v>
      </c>
      <c r="C340" s="39" t="s">
        <v>177</v>
      </c>
      <c r="D340" s="39" t="n">
        <v>2</v>
      </c>
      <c r="E340" s="41" t="n">
        <v>44.59</v>
      </c>
      <c r="F340" s="39" t="s">
        <v>115</v>
      </c>
      <c r="G340" s="39" t="str">
        <f aca="false">VLOOKUP(C340,Products!$A$5:$D$24,2,FALSE())</f>
        <v>Backpack</v>
      </c>
      <c r="H340" s="39" t="str">
        <f aca="false">VLOOKUP(C340,Products!$A$5:$D$24,3,FALSE())</f>
        <v>Accessories</v>
      </c>
      <c r="I340" s="41" t="n">
        <f aca="false">VLOOKUP(C340,Products!$A$5:$D$24,4,FALSE())</f>
        <v>17</v>
      </c>
      <c r="J340" s="42" t="n">
        <f aca="false">DATE(YEAR(B340),MONTH(B340),1)</f>
        <v>45689</v>
      </c>
      <c r="K340" s="41" t="n">
        <f aca="false">D340*E340</f>
        <v>89.18</v>
      </c>
      <c r="L340" s="41" t="n">
        <f aca="false">D340*I340</f>
        <v>34</v>
      </c>
      <c r="M340" s="41" t="n">
        <f aca="false">IFERROR(INDEX(Raw_Expenses!$C$5:$C$2979,MATCH(A340,Raw_Expenses!$A$5:$A$2979,0)),0)</f>
        <v>7.55</v>
      </c>
      <c r="N340" s="41" t="n">
        <f aca="false">L340+M340</f>
        <v>41.55</v>
      </c>
      <c r="O340" s="41" t="n">
        <f aca="false">K340-N340</f>
        <v>47.63</v>
      </c>
      <c r="P340" s="43" t="n">
        <f aca="false">IF(K340=0,0,O340/K340)</f>
        <v>0.534088360618973</v>
      </c>
    </row>
    <row r="341" customFormat="false" ht="15" hidden="false" customHeight="false" outlineLevel="0" collapsed="false">
      <c r="A341" s="39" t="s">
        <v>463</v>
      </c>
      <c r="B341" s="40" t="n">
        <v>45710</v>
      </c>
      <c r="C341" s="39" t="s">
        <v>110</v>
      </c>
      <c r="D341" s="39" t="n">
        <v>3</v>
      </c>
      <c r="E341" s="41" t="n">
        <v>13.25</v>
      </c>
      <c r="F341" s="39" t="s">
        <v>115</v>
      </c>
      <c r="G341" s="39" t="str">
        <f aca="false">VLOOKUP(C341,Products!$A$5:$D$24,2,FALSE())</f>
        <v>Phone Stand</v>
      </c>
      <c r="H341" s="39" t="str">
        <f aca="false">VLOOKUP(C341,Products!$A$5:$D$24,3,FALSE())</f>
        <v>Accessories</v>
      </c>
      <c r="I341" s="41" t="n">
        <f aca="false">VLOOKUP(C341,Products!$A$5:$D$24,4,FALSE())</f>
        <v>4</v>
      </c>
      <c r="J341" s="42" t="n">
        <f aca="false">DATE(YEAR(B341),MONTH(B341),1)</f>
        <v>45689</v>
      </c>
      <c r="K341" s="41" t="n">
        <f aca="false">D341*E341</f>
        <v>39.75</v>
      </c>
      <c r="L341" s="41" t="n">
        <f aca="false">D341*I341</f>
        <v>12</v>
      </c>
      <c r="M341" s="41" t="n">
        <f aca="false">IFERROR(INDEX(Raw_Expenses!$C$5:$C$2979,MATCH(A341,Raw_Expenses!$A$5:$A$2979,0)),0)</f>
        <v>3.32</v>
      </c>
      <c r="N341" s="41" t="n">
        <f aca="false">L341+M341</f>
        <v>15.32</v>
      </c>
      <c r="O341" s="41" t="n">
        <f aca="false">K341-N341</f>
        <v>24.43</v>
      </c>
      <c r="P341" s="43" t="n">
        <f aca="false">IF(K341=0,0,O341/K341)</f>
        <v>0.614591194968553</v>
      </c>
    </row>
    <row r="342" customFormat="false" ht="15" hidden="false" customHeight="false" outlineLevel="0" collapsed="false">
      <c r="A342" s="39" t="s">
        <v>464</v>
      </c>
      <c r="B342" s="40" t="n">
        <v>45710</v>
      </c>
      <c r="C342" s="39" t="s">
        <v>126</v>
      </c>
      <c r="D342" s="39" t="n">
        <v>2</v>
      </c>
      <c r="E342" s="41" t="n">
        <v>23.4</v>
      </c>
      <c r="F342" s="39" t="s">
        <v>118</v>
      </c>
      <c r="G342" s="39" t="str">
        <f aca="false">VLOOKUP(C342,Products!$A$5:$D$24,2,FALSE())</f>
        <v>Wireless Mouse</v>
      </c>
      <c r="H342" s="39" t="str">
        <f aca="false">VLOOKUP(C342,Products!$A$5:$D$24,3,FALSE())</f>
        <v>Electronics</v>
      </c>
      <c r="I342" s="41" t="n">
        <f aca="false">VLOOKUP(C342,Products!$A$5:$D$24,4,FALSE())</f>
        <v>12</v>
      </c>
      <c r="J342" s="42" t="n">
        <f aca="false">DATE(YEAR(B342),MONTH(B342),1)</f>
        <v>45689</v>
      </c>
      <c r="K342" s="41" t="n">
        <f aca="false">D342*E342</f>
        <v>46.8</v>
      </c>
      <c r="L342" s="41" t="n">
        <f aca="false">D342*I342</f>
        <v>24</v>
      </c>
      <c r="M342" s="41" t="n">
        <f aca="false">IFERROR(INDEX(Raw_Expenses!$C$5:$C$2979,MATCH(A342,Raw_Expenses!$A$5:$A$2979,0)),0)</f>
        <v>3.38</v>
      </c>
      <c r="N342" s="41" t="n">
        <f aca="false">L342+M342</f>
        <v>27.38</v>
      </c>
      <c r="O342" s="41" t="n">
        <f aca="false">K342-N342</f>
        <v>19.42</v>
      </c>
      <c r="P342" s="43" t="n">
        <f aca="false">IF(K342=0,0,O342/K342)</f>
        <v>0.414957264957265</v>
      </c>
    </row>
    <row r="343" customFormat="false" ht="15" hidden="false" customHeight="false" outlineLevel="0" collapsed="false">
      <c r="A343" s="39" t="s">
        <v>465</v>
      </c>
      <c r="B343" s="40" t="n">
        <v>45710</v>
      </c>
      <c r="C343" s="39" t="s">
        <v>110</v>
      </c>
      <c r="D343" s="39" t="n">
        <v>4</v>
      </c>
      <c r="E343" s="41" t="n">
        <v>13.53</v>
      </c>
      <c r="F343" s="39" t="s">
        <v>105</v>
      </c>
      <c r="G343" s="39" t="str">
        <f aca="false">VLOOKUP(C343,Products!$A$5:$D$24,2,FALSE())</f>
        <v>Phone Stand</v>
      </c>
      <c r="H343" s="39" t="str">
        <f aca="false">VLOOKUP(C343,Products!$A$5:$D$24,3,FALSE())</f>
        <v>Accessories</v>
      </c>
      <c r="I343" s="41" t="n">
        <f aca="false">VLOOKUP(C343,Products!$A$5:$D$24,4,FALSE())</f>
        <v>4</v>
      </c>
      <c r="J343" s="42" t="n">
        <f aca="false">DATE(YEAR(B343),MONTH(B343),1)</f>
        <v>45689</v>
      </c>
      <c r="K343" s="41" t="n">
        <f aca="false">D343*E343</f>
        <v>54.12</v>
      </c>
      <c r="L343" s="41" t="n">
        <f aca="false">D343*I343</f>
        <v>16</v>
      </c>
      <c r="M343" s="41" t="n">
        <f aca="false">IFERROR(INDEX(Raw_Expenses!$C$5:$C$2979,MATCH(A343,Raw_Expenses!$A$5:$A$2979,0)),0)</f>
        <v>4.7</v>
      </c>
      <c r="N343" s="41" t="n">
        <f aca="false">L343+M343</f>
        <v>20.7</v>
      </c>
      <c r="O343" s="41" t="n">
        <f aca="false">K343-N343</f>
        <v>33.42</v>
      </c>
      <c r="P343" s="43" t="n">
        <f aca="false">IF(K343=0,0,O343/K343)</f>
        <v>0.617516629711752</v>
      </c>
    </row>
    <row r="344" customFormat="false" ht="15" hidden="false" customHeight="false" outlineLevel="0" collapsed="false">
      <c r="A344" s="39" t="s">
        <v>466</v>
      </c>
      <c r="B344" s="40" t="n">
        <v>45710</v>
      </c>
      <c r="C344" s="39" t="s">
        <v>153</v>
      </c>
      <c r="D344" s="39" t="n">
        <v>1</v>
      </c>
      <c r="E344" s="41" t="n">
        <v>166.5</v>
      </c>
      <c r="F344" s="39" t="s">
        <v>105</v>
      </c>
      <c r="G344" s="39" t="str">
        <f aca="false">VLOOKUP(C344,Products!$A$5:$D$24,2,FALSE())</f>
        <v>24-inch Monitor</v>
      </c>
      <c r="H344" s="39" t="str">
        <f aca="false">VLOOKUP(C344,Products!$A$5:$D$24,3,FALSE())</f>
        <v>Electronics</v>
      </c>
      <c r="I344" s="41" t="n">
        <f aca="false">VLOOKUP(C344,Products!$A$5:$D$24,4,FALSE())</f>
        <v>90</v>
      </c>
      <c r="J344" s="42" t="n">
        <f aca="false">DATE(YEAR(B344),MONTH(B344),1)</f>
        <v>45689</v>
      </c>
      <c r="K344" s="41" t="n">
        <f aca="false">D344*E344</f>
        <v>166.5</v>
      </c>
      <c r="L344" s="41" t="n">
        <f aca="false">D344*I344</f>
        <v>90</v>
      </c>
      <c r="M344" s="41" t="n">
        <f aca="false">IFERROR(INDEX(Raw_Expenses!$C$5:$C$2979,MATCH(A344,Raw_Expenses!$A$5:$A$2979,0)),0)</f>
        <v>11.22</v>
      </c>
      <c r="N344" s="41" t="n">
        <f aca="false">L344+M344</f>
        <v>101.22</v>
      </c>
      <c r="O344" s="41" t="n">
        <f aca="false">K344-N344</f>
        <v>65.28</v>
      </c>
      <c r="P344" s="43" t="n">
        <f aca="false">IF(K344=0,0,O344/K344)</f>
        <v>0.392072072072072</v>
      </c>
    </row>
    <row r="345" customFormat="false" ht="15" hidden="false" customHeight="false" outlineLevel="0" collapsed="false">
      <c r="A345" s="39" t="s">
        <v>467</v>
      </c>
      <c r="B345" s="40" t="n">
        <v>45710</v>
      </c>
      <c r="C345" s="39" t="s">
        <v>130</v>
      </c>
      <c r="D345" s="39" t="n">
        <v>5</v>
      </c>
      <c r="E345" s="41" t="n">
        <v>8.51</v>
      </c>
      <c r="F345" s="39" t="s">
        <v>105</v>
      </c>
      <c r="G345" s="39" t="str">
        <f aca="false">VLOOKUP(C345,Products!$A$5:$D$24,2,FALSE())</f>
        <v>Notebook Set</v>
      </c>
      <c r="H345" s="39" t="str">
        <f aca="false">VLOOKUP(C345,Products!$A$5:$D$24,3,FALSE())</f>
        <v>Stationery</v>
      </c>
      <c r="I345" s="41" t="n">
        <f aca="false">VLOOKUP(C345,Products!$A$5:$D$24,4,FALSE())</f>
        <v>3</v>
      </c>
      <c r="J345" s="42" t="n">
        <f aca="false">DATE(YEAR(B345),MONTH(B345),1)</f>
        <v>45689</v>
      </c>
      <c r="K345" s="41" t="n">
        <f aca="false">D345*E345</f>
        <v>42.55</v>
      </c>
      <c r="L345" s="41" t="n">
        <f aca="false">D345*I345</f>
        <v>15</v>
      </c>
      <c r="M345" s="41" t="n">
        <f aca="false">IFERROR(INDEX(Raw_Expenses!$C$5:$C$2979,MATCH(A345,Raw_Expenses!$A$5:$A$2979,0)),0)</f>
        <v>2.89</v>
      </c>
      <c r="N345" s="41" t="n">
        <f aca="false">L345+M345</f>
        <v>17.89</v>
      </c>
      <c r="O345" s="41" t="n">
        <f aca="false">K345-N345</f>
        <v>24.66</v>
      </c>
      <c r="P345" s="43" t="n">
        <f aca="false">IF(K345=0,0,O345/K345)</f>
        <v>0.579553466509988</v>
      </c>
    </row>
    <row r="346" customFormat="false" ht="15" hidden="false" customHeight="false" outlineLevel="0" collapsed="false">
      <c r="A346" s="39" t="s">
        <v>468</v>
      </c>
      <c r="B346" s="40" t="n">
        <v>45711</v>
      </c>
      <c r="C346" s="39" t="s">
        <v>112</v>
      </c>
      <c r="D346" s="39" t="n">
        <v>4</v>
      </c>
      <c r="E346" s="41" t="n">
        <v>53.91</v>
      </c>
      <c r="F346" s="39" t="s">
        <v>108</v>
      </c>
      <c r="G346" s="39" t="str">
        <f aca="false">VLOOKUP(C346,Products!$A$5:$D$24,2,FALSE())</f>
        <v>HD Webcam</v>
      </c>
      <c r="H346" s="39" t="str">
        <f aca="false">VLOOKUP(C346,Products!$A$5:$D$24,3,FALSE())</f>
        <v>Electronics</v>
      </c>
      <c r="I346" s="41" t="n">
        <f aca="false">VLOOKUP(C346,Products!$A$5:$D$24,4,FALSE())</f>
        <v>22</v>
      </c>
      <c r="J346" s="42" t="n">
        <f aca="false">DATE(YEAR(B346),MONTH(B346),1)</f>
        <v>45689</v>
      </c>
      <c r="K346" s="41" t="n">
        <f aca="false">D346*E346</f>
        <v>215.64</v>
      </c>
      <c r="L346" s="41" t="n">
        <f aca="false">D346*I346</f>
        <v>88</v>
      </c>
      <c r="M346" s="41" t="n">
        <f aca="false">IFERROR(INDEX(Raw_Expenses!$C$5:$C$2979,MATCH(A346,Raw_Expenses!$A$5:$A$2979,0)),0)</f>
        <v>14.3</v>
      </c>
      <c r="N346" s="41" t="n">
        <f aca="false">L346+M346</f>
        <v>102.3</v>
      </c>
      <c r="O346" s="41" t="n">
        <f aca="false">K346-N346</f>
        <v>113.34</v>
      </c>
      <c r="P346" s="43" t="n">
        <f aca="false">IF(K346=0,0,O346/K346)</f>
        <v>0.525598219254313</v>
      </c>
    </row>
    <row r="347" customFormat="false" ht="15" hidden="false" customHeight="false" outlineLevel="0" collapsed="false">
      <c r="A347" s="39" t="s">
        <v>469</v>
      </c>
      <c r="B347" s="40" t="n">
        <v>45711</v>
      </c>
      <c r="C347" s="39" t="s">
        <v>128</v>
      </c>
      <c r="D347" s="39" t="n">
        <v>5</v>
      </c>
      <c r="E347" s="41" t="n">
        <v>37.07</v>
      </c>
      <c r="F347" s="39" t="s">
        <v>118</v>
      </c>
      <c r="G347" s="39" t="str">
        <f aca="false">VLOOKUP(C347,Products!$A$5:$D$24,2,FALSE())</f>
        <v>Ergonomic Footrest</v>
      </c>
      <c r="H347" s="39" t="str">
        <f aca="false">VLOOKUP(C347,Products!$A$5:$D$24,3,FALSE())</f>
        <v>Furniture</v>
      </c>
      <c r="I347" s="41" t="n">
        <f aca="false">VLOOKUP(C347,Products!$A$5:$D$24,4,FALSE())</f>
        <v>15</v>
      </c>
      <c r="J347" s="42" t="n">
        <f aca="false">DATE(YEAR(B347),MONTH(B347),1)</f>
        <v>45689</v>
      </c>
      <c r="K347" s="41" t="n">
        <f aca="false">D347*E347</f>
        <v>185.35</v>
      </c>
      <c r="L347" s="41" t="n">
        <f aca="false">D347*I347</f>
        <v>75</v>
      </c>
      <c r="M347" s="41" t="n">
        <f aca="false">IFERROR(INDEX(Raw_Expenses!$C$5:$C$2979,MATCH(A347,Raw_Expenses!$A$5:$A$2979,0)),0)</f>
        <v>12.61</v>
      </c>
      <c r="N347" s="41" t="n">
        <f aca="false">L347+M347</f>
        <v>87.61</v>
      </c>
      <c r="O347" s="41" t="n">
        <f aca="false">K347-N347</f>
        <v>97.74</v>
      </c>
      <c r="P347" s="43" t="n">
        <f aca="false">IF(K347=0,0,O347/K347)</f>
        <v>0.527326679255463</v>
      </c>
    </row>
    <row r="348" customFormat="false" ht="15" hidden="false" customHeight="false" outlineLevel="0" collapsed="false">
      <c r="A348" s="39" t="s">
        <v>470</v>
      </c>
      <c r="B348" s="40" t="n">
        <v>45711</v>
      </c>
      <c r="C348" s="39" t="s">
        <v>130</v>
      </c>
      <c r="D348" s="39" t="n">
        <v>3</v>
      </c>
      <c r="E348" s="41" t="n">
        <v>8.7</v>
      </c>
      <c r="F348" s="39" t="s">
        <v>105</v>
      </c>
      <c r="G348" s="39" t="str">
        <f aca="false">VLOOKUP(C348,Products!$A$5:$D$24,2,FALSE())</f>
        <v>Notebook Set</v>
      </c>
      <c r="H348" s="39" t="str">
        <f aca="false">VLOOKUP(C348,Products!$A$5:$D$24,3,FALSE())</f>
        <v>Stationery</v>
      </c>
      <c r="I348" s="41" t="n">
        <f aca="false">VLOOKUP(C348,Products!$A$5:$D$24,4,FALSE())</f>
        <v>3</v>
      </c>
      <c r="J348" s="42" t="n">
        <f aca="false">DATE(YEAR(B348),MONTH(B348),1)</f>
        <v>45689</v>
      </c>
      <c r="K348" s="41" t="n">
        <f aca="false">D348*E348</f>
        <v>26.1</v>
      </c>
      <c r="L348" s="41" t="n">
        <f aca="false">D348*I348</f>
        <v>9</v>
      </c>
      <c r="M348" s="41" t="n">
        <f aca="false">IFERROR(INDEX(Raw_Expenses!$C$5:$C$2979,MATCH(A348,Raw_Expenses!$A$5:$A$2979,0)),0)</f>
        <v>2.19</v>
      </c>
      <c r="N348" s="41" t="n">
        <f aca="false">L348+M348</f>
        <v>11.19</v>
      </c>
      <c r="O348" s="41" t="n">
        <f aca="false">K348-N348</f>
        <v>14.91</v>
      </c>
      <c r="P348" s="43" t="n">
        <f aca="false">IF(K348=0,0,O348/K348)</f>
        <v>0.571264367816092</v>
      </c>
    </row>
    <row r="349" customFormat="false" ht="15" hidden="false" customHeight="false" outlineLevel="0" collapsed="false">
      <c r="A349" s="39" t="s">
        <v>471</v>
      </c>
      <c r="B349" s="40" t="n">
        <v>45711</v>
      </c>
      <c r="C349" s="39" t="s">
        <v>183</v>
      </c>
      <c r="D349" s="39" t="n">
        <v>5</v>
      </c>
      <c r="E349" s="41" t="n">
        <v>175.7</v>
      </c>
      <c r="F349" s="39" t="s">
        <v>108</v>
      </c>
      <c r="G349" s="39" t="str">
        <f aca="false">VLOOKUP(C349,Products!$A$5:$D$24,2,FALSE())</f>
        <v>Office Chair</v>
      </c>
      <c r="H349" s="39" t="str">
        <f aca="false">VLOOKUP(C349,Products!$A$5:$D$24,3,FALSE())</f>
        <v>Furniture</v>
      </c>
      <c r="I349" s="41" t="n">
        <f aca="false">VLOOKUP(C349,Products!$A$5:$D$24,4,FALSE())</f>
        <v>85</v>
      </c>
      <c r="J349" s="42" t="n">
        <f aca="false">DATE(YEAR(B349),MONTH(B349),1)</f>
        <v>45689</v>
      </c>
      <c r="K349" s="41" t="n">
        <f aca="false">D349*E349</f>
        <v>878.5</v>
      </c>
      <c r="L349" s="41" t="n">
        <f aca="false">D349*I349</f>
        <v>425</v>
      </c>
      <c r="M349" s="41" t="n">
        <f aca="false">IFERROR(INDEX(Raw_Expenses!$C$5:$C$2979,MATCH(A349,Raw_Expenses!$A$5:$A$2979,0)),0)</f>
        <v>75.59</v>
      </c>
      <c r="N349" s="41" t="n">
        <f aca="false">L349+M349</f>
        <v>500.59</v>
      </c>
      <c r="O349" s="41" t="n">
        <f aca="false">K349-N349</f>
        <v>377.91</v>
      </c>
      <c r="P349" s="43" t="n">
        <f aca="false">IF(K349=0,0,O349/K349)</f>
        <v>0.430176437108708</v>
      </c>
    </row>
    <row r="350" customFormat="false" ht="15" hidden="false" customHeight="false" outlineLevel="0" collapsed="false">
      <c r="A350" s="39" t="s">
        <v>472</v>
      </c>
      <c r="B350" s="40" t="n">
        <v>45711</v>
      </c>
      <c r="C350" s="39" t="s">
        <v>104</v>
      </c>
      <c r="D350" s="39" t="n">
        <v>2</v>
      </c>
      <c r="E350" s="41" t="n">
        <v>15.86</v>
      </c>
      <c r="F350" s="39" t="s">
        <v>115</v>
      </c>
      <c r="G350" s="39" t="str">
        <f aca="false">VLOOKUP(C350,Products!$A$5:$D$24,2,FALSE())</f>
        <v>Water Bottle</v>
      </c>
      <c r="H350" s="39" t="str">
        <f aca="false">VLOOKUP(C350,Products!$A$5:$D$24,3,FALSE())</f>
        <v>Accessories</v>
      </c>
      <c r="I350" s="41" t="n">
        <f aca="false">VLOOKUP(C350,Products!$A$5:$D$24,4,FALSE())</f>
        <v>5</v>
      </c>
      <c r="J350" s="42" t="n">
        <f aca="false">DATE(YEAR(B350),MONTH(B350),1)</f>
        <v>45689</v>
      </c>
      <c r="K350" s="41" t="n">
        <f aca="false">D350*E350</f>
        <v>31.72</v>
      </c>
      <c r="L350" s="41" t="n">
        <f aca="false">D350*I350</f>
        <v>10</v>
      </c>
      <c r="M350" s="41" t="n">
        <f aca="false">IFERROR(INDEX(Raw_Expenses!$C$5:$C$2979,MATCH(A350,Raw_Expenses!$A$5:$A$2979,0)),0)</f>
        <v>1.9</v>
      </c>
      <c r="N350" s="41" t="n">
        <f aca="false">L350+M350</f>
        <v>11.9</v>
      </c>
      <c r="O350" s="41" t="n">
        <f aca="false">K350-N350</f>
        <v>19.82</v>
      </c>
      <c r="P350" s="43" t="n">
        <f aca="false">IF(K350=0,0,O350/K350)</f>
        <v>0.62484237074401</v>
      </c>
    </row>
    <row r="351" customFormat="false" ht="15" hidden="false" customHeight="false" outlineLevel="0" collapsed="false">
      <c r="A351" s="39" t="s">
        <v>473</v>
      </c>
      <c r="B351" s="40" t="n">
        <v>45712</v>
      </c>
      <c r="C351" s="39" t="s">
        <v>128</v>
      </c>
      <c r="D351" s="39" t="n">
        <v>1</v>
      </c>
      <c r="E351" s="41" t="n">
        <v>37.36</v>
      </c>
      <c r="F351" s="39" t="s">
        <v>118</v>
      </c>
      <c r="G351" s="39" t="str">
        <f aca="false">VLOOKUP(C351,Products!$A$5:$D$24,2,FALSE())</f>
        <v>Ergonomic Footrest</v>
      </c>
      <c r="H351" s="39" t="str">
        <f aca="false">VLOOKUP(C351,Products!$A$5:$D$24,3,FALSE())</f>
        <v>Furniture</v>
      </c>
      <c r="I351" s="41" t="n">
        <f aca="false">VLOOKUP(C351,Products!$A$5:$D$24,4,FALSE())</f>
        <v>15</v>
      </c>
      <c r="J351" s="42" t="n">
        <f aca="false">DATE(YEAR(B351),MONTH(B351),1)</f>
        <v>45689</v>
      </c>
      <c r="K351" s="41" t="n">
        <f aca="false">D351*E351</f>
        <v>37.36</v>
      </c>
      <c r="L351" s="41" t="n">
        <f aca="false">D351*I351</f>
        <v>15</v>
      </c>
      <c r="M351" s="41" t="n">
        <f aca="false">IFERROR(INDEX(Raw_Expenses!$C$5:$C$2979,MATCH(A351,Raw_Expenses!$A$5:$A$2979,0)),0)</f>
        <v>2.75</v>
      </c>
      <c r="N351" s="41" t="n">
        <f aca="false">L351+M351</f>
        <v>17.75</v>
      </c>
      <c r="O351" s="41" t="n">
        <f aca="false">K351-N351</f>
        <v>19.61</v>
      </c>
      <c r="P351" s="43" t="n">
        <f aca="false">IF(K351=0,0,O351/K351)</f>
        <v>0.524892933618844</v>
      </c>
    </row>
    <row r="352" customFormat="false" ht="15" hidden="false" customHeight="false" outlineLevel="0" collapsed="false">
      <c r="A352" s="39" t="s">
        <v>474</v>
      </c>
      <c r="B352" s="40" t="n">
        <v>45712</v>
      </c>
      <c r="C352" s="39" t="s">
        <v>177</v>
      </c>
      <c r="D352" s="39" t="n">
        <v>2</v>
      </c>
      <c r="E352" s="41" t="n">
        <v>44.29</v>
      </c>
      <c r="F352" s="39" t="s">
        <v>115</v>
      </c>
      <c r="G352" s="39" t="str">
        <f aca="false">VLOOKUP(C352,Products!$A$5:$D$24,2,FALSE())</f>
        <v>Backpack</v>
      </c>
      <c r="H352" s="39" t="str">
        <f aca="false">VLOOKUP(C352,Products!$A$5:$D$24,3,FALSE())</f>
        <v>Accessories</v>
      </c>
      <c r="I352" s="41" t="n">
        <f aca="false">VLOOKUP(C352,Products!$A$5:$D$24,4,FALSE())</f>
        <v>17</v>
      </c>
      <c r="J352" s="42" t="n">
        <f aca="false">DATE(YEAR(B352),MONTH(B352),1)</f>
        <v>45689</v>
      </c>
      <c r="K352" s="41" t="n">
        <f aca="false">D352*E352</f>
        <v>88.58</v>
      </c>
      <c r="L352" s="41" t="n">
        <f aca="false">D352*I352</f>
        <v>34</v>
      </c>
      <c r="M352" s="41" t="n">
        <f aca="false">IFERROR(INDEX(Raw_Expenses!$C$5:$C$2979,MATCH(A352,Raw_Expenses!$A$5:$A$2979,0)),0)</f>
        <v>4.54</v>
      </c>
      <c r="N352" s="41" t="n">
        <f aca="false">L352+M352</f>
        <v>38.54</v>
      </c>
      <c r="O352" s="41" t="n">
        <f aca="false">K352-N352</f>
        <v>50.04</v>
      </c>
      <c r="P352" s="43" t="n">
        <f aca="false">IF(K352=0,0,O352/K352)</f>
        <v>0.564913072928426</v>
      </c>
    </row>
    <row r="353" customFormat="false" ht="15" hidden="false" customHeight="false" outlineLevel="0" collapsed="false">
      <c r="A353" s="39" t="s">
        <v>475</v>
      </c>
      <c r="B353" s="40" t="n">
        <v>45712</v>
      </c>
      <c r="C353" s="39" t="s">
        <v>162</v>
      </c>
      <c r="D353" s="39" t="n">
        <v>3</v>
      </c>
      <c r="E353" s="41" t="n">
        <v>64.38</v>
      </c>
      <c r="F353" s="39" t="s">
        <v>118</v>
      </c>
      <c r="G353" s="39" t="str">
        <f aca="false">VLOOKUP(C353,Products!$A$5:$D$24,2,FALSE())</f>
        <v>Bluetooth Speaker</v>
      </c>
      <c r="H353" s="39" t="str">
        <f aca="false">VLOOKUP(C353,Products!$A$5:$D$24,3,FALSE())</f>
        <v>Electronics</v>
      </c>
      <c r="I353" s="41" t="n">
        <f aca="false">VLOOKUP(C353,Products!$A$5:$D$24,4,FALSE())</f>
        <v>28</v>
      </c>
      <c r="J353" s="42" t="n">
        <f aca="false">DATE(YEAR(B353),MONTH(B353),1)</f>
        <v>45689</v>
      </c>
      <c r="K353" s="41" t="n">
        <f aca="false">D353*E353</f>
        <v>193.14</v>
      </c>
      <c r="L353" s="41" t="n">
        <f aca="false">D353*I353</f>
        <v>84</v>
      </c>
      <c r="M353" s="41" t="n">
        <f aca="false">IFERROR(INDEX(Raw_Expenses!$C$5:$C$2979,MATCH(A353,Raw_Expenses!$A$5:$A$2979,0)),0)</f>
        <v>15.94</v>
      </c>
      <c r="N353" s="41" t="n">
        <f aca="false">L353+M353</f>
        <v>99.94</v>
      </c>
      <c r="O353" s="41" t="n">
        <f aca="false">K353-N353</f>
        <v>93.2</v>
      </c>
      <c r="P353" s="43" t="n">
        <f aca="false">IF(K353=0,0,O353/K353)</f>
        <v>0.482551517034276</v>
      </c>
    </row>
    <row r="354" customFormat="false" ht="15" hidden="false" customHeight="false" outlineLevel="0" collapsed="false">
      <c r="A354" s="39" t="s">
        <v>476</v>
      </c>
      <c r="B354" s="40" t="n">
        <v>45712</v>
      </c>
      <c r="C354" s="39" t="s">
        <v>104</v>
      </c>
      <c r="D354" s="39" t="n">
        <v>4</v>
      </c>
      <c r="E354" s="41" t="n">
        <v>15</v>
      </c>
      <c r="F354" s="39" t="s">
        <v>115</v>
      </c>
      <c r="G354" s="39" t="str">
        <f aca="false">VLOOKUP(C354,Products!$A$5:$D$24,2,FALSE())</f>
        <v>Water Bottle</v>
      </c>
      <c r="H354" s="39" t="str">
        <f aca="false">VLOOKUP(C354,Products!$A$5:$D$24,3,FALSE())</f>
        <v>Accessories</v>
      </c>
      <c r="I354" s="41" t="n">
        <f aca="false">VLOOKUP(C354,Products!$A$5:$D$24,4,FALSE())</f>
        <v>5</v>
      </c>
      <c r="J354" s="42" t="n">
        <f aca="false">DATE(YEAR(B354),MONTH(B354),1)</f>
        <v>45689</v>
      </c>
      <c r="K354" s="41" t="n">
        <f aca="false">D354*E354</f>
        <v>60</v>
      </c>
      <c r="L354" s="41" t="n">
        <f aca="false">D354*I354</f>
        <v>20</v>
      </c>
      <c r="M354" s="41" t="n">
        <f aca="false">IFERROR(INDEX(Raw_Expenses!$C$5:$C$2979,MATCH(A354,Raw_Expenses!$A$5:$A$2979,0)),0)</f>
        <v>2.54</v>
      </c>
      <c r="N354" s="41" t="n">
        <f aca="false">L354+M354</f>
        <v>22.54</v>
      </c>
      <c r="O354" s="41" t="n">
        <f aca="false">K354-N354</f>
        <v>37.46</v>
      </c>
      <c r="P354" s="43" t="n">
        <f aca="false">IF(K354=0,0,O354/K354)</f>
        <v>0.624333333333333</v>
      </c>
    </row>
    <row r="355" customFormat="false" ht="15" hidden="false" customHeight="false" outlineLevel="0" collapsed="false">
      <c r="A355" s="39" t="s">
        <v>477</v>
      </c>
      <c r="B355" s="40" t="n">
        <v>45712</v>
      </c>
      <c r="C355" s="39" t="s">
        <v>114</v>
      </c>
      <c r="D355" s="39" t="n">
        <v>2</v>
      </c>
      <c r="E355" s="41" t="n">
        <v>5.53</v>
      </c>
      <c r="F355" s="39" t="s">
        <v>108</v>
      </c>
      <c r="G355" s="39" t="str">
        <f aca="false">VLOOKUP(C355,Products!$A$5:$D$24,2,FALSE())</f>
        <v>Gel Pen Pack</v>
      </c>
      <c r="H355" s="39" t="str">
        <f aca="false">VLOOKUP(C355,Products!$A$5:$D$24,3,FALSE())</f>
        <v>Stationery</v>
      </c>
      <c r="I355" s="41" t="n">
        <f aca="false">VLOOKUP(C355,Products!$A$5:$D$24,4,FALSE())</f>
        <v>2</v>
      </c>
      <c r="J355" s="42" t="n">
        <f aca="false">DATE(YEAR(B355),MONTH(B355),1)</f>
        <v>45689</v>
      </c>
      <c r="K355" s="41" t="n">
        <f aca="false">D355*E355</f>
        <v>11.06</v>
      </c>
      <c r="L355" s="41" t="n">
        <f aca="false">D355*I355</f>
        <v>4</v>
      </c>
      <c r="M355" s="41" t="n">
        <f aca="false">IFERROR(INDEX(Raw_Expenses!$C$5:$C$2979,MATCH(A355,Raw_Expenses!$A$5:$A$2979,0)),0)</f>
        <v>0.81</v>
      </c>
      <c r="N355" s="41" t="n">
        <f aca="false">L355+M355</f>
        <v>4.81</v>
      </c>
      <c r="O355" s="41" t="n">
        <f aca="false">K355-N355</f>
        <v>6.25</v>
      </c>
      <c r="P355" s="43" t="n">
        <f aca="false">IF(K355=0,0,O355/K355)</f>
        <v>0.565099457504521</v>
      </c>
    </row>
    <row r="356" customFormat="false" ht="15" hidden="false" customHeight="false" outlineLevel="0" collapsed="false">
      <c r="A356" s="39" t="s">
        <v>478</v>
      </c>
      <c r="B356" s="40" t="n">
        <v>45712</v>
      </c>
      <c r="C356" s="39" t="s">
        <v>130</v>
      </c>
      <c r="D356" s="39" t="n">
        <v>1</v>
      </c>
      <c r="E356" s="41" t="n">
        <v>8.75</v>
      </c>
      <c r="F356" s="39" t="s">
        <v>108</v>
      </c>
      <c r="G356" s="39" t="str">
        <f aca="false">VLOOKUP(C356,Products!$A$5:$D$24,2,FALSE())</f>
        <v>Notebook Set</v>
      </c>
      <c r="H356" s="39" t="str">
        <f aca="false">VLOOKUP(C356,Products!$A$5:$D$24,3,FALSE())</f>
        <v>Stationery</v>
      </c>
      <c r="I356" s="41" t="n">
        <f aca="false">VLOOKUP(C356,Products!$A$5:$D$24,4,FALSE())</f>
        <v>3</v>
      </c>
      <c r="J356" s="42" t="n">
        <f aca="false">DATE(YEAR(B356),MONTH(B356),1)</f>
        <v>45689</v>
      </c>
      <c r="K356" s="41" t="n">
        <f aca="false">D356*E356</f>
        <v>8.75</v>
      </c>
      <c r="L356" s="41" t="n">
        <f aca="false">D356*I356</f>
        <v>3</v>
      </c>
      <c r="M356" s="41" t="n">
        <f aca="false">IFERROR(INDEX(Raw_Expenses!$C$5:$C$2979,MATCH(A356,Raw_Expenses!$A$5:$A$2979,0)),0)</f>
        <v>0.38</v>
      </c>
      <c r="N356" s="41" t="n">
        <f aca="false">L356+M356</f>
        <v>3.38</v>
      </c>
      <c r="O356" s="41" t="n">
        <f aca="false">K356-N356</f>
        <v>5.37</v>
      </c>
      <c r="P356" s="43" t="n">
        <f aca="false">IF(K356=0,0,O356/K356)</f>
        <v>0.613714285714286</v>
      </c>
    </row>
    <row r="357" customFormat="false" ht="15" hidden="false" customHeight="false" outlineLevel="0" collapsed="false">
      <c r="A357" s="39" t="s">
        <v>479</v>
      </c>
      <c r="B357" s="40" t="n">
        <v>45713</v>
      </c>
      <c r="C357" s="39" t="s">
        <v>133</v>
      </c>
      <c r="D357" s="39" t="n">
        <v>4</v>
      </c>
      <c r="E357" s="41" t="n">
        <v>8.93</v>
      </c>
      <c r="F357" s="39" t="s">
        <v>118</v>
      </c>
      <c r="G357" s="39" t="str">
        <f aca="false">VLOOKUP(C357,Products!$A$5:$D$24,2,FALSE())</f>
        <v>Printer Paper Ream</v>
      </c>
      <c r="H357" s="39" t="str">
        <f aca="false">VLOOKUP(C357,Products!$A$5:$D$24,3,FALSE())</f>
        <v>Stationery</v>
      </c>
      <c r="I357" s="41" t="n">
        <f aca="false">VLOOKUP(C357,Products!$A$5:$D$24,4,FALSE())</f>
        <v>4</v>
      </c>
      <c r="J357" s="42" t="n">
        <f aca="false">DATE(YEAR(B357),MONTH(B357),1)</f>
        <v>45689</v>
      </c>
      <c r="K357" s="41" t="n">
        <f aca="false">D357*E357</f>
        <v>35.72</v>
      </c>
      <c r="L357" s="41" t="n">
        <f aca="false">D357*I357</f>
        <v>16</v>
      </c>
      <c r="M357" s="41" t="n">
        <f aca="false">IFERROR(INDEX(Raw_Expenses!$C$5:$C$2979,MATCH(A357,Raw_Expenses!$A$5:$A$2979,0)),0)</f>
        <v>2.92</v>
      </c>
      <c r="N357" s="41" t="n">
        <f aca="false">L357+M357</f>
        <v>18.92</v>
      </c>
      <c r="O357" s="41" t="n">
        <f aca="false">K357-N357</f>
        <v>16.8</v>
      </c>
      <c r="P357" s="43" t="n">
        <f aca="false">IF(K357=0,0,O357/K357)</f>
        <v>0.470324748040314</v>
      </c>
    </row>
    <row r="358" customFormat="false" ht="15" hidden="false" customHeight="false" outlineLevel="0" collapsed="false">
      <c r="A358" s="39" t="s">
        <v>480</v>
      </c>
      <c r="B358" s="40" t="n">
        <v>45713</v>
      </c>
      <c r="C358" s="39" t="s">
        <v>110</v>
      </c>
      <c r="D358" s="39" t="n">
        <v>4</v>
      </c>
      <c r="E358" s="41" t="n">
        <v>12.94</v>
      </c>
      <c r="F358" s="39" t="s">
        <v>105</v>
      </c>
      <c r="G358" s="39" t="str">
        <f aca="false">VLOOKUP(C358,Products!$A$5:$D$24,2,FALSE())</f>
        <v>Phone Stand</v>
      </c>
      <c r="H358" s="39" t="str">
        <f aca="false">VLOOKUP(C358,Products!$A$5:$D$24,3,FALSE())</f>
        <v>Accessories</v>
      </c>
      <c r="I358" s="41" t="n">
        <f aca="false">VLOOKUP(C358,Products!$A$5:$D$24,4,FALSE())</f>
        <v>4</v>
      </c>
      <c r="J358" s="42" t="n">
        <f aca="false">DATE(YEAR(B358),MONTH(B358),1)</f>
        <v>45689</v>
      </c>
      <c r="K358" s="41" t="n">
        <f aca="false">D358*E358</f>
        <v>51.76</v>
      </c>
      <c r="L358" s="41" t="n">
        <f aca="false">D358*I358</f>
        <v>16</v>
      </c>
      <c r="M358" s="41" t="n">
        <f aca="false">IFERROR(INDEX(Raw_Expenses!$C$5:$C$2979,MATCH(A358,Raw_Expenses!$A$5:$A$2979,0)),0)</f>
        <v>4.08</v>
      </c>
      <c r="N358" s="41" t="n">
        <f aca="false">L358+M358</f>
        <v>20.08</v>
      </c>
      <c r="O358" s="41" t="n">
        <f aca="false">K358-N358</f>
        <v>31.68</v>
      </c>
      <c r="P358" s="43" t="n">
        <f aca="false">IF(K358=0,0,O358/K358)</f>
        <v>0.612055641421948</v>
      </c>
    </row>
    <row r="359" customFormat="false" ht="15" hidden="false" customHeight="false" outlineLevel="0" collapsed="false">
      <c r="A359" s="39" t="s">
        <v>481</v>
      </c>
      <c r="B359" s="40" t="n">
        <v>45713</v>
      </c>
      <c r="C359" s="39" t="s">
        <v>133</v>
      </c>
      <c r="D359" s="39" t="n">
        <v>3</v>
      </c>
      <c r="E359" s="41" t="n">
        <v>8.85</v>
      </c>
      <c r="F359" s="39" t="s">
        <v>105</v>
      </c>
      <c r="G359" s="39" t="str">
        <f aca="false">VLOOKUP(C359,Products!$A$5:$D$24,2,FALSE())</f>
        <v>Printer Paper Ream</v>
      </c>
      <c r="H359" s="39" t="str">
        <f aca="false">VLOOKUP(C359,Products!$A$5:$D$24,3,FALSE())</f>
        <v>Stationery</v>
      </c>
      <c r="I359" s="41" t="n">
        <f aca="false">VLOOKUP(C359,Products!$A$5:$D$24,4,FALSE())</f>
        <v>4</v>
      </c>
      <c r="J359" s="42" t="n">
        <f aca="false">DATE(YEAR(B359),MONTH(B359),1)</f>
        <v>45689</v>
      </c>
      <c r="K359" s="41" t="n">
        <f aca="false">D359*E359</f>
        <v>26.55</v>
      </c>
      <c r="L359" s="41" t="n">
        <f aca="false">D359*I359</f>
        <v>12</v>
      </c>
      <c r="M359" s="41" t="n">
        <f aca="false">IFERROR(INDEX(Raw_Expenses!$C$5:$C$2979,MATCH(A359,Raw_Expenses!$A$5:$A$2979,0)),0)</f>
        <v>2.21</v>
      </c>
      <c r="N359" s="41" t="n">
        <f aca="false">L359+M359</f>
        <v>14.21</v>
      </c>
      <c r="O359" s="41" t="n">
        <f aca="false">K359-N359</f>
        <v>12.34</v>
      </c>
      <c r="P359" s="43" t="n">
        <f aca="false">IF(K359=0,0,O359/K359)</f>
        <v>0.464783427495292</v>
      </c>
    </row>
    <row r="360" customFormat="false" ht="15" hidden="false" customHeight="false" outlineLevel="0" collapsed="false">
      <c r="A360" s="39" t="s">
        <v>482</v>
      </c>
      <c r="B360" s="40" t="n">
        <v>45713</v>
      </c>
      <c r="C360" s="39" t="s">
        <v>162</v>
      </c>
      <c r="D360" s="39" t="n">
        <v>4</v>
      </c>
      <c r="E360" s="41" t="n">
        <v>66.36</v>
      </c>
      <c r="F360" s="39" t="s">
        <v>115</v>
      </c>
      <c r="G360" s="39" t="str">
        <f aca="false">VLOOKUP(C360,Products!$A$5:$D$24,2,FALSE())</f>
        <v>Bluetooth Speaker</v>
      </c>
      <c r="H360" s="39" t="str">
        <f aca="false">VLOOKUP(C360,Products!$A$5:$D$24,3,FALSE())</f>
        <v>Electronics</v>
      </c>
      <c r="I360" s="41" t="n">
        <f aca="false">VLOOKUP(C360,Products!$A$5:$D$24,4,FALSE())</f>
        <v>28</v>
      </c>
      <c r="J360" s="42" t="n">
        <f aca="false">DATE(YEAR(B360),MONTH(B360),1)</f>
        <v>45689</v>
      </c>
      <c r="K360" s="41" t="n">
        <f aca="false">D360*E360</f>
        <v>265.44</v>
      </c>
      <c r="L360" s="41" t="n">
        <f aca="false">D360*I360</f>
        <v>112</v>
      </c>
      <c r="M360" s="41" t="n">
        <f aca="false">IFERROR(INDEX(Raw_Expenses!$C$5:$C$2979,MATCH(A360,Raw_Expenses!$A$5:$A$2979,0)),0)</f>
        <v>18</v>
      </c>
      <c r="N360" s="41" t="n">
        <f aca="false">L360+M360</f>
        <v>130</v>
      </c>
      <c r="O360" s="41" t="n">
        <f aca="false">K360-N360</f>
        <v>135.44</v>
      </c>
      <c r="P360" s="43" t="n">
        <f aca="false">IF(K360=0,0,O360/K360)</f>
        <v>0.510247136829415</v>
      </c>
    </row>
    <row r="361" customFormat="false" ht="15" hidden="false" customHeight="false" outlineLevel="0" collapsed="false">
      <c r="A361" s="39" t="s">
        <v>483</v>
      </c>
      <c r="B361" s="40" t="n">
        <v>45713</v>
      </c>
      <c r="C361" s="39" t="s">
        <v>112</v>
      </c>
      <c r="D361" s="39" t="n">
        <v>2</v>
      </c>
      <c r="E361" s="41" t="n">
        <v>52.72</v>
      </c>
      <c r="F361" s="39" t="s">
        <v>115</v>
      </c>
      <c r="G361" s="39" t="str">
        <f aca="false">VLOOKUP(C361,Products!$A$5:$D$24,2,FALSE())</f>
        <v>HD Webcam</v>
      </c>
      <c r="H361" s="39" t="str">
        <f aca="false">VLOOKUP(C361,Products!$A$5:$D$24,3,FALSE())</f>
        <v>Electronics</v>
      </c>
      <c r="I361" s="41" t="n">
        <f aca="false">VLOOKUP(C361,Products!$A$5:$D$24,4,FALSE())</f>
        <v>22</v>
      </c>
      <c r="J361" s="42" t="n">
        <f aca="false">DATE(YEAR(B361),MONTH(B361),1)</f>
        <v>45689</v>
      </c>
      <c r="K361" s="41" t="n">
        <f aca="false">D361*E361</f>
        <v>105.44</v>
      </c>
      <c r="L361" s="41" t="n">
        <f aca="false">D361*I361</f>
        <v>44</v>
      </c>
      <c r="M361" s="41" t="n">
        <f aca="false">IFERROR(INDEX(Raw_Expenses!$C$5:$C$2979,MATCH(A361,Raw_Expenses!$A$5:$A$2979,0)),0)</f>
        <v>4.36</v>
      </c>
      <c r="N361" s="41" t="n">
        <f aca="false">L361+M361</f>
        <v>48.36</v>
      </c>
      <c r="O361" s="41" t="n">
        <f aca="false">K361-N361</f>
        <v>57.08</v>
      </c>
      <c r="P361" s="43" t="n">
        <f aca="false">IF(K361=0,0,O361/K361)</f>
        <v>0.541350531107739</v>
      </c>
    </row>
    <row r="362" customFormat="false" ht="15" hidden="false" customHeight="false" outlineLevel="0" collapsed="false">
      <c r="A362" s="39" t="s">
        <v>484</v>
      </c>
      <c r="B362" s="40" t="n">
        <v>45713</v>
      </c>
      <c r="C362" s="39" t="s">
        <v>130</v>
      </c>
      <c r="D362" s="39" t="n">
        <v>3</v>
      </c>
      <c r="E362" s="41" t="n">
        <v>8.44</v>
      </c>
      <c r="F362" s="39" t="s">
        <v>118</v>
      </c>
      <c r="G362" s="39" t="str">
        <f aca="false">VLOOKUP(C362,Products!$A$5:$D$24,2,FALSE())</f>
        <v>Notebook Set</v>
      </c>
      <c r="H362" s="39" t="str">
        <f aca="false">VLOOKUP(C362,Products!$A$5:$D$24,3,FALSE())</f>
        <v>Stationery</v>
      </c>
      <c r="I362" s="41" t="n">
        <f aca="false">VLOOKUP(C362,Products!$A$5:$D$24,4,FALSE())</f>
        <v>3</v>
      </c>
      <c r="J362" s="42" t="n">
        <f aca="false">DATE(YEAR(B362),MONTH(B362),1)</f>
        <v>45689</v>
      </c>
      <c r="K362" s="41" t="n">
        <f aca="false">D362*E362</f>
        <v>25.32</v>
      </c>
      <c r="L362" s="41" t="n">
        <f aca="false">D362*I362</f>
        <v>9</v>
      </c>
      <c r="M362" s="41" t="n">
        <f aca="false">IFERROR(INDEX(Raw_Expenses!$C$5:$C$2979,MATCH(A362,Raw_Expenses!$A$5:$A$2979,0)),0)</f>
        <v>1.23</v>
      </c>
      <c r="N362" s="41" t="n">
        <f aca="false">L362+M362</f>
        <v>10.23</v>
      </c>
      <c r="O362" s="41" t="n">
        <f aca="false">K362-N362</f>
        <v>15.09</v>
      </c>
      <c r="P362" s="43" t="n">
        <f aca="false">IF(K362=0,0,O362/K362)</f>
        <v>0.595971563981043</v>
      </c>
    </row>
    <row r="363" customFormat="false" ht="15" hidden="false" customHeight="false" outlineLevel="0" collapsed="false">
      <c r="A363" s="39" t="s">
        <v>485</v>
      </c>
      <c r="B363" s="40" t="n">
        <v>45713</v>
      </c>
      <c r="C363" s="39" t="s">
        <v>130</v>
      </c>
      <c r="D363" s="39" t="n">
        <v>4</v>
      </c>
      <c r="E363" s="41" t="n">
        <v>8.43</v>
      </c>
      <c r="F363" s="39" t="s">
        <v>108</v>
      </c>
      <c r="G363" s="39" t="str">
        <f aca="false">VLOOKUP(C363,Products!$A$5:$D$24,2,FALSE())</f>
        <v>Notebook Set</v>
      </c>
      <c r="H363" s="39" t="str">
        <f aca="false">VLOOKUP(C363,Products!$A$5:$D$24,3,FALSE())</f>
        <v>Stationery</v>
      </c>
      <c r="I363" s="41" t="n">
        <f aca="false">VLOOKUP(C363,Products!$A$5:$D$24,4,FALSE())</f>
        <v>3</v>
      </c>
      <c r="J363" s="42" t="n">
        <f aca="false">DATE(YEAR(B363),MONTH(B363),1)</f>
        <v>45689</v>
      </c>
      <c r="K363" s="41" t="n">
        <f aca="false">D363*E363</f>
        <v>33.72</v>
      </c>
      <c r="L363" s="41" t="n">
        <f aca="false">D363*I363</f>
        <v>12</v>
      </c>
      <c r="M363" s="41" t="n">
        <f aca="false">IFERROR(INDEX(Raw_Expenses!$C$5:$C$2979,MATCH(A363,Raw_Expenses!$A$5:$A$2979,0)),0)</f>
        <v>2.54</v>
      </c>
      <c r="N363" s="41" t="n">
        <f aca="false">L363+M363</f>
        <v>14.54</v>
      </c>
      <c r="O363" s="41" t="n">
        <f aca="false">K363-N363</f>
        <v>19.18</v>
      </c>
      <c r="P363" s="43" t="n">
        <f aca="false">IF(K363=0,0,O363/K363)</f>
        <v>0.568801897983393</v>
      </c>
    </row>
    <row r="364" customFormat="false" ht="15" hidden="false" customHeight="false" outlineLevel="0" collapsed="false">
      <c r="A364" s="39" t="s">
        <v>486</v>
      </c>
      <c r="B364" s="40" t="n">
        <v>45713</v>
      </c>
      <c r="C364" s="39" t="s">
        <v>139</v>
      </c>
      <c r="D364" s="39" t="n">
        <v>2</v>
      </c>
      <c r="E364" s="41" t="n">
        <v>120.12</v>
      </c>
      <c r="F364" s="39" t="s">
        <v>118</v>
      </c>
      <c r="G364" s="39" t="str">
        <f aca="false">VLOOKUP(C364,Products!$A$5:$D$24,2,FALSE())</f>
        <v>Noise-Cancelling Headphones</v>
      </c>
      <c r="H364" s="39" t="str">
        <f aca="false">VLOOKUP(C364,Products!$A$5:$D$24,3,FALSE())</f>
        <v>Electronics</v>
      </c>
      <c r="I364" s="41" t="n">
        <f aca="false">VLOOKUP(C364,Products!$A$5:$D$24,4,FALSE())</f>
        <v>55</v>
      </c>
      <c r="J364" s="42" t="n">
        <f aca="false">DATE(YEAR(B364),MONTH(B364),1)</f>
        <v>45689</v>
      </c>
      <c r="K364" s="41" t="n">
        <f aca="false">D364*E364</f>
        <v>240.24</v>
      </c>
      <c r="L364" s="41" t="n">
        <f aca="false">D364*I364</f>
        <v>110</v>
      </c>
      <c r="M364" s="41" t="n">
        <f aca="false">IFERROR(INDEX(Raw_Expenses!$C$5:$C$2979,MATCH(A364,Raw_Expenses!$A$5:$A$2979,0)),0)</f>
        <v>10.33</v>
      </c>
      <c r="N364" s="41" t="n">
        <f aca="false">L364+M364</f>
        <v>120.33</v>
      </c>
      <c r="O364" s="41" t="n">
        <f aca="false">K364-N364</f>
        <v>119.91</v>
      </c>
      <c r="P364" s="43" t="n">
        <f aca="false">IF(K364=0,0,O364/K364)</f>
        <v>0.499125874125874</v>
      </c>
    </row>
    <row r="365" customFormat="false" ht="15" hidden="false" customHeight="false" outlineLevel="0" collapsed="false">
      <c r="A365" s="39" t="s">
        <v>487</v>
      </c>
      <c r="B365" s="40" t="n">
        <v>45713</v>
      </c>
      <c r="C365" s="39" t="s">
        <v>104</v>
      </c>
      <c r="D365" s="39" t="n">
        <v>3</v>
      </c>
      <c r="E365" s="41" t="n">
        <v>15.03</v>
      </c>
      <c r="F365" s="39" t="s">
        <v>108</v>
      </c>
      <c r="G365" s="39" t="str">
        <f aca="false">VLOOKUP(C365,Products!$A$5:$D$24,2,FALSE())</f>
        <v>Water Bottle</v>
      </c>
      <c r="H365" s="39" t="str">
        <f aca="false">VLOOKUP(C365,Products!$A$5:$D$24,3,FALSE())</f>
        <v>Accessories</v>
      </c>
      <c r="I365" s="41" t="n">
        <f aca="false">VLOOKUP(C365,Products!$A$5:$D$24,4,FALSE())</f>
        <v>5</v>
      </c>
      <c r="J365" s="42" t="n">
        <f aca="false">DATE(YEAR(B365),MONTH(B365),1)</f>
        <v>45689</v>
      </c>
      <c r="K365" s="41" t="n">
        <f aca="false">D365*E365</f>
        <v>45.09</v>
      </c>
      <c r="L365" s="41" t="n">
        <f aca="false">D365*I365</f>
        <v>15</v>
      </c>
      <c r="M365" s="41" t="n">
        <f aca="false">IFERROR(INDEX(Raw_Expenses!$C$5:$C$2979,MATCH(A365,Raw_Expenses!$A$5:$A$2979,0)),0)</f>
        <v>1.95</v>
      </c>
      <c r="N365" s="41" t="n">
        <f aca="false">L365+M365</f>
        <v>16.95</v>
      </c>
      <c r="O365" s="41" t="n">
        <f aca="false">K365-N365</f>
        <v>28.14</v>
      </c>
      <c r="P365" s="43" t="n">
        <f aca="false">IF(K365=0,0,O365/K365)</f>
        <v>0.624085163007319</v>
      </c>
    </row>
    <row r="366" customFormat="false" ht="15" hidden="false" customHeight="false" outlineLevel="0" collapsed="false">
      <c r="A366" s="39" t="s">
        <v>488</v>
      </c>
      <c r="B366" s="40" t="n">
        <v>45714</v>
      </c>
      <c r="C366" s="39" t="s">
        <v>153</v>
      </c>
      <c r="D366" s="39" t="n">
        <v>5</v>
      </c>
      <c r="E366" s="41" t="n">
        <v>169.39</v>
      </c>
      <c r="F366" s="39" t="s">
        <v>115</v>
      </c>
      <c r="G366" s="39" t="str">
        <f aca="false">VLOOKUP(C366,Products!$A$5:$D$24,2,FALSE())</f>
        <v>24-inch Monitor</v>
      </c>
      <c r="H366" s="39" t="str">
        <f aca="false">VLOOKUP(C366,Products!$A$5:$D$24,3,FALSE())</f>
        <v>Electronics</v>
      </c>
      <c r="I366" s="41" t="n">
        <f aca="false">VLOOKUP(C366,Products!$A$5:$D$24,4,FALSE())</f>
        <v>90</v>
      </c>
      <c r="J366" s="42" t="n">
        <f aca="false">DATE(YEAR(B366),MONTH(B366),1)</f>
        <v>45689</v>
      </c>
      <c r="K366" s="41" t="n">
        <f aca="false">D366*E366</f>
        <v>846.95</v>
      </c>
      <c r="L366" s="41" t="n">
        <f aca="false">D366*I366</f>
        <v>450</v>
      </c>
      <c r="M366" s="41" t="n">
        <f aca="false">IFERROR(INDEX(Raw_Expenses!$C$5:$C$2979,MATCH(A366,Raw_Expenses!$A$5:$A$2979,0)),0)</f>
        <v>63.5</v>
      </c>
      <c r="N366" s="41" t="n">
        <f aca="false">L366+M366</f>
        <v>513.5</v>
      </c>
      <c r="O366" s="41" t="n">
        <f aca="false">K366-N366</f>
        <v>333.45</v>
      </c>
      <c r="P366" s="43" t="n">
        <f aca="false">IF(K366=0,0,O366/K366)</f>
        <v>0.393706830391404</v>
      </c>
    </row>
    <row r="367" customFormat="false" ht="15" hidden="false" customHeight="false" outlineLevel="0" collapsed="false">
      <c r="A367" s="39" t="s">
        <v>489</v>
      </c>
      <c r="B367" s="40" t="n">
        <v>45714</v>
      </c>
      <c r="C367" s="39" t="s">
        <v>112</v>
      </c>
      <c r="D367" s="39" t="n">
        <v>6</v>
      </c>
      <c r="E367" s="41" t="n">
        <v>52.22</v>
      </c>
      <c r="F367" s="39" t="s">
        <v>108</v>
      </c>
      <c r="G367" s="39" t="str">
        <f aca="false">VLOOKUP(C367,Products!$A$5:$D$24,2,FALSE())</f>
        <v>HD Webcam</v>
      </c>
      <c r="H367" s="39" t="str">
        <f aca="false">VLOOKUP(C367,Products!$A$5:$D$24,3,FALSE())</f>
        <v>Electronics</v>
      </c>
      <c r="I367" s="41" t="n">
        <f aca="false">VLOOKUP(C367,Products!$A$5:$D$24,4,FALSE())</f>
        <v>22</v>
      </c>
      <c r="J367" s="42" t="n">
        <f aca="false">DATE(YEAR(B367),MONTH(B367),1)</f>
        <v>45689</v>
      </c>
      <c r="K367" s="41" t="n">
        <f aca="false">D367*E367</f>
        <v>313.32</v>
      </c>
      <c r="L367" s="41" t="n">
        <f aca="false">D367*I367</f>
        <v>132</v>
      </c>
      <c r="M367" s="41" t="n">
        <f aca="false">IFERROR(INDEX(Raw_Expenses!$C$5:$C$2979,MATCH(A367,Raw_Expenses!$A$5:$A$2979,0)),0)</f>
        <v>26.56</v>
      </c>
      <c r="N367" s="41" t="n">
        <f aca="false">L367+M367</f>
        <v>158.56</v>
      </c>
      <c r="O367" s="41" t="n">
        <f aca="false">K367-N367</f>
        <v>154.76</v>
      </c>
      <c r="P367" s="43" t="n">
        <f aca="false">IF(K367=0,0,O367/K367)</f>
        <v>0.493935912166475</v>
      </c>
    </row>
    <row r="368" customFormat="false" ht="15" hidden="false" customHeight="false" outlineLevel="0" collapsed="false">
      <c r="A368" s="39" t="s">
        <v>490</v>
      </c>
      <c r="B368" s="40" t="n">
        <v>45715</v>
      </c>
      <c r="C368" s="39" t="s">
        <v>136</v>
      </c>
      <c r="D368" s="39" t="n">
        <v>1</v>
      </c>
      <c r="E368" s="41" t="n">
        <v>74.87</v>
      </c>
      <c r="F368" s="39" t="s">
        <v>118</v>
      </c>
      <c r="G368" s="39" t="str">
        <f aca="false">VLOOKUP(C368,Products!$A$5:$D$24,2,FALSE())</f>
        <v>Mechanical Keyboard</v>
      </c>
      <c r="H368" s="39" t="str">
        <f aca="false">VLOOKUP(C368,Products!$A$5:$D$24,3,FALSE())</f>
        <v>Electronics</v>
      </c>
      <c r="I368" s="41" t="n">
        <f aca="false">VLOOKUP(C368,Products!$A$5:$D$24,4,FALSE())</f>
        <v>38</v>
      </c>
      <c r="J368" s="42" t="n">
        <f aca="false">DATE(YEAR(B368),MONTH(B368),1)</f>
        <v>45689</v>
      </c>
      <c r="K368" s="41" t="n">
        <f aca="false">D368*E368</f>
        <v>74.87</v>
      </c>
      <c r="L368" s="41" t="n">
        <f aca="false">D368*I368</f>
        <v>38</v>
      </c>
      <c r="M368" s="41" t="n">
        <f aca="false">IFERROR(INDEX(Raw_Expenses!$C$5:$C$2979,MATCH(A368,Raw_Expenses!$A$5:$A$2979,0)),0)</f>
        <v>5.81</v>
      </c>
      <c r="N368" s="41" t="n">
        <f aca="false">L368+M368</f>
        <v>43.81</v>
      </c>
      <c r="O368" s="41" t="n">
        <f aca="false">K368-N368</f>
        <v>31.06</v>
      </c>
      <c r="P368" s="43" t="n">
        <f aca="false">IF(K368=0,0,O368/K368)</f>
        <v>0.414852410845466</v>
      </c>
    </row>
    <row r="369" customFormat="false" ht="15" hidden="false" customHeight="false" outlineLevel="0" collapsed="false">
      <c r="A369" s="39" t="s">
        <v>491</v>
      </c>
      <c r="B369" s="40" t="n">
        <v>45715</v>
      </c>
      <c r="C369" s="39" t="s">
        <v>104</v>
      </c>
      <c r="D369" s="39" t="n">
        <v>2</v>
      </c>
      <c r="E369" s="41" t="n">
        <v>15.76</v>
      </c>
      <c r="F369" s="39" t="s">
        <v>115</v>
      </c>
      <c r="G369" s="39" t="str">
        <f aca="false">VLOOKUP(C369,Products!$A$5:$D$24,2,FALSE())</f>
        <v>Water Bottle</v>
      </c>
      <c r="H369" s="39" t="str">
        <f aca="false">VLOOKUP(C369,Products!$A$5:$D$24,3,FALSE())</f>
        <v>Accessories</v>
      </c>
      <c r="I369" s="41" t="n">
        <f aca="false">VLOOKUP(C369,Products!$A$5:$D$24,4,FALSE())</f>
        <v>5</v>
      </c>
      <c r="J369" s="42" t="n">
        <f aca="false">DATE(YEAR(B369),MONTH(B369),1)</f>
        <v>45689</v>
      </c>
      <c r="K369" s="41" t="n">
        <f aca="false">D369*E369</f>
        <v>31.52</v>
      </c>
      <c r="L369" s="41" t="n">
        <f aca="false">D369*I369</f>
        <v>10</v>
      </c>
      <c r="M369" s="41" t="n">
        <f aca="false">IFERROR(INDEX(Raw_Expenses!$C$5:$C$2979,MATCH(A369,Raw_Expenses!$A$5:$A$2979,0)),0)</f>
        <v>2.68</v>
      </c>
      <c r="N369" s="41" t="n">
        <f aca="false">L369+M369</f>
        <v>12.68</v>
      </c>
      <c r="O369" s="41" t="n">
        <f aca="false">K369-N369</f>
        <v>18.84</v>
      </c>
      <c r="P369" s="43" t="n">
        <f aca="false">IF(K369=0,0,O369/K369)</f>
        <v>0.597715736040609</v>
      </c>
    </row>
    <row r="370" customFormat="false" ht="15" hidden="false" customHeight="false" outlineLevel="0" collapsed="false">
      <c r="A370" s="39" t="s">
        <v>492</v>
      </c>
      <c r="B370" s="40" t="n">
        <v>45715</v>
      </c>
      <c r="C370" s="39" t="s">
        <v>169</v>
      </c>
      <c r="D370" s="39" t="n">
        <v>2</v>
      </c>
      <c r="E370" s="41" t="n">
        <v>26.74</v>
      </c>
      <c r="F370" s="39" t="s">
        <v>115</v>
      </c>
      <c r="G370" s="39" t="str">
        <f aca="false">VLOOKUP(C370,Products!$A$5:$D$24,2,FALSE())</f>
        <v>Laptop Stand</v>
      </c>
      <c r="H370" s="39" t="str">
        <f aca="false">VLOOKUP(C370,Products!$A$5:$D$24,3,FALSE())</f>
        <v>Accessories</v>
      </c>
      <c r="I370" s="41" t="n">
        <f aca="false">VLOOKUP(C370,Products!$A$5:$D$24,4,FALSE())</f>
        <v>11</v>
      </c>
      <c r="J370" s="42" t="n">
        <f aca="false">DATE(YEAR(B370),MONTH(B370),1)</f>
        <v>45689</v>
      </c>
      <c r="K370" s="41" t="n">
        <f aca="false">D370*E370</f>
        <v>53.48</v>
      </c>
      <c r="L370" s="41" t="n">
        <f aca="false">D370*I370</f>
        <v>22</v>
      </c>
      <c r="M370" s="41" t="n">
        <f aca="false">IFERROR(INDEX(Raw_Expenses!$C$5:$C$2979,MATCH(A370,Raw_Expenses!$A$5:$A$2979,0)),0)</f>
        <v>4.15</v>
      </c>
      <c r="N370" s="41" t="n">
        <f aca="false">L370+M370</f>
        <v>26.15</v>
      </c>
      <c r="O370" s="41" t="n">
        <f aca="false">K370-N370</f>
        <v>27.33</v>
      </c>
      <c r="P370" s="43" t="n">
        <f aca="false">IF(K370=0,0,O370/K370)</f>
        <v>0.511032161555722</v>
      </c>
    </row>
    <row r="371" customFormat="false" ht="15" hidden="false" customHeight="false" outlineLevel="0" collapsed="false">
      <c r="A371" s="39" t="s">
        <v>493</v>
      </c>
      <c r="B371" s="40" t="n">
        <v>45715</v>
      </c>
      <c r="C371" s="39" t="s">
        <v>126</v>
      </c>
      <c r="D371" s="39" t="n">
        <v>1</v>
      </c>
      <c r="E371" s="41" t="n">
        <v>24.65</v>
      </c>
      <c r="F371" s="39" t="s">
        <v>105</v>
      </c>
      <c r="G371" s="39" t="str">
        <f aca="false">VLOOKUP(C371,Products!$A$5:$D$24,2,FALSE())</f>
        <v>Wireless Mouse</v>
      </c>
      <c r="H371" s="39" t="str">
        <f aca="false">VLOOKUP(C371,Products!$A$5:$D$24,3,FALSE())</f>
        <v>Electronics</v>
      </c>
      <c r="I371" s="41" t="n">
        <f aca="false">VLOOKUP(C371,Products!$A$5:$D$24,4,FALSE())</f>
        <v>12</v>
      </c>
      <c r="J371" s="42" t="n">
        <f aca="false">DATE(YEAR(B371),MONTH(B371),1)</f>
        <v>45689</v>
      </c>
      <c r="K371" s="41" t="n">
        <f aca="false">D371*E371</f>
        <v>24.65</v>
      </c>
      <c r="L371" s="41" t="n">
        <f aca="false">D371*I371</f>
        <v>12</v>
      </c>
      <c r="M371" s="41" t="n">
        <f aca="false">IFERROR(INDEX(Raw_Expenses!$C$5:$C$2979,MATCH(A371,Raw_Expenses!$A$5:$A$2979,0)),0)</f>
        <v>1.02</v>
      </c>
      <c r="N371" s="41" t="n">
        <f aca="false">L371+M371</f>
        <v>13.02</v>
      </c>
      <c r="O371" s="41" t="n">
        <f aca="false">K371-N371</f>
        <v>11.63</v>
      </c>
      <c r="P371" s="43" t="n">
        <f aca="false">IF(K371=0,0,O371/K371)</f>
        <v>0.471805273833671</v>
      </c>
    </row>
    <row r="372" customFormat="false" ht="15" hidden="false" customHeight="false" outlineLevel="0" collapsed="false">
      <c r="A372" s="39" t="s">
        <v>494</v>
      </c>
      <c r="B372" s="40" t="n">
        <v>45716</v>
      </c>
      <c r="C372" s="39" t="s">
        <v>139</v>
      </c>
      <c r="D372" s="39" t="n">
        <v>2</v>
      </c>
      <c r="E372" s="41" t="n">
        <v>121.28</v>
      </c>
      <c r="F372" s="39" t="s">
        <v>118</v>
      </c>
      <c r="G372" s="39" t="str">
        <f aca="false">VLOOKUP(C372,Products!$A$5:$D$24,2,FALSE())</f>
        <v>Noise-Cancelling Headphones</v>
      </c>
      <c r="H372" s="39" t="str">
        <f aca="false">VLOOKUP(C372,Products!$A$5:$D$24,3,FALSE())</f>
        <v>Electronics</v>
      </c>
      <c r="I372" s="41" t="n">
        <f aca="false">VLOOKUP(C372,Products!$A$5:$D$24,4,FALSE())</f>
        <v>55</v>
      </c>
      <c r="J372" s="42" t="n">
        <f aca="false">DATE(YEAR(B372),MONTH(B372),1)</f>
        <v>45689</v>
      </c>
      <c r="K372" s="41" t="n">
        <f aca="false">D372*E372</f>
        <v>242.56</v>
      </c>
      <c r="L372" s="41" t="n">
        <f aca="false">D372*I372</f>
        <v>110</v>
      </c>
      <c r="M372" s="41" t="n">
        <f aca="false">IFERROR(INDEX(Raw_Expenses!$C$5:$C$2979,MATCH(A372,Raw_Expenses!$A$5:$A$2979,0)),0)</f>
        <v>17.12</v>
      </c>
      <c r="N372" s="41" t="n">
        <f aca="false">L372+M372</f>
        <v>127.12</v>
      </c>
      <c r="O372" s="41" t="n">
        <f aca="false">K372-N372</f>
        <v>115.44</v>
      </c>
      <c r="P372" s="43" t="n">
        <f aca="false">IF(K372=0,0,O372/K372)</f>
        <v>0.475923482849604</v>
      </c>
    </row>
    <row r="373" customFormat="false" ht="15" hidden="false" customHeight="false" outlineLevel="0" collapsed="false">
      <c r="A373" s="39" t="s">
        <v>495</v>
      </c>
      <c r="B373" s="40" t="n">
        <v>45716</v>
      </c>
      <c r="C373" s="39" t="s">
        <v>130</v>
      </c>
      <c r="D373" s="39" t="n">
        <v>6</v>
      </c>
      <c r="E373" s="41" t="n">
        <v>8.53</v>
      </c>
      <c r="F373" s="39" t="s">
        <v>118</v>
      </c>
      <c r="G373" s="39" t="str">
        <f aca="false">VLOOKUP(C373,Products!$A$5:$D$24,2,FALSE())</f>
        <v>Notebook Set</v>
      </c>
      <c r="H373" s="39" t="str">
        <f aca="false">VLOOKUP(C373,Products!$A$5:$D$24,3,FALSE())</f>
        <v>Stationery</v>
      </c>
      <c r="I373" s="41" t="n">
        <f aca="false">VLOOKUP(C373,Products!$A$5:$D$24,4,FALSE())</f>
        <v>3</v>
      </c>
      <c r="J373" s="42" t="n">
        <f aca="false">DATE(YEAR(B373),MONTH(B373),1)</f>
        <v>45689</v>
      </c>
      <c r="K373" s="41" t="n">
        <f aca="false">D373*E373</f>
        <v>51.18</v>
      </c>
      <c r="L373" s="41" t="n">
        <f aca="false">D373*I373</f>
        <v>18</v>
      </c>
      <c r="M373" s="41" t="n">
        <f aca="false">IFERROR(INDEX(Raw_Expenses!$C$5:$C$2979,MATCH(A373,Raw_Expenses!$A$5:$A$2979,0)),0)</f>
        <v>2.94</v>
      </c>
      <c r="N373" s="41" t="n">
        <f aca="false">L373+M373</f>
        <v>20.94</v>
      </c>
      <c r="O373" s="41" t="n">
        <f aca="false">K373-N373</f>
        <v>30.24</v>
      </c>
      <c r="P373" s="43" t="n">
        <f aca="false">IF(K373=0,0,O373/K373)</f>
        <v>0.590855803048066</v>
      </c>
    </row>
    <row r="374" customFormat="false" ht="15" hidden="false" customHeight="false" outlineLevel="0" collapsed="false">
      <c r="A374" s="39" t="s">
        <v>496</v>
      </c>
      <c r="B374" s="40" t="n">
        <v>45716</v>
      </c>
      <c r="C374" s="39" t="s">
        <v>104</v>
      </c>
      <c r="D374" s="39" t="n">
        <v>8</v>
      </c>
      <c r="E374" s="41" t="n">
        <v>15.54</v>
      </c>
      <c r="F374" s="39" t="s">
        <v>108</v>
      </c>
      <c r="G374" s="39" t="str">
        <f aca="false">VLOOKUP(C374,Products!$A$5:$D$24,2,FALSE())</f>
        <v>Water Bottle</v>
      </c>
      <c r="H374" s="39" t="str">
        <f aca="false">VLOOKUP(C374,Products!$A$5:$D$24,3,FALSE())</f>
        <v>Accessories</v>
      </c>
      <c r="I374" s="41" t="n">
        <f aca="false">VLOOKUP(C374,Products!$A$5:$D$24,4,FALSE())</f>
        <v>5</v>
      </c>
      <c r="J374" s="42" t="n">
        <f aca="false">DATE(YEAR(B374),MONTH(B374),1)</f>
        <v>45689</v>
      </c>
      <c r="K374" s="41" t="n">
        <f aca="false">D374*E374</f>
        <v>124.32</v>
      </c>
      <c r="L374" s="41" t="n">
        <f aca="false">D374*I374</f>
        <v>40</v>
      </c>
      <c r="M374" s="41" t="n">
        <f aca="false">IFERROR(INDEX(Raw_Expenses!$C$5:$C$2979,MATCH(A374,Raw_Expenses!$A$5:$A$2979,0)),0)</f>
        <v>10.92</v>
      </c>
      <c r="N374" s="41" t="n">
        <f aca="false">L374+M374</f>
        <v>50.92</v>
      </c>
      <c r="O374" s="41" t="n">
        <f aca="false">K374-N374</f>
        <v>73.4</v>
      </c>
      <c r="P374" s="43" t="n">
        <f aca="false">IF(K374=0,0,O374/K374)</f>
        <v>0.59041184041184</v>
      </c>
    </row>
    <row r="375" customFormat="false" ht="15" hidden="false" customHeight="false" outlineLevel="0" collapsed="false">
      <c r="A375" s="39" t="s">
        <v>497</v>
      </c>
      <c r="B375" s="40" t="n">
        <v>45716</v>
      </c>
      <c r="C375" s="39" t="s">
        <v>162</v>
      </c>
      <c r="D375" s="39" t="n">
        <v>1</v>
      </c>
      <c r="E375" s="41" t="n">
        <v>66.45</v>
      </c>
      <c r="F375" s="39" t="s">
        <v>105</v>
      </c>
      <c r="G375" s="39" t="str">
        <f aca="false">VLOOKUP(C375,Products!$A$5:$D$24,2,FALSE())</f>
        <v>Bluetooth Speaker</v>
      </c>
      <c r="H375" s="39" t="str">
        <f aca="false">VLOOKUP(C375,Products!$A$5:$D$24,3,FALSE())</f>
        <v>Electronics</v>
      </c>
      <c r="I375" s="41" t="n">
        <f aca="false">VLOOKUP(C375,Products!$A$5:$D$24,4,FALSE())</f>
        <v>28</v>
      </c>
      <c r="J375" s="42" t="n">
        <f aca="false">DATE(YEAR(B375),MONTH(B375),1)</f>
        <v>45689</v>
      </c>
      <c r="K375" s="41" t="n">
        <f aca="false">D375*E375</f>
        <v>66.45</v>
      </c>
      <c r="L375" s="41" t="n">
        <f aca="false">D375*I375</f>
        <v>28</v>
      </c>
      <c r="M375" s="41" t="n">
        <f aca="false">IFERROR(INDEX(Raw_Expenses!$C$5:$C$2979,MATCH(A375,Raw_Expenses!$A$5:$A$2979,0)),0)</f>
        <v>4.76</v>
      </c>
      <c r="N375" s="41" t="n">
        <f aca="false">L375+M375</f>
        <v>32.76</v>
      </c>
      <c r="O375" s="41" t="n">
        <f aca="false">K375-N375</f>
        <v>33.69</v>
      </c>
      <c r="P375" s="43" t="n">
        <f aca="false">IF(K375=0,0,O375/K375)</f>
        <v>0.506997742663657</v>
      </c>
    </row>
    <row r="376" customFormat="false" ht="15" hidden="false" customHeight="false" outlineLevel="0" collapsed="false">
      <c r="A376" s="39" t="s">
        <v>498</v>
      </c>
      <c r="B376" s="40" t="n">
        <v>45716</v>
      </c>
      <c r="C376" s="39" t="s">
        <v>139</v>
      </c>
      <c r="D376" s="39" t="n">
        <v>2</v>
      </c>
      <c r="E376" s="41" t="n">
        <v>125.49</v>
      </c>
      <c r="F376" s="39" t="s">
        <v>118</v>
      </c>
      <c r="G376" s="39" t="str">
        <f aca="false">VLOOKUP(C376,Products!$A$5:$D$24,2,FALSE())</f>
        <v>Noise-Cancelling Headphones</v>
      </c>
      <c r="H376" s="39" t="str">
        <f aca="false">VLOOKUP(C376,Products!$A$5:$D$24,3,FALSE())</f>
        <v>Electronics</v>
      </c>
      <c r="I376" s="41" t="n">
        <f aca="false">VLOOKUP(C376,Products!$A$5:$D$24,4,FALSE())</f>
        <v>55</v>
      </c>
      <c r="J376" s="42" t="n">
        <f aca="false">DATE(YEAR(B376),MONTH(B376),1)</f>
        <v>45689</v>
      </c>
      <c r="K376" s="41" t="n">
        <f aca="false">D376*E376</f>
        <v>250.98</v>
      </c>
      <c r="L376" s="41" t="n">
        <f aca="false">D376*I376</f>
        <v>110</v>
      </c>
      <c r="M376" s="41" t="n">
        <f aca="false">IFERROR(INDEX(Raw_Expenses!$C$5:$C$2979,MATCH(A376,Raw_Expenses!$A$5:$A$2979,0)),0)</f>
        <v>19.02</v>
      </c>
      <c r="N376" s="41" t="n">
        <f aca="false">L376+M376</f>
        <v>129.02</v>
      </c>
      <c r="O376" s="41" t="n">
        <f aca="false">K376-N376</f>
        <v>121.96</v>
      </c>
      <c r="P376" s="43" t="n">
        <f aca="false">IF(K376=0,0,O376/K376)</f>
        <v>0.485935134273647</v>
      </c>
    </row>
    <row r="377" customFormat="false" ht="15" hidden="false" customHeight="false" outlineLevel="0" collapsed="false">
      <c r="A377" s="39" t="s">
        <v>499</v>
      </c>
      <c r="B377" s="40" t="n">
        <v>45716</v>
      </c>
      <c r="C377" s="39" t="s">
        <v>183</v>
      </c>
      <c r="D377" s="39" t="n">
        <v>4</v>
      </c>
      <c r="E377" s="41" t="n">
        <v>179.37</v>
      </c>
      <c r="F377" s="39" t="s">
        <v>108</v>
      </c>
      <c r="G377" s="39" t="str">
        <f aca="false">VLOOKUP(C377,Products!$A$5:$D$24,2,FALSE())</f>
        <v>Office Chair</v>
      </c>
      <c r="H377" s="39" t="str">
        <f aca="false">VLOOKUP(C377,Products!$A$5:$D$24,3,FALSE())</f>
        <v>Furniture</v>
      </c>
      <c r="I377" s="41" t="n">
        <f aca="false">VLOOKUP(C377,Products!$A$5:$D$24,4,FALSE())</f>
        <v>85</v>
      </c>
      <c r="J377" s="42" t="n">
        <f aca="false">DATE(YEAR(B377),MONTH(B377),1)</f>
        <v>45689</v>
      </c>
      <c r="K377" s="41" t="n">
        <f aca="false">D377*E377</f>
        <v>717.48</v>
      </c>
      <c r="L377" s="41" t="n">
        <f aca="false">D377*I377</f>
        <v>340</v>
      </c>
      <c r="M377" s="41" t="n">
        <f aca="false">IFERROR(INDEX(Raw_Expenses!$C$5:$C$2979,MATCH(A377,Raw_Expenses!$A$5:$A$2979,0)),0)</f>
        <v>50.14</v>
      </c>
      <c r="N377" s="41" t="n">
        <f aca="false">L377+M377</f>
        <v>390.14</v>
      </c>
      <c r="O377" s="41" t="n">
        <f aca="false">K377-N377</f>
        <v>327.34</v>
      </c>
      <c r="P377" s="43" t="n">
        <f aca="false">IF(K377=0,0,O377/K377)</f>
        <v>0.456235713887495</v>
      </c>
    </row>
    <row r="378" customFormat="false" ht="15" hidden="false" customHeight="false" outlineLevel="0" collapsed="false">
      <c r="A378" s="39" t="s">
        <v>500</v>
      </c>
      <c r="B378" s="40" t="n">
        <v>45716</v>
      </c>
      <c r="C378" s="39" t="s">
        <v>130</v>
      </c>
      <c r="D378" s="39" t="n">
        <v>3</v>
      </c>
      <c r="E378" s="41" t="n">
        <v>8.52</v>
      </c>
      <c r="F378" s="39" t="s">
        <v>105</v>
      </c>
      <c r="G378" s="39" t="str">
        <f aca="false">VLOOKUP(C378,Products!$A$5:$D$24,2,FALSE())</f>
        <v>Notebook Set</v>
      </c>
      <c r="H378" s="39" t="str">
        <f aca="false">VLOOKUP(C378,Products!$A$5:$D$24,3,FALSE())</f>
        <v>Stationery</v>
      </c>
      <c r="I378" s="41" t="n">
        <f aca="false">VLOOKUP(C378,Products!$A$5:$D$24,4,FALSE())</f>
        <v>3</v>
      </c>
      <c r="J378" s="42" t="n">
        <f aca="false">DATE(YEAR(B378),MONTH(B378),1)</f>
        <v>45689</v>
      </c>
      <c r="K378" s="41" t="n">
        <f aca="false">D378*E378</f>
        <v>25.56</v>
      </c>
      <c r="L378" s="41" t="n">
        <f aca="false">D378*I378</f>
        <v>9</v>
      </c>
      <c r="M378" s="41" t="n">
        <f aca="false">IFERROR(INDEX(Raw_Expenses!$C$5:$C$2979,MATCH(A378,Raw_Expenses!$A$5:$A$2979,0)),0)</f>
        <v>1.08</v>
      </c>
      <c r="N378" s="41" t="n">
        <f aca="false">L378+M378</f>
        <v>10.08</v>
      </c>
      <c r="O378" s="41" t="n">
        <f aca="false">K378-N378</f>
        <v>15.48</v>
      </c>
      <c r="P378" s="43" t="n">
        <f aca="false">IF(K378=0,0,O378/K378)</f>
        <v>0.605633802816901</v>
      </c>
    </row>
    <row r="379" customFormat="false" ht="15" hidden="false" customHeight="false" outlineLevel="0" collapsed="false">
      <c r="A379" s="39" t="s">
        <v>501</v>
      </c>
      <c r="B379" s="40" t="n">
        <v>45716</v>
      </c>
      <c r="C379" s="39" t="s">
        <v>126</v>
      </c>
      <c r="D379" s="39" t="n">
        <v>1</v>
      </c>
      <c r="E379" s="41" t="n">
        <v>23.58</v>
      </c>
      <c r="F379" s="39" t="s">
        <v>115</v>
      </c>
      <c r="G379" s="39" t="str">
        <f aca="false">VLOOKUP(C379,Products!$A$5:$D$24,2,FALSE())</f>
        <v>Wireless Mouse</v>
      </c>
      <c r="H379" s="39" t="str">
        <f aca="false">VLOOKUP(C379,Products!$A$5:$D$24,3,FALSE())</f>
        <v>Electronics</v>
      </c>
      <c r="I379" s="41" t="n">
        <f aca="false">VLOOKUP(C379,Products!$A$5:$D$24,4,FALSE())</f>
        <v>12</v>
      </c>
      <c r="J379" s="42" t="n">
        <f aca="false">DATE(YEAR(B379),MONTH(B379),1)</f>
        <v>45689</v>
      </c>
      <c r="K379" s="41" t="n">
        <f aca="false">D379*E379</f>
        <v>23.58</v>
      </c>
      <c r="L379" s="41" t="n">
        <f aca="false">D379*I379</f>
        <v>12</v>
      </c>
      <c r="M379" s="41" t="n">
        <f aca="false">IFERROR(INDEX(Raw_Expenses!$C$5:$C$2979,MATCH(A379,Raw_Expenses!$A$5:$A$2979,0)),0)</f>
        <v>1.93</v>
      </c>
      <c r="N379" s="41" t="n">
        <f aca="false">L379+M379</f>
        <v>13.93</v>
      </c>
      <c r="O379" s="41" t="n">
        <f aca="false">K379-N379</f>
        <v>9.65</v>
      </c>
      <c r="P379" s="43" t="n">
        <f aca="false">IF(K379=0,0,O379/K379)</f>
        <v>0.409245122985581</v>
      </c>
    </row>
    <row r="380" customFormat="false" ht="15" hidden="false" customHeight="false" outlineLevel="0" collapsed="false">
      <c r="A380" s="39" t="s">
        <v>502</v>
      </c>
      <c r="B380" s="40" t="n">
        <v>45716</v>
      </c>
      <c r="C380" s="39" t="s">
        <v>104</v>
      </c>
      <c r="D380" s="39" t="n">
        <v>3</v>
      </c>
      <c r="E380" s="41" t="n">
        <v>15.22</v>
      </c>
      <c r="F380" s="39" t="s">
        <v>115</v>
      </c>
      <c r="G380" s="39" t="str">
        <f aca="false">VLOOKUP(C380,Products!$A$5:$D$24,2,FALSE())</f>
        <v>Water Bottle</v>
      </c>
      <c r="H380" s="39" t="str">
        <f aca="false">VLOOKUP(C380,Products!$A$5:$D$24,3,FALSE())</f>
        <v>Accessories</v>
      </c>
      <c r="I380" s="41" t="n">
        <f aca="false">VLOOKUP(C380,Products!$A$5:$D$24,4,FALSE())</f>
        <v>5</v>
      </c>
      <c r="J380" s="42" t="n">
        <f aca="false">DATE(YEAR(B380),MONTH(B380),1)</f>
        <v>45689</v>
      </c>
      <c r="K380" s="41" t="n">
        <f aca="false">D380*E380</f>
        <v>45.66</v>
      </c>
      <c r="L380" s="41" t="n">
        <f aca="false">D380*I380</f>
        <v>15</v>
      </c>
      <c r="M380" s="41" t="n">
        <f aca="false">IFERROR(INDEX(Raw_Expenses!$C$5:$C$2979,MATCH(A380,Raw_Expenses!$A$5:$A$2979,0)),0)</f>
        <v>2.28</v>
      </c>
      <c r="N380" s="41" t="n">
        <f aca="false">L380+M380</f>
        <v>17.28</v>
      </c>
      <c r="O380" s="41" t="n">
        <f aca="false">K380-N380</f>
        <v>28.38</v>
      </c>
      <c r="P380" s="43" t="n">
        <f aca="false">IF(K380=0,0,O380/K380)</f>
        <v>0.621550591327201</v>
      </c>
    </row>
    <row r="381" customFormat="false" ht="15" hidden="false" customHeight="false" outlineLevel="0" collapsed="false">
      <c r="A381" s="39" t="s">
        <v>503</v>
      </c>
      <c r="B381" s="40" t="n">
        <v>45717</v>
      </c>
      <c r="C381" s="39" t="s">
        <v>130</v>
      </c>
      <c r="D381" s="39" t="n">
        <v>5</v>
      </c>
      <c r="E381" s="41" t="n">
        <v>8.75</v>
      </c>
      <c r="F381" s="39" t="s">
        <v>105</v>
      </c>
      <c r="G381" s="39" t="str">
        <f aca="false">VLOOKUP(C381,Products!$A$5:$D$24,2,FALSE())</f>
        <v>Notebook Set</v>
      </c>
      <c r="H381" s="39" t="str">
        <f aca="false">VLOOKUP(C381,Products!$A$5:$D$24,3,FALSE())</f>
        <v>Stationery</v>
      </c>
      <c r="I381" s="41" t="n">
        <f aca="false">VLOOKUP(C381,Products!$A$5:$D$24,4,FALSE())</f>
        <v>3</v>
      </c>
      <c r="J381" s="42" t="n">
        <f aca="false">DATE(YEAR(B381),MONTH(B381),1)</f>
        <v>45717</v>
      </c>
      <c r="K381" s="41" t="n">
        <f aca="false">D381*E381</f>
        <v>43.75</v>
      </c>
      <c r="L381" s="41" t="n">
        <f aca="false">D381*I381</f>
        <v>15</v>
      </c>
      <c r="M381" s="41" t="n">
        <f aca="false">IFERROR(INDEX(Raw_Expenses!$C$5:$C$2979,MATCH(A381,Raw_Expenses!$A$5:$A$2979,0)),0)</f>
        <v>3.5</v>
      </c>
      <c r="N381" s="41" t="n">
        <f aca="false">L381+M381</f>
        <v>18.5</v>
      </c>
      <c r="O381" s="41" t="n">
        <f aca="false">K381-N381</f>
        <v>25.25</v>
      </c>
      <c r="P381" s="43" t="n">
        <f aca="false">IF(K381=0,0,O381/K381)</f>
        <v>0.577142857142857</v>
      </c>
    </row>
    <row r="382" customFormat="false" ht="15" hidden="false" customHeight="false" outlineLevel="0" collapsed="false">
      <c r="A382" s="39" t="s">
        <v>504</v>
      </c>
      <c r="B382" s="40" t="n">
        <v>45717</v>
      </c>
      <c r="C382" s="39" t="s">
        <v>114</v>
      </c>
      <c r="D382" s="39" t="n">
        <v>2</v>
      </c>
      <c r="E382" s="41" t="n">
        <v>5.62</v>
      </c>
      <c r="F382" s="39" t="s">
        <v>118</v>
      </c>
      <c r="G382" s="39" t="str">
        <f aca="false">VLOOKUP(C382,Products!$A$5:$D$24,2,FALSE())</f>
        <v>Gel Pen Pack</v>
      </c>
      <c r="H382" s="39" t="str">
        <f aca="false">VLOOKUP(C382,Products!$A$5:$D$24,3,FALSE())</f>
        <v>Stationery</v>
      </c>
      <c r="I382" s="41" t="n">
        <f aca="false">VLOOKUP(C382,Products!$A$5:$D$24,4,FALSE())</f>
        <v>2</v>
      </c>
      <c r="J382" s="42" t="n">
        <f aca="false">DATE(YEAR(B382),MONTH(B382),1)</f>
        <v>45717</v>
      </c>
      <c r="K382" s="41" t="n">
        <f aca="false">D382*E382</f>
        <v>11.24</v>
      </c>
      <c r="L382" s="41" t="n">
        <f aca="false">D382*I382</f>
        <v>4</v>
      </c>
      <c r="M382" s="41" t="n">
        <f aca="false">IFERROR(INDEX(Raw_Expenses!$C$5:$C$2979,MATCH(A382,Raw_Expenses!$A$5:$A$2979,0)),0)</f>
        <v>0.91</v>
      </c>
      <c r="N382" s="41" t="n">
        <f aca="false">L382+M382</f>
        <v>4.91</v>
      </c>
      <c r="O382" s="41" t="n">
        <f aca="false">K382-N382</f>
        <v>6.33</v>
      </c>
      <c r="P382" s="43" t="n">
        <f aca="false">IF(K382=0,0,O382/K382)</f>
        <v>0.563167259786477</v>
      </c>
    </row>
    <row r="383" customFormat="false" ht="15" hidden="false" customHeight="false" outlineLevel="0" collapsed="false">
      <c r="A383" s="39" t="s">
        <v>505</v>
      </c>
      <c r="B383" s="40" t="n">
        <v>45717</v>
      </c>
      <c r="C383" s="39" t="s">
        <v>305</v>
      </c>
      <c r="D383" s="39" t="n">
        <v>5</v>
      </c>
      <c r="E383" s="41" t="n">
        <v>327.29</v>
      </c>
      <c r="F383" s="39" t="s">
        <v>105</v>
      </c>
      <c r="G383" s="39" t="str">
        <f aca="false">VLOOKUP(C383,Products!$A$5:$D$24,2,FALSE())</f>
        <v>Standing Desk</v>
      </c>
      <c r="H383" s="39" t="str">
        <f aca="false">VLOOKUP(C383,Products!$A$5:$D$24,3,FALSE())</f>
        <v>Furniture</v>
      </c>
      <c r="I383" s="41" t="n">
        <f aca="false">VLOOKUP(C383,Products!$A$5:$D$24,4,FALSE())</f>
        <v>160</v>
      </c>
      <c r="J383" s="42" t="n">
        <f aca="false">DATE(YEAR(B383),MONTH(B383),1)</f>
        <v>45717</v>
      </c>
      <c r="K383" s="41" t="n">
        <f aca="false">D383*E383</f>
        <v>1636.45</v>
      </c>
      <c r="L383" s="41" t="n">
        <f aca="false">D383*I383</f>
        <v>800</v>
      </c>
      <c r="M383" s="41" t="n">
        <f aca="false">IFERROR(INDEX(Raw_Expenses!$C$5:$C$2979,MATCH(A383,Raw_Expenses!$A$5:$A$2979,0)),0)</f>
        <v>127.48</v>
      </c>
      <c r="N383" s="41" t="n">
        <f aca="false">L383+M383</f>
        <v>927.48</v>
      </c>
      <c r="O383" s="41" t="n">
        <f aca="false">K383-N383</f>
        <v>708.97</v>
      </c>
      <c r="P383" s="43" t="n">
        <f aca="false">IF(K383=0,0,O383/K383)</f>
        <v>0.433236579180543</v>
      </c>
    </row>
    <row r="384" customFormat="false" ht="15" hidden="false" customHeight="false" outlineLevel="0" collapsed="false">
      <c r="A384" s="39" t="s">
        <v>506</v>
      </c>
      <c r="B384" s="40" t="n">
        <v>45717</v>
      </c>
      <c r="C384" s="39" t="s">
        <v>121</v>
      </c>
      <c r="D384" s="39" t="n">
        <v>1</v>
      </c>
      <c r="E384" s="41" t="n">
        <v>113.11</v>
      </c>
      <c r="F384" s="39" t="s">
        <v>108</v>
      </c>
      <c r="G384" s="39" t="str">
        <f aca="false">VLOOKUP(C384,Products!$A$5:$D$24,2,FALSE())</f>
        <v>External SSD 1TB</v>
      </c>
      <c r="H384" s="39" t="str">
        <f aca="false">VLOOKUP(C384,Products!$A$5:$D$24,3,FALSE())</f>
        <v>Electronics</v>
      </c>
      <c r="I384" s="41" t="n">
        <f aca="false">VLOOKUP(C384,Products!$A$5:$D$24,4,FALSE())</f>
        <v>62</v>
      </c>
      <c r="J384" s="42" t="n">
        <f aca="false">DATE(YEAR(B384),MONTH(B384),1)</f>
        <v>45717</v>
      </c>
      <c r="K384" s="41" t="n">
        <f aca="false">D384*E384</f>
        <v>113.11</v>
      </c>
      <c r="L384" s="41" t="n">
        <f aca="false">D384*I384</f>
        <v>62</v>
      </c>
      <c r="M384" s="41" t="n">
        <f aca="false">IFERROR(INDEX(Raw_Expenses!$C$5:$C$2979,MATCH(A384,Raw_Expenses!$A$5:$A$2979,0)),0)</f>
        <v>6.77</v>
      </c>
      <c r="N384" s="41" t="n">
        <f aca="false">L384+M384</f>
        <v>68.77</v>
      </c>
      <c r="O384" s="41" t="n">
        <f aca="false">K384-N384</f>
        <v>44.34</v>
      </c>
      <c r="P384" s="43" t="n">
        <f aca="false">IF(K384=0,0,O384/K384)</f>
        <v>0.392007780037132</v>
      </c>
    </row>
    <row r="385" customFormat="false" ht="15" hidden="false" customHeight="false" outlineLevel="0" collapsed="false">
      <c r="A385" s="39" t="s">
        <v>507</v>
      </c>
      <c r="B385" s="40" t="n">
        <v>45717</v>
      </c>
      <c r="C385" s="39" t="s">
        <v>121</v>
      </c>
      <c r="D385" s="39" t="n">
        <v>4</v>
      </c>
      <c r="E385" s="41" t="n">
        <v>114.64</v>
      </c>
      <c r="F385" s="39" t="s">
        <v>105</v>
      </c>
      <c r="G385" s="39" t="str">
        <f aca="false">VLOOKUP(C385,Products!$A$5:$D$24,2,FALSE())</f>
        <v>External SSD 1TB</v>
      </c>
      <c r="H385" s="39" t="str">
        <f aca="false">VLOOKUP(C385,Products!$A$5:$D$24,3,FALSE())</f>
        <v>Electronics</v>
      </c>
      <c r="I385" s="41" t="n">
        <f aca="false">VLOOKUP(C385,Products!$A$5:$D$24,4,FALSE())</f>
        <v>62</v>
      </c>
      <c r="J385" s="42" t="n">
        <f aca="false">DATE(YEAR(B385),MONTH(B385),1)</f>
        <v>45717</v>
      </c>
      <c r="K385" s="41" t="n">
        <f aca="false">D385*E385</f>
        <v>458.56</v>
      </c>
      <c r="L385" s="41" t="n">
        <f aca="false">D385*I385</f>
        <v>248</v>
      </c>
      <c r="M385" s="41" t="n">
        <f aca="false">IFERROR(INDEX(Raw_Expenses!$C$5:$C$2979,MATCH(A385,Raw_Expenses!$A$5:$A$2979,0)),0)</f>
        <v>35.93</v>
      </c>
      <c r="N385" s="41" t="n">
        <f aca="false">L385+M385</f>
        <v>283.93</v>
      </c>
      <c r="O385" s="41" t="n">
        <f aca="false">K385-N385</f>
        <v>174.63</v>
      </c>
      <c r="P385" s="43" t="n">
        <f aca="false">IF(K385=0,0,O385/K385)</f>
        <v>0.380822575017446</v>
      </c>
    </row>
    <row r="386" customFormat="false" ht="15" hidden="false" customHeight="false" outlineLevel="0" collapsed="false">
      <c r="A386" s="39" t="s">
        <v>508</v>
      </c>
      <c r="B386" s="40" t="n">
        <v>45717</v>
      </c>
      <c r="C386" s="39" t="s">
        <v>110</v>
      </c>
      <c r="D386" s="39" t="n">
        <v>1</v>
      </c>
      <c r="E386" s="41" t="n">
        <v>13.19</v>
      </c>
      <c r="F386" s="39" t="s">
        <v>108</v>
      </c>
      <c r="G386" s="39" t="str">
        <f aca="false">VLOOKUP(C386,Products!$A$5:$D$24,2,FALSE())</f>
        <v>Phone Stand</v>
      </c>
      <c r="H386" s="39" t="str">
        <f aca="false">VLOOKUP(C386,Products!$A$5:$D$24,3,FALSE())</f>
        <v>Accessories</v>
      </c>
      <c r="I386" s="41" t="n">
        <f aca="false">VLOOKUP(C386,Products!$A$5:$D$24,4,FALSE())</f>
        <v>4</v>
      </c>
      <c r="J386" s="42" t="n">
        <f aca="false">DATE(YEAR(B386),MONTH(B386),1)</f>
        <v>45717</v>
      </c>
      <c r="K386" s="41" t="n">
        <f aca="false">D386*E386</f>
        <v>13.19</v>
      </c>
      <c r="L386" s="41" t="n">
        <f aca="false">D386*I386</f>
        <v>4</v>
      </c>
      <c r="M386" s="41" t="n">
        <f aca="false">IFERROR(INDEX(Raw_Expenses!$C$5:$C$2979,MATCH(A386,Raw_Expenses!$A$5:$A$2979,0)),0)</f>
        <v>0.78</v>
      </c>
      <c r="N386" s="41" t="n">
        <f aca="false">L386+M386</f>
        <v>4.78</v>
      </c>
      <c r="O386" s="41" t="n">
        <f aca="false">K386-N386</f>
        <v>8.41</v>
      </c>
      <c r="P386" s="43" t="n">
        <f aca="false">IF(K386=0,0,O386/K386)</f>
        <v>0.637604245640637</v>
      </c>
    </row>
    <row r="387" customFormat="false" ht="15" hidden="false" customHeight="false" outlineLevel="0" collapsed="false">
      <c r="A387" s="39" t="s">
        <v>509</v>
      </c>
      <c r="B387" s="40" t="n">
        <v>45718</v>
      </c>
      <c r="C387" s="39" t="s">
        <v>112</v>
      </c>
      <c r="D387" s="39" t="n">
        <v>6</v>
      </c>
      <c r="E387" s="41" t="n">
        <v>52.95</v>
      </c>
      <c r="F387" s="39" t="s">
        <v>105</v>
      </c>
      <c r="G387" s="39" t="str">
        <f aca="false">VLOOKUP(C387,Products!$A$5:$D$24,2,FALSE())</f>
        <v>HD Webcam</v>
      </c>
      <c r="H387" s="39" t="str">
        <f aca="false">VLOOKUP(C387,Products!$A$5:$D$24,3,FALSE())</f>
        <v>Electronics</v>
      </c>
      <c r="I387" s="41" t="n">
        <f aca="false">VLOOKUP(C387,Products!$A$5:$D$24,4,FALSE())</f>
        <v>22</v>
      </c>
      <c r="J387" s="42" t="n">
        <f aca="false">DATE(YEAR(B387),MONTH(B387),1)</f>
        <v>45717</v>
      </c>
      <c r="K387" s="41" t="n">
        <f aca="false">D387*E387</f>
        <v>317.7</v>
      </c>
      <c r="L387" s="41" t="n">
        <f aca="false">D387*I387</f>
        <v>132</v>
      </c>
      <c r="M387" s="41" t="n">
        <f aca="false">IFERROR(INDEX(Raw_Expenses!$C$5:$C$2979,MATCH(A387,Raw_Expenses!$A$5:$A$2979,0)),0)</f>
        <v>21.69</v>
      </c>
      <c r="N387" s="41" t="n">
        <f aca="false">L387+M387</f>
        <v>153.69</v>
      </c>
      <c r="O387" s="41" t="n">
        <f aca="false">K387-N387</f>
        <v>164.01</v>
      </c>
      <c r="P387" s="43" t="n">
        <f aca="false">IF(K387=0,0,O387/K387)</f>
        <v>0.516241737488197</v>
      </c>
    </row>
    <row r="388" customFormat="false" ht="15" hidden="false" customHeight="false" outlineLevel="0" collapsed="false">
      <c r="A388" s="39" t="s">
        <v>510</v>
      </c>
      <c r="B388" s="40" t="n">
        <v>45718</v>
      </c>
      <c r="C388" s="39" t="s">
        <v>104</v>
      </c>
      <c r="D388" s="39" t="n">
        <v>2</v>
      </c>
      <c r="E388" s="41" t="n">
        <v>15.61</v>
      </c>
      <c r="F388" s="39" t="s">
        <v>105</v>
      </c>
      <c r="G388" s="39" t="str">
        <f aca="false">VLOOKUP(C388,Products!$A$5:$D$24,2,FALSE())</f>
        <v>Water Bottle</v>
      </c>
      <c r="H388" s="39" t="str">
        <f aca="false">VLOOKUP(C388,Products!$A$5:$D$24,3,FALSE())</f>
        <v>Accessories</v>
      </c>
      <c r="I388" s="41" t="n">
        <f aca="false">VLOOKUP(C388,Products!$A$5:$D$24,4,FALSE())</f>
        <v>5</v>
      </c>
      <c r="J388" s="42" t="n">
        <f aca="false">DATE(YEAR(B388),MONTH(B388),1)</f>
        <v>45717</v>
      </c>
      <c r="K388" s="41" t="n">
        <f aca="false">D388*E388</f>
        <v>31.22</v>
      </c>
      <c r="L388" s="41" t="n">
        <f aca="false">D388*I388</f>
        <v>10</v>
      </c>
      <c r="M388" s="41" t="n">
        <f aca="false">IFERROR(INDEX(Raw_Expenses!$C$5:$C$2979,MATCH(A388,Raw_Expenses!$A$5:$A$2979,0)),0)</f>
        <v>2.48</v>
      </c>
      <c r="N388" s="41" t="n">
        <f aca="false">L388+M388</f>
        <v>12.48</v>
      </c>
      <c r="O388" s="41" t="n">
        <f aca="false">K388-N388</f>
        <v>18.74</v>
      </c>
      <c r="P388" s="43" t="n">
        <f aca="false">IF(K388=0,0,O388/K388)</f>
        <v>0.600256245996156</v>
      </c>
    </row>
    <row r="389" customFormat="false" ht="15" hidden="false" customHeight="false" outlineLevel="0" collapsed="false">
      <c r="A389" s="39" t="s">
        <v>511</v>
      </c>
      <c r="B389" s="40" t="n">
        <v>45718</v>
      </c>
      <c r="C389" s="39" t="s">
        <v>126</v>
      </c>
      <c r="D389" s="39" t="n">
        <v>3</v>
      </c>
      <c r="E389" s="41" t="n">
        <v>23.08</v>
      </c>
      <c r="F389" s="39" t="s">
        <v>115</v>
      </c>
      <c r="G389" s="39" t="str">
        <f aca="false">VLOOKUP(C389,Products!$A$5:$D$24,2,FALSE())</f>
        <v>Wireless Mouse</v>
      </c>
      <c r="H389" s="39" t="str">
        <f aca="false">VLOOKUP(C389,Products!$A$5:$D$24,3,FALSE())</f>
        <v>Electronics</v>
      </c>
      <c r="I389" s="41" t="n">
        <f aca="false">VLOOKUP(C389,Products!$A$5:$D$24,4,FALSE())</f>
        <v>12</v>
      </c>
      <c r="J389" s="42" t="n">
        <f aca="false">DATE(YEAR(B389),MONTH(B389),1)</f>
        <v>45717</v>
      </c>
      <c r="K389" s="41" t="n">
        <f aca="false">D389*E389</f>
        <v>69.24</v>
      </c>
      <c r="L389" s="41" t="n">
        <f aca="false">D389*I389</f>
        <v>36</v>
      </c>
      <c r="M389" s="41" t="n">
        <f aca="false">IFERROR(INDEX(Raw_Expenses!$C$5:$C$2979,MATCH(A389,Raw_Expenses!$A$5:$A$2979,0)),0)</f>
        <v>6.02</v>
      </c>
      <c r="N389" s="41" t="n">
        <f aca="false">L389+M389</f>
        <v>42.02</v>
      </c>
      <c r="O389" s="41" t="n">
        <f aca="false">K389-N389</f>
        <v>27.22</v>
      </c>
      <c r="P389" s="43" t="n">
        <f aca="false">IF(K389=0,0,O389/K389)</f>
        <v>0.393125361062969</v>
      </c>
    </row>
    <row r="390" customFormat="false" ht="15" hidden="false" customHeight="false" outlineLevel="0" collapsed="false">
      <c r="A390" s="39" t="s">
        <v>512</v>
      </c>
      <c r="B390" s="40" t="n">
        <v>45718</v>
      </c>
      <c r="C390" s="39" t="s">
        <v>130</v>
      </c>
      <c r="D390" s="39" t="n">
        <v>1</v>
      </c>
      <c r="E390" s="41" t="n">
        <v>8.64</v>
      </c>
      <c r="F390" s="39" t="s">
        <v>108</v>
      </c>
      <c r="G390" s="39" t="str">
        <f aca="false">VLOOKUP(C390,Products!$A$5:$D$24,2,FALSE())</f>
        <v>Notebook Set</v>
      </c>
      <c r="H390" s="39" t="str">
        <f aca="false">VLOOKUP(C390,Products!$A$5:$D$24,3,FALSE())</f>
        <v>Stationery</v>
      </c>
      <c r="I390" s="41" t="n">
        <f aca="false">VLOOKUP(C390,Products!$A$5:$D$24,4,FALSE())</f>
        <v>3</v>
      </c>
      <c r="J390" s="42" t="n">
        <f aca="false">DATE(YEAR(B390),MONTH(B390),1)</f>
        <v>45717</v>
      </c>
      <c r="K390" s="41" t="n">
        <f aca="false">D390*E390</f>
        <v>8.64</v>
      </c>
      <c r="L390" s="41" t="n">
        <f aca="false">D390*I390</f>
        <v>3</v>
      </c>
      <c r="M390" s="41" t="n">
        <f aca="false">IFERROR(INDEX(Raw_Expenses!$C$5:$C$2979,MATCH(A390,Raw_Expenses!$A$5:$A$2979,0)),0)</f>
        <v>0.63</v>
      </c>
      <c r="N390" s="41" t="n">
        <f aca="false">L390+M390</f>
        <v>3.63</v>
      </c>
      <c r="O390" s="41" t="n">
        <f aca="false">K390-N390</f>
        <v>5.01</v>
      </c>
      <c r="P390" s="43" t="n">
        <f aca="false">IF(K390=0,0,O390/K390)</f>
        <v>0.579861111111111</v>
      </c>
    </row>
    <row r="391" customFormat="false" ht="15" hidden="false" customHeight="false" outlineLevel="0" collapsed="false">
      <c r="A391" s="39" t="s">
        <v>513</v>
      </c>
      <c r="B391" s="40" t="n">
        <v>45718</v>
      </c>
      <c r="C391" s="39" t="s">
        <v>104</v>
      </c>
      <c r="D391" s="39" t="n">
        <v>3</v>
      </c>
      <c r="E391" s="41" t="n">
        <v>15.86</v>
      </c>
      <c r="F391" s="39" t="s">
        <v>108</v>
      </c>
      <c r="G391" s="39" t="str">
        <f aca="false">VLOOKUP(C391,Products!$A$5:$D$24,2,FALSE())</f>
        <v>Water Bottle</v>
      </c>
      <c r="H391" s="39" t="str">
        <f aca="false">VLOOKUP(C391,Products!$A$5:$D$24,3,FALSE())</f>
        <v>Accessories</v>
      </c>
      <c r="I391" s="41" t="n">
        <f aca="false">VLOOKUP(C391,Products!$A$5:$D$24,4,FALSE())</f>
        <v>5</v>
      </c>
      <c r="J391" s="42" t="n">
        <f aca="false">DATE(YEAR(B391),MONTH(B391),1)</f>
        <v>45717</v>
      </c>
      <c r="K391" s="41" t="n">
        <f aca="false">D391*E391</f>
        <v>47.58</v>
      </c>
      <c r="L391" s="41" t="n">
        <f aca="false">D391*I391</f>
        <v>15</v>
      </c>
      <c r="M391" s="41" t="n">
        <f aca="false">IFERROR(INDEX(Raw_Expenses!$C$5:$C$2979,MATCH(A391,Raw_Expenses!$A$5:$A$2979,0)),0)</f>
        <v>3.51</v>
      </c>
      <c r="N391" s="41" t="n">
        <f aca="false">L391+M391</f>
        <v>18.51</v>
      </c>
      <c r="O391" s="41" t="n">
        <f aca="false">K391-N391</f>
        <v>29.07</v>
      </c>
      <c r="P391" s="43" t="n">
        <f aca="false">IF(K391=0,0,O391/K391)</f>
        <v>0.610970996216898</v>
      </c>
    </row>
    <row r="392" customFormat="false" ht="15" hidden="false" customHeight="false" outlineLevel="0" collapsed="false">
      <c r="A392" s="39" t="s">
        <v>514</v>
      </c>
      <c r="B392" s="40" t="n">
        <v>45718</v>
      </c>
      <c r="C392" s="39" t="s">
        <v>114</v>
      </c>
      <c r="D392" s="39" t="n">
        <v>2</v>
      </c>
      <c r="E392" s="41" t="n">
        <v>5.93</v>
      </c>
      <c r="F392" s="39" t="s">
        <v>118</v>
      </c>
      <c r="G392" s="39" t="str">
        <f aca="false">VLOOKUP(C392,Products!$A$5:$D$24,2,FALSE())</f>
        <v>Gel Pen Pack</v>
      </c>
      <c r="H392" s="39" t="str">
        <f aca="false">VLOOKUP(C392,Products!$A$5:$D$24,3,FALSE())</f>
        <v>Stationery</v>
      </c>
      <c r="I392" s="41" t="n">
        <f aca="false">VLOOKUP(C392,Products!$A$5:$D$24,4,FALSE())</f>
        <v>2</v>
      </c>
      <c r="J392" s="42" t="n">
        <f aca="false">DATE(YEAR(B392),MONTH(B392),1)</f>
        <v>45717</v>
      </c>
      <c r="K392" s="41" t="n">
        <f aca="false">D392*E392</f>
        <v>11.86</v>
      </c>
      <c r="L392" s="41" t="n">
        <f aca="false">D392*I392</f>
        <v>4</v>
      </c>
      <c r="M392" s="41" t="n">
        <f aca="false">IFERROR(INDEX(Raw_Expenses!$C$5:$C$2979,MATCH(A392,Raw_Expenses!$A$5:$A$2979,0)),0)</f>
        <v>0.56</v>
      </c>
      <c r="N392" s="41" t="n">
        <f aca="false">L392+M392</f>
        <v>4.56</v>
      </c>
      <c r="O392" s="41" t="n">
        <f aca="false">K392-N392</f>
        <v>7.3</v>
      </c>
      <c r="P392" s="43" t="n">
        <f aca="false">IF(K392=0,0,O392/K392)</f>
        <v>0.615514333895447</v>
      </c>
    </row>
    <row r="393" customFormat="false" ht="15" hidden="false" customHeight="false" outlineLevel="0" collapsed="false">
      <c r="A393" s="39" t="s">
        <v>515</v>
      </c>
      <c r="B393" s="40" t="n">
        <v>45718</v>
      </c>
      <c r="C393" s="39" t="s">
        <v>104</v>
      </c>
      <c r="D393" s="39" t="n">
        <v>1</v>
      </c>
      <c r="E393" s="41" t="n">
        <v>15.27</v>
      </c>
      <c r="F393" s="39" t="s">
        <v>118</v>
      </c>
      <c r="G393" s="39" t="str">
        <f aca="false">VLOOKUP(C393,Products!$A$5:$D$24,2,FALSE())</f>
        <v>Water Bottle</v>
      </c>
      <c r="H393" s="39" t="str">
        <f aca="false">VLOOKUP(C393,Products!$A$5:$D$24,3,FALSE())</f>
        <v>Accessories</v>
      </c>
      <c r="I393" s="41" t="n">
        <f aca="false">VLOOKUP(C393,Products!$A$5:$D$24,4,FALSE())</f>
        <v>5</v>
      </c>
      <c r="J393" s="42" t="n">
        <f aca="false">DATE(YEAR(B393),MONTH(B393),1)</f>
        <v>45717</v>
      </c>
      <c r="K393" s="41" t="n">
        <f aca="false">D393*E393</f>
        <v>15.27</v>
      </c>
      <c r="L393" s="41" t="n">
        <f aca="false">D393*I393</f>
        <v>5</v>
      </c>
      <c r="M393" s="41" t="n">
        <f aca="false">IFERROR(INDEX(Raw_Expenses!$C$5:$C$2979,MATCH(A393,Raw_Expenses!$A$5:$A$2979,0)),0)</f>
        <v>0.87</v>
      </c>
      <c r="N393" s="41" t="n">
        <f aca="false">L393+M393</f>
        <v>5.87</v>
      </c>
      <c r="O393" s="41" t="n">
        <f aca="false">K393-N393</f>
        <v>9.4</v>
      </c>
      <c r="P393" s="43" t="n">
        <f aca="false">IF(K393=0,0,O393/K393)</f>
        <v>0.615586116568435</v>
      </c>
    </row>
    <row r="394" customFormat="false" ht="15" hidden="false" customHeight="false" outlineLevel="0" collapsed="false">
      <c r="A394" s="39" t="s">
        <v>516</v>
      </c>
      <c r="B394" s="40" t="n">
        <v>45719</v>
      </c>
      <c r="C394" s="39" t="s">
        <v>133</v>
      </c>
      <c r="D394" s="39" t="n">
        <v>1</v>
      </c>
      <c r="E394" s="41" t="n">
        <v>8.91</v>
      </c>
      <c r="F394" s="39" t="s">
        <v>105</v>
      </c>
      <c r="G394" s="39" t="str">
        <f aca="false">VLOOKUP(C394,Products!$A$5:$D$24,2,FALSE())</f>
        <v>Printer Paper Ream</v>
      </c>
      <c r="H394" s="39" t="str">
        <f aca="false">VLOOKUP(C394,Products!$A$5:$D$24,3,FALSE())</f>
        <v>Stationery</v>
      </c>
      <c r="I394" s="41" t="n">
        <f aca="false">VLOOKUP(C394,Products!$A$5:$D$24,4,FALSE())</f>
        <v>4</v>
      </c>
      <c r="J394" s="42" t="n">
        <f aca="false">DATE(YEAR(B394),MONTH(B394),1)</f>
        <v>45717</v>
      </c>
      <c r="K394" s="41" t="n">
        <f aca="false">D394*E394</f>
        <v>8.91</v>
      </c>
      <c r="L394" s="41" t="n">
        <f aca="false">D394*I394</f>
        <v>4</v>
      </c>
      <c r="M394" s="41" t="n">
        <f aca="false">IFERROR(INDEX(Raw_Expenses!$C$5:$C$2979,MATCH(A394,Raw_Expenses!$A$5:$A$2979,0)),0)</f>
        <v>0.47</v>
      </c>
      <c r="N394" s="41" t="n">
        <f aca="false">L394+M394</f>
        <v>4.47</v>
      </c>
      <c r="O394" s="41" t="n">
        <f aca="false">K394-N394</f>
        <v>4.44</v>
      </c>
      <c r="P394" s="43" t="n">
        <f aca="false">IF(K394=0,0,O394/K394)</f>
        <v>0.498316498316498</v>
      </c>
    </row>
    <row r="395" customFormat="false" ht="15" hidden="false" customHeight="false" outlineLevel="0" collapsed="false">
      <c r="A395" s="39" t="s">
        <v>517</v>
      </c>
      <c r="B395" s="40" t="n">
        <v>45719</v>
      </c>
      <c r="C395" s="39" t="s">
        <v>117</v>
      </c>
      <c r="D395" s="39" t="n">
        <v>2</v>
      </c>
      <c r="E395" s="41" t="n">
        <v>31.09</v>
      </c>
      <c r="F395" s="39" t="s">
        <v>115</v>
      </c>
      <c r="G395" s="39" t="str">
        <f aca="false">VLOOKUP(C395,Products!$A$5:$D$24,2,FALSE())</f>
        <v>Desk Lamp</v>
      </c>
      <c r="H395" s="39" t="str">
        <f aca="false">VLOOKUP(C395,Products!$A$5:$D$24,3,FALSE())</f>
        <v>Furniture</v>
      </c>
      <c r="I395" s="41" t="n">
        <f aca="false">VLOOKUP(C395,Products!$A$5:$D$24,4,FALSE())</f>
        <v>13</v>
      </c>
      <c r="J395" s="42" t="n">
        <f aca="false">DATE(YEAR(B395),MONTH(B395),1)</f>
        <v>45717</v>
      </c>
      <c r="K395" s="41" t="n">
        <f aca="false">D395*E395</f>
        <v>62.18</v>
      </c>
      <c r="L395" s="41" t="n">
        <f aca="false">D395*I395</f>
        <v>26</v>
      </c>
      <c r="M395" s="41" t="n">
        <f aca="false">IFERROR(INDEX(Raw_Expenses!$C$5:$C$2979,MATCH(A395,Raw_Expenses!$A$5:$A$2979,0)),0)</f>
        <v>3.15</v>
      </c>
      <c r="N395" s="41" t="n">
        <f aca="false">L395+M395</f>
        <v>29.15</v>
      </c>
      <c r="O395" s="41" t="n">
        <f aca="false">K395-N395</f>
        <v>33.03</v>
      </c>
      <c r="P395" s="43" t="n">
        <f aca="false">IF(K395=0,0,O395/K395)</f>
        <v>0.531199742682535</v>
      </c>
    </row>
    <row r="396" customFormat="false" ht="15" hidden="false" customHeight="false" outlineLevel="0" collapsed="false">
      <c r="A396" s="39" t="s">
        <v>518</v>
      </c>
      <c r="B396" s="40" t="n">
        <v>45719</v>
      </c>
      <c r="C396" s="39" t="s">
        <v>117</v>
      </c>
      <c r="D396" s="39" t="n">
        <v>3</v>
      </c>
      <c r="E396" s="41" t="n">
        <v>30.83</v>
      </c>
      <c r="F396" s="39" t="s">
        <v>108</v>
      </c>
      <c r="G396" s="39" t="str">
        <f aca="false">VLOOKUP(C396,Products!$A$5:$D$24,2,FALSE())</f>
        <v>Desk Lamp</v>
      </c>
      <c r="H396" s="39" t="str">
        <f aca="false">VLOOKUP(C396,Products!$A$5:$D$24,3,FALSE())</f>
        <v>Furniture</v>
      </c>
      <c r="I396" s="41" t="n">
        <f aca="false">VLOOKUP(C396,Products!$A$5:$D$24,4,FALSE())</f>
        <v>13</v>
      </c>
      <c r="J396" s="42" t="n">
        <f aca="false">DATE(YEAR(B396),MONTH(B396),1)</f>
        <v>45717</v>
      </c>
      <c r="K396" s="41" t="n">
        <f aca="false">D396*E396</f>
        <v>92.49</v>
      </c>
      <c r="L396" s="41" t="n">
        <f aca="false">D396*I396</f>
        <v>39</v>
      </c>
      <c r="M396" s="41" t="n">
        <f aca="false">IFERROR(INDEX(Raw_Expenses!$C$5:$C$2979,MATCH(A396,Raw_Expenses!$A$5:$A$2979,0)),0)</f>
        <v>6.79</v>
      </c>
      <c r="N396" s="41" t="n">
        <f aca="false">L396+M396</f>
        <v>45.79</v>
      </c>
      <c r="O396" s="41" t="n">
        <f aca="false">K396-N396</f>
        <v>46.7</v>
      </c>
      <c r="P396" s="43" t="n">
        <f aca="false">IF(K396=0,0,O396/K396)</f>
        <v>0.504919450751433</v>
      </c>
    </row>
    <row r="397" customFormat="false" ht="15" hidden="false" customHeight="false" outlineLevel="0" collapsed="false">
      <c r="A397" s="39" t="s">
        <v>519</v>
      </c>
      <c r="B397" s="40" t="n">
        <v>45719</v>
      </c>
      <c r="C397" s="39" t="s">
        <v>107</v>
      </c>
      <c r="D397" s="39" t="n">
        <v>1</v>
      </c>
      <c r="E397" s="41" t="n">
        <v>34.25</v>
      </c>
      <c r="F397" s="39" t="s">
        <v>115</v>
      </c>
      <c r="G397" s="39" t="str">
        <f aca="false">VLOOKUP(C397,Products!$A$5:$D$24,2,FALSE())</f>
        <v>USB-C Hub</v>
      </c>
      <c r="H397" s="39" t="str">
        <f aca="false">VLOOKUP(C397,Products!$A$5:$D$24,3,FALSE())</f>
        <v>Electronics</v>
      </c>
      <c r="I397" s="41" t="n">
        <f aca="false">VLOOKUP(C397,Products!$A$5:$D$24,4,FALSE())</f>
        <v>14</v>
      </c>
      <c r="J397" s="42" t="n">
        <f aca="false">DATE(YEAR(B397),MONTH(B397),1)</f>
        <v>45717</v>
      </c>
      <c r="K397" s="41" t="n">
        <f aca="false">D397*E397</f>
        <v>34.25</v>
      </c>
      <c r="L397" s="41" t="n">
        <f aca="false">D397*I397</f>
        <v>14</v>
      </c>
      <c r="M397" s="41" t="n">
        <f aca="false">IFERROR(INDEX(Raw_Expenses!$C$5:$C$2979,MATCH(A397,Raw_Expenses!$A$5:$A$2979,0)),0)</f>
        <v>1.73</v>
      </c>
      <c r="N397" s="41" t="n">
        <f aca="false">L397+M397</f>
        <v>15.73</v>
      </c>
      <c r="O397" s="41" t="n">
        <f aca="false">K397-N397</f>
        <v>18.52</v>
      </c>
      <c r="P397" s="43" t="n">
        <f aca="false">IF(K397=0,0,O397/K397)</f>
        <v>0.540729927007299</v>
      </c>
    </row>
    <row r="398" customFormat="false" ht="15" hidden="false" customHeight="false" outlineLevel="0" collapsed="false">
      <c r="A398" s="39" t="s">
        <v>520</v>
      </c>
      <c r="B398" s="40" t="n">
        <v>45719</v>
      </c>
      <c r="C398" s="39" t="s">
        <v>177</v>
      </c>
      <c r="D398" s="39" t="n">
        <v>2</v>
      </c>
      <c r="E398" s="41" t="n">
        <v>42.56</v>
      </c>
      <c r="F398" s="39" t="s">
        <v>115</v>
      </c>
      <c r="G398" s="39" t="str">
        <f aca="false">VLOOKUP(C398,Products!$A$5:$D$24,2,FALSE())</f>
        <v>Backpack</v>
      </c>
      <c r="H398" s="39" t="str">
        <f aca="false">VLOOKUP(C398,Products!$A$5:$D$24,3,FALSE())</f>
        <v>Accessories</v>
      </c>
      <c r="I398" s="41" t="n">
        <f aca="false">VLOOKUP(C398,Products!$A$5:$D$24,4,FALSE())</f>
        <v>17</v>
      </c>
      <c r="J398" s="42" t="n">
        <f aca="false">DATE(YEAR(B398),MONTH(B398),1)</f>
        <v>45717</v>
      </c>
      <c r="K398" s="41" t="n">
        <f aca="false">D398*E398</f>
        <v>85.12</v>
      </c>
      <c r="L398" s="41" t="n">
        <f aca="false">D398*I398</f>
        <v>34</v>
      </c>
      <c r="M398" s="41" t="n">
        <f aca="false">IFERROR(INDEX(Raw_Expenses!$C$5:$C$2979,MATCH(A398,Raw_Expenses!$A$5:$A$2979,0)),0)</f>
        <v>4.18</v>
      </c>
      <c r="N398" s="41" t="n">
        <f aca="false">L398+M398</f>
        <v>38.18</v>
      </c>
      <c r="O398" s="41" t="n">
        <f aca="false">K398-N398</f>
        <v>46.94</v>
      </c>
      <c r="P398" s="43" t="n">
        <f aca="false">IF(K398=0,0,O398/K398)</f>
        <v>0.551456766917293</v>
      </c>
    </row>
    <row r="399" customFormat="false" ht="15" hidden="false" customHeight="false" outlineLevel="0" collapsed="false">
      <c r="A399" s="39" t="s">
        <v>521</v>
      </c>
      <c r="B399" s="40" t="n">
        <v>45719</v>
      </c>
      <c r="C399" s="39" t="s">
        <v>162</v>
      </c>
      <c r="D399" s="39" t="n">
        <v>1</v>
      </c>
      <c r="E399" s="41" t="n">
        <v>68.9</v>
      </c>
      <c r="F399" s="39" t="s">
        <v>108</v>
      </c>
      <c r="G399" s="39" t="str">
        <f aca="false">VLOOKUP(C399,Products!$A$5:$D$24,2,FALSE())</f>
        <v>Bluetooth Speaker</v>
      </c>
      <c r="H399" s="39" t="str">
        <f aca="false">VLOOKUP(C399,Products!$A$5:$D$24,3,FALSE())</f>
        <v>Electronics</v>
      </c>
      <c r="I399" s="41" t="n">
        <f aca="false">VLOOKUP(C399,Products!$A$5:$D$24,4,FALSE())</f>
        <v>28</v>
      </c>
      <c r="J399" s="42" t="n">
        <f aca="false">DATE(YEAR(B399),MONTH(B399),1)</f>
        <v>45717</v>
      </c>
      <c r="K399" s="41" t="n">
        <f aca="false">D399*E399</f>
        <v>68.9</v>
      </c>
      <c r="L399" s="41" t="n">
        <f aca="false">D399*I399</f>
        <v>28</v>
      </c>
      <c r="M399" s="41" t="n">
        <f aca="false">IFERROR(INDEX(Raw_Expenses!$C$5:$C$2979,MATCH(A399,Raw_Expenses!$A$5:$A$2979,0)),0)</f>
        <v>5.84</v>
      </c>
      <c r="N399" s="41" t="n">
        <f aca="false">L399+M399</f>
        <v>33.84</v>
      </c>
      <c r="O399" s="41" t="n">
        <f aca="false">K399-N399</f>
        <v>35.06</v>
      </c>
      <c r="P399" s="43" t="n">
        <f aca="false">IF(K399=0,0,O399/K399)</f>
        <v>0.508853410740203</v>
      </c>
    </row>
    <row r="400" customFormat="false" ht="15" hidden="false" customHeight="false" outlineLevel="0" collapsed="false">
      <c r="A400" s="39" t="s">
        <v>522</v>
      </c>
      <c r="B400" s="40" t="n">
        <v>45719</v>
      </c>
      <c r="C400" s="39" t="s">
        <v>107</v>
      </c>
      <c r="D400" s="39" t="n">
        <v>1</v>
      </c>
      <c r="E400" s="41" t="n">
        <v>33.93</v>
      </c>
      <c r="F400" s="39" t="s">
        <v>115</v>
      </c>
      <c r="G400" s="39" t="str">
        <f aca="false">VLOOKUP(C400,Products!$A$5:$D$24,2,FALSE())</f>
        <v>USB-C Hub</v>
      </c>
      <c r="H400" s="39" t="str">
        <f aca="false">VLOOKUP(C400,Products!$A$5:$D$24,3,FALSE())</f>
        <v>Electronics</v>
      </c>
      <c r="I400" s="41" t="n">
        <f aca="false">VLOOKUP(C400,Products!$A$5:$D$24,4,FALSE())</f>
        <v>14</v>
      </c>
      <c r="J400" s="42" t="n">
        <f aca="false">DATE(YEAR(B400),MONTH(B400),1)</f>
        <v>45717</v>
      </c>
      <c r="K400" s="41" t="n">
        <f aca="false">D400*E400</f>
        <v>33.93</v>
      </c>
      <c r="L400" s="41" t="n">
        <f aca="false">D400*I400</f>
        <v>14</v>
      </c>
      <c r="M400" s="41" t="n">
        <f aca="false">IFERROR(INDEX(Raw_Expenses!$C$5:$C$2979,MATCH(A400,Raw_Expenses!$A$5:$A$2979,0)),0)</f>
        <v>2.34</v>
      </c>
      <c r="N400" s="41" t="n">
        <f aca="false">L400+M400</f>
        <v>16.34</v>
      </c>
      <c r="O400" s="41" t="n">
        <f aca="false">K400-N400</f>
        <v>17.59</v>
      </c>
      <c r="P400" s="43" t="n">
        <f aca="false">IF(K400=0,0,O400/K400)</f>
        <v>0.518420277040967</v>
      </c>
    </row>
    <row r="401" customFormat="false" ht="15" hidden="false" customHeight="false" outlineLevel="0" collapsed="false">
      <c r="A401" s="39" t="s">
        <v>523</v>
      </c>
      <c r="B401" s="40" t="n">
        <v>45719</v>
      </c>
      <c r="C401" s="39" t="s">
        <v>107</v>
      </c>
      <c r="D401" s="39" t="n">
        <v>2</v>
      </c>
      <c r="E401" s="41" t="n">
        <v>34.63</v>
      </c>
      <c r="F401" s="39" t="s">
        <v>105</v>
      </c>
      <c r="G401" s="39" t="str">
        <f aca="false">VLOOKUP(C401,Products!$A$5:$D$24,2,FALSE())</f>
        <v>USB-C Hub</v>
      </c>
      <c r="H401" s="39" t="str">
        <f aca="false">VLOOKUP(C401,Products!$A$5:$D$24,3,FALSE())</f>
        <v>Electronics</v>
      </c>
      <c r="I401" s="41" t="n">
        <f aca="false">VLOOKUP(C401,Products!$A$5:$D$24,4,FALSE())</f>
        <v>14</v>
      </c>
      <c r="J401" s="42" t="n">
        <f aca="false">DATE(YEAR(B401),MONTH(B401),1)</f>
        <v>45717</v>
      </c>
      <c r="K401" s="41" t="n">
        <f aca="false">D401*E401</f>
        <v>69.26</v>
      </c>
      <c r="L401" s="41" t="n">
        <f aca="false">D401*I401</f>
        <v>28</v>
      </c>
      <c r="M401" s="41" t="n">
        <f aca="false">IFERROR(INDEX(Raw_Expenses!$C$5:$C$2979,MATCH(A401,Raw_Expenses!$A$5:$A$2979,0)),0)</f>
        <v>3.6</v>
      </c>
      <c r="N401" s="41" t="n">
        <f aca="false">L401+M401</f>
        <v>31.6</v>
      </c>
      <c r="O401" s="41" t="n">
        <f aca="false">K401-N401</f>
        <v>37.66</v>
      </c>
      <c r="P401" s="43" t="n">
        <f aca="false">IF(K401=0,0,O401/K401)</f>
        <v>0.543748195206468</v>
      </c>
    </row>
    <row r="402" customFormat="false" ht="15" hidden="false" customHeight="false" outlineLevel="0" collapsed="false">
      <c r="A402" s="39" t="s">
        <v>524</v>
      </c>
      <c r="B402" s="40" t="n">
        <v>45720</v>
      </c>
      <c r="C402" s="39" t="s">
        <v>153</v>
      </c>
      <c r="D402" s="39" t="n">
        <v>3</v>
      </c>
      <c r="E402" s="41" t="n">
        <v>178.78</v>
      </c>
      <c r="F402" s="39" t="s">
        <v>118</v>
      </c>
      <c r="G402" s="39" t="str">
        <f aca="false">VLOOKUP(C402,Products!$A$5:$D$24,2,FALSE())</f>
        <v>24-inch Monitor</v>
      </c>
      <c r="H402" s="39" t="str">
        <f aca="false">VLOOKUP(C402,Products!$A$5:$D$24,3,FALSE())</f>
        <v>Electronics</v>
      </c>
      <c r="I402" s="41" t="n">
        <f aca="false">VLOOKUP(C402,Products!$A$5:$D$24,4,FALSE())</f>
        <v>90</v>
      </c>
      <c r="J402" s="42" t="n">
        <f aca="false">DATE(YEAR(B402),MONTH(B402),1)</f>
        <v>45717</v>
      </c>
      <c r="K402" s="41" t="n">
        <f aca="false">D402*E402</f>
        <v>536.34</v>
      </c>
      <c r="L402" s="41" t="n">
        <f aca="false">D402*I402</f>
        <v>270</v>
      </c>
      <c r="M402" s="41" t="n">
        <f aca="false">IFERROR(INDEX(Raw_Expenses!$C$5:$C$2979,MATCH(A402,Raw_Expenses!$A$5:$A$2979,0)),0)</f>
        <v>43.56</v>
      </c>
      <c r="N402" s="41" t="n">
        <f aca="false">L402+M402</f>
        <v>313.56</v>
      </c>
      <c r="O402" s="41" t="n">
        <f aca="false">K402-N402</f>
        <v>222.78</v>
      </c>
      <c r="P402" s="43" t="n">
        <f aca="false">IF(K402=0,0,O402/K402)</f>
        <v>0.415370846850878</v>
      </c>
    </row>
    <row r="403" customFormat="false" ht="15" hidden="false" customHeight="false" outlineLevel="0" collapsed="false">
      <c r="A403" s="39" t="s">
        <v>525</v>
      </c>
      <c r="B403" s="40" t="n">
        <v>45720</v>
      </c>
      <c r="C403" s="39" t="s">
        <v>177</v>
      </c>
      <c r="D403" s="39" t="n">
        <v>2</v>
      </c>
      <c r="E403" s="41" t="n">
        <v>42.53</v>
      </c>
      <c r="F403" s="39" t="s">
        <v>115</v>
      </c>
      <c r="G403" s="39" t="str">
        <f aca="false">VLOOKUP(C403,Products!$A$5:$D$24,2,FALSE())</f>
        <v>Backpack</v>
      </c>
      <c r="H403" s="39" t="str">
        <f aca="false">VLOOKUP(C403,Products!$A$5:$D$24,3,FALSE())</f>
        <v>Accessories</v>
      </c>
      <c r="I403" s="41" t="n">
        <f aca="false">VLOOKUP(C403,Products!$A$5:$D$24,4,FALSE())</f>
        <v>17</v>
      </c>
      <c r="J403" s="42" t="n">
        <f aca="false">DATE(YEAR(B403),MONTH(B403),1)</f>
        <v>45717</v>
      </c>
      <c r="K403" s="41" t="n">
        <f aca="false">D403*E403</f>
        <v>85.06</v>
      </c>
      <c r="L403" s="41" t="n">
        <f aca="false">D403*I403</f>
        <v>34</v>
      </c>
      <c r="M403" s="41" t="n">
        <f aca="false">IFERROR(INDEX(Raw_Expenses!$C$5:$C$2979,MATCH(A403,Raw_Expenses!$A$5:$A$2979,0)),0)</f>
        <v>3.79</v>
      </c>
      <c r="N403" s="41" t="n">
        <f aca="false">L403+M403</f>
        <v>37.79</v>
      </c>
      <c r="O403" s="41" t="n">
        <f aca="false">K403-N403</f>
        <v>47.27</v>
      </c>
      <c r="P403" s="43" t="n">
        <f aca="false">IF(K403=0,0,O403/K403)</f>
        <v>0.555725370326828</v>
      </c>
    </row>
    <row r="404" customFormat="false" ht="15" hidden="false" customHeight="false" outlineLevel="0" collapsed="false">
      <c r="A404" s="39" t="s">
        <v>526</v>
      </c>
      <c r="B404" s="40" t="n">
        <v>45720</v>
      </c>
      <c r="C404" s="39" t="s">
        <v>144</v>
      </c>
      <c r="D404" s="39" t="n">
        <v>3</v>
      </c>
      <c r="E404" s="41" t="n">
        <v>56.87</v>
      </c>
      <c r="F404" s="39" t="s">
        <v>108</v>
      </c>
      <c r="G404" s="39" t="str">
        <f aca="false">VLOOKUP(C404,Products!$A$5:$D$24,2,FALSE())</f>
        <v>Whiteboard</v>
      </c>
      <c r="H404" s="39" t="str">
        <f aca="false">VLOOKUP(C404,Products!$A$5:$D$24,3,FALSE())</f>
        <v>Furniture</v>
      </c>
      <c r="I404" s="41" t="n">
        <f aca="false">VLOOKUP(C404,Products!$A$5:$D$24,4,FALSE())</f>
        <v>28</v>
      </c>
      <c r="J404" s="42" t="n">
        <f aca="false">DATE(YEAR(B404),MONTH(B404),1)</f>
        <v>45717</v>
      </c>
      <c r="K404" s="41" t="n">
        <f aca="false">D404*E404</f>
        <v>170.61</v>
      </c>
      <c r="L404" s="41" t="n">
        <f aca="false">D404*I404</f>
        <v>84</v>
      </c>
      <c r="M404" s="41" t="n">
        <f aca="false">IFERROR(INDEX(Raw_Expenses!$C$5:$C$2979,MATCH(A404,Raw_Expenses!$A$5:$A$2979,0)),0)</f>
        <v>14.69</v>
      </c>
      <c r="N404" s="41" t="n">
        <f aca="false">L404+M404</f>
        <v>98.69</v>
      </c>
      <c r="O404" s="41" t="n">
        <f aca="false">K404-N404</f>
        <v>71.92</v>
      </c>
      <c r="P404" s="43" t="n">
        <f aca="false">IF(K404=0,0,O404/K404)</f>
        <v>0.421546216517203</v>
      </c>
    </row>
    <row r="405" customFormat="false" ht="15" hidden="false" customHeight="false" outlineLevel="0" collapsed="false">
      <c r="A405" s="39" t="s">
        <v>527</v>
      </c>
      <c r="B405" s="40" t="n">
        <v>45720</v>
      </c>
      <c r="C405" s="39" t="s">
        <v>110</v>
      </c>
      <c r="D405" s="39" t="n">
        <v>6</v>
      </c>
      <c r="E405" s="41" t="n">
        <v>13.66</v>
      </c>
      <c r="F405" s="39" t="s">
        <v>105</v>
      </c>
      <c r="G405" s="39" t="str">
        <f aca="false">VLOOKUP(C405,Products!$A$5:$D$24,2,FALSE())</f>
        <v>Phone Stand</v>
      </c>
      <c r="H405" s="39" t="str">
        <f aca="false">VLOOKUP(C405,Products!$A$5:$D$24,3,FALSE())</f>
        <v>Accessories</v>
      </c>
      <c r="I405" s="41" t="n">
        <f aca="false">VLOOKUP(C405,Products!$A$5:$D$24,4,FALSE())</f>
        <v>4</v>
      </c>
      <c r="J405" s="42" t="n">
        <f aca="false">DATE(YEAR(B405),MONTH(B405),1)</f>
        <v>45717</v>
      </c>
      <c r="K405" s="41" t="n">
        <f aca="false">D405*E405</f>
        <v>81.96</v>
      </c>
      <c r="L405" s="41" t="n">
        <f aca="false">D405*I405</f>
        <v>24</v>
      </c>
      <c r="M405" s="41" t="n">
        <f aca="false">IFERROR(INDEX(Raw_Expenses!$C$5:$C$2979,MATCH(A405,Raw_Expenses!$A$5:$A$2979,0)),0)</f>
        <v>4.18</v>
      </c>
      <c r="N405" s="41" t="n">
        <f aca="false">L405+M405</f>
        <v>28.18</v>
      </c>
      <c r="O405" s="41" t="n">
        <f aca="false">K405-N405</f>
        <v>53.78</v>
      </c>
      <c r="P405" s="43" t="n">
        <f aca="false">IF(K405=0,0,O405/K405)</f>
        <v>0.65617374328941</v>
      </c>
    </row>
    <row r="406" customFormat="false" ht="15" hidden="false" customHeight="false" outlineLevel="0" collapsed="false">
      <c r="A406" s="39" t="s">
        <v>528</v>
      </c>
      <c r="B406" s="40" t="n">
        <v>45720</v>
      </c>
      <c r="C406" s="39" t="s">
        <v>133</v>
      </c>
      <c r="D406" s="39" t="n">
        <v>2</v>
      </c>
      <c r="E406" s="41" t="n">
        <v>8.3</v>
      </c>
      <c r="F406" s="39" t="s">
        <v>108</v>
      </c>
      <c r="G406" s="39" t="str">
        <f aca="false">VLOOKUP(C406,Products!$A$5:$D$24,2,FALSE())</f>
        <v>Printer Paper Ream</v>
      </c>
      <c r="H406" s="39" t="str">
        <f aca="false">VLOOKUP(C406,Products!$A$5:$D$24,3,FALSE())</f>
        <v>Stationery</v>
      </c>
      <c r="I406" s="41" t="n">
        <f aca="false">VLOOKUP(C406,Products!$A$5:$D$24,4,FALSE())</f>
        <v>4</v>
      </c>
      <c r="J406" s="42" t="n">
        <f aca="false">DATE(YEAR(B406),MONTH(B406),1)</f>
        <v>45717</v>
      </c>
      <c r="K406" s="41" t="n">
        <f aca="false">D406*E406</f>
        <v>16.6</v>
      </c>
      <c r="L406" s="41" t="n">
        <f aca="false">D406*I406</f>
        <v>8</v>
      </c>
      <c r="M406" s="41" t="n">
        <f aca="false">IFERROR(INDEX(Raw_Expenses!$C$5:$C$2979,MATCH(A406,Raw_Expenses!$A$5:$A$2979,0)),0)</f>
        <v>1.23</v>
      </c>
      <c r="N406" s="41" t="n">
        <f aca="false">L406+M406</f>
        <v>9.23</v>
      </c>
      <c r="O406" s="41" t="n">
        <f aca="false">K406-N406</f>
        <v>7.37</v>
      </c>
      <c r="P406" s="43" t="n">
        <f aca="false">IF(K406=0,0,O406/K406)</f>
        <v>0.443975903614458</v>
      </c>
    </row>
    <row r="407" customFormat="false" ht="15" hidden="false" customHeight="false" outlineLevel="0" collapsed="false">
      <c r="A407" s="39" t="s">
        <v>529</v>
      </c>
      <c r="B407" s="40" t="n">
        <v>45720</v>
      </c>
      <c r="C407" s="39" t="s">
        <v>169</v>
      </c>
      <c r="D407" s="39" t="n">
        <v>1</v>
      </c>
      <c r="E407" s="41" t="n">
        <v>28.88</v>
      </c>
      <c r="F407" s="39" t="s">
        <v>115</v>
      </c>
      <c r="G407" s="39" t="str">
        <f aca="false">VLOOKUP(C407,Products!$A$5:$D$24,2,FALSE())</f>
        <v>Laptop Stand</v>
      </c>
      <c r="H407" s="39" t="str">
        <f aca="false">VLOOKUP(C407,Products!$A$5:$D$24,3,FALSE())</f>
        <v>Accessories</v>
      </c>
      <c r="I407" s="41" t="n">
        <f aca="false">VLOOKUP(C407,Products!$A$5:$D$24,4,FALSE())</f>
        <v>11</v>
      </c>
      <c r="J407" s="42" t="n">
        <f aca="false">DATE(YEAR(B407),MONTH(B407),1)</f>
        <v>45717</v>
      </c>
      <c r="K407" s="41" t="n">
        <f aca="false">D407*E407</f>
        <v>28.88</v>
      </c>
      <c r="L407" s="41" t="n">
        <f aca="false">D407*I407</f>
        <v>11</v>
      </c>
      <c r="M407" s="41" t="n">
        <f aca="false">IFERROR(INDEX(Raw_Expenses!$C$5:$C$2979,MATCH(A407,Raw_Expenses!$A$5:$A$2979,0)),0)</f>
        <v>2.49</v>
      </c>
      <c r="N407" s="41" t="n">
        <f aca="false">L407+M407</f>
        <v>13.49</v>
      </c>
      <c r="O407" s="41" t="n">
        <f aca="false">K407-N407</f>
        <v>15.39</v>
      </c>
      <c r="P407" s="43" t="n">
        <f aca="false">IF(K407=0,0,O407/K407)</f>
        <v>0.532894736842105</v>
      </c>
    </row>
    <row r="408" customFormat="false" ht="15" hidden="false" customHeight="false" outlineLevel="0" collapsed="false">
      <c r="A408" s="39" t="s">
        <v>530</v>
      </c>
      <c r="B408" s="40" t="n">
        <v>45720</v>
      </c>
      <c r="C408" s="39" t="s">
        <v>305</v>
      </c>
      <c r="D408" s="39" t="n">
        <v>2</v>
      </c>
      <c r="E408" s="41" t="n">
        <v>330.88</v>
      </c>
      <c r="F408" s="39" t="s">
        <v>118</v>
      </c>
      <c r="G408" s="39" t="str">
        <f aca="false">VLOOKUP(C408,Products!$A$5:$D$24,2,FALSE())</f>
        <v>Standing Desk</v>
      </c>
      <c r="H408" s="39" t="str">
        <f aca="false">VLOOKUP(C408,Products!$A$5:$D$24,3,FALSE())</f>
        <v>Furniture</v>
      </c>
      <c r="I408" s="41" t="n">
        <f aca="false">VLOOKUP(C408,Products!$A$5:$D$24,4,FALSE())</f>
        <v>160</v>
      </c>
      <c r="J408" s="42" t="n">
        <f aca="false">DATE(YEAR(B408),MONTH(B408),1)</f>
        <v>45717</v>
      </c>
      <c r="K408" s="41" t="n">
        <f aca="false">D408*E408</f>
        <v>661.76</v>
      </c>
      <c r="L408" s="41" t="n">
        <f aca="false">D408*I408</f>
        <v>320</v>
      </c>
      <c r="M408" s="41" t="n">
        <f aca="false">IFERROR(INDEX(Raw_Expenses!$C$5:$C$2979,MATCH(A408,Raw_Expenses!$A$5:$A$2979,0)),0)</f>
        <v>42.05</v>
      </c>
      <c r="N408" s="41" t="n">
        <f aca="false">L408+M408</f>
        <v>362.05</v>
      </c>
      <c r="O408" s="41" t="n">
        <f aca="false">K408-N408</f>
        <v>299.71</v>
      </c>
      <c r="P408" s="43" t="n">
        <f aca="false">IF(K408=0,0,O408/K408)</f>
        <v>0.45289833172147</v>
      </c>
    </row>
    <row r="409" customFormat="false" ht="15" hidden="false" customHeight="false" outlineLevel="0" collapsed="false">
      <c r="A409" s="39" t="s">
        <v>531</v>
      </c>
      <c r="B409" s="40" t="n">
        <v>45720</v>
      </c>
      <c r="C409" s="39" t="s">
        <v>133</v>
      </c>
      <c r="D409" s="39" t="n">
        <v>1</v>
      </c>
      <c r="E409" s="41" t="n">
        <v>8.52</v>
      </c>
      <c r="F409" s="39" t="s">
        <v>108</v>
      </c>
      <c r="G409" s="39" t="str">
        <f aca="false">VLOOKUP(C409,Products!$A$5:$D$24,2,FALSE())</f>
        <v>Printer Paper Ream</v>
      </c>
      <c r="H409" s="39" t="str">
        <f aca="false">VLOOKUP(C409,Products!$A$5:$D$24,3,FALSE())</f>
        <v>Stationery</v>
      </c>
      <c r="I409" s="41" t="n">
        <f aca="false">VLOOKUP(C409,Products!$A$5:$D$24,4,FALSE())</f>
        <v>4</v>
      </c>
      <c r="J409" s="42" t="n">
        <f aca="false">DATE(YEAR(B409),MONTH(B409),1)</f>
        <v>45717</v>
      </c>
      <c r="K409" s="41" t="n">
        <f aca="false">D409*E409</f>
        <v>8.52</v>
      </c>
      <c r="L409" s="41" t="n">
        <f aca="false">D409*I409</f>
        <v>4</v>
      </c>
      <c r="M409" s="41" t="n">
        <f aca="false">IFERROR(INDEX(Raw_Expenses!$C$5:$C$2979,MATCH(A409,Raw_Expenses!$A$5:$A$2979,0)),0)</f>
        <v>0.66</v>
      </c>
      <c r="N409" s="41" t="n">
        <f aca="false">L409+M409</f>
        <v>4.66</v>
      </c>
      <c r="O409" s="41" t="n">
        <f aca="false">K409-N409</f>
        <v>3.86</v>
      </c>
      <c r="P409" s="43" t="n">
        <f aca="false">IF(K409=0,0,O409/K409)</f>
        <v>0.453051643192488</v>
      </c>
    </row>
    <row r="410" customFormat="false" ht="15" hidden="false" customHeight="false" outlineLevel="0" collapsed="false">
      <c r="A410" s="39" t="s">
        <v>532</v>
      </c>
      <c r="B410" s="40" t="n">
        <v>45720</v>
      </c>
      <c r="C410" s="39" t="s">
        <v>153</v>
      </c>
      <c r="D410" s="39" t="n">
        <v>2</v>
      </c>
      <c r="E410" s="41" t="n">
        <v>165.89</v>
      </c>
      <c r="F410" s="39" t="s">
        <v>115</v>
      </c>
      <c r="G410" s="39" t="str">
        <f aca="false">VLOOKUP(C410,Products!$A$5:$D$24,2,FALSE())</f>
        <v>24-inch Monitor</v>
      </c>
      <c r="H410" s="39" t="str">
        <f aca="false">VLOOKUP(C410,Products!$A$5:$D$24,3,FALSE())</f>
        <v>Electronics</v>
      </c>
      <c r="I410" s="41" t="n">
        <f aca="false">VLOOKUP(C410,Products!$A$5:$D$24,4,FALSE())</f>
        <v>90</v>
      </c>
      <c r="J410" s="42" t="n">
        <f aca="false">DATE(YEAR(B410),MONTH(B410),1)</f>
        <v>45717</v>
      </c>
      <c r="K410" s="41" t="n">
        <f aca="false">D410*E410</f>
        <v>331.78</v>
      </c>
      <c r="L410" s="41" t="n">
        <f aca="false">D410*I410</f>
        <v>180</v>
      </c>
      <c r="M410" s="41" t="n">
        <f aca="false">IFERROR(INDEX(Raw_Expenses!$C$5:$C$2979,MATCH(A410,Raw_Expenses!$A$5:$A$2979,0)),0)</f>
        <v>16.38</v>
      </c>
      <c r="N410" s="41" t="n">
        <f aca="false">L410+M410</f>
        <v>196.38</v>
      </c>
      <c r="O410" s="41" t="n">
        <f aca="false">K410-N410</f>
        <v>135.4</v>
      </c>
      <c r="P410" s="43" t="n">
        <f aca="false">IF(K410=0,0,O410/K410)</f>
        <v>0.408101754174453</v>
      </c>
    </row>
    <row r="411" customFormat="false" ht="15" hidden="false" customHeight="false" outlineLevel="0" collapsed="false">
      <c r="A411" s="39" t="s">
        <v>533</v>
      </c>
      <c r="B411" s="40" t="n">
        <v>45720</v>
      </c>
      <c r="C411" s="39" t="s">
        <v>104</v>
      </c>
      <c r="D411" s="39" t="n">
        <v>8</v>
      </c>
      <c r="E411" s="41" t="n">
        <v>15.3</v>
      </c>
      <c r="F411" s="39" t="s">
        <v>108</v>
      </c>
      <c r="G411" s="39" t="str">
        <f aca="false">VLOOKUP(C411,Products!$A$5:$D$24,2,FALSE())</f>
        <v>Water Bottle</v>
      </c>
      <c r="H411" s="39" t="str">
        <f aca="false">VLOOKUP(C411,Products!$A$5:$D$24,3,FALSE())</f>
        <v>Accessories</v>
      </c>
      <c r="I411" s="41" t="n">
        <f aca="false">VLOOKUP(C411,Products!$A$5:$D$24,4,FALSE())</f>
        <v>5</v>
      </c>
      <c r="J411" s="42" t="n">
        <f aca="false">DATE(YEAR(B411),MONTH(B411),1)</f>
        <v>45717</v>
      </c>
      <c r="K411" s="41" t="n">
        <f aca="false">D411*E411</f>
        <v>122.4</v>
      </c>
      <c r="L411" s="41" t="n">
        <f aca="false">D411*I411</f>
        <v>40</v>
      </c>
      <c r="M411" s="41" t="n">
        <f aca="false">IFERROR(INDEX(Raw_Expenses!$C$5:$C$2979,MATCH(A411,Raw_Expenses!$A$5:$A$2979,0)),0)</f>
        <v>7.26</v>
      </c>
      <c r="N411" s="41" t="n">
        <f aca="false">L411+M411</f>
        <v>47.26</v>
      </c>
      <c r="O411" s="41" t="n">
        <f aca="false">K411-N411</f>
        <v>75.14</v>
      </c>
      <c r="P411" s="43" t="n">
        <f aca="false">IF(K411=0,0,O411/K411)</f>
        <v>0.613888888888889</v>
      </c>
    </row>
    <row r="412" customFormat="false" ht="15" hidden="false" customHeight="false" outlineLevel="0" collapsed="false">
      <c r="A412" s="39" t="s">
        <v>534</v>
      </c>
      <c r="B412" s="40" t="n">
        <v>45720</v>
      </c>
      <c r="C412" s="39" t="s">
        <v>183</v>
      </c>
      <c r="D412" s="39" t="n">
        <v>3</v>
      </c>
      <c r="E412" s="41" t="n">
        <v>178.43</v>
      </c>
      <c r="F412" s="39" t="s">
        <v>108</v>
      </c>
      <c r="G412" s="39" t="str">
        <f aca="false">VLOOKUP(C412,Products!$A$5:$D$24,2,FALSE())</f>
        <v>Office Chair</v>
      </c>
      <c r="H412" s="39" t="str">
        <f aca="false">VLOOKUP(C412,Products!$A$5:$D$24,3,FALSE())</f>
        <v>Furniture</v>
      </c>
      <c r="I412" s="41" t="n">
        <f aca="false">VLOOKUP(C412,Products!$A$5:$D$24,4,FALSE())</f>
        <v>85</v>
      </c>
      <c r="J412" s="42" t="n">
        <f aca="false">DATE(YEAR(B412),MONTH(B412),1)</f>
        <v>45717</v>
      </c>
      <c r="K412" s="41" t="n">
        <f aca="false">D412*E412</f>
        <v>535.29</v>
      </c>
      <c r="L412" s="41" t="n">
        <f aca="false">D412*I412</f>
        <v>255</v>
      </c>
      <c r="M412" s="41" t="n">
        <f aca="false">IFERROR(INDEX(Raw_Expenses!$C$5:$C$2979,MATCH(A412,Raw_Expenses!$A$5:$A$2979,0)),0)</f>
        <v>40.99</v>
      </c>
      <c r="N412" s="41" t="n">
        <f aca="false">L412+M412</f>
        <v>295.99</v>
      </c>
      <c r="O412" s="41" t="n">
        <f aca="false">K412-N412</f>
        <v>239.3</v>
      </c>
      <c r="P412" s="43" t="n">
        <f aca="false">IF(K412=0,0,O412/K412)</f>
        <v>0.44704739487007</v>
      </c>
    </row>
    <row r="413" customFormat="false" ht="15" hidden="false" customHeight="false" outlineLevel="0" collapsed="false">
      <c r="A413" s="39" t="s">
        <v>535</v>
      </c>
      <c r="B413" s="40" t="n">
        <v>45720</v>
      </c>
      <c r="C413" s="39" t="s">
        <v>136</v>
      </c>
      <c r="D413" s="39" t="n">
        <v>2</v>
      </c>
      <c r="E413" s="41" t="n">
        <v>76.71</v>
      </c>
      <c r="F413" s="39" t="s">
        <v>105</v>
      </c>
      <c r="G413" s="39" t="str">
        <f aca="false">VLOOKUP(C413,Products!$A$5:$D$24,2,FALSE())</f>
        <v>Mechanical Keyboard</v>
      </c>
      <c r="H413" s="39" t="str">
        <f aca="false">VLOOKUP(C413,Products!$A$5:$D$24,3,FALSE())</f>
        <v>Electronics</v>
      </c>
      <c r="I413" s="41" t="n">
        <f aca="false">VLOOKUP(C413,Products!$A$5:$D$24,4,FALSE())</f>
        <v>38</v>
      </c>
      <c r="J413" s="42" t="n">
        <f aca="false">DATE(YEAR(B413),MONTH(B413),1)</f>
        <v>45717</v>
      </c>
      <c r="K413" s="41" t="n">
        <f aca="false">D413*E413</f>
        <v>153.42</v>
      </c>
      <c r="L413" s="41" t="n">
        <f aca="false">D413*I413</f>
        <v>76</v>
      </c>
      <c r="M413" s="41" t="n">
        <f aca="false">IFERROR(INDEX(Raw_Expenses!$C$5:$C$2979,MATCH(A413,Raw_Expenses!$A$5:$A$2979,0)),0)</f>
        <v>12.13</v>
      </c>
      <c r="N413" s="41" t="n">
        <f aca="false">L413+M413</f>
        <v>88.13</v>
      </c>
      <c r="O413" s="41" t="n">
        <f aca="false">K413-N413</f>
        <v>65.29</v>
      </c>
      <c r="P413" s="43" t="n">
        <f aca="false">IF(K413=0,0,O413/K413)</f>
        <v>0.425563811758571</v>
      </c>
    </row>
    <row r="414" customFormat="false" ht="15" hidden="false" customHeight="false" outlineLevel="0" collapsed="false">
      <c r="A414" s="39" t="s">
        <v>536</v>
      </c>
      <c r="B414" s="40" t="n">
        <v>45720</v>
      </c>
      <c r="C414" s="39" t="s">
        <v>130</v>
      </c>
      <c r="D414" s="39" t="n">
        <v>5</v>
      </c>
      <c r="E414" s="41" t="n">
        <v>8.31</v>
      </c>
      <c r="F414" s="39" t="s">
        <v>118</v>
      </c>
      <c r="G414" s="39" t="str">
        <f aca="false">VLOOKUP(C414,Products!$A$5:$D$24,2,FALSE())</f>
        <v>Notebook Set</v>
      </c>
      <c r="H414" s="39" t="str">
        <f aca="false">VLOOKUP(C414,Products!$A$5:$D$24,3,FALSE())</f>
        <v>Stationery</v>
      </c>
      <c r="I414" s="41" t="n">
        <f aca="false">VLOOKUP(C414,Products!$A$5:$D$24,4,FALSE())</f>
        <v>3</v>
      </c>
      <c r="J414" s="42" t="n">
        <f aca="false">DATE(YEAR(B414),MONTH(B414),1)</f>
        <v>45717</v>
      </c>
      <c r="K414" s="41" t="n">
        <f aca="false">D414*E414</f>
        <v>41.55</v>
      </c>
      <c r="L414" s="41" t="n">
        <f aca="false">D414*I414</f>
        <v>15</v>
      </c>
      <c r="M414" s="41" t="n">
        <f aca="false">IFERROR(INDEX(Raw_Expenses!$C$5:$C$2979,MATCH(A414,Raw_Expenses!$A$5:$A$2979,0)),0)</f>
        <v>3.09</v>
      </c>
      <c r="N414" s="41" t="n">
        <f aca="false">L414+M414</f>
        <v>18.09</v>
      </c>
      <c r="O414" s="41" t="n">
        <f aca="false">K414-N414</f>
        <v>23.46</v>
      </c>
      <c r="P414" s="43" t="n">
        <f aca="false">IF(K414=0,0,O414/K414)</f>
        <v>0.564620938628159</v>
      </c>
    </row>
    <row r="415" customFormat="false" ht="15" hidden="false" customHeight="false" outlineLevel="0" collapsed="false">
      <c r="A415" s="39" t="s">
        <v>537</v>
      </c>
      <c r="B415" s="40" t="n">
        <v>45721</v>
      </c>
      <c r="C415" s="39" t="s">
        <v>126</v>
      </c>
      <c r="D415" s="39" t="n">
        <v>2</v>
      </c>
      <c r="E415" s="41" t="n">
        <v>23.59</v>
      </c>
      <c r="F415" s="39" t="s">
        <v>118</v>
      </c>
      <c r="G415" s="39" t="str">
        <f aca="false">VLOOKUP(C415,Products!$A$5:$D$24,2,FALSE())</f>
        <v>Wireless Mouse</v>
      </c>
      <c r="H415" s="39" t="str">
        <f aca="false">VLOOKUP(C415,Products!$A$5:$D$24,3,FALSE())</f>
        <v>Electronics</v>
      </c>
      <c r="I415" s="41" t="n">
        <f aca="false">VLOOKUP(C415,Products!$A$5:$D$24,4,FALSE())</f>
        <v>12</v>
      </c>
      <c r="J415" s="42" t="n">
        <f aca="false">DATE(YEAR(B415),MONTH(B415),1)</f>
        <v>45717</v>
      </c>
      <c r="K415" s="41" t="n">
        <f aca="false">D415*E415</f>
        <v>47.18</v>
      </c>
      <c r="L415" s="41" t="n">
        <f aca="false">D415*I415</f>
        <v>24</v>
      </c>
      <c r="M415" s="41" t="n">
        <f aca="false">IFERROR(INDEX(Raw_Expenses!$C$5:$C$2979,MATCH(A415,Raw_Expenses!$A$5:$A$2979,0)),0)</f>
        <v>3.55</v>
      </c>
      <c r="N415" s="41" t="n">
        <f aca="false">L415+M415</f>
        <v>27.55</v>
      </c>
      <c r="O415" s="41" t="n">
        <f aca="false">K415-N415</f>
        <v>19.63</v>
      </c>
      <c r="P415" s="43" t="n">
        <f aca="false">IF(K415=0,0,O415/K415)</f>
        <v>0.416066129715981</v>
      </c>
    </row>
    <row r="416" customFormat="false" ht="15" hidden="false" customHeight="false" outlineLevel="0" collapsed="false">
      <c r="A416" s="39" t="s">
        <v>538</v>
      </c>
      <c r="B416" s="40" t="n">
        <v>45721</v>
      </c>
      <c r="C416" s="39" t="s">
        <v>112</v>
      </c>
      <c r="D416" s="39" t="n">
        <v>2</v>
      </c>
      <c r="E416" s="41" t="n">
        <v>52.44</v>
      </c>
      <c r="F416" s="39" t="s">
        <v>118</v>
      </c>
      <c r="G416" s="39" t="str">
        <f aca="false">VLOOKUP(C416,Products!$A$5:$D$24,2,FALSE())</f>
        <v>HD Webcam</v>
      </c>
      <c r="H416" s="39" t="str">
        <f aca="false">VLOOKUP(C416,Products!$A$5:$D$24,3,FALSE())</f>
        <v>Electronics</v>
      </c>
      <c r="I416" s="41" t="n">
        <f aca="false">VLOOKUP(C416,Products!$A$5:$D$24,4,FALSE())</f>
        <v>22</v>
      </c>
      <c r="J416" s="42" t="n">
        <f aca="false">DATE(YEAR(B416),MONTH(B416),1)</f>
        <v>45717</v>
      </c>
      <c r="K416" s="41" t="n">
        <f aca="false">D416*E416</f>
        <v>104.88</v>
      </c>
      <c r="L416" s="41" t="n">
        <f aca="false">D416*I416</f>
        <v>44</v>
      </c>
      <c r="M416" s="41" t="n">
        <f aca="false">IFERROR(INDEX(Raw_Expenses!$C$5:$C$2979,MATCH(A416,Raw_Expenses!$A$5:$A$2979,0)),0)</f>
        <v>8.52</v>
      </c>
      <c r="N416" s="41" t="n">
        <f aca="false">L416+M416</f>
        <v>52.52</v>
      </c>
      <c r="O416" s="41" t="n">
        <f aca="false">K416-N416</f>
        <v>52.36</v>
      </c>
      <c r="P416" s="43" t="n">
        <f aca="false">IF(K416=0,0,O416/K416)</f>
        <v>0.499237223493516</v>
      </c>
    </row>
    <row r="417" customFormat="false" ht="15" hidden="false" customHeight="false" outlineLevel="0" collapsed="false">
      <c r="A417" s="39" t="s">
        <v>539</v>
      </c>
      <c r="B417" s="40" t="n">
        <v>45721</v>
      </c>
      <c r="C417" s="39" t="s">
        <v>121</v>
      </c>
      <c r="D417" s="39" t="n">
        <v>4</v>
      </c>
      <c r="E417" s="41" t="n">
        <v>117.16</v>
      </c>
      <c r="F417" s="39" t="s">
        <v>118</v>
      </c>
      <c r="G417" s="39" t="str">
        <f aca="false">VLOOKUP(C417,Products!$A$5:$D$24,2,FALSE())</f>
        <v>External SSD 1TB</v>
      </c>
      <c r="H417" s="39" t="str">
        <f aca="false">VLOOKUP(C417,Products!$A$5:$D$24,3,FALSE())</f>
        <v>Electronics</v>
      </c>
      <c r="I417" s="41" t="n">
        <f aca="false">VLOOKUP(C417,Products!$A$5:$D$24,4,FALSE())</f>
        <v>62</v>
      </c>
      <c r="J417" s="42" t="n">
        <f aca="false">DATE(YEAR(B417),MONTH(B417),1)</f>
        <v>45717</v>
      </c>
      <c r="K417" s="41" t="n">
        <f aca="false">D417*E417</f>
        <v>468.64</v>
      </c>
      <c r="L417" s="41" t="n">
        <f aca="false">D417*I417</f>
        <v>248</v>
      </c>
      <c r="M417" s="41" t="n">
        <f aca="false">IFERROR(INDEX(Raw_Expenses!$C$5:$C$2979,MATCH(A417,Raw_Expenses!$A$5:$A$2979,0)),0)</f>
        <v>21.54</v>
      </c>
      <c r="N417" s="41" t="n">
        <f aca="false">L417+M417</f>
        <v>269.54</v>
      </c>
      <c r="O417" s="41" t="n">
        <f aca="false">K417-N417</f>
        <v>199.1</v>
      </c>
      <c r="P417" s="43" t="n">
        <f aca="false">IF(K417=0,0,O417/K417)</f>
        <v>0.424846363946739</v>
      </c>
    </row>
    <row r="418" customFormat="false" ht="15" hidden="false" customHeight="false" outlineLevel="0" collapsed="false">
      <c r="A418" s="39" t="s">
        <v>540</v>
      </c>
      <c r="B418" s="40" t="n">
        <v>45721</v>
      </c>
      <c r="C418" s="39" t="s">
        <v>107</v>
      </c>
      <c r="D418" s="39" t="n">
        <v>1</v>
      </c>
      <c r="E418" s="41" t="n">
        <v>33.19</v>
      </c>
      <c r="F418" s="39" t="s">
        <v>108</v>
      </c>
      <c r="G418" s="39" t="str">
        <f aca="false">VLOOKUP(C418,Products!$A$5:$D$24,2,FALSE())</f>
        <v>USB-C Hub</v>
      </c>
      <c r="H418" s="39" t="str">
        <f aca="false">VLOOKUP(C418,Products!$A$5:$D$24,3,FALSE())</f>
        <v>Electronics</v>
      </c>
      <c r="I418" s="41" t="n">
        <f aca="false">VLOOKUP(C418,Products!$A$5:$D$24,4,FALSE())</f>
        <v>14</v>
      </c>
      <c r="J418" s="42" t="n">
        <f aca="false">DATE(YEAR(B418),MONTH(B418),1)</f>
        <v>45717</v>
      </c>
      <c r="K418" s="41" t="n">
        <f aca="false">D418*E418</f>
        <v>33.19</v>
      </c>
      <c r="L418" s="41" t="n">
        <f aca="false">D418*I418</f>
        <v>14</v>
      </c>
      <c r="M418" s="41" t="n">
        <f aca="false">IFERROR(INDEX(Raw_Expenses!$C$5:$C$2979,MATCH(A418,Raw_Expenses!$A$5:$A$2979,0)),0)</f>
        <v>2.58</v>
      </c>
      <c r="N418" s="41" t="n">
        <f aca="false">L418+M418</f>
        <v>16.58</v>
      </c>
      <c r="O418" s="41" t="n">
        <f aca="false">K418-N418</f>
        <v>16.61</v>
      </c>
      <c r="P418" s="43" t="n">
        <f aca="false">IF(K418=0,0,O418/K418)</f>
        <v>0.500451943356433</v>
      </c>
    </row>
    <row r="419" customFormat="false" ht="15" hidden="false" customHeight="false" outlineLevel="0" collapsed="false">
      <c r="A419" s="39" t="s">
        <v>541</v>
      </c>
      <c r="B419" s="40" t="n">
        <v>45721</v>
      </c>
      <c r="C419" s="39" t="s">
        <v>139</v>
      </c>
      <c r="D419" s="39" t="n">
        <v>2</v>
      </c>
      <c r="E419" s="41" t="n">
        <v>128.89</v>
      </c>
      <c r="F419" s="39" t="s">
        <v>108</v>
      </c>
      <c r="G419" s="39" t="str">
        <f aca="false">VLOOKUP(C419,Products!$A$5:$D$24,2,FALSE())</f>
        <v>Noise-Cancelling Headphones</v>
      </c>
      <c r="H419" s="39" t="str">
        <f aca="false">VLOOKUP(C419,Products!$A$5:$D$24,3,FALSE())</f>
        <v>Electronics</v>
      </c>
      <c r="I419" s="41" t="n">
        <f aca="false">VLOOKUP(C419,Products!$A$5:$D$24,4,FALSE())</f>
        <v>55</v>
      </c>
      <c r="J419" s="42" t="n">
        <f aca="false">DATE(YEAR(B419),MONTH(B419),1)</f>
        <v>45717</v>
      </c>
      <c r="K419" s="41" t="n">
        <f aca="false">D419*E419</f>
        <v>257.78</v>
      </c>
      <c r="L419" s="41" t="n">
        <f aca="false">D419*I419</f>
        <v>110</v>
      </c>
      <c r="M419" s="41" t="n">
        <f aca="false">IFERROR(INDEX(Raw_Expenses!$C$5:$C$2979,MATCH(A419,Raw_Expenses!$A$5:$A$2979,0)),0)</f>
        <v>16.3</v>
      </c>
      <c r="N419" s="41" t="n">
        <f aca="false">L419+M419</f>
        <v>126.3</v>
      </c>
      <c r="O419" s="41" t="n">
        <f aca="false">K419-N419</f>
        <v>131.48</v>
      </c>
      <c r="P419" s="43" t="n">
        <f aca="false">IF(K419=0,0,O419/K419)</f>
        <v>0.510047327178214</v>
      </c>
    </row>
    <row r="420" customFormat="false" ht="15" hidden="false" customHeight="false" outlineLevel="0" collapsed="false">
      <c r="A420" s="39" t="s">
        <v>542</v>
      </c>
      <c r="B420" s="40" t="n">
        <v>45721</v>
      </c>
      <c r="C420" s="39" t="s">
        <v>136</v>
      </c>
      <c r="D420" s="39" t="n">
        <v>3</v>
      </c>
      <c r="E420" s="41" t="n">
        <v>74.78</v>
      </c>
      <c r="F420" s="39" t="s">
        <v>105</v>
      </c>
      <c r="G420" s="39" t="str">
        <f aca="false">VLOOKUP(C420,Products!$A$5:$D$24,2,FALSE())</f>
        <v>Mechanical Keyboard</v>
      </c>
      <c r="H420" s="39" t="str">
        <f aca="false">VLOOKUP(C420,Products!$A$5:$D$24,3,FALSE())</f>
        <v>Electronics</v>
      </c>
      <c r="I420" s="41" t="n">
        <f aca="false">VLOOKUP(C420,Products!$A$5:$D$24,4,FALSE())</f>
        <v>38</v>
      </c>
      <c r="J420" s="42" t="n">
        <f aca="false">DATE(YEAR(B420),MONTH(B420),1)</f>
        <v>45717</v>
      </c>
      <c r="K420" s="41" t="n">
        <f aca="false">D420*E420</f>
        <v>224.34</v>
      </c>
      <c r="L420" s="41" t="n">
        <f aca="false">D420*I420</f>
        <v>114</v>
      </c>
      <c r="M420" s="41" t="n">
        <f aca="false">IFERROR(INDEX(Raw_Expenses!$C$5:$C$2979,MATCH(A420,Raw_Expenses!$A$5:$A$2979,0)),0)</f>
        <v>9.5</v>
      </c>
      <c r="N420" s="41" t="n">
        <f aca="false">L420+M420</f>
        <v>123.5</v>
      </c>
      <c r="O420" s="41" t="n">
        <f aca="false">K420-N420</f>
        <v>100.84</v>
      </c>
      <c r="P420" s="43" t="n">
        <f aca="false">IF(K420=0,0,O420/K420)</f>
        <v>0.449496300258536</v>
      </c>
    </row>
    <row r="421" customFormat="false" ht="15" hidden="false" customHeight="false" outlineLevel="0" collapsed="false">
      <c r="A421" s="39" t="s">
        <v>543</v>
      </c>
      <c r="B421" s="40" t="n">
        <v>45721</v>
      </c>
      <c r="C421" s="39" t="s">
        <v>110</v>
      </c>
      <c r="D421" s="39" t="n">
        <v>2</v>
      </c>
      <c r="E421" s="41" t="n">
        <v>13.23</v>
      </c>
      <c r="F421" s="39" t="s">
        <v>108</v>
      </c>
      <c r="G421" s="39" t="str">
        <f aca="false">VLOOKUP(C421,Products!$A$5:$D$24,2,FALSE())</f>
        <v>Phone Stand</v>
      </c>
      <c r="H421" s="39" t="str">
        <f aca="false">VLOOKUP(C421,Products!$A$5:$D$24,3,FALSE())</f>
        <v>Accessories</v>
      </c>
      <c r="I421" s="41" t="n">
        <f aca="false">VLOOKUP(C421,Products!$A$5:$D$24,4,FALSE())</f>
        <v>4</v>
      </c>
      <c r="J421" s="42" t="n">
        <f aca="false">DATE(YEAR(B421),MONTH(B421),1)</f>
        <v>45717</v>
      </c>
      <c r="K421" s="41" t="n">
        <f aca="false">D421*E421</f>
        <v>26.46</v>
      </c>
      <c r="L421" s="41" t="n">
        <f aca="false">D421*I421</f>
        <v>8</v>
      </c>
      <c r="M421" s="41" t="n">
        <f aca="false">IFERROR(INDEX(Raw_Expenses!$C$5:$C$2979,MATCH(A421,Raw_Expenses!$A$5:$A$2979,0)),0)</f>
        <v>2.3</v>
      </c>
      <c r="N421" s="41" t="n">
        <f aca="false">L421+M421</f>
        <v>10.3</v>
      </c>
      <c r="O421" s="41" t="n">
        <f aca="false">K421-N421</f>
        <v>16.16</v>
      </c>
      <c r="P421" s="43" t="n">
        <f aca="false">IF(K421=0,0,O421/K421)</f>
        <v>0.610733182161754</v>
      </c>
    </row>
    <row r="422" customFormat="false" ht="15" hidden="false" customHeight="false" outlineLevel="0" collapsed="false">
      <c r="A422" s="39" t="s">
        <v>544</v>
      </c>
      <c r="B422" s="40" t="n">
        <v>45721</v>
      </c>
      <c r="C422" s="39" t="s">
        <v>114</v>
      </c>
      <c r="D422" s="39" t="n">
        <v>1</v>
      </c>
      <c r="E422" s="41" t="n">
        <v>5.84</v>
      </c>
      <c r="F422" s="39" t="s">
        <v>108</v>
      </c>
      <c r="G422" s="39" t="str">
        <f aca="false">VLOOKUP(C422,Products!$A$5:$D$24,2,FALSE())</f>
        <v>Gel Pen Pack</v>
      </c>
      <c r="H422" s="39" t="str">
        <f aca="false">VLOOKUP(C422,Products!$A$5:$D$24,3,FALSE())</f>
        <v>Stationery</v>
      </c>
      <c r="I422" s="41" t="n">
        <f aca="false">VLOOKUP(C422,Products!$A$5:$D$24,4,FALSE())</f>
        <v>2</v>
      </c>
      <c r="J422" s="42" t="n">
        <f aca="false">DATE(YEAR(B422),MONTH(B422),1)</f>
        <v>45717</v>
      </c>
      <c r="K422" s="41" t="n">
        <f aca="false">D422*E422</f>
        <v>5.84</v>
      </c>
      <c r="L422" s="41" t="n">
        <f aca="false">D422*I422</f>
        <v>2</v>
      </c>
      <c r="M422" s="41" t="n">
        <f aca="false">IFERROR(INDEX(Raw_Expenses!$C$5:$C$2979,MATCH(A422,Raw_Expenses!$A$5:$A$2979,0)),0)</f>
        <v>0.38</v>
      </c>
      <c r="N422" s="41" t="n">
        <f aca="false">L422+M422</f>
        <v>2.38</v>
      </c>
      <c r="O422" s="41" t="n">
        <f aca="false">K422-N422</f>
        <v>3.46</v>
      </c>
      <c r="P422" s="43" t="n">
        <f aca="false">IF(K422=0,0,O422/K422)</f>
        <v>0.592465753424658</v>
      </c>
    </row>
    <row r="423" customFormat="false" ht="15" hidden="false" customHeight="false" outlineLevel="0" collapsed="false">
      <c r="A423" s="39" t="s">
        <v>545</v>
      </c>
      <c r="B423" s="40" t="n">
        <v>45722</v>
      </c>
      <c r="C423" s="39" t="s">
        <v>114</v>
      </c>
      <c r="D423" s="39" t="n">
        <v>2</v>
      </c>
      <c r="E423" s="41" t="n">
        <v>5.76</v>
      </c>
      <c r="F423" s="39" t="s">
        <v>108</v>
      </c>
      <c r="G423" s="39" t="str">
        <f aca="false">VLOOKUP(C423,Products!$A$5:$D$24,2,FALSE())</f>
        <v>Gel Pen Pack</v>
      </c>
      <c r="H423" s="39" t="str">
        <f aca="false">VLOOKUP(C423,Products!$A$5:$D$24,3,FALSE())</f>
        <v>Stationery</v>
      </c>
      <c r="I423" s="41" t="n">
        <f aca="false">VLOOKUP(C423,Products!$A$5:$D$24,4,FALSE())</f>
        <v>2</v>
      </c>
      <c r="J423" s="42" t="n">
        <f aca="false">DATE(YEAR(B423),MONTH(B423),1)</f>
        <v>45717</v>
      </c>
      <c r="K423" s="41" t="n">
        <f aca="false">D423*E423</f>
        <v>11.52</v>
      </c>
      <c r="L423" s="41" t="n">
        <f aca="false">D423*I423</f>
        <v>4</v>
      </c>
      <c r="M423" s="41" t="n">
        <f aca="false">IFERROR(INDEX(Raw_Expenses!$C$5:$C$2979,MATCH(A423,Raw_Expenses!$A$5:$A$2979,0)),0)</f>
        <v>0.87</v>
      </c>
      <c r="N423" s="41" t="n">
        <f aca="false">L423+M423</f>
        <v>4.87</v>
      </c>
      <c r="O423" s="41" t="n">
        <f aca="false">K423-N423</f>
        <v>6.65</v>
      </c>
      <c r="P423" s="43" t="n">
        <f aca="false">IF(K423=0,0,O423/K423)</f>
        <v>0.577256944444444</v>
      </c>
    </row>
    <row r="424" customFormat="false" ht="15" hidden="false" customHeight="false" outlineLevel="0" collapsed="false">
      <c r="A424" s="39" t="s">
        <v>546</v>
      </c>
      <c r="B424" s="40" t="n">
        <v>45722</v>
      </c>
      <c r="C424" s="39" t="s">
        <v>126</v>
      </c>
      <c r="D424" s="39" t="n">
        <v>5</v>
      </c>
      <c r="E424" s="41" t="n">
        <v>24.25</v>
      </c>
      <c r="F424" s="39" t="s">
        <v>115</v>
      </c>
      <c r="G424" s="39" t="str">
        <f aca="false">VLOOKUP(C424,Products!$A$5:$D$24,2,FALSE())</f>
        <v>Wireless Mouse</v>
      </c>
      <c r="H424" s="39" t="str">
        <f aca="false">VLOOKUP(C424,Products!$A$5:$D$24,3,FALSE())</f>
        <v>Electronics</v>
      </c>
      <c r="I424" s="41" t="n">
        <f aca="false">VLOOKUP(C424,Products!$A$5:$D$24,4,FALSE())</f>
        <v>12</v>
      </c>
      <c r="J424" s="42" t="n">
        <f aca="false">DATE(YEAR(B424),MONTH(B424),1)</f>
        <v>45717</v>
      </c>
      <c r="K424" s="41" t="n">
        <f aca="false">D424*E424</f>
        <v>121.25</v>
      </c>
      <c r="L424" s="41" t="n">
        <f aca="false">D424*I424</f>
        <v>60</v>
      </c>
      <c r="M424" s="41" t="n">
        <f aca="false">IFERROR(INDEX(Raw_Expenses!$C$5:$C$2979,MATCH(A424,Raw_Expenses!$A$5:$A$2979,0)),0)</f>
        <v>9.04</v>
      </c>
      <c r="N424" s="41" t="n">
        <f aca="false">L424+M424</f>
        <v>69.04</v>
      </c>
      <c r="O424" s="41" t="n">
        <f aca="false">K424-N424</f>
        <v>52.21</v>
      </c>
      <c r="P424" s="43" t="n">
        <f aca="false">IF(K424=0,0,O424/K424)</f>
        <v>0.43059793814433</v>
      </c>
    </row>
    <row r="425" customFormat="false" ht="15" hidden="false" customHeight="false" outlineLevel="0" collapsed="false">
      <c r="A425" s="39" t="s">
        <v>547</v>
      </c>
      <c r="B425" s="40" t="n">
        <v>45722</v>
      </c>
      <c r="C425" s="39" t="s">
        <v>114</v>
      </c>
      <c r="D425" s="39" t="n">
        <v>1</v>
      </c>
      <c r="E425" s="41" t="n">
        <v>5.93</v>
      </c>
      <c r="F425" s="39" t="s">
        <v>118</v>
      </c>
      <c r="G425" s="39" t="str">
        <f aca="false">VLOOKUP(C425,Products!$A$5:$D$24,2,FALSE())</f>
        <v>Gel Pen Pack</v>
      </c>
      <c r="H425" s="39" t="str">
        <f aca="false">VLOOKUP(C425,Products!$A$5:$D$24,3,FALSE())</f>
        <v>Stationery</v>
      </c>
      <c r="I425" s="41" t="n">
        <f aca="false">VLOOKUP(C425,Products!$A$5:$D$24,4,FALSE())</f>
        <v>2</v>
      </c>
      <c r="J425" s="42" t="n">
        <f aca="false">DATE(YEAR(B425),MONTH(B425),1)</f>
        <v>45717</v>
      </c>
      <c r="K425" s="41" t="n">
        <f aca="false">D425*E425</f>
        <v>5.93</v>
      </c>
      <c r="L425" s="41" t="n">
        <f aca="false">D425*I425</f>
        <v>2</v>
      </c>
      <c r="M425" s="41" t="n">
        <f aca="false">IFERROR(INDEX(Raw_Expenses!$C$5:$C$2979,MATCH(A425,Raw_Expenses!$A$5:$A$2979,0)),0)</f>
        <v>0.33</v>
      </c>
      <c r="N425" s="41" t="n">
        <f aca="false">L425+M425</f>
        <v>2.33</v>
      </c>
      <c r="O425" s="41" t="n">
        <f aca="false">K425-N425</f>
        <v>3.6</v>
      </c>
      <c r="P425" s="43" t="n">
        <f aca="false">IF(K425=0,0,O425/K425)</f>
        <v>0.6070826306914</v>
      </c>
    </row>
    <row r="426" customFormat="false" ht="15" hidden="false" customHeight="false" outlineLevel="0" collapsed="false">
      <c r="A426" s="39" t="s">
        <v>548</v>
      </c>
      <c r="B426" s="40" t="n">
        <v>45722</v>
      </c>
      <c r="C426" s="39" t="s">
        <v>169</v>
      </c>
      <c r="D426" s="39" t="n">
        <v>2</v>
      </c>
      <c r="E426" s="41" t="n">
        <v>27.67</v>
      </c>
      <c r="F426" s="39" t="s">
        <v>105</v>
      </c>
      <c r="G426" s="39" t="str">
        <f aca="false">VLOOKUP(C426,Products!$A$5:$D$24,2,FALSE())</f>
        <v>Laptop Stand</v>
      </c>
      <c r="H426" s="39" t="str">
        <f aca="false">VLOOKUP(C426,Products!$A$5:$D$24,3,FALSE())</f>
        <v>Accessories</v>
      </c>
      <c r="I426" s="41" t="n">
        <f aca="false">VLOOKUP(C426,Products!$A$5:$D$24,4,FALSE())</f>
        <v>11</v>
      </c>
      <c r="J426" s="42" t="n">
        <f aca="false">DATE(YEAR(B426),MONTH(B426),1)</f>
        <v>45717</v>
      </c>
      <c r="K426" s="41" t="n">
        <f aca="false">D426*E426</f>
        <v>55.34</v>
      </c>
      <c r="L426" s="41" t="n">
        <f aca="false">D426*I426</f>
        <v>22</v>
      </c>
      <c r="M426" s="41" t="n">
        <f aca="false">IFERROR(INDEX(Raw_Expenses!$C$5:$C$2979,MATCH(A426,Raw_Expenses!$A$5:$A$2979,0)),0)</f>
        <v>2.71</v>
      </c>
      <c r="N426" s="41" t="n">
        <f aca="false">L426+M426</f>
        <v>24.71</v>
      </c>
      <c r="O426" s="41" t="n">
        <f aca="false">K426-N426</f>
        <v>30.63</v>
      </c>
      <c r="P426" s="43" t="n">
        <f aca="false">IF(K426=0,0,O426/K426)</f>
        <v>0.553487531622696</v>
      </c>
    </row>
    <row r="427" customFormat="false" ht="15" hidden="false" customHeight="false" outlineLevel="0" collapsed="false">
      <c r="A427" s="39" t="s">
        <v>549</v>
      </c>
      <c r="B427" s="40" t="n">
        <v>45722</v>
      </c>
      <c r="C427" s="39" t="s">
        <v>126</v>
      </c>
      <c r="D427" s="39" t="n">
        <v>4</v>
      </c>
      <c r="E427" s="41" t="n">
        <v>24.45</v>
      </c>
      <c r="F427" s="39" t="s">
        <v>105</v>
      </c>
      <c r="G427" s="39" t="str">
        <f aca="false">VLOOKUP(C427,Products!$A$5:$D$24,2,FALSE())</f>
        <v>Wireless Mouse</v>
      </c>
      <c r="H427" s="39" t="str">
        <f aca="false">VLOOKUP(C427,Products!$A$5:$D$24,3,FALSE())</f>
        <v>Electronics</v>
      </c>
      <c r="I427" s="41" t="n">
        <f aca="false">VLOOKUP(C427,Products!$A$5:$D$24,4,FALSE())</f>
        <v>12</v>
      </c>
      <c r="J427" s="42" t="n">
        <f aca="false">DATE(YEAR(B427),MONTH(B427),1)</f>
        <v>45717</v>
      </c>
      <c r="K427" s="41" t="n">
        <f aca="false">D427*E427</f>
        <v>97.8</v>
      </c>
      <c r="L427" s="41" t="n">
        <f aca="false">D427*I427</f>
        <v>48</v>
      </c>
      <c r="M427" s="41" t="n">
        <f aca="false">IFERROR(INDEX(Raw_Expenses!$C$5:$C$2979,MATCH(A427,Raw_Expenses!$A$5:$A$2979,0)),0)</f>
        <v>7.52</v>
      </c>
      <c r="N427" s="41" t="n">
        <f aca="false">L427+M427</f>
        <v>55.52</v>
      </c>
      <c r="O427" s="41" t="n">
        <f aca="false">K427-N427</f>
        <v>42.28</v>
      </c>
      <c r="P427" s="43" t="n">
        <f aca="false">IF(K427=0,0,O427/K427)</f>
        <v>0.432310838445808</v>
      </c>
    </row>
    <row r="428" customFormat="false" ht="15" hidden="false" customHeight="false" outlineLevel="0" collapsed="false">
      <c r="A428" s="39" t="s">
        <v>550</v>
      </c>
      <c r="B428" s="40" t="n">
        <v>45722</v>
      </c>
      <c r="C428" s="39" t="s">
        <v>114</v>
      </c>
      <c r="D428" s="39" t="n">
        <v>1</v>
      </c>
      <c r="E428" s="41" t="n">
        <v>5.91</v>
      </c>
      <c r="F428" s="39" t="s">
        <v>118</v>
      </c>
      <c r="G428" s="39" t="str">
        <f aca="false">VLOOKUP(C428,Products!$A$5:$D$24,2,FALSE())</f>
        <v>Gel Pen Pack</v>
      </c>
      <c r="H428" s="39" t="str">
        <f aca="false">VLOOKUP(C428,Products!$A$5:$D$24,3,FALSE())</f>
        <v>Stationery</v>
      </c>
      <c r="I428" s="41" t="n">
        <f aca="false">VLOOKUP(C428,Products!$A$5:$D$24,4,FALSE())</f>
        <v>2</v>
      </c>
      <c r="J428" s="42" t="n">
        <f aca="false">DATE(YEAR(B428),MONTH(B428),1)</f>
        <v>45717</v>
      </c>
      <c r="K428" s="41" t="n">
        <f aca="false">D428*E428</f>
        <v>5.91</v>
      </c>
      <c r="L428" s="41" t="n">
        <f aca="false">D428*I428</f>
        <v>2</v>
      </c>
      <c r="M428" s="41" t="n">
        <f aca="false">IFERROR(INDEX(Raw_Expenses!$C$5:$C$2979,MATCH(A428,Raw_Expenses!$A$5:$A$2979,0)),0)</f>
        <v>0.38</v>
      </c>
      <c r="N428" s="41" t="n">
        <f aca="false">L428+M428</f>
        <v>2.38</v>
      </c>
      <c r="O428" s="41" t="n">
        <f aca="false">K428-N428</f>
        <v>3.53</v>
      </c>
      <c r="P428" s="43" t="n">
        <f aca="false">IF(K428=0,0,O428/K428)</f>
        <v>0.597292724196278</v>
      </c>
    </row>
    <row r="429" customFormat="false" ht="15" hidden="false" customHeight="false" outlineLevel="0" collapsed="false">
      <c r="A429" s="39" t="s">
        <v>551</v>
      </c>
      <c r="B429" s="40" t="n">
        <v>45723</v>
      </c>
      <c r="C429" s="39" t="s">
        <v>126</v>
      </c>
      <c r="D429" s="39" t="n">
        <v>4</v>
      </c>
      <c r="E429" s="41" t="n">
        <v>23.21</v>
      </c>
      <c r="F429" s="39" t="s">
        <v>105</v>
      </c>
      <c r="G429" s="39" t="str">
        <f aca="false">VLOOKUP(C429,Products!$A$5:$D$24,2,FALSE())</f>
        <v>Wireless Mouse</v>
      </c>
      <c r="H429" s="39" t="str">
        <f aca="false">VLOOKUP(C429,Products!$A$5:$D$24,3,FALSE())</f>
        <v>Electronics</v>
      </c>
      <c r="I429" s="41" t="n">
        <f aca="false">VLOOKUP(C429,Products!$A$5:$D$24,4,FALSE())</f>
        <v>12</v>
      </c>
      <c r="J429" s="42" t="n">
        <f aca="false">DATE(YEAR(B429),MONTH(B429),1)</f>
        <v>45717</v>
      </c>
      <c r="K429" s="41" t="n">
        <f aca="false">D429*E429</f>
        <v>92.84</v>
      </c>
      <c r="L429" s="41" t="n">
        <f aca="false">D429*I429</f>
        <v>48</v>
      </c>
      <c r="M429" s="41" t="n">
        <f aca="false">IFERROR(INDEX(Raw_Expenses!$C$5:$C$2979,MATCH(A429,Raw_Expenses!$A$5:$A$2979,0)),0)</f>
        <v>3.98</v>
      </c>
      <c r="N429" s="41" t="n">
        <f aca="false">L429+M429</f>
        <v>51.98</v>
      </c>
      <c r="O429" s="41" t="n">
        <f aca="false">K429-N429</f>
        <v>40.86</v>
      </c>
      <c r="P429" s="43" t="n">
        <f aca="false">IF(K429=0,0,O429/K429)</f>
        <v>0.440112020680741</v>
      </c>
    </row>
    <row r="430" customFormat="false" ht="15" hidden="false" customHeight="false" outlineLevel="0" collapsed="false">
      <c r="A430" s="39" t="s">
        <v>552</v>
      </c>
      <c r="B430" s="40" t="n">
        <v>45723</v>
      </c>
      <c r="C430" s="39" t="s">
        <v>136</v>
      </c>
      <c r="D430" s="39" t="n">
        <v>2</v>
      </c>
      <c r="E430" s="41" t="n">
        <v>73.3</v>
      </c>
      <c r="F430" s="39" t="s">
        <v>108</v>
      </c>
      <c r="G430" s="39" t="str">
        <f aca="false">VLOOKUP(C430,Products!$A$5:$D$24,2,FALSE())</f>
        <v>Mechanical Keyboard</v>
      </c>
      <c r="H430" s="39" t="str">
        <f aca="false">VLOOKUP(C430,Products!$A$5:$D$24,3,FALSE())</f>
        <v>Electronics</v>
      </c>
      <c r="I430" s="41" t="n">
        <f aca="false">VLOOKUP(C430,Products!$A$5:$D$24,4,FALSE())</f>
        <v>38</v>
      </c>
      <c r="J430" s="42" t="n">
        <f aca="false">DATE(YEAR(B430),MONTH(B430),1)</f>
        <v>45717</v>
      </c>
      <c r="K430" s="41" t="n">
        <f aca="false">D430*E430</f>
        <v>146.6</v>
      </c>
      <c r="L430" s="41" t="n">
        <f aca="false">D430*I430</f>
        <v>76</v>
      </c>
      <c r="M430" s="41" t="n">
        <f aca="false">IFERROR(INDEX(Raw_Expenses!$C$5:$C$2979,MATCH(A430,Raw_Expenses!$A$5:$A$2979,0)),0)</f>
        <v>12.67</v>
      </c>
      <c r="N430" s="41" t="n">
        <f aca="false">L430+M430</f>
        <v>88.67</v>
      </c>
      <c r="O430" s="41" t="n">
        <f aca="false">K430-N430</f>
        <v>57.93</v>
      </c>
      <c r="P430" s="43" t="n">
        <f aca="false">IF(K430=0,0,O430/K430)</f>
        <v>0.395156889495225</v>
      </c>
    </row>
    <row r="431" customFormat="false" ht="15" hidden="false" customHeight="false" outlineLevel="0" collapsed="false">
      <c r="A431" s="39" t="s">
        <v>553</v>
      </c>
      <c r="B431" s="40" t="n">
        <v>45723</v>
      </c>
      <c r="C431" s="39" t="s">
        <v>136</v>
      </c>
      <c r="D431" s="39" t="n">
        <v>3</v>
      </c>
      <c r="E431" s="41" t="n">
        <v>76.37</v>
      </c>
      <c r="F431" s="39" t="s">
        <v>118</v>
      </c>
      <c r="G431" s="39" t="str">
        <f aca="false">VLOOKUP(C431,Products!$A$5:$D$24,2,FALSE())</f>
        <v>Mechanical Keyboard</v>
      </c>
      <c r="H431" s="39" t="str">
        <f aca="false">VLOOKUP(C431,Products!$A$5:$D$24,3,FALSE())</f>
        <v>Electronics</v>
      </c>
      <c r="I431" s="41" t="n">
        <f aca="false">VLOOKUP(C431,Products!$A$5:$D$24,4,FALSE())</f>
        <v>38</v>
      </c>
      <c r="J431" s="42" t="n">
        <f aca="false">DATE(YEAR(B431),MONTH(B431),1)</f>
        <v>45717</v>
      </c>
      <c r="K431" s="41" t="n">
        <f aca="false">D431*E431</f>
        <v>229.11</v>
      </c>
      <c r="L431" s="41" t="n">
        <f aca="false">D431*I431</f>
        <v>114</v>
      </c>
      <c r="M431" s="41" t="n">
        <f aca="false">IFERROR(INDEX(Raw_Expenses!$C$5:$C$2979,MATCH(A431,Raw_Expenses!$A$5:$A$2979,0)),0)</f>
        <v>11.91</v>
      </c>
      <c r="N431" s="41" t="n">
        <f aca="false">L431+M431</f>
        <v>125.91</v>
      </c>
      <c r="O431" s="41" t="n">
        <f aca="false">K431-N431</f>
        <v>103.2</v>
      </c>
      <c r="P431" s="43" t="n">
        <f aca="false">IF(K431=0,0,O431/K431)</f>
        <v>0.450438653921697</v>
      </c>
    </row>
    <row r="432" customFormat="false" ht="15" hidden="false" customHeight="false" outlineLevel="0" collapsed="false">
      <c r="A432" s="39" t="s">
        <v>554</v>
      </c>
      <c r="B432" s="40" t="n">
        <v>45723</v>
      </c>
      <c r="C432" s="39" t="s">
        <v>177</v>
      </c>
      <c r="D432" s="39" t="n">
        <v>4</v>
      </c>
      <c r="E432" s="41" t="n">
        <v>42.86</v>
      </c>
      <c r="F432" s="39" t="s">
        <v>115</v>
      </c>
      <c r="G432" s="39" t="str">
        <f aca="false">VLOOKUP(C432,Products!$A$5:$D$24,2,FALSE())</f>
        <v>Backpack</v>
      </c>
      <c r="H432" s="39" t="str">
        <f aca="false">VLOOKUP(C432,Products!$A$5:$D$24,3,FALSE())</f>
        <v>Accessories</v>
      </c>
      <c r="I432" s="41" t="n">
        <f aca="false">VLOOKUP(C432,Products!$A$5:$D$24,4,FALSE())</f>
        <v>17</v>
      </c>
      <c r="J432" s="42" t="n">
        <f aca="false">DATE(YEAR(B432),MONTH(B432),1)</f>
        <v>45717</v>
      </c>
      <c r="K432" s="41" t="n">
        <f aca="false">D432*E432</f>
        <v>171.44</v>
      </c>
      <c r="L432" s="41" t="n">
        <f aca="false">D432*I432</f>
        <v>68</v>
      </c>
      <c r="M432" s="41" t="n">
        <f aca="false">IFERROR(INDEX(Raw_Expenses!$C$5:$C$2979,MATCH(A432,Raw_Expenses!$A$5:$A$2979,0)),0)</f>
        <v>10.31</v>
      </c>
      <c r="N432" s="41" t="n">
        <f aca="false">L432+M432</f>
        <v>78.31</v>
      </c>
      <c r="O432" s="41" t="n">
        <f aca="false">K432-N432</f>
        <v>93.13</v>
      </c>
      <c r="P432" s="43" t="n">
        <f aca="false">IF(K432=0,0,O432/K432)</f>
        <v>0.543222118525432</v>
      </c>
    </row>
    <row r="433" customFormat="false" ht="15" hidden="false" customHeight="false" outlineLevel="0" collapsed="false">
      <c r="A433" s="39" t="s">
        <v>555</v>
      </c>
      <c r="B433" s="40" t="n">
        <v>45723</v>
      </c>
      <c r="C433" s="39" t="s">
        <v>130</v>
      </c>
      <c r="D433" s="39" t="n">
        <v>6</v>
      </c>
      <c r="E433" s="41" t="n">
        <v>8.38</v>
      </c>
      <c r="F433" s="39" t="s">
        <v>108</v>
      </c>
      <c r="G433" s="39" t="str">
        <f aca="false">VLOOKUP(C433,Products!$A$5:$D$24,2,FALSE())</f>
        <v>Notebook Set</v>
      </c>
      <c r="H433" s="39" t="str">
        <f aca="false">VLOOKUP(C433,Products!$A$5:$D$24,3,FALSE())</f>
        <v>Stationery</v>
      </c>
      <c r="I433" s="41" t="n">
        <f aca="false">VLOOKUP(C433,Products!$A$5:$D$24,4,FALSE())</f>
        <v>3</v>
      </c>
      <c r="J433" s="42" t="n">
        <f aca="false">DATE(YEAR(B433),MONTH(B433),1)</f>
        <v>45717</v>
      </c>
      <c r="K433" s="41" t="n">
        <f aca="false">D433*E433</f>
        <v>50.28</v>
      </c>
      <c r="L433" s="41" t="n">
        <f aca="false">D433*I433</f>
        <v>18</v>
      </c>
      <c r="M433" s="41" t="n">
        <f aca="false">IFERROR(INDEX(Raw_Expenses!$C$5:$C$2979,MATCH(A433,Raw_Expenses!$A$5:$A$2979,0)),0)</f>
        <v>2.47</v>
      </c>
      <c r="N433" s="41" t="n">
        <f aca="false">L433+M433</f>
        <v>20.47</v>
      </c>
      <c r="O433" s="41" t="n">
        <f aca="false">K433-N433</f>
        <v>29.81</v>
      </c>
      <c r="P433" s="43" t="n">
        <f aca="false">IF(K433=0,0,O433/K433)</f>
        <v>0.592879872712808</v>
      </c>
    </row>
    <row r="434" customFormat="false" ht="15" hidden="false" customHeight="false" outlineLevel="0" collapsed="false">
      <c r="A434" s="39" t="s">
        <v>556</v>
      </c>
      <c r="B434" s="40" t="n">
        <v>45723</v>
      </c>
      <c r="C434" s="39" t="s">
        <v>126</v>
      </c>
      <c r="D434" s="39" t="n">
        <v>2</v>
      </c>
      <c r="E434" s="41" t="n">
        <v>23.59</v>
      </c>
      <c r="F434" s="39" t="s">
        <v>105</v>
      </c>
      <c r="G434" s="39" t="str">
        <f aca="false">VLOOKUP(C434,Products!$A$5:$D$24,2,FALSE())</f>
        <v>Wireless Mouse</v>
      </c>
      <c r="H434" s="39" t="str">
        <f aca="false">VLOOKUP(C434,Products!$A$5:$D$24,3,FALSE())</f>
        <v>Electronics</v>
      </c>
      <c r="I434" s="41" t="n">
        <f aca="false">VLOOKUP(C434,Products!$A$5:$D$24,4,FALSE())</f>
        <v>12</v>
      </c>
      <c r="J434" s="42" t="n">
        <f aca="false">DATE(YEAR(B434),MONTH(B434),1)</f>
        <v>45717</v>
      </c>
      <c r="K434" s="41" t="n">
        <f aca="false">D434*E434</f>
        <v>47.18</v>
      </c>
      <c r="L434" s="41" t="n">
        <f aca="false">D434*I434</f>
        <v>24</v>
      </c>
      <c r="M434" s="41" t="n">
        <f aca="false">IFERROR(INDEX(Raw_Expenses!$C$5:$C$2979,MATCH(A434,Raw_Expenses!$A$5:$A$2979,0)),0)</f>
        <v>3.33</v>
      </c>
      <c r="N434" s="41" t="n">
        <f aca="false">L434+M434</f>
        <v>27.33</v>
      </c>
      <c r="O434" s="41" t="n">
        <f aca="false">K434-N434</f>
        <v>19.85</v>
      </c>
      <c r="P434" s="43" t="n">
        <f aca="false">IF(K434=0,0,O434/K434)</f>
        <v>0.420729122509538</v>
      </c>
    </row>
    <row r="435" customFormat="false" ht="15" hidden="false" customHeight="false" outlineLevel="0" collapsed="false">
      <c r="A435" s="39" t="s">
        <v>557</v>
      </c>
      <c r="B435" s="40" t="n">
        <v>45723</v>
      </c>
      <c r="C435" s="39" t="s">
        <v>121</v>
      </c>
      <c r="D435" s="39" t="n">
        <v>5</v>
      </c>
      <c r="E435" s="41" t="n">
        <v>112.36</v>
      </c>
      <c r="F435" s="39" t="s">
        <v>105</v>
      </c>
      <c r="G435" s="39" t="str">
        <f aca="false">VLOOKUP(C435,Products!$A$5:$D$24,2,FALSE())</f>
        <v>External SSD 1TB</v>
      </c>
      <c r="H435" s="39" t="str">
        <f aca="false">VLOOKUP(C435,Products!$A$5:$D$24,3,FALSE())</f>
        <v>Electronics</v>
      </c>
      <c r="I435" s="41" t="n">
        <f aca="false">VLOOKUP(C435,Products!$A$5:$D$24,4,FALSE())</f>
        <v>62</v>
      </c>
      <c r="J435" s="42" t="n">
        <f aca="false">DATE(YEAR(B435),MONTH(B435),1)</f>
        <v>45717</v>
      </c>
      <c r="K435" s="41" t="n">
        <f aca="false">D435*E435</f>
        <v>561.8</v>
      </c>
      <c r="L435" s="41" t="n">
        <f aca="false">D435*I435</f>
        <v>310</v>
      </c>
      <c r="M435" s="41" t="n">
        <f aca="false">IFERROR(INDEX(Raw_Expenses!$C$5:$C$2979,MATCH(A435,Raw_Expenses!$A$5:$A$2979,0)),0)</f>
        <v>22.95</v>
      </c>
      <c r="N435" s="41" t="n">
        <f aca="false">L435+M435</f>
        <v>332.95</v>
      </c>
      <c r="O435" s="41" t="n">
        <f aca="false">K435-N435</f>
        <v>228.85</v>
      </c>
      <c r="P435" s="43" t="n">
        <f aca="false">IF(K435=0,0,O435/K435)</f>
        <v>0.407351370594518</v>
      </c>
    </row>
    <row r="436" customFormat="false" ht="15" hidden="false" customHeight="false" outlineLevel="0" collapsed="false">
      <c r="A436" s="39" t="s">
        <v>558</v>
      </c>
      <c r="B436" s="40" t="n">
        <v>45724</v>
      </c>
      <c r="C436" s="39" t="s">
        <v>162</v>
      </c>
      <c r="D436" s="39" t="n">
        <v>3</v>
      </c>
      <c r="E436" s="41" t="n">
        <v>64.15</v>
      </c>
      <c r="F436" s="39" t="s">
        <v>115</v>
      </c>
      <c r="G436" s="39" t="str">
        <f aca="false">VLOOKUP(C436,Products!$A$5:$D$24,2,FALSE())</f>
        <v>Bluetooth Speaker</v>
      </c>
      <c r="H436" s="39" t="str">
        <f aca="false">VLOOKUP(C436,Products!$A$5:$D$24,3,FALSE())</f>
        <v>Electronics</v>
      </c>
      <c r="I436" s="41" t="n">
        <f aca="false">VLOOKUP(C436,Products!$A$5:$D$24,4,FALSE())</f>
        <v>28</v>
      </c>
      <c r="J436" s="42" t="n">
        <f aca="false">DATE(YEAR(B436),MONTH(B436),1)</f>
        <v>45717</v>
      </c>
      <c r="K436" s="41" t="n">
        <f aca="false">D436*E436</f>
        <v>192.45</v>
      </c>
      <c r="L436" s="41" t="n">
        <f aca="false">D436*I436</f>
        <v>84</v>
      </c>
      <c r="M436" s="41" t="n">
        <f aca="false">IFERROR(INDEX(Raw_Expenses!$C$5:$C$2979,MATCH(A436,Raw_Expenses!$A$5:$A$2979,0)),0)</f>
        <v>12.54</v>
      </c>
      <c r="N436" s="41" t="n">
        <f aca="false">L436+M436</f>
        <v>96.54</v>
      </c>
      <c r="O436" s="41" t="n">
        <f aca="false">K436-N436</f>
        <v>95.91</v>
      </c>
      <c r="P436" s="43" t="n">
        <f aca="false">IF(K436=0,0,O436/K436)</f>
        <v>0.498363211223695</v>
      </c>
    </row>
    <row r="437" customFormat="false" ht="15" hidden="false" customHeight="false" outlineLevel="0" collapsed="false">
      <c r="A437" s="39" t="s">
        <v>559</v>
      </c>
      <c r="B437" s="40" t="n">
        <v>45724</v>
      </c>
      <c r="C437" s="39" t="s">
        <v>130</v>
      </c>
      <c r="D437" s="39" t="n">
        <v>1</v>
      </c>
      <c r="E437" s="41" t="n">
        <v>8.96</v>
      </c>
      <c r="F437" s="39" t="s">
        <v>108</v>
      </c>
      <c r="G437" s="39" t="str">
        <f aca="false">VLOOKUP(C437,Products!$A$5:$D$24,2,FALSE())</f>
        <v>Notebook Set</v>
      </c>
      <c r="H437" s="39" t="str">
        <f aca="false">VLOOKUP(C437,Products!$A$5:$D$24,3,FALSE())</f>
        <v>Stationery</v>
      </c>
      <c r="I437" s="41" t="n">
        <f aca="false">VLOOKUP(C437,Products!$A$5:$D$24,4,FALSE())</f>
        <v>3</v>
      </c>
      <c r="J437" s="42" t="n">
        <f aca="false">DATE(YEAR(B437),MONTH(B437),1)</f>
        <v>45717</v>
      </c>
      <c r="K437" s="41" t="n">
        <f aca="false">D437*E437</f>
        <v>8.96</v>
      </c>
      <c r="L437" s="41" t="n">
        <f aca="false">D437*I437</f>
        <v>3</v>
      </c>
      <c r="M437" s="41" t="n">
        <f aca="false">IFERROR(INDEX(Raw_Expenses!$C$5:$C$2979,MATCH(A437,Raw_Expenses!$A$5:$A$2979,0)),0)</f>
        <v>0.45</v>
      </c>
      <c r="N437" s="41" t="n">
        <f aca="false">L437+M437</f>
        <v>3.45</v>
      </c>
      <c r="O437" s="41" t="n">
        <f aca="false">K437-N437</f>
        <v>5.51</v>
      </c>
      <c r="P437" s="43" t="n">
        <f aca="false">IF(K437=0,0,O437/K437)</f>
        <v>0.614955357142857</v>
      </c>
    </row>
    <row r="438" customFormat="false" ht="15" hidden="false" customHeight="false" outlineLevel="0" collapsed="false">
      <c r="A438" s="39" t="s">
        <v>560</v>
      </c>
      <c r="B438" s="40" t="n">
        <v>45724</v>
      </c>
      <c r="C438" s="39" t="s">
        <v>169</v>
      </c>
      <c r="D438" s="39" t="n">
        <v>6</v>
      </c>
      <c r="E438" s="41" t="n">
        <v>26.83</v>
      </c>
      <c r="F438" s="39" t="s">
        <v>108</v>
      </c>
      <c r="G438" s="39" t="str">
        <f aca="false">VLOOKUP(C438,Products!$A$5:$D$24,2,FALSE())</f>
        <v>Laptop Stand</v>
      </c>
      <c r="H438" s="39" t="str">
        <f aca="false">VLOOKUP(C438,Products!$A$5:$D$24,3,FALSE())</f>
        <v>Accessories</v>
      </c>
      <c r="I438" s="41" t="n">
        <f aca="false">VLOOKUP(C438,Products!$A$5:$D$24,4,FALSE())</f>
        <v>11</v>
      </c>
      <c r="J438" s="42" t="n">
        <f aca="false">DATE(YEAR(B438),MONTH(B438),1)</f>
        <v>45717</v>
      </c>
      <c r="K438" s="41" t="n">
        <f aca="false">D438*E438</f>
        <v>160.98</v>
      </c>
      <c r="L438" s="41" t="n">
        <f aca="false">D438*I438</f>
        <v>66</v>
      </c>
      <c r="M438" s="41" t="n">
        <f aca="false">IFERROR(INDEX(Raw_Expenses!$C$5:$C$2979,MATCH(A438,Raw_Expenses!$A$5:$A$2979,0)),0)</f>
        <v>10.44</v>
      </c>
      <c r="N438" s="41" t="n">
        <f aca="false">L438+M438</f>
        <v>76.44</v>
      </c>
      <c r="O438" s="41" t="n">
        <f aca="false">K438-N438</f>
        <v>84.54</v>
      </c>
      <c r="P438" s="43" t="n">
        <f aca="false">IF(K438=0,0,O438/K438)</f>
        <v>0.525158404770779</v>
      </c>
    </row>
    <row r="439" customFormat="false" ht="15" hidden="false" customHeight="false" outlineLevel="0" collapsed="false">
      <c r="A439" s="39" t="s">
        <v>561</v>
      </c>
      <c r="B439" s="40" t="n">
        <v>45724</v>
      </c>
      <c r="C439" s="39" t="s">
        <v>112</v>
      </c>
      <c r="D439" s="39" t="n">
        <v>1</v>
      </c>
      <c r="E439" s="41" t="n">
        <v>51.28</v>
      </c>
      <c r="F439" s="39" t="s">
        <v>115</v>
      </c>
      <c r="G439" s="39" t="str">
        <f aca="false">VLOOKUP(C439,Products!$A$5:$D$24,2,FALSE())</f>
        <v>HD Webcam</v>
      </c>
      <c r="H439" s="39" t="str">
        <f aca="false">VLOOKUP(C439,Products!$A$5:$D$24,3,FALSE())</f>
        <v>Electronics</v>
      </c>
      <c r="I439" s="41" t="n">
        <f aca="false">VLOOKUP(C439,Products!$A$5:$D$24,4,FALSE())</f>
        <v>22</v>
      </c>
      <c r="J439" s="42" t="n">
        <f aca="false">DATE(YEAR(B439),MONTH(B439),1)</f>
        <v>45717</v>
      </c>
      <c r="K439" s="41" t="n">
        <f aca="false">D439*E439</f>
        <v>51.28</v>
      </c>
      <c r="L439" s="41" t="n">
        <f aca="false">D439*I439</f>
        <v>22</v>
      </c>
      <c r="M439" s="41" t="n">
        <f aca="false">IFERROR(INDEX(Raw_Expenses!$C$5:$C$2979,MATCH(A439,Raw_Expenses!$A$5:$A$2979,0)),0)</f>
        <v>4.03</v>
      </c>
      <c r="N439" s="41" t="n">
        <f aca="false">L439+M439</f>
        <v>26.03</v>
      </c>
      <c r="O439" s="41" t="n">
        <f aca="false">K439-N439</f>
        <v>25.25</v>
      </c>
      <c r="P439" s="43" t="n">
        <f aca="false">IF(K439=0,0,O439/K439)</f>
        <v>0.492394695787832</v>
      </c>
    </row>
    <row r="440" customFormat="false" ht="15" hidden="false" customHeight="false" outlineLevel="0" collapsed="false">
      <c r="A440" s="39" t="s">
        <v>562</v>
      </c>
      <c r="B440" s="40" t="n">
        <v>45724</v>
      </c>
      <c r="C440" s="39" t="s">
        <v>130</v>
      </c>
      <c r="D440" s="39" t="n">
        <v>1</v>
      </c>
      <c r="E440" s="41" t="n">
        <v>8.72</v>
      </c>
      <c r="F440" s="39" t="s">
        <v>108</v>
      </c>
      <c r="G440" s="39" t="str">
        <f aca="false">VLOOKUP(C440,Products!$A$5:$D$24,2,FALSE())</f>
        <v>Notebook Set</v>
      </c>
      <c r="H440" s="39" t="str">
        <f aca="false">VLOOKUP(C440,Products!$A$5:$D$24,3,FALSE())</f>
        <v>Stationery</v>
      </c>
      <c r="I440" s="41" t="n">
        <f aca="false">VLOOKUP(C440,Products!$A$5:$D$24,4,FALSE())</f>
        <v>3</v>
      </c>
      <c r="J440" s="42" t="n">
        <f aca="false">DATE(YEAR(B440),MONTH(B440),1)</f>
        <v>45717</v>
      </c>
      <c r="K440" s="41" t="n">
        <f aca="false">D440*E440</f>
        <v>8.72</v>
      </c>
      <c r="L440" s="41" t="n">
        <f aca="false">D440*I440</f>
        <v>3</v>
      </c>
      <c r="M440" s="41" t="n">
        <f aca="false">IFERROR(INDEX(Raw_Expenses!$C$5:$C$2979,MATCH(A440,Raw_Expenses!$A$5:$A$2979,0)),0)</f>
        <v>0.46</v>
      </c>
      <c r="N440" s="41" t="n">
        <f aca="false">L440+M440</f>
        <v>3.46</v>
      </c>
      <c r="O440" s="41" t="n">
        <f aca="false">K440-N440</f>
        <v>5.26</v>
      </c>
      <c r="P440" s="43" t="n">
        <f aca="false">IF(K440=0,0,O440/K440)</f>
        <v>0.603211009174312</v>
      </c>
    </row>
    <row r="441" customFormat="false" ht="15" hidden="false" customHeight="false" outlineLevel="0" collapsed="false">
      <c r="A441" s="39" t="s">
        <v>563</v>
      </c>
      <c r="B441" s="40" t="n">
        <v>45724</v>
      </c>
      <c r="C441" s="39" t="s">
        <v>162</v>
      </c>
      <c r="D441" s="39" t="n">
        <v>2</v>
      </c>
      <c r="E441" s="41" t="n">
        <v>68.59</v>
      </c>
      <c r="F441" s="39" t="s">
        <v>115</v>
      </c>
      <c r="G441" s="39" t="str">
        <f aca="false">VLOOKUP(C441,Products!$A$5:$D$24,2,FALSE())</f>
        <v>Bluetooth Speaker</v>
      </c>
      <c r="H441" s="39" t="str">
        <f aca="false">VLOOKUP(C441,Products!$A$5:$D$24,3,FALSE())</f>
        <v>Electronics</v>
      </c>
      <c r="I441" s="41" t="n">
        <f aca="false">VLOOKUP(C441,Products!$A$5:$D$24,4,FALSE())</f>
        <v>28</v>
      </c>
      <c r="J441" s="42" t="n">
        <f aca="false">DATE(YEAR(B441),MONTH(B441),1)</f>
        <v>45717</v>
      </c>
      <c r="K441" s="41" t="n">
        <f aca="false">D441*E441</f>
        <v>137.18</v>
      </c>
      <c r="L441" s="41" t="n">
        <f aca="false">D441*I441</f>
        <v>56</v>
      </c>
      <c r="M441" s="41" t="n">
        <f aca="false">IFERROR(INDEX(Raw_Expenses!$C$5:$C$2979,MATCH(A441,Raw_Expenses!$A$5:$A$2979,0)),0)</f>
        <v>6.12</v>
      </c>
      <c r="N441" s="41" t="n">
        <f aca="false">L441+M441</f>
        <v>62.12</v>
      </c>
      <c r="O441" s="41" t="n">
        <f aca="false">K441-N441</f>
        <v>75.06</v>
      </c>
      <c r="P441" s="43" t="n">
        <f aca="false">IF(K441=0,0,O441/K441)</f>
        <v>0.547164309666132</v>
      </c>
    </row>
    <row r="442" customFormat="false" ht="15" hidden="false" customHeight="false" outlineLevel="0" collapsed="false">
      <c r="A442" s="39" t="s">
        <v>564</v>
      </c>
      <c r="B442" s="40" t="n">
        <v>45724</v>
      </c>
      <c r="C442" s="39" t="s">
        <v>130</v>
      </c>
      <c r="D442" s="39" t="n">
        <v>1</v>
      </c>
      <c r="E442" s="41" t="n">
        <v>8.64</v>
      </c>
      <c r="F442" s="39" t="s">
        <v>108</v>
      </c>
      <c r="G442" s="39" t="str">
        <f aca="false">VLOOKUP(C442,Products!$A$5:$D$24,2,FALSE())</f>
        <v>Notebook Set</v>
      </c>
      <c r="H442" s="39" t="str">
        <f aca="false">VLOOKUP(C442,Products!$A$5:$D$24,3,FALSE())</f>
        <v>Stationery</v>
      </c>
      <c r="I442" s="41" t="n">
        <f aca="false">VLOOKUP(C442,Products!$A$5:$D$24,4,FALSE())</f>
        <v>3</v>
      </c>
      <c r="J442" s="42" t="n">
        <f aca="false">DATE(YEAR(B442),MONTH(B442),1)</f>
        <v>45717</v>
      </c>
      <c r="K442" s="41" t="n">
        <f aca="false">D442*E442</f>
        <v>8.64</v>
      </c>
      <c r="L442" s="41" t="n">
        <f aca="false">D442*I442</f>
        <v>3</v>
      </c>
      <c r="M442" s="41" t="n">
        <f aca="false">IFERROR(INDEX(Raw_Expenses!$C$5:$C$2979,MATCH(A442,Raw_Expenses!$A$5:$A$2979,0)),0)</f>
        <v>0.53</v>
      </c>
      <c r="N442" s="41" t="n">
        <f aca="false">L442+M442</f>
        <v>3.53</v>
      </c>
      <c r="O442" s="41" t="n">
        <f aca="false">K442-N442</f>
        <v>5.11</v>
      </c>
      <c r="P442" s="43" t="n">
        <f aca="false">IF(K442=0,0,O442/K442)</f>
        <v>0.591435185185185</v>
      </c>
    </row>
    <row r="443" customFormat="false" ht="15" hidden="false" customHeight="false" outlineLevel="0" collapsed="false">
      <c r="A443" s="39" t="s">
        <v>565</v>
      </c>
      <c r="B443" s="40" t="n">
        <v>45724</v>
      </c>
      <c r="C443" s="39" t="s">
        <v>117</v>
      </c>
      <c r="D443" s="39" t="n">
        <v>3</v>
      </c>
      <c r="E443" s="41" t="n">
        <v>29.99</v>
      </c>
      <c r="F443" s="39" t="s">
        <v>108</v>
      </c>
      <c r="G443" s="39" t="str">
        <f aca="false">VLOOKUP(C443,Products!$A$5:$D$24,2,FALSE())</f>
        <v>Desk Lamp</v>
      </c>
      <c r="H443" s="39" t="str">
        <f aca="false">VLOOKUP(C443,Products!$A$5:$D$24,3,FALSE())</f>
        <v>Furniture</v>
      </c>
      <c r="I443" s="41" t="n">
        <f aca="false">VLOOKUP(C443,Products!$A$5:$D$24,4,FALSE())</f>
        <v>13</v>
      </c>
      <c r="J443" s="42" t="n">
        <f aca="false">DATE(YEAR(B443),MONTH(B443),1)</f>
        <v>45717</v>
      </c>
      <c r="K443" s="41" t="n">
        <f aca="false">D443*E443</f>
        <v>89.97</v>
      </c>
      <c r="L443" s="41" t="n">
        <f aca="false">D443*I443</f>
        <v>39</v>
      </c>
      <c r="M443" s="41" t="n">
        <f aca="false">IFERROR(INDEX(Raw_Expenses!$C$5:$C$2979,MATCH(A443,Raw_Expenses!$A$5:$A$2979,0)),0)</f>
        <v>5.5</v>
      </c>
      <c r="N443" s="41" t="n">
        <f aca="false">L443+M443</f>
        <v>44.5</v>
      </c>
      <c r="O443" s="41" t="n">
        <f aca="false">K443-N443</f>
        <v>45.47</v>
      </c>
      <c r="P443" s="43" t="n">
        <f aca="false">IF(K443=0,0,O443/K443)</f>
        <v>0.50539068578415</v>
      </c>
    </row>
    <row r="444" customFormat="false" ht="15" hidden="false" customHeight="false" outlineLevel="0" collapsed="false">
      <c r="A444" s="39" t="s">
        <v>566</v>
      </c>
      <c r="B444" s="40" t="n">
        <v>45725</v>
      </c>
      <c r="C444" s="39" t="s">
        <v>169</v>
      </c>
      <c r="D444" s="39" t="n">
        <v>4</v>
      </c>
      <c r="E444" s="41" t="n">
        <v>28.28</v>
      </c>
      <c r="F444" s="39" t="s">
        <v>108</v>
      </c>
      <c r="G444" s="39" t="str">
        <f aca="false">VLOOKUP(C444,Products!$A$5:$D$24,2,FALSE())</f>
        <v>Laptop Stand</v>
      </c>
      <c r="H444" s="39" t="str">
        <f aca="false">VLOOKUP(C444,Products!$A$5:$D$24,3,FALSE())</f>
        <v>Accessories</v>
      </c>
      <c r="I444" s="41" t="n">
        <f aca="false">VLOOKUP(C444,Products!$A$5:$D$24,4,FALSE())</f>
        <v>11</v>
      </c>
      <c r="J444" s="42" t="n">
        <f aca="false">DATE(YEAR(B444),MONTH(B444),1)</f>
        <v>45717</v>
      </c>
      <c r="K444" s="41" t="n">
        <f aca="false">D444*E444</f>
        <v>113.12</v>
      </c>
      <c r="L444" s="41" t="n">
        <f aca="false">D444*I444</f>
        <v>44</v>
      </c>
      <c r="M444" s="41" t="n">
        <f aca="false">IFERROR(INDEX(Raw_Expenses!$C$5:$C$2979,MATCH(A444,Raw_Expenses!$A$5:$A$2979,0)),0)</f>
        <v>4.74</v>
      </c>
      <c r="N444" s="41" t="n">
        <f aca="false">L444+M444</f>
        <v>48.74</v>
      </c>
      <c r="O444" s="41" t="n">
        <f aca="false">K444-N444</f>
        <v>64.38</v>
      </c>
      <c r="P444" s="43" t="n">
        <f aca="false">IF(K444=0,0,O444/K444)</f>
        <v>0.569130127298444</v>
      </c>
    </row>
    <row r="445" customFormat="false" ht="15" hidden="false" customHeight="false" outlineLevel="0" collapsed="false">
      <c r="A445" s="39" t="s">
        <v>567</v>
      </c>
      <c r="B445" s="40" t="n">
        <v>45725</v>
      </c>
      <c r="C445" s="39" t="s">
        <v>128</v>
      </c>
      <c r="D445" s="39" t="n">
        <v>2</v>
      </c>
      <c r="E445" s="41" t="n">
        <v>38.61</v>
      </c>
      <c r="F445" s="39" t="s">
        <v>115</v>
      </c>
      <c r="G445" s="39" t="str">
        <f aca="false">VLOOKUP(C445,Products!$A$5:$D$24,2,FALSE())</f>
        <v>Ergonomic Footrest</v>
      </c>
      <c r="H445" s="39" t="str">
        <f aca="false">VLOOKUP(C445,Products!$A$5:$D$24,3,FALSE())</f>
        <v>Furniture</v>
      </c>
      <c r="I445" s="41" t="n">
        <f aca="false">VLOOKUP(C445,Products!$A$5:$D$24,4,FALSE())</f>
        <v>15</v>
      </c>
      <c r="J445" s="42" t="n">
        <f aca="false">DATE(YEAR(B445),MONTH(B445),1)</f>
        <v>45717</v>
      </c>
      <c r="K445" s="41" t="n">
        <f aca="false">D445*E445</f>
        <v>77.22</v>
      </c>
      <c r="L445" s="41" t="n">
        <f aca="false">D445*I445</f>
        <v>30</v>
      </c>
      <c r="M445" s="41" t="n">
        <f aca="false">IFERROR(INDEX(Raw_Expenses!$C$5:$C$2979,MATCH(A445,Raw_Expenses!$A$5:$A$2979,0)),0)</f>
        <v>6.7</v>
      </c>
      <c r="N445" s="41" t="n">
        <f aca="false">L445+M445</f>
        <v>36.7</v>
      </c>
      <c r="O445" s="41" t="n">
        <f aca="false">K445-N445</f>
        <v>40.52</v>
      </c>
      <c r="P445" s="43" t="n">
        <f aca="false">IF(K445=0,0,O445/K445)</f>
        <v>0.524734524734525</v>
      </c>
    </row>
    <row r="446" customFormat="false" ht="15" hidden="false" customHeight="false" outlineLevel="0" collapsed="false">
      <c r="A446" s="39" t="s">
        <v>568</v>
      </c>
      <c r="B446" s="40" t="n">
        <v>45725</v>
      </c>
      <c r="C446" s="39" t="s">
        <v>114</v>
      </c>
      <c r="D446" s="39" t="n">
        <v>2</v>
      </c>
      <c r="E446" s="41" t="n">
        <v>5.75</v>
      </c>
      <c r="F446" s="39" t="s">
        <v>118</v>
      </c>
      <c r="G446" s="39" t="str">
        <f aca="false">VLOOKUP(C446,Products!$A$5:$D$24,2,FALSE())</f>
        <v>Gel Pen Pack</v>
      </c>
      <c r="H446" s="39" t="str">
        <f aca="false">VLOOKUP(C446,Products!$A$5:$D$24,3,FALSE())</f>
        <v>Stationery</v>
      </c>
      <c r="I446" s="41" t="n">
        <f aca="false">VLOOKUP(C446,Products!$A$5:$D$24,4,FALSE())</f>
        <v>2</v>
      </c>
      <c r="J446" s="42" t="n">
        <f aca="false">DATE(YEAR(B446),MONTH(B446),1)</f>
        <v>45717</v>
      </c>
      <c r="K446" s="41" t="n">
        <f aca="false">D446*E446</f>
        <v>11.5</v>
      </c>
      <c r="L446" s="41" t="n">
        <f aca="false">D446*I446</f>
        <v>4</v>
      </c>
      <c r="M446" s="41" t="n">
        <f aca="false">IFERROR(INDEX(Raw_Expenses!$C$5:$C$2979,MATCH(A446,Raw_Expenses!$A$5:$A$2979,0)),0)</f>
        <v>0.74</v>
      </c>
      <c r="N446" s="41" t="n">
        <f aca="false">L446+M446</f>
        <v>4.74</v>
      </c>
      <c r="O446" s="41" t="n">
        <f aca="false">K446-N446</f>
        <v>6.76</v>
      </c>
      <c r="P446" s="43" t="n">
        <f aca="false">IF(K446=0,0,O446/K446)</f>
        <v>0.587826086956522</v>
      </c>
    </row>
    <row r="447" customFormat="false" ht="15" hidden="false" customHeight="false" outlineLevel="0" collapsed="false">
      <c r="A447" s="39" t="s">
        <v>569</v>
      </c>
      <c r="B447" s="40" t="n">
        <v>45725</v>
      </c>
      <c r="C447" s="39" t="s">
        <v>117</v>
      </c>
      <c r="D447" s="39" t="n">
        <v>1</v>
      </c>
      <c r="E447" s="41" t="n">
        <v>30.16</v>
      </c>
      <c r="F447" s="39" t="s">
        <v>108</v>
      </c>
      <c r="G447" s="39" t="str">
        <f aca="false">VLOOKUP(C447,Products!$A$5:$D$24,2,FALSE())</f>
        <v>Desk Lamp</v>
      </c>
      <c r="H447" s="39" t="str">
        <f aca="false">VLOOKUP(C447,Products!$A$5:$D$24,3,FALSE())</f>
        <v>Furniture</v>
      </c>
      <c r="I447" s="41" t="n">
        <f aca="false">VLOOKUP(C447,Products!$A$5:$D$24,4,FALSE())</f>
        <v>13</v>
      </c>
      <c r="J447" s="42" t="n">
        <f aca="false">DATE(YEAR(B447),MONTH(B447),1)</f>
        <v>45717</v>
      </c>
      <c r="K447" s="41" t="n">
        <f aca="false">D447*E447</f>
        <v>30.16</v>
      </c>
      <c r="L447" s="41" t="n">
        <f aca="false">D447*I447</f>
        <v>13</v>
      </c>
      <c r="M447" s="41" t="n">
        <f aca="false">IFERROR(INDEX(Raw_Expenses!$C$5:$C$2979,MATCH(A447,Raw_Expenses!$A$5:$A$2979,0)),0)</f>
        <v>2.39</v>
      </c>
      <c r="N447" s="41" t="n">
        <f aca="false">L447+M447</f>
        <v>15.39</v>
      </c>
      <c r="O447" s="41" t="n">
        <f aca="false">K447-N447</f>
        <v>14.77</v>
      </c>
      <c r="P447" s="43" t="n">
        <f aca="false">IF(K447=0,0,O447/K447)</f>
        <v>0.489721485411141</v>
      </c>
    </row>
    <row r="448" customFormat="false" ht="15" hidden="false" customHeight="false" outlineLevel="0" collapsed="false">
      <c r="A448" s="39" t="s">
        <v>570</v>
      </c>
      <c r="B448" s="40" t="n">
        <v>45725</v>
      </c>
      <c r="C448" s="39" t="s">
        <v>104</v>
      </c>
      <c r="D448" s="39" t="n">
        <v>1</v>
      </c>
      <c r="E448" s="41" t="n">
        <v>14.96</v>
      </c>
      <c r="F448" s="39" t="s">
        <v>105</v>
      </c>
      <c r="G448" s="39" t="str">
        <f aca="false">VLOOKUP(C448,Products!$A$5:$D$24,2,FALSE())</f>
        <v>Water Bottle</v>
      </c>
      <c r="H448" s="39" t="str">
        <f aca="false">VLOOKUP(C448,Products!$A$5:$D$24,3,FALSE())</f>
        <v>Accessories</v>
      </c>
      <c r="I448" s="41" t="n">
        <f aca="false">VLOOKUP(C448,Products!$A$5:$D$24,4,FALSE())</f>
        <v>5</v>
      </c>
      <c r="J448" s="42" t="n">
        <f aca="false">DATE(YEAR(B448),MONTH(B448),1)</f>
        <v>45717</v>
      </c>
      <c r="K448" s="41" t="n">
        <f aca="false">D448*E448</f>
        <v>14.96</v>
      </c>
      <c r="L448" s="41" t="n">
        <f aca="false">D448*I448</f>
        <v>5</v>
      </c>
      <c r="M448" s="41" t="n">
        <f aca="false">IFERROR(INDEX(Raw_Expenses!$C$5:$C$2979,MATCH(A448,Raw_Expenses!$A$5:$A$2979,0)),0)</f>
        <v>0.68</v>
      </c>
      <c r="N448" s="41" t="n">
        <f aca="false">L448+M448</f>
        <v>5.68</v>
      </c>
      <c r="O448" s="41" t="n">
        <f aca="false">K448-N448</f>
        <v>9.28</v>
      </c>
      <c r="P448" s="43" t="n">
        <f aca="false">IF(K448=0,0,O448/K448)</f>
        <v>0.620320855614973</v>
      </c>
    </row>
    <row r="449" customFormat="false" ht="15" hidden="false" customHeight="false" outlineLevel="0" collapsed="false">
      <c r="A449" s="39" t="s">
        <v>571</v>
      </c>
      <c r="B449" s="40" t="n">
        <v>45725</v>
      </c>
      <c r="C449" s="39" t="s">
        <v>128</v>
      </c>
      <c r="D449" s="39" t="n">
        <v>2</v>
      </c>
      <c r="E449" s="41" t="n">
        <v>38.42</v>
      </c>
      <c r="F449" s="39" t="s">
        <v>105</v>
      </c>
      <c r="G449" s="39" t="str">
        <f aca="false">VLOOKUP(C449,Products!$A$5:$D$24,2,FALSE())</f>
        <v>Ergonomic Footrest</v>
      </c>
      <c r="H449" s="39" t="str">
        <f aca="false">VLOOKUP(C449,Products!$A$5:$D$24,3,FALSE())</f>
        <v>Furniture</v>
      </c>
      <c r="I449" s="41" t="n">
        <f aca="false">VLOOKUP(C449,Products!$A$5:$D$24,4,FALSE())</f>
        <v>15</v>
      </c>
      <c r="J449" s="42" t="n">
        <f aca="false">DATE(YEAR(B449),MONTH(B449),1)</f>
        <v>45717</v>
      </c>
      <c r="K449" s="41" t="n">
        <f aca="false">D449*E449</f>
        <v>76.84</v>
      </c>
      <c r="L449" s="41" t="n">
        <f aca="false">D449*I449</f>
        <v>30</v>
      </c>
      <c r="M449" s="41" t="n">
        <f aca="false">IFERROR(INDEX(Raw_Expenses!$C$5:$C$2979,MATCH(A449,Raw_Expenses!$A$5:$A$2979,0)),0)</f>
        <v>4.79</v>
      </c>
      <c r="N449" s="41" t="n">
        <f aca="false">L449+M449</f>
        <v>34.79</v>
      </c>
      <c r="O449" s="41" t="n">
        <f aca="false">K449-N449</f>
        <v>42.05</v>
      </c>
      <c r="P449" s="43" t="n">
        <f aca="false">IF(K449=0,0,O449/K449)</f>
        <v>0.547241020301926</v>
      </c>
    </row>
    <row r="450" customFormat="false" ht="15" hidden="false" customHeight="false" outlineLevel="0" collapsed="false">
      <c r="A450" s="39" t="s">
        <v>572</v>
      </c>
      <c r="B450" s="40" t="n">
        <v>45725</v>
      </c>
      <c r="C450" s="39" t="s">
        <v>144</v>
      </c>
      <c r="D450" s="39" t="n">
        <v>2</v>
      </c>
      <c r="E450" s="41" t="n">
        <v>58.9</v>
      </c>
      <c r="F450" s="39" t="s">
        <v>118</v>
      </c>
      <c r="G450" s="39" t="str">
        <f aca="false">VLOOKUP(C450,Products!$A$5:$D$24,2,FALSE())</f>
        <v>Whiteboard</v>
      </c>
      <c r="H450" s="39" t="str">
        <f aca="false">VLOOKUP(C450,Products!$A$5:$D$24,3,FALSE())</f>
        <v>Furniture</v>
      </c>
      <c r="I450" s="41" t="n">
        <f aca="false">VLOOKUP(C450,Products!$A$5:$D$24,4,FALSE())</f>
        <v>28</v>
      </c>
      <c r="J450" s="42" t="n">
        <f aca="false">DATE(YEAR(B450),MONTH(B450),1)</f>
        <v>45717</v>
      </c>
      <c r="K450" s="41" t="n">
        <f aca="false">D450*E450</f>
        <v>117.8</v>
      </c>
      <c r="L450" s="41" t="n">
        <f aca="false">D450*I450</f>
        <v>56</v>
      </c>
      <c r="M450" s="41" t="n">
        <f aca="false">IFERROR(INDEX(Raw_Expenses!$C$5:$C$2979,MATCH(A450,Raw_Expenses!$A$5:$A$2979,0)),0)</f>
        <v>7.06</v>
      </c>
      <c r="N450" s="41" t="n">
        <f aca="false">L450+M450</f>
        <v>63.06</v>
      </c>
      <c r="O450" s="41" t="n">
        <f aca="false">K450-N450</f>
        <v>54.74</v>
      </c>
      <c r="P450" s="43" t="n">
        <f aca="false">IF(K450=0,0,O450/K450)</f>
        <v>0.464685908319185</v>
      </c>
    </row>
    <row r="451" customFormat="false" ht="15" hidden="false" customHeight="false" outlineLevel="0" collapsed="false">
      <c r="A451" s="39" t="s">
        <v>573</v>
      </c>
      <c r="B451" s="40" t="n">
        <v>45726</v>
      </c>
      <c r="C451" s="39" t="s">
        <v>104</v>
      </c>
      <c r="D451" s="39" t="n">
        <v>1</v>
      </c>
      <c r="E451" s="41" t="n">
        <v>14.96</v>
      </c>
      <c r="F451" s="39" t="s">
        <v>118</v>
      </c>
      <c r="G451" s="39" t="str">
        <f aca="false">VLOOKUP(C451,Products!$A$5:$D$24,2,FALSE())</f>
        <v>Water Bottle</v>
      </c>
      <c r="H451" s="39" t="str">
        <f aca="false">VLOOKUP(C451,Products!$A$5:$D$24,3,FALSE())</f>
        <v>Accessories</v>
      </c>
      <c r="I451" s="41" t="n">
        <f aca="false">VLOOKUP(C451,Products!$A$5:$D$24,4,FALSE())</f>
        <v>5</v>
      </c>
      <c r="J451" s="42" t="n">
        <f aca="false">DATE(YEAR(B451),MONTH(B451),1)</f>
        <v>45717</v>
      </c>
      <c r="K451" s="41" t="n">
        <f aca="false">D451*E451</f>
        <v>14.96</v>
      </c>
      <c r="L451" s="41" t="n">
        <f aca="false">D451*I451</f>
        <v>5</v>
      </c>
      <c r="M451" s="41" t="n">
        <f aca="false">IFERROR(INDEX(Raw_Expenses!$C$5:$C$2979,MATCH(A451,Raw_Expenses!$A$5:$A$2979,0)),0)</f>
        <v>0.77</v>
      </c>
      <c r="N451" s="41" t="n">
        <f aca="false">L451+M451</f>
        <v>5.77</v>
      </c>
      <c r="O451" s="41" t="n">
        <f aca="false">K451-N451</f>
        <v>9.19</v>
      </c>
      <c r="P451" s="43" t="n">
        <f aca="false">IF(K451=0,0,O451/K451)</f>
        <v>0.614304812834225</v>
      </c>
    </row>
    <row r="452" customFormat="false" ht="15" hidden="false" customHeight="false" outlineLevel="0" collapsed="false">
      <c r="A452" s="39" t="s">
        <v>574</v>
      </c>
      <c r="B452" s="40" t="n">
        <v>45726</v>
      </c>
      <c r="C452" s="39" t="s">
        <v>139</v>
      </c>
      <c r="D452" s="39" t="n">
        <v>5</v>
      </c>
      <c r="E452" s="41" t="n">
        <v>123.39</v>
      </c>
      <c r="F452" s="39" t="s">
        <v>118</v>
      </c>
      <c r="G452" s="39" t="str">
        <f aca="false">VLOOKUP(C452,Products!$A$5:$D$24,2,FALSE())</f>
        <v>Noise-Cancelling Headphones</v>
      </c>
      <c r="H452" s="39" t="str">
        <f aca="false">VLOOKUP(C452,Products!$A$5:$D$24,3,FALSE())</f>
        <v>Electronics</v>
      </c>
      <c r="I452" s="41" t="n">
        <f aca="false">VLOOKUP(C452,Products!$A$5:$D$24,4,FALSE())</f>
        <v>55</v>
      </c>
      <c r="J452" s="42" t="n">
        <f aca="false">DATE(YEAR(B452),MONTH(B452),1)</f>
        <v>45717</v>
      </c>
      <c r="K452" s="41" t="n">
        <f aca="false">D452*E452</f>
        <v>616.95</v>
      </c>
      <c r="L452" s="41" t="n">
        <f aca="false">D452*I452</f>
        <v>275</v>
      </c>
      <c r="M452" s="41" t="n">
        <f aca="false">IFERROR(INDEX(Raw_Expenses!$C$5:$C$2979,MATCH(A452,Raw_Expenses!$A$5:$A$2979,0)),0)</f>
        <v>54.63</v>
      </c>
      <c r="N452" s="41" t="n">
        <f aca="false">L452+M452</f>
        <v>329.63</v>
      </c>
      <c r="O452" s="41" t="n">
        <f aca="false">K452-N452</f>
        <v>287.32</v>
      </c>
      <c r="P452" s="43" t="n">
        <f aca="false">IF(K452=0,0,O452/K452)</f>
        <v>0.465710349298971</v>
      </c>
    </row>
    <row r="453" customFormat="false" ht="15" hidden="false" customHeight="false" outlineLevel="0" collapsed="false">
      <c r="A453" s="39" t="s">
        <v>575</v>
      </c>
      <c r="B453" s="40" t="n">
        <v>45727</v>
      </c>
      <c r="C453" s="39" t="s">
        <v>107</v>
      </c>
      <c r="D453" s="39" t="n">
        <v>2</v>
      </c>
      <c r="E453" s="41" t="n">
        <v>33.62</v>
      </c>
      <c r="F453" s="39" t="s">
        <v>105</v>
      </c>
      <c r="G453" s="39" t="str">
        <f aca="false">VLOOKUP(C453,Products!$A$5:$D$24,2,FALSE())</f>
        <v>USB-C Hub</v>
      </c>
      <c r="H453" s="39" t="str">
        <f aca="false">VLOOKUP(C453,Products!$A$5:$D$24,3,FALSE())</f>
        <v>Electronics</v>
      </c>
      <c r="I453" s="41" t="n">
        <f aca="false">VLOOKUP(C453,Products!$A$5:$D$24,4,FALSE())</f>
        <v>14</v>
      </c>
      <c r="J453" s="42" t="n">
        <f aca="false">DATE(YEAR(B453),MONTH(B453),1)</f>
        <v>45717</v>
      </c>
      <c r="K453" s="41" t="n">
        <f aca="false">D453*E453</f>
        <v>67.24</v>
      </c>
      <c r="L453" s="41" t="n">
        <f aca="false">D453*I453</f>
        <v>28</v>
      </c>
      <c r="M453" s="41" t="n">
        <f aca="false">IFERROR(INDEX(Raw_Expenses!$C$5:$C$2979,MATCH(A453,Raw_Expenses!$A$5:$A$2979,0)),0)</f>
        <v>3.31</v>
      </c>
      <c r="N453" s="41" t="n">
        <f aca="false">L453+M453</f>
        <v>31.31</v>
      </c>
      <c r="O453" s="41" t="n">
        <f aca="false">K453-N453</f>
        <v>35.93</v>
      </c>
      <c r="P453" s="43" t="n">
        <f aca="false">IF(K453=0,0,O453/K453)</f>
        <v>0.534354550862582</v>
      </c>
    </row>
    <row r="454" customFormat="false" ht="15" hidden="false" customHeight="false" outlineLevel="0" collapsed="false">
      <c r="A454" s="39" t="s">
        <v>576</v>
      </c>
      <c r="B454" s="40" t="n">
        <v>45727</v>
      </c>
      <c r="C454" s="39" t="s">
        <v>136</v>
      </c>
      <c r="D454" s="39" t="n">
        <v>3</v>
      </c>
      <c r="E454" s="41" t="n">
        <v>75.72</v>
      </c>
      <c r="F454" s="39" t="s">
        <v>118</v>
      </c>
      <c r="G454" s="39" t="str">
        <f aca="false">VLOOKUP(C454,Products!$A$5:$D$24,2,FALSE())</f>
        <v>Mechanical Keyboard</v>
      </c>
      <c r="H454" s="39" t="str">
        <f aca="false">VLOOKUP(C454,Products!$A$5:$D$24,3,FALSE())</f>
        <v>Electronics</v>
      </c>
      <c r="I454" s="41" t="n">
        <f aca="false">VLOOKUP(C454,Products!$A$5:$D$24,4,FALSE())</f>
        <v>38</v>
      </c>
      <c r="J454" s="42" t="n">
        <f aca="false">DATE(YEAR(B454),MONTH(B454),1)</f>
        <v>45717</v>
      </c>
      <c r="K454" s="41" t="n">
        <f aca="false">D454*E454</f>
        <v>227.16</v>
      </c>
      <c r="L454" s="41" t="n">
        <f aca="false">D454*I454</f>
        <v>114</v>
      </c>
      <c r="M454" s="41" t="n">
        <f aca="false">IFERROR(INDEX(Raw_Expenses!$C$5:$C$2979,MATCH(A454,Raw_Expenses!$A$5:$A$2979,0)),0)</f>
        <v>12.67</v>
      </c>
      <c r="N454" s="41" t="n">
        <f aca="false">L454+M454</f>
        <v>126.67</v>
      </c>
      <c r="O454" s="41" t="n">
        <f aca="false">K454-N454</f>
        <v>100.49</v>
      </c>
      <c r="P454" s="43" t="n">
        <f aca="false">IF(K454=0,0,O454/K454)</f>
        <v>0.442375418207431</v>
      </c>
    </row>
    <row r="455" customFormat="false" ht="15" hidden="false" customHeight="false" outlineLevel="0" collapsed="false">
      <c r="A455" s="39" t="s">
        <v>577</v>
      </c>
      <c r="B455" s="40" t="n">
        <v>45727</v>
      </c>
      <c r="C455" s="39" t="s">
        <v>114</v>
      </c>
      <c r="D455" s="39" t="n">
        <v>3</v>
      </c>
      <c r="E455" s="41" t="n">
        <v>5.71</v>
      </c>
      <c r="F455" s="39" t="s">
        <v>105</v>
      </c>
      <c r="G455" s="39" t="str">
        <f aca="false">VLOOKUP(C455,Products!$A$5:$D$24,2,FALSE())</f>
        <v>Gel Pen Pack</v>
      </c>
      <c r="H455" s="39" t="str">
        <f aca="false">VLOOKUP(C455,Products!$A$5:$D$24,3,FALSE())</f>
        <v>Stationery</v>
      </c>
      <c r="I455" s="41" t="n">
        <f aca="false">VLOOKUP(C455,Products!$A$5:$D$24,4,FALSE())</f>
        <v>2</v>
      </c>
      <c r="J455" s="42" t="n">
        <f aca="false">DATE(YEAR(B455),MONTH(B455),1)</f>
        <v>45717</v>
      </c>
      <c r="K455" s="41" t="n">
        <f aca="false">D455*E455</f>
        <v>17.13</v>
      </c>
      <c r="L455" s="41" t="n">
        <f aca="false">D455*I455</f>
        <v>6</v>
      </c>
      <c r="M455" s="41" t="n">
        <f aca="false">IFERROR(INDEX(Raw_Expenses!$C$5:$C$2979,MATCH(A455,Raw_Expenses!$A$5:$A$2979,0)),0)</f>
        <v>1.15</v>
      </c>
      <c r="N455" s="41" t="n">
        <f aca="false">L455+M455</f>
        <v>7.15</v>
      </c>
      <c r="O455" s="41" t="n">
        <f aca="false">K455-N455</f>
        <v>9.98</v>
      </c>
      <c r="P455" s="43" t="n">
        <f aca="false">IF(K455=0,0,O455/K455)</f>
        <v>0.582603619381203</v>
      </c>
    </row>
    <row r="456" customFormat="false" ht="15" hidden="false" customHeight="false" outlineLevel="0" collapsed="false">
      <c r="A456" s="39" t="s">
        <v>578</v>
      </c>
      <c r="B456" s="40" t="n">
        <v>45727</v>
      </c>
      <c r="C456" s="39" t="s">
        <v>114</v>
      </c>
      <c r="D456" s="39" t="n">
        <v>1</v>
      </c>
      <c r="E456" s="41" t="n">
        <v>5.87</v>
      </c>
      <c r="F456" s="39" t="s">
        <v>105</v>
      </c>
      <c r="G456" s="39" t="str">
        <f aca="false">VLOOKUP(C456,Products!$A$5:$D$24,2,FALSE())</f>
        <v>Gel Pen Pack</v>
      </c>
      <c r="H456" s="39" t="str">
        <f aca="false">VLOOKUP(C456,Products!$A$5:$D$24,3,FALSE())</f>
        <v>Stationery</v>
      </c>
      <c r="I456" s="41" t="n">
        <f aca="false">VLOOKUP(C456,Products!$A$5:$D$24,4,FALSE())</f>
        <v>2</v>
      </c>
      <c r="J456" s="42" t="n">
        <f aca="false">DATE(YEAR(B456),MONTH(B456),1)</f>
        <v>45717</v>
      </c>
      <c r="K456" s="41" t="n">
        <f aca="false">D456*E456</f>
        <v>5.87</v>
      </c>
      <c r="L456" s="41" t="n">
        <f aca="false">D456*I456</f>
        <v>2</v>
      </c>
      <c r="M456" s="41" t="n">
        <f aca="false">IFERROR(INDEX(Raw_Expenses!$C$5:$C$2979,MATCH(A456,Raw_Expenses!$A$5:$A$2979,0)),0)</f>
        <v>0.32</v>
      </c>
      <c r="N456" s="41" t="n">
        <f aca="false">L456+M456</f>
        <v>2.32</v>
      </c>
      <c r="O456" s="41" t="n">
        <f aca="false">K456-N456</f>
        <v>3.55</v>
      </c>
      <c r="P456" s="43" t="n">
        <f aca="false">IF(K456=0,0,O456/K456)</f>
        <v>0.604770017035775</v>
      </c>
    </row>
    <row r="457" customFormat="false" ht="15" hidden="false" customHeight="false" outlineLevel="0" collapsed="false">
      <c r="A457" s="39" t="s">
        <v>579</v>
      </c>
      <c r="B457" s="40" t="n">
        <v>45727</v>
      </c>
      <c r="C457" s="39" t="s">
        <v>130</v>
      </c>
      <c r="D457" s="39" t="n">
        <v>4</v>
      </c>
      <c r="E457" s="41" t="n">
        <v>8.76</v>
      </c>
      <c r="F457" s="39" t="s">
        <v>118</v>
      </c>
      <c r="G457" s="39" t="str">
        <f aca="false">VLOOKUP(C457,Products!$A$5:$D$24,2,FALSE())</f>
        <v>Notebook Set</v>
      </c>
      <c r="H457" s="39" t="str">
        <f aca="false">VLOOKUP(C457,Products!$A$5:$D$24,3,FALSE())</f>
        <v>Stationery</v>
      </c>
      <c r="I457" s="41" t="n">
        <f aca="false">VLOOKUP(C457,Products!$A$5:$D$24,4,FALSE())</f>
        <v>3</v>
      </c>
      <c r="J457" s="42" t="n">
        <f aca="false">DATE(YEAR(B457),MONTH(B457),1)</f>
        <v>45717</v>
      </c>
      <c r="K457" s="41" t="n">
        <f aca="false">D457*E457</f>
        <v>35.04</v>
      </c>
      <c r="L457" s="41" t="n">
        <f aca="false">D457*I457</f>
        <v>12</v>
      </c>
      <c r="M457" s="41" t="n">
        <f aca="false">IFERROR(INDEX(Raw_Expenses!$C$5:$C$2979,MATCH(A457,Raw_Expenses!$A$5:$A$2979,0)),0)</f>
        <v>1.73</v>
      </c>
      <c r="N457" s="41" t="n">
        <f aca="false">L457+M457</f>
        <v>13.73</v>
      </c>
      <c r="O457" s="41" t="n">
        <f aca="false">K457-N457</f>
        <v>21.31</v>
      </c>
      <c r="P457" s="43" t="n">
        <f aca="false">IF(K457=0,0,O457/K457)</f>
        <v>0.608162100456621</v>
      </c>
    </row>
    <row r="458" customFormat="false" ht="15" hidden="false" customHeight="false" outlineLevel="0" collapsed="false">
      <c r="A458" s="39" t="s">
        <v>580</v>
      </c>
      <c r="B458" s="40" t="n">
        <v>45727</v>
      </c>
      <c r="C458" s="39" t="s">
        <v>110</v>
      </c>
      <c r="D458" s="39" t="n">
        <v>2</v>
      </c>
      <c r="E458" s="41" t="n">
        <v>13.71</v>
      </c>
      <c r="F458" s="39" t="s">
        <v>105</v>
      </c>
      <c r="G458" s="39" t="str">
        <f aca="false">VLOOKUP(C458,Products!$A$5:$D$24,2,FALSE())</f>
        <v>Phone Stand</v>
      </c>
      <c r="H458" s="39" t="str">
        <f aca="false">VLOOKUP(C458,Products!$A$5:$D$24,3,FALSE())</f>
        <v>Accessories</v>
      </c>
      <c r="I458" s="41" t="n">
        <f aca="false">VLOOKUP(C458,Products!$A$5:$D$24,4,FALSE())</f>
        <v>4</v>
      </c>
      <c r="J458" s="42" t="n">
        <f aca="false">DATE(YEAR(B458),MONTH(B458),1)</f>
        <v>45717</v>
      </c>
      <c r="K458" s="41" t="n">
        <f aca="false">D458*E458</f>
        <v>27.42</v>
      </c>
      <c r="L458" s="41" t="n">
        <f aca="false">D458*I458</f>
        <v>8</v>
      </c>
      <c r="M458" s="41" t="n">
        <f aca="false">IFERROR(INDEX(Raw_Expenses!$C$5:$C$2979,MATCH(A458,Raw_Expenses!$A$5:$A$2979,0)),0)</f>
        <v>1.74</v>
      </c>
      <c r="N458" s="41" t="n">
        <f aca="false">L458+M458</f>
        <v>9.74</v>
      </c>
      <c r="O458" s="41" t="n">
        <f aca="false">K458-N458</f>
        <v>17.68</v>
      </c>
      <c r="P458" s="43" t="n">
        <f aca="false">IF(K458=0,0,O458/K458)</f>
        <v>0.644784828592268</v>
      </c>
    </row>
    <row r="459" customFormat="false" ht="15" hidden="false" customHeight="false" outlineLevel="0" collapsed="false">
      <c r="A459" s="39" t="s">
        <v>581</v>
      </c>
      <c r="B459" s="40" t="n">
        <v>45728</v>
      </c>
      <c r="C459" s="39" t="s">
        <v>162</v>
      </c>
      <c r="D459" s="39" t="n">
        <v>5</v>
      </c>
      <c r="E459" s="41" t="n">
        <v>63.87</v>
      </c>
      <c r="F459" s="39" t="s">
        <v>115</v>
      </c>
      <c r="G459" s="39" t="str">
        <f aca="false">VLOOKUP(C459,Products!$A$5:$D$24,2,FALSE())</f>
        <v>Bluetooth Speaker</v>
      </c>
      <c r="H459" s="39" t="str">
        <f aca="false">VLOOKUP(C459,Products!$A$5:$D$24,3,FALSE())</f>
        <v>Electronics</v>
      </c>
      <c r="I459" s="41" t="n">
        <f aca="false">VLOOKUP(C459,Products!$A$5:$D$24,4,FALSE())</f>
        <v>28</v>
      </c>
      <c r="J459" s="42" t="n">
        <f aca="false">DATE(YEAR(B459),MONTH(B459),1)</f>
        <v>45717</v>
      </c>
      <c r="K459" s="41" t="n">
        <f aca="false">D459*E459</f>
        <v>319.35</v>
      </c>
      <c r="L459" s="41" t="n">
        <f aca="false">D459*I459</f>
        <v>140</v>
      </c>
      <c r="M459" s="41" t="n">
        <f aca="false">IFERROR(INDEX(Raw_Expenses!$C$5:$C$2979,MATCH(A459,Raw_Expenses!$A$5:$A$2979,0)),0)</f>
        <v>15.81</v>
      </c>
      <c r="N459" s="41" t="n">
        <f aca="false">L459+M459</f>
        <v>155.81</v>
      </c>
      <c r="O459" s="41" t="n">
        <f aca="false">K459-N459</f>
        <v>163.54</v>
      </c>
      <c r="P459" s="43" t="n">
        <f aca="false">IF(K459=0,0,O459/K459)</f>
        <v>0.512102708626898</v>
      </c>
    </row>
    <row r="460" customFormat="false" ht="15" hidden="false" customHeight="false" outlineLevel="0" collapsed="false">
      <c r="A460" s="39" t="s">
        <v>582</v>
      </c>
      <c r="B460" s="40" t="n">
        <v>45728</v>
      </c>
      <c r="C460" s="39" t="s">
        <v>162</v>
      </c>
      <c r="D460" s="39" t="n">
        <v>5</v>
      </c>
      <c r="E460" s="41" t="n">
        <v>65.58</v>
      </c>
      <c r="F460" s="39" t="s">
        <v>115</v>
      </c>
      <c r="G460" s="39" t="str">
        <f aca="false">VLOOKUP(C460,Products!$A$5:$D$24,2,FALSE())</f>
        <v>Bluetooth Speaker</v>
      </c>
      <c r="H460" s="39" t="str">
        <f aca="false">VLOOKUP(C460,Products!$A$5:$D$24,3,FALSE())</f>
        <v>Electronics</v>
      </c>
      <c r="I460" s="41" t="n">
        <f aca="false">VLOOKUP(C460,Products!$A$5:$D$24,4,FALSE())</f>
        <v>28</v>
      </c>
      <c r="J460" s="42" t="n">
        <f aca="false">DATE(YEAR(B460),MONTH(B460),1)</f>
        <v>45717</v>
      </c>
      <c r="K460" s="41" t="n">
        <f aca="false">D460*E460</f>
        <v>327.9</v>
      </c>
      <c r="L460" s="41" t="n">
        <f aca="false">D460*I460</f>
        <v>140</v>
      </c>
      <c r="M460" s="41" t="n">
        <f aca="false">IFERROR(INDEX(Raw_Expenses!$C$5:$C$2979,MATCH(A460,Raw_Expenses!$A$5:$A$2979,0)),0)</f>
        <v>27.6</v>
      </c>
      <c r="N460" s="41" t="n">
        <f aca="false">L460+M460</f>
        <v>167.6</v>
      </c>
      <c r="O460" s="41" t="n">
        <f aca="false">K460-N460</f>
        <v>160.3</v>
      </c>
      <c r="P460" s="43" t="n">
        <f aca="false">IF(K460=0,0,O460/K460)</f>
        <v>0.488868557487039</v>
      </c>
    </row>
    <row r="461" customFormat="false" ht="15" hidden="false" customHeight="false" outlineLevel="0" collapsed="false">
      <c r="A461" s="39" t="s">
        <v>583</v>
      </c>
      <c r="B461" s="40" t="n">
        <v>45728</v>
      </c>
      <c r="C461" s="39" t="s">
        <v>136</v>
      </c>
      <c r="D461" s="39" t="n">
        <v>1</v>
      </c>
      <c r="E461" s="41" t="n">
        <v>77.1</v>
      </c>
      <c r="F461" s="39" t="s">
        <v>105</v>
      </c>
      <c r="G461" s="39" t="str">
        <f aca="false">VLOOKUP(C461,Products!$A$5:$D$24,2,FALSE())</f>
        <v>Mechanical Keyboard</v>
      </c>
      <c r="H461" s="39" t="str">
        <f aca="false">VLOOKUP(C461,Products!$A$5:$D$24,3,FALSE())</f>
        <v>Electronics</v>
      </c>
      <c r="I461" s="41" t="n">
        <f aca="false">VLOOKUP(C461,Products!$A$5:$D$24,4,FALSE())</f>
        <v>38</v>
      </c>
      <c r="J461" s="42" t="n">
        <f aca="false">DATE(YEAR(B461),MONTH(B461),1)</f>
        <v>45717</v>
      </c>
      <c r="K461" s="41" t="n">
        <f aca="false">D461*E461</f>
        <v>77.1</v>
      </c>
      <c r="L461" s="41" t="n">
        <f aca="false">D461*I461</f>
        <v>38</v>
      </c>
      <c r="M461" s="41" t="n">
        <f aca="false">IFERROR(INDEX(Raw_Expenses!$C$5:$C$2979,MATCH(A461,Raw_Expenses!$A$5:$A$2979,0)),0)</f>
        <v>5.77</v>
      </c>
      <c r="N461" s="41" t="n">
        <f aca="false">L461+M461</f>
        <v>43.77</v>
      </c>
      <c r="O461" s="41" t="n">
        <f aca="false">K461-N461</f>
        <v>33.33</v>
      </c>
      <c r="P461" s="43" t="n">
        <f aca="false">IF(K461=0,0,O461/K461)</f>
        <v>0.432295719844358</v>
      </c>
    </row>
    <row r="462" customFormat="false" ht="15" hidden="false" customHeight="false" outlineLevel="0" collapsed="false">
      <c r="A462" s="39" t="s">
        <v>584</v>
      </c>
      <c r="B462" s="40" t="n">
        <v>45728</v>
      </c>
      <c r="C462" s="39" t="s">
        <v>104</v>
      </c>
      <c r="D462" s="39" t="n">
        <v>3</v>
      </c>
      <c r="E462" s="41" t="n">
        <v>15.39</v>
      </c>
      <c r="F462" s="39" t="s">
        <v>115</v>
      </c>
      <c r="G462" s="39" t="str">
        <f aca="false">VLOOKUP(C462,Products!$A$5:$D$24,2,FALSE())</f>
        <v>Water Bottle</v>
      </c>
      <c r="H462" s="39" t="str">
        <f aca="false">VLOOKUP(C462,Products!$A$5:$D$24,3,FALSE())</f>
        <v>Accessories</v>
      </c>
      <c r="I462" s="41" t="n">
        <f aca="false">VLOOKUP(C462,Products!$A$5:$D$24,4,FALSE())</f>
        <v>5</v>
      </c>
      <c r="J462" s="42" t="n">
        <f aca="false">DATE(YEAR(B462),MONTH(B462),1)</f>
        <v>45717</v>
      </c>
      <c r="K462" s="41" t="n">
        <f aca="false">D462*E462</f>
        <v>46.17</v>
      </c>
      <c r="L462" s="41" t="n">
        <f aca="false">D462*I462</f>
        <v>15</v>
      </c>
      <c r="M462" s="41" t="n">
        <f aca="false">IFERROR(INDEX(Raw_Expenses!$C$5:$C$2979,MATCH(A462,Raw_Expenses!$A$5:$A$2979,0)),0)</f>
        <v>2.67</v>
      </c>
      <c r="N462" s="41" t="n">
        <f aca="false">L462+M462</f>
        <v>17.67</v>
      </c>
      <c r="O462" s="41" t="n">
        <f aca="false">K462-N462</f>
        <v>28.5</v>
      </c>
      <c r="P462" s="43" t="n">
        <f aca="false">IF(K462=0,0,O462/K462)</f>
        <v>0.617283950617284</v>
      </c>
    </row>
    <row r="463" customFormat="false" ht="15" hidden="false" customHeight="false" outlineLevel="0" collapsed="false">
      <c r="A463" s="39" t="s">
        <v>585</v>
      </c>
      <c r="B463" s="40" t="n">
        <v>45728</v>
      </c>
      <c r="C463" s="39" t="s">
        <v>107</v>
      </c>
      <c r="D463" s="39" t="n">
        <v>1</v>
      </c>
      <c r="E463" s="41" t="n">
        <v>33.85</v>
      </c>
      <c r="F463" s="39" t="s">
        <v>115</v>
      </c>
      <c r="G463" s="39" t="str">
        <f aca="false">VLOOKUP(C463,Products!$A$5:$D$24,2,FALSE())</f>
        <v>USB-C Hub</v>
      </c>
      <c r="H463" s="39" t="str">
        <f aca="false">VLOOKUP(C463,Products!$A$5:$D$24,3,FALSE())</f>
        <v>Electronics</v>
      </c>
      <c r="I463" s="41" t="n">
        <f aca="false">VLOOKUP(C463,Products!$A$5:$D$24,4,FALSE())</f>
        <v>14</v>
      </c>
      <c r="J463" s="42" t="n">
        <f aca="false">DATE(YEAR(B463),MONTH(B463),1)</f>
        <v>45717</v>
      </c>
      <c r="K463" s="41" t="n">
        <f aca="false">D463*E463</f>
        <v>33.85</v>
      </c>
      <c r="L463" s="41" t="n">
        <f aca="false">D463*I463</f>
        <v>14</v>
      </c>
      <c r="M463" s="41" t="n">
        <f aca="false">IFERROR(INDEX(Raw_Expenses!$C$5:$C$2979,MATCH(A463,Raw_Expenses!$A$5:$A$2979,0)),0)</f>
        <v>2.96</v>
      </c>
      <c r="N463" s="41" t="n">
        <f aca="false">L463+M463</f>
        <v>16.96</v>
      </c>
      <c r="O463" s="41" t="n">
        <f aca="false">K463-N463</f>
        <v>16.89</v>
      </c>
      <c r="P463" s="43" t="n">
        <f aca="false">IF(K463=0,0,O463/K463)</f>
        <v>0.498966026587888</v>
      </c>
    </row>
    <row r="464" customFormat="false" ht="15" hidden="false" customHeight="false" outlineLevel="0" collapsed="false">
      <c r="A464" s="39" t="s">
        <v>586</v>
      </c>
      <c r="B464" s="40" t="n">
        <v>45728</v>
      </c>
      <c r="C464" s="39" t="s">
        <v>107</v>
      </c>
      <c r="D464" s="39" t="n">
        <v>2</v>
      </c>
      <c r="E464" s="41" t="n">
        <v>34.4</v>
      </c>
      <c r="F464" s="39" t="s">
        <v>115</v>
      </c>
      <c r="G464" s="39" t="str">
        <f aca="false">VLOOKUP(C464,Products!$A$5:$D$24,2,FALSE())</f>
        <v>USB-C Hub</v>
      </c>
      <c r="H464" s="39" t="str">
        <f aca="false">VLOOKUP(C464,Products!$A$5:$D$24,3,FALSE())</f>
        <v>Electronics</v>
      </c>
      <c r="I464" s="41" t="n">
        <f aca="false">VLOOKUP(C464,Products!$A$5:$D$24,4,FALSE())</f>
        <v>14</v>
      </c>
      <c r="J464" s="42" t="n">
        <f aca="false">DATE(YEAR(B464),MONTH(B464),1)</f>
        <v>45717</v>
      </c>
      <c r="K464" s="41" t="n">
        <f aca="false">D464*E464</f>
        <v>68.8</v>
      </c>
      <c r="L464" s="41" t="n">
        <f aca="false">D464*I464</f>
        <v>28</v>
      </c>
      <c r="M464" s="41" t="n">
        <f aca="false">IFERROR(INDEX(Raw_Expenses!$C$5:$C$2979,MATCH(A464,Raw_Expenses!$A$5:$A$2979,0)),0)</f>
        <v>3.03</v>
      </c>
      <c r="N464" s="41" t="n">
        <f aca="false">L464+M464</f>
        <v>31.03</v>
      </c>
      <c r="O464" s="41" t="n">
        <f aca="false">K464-N464</f>
        <v>37.77</v>
      </c>
      <c r="P464" s="43" t="n">
        <f aca="false">IF(K464=0,0,O464/K464)</f>
        <v>0.548982558139535</v>
      </c>
    </row>
    <row r="465" customFormat="false" ht="15" hidden="false" customHeight="false" outlineLevel="0" collapsed="false">
      <c r="A465" s="39" t="s">
        <v>587</v>
      </c>
      <c r="B465" s="40" t="n">
        <v>45728</v>
      </c>
      <c r="C465" s="39" t="s">
        <v>133</v>
      </c>
      <c r="D465" s="39" t="n">
        <v>1</v>
      </c>
      <c r="E465" s="41" t="n">
        <v>8.57</v>
      </c>
      <c r="F465" s="39" t="s">
        <v>115</v>
      </c>
      <c r="G465" s="39" t="str">
        <f aca="false">VLOOKUP(C465,Products!$A$5:$D$24,2,FALSE())</f>
        <v>Printer Paper Ream</v>
      </c>
      <c r="H465" s="39" t="str">
        <f aca="false">VLOOKUP(C465,Products!$A$5:$D$24,3,FALSE())</f>
        <v>Stationery</v>
      </c>
      <c r="I465" s="41" t="n">
        <f aca="false">VLOOKUP(C465,Products!$A$5:$D$24,4,FALSE())</f>
        <v>4</v>
      </c>
      <c r="J465" s="42" t="n">
        <f aca="false">DATE(YEAR(B465),MONTH(B465),1)</f>
        <v>45717</v>
      </c>
      <c r="K465" s="41" t="n">
        <f aca="false">D465*E465</f>
        <v>8.57</v>
      </c>
      <c r="L465" s="41" t="n">
        <f aca="false">D465*I465</f>
        <v>4</v>
      </c>
      <c r="M465" s="41" t="n">
        <f aca="false">IFERROR(INDEX(Raw_Expenses!$C$5:$C$2979,MATCH(A465,Raw_Expenses!$A$5:$A$2979,0)),0)</f>
        <v>0.73</v>
      </c>
      <c r="N465" s="41" t="n">
        <f aca="false">L465+M465</f>
        <v>4.73</v>
      </c>
      <c r="O465" s="41" t="n">
        <f aca="false">K465-N465</f>
        <v>3.84</v>
      </c>
      <c r="P465" s="43" t="n">
        <f aca="false">IF(K465=0,0,O465/K465)</f>
        <v>0.448074679113186</v>
      </c>
    </row>
    <row r="466" customFormat="false" ht="15" hidden="false" customHeight="false" outlineLevel="0" collapsed="false">
      <c r="A466" s="39" t="s">
        <v>588</v>
      </c>
      <c r="B466" s="40" t="n">
        <v>45728</v>
      </c>
      <c r="C466" s="39" t="s">
        <v>114</v>
      </c>
      <c r="D466" s="39" t="n">
        <v>3</v>
      </c>
      <c r="E466" s="41" t="n">
        <v>5.77</v>
      </c>
      <c r="F466" s="39" t="s">
        <v>105</v>
      </c>
      <c r="G466" s="39" t="str">
        <f aca="false">VLOOKUP(C466,Products!$A$5:$D$24,2,FALSE())</f>
        <v>Gel Pen Pack</v>
      </c>
      <c r="H466" s="39" t="str">
        <f aca="false">VLOOKUP(C466,Products!$A$5:$D$24,3,FALSE())</f>
        <v>Stationery</v>
      </c>
      <c r="I466" s="41" t="n">
        <f aca="false">VLOOKUP(C466,Products!$A$5:$D$24,4,FALSE())</f>
        <v>2</v>
      </c>
      <c r="J466" s="42" t="n">
        <f aca="false">DATE(YEAR(B466),MONTH(B466),1)</f>
        <v>45717</v>
      </c>
      <c r="K466" s="41" t="n">
        <f aca="false">D466*E466</f>
        <v>17.31</v>
      </c>
      <c r="L466" s="41" t="n">
        <f aca="false">D466*I466</f>
        <v>6</v>
      </c>
      <c r="M466" s="41" t="n">
        <f aca="false">IFERROR(INDEX(Raw_Expenses!$C$5:$C$2979,MATCH(A466,Raw_Expenses!$A$5:$A$2979,0)),0)</f>
        <v>1.41</v>
      </c>
      <c r="N466" s="41" t="n">
        <f aca="false">L466+M466</f>
        <v>7.41</v>
      </c>
      <c r="O466" s="41" t="n">
        <f aca="false">K466-N466</f>
        <v>9.9</v>
      </c>
      <c r="P466" s="43" t="n">
        <f aca="false">IF(K466=0,0,O466/K466)</f>
        <v>0.571923743500867</v>
      </c>
    </row>
    <row r="467" customFormat="false" ht="15" hidden="false" customHeight="false" outlineLevel="0" collapsed="false">
      <c r="A467" s="39" t="s">
        <v>589</v>
      </c>
      <c r="B467" s="40" t="n">
        <v>45728</v>
      </c>
      <c r="C467" s="39" t="s">
        <v>130</v>
      </c>
      <c r="D467" s="39" t="n">
        <v>2</v>
      </c>
      <c r="E467" s="41" t="n">
        <v>8.37</v>
      </c>
      <c r="F467" s="39" t="s">
        <v>105</v>
      </c>
      <c r="G467" s="39" t="str">
        <f aca="false">VLOOKUP(C467,Products!$A$5:$D$24,2,FALSE())</f>
        <v>Notebook Set</v>
      </c>
      <c r="H467" s="39" t="str">
        <f aca="false">VLOOKUP(C467,Products!$A$5:$D$24,3,FALSE())</f>
        <v>Stationery</v>
      </c>
      <c r="I467" s="41" t="n">
        <f aca="false">VLOOKUP(C467,Products!$A$5:$D$24,4,FALSE())</f>
        <v>3</v>
      </c>
      <c r="J467" s="42" t="n">
        <f aca="false">DATE(YEAR(B467),MONTH(B467),1)</f>
        <v>45717</v>
      </c>
      <c r="K467" s="41" t="n">
        <f aca="false">D467*E467</f>
        <v>16.74</v>
      </c>
      <c r="L467" s="41" t="n">
        <f aca="false">D467*I467</f>
        <v>6</v>
      </c>
      <c r="M467" s="41" t="n">
        <f aca="false">IFERROR(INDEX(Raw_Expenses!$C$5:$C$2979,MATCH(A467,Raw_Expenses!$A$5:$A$2979,0)),0)</f>
        <v>0.86</v>
      </c>
      <c r="N467" s="41" t="n">
        <f aca="false">L467+M467</f>
        <v>6.86</v>
      </c>
      <c r="O467" s="41" t="n">
        <f aca="false">K467-N467</f>
        <v>9.88</v>
      </c>
      <c r="P467" s="43" t="n">
        <f aca="false">IF(K467=0,0,O467/K467)</f>
        <v>0.590203106332139</v>
      </c>
    </row>
    <row r="468" customFormat="false" ht="15" hidden="false" customHeight="false" outlineLevel="0" collapsed="false">
      <c r="A468" s="39" t="s">
        <v>590</v>
      </c>
      <c r="B468" s="40" t="n">
        <v>45728</v>
      </c>
      <c r="C468" s="39" t="s">
        <v>128</v>
      </c>
      <c r="D468" s="39" t="n">
        <v>1</v>
      </c>
      <c r="E468" s="41" t="n">
        <v>37.39</v>
      </c>
      <c r="F468" s="39" t="s">
        <v>105</v>
      </c>
      <c r="G468" s="39" t="str">
        <f aca="false">VLOOKUP(C468,Products!$A$5:$D$24,2,FALSE())</f>
        <v>Ergonomic Footrest</v>
      </c>
      <c r="H468" s="39" t="str">
        <f aca="false">VLOOKUP(C468,Products!$A$5:$D$24,3,FALSE())</f>
        <v>Furniture</v>
      </c>
      <c r="I468" s="41" t="n">
        <f aca="false">VLOOKUP(C468,Products!$A$5:$D$24,4,FALSE())</f>
        <v>15</v>
      </c>
      <c r="J468" s="42" t="n">
        <f aca="false">DATE(YEAR(B468),MONTH(B468),1)</f>
        <v>45717</v>
      </c>
      <c r="K468" s="41" t="n">
        <f aca="false">D468*E468</f>
        <v>37.39</v>
      </c>
      <c r="L468" s="41" t="n">
        <f aca="false">D468*I468</f>
        <v>15</v>
      </c>
      <c r="M468" s="41" t="n">
        <f aca="false">IFERROR(INDEX(Raw_Expenses!$C$5:$C$2979,MATCH(A468,Raw_Expenses!$A$5:$A$2979,0)),0)</f>
        <v>2.75</v>
      </c>
      <c r="N468" s="41" t="n">
        <f aca="false">L468+M468</f>
        <v>17.75</v>
      </c>
      <c r="O468" s="41" t="n">
        <f aca="false">K468-N468</f>
        <v>19.64</v>
      </c>
      <c r="P468" s="43" t="n">
        <f aca="false">IF(K468=0,0,O468/K468)</f>
        <v>0.525274137469912</v>
      </c>
    </row>
    <row r="469" customFormat="false" ht="15" hidden="false" customHeight="false" outlineLevel="0" collapsed="false">
      <c r="A469" s="39" t="s">
        <v>591</v>
      </c>
      <c r="B469" s="40" t="n">
        <v>45728</v>
      </c>
      <c r="C469" s="39" t="s">
        <v>121</v>
      </c>
      <c r="D469" s="39" t="n">
        <v>2</v>
      </c>
      <c r="E469" s="41" t="n">
        <v>112.72</v>
      </c>
      <c r="F469" s="39" t="s">
        <v>105</v>
      </c>
      <c r="G469" s="39" t="str">
        <f aca="false">VLOOKUP(C469,Products!$A$5:$D$24,2,FALSE())</f>
        <v>External SSD 1TB</v>
      </c>
      <c r="H469" s="39" t="str">
        <f aca="false">VLOOKUP(C469,Products!$A$5:$D$24,3,FALSE())</f>
        <v>Electronics</v>
      </c>
      <c r="I469" s="41" t="n">
        <f aca="false">VLOOKUP(C469,Products!$A$5:$D$24,4,FALSE())</f>
        <v>62</v>
      </c>
      <c r="J469" s="42" t="n">
        <f aca="false">DATE(YEAR(B469),MONTH(B469),1)</f>
        <v>45717</v>
      </c>
      <c r="K469" s="41" t="n">
        <f aca="false">D469*E469</f>
        <v>225.44</v>
      </c>
      <c r="L469" s="41" t="n">
        <f aca="false">D469*I469</f>
        <v>124</v>
      </c>
      <c r="M469" s="41" t="n">
        <f aca="false">IFERROR(INDEX(Raw_Expenses!$C$5:$C$2979,MATCH(A469,Raw_Expenses!$A$5:$A$2979,0)),0)</f>
        <v>14.51</v>
      </c>
      <c r="N469" s="41" t="n">
        <f aca="false">L469+M469</f>
        <v>138.51</v>
      </c>
      <c r="O469" s="41" t="n">
        <f aca="false">K469-N469</f>
        <v>86.93</v>
      </c>
      <c r="P469" s="43" t="n">
        <f aca="false">IF(K469=0,0,O469/K469)</f>
        <v>0.385601490418737</v>
      </c>
    </row>
    <row r="470" customFormat="false" ht="15" hidden="false" customHeight="false" outlineLevel="0" collapsed="false">
      <c r="A470" s="39" t="s">
        <v>592</v>
      </c>
      <c r="B470" s="40" t="n">
        <v>45729</v>
      </c>
      <c r="C470" s="39" t="s">
        <v>183</v>
      </c>
      <c r="D470" s="39" t="n">
        <v>2</v>
      </c>
      <c r="E470" s="41" t="n">
        <v>181.39</v>
      </c>
      <c r="F470" s="39" t="s">
        <v>108</v>
      </c>
      <c r="G470" s="39" t="str">
        <f aca="false">VLOOKUP(C470,Products!$A$5:$D$24,2,FALSE())</f>
        <v>Office Chair</v>
      </c>
      <c r="H470" s="39" t="str">
        <f aca="false">VLOOKUP(C470,Products!$A$5:$D$24,3,FALSE())</f>
        <v>Furniture</v>
      </c>
      <c r="I470" s="41" t="n">
        <f aca="false">VLOOKUP(C470,Products!$A$5:$D$24,4,FALSE())</f>
        <v>85</v>
      </c>
      <c r="J470" s="42" t="n">
        <f aca="false">DATE(YEAR(B470),MONTH(B470),1)</f>
        <v>45717</v>
      </c>
      <c r="K470" s="41" t="n">
        <f aca="false">D470*E470</f>
        <v>362.78</v>
      </c>
      <c r="L470" s="41" t="n">
        <f aca="false">D470*I470</f>
        <v>170</v>
      </c>
      <c r="M470" s="41" t="n">
        <f aca="false">IFERROR(INDEX(Raw_Expenses!$C$5:$C$2979,MATCH(A470,Raw_Expenses!$A$5:$A$2979,0)),0)</f>
        <v>29.84</v>
      </c>
      <c r="N470" s="41" t="n">
        <f aca="false">L470+M470</f>
        <v>199.84</v>
      </c>
      <c r="O470" s="41" t="n">
        <f aca="false">K470-N470</f>
        <v>162.94</v>
      </c>
      <c r="P470" s="43" t="n">
        <f aca="false">IF(K470=0,0,O470/K470)</f>
        <v>0.449142731131815</v>
      </c>
    </row>
    <row r="471" customFormat="false" ht="15" hidden="false" customHeight="false" outlineLevel="0" collapsed="false">
      <c r="A471" s="39" t="s">
        <v>593</v>
      </c>
      <c r="B471" s="40" t="n">
        <v>45729</v>
      </c>
      <c r="C471" s="39" t="s">
        <v>139</v>
      </c>
      <c r="D471" s="39" t="n">
        <v>1</v>
      </c>
      <c r="E471" s="41" t="n">
        <v>128.59</v>
      </c>
      <c r="F471" s="39" t="s">
        <v>118</v>
      </c>
      <c r="G471" s="39" t="str">
        <f aca="false">VLOOKUP(C471,Products!$A$5:$D$24,2,FALSE())</f>
        <v>Noise-Cancelling Headphones</v>
      </c>
      <c r="H471" s="39" t="str">
        <f aca="false">VLOOKUP(C471,Products!$A$5:$D$24,3,FALSE())</f>
        <v>Electronics</v>
      </c>
      <c r="I471" s="41" t="n">
        <f aca="false">VLOOKUP(C471,Products!$A$5:$D$24,4,FALSE())</f>
        <v>55</v>
      </c>
      <c r="J471" s="42" t="n">
        <f aca="false">DATE(YEAR(B471),MONTH(B471),1)</f>
        <v>45717</v>
      </c>
      <c r="K471" s="41" t="n">
        <f aca="false">D471*E471</f>
        <v>128.59</v>
      </c>
      <c r="L471" s="41" t="n">
        <f aca="false">D471*I471</f>
        <v>55</v>
      </c>
      <c r="M471" s="41" t="n">
        <f aca="false">IFERROR(INDEX(Raw_Expenses!$C$5:$C$2979,MATCH(A471,Raw_Expenses!$A$5:$A$2979,0)),0)</f>
        <v>10.45</v>
      </c>
      <c r="N471" s="41" t="n">
        <f aca="false">L471+M471</f>
        <v>65.45</v>
      </c>
      <c r="O471" s="41" t="n">
        <f aca="false">K471-N471</f>
        <v>63.14</v>
      </c>
      <c r="P471" s="43" t="n">
        <f aca="false">IF(K471=0,0,O471/K471)</f>
        <v>0.491017964071856</v>
      </c>
    </row>
    <row r="472" customFormat="false" ht="15" hidden="false" customHeight="false" outlineLevel="0" collapsed="false">
      <c r="A472" s="39" t="s">
        <v>594</v>
      </c>
      <c r="B472" s="40" t="n">
        <v>45729</v>
      </c>
      <c r="C472" s="39" t="s">
        <v>126</v>
      </c>
      <c r="D472" s="39" t="n">
        <v>3</v>
      </c>
      <c r="E472" s="41" t="n">
        <v>24.1</v>
      </c>
      <c r="F472" s="39" t="s">
        <v>105</v>
      </c>
      <c r="G472" s="39" t="str">
        <f aca="false">VLOOKUP(C472,Products!$A$5:$D$24,2,FALSE())</f>
        <v>Wireless Mouse</v>
      </c>
      <c r="H472" s="39" t="str">
        <f aca="false">VLOOKUP(C472,Products!$A$5:$D$24,3,FALSE())</f>
        <v>Electronics</v>
      </c>
      <c r="I472" s="41" t="n">
        <f aca="false">VLOOKUP(C472,Products!$A$5:$D$24,4,FALSE())</f>
        <v>12</v>
      </c>
      <c r="J472" s="42" t="n">
        <f aca="false">DATE(YEAR(B472),MONTH(B472),1)</f>
        <v>45717</v>
      </c>
      <c r="K472" s="41" t="n">
        <f aca="false">D472*E472</f>
        <v>72.3</v>
      </c>
      <c r="L472" s="41" t="n">
        <f aca="false">D472*I472</f>
        <v>36</v>
      </c>
      <c r="M472" s="41" t="n">
        <f aca="false">IFERROR(INDEX(Raw_Expenses!$C$5:$C$2979,MATCH(A472,Raw_Expenses!$A$5:$A$2979,0)),0)</f>
        <v>4.15</v>
      </c>
      <c r="N472" s="41" t="n">
        <f aca="false">L472+M472</f>
        <v>40.15</v>
      </c>
      <c r="O472" s="41" t="n">
        <f aca="false">K472-N472</f>
        <v>32.15</v>
      </c>
      <c r="P472" s="43" t="n">
        <f aca="false">IF(K472=0,0,O472/K472)</f>
        <v>0.444674965421854</v>
      </c>
    </row>
    <row r="473" customFormat="false" ht="15" hidden="false" customHeight="false" outlineLevel="0" collapsed="false">
      <c r="A473" s="39" t="s">
        <v>595</v>
      </c>
      <c r="B473" s="40" t="n">
        <v>45729</v>
      </c>
      <c r="C473" s="39" t="s">
        <v>128</v>
      </c>
      <c r="D473" s="39" t="n">
        <v>6</v>
      </c>
      <c r="E473" s="41" t="n">
        <v>36.91</v>
      </c>
      <c r="F473" s="39" t="s">
        <v>108</v>
      </c>
      <c r="G473" s="39" t="str">
        <f aca="false">VLOOKUP(C473,Products!$A$5:$D$24,2,FALSE())</f>
        <v>Ergonomic Footrest</v>
      </c>
      <c r="H473" s="39" t="str">
        <f aca="false">VLOOKUP(C473,Products!$A$5:$D$24,3,FALSE())</f>
        <v>Furniture</v>
      </c>
      <c r="I473" s="41" t="n">
        <f aca="false">VLOOKUP(C473,Products!$A$5:$D$24,4,FALSE())</f>
        <v>15</v>
      </c>
      <c r="J473" s="42" t="n">
        <f aca="false">DATE(YEAR(B473),MONTH(B473),1)</f>
        <v>45717</v>
      </c>
      <c r="K473" s="41" t="n">
        <f aca="false">D473*E473</f>
        <v>221.46</v>
      </c>
      <c r="L473" s="41" t="n">
        <f aca="false">D473*I473</f>
        <v>90</v>
      </c>
      <c r="M473" s="41" t="n">
        <f aca="false">IFERROR(INDEX(Raw_Expenses!$C$5:$C$2979,MATCH(A473,Raw_Expenses!$A$5:$A$2979,0)),0)</f>
        <v>11.36</v>
      </c>
      <c r="N473" s="41" t="n">
        <f aca="false">L473+M473</f>
        <v>101.36</v>
      </c>
      <c r="O473" s="41" t="n">
        <f aca="false">K473-N473</f>
        <v>120.1</v>
      </c>
      <c r="P473" s="43" t="n">
        <f aca="false">IF(K473=0,0,O473/K473)</f>
        <v>0.542310123724375</v>
      </c>
    </row>
    <row r="474" customFormat="false" ht="15" hidden="false" customHeight="false" outlineLevel="0" collapsed="false">
      <c r="A474" s="39" t="s">
        <v>596</v>
      </c>
      <c r="B474" s="40" t="n">
        <v>45729</v>
      </c>
      <c r="C474" s="39" t="s">
        <v>139</v>
      </c>
      <c r="D474" s="39" t="n">
        <v>2</v>
      </c>
      <c r="E474" s="41" t="n">
        <v>119.84</v>
      </c>
      <c r="F474" s="39" t="s">
        <v>108</v>
      </c>
      <c r="G474" s="39" t="str">
        <f aca="false">VLOOKUP(C474,Products!$A$5:$D$24,2,FALSE())</f>
        <v>Noise-Cancelling Headphones</v>
      </c>
      <c r="H474" s="39" t="str">
        <f aca="false">VLOOKUP(C474,Products!$A$5:$D$24,3,FALSE())</f>
        <v>Electronics</v>
      </c>
      <c r="I474" s="41" t="n">
        <f aca="false">VLOOKUP(C474,Products!$A$5:$D$24,4,FALSE())</f>
        <v>55</v>
      </c>
      <c r="J474" s="42" t="n">
        <f aca="false">DATE(YEAR(B474),MONTH(B474),1)</f>
        <v>45717</v>
      </c>
      <c r="K474" s="41" t="n">
        <f aca="false">D474*E474</f>
        <v>239.68</v>
      </c>
      <c r="L474" s="41" t="n">
        <f aca="false">D474*I474</f>
        <v>110</v>
      </c>
      <c r="M474" s="41" t="n">
        <f aca="false">IFERROR(INDEX(Raw_Expenses!$C$5:$C$2979,MATCH(A474,Raw_Expenses!$A$5:$A$2979,0)),0)</f>
        <v>19.82</v>
      </c>
      <c r="N474" s="41" t="n">
        <f aca="false">L474+M474</f>
        <v>129.82</v>
      </c>
      <c r="O474" s="41" t="n">
        <f aca="false">K474-N474</f>
        <v>109.86</v>
      </c>
      <c r="P474" s="43" t="n">
        <f aca="false">IF(K474=0,0,O474/K474)</f>
        <v>0.458361148197597</v>
      </c>
    </row>
    <row r="475" customFormat="false" ht="15" hidden="false" customHeight="false" outlineLevel="0" collapsed="false">
      <c r="A475" s="39" t="s">
        <v>597</v>
      </c>
      <c r="B475" s="40" t="n">
        <v>45729</v>
      </c>
      <c r="C475" s="39" t="s">
        <v>133</v>
      </c>
      <c r="D475" s="39" t="n">
        <v>1</v>
      </c>
      <c r="E475" s="41" t="n">
        <v>8.41</v>
      </c>
      <c r="F475" s="39" t="s">
        <v>118</v>
      </c>
      <c r="G475" s="39" t="str">
        <f aca="false">VLOOKUP(C475,Products!$A$5:$D$24,2,FALSE())</f>
        <v>Printer Paper Ream</v>
      </c>
      <c r="H475" s="39" t="str">
        <f aca="false">VLOOKUP(C475,Products!$A$5:$D$24,3,FALSE())</f>
        <v>Stationery</v>
      </c>
      <c r="I475" s="41" t="n">
        <f aca="false">VLOOKUP(C475,Products!$A$5:$D$24,4,FALSE())</f>
        <v>4</v>
      </c>
      <c r="J475" s="42" t="n">
        <f aca="false">DATE(YEAR(B475),MONTH(B475),1)</f>
        <v>45717</v>
      </c>
      <c r="K475" s="41" t="n">
        <f aca="false">D475*E475</f>
        <v>8.41</v>
      </c>
      <c r="L475" s="41" t="n">
        <f aca="false">D475*I475</f>
        <v>4</v>
      </c>
      <c r="M475" s="41" t="n">
        <f aca="false">IFERROR(INDEX(Raw_Expenses!$C$5:$C$2979,MATCH(A475,Raw_Expenses!$A$5:$A$2979,0)),0)</f>
        <v>0.67</v>
      </c>
      <c r="N475" s="41" t="n">
        <f aca="false">L475+M475</f>
        <v>4.67</v>
      </c>
      <c r="O475" s="41" t="n">
        <f aca="false">K475-N475</f>
        <v>3.74</v>
      </c>
      <c r="P475" s="43" t="n">
        <f aca="false">IF(K475=0,0,O475/K475)</f>
        <v>0.444708680142687</v>
      </c>
    </row>
    <row r="476" customFormat="false" ht="15" hidden="false" customHeight="false" outlineLevel="0" collapsed="false">
      <c r="A476" s="39" t="s">
        <v>598</v>
      </c>
      <c r="B476" s="40" t="n">
        <v>45729</v>
      </c>
      <c r="C476" s="39" t="s">
        <v>144</v>
      </c>
      <c r="D476" s="39" t="n">
        <v>4</v>
      </c>
      <c r="E476" s="41" t="n">
        <v>54.65</v>
      </c>
      <c r="F476" s="39" t="s">
        <v>108</v>
      </c>
      <c r="G476" s="39" t="str">
        <f aca="false">VLOOKUP(C476,Products!$A$5:$D$24,2,FALSE())</f>
        <v>Whiteboard</v>
      </c>
      <c r="H476" s="39" t="str">
        <f aca="false">VLOOKUP(C476,Products!$A$5:$D$24,3,FALSE())</f>
        <v>Furniture</v>
      </c>
      <c r="I476" s="41" t="n">
        <f aca="false">VLOOKUP(C476,Products!$A$5:$D$24,4,FALSE())</f>
        <v>28</v>
      </c>
      <c r="J476" s="42" t="n">
        <f aca="false">DATE(YEAR(B476),MONTH(B476),1)</f>
        <v>45717</v>
      </c>
      <c r="K476" s="41" t="n">
        <f aca="false">D476*E476</f>
        <v>218.6</v>
      </c>
      <c r="L476" s="41" t="n">
        <f aca="false">D476*I476</f>
        <v>112</v>
      </c>
      <c r="M476" s="41" t="n">
        <f aca="false">IFERROR(INDEX(Raw_Expenses!$C$5:$C$2979,MATCH(A476,Raw_Expenses!$A$5:$A$2979,0)),0)</f>
        <v>17.78</v>
      </c>
      <c r="N476" s="41" t="n">
        <f aca="false">L476+M476</f>
        <v>129.78</v>
      </c>
      <c r="O476" s="41" t="n">
        <f aca="false">K476-N476</f>
        <v>88.82</v>
      </c>
      <c r="P476" s="43" t="n">
        <f aca="false">IF(K476=0,0,O476/K476)</f>
        <v>0.406312900274474</v>
      </c>
    </row>
    <row r="477" customFormat="false" ht="15" hidden="false" customHeight="false" outlineLevel="0" collapsed="false">
      <c r="A477" s="39" t="s">
        <v>599</v>
      </c>
      <c r="B477" s="40" t="n">
        <v>45729</v>
      </c>
      <c r="C477" s="39" t="s">
        <v>126</v>
      </c>
      <c r="D477" s="39" t="n">
        <v>1</v>
      </c>
      <c r="E477" s="41" t="n">
        <v>23.97</v>
      </c>
      <c r="F477" s="39" t="s">
        <v>105</v>
      </c>
      <c r="G477" s="39" t="str">
        <f aca="false">VLOOKUP(C477,Products!$A$5:$D$24,2,FALSE())</f>
        <v>Wireless Mouse</v>
      </c>
      <c r="H477" s="39" t="str">
        <f aca="false">VLOOKUP(C477,Products!$A$5:$D$24,3,FALSE())</f>
        <v>Electronics</v>
      </c>
      <c r="I477" s="41" t="n">
        <f aca="false">VLOOKUP(C477,Products!$A$5:$D$24,4,FALSE())</f>
        <v>12</v>
      </c>
      <c r="J477" s="42" t="n">
        <f aca="false">DATE(YEAR(B477),MONTH(B477),1)</f>
        <v>45717</v>
      </c>
      <c r="K477" s="41" t="n">
        <f aca="false">D477*E477</f>
        <v>23.97</v>
      </c>
      <c r="L477" s="41" t="n">
        <f aca="false">D477*I477</f>
        <v>12</v>
      </c>
      <c r="M477" s="41" t="n">
        <f aca="false">IFERROR(INDEX(Raw_Expenses!$C$5:$C$2979,MATCH(A477,Raw_Expenses!$A$5:$A$2979,0)),0)</f>
        <v>1.44</v>
      </c>
      <c r="N477" s="41" t="n">
        <f aca="false">L477+M477</f>
        <v>13.44</v>
      </c>
      <c r="O477" s="41" t="n">
        <f aca="false">K477-N477</f>
        <v>10.53</v>
      </c>
      <c r="P477" s="43" t="n">
        <f aca="false">IF(K477=0,0,O477/K477)</f>
        <v>0.439299123904881</v>
      </c>
    </row>
    <row r="478" customFormat="false" ht="15" hidden="false" customHeight="false" outlineLevel="0" collapsed="false">
      <c r="A478" s="39" t="s">
        <v>600</v>
      </c>
      <c r="B478" s="40" t="n">
        <v>45729</v>
      </c>
      <c r="C478" s="39" t="s">
        <v>136</v>
      </c>
      <c r="D478" s="39" t="n">
        <v>2</v>
      </c>
      <c r="E478" s="41" t="n">
        <v>78.46</v>
      </c>
      <c r="F478" s="39" t="s">
        <v>118</v>
      </c>
      <c r="G478" s="39" t="str">
        <f aca="false">VLOOKUP(C478,Products!$A$5:$D$24,2,FALSE())</f>
        <v>Mechanical Keyboard</v>
      </c>
      <c r="H478" s="39" t="str">
        <f aca="false">VLOOKUP(C478,Products!$A$5:$D$24,3,FALSE())</f>
        <v>Electronics</v>
      </c>
      <c r="I478" s="41" t="n">
        <f aca="false">VLOOKUP(C478,Products!$A$5:$D$24,4,FALSE())</f>
        <v>38</v>
      </c>
      <c r="J478" s="42" t="n">
        <f aca="false">DATE(YEAR(B478),MONTH(B478),1)</f>
        <v>45717</v>
      </c>
      <c r="K478" s="41" t="n">
        <f aca="false">D478*E478</f>
        <v>156.92</v>
      </c>
      <c r="L478" s="41" t="n">
        <f aca="false">D478*I478</f>
        <v>76</v>
      </c>
      <c r="M478" s="41" t="n">
        <f aca="false">IFERROR(INDEX(Raw_Expenses!$C$5:$C$2979,MATCH(A478,Raw_Expenses!$A$5:$A$2979,0)),0)</f>
        <v>10.52</v>
      </c>
      <c r="N478" s="41" t="n">
        <f aca="false">L478+M478</f>
        <v>86.52</v>
      </c>
      <c r="O478" s="41" t="n">
        <f aca="false">K478-N478</f>
        <v>70.4</v>
      </c>
      <c r="P478" s="43" t="n">
        <f aca="false">IF(K478=0,0,O478/K478)</f>
        <v>0.448636247769564</v>
      </c>
    </row>
    <row r="479" customFormat="false" ht="15" hidden="false" customHeight="false" outlineLevel="0" collapsed="false">
      <c r="A479" s="39" t="s">
        <v>601</v>
      </c>
      <c r="B479" s="40" t="n">
        <v>45729</v>
      </c>
      <c r="C479" s="39" t="s">
        <v>112</v>
      </c>
      <c r="D479" s="39" t="n">
        <v>3</v>
      </c>
      <c r="E479" s="41" t="n">
        <v>52.04</v>
      </c>
      <c r="F479" s="39" t="s">
        <v>115</v>
      </c>
      <c r="G479" s="39" t="str">
        <f aca="false">VLOOKUP(C479,Products!$A$5:$D$24,2,FALSE())</f>
        <v>HD Webcam</v>
      </c>
      <c r="H479" s="39" t="str">
        <f aca="false">VLOOKUP(C479,Products!$A$5:$D$24,3,FALSE())</f>
        <v>Electronics</v>
      </c>
      <c r="I479" s="41" t="n">
        <f aca="false">VLOOKUP(C479,Products!$A$5:$D$24,4,FALSE())</f>
        <v>22</v>
      </c>
      <c r="J479" s="42" t="n">
        <f aca="false">DATE(YEAR(B479),MONTH(B479),1)</f>
        <v>45717</v>
      </c>
      <c r="K479" s="41" t="n">
        <f aca="false">D479*E479</f>
        <v>156.12</v>
      </c>
      <c r="L479" s="41" t="n">
        <f aca="false">D479*I479</f>
        <v>66</v>
      </c>
      <c r="M479" s="41" t="n">
        <f aca="false">IFERROR(INDEX(Raw_Expenses!$C$5:$C$2979,MATCH(A479,Raw_Expenses!$A$5:$A$2979,0)),0)</f>
        <v>7.77</v>
      </c>
      <c r="N479" s="41" t="n">
        <f aca="false">L479+M479</f>
        <v>73.77</v>
      </c>
      <c r="O479" s="41" t="n">
        <f aca="false">K479-N479</f>
        <v>82.35</v>
      </c>
      <c r="P479" s="43" t="n">
        <f aca="false">IF(K479=0,0,O479/K479)</f>
        <v>0.527478862413528</v>
      </c>
    </row>
    <row r="480" customFormat="false" ht="15" hidden="false" customHeight="false" outlineLevel="0" collapsed="false">
      <c r="A480" s="39" t="s">
        <v>602</v>
      </c>
      <c r="B480" s="40" t="n">
        <v>45729</v>
      </c>
      <c r="C480" s="39" t="s">
        <v>130</v>
      </c>
      <c r="D480" s="39" t="n">
        <v>3</v>
      </c>
      <c r="E480" s="41" t="n">
        <v>8.6</v>
      </c>
      <c r="F480" s="39" t="s">
        <v>108</v>
      </c>
      <c r="G480" s="39" t="str">
        <f aca="false">VLOOKUP(C480,Products!$A$5:$D$24,2,FALSE())</f>
        <v>Notebook Set</v>
      </c>
      <c r="H480" s="39" t="str">
        <f aca="false">VLOOKUP(C480,Products!$A$5:$D$24,3,FALSE())</f>
        <v>Stationery</v>
      </c>
      <c r="I480" s="41" t="n">
        <f aca="false">VLOOKUP(C480,Products!$A$5:$D$24,4,FALSE())</f>
        <v>3</v>
      </c>
      <c r="J480" s="42" t="n">
        <f aca="false">DATE(YEAR(B480),MONTH(B480),1)</f>
        <v>45717</v>
      </c>
      <c r="K480" s="41" t="n">
        <f aca="false">D480*E480</f>
        <v>25.8</v>
      </c>
      <c r="L480" s="41" t="n">
        <f aca="false">D480*I480</f>
        <v>9</v>
      </c>
      <c r="M480" s="41" t="n">
        <f aca="false">IFERROR(INDEX(Raw_Expenses!$C$5:$C$2979,MATCH(A480,Raw_Expenses!$A$5:$A$2979,0)),0)</f>
        <v>1.3</v>
      </c>
      <c r="N480" s="41" t="n">
        <f aca="false">L480+M480</f>
        <v>10.3</v>
      </c>
      <c r="O480" s="41" t="n">
        <f aca="false">K480-N480</f>
        <v>15.5</v>
      </c>
      <c r="P480" s="43" t="n">
        <f aca="false">IF(K480=0,0,O480/K480)</f>
        <v>0.60077519379845</v>
      </c>
    </row>
    <row r="481" customFormat="false" ht="15" hidden="false" customHeight="false" outlineLevel="0" collapsed="false">
      <c r="A481" s="39" t="s">
        <v>603</v>
      </c>
      <c r="B481" s="40" t="n">
        <v>45730</v>
      </c>
      <c r="C481" s="39" t="s">
        <v>130</v>
      </c>
      <c r="D481" s="39" t="n">
        <v>5</v>
      </c>
      <c r="E481" s="41" t="n">
        <v>8.52</v>
      </c>
      <c r="F481" s="39" t="s">
        <v>115</v>
      </c>
      <c r="G481" s="39" t="str">
        <f aca="false">VLOOKUP(C481,Products!$A$5:$D$24,2,FALSE())</f>
        <v>Notebook Set</v>
      </c>
      <c r="H481" s="39" t="str">
        <f aca="false">VLOOKUP(C481,Products!$A$5:$D$24,3,FALSE())</f>
        <v>Stationery</v>
      </c>
      <c r="I481" s="41" t="n">
        <f aca="false">VLOOKUP(C481,Products!$A$5:$D$24,4,FALSE())</f>
        <v>3</v>
      </c>
      <c r="J481" s="42" t="n">
        <f aca="false">DATE(YEAR(B481),MONTH(B481),1)</f>
        <v>45717</v>
      </c>
      <c r="K481" s="41" t="n">
        <f aca="false">D481*E481</f>
        <v>42.6</v>
      </c>
      <c r="L481" s="41" t="n">
        <f aca="false">D481*I481</f>
        <v>15</v>
      </c>
      <c r="M481" s="41" t="n">
        <f aca="false">IFERROR(INDEX(Raw_Expenses!$C$5:$C$2979,MATCH(A481,Raw_Expenses!$A$5:$A$2979,0)),0)</f>
        <v>3.02</v>
      </c>
      <c r="N481" s="41" t="n">
        <f aca="false">L481+M481</f>
        <v>18.02</v>
      </c>
      <c r="O481" s="41" t="n">
        <f aca="false">K481-N481</f>
        <v>24.58</v>
      </c>
      <c r="P481" s="43" t="n">
        <f aca="false">IF(K481=0,0,O481/K481)</f>
        <v>0.576995305164319</v>
      </c>
    </row>
    <row r="482" customFormat="false" ht="15" hidden="false" customHeight="false" outlineLevel="0" collapsed="false">
      <c r="A482" s="39" t="s">
        <v>604</v>
      </c>
      <c r="B482" s="40" t="n">
        <v>45730</v>
      </c>
      <c r="C482" s="39" t="s">
        <v>104</v>
      </c>
      <c r="D482" s="39" t="n">
        <v>1</v>
      </c>
      <c r="E482" s="41" t="n">
        <v>14.85</v>
      </c>
      <c r="F482" s="39" t="s">
        <v>108</v>
      </c>
      <c r="G482" s="39" t="str">
        <f aca="false">VLOOKUP(C482,Products!$A$5:$D$24,2,FALSE())</f>
        <v>Water Bottle</v>
      </c>
      <c r="H482" s="39" t="str">
        <f aca="false">VLOOKUP(C482,Products!$A$5:$D$24,3,FALSE())</f>
        <v>Accessories</v>
      </c>
      <c r="I482" s="41" t="n">
        <f aca="false">VLOOKUP(C482,Products!$A$5:$D$24,4,FALSE())</f>
        <v>5</v>
      </c>
      <c r="J482" s="42" t="n">
        <f aca="false">DATE(YEAR(B482),MONTH(B482),1)</f>
        <v>45717</v>
      </c>
      <c r="K482" s="41" t="n">
        <f aca="false">D482*E482</f>
        <v>14.85</v>
      </c>
      <c r="L482" s="41" t="n">
        <f aca="false">D482*I482</f>
        <v>5</v>
      </c>
      <c r="M482" s="41" t="n">
        <f aca="false">IFERROR(INDEX(Raw_Expenses!$C$5:$C$2979,MATCH(A482,Raw_Expenses!$A$5:$A$2979,0)),0)</f>
        <v>1.27</v>
      </c>
      <c r="N482" s="41" t="n">
        <f aca="false">L482+M482</f>
        <v>6.27</v>
      </c>
      <c r="O482" s="41" t="n">
        <f aca="false">K482-N482</f>
        <v>8.58</v>
      </c>
      <c r="P482" s="43" t="n">
        <f aca="false">IF(K482=0,0,O482/K482)</f>
        <v>0.577777777777778</v>
      </c>
    </row>
    <row r="483" customFormat="false" ht="15" hidden="false" customHeight="false" outlineLevel="0" collapsed="false">
      <c r="A483" s="39" t="s">
        <v>605</v>
      </c>
      <c r="B483" s="40" t="n">
        <v>45730</v>
      </c>
      <c r="C483" s="39" t="s">
        <v>117</v>
      </c>
      <c r="D483" s="39" t="n">
        <v>1</v>
      </c>
      <c r="E483" s="41" t="n">
        <v>31.15</v>
      </c>
      <c r="F483" s="39" t="s">
        <v>115</v>
      </c>
      <c r="G483" s="39" t="str">
        <f aca="false">VLOOKUP(C483,Products!$A$5:$D$24,2,FALSE())</f>
        <v>Desk Lamp</v>
      </c>
      <c r="H483" s="39" t="str">
        <f aca="false">VLOOKUP(C483,Products!$A$5:$D$24,3,FALSE())</f>
        <v>Furniture</v>
      </c>
      <c r="I483" s="41" t="n">
        <f aca="false">VLOOKUP(C483,Products!$A$5:$D$24,4,FALSE())</f>
        <v>13</v>
      </c>
      <c r="J483" s="42" t="n">
        <f aca="false">DATE(YEAR(B483),MONTH(B483),1)</f>
        <v>45717</v>
      </c>
      <c r="K483" s="41" t="n">
        <f aca="false">D483*E483</f>
        <v>31.15</v>
      </c>
      <c r="L483" s="41" t="n">
        <f aca="false">D483*I483</f>
        <v>13</v>
      </c>
      <c r="M483" s="41" t="n">
        <f aca="false">IFERROR(INDEX(Raw_Expenses!$C$5:$C$2979,MATCH(A483,Raw_Expenses!$A$5:$A$2979,0)),0)</f>
        <v>2.28</v>
      </c>
      <c r="N483" s="41" t="n">
        <f aca="false">L483+M483</f>
        <v>15.28</v>
      </c>
      <c r="O483" s="41" t="n">
        <f aca="false">K483-N483</f>
        <v>15.87</v>
      </c>
      <c r="P483" s="43" t="n">
        <f aca="false">IF(K483=0,0,O483/K483)</f>
        <v>0.509470304975923</v>
      </c>
    </row>
    <row r="484" customFormat="false" ht="15" hidden="false" customHeight="false" outlineLevel="0" collapsed="false">
      <c r="A484" s="39" t="s">
        <v>606</v>
      </c>
      <c r="B484" s="40" t="n">
        <v>45730</v>
      </c>
      <c r="C484" s="39" t="s">
        <v>110</v>
      </c>
      <c r="D484" s="39" t="n">
        <v>2</v>
      </c>
      <c r="E484" s="41" t="n">
        <v>13.99</v>
      </c>
      <c r="F484" s="39" t="s">
        <v>108</v>
      </c>
      <c r="G484" s="39" t="str">
        <f aca="false">VLOOKUP(C484,Products!$A$5:$D$24,2,FALSE())</f>
        <v>Phone Stand</v>
      </c>
      <c r="H484" s="39" t="str">
        <f aca="false">VLOOKUP(C484,Products!$A$5:$D$24,3,FALSE())</f>
        <v>Accessories</v>
      </c>
      <c r="I484" s="41" t="n">
        <f aca="false">VLOOKUP(C484,Products!$A$5:$D$24,4,FALSE())</f>
        <v>4</v>
      </c>
      <c r="J484" s="42" t="n">
        <f aca="false">DATE(YEAR(B484),MONTH(B484),1)</f>
        <v>45717</v>
      </c>
      <c r="K484" s="41" t="n">
        <f aca="false">D484*E484</f>
        <v>27.98</v>
      </c>
      <c r="L484" s="41" t="n">
        <f aca="false">D484*I484</f>
        <v>8</v>
      </c>
      <c r="M484" s="41" t="n">
        <f aca="false">IFERROR(INDEX(Raw_Expenses!$C$5:$C$2979,MATCH(A484,Raw_Expenses!$A$5:$A$2979,0)),0)</f>
        <v>1.41</v>
      </c>
      <c r="N484" s="41" t="n">
        <f aca="false">L484+M484</f>
        <v>9.41</v>
      </c>
      <c r="O484" s="41" t="n">
        <f aca="false">K484-N484</f>
        <v>18.57</v>
      </c>
      <c r="P484" s="43" t="n">
        <f aca="false">IF(K484=0,0,O484/K484)</f>
        <v>0.663688348820586</v>
      </c>
    </row>
    <row r="485" customFormat="false" ht="15" hidden="false" customHeight="false" outlineLevel="0" collapsed="false">
      <c r="A485" s="39" t="s">
        <v>607</v>
      </c>
      <c r="B485" s="40" t="n">
        <v>45730</v>
      </c>
      <c r="C485" s="39" t="s">
        <v>104</v>
      </c>
      <c r="D485" s="39" t="n">
        <v>2</v>
      </c>
      <c r="E485" s="41" t="n">
        <v>15.07</v>
      </c>
      <c r="F485" s="39" t="s">
        <v>105</v>
      </c>
      <c r="G485" s="39" t="str">
        <f aca="false">VLOOKUP(C485,Products!$A$5:$D$24,2,FALSE())</f>
        <v>Water Bottle</v>
      </c>
      <c r="H485" s="39" t="str">
        <f aca="false">VLOOKUP(C485,Products!$A$5:$D$24,3,FALSE())</f>
        <v>Accessories</v>
      </c>
      <c r="I485" s="41" t="n">
        <f aca="false">VLOOKUP(C485,Products!$A$5:$D$24,4,FALSE())</f>
        <v>5</v>
      </c>
      <c r="J485" s="42" t="n">
        <f aca="false">DATE(YEAR(B485),MONTH(B485),1)</f>
        <v>45717</v>
      </c>
      <c r="K485" s="41" t="n">
        <f aca="false">D485*E485</f>
        <v>30.14</v>
      </c>
      <c r="L485" s="41" t="n">
        <f aca="false">D485*I485</f>
        <v>10</v>
      </c>
      <c r="M485" s="41" t="n">
        <f aca="false">IFERROR(INDEX(Raw_Expenses!$C$5:$C$2979,MATCH(A485,Raw_Expenses!$A$5:$A$2979,0)),0)</f>
        <v>2.25</v>
      </c>
      <c r="N485" s="41" t="n">
        <f aca="false">L485+M485</f>
        <v>12.25</v>
      </c>
      <c r="O485" s="41" t="n">
        <f aca="false">K485-N485</f>
        <v>17.89</v>
      </c>
      <c r="P485" s="43" t="n">
        <f aca="false">IF(K485=0,0,O485/K485)</f>
        <v>0.593563370935634</v>
      </c>
    </row>
    <row r="486" customFormat="false" ht="15" hidden="false" customHeight="false" outlineLevel="0" collapsed="false">
      <c r="A486" s="39" t="s">
        <v>608</v>
      </c>
      <c r="B486" s="40" t="n">
        <v>45730</v>
      </c>
      <c r="C486" s="39" t="s">
        <v>162</v>
      </c>
      <c r="D486" s="39" t="n">
        <v>2</v>
      </c>
      <c r="E486" s="41" t="n">
        <v>65.86</v>
      </c>
      <c r="F486" s="39" t="s">
        <v>108</v>
      </c>
      <c r="G486" s="39" t="str">
        <f aca="false">VLOOKUP(C486,Products!$A$5:$D$24,2,FALSE())</f>
        <v>Bluetooth Speaker</v>
      </c>
      <c r="H486" s="39" t="str">
        <f aca="false">VLOOKUP(C486,Products!$A$5:$D$24,3,FALSE())</f>
        <v>Electronics</v>
      </c>
      <c r="I486" s="41" t="n">
        <f aca="false">VLOOKUP(C486,Products!$A$5:$D$24,4,FALSE())</f>
        <v>28</v>
      </c>
      <c r="J486" s="42" t="n">
        <f aca="false">DATE(YEAR(B486),MONTH(B486),1)</f>
        <v>45717</v>
      </c>
      <c r="K486" s="41" t="n">
        <f aca="false">D486*E486</f>
        <v>131.72</v>
      </c>
      <c r="L486" s="41" t="n">
        <f aca="false">D486*I486</f>
        <v>56</v>
      </c>
      <c r="M486" s="41" t="n">
        <f aca="false">IFERROR(INDEX(Raw_Expenses!$C$5:$C$2979,MATCH(A486,Raw_Expenses!$A$5:$A$2979,0)),0)</f>
        <v>9.54</v>
      </c>
      <c r="N486" s="41" t="n">
        <f aca="false">L486+M486</f>
        <v>65.54</v>
      </c>
      <c r="O486" s="41" t="n">
        <f aca="false">K486-N486</f>
        <v>66.18</v>
      </c>
      <c r="P486" s="43" t="n">
        <f aca="false">IF(K486=0,0,O486/K486)</f>
        <v>0.502429395687823</v>
      </c>
    </row>
    <row r="487" customFormat="false" ht="15" hidden="false" customHeight="false" outlineLevel="0" collapsed="false">
      <c r="A487" s="39" t="s">
        <v>609</v>
      </c>
      <c r="B487" s="40" t="n">
        <v>45730</v>
      </c>
      <c r="C487" s="39" t="s">
        <v>139</v>
      </c>
      <c r="D487" s="39" t="n">
        <v>4</v>
      </c>
      <c r="E487" s="41" t="n">
        <v>121.91</v>
      </c>
      <c r="F487" s="39" t="s">
        <v>108</v>
      </c>
      <c r="G487" s="39" t="str">
        <f aca="false">VLOOKUP(C487,Products!$A$5:$D$24,2,FALSE())</f>
        <v>Noise-Cancelling Headphones</v>
      </c>
      <c r="H487" s="39" t="str">
        <f aca="false">VLOOKUP(C487,Products!$A$5:$D$24,3,FALSE())</f>
        <v>Electronics</v>
      </c>
      <c r="I487" s="41" t="n">
        <f aca="false">VLOOKUP(C487,Products!$A$5:$D$24,4,FALSE())</f>
        <v>55</v>
      </c>
      <c r="J487" s="42" t="n">
        <f aca="false">DATE(YEAR(B487),MONTH(B487),1)</f>
        <v>45717</v>
      </c>
      <c r="K487" s="41" t="n">
        <f aca="false">D487*E487</f>
        <v>487.64</v>
      </c>
      <c r="L487" s="41" t="n">
        <f aca="false">D487*I487</f>
        <v>220</v>
      </c>
      <c r="M487" s="41" t="n">
        <f aca="false">IFERROR(INDEX(Raw_Expenses!$C$5:$C$2979,MATCH(A487,Raw_Expenses!$A$5:$A$2979,0)),0)</f>
        <v>42.6</v>
      </c>
      <c r="N487" s="41" t="n">
        <f aca="false">L487+M487</f>
        <v>262.6</v>
      </c>
      <c r="O487" s="41" t="n">
        <f aca="false">K487-N487</f>
        <v>225.04</v>
      </c>
      <c r="P487" s="43" t="n">
        <f aca="false">IF(K487=0,0,O487/K487)</f>
        <v>0.461487982938233</v>
      </c>
    </row>
    <row r="488" customFormat="false" ht="15" hidden="false" customHeight="false" outlineLevel="0" collapsed="false">
      <c r="A488" s="39" t="s">
        <v>610</v>
      </c>
      <c r="B488" s="40" t="n">
        <v>45731</v>
      </c>
      <c r="C488" s="39" t="s">
        <v>117</v>
      </c>
      <c r="D488" s="39" t="n">
        <v>6</v>
      </c>
      <c r="E488" s="41" t="n">
        <v>31.46</v>
      </c>
      <c r="F488" s="39" t="s">
        <v>105</v>
      </c>
      <c r="G488" s="39" t="str">
        <f aca="false">VLOOKUP(C488,Products!$A$5:$D$24,2,FALSE())</f>
        <v>Desk Lamp</v>
      </c>
      <c r="H488" s="39" t="str">
        <f aca="false">VLOOKUP(C488,Products!$A$5:$D$24,3,FALSE())</f>
        <v>Furniture</v>
      </c>
      <c r="I488" s="41" t="n">
        <f aca="false">VLOOKUP(C488,Products!$A$5:$D$24,4,FALSE())</f>
        <v>13</v>
      </c>
      <c r="J488" s="42" t="n">
        <f aca="false">DATE(YEAR(B488),MONTH(B488),1)</f>
        <v>45717</v>
      </c>
      <c r="K488" s="41" t="n">
        <f aca="false">D488*E488</f>
        <v>188.76</v>
      </c>
      <c r="L488" s="41" t="n">
        <f aca="false">D488*I488</f>
        <v>78</v>
      </c>
      <c r="M488" s="41" t="n">
        <f aca="false">IFERROR(INDEX(Raw_Expenses!$C$5:$C$2979,MATCH(A488,Raw_Expenses!$A$5:$A$2979,0)),0)</f>
        <v>9.87</v>
      </c>
      <c r="N488" s="41" t="n">
        <f aca="false">L488+M488</f>
        <v>87.87</v>
      </c>
      <c r="O488" s="41" t="n">
        <f aca="false">K488-N488</f>
        <v>100.89</v>
      </c>
      <c r="P488" s="43" t="n">
        <f aca="false">IF(K488=0,0,O488/K488)</f>
        <v>0.534488239033694</v>
      </c>
    </row>
    <row r="489" customFormat="false" ht="15" hidden="false" customHeight="false" outlineLevel="0" collapsed="false">
      <c r="A489" s="39" t="s">
        <v>611</v>
      </c>
      <c r="B489" s="40" t="n">
        <v>45731</v>
      </c>
      <c r="C489" s="39" t="s">
        <v>305</v>
      </c>
      <c r="D489" s="39" t="n">
        <v>2</v>
      </c>
      <c r="E489" s="41" t="n">
        <v>327.6</v>
      </c>
      <c r="F489" s="39" t="s">
        <v>118</v>
      </c>
      <c r="G489" s="39" t="str">
        <f aca="false">VLOOKUP(C489,Products!$A$5:$D$24,2,FALSE())</f>
        <v>Standing Desk</v>
      </c>
      <c r="H489" s="39" t="str">
        <f aca="false">VLOOKUP(C489,Products!$A$5:$D$24,3,FALSE())</f>
        <v>Furniture</v>
      </c>
      <c r="I489" s="41" t="n">
        <f aca="false">VLOOKUP(C489,Products!$A$5:$D$24,4,FALSE())</f>
        <v>160</v>
      </c>
      <c r="J489" s="42" t="n">
        <f aca="false">DATE(YEAR(B489),MONTH(B489),1)</f>
        <v>45717</v>
      </c>
      <c r="K489" s="41" t="n">
        <f aca="false">D489*E489</f>
        <v>655.2</v>
      </c>
      <c r="L489" s="41" t="n">
        <f aca="false">D489*I489</f>
        <v>320</v>
      </c>
      <c r="M489" s="41" t="n">
        <f aca="false">IFERROR(INDEX(Raw_Expenses!$C$5:$C$2979,MATCH(A489,Raw_Expenses!$A$5:$A$2979,0)),0)</f>
        <v>58.84</v>
      </c>
      <c r="N489" s="41" t="n">
        <f aca="false">L489+M489</f>
        <v>378.84</v>
      </c>
      <c r="O489" s="41" t="n">
        <f aca="false">K489-N489</f>
        <v>276.36</v>
      </c>
      <c r="P489" s="43" t="n">
        <f aca="false">IF(K489=0,0,O489/K489)</f>
        <v>0.421794871794872</v>
      </c>
    </row>
    <row r="490" customFormat="false" ht="15" hidden="false" customHeight="false" outlineLevel="0" collapsed="false">
      <c r="A490" s="39" t="s">
        <v>612</v>
      </c>
      <c r="B490" s="40" t="n">
        <v>45731</v>
      </c>
      <c r="C490" s="39" t="s">
        <v>133</v>
      </c>
      <c r="D490" s="39" t="n">
        <v>5</v>
      </c>
      <c r="E490" s="41" t="n">
        <v>8.66</v>
      </c>
      <c r="F490" s="39" t="s">
        <v>118</v>
      </c>
      <c r="G490" s="39" t="str">
        <f aca="false">VLOOKUP(C490,Products!$A$5:$D$24,2,FALSE())</f>
        <v>Printer Paper Ream</v>
      </c>
      <c r="H490" s="39" t="str">
        <f aca="false">VLOOKUP(C490,Products!$A$5:$D$24,3,FALSE())</f>
        <v>Stationery</v>
      </c>
      <c r="I490" s="41" t="n">
        <f aca="false">VLOOKUP(C490,Products!$A$5:$D$24,4,FALSE())</f>
        <v>4</v>
      </c>
      <c r="J490" s="42" t="n">
        <f aca="false">DATE(YEAR(B490),MONTH(B490),1)</f>
        <v>45717</v>
      </c>
      <c r="K490" s="41" t="n">
        <f aca="false">D490*E490</f>
        <v>43.3</v>
      </c>
      <c r="L490" s="41" t="n">
        <f aca="false">D490*I490</f>
        <v>20</v>
      </c>
      <c r="M490" s="41" t="n">
        <f aca="false">IFERROR(INDEX(Raw_Expenses!$C$5:$C$2979,MATCH(A490,Raw_Expenses!$A$5:$A$2979,0)),0)</f>
        <v>2.35</v>
      </c>
      <c r="N490" s="41" t="n">
        <f aca="false">L490+M490</f>
        <v>22.35</v>
      </c>
      <c r="O490" s="41" t="n">
        <f aca="false">K490-N490</f>
        <v>20.95</v>
      </c>
      <c r="P490" s="43" t="n">
        <f aca="false">IF(K490=0,0,O490/K490)</f>
        <v>0.483833718244804</v>
      </c>
    </row>
    <row r="491" customFormat="false" ht="15" hidden="false" customHeight="false" outlineLevel="0" collapsed="false">
      <c r="A491" s="39" t="s">
        <v>613</v>
      </c>
      <c r="B491" s="40" t="n">
        <v>45731</v>
      </c>
      <c r="C491" s="39" t="s">
        <v>126</v>
      </c>
      <c r="D491" s="39" t="n">
        <v>6</v>
      </c>
      <c r="E491" s="41" t="n">
        <v>23.11</v>
      </c>
      <c r="F491" s="39" t="s">
        <v>105</v>
      </c>
      <c r="G491" s="39" t="str">
        <f aca="false">VLOOKUP(C491,Products!$A$5:$D$24,2,FALSE())</f>
        <v>Wireless Mouse</v>
      </c>
      <c r="H491" s="39" t="str">
        <f aca="false">VLOOKUP(C491,Products!$A$5:$D$24,3,FALSE())</f>
        <v>Electronics</v>
      </c>
      <c r="I491" s="41" t="n">
        <f aca="false">VLOOKUP(C491,Products!$A$5:$D$24,4,FALSE())</f>
        <v>12</v>
      </c>
      <c r="J491" s="42" t="n">
        <f aca="false">DATE(YEAR(B491),MONTH(B491),1)</f>
        <v>45717</v>
      </c>
      <c r="K491" s="41" t="n">
        <f aca="false">D491*E491</f>
        <v>138.66</v>
      </c>
      <c r="L491" s="41" t="n">
        <f aca="false">D491*I491</f>
        <v>72</v>
      </c>
      <c r="M491" s="41" t="n">
        <f aca="false">IFERROR(INDEX(Raw_Expenses!$C$5:$C$2979,MATCH(A491,Raw_Expenses!$A$5:$A$2979,0)),0)</f>
        <v>11.3</v>
      </c>
      <c r="N491" s="41" t="n">
        <f aca="false">L491+M491</f>
        <v>83.3</v>
      </c>
      <c r="O491" s="41" t="n">
        <f aca="false">K491-N491</f>
        <v>55.36</v>
      </c>
      <c r="P491" s="43" t="n">
        <f aca="false">IF(K491=0,0,O491/K491)</f>
        <v>0.399249963940574</v>
      </c>
    </row>
    <row r="492" customFormat="false" ht="15" hidden="false" customHeight="false" outlineLevel="0" collapsed="false">
      <c r="A492" s="39" t="s">
        <v>614</v>
      </c>
      <c r="B492" s="40" t="n">
        <v>45731</v>
      </c>
      <c r="C492" s="39" t="s">
        <v>183</v>
      </c>
      <c r="D492" s="39" t="n">
        <v>1</v>
      </c>
      <c r="E492" s="41" t="n">
        <v>185.75</v>
      </c>
      <c r="F492" s="39" t="s">
        <v>105</v>
      </c>
      <c r="G492" s="39" t="str">
        <f aca="false">VLOOKUP(C492,Products!$A$5:$D$24,2,FALSE())</f>
        <v>Office Chair</v>
      </c>
      <c r="H492" s="39" t="str">
        <f aca="false">VLOOKUP(C492,Products!$A$5:$D$24,3,FALSE())</f>
        <v>Furniture</v>
      </c>
      <c r="I492" s="41" t="n">
        <f aca="false">VLOOKUP(C492,Products!$A$5:$D$24,4,FALSE())</f>
        <v>85</v>
      </c>
      <c r="J492" s="42" t="n">
        <f aca="false">DATE(YEAR(B492),MONTH(B492),1)</f>
        <v>45717</v>
      </c>
      <c r="K492" s="41" t="n">
        <f aca="false">D492*E492</f>
        <v>185.75</v>
      </c>
      <c r="L492" s="41" t="n">
        <f aca="false">D492*I492</f>
        <v>85</v>
      </c>
      <c r="M492" s="41" t="n">
        <f aca="false">IFERROR(INDEX(Raw_Expenses!$C$5:$C$2979,MATCH(A492,Raw_Expenses!$A$5:$A$2979,0)),0)</f>
        <v>14.86</v>
      </c>
      <c r="N492" s="41" t="n">
        <f aca="false">L492+M492</f>
        <v>99.86</v>
      </c>
      <c r="O492" s="41" t="n">
        <f aca="false">K492-N492</f>
        <v>85.89</v>
      </c>
      <c r="P492" s="43" t="n">
        <f aca="false">IF(K492=0,0,O492/K492)</f>
        <v>0.462395693135935</v>
      </c>
    </row>
    <row r="493" customFormat="false" ht="15" hidden="false" customHeight="false" outlineLevel="0" collapsed="false">
      <c r="A493" s="39" t="s">
        <v>615</v>
      </c>
      <c r="B493" s="40" t="n">
        <v>45731</v>
      </c>
      <c r="C493" s="39" t="s">
        <v>162</v>
      </c>
      <c r="D493" s="39" t="n">
        <v>2</v>
      </c>
      <c r="E493" s="41" t="n">
        <v>64.04</v>
      </c>
      <c r="F493" s="39" t="s">
        <v>108</v>
      </c>
      <c r="G493" s="39" t="str">
        <f aca="false">VLOOKUP(C493,Products!$A$5:$D$24,2,FALSE())</f>
        <v>Bluetooth Speaker</v>
      </c>
      <c r="H493" s="39" t="str">
        <f aca="false">VLOOKUP(C493,Products!$A$5:$D$24,3,FALSE())</f>
        <v>Electronics</v>
      </c>
      <c r="I493" s="41" t="n">
        <f aca="false">VLOOKUP(C493,Products!$A$5:$D$24,4,FALSE())</f>
        <v>28</v>
      </c>
      <c r="J493" s="42" t="n">
        <f aca="false">DATE(YEAR(B493),MONTH(B493),1)</f>
        <v>45717</v>
      </c>
      <c r="K493" s="41" t="n">
        <f aca="false">D493*E493</f>
        <v>128.08</v>
      </c>
      <c r="L493" s="41" t="n">
        <f aca="false">D493*I493</f>
        <v>56</v>
      </c>
      <c r="M493" s="41" t="n">
        <f aca="false">IFERROR(INDEX(Raw_Expenses!$C$5:$C$2979,MATCH(A493,Raw_Expenses!$A$5:$A$2979,0)),0)</f>
        <v>6.77</v>
      </c>
      <c r="N493" s="41" t="n">
        <f aca="false">L493+M493</f>
        <v>62.77</v>
      </c>
      <c r="O493" s="41" t="n">
        <f aca="false">K493-N493</f>
        <v>65.31</v>
      </c>
      <c r="P493" s="43" t="n">
        <f aca="false">IF(K493=0,0,O493/K493)</f>
        <v>0.509915677701437</v>
      </c>
    </row>
    <row r="494" customFormat="false" ht="15" hidden="false" customHeight="false" outlineLevel="0" collapsed="false">
      <c r="A494" s="39" t="s">
        <v>616</v>
      </c>
      <c r="B494" s="40" t="n">
        <v>45731</v>
      </c>
      <c r="C494" s="39" t="s">
        <v>162</v>
      </c>
      <c r="D494" s="39" t="n">
        <v>2</v>
      </c>
      <c r="E494" s="41" t="n">
        <v>68.33</v>
      </c>
      <c r="F494" s="39" t="s">
        <v>105</v>
      </c>
      <c r="G494" s="39" t="str">
        <f aca="false">VLOOKUP(C494,Products!$A$5:$D$24,2,FALSE())</f>
        <v>Bluetooth Speaker</v>
      </c>
      <c r="H494" s="39" t="str">
        <f aca="false">VLOOKUP(C494,Products!$A$5:$D$24,3,FALSE())</f>
        <v>Electronics</v>
      </c>
      <c r="I494" s="41" t="n">
        <f aca="false">VLOOKUP(C494,Products!$A$5:$D$24,4,FALSE())</f>
        <v>28</v>
      </c>
      <c r="J494" s="42" t="n">
        <f aca="false">DATE(YEAR(B494),MONTH(B494),1)</f>
        <v>45717</v>
      </c>
      <c r="K494" s="41" t="n">
        <f aca="false">D494*E494</f>
        <v>136.66</v>
      </c>
      <c r="L494" s="41" t="n">
        <f aca="false">D494*I494</f>
        <v>56</v>
      </c>
      <c r="M494" s="41" t="n">
        <f aca="false">IFERROR(INDEX(Raw_Expenses!$C$5:$C$2979,MATCH(A494,Raw_Expenses!$A$5:$A$2979,0)),0)</f>
        <v>10.59</v>
      </c>
      <c r="N494" s="41" t="n">
        <f aca="false">L494+M494</f>
        <v>66.59</v>
      </c>
      <c r="O494" s="41" t="n">
        <f aca="false">K494-N494</f>
        <v>70.07</v>
      </c>
      <c r="P494" s="43" t="n">
        <f aca="false">IF(K494=0,0,O494/K494)</f>
        <v>0.512732328406264</v>
      </c>
    </row>
    <row r="495" customFormat="false" ht="15" hidden="false" customHeight="false" outlineLevel="0" collapsed="false">
      <c r="A495" s="39" t="s">
        <v>617</v>
      </c>
      <c r="B495" s="40" t="n">
        <v>45732</v>
      </c>
      <c r="C495" s="39" t="s">
        <v>162</v>
      </c>
      <c r="D495" s="39" t="n">
        <v>8</v>
      </c>
      <c r="E495" s="41" t="n">
        <v>68.59</v>
      </c>
      <c r="F495" s="39" t="s">
        <v>108</v>
      </c>
      <c r="G495" s="39" t="str">
        <f aca="false">VLOOKUP(C495,Products!$A$5:$D$24,2,FALSE())</f>
        <v>Bluetooth Speaker</v>
      </c>
      <c r="H495" s="39" t="str">
        <f aca="false">VLOOKUP(C495,Products!$A$5:$D$24,3,FALSE())</f>
        <v>Electronics</v>
      </c>
      <c r="I495" s="41" t="n">
        <f aca="false">VLOOKUP(C495,Products!$A$5:$D$24,4,FALSE())</f>
        <v>28</v>
      </c>
      <c r="J495" s="42" t="n">
        <f aca="false">DATE(YEAR(B495),MONTH(B495),1)</f>
        <v>45717</v>
      </c>
      <c r="K495" s="41" t="n">
        <f aca="false">D495*E495</f>
        <v>548.72</v>
      </c>
      <c r="L495" s="41" t="n">
        <f aca="false">D495*I495</f>
        <v>224</v>
      </c>
      <c r="M495" s="41" t="n">
        <f aca="false">IFERROR(INDEX(Raw_Expenses!$C$5:$C$2979,MATCH(A495,Raw_Expenses!$A$5:$A$2979,0)),0)</f>
        <v>27.86</v>
      </c>
      <c r="N495" s="41" t="n">
        <f aca="false">L495+M495</f>
        <v>251.86</v>
      </c>
      <c r="O495" s="41" t="n">
        <f aca="false">K495-N495</f>
        <v>296.86</v>
      </c>
      <c r="P495" s="43" t="n">
        <f aca="false">IF(K495=0,0,O495/K495)</f>
        <v>0.541004519609273</v>
      </c>
    </row>
    <row r="496" customFormat="false" ht="15" hidden="false" customHeight="false" outlineLevel="0" collapsed="false">
      <c r="A496" s="39" t="s">
        <v>618</v>
      </c>
      <c r="B496" s="40" t="n">
        <v>45732</v>
      </c>
      <c r="C496" s="39" t="s">
        <v>133</v>
      </c>
      <c r="D496" s="39" t="n">
        <v>6</v>
      </c>
      <c r="E496" s="41" t="n">
        <v>8.65</v>
      </c>
      <c r="F496" s="39" t="s">
        <v>108</v>
      </c>
      <c r="G496" s="39" t="str">
        <f aca="false">VLOOKUP(C496,Products!$A$5:$D$24,2,FALSE())</f>
        <v>Printer Paper Ream</v>
      </c>
      <c r="H496" s="39" t="str">
        <f aca="false">VLOOKUP(C496,Products!$A$5:$D$24,3,FALSE())</f>
        <v>Stationery</v>
      </c>
      <c r="I496" s="41" t="n">
        <f aca="false">VLOOKUP(C496,Products!$A$5:$D$24,4,FALSE())</f>
        <v>4</v>
      </c>
      <c r="J496" s="42" t="n">
        <f aca="false">DATE(YEAR(B496),MONTH(B496),1)</f>
        <v>45717</v>
      </c>
      <c r="K496" s="41" t="n">
        <f aca="false">D496*E496</f>
        <v>51.9</v>
      </c>
      <c r="L496" s="41" t="n">
        <f aca="false">D496*I496</f>
        <v>24</v>
      </c>
      <c r="M496" s="41" t="n">
        <f aca="false">IFERROR(INDEX(Raw_Expenses!$C$5:$C$2979,MATCH(A496,Raw_Expenses!$A$5:$A$2979,0)),0)</f>
        <v>4.5</v>
      </c>
      <c r="N496" s="41" t="n">
        <f aca="false">L496+M496</f>
        <v>28.5</v>
      </c>
      <c r="O496" s="41" t="n">
        <f aca="false">K496-N496</f>
        <v>23.4</v>
      </c>
      <c r="P496" s="43" t="n">
        <f aca="false">IF(K496=0,0,O496/K496)</f>
        <v>0.450867052023121</v>
      </c>
    </row>
    <row r="497" customFormat="false" ht="15" hidden="false" customHeight="false" outlineLevel="0" collapsed="false">
      <c r="A497" s="39" t="s">
        <v>619</v>
      </c>
      <c r="B497" s="40" t="n">
        <v>45732</v>
      </c>
      <c r="C497" s="39" t="s">
        <v>162</v>
      </c>
      <c r="D497" s="39" t="n">
        <v>5</v>
      </c>
      <c r="E497" s="41" t="n">
        <v>63.82</v>
      </c>
      <c r="F497" s="39" t="s">
        <v>108</v>
      </c>
      <c r="G497" s="39" t="str">
        <f aca="false">VLOOKUP(C497,Products!$A$5:$D$24,2,FALSE())</f>
        <v>Bluetooth Speaker</v>
      </c>
      <c r="H497" s="39" t="str">
        <f aca="false">VLOOKUP(C497,Products!$A$5:$D$24,3,FALSE())</f>
        <v>Electronics</v>
      </c>
      <c r="I497" s="41" t="n">
        <f aca="false">VLOOKUP(C497,Products!$A$5:$D$24,4,FALSE())</f>
        <v>28</v>
      </c>
      <c r="J497" s="42" t="n">
        <f aca="false">DATE(YEAR(B497),MONTH(B497),1)</f>
        <v>45717</v>
      </c>
      <c r="K497" s="41" t="n">
        <f aca="false">D497*E497</f>
        <v>319.1</v>
      </c>
      <c r="L497" s="41" t="n">
        <f aca="false">D497*I497</f>
        <v>140</v>
      </c>
      <c r="M497" s="41" t="n">
        <f aca="false">IFERROR(INDEX(Raw_Expenses!$C$5:$C$2979,MATCH(A497,Raw_Expenses!$A$5:$A$2979,0)),0)</f>
        <v>20.21</v>
      </c>
      <c r="N497" s="41" t="n">
        <f aca="false">L497+M497</f>
        <v>160.21</v>
      </c>
      <c r="O497" s="41" t="n">
        <f aca="false">K497-N497</f>
        <v>158.89</v>
      </c>
      <c r="P497" s="43" t="n">
        <f aca="false">IF(K497=0,0,O497/K497)</f>
        <v>0.497931682858038</v>
      </c>
    </row>
    <row r="498" customFormat="false" ht="15" hidden="false" customHeight="false" outlineLevel="0" collapsed="false">
      <c r="A498" s="39" t="s">
        <v>620</v>
      </c>
      <c r="B498" s="40" t="n">
        <v>45732</v>
      </c>
      <c r="C498" s="39" t="s">
        <v>104</v>
      </c>
      <c r="D498" s="39" t="n">
        <v>2</v>
      </c>
      <c r="E498" s="41" t="n">
        <v>15.79</v>
      </c>
      <c r="F498" s="39" t="s">
        <v>115</v>
      </c>
      <c r="G498" s="39" t="str">
        <f aca="false">VLOOKUP(C498,Products!$A$5:$D$24,2,FALSE())</f>
        <v>Water Bottle</v>
      </c>
      <c r="H498" s="39" t="str">
        <f aca="false">VLOOKUP(C498,Products!$A$5:$D$24,3,FALSE())</f>
        <v>Accessories</v>
      </c>
      <c r="I498" s="41" t="n">
        <f aca="false">VLOOKUP(C498,Products!$A$5:$D$24,4,FALSE())</f>
        <v>5</v>
      </c>
      <c r="J498" s="42" t="n">
        <f aca="false">DATE(YEAR(B498),MONTH(B498),1)</f>
        <v>45717</v>
      </c>
      <c r="K498" s="41" t="n">
        <f aca="false">D498*E498</f>
        <v>31.58</v>
      </c>
      <c r="L498" s="41" t="n">
        <f aca="false">D498*I498</f>
        <v>10</v>
      </c>
      <c r="M498" s="41" t="n">
        <f aca="false">IFERROR(INDEX(Raw_Expenses!$C$5:$C$2979,MATCH(A498,Raw_Expenses!$A$5:$A$2979,0)),0)</f>
        <v>1.87</v>
      </c>
      <c r="N498" s="41" t="n">
        <f aca="false">L498+M498</f>
        <v>11.87</v>
      </c>
      <c r="O498" s="41" t="n">
        <f aca="false">K498-N498</f>
        <v>19.71</v>
      </c>
      <c r="P498" s="43" t="n">
        <f aca="false">IF(K498=0,0,O498/K498)</f>
        <v>0.624129195693477</v>
      </c>
    </row>
    <row r="499" customFormat="false" ht="15" hidden="false" customHeight="false" outlineLevel="0" collapsed="false">
      <c r="A499" s="39" t="s">
        <v>621</v>
      </c>
      <c r="B499" s="40" t="n">
        <v>45732</v>
      </c>
      <c r="C499" s="39" t="s">
        <v>183</v>
      </c>
      <c r="D499" s="39" t="n">
        <v>3</v>
      </c>
      <c r="E499" s="41" t="n">
        <v>174.15</v>
      </c>
      <c r="F499" s="39" t="s">
        <v>115</v>
      </c>
      <c r="G499" s="39" t="str">
        <f aca="false">VLOOKUP(C499,Products!$A$5:$D$24,2,FALSE())</f>
        <v>Office Chair</v>
      </c>
      <c r="H499" s="39" t="str">
        <f aca="false">VLOOKUP(C499,Products!$A$5:$D$24,3,FALSE())</f>
        <v>Furniture</v>
      </c>
      <c r="I499" s="41" t="n">
        <f aca="false">VLOOKUP(C499,Products!$A$5:$D$24,4,FALSE())</f>
        <v>85</v>
      </c>
      <c r="J499" s="42" t="n">
        <f aca="false">DATE(YEAR(B499),MONTH(B499),1)</f>
        <v>45717</v>
      </c>
      <c r="K499" s="41" t="n">
        <f aca="false">D499*E499</f>
        <v>522.45</v>
      </c>
      <c r="L499" s="41" t="n">
        <f aca="false">D499*I499</f>
        <v>255</v>
      </c>
      <c r="M499" s="41" t="n">
        <f aca="false">IFERROR(INDEX(Raw_Expenses!$C$5:$C$2979,MATCH(A499,Raw_Expenses!$A$5:$A$2979,0)),0)</f>
        <v>45.8</v>
      </c>
      <c r="N499" s="41" t="n">
        <f aca="false">L499+M499</f>
        <v>300.8</v>
      </c>
      <c r="O499" s="41" t="n">
        <f aca="false">K499-N499</f>
        <v>221.65</v>
      </c>
      <c r="P499" s="43" t="n">
        <f aca="false">IF(K499=0,0,O499/K499)</f>
        <v>0.424251124509522</v>
      </c>
    </row>
    <row r="500" customFormat="false" ht="15" hidden="false" customHeight="false" outlineLevel="0" collapsed="false">
      <c r="A500" s="39" t="s">
        <v>622</v>
      </c>
      <c r="B500" s="40" t="n">
        <v>45732</v>
      </c>
      <c r="C500" s="39" t="s">
        <v>130</v>
      </c>
      <c r="D500" s="39" t="n">
        <v>2</v>
      </c>
      <c r="E500" s="41" t="n">
        <v>8.91</v>
      </c>
      <c r="F500" s="39" t="s">
        <v>105</v>
      </c>
      <c r="G500" s="39" t="str">
        <f aca="false">VLOOKUP(C500,Products!$A$5:$D$24,2,FALSE())</f>
        <v>Notebook Set</v>
      </c>
      <c r="H500" s="39" t="str">
        <f aca="false">VLOOKUP(C500,Products!$A$5:$D$24,3,FALSE())</f>
        <v>Stationery</v>
      </c>
      <c r="I500" s="41" t="n">
        <f aca="false">VLOOKUP(C500,Products!$A$5:$D$24,4,FALSE())</f>
        <v>3</v>
      </c>
      <c r="J500" s="42" t="n">
        <f aca="false">DATE(YEAR(B500),MONTH(B500),1)</f>
        <v>45717</v>
      </c>
      <c r="K500" s="41" t="n">
        <f aca="false">D500*E500</f>
        <v>17.82</v>
      </c>
      <c r="L500" s="41" t="n">
        <f aca="false">D500*I500</f>
        <v>6</v>
      </c>
      <c r="M500" s="41" t="n">
        <f aca="false">IFERROR(INDEX(Raw_Expenses!$C$5:$C$2979,MATCH(A500,Raw_Expenses!$A$5:$A$2979,0)),0)</f>
        <v>1.41</v>
      </c>
      <c r="N500" s="41" t="n">
        <f aca="false">L500+M500</f>
        <v>7.41</v>
      </c>
      <c r="O500" s="41" t="n">
        <f aca="false">K500-N500</f>
        <v>10.41</v>
      </c>
      <c r="P500" s="43" t="n">
        <f aca="false">IF(K500=0,0,O500/K500)</f>
        <v>0.584175084175084</v>
      </c>
    </row>
    <row r="501" customFormat="false" ht="15" hidden="false" customHeight="false" outlineLevel="0" collapsed="false">
      <c r="A501" s="39" t="s">
        <v>623</v>
      </c>
      <c r="B501" s="40" t="n">
        <v>45732</v>
      </c>
      <c r="C501" s="39" t="s">
        <v>112</v>
      </c>
      <c r="D501" s="39" t="n">
        <v>5</v>
      </c>
      <c r="E501" s="41" t="n">
        <v>52.81</v>
      </c>
      <c r="F501" s="39" t="s">
        <v>118</v>
      </c>
      <c r="G501" s="39" t="str">
        <f aca="false">VLOOKUP(C501,Products!$A$5:$D$24,2,FALSE())</f>
        <v>HD Webcam</v>
      </c>
      <c r="H501" s="39" t="str">
        <f aca="false">VLOOKUP(C501,Products!$A$5:$D$24,3,FALSE())</f>
        <v>Electronics</v>
      </c>
      <c r="I501" s="41" t="n">
        <f aca="false">VLOOKUP(C501,Products!$A$5:$D$24,4,FALSE())</f>
        <v>22</v>
      </c>
      <c r="J501" s="42" t="n">
        <f aca="false">DATE(YEAR(B501),MONTH(B501),1)</f>
        <v>45717</v>
      </c>
      <c r="K501" s="41" t="n">
        <f aca="false">D501*E501</f>
        <v>264.05</v>
      </c>
      <c r="L501" s="41" t="n">
        <f aca="false">D501*I501</f>
        <v>110</v>
      </c>
      <c r="M501" s="41" t="n">
        <f aca="false">IFERROR(INDEX(Raw_Expenses!$C$5:$C$2979,MATCH(A501,Raw_Expenses!$A$5:$A$2979,0)),0)</f>
        <v>19.12</v>
      </c>
      <c r="N501" s="41" t="n">
        <f aca="false">L501+M501</f>
        <v>129.12</v>
      </c>
      <c r="O501" s="41" t="n">
        <f aca="false">K501-N501</f>
        <v>134.93</v>
      </c>
      <c r="P501" s="43" t="n">
        <f aca="false">IF(K501=0,0,O501/K501)</f>
        <v>0.511001704222685</v>
      </c>
    </row>
    <row r="502" customFormat="false" ht="15" hidden="false" customHeight="false" outlineLevel="0" collapsed="false">
      <c r="A502" s="39" t="s">
        <v>624</v>
      </c>
      <c r="B502" s="40" t="n">
        <v>45732</v>
      </c>
      <c r="C502" s="39" t="s">
        <v>114</v>
      </c>
      <c r="D502" s="39" t="n">
        <v>1</v>
      </c>
      <c r="E502" s="41" t="n">
        <v>5.67</v>
      </c>
      <c r="F502" s="39" t="s">
        <v>115</v>
      </c>
      <c r="G502" s="39" t="str">
        <f aca="false">VLOOKUP(C502,Products!$A$5:$D$24,2,FALSE())</f>
        <v>Gel Pen Pack</v>
      </c>
      <c r="H502" s="39" t="str">
        <f aca="false">VLOOKUP(C502,Products!$A$5:$D$24,3,FALSE())</f>
        <v>Stationery</v>
      </c>
      <c r="I502" s="41" t="n">
        <f aca="false">VLOOKUP(C502,Products!$A$5:$D$24,4,FALSE())</f>
        <v>2</v>
      </c>
      <c r="J502" s="42" t="n">
        <f aca="false">DATE(YEAR(B502),MONTH(B502),1)</f>
        <v>45717</v>
      </c>
      <c r="K502" s="41" t="n">
        <f aca="false">D502*E502</f>
        <v>5.67</v>
      </c>
      <c r="L502" s="41" t="n">
        <f aca="false">D502*I502</f>
        <v>2</v>
      </c>
      <c r="M502" s="41" t="n">
        <f aca="false">IFERROR(INDEX(Raw_Expenses!$C$5:$C$2979,MATCH(A502,Raw_Expenses!$A$5:$A$2979,0)),0)</f>
        <v>0.46</v>
      </c>
      <c r="N502" s="41" t="n">
        <f aca="false">L502+M502</f>
        <v>2.46</v>
      </c>
      <c r="O502" s="41" t="n">
        <f aca="false">K502-N502</f>
        <v>3.21</v>
      </c>
      <c r="P502" s="43" t="n">
        <f aca="false">IF(K502=0,0,O502/K502)</f>
        <v>0.566137566137566</v>
      </c>
    </row>
    <row r="503" customFormat="false" ht="15" hidden="false" customHeight="false" outlineLevel="0" collapsed="false">
      <c r="A503" s="39" t="s">
        <v>625</v>
      </c>
      <c r="B503" s="40" t="n">
        <v>45732</v>
      </c>
      <c r="C503" s="39" t="s">
        <v>110</v>
      </c>
      <c r="D503" s="39" t="n">
        <v>1</v>
      </c>
      <c r="E503" s="41" t="n">
        <v>13.12</v>
      </c>
      <c r="F503" s="39" t="s">
        <v>105</v>
      </c>
      <c r="G503" s="39" t="str">
        <f aca="false">VLOOKUP(C503,Products!$A$5:$D$24,2,FALSE())</f>
        <v>Phone Stand</v>
      </c>
      <c r="H503" s="39" t="str">
        <f aca="false">VLOOKUP(C503,Products!$A$5:$D$24,3,FALSE())</f>
        <v>Accessories</v>
      </c>
      <c r="I503" s="41" t="n">
        <f aca="false">VLOOKUP(C503,Products!$A$5:$D$24,4,FALSE())</f>
        <v>4</v>
      </c>
      <c r="J503" s="42" t="n">
        <f aca="false">DATE(YEAR(B503),MONTH(B503),1)</f>
        <v>45717</v>
      </c>
      <c r="K503" s="41" t="n">
        <f aca="false">D503*E503</f>
        <v>13.12</v>
      </c>
      <c r="L503" s="41" t="n">
        <f aca="false">D503*I503</f>
        <v>4</v>
      </c>
      <c r="M503" s="41" t="n">
        <f aca="false">IFERROR(INDEX(Raw_Expenses!$C$5:$C$2979,MATCH(A503,Raw_Expenses!$A$5:$A$2979,0)),0)</f>
        <v>1.03</v>
      </c>
      <c r="N503" s="41" t="n">
        <f aca="false">L503+M503</f>
        <v>5.03</v>
      </c>
      <c r="O503" s="41" t="n">
        <f aca="false">K503-N503</f>
        <v>8.09</v>
      </c>
      <c r="P503" s="43" t="n">
        <f aca="false">IF(K503=0,0,O503/K503)</f>
        <v>0.616615853658537</v>
      </c>
    </row>
    <row r="504" customFormat="false" ht="15" hidden="false" customHeight="false" outlineLevel="0" collapsed="false">
      <c r="A504" s="39" t="s">
        <v>626</v>
      </c>
      <c r="B504" s="40" t="n">
        <v>45732</v>
      </c>
      <c r="C504" s="39" t="s">
        <v>305</v>
      </c>
      <c r="D504" s="39" t="n">
        <v>1</v>
      </c>
      <c r="E504" s="41" t="n">
        <v>345.25</v>
      </c>
      <c r="F504" s="39" t="s">
        <v>105</v>
      </c>
      <c r="G504" s="39" t="str">
        <f aca="false">VLOOKUP(C504,Products!$A$5:$D$24,2,FALSE())</f>
        <v>Standing Desk</v>
      </c>
      <c r="H504" s="39" t="str">
        <f aca="false">VLOOKUP(C504,Products!$A$5:$D$24,3,FALSE())</f>
        <v>Furniture</v>
      </c>
      <c r="I504" s="41" t="n">
        <f aca="false">VLOOKUP(C504,Products!$A$5:$D$24,4,FALSE())</f>
        <v>160</v>
      </c>
      <c r="J504" s="42" t="n">
        <f aca="false">DATE(YEAR(B504),MONTH(B504),1)</f>
        <v>45717</v>
      </c>
      <c r="K504" s="41" t="n">
        <f aca="false">D504*E504</f>
        <v>345.25</v>
      </c>
      <c r="L504" s="41" t="n">
        <f aca="false">D504*I504</f>
        <v>160</v>
      </c>
      <c r="M504" s="41" t="n">
        <f aca="false">IFERROR(INDEX(Raw_Expenses!$C$5:$C$2979,MATCH(A504,Raw_Expenses!$A$5:$A$2979,0)),0)</f>
        <v>29.33</v>
      </c>
      <c r="N504" s="41" t="n">
        <f aca="false">L504+M504</f>
        <v>189.33</v>
      </c>
      <c r="O504" s="41" t="n">
        <f aca="false">K504-N504</f>
        <v>155.92</v>
      </c>
      <c r="P504" s="43" t="n">
        <f aca="false">IF(K504=0,0,O504/K504)</f>
        <v>0.451614771904417</v>
      </c>
    </row>
    <row r="505" customFormat="false" ht="15" hidden="false" customHeight="false" outlineLevel="0" collapsed="false">
      <c r="A505" s="39" t="s">
        <v>627</v>
      </c>
      <c r="B505" s="40" t="n">
        <v>45733</v>
      </c>
      <c r="C505" s="39" t="s">
        <v>169</v>
      </c>
      <c r="D505" s="39" t="n">
        <v>2</v>
      </c>
      <c r="E505" s="41" t="n">
        <v>28.13</v>
      </c>
      <c r="F505" s="39" t="s">
        <v>118</v>
      </c>
      <c r="G505" s="39" t="str">
        <f aca="false">VLOOKUP(C505,Products!$A$5:$D$24,2,FALSE())</f>
        <v>Laptop Stand</v>
      </c>
      <c r="H505" s="39" t="str">
        <f aca="false">VLOOKUP(C505,Products!$A$5:$D$24,3,FALSE())</f>
        <v>Accessories</v>
      </c>
      <c r="I505" s="41" t="n">
        <f aca="false">VLOOKUP(C505,Products!$A$5:$D$24,4,FALSE())</f>
        <v>11</v>
      </c>
      <c r="J505" s="42" t="n">
        <f aca="false">DATE(YEAR(B505),MONTH(B505),1)</f>
        <v>45717</v>
      </c>
      <c r="K505" s="41" t="n">
        <f aca="false">D505*E505</f>
        <v>56.26</v>
      </c>
      <c r="L505" s="41" t="n">
        <f aca="false">D505*I505</f>
        <v>22</v>
      </c>
      <c r="M505" s="41" t="n">
        <f aca="false">IFERROR(INDEX(Raw_Expenses!$C$5:$C$2979,MATCH(A505,Raw_Expenses!$A$5:$A$2979,0)),0)</f>
        <v>4.64</v>
      </c>
      <c r="N505" s="41" t="n">
        <f aca="false">L505+M505</f>
        <v>26.64</v>
      </c>
      <c r="O505" s="41" t="n">
        <f aca="false">K505-N505</f>
        <v>29.62</v>
      </c>
      <c r="P505" s="43" t="n">
        <f aca="false">IF(K505=0,0,O505/K505)</f>
        <v>0.526484180590117</v>
      </c>
    </row>
    <row r="506" customFormat="false" ht="15" hidden="false" customHeight="false" outlineLevel="0" collapsed="false">
      <c r="A506" s="39" t="s">
        <v>628</v>
      </c>
      <c r="B506" s="40" t="n">
        <v>45733</v>
      </c>
      <c r="C506" s="39" t="s">
        <v>112</v>
      </c>
      <c r="D506" s="39" t="n">
        <v>4</v>
      </c>
      <c r="E506" s="41" t="n">
        <v>51.04</v>
      </c>
      <c r="F506" s="39" t="s">
        <v>108</v>
      </c>
      <c r="G506" s="39" t="str">
        <f aca="false">VLOOKUP(C506,Products!$A$5:$D$24,2,FALSE())</f>
        <v>HD Webcam</v>
      </c>
      <c r="H506" s="39" t="str">
        <f aca="false">VLOOKUP(C506,Products!$A$5:$D$24,3,FALSE())</f>
        <v>Electronics</v>
      </c>
      <c r="I506" s="41" t="n">
        <f aca="false">VLOOKUP(C506,Products!$A$5:$D$24,4,FALSE())</f>
        <v>22</v>
      </c>
      <c r="J506" s="42" t="n">
        <f aca="false">DATE(YEAR(B506),MONTH(B506),1)</f>
        <v>45717</v>
      </c>
      <c r="K506" s="41" t="n">
        <f aca="false">D506*E506</f>
        <v>204.16</v>
      </c>
      <c r="L506" s="41" t="n">
        <f aca="false">D506*I506</f>
        <v>88</v>
      </c>
      <c r="M506" s="41" t="n">
        <f aca="false">IFERROR(INDEX(Raw_Expenses!$C$5:$C$2979,MATCH(A506,Raw_Expenses!$A$5:$A$2979,0)),0)</f>
        <v>16.69</v>
      </c>
      <c r="N506" s="41" t="n">
        <f aca="false">L506+M506</f>
        <v>104.69</v>
      </c>
      <c r="O506" s="41" t="n">
        <f aca="false">K506-N506</f>
        <v>99.47</v>
      </c>
      <c r="P506" s="43" t="n">
        <f aca="false">IF(K506=0,0,O506/K506)</f>
        <v>0.487215909090909</v>
      </c>
    </row>
    <row r="507" customFormat="false" ht="15" hidden="false" customHeight="false" outlineLevel="0" collapsed="false">
      <c r="A507" s="39" t="s">
        <v>629</v>
      </c>
      <c r="B507" s="40" t="n">
        <v>45733</v>
      </c>
      <c r="C507" s="39" t="s">
        <v>107</v>
      </c>
      <c r="D507" s="39" t="n">
        <v>2</v>
      </c>
      <c r="E507" s="41" t="n">
        <v>32.67</v>
      </c>
      <c r="F507" s="39" t="s">
        <v>105</v>
      </c>
      <c r="G507" s="39" t="str">
        <f aca="false">VLOOKUP(C507,Products!$A$5:$D$24,2,FALSE())</f>
        <v>USB-C Hub</v>
      </c>
      <c r="H507" s="39" t="str">
        <f aca="false">VLOOKUP(C507,Products!$A$5:$D$24,3,FALSE())</f>
        <v>Electronics</v>
      </c>
      <c r="I507" s="41" t="n">
        <f aca="false">VLOOKUP(C507,Products!$A$5:$D$24,4,FALSE())</f>
        <v>14</v>
      </c>
      <c r="J507" s="42" t="n">
        <f aca="false">DATE(YEAR(B507),MONTH(B507),1)</f>
        <v>45717</v>
      </c>
      <c r="K507" s="41" t="n">
        <f aca="false">D507*E507</f>
        <v>65.34</v>
      </c>
      <c r="L507" s="41" t="n">
        <f aca="false">D507*I507</f>
        <v>28</v>
      </c>
      <c r="M507" s="41" t="n">
        <f aca="false">IFERROR(INDEX(Raw_Expenses!$C$5:$C$2979,MATCH(A507,Raw_Expenses!$A$5:$A$2979,0)),0)</f>
        <v>5.35</v>
      </c>
      <c r="N507" s="41" t="n">
        <f aca="false">L507+M507</f>
        <v>33.35</v>
      </c>
      <c r="O507" s="41" t="n">
        <f aca="false">K507-N507</f>
        <v>31.99</v>
      </c>
      <c r="P507" s="43" t="n">
        <f aca="false">IF(K507=0,0,O507/K507)</f>
        <v>0.489592898683808</v>
      </c>
    </row>
    <row r="508" customFormat="false" ht="15" hidden="false" customHeight="false" outlineLevel="0" collapsed="false">
      <c r="A508" s="39" t="s">
        <v>630</v>
      </c>
      <c r="B508" s="40" t="n">
        <v>45733</v>
      </c>
      <c r="C508" s="39" t="s">
        <v>121</v>
      </c>
      <c r="D508" s="39" t="n">
        <v>8</v>
      </c>
      <c r="E508" s="41" t="n">
        <v>112.29</v>
      </c>
      <c r="F508" s="39" t="s">
        <v>115</v>
      </c>
      <c r="G508" s="39" t="str">
        <f aca="false">VLOOKUP(C508,Products!$A$5:$D$24,2,FALSE())</f>
        <v>External SSD 1TB</v>
      </c>
      <c r="H508" s="39" t="str">
        <f aca="false">VLOOKUP(C508,Products!$A$5:$D$24,3,FALSE())</f>
        <v>Electronics</v>
      </c>
      <c r="I508" s="41" t="n">
        <f aca="false">VLOOKUP(C508,Products!$A$5:$D$24,4,FALSE())</f>
        <v>62</v>
      </c>
      <c r="J508" s="42" t="n">
        <f aca="false">DATE(YEAR(B508),MONTH(B508),1)</f>
        <v>45717</v>
      </c>
      <c r="K508" s="41" t="n">
        <f aca="false">D508*E508</f>
        <v>898.32</v>
      </c>
      <c r="L508" s="41" t="n">
        <f aca="false">D508*I508</f>
        <v>496</v>
      </c>
      <c r="M508" s="41" t="n">
        <f aca="false">IFERROR(INDEX(Raw_Expenses!$C$5:$C$2979,MATCH(A508,Raw_Expenses!$A$5:$A$2979,0)),0)</f>
        <v>37.76</v>
      </c>
      <c r="N508" s="41" t="n">
        <f aca="false">L508+M508</f>
        <v>533.76</v>
      </c>
      <c r="O508" s="41" t="n">
        <f aca="false">K508-N508</f>
        <v>364.56</v>
      </c>
      <c r="P508" s="43" t="n">
        <f aca="false">IF(K508=0,0,O508/K508)</f>
        <v>0.405824205183008</v>
      </c>
    </row>
    <row r="509" customFormat="false" ht="15" hidden="false" customHeight="false" outlineLevel="0" collapsed="false">
      <c r="A509" s="39" t="s">
        <v>631</v>
      </c>
      <c r="B509" s="40" t="n">
        <v>45733</v>
      </c>
      <c r="C509" s="39" t="s">
        <v>126</v>
      </c>
      <c r="D509" s="39" t="n">
        <v>4</v>
      </c>
      <c r="E509" s="41" t="n">
        <v>23.02</v>
      </c>
      <c r="F509" s="39" t="s">
        <v>105</v>
      </c>
      <c r="G509" s="39" t="str">
        <f aca="false">VLOOKUP(C509,Products!$A$5:$D$24,2,FALSE())</f>
        <v>Wireless Mouse</v>
      </c>
      <c r="H509" s="39" t="str">
        <f aca="false">VLOOKUP(C509,Products!$A$5:$D$24,3,FALSE())</f>
        <v>Electronics</v>
      </c>
      <c r="I509" s="41" t="n">
        <f aca="false">VLOOKUP(C509,Products!$A$5:$D$24,4,FALSE())</f>
        <v>12</v>
      </c>
      <c r="J509" s="42" t="n">
        <f aca="false">DATE(YEAR(B509),MONTH(B509),1)</f>
        <v>45717</v>
      </c>
      <c r="K509" s="41" t="n">
        <f aca="false">D509*E509</f>
        <v>92.08</v>
      </c>
      <c r="L509" s="41" t="n">
        <f aca="false">D509*I509</f>
        <v>48</v>
      </c>
      <c r="M509" s="41" t="n">
        <f aca="false">IFERROR(INDEX(Raw_Expenses!$C$5:$C$2979,MATCH(A509,Raw_Expenses!$A$5:$A$2979,0)),0)</f>
        <v>3.78</v>
      </c>
      <c r="N509" s="41" t="n">
        <f aca="false">L509+M509</f>
        <v>51.78</v>
      </c>
      <c r="O509" s="41" t="n">
        <f aca="false">K509-N509</f>
        <v>40.3</v>
      </c>
      <c r="P509" s="43" t="n">
        <f aca="false">IF(K509=0,0,O509/K509)</f>
        <v>0.4376629018245</v>
      </c>
    </row>
    <row r="510" customFormat="false" ht="15" hidden="false" customHeight="false" outlineLevel="0" collapsed="false">
      <c r="A510" s="39" t="s">
        <v>632</v>
      </c>
      <c r="B510" s="40" t="n">
        <v>45733</v>
      </c>
      <c r="C510" s="39" t="s">
        <v>121</v>
      </c>
      <c r="D510" s="39" t="n">
        <v>4</v>
      </c>
      <c r="E510" s="41" t="n">
        <v>109.64</v>
      </c>
      <c r="F510" s="39" t="s">
        <v>115</v>
      </c>
      <c r="G510" s="39" t="str">
        <f aca="false">VLOOKUP(C510,Products!$A$5:$D$24,2,FALSE())</f>
        <v>External SSD 1TB</v>
      </c>
      <c r="H510" s="39" t="str">
        <f aca="false">VLOOKUP(C510,Products!$A$5:$D$24,3,FALSE())</f>
        <v>Electronics</v>
      </c>
      <c r="I510" s="41" t="n">
        <f aca="false">VLOOKUP(C510,Products!$A$5:$D$24,4,FALSE())</f>
        <v>62</v>
      </c>
      <c r="J510" s="42" t="n">
        <f aca="false">DATE(YEAR(B510),MONTH(B510),1)</f>
        <v>45717</v>
      </c>
      <c r="K510" s="41" t="n">
        <f aca="false">D510*E510</f>
        <v>438.56</v>
      </c>
      <c r="L510" s="41" t="n">
        <f aca="false">D510*I510</f>
        <v>248</v>
      </c>
      <c r="M510" s="41" t="n">
        <f aca="false">IFERROR(INDEX(Raw_Expenses!$C$5:$C$2979,MATCH(A510,Raw_Expenses!$A$5:$A$2979,0)),0)</f>
        <v>17.77</v>
      </c>
      <c r="N510" s="41" t="n">
        <f aca="false">L510+M510</f>
        <v>265.77</v>
      </c>
      <c r="O510" s="41" t="n">
        <f aca="false">K510-N510</f>
        <v>172.79</v>
      </c>
      <c r="P510" s="43" t="n">
        <f aca="false">IF(K510=0,0,O510/K510)</f>
        <v>0.393993980299161</v>
      </c>
    </row>
    <row r="511" customFormat="false" ht="15" hidden="false" customHeight="false" outlineLevel="0" collapsed="false">
      <c r="A511" s="39" t="s">
        <v>633</v>
      </c>
      <c r="B511" s="40" t="n">
        <v>45733</v>
      </c>
      <c r="C511" s="39" t="s">
        <v>107</v>
      </c>
      <c r="D511" s="39" t="n">
        <v>2</v>
      </c>
      <c r="E511" s="41" t="n">
        <v>34.93</v>
      </c>
      <c r="F511" s="39" t="s">
        <v>118</v>
      </c>
      <c r="G511" s="39" t="str">
        <f aca="false">VLOOKUP(C511,Products!$A$5:$D$24,2,FALSE())</f>
        <v>USB-C Hub</v>
      </c>
      <c r="H511" s="39" t="str">
        <f aca="false">VLOOKUP(C511,Products!$A$5:$D$24,3,FALSE())</f>
        <v>Electronics</v>
      </c>
      <c r="I511" s="41" t="n">
        <f aca="false">VLOOKUP(C511,Products!$A$5:$D$24,4,FALSE())</f>
        <v>14</v>
      </c>
      <c r="J511" s="42" t="n">
        <f aca="false">DATE(YEAR(B511),MONTH(B511),1)</f>
        <v>45717</v>
      </c>
      <c r="K511" s="41" t="n">
        <f aca="false">D511*E511</f>
        <v>69.86</v>
      </c>
      <c r="L511" s="41" t="n">
        <f aca="false">D511*I511</f>
        <v>28</v>
      </c>
      <c r="M511" s="41" t="n">
        <f aca="false">IFERROR(INDEX(Raw_Expenses!$C$5:$C$2979,MATCH(A511,Raw_Expenses!$A$5:$A$2979,0)),0)</f>
        <v>6.06</v>
      </c>
      <c r="N511" s="41" t="n">
        <f aca="false">L511+M511</f>
        <v>34.06</v>
      </c>
      <c r="O511" s="41" t="n">
        <f aca="false">K511-N511</f>
        <v>35.8</v>
      </c>
      <c r="P511" s="43" t="n">
        <f aca="false">IF(K511=0,0,O511/K511)</f>
        <v>0.512453478385342</v>
      </c>
    </row>
    <row r="512" customFormat="false" ht="15" hidden="false" customHeight="false" outlineLevel="0" collapsed="false">
      <c r="A512" s="39" t="s">
        <v>634</v>
      </c>
      <c r="B512" s="40" t="n">
        <v>45734</v>
      </c>
      <c r="C512" s="39" t="s">
        <v>177</v>
      </c>
      <c r="D512" s="39" t="n">
        <v>1</v>
      </c>
      <c r="E512" s="41" t="n">
        <v>41.86</v>
      </c>
      <c r="F512" s="39" t="s">
        <v>105</v>
      </c>
      <c r="G512" s="39" t="str">
        <f aca="false">VLOOKUP(C512,Products!$A$5:$D$24,2,FALSE())</f>
        <v>Backpack</v>
      </c>
      <c r="H512" s="39" t="str">
        <f aca="false">VLOOKUP(C512,Products!$A$5:$D$24,3,FALSE())</f>
        <v>Accessories</v>
      </c>
      <c r="I512" s="41" t="n">
        <f aca="false">VLOOKUP(C512,Products!$A$5:$D$24,4,FALSE())</f>
        <v>17</v>
      </c>
      <c r="J512" s="42" t="n">
        <f aca="false">DATE(YEAR(B512),MONTH(B512),1)</f>
        <v>45717</v>
      </c>
      <c r="K512" s="41" t="n">
        <f aca="false">D512*E512</f>
        <v>41.86</v>
      </c>
      <c r="L512" s="41" t="n">
        <f aca="false">D512*I512</f>
        <v>17</v>
      </c>
      <c r="M512" s="41" t="n">
        <f aca="false">IFERROR(INDEX(Raw_Expenses!$C$5:$C$2979,MATCH(A512,Raw_Expenses!$A$5:$A$2979,0)),0)</f>
        <v>3.59</v>
      </c>
      <c r="N512" s="41" t="n">
        <f aca="false">L512+M512</f>
        <v>20.59</v>
      </c>
      <c r="O512" s="41" t="n">
        <f aca="false">K512-N512</f>
        <v>21.27</v>
      </c>
      <c r="P512" s="43" t="n">
        <f aca="false">IF(K512=0,0,O512/K512)</f>
        <v>0.508122312470139</v>
      </c>
    </row>
    <row r="513" customFormat="false" ht="15" hidden="false" customHeight="false" outlineLevel="0" collapsed="false">
      <c r="A513" s="39" t="s">
        <v>635</v>
      </c>
      <c r="B513" s="40" t="n">
        <v>45734</v>
      </c>
      <c r="C513" s="39" t="s">
        <v>121</v>
      </c>
      <c r="D513" s="39" t="n">
        <v>3</v>
      </c>
      <c r="E513" s="41" t="n">
        <v>110.77</v>
      </c>
      <c r="F513" s="39" t="s">
        <v>105</v>
      </c>
      <c r="G513" s="39" t="str">
        <f aca="false">VLOOKUP(C513,Products!$A$5:$D$24,2,FALSE())</f>
        <v>External SSD 1TB</v>
      </c>
      <c r="H513" s="39" t="str">
        <f aca="false">VLOOKUP(C513,Products!$A$5:$D$24,3,FALSE())</f>
        <v>Electronics</v>
      </c>
      <c r="I513" s="41" t="n">
        <f aca="false">VLOOKUP(C513,Products!$A$5:$D$24,4,FALSE())</f>
        <v>62</v>
      </c>
      <c r="J513" s="42" t="n">
        <f aca="false">DATE(YEAR(B513),MONTH(B513),1)</f>
        <v>45717</v>
      </c>
      <c r="K513" s="41" t="n">
        <f aca="false">D513*E513</f>
        <v>332.31</v>
      </c>
      <c r="L513" s="41" t="n">
        <f aca="false">D513*I513</f>
        <v>186</v>
      </c>
      <c r="M513" s="41" t="n">
        <f aca="false">IFERROR(INDEX(Raw_Expenses!$C$5:$C$2979,MATCH(A513,Raw_Expenses!$A$5:$A$2979,0)),0)</f>
        <v>25.86</v>
      </c>
      <c r="N513" s="41" t="n">
        <f aca="false">L513+M513</f>
        <v>211.86</v>
      </c>
      <c r="O513" s="41" t="n">
        <f aca="false">K513-N513</f>
        <v>120.45</v>
      </c>
      <c r="P513" s="43" t="n">
        <f aca="false">IF(K513=0,0,O513/K513)</f>
        <v>0.362462760675273</v>
      </c>
    </row>
    <row r="514" customFormat="false" ht="15" hidden="false" customHeight="false" outlineLevel="0" collapsed="false">
      <c r="A514" s="39" t="s">
        <v>636</v>
      </c>
      <c r="B514" s="40" t="n">
        <v>45734</v>
      </c>
      <c r="C514" s="39" t="s">
        <v>133</v>
      </c>
      <c r="D514" s="39" t="n">
        <v>2</v>
      </c>
      <c r="E514" s="41" t="n">
        <v>8.77</v>
      </c>
      <c r="F514" s="39" t="s">
        <v>118</v>
      </c>
      <c r="G514" s="39" t="str">
        <f aca="false">VLOOKUP(C514,Products!$A$5:$D$24,2,FALSE())</f>
        <v>Printer Paper Ream</v>
      </c>
      <c r="H514" s="39" t="str">
        <f aca="false">VLOOKUP(C514,Products!$A$5:$D$24,3,FALSE())</f>
        <v>Stationery</v>
      </c>
      <c r="I514" s="41" t="n">
        <f aca="false">VLOOKUP(C514,Products!$A$5:$D$24,4,FALSE())</f>
        <v>4</v>
      </c>
      <c r="J514" s="42" t="n">
        <f aca="false">DATE(YEAR(B514),MONTH(B514),1)</f>
        <v>45717</v>
      </c>
      <c r="K514" s="41" t="n">
        <f aca="false">D514*E514</f>
        <v>17.54</v>
      </c>
      <c r="L514" s="41" t="n">
        <f aca="false">D514*I514</f>
        <v>8</v>
      </c>
      <c r="M514" s="41" t="n">
        <f aca="false">IFERROR(INDEX(Raw_Expenses!$C$5:$C$2979,MATCH(A514,Raw_Expenses!$A$5:$A$2979,0)),0)</f>
        <v>0.77</v>
      </c>
      <c r="N514" s="41" t="n">
        <f aca="false">L514+M514</f>
        <v>8.77</v>
      </c>
      <c r="O514" s="41" t="n">
        <f aca="false">K514-N514</f>
        <v>8.77</v>
      </c>
      <c r="P514" s="43" t="n">
        <f aca="false">IF(K514=0,0,O514/K514)</f>
        <v>0.5</v>
      </c>
    </row>
    <row r="515" customFormat="false" ht="15" hidden="false" customHeight="false" outlineLevel="0" collapsed="false">
      <c r="A515" s="39" t="s">
        <v>637</v>
      </c>
      <c r="B515" s="40" t="n">
        <v>45734</v>
      </c>
      <c r="C515" s="39" t="s">
        <v>126</v>
      </c>
      <c r="D515" s="39" t="n">
        <v>5</v>
      </c>
      <c r="E515" s="41" t="n">
        <v>24.57</v>
      </c>
      <c r="F515" s="39" t="s">
        <v>105</v>
      </c>
      <c r="G515" s="39" t="str">
        <f aca="false">VLOOKUP(C515,Products!$A$5:$D$24,2,FALSE())</f>
        <v>Wireless Mouse</v>
      </c>
      <c r="H515" s="39" t="str">
        <f aca="false">VLOOKUP(C515,Products!$A$5:$D$24,3,FALSE())</f>
        <v>Electronics</v>
      </c>
      <c r="I515" s="41" t="n">
        <f aca="false">VLOOKUP(C515,Products!$A$5:$D$24,4,FALSE())</f>
        <v>12</v>
      </c>
      <c r="J515" s="42" t="n">
        <f aca="false">DATE(YEAR(B515),MONTH(B515),1)</f>
        <v>45717</v>
      </c>
      <c r="K515" s="41" t="n">
        <f aca="false">D515*E515</f>
        <v>122.85</v>
      </c>
      <c r="L515" s="41" t="n">
        <f aca="false">D515*I515</f>
        <v>60</v>
      </c>
      <c r="M515" s="41" t="n">
        <f aca="false">IFERROR(INDEX(Raw_Expenses!$C$5:$C$2979,MATCH(A515,Raw_Expenses!$A$5:$A$2979,0)),0)</f>
        <v>7.36</v>
      </c>
      <c r="N515" s="41" t="n">
        <f aca="false">L515+M515</f>
        <v>67.36</v>
      </c>
      <c r="O515" s="41" t="n">
        <f aca="false">K515-N515</f>
        <v>55.49</v>
      </c>
      <c r="P515" s="43" t="n">
        <f aca="false">IF(K515=0,0,O515/K515)</f>
        <v>0.451689051689052</v>
      </c>
    </row>
    <row r="516" customFormat="false" ht="15" hidden="false" customHeight="false" outlineLevel="0" collapsed="false">
      <c r="A516" s="39" t="s">
        <v>638</v>
      </c>
      <c r="B516" s="40" t="n">
        <v>45734</v>
      </c>
      <c r="C516" s="39" t="s">
        <v>104</v>
      </c>
      <c r="D516" s="39" t="n">
        <v>3</v>
      </c>
      <c r="E516" s="41" t="n">
        <v>15.26</v>
      </c>
      <c r="F516" s="39" t="s">
        <v>115</v>
      </c>
      <c r="G516" s="39" t="str">
        <f aca="false">VLOOKUP(C516,Products!$A$5:$D$24,2,FALSE())</f>
        <v>Water Bottle</v>
      </c>
      <c r="H516" s="39" t="str">
        <f aca="false">VLOOKUP(C516,Products!$A$5:$D$24,3,FALSE())</f>
        <v>Accessories</v>
      </c>
      <c r="I516" s="41" t="n">
        <f aca="false">VLOOKUP(C516,Products!$A$5:$D$24,4,FALSE())</f>
        <v>5</v>
      </c>
      <c r="J516" s="42" t="n">
        <f aca="false">DATE(YEAR(B516),MONTH(B516),1)</f>
        <v>45717</v>
      </c>
      <c r="K516" s="41" t="n">
        <f aca="false">D516*E516</f>
        <v>45.78</v>
      </c>
      <c r="L516" s="41" t="n">
        <f aca="false">D516*I516</f>
        <v>15</v>
      </c>
      <c r="M516" s="41" t="n">
        <f aca="false">IFERROR(INDEX(Raw_Expenses!$C$5:$C$2979,MATCH(A516,Raw_Expenses!$A$5:$A$2979,0)),0)</f>
        <v>2.28</v>
      </c>
      <c r="N516" s="41" t="n">
        <f aca="false">L516+M516</f>
        <v>17.28</v>
      </c>
      <c r="O516" s="41" t="n">
        <f aca="false">K516-N516</f>
        <v>28.5</v>
      </c>
      <c r="P516" s="43" t="n">
        <f aca="false">IF(K516=0,0,O516/K516)</f>
        <v>0.622542595019659</v>
      </c>
    </row>
    <row r="517" customFormat="false" ht="15" hidden="false" customHeight="false" outlineLevel="0" collapsed="false">
      <c r="A517" s="39" t="s">
        <v>639</v>
      </c>
      <c r="B517" s="40" t="n">
        <v>45734</v>
      </c>
      <c r="C517" s="39" t="s">
        <v>128</v>
      </c>
      <c r="D517" s="39" t="n">
        <v>6</v>
      </c>
      <c r="E517" s="41" t="n">
        <v>37.91</v>
      </c>
      <c r="F517" s="39" t="s">
        <v>108</v>
      </c>
      <c r="G517" s="39" t="str">
        <f aca="false">VLOOKUP(C517,Products!$A$5:$D$24,2,FALSE())</f>
        <v>Ergonomic Footrest</v>
      </c>
      <c r="H517" s="39" t="str">
        <f aca="false">VLOOKUP(C517,Products!$A$5:$D$24,3,FALSE())</f>
        <v>Furniture</v>
      </c>
      <c r="I517" s="41" t="n">
        <f aca="false">VLOOKUP(C517,Products!$A$5:$D$24,4,FALSE())</f>
        <v>15</v>
      </c>
      <c r="J517" s="42" t="n">
        <f aca="false">DATE(YEAR(B517),MONTH(B517),1)</f>
        <v>45717</v>
      </c>
      <c r="K517" s="41" t="n">
        <f aca="false">D517*E517</f>
        <v>227.46</v>
      </c>
      <c r="L517" s="41" t="n">
        <f aca="false">D517*I517</f>
        <v>90</v>
      </c>
      <c r="M517" s="41" t="n">
        <f aca="false">IFERROR(INDEX(Raw_Expenses!$C$5:$C$2979,MATCH(A517,Raw_Expenses!$A$5:$A$2979,0)),0)</f>
        <v>11.27</v>
      </c>
      <c r="N517" s="41" t="n">
        <f aca="false">L517+M517</f>
        <v>101.27</v>
      </c>
      <c r="O517" s="41" t="n">
        <f aca="false">K517-N517</f>
        <v>126.19</v>
      </c>
      <c r="P517" s="43" t="n">
        <f aca="false">IF(K517=0,0,O517/K517)</f>
        <v>0.554778862217533</v>
      </c>
    </row>
    <row r="518" customFormat="false" ht="15" hidden="false" customHeight="false" outlineLevel="0" collapsed="false">
      <c r="A518" s="39" t="s">
        <v>640</v>
      </c>
      <c r="B518" s="40" t="n">
        <v>45734</v>
      </c>
      <c r="C518" s="39" t="s">
        <v>117</v>
      </c>
      <c r="D518" s="39" t="n">
        <v>4</v>
      </c>
      <c r="E518" s="41" t="n">
        <v>29.68</v>
      </c>
      <c r="F518" s="39" t="s">
        <v>118</v>
      </c>
      <c r="G518" s="39" t="str">
        <f aca="false">VLOOKUP(C518,Products!$A$5:$D$24,2,FALSE())</f>
        <v>Desk Lamp</v>
      </c>
      <c r="H518" s="39" t="str">
        <f aca="false">VLOOKUP(C518,Products!$A$5:$D$24,3,FALSE())</f>
        <v>Furniture</v>
      </c>
      <c r="I518" s="41" t="n">
        <f aca="false">VLOOKUP(C518,Products!$A$5:$D$24,4,FALSE())</f>
        <v>13</v>
      </c>
      <c r="J518" s="42" t="n">
        <f aca="false">DATE(YEAR(B518),MONTH(B518),1)</f>
        <v>45717</v>
      </c>
      <c r="K518" s="41" t="n">
        <f aca="false">D518*E518</f>
        <v>118.72</v>
      </c>
      <c r="L518" s="41" t="n">
        <f aca="false">D518*I518</f>
        <v>52</v>
      </c>
      <c r="M518" s="41" t="n">
        <f aca="false">IFERROR(INDEX(Raw_Expenses!$C$5:$C$2979,MATCH(A518,Raw_Expenses!$A$5:$A$2979,0)),0)</f>
        <v>7.78</v>
      </c>
      <c r="N518" s="41" t="n">
        <f aca="false">L518+M518</f>
        <v>59.78</v>
      </c>
      <c r="O518" s="41" t="n">
        <f aca="false">K518-N518</f>
        <v>58.94</v>
      </c>
      <c r="P518" s="43" t="n">
        <f aca="false">IF(K518=0,0,O518/K518)</f>
        <v>0.496462264150943</v>
      </c>
    </row>
    <row r="519" customFormat="false" ht="15" hidden="false" customHeight="false" outlineLevel="0" collapsed="false">
      <c r="A519" s="39" t="s">
        <v>641</v>
      </c>
      <c r="B519" s="40" t="n">
        <v>45734</v>
      </c>
      <c r="C519" s="39" t="s">
        <v>114</v>
      </c>
      <c r="D519" s="39" t="n">
        <v>2</v>
      </c>
      <c r="E519" s="41" t="n">
        <v>5.75</v>
      </c>
      <c r="F519" s="39" t="s">
        <v>118</v>
      </c>
      <c r="G519" s="39" t="str">
        <f aca="false">VLOOKUP(C519,Products!$A$5:$D$24,2,FALSE())</f>
        <v>Gel Pen Pack</v>
      </c>
      <c r="H519" s="39" t="str">
        <f aca="false">VLOOKUP(C519,Products!$A$5:$D$24,3,FALSE())</f>
        <v>Stationery</v>
      </c>
      <c r="I519" s="41" t="n">
        <f aca="false">VLOOKUP(C519,Products!$A$5:$D$24,4,FALSE())</f>
        <v>2</v>
      </c>
      <c r="J519" s="42" t="n">
        <f aca="false">DATE(YEAR(B519),MONTH(B519),1)</f>
        <v>45717</v>
      </c>
      <c r="K519" s="41" t="n">
        <f aca="false">D519*E519</f>
        <v>11.5</v>
      </c>
      <c r="L519" s="41" t="n">
        <f aca="false">D519*I519</f>
        <v>4</v>
      </c>
      <c r="M519" s="41" t="n">
        <f aca="false">IFERROR(INDEX(Raw_Expenses!$C$5:$C$2979,MATCH(A519,Raw_Expenses!$A$5:$A$2979,0)),0)</f>
        <v>0.98</v>
      </c>
      <c r="N519" s="41" t="n">
        <f aca="false">L519+M519</f>
        <v>4.98</v>
      </c>
      <c r="O519" s="41" t="n">
        <f aca="false">K519-N519</f>
        <v>6.52</v>
      </c>
      <c r="P519" s="43" t="n">
        <f aca="false">IF(K519=0,0,O519/K519)</f>
        <v>0.56695652173913</v>
      </c>
    </row>
    <row r="520" customFormat="false" ht="15" hidden="false" customHeight="false" outlineLevel="0" collapsed="false">
      <c r="A520" s="39" t="s">
        <v>642</v>
      </c>
      <c r="B520" s="40" t="n">
        <v>45735</v>
      </c>
      <c r="C520" s="39" t="s">
        <v>112</v>
      </c>
      <c r="D520" s="39" t="n">
        <v>5</v>
      </c>
      <c r="E520" s="41" t="n">
        <v>50.8</v>
      </c>
      <c r="F520" s="39" t="s">
        <v>118</v>
      </c>
      <c r="G520" s="39" t="str">
        <f aca="false">VLOOKUP(C520,Products!$A$5:$D$24,2,FALSE())</f>
        <v>HD Webcam</v>
      </c>
      <c r="H520" s="39" t="str">
        <f aca="false">VLOOKUP(C520,Products!$A$5:$D$24,3,FALSE())</f>
        <v>Electronics</v>
      </c>
      <c r="I520" s="41" t="n">
        <f aca="false">VLOOKUP(C520,Products!$A$5:$D$24,4,FALSE())</f>
        <v>22</v>
      </c>
      <c r="J520" s="42" t="n">
        <f aca="false">DATE(YEAR(B520),MONTH(B520),1)</f>
        <v>45717</v>
      </c>
      <c r="K520" s="41" t="n">
        <f aca="false">D520*E520</f>
        <v>254</v>
      </c>
      <c r="L520" s="41" t="n">
        <f aca="false">D520*I520</f>
        <v>110</v>
      </c>
      <c r="M520" s="41" t="n">
        <f aca="false">IFERROR(INDEX(Raw_Expenses!$C$5:$C$2979,MATCH(A520,Raw_Expenses!$A$5:$A$2979,0)),0)</f>
        <v>21.47</v>
      </c>
      <c r="N520" s="41" t="n">
        <f aca="false">L520+M520</f>
        <v>131.47</v>
      </c>
      <c r="O520" s="41" t="n">
        <f aca="false">K520-N520</f>
        <v>122.53</v>
      </c>
      <c r="P520" s="43" t="n">
        <f aca="false">IF(K520=0,0,O520/K520)</f>
        <v>0.48240157480315</v>
      </c>
    </row>
    <row r="521" customFormat="false" ht="15" hidden="false" customHeight="false" outlineLevel="0" collapsed="false">
      <c r="A521" s="39" t="s">
        <v>643</v>
      </c>
      <c r="B521" s="40" t="n">
        <v>45735</v>
      </c>
      <c r="C521" s="39" t="s">
        <v>126</v>
      </c>
      <c r="D521" s="39" t="n">
        <v>3</v>
      </c>
      <c r="E521" s="41" t="n">
        <v>23.38</v>
      </c>
      <c r="F521" s="39" t="s">
        <v>108</v>
      </c>
      <c r="G521" s="39" t="str">
        <f aca="false">VLOOKUP(C521,Products!$A$5:$D$24,2,FALSE())</f>
        <v>Wireless Mouse</v>
      </c>
      <c r="H521" s="39" t="str">
        <f aca="false">VLOOKUP(C521,Products!$A$5:$D$24,3,FALSE())</f>
        <v>Electronics</v>
      </c>
      <c r="I521" s="41" t="n">
        <f aca="false">VLOOKUP(C521,Products!$A$5:$D$24,4,FALSE())</f>
        <v>12</v>
      </c>
      <c r="J521" s="42" t="n">
        <f aca="false">DATE(YEAR(B521),MONTH(B521),1)</f>
        <v>45717</v>
      </c>
      <c r="K521" s="41" t="n">
        <f aca="false">D521*E521</f>
        <v>70.14</v>
      </c>
      <c r="L521" s="41" t="n">
        <f aca="false">D521*I521</f>
        <v>36</v>
      </c>
      <c r="M521" s="41" t="n">
        <f aca="false">IFERROR(INDEX(Raw_Expenses!$C$5:$C$2979,MATCH(A521,Raw_Expenses!$A$5:$A$2979,0)),0)</f>
        <v>6.08</v>
      </c>
      <c r="N521" s="41" t="n">
        <f aca="false">L521+M521</f>
        <v>42.08</v>
      </c>
      <c r="O521" s="41" t="n">
        <f aca="false">K521-N521</f>
        <v>28.06</v>
      </c>
      <c r="P521" s="43" t="n">
        <f aca="false">IF(K521=0,0,O521/K521)</f>
        <v>0.400057028799544</v>
      </c>
    </row>
    <row r="522" customFormat="false" ht="15" hidden="false" customHeight="false" outlineLevel="0" collapsed="false">
      <c r="A522" s="39" t="s">
        <v>644</v>
      </c>
      <c r="B522" s="40" t="n">
        <v>45735</v>
      </c>
      <c r="C522" s="39" t="s">
        <v>126</v>
      </c>
      <c r="D522" s="39" t="n">
        <v>4</v>
      </c>
      <c r="E522" s="41" t="n">
        <v>24.51</v>
      </c>
      <c r="F522" s="39" t="s">
        <v>105</v>
      </c>
      <c r="G522" s="39" t="str">
        <f aca="false">VLOOKUP(C522,Products!$A$5:$D$24,2,FALSE())</f>
        <v>Wireless Mouse</v>
      </c>
      <c r="H522" s="39" t="str">
        <f aca="false">VLOOKUP(C522,Products!$A$5:$D$24,3,FALSE())</f>
        <v>Electronics</v>
      </c>
      <c r="I522" s="41" t="n">
        <f aca="false">VLOOKUP(C522,Products!$A$5:$D$24,4,FALSE())</f>
        <v>12</v>
      </c>
      <c r="J522" s="42" t="n">
        <f aca="false">DATE(YEAR(B522),MONTH(B522),1)</f>
        <v>45717</v>
      </c>
      <c r="K522" s="41" t="n">
        <f aca="false">D522*E522</f>
        <v>98.04</v>
      </c>
      <c r="L522" s="41" t="n">
        <f aca="false">D522*I522</f>
        <v>48</v>
      </c>
      <c r="M522" s="41" t="n">
        <f aca="false">IFERROR(INDEX(Raw_Expenses!$C$5:$C$2979,MATCH(A522,Raw_Expenses!$A$5:$A$2979,0)),0)</f>
        <v>5.32</v>
      </c>
      <c r="N522" s="41" t="n">
        <f aca="false">L522+M522</f>
        <v>53.32</v>
      </c>
      <c r="O522" s="41" t="n">
        <f aca="false">K522-N522</f>
        <v>44.72</v>
      </c>
      <c r="P522" s="43" t="n">
        <f aca="false">IF(K522=0,0,O522/K522)</f>
        <v>0.456140350877193</v>
      </c>
    </row>
    <row r="523" customFormat="false" ht="15" hidden="false" customHeight="false" outlineLevel="0" collapsed="false">
      <c r="A523" s="39" t="s">
        <v>645</v>
      </c>
      <c r="B523" s="40" t="n">
        <v>45735</v>
      </c>
      <c r="C523" s="39" t="s">
        <v>153</v>
      </c>
      <c r="D523" s="39" t="n">
        <v>2</v>
      </c>
      <c r="E523" s="41" t="n">
        <v>166.76</v>
      </c>
      <c r="F523" s="39" t="s">
        <v>105</v>
      </c>
      <c r="G523" s="39" t="str">
        <f aca="false">VLOOKUP(C523,Products!$A$5:$D$24,2,FALSE())</f>
        <v>24-inch Monitor</v>
      </c>
      <c r="H523" s="39" t="str">
        <f aca="false">VLOOKUP(C523,Products!$A$5:$D$24,3,FALSE())</f>
        <v>Electronics</v>
      </c>
      <c r="I523" s="41" t="n">
        <f aca="false">VLOOKUP(C523,Products!$A$5:$D$24,4,FALSE())</f>
        <v>90</v>
      </c>
      <c r="J523" s="42" t="n">
        <f aca="false">DATE(YEAR(B523),MONTH(B523),1)</f>
        <v>45717</v>
      </c>
      <c r="K523" s="41" t="n">
        <f aca="false">D523*E523</f>
        <v>333.52</v>
      </c>
      <c r="L523" s="41" t="n">
        <f aca="false">D523*I523</f>
        <v>180</v>
      </c>
      <c r="M523" s="41" t="n">
        <f aca="false">IFERROR(INDEX(Raw_Expenses!$C$5:$C$2979,MATCH(A523,Raw_Expenses!$A$5:$A$2979,0)),0)</f>
        <v>17.46</v>
      </c>
      <c r="N523" s="41" t="n">
        <f aca="false">L523+M523</f>
        <v>197.46</v>
      </c>
      <c r="O523" s="41" t="n">
        <f aca="false">K523-N523</f>
        <v>136.06</v>
      </c>
      <c r="P523" s="43" t="n">
        <f aca="false">IF(K523=0,0,O523/K523)</f>
        <v>0.407951547133605</v>
      </c>
    </row>
    <row r="524" customFormat="false" ht="15" hidden="false" customHeight="false" outlineLevel="0" collapsed="false">
      <c r="A524" s="39" t="s">
        <v>646</v>
      </c>
      <c r="B524" s="40" t="n">
        <v>45735</v>
      </c>
      <c r="C524" s="39" t="s">
        <v>104</v>
      </c>
      <c r="D524" s="39" t="n">
        <v>2</v>
      </c>
      <c r="E524" s="41" t="n">
        <v>14.77</v>
      </c>
      <c r="F524" s="39" t="s">
        <v>105</v>
      </c>
      <c r="G524" s="39" t="str">
        <f aca="false">VLOOKUP(C524,Products!$A$5:$D$24,2,FALSE())</f>
        <v>Water Bottle</v>
      </c>
      <c r="H524" s="39" t="str">
        <f aca="false">VLOOKUP(C524,Products!$A$5:$D$24,3,FALSE())</f>
        <v>Accessories</v>
      </c>
      <c r="I524" s="41" t="n">
        <f aca="false">VLOOKUP(C524,Products!$A$5:$D$24,4,FALSE())</f>
        <v>5</v>
      </c>
      <c r="J524" s="42" t="n">
        <f aca="false">DATE(YEAR(B524),MONTH(B524),1)</f>
        <v>45717</v>
      </c>
      <c r="K524" s="41" t="n">
        <f aca="false">D524*E524</f>
        <v>29.54</v>
      </c>
      <c r="L524" s="41" t="n">
        <f aca="false">D524*I524</f>
        <v>10</v>
      </c>
      <c r="M524" s="41" t="n">
        <f aca="false">IFERROR(INDEX(Raw_Expenses!$C$5:$C$2979,MATCH(A524,Raw_Expenses!$A$5:$A$2979,0)),0)</f>
        <v>2.15</v>
      </c>
      <c r="N524" s="41" t="n">
        <f aca="false">L524+M524</f>
        <v>12.15</v>
      </c>
      <c r="O524" s="41" t="n">
        <f aca="false">K524-N524</f>
        <v>17.39</v>
      </c>
      <c r="P524" s="43" t="n">
        <f aca="false">IF(K524=0,0,O524/K524)</f>
        <v>0.588693297224103</v>
      </c>
    </row>
    <row r="525" customFormat="false" ht="15" hidden="false" customHeight="false" outlineLevel="0" collapsed="false">
      <c r="A525" s="39" t="s">
        <v>647</v>
      </c>
      <c r="B525" s="40" t="n">
        <v>45735</v>
      </c>
      <c r="C525" s="39" t="s">
        <v>117</v>
      </c>
      <c r="D525" s="39" t="n">
        <v>5</v>
      </c>
      <c r="E525" s="41" t="n">
        <v>30.04</v>
      </c>
      <c r="F525" s="39" t="s">
        <v>118</v>
      </c>
      <c r="G525" s="39" t="str">
        <f aca="false">VLOOKUP(C525,Products!$A$5:$D$24,2,FALSE())</f>
        <v>Desk Lamp</v>
      </c>
      <c r="H525" s="39" t="str">
        <f aca="false">VLOOKUP(C525,Products!$A$5:$D$24,3,FALSE())</f>
        <v>Furniture</v>
      </c>
      <c r="I525" s="41" t="n">
        <f aca="false">VLOOKUP(C525,Products!$A$5:$D$24,4,FALSE())</f>
        <v>13</v>
      </c>
      <c r="J525" s="42" t="n">
        <f aca="false">DATE(YEAR(B525),MONTH(B525),1)</f>
        <v>45717</v>
      </c>
      <c r="K525" s="41" t="n">
        <f aca="false">D525*E525</f>
        <v>150.2</v>
      </c>
      <c r="L525" s="41" t="n">
        <f aca="false">D525*I525</f>
        <v>65</v>
      </c>
      <c r="M525" s="41" t="n">
        <f aca="false">IFERROR(INDEX(Raw_Expenses!$C$5:$C$2979,MATCH(A525,Raw_Expenses!$A$5:$A$2979,0)),0)</f>
        <v>13.41</v>
      </c>
      <c r="N525" s="41" t="n">
        <f aca="false">L525+M525</f>
        <v>78.41</v>
      </c>
      <c r="O525" s="41" t="n">
        <f aca="false">K525-N525</f>
        <v>71.79</v>
      </c>
      <c r="P525" s="43" t="n">
        <f aca="false">IF(K525=0,0,O525/K525)</f>
        <v>0.477962716378162</v>
      </c>
    </row>
    <row r="526" customFormat="false" ht="15" hidden="false" customHeight="false" outlineLevel="0" collapsed="false">
      <c r="A526" s="39" t="s">
        <v>648</v>
      </c>
      <c r="B526" s="40" t="n">
        <v>45735</v>
      </c>
      <c r="C526" s="39" t="s">
        <v>107</v>
      </c>
      <c r="D526" s="39" t="n">
        <v>3</v>
      </c>
      <c r="E526" s="41" t="n">
        <v>34.66</v>
      </c>
      <c r="F526" s="39" t="s">
        <v>118</v>
      </c>
      <c r="G526" s="39" t="str">
        <f aca="false">VLOOKUP(C526,Products!$A$5:$D$24,2,FALSE())</f>
        <v>USB-C Hub</v>
      </c>
      <c r="H526" s="39" t="str">
        <f aca="false">VLOOKUP(C526,Products!$A$5:$D$24,3,FALSE())</f>
        <v>Electronics</v>
      </c>
      <c r="I526" s="41" t="n">
        <f aca="false">VLOOKUP(C526,Products!$A$5:$D$24,4,FALSE())</f>
        <v>14</v>
      </c>
      <c r="J526" s="42" t="n">
        <f aca="false">DATE(YEAR(B526),MONTH(B526),1)</f>
        <v>45717</v>
      </c>
      <c r="K526" s="41" t="n">
        <f aca="false">D526*E526</f>
        <v>103.98</v>
      </c>
      <c r="L526" s="41" t="n">
        <f aca="false">D526*I526</f>
        <v>42</v>
      </c>
      <c r="M526" s="41" t="n">
        <f aca="false">IFERROR(INDEX(Raw_Expenses!$C$5:$C$2979,MATCH(A526,Raw_Expenses!$A$5:$A$2979,0)),0)</f>
        <v>5.72</v>
      </c>
      <c r="N526" s="41" t="n">
        <f aca="false">L526+M526</f>
        <v>47.72</v>
      </c>
      <c r="O526" s="41" t="n">
        <f aca="false">K526-N526</f>
        <v>56.26</v>
      </c>
      <c r="P526" s="43" t="n">
        <f aca="false">IF(K526=0,0,O526/K526)</f>
        <v>0.541065589536449</v>
      </c>
    </row>
    <row r="527" customFormat="false" ht="15" hidden="false" customHeight="false" outlineLevel="0" collapsed="false">
      <c r="A527" s="39" t="s">
        <v>649</v>
      </c>
      <c r="B527" s="40" t="n">
        <v>45735</v>
      </c>
      <c r="C527" s="39" t="s">
        <v>121</v>
      </c>
      <c r="D527" s="39" t="n">
        <v>3</v>
      </c>
      <c r="E527" s="41" t="n">
        <v>118.03</v>
      </c>
      <c r="F527" s="39" t="s">
        <v>105</v>
      </c>
      <c r="G527" s="39" t="str">
        <f aca="false">VLOOKUP(C527,Products!$A$5:$D$24,2,FALSE())</f>
        <v>External SSD 1TB</v>
      </c>
      <c r="H527" s="39" t="str">
        <f aca="false">VLOOKUP(C527,Products!$A$5:$D$24,3,FALSE())</f>
        <v>Electronics</v>
      </c>
      <c r="I527" s="41" t="n">
        <f aca="false">VLOOKUP(C527,Products!$A$5:$D$24,4,FALSE())</f>
        <v>62</v>
      </c>
      <c r="J527" s="42" t="n">
        <f aca="false">DATE(YEAR(B527),MONTH(B527),1)</f>
        <v>45717</v>
      </c>
      <c r="K527" s="41" t="n">
        <f aca="false">D527*E527</f>
        <v>354.09</v>
      </c>
      <c r="L527" s="41" t="n">
        <f aca="false">D527*I527</f>
        <v>186</v>
      </c>
      <c r="M527" s="41" t="n">
        <f aca="false">IFERROR(INDEX(Raw_Expenses!$C$5:$C$2979,MATCH(A527,Raw_Expenses!$A$5:$A$2979,0)),0)</f>
        <v>24.89</v>
      </c>
      <c r="N527" s="41" t="n">
        <f aca="false">L527+M527</f>
        <v>210.89</v>
      </c>
      <c r="O527" s="41" t="n">
        <f aca="false">K527-N527</f>
        <v>143.2</v>
      </c>
      <c r="P527" s="43" t="n">
        <f aca="false">IF(K527=0,0,O527/K527)</f>
        <v>0.404416956141094</v>
      </c>
    </row>
    <row r="528" customFormat="false" ht="15" hidden="false" customHeight="false" outlineLevel="0" collapsed="false">
      <c r="A528" s="39" t="s">
        <v>650</v>
      </c>
      <c r="B528" s="40" t="n">
        <v>45735</v>
      </c>
      <c r="C528" s="39" t="s">
        <v>114</v>
      </c>
      <c r="D528" s="39" t="n">
        <v>1</v>
      </c>
      <c r="E528" s="41" t="n">
        <v>5.92</v>
      </c>
      <c r="F528" s="39" t="s">
        <v>118</v>
      </c>
      <c r="G528" s="39" t="str">
        <f aca="false">VLOOKUP(C528,Products!$A$5:$D$24,2,FALSE())</f>
        <v>Gel Pen Pack</v>
      </c>
      <c r="H528" s="39" t="str">
        <f aca="false">VLOOKUP(C528,Products!$A$5:$D$24,3,FALSE())</f>
        <v>Stationery</v>
      </c>
      <c r="I528" s="41" t="n">
        <f aca="false">VLOOKUP(C528,Products!$A$5:$D$24,4,FALSE())</f>
        <v>2</v>
      </c>
      <c r="J528" s="42" t="n">
        <f aca="false">DATE(YEAR(B528),MONTH(B528),1)</f>
        <v>45717</v>
      </c>
      <c r="K528" s="41" t="n">
        <f aca="false">D528*E528</f>
        <v>5.92</v>
      </c>
      <c r="L528" s="41" t="n">
        <f aca="false">D528*I528</f>
        <v>2</v>
      </c>
      <c r="M528" s="41" t="n">
        <f aca="false">IFERROR(INDEX(Raw_Expenses!$C$5:$C$2979,MATCH(A528,Raw_Expenses!$A$5:$A$2979,0)),0)</f>
        <v>0.39</v>
      </c>
      <c r="N528" s="41" t="n">
        <f aca="false">L528+M528</f>
        <v>2.39</v>
      </c>
      <c r="O528" s="41" t="n">
        <f aca="false">K528-N528</f>
        <v>3.53</v>
      </c>
      <c r="P528" s="43" t="n">
        <f aca="false">IF(K528=0,0,O528/K528)</f>
        <v>0.596283783783784</v>
      </c>
    </row>
    <row r="529" customFormat="false" ht="15" hidden="false" customHeight="false" outlineLevel="0" collapsed="false">
      <c r="A529" s="39" t="s">
        <v>651</v>
      </c>
      <c r="B529" s="40" t="n">
        <v>45735</v>
      </c>
      <c r="C529" s="39" t="s">
        <v>126</v>
      </c>
      <c r="D529" s="39" t="n">
        <v>2</v>
      </c>
      <c r="E529" s="41" t="n">
        <v>24.42</v>
      </c>
      <c r="F529" s="39" t="s">
        <v>118</v>
      </c>
      <c r="G529" s="39" t="str">
        <f aca="false">VLOOKUP(C529,Products!$A$5:$D$24,2,FALSE())</f>
        <v>Wireless Mouse</v>
      </c>
      <c r="H529" s="39" t="str">
        <f aca="false">VLOOKUP(C529,Products!$A$5:$D$24,3,FALSE())</f>
        <v>Electronics</v>
      </c>
      <c r="I529" s="41" t="n">
        <f aca="false">VLOOKUP(C529,Products!$A$5:$D$24,4,FALSE())</f>
        <v>12</v>
      </c>
      <c r="J529" s="42" t="n">
        <f aca="false">DATE(YEAR(B529),MONTH(B529),1)</f>
        <v>45717</v>
      </c>
      <c r="K529" s="41" t="n">
        <f aca="false">D529*E529</f>
        <v>48.84</v>
      </c>
      <c r="L529" s="41" t="n">
        <f aca="false">D529*I529</f>
        <v>24</v>
      </c>
      <c r="M529" s="41" t="n">
        <f aca="false">IFERROR(INDEX(Raw_Expenses!$C$5:$C$2979,MATCH(A529,Raw_Expenses!$A$5:$A$2979,0)),0)</f>
        <v>2.01</v>
      </c>
      <c r="N529" s="41" t="n">
        <f aca="false">L529+M529</f>
        <v>26.01</v>
      </c>
      <c r="O529" s="41" t="n">
        <f aca="false">K529-N529</f>
        <v>22.83</v>
      </c>
      <c r="P529" s="43" t="n">
        <f aca="false">IF(K529=0,0,O529/K529)</f>
        <v>0.467444717444718</v>
      </c>
    </row>
    <row r="530" customFormat="false" ht="15" hidden="false" customHeight="false" outlineLevel="0" collapsed="false">
      <c r="A530" s="39" t="s">
        <v>652</v>
      </c>
      <c r="B530" s="40" t="n">
        <v>45735</v>
      </c>
      <c r="C530" s="39" t="s">
        <v>110</v>
      </c>
      <c r="D530" s="39" t="n">
        <v>1</v>
      </c>
      <c r="E530" s="41" t="n">
        <v>13.49</v>
      </c>
      <c r="F530" s="39" t="s">
        <v>108</v>
      </c>
      <c r="G530" s="39" t="str">
        <f aca="false">VLOOKUP(C530,Products!$A$5:$D$24,2,FALSE())</f>
        <v>Phone Stand</v>
      </c>
      <c r="H530" s="39" t="str">
        <f aca="false">VLOOKUP(C530,Products!$A$5:$D$24,3,FALSE())</f>
        <v>Accessories</v>
      </c>
      <c r="I530" s="41" t="n">
        <f aca="false">VLOOKUP(C530,Products!$A$5:$D$24,4,FALSE())</f>
        <v>4</v>
      </c>
      <c r="J530" s="42" t="n">
        <f aca="false">DATE(YEAR(B530),MONTH(B530),1)</f>
        <v>45717</v>
      </c>
      <c r="K530" s="41" t="n">
        <f aca="false">D530*E530</f>
        <v>13.49</v>
      </c>
      <c r="L530" s="41" t="n">
        <f aca="false">D530*I530</f>
        <v>4</v>
      </c>
      <c r="M530" s="41" t="n">
        <f aca="false">IFERROR(INDEX(Raw_Expenses!$C$5:$C$2979,MATCH(A530,Raw_Expenses!$A$5:$A$2979,0)),0)</f>
        <v>0.65</v>
      </c>
      <c r="N530" s="41" t="n">
        <f aca="false">L530+M530</f>
        <v>4.65</v>
      </c>
      <c r="O530" s="41" t="n">
        <f aca="false">K530-N530</f>
        <v>8.84</v>
      </c>
      <c r="P530" s="43" t="n">
        <f aca="false">IF(K530=0,0,O530/K530)</f>
        <v>0.655300222386953</v>
      </c>
    </row>
    <row r="531" customFormat="false" ht="15" hidden="false" customHeight="false" outlineLevel="0" collapsed="false">
      <c r="A531" s="39" t="s">
        <v>653</v>
      </c>
      <c r="B531" s="40" t="n">
        <v>45736</v>
      </c>
      <c r="C531" s="39" t="s">
        <v>133</v>
      </c>
      <c r="D531" s="39" t="n">
        <v>5</v>
      </c>
      <c r="E531" s="41" t="n">
        <v>8.86</v>
      </c>
      <c r="F531" s="39" t="s">
        <v>108</v>
      </c>
      <c r="G531" s="39" t="str">
        <f aca="false">VLOOKUP(C531,Products!$A$5:$D$24,2,FALSE())</f>
        <v>Printer Paper Ream</v>
      </c>
      <c r="H531" s="39" t="str">
        <f aca="false">VLOOKUP(C531,Products!$A$5:$D$24,3,FALSE())</f>
        <v>Stationery</v>
      </c>
      <c r="I531" s="41" t="n">
        <f aca="false">VLOOKUP(C531,Products!$A$5:$D$24,4,FALSE())</f>
        <v>4</v>
      </c>
      <c r="J531" s="42" t="n">
        <f aca="false">DATE(YEAR(B531),MONTH(B531),1)</f>
        <v>45717</v>
      </c>
      <c r="K531" s="41" t="n">
        <f aca="false">D531*E531</f>
        <v>44.3</v>
      </c>
      <c r="L531" s="41" t="n">
        <f aca="false">D531*I531</f>
        <v>20</v>
      </c>
      <c r="M531" s="41" t="n">
        <f aca="false">IFERROR(INDEX(Raw_Expenses!$C$5:$C$2979,MATCH(A531,Raw_Expenses!$A$5:$A$2979,0)),0)</f>
        <v>3.18</v>
      </c>
      <c r="N531" s="41" t="n">
        <f aca="false">L531+M531</f>
        <v>23.18</v>
      </c>
      <c r="O531" s="41" t="n">
        <f aca="false">K531-N531</f>
        <v>21.12</v>
      </c>
      <c r="P531" s="43" t="n">
        <f aca="false">IF(K531=0,0,O531/K531)</f>
        <v>0.476749435665914</v>
      </c>
    </row>
    <row r="532" customFormat="false" ht="15" hidden="false" customHeight="false" outlineLevel="0" collapsed="false">
      <c r="A532" s="39" t="s">
        <v>654</v>
      </c>
      <c r="B532" s="40" t="n">
        <v>45736</v>
      </c>
      <c r="C532" s="39" t="s">
        <v>133</v>
      </c>
      <c r="D532" s="39" t="n">
        <v>2</v>
      </c>
      <c r="E532" s="41" t="n">
        <v>8.43</v>
      </c>
      <c r="F532" s="39" t="s">
        <v>108</v>
      </c>
      <c r="G532" s="39" t="str">
        <f aca="false">VLOOKUP(C532,Products!$A$5:$D$24,2,FALSE())</f>
        <v>Printer Paper Ream</v>
      </c>
      <c r="H532" s="39" t="str">
        <f aca="false">VLOOKUP(C532,Products!$A$5:$D$24,3,FALSE())</f>
        <v>Stationery</v>
      </c>
      <c r="I532" s="41" t="n">
        <f aca="false">VLOOKUP(C532,Products!$A$5:$D$24,4,FALSE())</f>
        <v>4</v>
      </c>
      <c r="J532" s="42" t="n">
        <f aca="false">DATE(YEAR(B532),MONTH(B532),1)</f>
        <v>45717</v>
      </c>
      <c r="K532" s="41" t="n">
        <f aca="false">D532*E532</f>
        <v>16.86</v>
      </c>
      <c r="L532" s="41" t="n">
        <f aca="false">D532*I532</f>
        <v>8</v>
      </c>
      <c r="M532" s="41" t="n">
        <f aca="false">IFERROR(INDEX(Raw_Expenses!$C$5:$C$2979,MATCH(A532,Raw_Expenses!$A$5:$A$2979,0)),0)</f>
        <v>0.97</v>
      </c>
      <c r="N532" s="41" t="n">
        <f aca="false">L532+M532</f>
        <v>8.97</v>
      </c>
      <c r="O532" s="41" t="n">
        <f aca="false">K532-N532</f>
        <v>7.89</v>
      </c>
      <c r="P532" s="43" t="n">
        <f aca="false">IF(K532=0,0,O532/K532)</f>
        <v>0.46797153024911</v>
      </c>
    </row>
    <row r="533" customFormat="false" ht="15" hidden="false" customHeight="false" outlineLevel="0" collapsed="false">
      <c r="A533" s="39" t="s">
        <v>655</v>
      </c>
      <c r="B533" s="40" t="n">
        <v>45736</v>
      </c>
      <c r="C533" s="39" t="s">
        <v>104</v>
      </c>
      <c r="D533" s="39" t="n">
        <v>2</v>
      </c>
      <c r="E533" s="41" t="n">
        <v>14.77</v>
      </c>
      <c r="F533" s="39" t="s">
        <v>115</v>
      </c>
      <c r="G533" s="39" t="str">
        <f aca="false">VLOOKUP(C533,Products!$A$5:$D$24,2,FALSE())</f>
        <v>Water Bottle</v>
      </c>
      <c r="H533" s="39" t="str">
        <f aca="false">VLOOKUP(C533,Products!$A$5:$D$24,3,FALSE())</f>
        <v>Accessories</v>
      </c>
      <c r="I533" s="41" t="n">
        <f aca="false">VLOOKUP(C533,Products!$A$5:$D$24,4,FALSE())</f>
        <v>5</v>
      </c>
      <c r="J533" s="42" t="n">
        <f aca="false">DATE(YEAR(B533),MONTH(B533),1)</f>
        <v>45717</v>
      </c>
      <c r="K533" s="41" t="n">
        <f aca="false">D533*E533</f>
        <v>29.54</v>
      </c>
      <c r="L533" s="41" t="n">
        <f aca="false">D533*I533</f>
        <v>10</v>
      </c>
      <c r="M533" s="41" t="n">
        <f aca="false">IFERROR(INDEX(Raw_Expenses!$C$5:$C$2979,MATCH(A533,Raw_Expenses!$A$5:$A$2979,0)),0)</f>
        <v>1.6</v>
      </c>
      <c r="N533" s="41" t="n">
        <f aca="false">L533+M533</f>
        <v>11.6</v>
      </c>
      <c r="O533" s="41" t="n">
        <f aca="false">K533-N533</f>
        <v>17.94</v>
      </c>
      <c r="P533" s="43" t="n">
        <f aca="false">IF(K533=0,0,O533/K533)</f>
        <v>0.60731211916046</v>
      </c>
    </row>
    <row r="534" customFormat="false" ht="15" hidden="false" customHeight="false" outlineLevel="0" collapsed="false">
      <c r="A534" s="39" t="s">
        <v>656</v>
      </c>
      <c r="B534" s="40" t="n">
        <v>45736</v>
      </c>
      <c r="C534" s="39" t="s">
        <v>162</v>
      </c>
      <c r="D534" s="39" t="n">
        <v>1</v>
      </c>
      <c r="E534" s="41" t="n">
        <v>67.79</v>
      </c>
      <c r="F534" s="39" t="s">
        <v>105</v>
      </c>
      <c r="G534" s="39" t="str">
        <f aca="false">VLOOKUP(C534,Products!$A$5:$D$24,2,FALSE())</f>
        <v>Bluetooth Speaker</v>
      </c>
      <c r="H534" s="39" t="str">
        <f aca="false">VLOOKUP(C534,Products!$A$5:$D$24,3,FALSE())</f>
        <v>Electronics</v>
      </c>
      <c r="I534" s="41" t="n">
        <f aca="false">VLOOKUP(C534,Products!$A$5:$D$24,4,FALSE())</f>
        <v>28</v>
      </c>
      <c r="J534" s="42" t="n">
        <f aca="false">DATE(YEAR(B534),MONTH(B534),1)</f>
        <v>45717</v>
      </c>
      <c r="K534" s="41" t="n">
        <f aca="false">D534*E534</f>
        <v>67.79</v>
      </c>
      <c r="L534" s="41" t="n">
        <f aca="false">D534*I534</f>
        <v>28</v>
      </c>
      <c r="M534" s="41" t="n">
        <f aca="false">IFERROR(INDEX(Raw_Expenses!$C$5:$C$2979,MATCH(A534,Raw_Expenses!$A$5:$A$2979,0)),0)</f>
        <v>4.46</v>
      </c>
      <c r="N534" s="41" t="n">
        <f aca="false">L534+M534</f>
        <v>32.46</v>
      </c>
      <c r="O534" s="41" t="n">
        <f aca="false">K534-N534</f>
        <v>35.33</v>
      </c>
      <c r="P534" s="43" t="n">
        <f aca="false">IF(K534=0,0,O534/K534)</f>
        <v>0.521168313910606</v>
      </c>
    </row>
    <row r="535" customFormat="false" ht="15" hidden="false" customHeight="false" outlineLevel="0" collapsed="false">
      <c r="A535" s="39" t="s">
        <v>657</v>
      </c>
      <c r="B535" s="40" t="n">
        <v>45737</v>
      </c>
      <c r="C535" s="39" t="s">
        <v>117</v>
      </c>
      <c r="D535" s="39" t="n">
        <v>3</v>
      </c>
      <c r="E535" s="41" t="n">
        <v>31.03</v>
      </c>
      <c r="F535" s="39" t="s">
        <v>108</v>
      </c>
      <c r="G535" s="39" t="str">
        <f aca="false">VLOOKUP(C535,Products!$A$5:$D$24,2,FALSE())</f>
        <v>Desk Lamp</v>
      </c>
      <c r="H535" s="39" t="str">
        <f aca="false">VLOOKUP(C535,Products!$A$5:$D$24,3,FALSE())</f>
        <v>Furniture</v>
      </c>
      <c r="I535" s="41" t="n">
        <f aca="false">VLOOKUP(C535,Products!$A$5:$D$24,4,FALSE())</f>
        <v>13</v>
      </c>
      <c r="J535" s="42" t="n">
        <f aca="false">DATE(YEAR(B535),MONTH(B535),1)</f>
        <v>45717</v>
      </c>
      <c r="K535" s="41" t="n">
        <f aca="false">D535*E535</f>
        <v>93.09</v>
      </c>
      <c r="L535" s="41" t="n">
        <f aca="false">D535*I535</f>
        <v>39</v>
      </c>
      <c r="M535" s="41" t="n">
        <f aca="false">IFERROR(INDEX(Raw_Expenses!$C$5:$C$2979,MATCH(A535,Raw_Expenses!$A$5:$A$2979,0)),0)</f>
        <v>5.24</v>
      </c>
      <c r="N535" s="41" t="n">
        <f aca="false">L535+M535</f>
        <v>44.24</v>
      </c>
      <c r="O535" s="41" t="n">
        <f aca="false">K535-N535</f>
        <v>48.85</v>
      </c>
      <c r="P535" s="43" t="n">
        <f aca="false">IF(K535=0,0,O535/K535)</f>
        <v>0.524760983993984</v>
      </c>
    </row>
    <row r="536" customFormat="false" ht="15" hidden="false" customHeight="false" outlineLevel="0" collapsed="false">
      <c r="A536" s="39" t="s">
        <v>658</v>
      </c>
      <c r="B536" s="40" t="n">
        <v>45737</v>
      </c>
      <c r="C536" s="39" t="s">
        <v>121</v>
      </c>
      <c r="D536" s="39" t="n">
        <v>8</v>
      </c>
      <c r="E536" s="41" t="n">
        <v>112.2</v>
      </c>
      <c r="F536" s="39" t="s">
        <v>105</v>
      </c>
      <c r="G536" s="39" t="str">
        <f aca="false">VLOOKUP(C536,Products!$A$5:$D$24,2,FALSE())</f>
        <v>External SSD 1TB</v>
      </c>
      <c r="H536" s="39" t="str">
        <f aca="false">VLOOKUP(C536,Products!$A$5:$D$24,3,FALSE())</f>
        <v>Electronics</v>
      </c>
      <c r="I536" s="41" t="n">
        <f aca="false">VLOOKUP(C536,Products!$A$5:$D$24,4,FALSE())</f>
        <v>62</v>
      </c>
      <c r="J536" s="42" t="n">
        <f aca="false">DATE(YEAR(B536),MONTH(B536),1)</f>
        <v>45717</v>
      </c>
      <c r="K536" s="41" t="n">
        <f aca="false">D536*E536</f>
        <v>897.6</v>
      </c>
      <c r="L536" s="41" t="n">
        <f aca="false">D536*I536</f>
        <v>496</v>
      </c>
      <c r="M536" s="41" t="n">
        <f aca="false">IFERROR(INDEX(Raw_Expenses!$C$5:$C$2979,MATCH(A536,Raw_Expenses!$A$5:$A$2979,0)),0)</f>
        <v>70.63</v>
      </c>
      <c r="N536" s="41" t="n">
        <f aca="false">L536+M536</f>
        <v>566.63</v>
      </c>
      <c r="O536" s="41" t="n">
        <f aca="false">K536-N536</f>
        <v>330.97</v>
      </c>
      <c r="P536" s="43" t="n">
        <f aca="false">IF(K536=0,0,O536/K536)</f>
        <v>0.368727718360071</v>
      </c>
    </row>
    <row r="537" customFormat="false" ht="15" hidden="false" customHeight="false" outlineLevel="0" collapsed="false">
      <c r="A537" s="39" t="s">
        <v>659</v>
      </c>
      <c r="B537" s="40" t="n">
        <v>45737</v>
      </c>
      <c r="C537" s="39" t="s">
        <v>114</v>
      </c>
      <c r="D537" s="39" t="n">
        <v>1</v>
      </c>
      <c r="E537" s="41" t="n">
        <v>5.78</v>
      </c>
      <c r="F537" s="39" t="s">
        <v>105</v>
      </c>
      <c r="G537" s="39" t="str">
        <f aca="false">VLOOKUP(C537,Products!$A$5:$D$24,2,FALSE())</f>
        <v>Gel Pen Pack</v>
      </c>
      <c r="H537" s="39" t="str">
        <f aca="false">VLOOKUP(C537,Products!$A$5:$D$24,3,FALSE())</f>
        <v>Stationery</v>
      </c>
      <c r="I537" s="41" t="n">
        <f aca="false">VLOOKUP(C537,Products!$A$5:$D$24,4,FALSE())</f>
        <v>2</v>
      </c>
      <c r="J537" s="42" t="n">
        <f aca="false">DATE(YEAR(B537),MONTH(B537),1)</f>
        <v>45717</v>
      </c>
      <c r="K537" s="41" t="n">
        <f aca="false">D537*E537</f>
        <v>5.78</v>
      </c>
      <c r="L537" s="41" t="n">
        <f aca="false">D537*I537</f>
        <v>2</v>
      </c>
      <c r="M537" s="41" t="n">
        <f aca="false">IFERROR(INDEX(Raw_Expenses!$C$5:$C$2979,MATCH(A537,Raw_Expenses!$A$5:$A$2979,0)),0)</f>
        <v>0.36</v>
      </c>
      <c r="N537" s="41" t="n">
        <f aca="false">L537+M537</f>
        <v>2.36</v>
      </c>
      <c r="O537" s="41" t="n">
        <f aca="false">K537-N537</f>
        <v>3.42</v>
      </c>
      <c r="P537" s="43" t="n">
        <f aca="false">IF(K537=0,0,O537/K537)</f>
        <v>0.591695501730104</v>
      </c>
    </row>
    <row r="538" customFormat="false" ht="15" hidden="false" customHeight="false" outlineLevel="0" collapsed="false">
      <c r="A538" s="39" t="s">
        <v>660</v>
      </c>
      <c r="B538" s="40" t="n">
        <v>45737</v>
      </c>
      <c r="C538" s="39" t="s">
        <v>107</v>
      </c>
      <c r="D538" s="39" t="n">
        <v>1</v>
      </c>
      <c r="E538" s="41" t="n">
        <v>34.36</v>
      </c>
      <c r="F538" s="39" t="s">
        <v>108</v>
      </c>
      <c r="G538" s="39" t="str">
        <f aca="false">VLOOKUP(C538,Products!$A$5:$D$24,2,FALSE())</f>
        <v>USB-C Hub</v>
      </c>
      <c r="H538" s="39" t="str">
        <f aca="false">VLOOKUP(C538,Products!$A$5:$D$24,3,FALSE())</f>
        <v>Electronics</v>
      </c>
      <c r="I538" s="41" t="n">
        <f aca="false">VLOOKUP(C538,Products!$A$5:$D$24,4,FALSE())</f>
        <v>14</v>
      </c>
      <c r="J538" s="42" t="n">
        <f aca="false">DATE(YEAR(B538),MONTH(B538),1)</f>
        <v>45717</v>
      </c>
      <c r="K538" s="41" t="n">
        <f aca="false">D538*E538</f>
        <v>34.36</v>
      </c>
      <c r="L538" s="41" t="n">
        <f aca="false">D538*I538</f>
        <v>14</v>
      </c>
      <c r="M538" s="41" t="n">
        <f aca="false">IFERROR(INDEX(Raw_Expenses!$C$5:$C$2979,MATCH(A538,Raw_Expenses!$A$5:$A$2979,0)),0)</f>
        <v>3.03</v>
      </c>
      <c r="N538" s="41" t="n">
        <f aca="false">L538+M538</f>
        <v>17.03</v>
      </c>
      <c r="O538" s="41" t="n">
        <f aca="false">K538-N538</f>
        <v>17.33</v>
      </c>
      <c r="P538" s="43" t="n">
        <f aca="false">IF(K538=0,0,O538/K538)</f>
        <v>0.504365541327125</v>
      </c>
    </row>
    <row r="539" customFormat="false" ht="15" hidden="false" customHeight="false" outlineLevel="0" collapsed="false">
      <c r="A539" s="39" t="s">
        <v>661</v>
      </c>
      <c r="B539" s="40" t="n">
        <v>45737</v>
      </c>
      <c r="C539" s="39" t="s">
        <v>114</v>
      </c>
      <c r="D539" s="39" t="n">
        <v>1</v>
      </c>
      <c r="E539" s="41" t="n">
        <v>5.88</v>
      </c>
      <c r="F539" s="39" t="s">
        <v>105</v>
      </c>
      <c r="G539" s="39" t="str">
        <f aca="false">VLOOKUP(C539,Products!$A$5:$D$24,2,FALSE())</f>
        <v>Gel Pen Pack</v>
      </c>
      <c r="H539" s="39" t="str">
        <f aca="false">VLOOKUP(C539,Products!$A$5:$D$24,3,FALSE())</f>
        <v>Stationery</v>
      </c>
      <c r="I539" s="41" t="n">
        <f aca="false">VLOOKUP(C539,Products!$A$5:$D$24,4,FALSE())</f>
        <v>2</v>
      </c>
      <c r="J539" s="42" t="n">
        <f aca="false">DATE(YEAR(B539),MONTH(B539),1)</f>
        <v>45717</v>
      </c>
      <c r="K539" s="41" t="n">
        <f aca="false">D539*E539</f>
        <v>5.88</v>
      </c>
      <c r="L539" s="41" t="n">
        <f aca="false">D539*I539</f>
        <v>2</v>
      </c>
      <c r="M539" s="41" t="n">
        <f aca="false">IFERROR(INDEX(Raw_Expenses!$C$5:$C$2979,MATCH(A539,Raw_Expenses!$A$5:$A$2979,0)),0)</f>
        <v>0.28</v>
      </c>
      <c r="N539" s="41" t="n">
        <f aca="false">L539+M539</f>
        <v>2.28</v>
      </c>
      <c r="O539" s="41" t="n">
        <f aca="false">K539-N539</f>
        <v>3.6</v>
      </c>
      <c r="P539" s="43" t="n">
        <f aca="false">IF(K539=0,0,O539/K539)</f>
        <v>0.612244897959184</v>
      </c>
    </row>
    <row r="540" customFormat="false" ht="15" hidden="false" customHeight="false" outlineLevel="0" collapsed="false">
      <c r="A540" s="39" t="s">
        <v>662</v>
      </c>
      <c r="B540" s="40" t="n">
        <v>45737</v>
      </c>
      <c r="C540" s="39" t="s">
        <v>107</v>
      </c>
      <c r="D540" s="39" t="n">
        <v>2</v>
      </c>
      <c r="E540" s="41" t="n">
        <v>34.27</v>
      </c>
      <c r="F540" s="39" t="s">
        <v>105</v>
      </c>
      <c r="G540" s="39" t="str">
        <f aca="false">VLOOKUP(C540,Products!$A$5:$D$24,2,FALSE())</f>
        <v>USB-C Hub</v>
      </c>
      <c r="H540" s="39" t="str">
        <f aca="false">VLOOKUP(C540,Products!$A$5:$D$24,3,FALSE())</f>
        <v>Electronics</v>
      </c>
      <c r="I540" s="41" t="n">
        <f aca="false">VLOOKUP(C540,Products!$A$5:$D$24,4,FALSE())</f>
        <v>14</v>
      </c>
      <c r="J540" s="42" t="n">
        <f aca="false">DATE(YEAR(B540),MONTH(B540),1)</f>
        <v>45717</v>
      </c>
      <c r="K540" s="41" t="n">
        <f aca="false">D540*E540</f>
        <v>68.54</v>
      </c>
      <c r="L540" s="41" t="n">
        <f aca="false">D540*I540</f>
        <v>28</v>
      </c>
      <c r="M540" s="41" t="n">
        <f aca="false">IFERROR(INDEX(Raw_Expenses!$C$5:$C$2979,MATCH(A540,Raw_Expenses!$A$5:$A$2979,0)),0)</f>
        <v>6.06</v>
      </c>
      <c r="N540" s="41" t="n">
        <f aca="false">L540+M540</f>
        <v>34.06</v>
      </c>
      <c r="O540" s="41" t="n">
        <f aca="false">K540-N540</f>
        <v>34.48</v>
      </c>
      <c r="P540" s="43" t="n">
        <f aca="false">IF(K540=0,0,O540/K540)</f>
        <v>0.503063904289466</v>
      </c>
    </row>
    <row r="541" customFormat="false" ht="15" hidden="false" customHeight="false" outlineLevel="0" collapsed="false">
      <c r="A541" s="39" t="s">
        <v>663</v>
      </c>
      <c r="B541" s="40" t="n">
        <v>45737</v>
      </c>
      <c r="C541" s="39" t="s">
        <v>107</v>
      </c>
      <c r="D541" s="39" t="n">
        <v>4</v>
      </c>
      <c r="E541" s="41" t="n">
        <v>33.23</v>
      </c>
      <c r="F541" s="39" t="s">
        <v>115</v>
      </c>
      <c r="G541" s="39" t="str">
        <f aca="false">VLOOKUP(C541,Products!$A$5:$D$24,2,FALSE())</f>
        <v>USB-C Hub</v>
      </c>
      <c r="H541" s="39" t="str">
        <f aca="false">VLOOKUP(C541,Products!$A$5:$D$24,3,FALSE())</f>
        <v>Electronics</v>
      </c>
      <c r="I541" s="41" t="n">
        <f aca="false">VLOOKUP(C541,Products!$A$5:$D$24,4,FALSE())</f>
        <v>14</v>
      </c>
      <c r="J541" s="42" t="n">
        <f aca="false">DATE(YEAR(B541),MONTH(B541),1)</f>
        <v>45717</v>
      </c>
      <c r="K541" s="41" t="n">
        <f aca="false">D541*E541</f>
        <v>132.92</v>
      </c>
      <c r="L541" s="41" t="n">
        <f aca="false">D541*I541</f>
        <v>56</v>
      </c>
      <c r="M541" s="41" t="n">
        <f aca="false">IFERROR(INDEX(Raw_Expenses!$C$5:$C$2979,MATCH(A541,Raw_Expenses!$A$5:$A$2979,0)),0)</f>
        <v>6.19</v>
      </c>
      <c r="N541" s="41" t="n">
        <f aca="false">L541+M541</f>
        <v>62.19</v>
      </c>
      <c r="O541" s="41" t="n">
        <f aca="false">K541-N541</f>
        <v>70.73</v>
      </c>
      <c r="P541" s="43" t="n">
        <f aca="false">IF(K541=0,0,O541/K541)</f>
        <v>0.532124586217274</v>
      </c>
    </row>
    <row r="542" customFormat="false" ht="15" hidden="false" customHeight="false" outlineLevel="0" collapsed="false">
      <c r="A542" s="39" t="s">
        <v>664</v>
      </c>
      <c r="B542" s="40" t="n">
        <v>45738</v>
      </c>
      <c r="C542" s="39" t="s">
        <v>126</v>
      </c>
      <c r="D542" s="39" t="n">
        <v>4</v>
      </c>
      <c r="E542" s="41" t="n">
        <v>23.71</v>
      </c>
      <c r="F542" s="39" t="s">
        <v>105</v>
      </c>
      <c r="G542" s="39" t="str">
        <f aca="false">VLOOKUP(C542,Products!$A$5:$D$24,2,FALSE())</f>
        <v>Wireless Mouse</v>
      </c>
      <c r="H542" s="39" t="str">
        <f aca="false">VLOOKUP(C542,Products!$A$5:$D$24,3,FALSE())</f>
        <v>Electronics</v>
      </c>
      <c r="I542" s="41" t="n">
        <f aca="false">VLOOKUP(C542,Products!$A$5:$D$24,4,FALSE())</f>
        <v>12</v>
      </c>
      <c r="J542" s="42" t="n">
        <f aca="false">DATE(YEAR(B542),MONTH(B542),1)</f>
        <v>45717</v>
      </c>
      <c r="K542" s="41" t="n">
        <f aca="false">D542*E542</f>
        <v>94.84</v>
      </c>
      <c r="L542" s="41" t="n">
        <f aca="false">D542*I542</f>
        <v>48</v>
      </c>
      <c r="M542" s="41" t="n">
        <f aca="false">IFERROR(INDEX(Raw_Expenses!$C$5:$C$2979,MATCH(A542,Raw_Expenses!$A$5:$A$2979,0)),0)</f>
        <v>6</v>
      </c>
      <c r="N542" s="41" t="n">
        <f aca="false">L542+M542</f>
        <v>54</v>
      </c>
      <c r="O542" s="41" t="n">
        <f aca="false">K542-N542</f>
        <v>40.84</v>
      </c>
      <c r="P542" s="43" t="n">
        <f aca="false">IF(K542=0,0,O542/K542)</f>
        <v>0.430619991564741</v>
      </c>
    </row>
    <row r="543" customFormat="false" ht="15" hidden="false" customHeight="false" outlineLevel="0" collapsed="false">
      <c r="A543" s="39" t="s">
        <v>665</v>
      </c>
      <c r="B543" s="40" t="n">
        <v>45738</v>
      </c>
      <c r="C543" s="39" t="s">
        <v>104</v>
      </c>
      <c r="D543" s="39" t="n">
        <v>1</v>
      </c>
      <c r="E543" s="41" t="n">
        <v>15.88</v>
      </c>
      <c r="F543" s="39" t="s">
        <v>118</v>
      </c>
      <c r="G543" s="39" t="str">
        <f aca="false">VLOOKUP(C543,Products!$A$5:$D$24,2,FALSE())</f>
        <v>Water Bottle</v>
      </c>
      <c r="H543" s="39" t="str">
        <f aca="false">VLOOKUP(C543,Products!$A$5:$D$24,3,FALSE())</f>
        <v>Accessories</v>
      </c>
      <c r="I543" s="41" t="n">
        <f aca="false">VLOOKUP(C543,Products!$A$5:$D$24,4,FALSE())</f>
        <v>5</v>
      </c>
      <c r="J543" s="42" t="n">
        <f aca="false">DATE(YEAR(B543),MONTH(B543),1)</f>
        <v>45717</v>
      </c>
      <c r="K543" s="41" t="n">
        <f aca="false">D543*E543</f>
        <v>15.88</v>
      </c>
      <c r="L543" s="41" t="n">
        <f aca="false">D543*I543</f>
        <v>5</v>
      </c>
      <c r="M543" s="41" t="n">
        <f aca="false">IFERROR(INDEX(Raw_Expenses!$C$5:$C$2979,MATCH(A543,Raw_Expenses!$A$5:$A$2979,0)),0)</f>
        <v>1.04</v>
      </c>
      <c r="N543" s="41" t="n">
        <f aca="false">L543+M543</f>
        <v>6.04</v>
      </c>
      <c r="O543" s="41" t="n">
        <f aca="false">K543-N543</f>
        <v>9.84</v>
      </c>
      <c r="P543" s="43" t="n">
        <f aca="false">IF(K543=0,0,O543/K543)</f>
        <v>0.619647355163728</v>
      </c>
    </row>
    <row r="544" customFormat="false" ht="15" hidden="false" customHeight="false" outlineLevel="0" collapsed="false">
      <c r="A544" s="39" t="s">
        <v>666</v>
      </c>
      <c r="B544" s="40" t="n">
        <v>45738</v>
      </c>
      <c r="C544" s="39" t="s">
        <v>112</v>
      </c>
      <c r="D544" s="39" t="n">
        <v>1</v>
      </c>
      <c r="E544" s="41" t="n">
        <v>53.56</v>
      </c>
      <c r="F544" s="39" t="s">
        <v>115</v>
      </c>
      <c r="G544" s="39" t="str">
        <f aca="false">VLOOKUP(C544,Products!$A$5:$D$24,2,FALSE())</f>
        <v>HD Webcam</v>
      </c>
      <c r="H544" s="39" t="str">
        <f aca="false">VLOOKUP(C544,Products!$A$5:$D$24,3,FALSE())</f>
        <v>Electronics</v>
      </c>
      <c r="I544" s="41" t="n">
        <f aca="false">VLOOKUP(C544,Products!$A$5:$D$24,4,FALSE())</f>
        <v>22</v>
      </c>
      <c r="J544" s="42" t="n">
        <f aca="false">DATE(YEAR(B544),MONTH(B544),1)</f>
        <v>45717</v>
      </c>
      <c r="K544" s="41" t="n">
        <f aca="false">D544*E544</f>
        <v>53.56</v>
      </c>
      <c r="L544" s="41" t="n">
        <f aca="false">D544*I544</f>
        <v>22</v>
      </c>
      <c r="M544" s="41" t="n">
        <f aca="false">IFERROR(INDEX(Raw_Expenses!$C$5:$C$2979,MATCH(A544,Raw_Expenses!$A$5:$A$2979,0)),0)</f>
        <v>4.12</v>
      </c>
      <c r="N544" s="41" t="n">
        <f aca="false">L544+M544</f>
        <v>26.12</v>
      </c>
      <c r="O544" s="41" t="n">
        <f aca="false">K544-N544</f>
        <v>27.44</v>
      </c>
      <c r="P544" s="43" t="n">
        <f aca="false">IF(K544=0,0,O544/K544)</f>
        <v>0.512322628827483</v>
      </c>
    </row>
    <row r="545" customFormat="false" ht="15" hidden="false" customHeight="false" outlineLevel="0" collapsed="false">
      <c r="A545" s="39" t="s">
        <v>667</v>
      </c>
      <c r="B545" s="40" t="n">
        <v>45738</v>
      </c>
      <c r="C545" s="39" t="s">
        <v>139</v>
      </c>
      <c r="D545" s="39" t="n">
        <v>2</v>
      </c>
      <c r="E545" s="41" t="n">
        <v>127.92</v>
      </c>
      <c r="F545" s="39" t="s">
        <v>115</v>
      </c>
      <c r="G545" s="39" t="str">
        <f aca="false">VLOOKUP(C545,Products!$A$5:$D$24,2,FALSE())</f>
        <v>Noise-Cancelling Headphones</v>
      </c>
      <c r="H545" s="39" t="str">
        <f aca="false">VLOOKUP(C545,Products!$A$5:$D$24,3,FALSE())</f>
        <v>Electronics</v>
      </c>
      <c r="I545" s="41" t="n">
        <f aca="false">VLOOKUP(C545,Products!$A$5:$D$24,4,FALSE())</f>
        <v>55</v>
      </c>
      <c r="J545" s="42" t="n">
        <f aca="false">DATE(YEAR(B545),MONTH(B545),1)</f>
        <v>45717</v>
      </c>
      <c r="K545" s="41" t="n">
        <f aca="false">D545*E545</f>
        <v>255.84</v>
      </c>
      <c r="L545" s="41" t="n">
        <f aca="false">D545*I545</f>
        <v>110</v>
      </c>
      <c r="M545" s="41" t="n">
        <f aca="false">IFERROR(INDEX(Raw_Expenses!$C$5:$C$2979,MATCH(A545,Raw_Expenses!$A$5:$A$2979,0)),0)</f>
        <v>16.01</v>
      </c>
      <c r="N545" s="41" t="n">
        <f aca="false">L545+M545</f>
        <v>126.01</v>
      </c>
      <c r="O545" s="41" t="n">
        <f aca="false">K545-N545</f>
        <v>129.83</v>
      </c>
      <c r="P545" s="43" t="n">
        <f aca="false">IF(K545=0,0,O545/K545)</f>
        <v>0.507465603502189</v>
      </c>
    </row>
    <row r="546" customFormat="false" ht="15" hidden="false" customHeight="false" outlineLevel="0" collapsed="false">
      <c r="A546" s="39" t="s">
        <v>668</v>
      </c>
      <c r="B546" s="40" t="n">
        <v>45738</v>
      </c>
      <c r="C546" s="39" t="s">
        <v>121</v>
      </c>
      <c r="D546" s="39" t="n">
        <v>4</v>
      </c>
      <c r="E546" s="41" t="n">
        <v>118.06</v>
      </c>
      <c r="F546" s="39" t="s">
        <v>115</v>
      </c>
      <c r="G546" s="39" t="str">
        <f aca="false">VLOOKUP(C546,Products!$A$5:$D$24,2,FALSE())</f>
        <v>External SSD 1TB</v>
      </c>
      <c r="H546" s="39" t="str">
        <f aca="false">VLOOKUP(C546,Products!$A$5:$D$24,3,FALSE())</f>
        <v>Electronics</v>
      </c>
      <c r="I546" s="41" t="n">
        <f aca="false">VLOOKUP(C546,Products!$A$5:$D$24,4,FALSE())</f>
        <v>62</v>
      </c>
      <c r="J546" s="42" t="n">
        <f aca="false">DATE(YEAR(B546),MONTH(B546),1)</f>
        <v>45717</v>
      </c>
      <c r="K546" s="41" t="n">
        <f aca="false">D546*E546</f>
        <v>472.24</v>
      </c>
      <c r="L546" s="41" t="n">
        <f aca="false">D546*I546</f>
        <v>248</v>
      </c>
      <c r="M546" s="41" t="n">
        <f aca="false">IFERROR(INDEX(Raw_Expenses!$C$5:$C$2979,MATCH(A546,Raw_Expenses!$A$5:$A$2979,0)),0)</f>
        <v>39.49</v>
      </c>
      <c r="N546" s="41" t="n">
        <f aca="false">L546+M546</f>
        <v>287.49</v>
      </c>
      <c r="O546" s="41" t="n">
        <f aca="false">K546-N546</f>
        <v>184.75</v>
      </c>
      <c r="P546" s="43" t="n">
        <f aca="false">IF(K546=0,0,O546/K546)</f>
        <v>0.391220565813993</v>
      </c>
    </row>
    <row r="547" customFormat="false" ht="15" hidden="false" customHeight="false" outlineLevel="0" collapsed="false">
      <c r="A547" s="39" t="s">
        <v>669</v>
      </c>
      <c r="B547" s="40" t="n">
        <v>45738</v>
      </c>
      <c r="C547" s="39" t="s">
        <v>183</v>
      </c>
      <c r="D547" s="39" t="n">
        <v>5</v>
      </c>
      <c r="E547" s="41" t="n">
        <v>187.41</v>
      </c>
      <c r="F547" s="39" t="s">
        <v>118</v>
      </c>
      <c r="G547" s="39" t="str">
        <f aca="false">VLOOKUP(C547,Products!$A$5:$D$24,2,FALSE())</f>
        <v>Office Chair</v>
      </c>
      <c r="H547" s="39" t="str">
        <f aca="false">VLOOKUP(C547,Products!$A$5:$D$24,3,FALSE())</f>
        <v>Furniture</v>
      </c>
      <c r="I547" s="41" t="n">
        <f aca="false">VLOOKUP(C547,Products!$A$5:$D$24,4,FALSE())</f>
        <v>85</v>
      </c>
      <c r="J547" s="42" t="n">
        <f aca="false">DATE(YEAR(B547),MONTH(B547),1)</f>
        <v>45717</v>
      </c>
      <c r="K547" s="41" t="n">
        <f aca="false">D547*E547</f>
        <v>937.05</v>
      </c>
      <c r="L547" s="41" t="n">
        <f aca="false">D547*I547</f>
        <v>425</v>
      </c>
      <c r="M547" s="41" t="n">
        <f aca="false">IFERROR(INDEX(Raw_Expenses!$C$5:$C$2979,MATCH(A547,Raw_Expenses!$A$5:$A$2979,0)),0)</f>
        <v>44.66</v>
      </c>
      <c r="N547" s="41" t="n">
        <f aca="false">L547+M547</f>
        <v>469.66</v>
      </c>
      <c r="O547" s="41" t="n">
        <f aca="false">K547-N547</f>
        <v>467.39</v>
      </c>
      <c r="P547" s="43" t="n">
        <f aca="false">IF(K547=0,0,O547/K547)</f>
        <v>0.498788751934262</v>
      </c>
    </row>
    <row r="548" customFormat="false" ht="15" hidden="false" customHeight="false" outlineLevel="0" collapsed="false">
      <c r="A548" s="39" t="s">
        <v>670</v>
      </c>
      <c r="B548" s="40" t="n">
        <v>45739</v>
      </c>
      <c r="C548" s="39" t="s">
        <v>183</v>
      </c>
      <c r="D548" s="39" t="n">
        <v>1</v>
      </c>
      <c r="E548" s="41" t="n">
        <v>183.15</v>
      </c>
      <c r="F548" s="39" t="s">
        <v>118</v>
      </c>
      <c r="G548" s="39" t="str">
        <f aca="false">VLOOKUP(C548,Products!$A$5:$D$24,2,FALSE())</f>
        <v>Office Chair</v>
      </c>
      <c r="H548" s="39" t="str">
        <f aca="false">VLOOKUP(C548,Products!$A$5:$D$24,3,FALSE())</f>
        <v>Furniture</v>
      </c>
      <c r="I548" s="41" t="n">
        <f aca="false">VLOOKUP(C548,Products!$A$5:$D$24,4,FALSE())</f>
        <v>85</v>
      </c>
      <c r="J548" s="42" t="n">
        <f aca="false">DATE(YEAR(B548),MONTH(B548),1)</f>
        <v>45717</v>
      </c>
      <c r="K548" s="41" t="n">
        <f aca="false">D548*E548</f>
        <v>183.15</v>
      </c>
      <c r="L548" s="41" t="n">
        <f aca="false">D548*I548</f>
        <v>85</v>
      </c>
      <c r="M548" s="41" t="n">
        <f aca="false">IFERROR(INDEX(Raw_Expenses!$C$5:$C$2979,MATCH(A548,Raw_Expenses!$A$5:$A$2979,0)),0)</f>
        <v>8.08</v>
      </c>
      <c r="N548" s="41" t="n">
        <f aca="false">L548+M548</f>
        <v>93.08</v>
      </c>
      <c r="O548" s="41" t="n">
        <f aca="false">K548-N548</f>
        <v>90.07</v>
      </c>
      <c r="P548" s="43" t="n">
        <f aca="false">IF(K548=0,0,O548/K548)</f>
        <v>0.491782691782692</v>
      </c>
    </row>
    <row r="549" customFormat="false" ht="15" hidden="false" customHeight="false" outlineLevel="0" collapsed="false">
      <c r="A549" s="39" t="s">
        <v>671</v>
      </c>
      <c r="B549" s="40" t="n">
        <v>45739</v>
      </c>
      <c r="C549" s="39" t="s">
        <v>114</v>
      </c>
      <c r="D549" s="39" t="n">
        <v>8</v>
      </c>
      <c r="E549" s="41" t="n">
        <v>5.92</v>
      </c>
      <c r="F549" s="39" t="s">
        <v>115</v>
      </c>
      <c r="G549" s="39" t="str">
        <f aca="false">VLOOKUP(C549,Products!$A$5:$D$24,2,FALSE())</f>
        <v>Gel Pen Pack</v>
      </c>
      <c r="H549" s="39" t="str">
        <f aca="false">VLOOKUP(C549,Products!$A$5:$D$24,3,FALSE())</f>
        <v>Stationery</v>
      </c>
      <c r="I549" s="41" t="n">
        <f aca="false">VLOOKUP(C549,Products!$A$5:$D$24,4,FALSE())</f>
        <v>2</v>
      </c>
      <c r="J549" s="42" t="n">
        <f aca="false">DATE(YEAR(B549),MONTH(B549),1)</f>
        <v>45717</v>
      </c>
      <c r="K549" s="41" t="n">
        <f aca="false">D549*E549</f>
        <v>47.36</v>
      </c>
      <c r="L549" s="41" t="n">
        <f aca="false">D549*I549</f>
        <v>16</v>
      </c>
      <c r="M549" s="41" t="n">
        <f aca="false">IFERROR(INDEX(Raw_Expenses!$C$5:$C$2979,MATCH(A549,Raw_Expenses!$A$5:$A$2979,0)),0)</f>
        <v>1.99</v>
      </c>
      <c r="N549" s="41" t="n">
        <f aca="false">L549+M549</f>
        <v>17.99</v>
      </c>
      <c r="O549" s="41" t="n">
        <f aca="false">K549-N549</f>
        <v>29.37</v>
      </c>
      <c r="P549" s="43" t="n">
        <f aca="false">IF(K549=0,0,O549/K549)</f>
        <v>0.620143581081081</v>
      </c>
    </row>
    <row r="550" customFormat="false" ht="15" hidden="false" customHeight="false" outlineLevel="0" collapsed="false">
      <c r="A550" s="39" t="s">
        <v>672</v>
      </c>
      <c r="B550" s="40" t="n">
        <v>45739</v>
      </c>
      <c r="C550" s="39" t="s">
        <v>117</v>
      </c>
      <c r="D550" s="39" t="n">
        <v>4</v>
      </c>
      <c r="E550" s="41" t="n">
        <v>30.08</v>
      </c>
      <c r="F550" s="39" t="s">
        <v>108</v>
      </c>
      <c r="G550" s="39" t="str">
        <f aca="false">VLOOKUP(C550,Products!$A$5:$D$24,2,FALSE())</f>
        <v>Desk Lamp</v>
      </c>
      <c r="H550" s="39" t="str">
        <f aca="false">VLOOKUP(C550,Products!$A$5:$D$24,3,FALSE())</f>
        <v>Furniture</v>
      </c>
      <c r="I550" s="41" t="n">
        <f aca="false">VLOOKUP(C550,Products!$A$5:$D$24,4,FALSE())</f>
        <v>13</v>
      </c>
      <c r="J550" s="42" t="n">
        <f aca="false">DATE(YEAR(B550),MONTH(B550),1)</f>
        <v>45717</v>
      </c>
      <c r="K550" s="41" t="n">
        <f aca="false">D550*E550</f>
        <v>120.32</v>
      </c>
      <c r="L550" s="41" t="n">
        <f aca="false">D550*I550</f>
        <v>52</v>
      </c>
      <c r="M550" s="41" t="n">
        <f aca="false">IFERROR(INDEX(Raw_Expenses!$C$5:$C$2979,MATCH(A550,Raw_Expenses!$A$5:$A$2979,0)),0)</f>
        <v>6.16</v>
      </c>
      <c r="N550" s="41" t="n">
        <f aca="false">L550+M550</f>
        <v>58.16</v>
      </c>
      <c r="O550" s="41" t="n">
        <f aca="false">K550-N550</f>
        <v>62.16</v>
      </c>
      <c r="P550" s="43" t="n">
        <f aca="false">IF(K550=0,0,O550/K550)</f>
        <v>0.516622340425532</v>
      </c>
    </row>
    <row r="551" customFormat="false" ht="15" hidden="false" customHeight="false" outlineLevel="0" collapsed="false">
      <c r="A551" s="39" t="s">
        <v>673</v>
      </c>
      <c r="B551" s="40" t="n">
        <v>45739</v>
      </c>
      <c r="C551" s="39" t="s">
        <v>144</v>
      </c>
      <c r="D551" s="39" t="n">
        <v>6</v>
      </c>
      <c r="E551" s="41" t="n">
        <v>55.09</v>
      </c>
      <c r="F551" s="39" t="s">
        <v>108</v>
      </c>
      <c r="G551" s="39" t="str">
        <f aca="false">VLOOKUP(C551,Products!$A$5:$D$24,2,FALSE())</f>
        <v>Whiteboard</v>
      </c>
      <c r="H551" s="39" t="str">
        <f aca="false">VLOOKUP(C551,Products!$A$5:$D$24,3,FALSE())</f>
        <v>Furniture</v>
      </c>
      <c r="I551" s="41" t="n">
        <f aca="false">VLOOKUP(C551,Products!$A$5:$D$24,4,FALSE())</f>
        <v>28</v>
      </c>
      <c r="J551" s="42" t="n">
        <f aca="false">DATE(YEAR(B551),MONTH(B551),1)</f>
        <v>45717</v>
      </c>
      <c r="K551" s="41" t="n">
        <f aca="false">D551*E551</f>
        <v>330.54</v>
      </c>
      <c r="L551" s="41" t="n">
        <f aca="false">D551*I551</f>
        <v>168</v>
      </c>
      <c r="M551" s="41" t="n">
        <f aca="false">IFERROR(INDEX(Raw_Expenses!$C$5:$C$2979,MATCH(A551,Raw_Expenses!$A$5:$A$2979,0)),0)</f>
        <v>20.73</v>
      </c>
      <c r="N551" s="41" t="n">
        <f aca="false">L551+M551</f>
        <v>188.73</v>
      </c>
      <c r="O551" s="41" t="n">
        <f aca="false">K551-N551</f>
        <v>141.81</v>
      </c>
      <c r="P551" s="43" t="n">
        <f aca="false">IF(K551=0,0,O551/K551)</f>
        <v>0.429025231439463</v>
      </c>
    </row>
    <row r="552" customFormat="false" ht="15" hidden="false" customHeight="false" outlineLevel="0" collapsed="false">
      <c r="A552" s="39" t="s">
        <v>674</v>
      </c>
      <c r="B552" s="40" t="n">
        <v>45739</v>
      </c>
      <c r="C552" s="39" t="s">
        <v>177</v>
      </c>
      <c r="D552" s="39" t="n">
        <v>6</v>
      </c>
      <c r="E552" s="41" t="n">
        <v>41.87</v>
      </c>
      <c r="F552" s="39" t="s">
        <v>108</v>
      </c>
      <c r="G552" s="39" t="str">
        <f aca="false">VLOOKUP(C552,Products!$A$5:$D$24,2,FALSE())</f>
        <v>Backpack</v>
      </c>
      <c r="H552" s="39" t="str">
        <f aca="false">VLOOKUP(C552,Products!$A$5:$D$24,3,FALSE())</f>
        <v>Accessories</v>
      </c>
      <c r="I552" s="41" t="n">
        <f aca="false">VLOOKUP(C552,Products!$A$5:$D$24,4,FALSE())</f>
        <v>17</v>
      </c>
      <c r="J552" s="42" t="n">
        <f aca="false">DATE(YEAR(B552),MONTH(B552),1)</f>
        <v>45717</v>
      </c>
      <c r="K552" s="41" t="n">
        <f aca="false">D552*E552</f>
        <v>251.22</v>
      </c>
      <c r="L552" s="41" t="n">
        <f aca="false">D552*I552</f>
        <v>102</v>
      </c>
      <c r="M552" s="41" t="n">
        <f aca="false">IFERROR(INDEX(Raw_Expenses!$C$5:$C$2979,MATCH(A552,Raw_Expenses!$A$5:$A$2979,0)),0)</f>
        <v>21.35</v>
      </c>
      <c r="N552" s="41" t="n">
        <f aca="false">L552+M552</f>
        <v>123.35</v>
      </c>
      <c r="O552" s="41" t="n">
        <f aca="false">K552-N552</f>
        <v>127.87</v>
      </c>
      <c r="P552" s="43" t="n">
        <f aca="false">IF(K552=0,0,O552/K552)</f>
        <v>0.508996099036701</v>
      </c>
    </row>
    <row r="553" customFormat="false" ht="15" hidden="false" customHeight="false" outlineLevel="0" collapsed="false">
      <c r="A553" s="39" t="s">
        <v>675</v>
      </c>
      <c r="B553" s="40" t="n">
        <v>45739</v>
      </c>
      <c r="C553" s="39" t="s">
        <v>305</v>
      </c>
      <c r="D553" s="39" t="n">
        <v>2</v>
      </c>
      <c r="E553" s="41" t="n">
        <v>336.96</v>
      </c>
      <c r="F553" s="39" t="s">
        <v>105</v>
      </c>
      <c r="G553" s="39" t="str">
        <f aca="false">VLOOKUP(C553,Products!$A$5:$D$24,2,FALSE())</f>
        <v>Standing Desk</v>
      </c>
      <c r="H553" s="39" t="str">
        <f aca="false">VLOOKUP(C553,Products!$A$5:$D$24,3,FALSE())</f>
        <v>Furniture</v>
      </c>
      <c r="I553" s="41" t="n">
        <f aca="false">VLOOKUP(C553,Products!$A$5:$D$24,4,FALSE())</f>
        <v>160</v>
      </c>
      <c r="J553" s="42" t="n">
        <f aca="false">DATE(YEAR(B553),MONTH(B553),1)</f>
        <v>45717</v>
      </c>
      <c r="K553" s="41" t="n">
        <f aca="false">D553*E553</f>
        <v>673.92</v>
      </c>
      <c r="L553" s="41" t="n">
        <f aca="false">D553*I553</f>
        <v>320</v>
      </c>
      <c r="M553" s="41" t="n">
        <f aca="false">IFERROR(INDEX(Raw_Expenses!$C$5:$C$2979,MATCH(A553,Raw_Expenses!$A$5:$A$2979,0)),0)</f>
        <v>36.04</v>
      </c>
      <c r="N553" s="41" t="n">
        <f aca="false">L553+M553</f>
        <v>356.04</v>
      </c>
      <c r="O553" s="41" t="n">
        <f aca="false">K553-N553</f>
        <v>317.88</v>
      </c>
      <c r="P553" s="43" t="n">
        <f aca="false">IF(K553=0,0,O553/K553)</f>
        <v>0.471688034188034</v>
      </c>
    </row>
    <row r="554" customFormat="false" ht="15" hidden="false" customHeight="false" outlineLevel="0" collapsed="false">
      <c r="A554" s="39" t="s">
        <v>676</v>
      </c>
      <c r="B554" s="40" t="n">
        <v>45740</v>
      </c>
      <c r="C554" s="39" t="s">
        <v>136</v>
      </c>
      <c r="D554" s="39" t="n">
        <v>2</v>
      </c>
      <c r="E554" s="41" t="n">
        <v>78.39</v>
      </c>
      <c r="F554" s="39" t="s">
        <v>108</v>
      </c>
      <c r="G554" s="39" t="str">
        <f aca="false">VLOOKUP(C554,Products!$A$5:$D$24,2,FALSE())</f>
        <v>Mechanical Keyboard</v>
      </c>
      <c r="H554" s="39" t="str">
        <f aca="false">VLOOKUP(C554,Products!$A$5:$D$24,3,FALSE())</f>
        <v>Electronics</v>
      </c>
      <c r="I554" s="41" t="n">
        <f aca="false">VLOOKUP(C554,Products!$A$5:$D$24,4,FALSE())</f>
        <v>38</v>
      </c>
      <c r="J554" s="42" t="n">
        <f aca="false">DATE(YEAR(B554),MONTH(B554),1)</f>
        <v>45717</v>
      </c>
      <c r="K554" s="41" t="n">
        <f aca="false">D554*E554</f>
        <v>156.78</v>
      </c>
      <c r="L554" s="41" t="n">
        <f aca="false">D554*I554</f>
        <v>76</v>
      </c>
      <c r="M554" s="41" t="n">
        <f aca="false">IFERROR(INDEX(Raw_Expenses!$C$5:$C$2979,MATCH(A554,Raw_Expenses!$A$5:$A$2979,0)),0)</f>
        <v>13.42</v>
      </c>
      <c r="N554" s="41" t="n">
        <f aca="false">L554+M554</f>
        <v>89.42</v>
      </c>
      <c r="O554" s="41" t="n">
        <f aca="false">K554-N554</f>
        <v>67.36</v>
      </c>
      <c r="P554" s="43" t="n">
        <f aca="false">IF(K554=0,0,O554/K554)</f>
        <v>0.429646638601863</v>
      </c>
    </row>
    <row r="555" customFormat="false" ht="15" hidden="false" customHeight="false" outlineLevel="0" collapsed="false">
      <c r="A555" s="39" t="s">
        <v>677</v>
      </c>
      <c r="B555" s="40" t="n">
        <v>45740</v>
      </c>
      <c r="C555" s="39" t="s">
        <v>169</v>
      </c>
      <c r="D555" s="39" t="n">
        <v>2</v>
      </c>
      <c r="E555" s="41" t="n">
        <v>28.62</v>
      </c>
      <c r="F555" s="39" t="s">
        <v>105</v>
      </c>
      <c r="G555" s="39" t="str">
        <f aca="false">VLOOKUP(C555,Products!$A$5:$D$24,2,FALSE())</f>
        <v>Laptop Stand</v>
      </c>
      <c r="H555" s="39" t="str">
        <f aca="false">VLOOKUP(C555,Products!$A$5:$D$24,3,FALSE())</f>
        <v>Accessories</v>
      </c>
      <c r="I555" s="41" t="n">
        <f aca="false">VLOOKUP(C555,Products!$A$5:$D$24,4,FALSE())</f>
        <v>11</v>
      </c>
      <c r="J555" s="42" t="n">
        <f aca="false">DATE(YEAR(B555),MONTH(B555),1)</f>
        <v>45717</v>
      </c>
      <c r="K555" s="41" t="n">
        <f aca="false">D555*E555</f>
        <v>57.24</v>
      </c>
      <c r="L555" s="41" t="n">
        <f aca="false">D555*I555</f>
        <v>22</v>
      </c>
      <c r="M555" s="41" t="n">
        <f aca="false">IFERROR(INDEX(Raw_Expenses!$C$5:$C$2979,MATCH(A555,Raw_Expenses!$A$5:$A$2979,0)),0)</f>
        <v>4.21</v>
      </c>
      <c r="N555" s="41" t="n">
        <f aca="false">L555+M555</f>
        <v>26.21</v>
      </c>
      <c r="O555" s="41" t="n">
        <f aca="false">K555-N555</f>
        <v>31.03</v>
      </c>
      <c r="P555" s="43" t="n">
        <f aca="false">IF(K555=0,0,O555/K555)</f>
        <v>0.542103424178896</v>
      </c>
    </row>
    <row r="556" customFormat="false" ht="15" hidden="false" customHeight="false" outlineLevel="0" collapsed="false">
      <c r="A556" s="39" t="s">
        <v>678</v>
      </c>
      <c r="B556" s="40" t="n">
        <v>45740</v>
      </c>
      <c r="C556" s="39" t="s">
        <v>114</v>
      </c>
      <c r="D556" s="39" t="n">
        <v>4</v>
      </c>
      <c r="E556" s="41" t="n">
        <v>5.72</v>
      </c>
      <c r="F556" s="39" t="s">
        <v>118</v>
      </c>
      <c r="G556" s="39" t="str">
        <f aca="false">VLOOKUP(C556,Products!$A$5:$D$24,2,FALSE())</f>
        <v>Gel Pen Pack</v>
      </c>
      <c r="H556" s="39" t="str">
        <f aca="false">VLOOKUP(C556,Products!$A$5:$D$24,3,FALSE())</f>
        <v>Stationery</v>
      </c>
      <c r="I556" s="41" t="n">
        <f aca="false">VLOOKUP(C556,Products!$A$5:$D$24,4,FALSE())</f>
        <v>2</v>
      </c>
      <c r="J556" s="42" t="n">
        <f aca="false">DATE(YEAR(B556),MONTH(B556),1)</f>
        <v>45717</v>
      </c>
      <c r="K556" s="41" t="n">
        <f aca="false">D556*E556</f>
        <v>22.88</v>
      </c>
      <c r="L556" s="41" t="n">
        <f aca="false">D556*I556</f>
        <v>8</v>
      </c>
      <c r="M556" s="41" t="n">
        <f aca="false">IFERROR(INDEX(Raw_Expenses!$C$5:$C$2979,MATCH(A556,Raw_Expenses!$A$5:$A$2979,0)),0)</f>
        <v>1.21</v>
      </c>
      <c r="N556" s="41" t="n">
        <f aca="false">L556+M556</f>
        <v>9.21</v>
      </c>
      <c r="O556" s="41" t="n">
        <f aca="false">K556-N556</f>
        <v>13.67</v>
      </c>
      <c r="P556" s="43" t="n">
        <f aca="false">IF(K556=0,0,O556/K556)</f>
        <v>0.597465034965035</v>
      </c>
    </row>
    <row r="557" customFormat="false" ht="15" hidden="false" customHeight="false" outlineLevel="0" collapsed="false">
      <c r="A557" s="39" t="s">
        <v>679</v>
      </c>
      <c r="B557" s="40" t="n">
        <v>45740</v>
      </c>
      <c r="C557" s="39" t="s">
        <v>114</v>
      </c>
      <c r="D557" s="39" t="n">
        <v>5</v>
      </c>
      <c r="E557" s="41" t="n">
        <v>5.61</v>
      </c>
      <c r="F557" s="39" t="s">
        <v>105</v>
      </c>
      <c r="G557" s="39" t="str">
        <f aca="false">VLOOKUP(C557,Products!$A$5:$D$24,2,FALSE())</f>
        <v>Gel Pen Pack</v>
      </c>
      <c r="H557" s="39" t="str">
        <f aca="false">VLOOKUP(C557,Products!$A$5:$D$24,3,FALSE())</f>
        <v>Stationery</v>
      </c>
      <c r="I557" s="41" t="n">
        <f aca="false">VLOOKUP(C557,Products!$A$5:$D$24,4,FALSE())</f>
        <v>2</v>
      </c>
      <c r="J557" s="42" t="n">
        <f aca="false">DATE(YEAR(B557),MONTH(B557),1)</f>
        <v>45717</v>
      </c>
      <c r="K557" s="41" t="n">
        <f aca="false">D557*E557</f>
        <v>28.05</v>
      </c>
      <c r="L557" s="41" t="n">
        <f aca="false">D557*I557</f>
        <v>10</v>
      </c>
      <c r="M557" s="41" t="n">
        <f aca="false">IFERROR(INDEX(Raw_Expenses!$C$5:$C$2979,MATCH(A557,Raw_Expenses!$A$5:$A$2979,0)),0)</f>
        <v>1.61</v>
      </c>
      <c r="N557" s="41" t="n">
        <f aca="false">L557+M557</f>
        <v>11.61</v>
      </c>
      <c r="O557" s="41" t="n">
        <f aca="false">K557-N557</f>
        <v>16.44</v>
      </c>
      <c r="P557" s="43" t="n">
        <f aca="false">IF(K557=0,0,O557/K557)</f>
        <v>0.586096256684492</v>
      </c>
    </row>
    <row r="558" customFormat="false" ht="15" hidden="false" customHeight="false" outlineLevel="0" collapsed="false">
      <c r="A558" s="39" t="s">
        <v>680</v>
      </c>
      <c r="B558" s="40" t="n">
        <v>45740</v>
      </c>
      <c r="C558" s="39" t="s">
        <v>114</v>
      </c>
      <c r="D558" s="39" t="n">
        <v>1</v>
      </c>
      <c r="E558" s="41" t="n">
        <v>5.54</v>
      </c>
      <c r="F558" s="39" t="s">
        <v>105</v>
      </c>
      <c r="G558" s="39" t="str">
        <f aca="false">VLOOKUP(C558,Products!$A$5:$D$24,2,FALSE())</f>
        <v>Gel Pen Pack</v>
      </c>
      <c r="H558" s="39" t="str">
        <f aca="false">VLOOKUP(C558,Products!$A$5:$D$24,3,FALSE())</f>
        <v>Stationery</v>
      </c>
      <c r="I558" s="41" t="n">
        <f aca="false">VLOOKUP(C558,Products!$A$5:$D$24,4,FALSE())</f>
        <v>2</v>
      </c>
      <c r="J558" s="42" t="n">
        <f aca="false">DATE(YEAR(B558),MONTH(B558),1)</f>
        <v>45717</v>
      </c>
      <c r="K558" s="41" t="n">
        <f aca="false">D558*E558</f>
        <v>5.54</v>
      </c>
      <c r="L558" s="41" t="n">
        <f aca="false">D558*I558</f>
        <v>2</v>
      </c>
      <c r="M558" s="41" t="n">
        <f aca="false">IFERROR(INDEX(Raw_Expenses!$C$5:$C$2979,MATCH(A558,Raw_Expenses!$A$5:$A$2979,0)),0)</f>
        <v>0.47</v>
      </c>
      <c r="N558" s="41" t="n">
        <f aca="false">L558+M558</f>
        <v>2.47</v>
      </c>
      <c r="O558" s="41" t="n">
        <f aca="false">K558-N558</f>
        <v>3.07</v>
      </c>
      <c r="P558" s="43" t="n">
        <f aca="false">IF(K558=0,0,O558/K558)</f>
        <v>0.554151624548737</v>
      </c>
    </row>
    <row r="559" customFormat="false" ht="15" hidden="false" customHeight="false" outlineLevel="0" collapsed="false">
      <c r="A559" s="39" t="s">
        <v>681</v>
      </c>
      <c r="B559" s="40" t="n">
        <v>45740</v>
      </c>
      <c r="C559" s="39" t="s">
        <v>162</v>
      </c>
      <c r="D559" s="39" t="n">
        <v>1</v>
      </c>
      <c r="E559" s="41" t="n">
        <v>67.45</v>
      </c>
      <c r="F559" s="39" t="s">
        <v>108</v>
      </c>
      <c r="G559" s="39" t="str">
        <f aca="false">VLOOKUP(C559,Products!$A$5:$D$24,2,FALSE())</f>
        <v>Bluetooth Speaker</v>
      </c>
      <c r="H559" s="39" t="str">
        <f aca="false">VLOOKUP(C559,Products!$A$5:$D$24,3,FALSE())</f>
        <v>Electronics</v>
      </c>
      <c r="I559" s="41" t="n">
        <f aca="false">VLOOKUP(C559,Products!$A$5:$D$24,4,FALSE())</f>
        <v>28</v>
      </c>
      <c r="J559" s="42" t="n">
        <f aca="false">DATE(YEAR(B559),MONTH(B559),1)</f>
        <v>45717</v>
      </c>
      <c r="K559" s="41" t="n">
        <f aca="false">D559*E559</f>
        <v>67.45</v>
      </c>
      <c r="L559" s="41" t="n">
        <f aca="false">D559*I559</f>
        <v>28</v>
      </c>
      <c r="M559" s="41" t="n">
        <f aca="false">IFERROR(INDEX(Raw_Expenses!$C$5:$C$2979,MATCH(A559,Raw_Expenses!$A$5:$A$2979,0)),0)</f>
        <v>4.78</v>
      </c>
      <c r="N559" s="41" t="n">
        <f aca="false">L559+M559</f>
        <v>32.78</v>
      </c>
      <c r="O559" s="41" t="n">
        <f aca="false">K559-N559</f>
        <v>34.67</v>
      </c>
      <c r="P559" s="43" t="n">
        <f aca="false">IF(K559=0,0,O559/K559)</f>
        <v>0.514010378057821</v>
      </c>
    </row>
    <row r="560" customFormat="false" ht="15" hidden="false" customHeight="false" outlineLevel="0" collapsed="false">
      <c r="A560" s="39" t="s">
        <v>682</v>
      </c>
      <c r="B560" s="40" t="n">
        <v>45740</v>
      </c>
      <c r="C560" s="39" t="s">
        <v>117</v>
      </c>
      <c r="D560" s="39" t="n">
        <v>1</v>
      </c>
      <c r="E560" s="41" t="n">
        <v>30.85</v>
      </c>
      <c r="F560" s="39" t="s">
        <v>115</v>
      </c>
      <c r="G560" s="39" t="str">
        <f aca="false">VLOOKUP(C560,Products!$A$5:$D$24,2,FALSE())</f>
        <v>Desk Lamp</v>
      </c>
      <c r="H560" s="39" t="str">
        <f aca="false">VLOOKUP(C560,Products!$A$5:$D$24,3,FALSE())</f>
        <v>Furniture</v>
      </c>
      <c r="I560" s="41" t="n">
        <f aca="false">VLOOKUP(C560,Products!$A$5:$D$24,4,FALSE())</f>
        <v>13</v>
      </c>
      <c r="J560" s="42" t="n">
        <f aca="false">DATE(YEAR(B560),MONTH(B560),1)</f>
        <v>45717</v>
      </c>
      <c r="K560" s="41" t="n">
        <f aca="false">D560*E560</f>
        <v>30.85</v>
      </c>
      <c r="L560" s="41" t="n">
        <f aca="false">D560*I560</f>
        <v>13</v>
      </c>
      <c r="M560" s="41" t="n">
        <f aca="false">IFERROR(INDEX(Raw_Expenses!$C$5:$C$2979,MATCH(A560,Raw_Expenses!$A$5:$A$2979,0)),0)</f>
        <v>1.47</v>
      </c>
      <c r="N560" s="41" t="n">
        <f aca="false">L560+M560</f>
        <v>14.47</v>
      </c>
      <c r="O560" s="41" t="n">
        <f aca="false">K560-N560</f>
        <v>16.38</v>
      </c>
      <c r="P560" s="43" t="n">
        <f aca="false">IF(K560=0,0,O560/K560)</f>
        <v>0.530956239870341</v>
      </c>
    </row>
    <row r="561" customFormat="false" ht="15" hidden="false" customHeight="false" outlineLevel="0" collapsed="false">
      <c r="A561" s="39" t="s">
        <v>683</v>
      </c>
      <c r="B561" s="40" t="n">
        <v>45740</v>
      </c>
      <c r="C561" s="39" t="s">
        <v>107</v>
      </c>
      <c r="D561" s="39" t="n">
        <v>1</v>
      </c>
      <c r="E561" s="41" t="n">
        <v>34.68</v>
      </c>
      <c r="F561" s="39" t="s">
        <v>108</v>
      </c>
      <c r="G561" s="39" t="str">
        <f aca="false">VLOOKUP(C561,Products!$A$5:$D$24,2,FALSE())</f>
        <v>USB-C Hub</v>
      </c>
      <c r="H561" s="39" t="str">
        <f aca="false">VLOOKUP(C561,Products!$A$5:$D$24,3,FALSE())</f>
        <v>Electronics</v>
      </c>
      <c r="I561" s="41" t="n">
        <f aca="false">VLOOKUP(C561,Products!$A$5:$D$24,4,FALSE())</f>
        <v>14</v>
      </c>
      <c r="J561" s="42" t="n">
        <f aca="false">DATE(YEAR(B561),MONTH(B561),1)</f>
        <v>45717</v>
      </c>
      <c r="K561" s="41" t="n">
        <f aca="false">D561*E561</f>
        <v>34.68</v>
      </c>
      <c r="L561" s="41" t="n">
        <f aca="false">D561*I561</f>
        <v>14</v>
      </c>
      <c r="M561" s="41" t="n">
        <f aca="false">IFERROR(INDEX(Raw_Expenses!$C$5:$C$2979,MATCH(A561,Raw_Expenses!$A$5:$A$2979,0)),0)</f>
        <v>2.17</v>
      </c>
      <c r="N561" s="41" t="n">
        <f aca="false">L561+M561</f>
        <v>16.17</v>
      </c>
      <c r="O561" s="41" t="n">
        <f aca="false">K561-N561</f>
        <v>18.51</v>
      </c>
      <c r="P561" s="43" t="n">
        <f aca="false">IF(K561=0,0,O561/K561)</f>
        <v>0.533737024221453</v>
      </c>
    </row>
    <row r="562" customFormat="false" ht="15" hidden="false" customHeight="false" outlineLevel="0" collapsed="false">
      <c r="A562" s="39" t="s">
        <v>684</v>
      </c>
      <c r="B562" s="40" t="n">
        <v>45740</v>
      </c>
      <c r="C562" s="39" t="s">
        <v>126</v>
      </c>
      <c r="D562" s="39" t="n">
        <v>1</v>
      </c>
      <c r="E562" s="41" t="n">
        <v>23</v>
      </c>
      <c r="F562" s="39" t="s">
        <v>118</v>
      </c>
      <c r="G562" s="39" t="str">
        <f aca="false">VLOOKUP(C562,Products!$A$5:$D$24,2,FALSE())</f>
        <v>Wireless Mouse</v>
      </c>
      <c r="H562" s="39" t="str">
        <f aca="false">VLOOKUP(C562,Products!$A$5:$D$24,3,FALSE())</f>
        <v>Electronics</v>
      </c>
      <c r="I562" s="41" t="n">
        <f aca="false">VLOOKUP(C562,Products!$A$5:$D$24,4,FALSE())</f>
        <v>12</v>
      </c>
      <c r="J562" s="42" t="n">
        <f aca="false">DATE(YEAR(B562),MONTH(B562),1)</f>
        <v>45717</v>
      </c>
      <c r="K562" s="41" t="n">
        <f aca="false">D562*E562</f>
        <v>23</v>
      </c>
      <c r="L562" s="41" t="n">
        <f aca="false">D562*I562</f>
        <v>12</v>
      </c>
      <c r="M562" s="41" t="n">
        <f aca="false">IFERROR(INDEX(Raw_Expenses!$C$5:$C$2979,MATCH(A562,Raw_Expenses!$A$5:$A$2979,0)),0)</f>
        <v>1.72</v>
      </c>
      <c r="N562" s="41" t="n">
        <f aca="false">L562+M562</f>
        <v>13.72</v>
      </c>
      <c r="O562" s="41" t="n">
        <f aca="false">K562-N562</f>
        <v>9.28</v>
      </c>
      <c r="P562" s="43" t="n">
        <f aca="false">IF(K562=0,0,O562/K562)</f>
        <v>0.403478260869565</v>
      </c>
    </row>
    <row r="563" customFormat="false" ht="15" hidden="false" customHeight="false" outlineLevel="0" collapsed="false">
      <c r="A563" s="39" t="s">
        <v>685</v>
      </c>
      <c r="B563" s="40" t="n">
        <v>45740</v>
      </c>
      <c r="C563" s="39" t="s">
        <v>130</v>
      </c>
      <c r="D563" s="39" t="n">
        <v>8</v>
      </c>
      <c r="E563" s="41" t="n">
        <v>8.74</v>
      </c>
      <c r="F563" s="39" t="s">
        <v>118</v>
      </c>
      <c r="G563" s="39" t="str">
        <f aca="false">VLOOKUP(C563,Products!$A$5:$D$24,2,FALSE())</f>
        <v>Notebook Set</v>
      </c>
      <c r="H563" s="39" t="str">
        <f aca="false">VLOOKUP(C563,Products!$A$5:$D$24,3,FALSE())</f>
        <v>Stationery</v>
      </c>
      <c r="I563" s="41" t="n">
        <f aca="false">VLOOKUP(C563,Products!$A$5:$D$24,4,FALSE())</f>
        <v>3</v>
      </c>
      <c r="J563" s="42" t="n">
        <f aca="false">DATE(YEAR(B563),MONTH(B563),1)</f>
        <v>45717</v>
      </c>
      <c r="K563" s="41" t="n">
        <f aca="false">D563*E563</f>
        <v>69.92</v>
      </c>
      <c r="L563" s="41" t="n">
        <f aca="false">D563*I563</f>
        <v>24</v>
      </c>
      <c r="M563" s="41" t="n">
        <f aca="false">IFERROR(INDEX(Raw_Expenses!$C$5:$C$2979,MATCH(A563,Raw_Expenses!$A$5:$A$2979,0)),0)</f>
        <v>4.61</v>
      </c>
      <c r="N563" s="41" t="n">
        <f aca="false">L563+M563</f>
        <v>28.61</v>
      </c>
      <c r="O563" s="41" t="n">
        <f aca="false">K563-N563</f>
        <v>41.31</v>
      </c>
      <c r="P563" s="43" t="n">
        <f aca="false">IF(K563=0,0,O563/K563)</f>
        <v>0.590818077803204</v>
      </c>
    </row>
    <row r="564" customFormat="false" ht="15" hidden="false" customHeight="false" outlineLevel="0" collapsed="false">
      <c r="A564" s="39" t="s">
        <v>686</v>
      </c>
      <c r="B564" s="40" t="n">
        <v>45741</v>
      </c>
      <c r="C564" s="39" t="s">
        <v>169</v>
      </c>
      <c r="D564" s="39" t="n">
        <v>1</v>
      </c>
      <c r="E564" s="41" t="n">
        <v>27.69</v>
      </c>
      <c r="F564" s="39" t="s">
        <v>108</v>
      </c>
      <c r="G564" s="39" t="str">
        <f aca="false">VLOOKUP(C564,Products!$A$5:$D$24,2,FALSE())</f>
        <v>Laptop Stand</v>
      </c>
      <c r="H564" s="39" t="str">
        <f aca="false">VLOOKUP(C564,Products!$A$5:$D$24,3,FALSE())</f>
        <v>Accessories</v>
      </c>
      <c r="I564" s="41" t="n">
        <f aca="false">VLOOKUP(C564,Products!$A$5:$D$24,4,FALSE())</f>
        <v>11</v>
      </c>
      <c r="J564" s="42" t="n">
        <f aca="false">DATE(YEAR(B564),MONTH(B564),1)</f>
        <v>45717</v>
      </c>
      <c r="K564" s="41" t="n">
        <f aca="false">D564*E564</f>
        <v>27.69</v>
      </c>
      <c r="L564" s="41" t="n">
        <f aca="false">D564*I564</f>
        <v>11</v>
      </c>
      <c r="M564" s="41" t="n">
        <f aca="false">IFERROR(INDEX(Raw_Expenses!$C$5:$C$2979,MATCH(A564,Raw_Expenses!$A$5:$A$2979,0)),0)</f>
        <v>1.73</v>
      </c>
      <c r="N564" s="41" t="n">
        <f aca="false">L564+M564</f>
        <v>12.73</v>
      </c>
      <c r="O564" s="41" t="n">
        <f aca="false">K564-N564</f>
        <v>14.96</v>
      </c>
      <c r="P564" s="43" t="n">
        <f aca="false">IF(K564=0,0,O564/K564)</f>
        <v>0.540267244492597</v>
      </c>
    </row>
    <row r="565" customFormat="false" ht="15" hidden="false" customHeight="false" outlineLevel="0" collapsed="false">
      <c r="A565" s="39" t="s">
        <v>687</v>
      </c>
      <c r="B565" s="40" t="n">
        <v>45741</v>
      </c>
      <c r="C565" s="39" t="s">
        <v>104</v>
      </c>
      <c r="D565" s="39" t="n">
        <v>1</v>
      </c>
      <c r="E565" s="41" t="n">
        <v>15.31</v>
      </c>
      <c r="F565" s="39" t="s">
        <v>118</v>
      </c>
      <c r="G565" s="39" t="str">
        <f aca="false">VLOOKUP(C565,Products!$A$5:$D$24,2,FALSE())</f>
        <v>Water Bottle</v>
      </c>
      <c r="H565" s="39" t="str">
        <f aca="false">VLOOKUP(C565,Products!$A$5:$D$24,3,FALSE())</f>
        <v>Accessories</v>
      </c>
      <c r="I565" s="41" t="n">
        <f aca="false">VLOOKUP(C565,Products!$A$5:$D$24,4,FALSE())</f>
        <v>5</v>
      </c>
      <c r="J565" s="42" t="n">
        <f aca="false">DATE(YEAR(B565),MONTH(B565),1)</f>
        <v>45717</v>
      </c>
      <c r="K565" s="41" t="n">
        <f aca="false">D565*E565</f>
        <v>15.31</v>
      </c>
      <c r="L565" s="41" t="n">
        <f aca="false">D565*I565</f>
        <v>5</v>
      </c>
      <c r="M565" s="41" t="n">
        <f aca="false">IFERROR(INDEX(Raw_Expenses!$C$5:$C$2979,MATCH(A565,Raw_Expenses!$A$5:$A$2979,0)),0)</f>
        <v>1.32</v>
      </c>
      <c r="N565" s="41" t="n">
        <f aca="false">L565+M565</f>
        <v>6.32</v>
      </c>
      <c r="O565" s="41" t="n">
        <f aca="false">K565-N565</f>
        <v>8.99</v>
      </c>
      <c r="P565" s="43" t="n">
        <f aca="false">IF(K565=0,0,O565/K565)</f>
        <v>0.587197909862835</v>
      </c>
    </row>
    <row r="566" customFormat="false" ht="15" hidden="false" customHeight="false" outlineLevel="0" collapsed="false">
      <c r="A566" s="39" t="s">
        <v>688</v>
      </c>
      <c r="B566" s="40" t="n">
        <v>45741</v>
      </c>
      <c r="C566" s="39" t="s">
        <v>183</v>
      </c>
      <c r="D566" s="39" t="n">
        <v>1</v>
      </c>
      <c r="E566" s="41" t="n">
        <v>184.68</v>
      </c>
      <c r="F566" s="39" t="s">
        <v>115</v>
      </c>
      <c r="G566" s="39" t="str">
        <f aca="false">VLOOKUP(C566,Products!$A$5:$D$24,2,FALSE())</f>
        <v>Office Chair</v>
      </c>
      <c r="H566" s="39" t="str">
        <f aca="false">VLOOKUP(C566,Products!$A$5:$D$24,3,FALSE())</f>
        <v>Furniture</v>
      </c>
      <c r="I566" s="41" t="n">
        <f aca="false">VLOOKUP(C566,Products!$A$5:$D$24,4,FALSE())</f>
        <v>85</v>
      </c>
      <c r="J566" s="42" t="n">
        <f aca="false">DATE(YEAR(B566),MONTH(B566),1)</f>
        <v>45717</v>
      </c>
      <c r="K566" s="41" t="n">
        <f aca="false">D566*E566</f>
        <v>184.68</v>
      </c>
      <c r="L566" s="41" t="n">
        <f aca="false">D566*I566</f>
        <v>85</v>
      </c>
      <c r="M566" s="41" t="n">
        <f aca="false">IFERROR(INDEX(Raw_Expenses!$C$5:$C$2979,MATCH(A566,Raw_Expenses!$A$5:$A$2979,0)),0)</f>
        <v>8.86</v>
      </c>
      <c r="N566" s="41" t="n">
        <f aca="false">L566+M566</f>
        <v>93.86</v>
      </c>
      <c r="O566" s="41" t="n">
        <f aca="false">K566-N566</f>
        <v>90.82</v>
      </c>
      <c r="P566" s="43" t="n">
        <f aca="false">IF(K566=0,0,O566/K566)</f>
        <v>0.491769547325103</v>
      </c>
    </row>
    <row r="567" customFormat="false" ht="15" hidden="false" customHeight="false" outlineLevel="0" collapsed="false">
      <c r="A567" s="39" t="s">
        <v>689</v>
      </c>
      <c r="B567" s="40" t="n">
        <v>45741</v>
      </c>
      <c r="C567" s="39" t="s">
        <v>305</v>
      </c>
      <c r="D567" s="39" t="n">
        <v>8</v>
      </c>
      <c r="E567" s="41" t="n">
        <v>340.79</v>
      </c>
      <c r="F567" s="39" t="s">
        <v>115</v>
      </c>
      <c r="G567" s="39" t="str">
        <f aca="false">VLOOKUP(C567,Products!$A$5:$D$24,2,FALSE())</f>
        <v>Standing Desk</v>
      </c>
      <c r="H567" s="39" t="str">
        <f aca="false">VLOOKUP(C567,Products!$A$5:$D$24,3,FALSE())</f>
        <v>Furniture</v>
      </c>
      <c r="I567" s="41" t="n">
        <f aca="false">VLOOKUP(C567,Products!$A$5:$D$24,4,FALSE())</f>
        <v>160</v>
      </c>
      <c r="J567" s="42" t="n">
        <f aca="false">DATE(YEAR(B567),MONTH(B567),1)</f>
        <v>45717</v>
      </c>
      <c r="K567" s="41" t="n">
        <f aca="false">D567*E567</f>
        <v>2726.32</v>
      </c>
      <c r="L567" s="41" t="n">
        <f aca="false">D567*I567</f>
        <v>1280</v>
      </c>
      <c r="M567" s="41" t="n">
        <f aca="false">IFERROR(INDEX(Raw_Expenses!$C$5:$C$2979,MATCH(A567,Raw_Expenses!$A$5:$A$2979,0)),0)</f>
        <v>214.14</v>
      </c>
      <c r="N567" s="41" t="n">
        <f aca="false">L567+M567</f>
        <v>1494.14</v>
      </c>
      <c r="O567" s="41" t="n">
        <f aca="false">K567-N567</f>
        <v>1232.18</v>
      </c>
      <c r="P567" s="43" t="n">
        <f aca="false">IF(K567=0,0,O567/K567)</f>
        <v>0.451957217054491</v>
      </c>
    </row>
    <row r="568" customFormat="false" ht="15" hidden="false" customHeight="false" outlineLevel="0" collapsed="false">
      <c r="A568" s="39" t="s">
        <v>690</v>
      </c>
      <c r="B568" s="40" t="n">
        <v>45741</v>
      </c>
      <c r="C568" s="39" t="s">
        <v>110</v>
      </c>
      <c r="D568" s="39" t="n">
        <v>6</v>
      </c>
      <c r="E568" s="41" t="n">
        <v>13.52</v>
      </c>
      <c r="F568" s="39" t="s">
        <v>118</v>
      </c>
      <c r="G568" s="39" t="str">
        <f aca="false">VLOOKUP(C568,Products!$A$5:$D$24,2,FALSE())</f>
        <v>Phone Stand</v>
      </c>
      <c r="H568" s="39" t="str">
        <f aca="false">VLOOKUP(C568,Products!$A$5:$D$24,3,FALSE())</f>
        <v>Accessories</v>
      </c>
      <c r="I568" s="41" t="n">
        <f aca="false">VLOOKUP(C568,Products!$A$5:$D$24,4,FALSE())</f>
        <v>4</v>
      </c>
      <c r="J568" s="42" t="n">
        <f aca="false">DATE(YEAR(B568),MONTH(B568),1)</f>
        <v>45717</v>
      </c>
      <c r="K568" s="41" t="n">
        <f aca="false">D568*E568</f>
        <v>81.12</v>
      </c>
      <c r="L568" s="41" t="n">
        <f aca="false">D568*I568</f>
        <v>24</v>
      </c>
      <c r="M568" s="41" t="n">
        <f aca="false">IFERROR(INDEX(Raw_Expenses!$C$5:$C$2979,MATCH(A568,Raw_Expenses!$A$5:$A$2979,0)),0)</f>
        <v>5.95</v>
      </c>
      <c r="N568" s="41" t="n">
        <f aca="false">L568+M568</f>
        <v>29.95</v>
      </c>
      <c r="O568" s="41" t="n">
        <f aca="false">K568-N568</f>
        <v>51.17</v>
      </c>
      <c r="P568" s="43" t="n">
        <f aca="false">IF(K568=0,0,O568/K568)</f>
        <v>0.630793885601578</v>
      </c>
    </row>
    <row r="569" customFormat="false" ht="15" hidden="false" customHeight="false" outlineLevel="0" collapsed="false">
      <c r="A569" s="39" t="s">
        <v>691</v>
      </c>
      <c r="B569" s="40" t="n">
        <v>45741</v>
      </c>
      <c r="C569" s="39" t="s">
        <v>136</v>
      </c>
      <c r="D569" s="39" t="n">
        <v>1</v>
      </c>
      <c r="E569" s="41" t="n">
        <v>76.36</v>
      </c>
      <c r="F569" s="39" t="s">
        <v>105</v>
      </c>
      <c r="G569" s="39" t="str">
        <f aca="false">VLOOKUP(C569,Products!$A$5:$D$24,2,FALSE())</f>
        <v>Mechanical Keyboard</v>
      </c>
      <c r="H569" s="39" t="str">
        <f aca="false">VLOOKUP(C569,Products!$A$5:$D$24,3,FALSE())</f>
        <v>Electronics</v>
      </c>
      <c r="I569" s="41" t="n">
        <f aca="false">VLOOKUP(C569,Products!$A$5:$D$24,4,FALSE())</f>
        <v>38</v>
      </c>
      <c r="J569" s="42" t="n">
        <f aca="false">DATE(YEAR(B569),MONTH(B569),1)</f>
        <v>45717</v>
      </c>
      <c r="K569" s="41" t="n">
        <f aca="false">D569*E569</f>
        <v>76.36</v>
      </c>
      <c r="L569" s="41" t="n">
        <f aca="false">D569*I569</f>
        <v>38</v>
      </c>
      <c r="M569" s="41" t="n">
        <f aca="false">IFERROR(INDEX(Raw_Expenses!$C$5:$C$2979,MATCH(A569,Raw_Expenses!$A$5:$A$2979,0)),0)</f>
        <v>6.32</v>
      </c>
      <c r="N569" s="41" t="n">
        <f aca="false">L569+M569</f>
        <v>44.32</v>
      </c>
      <c r="O569" s="41" t="n">
        <f aca="false">K569-N569</f>
        <v>32.04</v>
      </c>
      <c r="P569" s="43" t="n">
        <f aca="false">IF(K569=0,0,O569/K569)</f>
        <v>0.41959140911472</v>
      </c>
    </row>
    <row r="570" customFormat="false" ht="15" hidden="false" customHeight="false" outlineLevel="0" collapsed="false">
      <c r="A570" s="39" t="s">
        <v>692</v>
      </c>
      <c r="B570" s="40" t="n">
        <v>45741</v>
      </c>
      <c r="C570" s="39" t="s">
        <v>114</v>
      </c>
      <c r="D570" s="39" t="n">
        <v>2</v>
      </c>
      <c r="E570" s="41" t="n">
        <v>5.91</v>
      </c>
      <c r="F570" s="39" t="s">
        <v>108</v>
      </c>
      <c r="G570" s="39" t="str">
        <f aca="false">VLOOKUP(C570,Products!$A$5:$D$24,2,FALSE())</f>
        <v>Gel Pen Pack</v>
      </c>
      <c r="H570" s="39" t="str">
        <f aca="false">VLOOKUP(C570,Products!$A$5:$D$24,3,FALSE())</f>
        <v>Stationery</v>
      </c>
      <c r="I570" s="41" t="n">
        <f aca="false">VLOOKUP(C570,Products!$A$5:$D$24,4,FALSE())</f>
        <v>2</v>
      </c>
      <c r="J570" s="42" t="n">
        <f aca="false">DATE(YEAR(B570),MONTH(B570),1)</f>
        <v>45717</v>
      </c>
      <c r="K570" s="41" t="n">
        <f aca="false">D570*E570</f>
        <v>11.82</v>
      </c>
      <c r="L570" s="41" t="n">
        <f aca="false">D570*I570</f>
        <v>4</v>
      </c>
      <c r="M570" s="41" t="n">
        <f aca="false">IFERROR(INDEX(Raw_Expenses!$C$5:$C$2979,MATCH(A570,Raw_Expenses!$A$5:$A$2979,0)),0)</f>
        <v>0.56</v>
      </c>
      <c r="N570" s="41" t="n">
        <f aca="false">L570+M570</f>
        <v>4.56</v>
      </c>
      <c r="O570" s="41" t="n">
        <f aca="false">K570-N570</f>
        <v>7.26</v>
      </c>
      <c r="P570" s="43" t="n">
        <f aca="false">IF(K570=0,0,O570/K570)</f>
        <v>0.614213197969543</v>
      </c>
    </row>
    <row r="571" customFormat="false" ht="15" hidden="false" customHeight="false" outlineLevel="0" collapsed="false">
      <c r="A571" s="39" t="s">
        <v>693</v>
      </c>
      <c r="B571" s="40" t="n">
        <v>45741</v>
      </c>
      <c r="C571" s="39" t="s">
        <v>104</v>
      </c>
      <c r="D571" s="39" t="n">
        <v>5</v>
      </c>
      <c r="E571" s="41" t="n">
        <v>14.91</v>
      </c>
      <c r="F571" s="39" t="s">
        <v>105</v>
      </c>
      <c r="G571" s="39" t="str">
        <f aca="false">VLOOKUP(C571,Products!$A$5:$D$24,2,FALSE())</f>
        <v>Water Bottle</v>
      </c>
      <c r="H571" s="39" t="str">
        <f aca="false">VLOOKUP(C571,Products!$A$5:$D$24,3,FALSE())</f>
        <v>Accessories</v>
      </c>
      <c r="I571" s="41" t="n">
        <f aca="false">VLOOKUP(C571,Products!$A$5:$D$24,4,FALSE())</f>
        <v>5</v>
      </c>
      <c r="J571" s="42" t="n">
        <f aca="false">DATE(YEAR(B571),MONTH(B571),1)</f>
        <v>45717</v>
      </c>
      <c r="K571" s="41" t="n">
        <f aca="false">D571*E571</f>
        <v>74.55</v>
      </c>
      <c r="L571" s="41" t="n">
        <f aca="false">D571*I571</f>
        <v>25</v>
      </c>
      <c r="M571" s="41" t="n">
        <f aca="false">IFERROR(INDEX(Raw_Expenses!$C$5:$C$2979,MATCH(A571,Raw_Expenses!$A$5:$A$2979,0)),0)</f>
        <v>4.28</v>
      </c>
      <c r="N571" s="41" t="n">
        <f aca="false">L571+M571</f>
        <v>29.28</v>
      </c>
      <c r="O571" s="41" t="n">
        <f aca="false">K571-N571</f>
        <v>45.27</v>
      </c>
      <c r="P571" s="43" t="n">
        <f aca="false">IF(K571=0,0,O571/K571)</f>
        <v>0.607243460764588</v>
      </c>
    </row>
    <row r="572" customFormat="false" ht="15" hidden="false" customHeight="false" outlineLevel="0" collapsed="false">
      <c r="A572" s="39" t="s">
        <v>694</v>
      </c>
      <c r="B572" s="40" t="n">
        <v>45741</v>
      </c>
      <c r="C572" s="39" t="s">
        <v>104</v>
      </c>
      <c r="D572" s="39" t="n">
        <v>4</v>
      </c>
      <c r="E572" s="41" t="n">
        <v>15.17</v>
      </c>
      <c r="F572" s="39" t="s">
        <v>118</v>
      </c>
      <c r="G572" s="39" t="str">
        <f aca="false">VLOOKUP(C572,Products!$A$5:$D$24,2,FALSE())</f>
        <v>Water Bottle</v>
      </c>
      <c r="H572" s="39" t="str">
        <f aca="false">VLOOKUP(C572,Products!$A$5:$D$24,3,FALSE())</f>
        <v>Accessories</v>
      </c>
      <c r="I572" s="41" t="n">
        <f aca="false">VLOOKUP(C572,Products!$A$5:$D$24,4,FALSE())</f>
        <v>5</v>
      </c>
      <c r="J572" s="42" t="n">
        <f aca="false">DATE(YEAR(B572),MONTH(B572),1)</f>
        <v>45717</v>
      </c>
      <c r="K572" s="41" t="n">
        <f aca="false">D572*E572</f>
        <v>60.68</v>
      </c>
      <c r="L572" s="41" t="n">
        <f aca="false">D572*I572</f>
        <v>20</v>
      </c>
      <c r="M572" s="41" t="n">
        <f aca="false">IFERROR(INDEX(Raw_Expenses!$C$5:$C$2979,MATCH(A572,Raw_Expenses!$A$5:$A$2979,0)),0)</f>
        <v>3.12</v>
      </c>
      <c r="N572" s="41" t="n">
        <f aca="false">L572+M572</f>
        <v>23.12</v>
      </c>
      <c r="O572" s="41" t="n">
        <f aca="false">K572-N572</f>
        <v>37.56</v>
      </c>
      <c r="P572" s="43" t="n">
        <f aca="false">IF(K572=0,0,O572/K572)</f>
        <v>0.618984838497034</v>
      </c>
    </row>
    <row r="573" customFormat="false" ht="15" hidden="false" customHeight="false" outlineLevel="0" collapsed="false">
      <c r="A573" s="39" t="s">
        <v>695</v>
      </c>
      <c r="B573" s="40" t="n">
        <v>45741</v>
      </c>
      <c r="C573" s="39" t="s">
        <v>128</v>
      </c>
      <c r="D573" s="39" t="n">
        <v>3</v>
      </c>
      <c r="E573" s="41" t="n">
        <v>37.4</v>
      </c>
      <c r="F573" s="39" t="s">
        <v>115</v>
      </c>
      <c r="G573" s="39" t="str">
        <f aca="false">VLOOKUP(C573,Products!$A$5:$D$24,2,FALSE())</f>
        <v>Ergonomic Footrest</v>
      </c>
      <c r="H573" s="39" t="str">
        <f aca="false">VLOOKUP(C573,Products!$A$5:$D$24,3,FALSE())</f>
        <v>Furniture</v>
      </c>
      <c r="I573" s="41" t="n">
        <f aca="false">VLOOKUP(C573,Products!$A$5:$D$24,4,FALSE())</f>
        <v>15</v>
      </c>
      <c r="J573" s="42" t="n">
        <f aca="false">DATE(YEAR(B573),MONTH(B573),1)</f>
        <v>45717</v>
      </c>
      <c r="K573" s="41" t="n">
        <f aca="false">D573*E573</f>
        <v>112.2</v>
      </c>
      <c r="L573" s="41" t="n">
        <f aca="false">D573*I573</f>
        <v>45</v>
      </c>
      <c r="M573" s="41" t="n">
        <f aca="false">IFERROR(INDEX(Raw_Expenses!$C$5:$C$2979,MATCH(A573,Raw_Expenses!$A$5:$A$2979,0)),0)</f>
        <v>6.38</v>
      </c>
      <c r="N573" s="41" t="n">
        <f aca="false">L573+M573</f>
        <v>51.38</v>
      </c>
      <c r="O573" s="41" t="n">
        <f aca="false">K573-N573</f>
        <v>60.82</v>
      </c>
      <c r="P573" s="43" t="n">
        <f aca="false">IF(K573=0,0,O573/K573)</f>
        <v>0.542067736185383</v>
      </c>
    </row>
    <row r="574" customFormat="false" ht="15" hidden="false" customHeight="false" outlineLevel="0" collapsed="false">
      <c r="A574" s="39" t="s">
        <v>696</v>
      </c>
      <c r="B574" s="40" t="n">
        <v>45741</v>
      </c>
      <c r="C574" s="39" t="s">
        <v>133</v>
      </c>
      <c r="D574" s="39" t="n">
        <v>5</v>
      </c>
      <c r="E574" s="41" t="n">
        <v>8.84</v>
      </c>
      <c r="F574" s="39" t="s">
        <v>115</v>
      </c>
      <c r="G574" s="39" t="str">
        <f aca="false">VLOOKUP(C574,Products!$A$5:$D$24,2,FALSE())</f>
        <v>Printer Paper Ream</v>
      </c>
      <c r="H574" s="39" t="str">
        <f aca="false">VLOOKUP(C574,Products!$A$5:$D$24,3,FALSE())</f>
        <v>Stationery</v>
      </c>
      <c r="I574" s="41" t="n">
        <f aca="false">VLOOKUP(C574,Products!$A$5:$D$24,4,FALSE())</f>
        <v>4</v>
      </c>
      <c r="J574" s="42" t="n">
        <f aca="false">DATE(YEAR(B574),MONTH(B574),1)</f>
        <v>45717</v>
      </c>
      <c r="K574" s="41" t="n">
        <f aca="false">D574*E574</f>
        <v>44.2</v>
      </c>
      <c r="L574" s="41" t="n">
        <f aca="false">D574*I574</f>
        <v>20</v>
      </c>
      <c r="M574" s="41" t="n">
        <f aca="false">IFERROR(INDEX(Raw_Expenses!$C$5:$C$2979,MATCH(A574,Raw_Expenses!$A$5:$A$2979,0)),0)</f>
        <v>1.84</v>
      </c>
      <c r="N574" s="41" t="n">
        <f aca="false">L574+M574</f>
        <v>21.84</v>
      </c>
      <c r="O574" s="41" t="n">
        <f aca="false">K574-N574</f>
        <v>22.36</v>
      </c>
      <c r="P574" s="43" t="n">
        <f aca="false">IF(K574=0,0,O574/K574)</f>
        <v>0.505882352941177</v>
      </c>
    </row>
    <row r="575" customFormat="false" ht="15" hidden="false" customHeight="false" outlineLevel="0" collapsed="false">
      <c r="A575" s="39" t="s">
        <v>697</v>
      </c>
      <c r="B575" s="40" t="n">
        <v>45742</v>
      </c>
      <c r="C575" s="39" t="s">
        <v>126</v>
      </c>
      <c r="D575" s="39" t="n">
        <v>2</v>
      </c>
      <c r="E575" s="41" t="n">
        <v>24.99</v>
      </c>
      <c r="F575" s="39" t="s">
        <v>115</v>
      </c>
      <c r="G575" s="39" t="str">
        <f aca="false">VLOOKUP(C575,Products!$A$5:$D$24,2,FALSE())</f>
        <v>Wireless Mouse</v>
      </c>
      <c r="H575" s="39" t="str">
        <f aca="false">VLOOKUP(C575,Products!$A$5:$D$24,3,FALSE())</f>
        <v>Electronics</v>
      </c>
      <c r="I575" s="41" t="n">
        <f aca="false">VLOOKUP(C575,Products!$A$5:$D$24,4,FALSE())</f>
        <v>12</v>
      </c>
      <c r="J575" s="42" t="n">
        <f aca="false">DATE(YEAR(B575),MONTH(B575),1)</f>
        <v>45717</v>
      </c>
      <c r="K575" s="41" t="n">
        <f aca="false">D575*E575</f>
        <v>49.98</v>
      </c>
      <c r="L575" s="41" t="n">
        <f aca="false">D575*I575</f>
        <v>24</v>
      </c>
      <c r="M575" s="41" t="n">
        <f aca="false">IFERROR(INDEX(Raw_Expenses!$C$5:$C$2979,MATCH(A575,Raw_Expenses!$A$5:$A$2979,0)),0)</f>
        <v>4.33</v>
      </c>
      <c r="N575" s="41" t="n">
        <f aca="false">L575+M575</f>
        <v>28.33</v>
      </c>
      <c r="O575" s="41" t="n">
        <f aca="false">K575-N575</f>
        <v>21.65</v>
      </c>
      <c r="P575" s="43" t="n">
        <f aca="false">IF(K575=0,0,O575/K575)</f>
        <v>0.433173269307723</v>
      </c>
    </row>
    <row r="576" customFormat="false" ht="15" hidden="false" customHeight="false" outlineLevel="0" collapsed="false">
      <c r="A576" s="39" t="s">
        <v>698</v>
      </c>
      <c r="B576" s="40" t="n">
        <v>45742</v>
      </c>
      <c r="C576" s="39" t="s">
        <v>139</v>
      </c>
      <c r="D576" s="39" t="n">
        <v>1</v>
      </c>
      <c r="E576" s="41" t="n">
        <v>126.95</v>
      </c>
      <c r="F576" s="39" t="s">
        <v>115</v>
      </c>
      <c r="G576" s="39" t="str">
        <f aca="false">VLOOKUP(C576,Products!$A$5:$D$24,2,FALSE())</f>
        <v>Noise-Cancelling Headphones</v>
      </c>
      <c r="H576" s="39" t="str">
        <f aca="false">VLOOKUP(C576,Products!$A$5:$D$24,3,FALSE())</f>
        <v>Electronics</v>
      </c>
      <c r="I576" s="41" t="n">
        <f aca="false">VLOOKUP(C576,Products!$A$5:$D$24,4,FALSE())</f>
        <v>55</v>
      </c>
      <c r="J576" s="42" t="n">
        <f aca="false">DATE(YEAR(B576),MONTH(B576),1)</f>
        <v>45717</v>
      </c>
      <c r="K576" s="41" t="n">
        <f aca="false">D576*E576</f>
        <v>126.95</v>
      </c>
      <c r="L576" s="41" t="n">
        <f aca="false">D576*I576</f>
        <v>55</v>
      </c>
      <c r="M576" s="41" t="n">
        <f aca="false">IFERROR(INDEX(Raw_Expenses!$C$5:$C$2979,MATCH(A576,Raw_Expenses!$A$5:$A$2979,0)),0)</f>
        <v>10.07</v>
      </c>
      <c r="N576" s="41" t="n">
        <f aca="false">L576+M576</f>
        <v>65.07</v>
      </c>
      <c r="O576" s="41" t="n">
        <f aca="false">K576-N576</f>
        <v>61.88</v>
      </c>
      <c r="P576" s="43" t="n">
        <f aca="false">IF(K576=0,0,O576/K576)</f>
        <v>0.487435998424577</v>
      </c>
    </row>
    <row r="577" customFormat="false" ht="15" hidden="false" customHeight="false" outlineLevel="0" collapsed="false">
      <c r="A577" s="39" t="s">
        <v>699</v>
      </c>
      <c r="B577" s="40" t="n">
        <v>45742</v>
      </c>
      <c r="C577" s="39" t="s">
        <v>153</v>
      </c>
      <c r="D577" s="39" t="n">
        <v>1</v>
      </c>
      <c r="E577" s="41" t="n">
        <v>175.6</v>
      </c>
      <c r="F577" s="39" t="s">
        <v>108</v>
      </c>
      <c r="G577" s="39" t="str">
        <f aca="false">VLOOKUP(C577,Products!$A$5:$D$24,2,FALSE())</f>
        <v>24-inch Monitor</v>
      </c>
      <c r="H577" s="39" t="str">
        <f aca="false">VLOOKUP(C577,Products!$A$5:$D$24,3,FALSE())</f>
        <v>Electronics</v>
      </c>
      <c r="I577" s="41" t="n">
        <f aca="false">VLOOKUP(C577,Products!$A$5:$D$24,4,FALSE())</f>
        <v>90</v>
      </c>
      <c r="J577" s="42" t="n">
        <f aca="false">DATE(YEAR(B577),MONTH(B577),1)</f>
        <v>45717</v>
      </c>
      <c r="K577" s="41" t="n">
        <f aca="false">D577*E577</f>
        <v>175.6</v>
      </c>
      <c r="L577" s="41" t="n">
        <f aca="false">D577*I577</f>
        <v>90</v>
      </c>
      <c r="M577" s="41" t="n">
        <f aca="false">IFERROR(INDEX(Raw_Expenses!$C$5:$C$2979,MATCH(A577,Raw_Expenses!$A$5:$A$2979,0)),0)</f>
        <v>13.55</v>
      </c>
      <c r="N577" s="41" t="n">
        <f aca="false">L577+M577</f>
        <v>103.55</v>
      </c>
      <c r="O577" s="41" t="n">
        <f aca="false">K577-N577</f>
        <v>72.05</v>
      </c>
      <c r="P577" s="43" t="n">
        <f aca="false">IF(K577=0,0,O577/K577)</f>
        <v>0.410307517084283</v>
      </c>
    </row>
    <row r="578" customFormat="false" ht="15" hidden="false" customHeight="false" outlineLevel="0" collapsed="false">
      <c r="A578" s="39" t="s">
        <v>700</v>
      </c>
      <c r="B578" s="40" t="n">
        <v>45742</v>
      </c>
      <c r="C578" s="39" t="s">
        <v>104</v>
      </c>
      <c r="D578" s="39" t="n">
        <v>2</v>
      </c>
      <c r="E578" s="41" t="n">
        <v>15.82</v>
      </c>
      <c r="F578" s="39" t="s">
        <v>108</v>
      </c>
      <c r="G578" s="39" t="str">
        <f aca="false">VLOOKUP(C578,Products!$A$5:$D$24,2,FALSE())</f>
        <v>Water Bottle</v>
      </c>
      <c r="H578" s="39" t="str">
        <f aca="false">VLOOKUP(C578,Products!$A$5:$D$24,3,FALSE())</f>
        <v>Accessories</v>
      </c>
      <c r="I578" s="41" t="n">
        <f aca="false">VLOOKUP(C578,Products!$A$5:$D$24,4,FALSE())</f>
        <v>5</v>
      </c>
      <c r="J578" s="42" t="n">
        <f aca="false">DATE(YEAR(B578),MONTH(B578),1)</f>
        <v>45717</v>
      </c>
      <c r="K578" s="41" t="n">
        <f aca="false">D578*E578</f>
        <v>31.64</v>
      </c>
      <c r="L578" s="41" t="n">
        <f aca="false">D578*I578</f>
        <v>10</v>
      </c>
      <c r="M578" s="41" t="n">
        <f aca="false">IFERROR(INDEX(Raw_Expenses!$C$5:$C$2979,MATCH(A578,Raw_Expenses!$A$5:$A$2979,0)),0)</f>
        <v>0</v>
      </c>
      <c r="N578" s="41" t="n">
        <f aca="false">L578+M578</f>
        <v>10</v>
      </c>
      <c r="O578" s="41" t="n">
        <f aca="false">K578-N578</f>
        <v>21.64</v>
      </c>
      <c r="P578" s="43" t="n">
        <f aca="false">IF(K578=0,0,O578/K578)</f>
        <v>0.683944374209861</v>
      </c>
    </row>
    <row r="579" customFormat="false" ht="15" hidden="false" customHeight="false" outlineLevel="0" collapsed="false">
      <c r="A579" s="39" t="s">
        <v>701</v>
      </c>
      <c r="B579" s="40" t="n">
        <v>45742</v>
      </c>
      <c r="C579" s="39" t="s">
        <v>177</v>
      </c>
      <c r="D579" s="39" t="n">
        <v>6</v>
      </c>
      <c r="E579" s="41" t="n">
        <v>44.67</v>
      </c>
      <c r="F579" s="39" t="s">
        <v>115</v>
      </c>
      <c r="G579" s="39" t="str">
        <f aca="false">VLOOKUP(C579,Products!$A$5:$D$24,2,FALSE())</f>
        <v>Backpack</v>
      </c>
      <c r="H579" s="39" t="str">
        <f aca="false">VLOOKUP(C579,Products!$A$5:$D$24,3,FALSE())</f>
        <v>Accessories</v>
      </c>
      <c r="I579" s="41" t="n">
        <f aca="false">VLOOKUP(C579,Products!$A$5:$D$24,4,FALSE())</f>
        <v>17</v>
      </c>
      <c r="J579" s="42" t="n">
        <f aca="false">DATE(YEAR(B579),MONTH(B579),1)</f>
        <v>45717</v>
      </c>
      <c r="K579" s="41" t="n">
        <f aca="false">D579*E579</f>
        <v>268.02</v>
      </c>
      <c r="L579" s="41" t="n">
        <f aca="false">D579*I579</f>
        <v>102</v>
      </c>
      <c r="M579" s="41" t="n">
        <f aca="false">IFERROR(INDEX(Raw_Expenses!$C$5:$C$2979,MATCH(A579,Raw_Expenses!$A$5:$A$2979,0)),0)</f>
        <v>21.57</v>
      </c>
      <c r="N579" s="41" t="n">
        <f aca="false">L579+M579</f>
        <v>123.57</v>
      </c>
      <c r="O579" s="41" t="n">
        <f aca="false">K579-N579</f>
        <v>144.45</v>
      </c>
      <c r="P579" s="43" t="n">
        <f aca="false">IF(K579=0,0,O579/K579)</f>
        <v>0.538952316991269</v>
      </c>
    </row>
    <row r="580" customFormat="false" ht="15" hidden="false" customHeight="false" outlineLevel="0" collapsed="false">
      <c r="A580" s="39" t="s">
        <v>702</v>
      </c>
      <c r="B580" s="40" t="n">
        <v>45742</v>
      </c>
      <c r="C580" s="39" t="s">
        <v>114</v>
      </c>
      <c r="D580" s="39" t="n">
        <v>2</v>
      </c>
      <c r="E580" s="41" t="n">
        <v>5.99</v>
      </c>
      <c r="F580" s="39" t="s">
        <v>108</v>
      </c>
      <c r="G580" s="39" t="str">
        <f aca="false">VLOOKUP(C580,Products!$A$5:$D$24,2,FALSE())</f>
        <v>Gel Pen Pack</v>
      </c>
      <c r="H580" s="39" t="str">
        <f aca="false">VLOOKUP(C580,Products!$A$5:$D$24,3,FALSE())</f>
        <v>Stationery</v>
      </c>
      <c r="I580" s="41" t="n">
        <f aca="false">VLOOKUP(C580,Products!$A$5:$D$24,4,FALSE())</f>
        <v>2</v>
      </c>
      <c r="J580" s="42" t="n">
        <f aca="false">DATE(YEAR(B580),MONTH(B580),1)</f>
        <v>45717</v>
      </c>
      <c r="K580" s="41" t="n">
        <f aca="false">D580*E580</f>
        <v>11.98</v>
      </c>
      <c r="L580" s="41" t="n">
        <f aca="false">D580*I580</f>
        <v>4</v>
      </c>
      <c r="M580" s="41" t="n">
        <f aca="false">IFERROR(INDEX(Raw_Expenses!$C$5:$C$2979,MATCH(A580,Raw_Expenses!$A$5:$A$2979,0)),0)</f>
        <v>0.7</v>
      </c>
      <c r="N580" s="41" t="n">
        <f aca="false">L580+M580</f>
        <v>4.7</v>
      </c>
      <c r="O580" s="41" t="n">
        <f aca="false">K580-N580</f>
        <v>7.28</v>
      </c>
      <c r="P580" s="43" t="n">
        <f aca="false">IF(K580=0,0,O580/K580)</f>
        <v>0.607679465776294</v>
      </c>
    </row>
    <row r="581" customFormat="false" ht="15" hidden="false" customHeight="false" outlineLevel="0" collapsed="false">
      <c r="A581" s="39" t="s">
        <v>703</v>
      </c>
      <c r="B581" s="40" t="n">
        <v>45742</v>
      </c>
      <c r="C581" s="39" t="s">
        <v>112</v>
      </c>
      <c r="D581" s="39" t="n">
        <v>1</v>
      </c>
      <c r="E581" s="41" t="n">
        <v>53.71</v>
      </c>
      <c r="F581" s="39" t="s">
        <v>115</v>
      </c>
      <c r="G581" s="39" t="str">
        <f aca="false">VLOOKUP(C581,Products!$A$5:$D$24,2,FALSE())</f>
        <v>HD Webcam</v>
      </c>
      <c r="H581" s="39" t="str">
        <f aca="false">VLOOKUP(C581,Products!$A$5:$D$24,3,FALSE())</f>
        <v>Electronics</v>
      </c>
      <c r="I581" s="41" t="n">
        <f aca="false">VLOOKUP(C581,Products!$A$5:$D$24,4,FALSE())</f>
        <v>22</v>
      </c>
      <c r="J581" s="42" t="n">
        <f aca="false">DATE(YEAR(B581),MONTH(B581),1)</f>
        <v>45717</v>
      </c>
      <c r="K581" s="41" t="n">
        <f aca="false">D581*E581</f>
        <v>53.71</v>
      </c>
      <c r="L581" s="41" t="n">
        <f aca="false">D581*I581</f>
        <v>22</v>
      </c>
      <c r="M581" s="41" t="n">
        <f aca="false">IFERROR(INDEX(Raw_Expenses!$C$5:$C$2979,MATCH(A581,Raw_Expenses!$A$5:$A$2979,0)),0)</f>
        <v>3.47</v>
      </c>
      <c r="N581" s="41" t="n">
        <f aca="false">L581+M581</f>
        <v>25.47</v>
      </c>
      <c r="O581" s="41" t="n">
        <f aca="false">K581-N581</f>
        <v>28.24</v>
      </c>
      <c r="P581" s="43" t="n">
        <f aca="false">IF(K581=0,0,O581/K581)</f>
        <v>0.525786631912121</v>
      </c>
    </row>
    <row r="582" customFormat="false" ht="15" hidden="false" customHeight="false" outlineLevel="0" collapsed="false">
      <c r="A582" s="39" t="s">
        <v>704</v>
      </c>
      <c r="B582" s="40" t="n">
        <v>45743</v>
      </c>
      <c r="C582" s="39" t="s">
        <v>117</v>
      </c>
      <c r="D582" s="39" t="n">
        <v>2</v>
      </c>
      <c r="E582" s="41" t="n">
        <v>31.91</v>
      </c>
      <c r="F582" s="39" t="s">
        <v>115</v>
      </c>
      <c r="G582" s="39" t="str">
        <f aca="false">VLOOKUP(C582,Products!$A$5:$D$24,2,FALSE())</f>
        <v>Desk Lamp</v>
      </c>
      <c r="H582" s="39" t="str">
        <f aca="false">VLOOKUP(C582,Products!$A$5:$D$24,3,FALSE())</f>
        <v>Furniture</v>
      </c>
      <c r="I582" s="41" t="n">
        <f aca="false">VLOOKUP(C582,Products!$A$5:$D$24,4,FALSE())</f>
        <v>13</v>
      </c>
      <c r="J582" s="42" t="n">
        <f aca="false">DATE(YEAR(B582),MONTH(B582),1)</f>
        <v>45717</v>
      </c>
      <c r="K582" s="41" t="n">
        <f aca="false">D582*E582</f>
        <v>63.82</v>
      </c>
      <c r="L582" s="41" t="n">
        <f aca="false">D582*I582</f>
        <v>26</v>
      </c>
      <c r="M582" s="41" t="n">
        <f aca="false">IFERROR(INDEX(Raw_Expenses!$C$5:$C$2979,MATCH(A582,Raw_Expenses!$A$5:$A$2979,0)),0)</f>
        <v>5.5</v>
      </c>
      <c r="N582" s="41" t="n">
        <f aca="false">L582+M582</f>
        <v>31.5</v>
      </c>
      <c r="O582" s="41" t="n">
        <f aca="false">K582-N582</f>
        <v>32.32</v>
      </c>
      <c r="P582" s="43" t="n">
        <f aca="false">IF(K582=0,0,O582/K582)</f>
        <v>0.506424318395487</v>
      </c>
    </row>
    <row r="583" customFormat="false" ht="15" hidden="false" customHeight="false" outlineLevel="0" collapsed="false">
      <c r="A583" s="39" t="s">
        <v>705</v>
      </c>
      <c r="B583" s="40" t="n">
        <v>45743</v>
      </c>
      <c r="C583" s="39" t="s">
        <v>130</v>
      </c>
      <c r="D583" s="39" t="n">
        <v>2</v>
      </c>
      <c r="E583" s="41" t="n">
        <v>8.97</v>
      </c>
      <c r="F583" s="39" t="s">
        <v>118</v>
      </c>
      <c r="G583" s="39" t="str">
        <f aca="false">VLOOKUP(C583,Products!$A$5:$D$24,2,FALSE())</f>
        <v>Notebook Set</v>
      </c>
      <c r="H583" s="39" t="str">
        <f aca="false">VLOOKUP(C583,Products!$A$5:$D$24,3,FALSE())</f>
        <v>Stationery</v>
      </c>
      <c r="I583" s="41" t="n">
        <f aca="false">VLOOKUP(C583,Products!$A$5:$D$24,4,FALSE())</f>
        <v>3</v>
      </c>
      <c r="J583" s="42" t="n">
        <f aca="false">DATE(YEAR(B583),MONTH(B583),1)</f>
        <v>45717</v>
      </c>
      <c r="K583" s="41" t="n">
        <f aca="false">D583*E583</f>
        <v>17.94</v>
      </c>
      <c r="L583" s="41" t="n">
        <f aca="false">D583*I583</f>
        <v>6</v>
      </c>
      <c r="M583" s="41" t="n">
        <f aca="false">IFERROR(INDEX(Raw_Expenses!$C$5:$C$2979,MATCH(A583,Raw_Expenses!$A$5:$A$2979,0)),0)</f>
        <v>0.92</v>
      </c>
      <c r="N583" s="41" t="n">
        <f aca="false">L583+M583</f>
        <v>6.92</v>
      </c>
      <c r="O583" s="41" t="n">
        <f aca="false">K583-N583</f>
        <v>11.02</v>
      </c>
      <c r="P583" s="43" t="n">
        <f aca="false">IF(K583=0,0,O583/K583)</f>
        <v>0.614269788182832</v>
      </c>
    </row>
    <row r="584" customFormat="false" ht="15" hidden="false" customHeight="false" outlineLevel="0" collapsed="false">
      <c r="A584" s="39" t="s">
        <v>706</v>
      </c>
      <c r="B584" s="40" t="n">
        <v>45743</v>
      </c>
      <c r="C584" s="39" t="s">
        <v>114</v>
      </c>
      <c r="D584" s="39" t="n">
        <v>4</v>
      </c>
      <c r="E584" s="41" t="n">
        <v>5.53</v>
      </c>
      <c r="F584" s="39" t="s">
        <v>108</v>
      </c>
      <c r="G584" s="39" t="str">
        <f aca="false">VLOOKUP(C584,Products!$A$5:$D$24,2,FALSE())</f>
        <v>Gel Pen Pack</v>
      </c>
      <c r="H584" s="39" t="str">
        <f aca="false">VLOOKUP(C584,Products!$A$5:$D$24,3,FALSE())</f>
        <v>Stationery</v>
      </c>
      <c r="I584" s="41" t="n">
        <f aca="false">VLOOKUP(C584,Products!$A$5:$D$24,4,FALSE())</f>
        <v>2</v>
      </c>
      <c r="J584" s="42" t="n">
        <f aca="false">DATE(YEAR(B584),MONTH(B584),1)</f>
        <v>45717</v>
      </c>
      <c r="K584" s="41" t="n">
        <f aca="false">D584*E584</f>
        <v>22.12</v>
      </c>
      <c r="L584" s="41" t="n">
        <f aca="false">D584*I584</f>
        <v>8</v>
      </c>
      <c r="M584" s="41" t="n">
        <f aca="false">IFERROR(INDEX(Raw_Expenses!$C$5:$C$2979,MATCH(A584,Raw_Expenses!$A$5:$A$2979,0)),0)</f>
        <v>1.86</v>
      </c>
      <c r="N584" s="41" t="n">
        <f aca="false">L584+M584</f>
        <v>9.86</v>
      </c>
      <c r="O584" s="41" t="n">
        <f aca="false">K584-N584</f>
        <v>12.26</v>
      </c>
      <c r="P584" s="43" t="n">
        <f aca="false">IF(K584=0,0,O584/K584)</f>
        <v>0.554249547920434</v>
      </c>
    </row>
    <row r="585" customFormat="false" ht="15" hidden="false" customHeight="false" outlineLevel="0" collapsed="false">
      <c r="A585" s="39" t="s">
        <v>707</v>
      </c>
      <c r="B585" s="40" t="n">
        <v>45743</v>
      </c>
      <c r="C585" s="39" t="s">
        <v>112</v>
      </c>
      <c r="D585" s="39" t="n">
        <v>3</v>
      </c>
      <c r="E585" s="41" t="n">
        <v>52.08</v>
      </c>
      <c r="F585" s="39" t="s">
        <v>108</v>
      </c>
      <c r="G585" s="39" t="str">
        <f aca="false">VLOOKUP(C585,Products!$A$5:$D$24,2,FALSE())</f>
        <v>HD Webcam</v>
      </c>
      <c r="H585" s="39" t="str">
        <f aca="false">VLOOKUP(C585,Products!$A$5:$D$24,3,FALSE())</f>
        <v>Electronics</v>
      </c>
      <c r="I585" s="41" t="n">
        <f aca="false">VLOOKUP(C585,Products!$A$5:$D$24,4,FALSE())</f>
        <v>22</v>
      </c>
      <c r="J585" s="42" t="n">
        <f aca="false">DATE(YEAR(B585),MONTH(B585),1)</f>
        <v>45717</v>
      </c>
      <c r="K585" s="41" t="n">
        <f aca="false">D585*E585</f>
        <v>156.24</v>
      </c>
      <c r="L585" s="41" t="n">
        <f aca="false">D585*I585</f>
        <v>66</v>
      </c>
      <c r="M585" s="41" t="n">
        <f aca="false">IFERROR(INDEX(Raw_Expenses!$C$5:$C$2979,MATCH(A585,Raw_Expenses!$A$5:$A$2979,0)),0)</f>
        <v>9.07</v>
      </c>
      <c r="N585" s="41" t="n">
        <f aca="false">L585+M585</f>
        <v>75.07</v>
      </c>
      <c r="O585" s="41" t="n">
        <f aca="false">K585-N585</f>
        <v>81.17</v>
      </c>
      <c r="P585" s="43" t="n">
        <f aca="false">IF(K585=0,0,O585/K585)</f>
        <v>0.519521249359959</v>
      </c>
    </row>
    <row r="586" customFormat="false" ht="15" hidden="false" customHeight="false" outlineLevel="0" collapsed="false">
      <c r="A586" s="39" t="s">
        <v>708</v>
      </c>
      <c r="B586" s="40" t="n">
        <v>45743</v>
      </c>
      <c r="C586" s="39" t="s">
        <v>104</v>
      </c>
      <c r="D586" s="39" t="n">
        <v>2</v>
      </c>
      <c r="E586" s="41" t="n">
        <v>15.49</v>
      </c>
      <c r="F586" s="39" t="s">
        <v>118</v>
      </c>
      <c r="G586" s="39" t="str">
        <f aca="false">VLOOKUP(C586,Products!$A$5:$D$24,2,FALSE())</f>
        <v>Water Bottle</v>
      </c>
      <c r="H586" s="39" t="str">
        <f aca="false">VLOOKUP(C586,Products!$A$5:$D$24,3,FALSE())</f>
        <v>Accessories</v>
      </c>
      <c r="I586" s="41" t="n">
        <f aca="false">VLOOKUP(C586,Products!$A$5:$D$24,4,FALSE())</f>
        <v>5</v>
      </c>
      <c r="J586" s="42" t="n">
        <f aca="false">DATE(YEAR(B586),MONTH(B586),1)</f>
        <v>45717</v>
      </c>
      <c r="K586" s="41" t="n">
        <f aca="false">D586*E586</f>
        <v>30.98</v>
      </c>
      <c r="L586" s="41" t="n">
        <f aca="false">D586*I586</f>
        <v>10</v>
      </c>
      <c r="M586" s="41" t="n">
        <f aca="false">IFERROR(INDEX(Raw_Expenses!$C$5:$C$2979,MATCH(A586,Raw_Expenses!$A$5:$A$2979,0)),0)</f>
        <v>2.5</v>
      </c>
      <c r="N586" s="41" t="n">
        <f aca="false">L586+M586</f>
        <v>12.5</v>
      </c>
      <c r="O586" s="41" t="n">
        <f aca="false">K586-N586</f>
        <v>18.48</v>
      </c>
      <c r="P586" s="43" t="n">
        <f aca="false">IF(K586=0,0,O586/K586)</f>
        <v>0.596513879922531</v>
      </c>
    </row>
    <row r="587" customFormat="false" ht="15" hidden="false" customHeight="false" outlineLevel="0" collapsed="false">
      <c r="A587" s="39" t="s">
        <v>709</v>
      </c>
      <c r="B587" s="40" t="n">
        <v>45743</v>
      </c>
      <c r="C587" s="39" t="s">
        <v>126</v>
      </c>
      <c r="D587" s="39" t="n">
        <v>2</v>
      </c>
      <c r="E587" s="41" t="n">
        <v>24.89</v>
      </c>
      <c r="F587" s="39" t="s">
        <v>115</v>
      </c>
      <c r="G587" s="39" t="str">
        <f aca="false">VLOOKUP(C587,Products!$A$5:$D$24,2,FALSE())</f>
        <v>Wireless Mouse</v>
      </c>
      <c r="H587" s="39" t="str">
        <f aca="false">VLOOKUP(C587,Products!$A$5:$D$24,3,FALSE())</f>
        <v>Electronics</v>
      </c>
      <c r="I587" s="41" t="n">
        <f aca="false">VLOOKUP(C587,Products!$A$5:$D$24,4,FALSE())</f>
        <v>12</v>
      </c>
      <c r="J587" s="42" t="n">
        <f aca="false">DATE(YEAR(B587),MONTH(B587),1)</f>
        <v>45717</v>
      </c>
      <c r="K587" s="41" t="n">
        <f aca="false">D587*E587</f>
        <v>49.78</v>
      </c>
      <c r="L587" s="41" t="n">
        <f aca="false">D587*I587</f>
        <v>24</v>
      </c>
      <c r="M587" s="41" t="n">
        <f aca="false">IFERROR(INDEX(Raw_Expenses!$C$5:$C$2979,MATCH(A587,Raw_Expenses!$A$5:$A$2979,0)),0)</f>
        <v>3.69</v>
      </c>
      <c r="N587" s="41" t="n">
        <f aca="false">L587+M587</f>
        <v>27.69</v>
      </c>
      <c r="O587" s="41" t="n">
        <f aca="false">K587-N587</f>
        <v>22.09</v>
      </c>
      <c r="P587" s="43" t="n">
        <f aca="false">IF(K587=0,0,O587/K587)</f>
        <v>0.443752511048614</v>
      </c>
    </row>
    <row r="588" customFormat="false" ht="15" hidden="false" customHeight="false" outlineLevel="0" collapsed="false">
      <c r="A588" s="39" t="s">
        <v>710</v>
      </c>
      <c r="B588" s="40" t="n">
        <v>45743</v>
      </c>
      <c r="C588" s="39" t="s">
        <v>169</v>
      </c>
      <c r="D588" s="39" t="n">
        <v>2</v>
      </c>
      <c r="E588" s="41" t="n">
        <v>27.4</v>
      </c>
      <c r="F588" s="39" t="s">
        <v>118</v>
      </c>
      <c r="G588" s="39" t="str">
        <f aca="false">VLOOKUP(C588,Products!$A$5:$D$24,2,FALSE())</f>
        <v>Laptop Stand</v>
      </c>
      <c r="H588" s="39" t="str">
        <f aca="false">VLOOKUP(C588,Products!$A$5:$D$24,3,FALSE())</f>
        <v>Accessories</v>
      </c>
      <c r="I588" s="41" t="n">
        <f aca="false">VLOOKUP(C588,Products!$A$5:$D$24,4,FALSE())</f>
        <v>11</v>
      </c>
      <c r="J588" s="42" t="n">
        <f aca="false">DATE(YEAR(B588),MONTH(B588),1)</f>
        <v>45717</v>
      </c>
      <c r="K588" s="41" t="n">
        <f aca="false">D588*E588</f>
        <v>54.8</v>
      </c>
      <c r="L588" s="41" t="n">
        <f aca="false">D588*I588</f>
        <v>22</v>
      </c>
      <c r="M588" s="41" t="n">
        <f aca="false">IFERROR(INDEX(Raw_Expenses!$C$5:$C$2979,MATCH(A588,Raw_Expenses!$A$5:$A$2979,0)),0)</f>
        <v>2.44</v>
      </c>
      <c r="N588" s="41" t="n">
        <f aca="false">L588+M588</f>
        <v>24.44</v>
      </c>
      <c r="O588" s="41" t="n">
        <f aca="false">K588-N588</f>
        <v>30.36</v>
      </c>
      <c r="P588" s="43" t="n">
        <f aca="false">IF(K588=0,0,O588/K588)</f>
        <v>0.554014598540146</v>
      </c>
    </row>
    <row r="589" customFormat="false" ht="15" hidden="false" customHeight="false" outlineLevel="0" collapsed="false">
      <c r="A589" s="39" t="s">
        <v>711</v>
      </c>
      <c r="B589" s="40" t="n">
        <v>45743</v>
      </c>
      <c r="C589" s="39" t="s">
        <v>162</v>
      </c>
      <c r="D589" s="39" t="n">
        <v>4</v>
      </c>
      <c r="E589" s="41" t="n">
        <v>64.23</v>
      </c>
      <c r="F589" s="39" t="s">
        <v>105</v>
      </c>
      <c r="G589" s="39" t="str">
        <f aca="false">VLOOKUP(C589,Products!$A$5:$D$24,2,FALSE())</f>
        <v>Bluetooth Speaker</v>
      </c>
      <c r="H589" s="39" t="str">
        <f aca="false">VLOOKUP(C589,Products!$A$5:$D$24,3,FALSE())</f>
        <v>Electronics</v>
      </c>
      <c r="I589" s="41" t="n">
        <f aca="false">VLOOKUP(C589,Products!$A$5:$D$24,4,FALSE())</f>
        <v>28</v>
      </c>
      <c r="J589" s="42" t="n">
        <f aca="false">DATE(YEAR(B589),MONTH(B589),1)</f>
        <v>45717</v>
      </c>
      <c r="K589" s="41" t="n">
        <f aca="false">D589*E589</f>
        <v>256.92</v>
      </c>
      <c r="L589" s="41" t="n">
        <f aca="false">D589*I589</f>
        <v>112</v>
      </c>
      <c r="M589" s="41" t="n">
        <f aca="false">IFERROR(INDEX(Raw_Expenses!$C$5:$C$2979,MATCH(A589,Raw_Expenses!$A$5:$A$2979,0)),0)</f>
        <v>17.73</v>
      </c>
      <c r="N589" s="41" t="n">
        <f aca="false">L589+M589</f>
        <v>129.73</v>
      </c>
      <c r="O589" s="41" t="n">
        <f aca="false">K589-N589</f>
        <v>127.19</v>
      </c>
      <c r="P589" s="43" t="n">
        <f aca="false">IF(K589=0,0,O589/K589)</f>
        <v>0.495056827027869</v>
      </c>
    </row>
    <row r="590" customFormat="false" ht="15" hidden="false" customHeight="false" outlineLevel="0" collapsed="false">
      <c r="A590" s="39" t="s">
        <v>712</v>
      </c>
      <c r="B590" s="40" t="n">
        <v>45743</v>
      </c>
      <c r="C590" s="39" t="s">
        <v>169</v>
      </c>
      <c r="D590" s="39" t="n">
        <v>2</v>
      </c>
      <c r="E590" s="41" t="n">
        <v>28.62</v>
      </c>
      <c r="F590" s="39" t="s">
        <v>115</v>
      </c>
      <c r="G590" s="39" t="str">
        <f aca="false">VLOOKUP(C590,Products!$A$5:$D$24,2,FALSE())</f>
        <v>Laptop Stand</v>
      </c>
      <c r="H590" s="39" t="str">
        <f aca="false">VLOOKUP(C590,Products!$A$5:$D$24,3,FALSE())</f>
        <v>Accessories</v>
      </c>
      <c r="I590" s="41" t="n">
        <f aca="false">VLOOKUP(C590,Products!$A$5:$D$24,4,FALSE())</f>
        <v>11</v>
      </c>
      <c r="J590" s="42" t="n">
        <f aca="false">DATE(YEAR(B590),MONTH(B590),1)</f>
        <v>45717</v>
      </c>
      <c r="K590" s="41" t="n">
        <f aca="false">D590*E590</f>
        <v>57.24</v>
      </c>
      <c r="L590" s="41" t="n">
        <f aca="false">D590*I590</f>
        <v>22</v>
      </c>
      <c r="M590" s="41" t="n">
        <f aca="false">IFERROR(INDEX(Raw_Expenses!$C$5:$C$2979,MATCH(A590,Raw_Expenses!$A$5:$A$2979,0)),0)</f>
        <v>4.98</v>
      </c>
      <c r="N590" s="41" t="n">
        <f aca="false">L590+M590</f>
        <v>26.98</v>
      </c>
      <c r="O590" s="41" t="n">
        <f aca="false">K590-N590</f>
        <v>30.26</v>
      </c>
      <c r="P590" s="43" t="n">
        <f aca="false">IF(K590=0,0,O590/K590)</f>
        <v>0.528651292802236</v>
      </c>
    </row>
    <row r="591" customFormat="false" ht="15" hidden="false" customHeight="false" outlineLevel="0" collapsed="false">
      <c r="A591" s="39" t="s">
        <v>713</v>
      </c>
      <c r="B591" s="40" t="n">
        <v>45744</v>
      </c>
      <c r="C591" s="39" t="s">
        <v>107</v>
      </c>
      <c r="D591" s="39" t="n">
        <v>2</v>
      </c>
      <c r="E591" s="41" t="n">
        <v>32.96</v>
      </c>
      <c r="F591" s="39" t="s">
        <v>105</v>
      </c>
      <c r="G591" s="39" t="str">
        <f aca="false">VLOOKUP(C591,Products!$A$5:$D$24,2,FALSE())</f>
        <v>USB-C Hub</v>
      </c>
      <c r="H591" s="39" t="str">
        <f aca="false">VLOOKUP(C591,Products!$A$5:$D$24,3,FALSE())</f>
        <v>Electronics</v>
      </c>
      <c r="I591" s="41" t="n">
        <f aca="false">VLOOKUP(C591,Products!$A$5:$D$24,4,FALSE())</f>
        <v>14</v>
      </c>
      <c r="J591" s="42" t="n">
        <f aca="false">DATE(YEAR(B591),MONTH(B591),1)</f>
        <v>45717</v>
      </c>
      <c r="K591" s="41" t="n">
        <f aca="false">D591*E591</f>
        <v>65.92</v>
      </c>
      <c r="L591" s="41" t="n">
        <f aca="false">D591*I591</f>
        <v>28</v>
      </c>
      <c r="M591" s="41" t="n">
        <f aca="false">IFERROR(INDEX(Raw_Expenses!$C$5:$C$2979,MATCH(A591,Raw_Expenses!$A$5:$A$2979,0)),0)</f>
        <v>5.18</v>
      </c>
      <c r="N591" s="41" t="n">
        <f aca="false">L591+M591</f>
        <v>33.18</v>
      </c>
      <c r="O591" s="41" t="n">
        <f aca="false">K591-N591</f>
        <v>32.74</v>
      </c>
      <c r="P591" s="43" t="n">
        <f aca="false">IF(K591=0,0,O591/K591)</f>
        <v>0.496662621359223</v>
      </c>
    </row>
    <row r="592" customFormat="false" ht="15" hidden="false" customHeight="false" outlineLevel="0" collapsed="false">
      <c r="A592" s="39" t="s">
        <v>714</v>
      </c>
      <c r="B592" s="40" t="n">
        <v>45744</v>
      </c>
      <c r="C592" s="39" t="s">
        <v>112</v>
      </c>
      <c r="D592" s="39" t="n">
        <v>4</v>
      </c>
      <c r="E592" s="41" t="n">
        <v>54.88</v>
      </c>
      <c r="F592" s="39" t="s">
        <v>105</v>
      </c>
      <c r="G592" s="39" t="str">
        <f aca="false">VLOOKUP(C592,Products!$A$5:$D$24,2,FALSE())</f>
        <v>HD Webcam</v>
      </c>
      <c r="H592" s="39" t="str">
        <f aca="false">VLOOKUP(C592,Products!$A$5:$D$24,3,FALSE())</f>
        <v>Electronics</v>
      </c>
      <c r="I592" s="41" t="n">
        <f aca="false">VLOOKUP(C592,Products!$A$5:$D$24,4,FALSE())</f>
        <v>22</v>
      </c>
      <c r="J592" s="42" t="n">
        <f aca="false">DATE(YEAR(B592),MONTH(B592),1)</f>
        <v>45717</v>
      </c>
      <c r="K592" s="41" t="n">
        <f aca="false">D592*E592</f>
        <v>219.52</v>
      </c>
      <c r="L592" s="41" t="n">
        <f aca="false">D592*I592</f>
        <v>88</v>
      </c>
      <c r="M592" s="41" t="n">
        <f aca="false">IFERROR(INDEX(Raw_Expenses!$C$5:$C$2979,MATCH(A592,Raw_Expenses!$A$5:$A$2979,0)),0)</f>
        <v>13.97</v>
      </c>
      <c r="N592" s="41" t="n">
        <f aca="false">L592+M592</f>
        <v>101.97</v>
      </c>
      <c r="O592" s="41" t="n">
        <f aca="false">K592-N592</f>
        <v>117.55</v>
      </c>
      <c r="P592" s="43" t="n">
        <f aca="false">IF(K592=0,0,O592/K592)</f>
        <v>0.535486516034985</v>
      </c>
    </row>
    <row r="593" customFormat="false" ht="15" hidden="false" customHeight="false" outlineLevel="0" collapsed="false">
      <c r="A593" s="39" t="s">
        <v>715</v>
      </c>
      <c r="B593" s="40" t="n">
        <v>45744</v>
      </c>
      <c r="C593" s="39" t="s">
        <v>112</v>
      </c>
      <c r="D593" s="39" t="n">
        <v>2</v>
      </c>
      <c r="E593" s="41" t="n">
        <v>51.64</v>
      </c>
      <c r="F593" s="39" t="s">
        <v>115</v>
      </c>
      <c r="G593" s="39" t="str">
        <f aca="false">VLOOKUP(C593,Products!$A$5:$D$24,2,FALSE())</f>
        <v>HD Webcam</v>
      </c>
      <c r="H593" s="39" t="str">
        <f aca="false">VLOOKUP(C593,Products!$A$5:$D$24,3,FALSE())</f>
        <v>Electronics</v>
      </c>
      <c r="I593" s="41" t="n">
        <f aca="false">VLOOKUP(C593,Products!$A$5:$D$24,4,FALSE())</f>
        <v>22</v>
      </c>
      <c r="J593" s="42" t="n">
        <f aca="false">DATE(YEAR(B593),MONTH(B593),1)</f>
        <v>45717</v>
      </c>
      <c r="K593" s="41" t="n">
        <f aca="false">D593*E593</f>
        <v>103.28</v>
      </c>
      <c r="L593" s="41" t="n">
        <f aca="false">D593*I593</f>
        <v>44</v>
      </c>
      <c r="M593" s="41" t="n">
        <f aca="false">IFERROR(INDEX(Raw_Expenses!$C$5:$C$2979,MATCH(A593,Raw_Expenses!$A$5:$A$2979,0)),0)</f>
        <v>6.33</v>
      </c>
      <c r="N593" s="41" t="n">
        <f aca="false">L593+M593</f>
        <v>50.33</v>
      </c>
      <c r="O593" s="41" t="n">
        <f aca="false">K593-N593</f>
        <v>52.95</v>
      </c>
      <c r="P593" s="43" t="n">
        <f aca="false">IF(K593=0,0,O593/K593)</f>
        <v>0.512683965917893</v>
      </c>
    </row>
    <row r="594" customFormat="false" ht="15" hidden="false" customHeight="false" outlineLevel="0" collapsed="false">
      <c r="A594" s="39" t="s">
        <v>716</v>
      </c>
      <c r="B594" s="40" t="n">
        <v>45744</v>
      </c>
      <c r="C594" s="39" t="s">
        <v>112</v>
      </c>
      <c r="D594" s="39" t="n">
        <v>3</v>
      </c>
      <c r="E594" s="41" t="n">
        <v>51.63</v>
      </c>
      <c r="F594" s="39" t="s">
        <v>115</v>
      </c>
      <c r="G594" s="39" t="str">
        <f aca="false">VLOOKUP(C594,Products!$A$5:$D$24,2,FALSE())</f>
        <v>HD Webcam</v>
      </c>
      <c r="H594" s="39" t="str">
        <f aca="false">VLOOKUP(C594,Products!$A$5:$D$24,3,FALSE())</f>
        <v>Electronics</v>
      </c>
      <c r="I594" s="41" t="n">
        <f aca="false">VLOOKUP(C594,Products!$A$5:$D$24,4,FALSE())</f>
        <v>22</v>
      </c>
      <c r="J594" s="42" t="n">
        <f aca="false">DATE(YEAR(B594),MONTH(B594),1)</f>
        <v>45717</v>
      </c>
      <c r="K594" s="41" t="n">
        <f aca="false">D594*E594</f>
        <v>154.89</v>
      </c>
      <c r="L594" s="41" t="n">
        <f aca="false">D594*I594</f>
        <v>66</v>
      </c>
      <c r="M594" s="41" t="n">
        <f aca="false">IFERROR(INDEX(Raw_Expenses!$C$5:$C$2979,MATCH(A594,Raw_Expenses!$A$5:$A$2979,0)),0)</f>
        <v>7.02</v>
      </c>
      <c r="N594" s="41" t="n">
        <f aca="false">L594+M594</f>
        <v>73.02</v>
      </c>
      <c r="O594" s="41" t="n">
        <f aca="false">K594-N594</f>
        <v>81.87</v>
      </c>
      <c r="P594" s="43" t="n">
        <f aca="false">IF(K594=0,0,O594/K594)</f>
        <v>0.528568661630835</v>
      </c>
    </row>
    <row r="595" customFormat="false" ht="15" hidden="false" customHeight="false" outlineLevel="0" collapsed="false">
      <c r="A595" s="39" t="s">
        <v>717</v>
      </c>
      <c r="B595" s="40" t="n">
        <v>45744</v>
      </c>
      <c r="C595" s="39" t="s">
        <v>133</v>
      </c>
      <c r="D595" s="39" t="n">
        <v>1</v>
      </c>
      <c r="E595" s="41" t="n">
        <v>8.48</v>
      </c>
      <c r="F595" s="39" t="s">
        <v>108</v>
      </c>
      <c r="G595" s="39" t="str">
        <f aca="false">VLOOKUP(C595,Products!$A$5:$D$24,2,FALSE())</f>
        <v>Printer Paper Ream</v>
      </c>
      <c r="H595" s="39" t="str">
        <f aca="false">VLOOKUP(C595,Products!$A$5:$D$24,3,FALSE())</f>
        <v>Stationery</v>
      </c>
      <c r="I595" s="41" t="n">
        <f aca="false">VLOOKUP(C595,Products!$A$5:$D$24,4,FALSE())</f>
        <v>4</v>
      </c>
      <c r="J595" s="42" t="n">
        <f aca="false">DATE(YEAR(B595),MONTH(B595),1)</f>
        <v>45717</v>
      </c>
      <c r="K595" s="41" t="n">
        <f aca="false">D595*E595</f>
        <v>8.48</v>
      </c>
      <c r="L595" s="41" t="n">
        <f aca="false">D595*I595</f>
        <v>4</v>
      </c>
      <c r="M595" s="41" t="n">
        <f aca="false">IFERROR(INDEX(Raw_Expenses!$C$5:$C$2979,MATCH(A595,Raw_Expenses!$A$5:$A$2979,0)),0)</f>
        <v>0.73</v>
      </c>
      <c r="N595" s="41" t="n">
        <f aca="false">L595+M595</f>
        <v>4.73</v>
      </c>
      <c r="O595" s="41" t="n">
        <f aca="false">K595-N595</f>
        <v>3.75</v>
      </c>
      <c r="P595" s="43" t="n">
        <f aca="false">IF(K595=0,0,O595/K595)</f>
        <v>0.442216981132075</v>
      </c>
    </row>
    <row r="596" customFormat="false" ht="15" hidden="false" customHeight="false" outlineLevel="0" collapsed="false">
      <c r="A596" s="39" t="s">
        <v>718</v>
      </c>
      <c r="B596" s="40" t="n">
        <v>45744</v>
      </c>
      <c r="C596" s="39" t="s">
        <v>177</v>
      </c>
      <c r="D596" s="39" t="n">
        <v>2</v>
      </c>
      <c r="E596" s="41" t="n">
        <v>44.97</v>
      </c>
      <c r="F596" s="39" t="s">
        <v>105</v>
      </c>
      <c r="G596" s="39" t="str">
        <f aca="false">VLOOKUP(C596,Products!$A$5:$D$24,2,FALSE())</f>
        <v>Backpack</v>
      </c>
      <c r="H596" s="39" t="str">
        <f aca="false">VLOOKUP(C596,Products!$A$5:$D$24,3,FALSE())</f>
        <v>Accessories</v>
      </c>
      <c r="I596" s="41" t="n">
        <f aca="false">VLOOKUP(C596,Products!$A$5:$D$24,4,FALSE())</f>
        <v>17</v>
      </c>
      <c r="J596" s="42" t="n">
        <f aca="false">DATE(YEAR(B596),MONTH(B596),1)</f>
        <v>45717</v>
      </c>
      <c r="K596" s="41" t="n">
        <f aca="false">D596*E596</f>
        <v>89.94</v>
      </c>
      <c r="L596" s="41" t="n">
        <f aca="false">D596*I596</f>
        <v>34</v>
      </c>
      <c r="M596" s="41" t="n">
        <f aca="false">IFERROR(INDEX(Raw_Expenses!$C$5:$C$2979,MATCH(A596,Raw_Expenses!$A$5:$A$2979,0)),0)</f>
        <v>7.99</v>
      </c>
      <c r="N596" s="41" t="n">
        <f aca="false">L596+M596</f>
        <v>41.99</v>
      </c>
      <c r="O596" s="41" t="n">
        <f aca="false">K596-N596</f>
        <v>47.95</v>
      </c>
      <c r="P596" s="43" t="n">
        <f aca="false">IF(K596=0,0,O596/K596)</f>
        <v>0.533133199911052</v>
      </c>
    </row>
    <row r="597" customFormat="false" ht="15" hidden="false" customHeight="false" outlineLevel="0" collapsed="false">
      <c r="A597" s="39" t="s">
        <v>719</v>
      </c>
      <c r="B597" s="40" t="n">
        <v>45744</v>
      </c>
      <c r="C597" s="39" t="s">
        <v>107</v>
      </c>
      <c r="D597" s="39" t="n">
        <v>3</v>
      </c>
      <c r="E597" s="41" t="n">
        <v>33.48</v>
      </c>
      <c r="F597" s="39" t="s">
        <v>118</v>
      </c>
      <c r="G597" s="39" t="str">
        <f aca="false">VLOOKUP(C597,Products!$A$5:$D$24,2,FALSE())</f>
        <v>USB-C Hub</v>
      </c>
      <c r="H597" s="39" t="str">
        <f aca="false">VLOOKUP(C597,Products!$A$5:$D$24,3,FALSE())</f>
        <v>Electronics</v>
      </c>
      <c r="I597" s="41" t="n">
        <f aca="false">VLOOKUP(C597,Products!$A$5:$D$24,4,FALSE())</f>
        <v>14</v>
      </c>
      <c r="J597" s="42" t="n">
        <f aca="false">DATE(YEAR(B597),MONTH(B597),1)</f>
        <v>45717</v>
      </c>
      <c r="K597" s="41" t="n">
        <f aca="false">D597*E597</f>
        <v>100.44</v>
      </c>
      <c r="L597" s="41" t="n">
        <f aca="false">D597*I597</f>
        <v>42</v>
      </c>
      <c r="M597" s="41" t="n">
        <f aca="false">IFERROR(INDEX(Raw_Expenses!$C$5:$C$2979,MATCH(A597,Raw_Expenses!$A$5:$A$2979,0)),0)</f>
        <v>5.48</v>
      </c>
      <c r="N597" s="41" t="n">
        <f aca="false">L597+M597</f>
        <v>47.48</v>
      </c>
      <c r="O597" s="41" t="n">
        <f aca="false">K597-N597</f>
        <v>52.96</v>
      </c>
      <c r="P597" s="43" t="n">
        <f aca="false">IF(K597=0,0,O597/K597)</f>
        <v>0.527279968140183</v>
      </c>
    </row>
    <row r="598" customFormat="false" ht="15" hidden="false" customHeight="false" outlineLevel="0" collapsed="false">
      <c r="A598" s="39" t="s">
        <v>720</v>
      </c>
      <c r="B598" s="40" t="n">
        <v>45744</v>
      </c>
      <c r="C598" s="39" t="s">
        <v>107</v>
      </c>
      <c r="D598" s="39" t="n">
        <v>3</v>
      </c>
      <c r="E598" s="41" t="n">
        <v>33.51</v>
      </c>
      <c r="F598" s="39" t="s">
        <v>105</v>
      </c>
      <c r="G598" s="39" t="str">
        <f aca="false">VLOOKUP(C598,Products!$A$5:$D$24,2,FALSE())</f>
        <v>USB-C Hub</v>
      </c>
      <c r="H598" s="39" t="str">
        <f aca="false">VLOOKUP(C598,Products!$A$5:$D$24,3,FALSE())</f>
        <v>Electronics</v>
      </c>
      <c r="I598" s="41" t="n">
        <f aca="false">VLOOKUP(C598,Products!$A$5:$D$24,4,FALSE())</f>
        <v>14</v>
      </c>
      <c r="J598" s="42" t="n">
        <f aca="false">DATE(YEAR(B598),MONTH(B598),1)</f>
        <v>45717</v>
      </c>
      <c r="K598" s="41" t="n">
        <f aca="false">D598*E598</f>
        <v>100.53</v>
      </c>
      <c r="L598" s="41" t="n">
        <f aca="false">D598*I598</f>
        <v>42</v>
      </c>
      <c r="M598" s="41" t="n">
        <f aca="false">IFERROR(INDEX(Raw_Expenses!$C$5:$C$2979,MATCH(A598,Raw_Expenses!$A$5:$A$2979,0)),0)</f>
        <v>6.05</v>
      </c>
      <c r="N598" s="41" t="n">
        <f aca="false">L598+M598</f>
        <v>48.05</v>
      </c>
      <c r="O598" s="41" t="n">
        <f aca="false">K598-N598</f>
        <v>52.48</v>
      </c>
      <c r="P598" s="43" t="n">
        <f aca="false">IF(K598=0,0,O598/K598)</f>
        <v>0.52203322391326</v>
      </c>
    </row>
    <row r="599" customFormat="false" ht="15" hidden="false" customHeight="false" outlineLevel="0" collapsed="false">
      <c r="A599" s="39" t="s">
        <v>721</v>
      </c>
      <c r="B599" s="40" t="n">
        <v>45744</v>
      </c>
      <c r="C599" s="39" t="s">
        <v>177</v>
      </c>
      <c r="D599" s="39" t="n">
        <v>5</v>
      </c>
      <c r="E599" s="41" t="n">
        <v>44.81</v>
      </c>
      <c r="F599" s="39" t="s">
        <v>108</v>
      </c>
      <c r="G599" s="39" t="str">
        <f aca="false">VLOOKUP(C599,Products!$A$5:$D$24,2,FALSE())</f>
        <v>Backpack</v>
      </c>
      <c r="H599" s="39" t="str">
        <f aca="false">VLOOKUP(C599,Products!$A$5:$D$24,3,FALSE())</f>
        <v>Accessories</v>
      </c>
      <c r="I599" s="41" t="n">
        <f aca="false">VLOOKUP(C599,Products!$A$5:$D$24,4,FALSE())</f>
        <v>17</v>
      </c>
      <c r="J599" s="42" t="n">
        <f aca="false">DATE(YEAR(B599),MONTH(B599),1)</f>
        <v>45717</v>
      </c>
      <c r="K599" s="41" t="n">
        <f aca="false">D599*E599</f>
        <v>224.05</v>
      </c>
      <c r="L599" s="41" t="n">
        <f aca="false">D599*I599</f>
        <v>85</v>
      </c>
      <c r="M599" s="41" t="n">
        <f aca="false">IFERROR(INDEX(Raw_Expenses!$C$5:$C$2979,MATCH(A599,Raw_Expenses!$A$5:$A$2979,0)),0)</f>
        <v>9.57</v>
      </c>
      <c r="N599" s="41" t="n">
        <f aca="false">L599+M599</f>
        <v>94.57</v>
      </c>
      <c r="O599" s="41" t="n">
        <f aca="false">K599-N599</f>
        <v>129.48</v>
      </c>
      <c r="P599" s="43" t="n">
        <f aca="false">IF(K599=0,0,O599/K599)</f>
        <v>0.577906717250614</v>
      </c>
    </row>
    <row r="600" customFormat="false" ht="15" hidden="false" customHeight="false" outlineLevel="0" collapsed="false">
      <c r="A600" s="39" t="s">
        <v>722</v>
      </c>
      <c r="B600" s="40" t="n">
        <v>45744</v>
      </c>
      <c r="C600" s="39" t="s">
        <v>177</v>
      </c>
      <c r="D600" s="39" t="n">
        <v>3</v>
      </c>
      <c r="E600" s="41" t="n">
        <v>41.82</v>
      </c>
      <c r="F600" s="39" t="s">
        <v>105</v>
      </c>
      <c r="G600" s="39" t="str">
        <f aca="false">VLOOKUP(C600,Products!$A$5:$D$24,2,FALSE())</f>
        <v>Backpack</v>
      </c>
      <c r="H600" s="39" t="str">
        <f aca="false">VLOOKUP(C600,Products!$A$5:$D$24,3,FALSE())</f>
        <v>Accessories</v>
      </c>
      <c r="I600" s="41" t="n">
        <f aca="false">VLOOKUP(C600,Products!$A$5:$D$24,4,FALSE())</f>
        <v>17</v>
      </c>
      <c r="J600" s="42" t="n">
        <f aca="false">DATE(YEAR(B600),MONTH(B600),1)</f>
        <v>45717</v>
      </c>
      <c r="K600" s="41" t="n">
        <f aca="false">D600*E600</f>
        <v>125.46</v>
      </c>
      <c r="L600" s="41" t="n">
        <f aca="false">D600*I600</f>
        <v>51</v>
      </c>
      <c r="M600" s="41" t="n">
        <f aca="false">IFERROR(INDEX(Raw_Expenses!$C$5:$C$2979,MATCH(A600,Raw_Expenses!$A$5:$A$2979,0)),0)</f>
        <v>5.55</v>
      </c>
      <c r="N600" s="41" t="n">
        <f aca="false">L600+M600</f>
        <v>56.55</v>
      </c>
      <c r="O600" s="41" t="n">
        <f aca="false">K600-N600</f>
        <v>68.91</v>
      </c>
      <c r="P600" s="43" t="n">
        <f aca="false">IF(K600=0,0,O600/K600)</f>
        <v>0.549258727881397</v>
      </c>
    </row>
    <row r="601" customFormat="false" ht="15" hidden="false" customHeight="false" outlineLevel="0" collapsed="false">
      <c r="A601" s="39" t="s">
        <v>723</v>
      </c>
      <c r="B601" s="40" t="n">
        <v>45744</v>
      </c>
      <c r="C601" s="39" t="s">
        <v>110</v>
      </c>
      <c r="D601" s="39" t="n">
        <v>2</v>
      </c>
      <c r="E601" s="41" t="n">
        <v>13.09</v>
      </c>
      <c r="F601" s="39" t="s">
        <v>105</v>
      </c>
      <c r="G601" s="39" t="str">
        <f aca="false">VLOOKUP(C601,Products!$A$5:$D$24,2,FALSE())</f>
        <v>Phone Stand</v>
      </c>
      <c r="H601" s="39" t="str">
        <f aca="false">VLOOKUP(C601,Products!$A$5:$D$24,3,FALSE())</f>
        <v>Accessories</v>
      </c>
      <c r="I601" s="41" t="n">
        <f aca="false">VLOOKUP(C601,Products!$A$5:$D$24,4,FALSE())</f>
        <v>4</v>
      </c>
      <c r="J601" s="42" t="n">
        <f aca="false">DATE(YEAR(B601),MONTH(B601),1)</f>
        <v>45717</v>
      </c>
      <c r="K601" s="41" t="n">
        <f aca="false">D601*E601</f>
        <v>26.18</v>
      </c>
      <c r="L601" s="41" t="n">
        <f aca="false">D601*I601</f>
        <v>8</v>
      </c>
      <c r="M601" s="41" t="n">
        <f aca="false">IFERROR(INDEX(Raw_Expenses!$C$5:$C$2979,MATCH(A601,Raw_Expenses!$A$5:$A$2979,0)),0)</f>
        <v>1.88</v>
      </c>
      <c r="N601" s="41" t="n">
        <f aca="false">L601+M601</f>
        <v>9.88</v>
      </c>
      <c r="O601" s="41" t="n">
        <f aca="false">K601-N601</f>
        <v>16.3</v>
      </c>
      <c r="P601" s="43" t="n">
        <f aca="false">IF(K601=0,0,O601/K601)</f>
        <v>0.622612681436211</v>
      </c>
    </row>
    <row r="602" customFormat="false" ht="15" hidden="false" customHeight="false" outlineLevel="0" collapsed="false">
      <c r="A602" s="39" t="s">
        <v>724</v>
      </c>
      <c r="B602" s="40" t="n">
        <v>45748</v>
      </c>
      <c r="C602" s="39" t="s">
        <v>117</v>
      </c>
      <c r="D602" s="39" t="n">
        <v>2</v>
      </c>
      <c r="E602" s="41" t="n">
        <v>30.86</v>
      </c>
      <c r="F602" s="39" t="s">
        <v>118</v>
      </c>
      <c r="G602" s="39" t="str">
        <f aca="false">VLOOKUP(C602,Products!$A$5:$D$24,2,FALSE())</f>
        <v>Desk Lamp</v>
      </c>
      <c r="H602" s="39" t="str">
        <f aca="false">VLOOKUP(C602,Products!$A$5:$D$24,3,FALSE())</f>
        <v>Furniture</v>
      </c>
      <c r="I602" s="41" t="n">
        <f aca="false">VLOOKUP(C602,Products!$A$5:$D$24,4,FALSE())</f>
        <v>13</v>
      </c>
      <c r="J602" s="42" t="n">
        <f aca="false">DATE(YEAR(B602),MONTH(B602),1)</f>
        <v>45748</v>
      </c>
      <c r="K602" s="41" t="n">
        <f aca="false">D602*E602</f>
        <v>61.72</v>
      </c>
      <c r="L602" s="41" t="n">
        <f aca="false">D602*I602</f>
        <v>26</v>
      </c>
      <c r="M602" s="41" t="n">
        <f aca="false">IFERROR(INDEX(Raw_Expenses!$C$5:$C$2979,MATCH(A602,Raw_Expenses!$A$5:$A$2979,0)),0)</f>
        <v>2.51</v>
      </c>
      <c r="N602" s="41" t="n">
        <f aca="false">L602+M602</f>
        <v>28.51</v>
      </c>
      <c r="O602" s="41" t="n">
        <f aca="false">K602-N602</f>
        <v>33.21</v>
      </c>
      <c r="P602" s="43" t="n">
        <f aca="false">IF(K602=0,0,O602/K602)</f>
        <v>0.538075178224239</v>
      </c>
    </row>
    <row r="603" customFormat="false" ht="15" hidden="false" customHeight="false" outlineLevel="0" collapsed="false">
      <c r="A603" s="39" t="s">
        <v>725</v>
      </c>
      <c r="B603" s="40" t="n">
        <v>45748</v>
      </c>
      <c r="C603" s="39" t="s">
        <v>130</v>
      </c>
      <c r="D603" s="39" t="n">
        <v>2</v>
      </c>
      <c r="E603" s="41" t="n">
        <v>8.61</v>
      </c>
      <c r="F603" s="39" t="s">
        <v>118</v>
      </c>
      <c r="G603" s="39" t="str">
        <f aca="false">VLOOKUP(C603,Products!$A$5:$D$24,2,FALSE())</f>
        <v>Notebook Set</v>
      </c>
      <c r="H603" s="39" t="str">
        <f aca="false">VLOOKUP(C603,Products!$A$5:$D$24,3,FALSE())</f>
        <v>Stationery</v>
      </c>
      <c r="I603" s="41" t="n">
        <f aca="false">VLOOKUP(C603,Products!$A$5:$D$24,4,FALSE())</f>
        <v>3</v>
      </c>
      <c r="J603" s="42" t="n">
        <f aca="false">DATE(YEAR(B603),MONTH(B603),1)</f>
        <v>45748</v>
      </c>
      <c r="K603" s="41" t="n">
        <f aca="false">D603*E603</f>
        <v>17.22</v>
      </c>
      <c r="L603" s="41" t="n">
        <f aca="false">D603*I603</f>
        <v>6</v>
      </c>
      <c r="M603" s="41" t="n">
        <f aca="false">IFERROR(INDEX(Raw_Expenses!$C$5:$C$2979,MATCH(A603,Raw_Expenses!$A$5:$A$2979,0)),0)</f>
        <v>0.72</v>
      </c>
      <c r="N603" s="41" t="n">
        <f aca="false">L603+M603</f>
        <v>6.72</v>
      </c>
      <c r="O603" s="41" t="n">
        <f aca="false">K603-N603</f>
        <v>10.5</v>
      </c>
      <c r="P603" s="43" t="n">
        <f aca="false">IF(K603=0,0,O603/K603)</f>
        <v>0.609756097560976</v>
      </c>
    </row>
    <row r="604" customFormat="false" ht="15" hidden="false" customHeight="false" outlineLevel="0" collapsed="false">
      <c r="A604" s="39" t="s">
        <v>726</v>
      </c>
      <c r="B604" s="40" t="n">
        <v>45748</v>
      </c>
      <c r="C604" s="39" t="s">
        <v>110</v>
      </c>
      <c r="D604" s="39" t="n">
        <v>4</v>
      </c>
      <c r="E604" s="41" t="n">
        <v>13.67</v>
      </c>
      <c r="F604" s="39" t="s">
        <v>108</v>
      </c>
      <c r="G604" s="39" t="str">
        <f aca="false">VLOOKUP(C604,Products!$A$5:$D$24,2,FALSE())</f>
        <v>Phone Stand</v>
      </c>
      <c r="H604" s="39" t="str">
        <f aca="false">VLOOKUP(C604,Products!$A$5:$D$24,3,FALSE())</f>
        <v>Accessories</v>
      </c>
      <c r="I604" s="41" t="n">
        <f aca="false">VLOOKUP(C604,Products!$A$5:$D$24,4,FALSE())</f>
        <v>4</v>
      </c>
      <c r="J604" s="42" t="n">
        <f aca="false">DATE(YEAR(B604),MONTH(B604),1)</f>
        <v>45748</v>
      </c>
      <c r="K604" s="41" t="n">
        <f aca="false">D604*E604</f>
        <v>54.68</v>
      </c>
      <c r="L604" s="41" t="n">
        <f aca="false">D604*I604</f>
        <v>16</v>
      </c>
      <c r="M604" s="41" t="n">
        <f aca="false">IFERROR(INDEX(Raw_Expenses!$C$5:$C$2979,MATCH(A604,Raw_Expenses!$A$5:$A$2979,0)),0)</f>
        <v>2.47</v>
      </c>
      <c r="N604" s="41" t="n">
        <f aca="false">L604+M604</f>
        <v>18.47</v>
      </c>
      <c r="O604" s="41" t="n">
        <f aca="false">K604-N604</f>
        <v>36.21</v>
      </c>
      <c r="P604" s="43" t="n">
        <f aca="false">IF(K604=0,0,O604/K604)</f>
        <v>0.662216532553036</v>
      </c>
    </row>
    <row r="605" customFormat="false" ht="15" hidden="false" customHeight="false" outlineLevel="0" collapsed="false">
      <c r="A605" s="39" t="s">
        <v>727</v>
      </c>
      <c r="B605" s="40" t="n">
        <v>45748</v>
      </c>
      <c r="C605" s="39" t="s">
        <v>104</v>
      </c>
      <c r="D605" s="39" t="n">
        <v>3</v>
      </c>
      <c r="E605" s="41" t="n">
        <v>15.99</v>
      </c>
      <c r="F605" s="39" t="s">
        <v>108</v>
      </c>
      <c r="G605" s="39" t="str">
        <f aca="false">VLOOKUP(C605,Products!$A$5:$D$24,2,FALSE())</f>
        <v>Water Bottle</v>
      </c>
      <c r="H605" s="39" t="str">
        <f aca="false">VLOOKUP(C605,Products!$A$5:$D$24,3,FALSE())</f>
        <v>Accessories</v>
      </c>
      <c r="I605" s="41" t="n">
        <f aca="false">VLOOKUP(C605,Products!$A$5:$D$24,4,FALSE())</f>
        <v>5</v>
      </c>
      <c r="J605" s="42" t="n">
        <f aca="false">DATE(YEAR(B605),MONTH(B605),1)</f>
        <v>45748</v>
      </c>
      <c r="K605" s="41" t="n">
        <f aca="false">D605*E605</f>
        <v>47.97</v>
      </c>
      <c r="L605" s="41" t="n">
        <f aca="false">D605*I605</f>
        <v>15</v>
      </c>
      <c r="M605" s="41" t="n">
        <f aca="false">IFERROR(INDEX(Raw_Expenses!$C$5:$C$2979,MATCH(A605,Raw_Expenses!$A$5:$A$2979,0)),0)</f>
        <v>2.68</v>
      </c>
      <c r="N605" s="41" t="n">
        <f aca="false">L605+M605</f>
        <v>17.68</v>
      </c>
      <c r="O605" s="41" t="n">
        <f aca="false">K605-N605</f>
        <v>30.29</v>
      </c>
      <c r="P605" s="43" t="n">
        <f aca="false">IF(K605=0,0,O605/K605)</f>
        <v>0.631436314363144</v>
      </c>
    </row>
    <row r="606" customFormat="false" ht="15" hidden="false" customHeight="false" outlineLevel="0" collapsed="false">
      <c r="A606" s="39" t="s">
        <v>728</v>
      </c>
      <c r="B606" s="40" t="n">
        <v>45748</v>
      </c>
      <c r="C606" s="39" t="s">
        <v>104</v>
      </c>
      <c r="D606" s="39" t="n">
        <v>2</v>
      </c>
      <c r="E606" s="41" t="n">
        <v>15.4</v>
      </c>
      <c r="F606" s="39" t="s">
        <v>118</v>
      </c>
      <c r="G606" s="39" t="str">
        <f aca="false">VLOOKUP(C606,Products!$A$5:$D$24,2,FALSE())</f>
        <v>Water Bottle</v>
      </c>
      <c r="H606" s="39" t="str">
        <f aca="false">VLOOKUP(C606,Products!$A$5:$D$24,3,FALSE())</f>
        <v>Accessories</v>
      </c>
      <c r="I606" s="41" t="n">
        <f aca="false">VLOOKUP(C606,Products!$A$5:$D$24,4,FALSE())</f>
        <v>5</v>
      </c>
      <c r="J606" s="42" t="n">
        <f aca="false">DATE(YEAR(B606),MONTH(B606),1)</f>
        <v>45748</v>
      </c>
      <c r="K606" s="41" t="n">
        <f aca="false">D606*E606</f>
        <v>30.8</v>
      </c>
      <c r="L606" s="41" t="n">
        <f aca="false">D606*I606</f>
        <v>10</v>
      </c>
      <c r="M606" s="41" t="n">
        <f aca="false">IFERROR(INDEX(Raw_Expenses!$C$5:$C$2979,MATCH(A606,Raw_Expenses!$A$5:$A$2979,0)),0)</f>
        <v>2.06</v>
      </c>
      <c r="N606" s="41" t="n">
        <f aca="false">L606+M606</f>
        <v>12.06</v>
      </c>
      <c r="O606" s="41" t="n">
        <f aca="false">K606-N606</f>
        <v>18.74</v>
      </c>
      <c r="P606" s="43" t="n">
        <f aca="false">IF(K606=0,0,O606/K606)</f>
        <v>0.608441558441558</v>
      </c>
    </row>
    <row r="607" customFormat="false" ht="15" hidden="false" customHeight="false" outlineLevel="0" collapsed="false">
      <c r="A607" s="39" t="s">
        <v>729</v>
      </c>
      <c r="B607" s="40" t="n">
        <v>45748</v>
      </c>
      <c r="C607" s="39" t="s">
        <v>183</v>
      </c>
      <c r="D607" s="39" t="n">
        <v>1</v>
      </c>
      <c r="E607" s="41" t="n">
        <v>184.16</v>
      </c>
      <c r="F607" s="39" t="s">
        <v>118</v>
      </c>
      <c r="G607" s="39" t="str">
        <f aca="false">VLOOKUP(C607,Products!$A$5:$D$24,2,FALSE())</f>
        <v>Office Chair</v>
      </c>
      <c r="H607" s="39" t="str">
        <f aca="false">VLOOKUP(C607,Products!$A$5:$D$24,3,FALSE())</f>
        <v>Furniture</v>
      </c>
      <c r="I607" s="41" t="n">
        <f aca="false">VLOOKUP(C607,Products!$A$5:$D$24,4,FALSE())</f>
        <v>85</v>
      </c>
      <c r="J607" s="42" t="n">
        <f aca="false">DATE(YEAR(B607),MONTH(B607),1)</f>
        <v>45748</v>
      </c>
      <c r="K607" s="41" t="n">
        <f aca="false">D607*E607</f>
        <v>184.16</v>
      </c>
      <c r="L607" s="41" t="n">
        <f aca="false">D607*I607</f>
        <v>85</v>
      </c>
      <c r="M607" s="41" t="n">
        <f aca="false">IFERROR(INDEX(Raw_Expenses!$C$5:$C$2979,MATCH(A607,Raw_Expenses!$A$5:$A$2979,0)),0)</f>
        <v>8.08</v>
      </c>
      <c r="N607" s="41" t="n">
        <f aca="false">L607+M607</f>
        <v>93.08</v>
      </c>
      <c r="O607" s="41" t="n">
        <f aca="false">K607-N607</f>
        <v>91.08</v>
      </c>
      <c r="P607" s="43" t="n">
        <f aca="false">IF(K607=0,0,O607/K607)</f>
        <v>0.494569939183319</v>
      </c>
    </row>
    <row r="608" customFormat="false" ht="15" hidden="false" customHeight="false" outlineLevel="0" collapsed="false">
      <c r="A608" s="39" t="s">
        <v>730</v>
      </c>
      <c r="B608" s="40" t="n">
        <v>45748</v>
      </c>
      <c r="C608" s="39" t="s">
        <v>104</v>
      </c>
      <c r="D608" s="39" t="n">
        <v>3</v>
      </c>
      <c r="E608" s="41" t="n">
        <v>15.55</v>
      </c>
      <c r="F608" s="39" t="s">
        <v>115</v>
      </c>
      <c r="G608" s="39" t="str">
        <f aca="false">VLOOKUP(C608,Products!$A$5:$D$24,2,FALSE())</f>
        <v>Water Bottle</v>
      </c>
      <c r="H608" s="39" t="str">
        <f aca="false">VLOOKUP(C608,Products!$A$5:$D$24,3,FALSE())</f>
        <v>Accessories</v>
      </c>
      <c r="I608" s="41" t="n">
        <f aca="false">VLOOKUP(C608,Products!$A$5:$D$24,4,FALSE())</f>
        <v>5</v>
      </c>
      <c r="J608" s="42" t="n">
        <f aca="false">DATE(YEAR(B608),MONTH(B608),1)</f>
        <v>45748</v>
      </c>
      <c r="K608" s="41" t="n">
        <f aca="false">D608*E608</f>
        <v>46.65</v>
      </c>
      <c r="L608" s="41" t="n">
        <f aca="false">D608*I608</f>
        <v>15</v>
      </c>
      <c r="M608" s="41" t="n">
        <f aca="false">IFERROR(INDEX(Raw_Expenses!$C$5:$C$2979,MATCH(A608,Raw_Expenses!$A$5:$A$2979,0)),0)</f>
        <v>2.15</v>
      </c>
      <c r="N608" s="41" t="n">
        <f aca="false">L608+M608</f>
        <v>17.15</v>
      </c>
      <c r="O608" s="41" t="n">
        <f aca="false">K608-N608</f>
        <v>29.5</v>
      </c>
      <c r="P608" s="43" t="n">
        <f aca="false">IF(K608=0,0,O608/K608)</f>
        <v>0.632368703108253</v>
      </c>
    </row>
    <row r="609" customFormat="false" ht="15" hidden="false" customHeight="false" outlineLevel="0" collapsed="false">
      <c r="A609" s="39" t="s">
        <v>731</v>
      </c>
      <c r="B609" s="40" t="n">
        <v>45749</v>
      </c>
      <c r="C609" s="39" t="s">
        <v>104</v>
      </c>
      <c r="D609" s="39" t="n">
        <v>3</v>
      </c>
      <c r="E609" s="41" t="n">
        <v>14.86</v>
      </c>
      <c r="F609" s="39" t="s">
        <v>105</v>
      </c>
      <c r="G609" s="39" t="str">
        <f aca="false">VLOOKUP(C609,Products!$A$5:$D$24,2,FALSE())</f>
        <v>Water Bottle</v>
      </c>
      <c r="H609" s="39" t="str">
        <f aca="false">VLOOKUP(C609,Products!$A$5:$D$24,3,FALSE())</f>
        <v>Accessories</v>
      </c>
      <c r="I609" s="41" t="n">
        <f aca="false">VLOOKUP(C609,Products!$A$5:$D$24,4,FALSE())</f>
        <v>5</v>
      </c>
      <c r="J609" s="42" t="n">
        <f aca="false">DATE(YEAR(B609),MONTH(B609),1)</f>
        <v>45748</v>
      </c>
      <c r="K609" s="41" t="n">
        <f aca="false">D609*E609</f>
        <v>44.58</v>
      </c>
      <c r="L609" s="41" t="n">
        <f aca="false">D609*I609</f>
        <v>15</v>
      </c>
      <c r="M609" s="41" t="n">
        <f aca="false">IFERROR(INDEX(Raw_Expenses!$C$5:$C$2979,MATCH(A609,Raw_Expenses!$A$5:$A$2979,0)),0)</f>
        <v>2.72</v>
      </c>
      <c r="N609" s="41" t="n">
        <f aca="false">L609+M609</f>
        <v>17.72</v>
      </c>
      <c r="O609" s="41" t="n">
        <f aca="false">K609-N609</f>
        <v>26.86</v>
      </c>
      <c r="P609" s="43" t="n">
        <f aca="false">IF(K609=0,0,O609/K609)</f>
        <v>0.602512337371018</v>
      </c>
    </row>
    <row r="610" customFormat="false" ht="15" hidden="false" customHeight="false" outlineLevel="0" collapsed="false">
      <c r="A610" s="39" t="s">
        <v>732</v>
      </c>
      <c r="B610" s="40" t="n">
        <v>45749</v>
      </c>
      <c r="C610" s="39" t="s">
        <v>112</v>
      </c>
      <c r="D610" s="39" t="n">
        <v>2</v>
      </c>
      <c r="E610" s="41" t="n">
        <v>54.12</v>
      </c>
      <c r="F610" s="39" t="s">
        <v>108</v>
      </c>
      <c r="G610" s="39" t="str">
        <f aca="false">VLOOKUP(C610,Products!$A$5:$D$24,2,FALSE())</f>
        <v>HD Webcam</v>
      </c>
      <c r="H610" s="39" t="str">
        <f aca="false">VLOOKUP(C610,Products!$A$5:$D$24,3,FALSE())</f>
        <v>Electronics</v>
      </c>
      <c r="I610" s="41" t="n">
        <f aca="false">VLOOKUP(C610,Products!$A$5:$D$24,4,FALSE())</f>
        <v>22</v>
      </c>
      <c r="J610" s="42" t="n">
        <f aca="false">DATE(YEAR(B610),MONTH(B610),1)</f>
        <v>45748</v>
      </c>
      <c r="K610" s="41" t="n">
        <f aca="false">D610*E610</f>
        <v>108.24</v>
      </c>
      <c r="L610" s="41" t="n">
        <f aca="false">D610*I610</f>
        <v>44</v>
      </c>
      <c r="M610" s="41" t="n">
        <f aca="false">IFERROR(INDEX(Raw_Expenses!$C$5:$C$2979,MATCH(A610,Raw_Expenses!$A$5:$A$2979,0)),0)</f>
        <v>5.88</v>
      </c>
      <c r="N610" s="41" t="n">
        <f aca="false">L610+M610</f>
        <v>49.88</v>
      </c>
      <c r="O610" s="41" t="n">
        <f aca="false">K610-N610</f>
        <v>58.36</v>
      </c>
      <c r="P610" s="43" t="n">
        <f aca="false">IF(K610=0,0,O610/K610)</f>
        <v>0.539172209903917</v>
      </c>
    </row>
    <row r="611" customFormat="false" ht="15" hidden="false" customHeight="false" outlineLevel="0" collapsed="false">
      <c r="A611" s="39" t="s">
        <v>733</v>
      </c>
      <c r="B611" s="40" t="n">
        <v>45749</v>
      </c>
      <c r="C611" s="39" t="s">
        <v>104</v>
      </c>
      <c r="D611" s="39" t="n">
        <v>1</v>
      </c>
      <c r="E611" s="41" t="n">
        <v>15.76</v>
      </c>
      <c r="F611" s="39" t="s">
        <v>115</v>
      </c>
      <c r="G611" s="39" t="str">
        <f aca="false">VLOOKUP(C611,Products!$A$5:$D$24,2,FALSE())</f>
        <v>Water Bottle</v>
      </c>
      <c r="H611" s="39" t="str">
        <f aca="false">VLOOKUP(C611,Products!$A$5:$D$24,3,FALSE())</f>
        <v>Accessories</v>
      </c>
      <c r="I611" s="41" t="n">
        <f aca="false">VLOOKUP(C611,Products!$A$5:$D$24,4,FALSE())</f>
        <v>5</v>
      </c>
      <c r="J611" s="42" t="n">
        <f aca="false">DATE(YEAR(B611),MONTH(B611),1)</f>
        <v>45748</v>
      </c>
      <c r="K611" s="41" t="n">
        <f aca="false">D611*E611</f>
        <v>15.76</v>
      </c>
      <c r="L611" s="41" t="n">
        <f aca="false">D611*I611</f>
        <v>5</v>
      </c>
      <c r="M611" s="41" t="n">
        <f aca="false">IFERROR(INDEX(Raw_Expenses!$C$5:$C$2979,MATCH(A611,Raw_Expenses!$A$5:$A$2979,0)),0)</f>
        <v>0.85</v>
      </c>
      <c r="N611" s="41" t="n">
        <f aca="false">L611+M611</f>
        <v>5.85</v>
      </c>
      <c r="O611" s="41" t="n">
        <f aca="false">K611-N611</f>
        <v>9.91</v>
      </c>
      <c r="P611" s="43" t="n">
        <f aca="false">IF(K611=0,0,O611/K611)</f>
        <v>0.628807106598985</v>
      </c>
    </row>
    <row r="612" customFormat="false" ht="15" hidden="false" customHeight="false" outlineLevel="0" collapsed="false">
      <c r="A612" s="39" t="s">
        <v>734</v>
      </c>
      <c r="B612" s="40" t="n">
        <v>45749</v>
      </c>
      <c r="C612" s="39" t="s">
        <v>183</v>
      </c>
      <c r="D612" s="39" t="n">
        <v>1</v>
      </c>
      <c r="E612" s="41" t="n">
        <v>183.19</v>
      </c>
      <c r="F612" s="39" t="s">
        <v>115</v>
      </c>
      <c r="G612" s="39" t="str">
        <f aca="false">VLOOKUP(C612,Products!$A$5:$D$24,2,FALSE())</f>
        <v>Office Chair</v>
      </c>
      <c r="H612" s="39" t="str">
        <f aca="false">VLOOKUP(C612,Products!$A$5:$D$24,3,FALSE())</f>
        <v>Furniture</v>
      </c>
      <c r="I612" s="41" t="n">
        <f aca="false">VLOOKUP(C612,Products!$A$5:$D$24,4,FALSE())</f>
        <v>85</v>
      </c>
      <c r="J612" s="42" t="n">
        <f aca="false">DATE(YEAR(B612),MONTH(B612),1)</f>
        <v>45748</v>
      </c>
      <c r="K612" s="41" t="n">
        <f aca="false">D612*E612</f>
        <v>183.19</v>
      </c>
      <c r="L612" s="41" t="n">
        <f aca="false">D612*I612</f>
        <v>85</v>
      </c>
      <c r="M612" s="41" t="n">
        <f aca="false">IFERROR(INDEX(Raw_Expenses!$C$5:$C$2979,MATCH(A612,Raw_Expenses!$A$5:$A$2979,0)),0)</f>
        <v>12.28</v>
      </c>
      <c r="N612" s="41" t="n">
        <f aca="false">L612+M612</f>
        <v>97.28</v>
      </c>
      <c r="O612" s="41" t="n">
        <f aca="false">K612-N612</f>
        <v>85.91</v>
      </c>
      <c r="P612" s="43" t="n">
        <f aca="false">IF(K612=0,0,O612/K612)</f>
        <v>0.468966646651018</v>
      </c>
    </row>
    <row r="613" customFormat="false" ht="15" hidden="false" customHeight="false" outlineLevel="0" collapsed="false">
      <c r="A613" s="39" t="s">
        <v>735</v>
      </c>
      <c r="B613" s="40" t="n">
        <v>45749</v>
      </c>
      <c r="C613" s="39" t="s">
        <v>177</v>
      </c>
      <c r="D613" s="39" t="n">
        <v>1</v>
      </c>
      <c r="E613" s="41" t="n">
        <v>43.72</v>
      </c>
      <c r="F613" s="39" t="s">
        <v>105</v>
      </c>
      <c r="G613" s="39" t="str">
        <f aca="false">VLOOKUP(C613,Products!$A$5:$D$24,2,FALSE())</f>
        <v>Backpack</v>
      </c>
      <c r="H613" s="39" t="str">
        <f aca="false">VLOOKUP(C613,Products!$A$5:$D$24,3,FALSE())</f>
        <v>Accessories</v>
      </c>
      <c r="I613" s="41" t="n">
        <f aca="false">VLOOKUP(C613,Products!$A$5:$D$24,4,FALSE())</f>
        <v>17</v>
      </c>
      <c r="J613" s="42" t="n">
        <f aca="false">DATE(YEAR(B613),MONTH(B613),1)</f>
        <v>45748</v>
      </c>
      <c r="K613" s="41" t="n">
        <f aca="false">D613*E613</f>
        <v>43.72</v>
      </c>
      <c r="L613" s="41" t="n">
        <f aca="false">D613*I613</f>
        <v>17</v>
      </c>
      <c r="M613" s="41" t="n">
        <f aca="false">IFERROR(INDEX(Raw_Expenses!$C$5:$C$2979,MATCH(A613,Raw_Expenses!$A$5:$A$2979,0)),0)</f>
        <v>3.82</v>
      </c>
      <c r="N613" s="41" t="n">
        <f aca="false">L613+M613</f>
        <v>20.82</v>
      </c>
      <c r="O613" s="41" t="n">
        <f aca="false">K613-N613</f>
        <v>22.9</v>
      </c>
      <c r="P613" s="43" t="n">
        <f aca="false">IF(K613=0,0,O613/K613)</f>
        <v>0.523787740164684</v>
      </c>
    </row>
    <row r="614" customFormat="false" ht="15" hidden="false" customHeight="false" outlineLevel="0" collapsed="false">
      <c r="A614" s="39" t="s">
        <v>736</v>
      </c>
      <c r="B614" s="40" t="n">
        <v>45749</v>
      </c>
      <c r="C614" s="39" t="s">
        <v>169</v>
      </c>
      <c r="D614" s="39" t="n">
        <v>1</v>
      </c>
      <c r="E614" s="41" t="n">
        <v>27.94</v>
      </c>
      <c r="F614" s="39" t="s">
        <v>115</v>
      </c>
      <c r="G614" s="39" t="str">
        <f aca="false">VLOOKUP(C614,Products!$A$5:$D$24,2,FALSE())</f>
        <v>Laptop Stand</v>
      </c>
      <c r="H614" s="39" t="str">
        <f aca="false">VLOOKUP(C614,Products!$A$5:$D$24,3,FALSE())</f>
        <v>Accessories</v>
      </c>
      <c r="I614" s="41" t="n">
        <f aca="false">VLOOKUP(C614,Products!$A$5:$D$24,4,FALSE())</f>
        <v>11</v>
      </c>
      <c r="J614" s="42" t="n">
        <f aca="false">DATE(YEAR(B614),MONTH(B614),1)</f>
        <v>45748</v>
      </c>
      <c r="K614" s="41" t="n">
        <f aca="false">D614*E614</f>
        <v>27.94</v>
      </c>
      <c r="L614" s="41" t="n">
        <f aca="false">D614*I614</f>
        <v>11</v>
      </c>
      <c r="M614" s="41" t="n">
        <f aca="false">IFERROR(INDEX(Raw_Expenses!$C$5:$C$2979,MATCH(A614,Raw_Expenses!$A$5:$A$2979,0)),0)</f>
        <v>1.46</v>
      </c>
      <c r="N614" s="41" t="n">
        <f aca="false">L614+M614</f>
        <v>12.46</v>
      </c>
      <c r="O614" s="41" t="n">
        <f aca="false">K614-N614</f>
        <v>15.48</v>
      </c>
      <c r="P614" s="43" t="n">
        <f aca="false">IF(K614=0,0,O614/K614)</f>
        <v>0.554044380816034</v>
      </c>
    </row>
    <row r="615" customFormat="false" ht="15" hidden="false" customHeight="false" outlineLevel="0" collapsed="false">
      <c r="A615" s="39" t="s">
        <v>737</v>
      </c>
      <c r="B615" s="40" t="n">
        <v>45750</v>
      </c>
      <c r="C615" s="39" t="s">
        <v>110</v>
      </c>
      <c r="D615" s="39" t="n">
        <v>2</v>
      </c>
      <c r="E615" s="41" t="n">
        <v>13.08</v>
      </c>
      <c r="F615" s="39" t="s">
        <v>118</v>
      </c>
      <c r="G615" s="39" t="str">
        <f aca="false">VLOOKUP(C615,Products!$A$5:$D$24,2,FALSE())</f>
        <v>Phone Stand</v>
      </c>
      <c r="H615" s="39" t="str">
        <f aca="false">VLOOKUP(C615,Products!$A$5:$D$24,3,FALSE())</f>
        <v>Accessories</v>
      </c>
      <c r="I615" s="41" t="n">
        <f aca="false">VLOOKUP(C615,Products!$A$5:$D$24,4,FALSE())</f>
        <v>4</v>
      </c>
      <c r="J615" s="42" t="n">
        <f aca="false">DATE(YEAR(B615),MONTH(B615),1)</f>
        <v>45748</v>
      </c>
      <c r="K615" s="41" t="n">
        <f aca="false">D615*E615</f>
        <v>26.16</v>
      </c>
      <c r="L615" s="41" t="n">
        <f aca="false">D615*I615</f>
        <v>8</v>
      </c>
      <c r="M615" s="41" t="n">
        <f aca="false">IFERROR(INDEX(Raw_Expenses!$C$5:$C$2979,MATCH(A615,Raw_Expenses!$A$5:$A$2979,0)),0)</f>
        <v>1.51</v>
      </c>
      <c r="N615" s="41" t="n">
        <f aca="false">L615+M615</f>
        <v>9.51</v>
      </c>
      <c r="O615" s="41" t="n">
        <f aca="false">K615-N615</f>
        <v>16.65</v>
      </c>
      <c r="P615" s="43" t="n">
        <f aca="false">IF(K615=0,0,O615/K615)</f>
        <v>0.636467889908257</v>
      </c>
    </row>
    <row r="616" customFormat="false" ht="15" hidden="false" customHeight="false" outlineLevel="0" collapsed="false">
      <c r="A616" s="39" t="s">
        <v>738</v>
      </c>
      <c r="B616" s="40" t="n">
        <v>45750</v>
      </c>
      <c r="C616" s="39" t="s">
        <v>117</v>
      </c>
      <c r="D616" s="39" t="n">
        <v>1</v>
      </c>
      <c r="E616" s="41" t="n">
        <v>30.79</v>
      </c>
      <c r="F616" s="39" t="s">
        <v>108</v>
      </c>
      <c r="G616" s="39" t="str">
        <f aca="false">VLOOKUP(C616,Products!$A$5:$D$24,2,FALSE())</f>
        <v>Desk Lamp</v>
      </c>
      <c r="H616" s="39" t="str">
        <f aca="false">VLOOKUP(C616,Products!$A$5:$D$24,3,FALSE())</f>
        <v>Furniture</v>
      </c>
      <c r="I616" s="41" t="n">
        <f aca="false">VLOOKUP(C616,Products!$A$5:$D$24,4,FALSE())</f>
        <v>13</v>
      </c>
      <c r="J616" s="42" t="n">
        <f aca="false">DATE(YEAR(B616),MONTH(B616),1)</f>
        <v>45748</v>
      </c>
      <c r="K616" s="41" t="n">
        <f aca="false">D616*E616</f>
        <v>30.79</v>
      </c>
      <c r="L616" s="41" t="n">
        <f aca="false">D616*I616</f>
        <v>13</v>
      </c>
      <c r="M616" s="41" t="n">
        <f aca="false">IFERROR(INDEX(Raw_Expenses!$C$5:$C$2979,MATCH(A616,Raw_Expenses!$A$5:$A$2979,0)),0)</f>
        <v>1.57</v>
      </c>
      <c r="N616" s="41" t="n">
        <f aca="false">L616+M616</f>
        <v>14.57</v>
      </c>
      <c r="O616" s="41" t="n">
        <f aca="false">K616-N616</f>
        <v>16.22</v>
      </c>
      <c r="P616" s="43" t="n">
        <f aca="false">IF(K616=0,0,O616/K616)</f>
        <v>0.526794413770705</v>
      </c>
    </row>
    <row r="617" customFormat="false" ht="15" hidden="false" customHeight="false" outlineLevel="0" collapsed="false">
      <c r="A617" s="39" t="s">
        <v>739</v>
      </c>
      <c r="B617" s="40" t="n">
        <v>45750</v>
      </c>
      <c r="C617" s="39" t="s">
        <v>136</v>
      </c>
      <c r="D617" s="39" t="n">
        <v>3</v>
      </c>
      <c r="E617" s="41" t="n">
        <v>73.4</v>
      </c>
      <c r="F617" s="39" t="s">
        <v>108</v>
      </c>
      <c r="G617" s="39" t="str">
        <f aca="false">VLOOKUP(C617,Products!$A$5:$D$24,2,FALSE())</f>
        <v>Mechanical Keyboard</v>
      </c>
      <c r="H617" s="39" t="str">
        <f aca="false">VLOOKUP(C617,Products!$A$5:$D$24,3,FALSE())</f>
        <v>Electronics</v>
      </c>
      <c r="I617" s="41" t="n">
        <f aca="false">VLOOKUP(C617,Products!$A$5:$D$24,4,FALSE())</f>
        <v>38</v>
      </c>
      <c r="J617" s="42" t="n">
        <f aca="false">DATE(YEAR(B617),MONTH(B617),1)</f>
        <v>45748</v>
      </c>
      <c r="K617" s="41" t="n">
        <f aca="false">D617*E617</f>
        <v>220.2</v>
      </c>
      <c r="L617" s="41" t="n">
        <f aca="false">D617*I617</f>
        <v>114</v>
      </c>
      <c r="M617" s="41" t="n">
        <f aca="false">IFERROR(INDEX(Raw_Expenses!$C$5:$C$2979,MATCH(A617,Raw_Expenses!$A$5:$A$2979,0)),0)</f>
        <v>13.45</v>
      </c>
      <c r="N617" s="41" t="n">
        <f aca="false">L617+M617</f>
        <v>127.45</v>
      </c>
      <c r="O617" s="41" t="n">
        <f aca="false">K617-N617</f>
        <v>92.75</v>
      </c>
      <c r="P617" s="43" t="n">
        <f aca="false">IF(K617=0,0,O617/K617)</f>
        <v>0.421207992733878</v>
      </c>
    </row>
    <row r="618" customFormat="false" ht="15" hidden="false" customHeight="false" outlineLevel="0" collapsed="false">
      <c r="A618" s="39" t="s">
        <v>740</v>
      </c>
      <c r="B618" s="40" t="n">
        <v>45750</v>
      </c>
      <c r="C618" s="39" t="s">
        <v>139</v>
      </c>
      <c r="D618" s="39" t="n">
        <v>1</v>
      </c>
      <c r="E618" s="41" t="n">
        <v>128.46</v>
      </c>
      <c r="F618" s="39" t="s">
        <v>118</v>
      </c>
      <c r="G618" s="39" t="str">
        <f aca="false">VLOOKUP(C618,Products!$A$5:$D$24,2,FALSE())</f>
        <v>Noise-Cancelling Headphones</v>
      </c>
      <c r="H618" s="39" t="str">
        <f aca="false">VLOOKUP(C618,Products!$A$5:$D$24,3,FALSE())</f>
        <v>Electronics</v>
      </c>
      <c r="I618" s="41" t="n">
        <f aca="false">VLOOKUP(C618,Products!$A$5:$D$24,4,FALSE())</f>
        <v>55</v>
      </c>
      <c r="J618" s="42" t="n">
        <f aca="false">DATE(YEAR(B618),MONTH(B618),1)</f>
        <v>45748</v>
      </c>
      <c r="K618" s="41" t="n">
        <f aca="false">D618*E618</f>
        <v>128.46</v>
      </c>
      <c r="L618" s="41" t="n">
        <f aca="false">D618*I618</f>
        <v>55</v>
      </c>
      <c r="M618" s="41" t="n">
        <f aca="false">IFERROR(INDEX(Raw_Expenses!$C$5:$C$2979,MATCH(A618,Raw_Expenses!$A$5:$A$2979,0)),0)</f>
        <v>10.83</v>
      </c>
      <c r="N618" s="41" t="n">
        <f aca="false">L618+M618</f>
        <v>65.83</v>
      </c>
      <c r="O618" s="41" t="n">
        <f aca="false">K618-N618</f>
        <v>62.63</v>
      </c>
      <c r="P618" s="43" t="n">
        <f aca="false">IF(K618=0,0,O618/K618)</f>
        <v>0.487544761015102</v>
      </c>
    </row>
    <row r="619" customFormat="false" ht="15" hidden="false" customHeight="false" outlineLevel="0" collapsed="false">
      <c r="A619" s="39" t="s">
        <v>741</v>
      </c>
      <c r="B619" s="40" t="n">
        <v>45750</v>
      </c>
      <c r="C619" s="39" t="s">
        <v>121</v>
      </c>
      <c r="D619" s="39" t="n">
        <v>1</v>
      </c>
      <c r="E619" s="41" t="n">
        <v>114.46</v>
      </c>
      <c r="F619" s="39" t="s">
        <v>118</v>
      </c>
      <c r="G619" s="39" t="str">
        <f aca="false">VLOOKUP(C619,Products!$A$5:$D$24,2,FALSE())</f>
        <v>External SSD 1TB</v>
      </c>
      <c r="H619" s="39" t="str">
        <f aca="false">VLOOKUP(C619,Products!$A$5:$D$24,3,FALSE())</f>
        <v>Electronics</v>
      </c>
      <c r="I619" s="41" t="n">
        <f aca="false">VLOOKUP(C619,Products!$A$5:$D$24,4,FALSE())</f>
        <v>62</v>
      </c>
      <c r="J619" s="42" t="n">
        <f aca="false">DATE(YEAR(B619),MONTH(B619),1)</f>
        <v>45748</v>
      </c>
      <c r="K619" s="41" t="n">
        <f aca="false">D619*E619</f>
        <v>114.46</v>
      </c>
      <c r="L619" s="41" t="n">
        <f aca="false">D619*I619</f>
        <v>62</v>
      </c>
      <c r="M619" s="41" t="n">
        <f aca="false">IFERROR(INDEX(Raw_Expenses!$C$5:$C$2979,MATCH(A619,Raw_Expenses!$A$5:$A$2979,0)),0)</f>
        <v>10.21</v>
      </c>
      <c r="N619" s="41" t="n">
        <f aca="false">L619+M619</f>
        <v>72.21</v>
      </c>
      <c r="O619" s="41" t="n">
        <f aca="false">K619-N619</f>
        <v>42.25</v>
      </c>
      <c r="P619" s="43" t="n">
        <f aca="false">IF(K619=0,0,O619/K619)</f>
        <v>0.369124585007863</v>
      </c>
    </row>
    <row r="620" customFormat="false" ht="15" hidden="false" customHeight="false" outlineLevel="0" collapsed="false">
      <c r="A620" s="39" t="s">
        <v>742</v>
      </c>
      <c r="B620" s="40" t="n">
        <v>45750</v>
      </c>
      <c r="C620" s="39" t="s">
        <v>126</v>
      </c>
      <c r="D620" s="39" t="n">
        <v>1</v>
      </c>
      <c r="E620" s="41" t="n">
        <v>24.78</v>
      </c>
      <c r="F620" s="39" t="s">
        <v>108</v>
      </c>
      <c r="G620" s="39" t="str">
        <f aca="false">VLOOKUP(C620,Products!$A$5:$D$24,2,FALSE())</f>
        <v>Wireless Mouse</v>
      </c>
      <c r="H620" s="39" t="str">
        <f aca="false">VLOOKUP(C620,Products!$A$5:$D$24,3,FALSE())</f>
        <v>Electronics</v>
      </c>
      <c r="I620" s="41" t="n">
        <f aca="false">VLOOKUP(C620,Products!$A$5:$D$24,4,FALSE())</f>
        <v>12</v>
      </c>
      <c r="J620" s="42" t="n">
        <f aca="false">DATE(YEAR(B620),MONTH(B620),1)</f>
        <v>45748</v>
      </c>
      <c r="K620" s="41" t="n">
        <f aca="false">D620*E620</f>
        <v>24.78</v>
      </c>
      <c r="L620" s="41" t="n">
        <f aca="false">D620*I620</f>
        <v>12</v>
      </c>
      <c r="M620" s="41" t="n">
        <f aca="false">IFERROR(INDEX(Raw_Expenses!$C$5:$C$2979,MATCH(A620,Raw_Expenses!$A$5:$A$2979,0)),0)</f>
        <v>1.67</v>
      </c>
      <c r="N620" s="41" t="n">
        <f aca="false">L620+M620</f>
        <v>13.67</v>
      </c>
      <c r="O620" s="41" t="n">
        <f aca="false">K620-N620</f>
        <v>11.11</v>
      </c>
      <c r="P620" s="43" t="n">
        <f aca="false">IF(K620=0,0,O620/K620)</f>
        <v>0.448345439870864</v>
      </c>
    </row>
    <row r="621" customFormat="false" ht="15" hidden="false" customHeight="false" outlineLevel="0" collapsed="false">
      <c r="A621" s="39" t="s">
        <v>743</v>
      </c>
      <c r="B621" s="40" t="n">
        <v>45750</v>
      </c>
      <c r="C621" s="39" t="s">
        <v>126</v>
      </c>
      <c r="D621" s="39" t="n">
        <v>3</v>
      </c>
      <c r="E621" s="41" t="n">
        <v>24.45</v>
      </c>
      <c r="F621" s="39" t="s">
        <v>108</v>
      </c>
      <c r="G621" s="39" t="str">
        <f aca="false">VLOOKUP(C621,Products!$A$5:$D$24,2,FALSE())</f>
        <v>Wireless Mouse</v>
      </c>
      <c r="H621" s="39" t="str">
        <f aca="false">VLOOKUP(C621,Products!$A$5:$D$24,3,FALSE())</f>
        <v>Electronics</v>
      </c>
      <c r="I621" s="41" t="n">
        <f aca="false">VLOOKUP(C621,Products!$A$5:$D$24,4,FALSE())</f>
        <v>12</v>
      </c>
      <c r="J621" s="42" t="n">
        <f aca="false">DATE(YEAR(B621),MONTH(B621),1)</f>
        <v>45748</v>
      </c>
      <c r="K621" s="41" t="n">
        <f aca="false">D621*E621</f>
        <v>73.35</v>
      </c>
      <c r="L621" s="41" t="n">
        <f aca="false">D621*I621</f>
        <v>36</v>
      </c>
      <c r="M621" s="41" t="n">
        <f aca="false">IFERROR(INDEX(Raw_Expenses!$C$5:$C$2979,MATCH(A621,Raw_Expenses!$A$5:$A$2979,0)),0)</f>
        <v>5.03</v>
      </c>
      <c r="N621" s="41" t="n">
        <f aca="false">L621+M621</f>
        <v>41.03</v>
      </c>
      <c r="O621" s="41" t="n">
        <f aca="false">K621-N621</f>
        <v>32.32</v>
      </c>
      <c r="P621" s="43" t="n">
        <f aca="false">IF(K621=0,0,O621/K621)</f>
        <v>0.440627130197682</v>
      </c>
    </row>
    <row r="622" customFormat="false" ht="15" hidden="false" customHeight="false" outlineLevel="0" collapsed="false">
      <c r="A622" s="39" t="s">
        <v>744</v>
      </c>
      <c r="B622" s="40" t="n">
        <v>45750</v>
      </c>
      <c r="C622" s="39" t="s">
        <v>112</v>
      </c>
      <c r="D622" s="39" t="n">
        <v>4</v>
      </c>
      <c r="E622" s="41" t="n">
        <v>50.8</v>
      </c>
      <c r="F622" s="39" t="s">
        <v>105</v>
      </c>
      <c r="G622" s="39" t="str">
        <f aca="false">VLOOKUP(C622,Products!$A$5:$D$24,2,FALSE())</f>
        <v>HD Webcam</v>
      </c>
      <c r="H622" s="39" t="str">
        <f aca="false">VLOOKUP(C622,Products!$A$5:$D$24,3,FALSE())</f>
        <v>Electronics</v>
      </c>
      <c r="I622" s="41" t="n">
        <f aca="false">VLOOKUP(C622,Products!$A$5:$D$24,4,FALSE())</f>
        <v>22</v>
      </c>
      <c r="J622" s="42" t="n">
        <f aca="false">DATE(YEAR(B622),MONTH(B622),1)</f>
        <v>45748</v>
      </c>
      <c r="K622" s="41" t="n">
        <f aca="false">D622*E622</f>
        <v>203.2</v>
      </c>
      <c r="L622" s="41" t="n">
        <f aca="false">D622*I622</f>
        <v>88</v>
      </c>
      <c r="M622" s="41" t="n">
        <f aca="false">IFERROR(INDEX(Raw_Expenses!$C$5:$C$2979,MATCH(A622,Raw_Expenses!$A$5:$A$2979,0)),0)</f>
        <v>17.28</v>
      </c>
      <c r="N622" s="41" t="n">
        <f aca="false">L622+M622</f>
        <v>105.28</v>
      </c>
      <c r="O622" s="41" t="n">
        <f aca="false">K622-N622</f>
        <v>97.92</v>
      </c>
      <c r="P622" s="43" t="n">
        <f aca="false">IF(K622=0,0,O622/K622)</f>
        <v>0.481889763779528</v>
      </c>
    </row>
    <row r="623" customFormat="false" ht="15" hidden="false" customHeight="false" outlineLevel="0" collapsed="false">
      <c r="A623" s="39" t="s">
        <v>745</v>
      </c>
      <c r="B623" s="40" t="n">
        <v>45750</v>
      </c>
      <c r="C623" s="39" t="s">
        <v>169</v>
      </c>
      <c r="D623" s="39" t="n">
        <v>1</v>
      </c>
      <c r="E623" s="41" t="n">
        <v>28.71</v>
      </c>
      <c r="F623" s="39" t="s">
        <v>115</v>
      </c>
      <c r="G623" s="39" t="str">
        <f aca="false">VLOOKUP(C623,Products!$A$5:$D$24,2,FALSE())</f>
        <v>Laptop Stand</v>
      </c>
      <c r="H623" s="39" t="str">
        <f aca="false">VLOOKUP(C623,Products!$A$5:$D$24,3,FALSE())</f>
        <v>Accessories</v>
      </c>
      <c r="I623" s="41" t="n">
        <f aca="false">VLOOKUP(C623,Products!$A$5:$D$24,4,FALSE())</f>
        <v>11</v>
      </c>
      <c r="J623" s="42" t="n">
        <f aca="false">DATE(YEAR(B623),MONTH(B623),1)</f>
        <v>45748</v>
      </c>
      <c r="K623" s="41" t="n">
        <f aca="false">D623*E623</f>
        <v>28.71</v>
      </c>
      <c r="L623" s="41" t="n">
        <f aca="false">D623*I623</f>
        <v>11</v>
      </c>
      <c r="M623" s="41" t="n">
        <f aca="false">IFERROR(INDEX(Raw_Expenses!$C$5:$C$2979,MATCH(A623,Raw_Expenses!$A$5:$A$2979,0)),0)</f>
        <v>1.21</v>
      </c>
      <c r="N623" s="41" t="n">
        <f aca="false">L623+M623</f>
        <v>12.21</v>
      </c>
      <c r="O623" s="41" t="n">
        <f aca="false">K623-N623</f>
        <v>16.5</v>
      </c>
      <c r="P623" s="43" t="n">
        <f aca="false">IF(K623=0,0,O623/K623)</f>
        <v>0.574712643678161</v>
      </c>
    </row>
    <row r="624" customFormat="false" ht="15" hidden="false" customHeight="false" outlineLevel="0" collapsed="false">
      <c r="A624" s="39" t="s">
        <v>746</v>
      </c>
      <c r="B624" s="40" t="n">
        <v>45751</v>
      </c>
      <c r="C624" s="39" t="s">
        <v>130</v>
      </c>
      <c r="D624" s="39" t="n">
        <v>2</v>
      </c>
      <c r="E624" s="41" t="n">
        <v>8.53</v>
      </c>
      <c r="F624" s="39" t="s">
        <v>105</v>
      </c>
      <c r="G624" s="39" t="str">
        <f aca="false">VLOOKUP(C624,Products!$A$5:$D$24,2,FALSE())</f>
        <v>Notebook Set</v>
      </c>
      <c r="H624" s="39" t="str">
        <f aca="false">VLOOKUP(C624,Products!$A$5:$D$24,3,FALSE())</f>
        <v>Stationery</v>
      </c>
      <c r="I624" s="41" t="n">
        <f aca="false">VLOOKUP(C624,Products!$A$5:$D$24,4,FALSE())</f>
        <v>3</v>
      </c>
      <c r="J624" s="42" t="n">
        <f aca="false">DATE(YEAR(B624),MONTH(B624),1)</f>
        <v>45748</v>
      </c>
      <c r="K624" s="41" t="n">
        <f aca="false">D624*E624</f>
        <v>17.06</v>
      </c>
      <c r="L624" s="41" t="n">
        <f aca="false">D624*I624</f>
        <v>6</v>
      </c>
      <c r="M624" s="41" t="n">
        <f aca="false">IFERROR(INDEX(Raw_Expenses!$C$5:$C$2979,MATCH(A624,Raw_Expenses!$A$5:$A$2979,0)),0)</f>
        <v>0</v>
      </c>
      <c r="N624" s="41" t="n">
        <f aca="false">L624+M624</f>
        <v>6</v>
      </c>
      <c r="O624" s="41" t="n">
        <f aca="false">K624-N624</f>
        <v>11.06</v>
      </c>
      <c r="P624" s="43" t="n">
        <f aca="false">IF(K624=0,0,O624/K624)</f>
        <v>0.648300117233294</v>
      </c>
    </row>
    <row r="625" customFormat="false" ht="15" hidden="false" customHeight="false" outlineLevel="0" collapsed="false">
      <c r="A625" s="39" t="s">
        <v>747</v>
      </c>
      <c r="B625" s="40" t="n">
        <v>45751</v>
      </c>
      <c r="C625" s="39" t="s">
        <v>112</v>
      </c>
      <c r="D625" s="39" t="n">
        <v>2</v>
      </c>
      <c r="E625" s="41" t="n">
        <v>53.58</v>
      </c>
      <c r="F625" s="39" t="s">
        <v>115</v>
      </c>
      <c r="G625" s="39" t="str">
        <f aca="false">VLOOKUP(C625,Products!$A$5:$D$24,2,FALSE())</f>
        <v>HD Webcam</v>
      </c>
      <c r="H625" s="39" t="str">
        <f aca="false">VLOOKUP(C625,Products!$A$5:$D$24,3,FALSE())</f>
        <v>Electronics</v>
      </c>
      <c r="I625" s="41" t="n">
        <f aca="false">VLOOKUP(C625,Products!$A$5:$D$24,4,FALSE())</f>
        <v>22</v>
      </c>
      <c r="J625" s="42" t="n">
        <f aca="false">DATE(YEAR(B625),MONTH(B625),1)</f>
        <v>45748</v>
      </c>
      <c r="K625" s="41" t="n">
        <f aca="false">D625*E625</f>
        <v>107.16</v>
      </c>
      <c r="L625" s="41" t="n">
        <f aca="false">D625*I625</f>
        <v>44</v>
      </c>
      <c r="M625" s="41" t="n">
        <f aca="false">IFERROR(INDEX(Raw_Expenses!$C$5:$C$2979,MATCH(A625,Raw_Expenses!$A$5:$A$2979,0)),0)</f>
        <v>6.32</v>
      </c>
      <c r="N625" s="41" t="n">
        <f aca="false">L625+M625</f>
        <v>50.32</v>
      </c>
      <c r="O625" s="41" t="n">
        <f aca="false">K625-N625</f>
        <v>56.84</v>
      </c>
      <c r="P625" s="43" t="n">
        <f aca="false">IF(K625=0,0,O625/K625)</f>
        <v>0.530421799178798</v>
      </c>
    </row>
    <row r="626" customFormat="false" ht="15" hidden="false" customHeight="false" outlineLevel="0" collapsed="false">
      <c r="A626" s="39" t="s">
        <v>748</v>
      </c>
      <c r="B626" s="40" t="n">
        <v>45751</v>
      </c>
      <c r="C626" s="39" t="s">
        <v>136</v>
      </c>
      <c r="D626" s="39" t="n">
        <v>2</v>
      </c>
      <c r="E626" s="41" t="n">
        <v>78.36</v>
      </c>
      <c r="F626" s="39" t="s">
        <v>105</v>
      </c>
      <c r="G626" s="39" t="str">
        <f aca="false">VLOOKUP(C626,Products!$A$5:$D$24,2,FALSE())</f>
        <v>Mechanical Keyboard</v>
      </c>
      <c r="H626" s="39" t="str">
        <f aca="false">VLOOKUP(C626,Products!$A$5:$D$24,3,FALSE())</f>
        <v>Electronics</v>
      </c>
      <c r="I626" s="41" t="n">
        <f aca="false">VLOOKUP(C626,Products!$A$5:$D$24,4,FALSE())</f>
        <v>38</v>
      </c>
      <c r="J626" s="42" t="n">
        <f aca="false">DATE(YEAR(B626),MONTH(B626),1)</f>
        <v>45748</v>
      </c>
      <c r="K626" s="41" t="n">
        <f aca="false">D626*E626</f>
        <v>156.72</v>
      </c>
      <c r="L626" s="41" t="n">
        <f aca="false">D626*I626</f>
        <v>76</v>
      </c>
      <c r="M626" s="41" t="n">
        <f aca="false">IFERROR(INDEX(Raw_Expenses!$C$5:$C$2979,MATCH(A626,Raw_Expenses!$A$5:$A$2979,0)),0)</f>
        <v>9.15</v>
      </c>
      <c r="N626" s="41" t="n">
        <f aca="false">L626+M626</f>
        <v>85.15</v>
      </c>
      <c r="O626" s="41" t="n">
        <f aca="false">K626-N626</f>
        <v>71.57</v>
      </c>
      <c r="P626" s="43" t="n">
        <f aca="false">IF(K626=0,0,O626/K626)</f>
        <v>0.456674323634507</v>
      </c>
    </row>
    <row r="627" customFormat="false" ht="15" hidden="false" customHeight="false" outlineLevel="0" collapsed="false">
      <c r="A627" s="39" t="s">
        <v>749</v>
      </c>
      <c r="B627" s="40" t="n">
        <v>45751</v>
      </c>
      <c r="C627" s="39" t="s">
        <v>169</v>
      </c>
      <c r="D627" s="39" t="n">
        <v>1</v>
      </c>
      <c r="E627" s="41" t="n">
        <v>27.99</v>
      </c>
      <c r="F627" s="39" t="s">
        <v>118</v>
      </c>
      <c r="G627" s="39" t="str">
        <f aca="false">VLOOKUP(C627,Products!$A$5:$D$24,2,FALSE())</f>
        <v>Laptop Stand</v>
      </c>
      <c r="H627" s="39" t="str">
        <f aca="false">VLOOKUP(C627,Products!$A$5:$D$24,3,FALSE())</f>
        <v>Accessories</v>
      </c>
      <c r="I627" s="41" t="n">
        <f aca="false">VLOOKUP(C627,Products!$A$5:$D$24,4,FALSE())</f>
        <v>11</v>
      </c>
      <c r="J627" s="42" t="n">
        <f aca="false">DATE(YEAR(B627),MONTH(B627),1)</f>
        <v>45748</v>
      </c>
      <c r="K627" s="41" t="n">
        <f aca="false">D627*E627</f>
        <v>27.99</v>
      </c>
      <c r="L627" s="41" t="n">
        <f aca="false">D627*I627</f>
        <v>11</v>
      </c>
      <c r="M627" s="41" t="n">
        <f aca="false">IFERROR(INDEX(Raw_Expenses!$C$5:$C$2979,MATCH(A627,Raw_Expenses!$A$5:$A$2979,0)),0)</f>
        <v>1.73</v>
      </c>
      <c r="N627" s="41" t="n">
        <f aca="false">L627+M627</f>
        <v>12.73</v>
      </c>
      <c r="O627" s="41" t="n">
        <f aca="false">K627-N627</f>
        <v>15.26</v>
      </c>
      <c r="P627" s="43" t="n">
        <f aca="false">IF(K627=0,0,O627/K627)</f>
        <v>0.545194712397285</v>
      </c>
    </row>
    <row r="628" customFormat="false" ht="15" hidden="false" customHeight="false" outlineLevel="0" collapsed="false">
      <c r="A628" s="39" t="s">
        <v>750</v>
      </c>
      <c r="B628" s="40" t="n">
        <v>45751</v>
      </c>
      <c r="C628" s="39" t="s">
        <v>162</v>
      </c>
      <c r="D628" s="39" t="n">
        <v>3</v>
      </c>
      <c r="E628" s="41" t="n">
        <v>66.99</v>
      </c>
      <c r="F628" s="39" t="s">
        <v>108</v>
      </c>
      <c r="G628" s="39" t="str">
        <f aca="false">VLOOKUP(C628,Products!$A$5:$D$24,2,FALSE())</f>
        <v>Bluetooth Speaker</v>
      </c>
      <c r="H628" s="39" t="str">
        <f aca="false">VLOOKUP(C628,Products!$A$5:$D$24,3,FALSE())</f>
        <v>Electronics</v>
      </c>
      <c r="I628" s="41" t="n">
        <f aca="false">VLOOKUP(C628,Products!$A$5:$D$24,4,FALSE())</f>
        <v>28</v>
      </c>
      <c r="J628" s="42" t="n">
        <f aca="false">DATE(YEAR(B628),MONTH(B628),1)</f>
        <v>45748</v>
      </c>
      <c r="K628" s="41" t="n">
        <f aca="false">D628*E628</f>
        <v>200.97</v>
      </c>
      <c r="L628" s="41" t="n">
        <f aca="false">D628*I628</f>
        <v>84</v>
      </c>
      <c r="M628" s="41" t="n">
        <f aca="false">IFERROR(INDEX(Raw_Expenses!$C$5:$C$2979,MATCH(A628,Raw_Expenses!$A$5:$A$2979,0)),0)</f>
        <v>10.23</v>
      </c>
      <c r="N628" s="41" t="n">
        <f aca="false">L628+M628</f>
        <v>94.23</v>
      </c>
      <c r="O628" s="41" t="n">
        <f aca="false">K628-N628</f>
        <v>106.74</v>
      </c>
      <c r="P628" s="43" t="n">
        <f aca="false">IF(K628=0,0,O628/K628)</f>
        <v>0.531124048365428</v>
      </c>
    </row>
    <row r="629" customFormat="false" ht="15" hidden="false" customHeight="false" outlineLevel="0" collapsed="false">
      <c r="A629" s="39" t="s">
        <v>751</v>
      </c>
      <c r="B629" s="40" t="n">
        <v>45751</v>
      </c>
      <c r="C629" s="39" t="s">
        <v>162</v>
      </c>
      <c r="D629" s="39" t="n">
        <v>1</v>
      </c>
      <c r="E629" s="41" t="n">
        <v>66.02</v>
      </c>
      <c r="F629" s="39" t="s">
        <v>115</v>
      </c>
      <c r="G629" s="39" t="str">
        <f aca="false">VLOOKUP(C629,Products!$A$5:$D$24,2,FALSE())</f>
        <v>Bluetooth Speaker</v>
      </c>
      <c r="H629" s="39" t="str">
        <f aca="false">VLOOKUP(C629,Products!$A$5:$D$24,3,FALSE())</f>
        <v>Electronics</v>
      </c>
      <c r="I629" s="41" t="n">
        <f aca="false">VLOOKUP(C629,Products!$A$5:$D$24,4,FALSE())</f>
        <v>28</v>
      </c>
      <c r="J629" s="42" t="n">
        <f aca="false">DATE(YEAR(B629),MONTH(B629),1)</f>
        <v>45748</v>
      </c>
      <c r="K629" s="41" t="n">
        <f aca="false">D629*E629</f>
        <v>66.02</v>
      </c>
      <c r="L629" s="41" t="n">
        <f aca="false">D629*I629</f>
        <v>28</v>
      </c>
      <c r="M629" s="41" t="n">
        <f aca="false">IFERROR(INDEX(Raw_Expenses!$C$5:$C$2979,MATCH(A629,Raw_Expenses!$A$5:$A$2979,0)),0)</f>
        <v>3.44</v>
      </c>
      <c r="N629" s="41" t="n">
        <f aca="false">L629+M629</f>
        <v>31.44</v>
      </c>
      <c r="O629" s="41" t="n">
        <f aca="false">K629-N629</f>
        <v>34.58</v>
      </c>
      <c r="P629" s="43" t="n">
        <f aca="false">IF(K629=0,0,O629/K629)</f>
        <v>0.523780672523478</v>
      </c>
    </row>
    <row r="630" customFormat="false" ht="15" hidden="false" customHeight="false" outlineLevel="0" collapsed="false">
      <c r="A630" s="39" t="s">
        <v>752</v>
      </c>
      <c r="B630" s="40" t="n">
        <v>45751</v>
      </c>
      <c r="C630" s="39" t="s">
        <v>126</v>
      </c>
      <c r="D630" s="39" t="n">
        <v>2</v>
      </c>
      <c r="E630" s="41" t="n">
        <v>24.21</v>
      </c>
      <c r="F630" s="39" t="s">
        <v>105</v>
      </c>
      <c r="G630" s="39" t="str">
        <f aca="false">VLOOKUP(C630,Products!$A$5:$D$24,2,FALSE())</f>
        <v>Wireless Mouse</v>
      </c>
      <c r="H630" s="39" t="str">
        <f aca="false">VLOOKUP(C630,Products!$A$5:$D$24,3,FALSE())</f>
        <v>Electronics</v>
      </c>
      <c r="I630" s="41" t="n">
        <f aca="false">VLOOKUP(C630,Products!$A$5:$D$24,4,FALSE())</f>
        <v>12</v>
      </c>
      <c r="J630" s="42" t="n">
        <f aca="false">DATE(YEAR(B630),MONTH(B630),1)</f>
        <v>45748</v>
      </c>
      <c r="K630" s="41" t="n">
        <f aca="false">D630*E630</f>
        <v>48.42</v>
      </c>
      <c r="L630" s="41" t="n">
        <f aca="false">D630*I630</f>
        <v>24</v>
      </c>
      <c r="M630" s="41" t="n">
        <f aca="false">IFERROR(INDEX(Raw_Expenses!$C$5:$C$2979,MATCH(A630,Raw_Expenses!$A$5:$A$2979,0)),0)</f>
        <v>2.23</v>
      </c>
      <c r="N630" s="41" t="n">
        <f aca="false">L630+M630</f>
        <v>26.23</v>
      </c>
      <c r="O630" s="41" t="n">
        <f aca="false">K630-N630</f>
        <v>22.19</v>
      </c>
      <c r="P630" s="43" t="n">
        <f aca="false">IF(K630=0,0,O630/K630)</f>
        <v>0.458281701776126</v>
      </c>
    </row>
    <row r="631" customFormat="false" ht="15" hidden="false" customHeight="false" outlineLevel="0" collapsed="false">
      <c r="A631" s="39" t="s">
        <v>753</v>
      </c>
      <c r="B631" s="40" t="n">
        <v>45751</v>
      </c>
      <c r="C631" s="39" t="s">
        <v>117</v>
      </c>
      <c r="D631" s="39" t="n">
        <v>5</v>
      </c>
      <c r="E631" s="41" t="n">
        <v>31.65</v>
      </c>
      <c r="F631" s="39" t="s">
        <v>105</v>
      </c>
      <c r="G631" s="39" t="str">
        <f aca="false">VLOOKUP(C631,Products!$A$5:$D$24,2,FALSE())</f>
        <v>Desk Lamp</v>
      </c>
      <c r="H631" s="39" t="str">
        <f aca="false">VLOOKUP(C631,Products!$A$5:$D$24,3,FALSE())</f>
        <v>Furniture</v>
      </c>
      <c r="I631" s="41" t="n">
        <f aca="false">VLOOKUP(C631,Products!$A$5:$D$24,4,FALSE())</f>
        <v>13</v>
      </c>
      <c r="J631" s="42" t="n">
        <f aca="false">DATE(YEAR(B631),MONTH(B631),1)</f>
        <v>45748</v>
      </c>
      <c r="K631" s="41" t="n">
        <f aca="false">D631*E631</f>
        <v>158.25</v>
      </c>
      <c r="L631" s="41" t="n">
        <f aca="false">D631*I631</f>
        <v>65</v>
      </c>
      <c r="M631" s="41" t="n">
        <f aca="false">IFERROR(INDEX(Raw_Expenses!$C$5:$C$2979,MATCH(A631,Raw_Expenses!$A$5:$A$2979,0)),0)</f>
        <v>11.63</v>
      </c>
      <c r="N631" s="41" t="n">
        <f aca="false">L631+M631</f>
        <v>76.63</v>
      </c>
      <c r="O631" s="41" t="n">
        <f aca="false">K631-N631</f>
        <v>81.62</v>
      </c>
      <c r="P631" s="43" t="n">
        <f aca="false">IF(K631=0,0,O631/K631)</f>
        <v>0.515766192733017</v>
      </c>
    </row>
    <row r="632" customFormat="false" ht="15" hidden="false" customHeight="false" outlineLevel="0" collapsed="false">
      <c r="A632" s="39" t="s">
        <v>754</v>
      </c>
      <c r="B632" s="40" t="n">
        <v>45751</v>
      </c>
      <c r="C632" s="39" t="s">
        <v>112</v>
      </c>
      <c r="D632" s="39" t="n">
        <v>3</v>
      </c>
      <c r="E632" s="41" t="n">
        <v>50.91</v>
      </c>
      <c r="F632" s="39" t="s">
        <v>115</v>
      </c>
      <c r="G632" s="39" t="str">
        <f aca="false">VLOOKUP(C632,Products!$A$5:$D$24,2,FALSE())</f>
        <v>HD Webcam</v>
      </c>
      <c r="H632" s="39" t="str">
        <f aca="false">VLOOKUP(C632,Products!$A$5:$D$24,3,FALSE())</f>
        <v>Electronics</v>
      </c>
      <c r="I632" s="41" t="n">
        <f aca="false">VLOOKUP(C632,Products!$A$5:$D$24,4,FALSE())</f>
        <v>22</v>
      </c>
      <c r="J632" s="42" t="n">
        <f aca="false">DATE(YEAR(B632),MONTH(B632),1)</f>
        <v>45748</v>
      </c>
      <c r="K632" s="41" t="n">
        <f aca="false">D632*E632</f>
        <v>152.73</v>
      </c>
      <c r="L632" s="41" t="n">
        <f aca="false">D632*I632</f>
        <v>66</v>
      </c>
      <c r="M632" s="41" t="n">
        <f aca="false">IFERROR(INDEX(Raw_Expenses!$C$5:$C$2979,MATCH(A632,Raw_Expenses!$A$5:$A$2979,0)),0)</f>
        <v>12.4</v>
      </c>
      <c r="N632" s="41" t="n">
        <f aca="false">L632+M632</f>
        <v>78.4</v>
      </c>
      <c r="O632" s="41" t="n">
        <f aca="false">K632-N632</f>
        <v>74.33</v>
      </c>
      <c r="P632" s="43" t="n">
        <f aca="false">IF(K632=0,0,O632/K632)</f>
        <v>0.486675833169646</v>
      </c>
    </row>
    <row r="633" customFormat="false" ht="15" hidden="false" customHeight="false" outlineLevel="0" collapsed="false">
      <c r="A633" s="39" t="s">
        <v>755</v>
      </c>
      <c r="B633" s="40" t="n">
        <v>45751</v>
      </c>
      <c r="C633" s="39" t="s">
        <v>112</v>
      </c>
      <c r="D633" s="39" t="n">
        <v>8</v>
      </c>
      <c r="E633" s="41" t="n">
        <v>51.9</v>
      </c>
      <c r="F633" s="39" t="s">
        <v>108</v>
      </c>
      <c r="G633" s="39" t="str">
        <f aca="false">VLOOKUP(C633,Products!$A$5:$D$24,2,FALSE())</f>
        <v>HD Webcam</v>
      </c>
      <c r="H633" s="39" t="str">
        <f aca="false">VLOOKUP(C633,Products!$A$5:$D$24,3,FALSE())</f>
        <v>Electronics</v>
      </c>
      <c r="I633" s="41" t="n">
        <f aca="false">VLOOKUP(C633,Products!$A$5:$D$24,4,FALSE())</f>
        <v>22</v>
      </c>
      <c r="J633" s="42" t="n">
        <f aca="false">DATE(YEAR(B633),MONTH(B633),1)</f>
        <v>45748</v>
      </c>
      <c r="K633" s="41" t="n">
        <f aca="false">D633*E633</f>
        <v>415.2</v>
      </c>
      <c r="L633" s="41" t="n">
        <f aca="false">D633*I633</f>
        <v>176</v>
      </c>
      <c r="M633" s="41" t="n">
        <f aca="false">IFERROR(INDEX(Raw_Expenses!$C$5:$C$2979,MATCH(A633,Raw_Expenses!$A$5:$A$2979,0)),0)</f>
        <v>18.6</v>
      </c>
      <c r="N633" s="41" t="n">
        <f aca="false">L633+M633</f>
        <v>194.6</v>
      </c>
      <c r="O633" s="41" t="n">
        <f aca="false">K633-N633</f>
        <v>220.6</v>
      </c>
      <c r="P633" s="43" t="n">
        <f aca="false">IF(K633=0,0,O633/K633)</f>
        <v>0.53131021194605</v>
      </c>
    </row>
    <row r="634" customFormat="false" ht="15" hidden="false" customHeight="false" outlineLevel="0" collapsed="false">
      <c r="A634" s="39" t="s">
        <v>756</v>
      </c>
      <c r="B634" s="40" t="n">
        <v>45751</v>
      </c>
      <c r="C634" s="39" t="s">
        <v>130</v>
      </c>
      <c r="D634" s="39" t="n">
        <v>2</v>
      </c>
      <c r="E634" s="41" t="n">
        <v>8.66</v>
      </c>
      <c r="F634" s="39" t="s">
        <v>105</v>
      </c>
      <c r="G634" s="39" t="str">
        <f aca="false">VLOOKUP(C634,Products!$A$5:$D$24,2,FALSE())</f>
        <v>Notebook Set</v>
      </c>
      <c r="H634" s="39" t="str">
        <f aca="false">VLOOKUP(C634,Products!$A$5:$D$24,3,FALSE())</f>
        <v>Stationery</v>
      </c>
      <c r="I634" s="41" t="n">
        <f aca="false">VLOOKUP(C634,Products!$A$5:$D$24,4,FALSE())</f>
        <v>3</v>
      </c>
      <c r="J634" s="42" t="n">
        <f aca="false">DATE(YEAR(B634),MONTH(B634),1)</f>
        <v>45748</v>
      </c>
      <c r="K634" s="41" t="n">
        <f aca="false">D634*E634</f>
        <v>17.32</v>
      </c>
      <c r="L634" s="41" t="n">
        <f aca="false">D634*I634</f>
        <v>6</v>
      </c>
      <c r="M634" s="41" t="n">
        <f aca="false">IFERROR(INDEX(Raw_Expenses!$C$5:$C$2979,MATCH(A634,Raw_Expenses!$A$5:$A$2979,0)),0)</f>
        <v>1.48</v>
      </c>
      <c r="N634" s="41" t="n">
        <f aca="false">L634+M634</f>
        <v>7.48</v>
      </c>
      <c r="O634" s="41" t="n">
        <f aca="false">K634-N634</f>
        <v>9.84</v>
      </c>
      <c r="P634" s="43" t="n">
        <f aca="false">IF(K634=0,0,O634/K634)</f>
        <v>0.568129330254042</v>
      </c>
    </row>
    <row r="635" customFormat="false" ht="15" hidden="false" customHeight="false" outlineLevel="0" collapsed="false">
      <c r="A635" s="39" t="s">
        <v>757</v>
      </c>
      <c r="B635" s="40" t="n">
        <v>45751</v>
      </c>
      <c r="C635" s="39" t="s">
        <v>128</v>
      </c>
      <c r="D635" s="39" t="n">
        <v>6</v>
      </c>
      <c r="E635" s="41" t="n">
        <v>37.52</v>
      </c>
      <c r="F635" s="39" t="s">
        <v>118</v>
      </c>
      <c r="G635" s="39" t="str">
        <f aca="false">VLOOKUP(C635,Products!$A$5:$D$24,2,FALSE())</f>
        <v>Ergonomic Footrest</v>
      </c>
      <c r="H635" s="39" t="str">
        <f aca="false">VLOOKUP(C635,Products!$A$5:$D$24,3,FALSE())</f>
        <v>Furniture</v>
      </c>
      <c r="I635" s="41" t="n">
        <f aca="false">VLOOKUP(C635,Products!$A$5:$D$24,4,FALSE())</f>
        <v>15</v>
      </c>
      <c r="J635" s="42" t="n">
        <f aca="false">DATE(YEAR(B635),MONTH(B635),1)</f>
        <v>45748</v>
      </c>
      <c r="K635" s="41" t="n">
        <f aca="false">D635*E635</f>
        <v>225.12</v>
      </c>
      <c r="L635" s="41" t="n">
        <f aca="false">D635*I635</f>
        <v>90</v>
      </c>
      <c r="M635" s="41" t="n">
        <f aca="false">IFERROR(INDEX(Raw_Expenses!$C$5:$C$2979,MATCH(A635,Raw_Expenses!$A$5:$A$2979,0)),0)</f>
        <v>11.49</v>
      </c>
      <c r="N635" s="41" t="n">
        <f aca="false">L635+M635</f>
        <v>101.49</v>
      </c>
      <c r="O635" s="41" t="n">
        <f aca="false">K635-N635</f>
        <v>123.63</v>
      </c>
      <c r="P635" s="43" t="n">
        <f aca="false">IF(K635=0,0,O635/K635)</f>
        <v>0.549173773987207</v>
      </c>
    </row>
    <row r="636" customFormat="false" ht="15" hidden="false" customHeight="false" outlineLevel="0" collapsed="false">
      <c r="A636" s="39" t="s">
        <v>758</v>
      </c>
      <c r="B636" s="40" t="n">
        <v>45751</v>
      </c>
      <c r="C636" s="39" t="s">
        <v>114</v>
      </c>
      <c r="D636" s="39" t="n">
        <v>2</v>
      </c>
      <c r="E636" s="41" t="n">
        <v>5.93</v>
      </c>
      <c r="F636" s="39" t="s">
        <v>108</v>
      </c>
      <c r="G636" s="39" t="str">
        <f aca="false">VLOOKUP(C636,Products!$A$5:$D$24,2,FALSE())</f>
        <v>Gel Pen Pack</v>
      </c>
      <c r="H636" s="39" t="str">
        <f aca="false">VLOOKUP(C636,Products!$A$5:$D$24,3,FALSE())</f>
        <v>Stationery</v>
      </c>
      <c r="I636" s="41" t="n">
        <f aca="false">VLOOKUP(C636,Products!$A$5:$D$24,4,FALSE())</f>
        <v>2</v>
      </c>
      <c r="J636" s="42" t="n">
        <f aca="false">DATE(YEAR(B636),MONTH(B636),1)</f>
        <v>45748</v>
      </c>
      <c r="K636" s="41" t="n">
        <f aca="false">D636*E636</f>
        <v>11.86</v>
      </c>
      <c r="L636" s="41" t="n">
        <f aca="false">D636*I636</f>
        <v>4</v>
      </c>
      <c r="M636" s="41" t="n">
        <f aca="false">IFERROR(INDEX(Raw_Expenses!$C$5:$C$2979,MATCH(A636,Raw_Expenses!$A$5:$A$2979,0)),0)</f>
        <v>0.89</v>
      </c>
      <c r="N636" s="41" t="n">
        <f aca="false">L636+M636</f>
        <v>4.89</v>
      </c>
      <c r="O636" s="41" t="n">
        <f aca="false">K636-N636</f>
        <v>6.97</v>
      </c>
      <c r="P636" s="43" t="n">
        <f aca="false">IF(K636=0,0,O636/K636)</f>
        <v>0.587689713322091</v>
      </c>
    </row>
    <row r="637" customFormat="false" ht="15" hidden="false" customHeight="false" outlineLevel="0" collapsed="false">
      <c r="A637" s="39" t="s">
        <v>759</v>
      </c>
      <c r="B637" s="40" t="n">
        <v>45752</v>
      </c>
      <c r="C637" s="39" t="s">
        <v>114</v>
      </c>
      <c r="D637" s="39" t="n">
        <v>1</v>
      </c>
      <c r="E637" s="41" t="n">
        <v>5.58</v>
      </c>
      <c r="F637" s="39" t="s">
        <v>115</v>
      </c>
      <c r="G637" s="39" t="str">
        <f aca="false">VLOOKUP(C637,Products!$A$5:$D$24,2,FALSE())</f>
        <v>Gel Pen Pack</v>
      </c>
      <c r="H637" s="39" t="str">
        <f aca="false">VLOOKUP(C637,Products!$A$5:$D$24,3,FALSE())</f>
        <v>Stationery</v>
      </c>
      <c r="I637" s="41" t="n">
        <f aca="false">VLOOKUP(C637,Products!$A$5:$D$24,4,FALSE())</f>
        <v>2</v>
      </c>
      <c r="J637" s="42" t="n">
        <f aca="false">DATE(YEAR(B637),MONTH(B637),1)</f>
        <v>45748</v>
      </c>
      <c r="K637" s="41" t="n">
        <f aca="false">D637*E637</f>
        <v>5.58</v>
      </c>
      <c r="L637" s="41" t="n">
        <f aca="false">D637*I637</f>
        <v>2</v>
      </c>
      <c r="M637" s="41" t="n">
        <f aca="false">IFERROR(INDEX(Raw_Expenses!$C$5:$C$2979,MATCH(A637,Raw_Expenses!$A$5:$A$2979,0)),0)</f>
        <v>0.34</v>
      </c>
      <c r="N637" s="41" t="n">
        <f aca="false">L637+M637</f>
        <v>2.34</v>
      </c>
      <c r="O637" s="41" t="n">
        <f aca="false">K637-N637</f>
        <v>3.24</v>
      </c>
      <c r="P637" s="43" t="n">
        <f aca="false">IF(K637=0,0,O637/K637)</f>
        <v>0.580645161290323</v>
      </c>
    </row>
    <row r="638" customFormat="false" ht="15" hidden="false" customHeight="false" outlineLevel="0" collapsed="false">
      <c r="A638" s="39" t="s">
        <v>760</v>
      </c>
      <c r="B638" s="40" t="n">
        <v>45752</v>
      </c>
      <c r="C638" s="39" t="s">
        <v>114</v>
      </c>
      <c r="D638" s="39" t="n">
        <v>6</v>
      </c>
      <c r="E638" s="41" t="n">
        <v>5.68</v>
      </c>
      <c r="F638" s="39" t="s">
        <v>118</v>
      </c>
      <c r="G638" s="39" t="str">
        <f aca="false">VLOOKUP(C638,Products!$A$5:$D$24,2,FALSE())</f>
        <v>Gel Pen Pack</v>
      </c>
      <c r="H638" s="39" t="str">
        <f aca="false">VLOOKUP(C638,Products!$A$5:$D$24,3,FALSE())</f>
        <v>Stationery</v>
      </c>
      <c r="I638" s="41" t="n">
        <f aca="false">VLOOKUP(C638,Products!$A$5:$D$24,4,FALSE())</f>
        <v>2</v>
      </c>
      <c r="J638" s="42" t="n">
        <f aca="false">DATE(YEAR(B638),MONTH(B638),1)</f>
        <v>45748</v>
      </c>
      <c r="K638" s="41" t="n">
        <f aca="false">D638*E638</f>
        <v>34.08</v>
      </c>
      <c r="L638" s="41" t="n">
        <f aca="false">D638*I638</f>
        <v>12</v>
      </c>
      <c r="M638" s="41" t="n">
        <f aca="false">IFERROR(INDEX(Raw_Expenses!$C$5:$C$2979,MATCH(A638,Raw_Expenses!$A$5:$A$2979,0)),0)</f>
        <v>1.92</v>
      </c>
      <c r="N638" s="41" t="n">
        <f aca="false">L638+M638</f>
        <v>13.92</v>
      </c>
      <c r="O638" s="41" t="n">
        <f aca="false">K638-N638</f>
        <v>20.16</v>
      </c>
      <c r="P638" s="43" t="n">
        <f aca="false">IF(K638=0,0,O638/K638)</f>
        <v>0.591549295774648</v>
      </c>
    </row>
    <row r="639" customFormat="false" ht="15" hidden="false" customHeight="false" outlineLevel="0" collapsed="false">
      <c r="A639" s="39" t="s">
        <v>761</v>
      </c>
      <c r="B639" s="40" t="n">
        <v>45752</v>
      </c>
      <c r="C639" s="39" t="s">
        <v>114</v>
      </c>
      <c r="D639" s="39" t="n">
        <v>6</v>
      </c>
      <c r="E639" s="41" t="n">
        <v>5.75</v>
      </c>
      <c r="F639" s="39" t="s">
        <v>108</v>
      </c>
      <c r="G639" s="39" t="str">
        <f aca="false">VLOOKUP(C639,Products!$A$5:$D$24,2,FALSE())</f>
        <v>Gel Pen Pack</v>
      </c>
      <c r="H639" s="39" t="str">
        <f aca="false">VLOOKUP(C639,Products!$A$5:$D$24,3,FALSE())</f>
        <v>Stationery</v>
      </c>
      <c r="I639" s="41" t="n">
        <f aca="false">VLOOKUP(C639,Products!$A$5:$D$24,4,FALSE())</f>
        <v>2</v>
      </c>
      <c r="J639" s="42" t="n">
        <f aca="false">DATE(YEAR(B639),MONTH(B639),1)</f>
        <v>45748</v>
      </c>
      <c r="K639" s="41" t="n">
        <f aca="false">D639*E639</f>
        <v>34.5</v>
      </c>
      <c r="L639" s="41" t="n">
        <f aca="false">D639*I639</f>
        <v>12</v>
      </c>
      <c r="M639" s="41" t="n">
        <f aca="false">IFERROR(INDEX(Raw_Expenses!$C$5:$C$2979,MATCH(A639,Raw_Expenses!$A$5:$A$2979,0)),0)</f>
        <v>1.65</v>
      </c>
      <c r="N639" s="41" t="n">
        <f aca="false">L639+M639</f>
        <v>13.65</v>
      </c>
      <c r="O639" s="41" t="n">
        <f aca="false">K639-N639</f>
        <v>20.85</v>
      </c>
      <c r="P639" s="43" t="n">
        <f aca="false">IF(K639=0,0,O639/K639)</f>
        <v>0.604347826086957</v>
      </c>
    </row>
    <row r="640" customFormat="false" ht="15" hidden="false" customHeight="false" outlineLevel="0" collapsed="false">
      <c r="A640" s="39" t="s">
        <v>762</v>
      </c>
      <c r="B640" s="40" t="n">
        <v>45752</v>
      </c>
      <c r="C640" s="39" t="s">
        <v>114</v>
      </c>
      <c r="D640" s="39" t="n">
        <v>2</v>
      </c>
      <c r="E640" s="41" t="n">
        <v>5.97</v>
      </c>
      <c r="F640" s="39" t="s">
        <v>108</v>
      </c>
      <c r="G640" s="39" t="str">
        <f aca="false">VLOOKUP(C640,Products!$A$5:$D$24,2,FALSE())</f>
        <v>Gel Pen Pack</v>
      </c>
      <c r="H640" s="39" t="str">
        <f aca="false">VLOOKUP(C640,Products!$A$5:$D$24,3,FALSE())</f>
        <v>Stationery</v>
      </c>
      <c r="I640" s="41" t="n">
        <f aca="false">VLOOKUP(C640,Products!$A$5:$D$24,4,FALSE())</f>
        <v>2</v>
      </c>
      <c r="J640" s="42" t="n">
        <f aca="false">DATE(YEAR(B640),MONTH(B640),1)</f>
        <v>45748</v>
      </c>
      <c r="K640" s="41" t="n">
        <f aca="false">D640*E640</f>
        <v>11.94</v>
      </c>
      <c r="L640" s="41" t="n">
        <f aca="false">D640*I640</f>
        <v>4</v>
      </c>
      <c r="M640" s="41" t="n">
        <f aca="false">IFERROR(INDEX(Raw_Expenses!$C$5:$C$2979,MATCH(A640,Raw_Expenses!$A$5:$A$2979,0)),0)</f>
        <v>1</v>
      </c>
      <c r="N640" s="41" t="n">
        <f aca="false">L640+M640</f>
        <v>5</v>
      </c>
      <c r="O640" s="41" t="n">
        <f aca="false">K640-N640</f>
        <v>6.94</v>
      </c>
      <c r="P640" s="43" t="n">
        <f aca="false">IF(K640=0,0,O640/K640)</f>
        <v>0.581239530988275</v>
      </c>
    </row>
    <row r="641" customFormat="false" ht="15" hidden="false" customHeight="false" outlineLevel="0" collapsed="false">
      <c r="A641" s="39" t="s">
        <v>763</v>
      </c>
      <c r="B641" s="40" t="n">
        <v>45752</v>
      </c>
      <c r="C641" s="39" t="s">
        <v>136</v>
      </c>
      <c r="D641" s="39" t="n">
        <v>1</v>
      </c>
      <c r="E641" s="41" t="n">
        <v>74.24</v>
      </c>
      <c r="F641" s="39" t="s">
        <v>118</v>
      </c>
      <c r="G641" s="39" t="str">
        <f aca="false">VLOOKUP(C641,Products!$A$5:$D$24,2,FALSE())</f>
        <v>Mechanical Keyboard</v>
      </c>
      <c r="H641" s="39" t="str">
        <f aca="false">VLOOKUP(C641,Products!$A$5:$D$24,3,FALSE())</f>
        <v>Electronics</v>
      </c>
      <c r="I641" s="41" t="n">
        <f aca="false">VLOOKUP(C641,Products!$A$5:$D$24,4,FALSE())</f>
        <v>38</v>
      </c>
      <c r="J641" s="42" t="n">
        <f aca="false">DATE(YEAR(B641),MONTH(B641),1)</f>
        <v>45748</v>
      </c>
      <c r="K641" s="41" t="n">
        <f aca="false">D641*E641</f>
        <v>74.24</v>
      </c>
      <c r="L641" s="41" t="n">
        <f aca="false">D641*I641</f>
        <v>38</v>
      </c>
      <c r="M641" s="41" t="n">
        <f aca="false">IFERROR(INDEX(Raw_Expenses!$C$5:$C$2979,MATCH(A641,Raw_Expenses!$A$5:$A$2979,0)),0)</f>
        <v>6.68</v>
      </c>
      <c r="N641" s="41" t="n">
        <f aca="false">L641+M641</f>
        <v>44.68</v>
      </c>
      <c r="O641" s="41" t="n">
        <f aca="false">K641-N641</f>
        <v>29.56</v>
      </c>
      <c r="P641" s="43" t="n">
        <f aca="false">IF(K641=0,0,O641/K641)</f>
        <v>0.398168103448276</v>
      </c>
    </row>
    <row r="642" customFormat="false" ht="15" hidden="false" customHeight="false" outlineLevel="0" collapsed="false">
      <c r="A642" s="39" t="s">
        <v>764</v>
      </c>
      <c r="B642" s="40" t="n">
        <v>45752</v>
      </c>
      <c r="C642" s="39" t="s">
        <v>136</v>
      </c>
      <c r="D642" s="39" t="n">
        <v>3</v>
      </c>
      <c r="E642" s="41" t="n">
        <v>73.18</v>
      </c>
      <c r="F642" s="39" t="s">
        <v>108</v>
      </c>
      <c r="G642" s="39" t="str">
        <f aca="false">VLOOKUP(C642,Products!$A$5:$D$24,2,FALSE())</f>
        <v>Mechanical Keyboard</v>
      </c>
      <c r="H642" s="39" t="str">
        <f aca="false">VLOOKUP(C642,Products!$A$5:$D$24,3,FALSE())</f>
        <v>Electronics</v>
      </c>
      <c r="I642" s="41" t="n">
        <f aca="false">VLOOKUP(C642,Products!$A$5:$D$24,4,FALSE())</f>
        <v>38</v>
      </c>
      <c r="J642" s="42" t="n">
        <f aca="false">DATE(YEAR(B642),MONTH(B642),1)</f>
        <v>45748</v>
      </c>
      <c r="K642" s="41" t="n">
        <f aca="false">D642*E642</f>
        <v>219.54</v>
      </c>
      <c r="L642" s="41" t="n">
        <f aca="false">D642*I642</f>
        <v>114</v>
      </c>
      <c r="M642" s="41" t="n">
        <f aca="false">IFERROR(INDEX(Raw_Expenses!$C$5:$C$2979,MATCH(A642,Raw_Expenses!$A$5:$A$2979,0)),0)</f>
        <v>14.45</v>
      </c>
      <c r="N642" s="41" t="n">
        <f aca="false">L642+M642</f>
        <v>128.45</v>
      </c>
      <c r="O642" s="41" t="n">
        <f aca="false">K642-N642</f>
        <v>91.09</v>
      </c>
      <c r="P642" s="43" t="n">
        <f aca="false">IF(K642=0,0,O642/K642)</f>
        <v>0.414912999908901</v>
      </c>
    </row>
    <row r="643" customFormat="false" ht="15" hidden="false" customHeight="false" outlineLevel="0" collapsed="false">
      <c r="A643" s="39" t="s">
        <v>765</v>
      </c>
      <c r="B643" s="40" t="n">
        <v>45752</v>
      </c>
      <c r="C643" s="39" t="s">
        <v>121</v>
      </c>
      <c r="D643" s="39" t="n">
        <v>1</v>
      </c>
      <c r="E643" s="41" t="n">
        <v>111.31</v>
      </c>
      <c r="F643" s="39" t="s">
        <v>118</v>
      </c>
      <c r="G643" s="39" t="str">
        <f aca="false">VLOOKUP(C643,Products!$A$5:$D$24,2,FALSE())</f>
        <v>External SSD 1TB</v>
      </c>
      <c r="H643" s="39" t="str">
        <f aca="false">VLOOKUP(C643,Products!$A$5:$D$24,3,FALSE())</f>
        <v>Electronics</v>
      </c>
      <c r="I643" s="41" t="n">
        <f aca="false">VLOOKUP(C643,Products!$A$5:$D$24,4,FALSE())</f>
        <v>62</v>
      </c>
      <c r="J643" s="42" t="n">
        <f aca="false">DATE(YEAR(B643),MONTH(B643),1)</f>
        <v>45748</v>
      </c>
      <c r="K643" s="41" t="n">
        <f aca="false">D643*E643</f>
        <v>111.31</v>
      </c>
      <c r="L643" s="41" t="n">
        <f aca="false">D643*I643</f>
        <v>62</v>
      </c>
      <c r="M643" s="41" t="n">
        <f aca="false">IFERROR(INDEX(Raw_Expenses!$C$5:$C$2979,MATCH(A643,Raw_Expenses!$A$5:$A$2979,0)),0)</f>
        <v>9.96</v>
      </c>
      <c r="N643" s="41" t="n">
        <f aca="false">L643+M643</f>
        <v>71.96</v>
      </c>
      <c r="O643" s="41" t="n">
        <f aca="false">K643-N643</f>
        <v>39.35</v>
      </c>
      <c r="P643" s="43" t="n">
        <f aca="false">IF(K643=0,0,O643/K643)</f>
        <v>0.353517204204474</v>
      </c>
    </row>
    <row r="644" customFormat="false" ht="15" hidden="false" customHeight="false" outlineLevel="0" collapsed="false">
      <c r="A644" s="39" t="s">
        <v>766</v>
      </c>
      <c r="B644" s="40" t="n">
        <v>45752</v>
      </c>
      <c r="C644" s="39" t="s">
        <v>112</v>
      </c>
      <c r="D644" s="39" t="n">
        <v>4</v>
      </c>
      <c r="E644" s="41" t="n">
        <v>54.01</v>
      </c>
      <c r="F644" s="39" t="s">
        <v>115</v>
      </c>
      <c r="G644" s="39" t="str">
        <f aca="false">VLOOKUP(C644,Products!$A$5:$D$24,2,FALSE())</f>
        <v>HD Webcam</v>
      </c>
      <c r="H644" s="39" t="str">
        <f aca="false">VLOOKUP(C644,Products!$A$5:$D$24,3,FALSE())</f>
        <v>Electronics</v>
      </c>
      <c r="I644" s="41" t="n">
        <f aca="false">VLOOKUP(C644,Products!$A$5:$D$24,4,FALSE())</f>
        <v>22</v>
      </c>
      <c r="J644" s="42" t="n">
        <f aca="false">DATE(YEAR(B644),MONTH(B644),1)</f>
        <v>45748</v>
      </c>
      <c r="K644" s="41" t="n">
        <f aca="false">D644*E644</f>
        <v>216.04</v>
      </c>
      <c r="L644" s="41" t="n">
        <f aca="false">D644*I644</f>
        <v>88</v>
      </c>
      <c r="M644" s="41" t="n">
        <f aca="false">IFERROR(INDEX(Raw_Expenses!$C$5:$C$2979,MATCH(A644,Raw_Expenses!$A$5:$A$2979,0)),0)</f>
        <v>8.71</v>
      </c>
      <c r="N644" s="41" t="n">
        <f aca="false">L644+M644</f>
        <v>96.71</v>
      </c>
      <c r="O644" s="41" t="n">
        <f aca="false">K644-N644</f>
        <v>119.33</v>
      </c>
      <c r="P644" s="43" t="n">
        <f aca="false">IF(K644=0,0,O644/K644)</f>
        <v>0.55235141640437</v>
      </c>
    </row>
    <row r="645" customFormat="false" ht="15" hidden="false" customHeight="false" outlineLevel="0" collapsed="false">
      <c r="A645" s="39" t="s">
        <v>767</v>
      </c>
      <c r="B645" s="40" t="n">
        <v>45753</v>
      </c>
      <c r="C645" s="39" t="s">
        <v>121</v>
      </c>
      <c r="D645" s="39" t="n">
        <v>1</v>
      </c>
      <c r="E645" s="41" t="n">
        <v>109.72</v>
      </c>
      <c r="F645" s="39" t="s">
        <v>108</v>
      </c>
      <c r="G645" s="39" t="str">
        <f aca="false">VLOOKUP(C645,Products!$A$5:$D$24,2,FALSE())</f>
        <v>External SSD 1TB</v>
      </c>
      <c r="H645" s="39" t="str">
        <f aca="false">VLOOKUP(C645,Products!$A$5:$D$24,3,FALSE())</f>
        <v>Electronics</v>
      </c>
      <c r="I645" s="41" t="n">
        <f aca="false">VLOOKUP(C645,Products!$A$5:$D$24,4,FALSE())</f>
        <v>62</v>
      </c>
      <c r="J645" s="42" t="n">
        <f aca="false">DATE(YEAR(B645),MONTH(B645),1)</f>
        <v>45748</v>
      </c>
      <c r="K645" s="41" t="n">
        <f aca="false">D645*E645</f>
        <v>109.72</v>
      </c>
      <c r="L645" s="41" t="n">
        <f aca="false">D645*I645</f>
        <v>62</v>
      </c>
      <c r="M645" s="41" t="n">
        <f aca="false">IFERROR(INDEX(Raw_Expenses!$C$5:$C$2979,MATCH(A645,Raw_Expenses!$A$5:$A$2979,0)),0)</f>
        <v>7.42</v>
      </c>
      <c r="N645" s="41" t="n">
        <f aca="false">L645+M645</f>
        <v>69.42</v>
      </c>
      <c r="O645" s="41" t="n">
        <f aca="false">K645-N645</f>
        <v>40.3</v>
      </c>
      <c r="P645" s="43" t="n">
        <f aca="false">IF(K645=0,0,O645/K645)</f>
        <v>0.367298578199052</v>
      </c>
    </row>
    <row r="646" customFormat="false" ht="15" hidden="false" customHeight="false" outlineLevel="0" collapsed="false">
      <c r="A646" s="39" t="s">
        <v>768</v>
      </c>
      <c r="B646" s="40" t="n">
        <v>45753</v>
      </c>
      <c r="C646" s="39" t="s">
        <v>114</v>
      </c>
      <c r="D646" s="39" t="n">
        <v>3</v>
      </c>
      <c r="E646" s="41" t="n">
        <v>5.87</v>
      </c>
      <c r="F646" s="39" t="s">
        <v>118</v>
      </c>
      <c r="G646" s="39" t="str">
        <f aca="false">VLOOKUP(C646,Products!$A$5:$D$24,2,FALSE())</f>
        <v>Gel Pen Pack</v>
      </c>
      <c r="H646" s="39" t="str">
        <f aca="false">VLOOKUP(C646,Products!$A$5:$D$24,3,FALSE())</f>
        <v>Stationery</v>
      </c>
      <c r="I646" s="41" t="n">
        <f aca="false">VLOOKUP(C646,Products!$A$5:$D$24,4,FALSE())</f>
        <v>2</v>
      </c>
      <c r="J646" s="42" t="n">
        <f aca="false">DATE(YEAR(B646),MONTH(B646),1)</f>
        <v>45748</v>
      </c>
      <c r="K646" s="41" t="n">
        <f aca="false">D646*E646</f>
        <v>17.61</v>
      </c>
      <c r="L646" s="41" t="n">
        <f aca="false">D646*I646</f>
        <v>6</v>
      </c>
      <c r="M646" s="41" t="n">
        <f aca="false">IFERROR(INDEX(Raw_Expenses!$C$5:$C$2979,MATCH(A646,Raw_Expenses!$A$5:$A$2979,0)),0)</f>
        <v>0.95</v>
      </c>
      <c r="N646" s="41" t="n">
        <f aca="false">L646+M646</f>
        <v>6.95</v>
      </c>
      <c r="O646" s="41" t="n">
        <f aca="false">K646-N646</f>
        <v>10.66</v>
      </c>
      <c r="P646" s="43" t="n">
        <f aca="false">IF(K646=0,0,O646/K646)</f>
        <v>0.605337876206701</v>
      </c>
    </row>
    <row r="647" customFormat="false" ht="15" hidden="false" customHeight="false" outlineLevel="0" collapsed="false">
      <c r="A647" s="39" t="s">
        <v>769</v>
      </c>
      <c r="B647" s="40" t="n">
        <v>45753</v>
      </c>
      <c r="C647" s="39" t="s">
        <v>104</v>
      </c>
      <c r="D647" s="39" t="n">
        <v>8</v>
      </c>
      <c r="E647" s="41" t="n">
        <v>15.91</v>
      </c>
      <c r="F647" s="39" t="s">
        <v>108</v>
      </c>
      <c r="G647" s="39" t="str">
        <f aca="false">VLOOKUP(C647,Products!$A$5:$D$24,2,FALSE())</f>
        <v>Water Bottle</v>
      </c>
      <c r="H647" s="39" t="str">
        <f aca="false">VLOOKUP(C647,Products!$A$5:$D$24,3,FALSE())</f>
        <v>Accessories</v>
      </c>
      <c r="I647" s="41" t="n">
        <f aca="false">VLOOKUP(C647,Products!$A$5:$D$24,4,FALSE())</f>
        <v>5</v>
      </c>
      <c r="J647" s="42" t="n">
        <f aca="false">DATE(YEAR(B647),MONTH(B647),1)</f>
        <v>45748</v>
      </c>
      <c r="K647" s="41" t="n">
        <f aca="false">D647*E647</f>
        <v>127.28</v>
      </c>
      <c r="L647" s="41" t="n">
        <f aca="false">D647*I647</f>
        <v>40</v>
      </c>
      <c r="M647" s="41" t="n">
        <f aca="false">IFERROR(INDEX(Raw_Expenses!$C$5:$C$2979,MATCH(A647,Raw_Expenses!$A$5:$A$2979,0)),0)</f>
        <v>7.66</v>
      </c>
      <c r="N647" s="41" t="n">
        <f aca="false">L647+M647</f>
        <v>47.66</v>
      </c>
      <c r="O647" s="41" t="n">
        <f aca="false">K647-N647</f>
        <v>79.62</v>
      </c>
      <c r="P647" s="43" t="n">
        <f aca="false">IF(K647=0,0,O647/K647)</f>
        <v>0.625549968573224</v>
      </c>
    </row>
    <row r="648" customFormat="false" ht="15" hidden="false" customHeight="false" outlineLevel="0" collapsed="false">
      <c r="A648" s="39" t="s">
        <v>770</v>
      </c>
      <c r="B648" s="40" t="n">
        <v>45753</v>
      </c>
      <c r="C648" s="39" t="s">
        <v>107</v>
      </c>
      <c r="D648" s="39" t="n">
        <v>2</v>
      </c>
      <c r="E648" s="41" t="n">
        <v>33.06</v>
      </c>
      <c r="F648" s="39" t="s">
        <v>118</v>
      </c>
      <c r="G648" s="39" t="str">
        <f aca="false">VLOOKUP(C648,Products!$A$5:$D$24,2,FALSE())</f>
        <v>USB-C Hub</v>
      </c>
      <c r="H648" s="39" t="str">
        <f aca="false">VLOOKUP(C648,Products!$A$5:$D$24,3,FALSE())</f>
        <v>Electronics</v>
      </c>
      <c r="I648" s="41" t="n">
        <f aca="false">VLOOKUP(C648,Products!$A$5:$D$24,4,FALSE())</f>
        <v>14</v>
      </c>
      <c r="J648" s="42" t="n">
        <f aca="false">DATE(YEAR(B648),MONTH(B648),1)</f>
        <v>45748</v>
      </c>
      <c r="K648" s="41" t="n">
        <f aca="false">D648*E648</f>
        <v>66.12</v>
      </c>
      <c r="L648" s="41" t="n">
        <f aca="false">D648*I648</f>
        <v>28</v>
      </c>
      <c r="M648" s="41" t="n">
        <f aca="false">IFERROR(INDEX(Raw_Expenses!$C$5:$C$2979,MATCH(A648,Raw_Expenses!$A$5:$A$2979,0)),0)</f>
        <v>3.12</v>
      </c>
      <c r="N648" s="41" t="n">
        <f aca="false">L648+M648</f>
        <v>31.12</v>
      </c>
      <c r="O648" s="41" t="n">
        <f aca="false">K648-N648</f>
        <v>35</v>
      </c>
      <c r="P648" s="43" t="n">
        <f aca="false">IF(K648=0,0,O648/K648)</f>
        <v>0.529340592861464</v>
      </c>
    </row>
    <row r="649" customFormat="false" ht="15" hidden="false" customHeight="false" outlineLevel="0" collapsed="false">
      <c r="A649" s="39" t="s">
        <v>771</v>
      </c>
      <c r="B649" s="40" t="n">
        <v>45753</v>
      </c>
      <c r="C649" s="39" t="s">
        <v>128</v>
      </c>
      <c r="D649" s="39" t="n">
        <v>2</v>
      </c>
      <c r="E649" s="41" t="n">
        <v>38.19</v>
      </c>
      <c r="F649" s="39" t="s">
        <v>115</v>
      </c>
      <c r="G649" s="39" t="str">
        <f aca="false">VLOOKUP(C649,Products!$A$5:$D$24,2,FALSE())</f>
        <v>Ergonomic Footrest</v>
      </c>
      <c r="H649" s="39" t="str">
        <f aca="false">VLOOKUP(C649,Products!$A$5:$D$24,3,FALSE())</f>
        <v>Furniture</v>
      </c>
      <c r="I649" s="41" t="n">
        <f aca="false">VLOOKUP(C649,Products!$A$5:$D$24,4,FALSE())</f>
        <v>15</v>
      </c>
      <c r="J649" s="42" t="n">
        <f aca="false">DATE(YEAR(B649),MONTH(B649),1)</f>
        <v>45748</v>
      </c>
      <c r="K649" s="41" t="n">
        <f aca="false">D649*E649</f>
        <v>76.38</v>
      </c>
      <c r="L649" s="41" t="n">
        <f aca="false">D649*I649</f>
        <v>30</v>
      </c>
      <c r="M649" s="41" t="n">
        <f aca="false">IFERROR(INDEX(Raw_Expenses!$C$5:$C$2979,MATCH(A649,Raw_Expenses!$A$5:$A$2979,0)),0)</f>
        <v>4.35</v>
      </c>
      <c r="N649" s="41" t="n">
        <f aca="false">L649+M649</f>
        <v>34.35</v>
      </c>
      <c r="O649" s="41" t="n">
        <f aca="false">K649-N649</f>
        <v>42.03</v>
      </c>
      <c r="P649" s="43" t="n">
        <f aca="false">IF(K649=0,0,O649/K649)</f>
        <v>0.550274941084053</v>
      </c>
    </row>
    <row r="650" customFormat="false" ht="15" hidden="false" customHeight="false" outlineLevel="0" collapsed="false">
      <c r="A650" s="39" t="s">
        <v>772</v>
      </c>
      <c r="B650" s="40" t="n">
        <v>45753</v>
      </c>
      <c r="C650" s="39" t="s">
        <v>136</v>
      </c>
      <c r="D650" s="39" t="n">
        <v>2</v>
      </c>
      <c r="E650" s="41" t="n">
        <v>77.83</v>
      </c>
      <c r="F650" s="39" t="s">
        <v>115</v>
      </c>
      <c r="G650" s="39" t="str">
        <f aca="false">VLOOKUP(C650,Products!$A$5:$D$24,2,FALSE())</f>
        <v>Mechanical Keyboard</v>
      </c>
      <c r="H650" s="39" t="str">
        <f aca="false">VLOOKUP(C650,Products!$A$5:$D$24,3,FALSE())</f>
        <v>Electronics</v>
      </c>
      <c r="I650" s="41" t="n">
        <f aca="false">VLOOKUP(C650,Products!$A$5:$D$24,4,FALSE())</f>
        <v>38</v>
      </c>
      <c r="J650" s="42" t="n">
        <f aca="false">DATE(YEAR(B650),MONTH(B650),1)</f>
        <v>45748</v>
      </c>
      <c r="K650" s="41" t="n">
        <f aca="false">D650*E650</f>
        <v>155.66</v>
      </c>
      <c r="L650" s="41" t="n">
        <f aca="false">D650*I650</f>
        <v>76</v>
      </c>
      <c r="M650" s="41" t="n">
        <f aca="false">IFERROR(INDEX(Raw_Expenses!$C$5:$C$2979,MATCH(A650,Raw_Expenses!$A$5:$A$2979,0)),0)</f>
        <v>13.39</v>
      </c>
      <c r="N650" s="41" t="n">
        <f aca="false">L650+M650</f>
        <v>89.39</v>
      </c>
      <c r="O650" s="41" t="n">
        <f aca="false">K650-N650</f>
        <v>66.27</v>
      </c>
      <c r="P650" s="43" t="n">
        <f aca="false">IF(K650=0,0,O650/K650)</f>
        <v>0.425735577540794</v>
      </c>
    </row>
    <row r="651" customFormat="false" ht="15" hidden="false" customHeight="false" outlineLevel="0" collapsed="false">
      <c r="A651" s="39" t="s">
        <v>773</v>
      </c>
      <c r="B651" s="40" t="n">
        <v>45753</v>
      </c>
      <c r="C651" s="39" t="s">
        <v>126</v>
      </c>
      <c r="D651" s="39" t="n">
        <v>2</v>
      </c>
      <c r="E651" s="41" t="n">
        <v>24.14</v>
      </c>
      <c r="F651" s="39" t="s">
        <v>115</v>
      </c>
      <c r="G651" s="39" t="str">
        <f aca="false">VLOOKUP(C651,Products!$A$5:$D$24,2,FALSE())</f>
        <v>Wireless Mouse</v>
      </c>
      <c r="H651" s="39" t="str">
        <f aca="false">VLOOKUP(C651,Products!$A$5:$D$24,3,FALSE())</f>
        <v>Electronics</v>
      </c>
      <c r="I651" s="41" t="n">
        <f aca="false">VLOOKUP(C651,Products!$A$5:$D$24,4,FALSE())</f>
        <v>12</v>
      </c>
      <c r="J651" s="42" t="n">
        <f aca="false">DATE(YEAR(B651),MONTH(B651),1)</f>
        <v>45748</v>
      </c>
      <c r="K651" s="41" t="n">
        <f aca="false">D651*E651</f>
        <v>48.28</v>
      </c>
      <c r="L651" s="41" t="n">
        <f aca="false">D651*I651</f>
        <v>24</v>
      </c>
      <c r="M651" s="41" t="n">
        <f aca="false">IFERROR(INDEX(Raw_Expenses!$C$5:$C$2979,MATCH(A651,Raw_Expenses!$A$5:$A$2979,0)),0)</f>
        <v>3.44</v>
      </c>
      <c r="N651" s="41" t="n">
        <f aca="false">L651+M651</f>
        <v>27.44</v>
      </c>
      <c r="O651" s="41" t="n">
        <f aca="false">K651-N651</f>
        <v>20.84</v>
      </c>
      <c r="P651" s="43" t="n">
        <f aca="false">IF(K651=0,0,O651/K651)</f>
        <v>0.431648715824358</v>
      </c>
    </row>
    <row r="652" customFormat="false" ht="15" hidden="false" customHeight="false" outlineLevel="0" collapsed="false">
      <c r="A652" s="39" t="s">
        <v>774</v>
      </c>
      <c r="B652" s="40" t="n">
        <v>45753</v>
      </c>
      <c r="C652" s="39" t="s">
        <v>128</v>
      </c>
      <c r="D652" s="39" t="n">
        <v>3</v>
      </c>
      <c r="E652" s="41" t="n">
        <v>36.25</v>
      </c>
      <c r="F652" s="39" t="s">
        <v>108</v>
      </c>
      <c r="G652" s="39" t="str">
        <f aca="false">VLOOKUP(C652,Products!$A$5:$D$24,2,FALSE())</f>
        <v>Ergonomic Footrest</v>
      </c>
      <c r="H652" s="39" t="str">
        <f aca="false">VLOOKUP(C652,Products!$A$5:$D$24,3,FALSE())</f>
        <v>Furniture</v>
      </c>
      <c r="I652" s="41" t="n">
        <f aca="false">VLOOKUP(C652,Products!$A$5:$D$24,4,FALSE())</f>
        <v>15</v>
      </c>
      <c r="J652" s="42" t="n">
        <f aca="false">DATE(YEAR(B652),MONTH(B652),1)</f>
        <v>45748</v>
      </c>
      <c r="K652" s="41" t="n">
        <f aca="false">D652*E652</f>
        <v>108.75</v>
      </c>
      <c r="L652" s="41" t="n">
        <f aca="false">D652*I652</f>
        <v>45</v>
      </c>
      <c r="M652" s="41" t="n">
        <f aca="false">IFERROR(INDEX(Raw_Expenses!$C$5:$C$2979,MATCH(A652,Raw_Expenses!$A$5:$A$2979,0)),0)</f>
        <v>5.44</v>
      </c>
      <c r="N652" s="41" t="n">
        <f aca="false">L652+M652</f>
        <v>50.44</v>
      </c>
      <c r="O652" s="41" t="n">
        <f aca="false">K652-N652</f>
        <v>58.31</v>
      </c>
      <c r="P652" s="43" t="n">
        <f aca="false">IF(K652=0,0,O652/K652)</f>
        <v>0.536183908045977</v>
      </c>
    </row>
    <row r="653" customFormat="false" ht="15" hidden="false" customHeight="false" outlineLevel="0" collapsed="false">
      <c r="A653" s="39" t="s">
        <v>775</v>
      </c>
      <c r="B653" s="40" t="n">
        <v>45753</v>
      </c>
      <c r="C653" s="39" t="s">
        <v>126</v>
      </c>
      <c r="D653" s="39" t="n">
        <v>2</v>
      </c>
      <c r="E653" s="41" t="n">
        <v>23.67</v>
      </c>
      <c r="F653" s="39" t="s">
        <v>115</v>
      </c>
      <c r="G653" s="39" t="str">
        <f aca="false">VLOOKUP(C653,Products!$A$5:$D$24,2,FALSE())</f>
        <v>Wireless Mouse</v>
      </c>
      <c r="H653" s="39" t="str">
        <f aca="false">VLOOKUP(C653,Products!$A$5:$D$24,3,FALSE())</f>
        <v>Electronics</v>
      </c>
      <c r="I653" s="41" t="n">
        <f aca="false">VLOOKUP(C653,Products!$A$5:$D$24,4,FALSE())</f>
        <v>12</v>
      </c>
      <c r="J653" s="42" t="n">
        <f aca="false">DATE(YEAR(B653),MONTH(B653),1)</f>
        <v>45748</v>
      </c>
      <c r="K653" s="41" t="n">
        <f aca="false">D653*E653</f>
        <v>47.34</v>
      </c>
      <c r="L653" s="41" t="n">
        <f aca="false">D653*I653</f>
        <v>24</v>
      </c>
      <c r="M653" s="41" t="n">
        <f aca="false">IFERROR(INDEX(Raw_Expenses!$C$5:$C$2979,MATCH(A653,Raw_Expenses!$A$5:$A$2979,0)),0)</f>
        <v>2.58</v>
      </c>
      <c r="N653" s="41" t="n">
        <f aca="false">L653+M653</f>
        <v>26.58</v>
      </c>
      <c r="O653" s="41" t="n">
        <f aca="false">K653-N653</f>
        <v>20.76</v>
      </c>
      <c r="P653" s="43" t="n">
        <f aca="false">IF(K653=0,0,O653/K653)</f>
        <v>0.438529784537389</v>
      </c>
    </row>
    <row r="654" customFormat="false" ht="15" hidden="false" customHeight="false" outlineLevel="0" collapsed="false">
      <c r="A654" s="39" t="s">
        <v>776</v>
      </c>
      <c r="B654" s="40" t="n">
        <v>45753</v>
      </c>
      <c r="C654" s="39" t="s">
        <v>136</v>
      </c>
      <c r="D654" s="39" t="n">
        <v>3</v>
      </c>
      <c r="E654" s="41" t="n">
        <v>77.42</v>
      </c>
      <c r="F654" s="39" t="s">
        <v>105</v>
      </c>
      <c r="G654" s="39" t="str">
        <f aca="false">VLOOKUP(C654,Products!$A$5:$D$24,2,FALSE())</f>
        <v>Mechanical Keyboard</v>
      </c>
      <c r="H654" s="39" t="str">
        <f aca="false">VLOOKUP(C654,Products!$A$5:$D$24,3,FALSE())</f>
        <v>Electronics</v>
      </c>
      <c r="I654" s="41" t="n">
        <f aca="false">VLOOKUP(C654,Products!$A$5:$D$24,4,FALSE())</f>
        <v>38</v>
      </c>
      <c r="J654" s="42" t="n">
        <f aca="false">DATE(YEAR(B654),MONTH(B654),1)</f>
        <v>45748</v>
      </c>
      <c r="K654" s="41" t="n">
        <f aca="false">D654*E654</f>
        <v>232.26</v>
      </c>
      <c r="L654" s="41" t="n">
        <f aca="false">D654*I654</f>
        <v>114</v>
      </c>
      <c r="M654" s="41" t="n">
        <f aca="false">IFERROR(INDEX(Raw_Expenses!$C$5:$C$2979,MATCH(A654,Raw_Expenses!$A$5:$A$2979,0)),0)</f>
        <v>14.4</v>
      </c>
      <c r="N654" s="41" t="n">
        <f aca="false">L654+M654</f>
        <v>128.4</v>
      </c>
      <c r="O654" s="41" t="n">
        <f aca="false">K654-N654</f>
        <v>103.86</v>
      </c>
      <c r="P654" s="43" t="n">
        <f aca="false">IF(K654=0,0,O654/K654)</f>
        <v>0.44717127357272</v>
      </c>
    </row>
    <row r="655" customFormat="false" ht="15" hidden="false" customHeight="false" outlineLevel="0" collapsed="false">
      <c r="A655" s="39" t="s">
        <v>777</v>
      </c>
      <c r="B655" s="40" t="n">
        <v>45753</v>
      </c>
      <c r="C655" s="39" t="s">
        <v>136</v>
      </c>
      <c r="D655" s="39" t="n">
        <v>3</v>
      </c>
      <c r="E655" s="41" t="n">
        <v>78.61</v>
      </c>
      <c r="F655" s="39" t="s">
        <v>115</v>
      </c>
      <c r="G655" s="39" t="str">
        <f aca="false">VLOOKUP(C655,Products!$A$5:$D$24,2,FALSE())</f>
        <v>Mechanical Keyboard</v>
      </c>
      <c r="H655" s="39" t="str">
        <f aca="false">VLOOKUP(C655,Products!$A$5:$D$24,3,FALSE())</f>
        <v>Electronics</v>
      </c>
      <c r="I655" s="41" t="n">
        <f aca="false">VLOOKUP(C655,Products!$A$5:$D$24,4,FALSE())</f>
        <v>38</v>
      </c>
      <c r="J655" s="42" t="n">
        <f aca="false">DATE(YEAR(B655),MONTH(B655),1)</f>
        <v>45748</v>
      </c>
      <c r="K655" s="41" t="n">
        <f aca="false">D655*E655</f>
        <v>235.83</v>
      </c>
      <c r="L655" s="41" t="n">
        <f aca="false">D655*I655</f>
        <v>114</v>
      </c>
      <c r="M655" s="41" t="n">
        <f aca="false">IFERROR(INDEX(Raw_Expenses!$C$5:$C$2979,MATCH(A655,Raw_Expenses!$A$5:$A$2979,0)),0)</f>
        <v>19.1</v>
      </c>
      <c r="N655" s="41" t="n">
        <f aca="false">L655+M655</f>
        <v>133.1</v>
      </c>
      <c r="O655" s="41" t="n">
        <f aca="false">K655-N655</f>
        <v>102.73</v>
      </c>
      <c r="P655" s="43" t="n">
        <f aca="false">IF(K655=0,0,O655/K655)</f>
        <v>0.435610397320103</v>
      </c>
    </row>
    <row r="656" customFormat="false" ht="15" hidden="false" customHeight="false" outlineLevel="0" collapsed="false">
      <c r="A656" s="39" t="s">
        <v>778</v>
      </c>
      <c r="B656" s="40" t="n">
        <v>45753</v>
      </c>
      <c r="C656" s="39" t="s">
        <v>130</v>
      </c>
      <c r="D656" s="39" t="n">
        <v>1</v>
      </c>
      <c r="E656" s="41" t="n">
        <v>8.63</v>
      </c>
      <c r="F656" s="39" t="s">
        <v>108</v>
      </c>
      <c r="G656" s="39" t="str">
        <f aca="false">VLOOKUP(C656,Products!$A$5:$D$24,2,FALSE())</f>
        <v>Notebook Set</v>
      </c>
      <c r="H656" s="39" t="str">
        <f aca="false">VLOOKUP(C656,Products!$A$5:$D$24,3,FALSE())</f>
        <v>Stationery</v>
      </c>
      <c r="I656" s="41" t="n">
        <f aca="false">VLOOKUP(C656,Products!$A$5:$D$24,4,FALSE())</f>
        <v>3</v>
      </c>
      <c r="J656" s="42" t="n">
        <f aca="false">DATE(YEAR(B656),MONTH(B656),1)</f>
        <v>45748</v>
      </c>
      <c r="K656" s="41" t="n">
        <f aca="false">D656*E656</f>
        <v>8.63</v>
      </c>
      <c r="L656" s="41" t="n">
        <f aca="false">D656*I656</f>
        <v>3</v>
      </c>
      <c r="M656" s="41" t="n">
        <f aca="false">IFERROR(INDEX(Raw_Expenses!$C$5:$C$2979,MATCH(A656,Raw_Expenses!$A$5:$A$2979,0)),0)</f>
        <v>0.48</v>
      </c>
      <c r="N656" s="41" t="n">
        <f aca="false">L656+M656</f>
        <v>3.48</v>
      </c>
      <c r="O656" s="41" t="n">
        <f aca="false">K656-N656</f>
        <v>5.15</v>
      </c>
      <c r="P656" s="43" t="n">
        <f aca="false">IF(K656=0,0,O656/K656)</f>
        <v>0.59675550405562</v>
      </c>
    </row>
    <row r="657" customFormat="false" ht="15" hidden="false" customHeight="false" outlineLevel="0" collapsed="false">
      <c r="A657" s="39" t="s">
        <v>779</v>
      </c>
      <c r="B657" s="40" t="n">
        <v>45754</v>
      </c>
      <c r="C657" s="39" t="s">
        <v>133</v>
      </c>
      <c r="D657" s="39" t="n">
        <v>5</v>
      </c>
      <c r="E657" s="41" t="n">
        <v>8.37</v>
      </c>
      <c r="F657" s="39" t="s">
        <v>108</v>
      </c>
      <c r="G657" s="39" t="str">
        <f aca="false">VLOOKUP(C657,Products!$A$5:$D$24,2,FALSE())</f>
        <v>Printer Paper Ream</v>
      </c>
      <c r="H657" s="39" t="str">
        <f aca="false">VLOOKUP(C657,Products!$A$5:$D$24,3,FALSE())</f>
        <v>Stationery</v>
      </c>
      <c r="I657" s="41" t="n">
        <f aca="false">VLOOKUP(C657,Products!$A$5:$D$24,4,FALSE())</f>
        <v>4</v>
      </c>
      <c r="J657" s="42" t="n">
        <f aca="false">DATE(YEAR(B657),MONTH(B657),1)</f>
        <v>45748</v>
      </c>
      <c r="K657" s="41" t="n">
        <f aca="false">D657*E657</f>
        <v>41.85</v>
      </c>
      <c r="L657" s="41" t="n">
        <f aca="false">D657*I657</f>
        <v>20</v>
      </c>
      <c r="M657" s="41" t="n">
        <f aca="false">IFERROR(INDEX(Raw_Expenses!$C$5:$C$2979,MATCH(A657,Raw_Expenses!$A$5:$A$2979,0)),0)</f>
        <v>2.14</v>
      </c>
      <c r="N657" s="41" t="n">
        <f aca="false">L657+M657</f>
        <v>22.14</v>
      </c>
      <c r="O657" s="41" t="n">
        <f aca="false">K657-N657</f>
        <v>19.71</v>
      </c>
      <c r="P657" s="43" t="n">
        <f aca="false">IF(K657=0,0,O657/K657)</f>
        <v>0.470967741935484</v>
      </c>
    </row>
    <row r="658" customFormat="false" ht="15" hidden="false" customHeight="false" outlineLevel="0" collapsed="false">
      <c r="A658" s="39" t="s">
        <v>780</v>
      </c>
      <c r="B658" s="40" t="n">
        <v>45754</v>
      </c>
      <c r="C658" s="39" t="s">
        <v>130</v>
      </c>
      <c r="D658" s="39" t="n">
        <v>4</v>
      </c>
      <c r="E658" s="41" t="n">
        <v>8.83</v>
      </c>
      <c r="F658" s="39" t="s">
        <v>115</v>
      </c>
      <c r="G658" s="39" t="str">
        <f aca="false">VLOOKUP(C658,Products!$A$5:$D$24,2,FALSE())</f>
        <v>Notebook Set</v>
      </c>
      <c r="H658" s="39" t="str">
        <f aca="false">VLOOKUP(C658,Products!$A$5:$D$24,3,FALSE())</f>
        <v>Stationery</v>
      </c>
      <c r="I658" s="41" t="n">
        <f aca="false">VLOOKUP(C658,Products!$A$5:$D$24,4,FALSE())</f>
        <v>3</v>
      </c>
      <c r="J658" s="42" t="n">
        <f aca="false">DATE(YEAR(B658),MONTH(B658),1)</f>
        <v>45748</v>
      </c>
      <c r="K658" s="41" t="n">
        <f aca="false">D658*E658</f>
        <v>35.32</v>
      </c>
      <c r="L658" s="41" t="n">
        <f aca="false">D658*I658</f>
        <v>12</v>
      </c>
      <c r="M658" s="41" t="n">
        <f aca="false">IFERROR(INDEX(Raw_Expenses!$C$5:$C$2979,MATCH(A658,Raw_Expenses!$A$5:$A$2979,0)),0)</f>
        <v>1.62</v>
      </c>
      <c r="N658" s="41" t="n">
        <f aca="false">L658+M658</f>
        <v>13.62</v>
      </c>
      <c r="O658" s="41" t="n">
        <f aca="false">K658-N658</f>
        <v>21.7</v>
      </c>
      <c r="P658" s="43" t="n">
        <f aca="false">IF(K658=0,0,O658/K658)</f>
        <v>0.614382785956965</v>
      </c>
    </row>
    <row r="659" customFormat="false" ht="15" hidden="false" customHeight="false" outlineLevel="0" collapsed="false">
      <c r="A659" s="39" t="s">
        <v>781</v>
      </c>
      <c r="B659" s="40" t="n">
        <v>45754</v>
      </c>
      <c r="C659" s="39" t="s">
        <v>114</v>
      </c>
      <c r="D659" s="39" t="n">
        <v>3</v>
      </c>
      <c r="E659" s="41" t="n">
        <v>5.63</v>
      </c>
      <c r="F659" s="39" t="s">
        <v>105</v>
      </c>
      <c r="G659" s="39" t="str">
        <f aca="false">VLOOKUP(C659,Products!$A$5:$D$24,2,FALSE())</f>
        <v>Gel Pen Pack</v>
      </c>
      <c r="H659" s="39" t="str">
        <f aca="false">VLOOKUP(C659,Products!$A$5:$D$24,3,FALSE())</f>
        <v>Stationery</v>
      </c>
      <c r="I659" s="41" t="n">
        <f aca="false">VLOOKUP(C659,Products!$A$5:$D$24,4,FALSE())</f>
        <v>2</v>
      </c>
      <c r="J659" s="42" t="n">
        <f aca="false">DATE(YEAR(B659),MONTH(B659),1)</f>
        <v>45748</v>
      </c>
      <c r="K659" s="41" t="n">
        <f aca="false">D659*E659</f>
        <v>16.89</v>
      </c>
      <c r="L659" s="41" t="n">
        <f aca="false">D659*I659</f>
        <v>6</v>
      </c>
      <c r="M659" s="41" t="n">
        <f aca="false">IFERROR(INDEX(Raw_Expenses!$C$5:$C$2979,MATCH(A659,Raw_Expenses!$A$5:$A$2979,0)),0)</f>
        <v>0</v>
      </c>
      <c r="N659" s="41" t="n">
        <f aca="false">L659+M659</f>
        <v>6</v>
      </c>
      <c r="O659" s="41" t="n">
        <f aca="false">K659-N659</f>
        <v>10.89</v>
      </c>
      <c r="P659" s="43" t="n">
        <f aca="false">IF(K659=0,0,O659/K659)</f>
        <v>0.644760213143872</v>
      </c>
    </row>
    <row r="660" customFormat="false" ht="15" hidden="false" customHeight="false" outlineLevel="0" collapsed="false">
      <c r="A660" s="39" t="s">
        <v>782</v>
      </c>
      <c r="B660" s="40" t="n">
        <v>45754</v>
      </c>
      <c r="C660" s="39" t="s">
        <v>107</v>
      </c>
      <c r="D660" s="39" t="n">
        <v>2</v>
      </c>
      <c r="E660" s="41" t="n">
        <v>32.22</v>
      </c>
      <c r="F660" s="39" t="s">
        <v>108</v>
      </c>
      <c r="G660" s="39" t="str">
        <f aca="false">VLOOKUP(C660,Products!$A$5:$D$24,2,FALSE())</f>
        <v>USB-C Hub</v>
      </c>
      <c r="H660" s="39" t="str">
        <f aca="false">VLOOKUP(C660,Products!$A$5:$D$24,3,FALSE())</f>
        <v>Electronics</v>
      </c>
      <c r="I660" s="41" t="n">
        <f aca="false">VLOOKUP(C660,Products!$A$5:$D$24,4,FALSE())</f>
        <v>14</v>
      </c>
      <c r="J660" s="42" t="n">
        <f aca="false">DATE(YEAR(B660),MONTH(B660),1)</f>
        <v>45748</v>
      </c>
      <c r="K660" s="41" t="n">
        <f aca="false">D660*E660</f>
        <v>64.44</v>
      </c>
      <c r="L660" s="41" t="n">
        <f aca="false">D660*I660</f>
        <v>28</v>
      </c>
      <c r="M660" s="41" t="n">
        <f aca="false">IFERROR(INDEX(Raw_Expenses!$C$5:$C$2979,MATCH(A660,Raw_Expenses!$A$5:$A$2979,0)),0)</f>
        <v>4.24</v>
      </c>
      <c r="N660" s="41" t="n">
        <f aca="false">L660+M660</f>
        <v>32.24</v>
      </c>
      <c r="O660" s="41" t="n">
        <f aca="false">K660-N660</f>
        <v>32.2</v>
      </c>
      <c r="P660" s="43" t="n">
        <f aca="false">IF(K660=0,0,O660/K660)</f>
        <v>0.499689633767846</v>
      </c>
    </row>
    <row r="661" customFormat="false" ht="15" hidden="false" customHeight="false" outlineLevel="0" collapsed="false">
      <c r="A661" s="39" t="s">
        <v>783</v>
      </c>
      <c r="B661" s="40" t="n">
        <v>45754</v>
      </c>
      <c r="C661" s="39" t="s">
        <v>126</v>
      </c>
      <c r="D661" s="39" t="n">
        <v>2</v>
      </c>
      <c r="E661" s="41" t="n">
        <v>23.52</v>
      </c>
      <c r="F661" s="39" t="s">
        <v>118</v>
      </c>
      <c r="G661" s="39" t="str">
        <f aca="false">VLOOKUP(C661,Products!$A$5:$D$24,2,FALSE())</f>
        <v>Wireless Mouse</v>
      </c>
      <c r="H661" s="39" t="str">
        <f aca="false">VLOOKUP(C661,Products!$A$5:$D$24,3,FALSE())</f>
        <v>Electronics</v>
      </c>
      <c r="I661" s="41" t="n">
        <f aca="false">VLOOKUP(C661,Products!$A$5:$D$24,4,FALSE())</f>
        <v>12</v>
      </c>
      <c r="J661" s="42" t="n">
        <f aca="false">DATE(YEAR(B661),MONTH(B661),1)</f>
        <v>45748</v>
      </c>
      <c r="K661" s="41" t="n">
        <f aca="false">D661*E661</f>
        <v>47.04</v>
      </c>
      <c r="L661" s="41" t="n">
        <f aca="false">D661*I661</f>
        <v>24</v>
      </c>
      <c r="M661" s="41" t="n">
        <f aca="false">IFERROR(INDEX(Raw_Expenses!$C$5:$C$2979,MATCH(A661,Raw_Expenses!$A$5:$A$2979,0)),0)</f>
        <v>4.12</v>
      </c>
      <c r="N661" s="41" t="n">
        <f aca="false">L661+M661</f>
        <v>28.12</v>
      </c>
      <c r="O661" s="41" t="n">
        <f aca="false">K661-N661</f>
        <v>18.92</v>
      </c>
      <c r="P661" s="43" t="n">
        <f aca="false">IF(K661=0,0,O661/K661)</f>
        <v>0.402210884353741</v>
      </c>
    </row>
    <row r="662" customFormat="false" ht="15" hidden="false" customHeight="false" outlineLevel="0" collapsed="false">
      <c r="A662" s="39" t="s">
        <v>784</v>
      </c>
      <c r="B662" s="40" t="n">
        <v>45754</v>
      </c>
      <c r="C662" s="39" t="s">
        <v>136</v>
      </c>
      <c r="D662" s="39" t="n">
        <v>2</v>
      </c>
      <c r="E662" s="41" t="n">
        <v>76.42</v>
      </c>
      <c r="F662" s="39" t="s">
        <v>118</v>
      </c>
      <c r="G662" s="39" t="str">
        <f aca="false">VLOOKUP(C662,Products!$A$5:$D$24,2,FALSE())</f>
        <v>Mechanical Keyboard</v>
      </c>
      <c r="H662" s="39" t="str">
        <f aca="false">VLOOKUP(C662,Products!$A$5:$D$24,3,FALSE())</f>
        <v>Electronics</v>
      </c>
      <c r="I662" s="41" t="n">
        <f aca="false">VLOOKUP(C662,Products!$A$5:$D$24,4,FALSE())</f>
        <v>38</v>
      </c>
      <c r="J662" s="42" t="n">
        <f aca="false">DATE(YEAR(B662),MONTH(B662),1)</f>
        <v>45748</v>
      </c>
      <c r="K662" s="41" t="n">
        <f aca="false">D662*E662</f>
        <v>152.84</v>
      </c>
      <c r="L662" s="41" t="n">
        <f aca="false">D662*I662</f>
        <v>76</v>
      </c>
      <c r="M662" s="41" t="n">
        <f aca="false">IFERROR(INDEX(Raw_Expenses!$C$5:$C$2979,MATCH(A662,Raw_Expenses!$A$5:$A$2979,0)),0)</f>
        <v>6.74</v>
      </c>
      <c r="N662" s="41" t="n">
        <f aca="false">L662+M662</f>
        <v>82.74</v>
      </c>
      <c r="O662" s="41" t="n">
        <f aca="false">K662-N662</f>
        <v>70.1</v>
      </c>
      <c r="P662" s="43" t="n">
        <f aca="false">IF(K662=0,0,O662/K662)</f>
        <v>0.45864956817587</v>
      </c>
    </row>
    <row r="663" customFormat="false" ht="15" hidden="false" customHeight="false" outlineLevel="0" collapsed="false">
      <c r="A663" s="39" t="s">
        <v>785</v>
      </c>
      <c r="B663" s="40" t="n">
        <v>45754</v>
      </c>
      <c r="C663" s="39" t="s">
        <v>114</v>
      </c>
      <c r="D663" s="39" t="n">
        <v>4</v>
      </c>
      <c r="E663" s="41" t="n">
        <v>5.81</v>
      </c>
      <c r="F663" s="39" t="s">
        <v>115</v>
      </c>
      <c r="G663" s="39" t="str">
        <f aca="false">VLOOKUP(C663,Products!$A$5:$D$24,2,FALSE())</f>
        <v>Gel Pen Pack</v>
      </c>
      <c r="H663" s="39" t="str">
        <f aca="false">VLOOKUP(C663,Products!$A$5:$D$24,3,FALSE())</f>
        <v>Stationery</v>
      </c>
      <c r="I663" s="41" t="n">
        <f aca="false">VLOOKUP(C663,Products!$A$5:$D$24,4,FALSE())</f>
        <v>2</v>
      </c>
      <c r="J663" s="42" t="n">
        <f aca="false">DATE(YEAR(B663),MONTH(B663),1)</f>
        <v>45748</v>
      </c>
      <c r="K663" s="41" t="n">
        <f aca="false">D663*E663</f>
        <v>23.24</v>
      </c>
      <c r="L663" s="41" t="n">
        <f aca="false">D663*I663</f>
        <v>8</v>
      </c>
      <c r="M663" s="41" t="n">
        <f aca="false">IFERROR(INDEX(Raw_Expenses!$C$5:$C$2979,MATCH(A663,Raw_Expenses!$A$5:$A$2979,0)),0)</f>
        <v>1.3</v>
      </c>
      <c r="N663" s="41" t="n">
        <f aca="false">L663+M663</f>
        <v>9.3</v>
      </c>
      <c r="O663" s="41" t="n">
        <f aca="false">K663-N663</f>
        <v>13.94</v>
      </c>
      <c r="P663" s="43" t="n">
        <f aca="false">IF(K663=0,0,O663/K663)</f>
        <v>0.599827882960413</v>
      </c>
    </row>
    <row r="664" customFormat="false" ht="15" hidden="false" customHeight="false" outlineLevel="0" collapsed="false">
      <c r="A664" s="39" t="s">
        <v>786</v>
      </c>
      <c r="B664" s="40" t="n">
        <v>45754</v>
      </c>
      <c r="C664" s="39" t="s">
        <v>130</v>
      </c>
      <c r="D664" s="39" t="n">
        <v>1</v>
      </c>
      <c r="E664" s="41" t="n">
        <v>8.94</v>
      </c>
      <c r="F664" s="39" t="s">
        <v>118</v>
      </c>
      <c r="G664" s="39" t="str">
        <f aca="false">VLOOKUP(C664,Products!$A$5:$D$24,2,FALSE())</f>
        <v>Notebook Set</v>
      </c>
      <c r="H664" s="39" t="str">
        <f aca="false">VLOOKUP(C664,Products!$A$5:$D$24,3,FALSE())</f>
        <v>Stationery</v>
      </c>
      <c r="I664" s="41" t="n">
        <f aca="false">VLOOKUP(C664,Products!$A$5:$D$24,4,FALSE())</f>
        <v>3</v>
      </c>
      <c r="J664" s="42" t="n">
        <f aca="false">DATE(YEAR(B664),MONTH(B664),1)</f>
        <v>45748</v>
      </c>
      <c r="K664" s="41" t="n">
        <f aca="false">D664*E664</f>
        <v>8.94</v>
      </c>
      <c r="L664" s="41" t="n">
        <f aca="false">D664*I664</f>
        <v>3</v>
      </c>
      <c r="M664" s="41" t="n">
        <f aca="false">IFERROR(INDEX(Raw_Expenses!$C$5:$C$2979,MATCH(A664,Raw_Expenses!$A$5:$A$2979,0)),0)</f>
        <v>0.62</v>
      </c>
      <c r="N664" s="41" t="n">
        <f aca="false">L664+M664</f>
        <v>3.62</v>
      </c>
      <c r="O664" s="41" t="n">
        <f aca="false">K664-N664</f>
        <v>5.32</v>
      </c>
      <c r="P664" s="43" t="n">
        <f aca="false">IF(K664=0,0,O664/K664)</f>
        <v>0.595078299776286</v>
      </c>
    </row>
    <row r="665" customFormat="false" ht="15" hidden="false" customHeight="false" outlineLevel="0" collapsed="false">
      <c r="A665" s="39" t="s">
        <v>787</v>
      </c>
      <c r="B665" s="40" t="n">
        <v>45755</v>
      </c>
      <c r="C665" s="39" t="s">
        <v>114</v>
      </c>
      <c r="D665" s="39" t="n">
        <v>4</v>
      </c>
      <c r="E665" s="41" t="n">
        <v>5.52</v>
      </c>
      <c r="F665" s="39" t="s">
        <v>118</v>
      </c>
      <c r="G665" s="39" t="str">
        <f aca="false">VLOOKUP(C665,Products!$A$5:$D$24,2,FALSE())</f>
        <v>Gel Pen Pack</v>
      </c>
      <c r="H665" s="39" t="str">
        <f aca="false">VLOOKUP(C665,Products!$A$5:$D$24,3,FALSE())</f>
        <v>Stationery</v>
      </c>
      <c r="I665" s="41" t="n">
        <f aca="false">VLOOKUP(C665,Products!$A$5:$D$24,4,FALSE())</f>
        <v>2</v>
      </c>
      <c r="J665" s="42" t="n">
        <f aca="false">DATE(YEAR(B665),MONTH(B665),1)</f>
        <v>45748</v>
      </c>
      <c r="K665" s="41" t="n">
        <f aca="false">D665*E665</f>
        <v>22.08</v>
      </c>
      <c r="L665" s="41" t="n">
        <f aca="false">D665*I665</f>
        <v>8</v>
      </c>
      <c r="M665" s="41" t="n">
        <f aca="false">IFERROR(INDEX(Raw_Expenses!$C$5:$C$2979,MATCH(A665,Raw_Expenses!$A$5:$A$2979,0)),0)</f>
        <v>1.16</v>
      </c>
      <c r="N665" s="41" t="n">
        <f aca="false">L665+M665</f>
        <v>9.16</v>
      </c>
      <c r="O665" s="41" t="n">
        <f aca="false">K665-N665</f>
        <v>12.92</v>
      </c>
      <c r="P665" s="43" t="n">
        <f aca="false">IF(K665=0,0,O665/K665)</f>
        <v>0.585144927536232</v>
      </c>
    </row>
    <row r="666" customFormat="false" ht="15" hidden="false" customHeight="false" outlineLevel="0" collapsed="false">
      <c r="A666" s="39" t="s">
        <v>788</v>
      </c>
      <c r="B666" s="40" t="n">
        <v>45755</v>
      </c>
      <c r="C666" s="39" t="s">
        <v>169</v>
      </c>
      <c r="D666" s="39" t="n">
        <v>2</v>
      </c>
      <c r="E666" s="41" t="n">
        <v>28.46</v>
      </c>
      <c r="F666" s="39" t="s">
        <v>105</v>
      </c>
      <c r="G666" s="39" t="str">
        <f aca="false">VLOOKUP(C666,Products!$A$5:$D$24,2,FALSE())</f>
        <v>Laptop Stand</v>
      </c>
      <c r="H666" s="39" t="str">
        <f aca="false">VLOOKUP(C666,Products!$A$5:$D$24,3,FALSE())</f>
        <v>Accessories</v>
      </c>
      <c r="I666" s="41" t="n">
        <f aca="false">VLOOKUP(C666,Products!$A$5:$D$24,4,FALSE())</f>
        <v>11</v>
      </c>
      <c r="J666" s="42" t="n">
        <f aca="false">DATE(YEAR(B666),MONTH(B666),1)</f>
        <v>45748</v>
      </c>
      <c r="K666" s="41" t="n">
        <f aca="false">D666*E666</f>
        <v>56.92</v>
      </c>
      <c r="L666" s="41" t="n">
        <f aca="false">D666*I666</f>
        <v>22</v>
      </c>
      <c r="M666" s="41" t="n">
        <f aca="false">IFERROR(INDEX(Raw_Expenses!$C$5:$C$2979,MATCH(A666,Raw_Expenses!$A$5:$A$2979,0)),0)</f>
        <v>4.27</v>
      </c>
      <c r="N666" s="41" t="n">
        <f aca="false">L666+M666</f>
        <v>26.27</v>
      </c>
      <c r="O666" s="41" t="n">
        <f aca="false">K666-N666</f>
        <v>30.65</v>
      </c>
      <c r="P666" s="43" t="n">
        <f aca="false">IF(K666=0,0,O666/K666)</f>
        <v>0.538475052705552</v>
      </c>
    </row>
    <row r="667" customFormat="false" ht="15" hidden="false" customHeight="false" outlineLevel="0" collapsed="false">
      <c r="A667" s="39" t="s">
        <v>789</v>
      </c>
      <c r="B667" s="40" t="n">
        <v>45755</v>
      </c>
      <c r="C667" s="39" t="s">
        <v>114</v>
      </c>
      <c r="D667" s="39" t="n">
        <v>3</v>
      </c>
      <c r="E667" s="41" t="n">
        <v>5.63</v>
      </c>
      <c r="F667" s="39" t="s">
        <v>115</v>
      </c>
      <c r="G667" s="39" t="str">
        <f aca="false">VLOOKUP(C667,Products!$A$5:$D$24,2,FALSE())</f>
        <v>Gel Pen Pack</v>
      </c>
      <c r="H667" s="39" t="str">
        <f aca="false">VLOOKUP(C667,Products!$A$5:$D$24,3,FALSE())</f>
        <v>Stationery</v>
      </c>
      <c r="I667" s="41" t="n">
        <f aca="false">VLOOKUP(C667,Products!$A$5:$D$24,4,FALSE())</f>
        <v>2</v>
      </c>
      <c r="J667" s="42" t="n">
        <f aca="false">DATE(YEAR(B667),MONTH(B667),1)</f>
        <v>45748</v>
      </c>
      <c r="K667" s="41" t="n">
        <f aca="false">D667*E667</f>
        <v>16.89</v>
      </c>
      <c r="L667" s="41" t="n">
        <f aca="false">D667*I667</f>
        <v>6</v>
      </c>
      <c r="M667" s="41" t="n">
        <f aca="false">IFERROR(INDEX(Raw_Expenses!$C$5:$C$2979,MATCH(A667,Raw_Expenses!$A$5:$A$2979,0)),0)</f>
        <v>1.34</v>
      </c>
      <c r="N667" s="41" t="n">
        <f aca="false">L667+M667</f>
        <v>7.34</v>
      </c>
      <c r="O667" s="41" t="n">
        <f aca="false">K667-N667</f>
        <v>9.55</v>
      </c>
      <c r="P667" s="43" t="n">
        <f aca="false">IF(K667=0,0,O667/K667)</f>
        <v>0.56542332741267</v>
      </c>
    </row>
    <row r="668" customFormat="false" ht="15" hidden="false" customHeight="false" outlineLevel="0" collapsed="false">
      <c r="A668" s="39" t="s">
        <v>790</v>
      </c>
      <c r="B668" s="40" t="n">
        <v>45755</v>
      </c>
      <c r="C668" s="39" t="s">
        <v>136</v>
      </c>
      <c r="D668" s="39" t="n">
        <v>1</v>
      </c>
      <c r="E668" s="41" t="n">
        <v>74.73</v>
      </c>
      <c r="F668" s="39" t="s">
        <v>115</v>
      </c>
      <c r="G668" s="39" t="str">
        <f aca="false">VLOOKUP(C668,Products!$A$5:$D$24,2,FALSE())</f>
        <v>Mechanical Keyboard</v>
      </c>
      <c r="H668" s="39" t="str">
        <f aca="false">VLOOKUP(C668,Products!$A$5:$D$24,3,FALSE())</f>
        <v>Electronics</v>
      </c>
      <c r="I668" s="41" t="n">
        <f aca="false">VLOOKUP(C668,Products!$A$5:$D$24,4,FALSE())</f>
        <v>38</v>
      </c>
      <c r="J668" s="42" t="n">
        <f aca="false">DATE(YEAR(B668),MONTH(B668),1)</f>
        <v>45748</v>
      </c>
      <c r="K668" s="41" t="n">
        <f aca="false">D668*E668</f>
        <v>74.73</v>
      </c>
      <c r="L668" s="41" t="n">
        <f aca="false">D668*I668</f>
        <v>38</v>
      </c>
      <c r="M668" s="41" t="n">
        <f aca="false">IFERROR(INDEX(Raw_Expenses!$C$5:$C$2979,MATCH(A668,Raw_Expenses!$A$5:$A$2979,0)),0)</f>
        <v>3.47</v>
      </c>
      <c r="N668" s="41" t="n">
        <f aca="false">L668+M668</f>
        <v>41.47</v>
      </c>
      <c r="O668" s="41" t="n">
        <f aca="false">K668-N668</f>
        <v>33.26</v>
      </c>
      <c r="P668" s="43" t="n">
        <f aca="false">IF(K668=0,0,O668/K668)</f>
        <v>0.445068914759802</v>
      </c>
    </row>
    <row r="669" customFormat="false" ht="15" hidden="false" customHeight="false" outlineLevel="0" collapsed="false">
      <c r="A669" s="39" t="s">
        <v>791</v>
      </c>
      <c r="B669" s="40" t="n">
        <v>45755</v>
      </c>
      <c r="C669" s="39" t="s">
        <v>130</v>
      </c>
      <c r="D669" s="39" t="n">
        <v>1</v>
      </c>
      <c r="E669" s="41" t="n">
        <v>8.85</v>
      </c>
      <c r="F669" s="39" t="s">
        <v>108</v>
      </c>
      <c r="G669" s="39" t="str">
        <f aca="false">VLOOKUP(C669,Products!$A$5:$D$24,2,FALSE())</f>
        <v>Notebook Set</v>
      </c>
      <c r="H669" s="39" t="str">
        <f aca="false">VLOOKUP(C669,Products!$A$5:$D$24,3,FALSE())</f>
        <v>Stationery</v>
      </c>
      <c r="I669" s="41" t="n">
        <f aca="false">VLOOKUP(C669,Products!$A$5:$D$24,4,FALSE())</f>
        <v>3</v>
      </c>
      <c r="J669" s="42" t="n">
        <f aca="false">DATE(YEAR(B669),MONTH(B669),1)</f>
        <v>45748</v>
      </c>
      <c r="K669" s="41" t="n">
        <f aca="false">D669*E669</f>
        <v>8.85</v>
      </c>
      <c r="L669" s="41" t="n">
        <f aca="false">D669*I669</f>
        <v>3</v>
      </c>
      <c r="M669" s="41" t="n">
        <f aca="false">IFERROR(INDEX(Raw_Expenses!$C$5:$C$2979,MATCH(A669,Raw_Expenses!$A$5:$A$2979,0)),0)</f>
        <v>0.78</v>
      </c>
      <c r="N669" s="41" t="n">
        <f aca="false">L669+M669</f>
        <v>3.78</v>
      </c>
      <c r="O669" s="41" t="n">
        <f aca="false">K669-N669</f>
        <v>5.07</v>
      </c>
      <c r="P669" s="43" t="n">
        <f aca="false">IF(K669=0,0,O669/K669)</f>
        <v>0.572881355932203</v>
      </c>
    </row>
    <row r="670" customFormat="false" ht="15" hidden="false" customHeight="false" outlineLevel="0" collapsed="false">
      <c r="A670" s="39" t="s">
        <v>792</v>
      </c>
      <c r="B670" s="40" t="n">
        <v>45755</v>
      </c>
      <c r="C670" s="39" t="s">
        <v>133</v>
      </c>
      <c r="D670" s="39" t="n">
        <v>1</v>
      </c>
      <c r="E670" s="41" t="n">
        <v>8.4</v>
      </c>
      <c r="F670" s="39" t="s">
        <v>118</v>
      </c>
      <c r="G670" s="39" t="str">
        <f aca="false">VLOOKUP(C670,Products!$A$5:$D$24,2,FALSE())</f>
        <v>Printer Paper Ream</v>
      </c>
      <c r="H670" s="39" t="str">
        <f aca="false">VLOOKUP(C670,Products!$A$5:$D$24,3,FALSE())</f>
        <v>Stationery</v>
      </c>
      <c r="I670" s="41" t="n">
        <f aca="false">VLOOKUP(C670,Products!$A$5:$D$24,4,FALSE())</f>
        <v>4</v>
      </c>
      <c r="J670" s="42" t="n">
        <f aca="false">DATE(YEAR(B670),MONTH(B670),1)</f>
        <v>45748</v>
      </c>
      <c r="K670" s="41" t="n">
        <f aca="false">D670*E670</f>
        <v>8.4</v>
      </c>
      <c r="L670" s="41" t="n">
        <f aca="false">D670*I670</f>
        <v>4</v>
      </c>
      <c r="M670" s="41" t="n">
        <f aca="false">IFERROR(INDEX(Raw_Expenses!$C$5:$C$2979,MATCH(A670,Raw_Expenses!$A$5:$A$2979,0)),0)</f>
        <v>0.58</v>
      </c>
      <c r="N670" s="41" t="n">
        <f aca="false">L670+M670</f>
        <v>4.58</v>
      </c>
      <c r="O670" s="41" t="n">
        <f aca="false">K670-N670</f>
        <v>3.82</v>
      </c>
      <c r="P670" s="43" t="n">
        <f aca="false">IF(K670=0,0,O670/K670)</f>
        <v>0.454761904761905</v>
      </c>
    </row>
    <row r="671" customFormat="false" ht="15" hidden="false" customHeight="false" outlineLevel="0" collapsed="false">
      <c r="A671" s="39" t="s">
        <v>793</v>
      </c>
      <c r="B671" s="40" t="n">
        <v>45756</v>
      </c>
      <c r="C671" s="39" t="s">
        <v>183</v>
      </c>
      <c r="D671" s="39" t="n">
        <v>2</v>
      </c>
      <c r="E671" s="41" t="n">
        <v>188.98</v>
      </c>
      <c r="F671" s="39" t="s">
        <v>115</v>
      </c>
      <c r="G671" s="39" t="str">
        <f aca="false">VLOOKUP(C671,Products!$A$5:$D$24,2,FALSE())</f>
        <v>Office Chair</v>
      </c>
      <c r="H671" s="39" t="str">
        <f aca="false">VLOOKUP(C671,Products!$A$5:$D$24,3,FALSE())</f>
        <v>Furniture</v>
      </c>
      <c r="I671" s="41" t="n">
        <f aca="false">VLOOKUP(C671,Products!$A$5:$D$24,4,FALSE())</f>
        <v>85</v>
      </c>
      <c r="J671" s="42" t="n">
        <f aca="false">DATE(YEAR(B671),MONTH(B671),1)</f>
        <v>45748</v>
      </c>
      <c r="K671" s="41" t="n">
        <f aca="false">D671*E671</f>
        <v>377.96</v>
      </c>
      <c r="L671" s="41" t="n">
        <f aca="false">D671*I671</f>
        <v>170</v>
      </c>
      <c r="M671" s="41" t="n">
        <f aca="false">IFERROR(INDEX(Raw_Expenses!$C$5:$C$2979,MATCH(A671,Raw_Expenses!$A$5:$A$2979,0)),0)</f>
        <v>29.34</v>
      </c>
      <c r="N671" s="41" t="n">
        <f aca="false">L671+M671</f>
        <v>199.34</v>
      </c>
      <c r="O671" s="41" t="n">
        <f aca="false">K671-N671</f>
        <v>178.62</v>
      </c>
      <c r="P671" s="43" t="n">
        <f aca="false">IF(K671=0,0,O671/K671)</f>
        <v>0.472589692030903</v>
      </c>
    </row>
    <row r="672" customFormat="false" ht="15" hidden="false" customHeight="false" outlineLevel="0" collapsed="false">
      <c r="A672" s="39" t="s">
        <v>794</v>
      </c>
      <c r="B672" s="40" t="n">
        <v>45756</v>
      </c>
      <c r="C672" s="39" t="s">
        <v>130</v>
      </c>
      <c r="D672" s="39" t="n">
        <v>1</v>
      </c>
      <c r="E672" s="41" t="n">
        <v>8.66</v>
      </c>
      <c r="F672" s="39" t="s">
        <v>118</v>
      </c>
      <c r="G672" s="39" t="str">
        <f aca="false">VLOOKUP(C672,Products!$A$5:$D$24,2,FALSE())</f>
        <v>Notebook Set</v>
      </c>
      <c r="H672" s="39" t="str">
        <f aca="false">VLOOKUP(C672,Products!$A$5:$D$24,3,FALSE())</f>
        <v>Stationery</v>
      </c>
      <c r="I672" s="41" t="n">
        <f aca="false">VLOOKUP(C672,Products!$A$5:$D$24,4,FALSE())</f>
        <v>3</v>
      </c>
      <c r="J672" s="42" t="n">
        <f aca="false">DATE(YEAR(B672),MONTH(B672),1)</f>
        <v>45748</v>
      </c>
      <c r="K672" s="41" t="n">
        <f aca="false">D672*E672</f>
        <v>8.66</v>
      </c>
      <c r="L672" s="41" t="n">
        <f aca="false">D672*I672</f>
        <v>3</v>
      </c>
      <c r="M672" s="41" t="n">
        <f aca="false">IFERROR(INDEX(Raw_Expenses!$C$5:$C$2979,MATCH(A672,Raw_Expenses!$A$5:$A$2979,0)),0)</f>
        <v>0.39</v>
      </c>
      <c r="N672" s="41" t="n">
        <f aca="false">L672+M672</f>
        <v>3.39</v>
      </c>
      <c r="O672" s="41" t="n">
        <f aca="false">K672-N672</f>
        <v>5.27</v>
      </c>
      <c r="P672" s="43" t="n">
        <f aca="false">IF(K672=0,0,O672/K672)</f>
        <v>0.608545034642032</v>
      </c>
    </row>
    <row r="673" customFormat="false" ht="15" hidden="false" customHeight="false" outlineLevel="0" collapsed="false">
      <c r="A673" s="39" t="s">
        <v>795</v>
      </c>
      <c r="B673" s="40" t="n">
        <v>45756</v>
      </c>
      <c r="C673" s="39" t="s">
        <v>126</v>
      </c>
      <c r="D673" s="39" t="n">
        <v>1</v>
      </c>
      <c r="E673" s="41" t="n">
        <v>23.63</v>
      </c>
      <c r="F673" s="39" t="s">
        <v>115</v>
      </c>
      <c r="G673" s="39" t="str">
        <f aca="false">VLOOKUP(C673,Products!$A$5:$D$24,2,FALSE())</f>
        <v>Wireless Mouse</v>
      </c>
      <c r="H673" s="39" t="str">
        <f aca="false">VLOOKUP(C673,Products!$A$5:$D$24,3,FALSE())</f>
        <v>Electronics</v>
      </c>
      <c r="I673" s="41" t="n">
        <f aca="false">VLOOKUP(C673,Products!$A$5:$D$24,4,FALSE())</f>
        <v>12</v>
      </c>
      <c r="J673" s="42" t="n">
        <f aca="false">DATE(YEAR(B673),MONTH(B673),1)</f>
        <v>45748</v>
      </c>
      <c r="K673" s="41" t="n">
        <f aca="false">D673*E673</f>
        <v>23.63</v>
      </c>
      <c r="L673" s="41" t="n">
        <f aca="false">D673*I673</f>
        <v>12</v>
      </c>
      <c r="M673" s="41" t="n">
        <f aca="false">IFERROR(INDEX(Raw_Expenses!$C$5:$C$2979,MATCH(A673,Raw_Expenses!$A$5:$A$2979,0)),0)</f>
        <v>0.98</v>
      </c>
      <c r="N673" s="41" t="n">
        <f aca="false">L673+M673</f>
        <v>12.98</v>
      </c>
      <c r="O673" s="41" t="n">
        <f aca="false">K673-N673</f>
        <v>10.65</v>
      </c>
      <c r="P673" s="43" t="n">
        <f aca="false">IF(K673=0,0,O673/K673)</f>
        <v>0.450698264917478</v>
      </c>
    </row>
    <row r="674" customFormat="false" ht="15" hidden="false" customHeight="false" outlineLevel="0" collapsed="false">
      <c r="A674" s="39" t="s">
        <v>796</v>
      </c>
      <c r="B674" s="40" t="n">
        <v>45756</v>
      </c>
      <c r="C674" s="39" t="s">
        <v>114</v>
      </c>
      <c r="D674" s="39" t="n">
        <v>1</v>
      </c>
      <c r="E674" s="41" t="n">
        <v>5.71</v>
      </c>
      <c r="F674" s="39" t="s">
        <v>118</v>
      </c>
      <c r="G674" s="39" t="str">
        <f aca="false">VLOOKUP(C674,Products!$A$5:$D$24,2,FALSE())</f>
        <v>Gel Pen Pack</v>
      </c>
      <c r="H674" s="39" t="str">
        <f aca="false">VLOOKUP(C674,Products!$A$5:$D$24,3,FALSE())</f>
        <v>Stationery</v>
      </c>
      <c r="I674" s="41" t="n">
        <f aca="false">VLOOKUP(C674,Products!$A$5:$D$24,4,FALSE())</f>
        <v>2</v>
      </c>
      <c r="J674" s="42" t="n">
        <f aca="false">DATE(YEAR(B674),MONTH(B674),1)</f>
        <v>45748</v>
      </c>
      <c r="K674" s="41" t="n">
        <f aca="false">D674*E674</f>
        <v>5.71</v>
      </c>
      <c r="L674" s="41" t="n">
        <f aca="false">D674*I674</f>
        <v>2</v>
      </c>
      <c r="M674" s="41" t="n">
        <f aca="false">IFERROR(INDEX(Raw_Expenses!$C$5:$C$2979,MATCH(A674,Raw_Expenses!$A$5:$A$2979,0)),0)</f>
        <v>0.33</v>
      </c>
      <c r="N674" s="41" t="n">
        <f aca="false">L674+M674</f>
        <v>2.33</v>
      </c>
      <c r="O674" s="41" t="n">
        <f aca="false">K674-N674</f>
        <v>3.38</v>
      </c>
      <c r="P674" s="43" t="n">
        <f aca="false">IF(K674=0,0,O674/K674)</f>
        <v>0.591943957968476</v>
      </c>
    </row>
    <row r="675" customFormat="false" ht="15" hidden="false" customHeight="false" outlineLevel="0" collapsed="false">
      <c r="A675" s="39" t="s">
        <v>797</v>
      </c>
      <c r="B675" s="40" t="n">
        <v>45756</v>
      </c>
      <c r="C675" s="39" t="s">
        <v>117</v>
      </c>
      <c r="D675" s="39" t="n">
        <v>3</v>
      </c>
      <c r="E675" s="41" t="n">
        <v>31.47</v>
      </c>
      <c r="F675" s="39" t="s">
        <v>115</v>
      </c>
      <c r="G675" s="39" t="str">
        <f aca="false">VLOOKUP(C675,Products!$A$5:$D$24,2,FALSE())</f>
        <v>Desk Lamp</v>
      </c>
      <c r="H675" s="39" t="str">
        <f aca="false">VLOOKUP(C675,Products!$A$5:$D$24,3,FALSE())</f>
        <v>Furniture</v>
      </c>
      <c r="I675" s="41" t="n">
        <f aca="false">VLOOKUP(C675,Products!$A$5:$D$24,4,FALSE())</f>
        <v>13</v>
      </c>
      <c r="J675" s="42" t="n">
        <f aca="false">DATE(YEAR(B675),MONTH(B675),1)</f>
        <v>45748</v>
      </c>
      <c r="K675" s="41" t="n">
        <f aca="false">D675*E675</f>
        <v>94.41</v>
      </c>
      <c r="L675" s="41" t="n">
        <f aca="false">D675*I675</f>
        <v>39</v>
      </c>
      <c r="M675" s="41" t="n">
        <f aca="false">IFERROR(INDEX(Raw_Expenses!$C$5:$C$2979,MATCH(A675,Raw_Expenses!$A$5:$A$2979,0)),0)</f>
        <v>4.66</v>
      </c>
      <c r="N675" s="41" t="n">
        <f aca="false">L675+M675</f>
        <v>43.66</v>
      </c>
      <c r="O675" s="41" t="n">
        <f aca="false">K675-N675</f>
        <v>50.75</v>
      </c>
      <c r="P675" s="43" t="n">
        <f aca="false">IF(K675=0,0,O675/K675)</f>
        <v>0.537548988454613</v>
      </c>
    </row>
    <row r="676" customFormat="false" ht="15" hidden="false" customHeight="false" outlineLevel="0" collapsed="false">
      <c r="A676" s="39" t="s">
        <v>798</v>
      </c>
      <c r="B676" s="40" t="n">
        <v>45756</v>
      </c>
      <c r="C676" s="39" t="s">
        <v>133</v>
      </c>
      <c r="D676" s="39" t="n">
        <v>1</v>
      </c>
      <c r="E676" s="41" t="n">
        <v>8.71</v>
      </c>
      <c r="F676" s="39" t="s">
        <v>108</v>
      </c>
      <c r="G676" s="39" t="str">
        <f aca="false">VLOOKUP(C676,Products!$A$5:$D$24,2,FALSE())</f>
        <v>Printer Paper Ream</v>
      </c>
      <c r="H676" s="39" t="str">
        <f aca="false">VLOOKUP(C676,Products!$A$5:$D$24,3,FALSE())</f>
        <v>Stationery</v>
      </c>
      <c r="I676" s="41" t="n">
        <f aca="false">VLOOKUP(C676,Products!$A$5:$D$24,4,FALSE())</f>
        <v>4</v>
      </c>
      <c r="J676" s="42" t="n">
        <f aca="false">DATE(YEAR(B676),MONTH(B676),1)</f>
        <v>45748</v>
      </c>
      <c r="K676" s="41" t="n">
        <f aca="false">D676*E676</f>
        <v>8.71</v>
      </c>
      <c r="L676" s="41" t="n">
        <f aca="false">D676*I676</f>
        <v>4</v>
      </c>
      <c r="M676" s="41" t="n">
        <f aca="false">IFERROR(INDEX(Raw_Expenses!$C$5:$C$2979,MATCH(A676,Raw_Expenses!$A$5:$A$2979,0)),0)</f>
        <v>0.57</v>
      </c>
      <c r="N676" s="41" t="n">
        <f aca="false">L676+M676</f>
        <v>4.57</v>
      </c>
      <c r="O676" s="41" t="n">
        <f aca="false">K676-N676</f>
        <v>4.14</v>
      </c>
      <c r="P676" s="43" t="n">
        <f aca="false">IF(K676=0,0,O676/K676)</f>
        <v>0.475315729047072</v>
      </c>
    </row>
    <row r="677" customFormat="false" ht="15" hidden="false" customHeight="false" outlineLevel="0" collapsed="false">
      <c r="A677" s="39" t="s">
        <v>799</v>
      </c>
      <c r="B677" s="40" t="n">
        <v>45756</v>
      </c>
      <c r="C677" s="39" t="s">
        <v>121</v>
      </c>
      <c r="D677" s="39" t="n">
        <v>3</v>
      </c>
      <c r="E677" s="41" t="n">
        <v>114.27</v>
      </c>
      <c r="F677" s="39" t="s">
        <v>105</v>
      </c>
      <c r="G677" s="39" t="str">
        <f aca="false">VLOOKUP(C677,Products!$A$5:$D$24,2,FALSE())</f>
        <v>External SSD 1TB</v>
      </c>
      <c r="H677" s="39" t="str">
        <f aca="false">VLOOKUP(C677,Products!$A$5:$D$24,3,FALSE())</f>
        <v>Electronics</v>
      </c>
      <c r="I677" s="41" t="n">
        <f aca="false">VLOOKUP(C677,Products!$A$5:$D$24,4,FALSE())</f>
        <v>62</v>
      </c>
      <c r="J677" s="42" t="n">
        <f aca="false">DATE(YEAR(B677),MONTH(B677),1)</f>
        <v>45748</v>
      </c>
      <c r="K677" s="41" t="n">
        <f aca="false">D677*E677</f>
        <v>342.81</v>
      </c>
      <c r="L677" s="41" t="n">
        <f aca="false">D677*I677</f>
        <v>186</v>
      </c>
      <c r="M677" s="41" t="n">
        <f aca="false">IFERROR(INDEX(Raw_Expenses!$C$5:$C$2979,MATCH(A677,Raw_Expenses!$A$5:$A$2979,0)),0)</f>
        <v>22.2</v>
      </c>
      <c r="N677" s="41" t="n">
        <f aca="false">L677+M677</f>
        <v>208.2</v>
      </c>
      <c r="O677" s="41" t="n">
        <f aca="false">K677-N677</f>
        <v>134.61</v>
      </c>
      <c r="P677" s="43" t="n">
        <f aca="false">IF(K677=0,0,O677/K677)</f>
        <v>0.392666491642601</v>
      </c>
    </row>
    <row r="678" customFormat="false" ht="15" hidden="false" customHeight="false" outlineLevel="0" collapsed="false">
      <c r="A678" s="39" t="s">
        <v>800</v>
      </c>
      <c r="B678" s="40" t="n">
        <v>45756</v>
      </c>
      <c r="C678" s="39" t="s">
        <v>104</v>
      </c>
      <c r="D678" s="39" t="n">
        <v>2</v>
      </c>
      <c r="E678" s="41" t="n">
        <v>14.87</v>
      </c>
      <c r="F678" s="39" t="s">
        <v>115</v>
      </c>
      <c r="G678" s="39" t="str">
        <f aca="false">VLOOKUP(C678,Products!$A$5:$D$24,2,FALSE())</f>
        <v>Water Bottle</v>
      </c>
      <c r="H678" s="39" t="str">
        <f aca="false">VLOOKUP(C678,Products!$A$5:$D$24,3,FALSE())</f>
        <v>Accessories</v>
      </c>
      <c r="I678" s="41" t="n">
        <f aca="false">VLOOKUP(C678,Products!$A$5:$D$24,4,FALSE())</f>
        <v>5</v>
      </c>
      <c r="J678" s="42" t="n">
        <f aca="false">DATE(YEAR(B678),MONTH(B678),1)</f>
        <v>45748</v>
      </c>
      <c r="K678" s="41" t="n">
        <f aca="false">D678*E678</f>
        <v>29.74</v>
      </c>
      <c r="L678" s="41" t="n">
        <f aca="false">D678*I678</f>
        <v>10</v>
      </c>
      <c r="M678" s="41" t="n">
        <f aca="false">IFERROR(INDEX(Raw_Expenses!$C$5:$C$2979,MATCH(A678,Raw_Expenses!$A$5:$A$2979,0)),0)</f>
        <v>1.83</v>
      </c>
      <c r="N678" s="41" t="n">
        <f aca="false">L678+M678</f>
        <v>11.83</v>
      </c>
      <c r="O678" s="41" t="n">
        <f aca="false">K678-N678</f>
        <v>17.91</v>
      </c>
      <c r="P678" s="43" t="n">
        <f aca="false">IF(K678=0,0,O678/K678)</f>
        <v>0.60221923335575</v>
      </c>
    </row>
    <row r="679" customFormat="false" ht="15" hidden="false" customHeight="false" outlineLevel="0" collapsed="false">
      <c r="A679" s="39" t="s">
        <v>801</v>
      </c>
      <c r="B679" s="40" t="n">
        <v>45757</v>
      </c>
      <c r="C679" s="39" t="s">
        <v>114</v>
      </c>
      <c r="D679" s="39" t="n">
        <v>5</v>
      </c>
      <c r="E679" s="41" t="n">
        <v>5.54</v>
      </c>
      <c r="F679" s="39" t="s">
        <v>105</v>
      </c>
      <c r="G679" s="39" t="str">
        <f aca="false">VLOOKUP(C679,Products!$A$5:$D$24,2,FALSE())</f>
        <v>Gel Pen Pack</v>
      </c>
      <c r="H679" s="39" t="str">
        <f aca="false">VLOOKUP(C679,Products!$A$5:$D$24,3,FALSE())</f>
        <v>Stationery</v>
      </c>
      <c r="I679" s="41" t="n">
        <f aca="false">VLOOKUP(C679,Products!$A$5:$D$24,4,FALSE())</f>
        <v>2</v>
      </c>
      <c r="J679" s="42" t="n">
        <f aca="false">DATE(YEAR(B679),MONTH(B679),1)</f>
        <v>45748</v>
      </c>
      <c r="K679" s="41" t="n">
        <f aca="false">D679*E679</f>
        <v>27.7</v>
      </c>
      <c r="L679" s="41" t="n">
        <f aca="false">D679*I679</f>
        <v>10</v>
      </c>
      <c r="M679" s="41" t="n">
        <f aca="false">IFERROR(INDEX(Raw_Expenses!$C$5:$C$2979,MATCH(A679,Raw_Expenses!$A$5:$A$2979,0)),0)</f>
        <v>2.16</v>
      </c>
      <c r="N679" s="41" t="n">
        <f aca="false">L679+M679</f>
        <v>12.16</v>
      </c>
      <c r="O679" s="41" t="n">
        <f aca="false">K679-N679</f>
        <v>15.54</v>
      </c>
      <c r="P679" s="43" t="n">
        <f aca="false">IF(K679=0,0,O679/K679)</f>
        <v>0.56101083032491</v>
      </c>
    </row>
    <row r="680" customFormat="false" ht="15" hidden="false" customHeight="false" outlineLevel="0" collapsed="false">
      <c r="A680" s="39" t="s">
        <v>802</v>
      </c>
      <c r="B680" s="40" t="n">
        <v>45757</v>
      </c>
      <c r="C680" s="39" t="s">
        <v>117</v>
      </c>
      <c r="D680" s="39" t="n">
        <v>3</v>
      </c>
      <c r="E680" s="41" t="n">
        <v>31.78</v>
      </c>
      <c r="F680" s="39" t="s">
        <v>118</v>
      </c>
      <c r="G680" s="39" t="str">
        <f aca="false">VLOOKUP(C680,Products!$A$5:$D$24,2,FALSE())</f>
        <v>Desk Lamp</v>
      </c>
      <c r="H680" s="39" t="str">
        <f aca="false">VLOOKUP(C680,Products!$A$5:$D$24,3,FALSE())</f>
        <v>Furniture</v>
      </c>
      <c r="I680" s="41" t="n">
        <f aca="false">VLOOKUP(C680,Products!$A$5:$D$24,4,FALSE())</f>
        <v>13</v>
      </c>
      <c r="J680" s="42" t="n">
        <f aca="false">DATE(YEAR(B680),MONTH(B680),1)</f>
        <v>45748</v>
      </c>
      <c r="K680" s="41" t="n">
        <f aca="false">D680*E680</f>
        <v>95.34</v>
      </c>
      <c r="L680" s="41" t="n">
        <f aca="false">D680*I680</f>
        <v>39</v>
      </c>
      <c r="M680" s="41" t="n">
        <f aca="false">IFERROR(INDEX(Raw_Expenses!$C$5:$C$2979,MATCH(A680,Raw_Expenses!$A$5:$A$2979,0)),0)</f>
        <v>4.98</v>
      </c>
      <c r="N680" s="41" t="n">
        <f aca="false">L680+M680</f>
        <v>43.98</v>
      </c>
      <c r="O680" s="41" t="n">
        <f aca="false">K680-N680</f>
        <v>51.36</v>
      </c>
      <c r="P680" s="43" t="n">
        <f aca="false">IF(K680=0,0,O680/K680)</f>
        <v>0.538703587161737</v>
      </c>
    </row>
    <row r="681" customFormat="false" ht="15" hidden="false" customHeight="false" outlineLevel="0" collapsed="false">
      <c r="A681" s="39" t="s">
        <v>803</v>
      </c>
      <c r="B681" s="40" t="n">
        <v>45758</v>
      </c>
      <c r="C681" s="39" t="s">
        <v>153</v>
      </c>
      <c r="D681" s="39" t="n">
        <v>2</v>
      </c>
      <c r="E681" s="41" t="n">
        <v>165.66</v>
      </c>
      <c r="F681" s="39" t="s">
        <v>108</v>
      </c>
      <c r="G681" s="39" t="str">
        <f aca="false">VLOOKUP(C681,Products!$A$5:$D$24,2,FALSE())</f>
        <v>24-inch Monitor</v>
      </c>
      <c r="H681" s="39" t="str">
        <f aca="false">VLOOKUP(C681,Products!$A$5:$D$24,3,FALSE())</f>
        <v>Electronics</v>
      </c>
      <c r="I681" s="41" t="n">
        <f aca="false">VLOOKUP(C681,Products!$A$5:$D$24,4,FALSE())</f>
        <v>90</v>
      </c>
      <c r="J681" s="42" t="n">
        <f aca="false">DATE(YEAR(B681),MONTH(B681),1)</f>
        <v>45748</v>
      </c>
      <c r="K681" s="41" t="n">
        <f aca="false">D681*E681</f>
        <v>331.32</v>
      </c>
      <c r="L681" s="41" t="n">
        <f aca="false">D681*I681</f>
        <v>180</v>
      </c>
      <c r="M681" s="41" t="n">
        <f aca="false">IFERROR(INDEX(Raw_Expenses!$C$5:$C$2979,MATCH(A681,Raw_Expenses!$A$5:$A$2979,0)),0)</f>
        <v>13.88</v>
      </c>
      <c r="N681" s="41" t="n">
        <f aca="false">L681+M681</f>
        <v>193.88</v>
      </c>
      <c r="O681" s="41" t="n">
        <f aca="false">K681-N681</f>
        <v>137.44</v>
      </c>
      <c r="P681" s="43" t="n">
        <f aca="false">IF(K681=0,0,O681/K681)</f>
        <v>0.41482554629965</v>
      </c>
    </row>
    <row r="682" customFormat="false" ht="15" hidden="false" customHeight="false" outlineLevel="0" collapsed="false">
      <c r="A682" s="39" t="s">
        <v>804</v>
      </c>
      <c r="B682" s="40" t="n">
        <v>45758</v>
      </c>
      <c r="C682" s="39" t="s">
        <v>110</v>
      </c>
      <c r="D682" s="39" t="n">
        <v>5</v>
      </c>
      <c r="E682" s="41" t="n">
        <v>12.93</v>
      </c>
      <c r="F682" s="39" t="s">
        <v>115</v>
      </c>
      <c r="G682" s="39" t="str">
        <f aca="false">VLOOKUP(C682,Products!$A$5:$D$24,2,FALSE())</f>
        <v>Phone Stand</v>
      </c>
      <c r="H682" s="39" t="str">
        <f aca="false">VLOOKUP(C682,Products!$A$5:$D$24,3,FALSE())</f>
        <v>Accessories</v>
      </c>
      <c r="I682" s="41" t="n">
        <f aca="false">VLOOKUP(C682,Products!$A$5:$D$24,4,FALSE())</f>
        <v>4</v>
      </c>
      <c r="J682" s="42" t="n">
        <f aca="false">DATE(YEAR(B682),MONTH(B682),1)</f>
        <v>45748</v>
      </c>
      <c r="K682" s="41" t="n">
        <f aca="false">D682*E682</f>
        <v>64.65</v>
      </c>
      <c r="L682" s="41" t="n">
        <f aca="false">D682*I682</f>
        <v>20</v>
      </c>
      <c r="M682" s="41" t="n">
        <f aca="false">IFERROR(INDEX(Raw_Expenses!$C$5:$C$2979,MATCH(A682,Raw_Expenses!$A$5:$A$2979,0)),0)</f>
        <v>4.86</v>
      </c>
      <c r="N682" s="41" t="n">
        <f aca="false">L682+M682</f>
        <v>24.86</v>
      </c>
      <c r="O682" s="41" t="n">
        <f aca="false">K682-N682</f>
        <v>39.79</v>
      </c>
      <c r="P682" s="43" t="n">
        <f aca="false">IF(K682=0,0,O682/K682)</f>
        <v>0.615467904098995</v>
      </c>
    </row>
    <row r="683" customFormat="false" ht="15" hidden="false" customHeight="false" outlineLevel="0" collapsed="false">
      <c r="A683" s="39" t="s">
        <v>805</v>
      </c>
      <c r="B683" s="40" t="n">
        <v>45758</v>
      </c>
      <c r="C683" s="39" t="s">
        <v>112</v>
      </c>
      <c r="D683" s="39" t="n">
        <v>1</v>
      </c>
      <c r="E683" s="41" t="n">
        <v>54.51</v>
      </c>
      <c r="F683" s="39" t="s">
        <v>118</v>
      </c>
      <c r="G683" s="39" t="str">
        <f aca="false">VLOOKUP(C683,Products!$A$5:$D$24,2,FALSE())</f>
        <v>HD Webcam</v>
      </c>
      <c r="H683" s="39" t="str">
        <f aca="false">VLOOKUP(C683,Products!$A$5:$D$24,3,FALSE())</f>
        <v>Electronics</v>
      </c>
      <c r="I683" s="41" t="n">
        <f aca="false">VLOOKUP(C683,Products!$A$5:$D$24,4,FALSE())</f>
        <v>22</v>
      </c>
      <c r="J683" s="42" t="n">
        <f aca="false">DATE(YEAR(B683),MONTH(B683),1)</f>
        <v>45748</v>
      </c>
      <c r="K683" s="41" t="n">
        <f aca="false">D683*E683</f>
        <v>54.51</v>
      </c>
      <c r="L683" s="41" t="n">
        <f aca="false">D683*I683</f>
        <v>22</v>
      </c>
      <c r="M683" s="41" t="n">
        <f aca="false">IFERROR(INDEX(Raw_Expenses!$C$5:$C$2979,MATCH(A683,Raw_Expenses!$A$5:$A$2979,0)),0)</f>
        <v>4.68</v>
      </c>
      <c r="N683" s="41" t="n">
        <f aca="false">L683+M683</f>
        <v>26.68</v>
      </c>
      <c r="O683" s="41" t="n">
        <f aca="false">K683-N683</f>
        <v>27.83</v>
      </c>
      <c r="P683" s="43" t="n">
        <f aca="false">IF(K683=0,0,O683/K683)</f>
        <v>0.510548523206751</v>
      </c>
    </row>
    <row r="684" customFormat="false" ht="15" hidden="false" customHeight="false" outlineLevel="0" collapsed="false">
      <c r="A684" s="39" t="s">
        <v>806</v>
      </c>
      <c r="B684" s="40" t="n">
        <v>45758</v>
      </c>
      <c r="C684" s="39" t="s">
        <v>121</v>
      </c>
      <c r="D684" s="39" t="n">
        <v>4</v>
      </c>
      <c r="E684" s="41" t="n">
        <v>112.38</v>
      </c>
      <c r="F684" s="39" t="s">
        <v>118</v>
      </c>
      <c r="G684" s="39" t="str">
        <f aca="false">VLOOKUP(C684,Products!$A$5:$D$24,2,FALSE())</f>
        <v>External SSD 1TB</v>
      </c>
      <c r="H684" s="39" t="str">
        <f aca="false">VLOOKUP(C684,Products!$A$5:$D$24,3,FALSE())</f>
        <v>Electronics</v>
      </c>
      <c r="I684" s="41" t="n">
        <f aca="false">VLOOKUP(C684,Products!$A$5:$D$24,4,FALSE())</f>
        <v>62</v>
      </c>
      <c r="J684" s="42" t="n">
        <f aca="false">DATE(YEAR(B684),MONTH(B684),1)</f>
        <v>45748</v>
      </c>
      <c r="K684" s="41" t="n">
        <f aca="false">D684*E684</f>
        <v>449.52</v>
      </c>
      <c r="L684" s="41" t="n">
        <f aca="false">D684*I684</f>
        <v>248</v>
      </c>
      <c r="M684" s="41" t="n">
        <f aca="false">IFERROR(INDEX(Raw_Expenses!$C$5:$C$2979,MATCH(A684,Raw_Expenses!$A$5:$A$2979,0)),0)</f>
        <v>27.49</v>
      </c>
      <c r="N684" s="41" t="n">
        <f aca="false">L684+M684</f>
        <v>275.49</v>
      </c>
      <c r="O684" s="41" t="n">
        <f aca="false">K684-N684</f>
        <v>174.03</v>
      </c>
      <c r="P684" s="43" t="n">
        <f aca="false">IF(K684=0,0,O684/K684)</f>
        <v>0.387146289375334</v>
      </c>
    </row>
    <row r="685" customFormat="false" ht="15" hidden="false" customHeight="false" outlineLevel="0" collapsed="false">
      <c r="A685" s="39" t="s">
        <v>807</v>
      </c>
      <c r="B685" s="40" t="n">
        <v>45758</v>
      </c>
      <c r="C685" s="39" t="s">
        <v>104</v>
      </c>
      <c r="D685" s="39" t="n">
        <v>2</v>
      </c>
      <c r="E685" s="41" t="n">
        <v>15</v>
      </c>
      <c r="F685" s="39" t="s">
        <v>118</v>
      </c>
      <c r="G685" s="39" t="str">
        <f aca="false">VLOOKUP(C685,Products!$A$5:$D$24,2,FALSE())</f>
        <v>Water Bottle</v>
      </c>
      <c r="H685" s="39" t="str">
        <f aca="false">VLOOKUP(C685,Products!$A$5:$D$24,3,FALSE())</f>
        <v>Accessories</v>
      </c>
      <c r="I685" s="41" t="n">
        <f aca="false">VLOOKUP(C685,Products!$A$5:$D$24,4,FALSE())</f>
        <v>5</v>
      </c>
      <c r="J685" s="42" t="n">
        <f aca="false">DATE(YEAR(B685),MONTH(B685),1)</f>
        <v>45748</v>
      </c>
      <c r="K685" s="41" t="n">
        <f aca="false">D685*E685</f>
        <v>30</v>
      </c>
      <c r="L685" s="41" t="n">
        <f aca="false">D685*I685</f>
        <v>10</v>
      </c>
      <c r="M685" s="41" t="n">
        <f aca="false">IFERROR(INDEX(Raw_Expenses!$C$5:$C$2979,MATCH(A685,Raw_Expenses!$A$5:$A$2979,0)),0)</f>
        <v>2.26</v>
      </c>
      <c r="N685" s="41" t="n">
        <f aca="false">L685+M685</f>
        <v>12.26</v>
      </c>
      <c r="O685" s="41" t="n">
        <f aca="false">K685-N685</f>
        <v>17.74</v>
      </c>
      <c r="P685" s="43" t="n">
        <f aca="false">IF(K685=0,0,O685/K685)</f>
        <v>0.591333333333333</v>
      </c>
    </row>
    <row r="686" customFormat="false" ht="15" hidden="false" customHeight="false" outlineLevel="0" collapsed="false">
      <c r="A686" s="39" t="s">
        <v>808</v>
      </c>
      <c r="B686" s="40" t="n">
        <v>45758</v>
      </c>
      <c r="C686" s="39" t="s">
        <v>112</v>
      </c>
      <c r="D686" s="39" t="n">
        <v>2</v>
      </c>
      <c r="E686" s="41" t="n">
        <v>53.71</v>
      </c>
      <c r="F686" s="39" t="s">
        <v>105</v>
      </c>
      <c r="G686" s="39" t="str">
        <f aca="false">VLOOKUP(C686,Products!$A$5:$D$24,2,FALSE())</f>
        <v>HD Webcam</v>
      </c>
      <c r="H686" s="39" t="str">
        <f aca="false">VLOOKUP(C686,Products!$A$5:$D$24,3,FALSE())</f>
        <v>Electronics</v>
      </c>
      <c r="I686" s="41" t="n">
        <f aca="false">VLOOKUP(C686,Products!$A$5:$D$24,4,FALSE())</f>
        <v>22</v>
      </c>
      <c r="J686" s="42" t="n">
        <f aca="false">DATE(YEAR(B686),MONTH(B686),1)</f>
        <v>45748</v>
      </c>
      <c r="K686" s="41" t="n">
        <f aca="false">D686*E686</f>
        <v>107.42</v>
      </c>
      <c r="L686" s="41" t="n">
        <f aca="false">D686*I686</f>
        <v>44</v>
      </c>
      <c r="M686" s="41" t="n">
        <f aca="false">IFERROR(INDEX(Raw_Expenses!$C$5:$C$2979,MATCH(A686,Raw_Expenses!$A$5:$A$2979,0)),0)</f>
        <v>5.07</v>
      </c>
      <c r="N686" s="41" t="n">
        <f aca="false">L686+M686</f>
        <v>49.07</v>
      </c>
      <c r="O686" s="41" t="n">
        <f aca="false">K686-N686</f>
        <v>58.35</v>
      </c>
      <c r="P686" s="43" t="n">
        <f aca="false">IF(K686=0,0,O686/K686)</f>
        <v>0.543194935766152</v>
      </c>
    </row>
    <row r="687" customFormat="false" ht="15" hidden="false" customHeight="false" outlineLevel="0" collapsed="false">
      <c r="A687" s="39" t="s">
        <v>809</v>
      </c>
      <c r="B687" s="40" t="n">
        <v>45758</v>
      </c>
      <c r="C687" s="39" t="s">
        <v>177</v>
      </c>
      <c r="D687" s="39" t="n">
        <v>2</v>
      </c>
      <c r="E687" s="41" t="n">
        <v>44.05</v>
      </c>
      <c r="F687" s="39" t="s">
        <v>105</v>
      </c>
      <c r="G687" s="39" t="str">
        <f aca="false">VLOOKUP(C687,Products!$A$5:$D$24,2,FALSE())</f>
        <v>Backpack</v>
      </c>
      <c r="H687" s="39" t="str">
        <f aca="false">VLOOKUP(C687,Products!$A$5:$D$24,3,FALSE())</f>
        <v>Accessories</v>
      </c>
      <c r="I687" s="41" t="n">
        <f aca="false">VLOOKUP(C687,Products!$A$5:$D$24,4,FALSE())</f>
        <v>17</v>
      </c>
      <c r="J687" s="42" t="n">
        <f aca="false">DATE(YEAR(B687),MONTH(B687),1)</f>
        <v>45748</v>
      </c>
      <c r="K687" s="41" t="n">
        <f aca="false">D687*E687</f>
        <v>88.1</v>
      </c>
      <c r="L687" s="41" t="n">
        <f aca="false">D687*I687</f>
        <v>34</v>
      </c>
      <c r="M687" s="41" t="n">
        <f aca="false">IFERROR(INDEX(Raw_Expenses!$C$5:$C$2979,MATCH(A687,Raw_Expenses!$A$5:$A$2979,0)),0)</f>
        <v>0</v>
      </c>
      <c r="N687" s="41" t="n">
        <f aca="false">L687+M687</f>
        <v>34</v>
      </c>
      <c r="O687" s="41" t="n">
        <f aca="false">K687-N687</f>
        <v>54.1</v>
      </c>
      <c r="P687" s="43" t="n">
        <f aca="false">IF(K687=0,0,O687/K687)</f>
        <v>0.614074914869467</v>
      </c>
    </row>
    <row r="688" customFormat="false" ht="15" hidden="false" customHeight="false" outlineLevel="0" collapsed="false">
      <c r="A688" s="39" t="s">
        <v>810</v>
      </c>
      <c r="B688" s="40" t="n">
        <v>45759</v>
      </c>
      <c r="C688" s="39" t="s">
        <v>153</v>
      </c>
      <c r="D688" s="39" t="n">
        <v>6</v>
      </c>
      <c r="E688" s="41" t="n">
        <v>165.6</v>
      </c>
      <c r="F688" s="39" t="s">
        <v>115</v>
      </c>
      <c r="G688" s="39" t="str">
        <f aca="false">VLOOKUP(C688,Products!$A$5:$D$24,2,FALSE())</f>
        <v>24-inch Monitor</v>
      </c>
      <c r="H688" s="39" t="str">
        <f aca="false">VLOOKUP(C688,Products!$A$5:$D$24,3,FALSE())</f>
        <v>Electronics</v>
      </c>
      <c r="I688" s="41" t="n">
        <f aca="false">VLOOKUP(C688,Products!$A$5:$D$24,4,FALSE())</f>
        <v>90</v>
      </c>
      <c r="J688" s="42" t="n">
        <f aca="false">DATE(YEAR(B688),MONTH(B688),1)</f>
        <v>45748</v>
      </c>
      <c r="K688" s="41" t="n">
        <f aca="false">D688*E688</f>
        <v>993.6</v>
      </c>
      <c r="L688" s="41" t="n">
        <f aca="false">D688*I688</f>
        <v>540</v>
      </c>
      <c r="M688" s="41" t="n">
        <f aca="false">IFERROR(INDEX(Raw_Expenses!$C$5:$C$2979,MATCH(A688,Raw_Expenses!$A$5:$A$2979,0)),0)</f>
        <v>67.19</v>
      </c>
      <c r="N688" s="41" t="n">
        <f aca="false">L688+M688</f>
        <v>607.19</v>
      </c>
      <c r="O688" s="41" t="n">
        <f aca="false">K688-N688</f>
        <v>386.41</v>
      </c>
      <c r="P688" s="43" t="n">
        <f aca="false">IF(K688=0,0,O688/K688)</f>
        <v>0.388898953301127</v>
      </c>
    </row>
    <row r="689" customFormat="false" ht="15" hidden="false" customHeight="false" outlineLevel="0" collapsed="false">
      <c r="A689" s="39" t="s">
        <v>811</v>
      </c>
      <c r="B689" s="40" t="n">
        <v>45759</v>
      </c>
      <c r="C689" s="39" t="s">
        <v>114</v>
      </c>
      <c r="D689" s="39" t="n">
        <v>2</v>
      </c>
      <c r="E689" s="41" t="n">
        <v>5.67</v>
      </c>
      <c r="F689" s="39" t="s">
        <v>115</v>
      </c>
      <c r="G689" s="39" t="str">
        <f aca="false">VLOOKUP(C689,Products!$A$5:$D$24,2,FALSE())</f>
        <v>Gel Pen Pack</v>
      </c>
      <c r="H689" s="39" t="str">
        <f aca="false">VLOOKUP(C689,Products!$A$5:$D$24,3,FALSE())</f>
        <v>Stationery</v>
      </c>
      <c r="I689" s="41" t="n">
        <f aca="false">VLOOKUP(C689,Products!$A$5:$D$24,4,FALSE())</f>
        <v>2</v>
      </c>
      <c r="J689" s="42" t="n">
        <f aca="false">DATE(YEAR(B689),MONTH(B689),1)</f>
        <v>45748</v>
      </c>
      <c r="K689" s="41" t="n">
        <f aca="false">D689*E689</f>
        <v>11.34</v>
      </c>
      <c r="L689" s="41" t="n">
        <f aca="false">D689*I689</f>
        <v>4</v>
      </c>
      <c r="M689" s="41" t="n">
        <f aca="false">IFERROR(INDEX(Raw_Expenses!$C$5:$C$2979,MATCH(A689,Raw_Expenses!$A$5:$A$2979,0)),0)</f>
        <v>0.55</v>
      </c>
      <c r="N689" s="41" t="n">
        <f aca="false">L689+M689</f>
        <v>4.55</v>
      </c>
      <c r="O689" s="41" t="n">
        <f aca="false">K689-N689</f>
        <v>6.79</v>
      </c>
      <c r="P689" s="43" t="n">
        <f aca="false">IF(K689=0,0,O689/K689)</f>
        <v>0.598765432098765</v>
      </c>
    </row>
    <row r="690" customFormat="false" ht="15" hidden="false" customHeight="false" outlineLevel="0" collapsed="false">
      <c r="A690" s="39" t="s">
        <v>812</v>
      </c>
      <c r="B690" s="40" t="n">
        <v>45759</v>
      </c>
      <c r="C690" s="39" t="s">
        <v>121</v>
      </c>
      <c r="D690" s="39" t="n">
        <v>1</v>
      </c>
      <c r="E690" s="41" t="n">
        <v>112.19</v>
      </c>
      <c r="F690" s="39" t="s">
        <v>118</v>
      </c>
      <c r="G690" s="39" t="str">
        <f aca="false">VLOOKUP(C690,Products!$A$5:$D$24,2,FALSE())</f>
        <v>External SSD 1TB</v>
      </c>
      <c r="H690" s="39" t="str">
        <f aca="false">VLOOKUP(C690,Products!$A$5:$D$24,3,FALSE())</f>
        <v>Electronics</v>
      </c>
      <c r="I690" s="41" t="n">
        <f aca="false">VLOOKUP(C690,Products!$A$5:$D$24,4,FALSE())</f>
        <v>62</v>
      </c>
      <c r="J690" s="42" t="n">
        <f aca="false">DATE(YEAR(B690),MONTH(B690),1)</f>
        <v>45748</v>
      </c>
      <c r="K690" s="41" t="n">
        <f aca="false">D690*E690</f>
        <v>112.19</v>
      </c>
      <c r="L690" s="41" t="n">
        <f aca="false">D690*I690</f>
        <v>62</v>
      </c>
      <c r="M690" s="41" t="n">
        <f aca="false">IFERROR(INDEX(Raw_Expenses!$C$5:$C$2979,MATCH(A690,Raw_Expenses!$A$5:$A$2979,0)),0)</f>
        <v>5.43</v>
      </c>
      <c r="N690" s="41" t="n">
        <f aca="false">L690+M690</f>
        <v>67.43</v>
      </c>
      <c r="O690" s="41" t="n">
        <f aca="false">K690-N690</f>
        <v>44.76</v>
      </c>
      <c r="P690" s="43" t="n">
        <f aca="false">IF(K690=0,0,O690/K690)</f>
        <v>0.398966039753989</v>
      </c>
    </row>
    <row r="691" customFormat="false" ht="15" hidden="false" customHeight="false" outlineLevel="0" collapsed="false">
      <c r="A691" s="39" t="s">
        <v>813</v>
      </c>
      <c r="B691" s="40" t="n">
        <v>45759</v>
      </c>
      <c r="C691" s="39" t="s">
        <v>162</v>
      </c>
      <c r="D691" s="39" t="n">
        <v>2</v>
      </c>
      <c r="E691" s="41" t="n">
        <v>64.08</v>
      </c>
      <c r="F691" s="39" t="s">
        <v>108</v>
      </c>
      <c r="G691" s="39" t="str">
        <f aca="false">VLOOKUP(C691,Products!$A$5:$D$24,2,FALSE())</f>
        <v>Bluetooth Speaker</v>
      </c>
      <c r="H691" s="39" t="str">
        <f aca="false">VLOOKUP(C691,Products!$A$5:$D$24,3,FALSE())</f>
        <v>Electronics</v>
      </c>
      <c r="I691" s="41" t="n">
        <f aca="false">VLOOKUP(C691,Products!$A$5:$D$24,4,FALSE())</f>
        <v>28</v>
      </c>
      <c r="J691" s="42" t="n">
        <f aca="false">DATE(YEAR(B691),MONTH(B691),1)</f>
        <v>45748</v>
      </c>
      <c r="K691" s="41" t="n">
        <f aca="false">D691*E691</f>
        <v>128.16</v>
      </c>
      <c r="L691" s="41" t="n">
        <f aca="false">D691*I691</f>
        <v>56</v>
      </c>
      <c r="M691" s="41" t="n">
        <f aca="false">IFERROR(INDEX(Raw_Expenses!$C$5:$C$2979,MATCH(A691,Raw_Expenses!$A$5:$A$2979,0)),0)</f>
        <v>9.8</v>
      </c>
      <c r="N691" s="41" t="n">
        <f aca="false">L691+M691</f>
        <v>65.8</v>
      </c>
      <c r="O691" s="41" t="n">
        <f aca="false">K691-N691</f>
        <v>62.36</v>
      </c>
      <c r="P691" s="43" t="n">
        <f aca="false">IF(K691=0,0,O691/K691)</f>
        <v>0.486579275905119</v>
      </c>
    </row>
    <row r="692" customFormat="false" ht="15" hidden="false" customHeight="false" outlineLevel="0" collapsed="false">
      <c r="A692" s="39" t="s">
        <v>814</v>
      </c>
      <c r="B692" s="40" t="n">
        <v>45759</v>
      </c>
      <c r="C692" s="39" t="s">
        <v>110</v>
      </c>
      <c r="D692" s="39" t="n">
        <v>3</v>
      </c>
      <c r="E692" s="41" t="n">
        <v>13.37</v>
      </c>
      <c r="F692" s="39" t="s">
        <v>118</v>
      </c>
      <c r="G692" s="39" t="str">
        <f aca="false">VLOOKUP(C692,Products!$A$5:$D$24,2,FALSE())</f>
        <v>Phone Stand</v>
      </c>
      <c r="H692" s="39" t="str">
        <f aca="false">VLOOKUP(C692,Products!$A$5:$D$24,3,FALSE())</f>
        <v>Accessories</v>
      </c>
      <c r="I692" s="41" t="n">
        <f aca="false">VLOOKUP(C692,Products!$A$5:$D$24,4,FALSE())</f>
        <v>4</v>
      </c>
      <c r="J692" s="42" t="n">
        <f aca="false">DATE(YEAR(B692),MONTH(B692),1)</f>
        <v>45748</v>
      </c>
      <c r="K692" s="41" t="n">
        <f aca="false">D692*E692</f>
        <v>40.11</v>
      </c>
      <c r="L692" s="41" t="n">
        <f aca="false">D692*I692</f>
        <v>12</v>
      </c>
      <c r="M692" s="41" t="n">
        <f aca="false">IFERROR(INDEX(Raw_Expenses!$C$5:$C$2979,MATCH(A692,Raw_Expenses!$A$5:$A$2979,0)),0)</f>
        <v>3.53</v>
      </c>
      <c r="N692" s="41" t="n">
        <f aca="false">L692+M692</f>
        <v>15.53</v>
      </c>
      <c r="O692" s="41" t="n">
        <f aca="false">K692-N692</f>
        <v>24.58</v>
      </c>
      <c r="P692" s="43" t="n">
        <f aca="false">IF(K692=0,0,O692/K692)</f>
        <v>0.612814759411618</v>
      </c>
    </row>
    <row r="693" customFormat="false" ht="15" hidden="false" customHeight="false" outlineLevel="0" collapsed="false">
      <c r="A693" s="39" t="s">
        <v>815</v>
      </c>
      <c r="B693" s="40" t="n">
        <v>45759</v>
      </c>
      <c r="C693" s="39" t="s">
        <v>136</v>
      </c>
      <c r="D693" s="39" t="n">
        <v>2</v>
      </c>
      <c r="E693" s="41" t="n">
        <v>73.6</v>
      </c>
      <c r="F693" s="39" t="s">
        <v>115</v>
      </c>
      <c r="G693" s="39" t="str">
        <f aca="false">VLOOKUP(C693,Products!$A$5:$D$24,2,FALSE())</f>
        <v>Mechanical Keyboard</v>
      </c>
      <c r="H693" s="39" t="str">
        <f aca="false">VLOOKUP(C693,Products!$A$5:$D$24,3,FALSE())</f>
        <v>Electronics</v>
      </c>
      <c r="I693" s="41" t="n">
        <f aca="false">VLOOKUP(C693,Products!$A$5:$D$24,4,FALSE())</f>
        <v>38</v>
      </c>
      <c r="J693" s="42" t="n">
        <f aca="false">DATE(YEAR(B693),MONTH(B693),1)</f>
        <v>45748</v>
      </c>
      <c r="K693" s="41" t="n">
        <f aca="false">D693*E693</f>
        <v>147.2</v>
      </c>
      <c r="L693" s="41" t="n">
        <f aca="false">D693*I693</f>
        <v>76</v>
      </c>
      <c r="M693" s="41" t="n">
        <f aca="false">IFERROR(INDEX(Raw_Expenses!$C$5:$C$2979,MATCH(A693,Raw_Expenses!$A$5:$A$2979,0)),0)</f>
        <v>9.54</v>
      </c>
      <c r="N693" s="41" t="n">
        <f aca="false">L693+M693</f>
        <v>85.54</v>
      </c>
      <c r="O693" s="41" t="n">
        <f aca="false">K693-N693</f>
        <v>61.66</v>
      </c>
      <c r="P693" s="43" t="n">
        <f aca="false">IF(K693=0,0,O693/K693)</f>
        <v>0.418885869565217</v>
      </c>
    </row>
    <row r="694" customFormat="false" ht="15" hidden="false" customHeight="false" outlineLevel="0" collapsed="false">
      <c r="A694" s="39" t="s">
        <v>816</v>
      </c>
      <c r="B694" s="40" t="n">
        <v>45759</v>
      </c>
      <c r="C694" s="39" t="s">
        <v>136</v>
      </c>
      <c r="D694" s="39" t="n">
        <v>2</v>
      </c>
      <c r="E694" s="41" t="n">
        <v>77.43</v>
      </c>
      <c r="F694" s="39" t="s">
        <v>118</v>
      </c>
      <c r="G694" s="39" t="str">
        <f aca="false">VLOOKUP(C694,Products!$A$5:$D$24,2,FALSE())</f>
        <v>Mechanical Keyboard</v>
      </c>
      <c r="H694" s="39" t="str">
        <f aca="false">VLOOKUP(C694,Products!$A$5:$D$24,3,FALSE())</f>
        <v>Electronics</v>
      </c>
      <c r="I694" s="41" t="n">
        <f aca="false">VLOOKUP(C694,Products!$A$5:$D$24,4,FALSE())</f>
        <v>38</v>
      </c>
      <c r="J694" s="42" t="n">
        <f aca="false">DATE(YEAR(B694),MONTH(B694),1)</f>
        <v>45748</v>
      </c>
      <c r="K694" s="41" t="n">
        <f aca="false">D694*E694</f>
        <v>154.86</v>
      </c>
      <c r="L694" s="41" t="n">
        <f aca="false">D694*I694</f>
        <v>76</v>
      </c>
      <c r="M694" s="41" t="n">
        <f aca="false">IFERROR(INDEX(Raw_Expenses!$C$5:$C$2979,MATCH(A694,Raw_Expenses!$A$5:$A$2979,0)),0)</f>
        <v>12.06</v>
      </c>
      <c r="N694" s="41" t="n">
        <f aca="false">L694+M694</f>
        <v>88.06</v>
      </c>
      <c r="O694" s="41" t="n">
        <f aca="false">K694-N694</f>
        <v>66.8</v>
      </c>
      <c r="P694" s="43" t="n">
        <f aca="false">IF(K694=0,0,O694/K694)</f>
        <v>0.43135735503035</v>
      </c>
    </row>
    <row r="695" customFormat="false" ht="15" hidden="false" customHeight="false" outlineLevel="0" collapsed="false">
      <c r="A695" s="39" t="s">
        <v>817</v>
      </c>
      <c r="B695" s="40" t="n">
        <v>45759</v>
      </c>
      <c r="C695" s="39" t="s">
        <v>121</v>
      </c>
      <c r="D695" s="39" t="n">
        <v>1</v>
      </c>
      <c r="E695" s="41" t="n">
        <v>116.05</v>
      </c>
      <c r="F695" s="39" t="s">
        <v>105</v>
      </c>
      <c r="G695" s="39" t="str">
        <f aca="false">VLOOKUP(C695,Products!$A$5:$D$24,2,FALSE())</f>
        <v>External SSD 1TB</v>
      </c>
      <c r="H695" s="39" t="str">
        <f aca="false">VLOOKUP(C695,Products!$A$5:$D$24,3,FALSE())</f>
        <v>Electronics</v>
      </c>
      <c r="I695" s="41" t="n">
        <f aca="false">VLOOKUP(C695,Products!$A$5:$D$24,4,FALSE())</f>
        <v>62</v>
      </c>
      <c r="J695" s="42" t="n">
        <f aca="false">DATE(YEAR(B695),MONTH(B695),1)</f>
        <v>45748</v>
      </c>
      <c r="K695" s="41" t="n">
        <f aca="false">D695*E695</f>
        <v>116.05</v>
      </c>
      <c r="L695" s="41" t="n">
        <f aca="false">D695*I695</f>
        <v>62</v>
      </c>
      <c r="M695" s="41" t="n">
        <f aca="false">IFERROR(INDEX(Raw_Expenses!$C$5:$C$2979,MATCH(A695,Raw_Expenses!$A$5:$A$2979,0)),0)</f>
        <v>9.85</v>
      </c>
      <c r="N695" s="41" t="n">
        <f aca="false">L695+M695</f>
        <v>71.85</v>
      </c>
      <c r="O695" s="41" t="n">
        <f aca="false">K695-N695</f>
        <v>44.2</v>
      </c>
      <c r="P695" s="43" t="n">
        <f aca="false">IF(K695=0,0,O695/K695)</f>
        <v>0.380870314519604</v>
      </c>
    </row>
    <row r="696" customFormat="false" ht="15" hidden="false" customHeight="false" outlineLevel="0" collapsed="false">
      <c r="A696" s="39" t="s">
        <v>818</v>
      </c>
      <c r="B696" s="40" t="n">
        <v>45759</v>
      </c>
      <c r="C696" s="39" t="s">
        <v>114</v>
      </c>
      <c r="D696" s="39" t="n">
        <v>3</v>
      </c>
      <c r="E696" s="41" t="n">
        <v>5.62</v>
      </c>
      <c r="F696" s="39" t="s">
        <v>105</v>
      </c>
      <c r="G696" s="39" t="str">
        <f aca="false">VLOOKUP(C696,Products!$A$5:$D$24,2,FALSE())</f>
        <v>Gel Pen Pack</v>
      </c>
      <c r="H696" s="39" t="str">
        <f aca="false">VLOOKUP(C696,Products!$A$5:$D$24,3,FALSE())</f>
        <v>Stationery</v>
      </c>
      <c r="I696" s="41" t="n">
        <f aca="false">VLOOKUP(C696,Products!$A$5:$D$24,4,FALSE())</f>
        <v>2</v>
      </c>
      <c r="J696" s="42" t="n">
        <f aca="false">DATE(YEAR(B696),MONTH(B696),1)</f>
        <v>45748</v>
      </c>
      <c r="K696" s="41" t="n">
        <f aca="false">D696*E696</f>
        <v>16.86</v>
      </c>
      <c r="L696" s="41" t="n">
        <f aca="false">D696*I696</f>
        <v>6</v>
      </c>
      <c r="M696" s="41" t="n">
        <f aca="false">IFERROR(INDEX(Raw_Expenses!$C$5:$C$2979,MATCH(A696,Raw_Expenses!$A$5:$A$2979,0)),0)</f>
        <v>0.81</v>
      </c>
      <c r="N696" s="41" t="n">
        <f aca="false">L696+M696</f>
        <v>6.81</v>
      </c>
      <c r="O696" s="41" t="n">
        <f aca="false">K696-N696</f>
        <v>10.05</v>
      </c>
      <c r="P696" s="43" t="n">
        <f aca="false">IF(K696=0,0,O696/K696)</f>
        <v>0.596085409252669</v>
      </c>
    </row>
    <row r="697" customFormat="false" ht="15" hidden="false" customHeight="false" outlineLevel="0" collapsed="false">
      <c r="A697" s="39" t="s">
        <v>819</v>
      </c>
      <c r="B697" s="40" t="n">
        <v>45759</v>
      </c>
      <c r="C697" s="39" t="s">
        <v>130</v>
      </c>
      <c r="D697" s="39" t="n">
        <v>6</v>
      </c>
      <c r="E697" s="41" t="n">
        <v>8.34</v>
      </c>
      <c r="F697" s="39" t="s">
        <v>118</v>
      </c>
      <c r="G697" s="39" t="str">
        <f aca="false">VLOOKUP(C697,Products!$A$5:$D$24,2,FALSE())</f>
        <v>Notebook Set</v>
      </c>
      <c r="H697" s="39" t="str">
        <f aca="false">VLOOKUP(C697,Products!$A$5:$D$24,3,FALSE())</f>
        <v>Stationery</v>
      </c>
      <c r="I697" s="41" t="n">
        <f aca="false">VLOOKUP(C697,Products!$A$5:$D$24,4,FALSE())</f>
        <v>3</v>
      </c>
      <c r="J697" s="42" t="n">
        <f aca="false">DATE(YEAR(B697),MONTH(B697),1)</f>
        <v>45748</v>
      </c>
      <c r="K697" s="41" t="n">
        <f aca="false">D697*E697</f>
        <v>50.04</v>
      </c>
      <c r="L697" s="41" t="n">
        <f aca="false">D697*I697</f>
        <v>18</v>
      </c>
      <c r="M697" s="41" t="n">
        <f aca="false">IFERROR(INDEX(Raw_Expenses!$C$5:$C$2979,MATCH(A697,Raw_Expenses!$A$5:$A$2979,0)),0)</f>
        <v>3.3</v>
      </c>
      <c r="N697" s="41" t="n">
        <f aca="false">L697+M697</f>
        <v>21.3</v>
      </c>
      <c r="O697" s="41" t="n">
        <f aca="false">K697-N697</f>
        <v>28.74</v>
      </c>
      <c r="P697" s="43" t="n">
        <f aca="false">IF(K697=0,0,O697/K697)</f>
        <v>0.574340527577938</v>
      </c>
    </row>
    <row r="698" customFormat="false" ht="15" hidden="false" customHeight="false" outlineLevel="0" collapsed="false">
      <c r="A698" s="39" t="s">
        <v>820</v>
      </c>
      <c r="B698" s="40" t="n">
        <v>45759</v>
      </c>
      <c r="C698" s="39" t="s">
        <v>126</v>
      </c>
      <c r="D698" s="39" t="n">
        <v>1</v>
      </c>
      <c r="E698" s="41" t="n">
        <v>24.04</v>
      </c>
      <c r="F698" s="39" t="s">
        <v>105</v>
      </c>
      <c r="G698" s="39" t="str">
        <f aca="false">VLOOKUP(C698,Products!$A$5:$D$24,2,FALSE())</f>
        <v>Wireless Mouse</v>
      </c>
      <c r="H698" s="39" t="str">
        <f aca="false">VLOOKUP(C698,Products!$A$5:$D$24,3,FALSE())</f>
        <v>Electronics</v>
      </c>
      <c r="I698" s="41" t="n">
        <f aca="false">VLOOKUP(C698,Products!$A$5:$D$24,4,FALSE())</f>
        <v>12</v>
      </c>
      <c r="J698" s="42" t="n">
        <f aca="false">DATE(YEAR(B698),MONTH(B698),1)</f>
        <v>45748</v>
      </c>
      <c r="K698" s="41" t="n">
        <f aca="false">D698*E698</f>
        <v>24.04</v>
      </c>
      <c r="L698" s="41" t="n">
        <f aca="false">D698*I698</f>
        <v>12</v>
      </c>
      <c r="M698" s="41" t="n">
        <f aca="false">IFERROR(INDEX(Raw_Expenses!$C$5:$C$2979,MATCH(A698,Raw_Expenses!$A$5:$A$2979,0)),0)</f>
        <v>1.46</v>
      </c>
      <c r="N698" s="41" t="n">
        <f aca="false">L698+M698</f>
        <v>13.46</v>
      </c>
      <c r="O698" s="41" t="n">
        <f aca="false">K698-N698</f>
        <v>10.58</v>
      </c>
      <c r="P698" s="43" t="n">
        <f aca="false">IF(K698=0,0,O698/K698)</f>
        <v>0.440099833610649</v>
      </c>
    </row>
    <row r="699" customFormat="false" ht="15" hidden="false" customHeight="false" outlineLevel="0" collapsed="false">
      <c r="A699" s="39" t="s">
        <v>821</v>
      </c>
      <c r="B699" s="40" t="n">
        <v>45760</v>
      </c>
      <c r="C699" s="39" t="s">
        <v>144</v>
      </c>
      <c r="D699" s="39" t="n">
        <v>3</v>
      </c>
      <c r="E699" s="41" t="n">
        <v>57.86</v>
      </c>
      <c r="F699" s="39" t="s">
        <v>105</v>
      </c>
      <c r="G699" s="39" t="str">
        <f aca="false">VLOOKUP(C699,Products!$A$5:$D$24,2,FALSE())</f>
        <v>Whiteboard</v>
      </c>
      <c r="H699" s="39" t="str">
        <f aca="false">VLOOKUP(C699,Products!$A$5:$D$24,3,FALSE())</f>
        <v>Furniture</v>
      </c>
      <c r="I699" s="41" t="n">
        <f aca="false">VLOOKUP(C699,Products!$A$5:$D$24,4,FALSE())</f>
        <v>28</v>
      </c>
      <c r="J699" s="42" t="n">
        <f aca="false">DATE(YEAR(B699),MONTH(B699),1)</f>
        <v>45748</v>
      </c>
      <c r="K699" s="41" t="n">
        <f aca="false">D699*E699</f>
        <v>173.58</v>
      </c>
      <c r="L699" s="41" t="n">
        <f aca="false">D699*I699</f>
        <v>84</v>
      </c>
      <c r="M699" s="41" t="n">
        <f aca="false">IFERROR(INDEX(Raw_Expenses!$C$5:$C$2979,MATCH(A699,Raw_Expenses!$A$5:$A$2979,0)),0)</f>
        <v>13</v>
      </c>
      <c r="N699" s="41" t="n">
        <f aca="false">L699+M699</f>
        <v>97</v>
      </c>
      <c r="O699" s="41" t="n">
        <f aca="false">K699-N699</f>
        <v>76.58</v>
      </c>
      <c r="P699" s="43" t="n">
        <f aca="false">IF(K699=0,0,O699/K699)</f>
        <v>0.44117985943081</v>
      </c>
    </row>
    <row r="700" customFormat="false" ht="15" hidden="false" customHeight="false" outlineLevel="0" collapsed="false">
      <c r="A700" s="39" t="s">
        <v>822</v>
      </c>
      <c r="B700" s="40" t="n">
        <v>45760</v>
      </c>
      <c r="C700" s="39" t="s">
        <v>162</v>
      </c>
      <c r="D700" s="39" t="n">
        <v>2</v>
      </c>
      <c r="E700" s="41" t="n">
        <v>65.07</v>
      </c>
      <c r="F700" s="39" t="s">
        <v>115</v>
      </c>
      <c r="G700" s="39" t="str">
        <f aca="false">VLOOKUP(C700,Products!$A$5:$D$24,2,FALSE())</f>
        <v>Bluetooth Speaker</v>
      </c>
      <c r="H700" s="39" t="str">
        <f aca="false">VLOOKUP(C700,Products!$A$5:$D$24,3,FALSE())</f>
        <v>Electronics</v>
      </c>
      <c r="I700" s="41" t="n">
        <f aca="false">VLOOKUP(C700,Products!$A$5:$D$24,4,FALSE())</f>
        <v>28</v>
      </c>
      <c r="J700" s="42" t="n">
        <f aca="false">DATE(YEAR(B700),MONTH(B700),1)</f>
        <v>45748</v>
      </c>
      <c r="K700" s="41" t="n">
        <f aca="false">D700*E700</f>
        <v>130.14</v>
      </c>
      <c r="L700" s="41" t="n">
        <f aca="false">D700*I700</f>
        <v>56</v>
      </c>
      <c r="M700" s="41" t="n">
        <f aca="false">IFERROR(INDEX(Raw_Expenses!$C$5:$C$2979,MATCH(A700,Raw_Expenses!$A$5:$A$2979,0)),0)</f>
        <v>10.09</v>
      </c>
      <c r="N700" s="41" t="n">
        <f aca="false">L700+M700</f>
        <v>66.09</v>
      </c>
      <c r="O700" s="41" t="n">
        <f aca="false">K700-N700</f>
        <v>64.05</v>
      </c>
      <c r="P700" s="43" t="n">
        <f aca="false">IF(K700=0,0,O700/K700)</f>
        <v>0.492162286768096</v>
      </c>
    </row>
    <row r="701" customFormat="false" ht="15" hidden="false" customHeight="false" outlineLevel="0" collapsed="false">
      <c r="A701" s="39" t="s">
        <v>823</v>
      </c>
      <c r="B701" s="40" t="n">
        <v>45760</v>
      </c>
      <c r="C701" s="39" t="s">
        <v>169</v>
      </c>
      <c r="D701" s="39" t="n">
        <v>3</v>
      </c>
      <c r="E701" s="41" t="n">
        <v>27.71</v>
      </c>
      <c r="F701" s="39" t="s">
        <v>118</v>
      </c>
      <c r="G701" s="39" t="str">
        <f aca="false">VLOOKUP(C701,Products!$A$5:$D$24,2,FALSE())</f>
        <v>Laptop Stand</v>
      </c>
      <c r="H701" s="39" t="str">
        <f aca="false">VLOOKUP(C701,Products!$A$5:$D$24,3,FALSE())</f>
        <v>Accessories</v>
      </c>
      <c r="I701" s="41" t="n">
        <f aca="false">VLOOKUP(C701,Products!$A$5:$D$24,4,FALSE())</f>
        <v>11</v>
      </c>
      <c r="J701" s="42" t="n">
        <f aca="false">DATE(YEAR(B701),MONTH(B701),1)</f>
        <v>45748</v>
      </c>
      <c r="K701" s="41" t="n">
        <f aca="false">D701*E701</f>
        <v>83.13</v>
      </c>
      <c r="L701" s="41" t="n">
        <f aca="false">D701*I701</f>
        <v>33</v>
      </c>
      <c r="M701" s="41" t="n">
        <f aca="false">IFERROR(INDEX(Raw_Expenses!$C$5:$C$2979,MATCH(A701,Raw_Expenses!$A$5:$A$2979,0)),0)</f>
        <v>3.5</v>
      </c>
      <c r="N701" s="41" t="n">
        <f aca="false">L701+M701</f>
        <v>36.5</v>
      </c>
      <c r="O701" s="41" t="n">
        <f aca="false">K701-N701</f>
        <v>46.63</v>
      </c>
      <c r="P701" s="43" t="n">
        <f aca="false">IF(K701=0,0,O701/K701)</f>
        <v>0.560928665944906</v>
      </c>
    </row>
    <row r="702" customFormat="false" ht="15" hidden="false" customHeight="false" outlineLevel="0" collapsed="false">
      <c r="A702" s="39" t="s">
        <v>824</v>
      </c>
      <c r="B702" s="40" t="n">
        <v>45760</v>
      </c>
      <c r="C702" s="39" t="s">
        <v>126</v>
      </c>
      <c r="D702" s="39" t="n">
        <v>1</v>
      </c>
      <c r="E702" s="41" t="n">
        <v>23.55</v>
      </c>
      <c r="F702" s="39" t="s">
        <v>118</v>
      </c>
      <c r="G702" s="39" t="str">
        <f aca="false">VLOOKUP(C702,Products!$A$5:$D$24,2,FALSE())</f>
        <v>Wireless Mouse</v>
      </c>
      <c r="H702" s="39" t="str">
        <f aca="false">VLOOKUP(C702,Products!$A$5:$D$24,3,FALSE())</f>
        <v>Electronics</v>
      </c>
      <c r="I702" s="41" t="n">
        <f aca="false">VLOOKUP(C702,Products!$A$5:$D$24,4,FALSE())</f>
        <v>12</v>
      </c>
      <c r="J702" s="42" t="n">
        <f aca="false">DATE(YEAR(B702),MONTH(B702),1)</f>
        <v>45748</v>
      </c>
      <c r="K702" s="41" t="n">
        <f aca="false">D702*E702</f>
        <v>23.55</v>
      </c>
      <c r="L702" s="41" t="n">
        <f aca="false">D702*I702</f>
        <v>12</v>
      </c>
      <c r="M702" s="41" t="n">
        <f aca="false">IFERROR(INDEX(Raw_Expenses!$C$5:$C$2979,MATCH(A702,Raw_Expenses!$A$5:$A$2979,0)),0)</f>
        <v>0.98</v>
      </c>
      <c r="N702" s="41" t="n">
        <f aca="false">L702+M702</f>
        <v>12.98</v>
      </c>
      <c r="O702" s="41" t="n">
        <f aca="false">K702-N702</f>
        <v>10.57</v>
      </c>
      <c r="P702" s="43" t="n">
        <f aca="false">IF(K702=0,0,O702/K702)</f>
        <v>0.448832271762208</v>
      </c>
    </row>
    <row r="703" customFormat="false" ht="15" hidden="false" customHeight="false" outlineLevel="0" collapsed="false">
      <c r="A703" s="39" t="s">
        <v>825</v>
      </c>
      <c r="B703" s="40" t="n">
        <v>45760</v>
      </c>
      <c r="C703" s="39" t="s">
        <v>153</v>
      </c>
      <c r="D703" s="39" t="n">
        <v>2</v>
      </c>
      <c r="E703" s="41" t="n">
        <v>175.7</v>
      </c>
      <c r="F703" s="39" t="s">
        <v>105</v>
      </c>
      <c r="G703" s="39" t="str">
        <f aca="false">VLOOKUP(C703,Products!$A$5:$D$24,2,FALSE())</f>
        <v>24-inch Monitor</v>
      </c>
      <c r="H703" s="39" t="str">
        <f aca="false">VLOOKUP(C703,Products!$A$5:$D$24,3,FALSE())</f>
        <v>Electronics</v>
      </c>
      <c r="I703" s="41" t="n">
        <f aca="false">VLOOKUP(C703,Products!$A$5:$D$24,4,FALSE())</f>
        <v>90</v>
      </c>
      <c r="J703" s="42" t="n">
        <f aca="false">DATE(YEAR(B703),MONTH(B703),1)</f>
        <v>45748</v>
      </c>
      <c r="K703" s="41" t="n">
        <f aca="false">D703*E703</f>
        <v>351.4</v>
      </c>
      <c r="L703" s="41" t="n">
        <f aca="false">D703*I703</f>
        <v>180</v>
      </c>
      <c r="M703" s="41" t="n">
        <f aca="false">IFERROR(INDEX(Raw_Expenses!$C$5:$C$2979,MATCH(A703,Raw_Expenses!$A$5:$A$2979,0)),0)</f>
        <v>18.72</v>
      </c>
      <c r="N703" s="41" t="n">
        <f aca="false">L703+M703</f>
        <v>198.72</v>
      </c>
      <c r="O703" s="41" t="n">
        <f aca="false">K703-N703</f>
        <v>152.68</v>
      </c>
      <c r="P703" s="43" t="n">
        <f aca="false">IF(K703=0,0,O703/K703)</f>
        <v>0.434490608992601</v>
      </c>
    </row>
    <row r="704" customFormat="false" ht="15" hidden="false" customHeight="false" outlineLevel="0" collapsed="false">
      <c r="A704" s="39" t="s">
        <v>826</v>
      </c>
      <c r="B704" s="40" t="n">
        <v>45760</v>
      </c>
      <c r="C704" s="39" t="s">
        <v>128</v>
      </c>
      <c r="D704" s="39" t="n">
        <v>5</v>
      </c>
      <c r="E704" s="41" t="n">
        <v>37.32</v>
      </c>
      <c r="F704" s="39" t="s">
        <v>115</v>
      </c>
      <c r="G704" s="39" t="str">
        <f aca="false">VLOOKUP(C704,Products!$A$5:$D$24,2,FALSE())</f>
        <v>Ergonomic Footrest</v>
      </c>
      <c r="H704" s="39" t="str">
        <f aca="false">VLOOKUP(C704,Products!$A$5:$D$24,3,FALSE())</f>
        <v>Furniture</v>
      </c>
      <c r="I704" s="41" t="n">
        <f aca="false">VLOOKUP(C704,Products!$A$5:$D$24,4,FALSE())</f>
        <v>15</v>
      </c>
      <c r="J704" s="42" t="n">
        <f aca="false">DATE(YEAR(B704),MONTH(B704),1)</f>
        <v>45748</v>
      </c>
      <c r="K704" s="41" t="n">
        <f aca="false">D704*E704</f>
        <v>186.6</v>
      </c>
      <c r="L704" s="41" t="n">
        <f aca="false">D704*I704</f>
        <v>75</v>
      </c>
      <c r="M704" s="41" t="n">
        <f aca="false">IFERROR(INDEX(Raw_Expenses!$C$5:$C$2979,MATCH(A704,Raw_Expenses!$A$5:$A$2979,0)),0)</f>
        <v>12.68</v>
      </c>
      <c r="N704" s="41" t="n">
        <f aca="false">L704+M704</f>
        <v>87.68</v>
      </c>
      <c r="O704" s="41" t="n">
        <f aca="false">K704-N704</f>
        <v>98.92</v>
      </c>
      <c r="P704" s="43" t="n">
        <f aca="false">IF(K704=0,0,O704/K704)</f>
        <v>0.530117899249732</v>
      </c>
    </row>
    <row r="705" customFormat="false" ht="15" hidden="false" customHeight="false" outlineLevel="0" collapsed="false">
      <c r="A705" s="39" t="s">
        <v>827</v>
      </c>
      <c r="B705" s="40" t="n">
        <v>45760</v>
      </c>
      <c r="C705" s="39" t="s">
        <v>177</v>
      </c>
      <c r="D705" s="39" t="n">
        <v>1</v>
      </c>
      <c r="E705" s="41" t="n">
        <v>41.95</v>
      </c>
      <c r="F705" s="39" t="s">
        <v>118</v>
      </c>
      <c r="G705" s="39" t="str">
        <f aca="false">VLOOKUP(C705,Products!$A$5:$D$24,2,FALSE())</f>
        <v>Backpack</v>
      </c>
      <c r="H705" s="39" t="str">
        <f aca="false">VLOOKUP(C705,Products!$A$5:$D$24,3,FALSE())</f>
        <v>Accessories</v>
      </c>
      <c r="I705" s="41" t="n">
        <f aca="false">VLOOKUP(C705,Products!$A$5:$D$24,4,FALSE())</f>
        <v>17</v>
      </c>
      <c r="J705" s="42" t="n">
        <f aca="false">DATE(YEAR(B705),MONTH(B705),1)</f>
        <v>45748</v>
      </c>
      <c r="K705" s="41" t="n">
        <f aca="false">D705*E705</f>
        <v>41.95</v>
      </c>
      <c r="L705" s="41" t="n">
        <f aca="false">D705*I705</f>
        <v>17</v>
      </c>
      <c r="M705" s="41" t="n">
        <f aca="false">IFERROR(INDEX(Raw_Expenses!$C$5:$C$2979,MATCH(A705,Raw_Expenses!$A$5:$A$2979,0)),0)</f>
        <v>3.42</v>
      </c>
      <c r="N705" s="41" t="n">
        <f aca="false">L705+M705</f>
        <v>20.42</v>
      </c>
      <c r="O705" s="41" t="n">
        <f aca="false">K705-N705</f>
        <v>21.53</v>
      </c>
      <c r="P705" s="43" t="n">
        <f aca="false">IF(K705=0,0,O705/K705)</f>
        <v>0.513230035756853</v>
      </c>
    </row>
    <row r="706" customFormat="false" ht="15" hidden="false" customHeight="false" outlineLevel="0" collapsed="false">
      <c r="A706" s="39" t="s">
        <v>828</v>
      </c>
      <c r="B706" s="40" t="n">
        <v>45760</v>
      </c>
      <c r="C706" s="39" t="s">
        <v>130</v>
      </c>
      <c r="D706" s="39" t="n">
        <v>1</v>
      </c>
      <c r="E706" s="41" t="n">
        <v>8.42</v>
      </c>
      <c r="F706" s="39" t="s">
        <v>115</v>
      </c>
      <c r="G706" s="39" t="str">
        <f aca="false">VLOOKUP(C706,Products!$A$5:$D$24,2,FALSE())</f>
        <v>Notebook Set</v>
      </c>
      <c r="H706" s="39" t="str">
        <f aca="false">VLOOKUP(C706,Products!$A$5:$D$24,3,FALSE())</f>
        <v>Stationery</v>
      </c>
      <c r="I706" s="41" t="n">
        <f aca="false">VLOOKUP(C706,Products!$A$5:$D$24,4,FALSE())</f>
        <v>3</v>
      </c>
      <c r="J706" s="42" t="n">
        <f aca="false">DATE(YEAR(B706),MONTH(B706),1)</f>
        <v>45748</v>
      </c>
      <c r="K706" s="41" t="n">
        <f aca="false">D706*E706</f>
        <v>8.42</v>
      </c>
      <c r="L706" s="41" t="n">
        <f aca="false">D706*I706</f>
        <v>3</v>
      </c>
      <c r="M706" s="41" t="n">
        <f aca="false">IFERROR(INDEX(Raw_Expenses!$C$5:$C$2979,MATCH(A706,Raw_Expenses!$A$5:$A$2979,0)),0)</f>
        <v>0.47</v>
      </c>
      <c r="N706" s="41" t="n">
        <f aca="false">L706+M706</f>
        <v>3.47</v>
      </c>
      <c r="O706" s="41" t="n">
        <f aca="false">K706-N706</f>
        <v>4.95</v>
      </c>
      <c r="P706" s="43" t="n">
        <f aca="false">IF(K706=0,0,O706/K706)</f>
        <v>0.587885985748219</v>
      </c>
    </row>
    <row r="707" customFormat="false" ht="15" hidden="false" customHeight="false" outlineLevel="0" collapsed="false">
      <c r="A707" s="39" t="s">
        <v>829</v>
      </c>
      <c r="B707" s="40" t="n">
        <v>45760</v>
      </c>
      <c r="C707" s="39" t="s">
        <v>112</v>
      </c>
      <c r="D707" s="39" t="n">
        <v>1</v>
      </c>
      <c r="E707" s="41" t="n">
        <v>50.66</v>
      </c>
      <c r="F707" s="39" t="s">
        <v>105</v>
      </c>
      <c r="G707" s="39" t="str">
        <f aca="false">VLOOKUP(C707,Products!$A$5:$D$24,2,FALSE())</f>
        <v>HD Webcam</v>
      </c>
      <c r="H707" s="39" t="str">
        <f aca="false">VLOOKUP(C707,Products!$A$5:$D$24,3,FALSE())</f>
        <v>Electronics</v>
      </c>
      <c r="I707" s="41" t="n">
        <f aca="false">VLOOKUP(C707,Products!$A$5:$D$24,4,FALSE())</f>
        <v>22</v>
      </c>
      <c r="J707" s="42" t="n">
        <f aca="false">DATE(YEAR(B707),MONTH(B707),1)</f>
        <v>45748</v>
      </c>
      <c r="K707" s="41" t="n">
        <f aca="false">D707*E707</f>
        <v>50.66</v>
      </c>
      <c r="L707" s="41" t="n">
        <f aca="false">D707*I707</f>
        <v>22</v>
      </c>
      <c r="M707" s="41" t="n">
        <f aca="false">IFERROR(INDEX(Raw_Expenses!$C$5:$C$2979,MATCH(A707,Raw_Expenses!$A$5:$A$2979,0)),0)</f>
        <v>3.05</v>
      </c>
      <c r="N707" s="41" t="n">
        <f aca="false">L707+M707</f>
        <v>25.05</v>
      </c>
      <c r="O707" s="41" t="n">
        <f aca="false">K707-N707</f>
        <v>25.61</v>
      </c>
      <c r="P707" s="43" t="n">
        <f aca="false">IF(K707=0,0,O707/K707)</f>
        <v>0.505527043031978</v>
      </c>
    </row>
    <row r="708" customFormat="false" ht="15" hidden="false" customHeight="false" outlineLevel="0" collapsed="false">
      <c r="A708" s="39" t="s">
        <v>830</v>
      </c>
      <c r="B708" s="40" t="n">
        <v>45760</v>
      </c>
      <c r="C708" s="39" t="s">
        <v>144</v>
      </c>
      <c r="D708" s="39" t="n">
        <v>2</v>
      </c>
      <c r="E708" s="41" t="n">
        <v>56.67</v>
      </c>
      <c r="F708" s="39" t="s">
        <v>105</v>
      </c>
      <c r="G708" s="39" t="str">
        <f aca="false">VLOOKUP(C708,Products!$A$5:$D$24,2,FALSE())</f>
        <v>Whiteboard</v>
      </c>
      <c r="H708" s="39" t="str">
        <f aca="false">VLOOKUP(C708,Products!$A$5:$D$24,3,FALSE())</f>
        <v>Furniture</v>
      </c>
      <c r="I708" s="41" t="n">
        <f aca="false">VLOOKUP(C708,Products!$A$5:$D$24,4,FALSE())</f>
        <v>28</v>
      </c>
      <c r="J708" s="42" t="n">
        <f aca="false">DATE(YEAR(B708),MONTH(B708),1)</f>
        <v>45748</v>
      </c>
      <c r="K708" s="41" t="n">
        <f aca="false">D708*E708</f>
        <v>113.34</v>
      </c>
      <c r="L708" s="41" t="n">
        <f aca="false">D708*I708</f>
        <v>56</v>
      </c>
      <c r="M708" s="41" t="n">
        <f aca="false">IFERROR(INDEX(Raw_Expenses!$C$5:$C$2979,MATCH(A708,Raw_Expenses!$A$5:$A$2979,0)),0)</f>
        <v>9.23</v>
      </c>
      <c r="N708" s="41" t="n">
        <f aca="false">L708+M708</f>
        <v>65.23</v>
      </c>
      <c r="O708" s="41" t="n">
        <f aca="false">K708-N708</f>
        <v>48.11</v>
      </c>
      <c r="P708" s="43" t="n">
        <f aca="false">IF(K708=0,0,O708/K708)</f>
        <v>0.424475030880536</v>
      </c>
    </row>
    <row r="709" customFormat="false" ht="15" hidden="false" customHeight="false" outlineLevel="0" collapsed="false">
      <c r="A709" s="39" t="s">
        <v>831</v>
      </c>
      <c r="B709" s="40" t="n">
        <v>45760</v>
      </c>
      <c r="C709" s="39" t="s">
        <v>104</v>
      </c>
      <c r="D709" s="39" t="n">
        <v>1</v>
      </c>
      <c r="E709" s="41" t="n">
        <v>15.62</v>
      </c>
      <c r="F709" s="39" t="s">
        <v>118</v>
      </c>
      <c r="G709" s="39" t="str">
        <f aca="false">VLOOKUP(C709,Products!$A$5:$D$24,2,FALSE())</f>
        <v>Water Bottle</v>
      </c>
      <c r="H709" s="39" t="str">
        <f aca="false">VLOOKUP(C709,Products!$A$5:$D$24,3,FALSE())</f>
        <v>Accessories</v>
      </c>
      <c r="I709" s="41" t="n">
        <f aca="false">VLOOKUP(C709,Products!$A$5:$D$24,4,FALSE())</f>
        <v>5</v>
      </c>
      <c r="J709" s="42" t="n">
        <f aca="false">DATE(YEAR(B709),MONTH(B709),1)</f>
        <v>45748</v>
      </c>
      <c r="K709" s="41" t="n">
        <f aca="false">D709*E709</f>
        <v>15.62</v>
      </c>
      <c r="L709" s="41" t="n">
        <f aca="false">D709*I709</f>
        <v>5</v>
      </c>
      <c r="M709" s="41" t="n">
        <f aca="false">IFERROR(INDEX(Raw_Expenses!$C$5:$C$2979,MATCH(A709,Raw_Expenses!$A$5:$A$2979,0)),0)</f>
        <v>0.9</v>
      </c>
      <c r="N709" s="41" t="n">
        <f aca="false">L709+M709</f>
        <v>5.9</v>
      </c>
      <c r="O709" s="41" t="n">
        <f aca="false">K709-N709</f>
        <v>9.72</v>
      </c>
      <c r="P709" s="43" t="n">
        <f aca="false">IF(K709=0,0,O709/K709)</f>
        <v>0.622279129321383</v>
      </c>
    </row>
    <row r="710" customFormat="false" ht="15" hidden="false" customHeight="false" outlineLevel="0" collapsed="false">
      <c r="A710" s="39" t="s">
        <v>832</v>
      </c>
      <c r="B710" s="40" t="n">
        <v>45760</v>
      </c>
      <c r="C710" s="39" t="s">
        <v>112</v>
      </c>
      <c r="D710" s="39" t="n">
        <v>2</v>
      </c>
      <c r="E710" s="41" t="n">
        <v>52.81</v>
      </c>
      <c r="F710" s="39" t="s">
        <v>105</v>
      </c>
      <c r="G710" s="39" t="str">
        <f aca="false">VLOOKUP(C710,Products!$A$5:$D$24,2,FALSE())</f>
        <v>HD Webcam</v>
      </c>
      <c r="H710" s="39" t="str">
        <f aca="false">VLOOKUP(C710,Products!$A$5:$D$24,3,FALSE())</f>
        <v>Electronics</v>
      </c>
      <c r="I710" s="41" t="n">
        <f aca="false">VLOOKUP(C710,Products!$A$5:$D$24,4,FALSE())</f>
        <v>22</v>
      </c>
      <c r="J710" s="42" t="n">
        <f aca="false">DATE(YEAR(B710),MONTH(B710),1)</f>
        <v>45748</v>
      </c>
      <c r="K710" s="41" t="n">
        <f aca="false">D710*E710</f>
        <v>105.62</v>
      </c>
      <c r="L710" s="41" t="n">
        <f aca="false">D710*I710</f>
        <v>44</v>
      </c>
      <c r="M710" s="41" t="n">
        <f aca="false">IFERROR(INDEX(Raw_Expenses!$C$5:$C$2979,MATCH(A710,Raw_Expenses!$A$5:$A$2979,0)),0)</f>
        <v>8.47</v>
      </c>
      <c r="N710" s="41" t="n">
        <f aca="false">L710+M710</f>
        <v>52.47</v>
      </c>
      <c r="O710" s="41" t="n">
        <f aca="false">K710-N710</f>
        <v>53.15</v>
      </c>
      <c r="P710" s="43" t="n">
        <f aca="false">IF(K710=0,0,O710/K710)</f>
        <v>0.503219087294073</v>
      </c>
    </row>
    <row r="711" customFormat="false" ht="15" hidden="false" customHeight="false" outlineLevel="0" collapsed="false">
      <c r="A711" s="39" t="s">
        <v>833</v>
      </c>
      <c r="B711" s="40" t="n">
        <v>45761</v>
      </c>
      <c r="C711" s="39" t="s">
        <v>112</v>
      </c>
      <c r="D711" s="39" t="n">
        <v>1</v>
      </c>
      <c r="E711" s="41" t="n">
        <v>51.82</v>
      </c>
      <c r="F711" s="39" t="s">
        <v>108</v>
      </c>
      <c r="G711" s="39" t="str">
        <f aca="false">VLOOKUP(C711,Products!$A$5:$D$24,2,FALSE())</f>
        <v>HD Webcam</v>
      </c>
      <c r="H711" s="39" t="str">
        <f aca="false">VLOOKUP(C711,Products!$A$5:$D$24,3,FALSE())</f>
        <v>Electronics</v>
      </c>
      <c r="I711" s="41" t="n">
        <f aca="false">VLOOKUP(C711,Products!$A$5:$D$24,4,FALSE())</f>
        <v>22</v>
      </c>
      <c r="J711" s="42" t="n">
        <f aca="false">DATE(YEAR(B711),MONTH(B711),1)</f>
        <v>45748</v>
      </c>
      <c r="K711" s="41" t="n">
        <f aca="false">D711*E711</f>
        <v>51.82</v>
      </c>
      <c r="L711" s="41" t="n">
        <f aca="false">D711*I711</f>
        <v>22</v>
      </c>
      <c r="M711" s="41" t="n">
        <f aca="false">IFERROR(INDEX(Raw_Expenses!$C$5:$C$2979,MATCH(A711,Raw_Expenses!$A$5:$A$2979,0)),0)</f>
        <v>4.46</v>
      </c>
      <c r="N711" s="41" t="n">
        <f aca="false">L711+M711</f>
        <v>26.46</v>
      </c>
      <c r="O711" s="41" t="n">
        <f aca="false">K711-N711</f>
        <v>25.36</v>
      </c>
      <c r="P711" s="43" t="n">
        <f aca="false">IF(K711=0,0,O711/K711)</f>
        <v>0.489386337321498</v>
      </c>
    </row>
    <row r="712" customFormat="false" ht="15" hidden="false" customHeight="false" outlineLevel="0" collapsed="false">
      <c r="A712" s="39" t="s">
        <v>834</v>
      </c>
      <c r="B712" s="40" t="n">
        <v>45761</v>
      </c>
      <c r="C712" s="39" t="s">
        <v>114</v>
      </c>
      <c r="D712" s="39" t="n">
        <v>4</v>
      </c>
      <c r="E712" s="41" t="n">
        <v>5.98</v>
      </c>
      <c r="F712" s="39" t="s">
        <v>118</v>
      </c>
      <c r="G712" s="39" t="str">
        <f aca="false">VLOOKUP(C712,Products!$A$5:$D$24,2,FALSE())</f>
        <v>Gel Pen Pack</v>
      </c>
      <c r="H712" s="39" t="str">
        <f aca="false">VLOOKUP(C712,Products!$A$5:$D$24,3,FALSE())</f>
        <v>Stationery</v>
      </c>
      <c r="I712" s="41" t="n">
        <f aca="false">VLOOKUP(C712,Products!$A$5:$D$24,4,FALSE())</f>
        <v>2</v>
      </c>
      <c r="J712" s="42" t="n">
        <f aca="false">DATE(YEAR(B712),MONTH(B712),1)</f>
        <v>45748</v>
      </c>
      <c r="K712" s="41" t="n">
        <f aca="false">D712*E712</f>
        <v>23.92</v>
      </c>
      <c r="L712" s="41" t="n">
        <f aca="false">D712*I712</f>
        <v>8</v>
      </c>
      <c r="M712" s="41" t="n">
        <f aca="false">IFERROR(INDEX(Raw_Expenses!$C$5:$C$2979,MATCH(A712,Raw_Expenses!$A$5:$A$2979,0)),0)</f>
        <v>1.28</v>
      </c>
      <c r="N712" s="41" t="n">
        <f aca="false">L712+M712</f>
        <v>9.28</v>
      </c>
      <c r="O712" s="41" t="n">
        <f aca="false">K712-N712</f>
        <v>14.64</v>
      </c>
      <c r="P712" s="43" t="n">
        <f aca="false">IF(K712=0,0,O712/K712)</f>
        <v>0.612040133779264</v>
      </c>
    </row>
    <row r="713" customFormat="false" ht="15" hidden="false" customHeight="false" outlineLevel="0" collapsed="false">
      <c r="A713" s="39" t="s">
        <v>835</v>
      </c>
      <c r="B713" s="40" t="n">
        <v>45761</v>
      </c>
      <c r="C713" s="39" t="s">
        <v>169</v>
      </c>
      <c r="D713" s="39" t="n">
        <v>3</v>
      </c>
      <c r="E713" s="41" t="n">
        <v>27.71</v>
      </c>
      <c r="F713" s="39" t="s">
        <v>108</v>
      </c>
      <c r="G713" s="39" t="str">
        <f aca="false">VLOOKUP(C713,Products!$A$5:$D$24,2,FALSE())</f>
        <v>Laptop Stand</v>
      </c>
      <c r="H713" s="39" t="str">
        <f aca="false">VLOOKUP(C713,Products!$A$5:$D$24,3,FALSE())</f>
        <v>Accessories</v>
      </c>
      <c r="I713" s="41" t="n">
        <f aca="false">VLOOKUP(C713,Products!$A$5:$D$24,4,FALSE())</f>
        <v>11</v>
      </c>
      <c r="J713" s="42" t="n">
        <f aca="false">DATE(YEAR(B713),MONTH(B713),1)</f>
        <v>45748</v>
      </c>
      <c r="K713" s="41" t="n">
        <f aca="false">D713*E713</f>
        <v>83.13</v>
      </c>
      <c r="L713" s="41" t="n">
        <f aca="false">D713*I713</f>
        <v>33</v>
      </c>
      <c r="M713" s="41" t="n">
        <f aca="false">IFERROR(INDEX(Raw_Expenses!$C$5:$C$2979,MATCH(A713,Raw_Expenses!$A$5:$A$2979,0)),0)</f>
        <v>7.45</v>
      </c>
      <c r="N713" s="41" t="n">
        <f aca="false">L713+M713</f>
        <v>40.45</v>
      </c>
      <c r="O713" s="41" t="n">
        <f aca="false">K713-N713</f>
        <v>42.68</v>
      </c>
      <c r="P713" s="43" t="n">
        <f aca="false">IF(K713=0,0,O713/K713)</f>
        <v>0.513412727054012</v>
      </c>
    </row>
    <row r="714" customFormat="false" ht="15" hidden="false" customHeight="false" outlineLevel="0" collapsed="false">
      <c r="A714" s="39" t="s">
        <v>836</v>
      </c>
      <c r="B714" s="40" t="n">
        <v>45761</v>
      </c>
      <c r="C714" s="39" t="s">
        <v>114</v>
      </c>
      <c r="D714" s="39" t="n">
        <v>1</v>
      </c>
      <c r="E714" s="41" t="n">
        <v>5.55</v>
      </c>
      <c r="F714" s="39" t="s">
        <v>108</v>
      </c>
      <c r="G714" s="39" t="str">
        <f aca="false">VLOOKUP(C714,Products!$A$5:$D$24,2,FALSE())</f>
        <v>Gel Pen Pack</v>
      </c>
      <c r="H714" s="39" t="str">
        <f aca="false">VLOOKUP(C714,Products!$A$5:$D$24,3,FALSE())</f>
        <v>Stationery</v>
      </c>
      <c r="I714" s="41" t="n">
        <f aca="false">VLOOKUP(C714,Products!$A$5:$D$24,4,FALSE())</f>
        <v>2</v>
      </c>
      <c r="J714" s="42" t="n">
        <f aca="false">DATE(YEAR(B714),MONTH(B714),1)</f>
        <v>45748</v>
      </c>
      <c r="K714" s="41" t="n">
        <f aca="false">D714*E714</f>
        <v>5.55</v>
      </c>
      <c r="L714" s="41" t="n">
        <f aca="false">D714*I714</f>
        <v>2</v>
      </c>
      <c r="M714" s="41" t="n">
        <f aca="false">IFERROR(INDEX(Raw_Expenses!$C$5:$C$2979,MATCH(A714,Raw_Expenses!$A$5:$A$2979,0)),0)</f>
        <v>0.44</v>
      </c>
      <c r="N714" s="41" t="n">
        <f aca="false">L714+M714</f>
        <v>2.44</v>
      </c>
      <c r="O714" s="41" t="n">
        <f aca="false">K714-N714</f>
        <v>3.11</v>
      </c>
      <c r="P714" s="43" t="n">
        <f aca="false">IF(K714=0,0,O714/K714)</f>
        <v>0.56036036036036</v>
      </c>
    </row>
    <row r="715" customFormat="false" ht="15" hidden="false" customHeight="false" outlineLevel="0" collapsed="false">
      <c r="A715" s="39" t="s">
        <v>837</v>
      </c>
      <c r="B715" s="40" t="n">
        <v>45761</v>
      </c>
      <c r="C715" s="39" t="s">
        <v>144</v>
      </c>
      <c r="D715" s="39" t="n">
        <v>3</v>
      </c>
      <c r="E715" s="41" t="n">
        <v>55.96</v>
      </c>
      <c r="F715" s="39" t="s">
        <v>105</v>
      </c>
      <c r="G715" s="39" t="str">
        <f aca="false">VLOOKUP(C715,Products!$A$5:$D$24,2,FALSE())</f>
        <v>Whiteboard</v>
      </c>
      <c r="H715" s="39" t="str">
        <f aca="false">VLOOKUP(C715,Products!$A$5:$D$24,3,FALSE())</f>
        <v>Furniture</v>
      </c>
      <c r="I715" s="41" t="n">
        <f aca="false">VLOOKUP(C715,Products!$A$5:$D$24,4,FALSE())</f>
        <v>28</v>
      </c>
      <c r="J715" s="42" t="n">
        <f aca="false">DATE(YEAR(B715),MONTH(B715),1)</f>
        <v>45748</v>
      </c>
      <c r="K715" s="41" t="n">
        <f aca="false">D715*E715</f>
        <v>167.88</v>
      </c>
      <c r="L715" s="41" t="n">
        <f aca="false">D715*I715</f>
        <v>84</v>
      </c>
      <c r="M715" s="41" t="n">
        <f aca="false">IFERROR(INDEX(Raw_Expenses!$C$5:$C$2979,MATCH(A715,Raw_Expenses!$A$5:$A$2979,0)),0)</f>
        <v>12.58</v>
      </c>
      <c r="N715" s="41" t="n">
        <f aca="false">L715+M715</f>
        <v>96.58</v>
      </c>
      <c r="O715" s="41" t="n">
        <f aca="false">K715-N715</f>
        <v>71.3</v>
      </c>
      <c r="P715" s="43" t="n">
        <f aca="false">IF(K715=0,0,O715/K715)</f>
        <v>0.424708124851084</v>
      </c>
    </row>
    <row r="716" customFormat="false" ht="15" hidden="false" customHeight="false" outlineLevel="0" collapsed="false">
      <c r="A716" s="39" t="s">
        <v>838</v>
      </c>
      <c r="B716" s="40" t="n">
        <v>45761</v>
      </c>
      <c r="C716" s="39" t="s">
        <v>169</v>
      </c>
      <c r="D716" s="39" t="n">
        <v>2</v>
      </c>
      <c r="E716" s="41" t="n">
        <v>28.71</v>
      </c>
      <c r="F716" s="39" t="s">
        <v>105</v>
      </c>
      <c r="G716" s="39" t="str">
        <f aca="false">VLOOKUP(C716,Products!$A$5:$D$24,2,FALSE())</f>
        <v>Laptop Stand</v>
      </c>
      <c r="H716" s="39" t="str">
        <f aca="false">VLOOKUP(C716,Products!$A$5:$D$24,3,FALSE())</f>
        <v>Accessories</v>
      </c>
      <c r="I716" s="41" t="n">
        <f aca="false">VLOOKUP(C716,Products!$A$5:$D$24,4,FALSE())</f>
        <v>11</v>
      </c>
      <c r="J716" s="42" t="n">
        <f aca="false">DATE(YEAR(B716),MONTH(B716),1)</f>
        <v>45748</v>
      </c>
      <c r="K716" s="41" t="n">
        <f aca="false">D716*E716</f>
        <v>57.42</v>
      </c>
      <c r="L716" s="41" t="n">
        <f aca="false">D716*I716</f>
        <v>22</v>
      </c>
      <c r="M716" s="41" t="n">
        <f aca="false">IFERROR(INDEX(Raw_Expenses!$C$5:$C$2979,MATCH(A716,Raw_Expenses!$A$5:$A$2979,0)),0)</f>
        <v>3.29</v>
      </c>
      <c r="N716" s="41" t="n">
        <f aca="false">L716+M716</f>
        <v>25.29</v>
      </c>
      <c r="O716" s="41" t="n">
        <f aca="false">K716-N716</f>
        <v>32.13</v>
      </c>
      <c r="P716" s="43" t="n">
        <f aca="false">IF(K716=0,0,O716/K716)</f>
        <v>0.559561128526646</v>
      </c>
    </row>
    <row r="717" customFormat="false" ht="15" hidden="false" customHeight="false" outlineLevel="0" collapsed="false">
      <c r="A717" s="39" t="s">
        <v>839</v>
      </c>
      <c r="B717" s="40" t="n">
        <v>45761</v>
      </c>
      <c r="C717" s="39" t="s">
        <v>177</v>
      </c>
      <c r="D717" s="39" t="n">
        <v>3</v>
      </c>
      <c r="E717" s="41" t="n">
        <v>44.05</v>
      </c>
      <c r="F717" s="39" t="s">
        <v>105</v>
      </c>
      <c r="G717" s="39" t="str">
        <f aca="false">VLOOKUP(C717,Products!$A$5:$D$24,2,FALSE())</f>
        <v>Backpack</v>
      </c>
      <c r="H717" s="39" t="str">
        <f aca="false">VLOOKUP(C717,Products!$A$5:$D$24,3,FALSE())</f>
        <v>Accessories</v>
      </c>
      <c r="I717" s="41" t="n">
        <f aca="false">VLOOKUP(C717,Products!$A$5:$D$24,4,FALSE())</f>
        <v>17</v>
      </c>
      <c r="J717" s="42" t="n">
        <f aca="false">DATE(YEAR(B717),MONTH(B717),1)</f>
        <v>45748</v>
      </c>
      <c r="K717" s="41" t="n">
        <f aca="false">D717*E717</f>
        <v>132.15</v>
      </c>
      <c r="L717" s="41" t="n">
        <f aca="false">D717*I717</f>
        <v>51</v>
      </c>
      <c r="M717" s="41" t="n">
        <f aca="false">IFERROR(INDEX(Raw_Expenses!$C$5:$C$2979,MATCH(A717,Raw_Expenses!$A$5:$A$2979,0)),0)</f>
        <v>5.76</v>
      </c>
      <c r="N717" s="41" t="n">
        <f aca="false">L717+M717</f>
        <v>56.76</v>
      </c>
      <c r="O717" s="41" t="n">
        <f aca="false">K717-N717</f>
        <v>75.39</v>
      </c>
      <c r="P717" s="43" t="n">
        <f aca="false">IF(K717=0,0,O717/K717)</f>
        <v>0.570488081725312</v>
      </c>
    </row>
    <row r="718" customFormat="false" ht="15" hidden="false" customHeight="false" outlineLevel="0" collapsed="false">
      <c r="A718" s="39" t="s">
        <v>840</v>
      </c>
      <c r="B718" s="40" t="n">
        <v>45761</v>
      </c>
      <c r="C718" s="39" t="s">
        <v>121</v>
      </c>
      <c r="D718" s="39" t="n">
        <v>5</v>
      </c>
      <c r="E718" s="41" t="n">
        <v>115.76</v>
      </c>
      <c r="F718" s="39" t="s">
        <v>108</v>
      </c>
      <c r="G718" s="39" t="str">
        <f aca="false">VLOOKUP(C718,Products!$A$5:$D$24,2,FALSE())</f>
        <v>External SSD 1TB</v>
      </c>
      <c r="H718" s="39" t="str">
        <f aca="false">VLOOKUP(C718,Products!$A$5:$D$24,3,FALSE())</f>
        <v>Electronics</v>
      </c>
      <c r="I718" s="41" t="n">
        <f aca="false">VLOOKUP(C718,Products!$A$5:$D$24,4,FALSE())</f>
        <v>62</v>
      </c>
      <c r="J718" s="42" t="n">
        <f aca="false">DATE(YEAR(B718),MONTH(B718),1)</f>
        <v>45748</v>
      </c>
      <c r="K718" s="41" t="n">
        <f aca="false">D718*E718</f>
        <v>578.8</v>
      </c>
      <c r="L718" s="41" t="n">
        <f aca="false">D718*I718</f>
        <v>310</v>
      </c>
      <c r="M718" s="41" t="n">
        <f aca="false">IFERROR(INDEX(Raw_Expenses!$C$5:$C$2979,MATCH(A718,Raw_Expenses!$A$5:$A$2979,0)),0)</f>
        <v>46.33</v>
      </c>
      <c r="N718" s="41" t="n">
        <f aca="false">L718+M718</f>
        <v>356.33</v>
      </c>
      <c r="O718" s="41" t="n">
        <f aca="false">K718-N718</f>
        <v>222.47</v>
      </c>
      <c r="P718" s="43" t="n">
        <f aca="false">IF(K718=0,0,O718/K718)</f>
        <v>0.384364201796821</v>
      </c>
    </row>
    <row r="719" customFormat="false" ht="15" hidden="false" customHeight="false" outlineLevel="0" collapsed="false">
      <c r="A719" s="39" t="s">
        <v>841</v>
      </c>
      <c r="B719" s="40" t="n">
        <v>45761</v>
      </c>
      <c r="C719" s="39" t="s">
        <v>117</v>
      </c>
      <c r="D719" s="39" t="n">
        <v>3</v>
      </c>
      <c r="E719" s="41" t="n">
        <v>29.62</v>
      </c>
      <c r="F719" s="39" t="s">
        <v>105</v>
      </c>
      <c r="G719" s="39" t="str">
        <f aca="false">VLOOKUP(C719,Products!$A$5:$D$24,2,FALSE())</f>
        <v>Desk Lamp</v>
      </c>
      <c r="H719" s="39" t="str">
        <f aca="false">VLOOKUP(C719,Products!$A$5:$D$24,3,FALSE())</f>
        <v>Furniture</v>
      </c>
      <c r="I719" s="41" t="n">
        <f aca="false">VLOOKUP(C719,Products!$A$5:$D$24,4,FALSE())</f>
        <v>13</v>
      </c>
      <c r="J719" s="42" t="n">
        <f aca="false">DATE(YEAR(B719),MONTH(B719),1)</f>
        <v>45748</v>
      </c>
      <c r="K719" s="41" t="n">
        <f aca="false">D719*E719</f>
        <v>88.86</v>
      </c>
      <c r="L719" s="41" t="n">
        <f aca="false">D719*I719</f>
        <v>39</v>
      </c>
      <c r="M719" s="41" t="n">
        <f aca="false">IFERROR(INDEX(Raw_Expenses!$C$5:$C$2979,MATCH(A719,Raw_Expenses!$A$5:$A$2979,0)),0)</f>
        <v>5.62</v>
      </c>
      <c r="N719" s="41" t="n">
        <f aca="false">L719+M719</f>
        <v>44.62</v>
      </c>
      <c r="O719" s="41" t="n">
        <f aca="false">K719-N719</f>
        <v>44.24</v>
      </c>
      <c r="P719" s="43" t="n">
        <f aca="false">IF(K719=0,0,O719/K719)</f>
        <v>0.497861805086653</v>
      </c>
    </row>
    <row r="720" customFormat="false" ht="15" hidden="false" customHeight="false" outlineLevel="0" collapsed="false">
      <c r="A720" s="39" t="s">
        <v>842</v>
      </c>
      <c r="B720" s="40" t="n">
        <v>45762</v>
      </c>
      <c r="C720" s="39" t="s">
        <v>112</v>
      </c>
      <c r="D720" s="39" t="n">
        <v>1</v>
      </c>
      <c r="E720" s="41" t="n">
        <v>53.35</v>
      </c>
      <c r="F720" s="39" t="s">
        <v>115</v>
      </c>
      <c r="G720" s="39" t="str">
        <f aca="false">VLOOKUP(C720,Products!$A$5:$D$24,2,FALSE())</f>
        <v>HD Webcam</v>
      </c>
      <c r="H720" s="39" t="str">
        <f aca="false">VLOOKUP(C720,Products!$A$5:$D$24,3,FALSE())</f>
        <v>Electronics</v>
      </c>
      <c r="I720" s="41" t="n">
        <f aca="false">VLOOKUP(C720,Products!$A$5:$D$24,4,FALSE())</f>
        <v>22</v>
      </c>
      <c r="J720" s="42" t="n">
        <f aca="false">DATE(YEAR(B720),MONTH(B720),1)</f>
        <v>45748</v>
      </c>
      <c r="K720" s="41" t="n">
        <f aca="false">D720*E720</f>
        <v>53.35</v>
      </c>
      <c r="L720" s="41" t="n">
        <f aca="false">D720*I720</f>
        <v>22</v>
      </c>
      <c r="M720" s="41" t="n">
        <f aca="false">IFERROR(INDEX(Raw_Expenses!$C$5:$C$2979,MATCH(A720,Raw_Expenses!$A$5:$A$2979,0)),0)</f>
        <v>0</v>
      </c>
      <c r="N720" s="41" t="n">
        <f aca="false">L720+M720</f>
        <v>22</v>
      </c>
      <c r="O720" s="41" t="n">
        <f aca="false">K720-N720</f>
        <v>31.35</v>
      </c>
      <c r="P720" s="43" t="n">
        <f aca="false">IF(K720=0,0,O720/K720)</f>
        <v>0.587628865979382</v>
      </c>
    </row>
    <row r="721" customFormat="false" ht="15" hidden="false" customHeight="false" outlineLevel="0" collapsed="false">
      <c r="A721" s="39" t="s">
        <v>843</v>
      </c>
      <c r="B721" s="40" t="n">
        <v>45762</v>
      </c>
      <c r="C721" s="39" t="s">
        <v>162</v>
      </c>
      <c r="D721" s="39" t="n">
        <v>2</v>
      </c>
      <c r="E721" s="41" t="n">
        <v>66.81</v>
      </c>
      <c r="F721" s="39" t="s">
        <v>105</v>
      </c>
      <c r="G721" s="39" t="str">
        <f aca="false">VLOOKUP(C721,Products!$A$5:$D$24,2,FALSE())</f>
        <v>Bluetooth Speaker</v>
      </c>
      <c r="H721" s="39" t="str">
        <f aca="false">VLOOKUP(C721,Products!$A$5:$D$24,3,FALSE())</f>
        <v>Electronics</v>
      </c>
      <c r="I721" s="41" t="n">
        <f aca="false">VLOOKUP(C721,Products!$A$5:$D$24,4,FALSE())</f>
        <v>28</v>
      </c>
      <c r="J721" s="42" t="n">
        <f aca="false">DATE(YEAR(B721),MONTH(B721),1)</f>
        <v>45748</v>
      </c>
      <c r="K721" s="41" t="n">
        <f aca="false">D721*E721</f>
        <v>133.62</v>
      </c>
      <c r="L721" s="41" t="n">
        <f aca="false">D721*I721</f>
        <v>56</v>
      </c>
      <c r="M721" s="41" t="n">
        <f aca="false">IFERROR(INDEX(Raw_Expenses!$C$5:$C$2979,MATCH(A721,Raw_Expenses!$A$5:$A$2979,0)),0)</f>
        <v>9.57</v>
      </c>
      <c r="N721" s="41" t="n">
        <f aca="false">L721+M721</f>
        <v>65.57</v>
      </c>
      <c r="O721" s="41" t="n">
        <f aca="false">K721-N721</f>
        <v>68.05</v>
      </c>
      <c r="P721" s="43" t="n">
        <f aca="false">IF(K721=0,0,O721/K721)</f>
        <v>0.509280047897022</v>
      </c>
    </row>
    <row r="722" customFormat="false" ht="15" hidden="false" customHeight="false" outlineLevel="0" collapsed="false">
      <c r="A722" s="39" t="s">
        <v>844</v>
      </c>
      <c r="B722" s="40" t="n">
        <v>45762</v>
      </c>
      <c r="C722" s="39" t="s">
        <v>107</v>
      </c>
      <c r="D722" s="39" t="n">
        <v>3</v>
      </c>
      <c r="E722" s="41" t="n">
        <v>33.62</v>
      </c>
      <c r="F722" s="39" t="s">
        <v>118</v>
      </c>
      <c r="G722" s="39" t="str">
        <f aca="false">VLOOKUP(C722,Products!$A$5:$D$24,2,FALSE())</f>
        <v>USB-C Hub</v>
      </c>
      <c r="H722" s="39" t="str">
        <f aca="false">VLOOKUP(C722,Products!$A$5:$D$24,3,FALSE())</f>
        <v>Electronics</v>
      </c>
      <c r="I722" s="41" t="n">
        <f aca="false">VLOOKUP(C722,Products!$A$5:$D$24,4,FALSE())</f>
        <v>14</v>
      </c>
      <c r="J722" s="42" t="n">
        <f aca="false">DATE(YEAR(B722),MONTH(B722),1)</f>
        <v>45748</v>
      </c>
      <c r="K722" s="41" t="n">
        <f aca="false">D722*E722</f>
        <v>100.86</v>
      </c>
      <c r="L722" s="41" t="n">
        <f aca="false">D722*I722</f>
        <v>42</v>
      </c>
      <c r="M722" s="41" t="n">
        <f aca="false">IFERROR(INDEX(Raw_Expenses!$C$5:$C$2979,MATCH(A722,Raw_Expenses!$A$5:$A$2979,0)),0)</f>
        <v>6.15</v>
      </c>
      <c r="N722" s="41" t="n">
        <f aca="false">L722+M722</f>
        <v>48.15</v>
      </c>
      <c r="O722" s="41" t="n">
        <f aca="false">K722-N722</f>
        <v>52.71</v>
      </c>
      <c r="P722" s="43" t="n">
        <f aca="false">IF(K722=0,0,O722/K722)</f>
        <v>0.522605591909578</v>
      </c>
    </row>
    <row r="723" customFormat="false" ht="15" hidden="false" customHeight="false" outlineLevel="0" collapsed="false">
      <c r="A723" s="39" t="s">
        <v>845</v>
      </c>
      <c r="B723" s="40" t="n">
        <v>45762</v>
      </c>
      <c r="C723" s="39" t="s">
        <v>162</v>
      </c>
      <c r="D723" s="39" t="n">
        <v>5</v>
      </c>
      <c r="E723" s="41" t="n">
        <v>63.62</v>
      </c>
      <c r="F723" s="39" t="s">
        <v>115</v>
      </c>
      <c r="G723" s="39" t="str">
        <f aca="false">VLOOKUP(C723,Products!$A$5:$D$24,2,FALSE())</f>
        <v>Bluetooth Speaker</v>
      </c>
      <c r="H723" s="39" t="str">
        <f aca="false">VLOOKUP(C723,Products!$A$5:$D$24,3,FALSE())</f>
        <v>Electronics</v>
      </c>
      <c r="I723" s="41" t="n">
        <f aca="false">VLOOKUP(C723,Products!$A$5:$D$24,4,FALSE())</f>
        <v>28</v>
      </c>
      <c r="J723" s="42" t="n">
        <f aca="false">DATE(YEAR(B723),MONTH(B723),1)</f>
        <v>45748</v>
      </c>
      <c r="K723" s="41" t="n">
        <f aca="false">D723*E723</f>
        <v>318.1</v>
      </c>
      <c r="L723" s="41" t="n">
        <f aca="false">D723*I723</f>
        <v>140</v>
      </c>
      <c r="M723" s="41" t="n">
        <f aca="false">IFERROR(INDEX(Raw_Expenses!$C$5:$C$2979,MATCH(A723,Raw_Expenses!$A$5:$A$2979,0)),0)</f>
        <v>13.47</v>
      </c>
      <c r="N723" s="41" t="n">
        <f aca="false">L723+M723</f>
        <v>153.47</v>
      </c>
      <c r="O723" s="41" t="n">
        <f aca="false">K723-N723</f>
        <v>164.63</v>
      </c>
      <c r="P723" s="43" t="n">
        <f aca="false">IF(K723=0,0,O723/K723)</f>
        <v>0.51754165356806</v>
      </c>
    </row>
    <row r="724" customFormat="false" ht="15" hidden="false" customHeight="false" outlineLevel="0" collapsed="false">
      <c r="A724" s="39" t="s">
        <v>846</v>
      </c>
      <c r="B724" s="40" t="n">
        <v>45762</v>
      </c>
      <c r="C724" s="39" t="s">
        <v>133</v>
      </c>
      <c r="D724" s="39" t="n">
        <v>2</v>
      </c>
      <c r="E724" s="41" t="n">
        <v>8.32</v>
      </c>
      <c r="F724" s="39" t="s">
        <v>108</v>
      </c>
      <c r="G724" s="39" t="str">
        <f aca="false">VLOOKUP(C724,Products!$A$5:$D$24,2,FALSE())</f>
        <v>Printer Paper Ream</v>
      </c>
      <c r="H724" s="39" t="str">
        <f aca="false">VLOOKUP(C724,Products!$A$5:$D$24,3,FALSE())</f>
        <v>Stationery</v>
      </c>
      <c r="I724" s="41" t="n">
        <f aca="false">VLOOKUP(C724,Products!$A$5:$D$24,4,FALSE())</f>
        <v>4</v>
      </c>
      <c r="J724" s="42" t="n">
        <f aca="false">DATE(YEAR(B724),MONTH(B724),1)</f>
        <v>45748</v>
      </c>
      <c r="K724" s="41" t="n">
        <f aca="false">D724*E724</f>
        <v>16.64</v>
      </c>
      <c r="L724" s="41" t="n">
        <f aca="false">D724*I724</f>
        <v>8</v>
      </c>
      <c r="M724" s="41" t="n">
        <f aca="false">IFERROR(INDEX(Raw_Expenses!$C$5:$C$2979,MATCH(A724,Raw_Expenses!$A$5:$A$2979,0)),0)</f>
        <v>1.21</v>
      </c>
      <c r="N724" s="41" t="n">
        <f aca="false">L724+M724</f>
        <v>9.21</v>
      </c>
      <c r="O724" s="41" t="n">
        <f aca="false">K724-N724</f>
        <v>7.43</v>
      </c>
      <c r="P724" s="43" t="n">
        <f aca="false">IF(K724=0,0,O724/K724)</f>
        <v>0.446514423076923</v>
      </c>
    </row>
    <row r="725" customFormat="false" ht="15" hidden="false" customHeight="false" outlineLevel="0" collapsed="false">
      <c r="A725" s="39" t="s">
        <v>847</v>
      </c>
      <c r="B725" s="40" t="n">
        <v>45762</v>
      </c>
      <c r="C725" s="39" t="s">
        <v>121</v>
      </c>
      <c r="D725" s="39" t="n">
        <v>4</v>
      </c>
      <c r="E725" s="41" t="n">
        <v>109.61</v>
      </c>
      <c r="F725" s="39" t="s">
        <v>108</v>
      </c>
      <c r="G725" s="39" t="str">
        <f aca="false">VLOOKUP(C725,Products!$A$5:$D$24,2,FALSE())</f>
        <v>External SSD 1TB</v>
      </c>
      <c r="H725" s="39" t="str">
        <f aca="false">VLOOKUP(C725,Products!$A$5:$D$24,3,FALSE())</f>
        <v>Electronics</v>
      </c>
      <c r="I725" s="41" t="n">
        <f aca="false">VLOOKUP(C725,Products!$A$5:$D$24,4,FALSE())</f>
        <v>62</v>
      </c>
      <c r="J725" s="42" t="n">
        <f aca="false">DATE(YEAR(B725),MONTH(B725),1)</f>
        <v>45748</v>
      </c>
      <c r="K725" s="41" t="n">
        <f aca="false">D725*E725</f>
        <v>438.44</v>
      </c>
      <c r="L725" s="41" t="n">
        <f aca="false">D725*I725</f>
        <v>248</v>
      </c>
      <c r="M725" s="41" t="n">
        <f aca="false">IFERROR(INDEX(Raw_Expenses!$C$5:$C$2979,MATCH(A725,Raw_Expenses!$A$5:$A$2979,0)),0)</f>
        <v>28.4</v>
      </c>
      <c r="N725" s="41" t="n">
        <f aca="false">L725+M725</f>
        <v>276.4</v>
      </c>
      <c r="O725" s="41" t="n">
        <f aca="false">K725-N725</f>
        <v>162.04</v>
      </c>
      <c r="P725" s="43" t="n">
        <f aca="false">IF(K725=0,0,O725/K725)</f>
        <v>0.369583067238391</v>
      </c>
    </row>
    <row r="726" customFormat="false" ht="15" hidden="false" customHeight="false" outlineLevel="0" collapsed="false">
      <c r="A726" s="39" t="s">
        <v>848</v>
      </c>
      <c r="B726" s="40" t="n">
        <v>45762</v>
      </c>
      <c r="C726" s="39" t="s">
        <v>128</v>
      </c>
      <c r="D726" s="39" t="n">
        <v>5</v>
      </c>
      <c r="E726" s="41" t="n">
        <v>37.8</v>
      </c>
      <c r="F726" s="39" t="s">
        <v>108</v>
      </c>
      <c r="G726" s="39" t="str">
        <f aca="false">VLOOKUP(C726,Products!$A$5:$D$24,2,FALSE())</f>
        <v>Ergonomic Footrest</v>
      </c>
      <c r="H726" s="39" t="str">
        <f aca="false">VLOOKUP(C726,Products!$A$5:$D$24,3,FALSE())</f>
        <v>Furniture</v>
      </c>
      <c r="I726" s="41" t="n">
        <f aca="false">VLOOKUP(C726,Products!$A$5:$D$24,4,FALSE())</f>
        <v>15</v>
      </c>
      <c r="J726" s="42" t="n">
        <f aca="false">DATE(YEAR(B726),MONTH(B726),1)</f>
        <v>45748</v>
      </c>
      <c r="K726" s="41" t="n">
        <f aca="false">D726*E726</f>
        <v>189</v>
      </c>
      <c r="L726" s="41" t="n">
        <f aca="false">D726*I726</f>
        <v>75</v>
      </c>
      <c r="M726" s="41" t="n">
        <f aca="false">IFERROR(INDEX(Raw_Expenses!$C$5:$C$2979,MATCH(A726,Raw_Expenses!$A$5:$A$2979,0)),0)</f>
        <v>7.74</v>
      </c>
      <c r="N726" s="41" t="n">
        <f aca="false">L726+M726</f>
        <v>82.74</v>
      </c>
      <c r="O726" s="41" t="n">
        <f aca="false">K726-N726</f>
        <v>106.26</v>
      </c>
      <c r="P726" s="43" t="n">
        <f aca="false">IF(K726=0,0,O726/K726)</f>
        <v>0.562222222222222</v>
      </c>
    </row>
    <row r="727" customFormat="false" ht="15" hidden="false" customHeight="false" outlineLevel="0" collapsed="false">
      <c r="A727" s="39" t="s">
        <v>849</v>
      </c>
      <c r="B727" s="40" t="n">
        <v>45762</v>
      </c>
      <c r="C727" s="39" t="s">
        <v>126</v>
      </c>
      <c r="D727" s="39" t="n">
        <v>2</v>
      </c>
      <c r="E727" s="41" t="n">
        <v>24.65</v>
      </c>
      <c r="F727" s="39" t="s">
        <v>108</v>
      </c>
      <c r="G727" s="39" t="str">
        <f aca="false">VLOOKUP(C727,Products!$A$5:$D$24,2,FALSE())</f>
        <v>Wireless Mouse</v>
      </c>
      <c r="H727" s="39" t="str">
        <f aca="false">VLOOKUP(C727,Products!$A$5:$D$24,3,FALSE())</f>
        <v>Electronics</v>
      </c>
      <c r="I727" s="41" t="n">
        <f aca="false">VLOOKUP(C727,Products!$A$5:$D$24,4,FALSE())</f>
        <v>12</v>
      </c>
      <c r="J727" s="42" t="n">
        <f aca="false">DATE(YEAR(B727),MONTH(B727),1)</f>
        <v>45748</v>
      </c>
      <c r="K727" s="41" t="n">
        <f aca="false">D727*E727</f>
        <v>49.3</v>
      </c>
      <c r="L727" s="41" t="n">
        <f aca="false">D727*I727</f>
        <v>24</v>
      </c>
      <c r="M727" s="41" t="n">
        <f aca="false">IFERROR(INDEX(Raw_Expenses!$C$5:$C$2979,MATCH(A727,Raw_Expenses!$A$5:$A$2979,0)),0)</f>
        <v>2.06</v>
      </c>
      <c r="N727" s="41" t="n">
        <f aca="false">L727+M727</f>
        <v>26.06</v>
      </c>
      <c r="O727" s="41" t="n">
        <f aca="false">K727-N727</f>
        <v>23.24</v>
      </c>
      <c r="P727" s="43" t="n">
        <f aca="false">IF(K727=0,0,O727/K727)</f>
        <v>0.471399594320487</v>
      </c>
    </row>
    <row r="728" customFormat="false" ht="15" hidden="false" customHeight="false" outlineLevel="0" collapsed="false">
      <c r="A728" s="39" t="s">
        <v>850</v>
      </c>
      <c r="B728" s="40" t="n">
        <v>45762</v>
      </c>
      <c r="C728" s="39" t="s">
        <v>121</v>
      </c>
      <c r="D728" s="39" t="n">
        <v>3</v>
      </c>
      <c r="E728" s="41" t="n">
        <v>114.55</v>
      </c>
      <c r="F728" s="39" t="s">
        <v>118</v>
      </c>
      <c r="G728" s="39" t="str">
        <f aca="false">VLOOKUP(C728,Products!$A$5:$D$24,2,FALSE())</f>
        <v>External SSD 1TB</v>
      </c>
      <c r="H728" s="39" t="str">
        <f aca="false">VLOOKUP(C728,Products!$A$5:$D$24,3,FALSE())</f>
        <v>Electronics</v>
      </c>
      <c r="I728" s="41" t="n">
        <f aca="false">VLOOKUP(C728,Products!$A$5:$D$24,4,FALSE())</f>
        <v>62</v>
      </c>
      <c r="J728" s="42" t="n">
        <f aca="false">DATE(YEAR(B728),MONTH(B728),1)</f>
        <v>45748</v>
      </c>
      <c r="K728" s="41" t="n">
        <f aca="false">D728*E728</f>
        <v>343.65</v>
      </c>
      <c r="L728" s="41" t="n">
        <f aca="false">D728*I728</f>
        <v>186</v>
      </c>
      <c r="M728" s="41" t="n">
        <f aca="false">IFERROR(INDEX(Raw_Expenses!$C$5:$C$2979,MATCH(A728,Raw_Expenses!$A$5:$A$2979,0)),0)</f>
        <v>27.99</v>
      </c>
      <c r="N728" s="41" t="n">
        <f aca="false">L728+M728</f>
        <v>213.99</v>
      </c>
      <c r="O728" s="41" t="n">
        <f aca="false">K728-N728</f>
        <v>129.66</v>
      </c>
      <c r="P728" s="43" t="n">
        <f aca="false">IF(K728=0,0,O728/K728)</f>
        <v>0.377302487996508</v>
      </c>
    </row>
    <row r="729" customFormat="false" ht="15" hidden="false" customHeight="false" outlineLevel="0" collapsed="false">
      <c r="A729" s="39" t="s">
        <v>851</v>
      </c>
      <c r="B729" s="40" t="n">
        <v>45762</v>
      </c>
      <c r="C729" s="39" t="s">
        <v>114</v>
      </c>
      <c r="D729" s="39" t="n">
        <v>4</v>
      </c>
      <c r="E729" s="41" t="n">
        <v>5.71</v>
      </c>
      <c r="F729" s="39" t="s">
        <v>108</v>
      </c>
      <c r="G729" s="39" t="str">
        <f aca="false">VLOOKUP(C729,Products!$A$5:$D$24,2,FALSE())</f>
        <v>Gel Pen Pack</v>
      </c>
      <c r="H729" s="39" t="str">
        <f aca="false">VLOOKUP(C729,Products!$A$5:$D$24,3,FALSE())</f>
        <v>Stationery</v>
      </c>
      <c r="I729" s="41" t="n">
        <f aca="false">VLOOKUP(C729,Products!$A$5:$D$24,4,FALSE())</f>
        <v>2</v>
      </c>
      <c r="J729" s="42" t="n">
        <f aca="false">DATE(YEAR(B729),MONTH(B729),1)</f>
        <v>45748</v>
      </c>
      <c r="K729" s="41" t="n">
        <f aca="false">D729*E729</f>
        <v>22.84</v>
      </c>
      <c r="L729" s="41" t="n">
        <f aca="false">D729*I729</f>
        <v>8</v>
      </c>
      <c r="M729" s="41" t="n">
        <f aca="false">IFERROR(INDEX(Raw_Expenses!$C$5:$C$2979,MATCH(A729,Raw_Expenses!$A$5:$A$2979,0)),0)</f>
        <v>1.87</v>
      </c>
      <c r="N729" s="41" t="n">
        <f aca="false">L729+M729</f>
        <v>9.87</v>
      </c>
      <c r="O729" s="41" t="n">
        <f aca="false">K729-N729</f>
        <v>12.97</v>
      </c>
      <c r="P729" s="43" t="n">
        <f aca="false">IF(K729=0,0,O729/K729)</f>
        <v>0.567863397548161</v>
      </c>
    </row>
    <row r="730" customFormat="false" ht="15" hidden="false" customHeight="false" outlineLevel="0" collapsed="false">
      <c r="A730" s="39" t="s">
        <v>852</v>
      </c>
      <c r="B730" s="40" t="n">
        <v>45762</v>
      </c>
      <c r="C730" s="39" t="s">
        <v>126</v>
      </c>
      <c r="D730" s="39" t="n">
        <v>2</v>
      </c>
      <c r="E730" s="41" t="n">
        <v>24.55</v>
      </c>
      <c r="F730" s="39" t="s">
        <v>115</v>
      </c>
      <c r="G730" s="39" t="str">
        <f aca="false">VLOOKUP(C730,Products!$A$5:$D$24,2,FALSE())</f>
        <v>Wireless Mouse</v>
      </c>
      <c r="H730" s="39" t="str">
        <f aca="false">VLOOKUP(C730,Products!$A$5:$D$24,3,FALSE())</f>
        <v>Electronics</v>
      </c>
      <c r="I730" s="41" t="n">
        <f aca="false">VLOOKUP(C730,Products!$A$5:$D$24,4,FALSE())</f>
        <v>12</v>
      </c>
      <c r="J730" s="42" t="n">
        <f aca="false">DATE(YEAR(B730),MONTH(B730),1)</f>
        <v>45748</v>
      </c>
      <c r="K730" s="41" t="n">
        <f aca="false">D730*E730</f>
        <v>49.1</v>
      </c>
      <c r="L730" s="41" t="n">
        <f aca="false">D730*I730</f>
        <v>24</v>
      </c>
      <c r="M730" s="41" t="n">
        <f aca="false">IFERROR(INDEX(Raw_Expenses!$C$5:$C$2979,MATCH(A730,Raw_Expenses!$A$5:$A$2979,0)),0)</f>
        <v>2.75</v>
      </c>
      <c r="N730" s="41" t="n">
        <f aca="false">L730+M730</f>
        <v>26.75</v>
      </c>
      <c r="O730" s="41" t="n">
        <f aca="false">K730-N730</f>
        <v>22.35</v>
      </c>
      <c r="P730" s="43" t="n">
        <f aca="false">IF(K730=0,0,O730/K730)</f>
        <v>0.455193482688391</v>
      </c>
    </row>
    <row r="731" customFormat="false" ht="15" hidden="false" customHeight="false" outlineLevel="0" collapsed="false">
      <c r="A731" s="39" t="s">
        <v>853</v>
      </c>
      <c r="B731" s="40" t="n">
        <v>45762</v>
      </c>
      <c r="C731" s="39" t="s">
        <v>177</v>
      </c>
      <c r="D731" s="39" t="n">
        <v>1</v>
      </c>
      <c r="E731" s="41" t="n">
        <v>42.77</v>
      </c>
      <c r="F731" s="39" t="s">
        <v>105</v>
      </c>
      <c r="G731" s="39" t="str">
        <f aca="false">VLOOKUP(C731,Products!$A$5:$D$24,2,FALSE())</f>
        <v>Backpack</v>
      </c>
      <c r="H731" s="39" t="str">
        <f aca="false">VLOOKUP(C731,Products!$A$5:$D$24,3,FALSE())</f>
        <v>Accessories</v>
      </c>
      <c r="I731" s="41" t="n">
        <f aca="false">VLOOKUP(C731,Products!$A$5:$D$24,4,FALSE())</f>
        <v>17</v>
      </c>
      <c r="J731" s="42" t="n">
        <f aca="false">DATE(YEAR(B731),MONTH(B731),1)</f>
        <v>45748</v>
      </c>
      <c r="K731" s="41" t="n">
        <f aca="false">D731*E731</f>
        <v>42.77</v>
      </c>
      <c r="L731" s="41" t="n">
        <f aca="false">D731*I731</f>
        <v>17</v>
      </c>
      <c r="M731" s="41" t="n">
        <f aca="false">IFERROR(INDEX(Raw_Expenses!$C$5:$C$2979,MATCH(A731,Raw_Expenses!$A$5:$A$2979,0)),0)</f>
        <v>3.75</v>
      </c>
      <c r="N731" s="41" t="n">
        <f aca="false">L731+M731</f>
        <v>20.75</v>
      </c>
      <c r="O731" s="41" t="n">
        <f aca="false">K731-N731</f>
        <v>22.02</v>
      </c>
      <c r="P731" s="43" t="n">
        <f aca="false">IF(K731=0,0,O731/K731)</f>
        <v>0.514846855272387</v>
      </c>
    </row>
    <row r="732" customFormat="false" ht="15" hidden="false" customHeight="false" outlineLevel="0" collapsed="false">
      <c r="A732" s="39" t="s">
        <v>854</v>
      </c>
      <c r="B732" s="40" t="n">
        <v>45762</v>
      </c>
      <c r="C732" s="39" t="s">
        <v>126</v>
      </c>
      <c r="D732" s="39" t="n">
        <v>2</v>
      </c>
      <c r="E732" s="41" t="n">
        <v>24.59</v>
      </c>
      <c r="F732" s="39" t="s">
        <v>108</v>
      </c>
      <c r="G732" s="39" t="str">
        <f aca="false">VLOOKUP(C732,Products!$A$5:$D$24,2,FALSE())</f>
        <v>Wireless Mouse</v>
      </c>
      <c r="H732" s="39" t="str">
        <f aca="false">VLOOKUP(C732,Products!$A$5:$D$24,3,FALSE())</f>
        <v>Electronics</v>
      </c>
      <c r="I732" s="41" t="n">
        <f aca="false">VLOOKUP(C732,Products!$A$5:$D$24,4,FALSE())</f>
        <v>12</v>
      </c>
      <c r="J732" s="42" t="n">
        <f aca="false">DATE(YEAR(B732),MONTH(B732),1)</f>
        <v>45748</v>
      </c>
      <c r="K732" s="41" t="n">
        <f aca="false">D732*E732</f>
        <v>49.18</v>
      </c>
      <c r="L732" s="41" t="n">
        <f aca="false">D732*I732</f>
        <v>24</v>
      </c>
      <c r="M732" s="41" t="n">
        <f aca="false">IFERROR(INDEX(Raw_Expenses!$C$5:$C$2979,MATCH(A732,Raw_Expenses!$A$5:$A$2979,0)),0)</f>
        <v>2.2</v>
      </c>
      <c r="N732" s="41" t="n">
        <f aca="false">L732+M732</f>
        <v>26.2</v>
      </c>
      <c r="O732" s="41" t="n">
        <f aca="false">K732-N732</f>
        <v>22.98</v>
      </c>
      <c r="P732" s="43" t="n">
        <f aca="false">IF(K732=0,0,O732/K732)</f>
        <v>0.467263115087434</v>
      </c>
    </row>
    <row r="733" customFormat="false" ht="15" hidden="false" customHeight="false" outlineLevel="0" collapsed="false">
      <c r="A733" s="39" t="s">
        <v>855</v>
      </c>
      <c r="B733" s="40" t="n">
        <v>45763</v>
      </c>
      <c r="C733" s="39" t="s">
        <v>130</v>
      </c>
      <c r="D733" s="39" t="n">
        <v>2</v>
      </c>
      <c r="E733" s="41" t="n">
        <v>8.93</v>
      </c>
      <c r="F733" s="39" t="s">
        <v>105</v>
      </c>
      <c r="G733" s="39" t="str">
        <f aca="false">VLOOKUP(C733,Products!$A$5:$D$24,2,FALSE())</f>
        <v>Notebook Set</v>
      </c>
      <c r="H733" s="39" t="str">
        <f aca="false">VLOOKUP(C733,Products!$A$5:$D$24,3,FALSE())</f>
        <v>Stationery</v>
      </c>
      <c r="I733" s="41" t="n">
        <f aca="false">VLOOKUP(C733,Products!$A$5:$D$24,4,FALSE())</f>
        <v>3</v>
      </c>
      <c r="J733" s="42" t="n">
        <f aca="false">DATE(YEAR(B733),MONTH(B733),1)</f>
        <v>45748</v>
      </c>
      <c r="K733" s="41" t="n">
        <f aca="false">D733*E733</f>
        <v>17.86</v>
      </c>
      <c r="L733" s="41" t="n">
        <f aca="false">D733*I733</f>
        <v>6</v>
      </c>
      <c r="M733" s="41" t="n">
        <f aca="false">IFERROR(INDEX(Raw_Expenses!$C$5:$C$2979,MATCH(A733,Raw_Expenses!$A$5:$A$2979,0)),0)</f>
        <v>0.86</v>
      </c>
      <c r="N733" s="41" t="n">
        <f aca="false">L733+M733</f>
        <v>6.86</v>
      </c>
      <c r="O733" s="41" t="n">
        <f aca="false">K733-N733</f>
        <v>11</v>
      </c>
      <c r="P733" s="43" t="n">
        <f aca="false">IF(K733=0,0,O733/K733)</f>
        <v>0.615901455767077</v>
      </c>
    </row>
    <row r="734" customFormat="false" ht="15" hidden="false" customHeight="false" outlineLevel="0" collapsed="false">
      <c r="A734" s="39" t="s">
        <v>856</v>
      </c>
      <c r="B734" s="40" t="n">
        <v>45763</v>
      </c>
      <c r="C734" s="39" t="s">
        <v>133</v>
      </c>
      <c r="D734" s="39" t="n">
        <v>1</v>
      </c>
      <c r="E734" s="41" t="n">
        <v>8.63</v>
      </c>
      <c r="F734" s="39" t="s">
        <v>118</v>
      </c>
      <c r="G734" s="39" t="str">
        <f aca="false">VLOOKUP(C734,Products!$A$5:$D$24,2,FALSE())</f>
        <v>Printer Paper Ream</v>
      </c>
      <c r="H734" s="39" t="str">
        <f aca="false">VLOOKUP(C734,Products!$A$5:$D$24,3,FALSE())</f>
        <v>Stationery</v>
      </c>
      <c r="I734" s="41" t="n">
        <f aca="false">VLOOKUP(C734,Products!$A$5:$D$24,4,FALSE())</f>
        <v>4</v>
      </c>
      <c r="J734" s="42" t="n">
        <f aca="false">DATE(YEAR(B734),MONTH(B734),1)</f>
        <v>45748</v>
      </c>
      <c r="K734" s="41" t="n">
        <f aca="false">D734*E734</f>
        <v>8.63</v>
      </c>
      <c r="L734" s="41" t="n">
        <f aca="false">D734*I734</f>
        <v>4</v>
      </c>
      <c r="M734" s="41" t="n">
        <f aca="false">IFERROR(INDEX(Raw_Expenses!$C$5:$C$2979,MATCH(A734,Raw_Expenses!$A$5:$A$2979,0)),0)</f>
        <v>0.36</v>
      </c>
      <c r="N734" s="41" t="n">
        <f aca="false">L734+M734</f>
        <v>4.36</v>
      </c>
      <c r="O734" s="41" t="n">
        <f aca="false">K734-N734</f>
        <v>4.27</v>
      </c>
      <c r="P734" s="43" t="n">
        <f aca="false">IF(K734=0,0,O734/K734)</f>
        <v>0.494785631517961</v>
      </c>
    </row>
    <row r="735" customFormat="false" ht="15" hidden="false" customHeight="false" outlineLevel="0" collapsed="false">
      <c r="A735" s="39" t="s">
        <v>857</v>
      </c>
      <c r="B735" s="40" t="n">
        <v>45763</v>
      </c>
      <c r="C735" s="39" t="s">
        <v>133</v>
      </c>
      <c r="D735" s="39" t="n">
        <v>4</v>
      </c>
      <c r="E735" s="41" t="n">
        <v>8.33</v>
      </c>
      <c r="F735" s="39" t="s">
        <v>108</v>
      </c>
      <c r="G735" s="39" t="str">
        <f aca="false">VLOOKUP(C735,Products!$A$5:$D$24,2,FALSE())</f>
        <v>Printer Paper Ream</v>
      </c>
      <c r="H735" s="39" t="str">
        <f aca="false">VLOOKUP(C735,Products!$A$5:$D$24,3,FALSE())</f>
        <v>Stationery</v>
      </c>
      <c r="I735" s="41" t="n">
        <f aca="false">VLOOKUP(C735,Products!$A$5:$D$24,4,FALSE())</f>
        <v>4</v>
      </c>
      <c r="J735" s="42" t="n">
        <f aca="false">DATE(YEAR(B735),MONTH(B735),1)</f>
        <v>45748</v>
      </c>
      <c r="K735" s="41" t="n">
        <f aca="false">D735*E735</f>
        <v>33.32</v>
      </c>
      <c r="L735" s="41" t="n">
        <f aca="false">D735*I735</f>
        <v>16</v>
      </c>
      <c r="M735" s="41" t="n">
        <f aca="false">IFERROR(INDEX(Raw_Expenses!$C$5:$C$2979,MATCH(A735,Raw_Expenses!$A$5:$A$2979,0)),0)</f>
        <v>2.38</v>
      </c>
      <c r="N735" s="41" t="n">
        <f aca="false">L735+M735</f>
        <v>18.38</v>
      </c>
      <c r="O735" s="41" t="n">
        <f aca="false">K735-N735</f>
        <v>14.94</v>
      </c>
      <c r="P735" s="43" t="n">
        <f aca="false">IF(K735=0,0,O735/K735)</f>
        <v>0.448379351740696</v>
      </c>
    </row>
    <row r="736" customFormat="false" ht="15" hidden="false" customHeight="false" outlineLevel="0" collapsed="false">
      <c r="A736" s="39" t="s">
        <v>858</v>
      </c>
      <c r="B736" s="40" t="n">
        <v>45763</v>
      </c>
      <c r="C736" s="39" t="s">
        <v>169</v>
      </c>
      <c r="D736" s="39" t="n">
        <v>1</v>
      </c>
      <c r="E736" s="41" t="n">
        <v>26.87</v>
      </c>
      <c r="F736" s="39" t="s">
        <v>115</v>
      </c>
      <c r="G736" s="39" t="str">
        <f aca="false">VLOOKUP(C736,Products!$A$5:$D$24,2,FALSE())</f>
        <v>Laptop Stand</v>
      </c>
      <c r="H736" s="39" t="str">
        <f aca="false">VLOOKUP(C736,Products!$A$5:$D$24,3,FALSE())</f>
        <v>Accessories</v>
      </c>
      <c r="I736" s="41" t="n">
        <f aca="false">VLOOKUP(C736,Products!$A$5:$D$24,4,FALSE())</f>
        <v>11</v>
      </c>
      <c r="J736" s="42" t="n">
        <f aca="false">DATE(YEAR(B736),MONTH(B736),1)</f>
        <v>45748</v>
      </c>
      <c r="K736" s="41" t="n">
        <f aca="false">D736*E736</f>
        <v>26.87</v>
      </c>
      <c r="L736" s="41" t="n">
        <f aca="false">D736*I736</f>
        <v>11</v>
      </c>
      <c r="M736" s="41" t="n">
        <f aca="false">IFERROR(INDEX(Raw_Expenses!$C$5:$C$2979,MATCH(A736,Raw_Expenses!$A$5:$A$2979,0)),0)</f>
        <v>1.94</v>
      </c>
      <c r="N736" s="41" t="n">
        <f aca="false">L736+M736</f>
        <v>12.94</v>
      </c>
      <c r="O736" s="41" t="n">
        <f aca="false">K736-N736</f>
        <v>13.93</v>
      </c>
      <c r="P736" s="43" t="n">
        <f aca="false">IF(K736=0,0,O736/K736)</f>
        <v>0.518422032005955</v>
      </c>
    </row>
    <row r="737" customFormat="false" ht="15" hidden="false" customHeight="false" outlineLevel="0" collapsed="false">
      <c r="A737" s="39" t="s">
        <v>859</v>
      </c>
      <c r="B737" s="40" t="n">
        <v>45763</v>
      </c>
      <c r="C737" s="39" t="s">
        <v>177</v>
      </c>
      <c r="D737" s="39" t="n">
        <v>4</v>
      </c>
      <c r="E737" s="41" t="n">
        <v>42.61</v>
      </c>
      <c r="F737" s="39" t="s">
        <v>108</v>
      </c>
      <c r="G737" s="39" t="str">
        <f aca="false">VLOOKUP(C737,Products!$A$5:$D$24,2,FALSE())</f>
        <v>Backpack</v>
      </c>
      <c r="H737" s="39" t="str">
        <f aca="false">VLOOKUP(C737,Products!$A$5:$D$24,3,FALSE())</f>
        <v>Accessories</v>
      </c>
      <c r="I737" s="41" t="n">
        <f aca="false">VLOOKUP(C737,Products!$A$5:$D$24,4,FALSE())</f>
        <v>17</v>
      </c>
      <c r="J737" s="42" t="n">
        <f aca="false">DATE(YEAR(B737),MONTH(B737),1)</f>
        <v>45748</v>
      </c>
      <c r="K737" s="41" t="n">
        <f aca="false">D737*E737</f>
        <v>170.44</v>
      </c>
      <c r="L737" s="41" t="n">
        <f aca="false">D737*I737</f>
        <v>68</v>
      </c>
      <c r="M737" s="41" t="n">
        <f aca="false">IFERROR(INDEX(Raw_Expenses!$C$5:$C$2979,MATCH(A737,Raw_Expenses!$A$5:$A$2979,0)),0)</f>
        <v>10.42</v>
      </c>
      <c r="N737" s="41" t="n">
        <f aca="false">L737+M737</f>
        <v>78.42</v>
      </c>
      <c r="O737" s="41" t="n">
        <f aca="false">K737-N737</f>
        <v>92.02</v>
      </c>
      <c r="P737" s="43" t="n">
        <f aca="false">IF(K737=0,0,O737/K737)</f>
        <v>0.539896737854964</v>
      </c>
    </row>
    <row r="738" customFormat="false" ht="15" hidden="false" customHeight="false" outlineLevel="0" collapsed="false">
      <c r="A738" s="39" t="s">
        <v>860</v>
      </c>
      <c r="B738" s="40" t="n">
        <v>45764</v>
      </c>
      <c r="C738" s="39" t="s">
        <v>110</v>
      </c>
      <c r="D738" s="39" t="n">
        <v>4</v>
      </c>
      <c r="E738" s="41" t="n">
        <v>13.11</v>
      </c>
      <c r="F738" s="39" t="s">
        <v>108</v>
      </c>
      <c r="G738" s="39" t="str">
        <f aca="false">VLOOKUP(C738,Products!$A$5:$D$24,2,FALSE())</f>
        <v>Phone Stand</v>
      </c>
      <c r="H738" s="39" t="str">
        <f aca="false">VLOOKUP(C738,Products!$A$5:$D$24,3,FALSE())</f>
        <v>Accessories</v>
      </c>
      <c r="I738" s="41" t="n">
        <f aca="false">VLOOKUP(C738,Products!$A$5:$D$24,4,FALSE())</f>
        <v>4</v>
      </c>
      <c r="J738" s="42" t="n">
        <f aca="false">DATE(YEAR(B738),MONTH(B738),1)</f>
        <v>45748</v>
      </c>
      <c r="K738" s="41" t="n">
        <f aca="false">D738*E738</f>
        <v>52.44</v>
      </c>
      <c r="L738" s="41" t="n">
        <f aca="false">D738*I738</f>
        <v>16</v>
      </c>
      <c r="M738" s="41" t="n">
        <f aca="false">IFERROR(INDEX(Raw_Expenses!$C$5:$C$2979,MATCH(A738,Raw_Expenses!$A$5:$A$2979,0)),0)</f>
        <v>2.76</v>
      </c>
      <c r="N738" s="41" t="n">
        <f aca="false">L738+M738</f>
        <v>18.76</v>
      </c>
      <c r="O738" s="41" t="n">
        <f aca="false">K738-N738</f>
        <v>33.68</v>
      </c>
      <c r="P738" s="43" t="n">
        <f aca="false">IF(K738=0,0,O738/K738)</f>
        <v>0.642257818459192</v>
      </c>
    </row>
    <row r="739" customFormat="false" ht="15" hidden="false" customHeight="false" outlineLevel="0" collapsed="false">
      <c r="A739" s="39" t="s">
        <v>861</v>
      </c>
      <c r="B739" s="40" t="n">
        <v>45764</v>
      </c>
      <c r="C739" s="39" t="s">
        <v>104</v>
      </c>
      <c r="D739" s="39" t="n">
        <v>2</v>
      </c>
      <c r="E739" s="41" t="n">
        <v>15.84</v>
      </c>
      <c r="F739" s="39" t="s">
        <v>118</v>
      </c>
      <c r="G739" s="39" t="str">
        <f aca="false">VLOOKUP(C739,Products!$A$5:$D$24,2,FALSE())</f>
        <v>Water Bottle</v>
      </c>
      <c r="H739" s="39" t="str">
        <f aca="false">VLOOKUP(C739,Products!$A$5:$D$24,3,FALSE())</f>
        <v>Accessories</v>
      </c>
      <c r="I739" s="41" t="n">
        <f aca="false">VLOOKUP(C739,Products!$A$5:$D$24,4,FALSE())</f>
        <v>5</v>
      </c>
      <c r="J739" s="42" t="n">
        <f aca="false">DATE(YEAR(B739),MONTH(B739),1)</f>
        <v>45748</v>
      </c>
      <c r="K739" s="41" t="n">
        <f aca="false">D739*E739</f>
        <v>31.68</v>
      </c>
      <c r="L739" s="41" t="n">
        <f aca="false">D739*I739</f>
        <v>10</v>
      </c>
      <c r="M739" s="41" t="n">
        <f aca="false">IFERROR(INDEX(Raw_Expenses!$C$5:$C$2979,MATCH(A739,Raw_Expenses!$A$5:$A$2979,0)),0)</f>
        <v>2.19</v>
      </c>
      <c r="N739" s="41" t="n">
        <f aca="false">L739+M739</f>
        <v>12.19</v>
      </c>
      <c r="O739" s="41" t="n">
        <f aca="false">K739-N739</f>
        <v>19.49</v>
      </c>
      <c r="P739" s="43" t="n">
        <f aca="false">IF(K739=0,0,O739/K739)</f>
        <v>0.615214646464647</v>
      </c>
    </row>
    <row r="740" customFormat="false" ht="15" hidden="false" customHeight="false" outlineLevel="0" collapsed="false">
      <c r="A740" s="39" t="s">
        <v>862</v>
      </c>
      <c r="B740" s="40" t="n">
        <v>45764</v>
      </c>
      <c r="C740" s="39" t="s">
        <v>126</v>
      </c>
      <c r="D740" s="39" t="n">
        <v>1</v>
      </c>
      <c r="E740" s="41" t="n">
        <v>23.21</v>
      </c>
      <c r="F740" s="39" t="s">
        <v>118</v>
      </c>
      <c r="G740" s="39" t="str">
        <f aca="false">VLOOKUP(C740,Products!$A$5:$D$24,2,FALSE())</f>
        <v>Wireless Mouse</v>
      </c>
      <c r="H740" s="39" t="str">
        <f aca="false">VLOOKUP(C740,Products!$A$5:$D$24,3,FALSE())</f>
        <v>Electronics</v>
      </c>
      <c r="I740" s="41" t="n">
        <f aca="false">VLOOKUP(C740,Products!$A$5:$D$24,4,FALSE())</f>
        <v>12</v>
      </c>
      <c r="J740" s="42" t="n">
        <f aca="false">DATE(YEAR(B740),MONTH(B740),1)</f>
        <v>45748</v>
      </c>
      <c r="K740" s="41" t="n">
        <f aca="false">D740*E740</f>
        <v>23.21</v>
      </c>
      <c r="L740" s="41" t="n">
        <f aca="false">D740*I740</f>
        <v>12</v>
      </c>
      <c r="M740" s="41" t="n">
        <f aca="false">IFERROR(INDEX(Raw_Expenses!$C$5:$C$2979,MATCH(A740,Raw_Expenses!$A$5:$A$2979,0)),0)</f>
        <v>2.01</v>
      </c>
      <c r="N740" s="41" t="n">
        <f aca="false">L740+M740</f>
        <v>14.01</v>
      </c>
      <c r="O740" s="41" t="n">
        <f aca="false">K740-N740</f>
        <v>9.2</v>
      </c>
      <c r="P740" s="43" t="n">
        <f aca="false">IF(K740=0,0,O740/K740)</f>
        <v>0.39638087031452</v>
      </c>
    </row>
    <row r="741" customFormat="false" ht="15" hidden="false" customHeight="false" outlineLevel="0" collapsed="false">
      <c r="A741" s="39" t="s">
        <v>863</v>
      </c>
      <c r="B741" s="40" t="n">
        <v>45764</v>
      </c>
      <c r="C741" s="39" t="s">
        <v>139</v>
      </c>
      <c r="D741" s="39" t="n">
        <v>3</v>
      </c>
      <c r="E741" s="41" t="n">
        <v>119.24</v>
      </c>
      <c r="F741" s="39" t="s">
        <v>118</v>
      </c>
      <c r="G741" s="39" t="str">
        <f aca="false">VLOOKUP(C741,Products!$A$5:$D$24,2,FALSE())</f>
        <v>Noise-Cancelling Headphones</v>
      </c>
      <c r="H741" s="39" t="str">
        <f aca="false">VLOOKUP(C741,Products!$A$5:$D$24,3,FALSE())</f>
        <v>Electronics</v>
      </c>
      <c r="I741" s="41" t="n">
        <f aca="false">VLOOKUP(C741,Products!$A$5:$D$24,4,FALSE())</f>
        <v>55</v>
      </c>
      <c r="J741" s="42" t="n">
        <f aca="false">DATE(YEAR(B741),MONTH(B741),1)</f>
        <v>45748</v>
      </c>
      <c r="K741" s="41" t="n">
        <f aca="false">D741*E741</f>
        <v>357.72</v>
      </c>
      <c r="L741" s="41" t="n">
        <f aca="false">D741*I741</f>
        <v>165</v>
      </c>
      <c r="M741" s="41" t="n">
        <f aca="false">IFERROR(INDEX(Raw_Expenses!$C$5:$C$2979,MATCH(A741,Raw_Expenses!$A$5:$A$2979,0)),0)</f>
        <v>16.05</v>
      </c>
      <c r="N741" s="41" t="n">
        <f aca="false">L741+M741</f>
        <v>181.05</v>
      </c>
      <c r="O741" s="41" t="n">
        <f aca="false">K741-N741</f>
        <v>176.67</v>
      </c>
      <c r="P741" s="43" t="n">
        <f aca="false">IF(K741=0,0,O741/K741)</f>
        <v>0.493877893324388</v>
      </c>
    </row>
    <row r="742" customFormat="false" ht="15" hidden="false" customHeight="false" outlineLevel="0" collapsed="false">
      <c r="A742" s="39" t="s">
        <v>864</v>
      </c>
      <c r="B742" s="40" t="n">
        <v>45764</v>
      </c>
      <c r="C742" s="39" t="s">
        <v>126</v>
      </c>
      <c r="D742" s="39" t="n">
        <v>3</v>
      </c>
      <c r="E742" s="41" t="n">
        <v>24.1</v>
      </c>
      <c r="F742" s="39" t="s">
        <v>105</v>
      </c>
      <c r="G742" s="39" t="str">
        <f aca="false">VLOOKUP(C742,Products!$A$5:$D$24,2,FALSE())</f>
        <v>Wireless Mouse</v>
      </c>
      <c r="H742" s="39" t="str">
        <f aca="false">VLOOKUP(C742,Products!$A$5:$D$24,3,FALSE())</f>
        <v>Electronics</v>
      </c>
      <c r="I742" s="41" t="n">
        <f aca="false">VLOOKUP(C742,Products!$A$5:$D$24,4,FALSE())</f>
        <v>12</v>
      </c>
      <c r="J742" s="42" t="n">
        <f aca="false">DATE(YEAR(B742),MONTH(B742),1)</f>
        <v>45748</v>
      </c>
      <c r="K742" s="41" t="n">
        <f aca="false">D742*E742</f>
        <v>72.3</v>
      </c>
      <c r="L742" s="41" t="n">
        <f aca="false">D742*I742</f>
        <v>36</v>
      </c>
      <c r="M742" s="41" t="n">
        <f aca="false">IFERROR(INDEX(Raw_Expenses!$C$5:$C$2979,MATCH(A742,Raw_Expenses!$A$5:$A$2979,0)),0)</f>
        <v>5.18</v>
      </c>
      <c r="N742" s="41" t="n">
        <f aca="false">L742+M742</f>
        <v>41.18</v>
      </c>
      <c r="O742" s="41" t="n">
        <f aca="false">K742-N742</f>
        <v>31.12</v>
      </c>
      <c r="P742" s="43" t="n">
        <f aca="false">IF(K742=0,0,O742/K742)</f>
        <v>0.430428769017981</v>
      </c>
    </row>
    <row r="743" customFormat="false" ht="15" hidden="false" customHeight="false" outlineLevel="0" collapsed="false">
      <c r="A743" s="39" t="s">
        <v>865</v>
      </c>
      <c r="B743" s="40" t="n">
        <v>45764</v>
      </c>
      <c r="C743" s="39" t="s">
        <v>117</v>
      </c>
      <c r="D743" s="39" t="n">
        <v>4</v>
      </c>
      <c r="E743" s="41" t="n">
        <v>31.07</v>
      </c>
      <c r="F743" s="39" t="s">
        <v>105</v>
      </c>
      <c r="G743" s="39" t="str">
        <f aca="false">VLOOKUP(C743,Products!$A$5:$D$24,2,FALSE())</f>
        <v>Desk Lamp</v>
      </c>
      <c r="H743" s="39" t="str">
        <f aca="false">VLOOKUP(C743,Products!$A$5:$D$24,3,FALSE())</f>
        <v>Furniture</v>
      </c>
      <c r="I743" s="41" t="n">
        <f aca="false">VLOOKUP(C743,Products!$A$5:$D$24,4,FALSE())</f>
        <v>13</v>
      </c>
      <c r="J743" s="42" t="n">
        <f aca="false">DATE(YEAR(B743),MONTH(B743),1)</f>
        <v>45748</v>
      </c>
      <c r="K743" s="41" t="n">
        <f aca="false">D743*E743</f>
        <v>124.28</v>
      </c>
      <c r="L743" s="41" t="n">
        <f aca="false">D743*I743</f>
        <v>52</v>
      </c>
      <c r="M743" s="41" t="n">
        <f aca="false">IFERROR(INDEX(Raw_Expenses!$C$5:$C$2979,MATCH(A743,Raw_Expenses!$A$5:$A$2979,0)),0)</f>
        <v>10.69</v>
      </c>
      <c r="N743" s="41" t="n">
        <f aca="false">L743+M743</f>
        <v>62.69</v>
      </c>
      <c r="O743" s="41" t="n">
        <f aca="false">K743-N743</f>
        <v>61.59</v>
      </c>
      <c r="P743" s="43" t="n">
        <f aca="false">IF(K743=0,0,O743/K743)</f>
        <v>0.495574509172836</v>
      </c>
    </row>
    <row r="744" customFormat="false" ht="15" hidden="false" customHeight="false" outlineLevel="0" collapsed="false">
      <c r="A744" s="39" t="s">
        <v>866</v>
      </c>
      <c r="B744" s="40" t="n">
        <v>45764</v>
      </c>
      <c r="C744" s="39" t="s">
        <v>130</v>
      </c>
      <c r="D744" s="39" t="n">
        <v>1</v>
      </c>
      <c r="E744" s="41" t="n">
        <v>8.74</v>
      </c>
      <c r="F744" s="39" t="s">
        <v>118</v>
      </c>
      <c r="G744" s="39" t="str">
        <f aca="false">VLOOKUP(C744,Products!$A$5:$D$24,2,FALSE())</f>
        <v>Notebook Set</v>
      </c>
      <c r="H744" s="39" t="str">
        <f aca="false">VLOOKUP(C744,Products!$A$5:$D$24,3,FALSE())</f>
        <v>Stationery</v>
      </c>
      <c r="I744" s="41" t="n">
        <f aca="false">VLOOKUP(C744,Products!$A$5:$D$24,4,FALSE())</f>
        <v>3</v>
      </c>
      <c r="J744" s="42" t="n">
        <f aca="false">DATE(YEAR(B744),MONTH(B744),1)</f>
        <v>45748</v>
      </c>
      <c r="K744" s="41" t="n">
        <f aca="false">D744*E744</f>
        <v>8.74</v>
      </c>
      <c r="L744" s="41" t="n">
        <f aca="false">D744*I744</f>
        <v>3</v>
      </c>
      <c r="M744" s="41" t="n">
        <f aca="false">IFERROR(INDEX(Raw_Expenses!$C$5:$C$2979,MATCH(A744,Raw_Expenses!$A$5:$A$2979,0)),0)</f>
        <v>0.51</v>
      </c>
      <c r="N744" s="41" t="n">
        <f aca="false">L744+M744</f>
        <v>3.51</v>
      </c>
      <c r="O744" s="41" t="n">
        <f aca="false">K744-N744</f>
        <v>5.23</v>
      </c>
      <c r="P744" s="43" t="n">
        <f aca="false">IF(K744=0,0,O744/K744)</f>
        <v>0.598398169336385</v>
      </c>
    </row>
    <row r="745" customFormat="false" ht="15" hidden="false" customHeight="false" outlineLevel="0" collapsed="false">
      <c r="A745" s="39" t="s">
        <v>867</v>
      </c>
      <c r="B745" s="40" t="n">
        <v>45764</v>
      </c>
      <c r="C745" s="39" t="s">
        <v>104</v>
      </c>
      <c r="D745" s="39" t="n">
        <v>1</v>
      </c>
      <c r="E745" s="41" t="n">
        <v>15.95</v>
      </c>
      <c r="F745" s="39" t="s">
        <v>115</v>
      </c>
      <c r="G745" s="39" t="str">
        <f aca="false">VLOOKUP(C745,Products!$A$5:$D$24,2,FALSE())</f>
        <v>Water Bottle</v>
      </c>
      <c r="H745" s="39" t="str">
        <f aca="false">VLOOKUP(C745,Products!$A$5:$D$24,3,FALSE())</f>
        <v>Accessories</v>
      </c>
      <c r="I745" s="41" t="n">
        <f aca="false">VLOOKUP(C745,Products!$A$5:$D$24,4,FALSE())</f>
        <v>5</v>
      </c>
      <c r="J745" s="42" t="n">
        <f aca="false">DATE(YEAR(B745),MONTH(B745),1)</f>
        <v>45748</v>
      </c>
      <c r="K745" s="41" t="n">
        <f aca="false">D745*E745</f>
        <v>15.95</v>
      </c>
      <c r="L745" s="41" t="n">
        <f aca="false">D745*I745</f>
        <v>5</v>
      </c>
      <c r="M745" s="41" t="n">
        <f aca="false">IFERROR(INDEX(Raw_Expenses!$C$5:$C$2979,MATCH(A745,Raw_Expenses!$A$5:$A$2979,0)),0)</f>
        <v>1.12</v>
      </c>
      <c r="N745" s="41" t="n">
        <f aca="false">L745+M745</f>
        <v>6.12</v>
      </c>
      <c r="O745" s="41" t="n">
        <f aca="false">K745-N745</f>
        <v>9.83</v>
      </c>
      <c r="P745" s="43" t="n">
        <f aca="false">IF(K745=0,0,O745/K745)</f>
        <v>0.616300940438871</v>
      </c>
    </row>
    <row r="746" customFormat="false" ht="15" hidden="false" customHeight="false" outlineLevel="0" collapsed="false">
      <c r="A746" s="39" t="s">
        <v>868</v>
      </c>
      <c r="B746" s="40" t="n">
        <v>45764</v>
      </c>
      <c r="C746" s="39" t="s">
        <v>136</v>
      </c>
      <c r="D746" s="39" t="n">
        <v>4</v>
      </c>
      <c r="E746" s="41" t="n">
        <v>76.04</v>
      </c>
      <c r="F746" s="39" t="s">
        <v>118</v>
      </c>
      <c r="G746" s="39" t="str">
        <f aca="false">VLOOKUP(C746,Products!$A$5:$D$24,2,FALSE())</f>
        <v>Mechanical Keyboard</v>
      </c>
      <c r="H746" s="39" t="str">
        <f aca="false">VLOOKUP(C746,Products!$A$5:$D$24,3,FALSE())</f>
        <v>Electronics</v>
      </c>
      <c r="I746" s="41" t="n">
        <f aca="false">VLOOKUP(C746,Products!$A$5:$D$24,4,FALSE())</f>
        <v>38</v>
      </c>
      <c r="J746" s="42" t="n">
        <f aca="false">DATE(YEAR(B746),MONTH(B746),1)</f>
        <v>45748</v>
      </c>
      <c r="K746" s="41" t="n">
        <f aca="false">D746*E746</f>
        <v>304.16</v>
      </c>
      <c r="L746" s="41" t="n">
        <f aca="false">D746*I746</f>
        <v>152</v>
      </c>
      <c r="M746" s="41" t="n">
        <f aca="false">IFERROR(INDEX(Raw_Expenses!$C$5:$C$2979,MATCH(A746,Raw_Expenses!$A$5:$A$2979,0)),0)</f>
        <v>16.49</v>
      </c>
      <c r="N746" s="41" t="n">
        <f aca="false">L746+M746</f>
        <v>168.49</v>
      </c>
      <c r="O746" s="41" t="n">
        <f aca="false">K746-N746</f>
        <v>135.67</v>
      </c>
      <c r="P746" s="43" t="n">
        <f aca="false">IF(K746=0,0,O746/K746)</f>
        <v>0.44604813256181</v>
      </c>
    </row>
    <row r="747" customFormat="false" ht="15" hidden="false" customHeight="false" outlineLevel="0" collapsed="false">
      <c r="A747" s="39" t="s">
        <v>869</v>
      </c>
      <c r="B747" s="40" t="n">
        <v>45765</v>
      </c>
      <c r="C747" s="39" t="s">
        <v>177</v>
      </c>
      <c r="D747" s="39" t="n">
        <v>2</v>
      </c>
      <c r="E747" s="41" t="n">
        <v>44.08</v>
      </c>
      <c r="F747" s="39" t="s">
        <v>115</v>
      </c>
      <c r="G747" s="39" t="str">
        <f aca="false">VLOOKUP(C747,Products!$A$5:$D$24,2,FALSE())</f>
        <v>Backpack</v>
      </c>
      <c r="H747" s="39" t="str">
        <f aca="false">VLOOKUP(C747,Products!$A$5:$D$24,3,FALSE())</f>
        <v>Accessories</v>
      </c>
      <c r="I747" s="41" t="n">
        <f aca="false">VLOOKUP(C747,Products!$A$5:$D$24,4,FALSE())</f>
        <v>17</v>
      </c>
      <c r="J747" s="42" t="n">
        <f aca="false">DATE(YEAR(B747),MONTH(B747),1)</f>
        <v>45748</v>
      </c>
      <c r="K747" s="41" t="n">
        <f aca="false">D747*E747</f>
        <v>88.16</v>
      </c>
      <c r="L747" s="41" t="n">
        <f aca="false">D747*I747</f>
        <v>34</v>
      </c>
      <c r="M747" s="41" t="n">
        <f aca="false">IFERROR(INDEX(Raw_Expenses!$C$5:$C$2979,MATCH(A747,Raw_Expenses!$A$5:$A$2979,0)),0)</f>
        <v>5.16</v>
      </c>
      <c r="N747" s="41" t="n">
        <f aca="false">L747+M747</f>
        <v>39.16</v>
      </c>
      <c r="O747" s="41" t="n">
        <f aca="false">K747-N747</f>
        <v>49</v>
      </c>
      <c r="P747" s="43" t="n">
        <f aca="false">IF(K747=0,0,O747/K747)</f>
        <v>0.555807622504537</v>
      </c>
    </row>
    <row r="748" customFormat="false" ht="15" hidden="false" customHeight="false" outlineLevel="0" collapsed="false">
      <c r="A748" s="39" t="s">
        <v>870</v>
      </c>
      <c r="B748" s="40" t="n">
        <v>45765</v>
      </c>
      <c r="C748" s="39" t="s">
        <v>133</v>
      </c>
      <c r="D748" s="39" t="n">
        <v>2</v>
      </c>
      <c r="E748" s="41" t="n">
        <v>8.32</v>
      </c>
      <c r="F748" s="39" t="s">
        <v>118</v>
      </c>
      <c r="G748" s="39" t="str">
        <f aca="false">VLOOKUP(C748,Products!$A$5:$D$24,2,FALSE())</f>
        <v>Printer Paper Ream</v>
      </c>
      <c r="H748" s="39" t="str">
        <f aca="false">VLOOKUP(C748,Products!$A$5:$D$24,3,FALSE())</f>
        <v>Stationery</v>
      </c>
      <c r="I748" s="41" t="n">
        <f aca="false">VLOOKUP(C748,Products!$A$5:$D$24,4,FALSE())</f>
        <v>4</v>
      </c>
      <c r="J748" s="42" t="n">
        <f aca="false">DATE(YEAR(B748),MONTH(B748),1)</f>
        <v>45748</v>
      </c>
      <c r="K748" s="41" t="n">
        <f aca="false">D748*E748</f>
        <v>16.64</v>
      </c>
      <c r="L748" s="41" t="n">
        <f aca="false">D748*I748</f>
        <v>8</v>
      </c>
      <c r="M748" s="41" t="n">
        <f aca="false">IFERROR(INDEX(Raw_Expenses!$C$5:$C$2979,MATCH(A748,Raw_Expenses!$A$5:$A$2979,0)),0)</f>
        <v>1.17</v>
      </c>
      <c r="N748" s="41" t="n">
        <f aca="false">L748+M748</f>
        <v>9.17</v>
      </c>
      <c r="O748" s="41" t="n">
        <f aca="false">K748-N748</f>
        <v>7.47</v>
      </c>
      <c r="P748" s="43" t="n">
        <f aca="false">IF(K748=0,0,O748/K748)</f>
        <v>0.448918269230769</v>
      </c>
    </row>
    <row r="749" customFormat="false" ht="15" hidden="false" customHeight="false" outlineLevel="0" collapsed="false">
      <c r="A749" s="39" t="s">
        <v>871</v>
      </c>
      <c r="B749" s="40" t="n">
        <v>45765</v>
      </c>
      <c r="C749" s="39" t="s">
        <v>104</v>
      </c>
      <c r="D749" s="39" t="n">
        <v>1</v>
      </c>
      <c r="E749" s="41" t="n">
        <v>14.9</v>
      </c>
      <c r="F749" s="39" t="s">
        <v>115</v>
      </c>
      <c r="G749" s="39" t="str">
        <f aca="false">VLOOKUP(C749,Products!$A$5:$D$24,2,FALSE())</f>
        <v>Water Bottle</v>
      </c>
      <c r="H749" s="39" t="str">
        <f aca="false">VLOOKUP(C749,Products!$A$5:$D$24,3,FALSE())</f>
        <v>Accessories</v>
      </c>
      <c r="I749" s="41" t="n">
        <f aca="false">VLOOKUP(C749,Products!$A$5:$D$24,4,FALSE())</f>
        <v>5</v>
      </c>
      <c r="J749" s="42" t="n">
        <f aca="false">DATE(YEAR(B749),MONTH(B749),1)</f>
        <v>45748</v>
      </c>
      <c r="K749" s="41" t="n">
        <f aca="false">D749*E749</f>
        <v>14.9</v>
      </c>
      <c r="L749" s="41" t="n">
        <f aca="false">D749*I749</f>
        <v>5</v>
      </c>
      <c r="M749" s="41" t="n">
        <f aca="false">IFERROR(INDEX(Raw_Expenses!$C$5:$C$2979,MATCH(A749,Raw_Expenses!$A$5:$A$2979,0)),0)</f>
        <v>0.81</v>
      </c>
      <c r="N749" s="41" t="n">
        <f aca="false">L749+M749</f>
        <v>5.81</v>
      </c>
      <c r="O749" s="41" t="n">
        <f aca="false">K749-N749</f>
        <v>9.09</v>
      </c>
      <c r="P749" s="43" t="n">
        <f aca="false">IF(K749=0,0,O749/K749)</f>
        <v>0.61006711409396</v>
      </c>
    </row>
    <row r="750" customFormat="false" ht="15" hidden="false" customHeight="false" outlineLevel="0" collapsed="false">
      <c r="A750" s="39" t="s">
        <v>872</v>
      </c>
      <c r="B750" s="40" t="n">
        <v>45765</v>
      </c>
      <c r="C750" s="39" t="s">
        <v>107</v>
      </c>
      <c r="D750" s="39" t="n">
        <v>3</v>
      </c>
      <c r="E750" s="41" t="n">
        <v>34.84</v>
      </c>
      <c r="F750" s="39" t="s">
        <v>115</v>
      </c>
      <c r="G750" s="39" t="str">
        <f aca="false">VLOOKUP(C750,Products!$A$5:$D$24,2,FALSE())</f>
        <v>USB-C Hub</v>
      </c>
      <c r="H750" s="39" t="str">
        <f aca="false">VLOOKUP(C750,Products!$A$5:$D$24,3,FALSE())</f>
        <v>Electronics</v>
      </c>
      <c r="I750" s="41" t="n">
        <f aca="false">VLOOKUP(C750,Products!$A$5:$D$24,4,FALSE())</f>
        <v>14</v>
      </c>
      <c r="J750" s="42" t="n">
        <f aca="false">DATE(YEAR(B750),MONTH(B750),1)</f>
        <v>45748</v>
      </c>
      <c r="K750" s="41" t="n">
        <f aca="false">D750*E750</f>
        <v>104.52</v>
      </c>
      <c r="L750" s="41" t="n">
        <f aca="false">D750*I750</f>
        <v>42</v>
      </c>
      <c r="M750" s="41" t="n">
        <f aca="false">IFERROR(INDEX(Raw_Expenses!$C$5:$C$2979,MATCH(A750,Raw_Expenses!$A$5:$A$2979,0)),0)</f>
        <v>7.6</v>
      </c>
      <c r="N750" s="41" t="n">
        <f aca="false">L750+M750</f>
        <v>49.6</v>
      </c>
      <c r="O750" s="41" t="n">
        <f aca="false">K750-N750</f>
        <v>54.92</v>
      </c>
      <c r="P750" s="43" t="n">
        <f aca="false">IF(K750=0,0,O750/K750)</f>
        <v>0.525449674703406</v>
      </c>
    </row>
    <row r="751" customFormat="false" ht="15" hidden="false" customHeight="false" outlineLevel="0" collapsed="false">
      <c r="A751" s="39" t="s">
        <v>873</v>
      </c>
      <c r="B751" s="40" t="n">
        <v>45765</v>
      </c>
      <c r="C751" s="39" t="s">
        <v>117</v>
      </c>
      <c r="D751" s="39" t="n">
        <v>1</v>
      </c>
      <c r="E751" s="41" t="n">
        <v>30.14</v>
      </c>
      <c r="F751" s="39" t="s">
        <v>105</v>
      </c>
      <c r="G751" s="39" t="str">
        <f aca="false">VLOOKUP(C751,Products!$A$5:$D$24,2,FALSE())</f>
        <v>Desk Lamp</v>
      </c>
      <c r="H751" s="39" t="str">
        <f aca="false">VLOOKUP(C751,Products!$A$5:$D$24,3,FALSE())</f>
        <v>Furniture</v>
      </c>
      <c r="I751" s="41" t="n">
        <f aca="false">VLOOKUP(C751,Products!$A$5:$D$24,4,FALSE())</f>
        <v>13</v>
      </c>
      <c r="J751" s="42" t="n">
        <f aca="false">DATE(YEAR(B751),MONTH(B751),1)</f>
        <v>45748</v>
      </c>
      <c r="K751" s="41" t="n">
        <f aca="false">D751*E751</f>
        <v>30.14</v>
      </c>
      <c r="L751" s="41" t="n">
        <f aca="false">D751*I751</f>
        <v>13</v>
      </c>
      <c r="M751" s="41" t="n">
        <f aca="false">IFERROR(INDEX(Raw_Expenses!$C$5:$C$2979,MATCH(A751,Raw_Expenses!$A$5:$A$2979,0)),0)</f>
        <v>1.8</v>
      </c>
      <c r="N751" s="41" t="n">
        <f aca="false">L751+M751</f>
        <v>14.8</v>
      </c>
      <c r="O751" s="41" t="n">
        <f aca="false">K751-N751</f>
        <v>15.34</v>
      </c>
      <c r="P751" s="43" t="n">
        <f aca="false">IF(K751=0,0,O751/K751)</f>
        <v>0.508958195089582</v>
      </c>
    </row>
    <row r="752" customFormat="false" ht="15" hidden="false" customHeight="false" outlineLevel="0" collapsed="false">
      <c r="A752" s="39" t="s">
        <v>874</v>
      </c>
      <c r="B752" s="40" t="n">
        <v>45765</v>
      </c>
      <c r="C752" s="39" t="s">
        <v>104</v>
      </c>
      <c r="D752" s="39" t="n">
        <v>2</v>
      </c>
      <c r="E752" s="41" t="n">
        <v>15.05</v>
      </c>
      <c r="F752" s="39" t="s">
        <v>118</v>
      </c>
      <c r="G752" s="39" t="str">
        <f aca="false">VLOOKUP(C752,Products!$A$5:$D$24,2,FALSE())</f>
        <v>Water Bottle</v>
      </c>
      <c r="H752" s="39" t="str">
        <f aca="false">VLOOKUP(C752,Products!$A$5:$D$24,3,FALSE())</f>
        <v>Accessories</v>
      </c>
      <c r="I752" s="41" t="n">
        <f aca="false">VLOOKUP(C752,Products!$A$5:$D$24,4,FALSE())</f>
        <v>5</v>
      </c>
      <c r="J752" s="42" t="n">
        <f aca="false">DATE(YEAR(B752),MONTH(B752),1)</f>
        <v>45748</v>
      </c>
      <c r="K752" s="41" t="n">
        <f aca="false">D752*E752</f>
        <v>30.1</v>
      </c>
      <c r="L752" s="41" t="n">
        <f aca="false">D752*I752</f>
        <v>10</v>
      </c>
      <c r="M752" s="41" t="n">
        <f aca="false">IFERROR(INDEX(Raw_Expenses!$C$5:$C$2979,MATCH(A752,Raw_Expenses!$A$5:$A$2979,0)),0)</f>
        <v>1.95</v>
      </c>
      <c r="N752" s="41" t="n">
        <f aca="false">L752+M752</f>
        <v>11.95</v>
      </c>
      <c r="O752" s="41" t="n">
        <f aca="false">K752-N752</f>
        <v>18.15</v>
      </c>
      <c r="P752" s="43" t="n">
        <f aca="false">IF(K752=0,0,O752/K752)</f>
        <v>0.602990033222591</v>
      </c>
    </row>
    <row r="753" customFormat="false" ht="15" hidden="false" customHeight="false" outlineLevel="0" collapsed="false">
      <c r="A753" s="39" t="s">
        <v>875</v>
      </c>
      <c r="B753" s="40" t="n">
        <v>45766</v>
      </c>
      <c r="C753" s="39" t="s">
        <v>136</v>
      </c>
      <c r="D753" s="39" t="n">
        <v>5</v>
      </c>
      <c r="E753" s="41" t="n">
        <v>77.68</v>
      </c>
      <c r="F753" s="39" t="s">
        <v>118</v>
      </c>
      <c r="G753" s="39" t="str">
        <f aca="false">VLOOKUP(C753,Products!$A$5:$D$24,2,FALSE())</f>
        <v>Mechanical Keyboard</v>
      </c>
      <c r="H753" s="39" t="str">
        <f aca="false">VLOOKUP(C753,Products!$A$5:$D$24,3,FALSE())</f>
        <v>Electronics</v>
      </c>
      <c r="I753" s="41" t="n">
        <f aca="false">VLOOKUP(C753,Products!$A$5:$D$24,4,FALSE())</f>
        <v>38</v>
      </c>
      <c r="J753" s="42" t="n">
        <f aca="false">DATE(YEAR(B753),MONTH(B753),1)</f>
        <v>45748</v>
      </c>
      <c r="K753" s="41" t="n">
        <f aca="false">D753*E753</f>
        <v>388.4</v>
      </c>
      <c r="L753" s="41" t="n">
        <f aca="false">D753*I753</f>
        <v>190</v>
      </c>
      <c r="M753" s="41" t="n">
        <f aca="false">IFERROR(INDEX(Raw_Expenses!$C$5:$C$2979,MATCH(A753,Raw_Expenses!$A$5:$A$2979,0)),0)</f>
        <v>28.64</v>
      </c>
      <c r="N753" s="41" t="n">
        <f aca="false">L753+M753</f>
        <v>218.64</v>
      </c>
      <c r="O753" s="41" t="n">
        <f aca="false">K753-N753</f>
        <v>169.76</v>
      </c>
      <c r="P753" s="43" t="n">
        <f aca="false">IF(K753=0,0,O753/K753)</f>
        <v>0.437075180226571</v>
      </c>
    </row>
    <row r="754" customFormat="false" ht="15" hidden="false" customHeight="false" outlineLevel="0" collapsed="false">
      <c r="A754" s="39" t="s">
        <v>876</v>
      </c>
      <c r="B754" s="40" t="n">
        <v>45766</v>
      </c>
      <c r="C754" s="39" t="s">
        <v>107</v>
      </c>
      <c r="D754" s="39" t="n">
        <v>1</v>
      </c>
      <c r="E754" s="41" t="n">
        <v>33.12</v>
      </c>
      <c r="F754" s="39" t="s">
        <v>105</v>
      </c>
      <c r="G754" s="39" t="str">
        <f aca="false">VLOOKUP(C754,Products!$A$5:$D$24,2,FALSE())</f>
        <v>USB-C Hub</v>
      </c>
      <c r="H754" s="39" t="str">
        <f aca="false">VLOOKUP(C754,Products!$A$5:$D$24,3,FALSE())</f>
        <v>Electronics</v>
      </c>
      <c r="I754" s="41" t="n">
        <f aca="false">VLOOKUP(C754,Products!$A$5:$D$24,4,FALSE())</f>
        <v>14</v>
      </c>
      <c r="J754" s="42" t="n">
        <f aca="false">DATE(YEAR(B754),MONTH(B754),1)</f>
        <v>45748</v>
      </c>
      <c r="K754" s="41" t="n">
        <f aca="false">D754*E754</f>
        <v>33.12</v>
      </c>
      <c r="L754" s="41" t="n">
        <f aca="false">D754*I754</f>
        <v>14</v>
      </c>
      <c r="M754" s="41" t="n">
        <f aca="false">IFERROR(INDEX(Raw_Expenses!$C$5:$C$2979,MATCH(A754,Raw_Expenses!$A$5:$A$2979,0)),0)</f>
        <v>1.57</v>
      </c>
      <c r="N754" s="41" t="n">
        <f aca="false">L754+M754</f>
        <v>15.57</v>
      </c>
      <c r="O754" s="41" t="n">
        <f aca="false">K754-N754</f>
        <v>17.55</v>
      </c>
      <c r="P754" s="43" t="n">
        <f aca="false">IF(K754=0,0,O754/K754)</f>
        <v>0.529891304347826</v>
      </c>
    </row>
    <row r="755" customFormat="false" ht="15" hidden="false" customHeight="false" outlineLevel="0" collapsed="false">
      <c r="A755" s="39" t="s">
        <v>877</v>
      </c>
      <c r="B755" s="40" t="n">
        <v>45766</v>
      </c>
      <c r="C755" s="39" t="s">
        <v>139</v>
      </c>
      <c r="D755" s="39" t="n">
        <v>5</v>
      </c>
      <c r="E755" s="41" t="n">
        <v>125.11</v>
      </c>
      <c r="F755" s="39" t="s">
        <v>105</v>
      </c>
      <c r="G755" s="39" t="str">
        <f aca="false">VLOOKUP(C755,Products!$A$5:$D$24,2,FALSE())</f>
        <v>Noise-Cancelling Headphones</v>
      </c>
      <c r="H755" s="39" t="str">
        <f aca="false">VLOOKUP(C755,Products!$A$5:$D$24,3,FALSE())</f>
        <v>Electronics</v>
      </c>
      <c r="I755" s="41" t="n">
        <f aca="false">VLOOKUP(C755,Products!$A$5:$D$24,4,FALSE())</f>
        <v>55</v>
      </c>
      <c r="J755" s="42" t="n">
        <f aca="false">DATE(YEAR(B755),MONTH(B755),1)</f>
        <v>45748</v>
      </c>
      <c r="K755" s="41" t="n">
        <f aca="false">D755*E755</f>
        <v>625.55</v>
      </c>
      <c r="L755" s="41" t="n">
        <f aca="false">D755*I755</f>
        <v>275</v>
      </c>
      <c r="M755" s="41" t="n">
        <f aca="false">IFERROR(INDEX(Raw_Expenses!$C$5:$C$2979,MATCH(A755,Raw_Expenses!$A$5:$A$2979,0)),0)</f>
        <v>52.1</v>
      </c>
      <c r="N755" s="41" t="n">
        <f aca="false">L755+M755</f>
        <v>327.1</v>
      </c>
      <c r="O755" s="41" t="n">
        <f aca="false">K755-N755</f>
        <v>298.45</v>
      </c>
      <c r="P755" s="43" t="n">
        <f aca="false">IF(K755=0,0,O755/K755)</f>
        <v>0.477100151866358</v>
      </c>
    </row>
    <row r="756" customFormat="false" ht="15" hidden="false" customHeight="false" outlineLevel="0" collapsed="false">
      <c r="A756" s="39" t="s">
        <v>878</v>
      </c>
      <c r="B756" s="40" t="n">
        <v>45766</v>
      </c>
      <c r="C756" s="39" t="s">
        <v>126</v>
      </c>
      <c r="D756" s="39" t="n">
        <v>1</v>
      </c>
      <c r="E756" s="41" t="n">
        <v>24.95</v>
      </c>
      <c r="F756" s="39" t="s">
        <v>105</v>
      </c>
      <c r="G756" s="39" t="str">
        <f aca="false">VLOOKUP(C756,Products!$A$5:$D$24,2,FALSE())</f>
        <v>Wireless Mouse</v>
      </c>
      <c r="H756" s="39" t="str">
        <f aca="false">VLOOKUP(C756,Products!$A$5:$D$24,3,FALSE())</f>
        <v>Electronics</v>
      </c>
      <c r="I756" s="41" t="n">
        <f aca="false">VLOOKUP(C756,Products!$A$5:$D$24,4,FALSE())</f>
        <v>12</v>
      </c>
      <c r="J756" s="42" t="n">
        <f aca="false">DATE(YEAR(B756),MONTH(B756),1)</f>
        <v>45748</v>
      </c>
      <c r="K756" s="41" t="n">
        <f aca="false">D756*E756</f>
        <v>24.95</v>
      </c>
      <c r="L756" s="41" t="n">
        <f aca="false">D756*I756</f>
        <v>12</v>
      </c>
      <c r="M756" s="41" t="n">
        <f aca="false">IFERROR(INDEX(Raw_Expenses!$C$5:$C$2979,MATCH(A756,Raw_Expenses!$A$5:$A$2979,0)),0)</f>
        <v>1.17</v>
      </c>
      <c r="N756" s="41" t="n">
        <f aca="false">L756+M756</f>
        <v>13.17</v>
      </c>
      <c r="O756" s="41" t="n">
        <f aca="false">K756-N756</f>
        <v>11.78</v>
      </c>
      <c r="P756" s="43" t="n">
        <f aca="false">IF(K756=0,0,O756/K756)</f>
        <v>0.472144288577154</v>
      </c>
    </row>
    <row r="757" customFormat="false" ht="15" hidden="false" customHeight="false" outlineLevel="0" collapsed="false">
      <c r="A757" s="39" t="s">
        <v>879</v>
      </c>
      <c r="B757" s="40" t="n">
        <v>45766</v>
      </c>
      <c r="C757" s="39" t="s">
        <v>162</v>
      </c>
      <c r="D757" s="39" t="n">
        <v>8</v>
      </c>
      <c r="E757" s="41" t="n">
        <v>68.34</v>
      </c>
      <c r="F757" s="39" t="s">
        <v>115</v>
      </c>
      <c r="G757" s="39" t="str">
        <f aca="false">VLOOKUP(C757,Products!$A$5:$D$24,2,FALSE())</f>
        <v>Bluetooth Speaker</v>
      </c>
      <c r="H757" s="39" t="str">
        <f aca="false">VLOOKUP(C757,Products!$A$5:$D$24,3,FALSE())</f>
        <v>Electronics</v>
      </c>
      <c r="I757" s="41" t="n">
        <f aca="false">VLOOKUP(C757,Products!$A$5:$D$24,4,FALSE())</f>
        <v>28</v>
      </c>
      <c r="J757" s="42" t="n">
        <f aca="false">DATE(YEAR(B757),MONTH(B757),1)</f>
        <v>45748</v>
      </c>
      <c r="K757" s="41" t="n">
        <f aca="false">D757*E757</f>
        <v>546.72</v>
      </c>
      <c r="L757" s="41" t="n">
        <f aca="false">D757*I757</f>
        <v>224</v>
      </c>
      <c r="M757" s="41" t="n">
        <f aca="false">IFERROR(INDEX(Raw_Expenses!$C$5:$C$2979,MATCH(A757,Raw_Expenses!$A$5:$A$2979,0)),0)</f>
        <v>26.21</v>
      </c>
      <c r="N757" s="41" t="n">
        <f aca="false">L757+M757</f>
        <v>250.21</v>
      </c>
      <c r="O757" s="41" t="n">
        <f aca="false">K757-N757</f>
        <v>296.51</v>
      </c>
      <c r="P757" s="43" t="n">
        <f aca="false">IF(K757=0,0,O757/K757)</f>
        <v>0.542343429909277</v>
      </c>
    </row>
    <row r="758" customFormat="false" ht="15" hidden="false" customHeight="false" outlineLevel="0" collapsed="false">
      <c r="A758" s="39" t="s">
        <v>880</v>
      </c>
      <c r="B758" s="40" t="n">
        <v>45766</v>
      </c>
      <c r="C758" s="39" t="s">
        <v>183</v>
      </c>
      <c r="D758" s="39" t="n">
        <v>2</v>
      </c>
      <c r="E758" s="41" t="n">
        <v>174.33</v>
      </c>
      <c r="F758" s="39" t="s">
        <v>105</v>
      </c>
      <c r="G758" s="39" t="str">
        <f aca="false">VLOOKUP(C758,Products!$A$5:$D$24,2,FALSE())</f>
        <v>Office Chair</v>
      </c>
      <c r="H758" s="39" t="str">
        <f aca="false">VLOOKUP(C758,Products!$A$5:$D$24,3,FALSE())</f>
        <v>Furniture</v>
      </c>
      <c r="I758" s="41" t="n">
        <f aca="false">VLOOKUP(C758,Products!$A$5:$D$24,4,FALSE())</f>
        <v>85</v>
      </c>
      <c r="J758" s="42" t="n">
        <f aca="false">DATE(YEAR(B758),MONTH(B758),1)</f>
        <v>45748</v>
      </c>
      <c r="K758" s="41" t="n">
        <f aca="false">D758*E758</f>
        <v>348.66</v>
      </c>
      <c r="L758" s="41" t="n">
        <f aca="false">D758*I758</f>
        <v>170</v>
      </c>
      <c r="M758" s="41" t="n">
        <f aca="false">IFERROR(INDEX(Raw_Expenses!$C$5:$C$2979,MATCH(A758,Raw_Expenses!$A$5:$A$2979,0)),0)</f>
        <v>15.24</v>
      </c>
      <c r="N758" s="41" t="n">
        <f aca="false">L758+M758</f>
        <v>185.24</v>
      </c>
      <c r="O758" s="41" t="n">
        <f aca="false">K758-N758</f>
        <v>163.42</v>
      </c>
      <c r="P758" s="43" t="n">
        <f aca="false">IF(K758=0,0,O758/K758)</f>
        <v>0.468708770722194</v>
      </c>
    </row>
    <row r="759" customFormat="false" ht="15" hidden="false" customHeight="false" outlineLevel="0" collapsed="false">
      <c r="A759" s="39" t="s">
        <v>881</v>
      </c>
      <c r="B759" s="40" t="n">
        <v>45766</v>
      </c>
      <c r="C759" s="39" t="s">
        <v>104</v>
      </c>
      <c r="D759" s="39" t="n">
        <v>2</v>
      </c>
      <c r="E759" s="41" t="n">
        <v>15.36</v>
      </c>
      <c r="F759" s="39" t="s">
        <v>105</v>
      </c>
      <c r="G759" s="39" t="str">
        <f aca="false">VLOOKUP(C759,Products!$A$5:$D$24,2,FALSE())</f>
        <v>Water Bottle</v>
      </c>
      <c r="H759" s="39" t="str">
        <f aca="false">VLOOKUP(C759,Products!$A$5:$D$24,3,FALSE())</f>
        <v>Accessories</v>
      </c>
      <c r="I759" s="41" t="n">
        <f aca="false">VLOOKUP(C759,Products!$A$5:$D$24,4,FALSE())</f>
        <v>5</v>
      </c>
      <c r="J759" s="42" t="n">
        <f aca="false">DATE(YEAR(B759),MONTH(B759),1)</f>
        <v>45748</v>
      </c>
      <c r="K759" s="41" t="n">
        <f aca="false">D759*E759</f>
        <v>30.72</v>
      </c>
      <c r="L759" s="41" t="n">
        <f aca="false">D759*I759</f>
        <v>10</v>
      </c>
      <c r="M759" s="41" t="n">
        <f aca="false">IFERROR(INDEX(Raw_Expenses!$C$5:$C$2979,MATCH(A759,Raw_Expenses!$A$5:$A$2979,0)),0)</f>
        <v>2.46</v>
      </c>
      <c r="N759" s="41" t="n">
        <f aca="false">L759+M759</f>
        <v>12.46</v>
      </c>
      <c r="O759" s="41" t="n">
        <f aca="false">K759-N759</f>
        <v>18.26</v>
      </c>
      <c r="P759" s="43" t="n">
        <f aca="false">IF(K759=0,0,O759/K759)</f>
        <v>0.594401041666667</v>
      </c>
    </row>
    <row r="760" customFormat="false" ht="15" hidden="false" customHeight="false" outlineLevel="0" collapsed="false">
      <c r="A760" s="39" t="s">
        <v>882</v>
      </c>
      <c r="B760" s="40" t="n">
        <v>45766</v>
      </c>
      <c r="C760" s="39" t="s">
        <v>153</v>
      </c>
      <c r="D760" s="39" t="n">
        <v>2</v>
      </c>
      <c r="E760" s="41" t="n">
        <v>168.53</v>
      </c>
      <c r="F760" s="39" t="s">
        <v>108</v>
      </c>
      <c r="G760" s="39" t="str">
        <f aca="false">VLOOKUP(C760,Products!$A$5:$D$24,2,FALSE())</f>
        <v>24-inch Monitor</v>
      </c>
      <c r="H760" s="39" t="str">
        <f aca="false">VLOOKUP(C760,Products!$A$5:$D$24,3,FALSE())</f>
        <v>Electronics</v>
      </c>
      <c r="I760" s="41" t="n">
        <f aca="false">VLOOKUP(C760,Products!$A$5:$D$24,4,FALSE())</f>
        <v>90</v>
      </c>
      <c r="J760" s="42" t="n">
        <f aca="false">DATE(YEAR(B760),MONTH(B760),1)</f>
        <v>45748</v>
      </c>
      <c r="K760" s="41" t="n">
        <f aca="false">D760*E760</f>
        <v>337.06</v>
      </c>
      <c r="L760" s="41" t="n">
        <f aca="false">D760*I760</f>
        <v>180</v>
      </c>
      <c r="M760" s="41" t="n">
        <f aca="false">IFERROR(INDEX(Raw_Expenses!$C$5:$C$2979,MATCH(A760,Raw_Expenses!$A$5:$A$2979,0)),0)</f>
        <v>17.91</v>
      </c>
      <c r="N760" s="41" t="n">
        <f aca="false">L760+M760</f>
        <v>197.91</v>
      </c>
      <c r="O760" s="41" t="n">
        <f aca="false">K760-N760</f>
        <v>139.15</v>
      </c>
      <c r="P760" s="43" t="n">
        <f aca="false">IF(K760=0,0,O760/K760)</f>
        <v>0.41283451017623</v>
      </c>
    </row>
    <row r="761" customFormat="false" ht="15" hidden="false" customHeight="false" outlineLevel="0" collapsed="false">
      <c r="A761" s="39" t="s">
        <v>883</v>
      </c>
      <c r="B761" s="40" t="n">
        <v>45766</v>
      </c>
      <c r="C761" s="39" t="s">
        <v>162</v>
      </c>
      <c r="D761" s="39" t="n">
        <v>1</v>
      </c>
      <c r="E761" s="41" t="n">
        <v>67.12</v>
      </c>
      <c r="F761" s="39" t="s">
        <v>105</v>
      </c>
      <c r="G761" s="39" t="str">
        <f aca="false">VLOOKUP(C761,Products!$A$5:$D$24,2,FALSE())</f>
        <v>Bluetooth Speaker</v>
      </c>
      <c r="H761" s="39" t="str">
        <f aca="false">VLOOKUP(C761,Products!$A$5:$D$24,3,FALSE())</f>
        <v>Electronics</v>
      </c>
      <c r="I761" s="41" t="n">
        <f aca="false">VLOOKUP(C761,Products!$A$5:$D$24,4,FALSE())</f>
        <v>28</v>
      </c>
      <c r="J761" s="42" t="n">
        <f aca="false">DATE(YEAR(B761),MONTH(B761),1)</f>
        <v>45748</v>
      </c>
      <c r="K761" s="41" t="n">
        <f aca="false">D761*E761</f>
        <v>67.12</v>
      </c>
      <c r="L761" s="41" t="n">
        <f aca="false">D761*I761</f>
        <v>28</v>
      </c>
      <c r="M761" s="41" t="n">
        <f aca="false">IFERROR(INDEX(Raw_Expenses!$C$5:$C$2979,MATCH(A761,Raw_Expenses!$A$5:$A$2979,0)),0)</f>
        <v>3.25</v>
      </c>
      <c r="N761" s="41" t="n">
        <f aca="false">L761+M761</f>
        <v>31.25</v>
      </c>
      <c r="O761" s="41" t="n">
        <f aca="false">K761-N761</f>
        <v>35.87</v>
      </c>
      <c r="P761" s="43" t="n">
        <f aca="false">IF(K761=0,0,O761/K761)</f>
        <v>0.534415971394517</v>
      </c>
    </row>
    <row r="762" customFormat="false" ht="15" hidden="false" customHeight="false" outlineLevel="0" collapsed="false">
      <c r="A762" s="39" t="s">
        <v>884</v>
      </c>
      <c r="B762" s="40" t="n">
        <v>45766</v>
      </c>
      <c r="C762" s="39" t="s">
        <v>126</v>
      </c>
      <c r="D762" s="39" t="n">
        <v>1</v>
      </c>
      <c r="E762" s="41" t="n">
        <v>23.14</v>
      </c>
      <c r="F762" s="39" t="s">
        <v>118</v>
      </c>
      <c r="G762" s="39" t="str">
        <f aca="false">VLOOKUP(C762,Products!$A$5:$D$24,2,FALSE())</f>
        <v>Wireless Mouse</v>
      </c>
      <c r="H762" s="39" t="str">
        <f aca="false">VLOOKUP(C762,Products!$A$5:$D$24,3,FALSE())</f>
        <v>Electronics</v>
      </c>
      <c r="I762" s="41" t="n">
        <f aca="false">VLOOKUP(C762,Products!$A$5:$D$24,4,FALSE())</f>
        <v>12</v>
      </c>
      <c r="J762" s="42" t="n">
        <f aca="false">DATE(YEAR(B762),MONTH(B762),1)</f>
        <v>45748</v>
      </c>
      <c r="K762" s="41" t="n">
        <f aca="false">D762*E762</f>
        <v>23.14</v>
      </c>
      <c r="L762" s="41" t="n">
        <f aca="false">D762*I762</f>
        <v>12</v>
      </c>
      <c r="M762" s="41" t="n">
        <f aca="false">IFERROR(INDEX(Raw_Expenses!$C$5:$C$2979,MATCH(A762,Raw_Expenses!$A$5:$A$2979,0)),0)</f>
        <v>1.16</v>
      </c>
      <c r="N762" s="41" t="n">
        <f aca="false">L762+M762</f>
        <v>13.16</v>
      </c>
      <c r="O762" s="41" t="n">
        <f aca="false">K762-N762</f>
        <v>9.98</v>
      </c>
      <c r="P762" s="43" t="n">
        <f aca="false">IF(K762=0,0,O762/K762)</f>
        <v>0.431287813310285</v>
      </c>
    </row>
    <row r="763" customFormat="false" ht="15" hidden="false" customHeight="false" outlineLevel="0" collapsed="false">
      <c r="A763" s="39" t="s">
        <v>885</v>
      </c>
      <c r="B763" s="40" t="n">
        <v>45766</v>
      </c>
      <c r="C763" s="39" t="s">
        <v>104</v>
      </c>
      <c r="D763" s="39" t="n">
        <v>1</v>
      </c>
      <c r="E763" s="41" t="n">
        <v>15.41</v>
      </c>
      <c r="F763" s="39" t="s">
        <v>105</v>
      </c>
      <c r="G763" s="39" t="str">
        <f aca="false">VLOOKUP(C763,Products!$A$5:$D$24,2,FALSE())</f>
        <v>Water Bottle</v>
      </c>
      <c r="H763" s="39" t="str">
        <f aca="false">VLOOKUP(C763,Products!$A$5:$D$24,3,FALSE())</f>
        <v>Accessories</v>
      </c>
      <c r="I763" s="41" t="n">
        <f aca="false">VLOOKUP(C763,Products!$A$5:$D$24,4,FALSE())</f>
        <v>5</v>
      </c>
      <c r="J763" s="42" t="n">
        <f aca="false">DATE(YEAR(B763),MONTH(B763),1)</f>
        <v>45748</v>
      </c>
      <c r="K763" s="41" t="n">
        <f aca="false">D763*E763</f>
        <v>15.41</v>
      </c>
      <c r="L763" s="41" t="n">
        <f aca="false">D763*I763</f>
        <v>5</v>
      </c>
      <c r="M763" s="41" t="n">
        <f aca="false">IFERROR(INDEX(Raw_Expenses!$C$5:$C$2979,MATCH(A763,Raw_Expenses!$A$5:$A$2979,0)),0)</f>
        <v>0.83</v>
      </c>
      <c r="N763" s="41" t="n">
        <f aca="false">L763+M763</f>
        <v>5.83</v>
      </c>
      <c r="O763" s="41" t="n">
        <f aca="false">K763-N763</f>
        <v>9.58</v>
      </c>
      <c r="P763" s="43" t="n">
        <f aca="false">IF(K763=0,0,O763/K763)</f>
        <v>0.621674237508112</v>
      </c>
    </row>
    <row r="764" customFormat="false" ht="15" hidden="false" customHeight="false" outlineLevel="0" collapsed="false">
      <c r="A764" s="39" t="s">
        <v>886</v>
      </c>
      <c r="B764" s="40" t="n">
        <v>45766</v>
      </c>
      <c r="C764" s="39" t="s">
        <v>128</v>
      </c>
      <c r="D764" s="39" t="n">
        <v>5</v>
      </c>
      <c r="E764" s="41" t="n">
        <v>38.13</v>
      </c>
      <c r="F764" s="39" t="s">
        <v>108</v>
      </c>
      <c r="G764" s="39" t="str">
        <f aca="false">VLOOKUP(C764,Products!$A$5:$D$24,2,FALSE())</f>
        <v>Ergonomic Footrest</v>
      </c>
      <c r="H764" s="39" t="str">
        <f aca="false">VLOOKUP(C764,Products!$A$5:$D$24,3,FALSE())</f>
        <v>Furniture</v>
      </c>
      <c r="I764" s="41" t="n">
        <f aca="false">VLOOKUP(C764,Products!$A$5:$D$24,4,FALSE())</f>
        <v>15</v>
      </c>
      <c r="J764" s="42" t="n">
        <f aca="false">DATE(YEAR(B764),MONTH(B764),1)</f>
        <v>45748</v>
      </c>
      <c r="K764" s="41" t="n">
        <f aca="false">D764*E764</f>
        <v>190.65</v>
      </c>
      <c r="L764" s="41" t="n">
        <f aca="false">D764*I764</f>
        <v>75</v>
      </c>
      <c r="M764" s="41" t="n">
        <f aca="false">IFERROR(INDEX(Raw_Expenses!$C$5:$C$2979,MATCH(A764,Raw_Expenses!$A$5:$A$2979,0)),0)</f>
        <v>15.63</v>
      </c>
      <c r="N764" s="41" t="n">
        <f aca="false">L764+M764</f>
        <v>90.63</v>
      </c>
      <c r="O764" s="41" t="n">
        <f aca="false">K764-N764</f>
        <v>100.02</v>
      </c>
      <c r="P764" s="43" t="n">
        <f aca="false">IF(K764=0,0,O764/K764)</f>
        <v>0.52462627852085</v>
      </c>
    </row>
    <row r="765" customFormat="false" ht="15" hidden="false" customHeight="false" outlineLevel="0" collapsed="false">
      <c r="A765" s="39" t="s">
        <v>887</v>
      </c>
      <c r="B765" s="40" t="n">
        <v>45766</v>
      </c>
      <c r="C765" s="39" t="s">
        <v>117</v>
      </c>
      <c r="D765" s="39" t="n">
        <v>2</v>
      </c>
      <c r="E765" s="41" t="n">
        <v>30.41</v>
      </c>
      <c r="F765" s="39" t="s">
        <v>105</v>
      </c>
      <c r="G765" s="39" t="str">
        <f aca="false">VLOOKUP(C765,Products!$A$5:$D$24,2,FALSE())</f>
        <v>Desk Lamp</v>
      </c>
      <c r="H765" s="39" t="str">
        <f aca="false">VLOOKUP(C765,Products!$A$5:$D$24,3,FALSE())</f>
        <v>Furniture</v>
      </c>
      <c r="I765" s="41" t="n">
        <f aca="false">VLOOKUP(C765,Products!$A$5:$D$24,4,FALSE())</f>
        <v>13</v>
      </c>
      <c r="J765" s="42" t="n">
        <f aca="false">DATE(YEAR(B765),MONTH(B765),1)</f>
        <v>45748</v>
      </c>
      <c r="K765" s="41" t="n">
        <f aca="false">D765*E765</f>
        <v>60.82</v>
      </c>
      <c r="L765" s="41" t="n">
        <f aca="false">D765*I765</f>
        <v>26</v>
      </c>
      <c r="M765" s="41" t="n">
        <f aca="false">IFERROR(INDEX(Raw_Expenses!$C$5:$C$2979,MATCH(A765,Raw_Expenses!$A$5:$A$2979,0)),0)</f>
        <v>2.55</v>
      </c>
      <c r="N765" s="41" t="n">
        <f aca="false">L765+M765</f>
        <v>28.55</v>
      </c>
      <c r="O765" s="41" t="n">
        <f aca="false">K765-N765</f>
        <v>32.27</v>
      </c>
      <c r="P765" s="43" t="n">
        <f aca="false">IF(K765=0,0,O765/K765)</f>
        <v>0.530582045379809</v>
      </c>
    </row>
    <row r="766" customFormat="false" ht="15" hidden="false" customHeight="false" outlineLevel="0" collapsed="false">
      <c r="A766" s="39" t="s">
        <v>888</v>
      </c>
      <c r="B766" s="40" t="n">
        <v>45766</v>
      </c>
      <c r="C766" s="39" t="s">
        <v>117</v>
      </c>
      <c r="D766" s="39" t="n">
        <v>5</v>
      </c>
      <c r="E766" s="41" t="n">
        <v>31.38</v>
      </c>
      <c r="F766" s="39" t="s">
        <v>115</v>
      </c>
      <c r="G766" s="39" t="str">
        <f aca="false">VLOOKUP(C766,Products!$A$5:$D$24,2,FALSE())</f>
        <v>Desk Lamp</v>
      </c>
      <c r="H766" s="39" t="str">
        <f aca="false">VLOOKUP(C766,Products!$A$5:$D$24,3,FALSE())</f>
        <v>Furniture</v>
      </c>
      <c r="I766" s="41" t="n">
        <f aca="false">VLOOKUP(C766,Products!$A$5:$D$24,4,FALSE())</f>
        <v>13</v>
      </c>
      <c r="J766" s="42" t="n">
        <f aca="false">DATE(YEAR(B766),MONTH(B766),1)</f>
        <v>45748</v>
      </c>
      <c r="K766" s="41" t="n">
        <f aca="false">D766*E766</f>
        <v>156.9</v>
      </c>
      <c r="L766" s="41" t="n">
        <f aca="false">D766*I766</f>
        <v>65</v>
      </c>
      <c r="M766" s="41" t="n">
        <f aca="false">IFERROR(INDEX(Raw_Expenses!$C$5:$C$2979,MATCH(A766,Raw_Expenses!$A$5:$A$2979,0)),0)</f>
        <v>6.79</v>
      </c>
      <c r="N766" s="41" t="n">
        <f aca="false">L766+M766</f>
        <v>71.79</v>
      </c>
      <c r="O766" s="41" t="n">
        <f aca="false">K766-N766</f>
        <v>85.11</v>
      </c>
      <c r="P766" s="43" t="n">
        <f aca="false">IF(K766=0,0,O766/K766)</f>
        <v>0.54244741873805</v>
      </c>
    </row>
    <row r="767" customFormat="false" ht="15" hidden="false" customHeight="false" outlineLevel="0" collapsed="false">
      <c r="A767" s="39" t="s">
        <v>889</v>
      </c>
      <c r="B767" s="40" t="n">
        <v>45767</v>
      </c>
      <c r="C767" s="39" t="s">
        <v>130</v>
      </c>
      <c r="D767" s="39" t="n">
        <v>1</v>
      </c>
      <c r="E767" s="41" t="n">
        <v>8.47</v>
      </c>
      <c r="F767" s="39" t="s">
        <v>118</v>
      </c>
      <c r="G767" s="39" t="str">
        <f aca="false">VLOOKUP(C767,Products!$A$5:$D$24,2,FALSE())</f>
        <v>Notebook Set</v>
      </c>
      <c r="H767" s="39" t="str">
        <f aca="false">VLOOKUP(C767,Products!$A$5:$D$24,3,FALSE())</f>
        <v>Stationery</v>
      </c>
      <c r="I767" s="41" t="n">
        <f aca="false">VLOOKUP(C767,Products!$A$5:$D$24,4,FALSE())</f>
        <v>3</v>
      </c>
      <c r="J767" s="42" t="n">
        <f aca="false">DATE(YEAR(B767),MONTH(B767),1)</f>
        <v>45748</v>
      </c>
      <c r="K767" s="41" t="n">
        <f aca="false">D767*E767</f>
        <v>8.47</v>
      </c>
      <c r="L767" s="41" t="n">
        <f aca="false">D767*I767</f>
        <v>3</v>
      </c>
      <c r="M767" s="41" t="n">
        <f aca="false">IFERROR(INDEX(Raw_Expenses!$C$5:$C$2979,MATCH(A767,Raw_Expenses!$A$5:$A$2979,0)),0)</f>
        <v>0.53</v>
      </c>
      <c r="N767" s="41" t="n">
        <f aca="false">L767+M767</f>
        <v>3.53</v>
      </c>
      <c r="O767" s="41" t="n">
        <f aca="false">K767-N767</f>
        <v>4.94</v>
      </c>
      <c r="P767" s="43" t="n">
        <f aca="false">IF(K767=0,0,O767/K767)</f>
        <v>0.583234946871311</v>
      </c>
    </row>
    <row r="768" customFormat="false" ht="15" hidden="false" customHeight="false" outlineLevel="0" collapsed="false">
      <c r="A768" s="39" t="s">
        <v>890</v>
      </c>
      <c r="B768" s="40" t="n">
        <v>45767</v>
      </c>
      <c r="C768" s="39" t="s">
        <v>104</v>
      </c>
      <c r="D768" s="39" t="n">
        <v>2</v>
      </c>
      <c r="E768" s="41" t="n">
        <v>14.98</v>
      </c>
      <c r="F768" s="39" t="s">
        <v>105</v>
      </c>
      <c r="G768" s="39" t="str">
        <f aca="false">VLOOKUP(C768,Products!$A$5:$D$24,2,FALSE())</f>
        <v>Water Bottle</v>
      </c>
      <c r="H768" s="39" t="str">
        <f aca="false">VLOOKUP(C768,Products!$A$5:$D$24,3,FALSE())</f>
        <v>Accessories</v>
      </c>
      <c r="I768" s="41" t="n">
        <f aca="false">VLOOKUP(C768,Products!$A$5:$D$24,4,FALSE())</f>
        <v>5</v>
      </c>
      <c r="J768" s="42" t="n">
        <f aca="false">DATE(YEAR(B768),MONTH(B768),1)</f>
        <v>45748</v>
      </c>
      <c r="K768" s="41" t="n">
        <f aca="false">D768*E768</f>
        <v>29.96</v>
      </c>
      <c r="L768" s="41" t="n">
        <f aca="false">D768*I768</f>
        <v>10</v>
      </c>
      <c r="M768" s="41" t="n">
        <f aca="false">IFERROR(INDEX(Raw_Expenses!$C$5:$C$2979,MATCH(A768,Raw_Expenses!$A$5:$A$2979,0)),0)</f>
        <v>2.35</v>
      </c>
      <c r="N768" s="41" t="n">
        <f aca="false">L768+M768</f>
        <v>12.35</v>
      </c>
      <c r="O768" s="41" t="n">
        <f aca="false">K768-N768</f>
        <v>17.61</v>
      </c>
      <c r="P768" s="43" t="n">
        <f aca="false">IF(K768=0,0,O768/K768)</f>
        <v>0.587783711615487</v>
      </c>
    </row>
    <row r="769" customFormat="false" ht="15" hidden="false" customHeight="false" outlineLevel="0" collapsed="false">
      <c r="A769" s="39" t="s">
        <v>891</v>
      </c>
      <c r="B769" s="40" t="n">
        <v>45767</v>
      </c>
      <c r="C769" s="39" t="s">
        <v>121</v>
      </c>
      <c r="D769" s="39" t="n">
        <v>3</v>
      </c>
      <c r="E769" s="41" t="n">
        <v>118.76</v>
      </c>
      <c r="F769" s="39" t="s">
        <v>108</v>
      </c>
      <c r="G769" s="39" t="str">
        <f aca="false">VLOOKUP(C769,Products!$A$5:$D$24,2,FALSE())</f>
        <v>External SSD 1TB</v>
      </c>
      <c r="H769" s="39" t="str">
        <f aca="false">VLOOKUP(C769,Products!$A$5:$D$24,3,FALSE())</f>
        <v>Electronics</v>
      </c>
      <c r="I769" s="41" t="n">
        <f aca="false">VLOOKUP(C769,Products!$A$5:$D$24,4,FALSE())</f>
        <v>62</v>
      </c>
      <c r="J769" s="42" t="n">
        <f aca="false">DATE(YEAR(B769),MONTH(B769),1)</f>
        <v>45748</v>
      </c>
      <c r="K769" s="41" t="n">
        <f aca="false">D769*E769</f>
        <v>356.28</v>
      </c>
      <c r="L769" s="41" t="n">
        <f aca="false">D769*I769</f>
        <v>186</v>
      </c>
      <c r="M769" s="41" t="n">
        <f aca="false">IFERROR(INDEX(Raw_Expenses!$C$5:$C$2979,MATCH(A769,Raw_Expenses!$A$5:$A$2979,0)),0)</f>
        <v>29.84</v>
      </c>
      <c r="N769" s="41" t="n">
        <f aca="false">L769+M769</f>
        <v>215.84</v>
      </c>
      <c r="O769" s="41" t="n">
        <f aca="false">K769-N769</f>
        <v>140.44</v>
      </c>
      <c r="P769" s="43" t="n">
        <f aca="false">IF(K769=0,0,O769/K769)</f>
        <v>0.394184349388122</v>
      </c>
    </row>
    <row r="770" customFormat="false" ht="15" hidden="false" customHeight="false" outlineLevel="0" collapsed="false">
      <c r="A770" s="39" t="s">
        <v>892</v>
      </c>
      <c r="B770" s="40" t="n">
        <v>45767</v>
      </c>
      <c r="C770" s="39" t="s">
        <v>128</v>
      </c>
      <c r="D770" s="39" t="n">
        <v>2</v>
      </c>
      <c r="E770" s="41" t="n">
        <v>38.55</v>
      </c>
      <c r="F770" s="39" t="s">
        <v>105</v>
      </c>
      <c r="G770" s="39" t="str">
        <f aca="false">VLOOKUP(C770,Products!$A$5:$D$24,2,FALSE())</f>
        <v>Ergonomic Footrest</v>
      </c>
      <c r="H770" s="39" t="str">
        <f aca="false">VLOOKUP(C770,Products!$A$5:$D$24,3,FALSE())</f>
        <v>Furniture</v>
      </c>
      <c r="I770" s="41" t="n">
        <f aca="false">VLOOKUP(C770,Products!$A$5:$D$24,4,FALSE())</f>
        <v>15</v>
      </c>
      <c r="J770" s="42" t="n">
        <f aca="false">DATE(YEAR(B770),MONTH(B770),1)</f>
        <v>45748</v>
      </c>
      <c r="K770" s="41" t="n">
        <f aca="false">D770*E770</f>
        <v>77.1</v>
      </c>
      <c r="L770" s="41" t="n">
        <f aca="false">D770*I770</f>
        <v>30</v>
      </c>
      <c r="M770" s="41" t="n">
        <f aca="false">IFERROR(INDEX(Raw_Expenses!$C$5:$C$2979,MATCH(A770,Raw_Expenses!$A$5:$A$2979,0)),0)</f>
        <v>5.39</v>
      </c>
      <c r="N770" s="41" t="n">
        <f aca="false">L770+M770</f>
        <v>35.39</v>
      </c>
      <c r="O770" s="41" t="n">
        <f aca="false">K770-N770</f>
        <v>41.71</v>
      </c>
      <c r="P770" s="43" t="n">
        <f aca="false">IF(K770=0,0,O770/K770)</f>
        <v>0.540985732814527</v>
      </c>
    </row>
    <row r="771" customFormat="false" ht="15" hidden="false" customHeight="false" outlineLevel="0" collapsed="false">
      <c r="A771" s="39" t="s">
        <v>893</v>
      </c>
      <c r="B771" s="40" t="n">
        <v>45767</v>
      </c>
      <c r="C771" s="39" t="s">
        <v>169</v>
      </c>
      <c r="D771" s="39" t="n">
        <v>4</v>
      </c>
      <c r="E771" s="41" t="n">
        <v>28.72</v>
      </c>
      <c r="F771" s="39" t="s">
        <v>118</v>
      </c>
      <c r="G771" s="39" t="str">
        <f aca="false">VLOOKUP(C771,Products!$A$5:$D$24,2,FALSE())</f>
        <v>Laptop Stand</v>
      </c>
      <c r="H771" s="39" t="str">
        <f aca="false">VLOOKUP(C771,Products!$A$5:$D$24,3,FALSE())</f>
        <v>Accessories</v>
      </c>
      <c r="I771" s="41" t="n">
        <f aca="false">VLOOKUP(C771,Products!$A$5:$D$24,4,FALSE())</f>
        <v>11</v>
      </c>
      <c r="J771" s="42" t="n">
        <f aca="false">DATE(YEAR(B771),MONTH(B771),1)</f>
        <v>45748</v>
      </c>
      <c r="K771" s="41" t="n">
        <f aca="false">D771*E771</f>
        <v>114.88</v>
      </c>
      <c r="L771" s="41" t="n">
        <f aca="false">D771*I771</f>
        <v>44</v>
      </c>
      <c r="M771" s="41" t="n">
        <f aca="false">IFERROR(INDEX(Raw_Expenses!$C$5:$C$2979,MATCH(A771,Raw_Expenses!$A$5:$A$2979,0)),0)</f>
        <v>6.64</v>
      </c>
      <c r="N771" s="41" t="n">
        <f aca="false">L771+M771</f>
        <v>50.64</v>
      </c>
      <c r="O771" s="41" t="n">
        <f aca="false">K771-N771</f>
        <v>64.24</v>
      </c>
      <c r="P771" s="43" t="n">
        <f aca="false">IF(K771=0,0,O771/K771)</f>
        <v>0.559192200557103</v>
      </c>
    </row>
    <row r="772" customFormat="false" ht="15" hidden="false" customHeight="false" outlineLevel="0" collapsed="false">
      <c r="A772" s="39" t="s">
        <v>894</v>
      </c>
      <c r="B772" s="40" t="n">
        <v>45767</v>
      </c>
      <c r="C772" s="39" t="s">
        <v>114</v>
      </c>
      <c r="D772" s="39" t="n">
        <v>2</v>
      </c>
      <c r="E772" s="41" t="n">
        <v>5.86</v>
      </c>
      <c r="F772" s="39" t="s">
        <v>118</v>
      </c>
      <c r="G772" s="39" t="str">
        <f aca="false">VLOOKUP(C772,Products!$A$5:$D$24,2,FALSE())</f>
        <v>Gel Pen Pack</v>
      </c>
      <c r="H772" s="39" t="str">
        <f aca="false">VLOOKUP(C772,Products!$A$5:$D$24,3,FALSE())</f>
        <v>Stationery</v>
      </c>
      <c r="I772" s="41" t="n">
        <f aca="false">VLOOKUP(C772,Products!$A$5:$D$24,4,FALSE())</f>
        <v>2</v>
      </c>
      <c r="J772" s="42" t="n">
        <f aca="false">DATE(YEAR(B772),MONTH(B772),1)</f>
        <v>45748</v>
      </c>
      <c r="K772" s="41" t="n">
        <f aca="false">D772*E772</f>
        <v>11.72</v>
      </c>
      <c r="L772" s="41" t="n">
        <f aca="false">D772*I772</f>
        <v>4</v>
      </c>
      <c r="M772" s="41" t="n">
        <f aca="false">IFERROR(INDEX(Raw_Expenses!$C$5:$C$2979,MATCH(A772,Raw_Expenses!$A$5:$A$2979,0)),0)</f>
        <v>0.75</v>
      </c>
      <c r="N772" s="41" t="n">
        <f aca="false">L772+M772</f>
        <v>4.75</v>
      </c>
      <c r="O772" s="41" t="n">
        <f aca="false">K772-N772</f>
        <v>6.97</v>
      </c>
      <c r="P772" s="43" t="n">
        <f aca="false">IF(K772=0,0,O772/K772)</f>
        <v>0.594709897610922</v>
      </c>
    </row>
    <row r="773" customFormat="false" ht="15" hidden="false" customHeight="false" outlineLevel="0" collapsed="false">
      <c r="A773" s="39" t="s">
        <v>895</v>
      </c>
      <c r="B773" s="40" t="n">
        <v>45768</v>
      </c>
      <c r="C773" s="39" t="s">
        <v>126</v>
      </c>
      <c r="D773" s="39" t="n">
        <v>6</v>
      </c>
      <c r="E773" s="41" t="n">
        <v>24.25</v>
      </c>
      <c r="F773" s="39" t="s">
        <v>118</v>
      </c>
      <c r="G773" s="39" t="str">
        <f aca="false">VLOOKUP(C773,Products!$A$5:$D$24,2,FALSE())</f>
        <v>Wireless Mouse</v>
      </c>
      <c r="H773" s="39" t="str">
        <f aca="false">VLOOKUP(C773,Products!$A$5:$D$24,3,FALSE())</f>
        <v>Electronics</v>
      </c>
      <c r="I773" s="41" t="n">
        <f aca="false">VLOOKUP(C773,Products!$A$5:$D$24,4,FALSE())</f>
        <v>12</v>
      </c>
      <c r="J773" s="42" t="n">
        <f aca="false">DATE(YEAR(B773),MONTH(B773),1)</f>
        <v>45748</v>
      </c>
      <c r="K773" s="41" t="n">
        <f aca="false">D773*E773</f>
        <v>145.5</v>
      </c>
      <c r="L773" s="41" t="n">
        <f aca="false">D773*I773</f>
        <v>72</v>
      </c>
      <c r="M773" s="41" t="n">
        <f aca="false">IFERROR(INDEX(Raw_Expenses!$C$5:$C$2979,MATCH(A773,Raw_Expenses!$A$5:$A$2979,0)),0)</f>
        <v>8.76</v>
      </c>
      <c r="N773" s="41" t="n">
        <f aca="false">L773+M773</f>
        <v>80.76</v>
      </c>
      <c r="O773" s="41" t="n">
        <f aca="false">K773-N773</f>
        <v>64.74</v>
      </c>
      <c r="P773" s="43" t="n">
        <f aca="false">IF(K773=0,0,O773/K773)</f>
        <v>0.444948453608247</v>
      </c>
    </row>
    <row r="774" customFormat="false" ht="15" hidden="false" customHeight="false" outlineLevel="0" collapsed="false">
      <c r="A774" s="39" t="s">
        <v>896</v>
      </c>
      <c r="B774" s="40" t="n">
        <v>45768</v>
      </c>
      <c r="C774" s="39" t="s">
        <v>110</v>
      </c>
      <c r="D774" s="39" t="n">
        <v>2</v>
      </c>
      <c r="E774" s="41" t="n">
        <v>13.49</v>
      </c>
      <c r="F774" s="39" t="s">
        <v>115</v>
      </c>
      <c r="G774" s="39" t="str">
        <f aca="false">VLOOKUP(C774,Products!$A$5:$D$24,2,FALSE())</f>
        <v>Phone Stand</v>
      </c>
      <c r="H774" s="39" t="str">
        <f aca="false">VLOOKUP(C774,Products!$A$5:$D$24,3,FALSE())</f>
        <v>Accessories</v>
      </c>
      <c r="I774" s="41" t="n">
        <f aca="false">VLOOKUP(C774,Products!$A$5:$D$24,4,FALSE())</f>
        <v>4</v>
      </c>
      <c r="J774" s="42" t="n">
        <f aca="false">DATE(YEAR(B774),MONTH(B774),1)</f>
        <v>45748</v>
      </c>
      <c r="K774" s="41" t="n">
        <f aca="false">D774*E774</f>
        <v>26.98</v>
      </c>
      <c r="L774" s="41" t="n">
        <f aca="false">D774*I774</f>
        <v>8</v>
      </c>
      <c r="M774" s="41" t="n">
        <f aca="false">IFERROR(INDEX(Raw_Expenses!$C$5:$C$2979,MATCH(A774,Raw_Expenses!$A$5:$A$2979,0)),0)</f>
        <v>1.35</v>
      </c>
      <c r="N774" s="41" t="n">
        <f aca="false">L774+M774</f>
        <v>9.35</v>
      </c>
      <c r="O774" s="41" t="n">
        <f aca="false">K774-N774</f>
        <v>17.63</v>
      </c>
      <c r="P774" s="43" t="n">
        <f aca="false">IF(K774=0,0,O774/K774)</f>
        <v>0.653446997776131</v>
      </c>
    </row>
    <row r="775" customFormat="false" ht="15" hidden="false" customHeight="false" outlineLevel="0" collapsed="false">
      <c r="A775" s="39" t="s">
        <v>897</v>
      </c>
      <c r="B775" s="40" t="n">
        <v>45768</v>
      </c>
      <c r="C775" s="39" t="s">
        <v>177</v>
      </c>
      <c r="D775" s="39" t="n">
        <v>1</v>
      </c>
      <c r="E775" s="41" t="n">
        <v>41.81</v>
      </c>
      <c r="F775" s="39" t="s">
        <v>118</v>
      </c>
      <c r="G775" s="39" t="str">
        <f aca="false">VLOOKUP(C775,Products!$A$5:$D$24,2,FALSE())</f>
        <v>Backpack</v>
      </c>
      <c r="H775" s="39" t="str">
        <f aca="false">VLOOKUP(C775,Products!$A$5:$D$24,3,FALSE())</f>
        <v>Accessories</v>
      </c>
      <c r="I775" s="41" t="n">
        <f aca="false">VLOOKUP(C775,Products!$A$5:$D$24,4,FALSE())</f>
        <v>17</v>
      </c>
      <c r="J775" s="42" t="n">
        <f aca="false">DATE(YEAR(B775),MONTH(B775),1)</f>
        <v>45748</v>
      </c>
      <c r="K775" s="41" t="n">
        <f aca="false">D775*E775</f>
        <v>41.81</v>
      </c>
      <c r="L775" s="41" t="n">
        <f aca="false">D775*I775</f>
        <v>17</v>
      </c>
      <c r="M775" s="41" t="n">
        <f aca="false">IFERROR(INDEX(Raw_Expenses!$C$5:$C$2979,MATCH(A775,Raw_Expenses!$A$5:$A$2979,0)),0)</f>
        <v>2.26</v>
      </c>
      <c r="N775" s="41" t="n">
        <f aca="false">L775+M775</f>
        <v>19.26</v>
      </c>
      <c r="O775" s="41" t="n">
        <f aca="false">K775-N775</f>
        <v>22.55</v>
      </c>
      <c r="P775" s="43" t="n">
        <f aca="false">IF(K775=0,0,O775/K775)</f>
        <v>0.539344654388902</v>
      </c>
    </row>
    <row r="776" customFormat="false" ht="15" hidden="false" customHeight="false" outlineLevel="0" collapsed="false">
      <c r="A776" s="39" t="s">
        <v>898</v>
      </c>
      <c r="B776" s="40" t="n">
        <v>45768</v>
      </c>
      <c r="C776" s="39" t="s">
        <v>183</v>
      </c>
      <c r="D776" s="39" t="n">
        <v>5</v>
      </c>
      <c r="E776" s="41" t="n">
        <v>183.54</v>
      </c>
      <c r="F776" s="39" t="s">
        <v>115</v>
      </c>
      <c r="G776" s="39" t="str">
        <f aca="false">VLOOKUP(C776,Products!$A$5:$D$24,2,FALSE())</f>
        <v>Office Chair</v>
      </c>
      <c r="H776" s="39" t="str">
        <f aca="false">VLOOKUP(C776,Products!$A$5:$D$24,3,FALSE())</f>
        <v>Furniture</v>
      </c>
      <c r="I776" s="41" t="n">
        <f aca="false">VLOOKUP(C776,Products!$A$5:$D$24,4,FALSE())</f>
        <v>85</v>
      </c>
      <c r="J776" s="42" t="n">
        <f aca="false">DATE(YEAR(B776),MONTH(B776),1)</f>
        <v>45748</v>
      </c>
      <c r="K776" s="41" t="n">
        <f aca="false">D776*E776</f>
        <v>917.7</v>
      </c>
      <c r="L776" s="41" t="n">
        <f aca="false">D776*I776</f>
        <v>425</v>
      </c>
      <c r="M776" s="41" t="n">
        <f aca="false">IFERROR(INDEX(Raw_Expenses!$C$5:$C$2979,MATCH(A776,Raw_Expenses!$A$5:$A$2979,0)),0)</f>
        <v>65.98</v>
      </c>
      <c r="N776" s="41" t="n">
        <f aca="false">L776+M776</f>
        <v>490.98</v>
      </c>
      <c r="O776" s="41" t="n">
        <f aca="false">K776-N776</f>
        <v>426.72</v>
      </c>
      <c r="P776" s="43" t="n">
        <f aca="false">IF(K776=0,0,O776/K776)</f>
        <v>0.464988558352403</v>
      </c>
    </row>
    <row r="777" customFormat="false" ht="15" hidden="false" customHeight="false" outlineLevel="0" collapsed="false">
      <c r="A777" s="39" t="s">
        <v>899</v>
      </c>
      <c r="B777" s="40" t="n">
        <v>45768</v>
      </c>
      <c r="C777" s="39" t="s">
        <v>130</v>
      </c>
      <c r="D777" s="39" t="n">
        <v>3</v>
      </c>
      <c r="E777" s="41" t="n">
        <v>8.91</v>
      </c>
      <c r="F777" s="39" t="s">
        <v>118</v>
      </c>
      <c r="G777" s="39" t="str">
        <f aca="false">VLOOKUP(C777,Products!$A$5:$D$24,2,FALSE())</f>
        <v>Notebook Set</v>
      </c>
      <c r="H777" s="39" t="str">
        <f aca="false">VLOOKUP(C777,Products!$A$5:$D$24,3,FALSE())</f>
        <v>Stationery</v>
      </c>
      <c r="I777" s="41" t="n">
        <f aca="false">VLOOKUP(C777,Products!$A$5:$D$24,4,FALSE())</f>
        <v>3</v>
      </c>
      <c r="J777" s="42" t="n">
        <f aca="false">DATE(YEAR(B777),MONTH(B777),1)</f>
        <v>45748</v>
      </c>
      <c r="K777" s="41" t="n">
        <f aca="false">D777*E777</f>
        <v>26.73</v>
      </c>
      <c r="L777" s="41" t="n">
        <f aca="false">D777*I777</f>
        <v>9</v>
      </c>
      <c r="M777" s="41" t="n">
        <f aca="false">IFERROR(INDEX(Raw_Expenses!$C$5:$C$2979,MATCH(A777,Raw_Expenses!$A$5:$A$2979,0)),0)</f>
        <v>1.13</v>
      </c>
      <c r="N777" s="41" t="n">
        <f aca="false">L777+M777</f>
        <v>10.13</v>
      </c>
      <c r="O777" s="41" t="n">
        <f aca="false">K777-N777</f>
        <v>16.6</v>
      </c>
      <c r="P777" s="43" t="n">
        <f aca="false">IF(K777=0,0,O777/K777)</f>
        <v>0.62102506546951</v>
      </c>
    </row>
    <row r="778" customFormat="false" ht="15" hidden="false" customHeight="false" outlineLevel="0" collapsed="false">
      <c r="A778" s="39" t="s">
        <v>900</v>
      </c>
      <c r="B778" s="40" t="n">
        <v>45769</v>
      </c>
      <c r="C778" s="39" t="s">
        <v>133</v>
      </c>
      <c r="D778" s="39" t="n">
        <v>1</v>
      </c>
      <c r="E778" s="41" t="n">
        <v>8.56</v>
      </c>
      <c r="F778" s="39" t="s">
        <v>115</v>
      </c>
      <c r="G778" s="39" t="str">
        <f aca="false">VLOOKUP(C778,Products!$A$5:$D$24,2,FALSE())</f>
        <v>Printer Paper Ream</v>
      </c>
      <c r="H778" s="39" t="str">
        <f aca="false">VLOOKUP(C778,Products!$A$5:$D$24,3,FALSE())</f>
        <v>Stationery</v>
      </c>
      <c r="I778" s="41" t="n">
        <f aca="false">VLOOKUP(C778,Products!$A$5:$D$24,4,FALSE())</f>
        <v>4</v>
      </c>
      <c r="J778" s="42" t="n">
        <f aca="false">DATE(YEAR(B778),MONTH(B778),1)</f>
        <v>45748</v>
      </c>
      <c r="K778" s="41" t="n">
        <f aca="false">D778*E778</f>
        <v>8.56</v>
      </c>
      <c r="L778" s="41" t="n">
        <f aca="false">D778*I778</f>
        <v>4</v>
      </c>
      <c r="M778" s="41" t="n">
        <f aca="false">IFERROR(INDEX(Raw_Expenses!$C$5:$C$2979,MATCH(A778,Raw_Expenses!$A$5:$A$2979,0)),0)</f>
        <v>0.41</v>
      </c>
      <c r="N778" s="41" t="n">
        <f aca="false">L778+M778</f>
        <v>4.41</v>
      </c>
      <c r="O778" s="41" t="n">
        <f aca="false">K778-N778</f>
        <v>4.15</v>
      </c>
      <c r="P778" s="43" t="n">
        <f aca="false">IF(K778=0,0,O778/K778)</f>
        <v>0.48481308411215</v>
      </c>
    </row>
    <row r="779" customFormat="false" ht="15" hidden="false" customHeight="false" outlineLevel="0" collapsed="false">
      <c r="A779" s="39" t="s">
        <v>901</v>
      </c>
      <c r="B779" s="40" t="n">
        <v>45769</v>
      </c>
      <c r="C779" s="39" t="s">
        <v>177</v>
      </c>
      <c r="D779" s="39" t="n">
        <v>1</v>
      </c>
      <c r="E779" s="41" t="n">
        <v>42.89</v>
      </c>
      <c r="F779" s="39" t="s">
        <v>118</v>
      </c>
      <c r="G779" s="39" t="str">
        <f aca="false">VLOOKUP(C779,Products!$A$5:$D$24,2,FALSE())</f>
        <v>Backpack</v>
      </c>
      <c r="H779" s="39" t="str">
        <f aca="false">VLOOKUP(C779,Products!$A$5:$D$24,3,FALSE())</f>
        <v>Accessories</v>
      </c>
      <c r="I779" s="41" t="n">
        <f aca="false">VLOOKUP(C779,Products!$A$5:$D$24,4,FALSE())</f>
        <v>17</v>
      </c>
      <c r="J779" s="42" t="n">
        <f aca="false">DATE(YEAR(B779),MONTH(B779),1)</f>
        <v>45748</v>
      </c>
      <c r="K779" s="41" t="n">
        <f aca="false">D779*E779</f>
        <v>42.89</v>
      </c>
      <c r="L779" s="41" t="n">
        <f aca="false">D779*I779</f>
        <v>17</v>
      </c>
      <c r="M779" s="41" t="n">
        <f aca="false">IFERROR(INDEX(Raw_Expenses!$C$5:$C$2979,MATCH(A779,Raw_Expenses!$A$5:$A$2979,0)),0)</f>
        <v>2.84</v>
      </c>
      <c r="N779" s="41" t="n">
        <f aca="false">L779+M779</f>
        <v>19.84</v>
      </c>
      <c r="O779" s="41" t="n">
        <f aca="false">K779-N779</f>
        <v>23.05</v>
      </c>
      <c r="P779" s="43" t="n">
        <f aca="false">IF(K779=0,0,O779/K779)</f>
        <v>0.537421310328748</v>
      </c>
    </row>
    <row r="780" customFormat="false" ht="15" hidden="false" customHeight="false" outlineLevel="0" collapsed="false">
      <c r="A780" s="39" t="s">
        <v>902</v>
      </c>
      <c r="B780" s="40" t="n">
        <v>45769</v>
      </c>
      <c r="C780" s="39" t="s">
        <v>114</v>
      </c>
      <c r="D780" s="39" t="n">
        <v>8</v>
      </c>
      <c r="E780" s="41" t="n">
        <v>5.8</v>
      </c>
      <c r="F780" s="39" t="s">
        <v>115</v>
      </c>
      <c r="G780" s="39" t="str">
        <f aca="false">VLOOKUP(C780,Products!$A$5:$D$24,2,FALSE())</f>
        <v>Gel Pen Pack</v>
      </c>
      <c r="H780" s="39" t="str">
        <f aca="false">VLOOKUP(C780,Products!$A$5:$D$24,3,FALSE())</f>
        <v>Stationery</v>
      </c>
      <c r="I780" s="41" t="n">
        <f aca="false">VLOOKUP(C780,Products!$A$5:$D$24,4,FALSE())</f>
        <v>2</v>
      </c>
      <c r="J780" s="42" t="n">
        <f aca="false">DATE(YEAR(B780),MONTH(B780),1)</f>
        <v>45748</v>
      </c>
      <c r="K780" s="41" t="n">
        <f aca="false">D780*E780</f>
        <v>46.4</v>
      </c>
      <c r="L780" s="41" t="n">
        <f aca="false">D780*I780</f>
        <v>16</v>
      </c>
      <c r="M780" s="41" t="n">
        <f aca="false">IFERROR(INDEX(Raw_Expenses!$C$5:$C$2979,MATCH(A780,Raw_Expenses!$A$5:$A$2979,0)),0)</f>
        <v>2.12</v>
      </c>
      <c r="N780" s="41" t="n">
        <f aca="false">L780+M780</f>
        <v>18.12</v>
      </c>
      <c r="O780" s="41" t="n">
        <f aca="false">K780-N780</f>
        <v>28.28</v>
      </c>
      <c r="P780" s="43" t="n">
        <f aca="false">IF(K780=0,0,O780/K780)</f>
        <v>0.60948275862069</v>
      </c>
    </row>
    <row r="781" customFormat="false" ht="15" hidden="false" customHeight="false" outlineLevel="0" collapsed="false">
      <c r="A781" s="39" t="s">
        <v>903</v>
      </c>
      <c r="B781" s="40" t="n">
        <v>45769</v>
      </c>
      <c r="C781" s="39" t="s">
        <v>169</v>
      </c>
      <c r="D781" s="39" t="n">
        <v>6</v>
      </c>
      <c r="E781" s="41" t="n">
        <v>28.89</v>
      </c>
      <c r="F781" s="39" t="s">
        <v>105</v>
      </c>
      <c r="G781" s="39" t="str">
        <f aca="false">VLOOKUP(C781,Products!$A$5:$D$24,2,FALSE())</f>
        <v>Laptop Stand</v>
      </c>
      <c r="H781" s="39" t="str">
        <f aca="false">VLOOKUP(C781,Products!$A$5:$D$24,3,FALSE())</f>
        <v>Accessories</v>
      </c>
      <c r="I781" s="41" t="n">
        <f aca="false">VLOOKUP(C781,Products!$A$5:$D$24,4,FALSE())</f>
        <v>11</v>
      </c>
      <c r="J781" s="42" t="n">
        <f aca="false">DATE(YEAR(B781),MONTH(B781),1)</f>
        <v>45748</v>
      </c>
      <c r="K781" s="41" t="n">
        <f aca="false">D781*E781</f>
        <v>173.34</v>
      </c>
      <c r="L781" s="41" t="n">
        <f aca="false">D781*I781</f>
        <v>66</v>
      </c>
      <c r="M781" s="41" t="n">
        <f aca="false">IFERROR(INDEX(Raw_Expenses!$C$5:$C$2979,MATCH(A781,Raw_Expenses!$A$5:$A$2979,0)),0)</f>
        <v>8.34</v>
      </c>
      <c r="N781" s="41" t="n">
        <f aca="false">L781+M781</f>
        <v>74.34</v>
      </c>
      <c r="O781" s="41" t="n">
        <f aca="false">K781-N781</f>
        <v>99</v>
      </c>
      <c r="P781" s="43" t="n">
        <f aca="false">IF(K781=0,0,O781/K781)</f>
        <v>0.571131879543095</v>
      </c>
    </row>
    <row r="782" customFormat="false" ht="15" hidden="false" customHeight="false" outlineLevel="0" collapsed="false">
      <c r="A782" s="39" t="s">
        <v>904</v>
      </c>
      <c r="B782" s="40" t="n">
        <v>45770</v>
      </c>
      <c r="C782" s="39" t="s">
        <v>139</v>
      </c>
      <c r="D782" s="39" t="n">
        <v>8</v>
      </c>
      <c r="E782" s="41" t="n">
        <v>128.78</v>
      </c>
      <c r="F782" s="39" t="s">
        <v>118</v>
      </c>
      <c r="G782" s="39" t="str">
        <f aca="false">VLOOKUP(C782,Products!$A$5:$D$24,2,FALSE())</f>
        <v>Noise-Cancelling Headphones</v>
      </c>
      <c r="H782" s="39" t="str">
        <f aca="false">VLOOKUP(C782,Products!$A$5:$D$24,3,FALSE())</f>
        <v>Electronics</v>
      </c>
      <c r="I782" s="41" t="n">
        <f aca="false">VLOOKUP(C782,Products!$A$5:$D$24,4,FALSE())</f>
        <v>55</v>
      </c>
      <c r="J782" s="42" t="n">
        <f aca="false">DATE(YEAR(B782),MONTH(B782),1)</f>
        <v>45748</v>
      </c>
      <c r="K782" s="41" t="n">
        <f aca="false">D782*E782</f>
        <v>1030.24</v>
      </c>
      <c r="L782" s="41" t="n">
        <f aca="false">D782*I782</f>
        <v>440</v>
      </c>
      <c r="M782" s="41" t="n">
        <f aca="false">IFERROR(INDEX(Raw_Expenses!$C$5:$C$2979,MATCH(A782,Raw_Expenses!$A$5:$A$2979,0)),0)</f>
        <v>79.03</v>
      </c>
      <c r="N782" s="41" t="n">
        <f aca="false">L782+M782</f>
        <v>519.03</v>
      </c>
      <c r="O782" s="41" t="n">
        <f aca="false">K782-N782</f>
        <v>511.21</v>
      </c>
      <c r="P782" s="43" t="n">
        <f aca="false">IF(K782=0,0,O782/K782)</f>
        <v>0.49620476782109</v>
      </c>
    </row>
    <row r="783" customFormat="false" ht="15" hidden="false" customHeight="false" outlineLevel="0" collapsed="false">
      <c r="A783" s="39" t="s">
        <v>905</v>
      </c>
      <c r="B783" s="40" t="n">
        <v>45770</v>
      </c>
      <c r="C783" s="39" t="s">
        <v>112</v>
      </c>
      <c r="D783" s="39" t="n">
        <v>2</v>
      </c>
      <c r="E783" s="41" t="n">
        <v>54.48</v>
      </c>
      <c r="F783" s="39" t="s">
        <v>105</v>
      </c>
      <c r="G783" s="39" t="str">
        <f aca="false">VLOOKUP(C783,Products!$A$5:$D$24,2,FALSE())</f>
        <v>HD Webcam</v>
      </c>
      <c r="H783" s="39" t="str">
        <f aca="false">VLOOKUP(C783,Products!$A$5:$D$24,3,FALSE())</f>
        <v>Electronics</v>
      </c>
      <c r="I783" s="41" t="n">
        <f aca="false">VLOOKUP(C783,Products!$A$5:$D$24,4,FALSE())</f>
        <v>22</v>
      </c>
      <c r="J783" s="42" t="n">
        <f aca="false">DATE(YEAR(B783),MONTH(B783),1)</f>
        <v>45748</v>
      </c>
      <c r="K783" s="41" t="n">
        <f aca="false">D783*E783</f>
        <v>108.96</v>
      </c>
      <c r="L783" s="41" t="n">
        <f aca="false">D783*I783</f>
        <v>44</v>
      </c>
      <c r="M783" s="41" t="n">
        <f aca="false">IFERROR(INDEX(Raw_Expenses!$C$5:$C$2979,MATCH(A783,Raw_Expenses!$A$5:$A$2979,0)),0)</f>
        <v>5.64</v>
      </c>
      <c r="N783" s="41" t="n">
        <f aca="false">L783+M783</f>
        <v>49.64</v>
      </c>
      <c r="O783" s="41" t="n">
        <f aca="false">K783-N783</f>
        <v>59.32</v>
      </c>
      <c r="P783" s="43" t="n">
        <f aca="false">IF(K783=0,0,O783/K783)</f>
        <v>0.544419970631424</v>
      </c>
    </row>
    <row r="784" customFormat="false" ht="15" hidden="false" customHeight="false" outlineLevel="0" collapsed="false">
      <c r="A784" s="39" t="s">
        <v>906</v>
      </c>
      <c r="B784" s="40" t="n">
        <v>45770</v>
      </c>
      <c r="C784" s="39" t="s">
        <v>107</v>
      </c>
      <c r="D784" s="39" t="n">
        <v>1</v>
      </c>
      <c r="E784" s="41" t="n">
        <v>34.22</v>
      </c>
      <c r="F784" s="39" t="s">
        <v>115</v>
      </c>
      <c r="G784" s="39" t="str">
        <f aca="false">VLOOKUP(C784,Products!$A$5:$D$24,2,FALSE())</f>
        <v>USB-C Hub</v>
      </c>
      <c r="H784" s="39" t="str">
        <f aca="false">VLOOKUP(C784,Products!$A$5:$D$24,3,FALSE())</f>
        <v>Electronics</v>
      </c>
      <c r="I784" s="41" t="n">
        <f aca="false">VLOOKUP(C784,Products!$A$5:$D$24,4,FALSE())</f>
        <v>14</v>
      </c>
      <c r="J784" s="42" t="n">
        <f aca="false">DATE(YEAR(B784),MONTH(B784),1)</f>
        <v>45748</v>
      </c>
      <c r="K784" s="41" t="n">
        <f aca="false">D784*E784</f>
        <v>34.22</v>
      </c>
      <c r="L784" s="41" t="n">
        <f aca="false">D784*I784</f>
        <v>14</v>
      </c>
      <c r="M784" s="41" t="n">
        <f aca="false">IFERROR(INDEX(Raw_Expenses!$C$5:$C$2979,MATCH(A784,Raw_Expenses!$A$5:$A$2979,0)),0)</f>
        <v>2.12</v>
      </c>
      <c r="N784" s="41" t="n">
        <f aca="false">L784+M784</f>
        <v>16.12</v>
      </c>
      <c r="O784" s="41" t="n">
        <f aca="false">K784-N784</f>
        <v>18.1</v>
      </c>
      <c r="P784" s="43" t="n">
        <f aca="false">IF(K784=0,0,O784/K784)</f>
        <v>0.528930450029223</v>
      </c>
    </row>
    <row r="785" customFormat="false" ht="15" hidden="false" customHeight="false" outlineLevel="0" collapsed="false">
      <c r="A785" s="39" t="s">
        <v>907</v>
      </c>
      <c r="B785" s="40" t="n">
        <v>45770</v>
      </c>
      <c r="C785" s="39" t="s">
        <v>104</v>
      </c>
      <c r="D785" s="39" t="n">
        <v>2</v>
      </c>
      <c r="E785" s="41" t="n">
        <v>15</v>
      </c>
      <c r="F785" s="39" t="s">
        <v>115</v>
      </c>
      <c r="G785" s="39" t="str">
        <f aca="false">VLOOKUP(C785,Products!$A$5:$D$24,2,FALSE())</f>
        <v>Water Bottle</v>
      </c>
      <c r="H785" s="39" t="str">
        <f aca="false">VLOOKUP(C785,Products!$A$5:$D$24,3,FALSE())</f>
        <v>Accessories</v>
      </c>
      <c r="I785" s="41" t="n">
        <f aca="false">VLOOKUP(C785,Products!$A$5:$D$24,4,FALSE())</f>
        <v>5</v>
      </c>
      <c r="J785" s="42" t="n">
        <f aca="false">DATE(YEAR(B785),MONTH(B785),1)</f>
        <v>45748</v>
      </c>
      <c r="K785" s="41" t="n">
        <f aca="false">D785*E785</f>
        <v>30</v>
      </c>
      <c r="L785" s="41" t="n">
        <f aca="false">D785*I785</f>
        <v>10</v>
      </c>
      <c r="M785" s="41" t="n">
        <f aca="false">IFERROR(INDEX(Raw_Expenses!$C$5:$C$2979,MATCH(A785,Raw_Expenses!$A$5:$A$2979,0)),0)</f>
        <v>2.55</v>
      </c>
      <c r="N785" s="41" t="n">
        <f aca="false">L785+M785</f>
        <v>12.55</v>
      </c>
      <c r="O785" s="41" t="n">
        <f aca="false">K785-N785</f>
        <v>17.45</v>
      </c>
      <c r="P785" s="43" t="n">
        <f aca="false">IF(K785=0,0,O785/K785)</f>
        <v>0.581666666666667</v>
      </c>
    </row>
    <row r="786" customFormat="false" ht="15" hidden="false" customHeight="false" outlineLevel="0" collapsed="false">
      <c r="A786" s="39" t="s">
        <v>908</v>
      </c>
      <c r="B786" s="40" t="n">
        <v>45770</v>
      </c>
      <c r="C786" s="39" t="s">
        <v>110</v>
      </c>
      <c r="D786" s="39" t="n">
        <v>2</v>
      </c>
      <c r="E786" s="41" t="n">
        <v>13.39</v>
      </c>
      <c r="F786" s="39" t="s">
        <v>118</v>
      </c>
      <c r="G786" s="39" t="str">
        <f aca="false">VLOOKUP(C786,Products!$A$5:$D$24,2,FALSE())</f>
        <v>Phone Stand</v>
      </c>
      <c r="H786" s="39" t="str">
        <f aca="false">VLOOKUP(C786,Products!$A$5:$D$24,3,FALSE())</f>
        <v>Accessories</v>
      </c>
      <c r="I786" s="41" t="n">
        <f aca="false">VLOOKUP(C786,Products!$A$5:$D$24,4,FALSE())</f>
        <v>4</v>
      </c>
      <c r="J786" s="42" t="n">
        <f aca="false">DATE(YEAR(B786),MONTH(B786),1)</f>
        <v>45748</v>
      </c>
      <c r="K786" s="41" t="n">
        <f aca="false">D786*E786</f>
        <v>26.78</v>
      </c>
      <c r="L786" s="41" t="n">
        <f aca="false">D786*I786</f>
        <v>8</v>
      </c>
      <c r="M786" s="41" t="n">
        <f aca="false">IFERROR(INDEX(Raw_Expenses!$C$5:$C$2979,MATCH(A786,Raw_Expenses!$A$5:$A$2979,0)),0)</f>
        <v>2.05</v>
      </c>
      <c r="N786" s="41" t="n">
        <f aca="false">L786+M786</f>
        <v>10.05</v>
      </c>
      <c r="O786" s="41" t="n">
        <f aca="false">K786-N786</f>
        <v>16.73</v>
      </c>
      <c r="P786" s="43" t="n">
        <f aca="false">IF(K786=0,0,O786/K786)</f>
        <v>0.624719940253921</v>
      </c>
    </row>
    <row r="787" customFormat="false" ht="15" hidden="false" customHeight="false" outlineLevel="0" collapsed="false">
      <c r="A787" s="39" t="s">
        <v>909</v>
      </c>
      <c r="B787" s="40" t="n">
        <v>45771</v>
      </c>
      <c r="C787" s="39" t="s">
        <v>114</v>
      </c>
      <c r="D787" s="39" t="n">
        <v>1</v>
      </c>
      <c r="E787" s="41" t="n">
        <v>5.68</v>
      </c>
      <c r="F787" s="39" t="s">
        <v>108</v>
      </c>
      <c r="G787" s="39" t="str">
        <f aca="false">VLOOKUP(C787,Products!$A$5:$D$24,2,FALSE())</f>
        <v>Gel Pen Pack</v>
      </c>
      <c r="H787" s="39" t="str">
        <f aca="false">VLOOKUP(C787,Products!$A$5:$D$24,3,FALSE())</f>
        <v>Stationery</v>
      </c>
      <c r="I787" s="41" t="n">
        <f aca="false">VLOOKUP(C787,Products!$A$5:$D$24,4,FALSE())</f>
        <v>2</v>
      </c>
      <c r="J787" s="42" t="n">
        <f aca="false">DATE(YEAR(B787),MONTH(B787),1)</f>
        <v>45748</v>
      </c>
      <c r="K787" s="41" t="n">
        <f aca="false">D787*E787</f>
        <v>5.68</v>
      </c>
      <c r="L787" s="41" t="n">
        <f aca="false">D787*I787</f>
        <v>2</v>
      </c>
      <c r="M787" s="41" t="n">
        <f aca="false">IFERROR(INDEX(Raw_Expenses!$C$5:$C$2979,MATCH(A787,Raw_Expenses!$A$5:$A$2979,0)),0)</f>
        <v>0.23</v>
      </c>
      <c r="N787" s="41" t="n">
        <f aca="false">L787+M787</f>
        <v>2.23</v>
      </c>
      <c r="O787" s="41" t="n">
        <f aca="false">K787-N787</f>
        <v>3.45</v>
      </c>
      <c r="P787" s="43" t="n">
        <f aca="false">IF(K787=0,0,O787/K787)</f>
        <v>0.607394366197183</v>
      </c>
    </row>
    <row r="788" customFormat="false" ht="15" hidden="false" customHeight="false" outlineLevel="0" collapsed="false">
      <c r="A788" s="39" t="s">
        <v>910</v>
      </c>
      <c r="B788" s="40" t="n">
        <v>45771</v>
      </c>
      <c r="C788" s="39" t="s">
        <v>104</v>
      </c>
      <c r="D788" s="39" t="n">
        <v>5</v>
      </c>
      <c r="E788" s="41" t="n">
        <v>15.38</v>
      </c>
      <c r="F788" s="39" t="s">
        <v>118</v>
      </c>
      <c r="G788" s="39" t="str">
        <f aca="false">VLOOKUP(C788,Products!$A$5:$D$24,2,FALSE())</f>
        <v>Water Bottle</v>
      </c>
      <c r="H788" s="39" t="str">
        <f aca="false">VLOOKUP(C788,Products!$A$5:$D$24,3,FALSE())</f>
        <v>Accessories</v>
      </c>
      <c r="I788" s="41" t="n">
        <f aca="false">VLOOKUP(C788,Products!$A$5:$D$24,4,FALSE())</f>
        <v>5</v>
      </c>
      <c r="J788" s="42" t="n">
        <f aca="false">DATE(YEAR(B788),MONTH(B788),1)</f>
        <v>45748</v>
      </c>
      <c r="K788" s="41" t="n">
        <f aca="false">D788*E788</f>
        <v>76.9</v>
      </c>
      <c r="L788" s="41" t="n">
        <f aca="false">D788*I788</f>
        <v>25</v>
      </c>
      <c r="M788" s="41" t="n">
        <f aca="false">IFERROR(INDEX(Raw_Expenses!$C$5:$C$2979,MATCH(A788,Raw_Expenses!$A$5:$A$2979,0)),0)</f>
        <v>6.91</v>
      </c>
      <c r="N788" s="41" t="n">
        <f aca="false">L788+M788</f>
        <v>31.91</v>
      </c>
      <c r="O788" s="41" t="n">
        <f aca="false">K788-N788</f>
        <v>44.99</v>
      </c>
      <c r="P788" s="43" t="n">
        <f aca="false">IF(K788=0,0,O788/K788)</f>
        <v>0.585045513654096</v>
      </c>
    </row>
    <row r="789" customFormat="false" ht="15" hidden="false" customHeight="false" outlineLevel="0" collapsed="false">
      <c r="A789" s="39" t="s">
        <v>911</v>
      </c>
      <c r="B789" s="40" t="n">
        <v>45771</v>
      </c>
      <c r="C789" s="39" t="s">
        <v>162</v>
      </c>
      <c r="D789" s="39" t="n">
        <v>1</v>
      </c>
      <c r="E789" s="41" t="n">
        <v>65.19</v>
      </c>
      <c r="F789" s="39" t="s">
        <v>118</v>
      </c>
      <c r="G789" s="39" t="str">
        <f aca="false">VLOOKUP(C789,Products!$A$5:$D$24,2,FALSE())</f>
        <v>Bluetooth Speaker</v>
      </c>
      <c r="H789" s="39" t="str">
        <f aca="false">VLOOKUP(C789,Products!$A$5:$D$24,3,FALSE())</f>
        <v>Electronics</v>
      </c>
      <c r="I789" s="41" t="n">
        <f aca="false">VLOOKUP(C789,Products!$A$5:$D$24,4,FALSE())</f>
        <v>28</v>
      </c>
      <c r="J789" s="42" t="n">
        <f aca="false">DATE(YEAR(B789),MONTH(B789),1)</f>
        <v>45748</v>
      </c>
      <c r="K789" s="41" t="n">
        <f aca="false">D789*E789</f>
        <v>65.19</v>
      </c>
      <c r="L789" s="41" t="n">
        <f aca="false">D789*I789</f>
        <v>28</v>
      </c>
      <c r="M789" s="41" t="n">
        <f aca="false">IFERROR(INDEX(Raw_Expenses!$C$5:$C$2979,MATCH(A789,Raw_Expenses!$A$5:$A$2979,0)),0)</f>
        <v>5.67</v>
      </c>
      <c r="N789" s="41" t="n">
        <f aca="false">L789+M789</f>
        <v>33.67</v>
      </c>
      <c r="O789" s="41" t="n">
        <f aca="false">K789-N789</f>
        <v>31.52</v>
      </c>
      <c r="P789" s="43" t="n">
        <f aca="false">IF(K789=0,0,O789/K789)</f>
        <v>0.483509740757785</v>
      </c>
    </row>
    <row r="790" customFormat="false" ht="15" hidden="false" customHeight="false" outlineLevel="0" collapsed="false">
      <c r="A790" s="39" t="s">
        <v>912</v>
      </c>
      <c r="B790" s="40" t="n">
        <v>45771</v>
      </c>
      <c r="C790" s="39" t="s">
        <v>110</v>
      </c>
      <c r="D790" s="39" t="n">
        <v>4</v>
      </c>
      <c r="E790" s="41" t="n">
        <v>13.1</v>
      </c>
      <c r="F790" s="39" t="s">
        <v>118</v>
      </c>
      <c r="G790" s="39" t="str">
        <f aca="false">VLOOKUP(C790,Products!$A$5:$D$24,2,FALSE())</f>
        <v>Phone Stand</v>
      </c>
      <c r="H790" s="39" t="str">
        <f aca="false">VLOOKUP(C790,Products!$A$5:$D$24,3,FALSE())</f>
        <v>Accessories</v>
      </c>
      <c r="I790" s="41" t="n">
        <f aca="false">VLOOKUP(C790,Products!$A$5:$D$24,4,FALSE())</f>
        <v>4</v>
      </c>
      <c r="J790" s="42" t="n">
        <f aca="false">DATE(YEAR(B790),MONTH(B790),1)</f>
        <v>45748</v>
      </c>
      <c r="K790" s="41" t="n">
        <f aca="false">D790*E790</f>
        <v>52.4</v>
      </c>
      <c r="L790" s="41" t="n">
        <f aca="false">D790*I790</f>
        <v>16</v>
      </c>
      <c r="M790" s="41" t="n">
        <f aca="false">IFERROR(INDEX(Raw_Expenses!$C$5:$C$2979,MATCH(A790,Raw_Expenses!$A$5:$A$2979,0)),0)</f>
        <v>4.42</v>
      </c>
      <c r="N790" s="41" t="n">
        <f aca="false">L790+M790</f>
        <v>20.42</v>
      </c>
      <c r="O790" s="41" t="n">
        <f aca="false">K790-N790</f>
        <v>31.98</v>
      </c>
      <c r="P790" s="43" t="n">
        <f aca="false">IF(K790=0,0,O790/K790)</f>
        <v>0.61030534351145</v>
      </c>
    </row>
    <row r="791" customFormat="false" ht="15" hidden="false" customHeight="false" outlineLevel="0" collapsed="false">
      <c r="A791" s="39" t="s">
        <v>913</v>
      </c>
      <c r="B791" s="40" t="n">
        <v>45771</v>
      </c>
      <c r="C791" s="39" t="s">
        <v>117</v>
      </c>
      <c r="D791" s="39" t="n">
        <v>2</v>
      </c>
      <c r="E791" s="41" t="n">
        <v>30.42</v>
      </c>
      <c r="F791" s="39" t="s">
        <v>108</v>
      </c>
      <c r="G791" s="39" t="str">
        <f aca="false">VLOOKUP(C791,Products!$A$5:$D$24,2,FALSE())</f>
        <v>Desk Lamp</v>
      </c>
      <c r="H791" s="39" t="str">
        <f aca="false">VLOOKUP(C791,Products!$A$5:$D$24,3,FALSE())</f>
        <v>Furniture</v>
      </c>
      <c r="I791" s="41" t="n">
        <f aca="false">VLOOKUP(C791,Products!$A$5:$D$24,4,FALSE())</f>
        <v>13</v>
      </c>
      <c r="J791" s="42" t="n">
        <f aca="false">DATE(YEAR(B791),MONTH(B791),1)</f>
        <v>45748</v>
      </c>
      <c r="K791" s="41" t="n">
        <f aca="false">D791*E791</f>
        <v>60.84</v>
      </c>
      <c r="L791" s="41" t="n">
        <f aca="false">D791*I791</f>
        <v>26</v>
      </c>
      <c r="M791" s="41" t="n">
        <f aca="false">IFERROR(INDEX(Raw_Expenses!$C$5:$C$2979,MATCH(A791,Raw_Expenses!$A$5:$A$2979,0)),0)</f>
        <v>3.8</v>
      </c>
      <c r="N791" s="41" t="n">
        <f aca="false">L791+M791</f>
        <v>29.8</v>
      </c>
      <c r="O791" s="41" t="n">
        <f aca="false">K791-N791</f>
        <v>31.04</v>
      </c>
      <c r="P791" s="43" t="n">
        <f aca="false">IF(K791=0,0,O791/K791)</f>
        <v>0.510190664036818</v>
      </c>
    </row>
    <row r="792" customFormat="false" ht="15" hidden="false" customHeight="false" outlineLevel="0" collapsed="false">
      <c r="A792" s="39" t="s">
        <v>914</v>
      </c>
      <c r="B792" s="40" t="n">
        <v>45771</v>
      </c>
      <c r="C792" s="39" t="s">
        <v>126</v>
      </c>
      <c r="D792" s="39" t="n">
        <v>3</v>
      </c>
      <c r="E792" s="41" t="n">
        <v>24.4</v>
      </c>
      <c r="F792" s="39" t="s">
        <v>115</v>
      </c>
      <c r="G792" s="39" t="str">
        <f aca="false">VLOOKUP(C792,Products!$A$5:$D$24,2,FALSE())</f>
        <v>Wireless Mouse</v>
      </c>
      <c r="H792" s="39" t="str">
        <f aca="false">VLOOKUP(C792,Products!$A$5:$D$24,3,FALSE())</f>
        <v>Electronics</v>
      </c>
      <c r="I792" s="41" t="n">
        <f aca="false">VLOOKUP(C792,Products!$A$5:$D$24,4,FALSE())</f>
        <v>12</v>
      </c>
      <c r="J792" s="42" t="n">
        <f aca="false">DATE(YEAR(B792),MONTH(B792),1)</f>
        <v>45748</v>
      </c>
      <c r="K792" s="41" t="n">
        <f aca="false">D792*E792</f>
        <v>73.2</v>
      </c>
      <c r="L792" s="41" t="n">
        <f aca="false">D792*I792</f>
        <v>36</v>
      </c>
      <c r="M792" s="41" t="n">
        <f aca="false">IFERROR(INDEX(Raw_Expenses!$C$5:$C$2979,MATCH(A792,Raw_Expenses!$A$5:$A$2979,0)),0)</f>
        <v>3.95</v>
      </c>
      <c r="N792" s="41" t="n">
        <f aca="false">L792+M792</f>
        <v>39.95</v>
      </c>
      <c r="O792" s="41" t="n">
        <f aca="false">K792-N792</f>
        <v>33.25</v>
      </c>
      <c r="P792" s="43" t="n">
        <f aca="false">IF(K792=0,0,O792/K792)</f>
        <v>0.454234972677596</v>
      </c>
    </row>
    <row r="793" customFormat="false" ht="15" hidden="false" customHeight="false" outlineLevel="0" collapsed="false">
      <c r="A793" s="39" t="s">
        <v>915</v>
      </c>
      <c r="B793" s="40" t="n">
        <v>45771</v>
      </c>
      <c r="C793" s="39" t="s">
        <v>114</v>
      </c>
      <c r="D793" s="39" t="n">
        <v>3</v>
      </c>
      <c r="E793" s="41" t="n">
        <v>5.61</v>
      </c>
      <c r="F793" s="39" t="s">
        <v>115</v>
      </c>
      <c r="G793" s="39" t="str">
        <f aca="false">VLOOKUP(C793,Products!$A$5:$D$24,2,FALSE())</f>
        <v>Gel Pen Pack</v>
      </c>
      <c r="H793" s="39" t="str">
        <f aca="false">VLOOKUP(C793,Products!$A$5:$D$24,3,FALSE())</f>
        <v>Stationery</v>
      </c>
      <c r="I793" s="41" t="n">
        <f aca="false">VLOOKUP(C793,Products!$A$5:$D$24,4,FALSE())</f>
        <v>2</v>
      </c>
      <c r="J793" s="42" t="n">
        <f aca="false">DATE(YEAR(B793),MONTH(B793),1)</f>
        <v>45748</v>
      </c>
      <c r="K793" s="41" t="n">
        <f aca="false">D793*E793</f>
        <v>16.83</v>
      </c>
      <c r="L793" s="41" t="n">
        <f aca="false">D793*I793</f>
        <v>6</v>
      </c>
      <c r="M793" s="41" t="n">
        <f aca="false">IFERROR(INDEX(Raw_Expenses!$C$5:$C$2979,MATCH(A793,Raw_Expenses!$A$5:$A$2979,0)),0)</f>
        <v>1.02</v>
      </c>
      <c r="N793" s="41" t="n">
        <f aca="false">L793+M793</f>
        <v>7.02</v>
      </c>
      <c r="O793" s="41" t="n">
        <f aca="false">K793-N793</f>
        <v>9.81</v>
      </c>
      <c r="P793" s="43" t="n">
        <f aca="false">IF(K793=0,0,O793/K793)</f>
        <v>0.58288770053476</v>
      </c>
    </row>
    <row r="794" customFormat="false" ht="15" hidden="false" customHeight="false" outlineLevel="0" collapsed="false">
      <c r="A794" s="39" t="s">
        <v>916</v>
      </c>
      <c r="B794" s="40" t="n">
        <v>45771</v>
      </c>
      <c r="C794" s="39" t="s">
        <v>104</v>
      </c>
      <c r="D794" s="39" t="n">
        <v>2</v>
      </c>
      <c r="E794" s="41" t="n">
        <v>15.9</v>
      </c>
      <c r="F794" s="39" t="s">
        <v>105</v>
      </c>
      <c r="G794" s="39" t="str">
        <f aca="false">VLOOKUP(C794,Products!$A$5:$D$24,2,FALSE())</f>
        <v>Water Bottle</v>
      </c>
      <c r="H794" s="39" t="str">
        <f aca="false">VLOOKUP(C794,Products!$A$5:$D$24,3,FALSE())</f>
        <v>Accessories</v>
      </c>
      <c r="I794" s="41" t="n">
        <f aca="false">VLOOKUP(C794,Products!$A$5:$D$24,4,FALSE())</f>
        <v>5</v>
      </c>
      <c r="J794" s="42" t="n">
        <f aca="false">DATE(YEAR(B794),MONTH(B794),1)</f>
        <v>45748</v>
      </c>
      <c r="K794" s="41" t="n">
        <f aca="false">D794*E794</f>
        <v>31.8</v>
      </c>
      <c r="L794" s="41" t="n">
        <f aca="false">D794*I794</f>
        <v>10</v>
      </c>
      <c r="M794" s="41" t="n">
        <f aca="false">IFERROR(INDEX(Raw_Expenses!$C$5:$C$2979,MATCH(A794,Raw_Expenses!$A$5:$A$2979,0)),0)</f>
        <v>1.43</v>
      </c>
      <c r="N794" s="41" t="n">
        <f aca="false">L794+M794</f>
        <v>11.43</v>
      </c>
      <c r="O794" s="41" t="n">
        <f aca="false">K794-N794</f>
        <v>20.37</v>
      </c>
      <c r="P794" s="43" t="n">
        <f aca="false">IF(K794=0,0,O794/K794)</f>
        <v>0.640566037735849</v>
      </c>
    </row>
    <row r="795" customFormat="false" ht="15" hidden="false" customHeight="false" outlineLevel="0" collapsed="false">
      <c r="A795" s="39" t="s">
        <v>917</v>
      </c>
      <c r="B795" s="40" t="n">
        <v>45772</v>
      </c>
      <c r="C795" s="39" t="s">
        <v>107</v>
      </c>
      <c r="D795" s="39" t="n">
        <v>1</v>
      </c>
      <c r="E795" s="41" t="n">
        <v>33.21</v>
      </c>
      <c r="F795" s="39" t="s">
        <v>118</v>
      </c>
      <c r="G795" s="39" t="str">
        <f aca="false">VLOOKUP(C795,Products!$A$5:$D$24,2,FALSE())</f>
        <v>USB-C Hub</v>
      </c>
      <c r="H795" s="39" t="str">
        <f aca="false">VLOOKUP(C795,Products!$A$5:$D$24,3,FALSE())</f>
        <v>Electronics</v>
      </c>
      <c r="I795" s="41" t="n">
        <f aca="false">VLOOKUP(C795,Products!$A$5:$D$24,4,FALSE())</f>
        <v>14</v>
      </c>
      <c r="J795" s="42" t="n">
        <f aca="false">DATE(YEAR(B795),MONTH(B795),1)</f>
        <v>45748</v>
      </c>
      <c r="K795" s="41" t="n">
        <f aca="false">D795*E795</f>
        <v>33.21</v>
      </c>
      <c r="L795" s="41" t="n">
        <f aca="false">D795*I795</f>
        <v>14</v>
      </c>
      <c r="M795" s="41" t="n">
        <f aca="false">IFERROR(INDEX(Raw_Expenses!$C$5:$C$2979,MATCH(A795,Raw_Expenses!$A$5:$A$2979,0)),0)</f>
        <v>1.46</v>
      </c>
      <c r="N795" s="41" t="n">
        <f aca="false">L795+M795</f>
        <v>15.46</v>
      </c>
      <c r="O795" s="41" t="n">
        <f aca="false">K795-N795</f>
        <v>17.75</v>
      </c>
      <c r="P795" s="43" t="n">
        <f aca="false">IF(K795=0,0,O795/K795)</f>
        <v>0.534477566997892</v>
      </c>
    </row>
    <row r="796" customFormat="false" ht="15" hidden="false" customHeight="false" outlineLevel="0" collapsed="false">
      <c r="A796" s="39" t="s">
        <v>918</v>
      </c>
      <c r="B796" s="40" t="n">
        <v>45772</v>
      </c>
      <c r="C796" s="39" t="s">
        <v>169</v>
      </c>
      <c r="D796" s="39" t="n">
        <v>2</v>
      </c>
      <c r="E796" s="41" t="n">
        <v>27.4</v>
      </c>
      <c r="F796" s="39" t="s">
        <v>115</v>
      </c>
      <c r="G796" s="39" t="str">
        <f aca="false">VLOOKUP(C796,Products!$A$5:$D$24,2,FALSE())</f>
        <v>Laptop Stand</v>
      </c>
      <c r="H796" s="39" t="str">
        <f aca="false">VLOOKUP(C796,Products!$A$5:$D$24,3,FALSE())</f>
        <v>Accessories</v>
      </c>
      <c r="I796" s="41" t="n">
        <f aca="false">VLOOKUP(C796,Products!$A$5:$D$24,4,FALSE())</f>
        <v>11</v>
      </c>
      <c r="J796" s="42" t="n">
        <f aca="false">DATE(YEAR(B796),MONTH(B796),1)</f>
        <v>45748</v>
      </c>
      <c r="K796" s="41" t="n">
        <f aca="false">D796*E796</f>
        <v>54.8</v>
      </c>
      <c r="L796" s="41" t="n">
        <f aca="false">D796*I796</f>
        <v>22</v>
      </c>
      <c r="M796" s="41" t="n">
        <f aca="false">IFERROR(INDEX(Raw_Expenses!$C$5:$C$2979,MATCH(A796,Raw_Expenses!$A$5:$A$2979,0)),0)</f>
        <v>3.54</v>
      </c>
      <c r="N796" s="41" t="n">
        <f aca="false">L796+M796</f>
        <v>25.54</v>
      </c>
      <c r="O796" s="41" t="n">
        <f aca="false">K796-N796</f>
        <v>29.26</v>
      </c>
      <c r="P796" s="43" t="n">
        <f aca="false">IF(K796=0,0,O796/K796)</f>
        <v>0.533941605839416</v>
      </c>
    </row>
    <row r="797" customFormat="false" ht="15" hidden="false" customHeight="false" outlineLevel="0" collapsed="false">
      <c r="A797" s="39" t="s">
        <v>919</v>
      </c>
      <c r="B797" s="40" t="n">
        <v>45772</v>
      </c>
      <c r="C797" s="39" t="s">
        <v>130</v>
      </c>
      <c r="D797" s="39" t="n">
        <v>1</v>
      </c>
      <c r="E797" s="41" t="n">
        <v>8.34</v>
      </c>
      <c r="F797" s="39" t="s">
        <v>115</v>
      </c>
      <c r="G797" s="39" t="str">
        <f aca="false">VLOOKUP(C797,Products!$A$5:$D$24,2,FALSE())</f>
        <v>Notebook Set</v>
      </c>
      <c r="H797" s="39" t="str">
        <f aca="false">VLOOKUP(C797,Products!$A$5:$D$24,3,FALSE())</f>
        <v>Stationery</v>
      </c>
      <c r="I797" s="41" t="n">
        <f aca="false">VLOOKUP(C797,Products!$A$5:$D$24,4,FALSE())</f>
        <v>3</v>
      </c>
      <c r="J797" s="42" t="n">
        <f aca="false">DATE(YEAR(B797),MONTH(B797),1)</f>
        <v>45748</v>
      </c>
      <c r="K797" s="41" t="n">
        <f aca="false">D797*E797</f>
        <v>8.34</v>
      </c>
      <c r="L797" s="41" t="n">
        <f aca="false">D797*I797</f>
        <v>3</v>
      </c>
      <c r="M797" s="41" t="n">
        <f aca="false">IFERROR(INDEX(Raw_Expenses!$C$5:$C$2979,MATCH(A797,Raw_Expenses!$A$5:$A$2979,0)),0)</f>
        <v>0.72</v>
      </c>
      <c r="N797" s="41" t="n">
        <f aca="false">L797+M797</f>
        <v>3.72</v>
      </c>
      <c r="O797" s="41" t="n">
        <f aca="false">K797-N797</f>
        <v>4.62</v>
      </c>
      <c r="P797" s="43" t="n">
        <f aca="false">IF(K797=0,0,O797/K797)</f>
        <v>0.553956834532374</v>
      </c>
    </row>
    <row r="798" customFormat="false" ht="15" hidden="false" customHeight="false" outlineLevel="0" collapsed="false">
      <c r="A798" s="39" t="s">
        <v>920</v>
      </c>
      <c r="B798" s="40" t="n">
        <v>45772</v>
      </c>
      <c r="C798" s="39" t="s">
        <v>305</v>
      </c>
      <c r="D798" s="39" t="n">
        <v>1</v>
      </c>
      <c r="E798" s="41" t="n">
        <v>325.81</v>
      </c>
      <c r="F798" s="39" t="s">
        <v>118</v>
      </c>
      <c r="G798" s="39" t="str">
        <f aca="false">VLOOKUP(C798,Products!$A$5:$D$24,2,FALSE())</f>
        <v>Standing Desk</v>
      </c>
      <c r="H798" s="39" t="str">
        <f aca="false">VLOOKUP(C798,Products!$A$5:$D$24,3,FALSE())</f>
        <v>Furniture</v>
      </c>
      <c r="I798" s="41" t="n">
        <f aca="false">VLOOKUP(C798,Products!$A$5:$D$24,4,FALSE())</f>
        <v>160</v>
      </c>
      <c r="J798" s="42" t="n">
        <f aca="false">DATE(YEAR(B798),MONTH(B798),1)</f>
        <v>45748</v>
      </c>
      <c r="K798" s="41" t="n">
        <f aca="false">D798*E798</f>
        <v>325.81</v>
      </c>
      <c r="L798" s="41" t="n">
        <f aca="false">D798*I798</f>
        <v>160</v>
      </c>
      <c r="M798" s="41" t="n">
        <f aca="false">IFERROR(INDEX(Raw_Expenses!$C$5:$C$2979,MATCH(A798,Raw_Expenses!$A$5:$A$2979,0)),0)</f>
        <v>17.91</v>
      </c>
      <c r="N798" s="41" t="n">
        <f aca="false">L798+M798</f>
        <v>177.91</v>
      </c>
      <c r="O798" s="41" t="n">
        <f aca="false">K798-N798</f>
        <v>147.9</v>
      </c>
      <c r="P798" s="43" t="n">
        <f aca="false">IF(K798=0,0,O798/K798)</f>
        <v>0.453945551088057</v>
      </c>
    </row>
    <row r="799" customFormat="false" ht="15" hidden="false" customHeight="false" outlineLevel="0" collapsed="false">
      <c r="A799" s="39" t="s">
        <v>921</v>
      </c>
      <c r="B799" s="40" t="n">
        <v>45772</v>
      </c>
      <c r="C799" s="39" t="s">
        <v>183</v>
      </c>
      <c r="D799" s="39" t="n">
        <v>6</v>
      </c>
      <c r="E799" s="41" t="n">
        <v>176.69</v>
      </c>
      <c r="F799" s="39" t="s">
        <v>118</v>
      </c>
      <c r="G799" s="39" t="str">
        <f aca="false">VLOOKUP(C799,Products!$A$5:$D$24,2,FALSE())</f>
        <v>Office Chair</v>
      </c>
      <c r="H799" s="39" t="str">
        <f aca="false">VLOOKUP(C799,Products!$A$5:$D$24,3,FALSE())</f>
        <v>Furniture</v>
      </c>
      <c r="I799" s="41" t="n">
        <f aca="false">VLOOKUP(C799,Products!$A$5:$D$24,4,FALSE())</f>
        <v>85</v>
      </c>
      <c r="J799" s="42" t="n">
        <f aca="false">DATE(YEAR(B799),MONTH(B799),1)</f>
        <v>45748</v>
      </c>
      <c r="K799" s="41" t="n">
        <f aca="false">D799*E799</f>
        <v>1060.14</v>
      </c>
      <c r="L799" s="41" t="n">
        <f aca="false">D799*I799</f>
        <v>510</v>
      </c>
      <c r="M799" s="41" t="n">
        <f aca="false">IFERROR(INDEX(Raw_Expenses!$C$5:$C$2979,MATCH(A799,Raw_Expenses!$A$5:$A$2979,0)),0)</f>
        <v>44.84</v>
      </c>
      <c r="N799" s="41" t="n">
        <f aca="false">L799+M799</f>
        <v>554.84</v>
      </c>
      <c r="O799" s="41" t="n">
        <f aca="false">K799-N799</f>
        <v>505.3</v>
      </c>
      <c r="P799" s="43" t="n">
        <f aca="false">IF(K799=0,0,O799/K799)</f>
        <v>0.476635161393778</v>
      </c>
    </row>
    <row r="800" customFormat="false" ht="15" hidden="false" customHeight="false" outlineLevel="0" collapsed="false">
      <c r="A800" s="39" t="s">
        <v>922</v>
      </c>
      <c r="B800" s="40" t="n">
        <v>45772</v>
      </c>
      <c r="C800" s="39" t="s">
        <v>130</v>
      </c>
      <c r="D800" s="39" t="n">
        <v>4</v>
      </c>
      <c r="E800" s="41" t="n">
        <v>8.65</v>
      </c>
      <c r="F800" s="39" t="s">
        <v>105</v>
      </c>
      <c r="G800" s="39" t="str">
        <f aca="false">VLOOKUP(C800,Products!$A$5:$D$24,2,FALSE())</f>
        <v>Notebook Set</v>
      </c>
      <c r="H800" s="39" t="str">
        <f aca="false">VLOOKUP(C800,Products!$A$5:$D$24,3,FALSE())</f>
        <v>Stationery</v>
      </c>
      <c r="I800" s="41" t="n">
        <f aca="false">VLOOKUP(C800,Products!$A$5:$D$24,4,FALSE())</f>
        <v>3</v>
      </c>
      <c r="J800" s="42" t="n">
        <f aca="false">DATE(YEAR(B800),MONTH(B800),1)</f>
        <v>45748</v>
      </c>
      <c r="K800" s="41" t="n">
        <f aca="false">D800*E800</f>
        <v>34.6</v>
      </c>
      <c r="L800" s="41" t="n">
        <f aca="false">D800*I800</f>
        <v>12</v>
      </c>
      <c r="M800" s="41" t="n">
        <f aca="false">IFERROR(INDEX(Raw_Expenses!$C$5:$C$2979,MATCH(A800,Raw_Expenses!$A$5:$A$2979,0)),0)</f>
        <v>2.12</v>
      </c>
      <c r="N800" s="41" t="n">
        <f aca="false">L800+M800</f>
        <v>14.12</v>
      </c>
      <c r="O800" s="41" t="n">
        <f aca="false">K800-N800</f>
        <v>20.48</v>
      </c>
      <c r="P800" s="43" t="n">
        <f aca="false">IF(K800=0,0,O800/K800)</f>
        <v>0.591907514450867</v>
      </c>
    </row>
    <row r="801" customFormat="false" ht="15" hidden="false" customHeight="false" outlineLevel="0" collapsed="false">
      <c r="A801" s="39" t="s">
        <v>923</v>
      </c>
      <c r="B801" s="40" t="n">
        <v>45772</v>
      </c>
      <c r="C801" s="39" t="s">
        <v>126</v>
      </c>
      <c r="D801" s="39" t="n">
        <v>8</v>
      </c>
      <c r="E801" s="41" t="n">
        <v>23.29</v>
      </c>
      <c r="F801" s="39" t="s">
        <v>118</v>
      </c>
      <c r="G801" s="39" t="str">
        <f aca="false">VLOOKUP(C801,Products!$A$5:$D$24,2,FALSE())</f>
        <v>Wireless Mouse</v>
      </c>
      <c r="H801" s="39" t="str">
        <f aca="false">VLOOKUP(C801,Products!$A$5:$D$24,3,FALSE())</f>
        <v>Electronics</v>
      </c>
      <c r="I801" s="41" t="n">
        <f aca="false">VLOOKUP(C801,Products!$A$5:$D$24,4,FALSE())</f>
        <v>12</v>
      </c>
      <c r="J801" s="42" t="n">
        <f aca="false">DATE(YEAR(B801),MONTH(B801),1)</f>
        <v>45748</v>
      </c>
      <c r="K801" s="41" t="n">
        <f aca="false">D801*E801</f>
        <v>186.32</v>
      </c>
      <c r="L801" s="41" t="n">
        <f aca="false">D801*I801</f>
        <v>96</v>
      </c>
      <c r="M801" s="41" t="n">
        <f aca="false">IFERROR(INDEX(Raw_Expenses!$C$5:$C$2979,MATCH(A801,Raw_Expenses!$A$5:$A$2979,0)),0)</f>
        <v>13.1</v>
      </c>
      <c r="N801" s="41" t="n">
        <f aca="false">L801+M801</f>
        <v>109.1</v>
      </c>
      <c r="O801" s="41" t="n">
        <f aca="false">K801-N801</f>
        <v>77.22</v>
      </c>
      <c r="P801" s="43" t="n">
        <f aca="false">IF(K801=0,0,O801/K801)</f>
        <v>0.414448261056247</v>
      </c>
    </row>
    <row r="802" customFormat="false" ht="15" hidden="false" customHeight="false" outlineLevel="0" collapsed="false">
      <c r="A802" s="39" t="s">
        <v>924</v>
      </c>
      <c r="B802" s="40" t="n">
        <v>45772</v>
      </c>
      <c r="C802" s="39" t="s">
        <v>183</v>
      </c>
      <c r="D802" s="39" t="n">
        <v>2</v>
      </c>
      <c r="E802" s="41" t="n">
        <v>182.88</v>
      </c>
      <c r="F802" s="39" t="s">
        <v>105</v>
      </c>
      <c r="G802" s="39" t="str">
        <f aca="false">VLOOKUP(C802,Products!$A$5:$D$24,2,FALSE())</f>
        <v>Office Chair</v>
      </c>
      <c r="H802" s="39" t="str">
        <f aca="false">VLOOKUP(C802,Products!$A$5:$D$24,3,FALSE())</f>
        <v>Furniture</v>
      </c>
      <c r="I802" s="41" t="n">
        <f aca="false">VLOOKUP(C802,Products!$A$5:$D$24,4,FALSE())</f>
        <v>85</v>
      </c>
      <c r="J802" s="42" t="n">
        <f aca="false">DATE(YEAR(B802),MONTH(B802),1)</f>
        <v>45748</v>
      </c>
      <c r="K802" s="41" t="n">
        <f aca="false">D802*E802</f>
        <v>365.76</v>
      </c>
      <c r="L802" s="41" t="n">
        <f aca="false">D802*I802</f>
        <v>170</v>
      </c>
      <c r="M802" s="41" t="n">
        <f aca="false">IFERROR(INDEX(Raw_Expenses!$C$5:$C$2979,MATCH(A802,Raw_Expenses!$A$5:$A$2979,0)),0)</f>
        <v>23.7</v>
      </c>
      <c r="N802" s="41" t="n">
        <f aca="false">L802+M802</f>
        <v>193.7</v>
      </c>
      <c r="O802" s="41" t="n">
        <f aca="false">K802-N802</f>
        <v>172.06</v>
      </c>
      <c r="P802" s="43" t="n">
        <f aca="false">IF(K802=0,0,O802/K802)</f>
        <v>0.470417760279965</v>
      </c>
    </row>
    <row r="803" customFormat="false" ht="15" hidden="false" customHeight="false" outlineLevel="0" collapsed="false">
      <c r="A803" s="39" t="s">
        <v>925</v>
      </c>
      <c r="B803" s="40" t="n">
        <v>45773</v>
      </c>
      <c r="C803" s="39" t="s">
        <v>114</v>
      </c>
      <c r="D803" s="39" t="n">
        <v>6</v>
      </c>
      <c r="E803" s="41" t="n">
        <v>5.76</v>
      </c>
      <c r="F803" s="39" t="s">
        <v>105</v>
      </c>
      <c r="G803" s="39" t="str">
        <f aca="false">VLOOKUP(C803,Products!$A$5:$D$24,2,FALSE())</f>
        <v>Gel Pen Pack</v>
      </c>
      <c r="H803" s="39" t="str">
        <f aca="false">VLOOKUP(C803,Products!$A$5:$D$24,3,FALSE())</f>
        <v>Stationery</v>
      </c>
      <c r="I803" s="41" t="n">
        <f aca="false">VLOOKUP(C803,Products!$A$5:$D$24,4,FALSE())</f>
        <v>2</v>
      </c>
      <c r="J803" s="42" t="n">
        <f aca="false">DATE(YEAR(B803),MONTH(B803),1)</f>
        <v>45748</v>
      </c>
      <c r="K803" s="41" t="n">
        <f aca="false">D803*E803</f>
        <v>34.56</v>
      </c>
      <c r="L803" s="41" t="n">
        <f aca="false">D803*I803</f>
        <v>12</v>
      </c>
      <c r="M803" s="41" t="n">
        <f aca="false">IFERROR(INDEX(Raw_Expenses!$C$5:$C$2979,MATCH(A803,Raw_Expenses!$A$5:$A$2979,0)),0)</f>
        <v>3.08</v>
      </c>
      <c r="N803" s="41" t="n">
        <f aca="false">L803+M803</f>
        <v>15.08</v>
      </c>
      <c r="O803" s="41" t="n">
        <f aca="false">K803-N803</f>
        <v>19.48</v>
      </c>
      <c r="P803" s="43" t="n">
        <f aca="false">IF(K803=0,0,O803/K803)</f>
        <v>0.563657407407407</v>
      </c>
    </row>
    <row r="804" customFormat="false" ht="15" hidden="false" customHeight="false" outlineLevel="0" collapsed="false">
      <c r="A804" s="39" t="s">
        <v>926</v>
      </c>
      <c r="B804" s="40" t="n">
        <v>45773</v>
      </c>
      <c r="C804" s="39" t="s">
        <v>133</v>
      </c>
      <c r="D804" s="39" t="n">
        <v>2</v>
      </c>
      <c r="E804" s="41" t="n">
        <v>8.85</v>
      </c>
      <c r="F804" s="39" t="s">
        <v>115</v>
      </c>
      <c r="G804" s="39" t="str">
        <f aca="false">VLOOKUP(C804,Products!$A$5:$D$24,2,FALSE())</f>
        <v>Printer Paper Ream</v>
      </c>
      <c r="H804" s="39" t="str">
        <f aca="false">VLOOKUP(C804,Products!$A$5:$D$24,3,FALSE())</f>
        <v>Stationery</v>
      </c>
      <c r="I804" s="41" t="n">
        <f aca="false">VLOOKUP(C804,Products!$A$5:$D$24,4,FALSE())</f>
        <v>4</v>
      </c>
      <c r="J804" s="42" t="n">
        <f aca="false">DATE(YEAR(B804),MONTH(B804),1)</f>
        <v>45748</v>
      </c>
      <c r="K804" s="41" t="n">
        <f aca="false">D804*E804</f>
        <v>17.7</v>
      </c>
      <c r="L804" s="41" t="n">
        <f aca="false">D804*I804</f>
        <v>8</v>
      </c>
      <c r="M804" s="41" t="n">
        <f aca="false">IFERROR(INDEX(Raw_Expenses!$C$5:$C$2979,MATCH(A804,Raw_Expenses!$A$5:$A$2979,0)),0)</f>
        <v>0.99</v>
      </c>
      <c r="N804" s="41" t="n">
        <f aca="false">L804+M804</f>
        <v>8.99</v>
      </c>
      <c r="O804" s="41" t="n">
        <f aca="false">K804-N804</f>
        <v>8.71</v>
      </c>
      <c r="P804" s="43" t="n">
        <f aca="false">IF(K804=0,0,O804/K804)</f>
        <v>0.492090395480226</v>
      </c>
    </row>
    <row r="805" customFormat="false" ht="15" hidden="false" customHeight="false" outlineLevel="0" collapsed="false">
      <c r="A805" s="39" t="s">
        <v>927</v>
      </c>
      <c r="B805" s="40" t="n">
        <v>45773</v>
      </c>
      <c r="C805" s="39" t="s">
        <v>305</v>
      </c>
      <c r="D805" s="39" t="n">
        <v>2</v>
      </c>
      <c r="E805" s="41" t="n">
        <v>348.27</v>
      </c>
      <c r="F805" s="39" t="s">
        <v>118</v>
      </c>
      <c r="G805" s="39" t="str">
        <f aca="false">VLOOKUP(C805,Products!$A$5:$D$24,2,FALSE())</f>
        <v>Standing Desk</v>
      </c>
      <c r="H805" s="39" t="str">
        <f aca="false">VLOOKUP(C805,Products!$A$5:$D$24,3,FALSE())</f>
        <v>Furniture</v>
      </c>
      <c r="I805" s="41" t="n">
        <f aca="false">VLOOKUP(C805,Products!$A$5:$D$24,4,FALSE())</f>
        <v>160</v>
      </c>
      <c r="J805" s="42" t="n">
        <f aca="false">DATE(YEAR(B805),MONTH(B805),1)</f>
        <v>45748</v>
      </c>
      <c r="K805" s="41" t="n">
        <f aca="false">D805*E805</f>
        <v>696.54</v>
      </c>
      <c r="L805" s="41" t="n">
        <f aca="false">D805*I805</f>
        <v>320</v>
      </c>
      <c r="M805" s="41" t="n">
        <f aca="false">IFERROR(INDEX(Raw_Expenses!$C$5:$C$2979,MATCH(A805,Raw_Expenses!$A$5:$A$2979,0)),0)</f>
        <v>32.47</v>
      </c>
      <c r="N805" s="41" t="n">
        <f aca="false">L805+M805</f>
        <v>352.47</v>
      </c>
      <c r="O805" s="41" t="n">
        <f aca="false">K805-N805</f>
        <v>344.07</v>
      </c>
      <c r="P805" s="43" t="n">
        <f aca="false">IF(K805=0,0,O805/K805)</f>
        <v>0.493970195537945</v>
      </c>
    </row>
    <row r="806" customFormat="false" ht="15" hidden="false" customHeight="false" outlineLevel="0" collapsed="false">
      <c r="A806" s="39" t="s">
        <v>928</v>
      </c>
      <c r="B806" s="40" t="n">
        <v>45773</v>
      </c>
      <c r="C806" s="39" t="s">
        <v>104</v>
      </c>
      <c r="D806" s="39" t="n">
        <v>2</v>
      </c>
      <c r="E806" s="41" t="n">
        <v>15.08</v>
      </c>
      <c r="F806" s="39" t="s">
        <v>105</v>
      </c>
      <c r="G806" s="39" t="str">
        <f aca="false">VLOOKUP(C806,Products!$A$5:$D$24,2,FALSE())</f>
        <v>Water Bottle</v>
      </c>
      <c r="H806" s="39" t="str">
        <f aca="false">VLOOKUP(C806,Products!$A$5:$D$24,3,FALSE())</f>
        <v>Accessories</v>
      </c>
      <c r="I806" s="41" t="n">
        <f aca="false">VLOOKUP(C806,Products!$A$5:$D$24,4,FALSE())</f>
        <v>5</v>
      </c>
      <c r="J806" s="42" t="n">
        <f aca="false">DATE(YEAR(B806),MONTH(B806),1)</f>
        <v>45748</v>
      </c>
      <c r="K806" s="41" t="n">
        <f aca="false">D806*E806</f>
        <v>30.16</v>
      </c>
      <c r="L806" s="41" t="n">
        <f aca="false">D806*I806</f>
        <v>10</v>
      </c>
      <c r="M806" s="41" t="n">
        <f aca="false">IFERROR(INDEX(Raw_Expenses!$C$5:$C$2979,MATCH(A806,Raw_Expenses!$A$5:$A$2979,0)),0)</f>
        <v>2.57</v>
      </c>
      <c r="N806" s="41" t="n">
        <f aca="false">L806+M806</f>
        <v>12.57</v>
      </c>
      <c r="O806" s="41" t="n">
        <f aca="false">K806-N806</f>
        <v>17.59</v>
      </c>
      <c r="P806" s="43" t="n">
        <f aca="false">IF(K806=0,0,O806/K806)</f>
        <v>0.583222811671088</v>
      </c>
    </row>
    <row r="807" customFormat="false" ht="15" hidden="false" customHeight="false" outlineLevel="0" collapsed="false">
      <c r="A807" s="39" t="s">
        <v>929</v>
      </c>
      <c r="B807" s="40" t="n">
        <v>45773</v>
      </c>
      <c r="C807" s="39" t="s">
        <v>169</v>
      </c>
      <c r="D807" s="39" t="n">
        <v>3</v>
      </c>
      <c r="E807" s="41" t="n">
        <v>27.38</v>
      </c>
      <c r="F807" s="39" t="s">
        <v>115</v>
      </c>
      <c r="G807" s="39" t="str">
        <f aca="false">VLOOKUP(C807,Products!$A$5:$D$24,2,FALSE())</f>
        <v>Laptop Stand</v>
      </c>
      <c r="H807" s="39" t="str">
        <f aca="false">VLOOKUP(C807,Products!$A$5:$D$24,3,FALSE())</f>
        <v>Accessories</v>
      </c>
      <c r="I807" s="41" t="n">
        <f aca="false">VLOOKUP(C807,Products!$A$5:$D$24,4,FALSE())</f>
        <v>11</v>
      </c>
      <c r="J807" s="42" t="n">
        <f aca="false">DATE(YEAR(B807),MONTH(B807),1)</f>
        <v>45748</v>
      </c>
      <c r="K807" s="41" t="n">
        <f aca="false">D807*E807</f>
        <v>82.14</v>
      </c>
      <c r="L807" s="41" t="n">
        <f aca="false">D807*I807</f>
        <v>33</v>
      </c>
      <c r="M807" s="41" t="n">
        <f aca="false">IFERROR(INDEX(Raw_Expenses!$C$5:$C$2979,MATCH(A807,Raw_Expenses!$A$5:$A$2979,0)),0)</f>
        <v>3.91</v>
      </c>
      <c r="N807" s="41" t="n">
        <f aca="false">L807+M807</f>
        <v>36.91</v>
      </c>
      <c r="O807" s="41" t="n">
        <f aca="false">K807-N807</f>
        <v>45.23</v>
      </c>
      <c r="P807" s="43" t="n">
        <f aca="false">IF(K807=0,0,O807/K807)</f>
        <v>0.550645239834429</v>
      </c>
    </row>
    <row r="808" customFormat="false" ht="15" hidden="false" customHeight="false" outlineLevel="0" collapsed="false">
      <c r="A808" s="39" t="s">
        <v>930</v>
      </c>
      <c r="B808" s="40" t="n">
        <v>45773</v>
      </c>
      <c r="C808" s="39" t="s">
        <v>114</v>
      </c>
      <c r="D808" s="39" t="n">
        <v>2</v>
      </c>
      <c r="E808" s="41" t="n">
        <v>5.82</v>
      </c>
      <c r="F808" s="39" t="s">
        <v>118</v>
      </c>
      <c r="G808" s="39" t="str">
        <f aca="false">VLOOKUP(C808,Products!$A$5:$D$24,2,FALSE())</f>
        <v>Gel Pen Pack</v>
      </c>
      <c r="H808" s="39" t="str">
        <f aca="false">VLOOKUP(C808,Products!$A$5:$D$24,3,FALSE())</f>
        <v>Stationery</v>
      </c>
      <c r="I808" s="41" t="n">
        <f aca="false">VLOOKUP(C808,Products!$A$5:$D$24,4,FALSE())</f>
        <v>2</v>
      </c>
      <c r="J808" s="42" t="n">
        <f aca="false">DATE(YEAR(B808),MONTH(B808),1)</f>
        <v>45748</v>
      </c>
      <c r="K808" s="41" t="n">
        <f aca="false">D808*E808</f>
        <v>11.64</v>
      </c>
      <c r="L808" s="41" t="n">
        <f aca="false">D808*I808</f>
        <v>4</v>
      </c>
      <c r="M808" s="41" t="n">
        <f aca="false">IFERROR(INDEX(Raw_Expenses!$C$5:$C$2979,MATCH(A808,Raw_Expenses!$A$5:$A$2979,0)),0)</f>
        <v>0.73</v>
      </c>
      <c r="N808" s="41" t="n">
        <f aca="false">L808+M808</f>
        <v>4.73</v>
      </c>
      <c r="O808" s="41" t="n">
        <f aca="false">K808-N808</f>
        <v>6.91</v>
      </c>
      <c r="P808" s="43" t="n">
        <f aca="false">IF(K808=0,0,O808/K808)</f>
        <v>0.593642611683849</v>
      </c>
    </row>
    <row r="809" customFormat="false" ht="15" hidden="false" customHeight="false" outlineLevel="0" collapsed="false">
      <c r="A809" s="39" t="s">
        <v>931</v>
      </c>
      <c r="B809" s="40" t="n">
        <v>45774</v>
      </c>
      <c r="C809" s="39" t="s">
        <v>107</v>
      </c>
      <c r="D809" s="39" t="n">
        <v>6</v>
      </c>
      <c r="E809" s="41" t="n">
        <v>32.83</v>
      </c>
      <c r="F809" s="39" t="s">
        <v>118</v>
      </c>
      <c r="G809" s="39" t="str">
        <f aca="false">VLOOKUP(C809,Products!$A$5:$D$24,2,FALSE())</f>
        <v>USB-C Hub</v>
      </c>
      <c r="H809" s="39" t="str">
        <f aca="false">VLOOKUP(C809,Products!$A$5:$D$24,3,FALSE())</f>
        <v>Electronics</v>
      </c>
      <c r="I809" s="41" t="n">
        <f aca="false">VLOOKUP(C809,Products!$A$5:$D$24,4,FALSE())</f>
        <v>14</v>
      </c>
      <c r="J809" s="42" t="n">
        <f aca="false">DATE(YEAR(B809),MONTH(B809),1)</f>
        <v>45748</v>
      </c>
      <c r="K809" s="41" t="n">
        <f aca="false">D809*E809</f>
        <v>196.98</v>
      </c>
      <c r="L809" s="41" t="n">
        <f aca="false">D809*I809</f>
        <v>84</v>
      </c>
      <c r="M809" s="41" t="n">
        <f aca="false">IFERROR(INDEX(Raw_Expenses!$C$5:$C$2979,MATCH(A809,Raw_Expenses!$A$5:$A$2979,0)),0)</f>
        <v>9.51</v>
      </c>
      <c r="N809" s="41" t="n">
        <f aca="false">L809+M809</f>
        <v>93.51</v>
      </c>
      <c r="O809" s="41" t="n">
        <f aca="false">K809-N809</f>
        <v>103.47</v>
      </c>
      <c r="P809" s="43" t="n">
        <f aca="false">IF(K809=0,0,O809/K809)</f>
        <v>0.525281754492842</v>
      </c>
    </row>
    <row r="810" customFormat="false" ht="15" hidden="false" customHeight="false" outlineLevel="0" collapsed="false">
      <c r="A810" s="39" t="s">
        <v>932</v>
      </c>
      <c r="B810" s="40" t="n">
        <v>45774</v>
      </c>
      <c r="C810" s="39" t="s">
        <v>133</v>
      </c>
      <c r="D810" s="39" t="n">
        <v>3</v>
      </c>
      <c r="E810" s="41" t="n">
        <v>8.78</v>
      </c>
      <c r="F810" s="39" t="s">
        <v>108</v>
      </c>
      <c r="G810" s="39" t="str">
        <f aca="false">VLOOKUP(C810,Products!$A$5:$D$24,2,FALSE())</f>
        <v>Printer Paper Ream</v>
      </c>
      <c r="H810" s="39" t="str">
        <f aca="false">VLOOKUP(C810,Products!$A$5:$D$24,3,FALSE())</f>
        <v>Stationery</v>
      </c>
      <c r="I810" s="41" t="n">
        <f aca="false">VLOOKUP(C810,Products!$A$5:$D$24,4,FALSE())</f>
        <v>4</v>
      </c>
      <c r="J810" s="42" t="n">
        <f aca="false">DATE(YEAR(B810),MONTH(B810),1)</f>
        <v>45748</v>
      </c>
      <c r="K810" s="41" t="n">
        <f aca="false">D810*E810</f>
        <v>26.34</v>
      </c>
      <c r="L810" s="41" t="n">
        <f aca="false">D810*I810</f>
        <v>12</v>
      </c>
      <c r="M810" s="41" t="n">
        <f aca="false">IFERROR(INDEX(Raw_Expenses!$C$5:$C$2979,MATCH(A810,Raw_Expenses!$A$5:$A$2979,0)),0)</f>
        <v>1.63</v>
      </c>
      <c r="N810" s="41" t="n">
        <f aca="false">L810+M810</f>
        <v>13.63</v>
      </c>
      <c r="O810" s="41" t="n">
        <f aca="false">K810-N810</f>
        <v>12.71</v>
      </c>
      <c r="P810" s="43" t="n">
        <f aca="false">IF(K810=0,0,O810/K810)</f>
        <v>0.482536066818527</v>
      </c>
    </row>
    <row r="811" customFormat="false" ht="15" hidden="false" customHeight="false" outlineLevel="0" collapsed="false">
      <c r="A811" s="39" t="s">
        <v>933</v>
      </c>
      <c r="B811" s="40" t="n">
        <v>45774</v>
      </c>
      <c r="C811" s="39" t="s">
        <v>107</v>
      </c>
      <c r="D811" s="39" t="n">
        <v>3</v>
      </c>
      <c r="E811" s="41" t="n">
        <v>34.75</v>
      </c>
      <c r="F811" s="39" t="s">
        <v>115</v>
      </c>
      <c r="G811" s="39" t="str">
        <f aca="false">VLOOKUP(C811,Products!$A$5:$D$24,2,FALSE())</f>
        <v>USB-C Hub</v>
      </c>
      <c r="H811" s="39" t="str">
        <f aca="false">VLOOKUP(C811,Products!$A$5:$D$24,3,FALSE())</f>
        <v>Electronics</v>
      </c>
      <c r="I811" s="41" t="n">
        <f aca="false">VLOOKUP(C811,Products!$A$5:$D$24,4,FALSE())</f>
        <v>14</v>
      </c>
      <c r="J811" s="42" t="n">
        <f aca="false">DATE(YEAR(B811),MONTH(B811),1)</f>
        <v>45748</v>
      </c>
      <c r="K811" s="41" t="n">
        <f aca="false">D811*E811</f>
        <v>104.25</v>
      </c>
      <c r="L811" s="41" t="n">
        <f aca="false">D811*I811</f>
        <v>42</v>
      </c>
      <c r="M811" s="41" t="n">
        <f aca="false">IFERROR(INDEX(Raw_Expenses!$C$5:$C$2979,MATCH(A811,Raw_Expenses!$A$5:$A$2979,0)),0)</f>
        <v>6.35</v>
      </c>
      <c r="N811" s="41" t="n">
        <f aca="false">L811+M811</f>
        <v>48.35</v>
      </c>
      <c r="O811" s="41" t="n">
        <f aca="false">K811-N811</f>
        <v>55.9</v>
      </c>
      <c r="P811" s="43" t="n">
        <f aca="false">IF(K811=0,0,O811/K811)</f>
        <v>0.53621103117506</v>
      </c>
    </row>
    <row r="812" customFormat="false" ht="15" hidden="false" customHeight="false" outlineLevel="0" collapsed="false">
      <c r="A812" s="39" t="s">
        <v>934</v>
      </c>
      <c r="B812" s="40" t="n">
        <v>45774</v>
      </c>
      <c r="C812" s="39" t="s">
        <v>183</v>
      </c>
      <c r="D812" s="39" t="n">
        <v>3</v>
      </c>
      <c r="E812" s="41" t="n">
        <v>181.24</v>
      </c>
      <c r="F812" s="39" t="s">
        <v>118</v>
      </c>
      <c r="G812" s="39" t="str">
        <f aca="false">VLOOKUP(C812,Products!$A$5:$D$24,2,FALSE())</f>
        <v>Office Chair</v>
      </c>
      <c r="H812" s="39" t="str">
        <f aca="false">VLOOKUP(C812,Products!$A$5:$D$24,3,FALSE())</f>
        <v>Furniture</v>
      </c>
      <c r="I812" s="41" t="n">
        <f aca="false">VLOOKUP(C812,Products!$A$5:$D$24,4,FALSE())</f>
        <v>85</v>
      </c>
      <c r="J812" s="42" t="n">
        <f aca="false">DATE(YEAR(B812),MONTH(B812),1)</f>
        <v>45748</v>
      </c>
      <c r="K812" s="41" t="n">
        <f aca="false">D812*E812</f>
        <v>543.72</v>
      </c>
      <c r="L812" s="41" t="n">
        <f aca="false">D812*I812</f>
        <v>255</v>
      </c>
      <c r="M812" s="41" t="n">
        <f aca="false">IFERROR(INDEX(Raw_Expenses!$C$5:$C$2979,MATCH(A812,Raw_Expenses!$A$5:$A$2979,0)),0)</f>
        <v>22.14</v>
      </c>
      <c r="N812" s="41" t="n">
        <f aca="false">L812+M812</f>
        <v>277.14</v>
      </c>
      <c r="O812" s="41" t="n">
        <f aca="false">K812-N812</f>
        <v>266.58</v>
      </c>
      <c r="P812" s="43" t="n">
        <f aca="false">IF(K812=0,0,O812/K812)</f>
        <v>0.490289119399691</v>
      </c>
    </row>
    <row r="813" customFormat="false" ht="15" hidden="false" customHeight="false" outlineLevel="0" collapsed="false">
      <c r="A813" s="39" t="s">
        <v>935</v>
      </c>
      <c r="B813" s="40" t="n">
        <v>45774</v>
      </c>
      <c r="C813" s="39" t="s">
        <v>104</v>
      </c>
      <c r="D813" s="39" t="n">
        <v>1</v>
      </c>
      <c r="E813" s="41" t="n">
        <v>14.94</v>
      </c>
      <c r="F813" s="39" t="s">
        <v>108</v>
      </c>
      <c r="G813" s="39" t="str">
        <f aca="false">VLOOKUP(C813,Products!$A$5:$D$24,2,FALSE())</f>
        <v>Water Bottle</v>
      </c>
      <c r="H813" s="39" t="str">
        <f aca="false">VLOOKUP(C813,Products!$A$5:$D$24,3,FALSE())</f>
        <v>Accessories</v>
      </c>
      <c r="I813" s="41" t="n">
        <f aca="false">VLOOKUP(C813,Products!$A$5:$D$24,4,FALSE())</f>
        <v>5</v>
      </c>
      <c r="J813" s="42" t="n">
        <f aca="false">DATE(YEAR(B813),MONTH(B813),1)</f>
        <v>45748</v>
      </c>
      <c r="K813" s="41" t="n">
        <f aca="false">D813*E813</f>
        <v>14.94</v>
      </c>
      <c r="L813" s="41" t="n">
        <f aca="false">D813*I813</f>
        <v>5</v>
      </c>
      <c r="M813" s="41" t="n">
        <f aca="false">IFERROR(INDEX(Raw_Expenses!$C$5:$C$2979,MATCH(A813,Raw_Expenses!$A$5:$A$2979,0)),0)</f>
        <v>1.32</v>
      </c>
      <c r="N813" s="41" t="n">
        <f aca="false">L813+M813</f>
        <v>6.32</v>
      </c>
      <c r="O813" s="41" t="n">
        <f aca="false">K813-N813</f>
        <v>8.62</v>
      </c>
      <c r="P813" s="43" t="n">
        <f aca="false">IF(K813=0,0,O813/K813)</f>
        <v>0.576974564926372</v>
      </c>
    </row>
    <row r="814" customFormat="false" ht="15" hidden="false" customHeight="false" outlineLevel="0" collapsed="false">
      <c r="A814" s="39" t="s">
        <v>936</v>
      </c>
      <c r="B814" s="40" t="n">
        <v>45774</v>
      </c>
      <c r="C814" s="39" t="s">
        <v>112</v>
      </c>
      <c r="D814" s="39" t="n">
        <v>4</v>
      </c>
      <c r="E814" s="41" t="n">
        <v>54.82</v>
      </c>
      <c r="F814" s="39" t="s">
        <v>105</v>
      </c>
      <c r="G814" s="39" t="str">
        <f aca="false">VLOOKUP(C814,Products!$A$5:$D$24,2,FALSE())</f>
        <v>HD Webcam</v>
      </c>
      <c r="H814" s="39" t="str">
        <f aca="false">VLOOKUP(C814,Products!$A$5:$D$24,3,FALSE())</f>
        <v>Electronics</v>
      </c>
      <c r="I814" s="41" t="n">
        <f aca="false">VLOOKUP(C814,Products!$A$5:$D$24,4,FALSE())</f>
        <v>22</v>
      </c>
      <c r="J814" s="42" t="n">
        <f aca="false">DATE(YEAR(B814),MONTH(B814),1)</f>
        <v>45748</v>
      </c>
      <c r="K814" s="41" t="n">
        <f aca="false">D814*E814</f>
        <v>219.28</v>
      </c>
      <c r="L814" s="41" t="n">
        <f aca="false">D814*I814</f>
        <v>88</v>
      </c>
      <c r="M814" s="41" t="n">
        <f aca="false">IFERROR(INDEX(Raw_Expenses!$C$5:$C$2979,MATCH(A814,Raw_Expenses!$A$5:$A$2979,0)),0)</f>
        <v>10.17</v>
      </c>
      <c r="N814" s="41" t="n">
        <f aca="false">L814+M814</f>
        <v>98.17</v>
      </c>
      <c r="O814" s="41" t="n">
        <f aca="false">K814-N814</f>
        <v>121.11</v>
      </c>
      <c r="P814" s="43" t="n">
        <f aca="false">IF(K814=0,0,O814/K814)</f>
        <v>0.552307551988325</v>
      </c>
    </row>
    <row r="815" customFormat="false" ht="15" hidden="false" customHeight="false" outlineLevel="0" collapsed="false">
      <c r="A815" s="39" t="s">
        <v>937</v>
      </c>
      <c r="B815" s="40" t="n">
        <v>45774</v>
      </c>
      <c r="C815" s="39" t="s">
        <v>169</v>
      </c>
      <c r="D815" s="39" t="n">
        <v>1</v>
      </c>
      <c r="E815" s="41" t="n">
        <v>28.71</v>
      </c>
      <c r="F815" s="39" t="s">
        <v>115</v>
      </c>
      <c r="G815" s="39" t="str">
        <f aca="false">VLOOKUP(C815,Products!$A$5:$D$24,2,FALSE())</f>
        <v>Laptop Stand</v>
      </c>
      <c r="H815" s="39" t="str">
        <f aca="false">VLOOKUP(C815,Products!$A$5:$D$24,3,FALSE())</f>
        <v>Accessories</v>
      </c>
      <c r="I815" s="41" t="n">
        <f aca="false">VLOOKUP(C815,Products!$A$5:$D$24,4,FALSE())</f>
        <v>11</v>
      </c>
      <c r="J815" s="42" t="n">
        <f aca="false">DATE(YEAR(B815),MONTH(B815),1)</f>
        <v>45748</v>
      </c>
      <c r="K815" s="41" t="n">
        <f aca="false">D815*E815</f>
        <v>28.71</v>
      </c>
      <c r="L815" s="41" t="n">
        <f aca="false">D815*I815</f>
        <v>11</v>
      </c>
      <c r="M815" s="41" t="n">
        <f aca="false">IFERROR(INDEX(Raw_Expenses!$C$5:$C$2979,MATCH(A815,Raw_Expenses!$A$5:$A$2979,0)),0)</f>
        <v>1.65</v>
      </c>
      <c r="N815" s="41" t="n">
        <f aca="false">L815+M815</f>
        <v>12.65</v>
      </c>
      <c r="O815" s="41" t="n">
        <f aca="false">K815-N815</f>
        <v>16.06</v>
      </c>
      <c r="P815" s="43" t="n">
        <f aca="false">IF(K815=0,0,O815/K815)</f>
        <v>0.559386973180077</v>
      </c>
    </row>
    <row r="816" customFormat="false" ht="15" hidden="false" customHeight="false" outlineLevel="0" collapsed="false">
      <c r="A816" s="39" t="s">
        <v>938</v>
      </c>
      <c r="B816" s="40" t="n">
        <v>45774</v>
      </c>
      <c r="C816" s="39" t="s">
        <v>126</v>
      </c>
      <c r="D816" s="39" t="n">
        <v>4</v>
      </c>
      <c r="E816" s="41" t="n">
        <v>23.03</v>
      </c>
      <c r="F816" s="39" t="s">
        <v>108</v>
      </c>
      <c r="G816" s="39" t="str">
        <f aca="false">VLOOKUP(C816,Products!$A$5:$D$24,2,FALSE())</f>
        <v>Wireless Mouse</v>
      </c>
      <c r="H816" s="39" t="str">
        <f aca="false">VLOOKUP(C816,Products!$A$5:$D$24,3,FALSE())</f>
        <v>Electronics</v>
      </c>
      <c r="I816" s="41" t="n">
        <f aca="false">VLOOKUP(C816,Products!$A$5:$D$24,4,FALSE())</f>
        <v>12</v>
      </c>
      <c r="J816" s="42" t="n">
        <f aca="false">DATE(YEAR(B816),MONTH(B816),1)</f>
        <v>45748</v>
      </c>
      <c r="K816" s="41" t="n">
        <f aca="false">D816*E816</f>
        <v>92.12</v>
      </c>
      <c r="L816" s="41" t="n">
        <f aca="false">D816*I816</f>
        <v>48</v>
      </c>
      <c r="M816" s="41" t="n">
        <f aca="false">IFERROR(INDEX(Raw_Expenses!$C$5:$C$2979,MATCH(A816,Raw_Expenses!$A$5:$A$2979,0)),0)</f>
        <v>6.39</v>
      </c>
      <c r="N816" s="41" t="n">
        <f aca="false">L816+M816</f>
        <v>54.39</v>
      </c>
      <c r="O816" s="41" t="n">
        <f aca="false">K816-N816</f>
        <v>37.73</v>
      </c>
      <c r="P816" s="43" t="n">
        <f aca="false">IF(K816=0,0,O816/K816)</f>
        <v>0.409574468085106</v>
      </c>
    </row>
    <row r="817" customFormat="false" ht="15" hidden="false" customHeight="false" outlineLevel="0" collapsed="false">
      <c r="A817" s="39" t="s">
        <v>939</v>
      </c>
      <c r="B817" s="40" t="n">
        <v>45774</v>
      </c>
      <c r="C817" s="39" t="s">
        <v>128</v>
      </c>
      <c r="D817" s="39" t="n">
        <v>4</v>
      </c>
      <c r="E817" s="41" t="n">
        <v>36.31</v>
      </c>
      <c r="F817" s="39" t="s">
        <v>105</v>
      </c>
      <c r="G817" s="39" t="str">
        <f aca="false">VLOOKUP(C817,Products!$A$5:$D$24,2,FALSE())</f>
        <v>Ergonomic Footrest</v>
      </c>
      <c r="H817" s="39" t="str">
        <f aca="false">VLOOKUP(C817,Products!$A$5:$D$24,3,FALSE())</f>
        <v>Furniture</v>
      </c>
      <c r="I817" s="41" t="n">
        <f aca="false">VLOOKUP(C817,Products!$A$5:$D$24,4,FALSE())</f>
        <v>15</v>
      </c>
      <c r="J817" s="42" t="n">
        <f aca="false">DATE(YEAR(B817),MONTH(B817),1)</f>
        <v>45748</v>
      </c>
      <c r="K817" s="41" t="n">
        <f aca="false">D817*E817</f>
        <v>145.24</v>
      </c>
      <c r="L817" s="41" t="n">
        <f aca="false">D817*I817</f>
        <v>60</v>
      </c>
      <c r="M817" s="41" t="n">
        <f aca="false">IFERROR(INDEX(Raw_Expenses!$C$5:$C$2979,MATCH(A817,Raw_Expenses!$A$5:$A$2979,0)),0)</f>
        <v>10.62</v>
      </c>
      <c r="N817" s="41" t="n">
        <f aca="false">L817+M817</f>
        <v>70.62</v>
      </c>
      <c r="O817" s="41" t="n">
        <f aca="false">K817-N817</f>
        <v>74.62</v>
      </c>
      <c r="P817" s="43" t="n">
        <f aca="false">IF(K817=0,0,O817/K817)</f>
        <v>0.513770311209033</v>
      </c>
    </row>
    <row r="818" customFormat="false" ht="15" hidden="false" customHeight="false" outlineLevel="0" collapsed="false">
      <c r="A818" s="39" t="s">
        <v>940</v>
      </c>
      <c r="B818" s="40" t="n">
        <v>45774</v>
      </c>
      <c r="C818" s="39" t="s">
        <v>139</v>
      </c>
      <c r="D818" s="39" t="n">
        <v>2</v>
      </c>
      <c r="E818" s="41" t="n">
        <v>126.67</v>
      </c>
      <c r="F818" s="39" t="s">
        <v>118</v>
      </c>
      <c r="G818" s="39" t="str">
        <f aca="false">VLOOKUP(C818,Products!$A$5:$D$24,2,FALSE())</f>
        <v>Noise-Cancelling Headphones</v>
      </c>
      <c r="H818" s="39" t="str">
        <f aca="false">VLOOKUP(C818,Products!$A$5:$D$24,3,FALSE())</f>
        <v>Electronics</v>
      </c>
      <c r="I818" s="41" t="n">
        <f aca="false">VLOOKUP(C818,Products!$A$5:$D$24,4,FALSE())</f>
        <v>55</v>
      </c>
      <c r="J818" s="42" t="n">
        <f aca="false">DATE(YEAR(B818),MONTH(B818),1)</f>
        <v>45748</v>
      </c>
      <c r="K818" s="41" t="n">
        <f aca="false">D818*E818</f>
        <v>253.34</v>
      </c>
      <c r="L818" s="41" t="n">
        <f aca="false">D818*I818</f>
        <v>110</v>
      </c>
      <c r="M818" s="41" t="n">
        <f aca="false">IFERROR(INDEX(Raw_Expenses!$C$5:$C$2979,MATCH(A818,Raw_Expenses!$A$5:$A$2979,0)),0)</f>
        <v>10.25</v>
      </c>
      <c r="N818" s="41" t="n">
        <f aca="false">L818+M818</f>
        <v>120.25</v>
      </c>
      <c r="O818" s="41" t="n">
        <f aca="false">K818-N818</f>
        <v>133.09</v>
      </c>
      <c r="P818" s="43" t="n">
        <f aca="false">IF(K818=0,0,O818/K818)</f>
        <v>0.525341438383201</v>
      </c>
    </row>
    <row r="819" customFormat="false" ht="15" hidden="false" customHeight="false" outlineLevel="0" collapsed="false">
      <c r="A819" s="39" t="s">
        <v>941</v>
      </c>
      <c r="B819" s="40" t="n">
        <v>45775</v>
      </c>
      <c r="C819" s="39" t="s">
        <v>130</v>
      </c>
      <c r="D819" s="39" t="n">
        <v>5</v>
      </c>
      <c r="E819" s="41" t="n">
        <v>8.81</v>
      </c>
      <c r="F819" s="39" t="s">
        <v>118</v>
      </c>
      <c r="G819" s="39" t="str">
        <f aca="false">VLOOKUP(C819,Products!$A$5:$D$24,2,FALSE())</f>
        <v>Notebook Set</v>
      </c>
      <c r="H819" s="39" t="str">
        <f aca="false">VLOOKUP(C819,Products!$A$5:$D$24,3,FALSE())</f>
        <v>Stationery</v>
      </c>
      <c r="I819" s="41" t="n">
        <f aca="false">VLOOKUP(C819,Products!$A$5:$D$24,4,FALSE())</f>
        <v>3</v>
      </c>
      <c r="J819" s="42" t="n">
        <f aca="false">DATE(YEAR(B819),MONTH(B819),1)</f>
        <v>45748</v>
      </c>
      <c r="K819" s="41" t="n">
        <f aca="false">D819*E819</f>
        <v>44.05</v>
      </c>
      <c r="L819" s="41" t="n">
        <f aca="false">D819*I819</f>
        <v>15</v>
      </c>
      <c r="M819" s="41" t="n">
        <f aca="false">IFERROR(INDEX(Raw_Expenses!$C$5:$C$2979,MATCH(A819,Raw_Expenses!$A$5:$A$2979,0)),0)</f>
        <v>3.73</v>
      </c>
      <c r="N819" s="41" t="n">
        <f aca="false">L819+M819</f>
        <v>18.73</v>
      </c>
      <c r="O819" s="41" t="n">
        <f aca="false">K819-N819</f>
        <v>25.32</v>
      </c>
      <c r="P819" s="43" t="n">
        <f aca="false">IF(K819=0,0,O819/K819)</f>
        <v>0.574801362088536</v>
      </c>
    </row>
    <row r="820" customFormat="false" ht="15" hidden="false" customHeight="false" outlineLevel="0" collapsed="false">
      <c r="A820" s="39" t="s">
        <v>942</v>
      </c>
      <c r="B820" s="40" t="n">
        <v>45775</v>
      </c>
      <c r="C820" s="39" t="s">
        <v>130</v>
      </c>
      <c r="D820" s="39" t="n">
        <v>2</v>
      </c>
      <c r="E820" s="41" t="n">
        <v>8.6</v>
      </c>
      <c r="F820" s="39" t="s">
        <v>115</v>
      </c>
      <c r="G820" s="39" t="str">
        <f aca="false">VLOOKUP(C820,Products!$A$5:$D$24,2,FALSE())</f>
        <v>Notebook Set</v>
      </c>
      <c r="H820" s="39" t="str">
        <f aca="false">VLOOKUP(C820,Products!$A$5:$D$24,3,FALSE())</f>
        <v>Stationery</v>
      </c>
      <c r="I820" s="41" t="n">
        <f aca="false">VLOOKUP(C820,Products!$A$5:$D$24,4,FALSE())</f>
        <v>3</v>
      </c>
      <c r="J820" s="42" t="n">
        <f aca="false">DATE(YEAR(B820),MONTH(B820),1)</f>
        <v>45748</v>
      </c>
      <c r="K820" s="41" t="n">
        <f aca="false">D820*E820</f>
        <v>17.2</v>
      </c>
      <c r="L820" s="41" t="n">
        <f aca="false">D820*I820</f>
        <v>6</v>
      </c>
      <c r="M820" s="41" t="n">
        <f aca="false">IFERROR(INDEX(Raw_Expenses!$C$5:$C$2979,MATCH(A820,Raw_Expenses!$A$5:$A$2979,0)),0)</f>
        <v>0.72</v>
      </c>
      <c r="N820" s="41" t="n">
        <f aca="false">L820+M820</f>
        <v>6.72</v>
      </c>
      <c r="O820" s="41" t="n">
        <f aca="false">K820-N820</f>
        <v>10.48</v>
      </c>
      <c r="P820" s="43" t="n">
        <f aca="false">IF(K820=0,0,O820/K820)</f>
        <v>0.609302325581395</v>
      </c>
    </row>
    <row r="821" customFormat="false" ht="15" hidden="false" customHeight="false" outlineLevel="0" collapsed="false">
      <c r="A821" s="39" t="s">
        <v>943</v>
      </c>
      <c r="B821" s="40" t="n">
        <v>45775</v>
      </c>
      <c r="C821" s="39" t="s">
        <v>104</v>
      </c>
      <c r="D821" s="39" t="n">
        <v>2</v>
      </c>
      <c r="E821" s="41" t="n">
        <v>15.56</v>
      </c>
      <c r="F821" s="39" t="s">
        <v>108</v>
      </c>
      <c r="G821" s="39" t="str">
        <f aca="false">VLOOKUP(C821,Products!$A$5:$D$24,2,FALSE())</f>
        <v>Water Bottle</v>
      </c>
      <c r="H821" s="39" t="str">
        <f aca="false">VLOOKUP(C821,Products!$A$5:$D$24,3,FALSE())</f>
        <v>Accessories</v>
      </c>
      <c r="I821" s="41" t="n">
        <f aca="false">VLOOKUP(C821,Products!$A$5:$D$24,4,FALSE())</f>
        <v>5</v>
      </c>
      <c r="J821" s="42" t="n">
        <f aca="false">DATE(YEAR(B821),MONTH(B821),1)</f>
        <v>45748</v>
      </c>
      <c r="K821" s="41" t="n">
        <f aca="false">D821*E821</f>
        <v>31.12</v>
      </c>
      <c r="L821" s="41" t="n">
        <f aca="false">D821*I821</f>
        <v>10</v>
      </c>
      <c r="M821" s="41" t="n">
        <f aca="false">IFERROR(INDEX(Raw_Expenses!$C$5:$C$2979,MATCH(A821,Raw_Expenses!$A$5:$A$2979,0)),0)</f>
        <v>1.77</v>
      </c>
      <c r="N821" s="41" t="n">
        <f aca="false">L821+M821</f>
        <v>11.77</v>
      </c>
      <c r="O821" s="41" t="n">
        <f aca="false">K821-N821</f>
        <v>19.35</v>
      </c>
      <c r="P821" s="43" t="n">
        <f aca="false">IF(K821=0,0,O821/K821)</f>
        <v>0.621786632390746</v>
      </c>
    </row>
    <row r="822" customFormat="false" ht="15" hidden="false" customHeight="false" outlineLevel="0" collapsed="false">
      <c r="A822" s="39" t="s">
        <v>944</v>
      </c>
      <c r="B822" s="40" t="n">
        <v>45775</v>
      </c>
      <c r="C822" s="39" t="s">
        <v>305</v>
      </c>
      <c r="D822" s="39" t="n">
        <v>1</v>
      </c>
      <c r="E822" s="41" t="n">
        <v>342.42</v>
      </c>
      <c r="F822" s="39" t="s">
        <v>105</v>
      </c>
      <c r="G822" s="39" t="str">
        <f aca="false">VLOOKUP(C822,Products!$A$5:$D$24,2,FALSE())</f>
        <v>Standing Desk</v>
      </c>
      <c r="H822" s="39" t="str">
        <f aca="false">VLOOKUP(C822,Products!$A$5:$D$24,3,FALSE())</f>
        <v>Furniture</v>
      </c>
      <c r="I822" s="41" t="n">
        <f aca="false">VLOOKUP(C822,Products!$A$5:$D$24,4,FALSE())</f>
        <v>160</v>
      </c>
      <c r="J822" s="42" t="n">
        <f aca="false">DATE(YEAR(B822),MONTH(B822),1)</f>
        <v>45748</v>
      </c>
      <c r="K822" s="41" t="n">
        <f aca="false">D822*E822</f>
        <v>342.42</v>
      </c>
      <c r="L822" s="41" t="n">
        <f aca="false">D822*I822</f>
        <v>160</v>
      </c>
      <c r="M822" s="41" t="n">
        <f aca="false">IFERROR(INDEX(Raw_Expenses!$C$5:$C$2979,MATCH(A822,Raw_Expenses!$A$5:$A$2979,0)),0)</f>
        <v>25.54</v>
      </c>
      <c r="N822" s="41" t="n">
        <f aca="false">L822+M822</f>
        <v>185.54</v>
      </c>
      <c r="O822" s="41" t="n">
        <f aca="false">K822-N822</f>
        <v>156.88</v>
      </c>
      <c r="P822" s="43" t="n">
        <f aca="false">IF(K822=0,0,O822/K822)</f>
        <v>0.458150808948076</v>
      </c>
    </row>
    <row r="823" customFormat="false" ht="15" hidden="false" customHeight="false" outlineLevel="0" collapsed="false">
      <c r="A823" s="39" t="s">
        <v>945</v>
      </c>
      <c r="B823" s="40" t="n">
        <v>45775</v>
      </c>
      <c r="C823" s="39" t="s">
        <v>104</v>
      </c>
      <c r="D823" s="39" t="n">
        <v>4</v>
      </c>
      <c r="E823" s="41" t="n">
        <v>15.81</v>
      </c>
      <c r="F823" s="39" t="s">
        <v>115</v>
      </c>
      <c r="G823" s="39" t="str">
        <f aca="false">VLOOKUP(C823,Products!$A$5:$D$24,2,FALSE())</f>
        <v>Water Bottle</v>
      </c>
      <c r="H823" s="39" t="str">
        <f aca="false">VLOOKUP(C823,Products!$A$5:$D$24,3,FALSE())</f>
        <v>Accessories</v>
      </c>
      <c r="I823" s="41" t="n">
        <f aca="false">VLOOKUP(C823,Products!$A$5:$D$24,4,FALSE())</f>
        <v>5</v>
      </c>
      <c r="J823" s="42" t="n">
        <f aca="false">DATE(YEAR(B823),MONTH(B823),1)</f>
        <v>45748</v>
      </c>
      <c r="K823" s="41" t="n">
        <f aca="false">D823*E823</f>
        <v>63.24</v>
      </c>
      <c r="L823" s="41" t="n">
        <f aca="false">D823*I823</f>
        <v>20</v>
      </c>
      <c r="M823" s="41" t="n">
        <f aca="false">IFERROR(INDEX(Raw_Expenses!$C$5:$C$2979,MATCH(A823,Raw_Expenses!$A$5:$A$2979,0)),0)</f>
        <v>2.75</v>
      </c>
      <c r="N823" s="41" t="n">
        <f aca="false">L823+M823</f>
        <v>22.75</v>
      </c>
      <c r="O823" s="41" t="n">
        <f aca="false">K823-N823</f>
        <v>40.49</v>
      </c>
      <c r="P823" s="43" t="n">
        <f aca="false">IF(K823=0,0,O823/K823)</f>
        <v>0.640259329538267</v>
      </c>
    </row>
    <row r="824" customFormat="false" ht="15" hidden="false" customHeight="false" outlineLevel="0" collapsed="false">
      <c r="A824" s="39" t="s">
        <v>946</v>
      </c>
      <c r="B824" s="40" t="n">
        <v>45775</v>
      </c>
      <c r="C824" s="39" t="s">
        <v>112</v>
      </c>
      <c r="D824" s="39" t="n">
        <v>1</v>
      </c>
      <c r="E824" s="41" t="n">
        <v>51.33</v>
      </c>
      <c r="F824" s="39" t="s">
        <v>115</v>
      </c>
      <c r="G824" s="39" t="str">
        <f aca="false">VLOOKUP(C824,Products!$A$5:$D$24,2,FALSE())</f>
        <v>HD Webcam</v>
      </c>
      <c r="H824" s="39" t="str">
        <f aca="false">VLOOKUP(C824,Products!$A$5:$D$24,3,FALSE())</f>
        <v>Electronics</v>
      </c>
      <c r="I824" s="41" t="n">
        <f aca="false">VLOOKUP(C824,Products!$A$5:$D$24,4,FALSE())</f>
        <v>22</v>
      </c>
      <c r="J824" s="42" t="n">
        <f aca="false">DATE(YEAR(B824),MONTH(B824),1)</f>
        <v>45748</v>
      </c>
      <c r="K824" s="41" t="n">
        <f aca="false">D824*E824</f>
        <v>51.33</v>
      </c>
      <c r="L824" s="41" t="n">
        <f aca="false">D824*I824</f>
        <v>22</v>
      </c>
      <c r="M824" s="41" t="n">
        <f aca="false">IFERROR(INDEX(Raw_Expenses!$C$5:$C$2979,MATCH(A824,Raw_Expenses!$A$5:$A$2979,0)),0)</f>
        <v>4.35</v>
      </c>
      <c r="N824" s="41" t="n">
        <f aca="false">L824+M824</f>
        <v>26.35</v>
      </c>
      <c r="O824" s="41" t="n">
        <f aca="false">K824-N824</f>
        <v>24.98</v>
      </c>
      <c r="P824" s="43" t="n">
        <f aca="false">IF(K824=0,0,O824/K824)</f>
        <v>0.486654977595948</v>
      </c>
    </row>
    <row r="825" customFormat="false" ht="15" hidden="false" customHeight="false" outlineLevel="0" collapsed="false">
      <c r="A825" s="39" t="s">
        <v>947</v>
      </c>
      <c r="B825" s="40" t="n">
        <v>45775</v>
      </c>
      <c r="C825" s="39" t="s">
        <v>144</v>
      </c>
      <c r="D825" s="39" t="n">
        <v>4</v>
      </c>
      <c r="E825" s="41" t="n">
        <v>54.85</v>
      </c>
      <c r="F825" s="39" t="s">
        <v>115</v>
      </c>
      <c r="G825" s="39" t="str">
        <f aca="false">VLOOKUP(C825,Products!$A$5:$D$24,2,FALSE())</f>
        <v>Whiteboard</v>
      </c>
      <c r="H825" s="39" t="str">
        <f aca="false">VLOOKUP(C825,Products!$A$5:$D$24,3,FALSE())</f>
        <v>Furniture</v>
      </c>
      <c r="I825" s="41" t="n">
        <f aca="false">VLOOKUP(C825,Products!$A$5:$D$24,4,FALSE())</f>
        <v>28</v>
      </c>
      <c r="J825" s="42" t="n">
        <f aca="false">DATE(YEAR(B825),MONTH(B825),1)</f>
        <v>45748</v>
      </c>
      <c r="K825" s="41" t="n">
        <f aca="false">D825*E825</f>
        <v>219.4</v>
      </c>
      <c r="L825" s="41" t="n">
        <f aca="false">D825*I825</f>
        <v>112</v>
      </c>
      <c r="M825" s="41" t="n">
        <f aca="false">IFERROR(INDEX(Raw_Expenses!$C$5:$C$2979,MATCH(A825,Raw_Expenses!$A$5:$A$2979,0)),0)</f>
        <v>13.85</v>
      </c>
      <c r="N825" s="41" t="n">
        <f aca="false">L825+M825</f>
        <v>125.85</v>
      </c>
      <c r="O825" s="41" t="n">
        <f aca="false">K825-N825</f>
        <v>93.55</v>
      </c>
      <c r="P825" s="43" t="n">
        <f aca="false">IF(K825=0,0,O825/K825)</f>
        <v>0.426390154968095</v>
      </c>
    </row>
    <row r="826" customFormat="false" ht="15" hidden="false" customHeight="false" outlineLevel="0" collapsed="false">
      <c r="A826" s="39" t="s">
        <v>948</v>
      </c>
      <c r="B826" s="40" t="n">
        <v>45775</v>
      </c>
      <c r="C826" s="39" t="s">
        <v>177</v>
      </c>
      <c r="D826" s="39" t="n">
        <v>1</v>
      </c>
      <c r="E826" s="41" t="n">
        <v>43.31</v>
      </c>
      <c r="F826" s="39" t="s">
        <v>118</v>
      </c>
      <c r="G826" s="39" t="str">
        <f aca="false">VLOOKUP(C826,Products!$A$5:$D$24,2,FALSE())</f>
        <v>Backpack</v>
      </c>
      <c r="H826" s="39" t="str">
        <f aca="false">VLOOKUP(C826,Products!$A$5:$D$24,3,FALSE())</f>
        <v>Accessories</v>
      </c>
      <c r="I826" s="41" t="n">
        <f aca="false">VLOOKUP(C826,Products!$A$5:$D$24,4,FALSE())</f>
        <v>17</v>
      </c>
      <c r="J826" s="42" t="n">
        <f aca="false">DATE(YEAR(B826),MONTH(B826),1)</f>
        <v>45748</v>
      </c>
      <c r="K826" s="41" t="n">
        <f aca="false">D826*E826</f>
        <v>43.31</v>
      </c>
      <c r="L826" s="41" t="n">
        <f aca="false">D826*I826</f>
        <v>17</v>
      </c>
      <c r="M826" s="41" t="n">
        <f aca="false">IFERROR(INDEX(Raw_Expenses!$C$5:$C$2979,MATCH(A826,Raw_Expenses!$A$5:$A$2979,0)),0)</f>
        <v>3.4</v>
      </c>
      <c r="N826" s="41" t="n">
        <f aca="false">L826+M826</f>
        <v>20.4</v>
      </c>
      <c r="O826" s="41" t="n">
        <f aca="false">K826-N826</f>
        <v>22.91</v>
      </c>
      <c r="P826" s="43" t="n">
        <f aca="false">IF(K826=0,0,O826/K826)</f>
        <v>0.528977141537751</v>
      </c>
    </row>
    <row r="827" customFormat="false" ht="15" hidden="false" customHeight="false" outlineLevel="0" collapsed="false">
      <c r="A827" s="39" t="s">
        <v>949</v>
      </c>
      <c r="B827" s="40" t="n">
        <v>45775</v>
      </c>
      <c r="C827" s="39" t="s">
        <v>110</v>
      </c>
      <c r="D827" s="39" t="n">
        <v>3</v>
      </c>
      <c r="E827" s="41" t="n">
        <v>13.6</v>
      </c>
      <c r="F827" s="39" t="s">
        <v>108</v>
      </c>
      <c r="G827" s="39" t="str">
        <f aca="false">VLOOKUP(C827,Products!$A$5:$D$24,2,FALSE())</f>
        <v>Phone Stand</v>
      </c>
      <c r="H827" s="39" t="str">
        <f aca="false">VLOOKUP(C827,Products!$A$5:$D$24,3,FALSE())</f>
        <v>Accessories</v>
      </c>
      <c r="I827" s="41" t="n">
        <f aca="false">VLOOKUP(C827,Products!$A$5:$D$24,4,FALSE())</f>
        <v>4</v>
      </c>
      <c r="J827" s="42" t="n">
        <f aca="false">DATE(YEAR(B827),MONTH(B827),1)</f>
        <v>45748</v>
      </c>
      <c r="K827" s="41" t="n">
        <f aca="false">D827*E827</f>
        <v>40.8</v>
      </c>
      <c r="L827" s="41" t="n">
        <f aca="false">D827*I827</f>
        <v>12</v>
      </c>
      <c r="M827" s="41" t="n">
        <f aca="false">IFERROR(INDEX(Raw_Expenses!$C$5:$C$2979,MATCH(A827,Raw_Expenses!$A$5:$A$2979,0)),0)</f>
        <v>3.54</v>
      </c>
      <c r="N827" s="41" t="n">
        <f aca="false">L827+M827</f>
        <v>15.54</v>
      </c>
      <c r="O827" s="41" t="n">
        <f aca="false">K827-N827</f>
        <v>25.26</v>
      </c>
      <c r="P827" s="43" t="n">
        <f aca="false">IF(K827=0,0,O827/K827)</f>
        <v>0.619117647058824</v>
      </c>
    </row>
    <row r="828" customFormat="false" ht="15" hidden="false" customHeight="false" outlineLevel="0" collapsed="false">
      <c r="A828" s="39" t="s">
        <v>950</v>
      </c>
      <c r="B828" s="40" t="n">
        <v>45778</v>
      </c>
      <c r="C828" s="39" t="s">
        <v>112</v>
      </c>
      <c r="D828" s="39" t="n">
        <v>2</v>
      </c>
      <c r="E828" s="41" t="n">
        <v>53.87</v>
      </c>
      <c r="F828" s="39" t="s">
        <v>105</v>
      </c>
      <c r="G828" s="39" t="str">
        <f aca="false">VLOOKUP(C828,Products!$A$5:$D$24,2,FALSE())</f>
        <v>HD Webcam</v>
      </c>
      <c r="H828" s="39" t="str">
        <f aca="false">VLOOKUP(C828,Products!$A$5:$D$24,3,FALSE())</f>
        <v>Electronics</v>
      </c>
      <c r="I828" s="41" t="n">
        <f aca="false">VLOOKUP(C828,Products!$A$5:$D$24,4,FALSE())</f>
        <v>22</v>
      </c>
      <c r="J828" s="42" t="n">
        <f aca="false">DATE(YEAR(B828),MONTH(B828),1)</f>
        <v>45778</v>
      </c>
      <c r="K828" s="41" t="n">
        <f aca="false">D828*E828</f>
        <v>107.74</v>
      </c>
      <c r="L828" s="41" t="n">
        <f aca="false">D828*I828</f>
        <v>44</v>
      </c>
      <c r="M828" s="41" t="n">
        <f aca="false">IFERROR(INDEX(Raw_Expenses!$C$5:$C$2979,MATCH(A828,Raw_Expenses!$A$5:$A$2979,0)),0)</f>
        <v>4.71</v>
      </c>
      <c r="N828" s="41" t="n">
        <f aca="false">L828+M828</f>
        <v>48.71</v>
      </c>
      <c r="O828" s="41" t="n">
        <f aca="false">K828-N828</f>
        <v>59.03</v>
      </c>
      <c r="P828" s="43" t="n">
        <f aca="false">IF(K828=0,0,O828/K828)</f>
        <v>0.54789307592352</v>
      </c>
    </row>
    <row r="829" customFormat="false" ht="15" hidden="false" customHeight="false" outlineLevel="0" collapsed="false">
      <c r="A829" s="39" t="s">
        <v>951</v>
      </c>
      <c r="B829" s="40" t="n">
        <v>45778</v>
      </c>
      <c r="C829" s="39" t="s">
        <v>169</v>
      </c>
      <c r="D829" s="39" t="n">
        <v>3</v>
      </c>
      <c r="E829" s="41" t="n">
        <v>28.19</v>
      </c>
      <c r="F829" s="39" t="s">
        <v>118</v>
      </c>
      <c r="G829" s="39" t="str">
        <f aca="false">VLOOKUP(C829,Products!$A$5:$D$24,2,FALSE())</f>
        <v>Laptop Stand</v>
      </c>
      <c r="H829" s="39" t="str">
        <f aca="false">VLOOKUP(C829,Products!$A$5:$D$24,3,FALSE())</f>
        <v>Accessories</v>
      </c>
      <c r="I829" s="41" t="n">
        <f aca="false">VLOOKUP(C829,Products!$A$5:$D$24,4,FALSE())</f>
        <v>11</v>
      </c>
      <c r="J829" s="42" t="n">
        <f aca="false">DATE(YEAR(B829),MONTH(B829),1)</f>
        <v>45778</v>
      </c>
      <c r="K829" s="41" t="n">
        <f aca="false">D829*E829</f>
        <v>84.57</v>
      </c>
      <c r="L829" s="41" t="n">
        <f aca="false">D829*I829</f>
        <v>33</v>
      </c>
      <c r="M829" s="41" t="n">
        <f aca="false">IFERROR(INDEX(Raw_Expenses!$C$5:$C$2979,MATCH(A829,Raw_Expenses!$A$5:$A$2979,0)),0)</f>
        <v>3.39</v>
      </c>
      <c r="N829" s="41" t="n">
        <f aca="false">L829+M829</f>
        <v>36.39</v>
      </c>
      <c r="O829" s="41" t="n">
        <f aca="false">K829-N829</f>
        <v>48.18</v>
      </c>
      <c r="P829" s="43" t="n">
        <f aca="false">IF(K829=0,0,O829/K829)</f>
        <v>0.569705569350834</v>
      </c>
    </row>
    <row r="830" customFormat="false" ht="15" hidden="false" customHeight="false" outlineLevel="0" collapsed="false">
      <c r="A830" s="39" t="s">
        <v>952</v>
      </c>
      <c r="B830" s="40" t="n">
        <v>45778</v>
      </c>
      <c r="C830" s="39" t="s">
        <v>114</v>
      </c>
      <c r="D830" s="39" t="n">
        <v>1</v>
      </c>
      <c r="E830" s="41" t="n">
        <v>5.83</v>
      </c>
      <c r="F830" s="39" t="s">
        <v>118</v>
      </c>
      <c r="G830" s="39" t="str">
        <f aca="false">VLOOKUP(C830,Products!$A$5:$D$24,2,FALSE())</f>
        <v>Gel Pen Pack</v>
      </c>
      <c r="H830" s="39" t="str">
        <f aca="false">VLOOKUP(C830,Products!$A$5:$D$24,3,FALSE())</f>
        <v>Stationery</v>
      </c>
      <c r="I830" s="41" t="n">
        <f aca="false">VLOOKUP(C830,Products!$A$5:$D$24,4,FALSE())</f>
        <v>2</v>
      </c>
      <c r="J830" s="42" t="n">
        <f aca="false">DATE(YEAR(B830),MONTH(B830),1)</f>
        <v>45778</v>
      </c>
      <c r="K830" s="41" t="n">
        <f aca="false">D830*E830</f>
        <v>5.83</v>
      </c>
      <c r="L830" s="41" t="n">
        <f aca="false">D830*I830</f>
        <v>2</v>
      </c>
      <c r="M830" s="41" t="n">
        <f aca="false">IFERROR(INDEX(Raw_Expenses!$C$5:$C$2979,MATCH(A830,Raw_Expenses!$A$5:$A$2979,0)),0)</f>
        <v>0.34</v>
      </c>
      <c r="N830" s="41" t="n">
        <f aca="false">L830+M830</f>
        <v>2.34</v>
      </c>
      <c r="O830" s="41" t="n">
        <f aca="false">K830-N830</f>
        <v>3.49</v>
      </c>
      <c r="P830" s="43" t="n">
        <f aca="false">IF(K830=0,0,O830/K830)</f>
        <v>0.598627787307033</v>
      </c>
    </row>
    <row r="831" customFormat="false" ht="15" hidden="false" customHeight="false" outlineLevel="0" collapsed="false">
      <c r="A831" s="39" t="s">
        <v>953</v>
      </c>
      <c r="B831" s="40" t="n">
        <v>45778</v>
      </c>
      <c r="C831" s="39" t="s">
        <v>162</v>
      </c>
      <c r="D831" s="39" t="n">
        <v>3</v>
      </c>
      <c r="E831" s="41" t="n">
        <v>64.4</v>
      </c>
      <c r="F831" s="39" t="s">
        <v>105</v>
      </c>
      <c r="G831" s="39" t="str">
        <f aca="false">VLOOKUP(C831,Products!$A$5:$D$24,2,FALSE())</f>
        <v>Bluetooth Speaker</v>
      </c>
      <c r="H831" s="39" t="str">
        <f aca="false">VLOOKUP(C831,Products!$A$5:$D$24,3,FALSE())</f>
        <v>Electronics</v>
      </c>
      <c r="I831" s="41" t="n">
        <f aca="false">VLOOKUP(C831,Products!$A$5:$D$24,4,FALSE())</f>
        <v>28</v>
      </c>
      <c r="J831" s="42" t="n">
        <f aca="false">DATE(YEAR(B831),MONTH(B831),1)</f>
        <v>45778</v>
      </c>
      <c r="K831" s="41" t="n">
        <f aca="false">D831*E831</f>
        <v>193.2</v>
      </c>
      <c r="L831" s="41" t="n">
        <f aca="false">D831*I831</f>
        <v>84</v>
      </c>
      <c r="M831" s="41" t="n">
        <f aca="false">IFERROR(INDEX(Raw_Expenses!$C$5:$C$2979,MATCH(A831,Raw_Expenses!$A$5:$A$2979,0)),0)</f>
        <v>16.47</v>
      </c>
      <c r="N831" s="41" t="n">
        <f aca="false">L831+M831</f>
        <v>100.47</v>
      </c>
      <c r="O831" s="41" t="n">
        <f aca="false">K831-N831</f>
        <v>92.73</v>
      </c>
      <c r="P831" s="43" t="n">
        <f aca="false">IF(K831=0,0,O831/K831)</f>
        <v>0.479968944099379</v>
      </c>
    </row>
    <row r="832" customFormat="false" ht="15" hidden="false" customHeight="false" outlineLevel="0" collapsed="false">
      <c r="A832" s="39" t="s">
        <v>954</v>
      </c>
      <c r="B832" s="40" t="n">
        <v>45778</v>
      </c>
      <c r="C832" s="39" t="s">
        <v>130</v>
      </c>
      <c r="D832" s="39" t="n">
        <v>2</v>
      </c>
      <c r="E832" s="41" t="n">
        <v>8.95</v>
      </c>
      <c r="F832" s="39" t="s">
        <v>118</v>
      </c>
      <c r="G832" s="39" t="str">
        <f aca="false">VLOOKUP(C832,Products!$A$5:$D$24,2,FALSE())</f>
        <v>Notebook Set</v>
      </c>
      <c r="H832" s="39" t="str">
        <f aca="false">VLOOKUP(C832,Products!$A$5:$D$24,3,FALSE())</f>
        <v>Stationery</v>
      </c>
      <c r="I832" s="41" t="n">
        <f aca="false">VLOOKUP(C832,Products!$A$5:$D$24,4,FALSE())</f>
        <v>3</v>
      </c>
      <c r="J832" s="42" t="n">
        <f aca="false">DATE(YEAR(B832),MONTH(B832),1)</f>
        <v>45778</v>
      </c>
      <c r="K832" s="41" t="n">
        <f aca="false">D832*E832</f>
        <v>17.9</v>
      </c>
      <c r="L832" s="41" t="n">
        <f aca="false">D832*I832</f>
        <v>6</v>
      </c>
      <c r="M832" s="41" t="n">
        <f aca="false">IFERROR(INDEX(Raw_Expenses!$C$5:$C$2979,MATCH(A832,Raw_Expenses!$A$5:$A$2979,0)),0)</f>
        <v>1.52</v>
      </c>
      <c r="N832" s="41" t="n">
        <f aca="false">L832+M832</f>
        <v>7.52</v>
      </c>
      <c r="O832" s="41" t="n">
        <f aca="false">K832-N832</f>
        <v>10.38</v>
      </c>
      <c r="P832" s="43" t="n">
        <f aca="false">IF(K832=0,0,O832/K832)</f>
        <v>0.579888268156425</v>
      </c>
    </row>
    <row r="833" customFormat="false" ht="15" hidden="false" customHeight="false" outlineLevel="0" collapsed="false">
      <c r="A833" s="39" t="s">
        <v>955</v>
      </c>
      <c r="B833" s="40" t="n">
        <v>45778</v>
      </c>
      <c r="C833" s="39" t="s">
        <v>177</v>
      </c>
      <c r="D833" s="39" t="n">
        <v>2</v>
      </c>
      <c r="E833" s="41" t="n">
        <v>42.45</v>
      </c>
      <c r="F833" s="39" t="s">
        <v>108</v>
      </c>
      <c r="G833" s="39" t="str">
        <f aca="false">VLOOKUP(C833,Products!$A$5:$D$24,2,FALSE())</f>
        <v>Backpack</v>
      </c>
      <c r="H833" s="39" t="str">
        <f aca="false">VLOOKUP(C833,Products!$A$5:$D$24,3,FALSE())</f>
        <v>Accessories</v>
      </c>
      <c r="I833" s="41" t="n">
        <f aca="false">VLOOKUP(C833,Products!$A$5:$D$24,4,FALSE())</f>
        <v>17</v>
      </c>
      <c r="J833" s="42" t="n">
        <f aca="false">DATE(YEAR(B833),MONTH(B833),1)</f>
        <v>45778</v>
      </c>
      <c r="K833" s="41" t="n">
        <f aca="false">D833*E833</f>
        <v>84.9</v>
      </c>
      <c r="L833" s="41" t="n">
        <f aca="false">D833*I833</f>
        <v>34</v>
      </c>
      <c r="M833" s="41" t="n">
        <f aca="false">IFERROR(INDEX(Raw_Expenses!$C$5:$C$2979,MATCH(A833,Raw_Expenses!$A$5:$A$2979,0)),0)</f>
        <v>3.42</v>
      </c>
      <c r="N833" s="41" t="n">
        <f aca="false">L833+M833</f>
        <v>37.42</v>
      </c>
      <c r="O833" s="41" t="n">
        <f aca="false">K833-N833</f>
        <v>47.48</v>
      </c>
      <c r="P833" s="43" t="n">
        <f aca="false">IF(K833=0,0,O833/K833)</f>
        <v>0.55924617196702</v>
      </c>
    </row>
    <row r="834" customFormat="false" ht="15" hidden="false" customHeight="false" outlineLevel="0" collapsed="false">
      <c r="A834" s="39" t="s">
        <v>956</v>
      </c>
      <c r="B834" s="40" t="n">
        <v>45779</v>
      </c>
      <c r="C834" s="39" t="s">
        <v>130</v>
      </c>
      <c r="D834" s="39" t="n">
        <v>2</v>
      </c>
      <c r="E834" s="41" t="n">
        <v>8.63</v>
      </c>
      <c r="F834" s="39" t="s">
        <v>108</v>
      </c>
      <c r="G834" s="39" t="str">
        <f aca="false">VLOOKUP(C834,Products!$A$5:$D$24,2,FALSE())</f>
        <v>Notebook Set</v>
      </c>
      <c r="H834" s="39" t="str">
        <f aca="false">VLOOKUP(C834,Products!$A$5:$D$24,3,FALSE())</f>
        <v>Stationery</v>
      </c>
      <c r="I834" s="41" t="n">
        <f aca="false">VLOOKUP(C834,Products!$A$5:$D$24,4,FALSE())</f>
        <v>3</v>
      </c>
      <c r="J834" s="42" t="n">
        <f aca="false">DATE(YEAR(B834),MONTH(B834),1)</f>
        <v>45778</v>
      </c>
      <c r="K834" s="41" t="n">
        <f aca="false">D834*E834</f>
        <v>17.26</v>
      </c>
      <c r="L834" s="41" t="n">
        <f aca="false">D834*I834</f>
        <v>6</v>
      </c>
      <c r="M834" s="41" t="n">
        <f aca="false">IFERROR(INDEX(Raw_Expenses!$C$5:$C$2979,MATCH(A834,Raw_Expenses!$A$5:$A$2979,0)),0)</f>
        <v>1.55</v>
      </c>
      <c r="N834" s="41" t="n">
        <f aca="false">L834+M834</f>
        <v>7.55</v>
      </c>
      <c r="O834" s="41" t="n">
        <f aca="false">K834-N834</f>
        <v>9.71</v>
      </c>
      <c r="P834" s="43" t="n">
        <f aca="false">IF(K834=0,0,O834/K834)</f>
        <v>0.562572421784473</v>
      </c>
    </row>
    <row r="835" customFormat="false" ht="15" hidden="false" customHeight="false" outlineLevel="0" collapsed="false">
      <c r="A835" s="39" t="s">
        <v>957</v>
      </c>
      <c r="B835" s="40" t="n">
        <v>45779</v>
      </c>
      <c r="C835" s="39" t="s">
        <v>177</v>
      </c>
      <c r="D835" s="39" t="n">
        <v>2</v>
      </c>
      <c r="E835" s="41" t="n">
        <v>42.55</v>
      </c>
      <c r="F835" s="39" t="s">
        <v>115</v>
      </c>
      <c r="G835" s="39" t="str">
        <f aca="false">VLOOKUP(C835,Products!$A$5:$D$24,2,FALSE())</f>
        <v>Backpack</v>
      </c>
      <c r="H835" s="39" t="str">
        <f aca="false">VLOOKUP(C835,Products!$A$5:$D$24,3,FALSE())</f>
        <v>Accessories</v>
      </c>
      <c r="I835" s="41" t="n">
        <f aca="false">VLOOKUP(C835,Products!$A$5:$D$24,4,FALSE())</f>
        <v>17</v>
      </c>
      <c r="J835" s="42" t="n">
        <f aca="false">DATE(YEAR(B835),MONTH(B835),1)</f>
        <v>45778</v>
      </c>
      <c r="K835" s="41" t="n">
        <f aca="false">D835*E835</f>
        <v>85.1</v>
      </c>
      <c r="L835" s="41" t="n">
        <f aca="false">D835*I835</f>
        <v>34</v>
      </c>
      <c r="M835" s="41" t="n">
        <f aca="false">IFERROR(INDEX(Raw_Expenses!$C$5:$C$2979,MATCH(A835,Raw_Expenses!$A$5:$A$2979,0)),0)</f>
        <v>7.45</v>
      </c>
      <c r="N835" s="41" t="n">
        <f aca="false">L835+M835</f>
        <v>41.45</v>
      </c>
      <c r="O835" s="41" t="n">
        <f aca="false">K835-N835</f>
        <v>43.65</v>
      </c>
      <c r="P835" s="43" t="n">
        <f aca="false">IF(K835=0,0,O835/K835)</f>
        <v>0.512925969447709</v>
      </c>
    </row>
    <row r="836" customFormat="false" ht="15" hidden="false" customHeight="false" outlineLevel="0" collapsed="false">
      <c r="A836" s="39" t="s">
        <v>958</v>
      </c>
      <c r="B836" s="40" t="n">
        <v>45779</v>
      </c>
      <c r="C836" s="39" t="s">
        <v>104</v>
      </c>
      <c r="D836" s="39" t="n">
        <v>6</v>
      </c>
      <c r="E836" s="41" t="n">
        <v>15</v>
      </c>
      <c r="F836" s="39" t="s">
        <v>105</v>
      </c>
      <c r="G836" s="39" t="str">
        <f aca="false">VLOOKUP(C836,Products!$A$5:$D$24,2,FALSE())</f>
        <v>Water Bottle</v>
      </c>
      <c r="H836" s="39" t="str">
        <f aca="false">VLOOKUP(C836,Products!$A$5:$D$24,3,FALSE())</f>
        <v>Accessories</v>
      </c>
      <c r="I836" s="41" t="n">
        <f aca="false">VLOOKUP(C836,Products!$A$5:$D$24,4,FALSE())</f>
        <v>5</v>
      </c>
      <c r="J836" s="42" t="n">
        <f aca="false">DATE(YEAR(B836),MONTH(B836),1)</f>
        <v>45778</v>
      </c>
      <c r="K836" s="41" t="n">
        <f aca="false">D836*E836</f>
        <v>90</v>
      </c>
      <c r="L836" s="41" t="n">
        <f aca="false">D836*I836</f>
        <v>30</v>
      </c>
      <c r="M836" s="41" t="n">
        <f aca="false">IFERROR(INDEX(Raw_Expenses!$C$5:$C$2979,MATCH(A836,Raw_Expenses!$A$5:$A$2979,0)),0)</f>
        <v>5.07</v>
      </c>
      <c r="N836" s="41" t="n">
        <f aca="false">L836+M836</f>
        <v>35.07</v>
      </c>
      <c r="O836" s="41" t="n">
        <f aca="false">K836-N836</f>
        <v>54.93</v>
      </c>
      <c r="P836" s="43" t="n">
        <f aca="false">IF(K836=0,0,O836/K836)</f>
        <v>0.610333333333333</v>
      </c>
    </row>
    <row r="837" customFormat="false" ht="15" hidden="false" customHeight="false" outlineLevel="0" collapsed="false">
      <c r="A837" s="39" t="s">
        <v>959</v>
      </c>
      <c r="B837" s="40" t="n">
        <v>45779</v>
      </c>
      <c r="C837" s="39" t="s">
        <v>130</v>
      </c>
      <c r="D837" s="39" t="n">
        <v>5</v>
      </c>
      <c r="E837" s="41" t="n">
        <v>8.87</v>
      </c>
      <c r="F837" s="39" t="s">
        <v>105</v>
      </c>
      <c r="G837" s="39" t="str">
        <f aca="false">VLOOKUP(C837,Products!$A$5:$D$24,2,FALSE())</f>
        <v>Notebook Set</v>
      </c>
      <c r="H837" s="39" t="str">
        <f aca="false">VLOOKUP(C837,Products!$A$5:$D$24,3,FALSE())</f>
        <v>Stationery</v>
      </c>
      <c r="I837" s="41" t="n">
        <f aca="false">VLOOKUP(C837,Products!$A$5:$D$24,4,FALSE())</f>
        <v>3</v>
      </c>
      <c r="J837" s="42" t="n">
        <f aca="false">DATE(YEAR(B837),MONTH(B837),1)</f>
        <v>45778</v>
      </c>
      <c r="K837" s="41" t="n">
        <f aca="false">D837*E837</f>
        <v>44.35</v>
      </c>
      <c r="L837" s="41" t="n">
        <f aca="false">D837*I837</f>
        <v>15</v>
      </c>
      <c r="M837" s="41" t="n">
        <f aca="false">IFERROR(INDEX(Raw_Expenses!$C$5:$C$2979,MATCH(A837,Raw_Expenses!$A$5:$A$2979,0)),0)</f>
        <v>1.9</v>
      </c>
      <c r="N837" s="41" t="n">
        <f aca="false">L837+M837</f>
        <v>16.9</v>
      </c>
      <c r="O837" s="41" t="n">
        <f aca="false">K837-N837</f>
        <v>27.45</v>
      </c>
      <c r="P837" s="43" t="n">
        <f aca="false">IF(K837=0,0,O837/K837)</f>
        <v>0.618940248027058</v>
      </c>
    </row>
    <row r="838" customFormat="false" ht="15" hidden="false" customHeight="false" outlineLevel="0" collapsed="false">
      <c r="A838" s="39" t="s">
        <v>960</v>
      </c>
      <c r="B838" s="40" t="n">
        <v>45779</v>
      </c>
      <c r="C838" s="39" t="s">
        <v>104</v>
      </c>
      <c r="D838" s="39" t="n">
        <v>1</v>
      </c>
      <c r="E838" s="41" t="n">
        <v>14.93</v>
      </c>
      <c r="F838" s="39" t="s">
        <v>108</v>
      </c>
      <c r="G838" s="39" t="str">
        <f aca="false">VLOOKUP(C838,Products!$A$5:$D$24,2,FALSE())</f>
        <v>Water Bottle</v>
      </c>
      <c r="H838" s="39" t="str">
        <f aca="false">VLOOKUP(C838,Products!$A$5:$D$24,3,FALSE())</f>
        <v>Accessories</v>
      </c>
      <c r="I838" s="41" t="n">
        <f aca="false">VLOOKUP(C838,Products!$A$5:$D$24,4,FALSE())</f>
        <v>5</v>
      </c>
      <c r="J838" s="42" t="n">
        <f aca="false">DATE(YEAR(B838),MONTH(B838),1)</f>
        <v>45778</v>
      </c>
      <c r="K838" s="41" t="n">
        <f aca="false">D838*E838</f>
        <v>14.93</v>
      </c>
      <c r="L838" s="41" t="n">
        <f aca="false">D838*I838</f>
        <v>5</v>
      </c>
      <c r="M838" s="41" t="n">
        <f aca="false">IFERROR(INDEX(Raw_Expenses!$C$5:$C$2979,MATCH(A838,Raw_Expenses!$A$5:$A$2979,0)),0)</f>
        <v>0.65</v>
      </c>
      <c r="N838" s="41" t="n">
        <f aca="false">L838+M838</f>
        <v>5.65</v>
      </c>
      <c r="O838" s="41" t="n">
        <f aca="false">K838-N838</f>
        <v>9.28</v>
      </c>
      <c r="P838" s="43" t="n">
        <f aca="false">IF(K838=0,0,O838/K838)</f>
        <v>0.621567314132619</v>
      </c>
    </row>
    <row r="839" customFormat="false" ht="15" hidden="false" customHeight="false" outlineLevel="0" collapsed="false">
      <c r="A839" s="39" t="s">
        <v>961</v>
      </c>
      <c r="B839" s="40" t="n">
        <v>45780</v>
      </c>
      <c r="C839" s="39" t="s">
        <v>126</v>
      </c>
      <c r="D839" s="39" t="n">
        <v>5</v>
      </c>
      <c r="E839" s="41" t="n">
        <v>24.73</v>
      </c>
      <c r="F839" s="39" t="s">
        <v>108</v>
      </c>
      <c r="G839" s="39" t="str">
        <f aca="false">VLOOKUP(C839,Products!$A$5:$D$24,2,FALSE())</f>
        <v>Wireless Mouse</v>
      </c>
      <c r="H839" s="39" t="str">
        <f aca="false">VLOOKUP(C839,Products!$A$5:$D$24,3,FALSE())</f>
        <v>Electronics</v>
      </c>
      <c r="I839" s="41" t="n">
        <f aca="false">VLOOKUP(C839,Products!$A$5:$D$24,4,FALSE())</f>
        <v>12</v>
      </c>
      <c r="J839" s="42" t="n">
        <f aca="false">DATE(YEAR(B839),MONTH(B839),1)</f>
        <v>45778</v>
      </c>
      <c r="K839" s="41" t="n">
        <f aca="false">D839*E839</f>
        <v>123.65</v>
      </c>
      <c r="L839" s="41" t="n">
        <f aca="false">D839*I839</f>
        <v>60</v>
      </c>
      <c r="M839" s="41" t="n">
        <f aca="false">IFERROR(INDEX(Raw_Expenses!$C$5:$C$2979,MATCH(A839,Raw_Expenses!$A$5:$A$2979,0)),0)</f>
        <v>9.84</v>
      </c>
      <c r="N839" s="41" t="n">
        <f aca="false">L839+M839</f>
        <v>69.84</v>
      </c>
      <c r="O839" s="41" t="n">
        <f aca="false">K839-N839</f>
        <v>53.81</v>
      </c>
      <c r="P839" s="43" t="n">
        <f aca="false">IF(K839=0,0,O839/K839)</f>
        <v>0.435179943388597</v>
      </c>
    </row>
    <row r="840" customFormat="false" ht="15" hidden="false" customHeight="false" outlineLevel="0" collapsed="false">
      <c r="A840" s="39" t="s">
        <v>962</v>
      </c>
      <c r="B840" s="40" t="n">
        <v>45780</v>
      </c>
      <c r="C840" s="39" t="s">
        <v>104</v>
      </c>
      <c r="D840" s="39" t="n">
        <v>1</v>
      </c>
      <c r="E840" s="41" t="n">
        <v>14.79</v>
      </c>
      <c r="F840" s="39" t="s">
        <v>115</v>
      </c>
      <c r="G840" s="39" t="str">
        <f aca="false">VLOOKUP(C840,Products!$A$5:$D$24,2,FALSE())</f>
        <v>Water Bottle</v>
      </c>
      <c r="H840" s="39" t="str">
        <f aca="false">VLOOKUP(C840,Products!$A$5:$D$24,3,FALSE())</f>
        <v>Accessories</v>
      </c>
      <c r="I840" s="41" t="n">
        <f aca="false">VLOOKUP(C840,Products!$A$5:$D$24,4,FALSE())</f>
        <v>5</v>
      </c>
      <c r="J840" s="42" t="n">
        <f aca="false">DATE(YEAR(B840),MONTH(B840),1)</f>
        <v>45778</v>
      </c>
      <c r="K840" s="41" t="n">
        <f aca="false">D840*E840</f>
        <v>14.79</v>
      </c>
      <c r="L840" s="41" t="n">
        <f aca="false">D840*I840</f>
        <v>5</v>
      </c>
      <c r="M840" s="41" t="n">
        <f aca="false">IFERROR(INDEX(Raw_Expenses!$C$5:$C$2979,MATCH(A840,Raw_Expenses!$A$5:$A$2979,0)),0)</f>
        <v>1.2</v>
      </c>
      <c r="N840" s="41" t="n">
        <f aca="false">L840+M840</f>
        <v>6.2</v>
      </c>
      <c r="O840" s="41" t="n">
        <f aca="false">K840-N840</f>
        <v>8.59</v>
      </c>
      <c r="P840" s="43" t="n">
        <f aca="false">IF(K840=0,0,O840/K840)</f>
        <v>0.58079783637593</v>
      </c>
    </row>
    <row r="841" customFormat="false" ht="15" hidden="false" customHeight="false" outlineLevel="0" collapsed="false">
      <c r="A841" s="39" t="s">
        <v>963</v>
      </c>
      <c r="B841" s="40" t="n">
        <v>45780</v>
      </c>
      <c r="C841" s="39" t="s">
        <v>136</v>
      </c>
      <c r="D841" s="39" t="n">
        <v>1</v>
      </c>
      <c r="E841" s="41" t="n">
        <v>75.05</v>
      </c>
      <c r="F841" s="39" t="s">
        <v>105</v>
      </c>
      <c r="G841" s="39" t="str">
        <f aca="false">VLOOKUP(C841,Products!$A$5:$D$24,2,FALSE())</f>
        <v>Mechanical Keyboard</v>
      </c>
      <c r="H841" s="39" t="str">
        <f aca="false">VLOOKUP(C841,Products!$A$5:$D$24,3,FALSE())</f>
        <v>Electronics</v>
      </c>
      <c r="I841" s="41" t="n">
        <f aca="false">VLOOKUP(C841,Products!$A$5:$D$24,4,FALSE())</f>
        <v>38</v>
      </c>
      <c r="J841" s="42" t="n">
        <f aca="false">DATE(YEAR(B841),MONTH(B841),1)</f>
        <v>45778</v>
      </c>
      <c r="K841" s="41" t="n">
        <f aca="false">D841*E841</f>
        <v>75.05</v>
      </c>
      <c r="L841" s="41" t="n">
        <f aca="false">D841*I841</f>
        <v>38</v>
      </c>
      <c r="M841" s="41" t="n">
        <f aca="false">IFERROR(INDEX(Raw_Expenses!$C$5:$C$2979,MATCH(A841,Raw_Expenses!$A$5:$A$2979,0)),0)</f>
        <v>6</v>
      </c>
      <c r="N841" s="41" t="n">
        <f aca="false">L841+M841</f>
        <v>44</v>
      </c>
      <c r="O841" s="41" t="n">
        <f aca="false">K841-N841</f>
        <v>31.05</v>
      </c>
      <c r="P841" s="43" t="n">
        <f aca="false">IF(K841=0,0,O841/K841)</f>
        <v>0.413724183877415</v>
      </c>
    </row>
    <row r="842" customFormat="false" ht="15" hidden="false" customHeight="false" outlineLevel="0" collapsed="false">
      <c r="A842" s="39" t="s">
        <v>964</v>
      </c>
      <c r="B842" s="40" t="n">
        <v>45780</v>
      </c>
      <c r="C842" s="39" t="s">
        <v>162</v>
      </c>
      <c r="D842" s="39" t="n">
        <v>1</v>
      </c>
      <c r="E842" s="41" t="n">
        <v>68.65</v>
      </c>
      <c r="F842" s="39" t="s">
        <v>118</v>
      </c>
      <c r="G842" s="39" t="str">
        <f aca="false">VLOOKUP(C842,Products!$A$5:$D$24,2,FALSE())</f>
        <v>Bluetooth Speaker</v>
      </c>
      <c r="H842" s="39" t="str">
        <f aca="false">VLOOKUP(C842,Products!$A$5:$D$24,3,FALSE())</f>
        <v>Electronics</v>
      </c>
      <c r="I842" s="41" t="n">
        <f aca="false">VLOOKUP(C842,Products!$A$5:$D$24,4,FALSE())</f>
        <v>28</v>
      </c>
      <c r="J842" s="42" t="n">
        <f aca="false">DATE(YEAR(B842),MONTH(B842),1)</f>
        <v>45778</v>
      </c>
      <c r="K842" s="41" t="n">
        <f aca="false">D842*E842</f>
        <v>68.65</v>
      </c>
      <c r="L842" s="41" t="n">
        <f aca="false">D842*I842</f>
        <v>28</v>
      </c>
      <c r="M842" s="41" t="n">
        <f aca="false">IFERROR(INDEX(Raw_Expenses!$C$5:$C$2979,MATCH(A842,Raw_Expenses!$A$5:$A$2979,0)),0)</f>
        <v>3.69</v>
      </c>
      <c r="N842" s="41" t="n">
        <f aca="false">L842+M842</f>
        <v>31.69</v>
      </c>
      <c r="O842" s="41" t="n">
        <f aca="false">K842-N842</f>
        <v>36.96</v>
      </c>
      <c r="P842" s="43" t="n">
        <f aca="false">IF(K842=0,0,O842/K842)</f>
        <v>0.538383102694829</v>
      </c>
    </row>
    <row r="843" customFormat="false" ht="15" hidden="false" customHeight="false" outlineLevel="0" collapsed="false">
      <c r="A843" s="39" t="s">
        <v>965</v>
      </c>
      <c r="B843" s="40" t="n">
        <v>45780</v>
      </c>
      <c r="C843" s="39" t="s">
        <v>117</v>
      </c>
      <c r="D843" s="39" t="n">
        <v>1</v>
      </c>
      <c r="E843" s="41" t="n">
        <v>30.28</v>
      </c>
      <c r="F843" s="39" t="s">
        <v>115</v>
      </c>
      <c r="G843" s="39" t="str">
        <f aca="false">VLOOKUP(C843,Products!$A$5:$D$24,2,FALSE())</f>
        <v>Desk Lamp</v>
      </c>
      <c r="H843" s="39" t="str">
        <f aca="false">VLOOKUP(C843,Products!$A$5:$D$24,3,FALSE())</f>
        <v>Furniture</v>
      </c>
      <c r="I843" s="41" t="n">
        <f aca="false">VLOOKUP(C843,Products!$A$5:$D$24,4,FALSE())</f>
        <v>13</v>
      </c>
      <c r="J843" s="42" t="n">
        <f aca="false">DATE(YEAR(B843),MONTH(B843),1)</f>
        <v>45778</v>
      </c>
      <c r="K843" s="41" t="n">
        <f aca="false">D843*E843</f>
        <v>30.28</v>
      </c>
      <c r="L843" s="41" t="n">
        <f aca="false">D843*I843</f>
        <v>13</v>
      </c>
      <c r="M843" s="41" t="n">
        <f aca="false">IFERROR(INDEX(Raw_Expenses!$C$5:$C$2979,MATCH(A843,Raw_Expenses!$A$5:$A$2979,0)),0)</f>
        <v>1.51</v>
      </c>
      <c r="N843" s="41" t="n">
        <f aca="false">L843+M843</f>
        <v>14.51</v>
      </c>
      <c r="O843" s="41" t="n">
        <f aca="false">K843-N843</f>
        <v>15.77</v>
      </c>
      <c r="P843" s="43" t="n">
        <f aca="false">IF(K843=0,0,O843/K843)</f>
        <v>0.520805812417437</v>
      </c>
    </row>
    <row r="844" customFormat="false" ht="15" hidden="false" customHeight="false" outlineLevel="0" collapsed="false">
      <c r="A844" s="39" t="s">
        <v>966</v>
      </c>
      <c r="B844" s="40" t="n">
        <v>45780</v>
      </c>
      <c r="C844" s="39" t="s">
        <v>177</v>
      </c>
      <c r="D844" s="39" t="n">
        <v>4</v>
      </c>
      <c r="E844" s="41" t="n">
        <v>44.6</v>
      </c>
      <c r="F844" s="39" t="s">
        <v>105</v>
      </c>
      <c r="G844" s="39" t="str">
        <f aca="false">VLOOKUP(C844,Products!$A$5:$D$24,2,FALSE())</f>
        <v>Backpack</v>
      </c>
      <c r="H844" s="39" t="str">
        <f aca="false">VLOOKUP(C844,Products!$A$5:$D$24,3,FALSE())</f>
        <v>Accessories</v>
      </c>
      <c r="I844" s="41" t="n">
        <f aca="false">VLOOKUP(C844,Products!$A$5:$D$24,4,FALSE())</f>
        <v>17</v>
      </c>
      <c r="J844" s="42" t="n">
        <f aca="false">DATE(YEAR(B844),MONTH(B844),1)</f>
        <v>45778</v>
      </c>
      <c r="K844" s="41" t="n">
        <f aca="false">D844*E844</f>
        <v>178.4</v>
      </c>
      <c r="L844" s="41" t="n">
        <f aca="false">D844*I844</f>
        <v>68</v>
      </c>
      <c r="M844" s="41" t="n">
        <f aca="false">IFERROR(INDEX(Raw_Expenses!$C$5:$C$2979,MATCH(A844,Raw_Expenses!$A$5:$A$2979,0)),0)</f>
        <v>12.69</v>
      </c>
      <c r="N844" s="41" t="n">
        <f aca="false">L844+M844</f>
        <v>80.69</v>
      </c>
      <c r="O844" s="41" t="n">
        <f aca="false">K844-N844</f>
        <v>97.71</v>
      </c>
      <c r="P844" s="43" t="n">
        <f aca="false">IF(K844=0,0,O844/K844)</f>
        <v>0.547701793721973</v>
      </c>
    </row>
    <row r="845" customFormat="false" ht="15" hidden="false" customHeight="false" outlineLevel="0" collapsed="false">
      <c r="A845" s="39" t="s">
        <v>967</v>
      </c>
      <c r="B845" s="40" t="n">
        <v>45780</v>
      </c>
      <c r="C845" s="39" t="s">
        <v>110</v>
      </c>
      <c r="D845" s="39" t="n">
        <v>2</v>
      </c>
      <c r="E845" s="41" t="n">
        <v>13.71</v>
      </c>
      <c r="F845" s="39" t="s">
        <v>118</v>
      </c>
      <c r="G845" s="39" t="str">
        <f aca="false">VLOOKUP(C845,Products!$A$5:$D$24,2,FALSE())</f>
        <v>Phone Stand</v>
      </c>
      <c r="H845" s="39" t="str">
        <f aca="false">VLOOKUP(C845,Products!$A$5:$D$24,3,FALSE())</f>
        <v>Accessories</v>
      </c>
      <c r="I845" s="41" t="n">
        <f aca="false">VLOOKUP(C845,Products!$A$5:$D$24,4,FALSE())</f>
        <v>4</v>
      </c>
      <c r="J845" s="42" t="n">
        <f aca="false">DATE(YEAR(B845),MONTH(B845),1)</f>
        <v>45778</v>
      </c>
      <c r="K845" s="41" t="n">
        <f aca="false">D845*E845</f>
        <v>27.42</v>
      </c>
      <c r="L845" s="41" t="n">
        <f aca="false">D845*I845</f>
        <v>8</v>
      </c>
      <c r="M845" s="41" t="n">
        <f aca="false">IFERROR(INDEX(Raw_Expenses!$C$5:$C$2979,MATCH(A845,Raw_Expenses!$A$5:$A$2979,0)),0)</f>
        <v>1.99</v>
      </c>
      <c r="N845" s="41" t="n">
        <f aca="false">L845+M845</f>
        <v>9.99</v>
      </c>
      <c r="O845" s="41" t="n">
        <f aca="false">K845-N845</f>
        <v>17.43</v>
      </c>
      <c r="P845" s="43" t="n">
        <f aca="false">IF(K845=0,0,O845/K845)</f>
        <v>0.635667396061269</v>
      </c>
    </row>
    <row r="846" customFormat="false" ht="15" hidden="false" customHeight="false" outlineLevel="0" collapsed="false">
      <c r="A846" s="39" t="s">
        <v>968</v>
      </c>
      <c r="B846" s="40" t="n">
        <v>45780</v>
      </c>
      <c r="C846" s="39" t="s">
        <v>112</v>
      </c>
      <c r="D846" s="39" t="n">
        <v>3</v>
      </c>
      <c r="E846" s="41" t="n">
        <v>51.9</v>
      </c>
      <c r="F846" s="39" t="s">
        <v>115</v>
      </c>
      <c r="G846" s="39" t="str">
        <f aca="false">VLOOKUP(C846,Products!$A$5:$D$24,2,FALSE())</f>
        <v>HD Webcam</v>
      </c>
      <c r="H846" s="39" t="str">
        <f aca="false">VLOOKUP(C846,Products!$A$5:$D$24,3,FALSE())</f>
        <v>Electronics</v>
      </c>
      <c r="I846" s="41" t="n">
        <f aca="false">VLOOKUP(C846,Products!$A$5:$D$24,4,FALSE())</f>
        <v>22</v>
      </c>
      <c r="J846" s="42" t="n">
        <f aca="false">DATE(YEAR(B846),MONTH(B846),1)</f>
        <v>45778</v>
      </c>
      <c r="K846" s="41" t="n">
        <f aca="false">D846*E846</f>
        <v>155.7</v>
      </c>
      <c r="L846" s="41" t="n">
        <f aca="false">D846*I846</f>
        <v>66</v>
      </c>
      <c r="M846" s="41" t="n">
        <f aca="false">IFERROR(INDEX(Raw_Expenses!$C$5:$C$2979,MATCH(A846,Raw_Expenses!$A$5:$A$2979,0)),0)</f>
        <v>12.5</v>
      </c>
      <c r="N846" s="41" t="n">
        <f aca="false">L846+M846</f>
        <v>78.5</v>
      </c>
      <c r="O846" s="41" t="n">
        <f aca="false">K846-N846</f>
        <v>77.2</v>
      </c>
      <c r="P846" s="43" t="n">
        <f aca="false">IF(K846=0,0,O846/K846)</f>
        <v>0.49582530507386</v>
      </c>
    </row>
    <row r="847" customFormat="false" ht="15" hidden="false" customHeight="false" outlineLevel="0" collapsed="false">
      <c r="A847" s="39" t="s">
        <v>969</v>
      </c>
      <c r="B847" s="40" t="n">
        <v>45780</v>
      </c>
      <c r="C847" s="39" t="s">
        <v>177</v>
      </c>
      <c r="D847" s="39" t="n">
        <v>1</v>
      </c>
      <c r="E847" s="41" t="n">
        <v>43.17</v>
      </c>
      <c r="F847" s="39" t="s">
        <v>105</v>
      </c>
      <c r="G847" s="39" t="str">
        <f aca="false">VLOOKUP(C847,Products!$A$5:$D$24,2,FALSE())</f>
        <v>Backpack</v>
      </c>
      <c r="H847" s="39" t="str">
        <f aca="false">VLOOKUP(C847,Products!$A$5:$D$24,3,FALSE())</f>
        <v>Accessories</v>
      </c>
      <c r="I847" s="41" t="n">
        <f aca="false">VLOOKUP(C847,Products!$A$5:$D$24,4,FALSE())</f>
        <v>17</v>
      </c>
      <c r="J847" s="42" t="n">
        <f aca="false">DATE(YEAR(B847),MONTH(B847),1)</f>
        <v>45778</v>
      </c>
      <c r="K847" s="41" t="n">
        <f aca="false">D847*E847</f>
        <v>43.17</v>
      </c>
      <c r="L847" s="41" t="n">
        <f aca="false">D847*I847</f>
        <v>17</v>
      </c>
      <c r="M847" s="41" t="n">
        <f aca="false">IFERROR(INDEX(Raw_Expenses!$C$5:$C$2979,MATCH(A847,Raw_Expenses!$A$5:$A$2979,0)),0)</f>
        <v>3.47</v>
      </c>
      <c r="N847" s="41" t="n">
        <f aca="false">L847+M847</f>
        <v>20.47</v>
      </c>
      <c r="O847" s="41" t="n">
        <f aca="false">K847-N847</f>
        <v>22.7</v>
      </c>
      <c r="P847" s="43" t="n">
        <f aca="false">IF(K847=0,0,O847/K847)</f>
        <v>0.525828121380588</v>
      </c>
    </row>
    <row r="848" customFormat="false" ht="15" hidden="false" customHeight="false" outlineLevel="0" collapsed="false">
      <c r="A848" s="39" t="s">
        <v>970</v>
      </c>
      <c r="B848" s="40" t="n">
        <v>45780</v>
      </c>
      <c r="C848" s="39" t="s">
        <v>133</v>
      </c>
      <c r="D848" s="39" t="n">
        <v>1</v>
      </c>
      <c r="E848" s="41" t="n">
        <v>8.29</v>
      </c>
      <c r="F848" s="39" t="s">
        <v>115</v>
      </c>
      <c r="G848" s="39" t="str">
        <f aca="false">VLOOKUP(C848,Products!$A$5:$D$24,2,FALSE())</f>
        <v>Printer Paper Ream</v>
      </c>
      <c r="H848" s="39" t="str">
        <f aca="false">VLOOKUP(C848,Products!$A$5:$D$24,3,FALSE())</f>
        <v>Stationery</v>
      </c>
      <c r="I848" s="41" t="n">
        <f aca="false">VLOOKUP(C848,Products!$A$5:$D$24,4,FALSE())</f>
        <v>4</v>
      </c>
      <c r="J848" s="42" t="n">
        <f aca="false">DATE(YEAR(B848),MONTH(B848),1)</f>
        <v>45778</v>
      </c>
      <c r="K848" s="41" t="n">
        <f aca="false">D848*E848</f>
        <v>8.29</v>
      </c>
      <c r="L848" s="41" t="n">
        <f aca="false">D848*I848</f>
        <v>4</v>
      </c>
      <c r="M848" s="41" t="n">
        <f aca="false">IFERROR(INDEX(Raw_Expenses!$C$5:$C$2979,MATCH(A848,Raw_Expenses!$A$5:$A$2979,0)),0)</f>
        <v>0.72</v>
      </c>
      <c r="N848" s="41" t="n">
        <f aca="false">L848+M848</f>
        <v>4.72</v>
      </c>
      <c r="O848" s="41" t="n">
        <f aca="false">K848-N848</f>
        <v>3.57</v>
      </c>
      <c r="P848" s="43" t="n">
        <f aca="false">IF(K848=0,0,O848/K848)</f>
        <v>0.430639324487334</v>
      </c>
    </row>
    <row r="849" customFormat="false" ht="15" hidden="false" customHeight="false" outlineLevel="0" collapsed="false">
      <c r="A849" s="39" t="s">
        <v>971</v>
      </c>
      <c r="B849" s="40" t="n">
        <v>45781</v>
      </c>
      <c r="C849" s="39" t="s">
        <v>130</v>
      </c>
      <c r="D849" s="39" t="n">
        <v>3</v>
      </c>
      <c r="E849" s="41" t="n">
        <v>8.62</v>
      </c>
      <c r="F849" s="39" t="s">
        <v>118</v>
      </c>
      <c r="G849" s="39" t="str">
        <f aca="false">VLOOKUP(C849,Products!$A$5:$D$24,2,FALSE())</f>
        <v>Notebook Set</v>
      </c>
      <c r="H849" s="39" t="str">
        <f aca="false">VLOOKUP(C849,Products!$A$5:$D$24,3,FALSE())</f>
        <v>Stationery</v>
      </c>
      <c r="I849" s="41" t="n">
        <f aca="false">VLOOKUP(C849,Products!$A$5:$D$24,4,FALSE())</f>
        <v>3</v>
      </c>
      <c r="J849" s="42" t="n">
        <f aca="false">DATE(YEAR(B849),MONTH(B849),1)</f>
        <v>45778</v>
      </c>
      <c r="K849" s="41" t="n">
        <f aca="false">D849*E849</f>
        <v>25.86</v>
      </c>
      <c r="L849" s="41" t="n">
        <f aca="false">D849*I849</f>
        <v>9</v>
      </c>
      <c r="M849" s="41" t="n">
        <f aca="false">IFERROR(INDEX(Raw_Expenses!$C$5:$C$2979,MATCH(A849,Raw_Expenses!$A$5:$A$2979,0)),0)</f>
        <v>2.11</v>
      </c>
      <c r="N849" s="41" t="n">
        <f aca="false">L849+M849</f>
        <v>11.11</v>
      </c>
      <c r="O849" s="41" t="n">
        <f aca="false">K849-N849</f>
        <v>14.75</v>
      </c>
      <c r="P849" s="43" t="n">
        <f aca="false">IF(K849=0,0,O849/K849)</f>
        <v>0.570378963650425</v>
      </c>
    </row>
    <row r="850" customFormat="false" ht="15" hidden="false" customHeight="false" outlineLevel="0" collapsed="false">
      <c r="A850" s="39" t="s">
        <v>972</v>
      </c>
      <c r="B850" s="40" t="n">
        <v>45781</v>
      </c>
      <c r="C850" s="39" t="s">
        <v>114</v>
      </c>
      <c r="D850" s="39" t="n">
        <v>4</v>
      </c>
      <c r="E850" s="41" t="n">
        <v>5.56</v>
      </c>
      <c r="F850" s="39" t="s">
        <v>118</v>
      </c>
      <c r="G850" s="39" t="str">
        <f aca="false">VLOOKUP(C850,Products!$A$5:$D$24,2,FALSE())</f>
        <v>Gel Pen Pack</v>
      </c>
      <c r="H850" s="39" t="str">
        <f aca="false">VLOOKUP(C850,Products!$A$5:$D$24,3,FALSE())</f>
        <v>Stationery</v>
      </c>
      <c r="I850" s="41" t="n">
        <f aca="false">VLOOKUP(C850,Products!$A$5:$D$24,4,FALSE())</f>
        <v>2</v>
      </c>
      <c r="J850" s="42" t="n">
        <f aca="false">DATE(YEAR(B850),MONTH(B850),1)</f>
        <v>45778</v>
      </c>
      <c r="K850" s="41" t="n">
        <f aca="false">D850*E850</f>
        <v>22.24</v>
      </c>
      <c r="L850" s="41" t="n">
        <f aca="false">D850*I850</f>
        <v>8</v>
      </c>
      <c r="M850" s="41" t="n">
        <f aca="false">IFERROR(INDEX(Raw_Expenses!$C$5:$C$2979,MATCH(A850,Raw_Expenses!$A$5:$A$2979,0)),0)</f>
        <v>0.9</v>
      </c>
      <c r="N850" s="41" t="n">
        <f aca="false">L850+M850</f>
        <v>8.9</v>
      </c>
      <c r="O850" s="41" t="n">
        <f aca="false">K850-N850</f>
        <v>13.34</v>
      </c>
      <c r="P850" s="43" t="n">
        <f aca="false">IF(K850=0,0,O850/K850)</f>
        <v>0.599820143884892</v>
      </c>
    </row>
    <row r="851" customFormat="false" ht="15" hidden="false" customHeight="false" outlineLevel="0" collapsed="false">
      <c r="A851" s="39" t="s">
        <v>973</v>
      </c>
      <c r="B851" s="40" t="n">
        <v>45781</v>
      </c>
      <c r="C851" s="39" t="s">
        <v>139</v>
      </c>
      <c r="D851" s="39" t="n">
        <v>1</v>
      </c>
      <c r="E851" s="41" t="n">
        <v>125.55</v>
      </c>
      <c r="F851" s="39" t="s">
        <v>118</v>
      </c>
      <c r="G851" s="39" t="str">
        <f aca="false">VLOOKUP(C851,Products!$A$5:$D$24,2,FALSE())</f>
        <v>Noise-Cancelling Headphones</v>
      </c>
      <c r="H851" s="39" t="str">
        <f aca="false">VLOOKUP(C851,Products!$A$5:$D$24,3,FALSE())</f>
        <v>Electronics</v>
      </c>
      <c r="I851" s="41" t="n">
        <f aca="false">VLOOKUP(C851,Products!$A$5:$D$24,4,FALSE())</f>
        <v>55</v>
      </c>
      <c r="J851" s="42" t="n">
        <f aca="false">DATE(YEAR(B851),MONTH(B851),1)</f>
        <v>45778</v>
      </c>
      <c r="K851" s="41" t="n">
        <f aca="false">D851*E851</f>
        <v>125.55</v>
      </c>
      <c r="L851" s="41" t="n">
        <f aca="false">D851*I851</f>
        <v>55</v>
      </c>
      <c r="M851" s="41" t="n">
        <f aca="false">IFERROR(INDEX(Raw_Expenses!$C$5:$C$2979,MATCH(A851,Raw_Expenses!$A$5:$A$2979,0)),0)</f>
        <v>7.06</v>
      </c>
      <c r="N851" s="41" t="n">
        <f aca="false">L851+M851</f>
        <v>62.06</v>
      </c>
      <c r="O851" s="41" t="n">
        <f aca="false">K851-N851</f>
        <v>63.49</v>
      </c>
      <c r="P851" s="43" t="n">
        <f aca="false">IF(K851=0,0,O851/K851)</f>
        <v>0.505694942254082</v>
      </c>
    </row>
    <row r="852" customFormat="false" ht="15" hidden="false" customHeight="false" outlineLevel="0" collapsed="false">
      <c r="A852" s="39" t="s">
        <v>974</v>
      </c>
      <c r="B852" s="40" t="n">
        <v>45781</v>
      </c>
      <c r="C852" s="39" t="s">
        <v>144</v>
      </c>
      <c r="D852" s="39" t="n">
        <v>6</v>
      </c>
      <c r="E852" s="41" t="n">
        <v>54.44</v>
      </c>
      <c r="F852" s="39" t="s">
        <v>108</v>
      </c>
      <c r="G852" s="39" t="str">
        <f aca="false">VLOOKUP(C852,Products!$A$5:$D$24,2,FALSE())</f>
        <v>Whiteboard</v>
      </c>
      <c r="H852" s="39" t="str">
        <f aca="false">VLOOKUP(C852,Products!$A$5:$D$24,3,FALSE())</f>
        <v>Furniture</v>
      </c>
      <c r="I852" s="41" t="n">
        <f aca="false">VLOOKUP(C852,Products!$A$5:$D$24,4,FALSE())</f>
        <v>28</v>
      </c>
      <c r="J852" s="42" t="n">
        <f aca="false">DATE(YEAR(B852),MONTH(B852),1)</f>
        <v>45778</v>
      </c>
      <c r="K852" s="41" t="n">
        <f aca="false">D852*E852</f>
        <v>326.64</v>
      </c>
      <c r="L852" s="41" t="n">
        <f aca="false">D852*I852</f>
        <v>168</v>
      </c>
      <c r="M852" s="41" t="n">
        <f aca="false">IFERROR(INDEX(Raw_Expenses!$C$5:$C$2979,MATCH(A852,Raw_Expenses!$A$5:$A$2979,0)),0)</f>
        <v>0</v>
      </c>
      <c r="N852" s="41" t="n">
        <f aca="false">L852+M852</f>
        <v>168</v>
      </c>
      <c r="O852" s="41" t="n">
        <f aca="false">K852-N852</f>
        <v>158.64</v>
      </c>
      <c r="P852" s="43" t="n">
        <f aca="false">IF(K852=0,0,O852/K852)</f>
        <v>0.485672299779574</v>
      </c>
    </row>
    <row r="853" customFormat="false" ht="15" hidden="false" customHeight="false" outlineLevel="0" collapsed="false">
      <c r="A853" s="39" t="s">
        <v>975</v>
      </c>
      <c r="B853" s="40" t="n">
        <v>45781</v>
      </c>
      <c r="C853" s="39" t="s">
        <v>112</v>
      </c>
      <c r="D853" s="39" t="n">
        <v>1</v>
      </c>
      <c r="E853" s="41" t="n">
        <v>54.6</v>
      </c>
      <c r="F853" s="39" t="s">
        <v>115</v>
      </c>
      <c r="G853" s="39" t="str">
        <f aca="false">VLOOKUP(C853,Products!$A$5:$D$24,2,FALSE())</f>
        <v>HD Webcam</v>
      </c>
      <c r="H853" s="39" t="str">
        <f aca="false">VLOOKUP(C853,Products!$A$5:$D$24,3,FALSE())</f>
        <v>Electronics</v>
      </c>
      <c r="I853" s="41" t="n">
        <f aca="false">VLOOKUP(C853,Products!$A$5:$D$24,4,FALSE())</f>
        <v>22</v>
      </c>
      <c r="J853" s="42" t="n">
        <f aca="false">DATE(YEAR(B853),MONTH(B853),1)</f>
        <v>45778</v>
      </c>
      <c r="K853" s="41" t="n">
        <f aca="false">D853*E853</f>
        <v>54.6</v>
      </c>
      <c r="L853" s="41" t="n">
        <f aca="false">D853*I853</f>
        <v>22</v>
      </c>
      <c r="M853" s="41" t="n">
        <f aca="false">IFERROR(INDEX(Raw_Expenses!$C$5:$C$2979,MATCH(A853,Raw_Expenses!$A$5:$A$2979,0)),0)</f>
        <v>4.36</v>
      </c>
      <c r="N853" s="41" t="n">
        <f aca="false">L853+M853</f>
        <v>26.36</v>
      </c>
      <c r="O853" s="41" t="n">
        <f aca="false">K853-N853</f>
        <v>28.24</v>
      </c>
      <c r="P853" s="43" t="n">
        <f aca="false">IF(K853=0,0,O853/K853)</f>
        <v>0.517216117216117</v>
      </c>
    </row>
    <row r="854" customFormat="false" ht="15" hidden="false" customHeight="false" outlineLevel="0" collapsed="false">
      <c r="A854" s="39" t="s">
        <v>976</v>
      </c>
      <c r="B854" s="40" t="n">
        <v>45781</v>
      </c>
      <c r="C854" s="39" t="s">
        <v>183</v>
      </c>
      <c r="D854" s="39" t="n">
        <v>1</v>
      </c>
      <c r="E854" s="41" t="n">
        <v>185.28</v>
      </c>
      <c r="F854" s="39" t="s">
        <v>118</v>
      </c>
      <c r="G854" s="39" t="str">
        <f aca="false">VLOOKUP(C854,Products!$A$5:$D$24,2,FALSE())</f>
        <v>Office Chair</v>
      </c>
      <c r="H854" s="39" t="str">
        <f aca="false">VLOOKUP(C854,Products!$A$5:$D$24,3,FALSE())</f>
        <v>Furniture</v>
      </c>
      <c r="I854" s="41" t="n">
        <f aca="false">VLOOKUP(C854,Products!$A$5:$D$24,4,FALSE())</f>
        <v>85</v>
      </c>
      <c r="J854" s="42" t="n">
        <f aca="false">DATE(YEAR(B854),MONTH(B854),1)</f>
        <v>45778</v>
      </c>
      <c r="K854" s="41" t="n">
        <f aca="false">D854*E854</f>
        <v>185.28</v>
      </c>
      <c r="L854" s="41" t="n">
        <f aca="false">D854*I854</f>
        <v>85</v>
      </c>
      <c r="M854" s="41" t="n">
        <f aca="false">IFERROR(INDEX(Raw_Expenses!$C$5:$C$2979,MATCH(A854,Raw_Expenses!$A$5:$A$2979,0)),0)</f>
        <v>10.51</v>
      </c>
      <c r="N854" s="41" t="n">
        <f aca="false">L854+M854</f>
        <v>95.51</v>
      </c>
      <c r="O854" s="41" t="n">
        <f aca="false">K854-N854</f>
        <v>89.77</v>
      </c>
      <c r="P854" s="43" t="n">
        <f aca="false">IF(K854=0,0,O854/K854)</f>
        <v>0.484509930915371</v>
      </c>
    </row>
    <row r="855" customFormat="false" ht="15" hidden="false" customHeight="false" outlineLevel="0" collapsed="false">
      <c r="A855" s="39" t="s">
        <v>977</v>
      </c>
      <c r="B855" s="40" t="n">
        <v>45781</v>
      </c>
      <c r="C855" s="39" t="s">
        <v>121</v>
      </c>
      <c r="D855" s="39" t="n">
        <v>5</v>
      </c>
      <c r="E855" s="41" t="n">
        <v>114.65</v>
      </c>
      <c r="F855" s="39" t="s">
        <v>118</v>
      </c>
      <c r="G855" s="39" t="str">
        <f aca="false">VLOOKUP(C855,Products!$A$5:$D$24,2,FALSE())</f>
        <v>External SSD 1TB</v>
      </c>
      <c r="H855" s="39" t="str">
        <f aca="false">VLOOKUP(C855,Products!$A$5:$D$24,3,FALSE())</f>
        <v>Electronics</v>
      </c>
      <c r="I855" s="41" t="n">
        <f aca="false">VLOOKUP(C855,Products!$A$5:$D$24,4,FALSE())</f>
        <v>62</v>
      </c>
      <c r="J855" s="42" t="n">
        <f aca="false">DATE(YEAR(B855),MONTH(B855),1)</f>
        <v>45778</v>
      </c>
      <c r="K855" s="41" t="n">
        <f aca="false">D855*E855</f>
        <v>573.25</v>
      </c>
      <c r="L855" s="41" t="n">
        <f aca="false">D855*I855</f>
        <v>310</v>
      </c>
      <c r="M855" s="41" t="n">
        <f aca="false">IFERROR(INDEX(Raw_Expenses!$C$5:$C$2979,MATCH(A855,Raw_Expenses!$A$5:$A$2979,0)),0)</f>
        <v>35.03</v>
      </c>
      <c r="N855" s="41" t="n">
        <f aca="false">L855+M855</f>
        <v>345.03</v>
      </c>
      <c r="O855" s="41" t="n">
        <f aca="false">K855-N855</f>
        <v>228.22</v>
      </c>
      <c r="P855" s="43" t="n">
        <f aca="false">IF(K855=0,0,O855/K855)</f>
        <v>0.398116005233319</v>
      </c>
    </row>
    <row r="856" customFormat="false" ht="15" hidden="false" customHeight="false" outlineLevel="0" collapsed="false">
      <c r="A856" s="39" t="s">
        <v>978</v>
      </c>
      <c r="B856" s="40" t="n">
        <v>45781</v>
      </c>
      <c r="C856" s="39" t="s">
        <v>117</v>
      </c>
      <c r="D856" s="39" t="n">
        <v>2</v>
      </c>
      <c r="E856" s="41" t="n">
        <v>30.51</v>
      </c>
      <c r="F856" s="39" t="s">
        <v>105</v>
      </c>
      <c r="G856" s="39" t="str">
        <f aca="false">VLOOKUP(C856,Products!$A$5:$D$24,2,FALSE())</f>
        <v>Desk Lamp</v>
      </c>
      <c r="H856" s="39" t="str">
        <f aca="false">VLOOKUP(C856,Products!$A$5:$D$24,3,FALSE())</f>
        <v>Furniture</v>
      </c>
      <c r="I856" s="41" t="n">
        <f aca="false">VLOOKUP(C856,Products!$A$5:$D$24,4,FALSE())</f>
        <v>13</v>
      </c>
      <c r="J856" s="42" t="n">
        <f aca="false">DATE(YEAR(B856),MONTH(B856),1)</f>
        <v>45778</v>
      </c>
      <c r="K856" s="41" t="n">
        <f aca="false">D856*E856</f>
        <v>61.02</v>
      </c>
      <c r="L856" s="41" t="n">
        <f aca="false">D856*I856</f>
        <v>26</v>
      </c>
      <c r="M856" s="41" t="n">
        <f aca="false">IFERROR(INDEX(Raw_Expenses!$C$5:$C$2979,MATCH(A856,Raw_Expenses!$A$5:$A$2979,0)),0)</f>
        <v>2.79</v>
      </c>
      <c r="N856" s="41" t="n">
        <f aca="false">L856+M856</f>
        <v>28.79</v>
      </c>
      <c r="O856" s="41" t="n">
        <f aca="false">K856-N856</f>
        <v>32.23</v>
      </c>
      <c r="P856" s="43" t="n">
        <f aca="false">IF(K856=0,0,O856/K856)</f>
        <v>0.528187479514913</v>
      </c>
    </row>
    <row r="857" customFormat="false" ht="15" hidden="false" customHeight="false" outlineLevel="0" collapsed="false">
      <c r="A857" s="39" t="s">
        <v>979</v>
      </c>
      <c r="B857" s="40" t="n">
        <v>45781</v>
      </c>
      <c r="C857" s="39" t="s">
        <v>107</v>
      </c>
      <c r="D857" s="39" t="n">
        <v>3</v>
      </c>
      <c r="E857" s="41" t="n">
        <v>34.27</v>
      </c>
      <c r="F857" s="39" t="s">
        <v>118</v>
      </c>
      <c r="G857" s="39" t="str">
        <f aca="false">VLOOKUP(C857,Products!$A$5:$D$24,2,FALSE())</f>
        <v>USB-C Hub</v>
      </c>
      <c r="H857" s="39" t="str">
        <f aca="false">VLOOKUP(C857,Products!$A$5:$D$24,3,FALSE())</f>
        <v>Electronics</v>
      </c>
      <c r="I857" s="41" t="n">
        <f aca="false">VLOOKUP(C857,Products!$A$5:$D$24,4,FALSE())</f>
        <v>14</v>
      </c>
      <c r="J857" s="42" t="n">
        <f aca="false">DATE(YEAR(B857),MONTH(B857),1)</f>
        <v>45778</v>
      </c>
      <c r="K857" s="41" t="n">
        <f aca="false">D857*E857</f>
        <v>102.81</v>
      </c>
      <c r="L857" s="41" t="n">
        <f aca="false">D857*I857</f>
        <v>42</v>
      </c>
      <c r="M857" s="41" t="n">
        <f aca="false">IFERROR(INDEX(Raw_Expenses!$C$5:$C$2979,MATCH(A857,Raw_Expenses!$A$5:$A$2979,0)),0)</f>
        <v>4.22</v>
      </c>
      <c r="N857" s="41" t="n">
        <f aca="false">L857+M857</f>
        <v>46.22</v>
      </c>
      <c r="O857" s="41" t="n">
        <f aca="false">K857-N857</f>
        <v>56.59</v>
      </c>
      <c r="P857" s="43" t="n">
        <f aca="false">IF(K857=0,0,O857/K857)</f>
        <v>0.550432837272639</v>
      </c>
    </row>
    <row r="858" customFormat="false" ht="15" hidden="false" customHeight="false" outlineLevel="0" collapsed="false">
      <c r="A858" s="39" t="s">
        <v>980</v>
      </c>
      <c r="B858" s="40" t="n">
        <v>45782</v>
      </c>
      <c r="C858" s="39" t="s">
        <v>121</v>
      </c>
      <c r="D858" s="39" t="n">
        <v>3</v>
      </c>
      <c r="E858" s="41" t="n">
        <v>116.18</v>
      </c>
      <c r="F858" s="39" t="s">
        <v>105</v>
      </c>
      <c r="G858" s="39" t="str">
        <f aca="false">VLOOKUP(C858,Products!$A$5:$D$24,2,FALSE())</f>
        <v>External SSD 1TB</v>
      </c>
      <c r="H858" s="39" t="str">
        <f aca="false">VLOOKUP(C858,Products!$A$5:$D$24,3,FALSE())</f>
        <v>Electronics</v>
      </c>
      <c r="I858" s="41" t="n">
        <f aca="false">VLOOKUP(C858,Products!$A$5:$D$24,4,FALSE())</f>
        <v>62</v>
      </c>
      <c r="J858" s="42" t="n">
        <f aca="false">DATE(YEAR(B858),MONTH(B858),1)</f>
        <v>45778</v>
      </c>
      <c r="K858" s="41" t="n">
        <f aca="false">D858*E858</f>
        <v>348.54</v>
      </c>
      <c r="L858" s="41" t="n">
        <f aca="false">D858*I858</f>
        <v>186</v>
      </c>
      <c r="M858" s="41" t="n">
        <f aca="false">IFERROR(INDEX(Raw_Expenses!$C$5:$C$2979,MATCH(A858,Raw_Expenses!$A$5:$A$2979,0)),0)</f>
        <v>27.01</v>
      </c>
      <c r="N858" s="41" t="n">
        <f aca="false">L858+M858</f>
        <v>213.01</v>
      </c>
      <c r="O858" s="41" t="n">
        <f aca="false">K858-N858</f>
        <v>135.53</v>
      </c>
      <c r="P858" s="43" t="n">
        <f aca="false">IF(K858=0,0,O858/K858)</f>
        <v>0.388850634073564</v>
      </c>
    </row>
    <row r="859" customFormat="false" ht="15" hidden="false" customHeight="false" outlineLevel="0" collapsed="false">
      <c r="A859" s="39" t="s">
        <v>981</v>
      </c>
      <c r="B859" s="40" t="n">
        <v>45782</v>
      </c>
      <c r="C859" s="39" t="s">
        <v>183</v>
      </c>
      <c r="D859" s="39" t="n">
        <v>2</v>
      </c>
      <c r="E859" s="41" t="n">
        <v>175.39</v>
      </c>
      <c r="F859" s="39" t="s">
        <v>115</v>
      </c>
      <c r="G859" s="39" t="str">
        <f aca="false">VLOOKUP(C859,Products!$A$5:$D$24,2,FALSE())</f>
        <v>Office Chair</v>
      </c>
      <c r="H859" s="39" t="str">
        <f aca="false">VLOOKUP(C859,Products!$A$5:$D$24,3,FALSE())</f>
        <v>Furniture</v>
      </c>
      <c r="I859" s="41" t="n">
        <f aca="false">VLOOKUP(C859,Products!$A$5:$D$24,4,FALSE())</f>
        <v>85</v>
      </c>
      <c r="J859" s="42" t="n">
        <f aca="false">DATE(YEAR(B859),MONTH(B859),1)</f>
        <v>45778</v>
      </c>
      <c r="K859" s="41" t="n">
        <f aca="false">D859*E859</f>
        <v>350.78</v>
      </c>
      <c r="L859" s="41" t="n">
        <f aca="false">D859*I859</f>
        <v>170</v>
      </c>
      <c r="M859" s="41" t="n">
        <f aca="false">IFERROR(INDEX(Raw_Expenses!$C$5:$C$2979,MATCH(A859,Raw_Expenses!$A$5:$A$2979,0)),0)</f>
        <v>18.74</v>
      </c>
      <c r="N859" s="41" t="n">
        <f aca="false">L859+M859</f>
        <v>188.74</v>
      </c>
      <c r="O859" s="41" t="n">
        <f aca="false">K859-N859</f>
        <v>162.04</v>
      </c>
      <c r="P859" s="43" t="n">
        <f aca="false">IF(K859=0,0,O859/K859)</f>
        <v>0.461941957922344</v>
      </c>
    </row>
    <row r="860" customFormat="false" ht="15" hidden="false" customHeight="false" outlineLevel="0" collapsed="false">
      <c r="A860" s="39" t="s">
        <v>982</v>
      </c>
      <c r="B860" s="40" t="n">
        <v>45782</v>
      </c>
      <c r="C860" s="39" t="s">
        <v>114</v>
      </c>
      <c r="D860" s="39" t="n">
        <v>1</v>
      </c>
      <c r="E860" s="41" t="n">
        <v>5.64</v>
      </c>
      <c r="F860" s="39" t="s">
        <v>118</v>
      </c>
      <c r="G860" s="39" t="str">
        <f aca="false">VLOOKUP(C860,Products!$A$5:$D$24,2,FALSE())</f>
        <v>Gel Pen Pack</v>
      </c>
      <c r="H860" s="39" t="str">
        <f aca="false">VLOOKUP(C860,Products!$A$5:$D$24,3,FALSE())</f>
        <v>Stationery</v>
      </c>
      <c r="I860" s="41" t="n">
        <f aca="false">VLOOKUP(C860,Products!$A$5:$D$24,4,FALSE())</f>
        <v>2</v>
      </c>
      <c r="J860" s="42" t="n">
        <f aca="false">DATE(YEAR(B860),MONTH(B860),1)</f>
        <v>45778</v>
      </c>
      <c r="K860" s="41" t="n">
        <f aca="false">D860*E860</f>
        <v>5.64</v>
      </c>
      <c r="L860" s="41" t="n">
        <f aca="false">D860*I860</f>
        <v>2</v>
      </c>
      <c r="M860" s="41" t="n">
        <f aca="false">IFERROR(INDEX(Raw_Expenses!$C$5:$C$2979,MATCH(A860,Raw_Expenses!$A$5:$A$2979,0)),0)</f>
        <v>0.5</v>
      </c>
      <c r="N860" s="41" t="n">
        <f aca="false">L860+M860</f>
        <v>2.5</v>
      </c>
      <c r="O860" s="41" t="n">
        <f aca="false">K860-N860</f>
        <v>3.14</v>
      </c>
      <c r="P860" s="43" t="n">
        <f aca="false">IF(K860=0,0,O860/K860)</f>
        <v>0.556737588652482</v>
      </c>
    </row>
    <row r="861" customFormat="false" ht="15" hidden="false" customHeight="false" outlineLevel="0" collapsed="false">
      <c r="A861" s="39" t="s">
        <v>983</v>
      </c>
      <c r="B861" s="40" t="n">
        <v>45782</v>
      </c>
      <c r="C861" s="39" t="s">
        <v>110</v>
      </c>
      <c r="D861" s="39" t="n">
        <v>4</v>
      </c>
      <c r="E861" s="41" t="n">
        <v>13.26</v>
      </c>
      <c r="F861" s="39" t="s">
        <v>115</v>
      </c>
      <c r="G861" s="39" t="str">
        <f aca="false">VLOOKUP(C861,Products!$A$5:$D$24,2,FALSE())</f>
        <v>Phone Stand</v>
      </c>
      <c r="H861" s="39" t="str">
        <f aca="false">VLOOKUP(C861,Products!$A$5:$D$24,3,FALSE())</f>
        <v>Accessories</v>
      </c>
      <c r="I861" s="41" t="n">
        <f aca="false">VLOOKUP(C861,Products!$A$5:$D$24,4,FALSE())</f>
        <v>4</v>
      </c>
      <c r="J861" s="42" t="n">
        <f aca="false">DATE(YEAR(B861),MONTH(B861),1)</f>
        <v>45778</v>
      </c>
      <c r="K861" s="41" t="n">
        <f aca="false">D861*E861</f>
        <v>53.04</v>
      </c>
      <c r="L861" s="41" t="n">
        <f aca="false">D861*I861</f>
        <v>16</v>
      </c>
      <c r="M861" s="41" t="n">
        <f aca="false">IFERROR(INDEX(Raw_Expenses!$C$5:$C$2979,MATCH(A861,Raw_Expenses!$A$5:$A$2979,0)),0)</f>
        <v>3.09</v>
      </c>
      <c r="N861" s="41" t="n">
        <f aca="false">L861+M861</f>
        <v>19.09</v>
      </c>
      <c r="O861" s="41" t="n">
        <f aca="false">K861-N861</f>
        <v>33.95</v>
      </c>
      <c r="P861" s="43" t="n">
        <f aca="false">IF(K861=0,0,O861/K861)</f>
        <v>0.640082956259427</v>
      </c>
    </row>
    <row r="862" customFormat="false" ht="15" hidden="false" customHeight="false" outlineLevel="0" collapsed="false">
      <c r="A862" s="39" t="s">
        <v>984</v>
      </c>
      <c r="B862" s="40" t="n">
        <v>45782</v>
      </c>
      <c r="C862" s="39" t="s">
        <v>177</v>
      </c>
      <c r="D862" s="39" t="n">
        <v>4</v>
      </c>
      <c r="E862" s="41" t="n">
        <v>41.98</v>
      </c>
      <c r="F862" s="39" t="s">
        <v>115</v>
      </c>
      <c r="G862" s="39" t="str">
        <f aca="false">VLOOKUP(C862,Products!$A$5:$D$24,2,FALSE())</f>
        <v>Backpack</v>
      </c>
      <c r="H862" s="39" t="str">
        <f aca="false">VLOOKUP(C862,Products!$A$5:$D$24,3,FALSE())</f>
        <v>Accessories</v>
      </c>
      <c r="I862" s="41" t="n">
        <f aca="false">VLOOKUP(C862,Products!$A$5:$D$24,4,FALSE())</f>
        <v>17</v>
      </c>
      <c r="J862" s="42" t="n">
        <f aca="false">DATE(YEAR(B862),MONTH(B862),1)</f>
        <v>45778</v>
      </c>
      <c r="K862" s="41" t="n">
        <f aca="false">D862*E862</f>
        <v>167.92</v>
      </c>
      <c r="L862" s="41" t="n">
        <f aca="false">D862*I862</f>
        <v>68</v>
      </c>
      <c r="M862" s="41" t="n">
        <f aca="false">IFERROR(INDEX(Raw_Expenses!$C$5:$C$2979,MATCH(A862,Raw_Expenses!$A$5:$A$2979,0)),0)</f>
        <v>11.33</v>
      </c>
      <c r="N862" s="41" t="n">
        <f aca="false">L862+M862</f>
        <v>79.33</v>
      </c>
      <c r="O862" s="41" t="n">
        <f aca="false">K862-N862</f>
        <v>88.59</v>
      </c>
      <c r="P862" s="43" t="n">
        <f aca="false">IF(K862=0,0,O862/K862)</f>
        <v>0.527572653644593</v>
      </c>
    </row>
    <row r="863" customFormat="false" ht="15" hidden="false" customHeight="false" outlineLevel="0" collapsed="false">
      <c r="A863" s="39" t="s">
        <v>985</v>
      </c>
      <c r="B863" s="40" t="n">
        <v>45782</v>
      </c>
      <c r="C863" s="39" t="s">
        <v>114</v>
      </c>
      <c r="D863" s="39" t="n">
        <v>2</v>
      </c>
      <c r="E863" s="41" t="n">
        <v>5.91</v>
      </c>
      <c r="F863" s="39" t="s">
        <v>115</v>
      </c>
      <c r="G863" s="39" t="str">
        <f aca="false">VLOOKUP(C863,Products!$A$5:$D$24,2,FALSE())</f>
        <v>Gel Pen Pack</v>
      </c>
      <c r="H863" s="39" t="str">
        <f aca="false">VLOOKUP(C863,Products!$A$5:$D$24,3,FALSE())</f>
        <v>Stationery</v>
      </c>
      <c r="I863" s="41" t="n">
        <f aca="false">VLOOKUP(C863,Products!$A$5:$D$24,4,FALSE())</f>
        <v>2</v>
      </c>
      <c r="J863" s="42" t="n">
        <f aca="false">DATE(YEAR(B863),MONTH(B863),1)</f>
        <v>45778</v>
      </c>
      <c r="K863" s="41" t="n">
        <f aca="false">D863*E863</f>
        <v>11.82</v>
      </c>
      <c r="L863" s="41" t="n">
        <f aca="false">D863*I863</f>
        <v>4</v>
      </c>
      <c r="M863" s="41" t="n">
        <f aca="false">IFERROR(INDEX(Raw_Expenses!$C$5:$C$2979,MATCH(A863,Raw_Expenses!$A$5:$A$2979,0)),0)</f>
        <v>0.6</v>
      </c>
      <c r="N863" s="41" t="n">
        <f aca="false">L863+M863</f>
        <v>4.6</v>
      </c>
      <c r="O863" s="41" t="n">
        <f aca="false">K863-N863</f>
        <v>7.22</v>
      </c>
      <c r="P863" s="43" t="n">
        <f aca="false">IF(K863=0,0,O863/K863)</f>
        <v>0.61082910321489</v>
      </c>
    </row>
    <row r="864" customFormat="false" ht="15" hidden="false" customHeight="false" outlineLevel="0" collapsed="false">
      <c r="A864" s="39" t="s">
        <v>986</v>
      </c>
      <c r="B864" s="40" t="n">
        <v>45782</v>
      </c>
      <c r="C864" s="39" t="s">
        <v>112</v>
      </c>
      <c r="D864" s="39" t="n">
        <v>1</v>
      </c>
      <c r="E864" s="41" t="n">
        <v>52.38</v>
      </c>
      <c r="F864" s="39" t="s">
        <v>118</v>
      </c>
      <c r="G864" s="39" t="str">
        <f aca="false">VLOOKUP(C864,Products!$A$5:$D$24,2,FALSE())</f>
        <v>HD Webcam</v>
      </c>
      <c r="H864" s="39" t="str">
        <f aca="false">VLOOKUP(C864,Products!$A$5:$D$24,3,FALSE())</f>
        <v>Electronics</v>
      </c>
      <c r="I864" s="41" t="n">
        <f aca="false">VLOOKUP(C864,Products!$A$5:$D$24,4,FALSE())</f>
        <v>22</v>
      </c>
      <c r="J864" s="42" t="n">
        <f aca="false">DATE(YEAR(B864),MONTH(B864),1)</f>
        <v>45778</v>
      </c>
      <c r="K864" s="41" t="n">
        <f aca="false">D864*E864</f>
        <v>52.38</v>
      </c>
      <c r="L864" s="41" t="n">
        <f aca="false">D864*I864</f>
        <v>22</v>
      </c>
      <c r="M864" s="41" t="n">
        <f aca="false">IFERROR(INDEX(Raw_Expenses!$C$5:$C$2979,MATCH(A864,Raw_Expenses!$A$5:$A$2979,0)),0)</f>
        <v>2.77</v>
      </c>
      <c r="N864" s="41" t="n">
        <f aca="false">L864+M864</f>
        <v>24.77</v>
      </c>
      <c r="O864" s="41" t="n">
        <f aca="false">K864-N864</f>
        <v>27.61</v>
      </c>
      <c r="P864" s="43" t="n">
        <f aca="false">IF(K864=0,0,O864/K864)</f>
        <v>0.527109583810615</v>
      </c>
    </row>
    <row r="865" customFormat="false" ht="15" hidden="false" customHeight="false" outlineLevel="0" collapsed="false">
      <c r="A865" s="39" t="s">
        <v>987</v>
      </c>
      <c r="B865" s="40" t="n">
        <v>45782</v>
      </c>
      <c r="C865" s="39" t="s">
        <v>177</v>
      </c>
      <c r="D865" s="39" t="n">
        <v>8</v>
      </c>
      <c r="E865" s="41" t="n">
        <v>43.58</v>
      </c>
      <c r="F865" s="39" t="s">
        <v>118</v>
      </c>
      <c r="G865" s="39" t="str">
        <f aca="false">VLOOKUP(C865,Products!$A$5:$D$24,2,FALSE())</f>
        <v>Backpack</v>
      </c>
      <c r="H865" s="39" t="str">
        <f aca="false">VLOOKUP(C865,Products!$A$5:$D$24,3,FALSE())</f>
        <v>Accessories</v>
      </c>
      <c r="I865" s="41" t="n">
        <f aca="false">VLOOKUP(C865,Products!$A$5:$D$24,4,FALSE())</f>
        <v>17</v>
      </c>
      <c r="J865" s="42" t="n">
        <f aca="false">DATE(YEAR(B865),MONTH(B865),1)</f>
        <v>45778</v>
      </c>
      <c r="K865" s="41" t="n">
        <f aca="false">D865*E865</f>
        <v>348.64</v>
      </c>
      <c r="L865" s="41" t="n">
        <f aca="false">D865*I865</f>
        <v>136</v>
      </c>
      <c r="M865" s="41" t="n">
        <f aca="false">IFERROR(INDEX(Raw_Expenses!$C$5:$C$2979,MATCH(A865,Raw_Expenses!$A$5:$A$2979,0)),0)</f>
        <v>18.92</v>
      </c>
      <c r="N865" s="41" t="n">
        <f aca="false">L865+M865</f>
        <v>154.92</v>
      </c>
      <c r="O865" s="41" t="n">
        <f aca="false">K865-N865</f>
        <v>193.72</v>
      </c>
      <c r="P865" s="43" t="n">
        <f aca="false">IF(K865=0,0,O865/K865)</f>
        <v>0.555644791188619</v>
      </c>
    </row>
    <row r="866" customFormat="false" ht="15" hidden="false" customHeight="false" outlineLevel="0" collapsed="false">
      <c r="A866" s="39" t="s">
        <v>988</v>
      </c>
      <c r="B866" s="40" t="n">
        <v>45782</v>
      </c>
      <c r="C866" s="39" t="s">
        <v>126</v>
      </c>
      <c r="D866" s="39" t="n">
        <v>3</v>
      </c>
      <c r="E866" s="41" t="n">
        <v>24.16</v>
      </c>
      <c r="F866" s="39" t="s">
        <v>108</v>
      </c>
      <c r="G866" s="39" t="str">
        <f aca="false">VLOOKUP(C866,Products!$A$5:$D$24,2,FALSE())</f>
        <v>Wireless Mouse</v>
      </c>
      <c r="H866" s="39" t="str">
        <f aca="false">VLOOKUP(C866,Products!$A$5:$D$24,3,FALSE())</f>
        <v>Electronics</v>
      </c>
      <c r="I866" s="41" t="n">
        <f aca="false">VLOOKUP(C866,Products!$A$5:$D$24,4,FALSE())</f>
        <v>12</v>
      </c>
      <c r="J866" s="42" t="n">
        <f aca="false">DATE(YEAR(B866),MONTH(B866),1)</f>
        <v>45778</v>
      </c>
      <c r="K866" s="41" t="n">
        <f aca="false">D866*E866</f>
        <v>72.48</v>
      </c>
      <c r="L866" s="41" t="n">
        <f aca="false">D866*I866</f>
        <v>36</v>
      </c>
      <c r="M866" s="41" t="n">
        <f aca="false">IFERROR(INDEX(Raw_Expenses!$C$5:$C$2979,MATCH(A866,Raw_Expenses!$A$5:$A$2979,0)),0)</f>
        <v>5</v>
      </c>
      <c r="N866" s="41" t="n">
        <f aca="false">L866+M866</f>
        <v>41</v>
      </c>
      <c r="O866" s="41" t="n">
        <f aca="false">K866-N866</f>
        <v>31.48</v>
      </c>
      <c r="P866" s="43" t="n">
        <f aca="false">IF(K866=0,0,O866/K866)</f>
        <v>0.434326710816777</v>
      </c>
    </row>
    <row r="867" customFormat="false" ht="15" hidden="false" customHeight="false" outlineLevel="0" collapsed="false">
      <c r="A867" s="39" t="s">
        <v>989</v>
      </c>
      <c r="B867" s="40" t="n">
        <v>45782</v>
      </c>
      <c r="C867" s="39" t="s">
        <v>126</v>
      </c>
      <c r="D867" s="39" t="n">
        <v>8</v>
      </c>
      <c r="E867" s="41" t="n">
        <v>24.22</v>
      </c>
      <c r="F867" s="39" t="s">
        <v>105</v>
      </c>
      <c r="G867" s="39" t="str">
        <f aca="false">VLOOKUP(C867,Products!$A$5:$D$24,2,FALSE())</f>
        <v>Wireless Mouse</v>
      </c>
      <c r="H867" s="39" t="str">
        <f aca="false">VLOOKUP(C867,Products!$A$5:$D$24,3,FALSE())</f>
        <v>Electronics</v>
      </c>
      <c r="I867" s="41" t="n">
        <f aca="false">VLOOKUP(C867,Products!$A$5:$D$24,4,FALSE())</f>
        <v>12</v>
      </c>
      <c r="J867" s="42" t="n">
        <f aca="false">DATE(YEAR(B867),MONTH(B867),1)</f>
        <v>45778</v>
      </c>
      <c r="K867" s="41" t="n">
        <f aca="false">D867*E867</f>
        <v>193.76</v>
      </c>
      <c r="L867" s="41" t="n">
        <f aca="false">D867*I867</f>
        <v>96</v>
      </c>
      <c r="M867" s="41" t="n">
        <f aca="false">IFERROR(INDEX(Raw_Expenses!$C$5:$C$2979,MATCH(A867,Raw_Expenses!$A$5:$A$2979,0)),0)</f>
        <v>7.86</v>
      </c>
      <c r="N867" s="41" t="n">
        <f aca="false">L867+M867</f>
        <v>103.86</v>
      </c>
      <c r="O867" s="41" t="n">
        <f aca="false">K867-N867</f>
        <v>89.9</v>
      </c>
      <c r="P867" s="43" t="n">
        <f aca="false">IF(K867=0,0,O867/K867)</f>
        <v>0.463976052848885</v>
      </c>
    </row>
    <row r="868" customFormat="false" ht="15" hidden="false" customHeight="false" outlineLevel="0" collapsed="false">
      <c r="A868" s="39" t="s">
        <v>990</v>
      </c>
      <c r="B868" s="40" t="n">
        <v>45783</v>
      </c>
      <c r="C868" s="39" t="s">
        <v>139</v>
      </c>
      <c r="D868" s="39" t="n">
        <v>1</v>
      </c>
      <c r="E868" s="41" t="n">
        <v>123.65</v>
      </c>
      <c r="F868" s="39" t="s">
        <v>108</v>
      </c>
      <c r="G868" s="39" t="str">
        <f aca="false">VLOOKUP(C868,Products!$A$5:$D$24,2,FALSE())</f>
        <v>Noise-Cancelling Headphones</v>
      </c>
      <c r="H868" s="39" t="str">
        <f aca="false">VLOOKUP(C868,Products!$A$5:$D$24,3,FALSE())</f>
        <v>Electronics</v>
      </c>
      <c r="I868" s="41" t="n">
        <f aca="false">VLOOKUP(C868,Products!$A$5:$D$24,4,FALSE())</f>
        <v>55</v>
      </c>
      <c r="J868" s="42" t="n">
        <f aca="false">DATE(YEAR(B868),MONTH(B868),1)</f>
        <v>45778</v>
      </c>
      <c r="K868" s="41" t="n">
        <f aca="false">D868*E868</f>
        <v>123.65</v>
      </c>
      <c r="L868" s="41" t="n">
        <f aca="false">D868*I868</f>
        <v>55</v>
      </c>
      <c r="M868" s="41" t="n">
        <f aca="false">IFERROR(INDEX(Raw_Expenses!$C$5:$C$2979,MATCH(A868,Raw_Expenses!$A$5:$A$2979,0)),0)</f>
        <v>5.76</v>
      </c>
      <c r="N868" s="41" t="n">
        <f aca="false">L868+M868</f>
        <v>60.76</v>
      </c>
      <c r="O868" s="41" t="n">
        <f aca="false">K868-N868</f>
        <v>62.89</v>
      </c>
      <c r="P868" s="43" t="n">
        <f aca="false">IF(K868=0,0,O868/K868)</f>
        <v>0.508613020622726</v>
      </c>
    </row>
    <row r="869" customFormat="false" ht="15" hidden="false" customHeight="false" outlineLevel="0" collapsed="false">
      <c r="A869" s="39" t="s">
        <v>991</v>
      </c>
      <c r="B869" s="40" t="n">
        <v>45783</v>
      </c>
      <c r="C869" s="39" t="s">
        <v>114</v>
      </c>
      <c r="D869" s="39" t="n">
        <v>3</v>
      </c>
      <c r="E869" s="41" t="n">
        <v>5.57</v>
      </c>
      <c r="F869" s="39" t="s">
        <v>115</v>
      </c>
      <c r="G869" s="39" t="str">
        <f aca="false">VLOOKUP(C869,Products!$A$5:$D$24,2,FALSE())</f>
        <v>Gel Pen Pack</v>
      </c>
      <c r="H869" s="39" t="str">
        <f aca="false">VLOOKUP(C869,Products!$A$5:$D$24,3,FALSE())</f>
        <v>Stationery</v>
      </c>
      <c r="I869" s="41" t="n">
        <f aca="false">VLOOKUP(C869,Products!$A$5:$D$24,4,FALSE())</f>
        <v>2</v>
      </c>
      <c r="J869" s="42" t="n">
        <f aca="false">DATE(YEAR(B869),MONTH(B869),1)</f>
        <v>45778</v>
      </c>
      <c r="K869" s="41" t="n">
        <f aca="false">D869*E869</f>
        <v>16.71</v>
      </c>
      <c r="L869" s="41" t="n">
        <f aca="false">D869*I869</f>
        <v>6</v>
      </c>
      <c r="M869" s="41" t="n">
        <f aca="false">IFERROR(INDEX(Raw_Expenses!$C$5:$C$2979,MATCH(A869,Raw_Expenses!$A$5:$A$2979,0)),0)</f>
        <v>0.99</v>
      </c>
      <c r="N869" s="41" t="n">
        <f aca="false">L869+M869</f>
        <v>6.99</v>
      </c>
      <c r="O869" s="41" t="n">
        <f aca="false">K869-N869</f>
        <v>9.72</v>
      </c>
      <c r="P869" s="43" t="n">
        <f aca="false">IF(K869=0,0,O869/K869)</f>
        <v>0.581687612208259</v>
      </c>
    </row>
    <row r="870" customFormat="false" ht="15" hidden="false" customHeight="false" outlineLevel="0" collapsed="false">
      <c r="A870" s="39" t="s">
        <v>992</v>
      </c>
      <c r="B870" s="40" t="n">
        <v>45783</v>
      </c>
      <c r="C870" s="39" t="s">
        <v>153</v>
      </c>
      <c r="D870" s="39" t="n">
        <v>2</v>
      </c>
      <c r="E870" s="41" t="n">
        <v>165.2</v>
      </c>
      <c r="F870" s="39" t="s">
        <v>115</v>
      </c>
      <c r="G870" s="39" t="str">
        <f aca="false">VLOOKUP(C870,Products!$A$5:$D$24,2,FALSE())</f>
        <v>24-inch Monitor</v>
      </c>
      <c r="H870" s="39" t="str">
        <f aca="false">VLOOKUP(C870,Products!$A$5:$D$24,3,FALSE())</f>
        <v>Electronics</v>
      </c>
      <c r="I870" s="41" t="n">
        <f aca="false">VLOOKUP(C870,Products!$A$5:$D$24,4,FALSE())</f>
        <v>90</v>
      </c>
      <c r="J870" s="42" t="n">
        <f aca="false">DATE(YEAR(B870),MONTH(B870),1)</f>
        <v>45778</v>
      </c>
      <c r="K870" s="41" t="n">
        <f aca="false">D870*E870</f>
        <v>330.4</v>
      </c>
      <c r="L870" s="41" t="n">
        <f aca="false">D870*I870</f>
        <v>180</v>
      </c>
      <c r="M870" s="41" t="n">
        <f aca="false">IFERROR(INDEX(Raw_Expenses!$C$5:$C$2979,MATCH(A870,Raw_Expenses!$A$5:$A$2979,0)),0)</f>
        <v>16.99</v>
      </c>
      <c r="N870" s="41" t="n">
        <f aca="false">L870+M870</f>
        <v>196.99</v>
      </c>
      <c r="O870" s="41" t="n">
        <f aca="false">K870-N870</f>
        <v>133.41</v>
      </c>
      <c r="P870" s="43" t="n">
        <f aca="false">IF(K870=0,0,O870/K870)</f>
        <v>0.403783292978208</v>
      </c>
    </row>
    <row r="871" customFormat="false" ht="15" hidden="false" customHeight="false" outlineLevel="0" collapsed="false">
      <c r="A871" s="39" t="s">
        <v>993</v>
      </c>
      <c r="B871" s="40" t="n">
        <v>45783</v>
      </c>
      <c r="C871" s="39" t="s">
        <v>139</v>
      </c>
      <c r="D871" s="39" t="n">
        <v>4</v>
      </c>
      <c r="E871" s="41" t="n">
        <v>123.71</v>
      </c>
      <c r="F871" s="39" t="s">
        <v>115</v>
      </c>
      <c r="G871" s="39" t="str">
        <f aca="false">VLOOKUP(C871,Products!$A$5:$D$24,2,FALSE())</f>
        <v>Noise-Cancelling Headphones</v>
      </c>
      <c r="H871" s="39" t="str">
        <f aca="false">VLOOKUP(C871,Products!$A$5:$D$24,3,FALSE())</f>
        <v>Electronics</v>
      </c>
      <c r="I871" s="41" t="n">
        <f aca="false">VLOOKUP(C871,Products!$A$5:$D$24,4,FALSE())</f>
        <v>55</v>
      </c>
      <c r="J871" s="42" t="n">
        <f aca="false">DATE(YEAR(B871),MONTH(B871),1)</f>
        <v>45778</v>
      </c>
      <c r="K871" s="41" t="n">
        <f aca="false">D871*E871</f>
        <v>494.84</v>
      </c>
      <c r="L871" s="41" t="n">
        <f aca="false">D871*I871</f>
        <v>220</v>
      </c>
      <c r="M871" s="41" t="n">
        <f aca="false">IFERROR(INDEX(Raw_Expenses!$C$5:$C$2979,MATCH(A871,Raw_Expenses!$A$5:$A$2979,0)),0)</f>
        <v>30.47</v>
      </c>
      <c r="N871" s="41" t="n">
        <f aca="false">L871+M871</f>
        <v>250.47</v>
      </c>
      <c r="O871" s="41" t="n">
        <f aca="false">K871-N871</f>
        <v>244.37</v>
      </c>
      <c r="P871" s="43" t="n">
        <f aca="false">IF(K871=0,0,O871/K871)</f>
        <v>0.493836391560909</v>
      </c>
    </row>
    <row r="872" customFormat="false" ht="15" hidden="false" customHeight="false" outlineLevel="0" collapsed="false">
      <c r="A872" s="39" t="s">
        <v>994</v>
      </c>
      <c r="B872" s="40" t="n">
        <v>45783</v>
      </c>
      <c r="C872" s="39" t="s">
        <v>112</v>
      </c>
      <c r="D872" s="39" t="n">
        <v>1</v>
      </c>
      <c r="E872" s="41" t="n">
        <v>51.75</v>
      </c>
      <c r="F872" s="39" t="s">
        <v>105</v>
      </c>
      <c r="G872" s="39" t="str">
        <f aca="false">VLOOKUP(C872,Products!$A$5:$D$24,2,FALSE())</f>
        <v>HD Webcam</v>
      </c>
      <c r="H872" s="39" t="str">
        <f aca="false">VLOOKUP(C872,Products!$A$5:$D$24,3,FALSE())</f>
        <v>Electronics</v>
      </c>
      <c r="I872" s="41" t="n">
        <f aca="false">VLOOKUP(C872,Products!$A$5:$D$24,4,FALSE())</f>
        <v>22</v>
      </c>
      <c r="J872" s="42" t="n">
        <f aca="false">DATE(YEAR(B872),MONTH(B872),1)</f>
        <v>45778</v>
      </c>
      <c r="K872" s="41" t="n">
        <f aca="false">D872*E872</f>
        <v>51.75</v>
      </c>
      <c r="L872" s="41" t="n">
        <f aca="false">D872*I872</f>
        <v>22</v>
      </c>
      <c r="M872" s="41" t="n">
        <f aca="false">IFERROR(INDEX(Raw_Expenses!$C$5:$C$2979,MATCH(A872,Raw_Expenses!$A$5:$A$2979,0)),0)</f>
        <v>2.85</v>
      </c>
      <c r="N872" s="41" t="n">
        <f aca="false">L872+M872</f>
        <v>24.85</v>
      </c>
      <c r="O872" s="41" t="n">
        <f aca="false">K872-N872</f>
        <v>26.9</v>
      </c>
      <c r="P872" s="43" t="n">
        <f aca="false">IF(K872=0,0,O872/K872)</f>
        <v>0.519806763285024</v>
      </c>
    </row>
    <row r="873" customFormat="false" ht="15" hidden="false" customHeight="false" outlineLevel="0" collapsed="false">
      <c r="A873" s="39" t="s">
        <v>995</v>
      </c>
      <c r="B873" s="40" t="n">
        <v>45783</v>
      </c>
      <c r="C873" s="39" t="s">
        <v>110</v>
      </c>
      <c r="D873" s="39" t="n">
        <v>4</v>
      </c>
      <c r="E873" s="41" t="n">
        <v>12.89</v>
      </c>
      <c r="F873" s="39" t="s">
        <v>115</v>
      </c>
      <c r="G873" s="39" t="str">
        <f aca="false">VLOOKUP(C873,Products!$A$5:$D$24,2,FALSE())</f>
        <v>Phone Stand</v>
      </c>
      <c r="H873" s="39" t="str">
        <f aca="false">VLOOKUP(C873,Products!$A$5:$D$24,3,FALSE())</f>
        <v>Accessories</v>
      </c>
      <c r="I873" s="41" t="n">
        <f aca="false">VLOOKUP(C873,Products!$A$5:$D$24,4,FALSE())</f>
        <v>4</v>
      </c>
      <c r="J873" s="42" t="n">
        <f aca="false">DATE(YEAR(B873),MONTH(B873),1)</f>
        <v>45778</v>
      </c>
      <c r="K873" s="41" t="n">
        <f aca="false">D873*E873</f>
        <v>51.56</v>
      </c>
      <c r="L873" s="41" t="n">
        <f aca="false">D873*I873</f>
        <v>16</v>
      </c>
      <c r="M873" s="41" t="n">
        <f aca="false">IFERROR(INDEX(Raw_Expenses!$C$5:$C$2979,MATCH(A873,Raw_Expenses!$A$5:$A$2979,0)),0)</f>
        <v>4.5</v>
      </c>
      <c r="N873" s="41" t="n">
        <f aca="false">L873+M873</f>
        <v>20.5</v>
      </c>
      <c r="O873" s="41" t="n">
        <f aca="false">K873-N873</f>
        <v>31.06</v>
      </c>
      <c r="P873" s="43" t="n">
        <f aca="false">IF(K873=0,0,O873/K873)</f>
        <v>0.602404965089217</v>
      </c>
    </row>
    <row r="874" customFormat="false" ht="15" hidden="false" customHeight="false" outlineLevel="0" collapsed="false">
      <c r="A874" s="39" t="s">
        <v>996</v>
      </c>
      <c r="B874" s="40" t="n">
        <v>45783</v>
      </c>
      <c r="C874" s="39" t="s">
        <v>162</v>
      </c>
      <c r="D874" s="39" t="n">
        <v>5</v>
      </c>
      <c r="E874" s="41" t="n">
        <v>64.33</v>
      </c>
      <c r="F874" s="39" t="s">
        <v>105</v>
      </c>
      <c r="G874" s="39" t="str">
        <f aca="false">VLOOKUP(C874,Products!$A$5:$D$24,2,FALSE())</f>
        <v>Bluetooth Speaker</v>
      </c>
      <c r="H874" s="39" t="str">
        <f aca="false">VLOOKUP(C874,Products!$A$5:$D$24,3,FALSE())</f>
        <v>Electronics</v>
      </c>
      <c r="I874" s="41" t="n">
        <f aca="false">VLOOKUP(C874,Products!$A$5:$D$24,4,FALSE())</f>
        <v>28</v>
      </c>
      <c r="J874" s="42" t="n">
        <f aca="false">DATE(YEAR(B874),MONTH(B874),1)</f>
        <v>45778</v>
      </c>
      <c r="K874" s="41" t="n">
        <f aca="false">D874*E874</f>
        <v>321.65</v>
      </c>
      <c r="L874" s="41" t="n">
        <f aca="false">D874*I874</f>
        <v>140</v>
      </c>
      <c r="M874" s="41" t="n">
        <f aca="false">IFERROR(INDEX(Raw_Expenses!$C$5:$C$2979,MATCH(A874,Raw_Expenses!$A$5:$A$2979,0)),0)</f>
        <v>25.5</v>
      </c>
      <c r="N874" s="41" t="n">
        <f aca="false">L874+M874</f>
        <v>165.5</v>
      </c>
      <c r="O874" s="41" t="n">
        <f aca="false">K874-N874</f>
        <v>156.15</v>
      </c>
      <c r="P874" s="43" t="n">
        <f aca="false">IF(K874=0,0,O874/K874)</f>
        <v>0.485465568164154</v>
      </c>
    </row>
    <row r="875" customFormat="false" ht="15" hidden="false" customHeight="false" outlineLevel="0" collapsed="false">
      <c r="A875" s="39" t="s">
        <v>997</v>
      </c>
      <c r="B875" s="40" t="n">
        <v>45784</v>
      </c>
      <c r="C875" s="39" t="s">
        <v>114</v>
      </c>
      <c r="D875" s="39" t="n">
        <v>8</v>
      </c>
      <c r="E875" s="41" t="n">
        <v>5.7</v>
      </c>
      <c r="F875" s="39" t="s">
        <v>115</v>
      </c>
      <c r="G875" s="39" t="str">
        <f aca="false">VLOOKUP(C875,Products!$A$5:$D$24,2,FALSE())</f>
        <v>Gel Pen Pack</v>
      </c>
      <c r="H875" s="39" t="str">
        <f aca="false">VLOOKUP(C875,Products!$A$5:$D$24,3,FALSE())</f>
        <v>Stationery</v>
      </c>
      <c r="I875" s="41" t="n">
        <f aca="false">VLOOKUP(C875,Products!$A$5:$D$24,4,FALSE())</f>
        <v>2</v>
      </c>
      <c r="J875" s="42" t="n">
        <f aca="false">DATE(YEAR(B875),MONTH(B875),1)</f>
        <v>45778</v>
      </c>
      <c r="K875" s="41" t="n">
        <f aca="false">D875*E875</f>
        <v>45.6</v>
      </c>
      <c r="L875" s="41" t="n">
        <f aca="false">D875*I875</f>
        <v>16</v>
      </c>
      <c r="M875" s="41" t="n">
        <f aca="false">IFERROR(INDEX(Raw_Expenses!$C$5:$C$2979,MATCH(A875,Raw_Expenses!$A$5:$A$2979,0)),0)</f>
        <v>1.83</v>
      </c>
      <c r="N875" s="41" t="n">
        <f aca="false">L875+M875</f>
        <v>17.83</v>
      </c>
      <c r="O875" s="41" t="n">
        <f aca="false">K875-N875</f>
        <v>27.77</v>
      </c>
      <c r="P875" s="43" t="n">
        <f aca="false">IF(K875=0,0,O875/K875)</f>
        <v>0.608991228070176</v>
      </c>
    </row>
    <row r="876" customFormat="false" ht="15" hidden="false" customHeight="false" outlineLevel="0" collapsed="false">
      <c r="A876" s="39" t="s">
        <v>998</v>
      </c>
      <c r="B876" s="40" t="n">
        <v>45784</v>
      </c>
      <c r="C876" s="39" t="s">
        <v>110</v>
      </c>
      <c r="D876" s="39" t="n">
        <v>1</v>
      </c>
      <c r="E876" s="41" t="n">
        <v>13.21</v>
      </c>
      <c r="F876" s="39" t="s">
        <v>115</v>
      </c>
      <c r="G876" s="39" t="str">
        <f aca="false">VLOOKUP(C876,Products!$A$5:$D$24,2,FALSE())</f>
        <v>Phone Stand</v>
      </c>
      <c r="H876" s="39" t="str">
        <f aca="false">VLOOKUP(C876,Products!$A$5:$D$24,3,FALSE())</f>
        <v>Accessories</v>
      </c>
      <c r="I876" s="41" t="n">
        <f aca="false">VLOOKUP(C876,Products!$A$5:$D$24,4,FALSE())</f>
        <v>4</v>
      </c>
      <c r="J876" s="42" t="n">
        <f aca="false">DATE(YEAR(B876),MONTH(B876),1)</f>
        <v>45778</v>
      </c>
      <c r="K876" s="41" t="n">
        <f aca="false">D876*E876</f>
        <v>13.21</v>
      </c>
      <c r="L876" s="41" t="n">
        <f aca="false">D876*I876</f>
        <v>4</v>
      </c>
      <c r="M876" s="41" t="n">
        <f aca="false">IFERROR(INDEX(Raw_Expenses!$C$5:$C$2979,MATCH(A876,Raw_Expenses!$A$5:$A$2979,0)),0)</f>
        <v>0.61</v>
      </c>
      <c r="N876" s="41" t="n">
        <f aca="false">L876+M876</f>
        <v>4.61</v>
      </c>
      <c r="O876" s="41" t="n">
        <f aca="false">K876-N876</f>
        <v>8.6</v>
      </c>
      <c r="P876" s="43" t="n">
        <f aca="false">IF(K876=0,0,O876/K876)</f>
        <v>0.651021953065859</v>
      </c>
    </row>
    <row r="877" customFormat="false" ht="15" hidden="false" customHeight="false" outlineLevel="0" collapsed="false">
      <c r="A877" s="39" t="s">
        <v>999</v>
      </c>
      <c r="B877" s="40" t="n">
        <v>45784</v>
      </c>
      <c r="C877" s="39" t="s">
        <v>104</v>
      </c>
      <c r="D877" s="39" t="n">
        <v>3</v>
      </c>
      <c r="E877" s="41" t="n">
        <v>15.27</v>
      </c>
      <c r="F877" s="39" t="s">
        <v>118</v>
      </c>
      <c r="G877" s="39" t="str">
        <f aca="false">VLOOKUP(C877,Products!$A$5:$D$24,2,FALSE())</f>
        <v>Water Bottle</v>
      </c>
      <c r="H877" s="39" t="str">
        <f aca="false">VLOOKUP(C877,Products!$A$5:$D$24,3,FALSE())</f>
        <v>Accessories</v>
      </c>
      <c r="I877" s="41" t="n">
        <f aca="false">VLOOKUP(C877,Products!$A$5:$D$24,4,FALSE())</f>
        <v>5</v>
      </c>
      <c r="J877" s="42" t="n">
        <f aca="false">DATE(YEAR(B877),MONTH(B877),1)</f>
        <v>45778</v>
      </c>
      <c r="K877" s="41" t="n">
        <f aca="false">D877*E877</f>
        <v>45.81</v>
      </c>
      <c r="L877" s="41" t="n">
        <f aca="false">D877*I877</f>
        <v>15</v>
      </c>
      <c r="M877" s="41" t="n">
        <f aca="false">IFERROR(INDEX(Raw_Expenses!$C$5:$C$2979,MATCH(A877,Raw_Expenses!$A$5:$A$2979,0)),0)</f>
        <v>2.99</v>
      </c>
      <c r="N877" s="41" t="n">
        <f aca="false">L877+M877</f>
        <v>17.99</v>
      </c>
      <c r="O877" s="41" t="n">
        <f aca="false">K877-N877</f>
        <v>27.82</v>
      </c>
      <c r="P877" s="43" t="n">
        <f aca="false">IF(K877=0,0,O877/K877)</f>
        <v>0.607290984501201</v>
      </c>
    </row>
    <row r="878" customFormat="false" ht="15" hidden="false" customHeight="false" outlineLevel="0" collapsed="false">
      <c r="A878" s="39" t="s">
        <v>1000</v>
      </c>
      <c r="B878" s="40" t="n">
        <v>45784</v>
      </c>
      <c r="C878" s="39" t="s">
        <v>153</v>
      </c>
      <c r="D878" s="39" t="n">
        <v>1</v>
      </c>
      <c r="E878" s="41" t="n">
        <v>175.88</v>
      </c>
      <c r="F878" s="39" t="s">
        <v>115</v>
      </c>
      <c r="G878" s="39" t="str">
        <f aca="false">VLOOKUP(C878,Products!$A$5:$D$24,2,FALSE())</f>
        <v>24-inch Monitor</v>
      </c>
      <c r="H878" s="39" t="str">
        <f aca="false">VLOOKUP(C878,Products!$A$5:$D$24,3,FALSE())</f>
        <v>Electronics</v>
      </c>
      <c r="I878" s="41" t="n">
        <f aca="false">VLOOKUP(C878,Products!$A$5:$D$24,4,FALSE())</f>
        <v>90</v>
      </c>
      <c r="J878" s="42" t="n">
        <f aca="false">DATE(YEAR(B878),MONTH(B878),1)</f>
        <v>45778</v>
      </c>
      <c r="K878" s="41" t="n">
        <f aca="false">D878*E878</f>
        <v>175.88</v>
      </c>
      <c r="L878" s="41" t="n">
        <f aca="false">D878*I878</f>
        <v>90</v>
      </c>
      <c r="M878" s="41" t="n">
        <f aca="false">IFERROR(INDEX(Raw_Expenses!$C$5:$C$2979,MATCH(A878,Raw_Expenses!$A$5:$A$2979,0)),0)</f>
        <v>11.14</v>
      </c>
      <c r="N878" s="41" t="n">
        <f aca="false">L878+M878</f>
        <v>101.14</v>
      </c>
      <c r="O878" s="41" t="n">
        <f aca="false">K878-N878</f>
        <v>74.74</v>
      </c>
      <c r="P878" s="43" t="n">
        <f aca="false">IF(K878=0,0,O878/K878)</f>
        <v>0.424948828746873</v>
      </c>
    </row>
    <row r="879" customFormat="false" ht="15" hidden="false" customHeight="false" outlineLevel="0" collapsed="false">
      <c r="A879" s="39" t="s">
        <v>1001</v>
      </c>
      <c r="B879" s="40" t="n">
        <v>45784</v>
      </c>
      <c r="C879" s="39" t="s">
        <v>126</v>
      </c>
      <c r="D879" s="39" t="n">
        <v>1</v>
      </c>
      <c r="E879" s="41" t="n">
        <v>24.11</v>
      </c>
      <c r="F879" s="39" t="s">
        <v>118</v>
      </c>
      <c r="G879" s="39" t="str">
        <f aca="false">VLOOKUP(C879,Products!$A$5:$D$24,2,FALSE())</f>
        <v>Wireless Mouse</v>
      </c>
      <c r="H879" s="39" t="str">
        <f aca="false">VLOOKUP(C879,Products!$A$5:$D$24,3,FALSE())</f>
        <v>Electronics</v>
      </c>
      <c r="I879" s="41" t="n">
        <f aca="false">VLOOKUP(C879,Products!$A$5:$D$24,4,FALSE())</f>
        <v>12</v>
      </c>
      <c r="J879" s="42" t="n">
        <f aca="false">DATE(YEAR(B879),MONTH(B879),1)</f>
        <v>45778</v>
      </c>
      <c r="K879" s="41" t="n">
        <f aca="false">D879*E879</f>
        <v>24.11</v>
      </c>
      <c r="L879" s="41" t="n">
        <f aca="false">D879*I879</f>
        <v>12</v>
      </c>
      <c r="M879" s="41" t="n">
        <f aca="false">IFERROR(INDEX(Raw_Expenses!$C$5:$C$2979,MATCH(A879,Raw_Expenses!$A$5:$A$2979,0)),0)</f>
        <v>2.04</v>
      </c>
      <c r="N879" s="41" t="n">
        <f aca="false">L879+M879</f>
        <v>14.04</v>
      </c>
      <c r="O879" s="41" t="n">
        <f aca="false">K879-N879</f>
        <v>10.07</v>
      </c>
      <c r="P879" s="43" t="n">
        <f aca="false">IF(K879=0,0,O879/K879)</f>
        <v>0.417669017005392</v>
      </c>
    </row>
    <row r="880" customFormat="false" ht="15" hidden="false" customHeight="false" outlineLevel="0" collapsed="false">
      <c r="A880" s="39" t="s">
        <v>1002</v>
      </c>
      <c r="B880" s="40" t="n">
        <v>45784</v>
      </c>
      <c r="C880" s="39" t="s">
        <v>305</v>
      </c>
      <c r="D880" s="39" t="n">
        <v>1</v>
      </c>
      <c r="E880" s="41" t="n">
        <v>321.79</v>
      </c>
      <c r="F880" s="39" t="s">
        <v>115</v>
      </c>
      <c r="G880" s="39" t="str">
        <f aca="false">VLOOKUP(C880,Products!$A$5:$D$24,2,FALSE())</f>
        <v>Standing Desk</v>
      </c>
      <c r="H880" s="39" t="str">
        <f aca="false">VLOOKUP(C880,Products!$A$5:$D$24,3,FALSE())</f>
        <v>Furniture</v>
      </c>
      <c r="I880" s="41" t="n">
        <f aca="false">VLOOKUP(C880,Products!$A$5:$D$24,4,FALSE())</f>
        <v>160</v>
      </c>
      <c r="J880" s="42" t="n">
        <f aca="false">DATE(YEAR(B880),MONTH(B880),1)</f>
        <v>45778</v>
      </c>
      <c r="K880" s="41" t="n">
        <f aca="false">D880*E880</f>
        <v>321.79</v>
      </c>
      <c r="L880" s="41" t="n">
        <f aca="false">D880*I880</f>
        <v>160</v>
      </c>
      <c r="M880" s="41" t="n">
        <f aca="false">IFERROR(INDEX(Raw_Expenses!$C$5:$C$2979,MATCH(A880,Raw_Expenses!$A$5:$A$2979,0)),0)</f>
        <v>15.46</v>
      </c>
      <c r="N880" s="41" t="n">
        <f aca="false">L880+M880</f>
        <v>175.46</v>
      </c>
      <c r="O880" s="41" t="n">
        <f aca="false">K880-N880</f>
        <v>146.33</v>
      </c>
      <c r="P880" s="43" t="n">
        <f aca="false">IF(K880=0,0,O880/K880)</f>
        <v>0.454737561763883</v>
      </c>
    </row>
    <row r="881" customFormat="false" ht="15" hidden="false" customHeight="false" outlineLevel="0" collapsed="false">
      <c r="A881" s="39" t="s">
        <v>1003</v>
      </c>
      <c r="B881" s="40" t="n">
        <v>45784</v>
      </c>
      <c r="C881" s="39" t="s">
        <v>183</v>
      </c>
      <c r="D881" s="39" t="n">
        <v>1</v>
      </c>
      <c r="E881" s="41" t="n">
        <v>174.81</v>
      </c>
      <c r="F881" s="39" t="s">
        <v>105</v>
      </c>
      <c r="G881" s="39" t="str">
        <f aca="false">VLOOKUP(C881,Products!$A$5:$D$24,2,FALSE())</f>
        <v>Office Chair</v>
      </c>
      <c r="H881" s="39" t="str">
        <f aca="false">VLOOKUP(C881,Products!$A$5:$D$24,3,FALSE())</f>
        <v>Furniture</v>
      </c>
      <c r="I881" s="41" t="n">
        <f aca="false">VLOOKUP(C881,Products!$A$5:$D$24,4,FALSE())</f>
        <v>85</v>
      </c>
      <c r="J881" s="42" t="n">
        <f aca="false">DATE(YEAR(B881),MONTH(B881),1)</f>
        <v>45778</v>
      </c>
      <c r="K881" s="41" t="n">
        <f aca="false">D881*E881</f>
        <v>174.81</v>
      </c>
      <c r="L881" s="41" t="n">
        <f aca="false">D881*I881</f>
        <v>85</v>
      </c>
      <c r="M881" s="41" t="n">
        <f aca="false">IFERROR(INDEX(Raw_Expenses!$C$5:$C$2979,MATCH(A881,Raw_Expenses!$A$5:$A$2979,0)),0)</f>
        <v>7.89</v>
      </c>
      <c r="N881" s="41" t="n">
        <f aca="false">L881+M881</f>
        <v>92.89</v>
      </c>
      <c r="O881" s="41" t="n">
        <f aca="false">K881-N881</f>
        <v>81.92</v>
      </c>
      <c r="P881" s="43" t="n">
        <f aca="false">IF(K881=0,0,O881/K881)</f>
        <v>0.468623076483039</v>
      </c>
    </row>
    <row r="882" customFormat="false" ht="15" hidden="false" customHeight="false" outlineLevel="0" collapsed="false">
      <c r="A882" s="39" t="s">
        <v>1004</v>
      </c>
      <c r="B882" s="40" t="n">
        <v>45784</v>
      </c>
      <c r="C882" s="39" t="s">
        <v>183</v>
      </c>
      <c r="D882" s="39" t="n">
        <v>5</v>
      </c>
      <c r="E882" s="41" t="n">
        <v>182.61</v>
      </c>
      <c r="F882" s="39" t="s">
        <v>105</v>
      </c>
      <c r="G882" s="39" t="str">
        <f aca="false">VLOOKUP(C882,Products!$A$5:$D$24,2,FALSE())</f>
        <v>Office Chair</v>
      </c>
      <c r="H882" s="39" t="str">
        <f aca="false">VLOOKUP(C882,Products!$A$5:$D$24,3,FALSE())</f>
        <v>Furniture</v>
      </c>
      <c r="I882" s="41" t="n">
        <f aca="false">VLOOKUP(C882,Products!$A$5:$D$24,4,FALSE())</f>
        <v>85</v>
      </c>
      <c r="J882" s="42" t="n">
        <f aca="false">DATE(YEAR(B882),MONTH(B882),1)</f>
        <v>45778</v>
      </c>
      <c r="K882" s="41" t="n">
        <f aca="false">D882*E882</f>
        <v>913.05</v>
      </c>
      <c r="L882" s="41" t="n">
        <f aca="false">D882*I882</f>
        <v>425</v>
      </c>
      <c r="M882" s="41" t="n">
        <f aca="false">IFERROR(INDEX(Raw_Expenses!$C$5:$C$2979,MATCH(A882,Raw_Expenses!$A$5:$A$2979,0)),0)</f>
        <v>40.03</v>
      </c>
      <c r="N882" s="41" t="n">
        <f aca="false">L882+M882</f>
        <v>465.03</v>
      </c>
      <c r="O882" s="41" t="n">
        <f aca="false">K882-N882</f>
        <v>448.02</v>
      </c>
      <c r="P882" s="43" t="n">
        <f aca="false">IF(K882=0,0,O882/K882)</f>
        <v>0.490685066535239</v>
      </c>
    </row>
    <row r="883" customFormat="false" ht="15" hidden="false" customHeight="false" outlineLevel="0" collapsed="false">
      <c r="A883" s="39" t="s">
        <v>1005</v>
      </c>
      <c r="B883" s="40" t="n">
        <v>45785</v>
      </c>
      <c r="C883" s="39" t="s">
        <v>153</v>
      </c>
      <c r="D883" s="39" t="n">
        <v>2</v>
      </c>
      <c r="E883" s="41" t="n">
        <v>175.1</v>
      </c>
      <c r="F883" s="39" t="s">
        <v>105</v>
      </c>
      <c r="G883" s="39" t="str">
        <f aca="false">VLOOKUP(C883,Products!$A$5:$D$24,2,FALSE())</f>
        <v>24-inch Monitor</v>
      </c>
      <c r="H883" s="39" t="str">
        <f aca="false">VLOOKUP(C883,Products!$A$5:$D$24,3,FALSE())</f>
        <v>Electronics</v>
      </c>
      <c r="I883" s="41" t="n">
        <f aca="false">VLOOKUP(C883,Products!$A$5:$D$24,4,FALSE())</f>
        <v>90</v>
      </c>
      <c r="J883" s="42" t="n">
        <f aca="false">DATE(YEAR(B883),MONTH(B883),1)</f>
        <v>45778</v>
      </c>
      <c r="K883" s="41" t="n">
        <f aca="false">D883*E883</f>
        <v>350.2</v>
      </c>
      <c r="L883" s="41" t="n">
        <f aca="false">D883*I883</f>
        <v>180</v>
      </c>
      <c r="M883" s="41" t="n">
        <f aca="false">IFERROR(INDEX(Raw_Expenses!$C$5:$C$2979,MATCH(A883,Raw_Expenses!$A$5:$A$2979,0)),0)</f>
        <v>24.2</v>
      </c>
      <c r="N883" s="41" t="n">
        <f aca="false">L883+M883</f>
        <v>204.2</v>
      </c>
      <c r="O883" s="41" t="n">
        <f aca="false">K883-N883</f>
        <v>146</v>
      </c>
      <c r="P883" s="43" t="n">
        <f aca="false">IF(K883=0,0,O883/K883)</f>
        <v>0.416904625928041</v>
      </c>
    </row>
    <row r="884" customFormat="false" ht="15" hidden="false" customHeight="false" outlineLevel="0" collapsed="false">
      <c r="A884" s="39" t="s">
        <v>1006</v>
      </c>
      <c r="B884" s="40" t="n">
        <v>45785</v>
      </c>
      <c r="C884" s="39" t="s">
        <v>183</v>
      </c>
      <c r="D884" s="39" t="n">
        <v>6</v>
      </c>
      <c r="E884" s="41" t="n">
        <v>183.22</v>
      </c>
      <c r="F884" s="39" t="s">
        <v>108</v>
      </c>
      <c r="G884" s="39" t="str">
        <f aca="false">VLOOKUP(C884,Products!$A$5:$D$24,2,FALSE())</f>
        <v>Office Chair</v>
      </c>
      <c r="H884" s="39" t="str">
        <f aca="false">VLOOKUP(C884,Products!$A$5:$D$24,3,FALSE())</f>
        <v>Furniture</v>
      </c>
      <c r="I884" s="41" t="n">
        <f aca="false">VLOOKUP(C884,Products!$A$5:$D$24,4,FALSE())</f>
        <v>85</v>
      </c>
      <c r="J884" s="42" t="n">
        <f aca="false">DATE(YEAR(B884),MONTH(B884),1)</f>
        <v>45778</v>
      </c>
      <c r="K884" s="41" t="n">
        <f aca="false">D884*E884</f>
        <v>1099.32</v>
      </c>
      <c r="L884" s="41" t="n">
        <f aca="false">D884*I884</f>
        <v>510</v>
      </c>
      <c r="M884" s="41" t="n">
        <f aca="false">IFERROR(INDEX(Raw_Expenses!$C$5:$C$2979,MATCH(A884,Raw_Expenses!$A$5:$A$2979,0)),0)</f>
        <v>68.64</v>
      </c>
      <c r="N884" s="41" t="n">
        <f aca="false">L884+M884</f>
        <v>578.64</v>
      </c>
      <c r="O884" s="41" t="n">
        <f aca="false">K884-N884</f>
        <v>520.68</v>
      </c>
      <c r="P884" s="43" t="n">
        <f aca="false">IF(K884=0,0,O884/K884)</f>
        <v>0.473638249099443</v>
      </c>
    </row>
    <row r="885" customFormat="false" ht="15" hidden="false" customHeight="false" outlineLevel="0" collapsed="false">
      <c r="A885" s="39" t="s">
        <v>1007</v>
      </c>
      <c r="B885" s="40" t="n">
        <v>45785</v>
      </c>
      <c r="C885" s="39" t="s">
        <v>133</v>
      </c>
      <c r="D885" s="39" t="n">
        <v>2</v>
      </c>
      <c r="E885" s="41" t="n">
        <v>8.39</v>
      </c>
      <c r="F885" s="39" t="s">
        <v>105</v>
      </c>
      <c r="G885" s="39" t="str">
        <f aca="false">VLOOKUP(C885,Products!$A$5:$D$24,2,FALSE())</f>
        <v>Printer Paper Ream</v>
      </c>
      <c r="H885" s="39" t="str">
        <f aca="false">VLOOKUP(C885,Products!$A$5:$D$24,3,FALSE())</f>
        <v>Stationery</v>
      </c>
      <c r="I885" s="41" t="n">
        <f aca="false">VLOOKUP(C885,Products!$A$5:$D$24,4,FALSE())</f>
        <v>4</v>
      </c>
      <c r="J885" s="42" t="n">
        <f aca="false">DATE(YEAR(B885),MONTH(B885),1)</f>
        <v>45778</v>
      </c>
      <c r="K885" s="41" t="n">
        <f aca="false">D885*E885</f>
        <v>16.78</v>
      </c>
      <c r="L885" s="41" t="n">
        <f aca="false">D885*I885</f>
        <v>8</v>
      </c>
      <c r="M885" s="41" t="n">
        <f aca="false">IFERROR(INDEX(Raw_Expenses!$C$5:$C$2979,MATCH(A885,Raw_Expenses!$A$5:$A$2979,0)),0)</f>
        <v>1.19</v>
      </c>
      <c r="N885" s="41" t="n">
        <f aca="false">L885+M885</f>
        <v>9.19</v>
      </c>
      <c r="O885" s="41" t="n">
        <f aca="false">K885-N885</f>
        <v>7.59</v>
      </c>
      <c r="P885" s="43" t="n">
        <f aca="false">IF(K885=0,0,O885/K885)</f>
        <v>0.452324195470799</v>
      </c>
    </row>
    <row r="886" customFormat="false" ht="15" hidden="false" customHeight="false" outlineLevel="0" collapsed="false">
      <c r="A886" s="39" t="s">
        <v>1008</v>
      </c>
      <c r="B886" s="40" t="n">
        <v>45785</v>
      </c>
      <c r="C886" s="39" t="s">
        <v>104</v>
      </c>
      <c r="D886" s="39" t="n">
        <v>2</v>
      </c>
      <c r="E886" s="41" t="n">
        <v>15.11</v>
      </c>
      <c r="F886" s="39" t="s">
        <v>105</v>
      </c>
      <c r="G886" s="39" t="str">
        <f aca="false">VLOOKUP(C886,Products!$A$5:$D$24,2,FALSE())</f>
        <v>Water Bottle</v>
      </c>
      <c r="H886" s="39" t="str">
        <f aca="false">VLOOKUP(C886,Products!$A$5:$D$24,3,FALSE())</f>
        <v>Accessories</v>
      </c>
      <c r="I886" s="41" t="n">
        <f aca="false">VLOOKUP(C886,Products!$A$5:$D$24,4,FALSE())</f>
        <v>5</v>
      </c>
      <c r="J886" s="42" t="n">
        <f aca="false">DATE(YEAR(B886),MONTH(B886),1)</f>
        <v>45778</v>
      </c>
      <c r="K886" s="41" t="n">
        <f aca="false">D886*E886</f>
        <v>30.22</v>
      </c>
      <c r="L886" s="41" t="n">
        <f aca="false">D886*I886</f>
        <v>10</v>
      </c>
      <c r="M886" s="41" t="n">
        <f aca="false">IFERROR(INDEX(Raw_Expenses!$C$5:$C$2979,MATCH(A886,Raw_Expenses!$A$5:$A$2979,0)),0)</f>
        <v>1.61</v>
      </c>
      <c r="N886" s="41" t="n">
        <f aca="false">L886+M886</f>
        <v>11.61</v>
      </c>
      <c r="O886" s="41" t="n">
        <f aca="false">K886-N886</f>
        <v>18.61</v>
      </c>
      <c r="P886" s="43" t="n">
        <f aca="false">IF(K886=0,0,O886/K886)</f>
        <v>0.615817339510258</v>
      </c>
    </row>
    <row r="887" customFormat="false" ht="15" hidden="false" customHeight="false" outlineLevel="0" collapsed="false">
      <c r="A887" s="39" t="s">
        <v>1009</v>
      </c>
      <c r="B887" s="40" t="n">
        <v>45785</v>
      </c>
      <c r="C887" s="39" t="s">
        <v>128</v>
      </c>
      <c r="D887" s="39" t="n">
        <v>6</v>
      </c>
      <c r="E887" s="41" t="n">
        <v>37.77</v>
      </c>
      <c r="F887" s="39" t="s">
        <v>105</v>
      </c>
      <c r="G887" s="39" t="str">
        <f aca="false">VLOOKUP(C887,Products!$A$5:$D$24,2,FALSE())</f>
        <v>Ergonomic Footrest</v>
      </c>
      <c r="H887" s="39" t="str">
        <f aca="false">VLOOKUP(C887,Products!$A$5:$D$24,3,FALSE())</f>
        <v>Furniture</v>
      </c>
      <c r="I887" s="41" t="n">
        <f aca="false">VLOOKUP(C887,Products!$A$5:$D$24,4,FALSE())</f>
        <v>15</v>
      </c>
      <c r="J887" s="42" t="n">
        <f aca="false">DATE(YEAR(B887),MONTH(B887),1)</f>
        <v>45778</v>
      </c>
      <c r="K887" s="41" t="n">
        <f aca="false">D887*E887</f>
        <v>226.62</v>
      </c>
      <c r="L887" s="41" t="n">
        <f aca="false">D887*I887</f>
        <v>90</v>
      </c>
      <c r="M887" s="41" t="n">
        <f aca="false">IFERROR(INDEX(Raw_Expenses!$C$5:$C$2979,MATCH(A887,Raw_Expenses!$A$5:$A$2979,0)),0)</f>
        <v>13.86</v>
      </c>
      <c r="N887" s="41" t="n">
        <f aca="false">L887+M887</f>
        <v>103.86</v>
      </c>
      <c r="O887" s="41" t="n">
        <f aca="false">K887-N887</f>
        <v>122.76</v>
      </c>
      <c r="P887" s="43" t="n">
        <f aca="false">IF(K887=0,0,O887/K887)</f>
        <v>0.541699761715647</v>
      </c>
    </row>
    <row r="888" customFormat="false" ht="15" hidden="false" customHeight="false" outlineLevel="0" collapsed="false">
      <c r="A888" s="39" t="s">
        <v>1010</v>
      </c>
      <c r="B888" s="40" t="n">
        <v>45785</v>
      </c>
      <c r="C888" s="39" t="s">
        <v>112</v>
      </c>
      <c r="D888" s="39" t="n">
        <v>4</v>
      </c>
      <c r="E888" s="41" t="n">
        <v>51.02</v>
      </c>
      <c r="F888" s="39" t="s">
        <v>118</v>
      </c>
      <c r="G888" s="39" t="str">
        <f aca="false">VLOOKUP(C888,Products!$A$5:$D$24,2,FALSE())</f>
        <v>HD Webcam</v>
      </c>
      <c r="H888" s="39" t="str">
        <f aca="false">VLOOKUP(C888,Products!$A$5:$D$24,3,FALSE())</f>
        <v>Electronics</v>
      </c>
      <c r="I888" s="41" t="n">
        <f aca="false">VLOOKUP(C888,Products!$A$5:$D$24,4,FALSE())</f>
        <v>22</v>
      </c>
      <c r="J888" s="42" t="n">
        <f aca="false">DATE(YEAR(B888),MONTH(B888),1)</f>
        <v>45778</v>
      </c>
      <c r="K888" s="41" t="n">
        <f aca="false">D888*E888</f>
        <v>204.08</v>
      </c>
      <c r="L888" s="41" t="n">
        <f aca="false">D888*I888</f>
        <v>88</v>
      </c>
      <c r="M888" s="41" t="n">
        <f aca="false">IFERROR(INDEX(Raw_Expenses!$C$5:$C$2979,MATCH(A888,Raw_Expenses!$A$5:$A$2979,0)),0)</f>
        <v>17.6</v>
      </c>
      <c r="N888" s="41" t="n">
        <f aca="false">L888+M888</f>
        <v>105.6</v>
      </c>
      <c r="O888" s="41" t="n">
        <f aca="false">K888-N888</f>
        <v>98.48</v>
      </c>
      <c r="P888" s="43" t="n">
        <f aca="false">IF(K888=0,0,O888/K888)</f>
        <v>0.482555860446884</v>
      </c>
    </row>
    <row r="889" customFormat="false" ht="15" hidden="false" customHeight="false" outlineLevel="0" collapsed="false">
      <c r="A889" s="39" t="s">
        <v>1011</v>
      </c>
      <c r="B889" s="40" t="n">
        <v>45785</v>
      </c>
      <c r="C889" s="39" t="s">
        <v>183</v>
      </c>
      <c r="D889" s="39" t="n">
        <v>2</v>
      </c>
      <c r="E889" s="41" t="n">
        <v>186.1</v>
      </c>
      <c r="F889" s="39" t="s">
        <v>115</v>
      </c>
      <c r="G889" s="39" t="str">
        <f aca="false">VLOOKUP(C889,Products!$A$5:$D$24,2,FALSE())</f>
        <v>Office Chair</v>
      </c>
      <c r="H889" s="39" t="str">
        <f aca="false">VLOOKUP(C889,Products!$A$5:$D$24,3,FALSE())</f>
        <v>Furniture</v>
      </c>
      <c r="I889" s="41" t="n">
        <f aca="false">VLOOKUP(C889,Products!$A$5:$D$24,4,FALSE())</f>
        <v>85</v>
      </c>
      <c r="J889" s="42" t="n">
        <f aca="false">DATE(YEAR(B889),MONTH(B889),1)</f>
        <v>45778</v>
      </c>
      <c r="K889" s="41" t="n">
        <f aca="false">D889*E889</f>
        <v>372.2</v>
      </c>
      <c r="L889" s="41" t="n">
        <f aca="false">D889*I889</f>
        <v>170</v>
      </c>
      <c r="M889" s="41" t="n">
        <f aca="false">IFERROR(INDEX(Raw_Expenses!$C$5:$C$2979,MATCH(A889,Raw_Expenses!$A$5:$A$2979,0)),0)</f>
        <v>24.58</v>
      </c>
      <c r="N889" s="41" t="n">
        <f aca="false">L889+M889</f>
        <v>194.58</v>
      </c>
      <c r="O889" s="41" t="n">
        <f aca="false">K889-N889</f>
        <v>177.62</v>
      </c>
      <c r="P889" s="43" t="n">
        <f aca="false">IF(K889=0,0,O889/K889)</f>
        <v>0.477216550241806</v>
      </c>
    </row>
    <row r="890" customFormat="false" ht="15" hidden="false" customHeight="false" outlineLevel="0" collapsed="false">
      <c r="A890" s="39" t="s">
        <v>1012</v>
      </c>
      <c r="B890" s="40" t="n">
        <v>45786</v>
      </c>
      <c r="C890" s="39" t="s">
        <v>117</v>
      </c>
      <c r="D890" s="39" t="n">
        <v>6</v>
      </c>
      <c r="E890" s="41" t="n">
        <v>29.9</v>
      </c>
      <c r="F890" s="39" t="s">
        <v>108</v>
      </c>
      <c r="G890" s="39" t="str">
        <f aca="false">VLOOKUP(C890,Products!$A$5:$D$24,2,FALSE())</f>
        <v>Desk Lamp</v>
      </c>
      <c r="H890" s="39" t="str">
        <f aca="false">VLOOKUP(C890,Products!$A$5:$D$24,3,FALSE())</f>
        <v>Furniture</v>
      </c>
      <c r="I890" s="41" t="n">
        <f aca="false">VLOOKUP(C890,Products!$A$5:$D$24,4,FALSE())</f>
        <v>13</v>
      </c>
      <c r="J890" s="42" t="n">
        <f aca="false">DATE(YEAR(B890),MONTH(B890),1)</f>
        <v>45778</v>
      </c>
      <c r="K890" s="41" t="n">
        <f aca="false">D890*E890</f>
        <v>179.4</v>
      </c>
      <c r="L890" s="41" t="n">
        <f aca="false">D890*I890</f>
        <v>78</v>
      </c>
      <c r="M890" s="41" t="n">
        <f aca="false">IFERROR(INDEX(Raw_Expenses!$C$5:$C$2979,MATCH(A890,Raw_Expenses!$A$5:$A$2979,0)),0)</f>
        <v>15.05</v>
      </c>
      <c r="N890" s="41" t="n">
        <f aca="false">L890+M890</f>
        <v>93.05</v>
      </c>
      <c r="O890" s="41" t="n">
        <f aca="false">K890-N890</f>
        <v>86.35</v>
      </c>
      <c r="P890" s="43" t="n">
        <f aca="false">IF(K890=0,0,O890/K890)</f>
        <v>0.481326644370123</v>
      </c>
    </row>
    <row r="891" customFormat="false" ht="15" hidden="false" customHeight="false" outlineLevel="0" collapsed="false">
      <c r="A891" s="39" t="s">
        <v>1013</v>
      </c>
      <c r="B891" s="40" t="n">
        <v>45786</v>
      </c>
      <c r="C891" s="39" t="s">
        <v>153</v>
      </c>
      <c r="D891" s="39" t="n">
        <v>2</v>
      </c>
      <c r="E891" s="41" t="n">
        <v>165.32</v>
      </c>
      <c r="F891" s="39" t="s">
        <v>108</v>
      </c>
      <c r="G891" s="39" t="str">
        <f aca="false">VLOOKUP(C891,Products!$A$5:$D$24,2,FALSE())</f>
        <v>24-inch Monitor</v>
      </c>
      <c r="H891" s="39" t="str">
        <f aca="false">VLOOKUP(C891,Products!$A$5:$D$24,3,FALSE())</f>
        <v>Electronics</v>
      </c>
      <c r="I891" s="41" t="n">
        <f aca="false">VLOOKUP(C891,Products!$A$5:$D$24,4,FALSE())</f>
        <v>90</v>
      </c>
      <c r="J891" s="42" t="n">
        <f aca="false">DATE(YEAR(B891),MONTH(B891),1)</f>
        <v>45778</v>
      </c>
      <c r="K891" s="41" t="n">
        <f aca="false">D891*E891</f>
        <v>330.64</v>
      </c>
      <c r="L891" s="41" t="n">
        <f aca="false">D891*I891</f>
        <v>180</v>
      </c>
      <c r="M891" s="41" t="n">
        <f aca="false">IFERROR(INDEX(Raw_Expenses!$C$5:$C$2979,MATCH(A891,Raw_Expenses!$A$5:$A$2979,0)),0)</f>
        <v>13.42</v>
      </c>
      <c r="N891" s="41" t="n">
        <f aca="false">L891+M891</f>
        <v>193.42</v>
      </c>
      <c r="O891" s="41" t="n">
        <f aca="false">K891-N891</f>
        <v>137.22</v>
      </c>
      <c r="P891" s="43" t="n">
        <f aca="false">IF(K891=0,0,O891/K891)</f>
        <v>0.4150133075248</v>
      </c>
    </row>
    <row r="892" customFormat="false" ht="15" hidden="false" customHeight="false" outlineLevel="0" collapsed="false">
      <c r="A892" s="39" t="s">
        <v>1014</v>
      </c>
      <c r="B892" s="40" t="n">
        <v>45786</v>
      </c>
      <c r="C892" s="39" t="s">
        <v>130</v>
      </c>
      <c r="D892" s="39" t="n">
        <v>1</v>
      </c>
      <c r="E892" s="41" t="n">
        <v>8.37</v>
      </c>
      <c r="F892" s="39" t="s">
        <v>118</v>
      </c>
      <c r="G892" s="39" t="str">
        <f aca="false">VLOOKUP(C892,Products!$A$5:$D$24,2,FALSE())</f>
        <v>Notebook Set</v>
      </c>
      <c r="H892" s="39" t="str">
        <f aca="false">VLOOKUP(C892,Products!$A$5:$D$24,3,FALSE())</f>
        <v>Stationery</v>
      </c>
      <c r="I892" s="41" t="n">
        <f aca="false">VLOOKUP(C892,Products!$A$5:$D$24,4,FALSE())</f>
        <v>3</v>
      </c>
      <c r="J892" s="42" t="n">
        <f aca="false">DATE(YEAR(B892),MONTH(B892),1)</f>
        <v>45778</v>
      </c>
      <c r="K892" s="41" t="n">
        <f aca="false">D892*E892</f>
        <v>8.37</v>
      </c>
      <c r="L892" s="41" t="n">
        <f aca="false">D892*I892</f>
        <v>3</v>
      </c>
      <c r="M892" s="41" t="n">
        <f aca="false">IFERROR(INDEX(Raw_Expenses!$C$5:$C$2979,MATCH(A892,Raw_Expenses!$A$5:$A$2979,0)),0)</f>
        <v>0.73</v>
      </c>
      <c r="N892" s="41" t="n">
        <f aca="false">L892+M892</f>
        <v>3.73</v>
      </c>
      <c r="O892" s="41" t="n">
        <f aca="false">K892-N892</f>
        <v>4.64</v>
      </c>
      <c r="P892" s="43" t="n">
        <f aca="false">IF(K892=0,0,O892/K892)</f>
        <v>0.554360812425328</v>
      </c>
    </row>
    <row r="893" customFormat="false" ht="15" hidden="false" customHeight="false" outlineLevel="0" collapsed="false">
      <c r="A893" s="39" t="s">
        <v>1015</v>
      </c>
      <c r="B893" s="40" t="n">
        <v>45786</v>
      </c>
      <c r="C893" s="39" t="s">
        <v>121</v>
      </c>
      <c r="D893" s="39" t="n">
        <v>3</v>
      </c>
      <c r="E893" s="41" t="n">
        <v>116.23</v>
      </c>
      <c r="F893" s="39" t="s">
        <v>108</v>
      </c>
      <c r="G893" s="39" t="str">
        <f aca="false">VLOOKUP(C893,Products!$A$5:$D$24,2,FALSE())</f>
        <v>External SSD 1TB</v>
      </c>
      <c r="H893" s="39" t="str">
        <f aca="false">VLOOKUP(C893,Products!$A$5:$D$24,3,FALSE())</f>
        <v>Electronics</v>
      </c>
      <c r="I893" s="41" t="n">
        <f aca="false">VLOOKUP(C893,Products!$A$5:$D$24,4,FALSE())</f>
        <v>62</v>
      </c>
      <c r="J893" s="42" t="n">
        <f aca="false">DATE(YEAR(B893),MONTH(B893),1)</f>
        <v>45778</v>
      </c>
      <c r="K893" s="41" t="n">
        <f aca="false">D893*E893</f>
        <v>348.69</v>
      </c>
      <c r="L893" s="41" t="n">
        <f aca="false">D893*I893</f>
        <v>186</v>
      </c>
      <c r="M893" s="41" t="n">
        <f aca="false">IFERROR(INDEX(Raw_Expenses!$C$5:$C$2979,MATCH(A893,Raw_Expenses!$A$5:$A$2979,0)),0)</f>
        <v>24.89</v>
      </c>
      <c r="N893" s="41" t="n">
        <f aca="false">L893+M893</f>
        <v>210.89</v>
      </c>
      <c r="O893" s="41" t="n">
        <f aca="false">K893-N893</f>
        <v>137.8</v>
      </c>
      <c r="P893" s="43" t="n">
        <f aca="false">IF(K893=0,0,O893/K893)</f>
        <v>0.395193438297628</v>
      </c>
    </row>
    <row r="894" customFormat="false" ht="15" hidden="false" customHeight="false" outlineLevel="0" collapsed="false">
      <c r="A894" s="39" t="s">
        <v>1016</v>
      </c>
      <c r="B894" s="40" t="n">
        <v>45786</v>
      </c>
      <c r="C894" s="39" t="s">
        <v>126</v>
      </c>
      <c r="D894" s="39" t="n">
        <v>4</v>
      </c>
      <c r="E894" s="41" t="n">
        <v>24.25</v>
      </c>
      <c r="F894" s="39" t="s">
        <v>115</v>
      </c>
      <c r="G894" s="39" t="str">
        <f aca="false">VLOOKUP(C894,Products!$A$5:$D$24,2,FALSE())</f>
        <v>Wireless Mouse</v>
      </c>
      <c r="H894" s="39" t="str">
        <f aca="false">VLOOKUP(C894,Products!$A$5:$D$24,3,FALSE())</f>
        <v>Electronics</v>
      </c>
      <c r="I894" s="41" t="n">
        <f aca="false">VLOOKUP(C894,Products!$A$5:$D$24,4,FALSE())</f>
        <v>12</v>
      </c>
      <c r="J894" s="42" t="n">
        <f aca="false">DATE(YEAR(B894),MONTH(B894),1)</f>
        <v>45778</v>
      </c>
      <c r="K894" s="41" t="n">
        <f aca="false">D894*E894</f>
        <v>97</v>
      </c>
      <c r="L894" s="41" t="n">
        <f aca="false">D894*I894</f>
        <v>48</v>
      </c>
      <c r="M894" s="41" t="n">
        <f aca="false">IFERROR(INDEX(Raw_Expenses!$C$5:$C$2979,MATCH(A894,Raw_Expenses!$A$5:$A$2979,0)),0)</f>
        <v>5.06</v>
      </c>
      <c r="N894" s="41" t="n">
        <f aca="false">L894+M894</f>
        <v>53.06</v>
      </c>
      <c r="O894" s="41" t="n">
        <f aca="false">K894-N894</f>
        <v>43.94</v>
      </c>
      <c r="P894" s="43" t="n">
        <f aca="false">IF(K894=0,0,O894/K894)</f>
        <v>0.452989690721649</v>
      </c>
    </row>
    <row r="895" customFormat="false" ht="15" hidden="false" customHeight="false" outlineLevel="0" collapsed="false">
      <c r="A895" s="39" t="s">
        <v>1017</v>
      </c>
      <c r="B895" s="40" t="n">
        <v>45786</v>
      </c>
      <c r="C895" s="39" t="s">
        <v>177</v>
      </c>
      <c r="D895" s="39" t="n">
        <v>2</v>
      </c>
      <c r="E895" s="41" t="n">
        <v>42.26</v>
      </c>
      <c r="F895" s="39" t="s">
        <v>115</v>
      </c>
      <c r="G895" s="39" t="str">
        <f aca="false">VLOOKUP(C895,Products!$A$5:$D$24,2,FALSE())</f>
        <v>Backpack</v>
      </c>
      <c r="H895" s="39" t="str">
        <f aca="false">VLOOKUP(C895,Products!$A$5:$D$24,3,FALSE())</f>
        <v>Accessories</v>
      </c>
      <c r="I895" s="41" t="n">
        <f aca="false">VLOOKUP(C895,Products!$A$5:$D$24,4,FALSE())</f>
        <v>17</v>
      </c>
      <c r="J895" s="42" t="n">
        <f aca="false">DATE(YEAR(B895),MONTH(B895),1)</f>
        <v>45778</v>
      </c>
      <c r="K895" s="41" t="n">
        <f aca="false">D895*E895</f>
        <v>84.52</v>
      </c>
      <c r="L895" s="41" t="n">
        <f aca="false">D895*I895</f>
        <v>34</v>
      </c>
      <c r="M895" s="41" t="n">
        <f aca="false">IFERROR(INDEX(Raw_Expenses!$C$5:$C$2979,MATCH(A895,Raw_Expenses!$A$5:$A$2979,0)),0)</f>
        <v>5.76</v>
      </c>
      <c r="N895" s="41" t="n">
        <f aca="false">L895+M895</f>
        <v>39.76</v>
      </c>
      <c r="O895" s="41" t="n">
        <f aca="false">K895-N895</f>
        <v>44.76</v>
      </c>
      <c r="P895" s="43" t="n">
        <f aca="false">IF(K895=0,0,O895/K895)</f>
        <v>0.529578797917653</v>
      </c>
    </row>
    <row r="896" customFormat="false" ht="15" hidden="false" customHeight="false" outlineLevel="0" collapsed="false">
      <c r="A896" s="39" t="s">
        <v>1018</v>
      </c>
      <c r="B896" s="40" t="n">
        <v>45786</v>
      </c>
      <c r="C896" s="39" t="s">
        <v>130</v>
      </c>
      <c r="D896" s="39" t="n">
        <v>1</v>
      </c>
      <c r="E896" s="41" t="n">
        <v>8.75</v>
      </c>
      <c r="F896" s="39" t="s">
        <v>108</v>
      </c>
      <c r="G896" s="39" t="str">
        <f aca="false">VLOOKUP(C896,Products!$A$5:$D$24,2,FALSE())</f>
        <v>Notebook Set</v>
      </c>
      <c r="H896" s="39" t="str">
        <f aca="false">VLOOKUP(C896,Products!$A$5:$D$24,3,FALSE())</f>
        <v>Stationery</v>
      </c>
      <c r="I896" s="41" t="n">
        <f aca="false">VLOOKUP(C896,Products!$A$5:$D$24,4,FALSE())</f>
        <v>3</v>
      </c>
      <c r="J896" s="42" t="n">
        <f aca="false">DATE(YEAR(B896),MONTH(B896),1)</f>
        <v>45778</v>
      </c>
      <c r="K896" s="41" t="n">
        <f aca="false">D896*E896</f>
        <v>8.75</v>
      </c>
      <c r="L896" s="41" t="n">
        <f aca="false">D896*I896</f>
        <v>3</v>
      </c>
      <c r="M896" s="41" t="n">
        <f aca="false">IFERROR(INDEX(Raw_Expenses!$C$5:$C$2979,MATCH(A896,Raw_Expenses!$A$5:$A$2979,0)),0)</f>
        <v>0.48</v>
      </c>
      <c r="N896" s="41" t="n">
        <f aca="false">L896+M896</f>
        <v>3.48</v>
      </c>
      <c r="O896" s="41" t="n">
        <f aca="false">K896-N896</f>
        <v>5.27</v>
      </c>
      <c r="P896" s="43" t="n">
        <f aca="false">IF(K896=0,0,O896/K896)</f>
        <v>0.602285714285714</v>
      </c>
    </row>
    <row r="897" customFormat="false" ht="15" hidden="false" customHeight="false" outlineLevel="0" collapsed="false">
      <c r="A897" s="39" t="s">
        <v>1019</v>
      </c>
      <c r="B897" s="40" t="n">
        <v>45786</v>
      </c>
      <c r="C897" s="39" t="s">
        <v>136</v>
      </c>
      <c r="D897" s="39" t="n">
        <v>1</v>
      </c>
      <c r="E897" s="41" t="n">
        <v>76.5</v>
      </c>
      <c r="F897" s="39" t="s">
        <v>115</v>
      </c>
      <c r="G897" s="39" t="str">
        <f aca="false">VLOOKUP(C897,Products!$A$5:$D$24,2,FALSE())</f>
        <v>Mechanical Keyboard</v>
      </c>
      <c r="H897" s="39" t="str">
        <f aca="false">VLOOKUP(C897,Products!$A$5:$D$24,3,FALSE())</f>
        <v>Electronics</v>
      </c>
      <c r="I897" s="41" t="n">
        <f aca="false">VLOOKUP(C897,Products!$A$5:$D$24,4,FALSE())</f>
        <v>38</v>
      </c>
      <c r="J897" s="42" t="n">
        <f aca="false">DATE(YEAR(B897),MONTH(B897),1)</f>
        <v>45778</v>
      </c>
      <c r="K897" s="41" t="n">
        <f aca="false">D897*E897</f>
        <v>76.5</v>
      </c>
      <c r="L897" s="41" t="n">
        <f aca="false">D897*I897</f>
        <v>38</v>
      </c>
      <c r="M897" s="41" t="n">
        <f aca="false">IFERROR(INDEX(Raw_Expenses!$C$5:$C$2979,MATCH(A897,Raw_Expenses!$A$5:$A$2979,0)),0)</f>
        <v>5.57</v>
      </c>
      <c r="N897" s="41" t="n">
        <f aca="false">L897+M897</f>
        <v>43.57</v>
      </c>
      <c r="O897" s="41" t="n">
        <f aca="false">K897-N897</f>
        <v>32.93</v>
      </c>
      <c r="P897" s="43" t="n">
        <f aca="false">IF(K897=0,0,O897/K897)</f>
        <v>0.430457516339869</v>
      </c>
    </row>
    <row r="898" customFormat="false" ht="15" hidden="false" customHeight="false" outlineLevel="0" collapsed="false">
      <c r="A898" s="39" t="s">
        <v>1020</v>
      </c>
      <c r="B898" s="40" t="n">
        <v>45786</v>
      </c>
      <c r="C898" s="39" t="s">
        <v>121</v>
      </c>
      <c r="D898" s="39" t="n">
        <v>3</v>
      </c>
      <c r="E898" s="41" t="n">
        <v>110.73</v>
      </c>
      <c r="F898" s="39" t="s">
        <v>115</v>
      </c>
      <c r="G898" s="39" t="str">
        <f aca="false">VLOOKUP(C898,Products!$A$5:$D$24,2,FALSE())</f>
        <v>External SSD 1TB</v>
      </c>
      <c r="H898" s="39" t="str">
        <f aca="false">VLOOKUP(C898,Products!$A$5:$D$24,3,FALSE())</f>
        <v>Electronics</v>
      </c>
      <c r="I898" s="41" t="n">
        <f aca="false">VLOOKUP(C898,Products!$A$5:$D$24,4,FALSE())</f>
        <v>62</v>
      </c>
      <c r="J898" s="42" t="n">
        <f aca="false">DATE(YEAR(B898),MONTH(B898),1)</f>
        <v>45778</v>
      </c>
      <c r="K898" s="41" t="n">
        <f aca="false">D898*E898</f>
        <v>332.19</v>
      </c>
      <c r="L898" s="41" t="n">
        <f aca="false">D898*I898</f>
        <v>186</v>
      </c>
      <c r="M898" s="41" t="n">
        <f aca="false">IFERROR(INDEX(Raw_Expenses!$C$5:$C$2979,MATCH(A898,Raw_Expenses!$A$5:$A$2979,0)),0)</f>
        <v>20.92</v>
      </c>
      <c r="N898" s="41" t="n">
        <f aca="false">L898+M898</f>
        <v>206.92</v>
      </c>
      <c r="O898" s="41" t="n">
        <f aca="false">K898-N898</f>
        <v>125.27</v>
      </c>
      <c r="P898" s="43" t="n">
        <f aca="false">IF(K898=0,0,O898/K898)</f>
        <v>0.377103464884554</v>
      </c>
    </row>
    <row r="899" customFormat="false" ht="15" hidden="false" customHeight="false" outlineLevel="0" collapsed="false">
      <c r="A899" s="39" t="s">
        <v>1021</v>
      </c>
      <c r="B899" s="40" t="n">
        <v>45787</v>
      </c>
      <c r="C899" s="39" t="s">
        <v>183</v>
      </c>
      <c r="D899" s="39" t="n">
        <v>1</v>
      </c>
      <c r="E899" s="41" t="n">
        <v>188.59</v>
      </c>
      <c r="F899" s="39" t="s">
        <v>105</v>
      </c>
      <c r="G899" s="39" t="str">
        <f aca="false">VLOOKUP(C899,Products!$A$5:$D$24,2,FALSE())</f>
        <v>Office Chair</v>
      </c>
      <c r="H899" s="39" t="str">
        <f aca="false">VLOOKUP(C899,Products!$A$5:$D$24,3,FALSE())</f>
        <v>Furniture</v>
      </c>
      <c r="I899" s="41" t="n">
        <f aca="false">VLOOKUP(C899,Products!$A$5:$D$24,4,FALSE())</f>
        <v>85</v>
      </c>
      <c r="J899" s="42" t="n">
        <f aca="false">DATE(YEAR(B899),MONTH(B899),1)</f>
        <v>45778</v>
      </c>
      <c r="K899" s="41" t="n">
        <f aca="false">D899*E899</f>
        <v>188.59</v>
      </c>
      <c r="L899" s="41" t="n">
        <f aca="false">D899*I899</f>
        <v>85</v>
      </c>
      <c r="M899" s="41" t="n">
        <f aca="false">IFERROR(INDEX(Raw_Expenses!$C$5:$C$2979,MATCH(A899,Raw_Expenses!$A$5:$A$2979,0)),0)</f>
        <v>14.47</v>
      </c>
      <c r="N899" s="41" t="n">
        <f aca="false">L899+M899</f>
        <v>99.47</v>
      </c>
      <c r="O899" s="41" t="n">
        <f aca="false">K899-N899</f>
        <v>89.12</v>
      </c>
      <c r="P899" s="43" t="n">
        <f aca="false">IF(K899=0,0,O899/K899)</f>
        <v>0.472559520653269</v>
      </c>
    </row>
    <row r="900" customFormat="false" ht="15" hidden="false" customHeight="false" outlineLevel="0" collapsed="false">
      <c r="A900" s="39" t="s">
        <v>1022</v>
      </c>
      <c r="B900" s="40" t="n">
        <v>45787</v>
      </c>
      <c r="C900" s="39" t="s">
        <v>107</v>
      </c>
      <c r="D900" s="39" t="n">
        <v>5</v>
      </c>
      <c r="E900" s="41" t="n">
        <v>34.84</v>
      </c>
      <c r="F900" s="39" t="s">
        <v>105</v>
      </c>
      <c r="G900" s="39" t="str">
        <f aca="false">VLOOKUP(C900,Products!$A$5:$D$24,2,FALSE())</f>
        <v>USB-C Hub</v>
      </c>
      <c r="H900" s="39" t="str">
        <f aca="false">VLOOKUP(C900,Products!$A$5:$D$24,3,FALSE())</f>
        <v>Electronics</v>
      </c>
      <c r="I900" s="41" t="n">
        <f aca="false">VLOOKUP(C900,Products!$A$5:$D$24,4,FALSE())</f>
        <v>14</v>
      </c>
      <c r="J900" s="42" t="n">
        <f aca="false">DATE(YEAR(B900),MONTH(B900),1)</f>
        <v>45778</v>
      </c>
      <c r="K900" s="41" t="n">
        <f aca="false">D900*E900</f>
        <v>174.2</v>
      </c>
      <c r="L900" s="41" t="n">
        <f aca="false">D900*I900</f>
        <v>70</v>
      </c>
      <c r="M900" s="41" t="n">
        <f aca="false">IFERROR(INDEX(Raw_Expenses!$C$5:$C$2979,MATCH(A900,Raw_Expenses!$A$5:$A$2979,0)),0)</f>
        <v>7.19</v>
      </c>
      <c r="N900" s="41" t="n">
        <f aca="false">L900+M900</f>
        <v>77.19</v>
      </c>
      <c r="O900" s="41" t="n">
        <f aca="false">K900-N900</f>
        <v>97.01</v>
      </c>
      <c r="P900" s="43" t="n">
        <f aca="false">IF(K900=0,0,O900/K900)</f>
        <v>0.556888633754305</v>
      </c>
    </row>
    <row r="901" customFormat="false" ht="15" hidden="false" customHeight="false" outlineLevel="0" collapsed="false">
      <c r="A901" s="39" t="s">
        <v>1023</v>
      </c>
      <c r="B901" s="40" t="n">
        <v>45787</v>
      </c>
      <c r="C901" s="39" t="s">
        <v>144</v>
      </c>
      <c r="D901" s="39" t="n">
        <v>3</v>
      </c>
      <c r="E901" s="41" t="n">
        <v>57.42</v>
      </c>
      <c r="F901" s="39" t="s">
        <v>118</v>
      </c>
      <c r="G901" s="39" t="str">
        <f aca="false">VLOOKUP(C901,Products!$A$5:$D$24,2,FALSE())</f>
        <v>Whiteboard</v>
      </c>
      <c r="H901" s="39" t="str">
        <f aca="false">VLOOKUP(C901,Products!$A$5:$D$24,3,FALSE())</f>
        <v>Furniture</v>
      </c>
      <c r="I901" s="41" t="n">
        <f aca="false">VLOOKUP(C901,Products!$A$5:$D$24,4,FALSE())</f>
        <v>28</v>
      </c>
      <c r="J901" s="42" t="n">
        <f aca="false">DATE(YEAR(B901),MONTH(B901),1)</f>
        <v>45778</v>
      </c>
      <c r="K901" s="41" t="n">
        <f aca="false">D901*E901</f>
        <v>172.26</v>
      </c>
      <c r="L901" s="41" t="n">
        <f aca="false">D901*I901</f>
        <v>84</v>
      </c>
      <c r="M901" s="41" t="n">
        <f aca="false">IFERROR(INDEX(Raw_Expenses!$C$5:$C$2979,MATCH(A901,Raw_Expenses!$A$5:$A$2979,0)),0)</f>
        <v>8.65</v>
      </c>
      <c r="N901" s="41" t="n">
        <f aca="false">L901+M901</f>
        <v>92.65</v>
      </c>
      <c r="O901" s="41" t="n">
        <f aca="false">K901-N901</f>
        <v>79.61</v>
      </c>
      <c r="P901" s="43" t="n">
        <f aca="false">IF(K901=0,0,O901/K901)</f>
        <v>0.462150238012307</v>
      </c>
    </row>
    <row r="902" customFormat="false" ht="15" hidden="false" customHeight="false" outlineLevel="0" collapsed="false">
      <c r="A902" s="39" t="s">
        <v>1024</v>
      </c>
      <c r="B902" s="40" t="n">
        <v>45787</v>
      </c>
      <c r="C902" s="39" t="s">
        <v>121</v>
      </c>
      <c r="D902" s="39" t="n">
        <v>3</v>
      </c>
      <c r="E902" s="41" t="n">
        <v>112.18</v>
      </c>
      <c r="F902" s="39" t="s">
        <v>108</v>
      </c>
      <c r="G902" s="39" t="str">
        <f aca="false">VLOOKUP(C902,Products!$A$5:$D$24,2,FALSE())</f>
        <v>External SSD 1TB</v>
      </c>
      <c r="H902" s="39" t="str">
        <f aca="false">VLOOKUP(C902,Products!$A$5:$D$24,3,FALSE())</f>
        <v>Electronics</v>
      </c>
      <c r="I902" s="41" t="n">
        <f aca="false">VLOOKUP(C902,Products!$A$5:$D$24,4,FALSE())</f>
        <v>62</v>
      </c>
      <c r="J902" s="42" t="n">
        <f aca="false">DATE(YEAR(B902),MONTH(B902),1)</f>
        <v>45778</v>
      </c>
      <c r="K902" s="41" t="n">
        <f aca="false">D902*E902</f>
        <v>336.54</v>
      </c>
      <c r="L902" s="41" t="n">
        <f aca="false">D902*I902</f>
        <v>186</v>
      </c>
      <c r="M902" s="41" t="n">
        <f aca="false">IFERROR(INDEX(Raw_Expenses!$C$5:$C$2979,MATCH(A902,Raw_Expenses!$A$5:$A$2979,0)),0)</f>
        <v>17.46</v>
      </c>
      <c r="N902" s="41" t="n">
        <f aca="false">L902+M902</f>
        <v>203.46</v>
      </c>
      <c r="O902" s="41" t="n">
        <f aca="false">K902-N902</f>
        <v>133.08</v>
      </c>
      <c r="P902" s="43" t="n">
        <f aca="false">IF(K902=0,0,O902/K902)</f>
        <v>0.395435906578713</v>
      </c>
    </row>
    <row r="903" customFormat="false" ht="15" hidden="false" customHeight="false" outlineLevel="0" collapsed="false">
      <c r="A903" s="39" t="s">
        <v>1025</v>
      </c>
      <c r="B903" s="40" t="n">
        <v>45787</v>
      </c>
      <c r="C903" s="39" t="s">
        <v>121</v>
      </c>
      <c r="D903" s="39" t="n">
        <v>2</v>
      </c>
      <c r="E903" s="41" t="n">
        <v>116.07</v>
      </c>
      <c r="F903" s="39" t="s">
        <v>105</v>
      </c>
      <c r="G903" s="39" t="str">
        <f aca="false">VLOOKUP(C903,Products!$A$5:$D$24,2,FALSE())</f>
        <v>External SSD 1TB</v>
      </c>
      <c r="H903" s="39" t="str">
        <f aca="false">VLOOKUP(C903,Products!$A$5:$D$24,3,FALSE())</f>
        <v>Electronics</v>
      </c>
      <c r="I903" s="41" t="n">
        <f aca="false">VLOOKUP(C903,Products!$A$5:$D$24,4,FALSE())</f>
        <v>62</v>
      </c>
      <c r="J903" s="42" t="n">
        <f aca="false">DATE(YEAR(B903),MONTH(B903),1)</f>
        <v>45778</v>
      </c>
      <c r="K903" s="41" t="n">
        <f aca="false">D903*E903</f>
        <v>232.14</v>
      </c>
      <c r="L903" s="41" t="n">
        <f aca="false">D903*I903</f>
        <v>124</v>
      </c>
      <c r="M903" s="41" t="n">
        <f aca="false">IFERROR(INDEX(Raw_Expenses!$C$5:$C$2979,MATCH(A903,Raw_Expenses!$A$5:$A$2979,0)),0)</f>
        <v>13.66</v>
      </c>
      <c r="N903" s="41" t="n">
        <f aca="false">L903+M903</f>
        <v>137.66</v>
      </c>
      <c r="O903" s="41" t="n">
        <f aca="false">K903-N903</f>
        <v>94.48</v>
      </c>
      <c r="P903" s="43" t="n">
        <f aca="false">IF(K903=0,0,O903/K903)</f>
        <v>0.40699577840958</v>
      </c>
    </row>
    <row r="904" customFormat="false" ht="15" hidden="false" customHeight="false" outlineLevel="0" collapsed="false">
      <c r="A904" s="39" t="s">
        <v>1026</v>
      </c>
      <c r="B904" s="40" t="n">
        <v>45787</v>
      </c>
      <c r="C904" s="39" t="s">
        <v>121</v>
      </c>
      <c r="D904" s="39" t="n">
        <v>1</v>
      </c>
      <c r="E904" s="41" t="n">
        <v>111.99</v>
      </c>
      <c r="F904" s="39" t="s">
        <v>105</v>
      </c>
      <c r="G904" s="39" t="str">
        <f aca="false">VLOOKUP(C904,Products!$A$5:$D$24,2,FALSE())</f>
        <v>External SSD 1TB</v>
      </c>
      <c r="H904" s="39" t="str">
        <f aca="false">VLOOKUP(C904,Products!$A$5:$D$24,3,FALSE())</f>
        <v>Electronics</v>
      </c>
      <c r="I904" s="41" t="n">
        <f aca="false">VLOOKUP(C904,Products!$A$5:$D$24,4,FALSE())</f>
        <v>62</v>
      </c>
      <c r="J904" s="42" t="n">
        <f aca="false">DATE(YEAR(B904),MONTH(B904),1)</f>
        <v>45778</v>
      </c>
      <c r="K904" s="41" t="n">
        <f aca="false">D904*E904</f>
        <v>111.99</v>
      </c>
      <c r="L904" s="41" t="n">
        <f aca="false">D904*I904</f>
        <v>62</v>
      </c>
      <c r="M904" s="41" t="n">
        <f aca="false">IFERROR(INDEX(Raw_Expenses!$C$5:$C$2979,MATCH(A904,Raw_Expenses!$A$5:$A$2979,0)),0)</f>
        <v>9.98</v>
      </c>
      <c r="N904" s="41" t="n">
        <f aca="false">L904+M904</f>
        <v>71.98</v>
      </c>
      <c r="O904" s="41" t="n">
        <f aca="false">K904-N904</f>
        <v>40.01</v>
      </c>
      <c r="P904" s="43" t="n">
        <f aca="false">IF(K904=0,0,O904/K904)</f>
        <v>0.357264041432271</v>
      </c>
    </row>
    <row r="905" customFormat="false" ht="15" hidden="false" customHeight="false" outlineLevel="0" collapsed="false">
      <c r="A905" s="39" t="s">
        <v>1027</v>
      </c>
      <c r="B905" s="40" t="n">
        <v>45787</v>
      </c>
      <c r="C905" s="39" t="s">
        <v>130</v>
      </c>
      <c r="D905" s="39" t="n">
        <v>2</v>
      </c>
      <c r="E905" s="41" t="n">
        <v>8.36</v>
      </c>
      <c r="F905" s="39" t="s">
        <v>115</v>
      </c>
      <c r="G905" s="39" t="str">
        <f aca="false">VLOOKUP(C905,Products!$A$5:$D$24,2,FALSE())</f>
        <v>Notebook Set</v>
      </c>
      <c r="H905" s="39" t="str">
        <f aca="false">VLOOKUP(C905,Products!$A$5:$D$24,3,FALSE())</f>
        <v>Stationery</v>
      </c>
      <c r="I905" s="41" t="n">
        <f aca="false">VLOOKUP(C905,Products!$A$5:$D$24,4,FALSE())</f>
        <v>3</v>
      </c>
      <c r="J905" s="42" t="n">
        <f aca="false">DATE(YEAR(B905),MONTH(B905),1)</f>
        <v>45778</v>
      </c>
      <c r="K905" s="41" t="n">
        <f aca="false">D905*E905</f>
        <v>16.72</v>
      </c>
      <c r="L905" s="41" t="n">
        <f aca="false">D905*I905</f>
        <v>6</v>
      </c>
      <c r="M905" s="41" t="n">
        <f aca="false">IFERROR(INDEX(Raw_Expenses!$C$5:$C$2979,MATCH(A905,Raw_Expenses!$A$5:$A$2979,0)),0)</f>
        <v>1.12</v>
      </c>
      <c r="N905" s="41" t="n">
        <f aca="false">L905+M905</f>
        <v>7.12</v>
      </c>
      <c r="O905" s="41" t="n">
        <f aca="false">K905-N905</f>
        <v>9.6</v>
      </c>
      <c r="P905" s="43" t="n">
        <f aca="false">IF(K905=0,0,O905/K905)</f>
        <v>0.574162679425837</v>
      </c>
    </row>
    <row r="906" customFormat="false" ht="15" hidden="false" customHeight="false" outlineLevel="0" collapsed="false">
      <c r="A906" s="39" t="s">
        <v>1028</v>
      </c>
      <c r="B906" s="40" t="n">
        <v>45787</v>
      </c>
      <c r="C906" s="39" t="s">
        <v>126</v>
      </c>
      <c r="D906" s="39" t="n">
        <v>2</v>
      </c>
      <c r="E906" s="41" t="n">
        <v>23.1</v>
      </c>
      <c r="F906" s="39" t="s">
        <v>105</v>
      </c>
      <c r="G906" s="39" t="str">
        <f aca="false">VLOOKUP(C906,Products!$A$5:$D$24,2,FALSE())</f>
        <v>Wireless Mouse</v>
      </c>
      <c r="H906" s="39" t="str">
        <f aca="false">VLOOKUP(C906,Products!$A$5:$D$24,3,FALSE())</f>
        <v>Electronics</v>
      </c>
      <c r="I906" s="41" t="n">
        <f aca="false">VLOOKUP(C906,Products!$A$5:$D$24,4,FALSE())</f>
        <v>12</v>
      </c>
      <c r="J906" s="42" t="n">
        <f aca="false">DATE(YEAR(B906),MONTH(B906),1)</f>
        <v>45778</v>
      </c>
      <c r="K906" s="41" t="n">
        <f aca="false">D906*E906</f>
        <v>46.2</v>
      </c>
      <c r="L906" s="41" t="n">
        <f aca="false">D906*I906</f>
        <v>24</v>
      </c>
      <c r="M906" s="41" t="n">
        <f aca="false">IFERROR(INDEX(Raw_Expenses!$C$5:$C$2979,MATCH(A906,Raw_Expenses!$A$5:$A$2979,0)),0)</f>
        <v>3.41</v>
      </c>
      <c r="N906" s="41" t="n">
        <f aca="false">L906+M906</f>
        <v>27.41</v>
      </c>
      <c r="O906" s="41" t="n">
        <f aca="false">K906-N906</f>
        <v>18.79</v>
      </c>
      <c r="P906" s="43" t="n">
        <f aca="false">IF(K906=0,0,O906/K906)</f>
        <v>0.406709956709957</v>
      </c>
    </row>
    <row r="907" customFormat="false" ht="15" hidden="false" customHeight="false" outlineLevel="0" collapsed="false">
      <c r="A907" s="39" t="s">
        <v>1029</v>
      </c>
      <c r="B907" s="40" t="n">
        <v>45788</v>
      </c>
      <c r="C907" s="39" t="s">
        <v>139</v>
      </c>
      <c r="D907" s="39" t="n">
        <v>4</v>
      </c>
      <c r="E907" s="41" t="n">
        <v>128.57</v>
      </c>
      <c r="F907" s="39" t="s">
        <v>105</v>
      </c>
      <c r="G907" s="39" t="str">
        <f aca="false">VLOOKUP(C907,Products!$A$5:$D$24,2,FALSE())</f>
        <v>Noise-Cancelling Headphones</v>
      </c>
      <c r="H907" s="39" t="str">
        <f aca="false">VLOOKUP(C907,Products!$A$5:$D$24,3,FALSE())</f>
        <v>Electronics</v>
      </c>
      <c r="I907" s="41" t="n">
        <f aca="false">VLOOKUP(C907,Products!$A$5:$D$24,4,FALSE())</f>
        <v>55</v>
      </c>
      <c r="J907" s="42" t="n">
        <f aca="false">DATE(YEAR(B907),MONTH(B907),1)</f>
        <v>45778</v>
      </c>
      <c r="K907" s="41" t="n">
        <f aca="false">D907*E907</f>
        <v>514.28</v>
      </c>
      <c r="L907" s="41" t="n">
        <f aca="false">D907*I907</f>
        <v>220</v>
      </c>
      <c r="M907" s="41" t="n">
        <f aca="false">IFERROR(INDEX(Raw_Expenses!$C$5:$C$2979,MATCH(A907,Raw_Expenses!$A$5:$A$2979,0)),0)</f>
        <v>45.25</v>
      </c>
      <c r="N907" s="41" t="n">
        <f aca="false">L907+M907</f>
        <v>265.25</v>
      </c>
      <c r="O907" s="41" t="n">
        <f aca="false">K907-N907</f>
        <v>249.03</v>
      </c>
      <c r="P907" s="43" t="n">
        <f aca="false">IF(K907=0,0,O907/K907)</f>
        <v>0.484230380337559</v>
      </c>
    </row>
    <row r="908" customFormat="false" ht="15" hidden="false" customHeight="false" outlineLevel="0" collapsed="false">
      <c r="A908" s="39" t="s">
        <v>1030</v>
      </c>
      <c r="B908" s="40" t="n">
        <v>45788</v>
      </c>
      <c r="C908" s="39" t="s">
        <v>162</v>
      </c>
      <c r="D908" s="39" t="n">
        <v>2</v>
      </c>
      <c r="E908" s="41" t="n">
        <v>63.68</v>
      </c>
      <c r="F908" s="39" t="s">
        <v>105</v>
      </c>
      <c r="G908" s="39" t="str">
        <f aca="false">VLOOKUP(C908,Products!$A$5:$D$24,2,FALSE())</f>
        <v>Bluetooth Speaker</v>
      </c>
      <c r="H908" s="39" t="str">
        <f aca="false">VLOOKUP(C908,Products!$A$5:$D$24,3,FALSE())</f>
        <v>Electronics</v>
      </c>
      <c r="I908" s="41" t="n">
        <f aca="false">VLOOKUP(C908,Products!$A$5:$D$24,4,FALSE())</f>
        <v>28</v>
      </c>
      <c r="J908" s="42" t="n">
        <f aca="false">DATE(YEAR(B908),MONTH(B908),1)</f>
        <v>45778</v>
      </c>
      <c r="K908" s="41" t="n">
        <f aca="false">D908*E908</f>
        <v>127.36</v>
      </c>
      <c r="L908" s="41" t="n">
        <f aca="false">D908*I908</f>
        <v>56</v>
      </c>
      <c r="M908" s="41" t="n">
        <f aca="false">IFERROR(INDEX(Raw_Expenses!$C$5:$C$2979,MATCH(A908,Raw_Expenses!$A$5:$A$2979,0)),0)</f>
        <v>10.06</v>
      </c>
      <c r="N908" s="41" t="n">
        <f aca="false">L908+M908</f>
        <v>66.06</v>
      </c>
      <c r="O908" s="41" t="n">
        <f aca="false">K908-N908</f>
        <v>61.3</v>
      </c>
      <c r="P908" s="43" t="n">
        <f aca="false">IF(K908=0,0,O908/K908)</f>
        <v>0.481312814070352</v>
      </c>
    </row>
    <row r="909" customFormat="false" ht="15" hidden="false" customHeight="false" outlineLevel="0" collapsed="false">
      <c r="A909" s="39" t="s">
        <v>1031</v>
      </c>
      <c r="B909" s="40" t="n">
        <v>45788</v>
      </c>
      <c r="C909" s="39" t="s">
        <v>128</v>
      </c>
      <c r="D909" s="39" t="n">
        <v>5</v>
      </c>
      <c r="E909" s="41" t="n">
        <v>36.62</v>
      </c>
      <c r="F909" s="39" t="s">
        <v>108</v>
      </c>
      <c r="G909" s="39" t="str">
        <f aca="false">VLOOKUP(C909,Products!$A$5:$D$24,2,FALSE())</f>
        <v>Ergonomic Footrest</v>
      </c>
      <c r="H909" s="39" t="str">
        <f aca="false">VLOOKUP(C909,Products!$A$5:$D$24,3,FALSE())</f>
        <v>Furniture</v>
      </c>
      <c r="I909" s="41" t="n">
        <f aca="false">VLOOKUP(C909,Products!$A$5:$D$24,4,FALSE())</f>
        <v>15</v>
      </c>
      <c r="J909" s="42" t="n">
        <f aca="false">DATE(YEAR(B909),MONTH(B909),1)</f>
        <v>45778</v>
      </c>
      <c r="K909" s="41" t="n">
        <f aca="false">D909*E909</f>
        <v>183.1</v>
      </c>
      <c r="L909" s="41" t="n">
        <f aca="false">D909*I909</f>
        <v>75</v>
      </c>
      <c r="M909" s="41" t="n">
        <f aca="false">IFERROR(INDEX(Raw_Expenses!$C$5:$C$2979,MATCH(A909,Raw_Expenses!$A$5:$A$2979,0)),0)</f>
        <v>7.42</v>
      </c>
      <c r="N909" s="41" t="n">
        <f aca="false">L909+M909</f>
        <v>82.42</v>
      </c>
      <c r="O909" s="41" t="n">
        <f aca="false">K909-N909</f>
        <v>100.68</v>
      </c>
      <c r="P909" s="43" t="n">
        <f aca="false">IF(K909=0,0,O909/K909)</f>
        <v>0.549863462588749</v>
      </c>
    </row>
    <row r="910" customFormat="false" ht="15" hidden="false" customHeight="false" outlineLevel="0" collapsed="false">
      <c r="A910" s="39" t="s">
        <v>1032</v>
      </c>
      <c r="B910" s="40" t="n">
        <v>45788</v>
      </c>
      <c r="C910" s="39" t="s">
        <v>117</v>
      </c>
      <c r="D910" s="39" t="n">
        <v>3</v>
      </c>
      <c r="E910" s="41" t="n">
        <v>30.26</v>
      </c>
      <c r="F910" s="39" t="s">
        <v>118</v>
      </c>
      <c r="G910" s="39" t="str">
        <f aca="false">VLOOKUP(C910,Products!$A$5:$D$24,2,FALSE())</f>
        <v>Desk Lamp</v>
      </c>
      <c r="H910" s="39" t="str">
        <f aca="false">VLOOKUP(C910,Products!$A$5:$D$24,3,FALSE())</f>
        <v>Furniture</v>
      </c>
      <c r="I910" s="41" t="n">
        <f aca="false">VLOOKUP(C910,Products!$A$5:$D$24,4,FALSE())</f>
        <v>13</v>
      </c>
      <c r="J910" s="42" t="n">
        <f aca="false">DATE(YEAR(B910),MONTH(B910),1)</f>
        <v>45778</v>
      </c>
      <c r="K910" s="41" t="n">
        <f aca="false">D910*E910</f>
        <v>90.78</v>
      </c>
      <c r="L910" s="41" t="n">
        <f aca="false">D910*I910</f>
        <v>39</v>
      </c>
      <c r="M910" s="41" t="n">
        <f aca="false">IFERROR(INDEX(Raw_Expenses!$C$5:$C$2979,MATCH(A910,Raw_Expenses!$A$5:$A$2979,0)),0)</f>
        <v>7.93</v>
      </c>
      <c r="N910" s="41" t="n">
        <f aca="false">L910+M910</f>
        <v>46.93</v>
      </c>
      <c r="O910" s="41" t="n">
        <f aca="false">K910-N910</f>
        <v>43.85</v>
      </c>
      <c r="P910" s="43" t="n">
        <f aca="false">IF(K910=0,0,O910/K910)</f>
        <v>0.483035910993611</v>
      </c>
    </row>
    <row r="911" customFormat="false" ht="15" hidden="false" customHeight="false" outlineLevel="0" collapsed="false">
      <c r="A911" s="39" t="s">
        <v>1033</v>
      </c>
      <c r="B911" s="40" t="n">
        <v>45788</v>
      </c>
      <c r="C911" s="39" t="s">
        <v>117</v>
      </c>
      <c r="D911" s="39" t="n">
        <v>2</v>
      </c>
      <c r="E911" s="41" t="n">
        <v>29.47</v>
      </c>
      <c r="F911" s="39" t="s">
        <v>108</v>
      </c>
      <c r="G911" s="39" t="str">
        <f aca="false">VLOOKUP(C911,Products!$A$5:$D$24,2,FALSE())</f>
        <v>Desk Lamp</v>
      </c>
      <c r="H911" s="39" t="str">
        <f aca="false">VLOOKUP(C911,Products!$A$5:$D$24,3,FALSE())</f>
        <v>Furniture</v>
      </c>
      <c r="I911" s="41" t="n">
        <f aca="false">VLOOKUP(C911,Products!$A$5:$D$24,4,FALSE())</f>
        <v>13</v>
      </c>
      <c r="J911" s="42" t="n">
        <f aca="false">DATE(YEAR(B911),MONTH(B911),1)</f>
        <v>45778</v>
      </c>
      <c r="K911" s="41" t="n">
        <f aca="false">D911*E911</f>
        <v>58.94</v>
      </c>
      <c r="L911" s="41" t="n">
        <f aca="false">D911*I911</f>
        <v>26</v>
      </c>
      <c r="M911" s="41" t="n">
        <f aca="false">IFERROR(INDEX(Raw_Expenses!$C$5:$C$2979,MATCH(A911,Raw_Expenses!$A$5:$A$2979,0)),0)</f>
        <v>2.39</v>
      </c>
      <c r="N911" s="41" t="n">
        <f aca="false">L911+M911</f>
        <v>28.39</v>
      </c>
      <c r="O911" s="41" t="n">
        <f aca="false">K911-N911</f>
        <v>30.55</v>
      </c>
      <c r="P911" s="43" t="n">
        <f aca="false">IF(K911=0,0,O911/K911)</f>
        <v>0.518323719036308</v>
      </c>
    </row>
    <row r="912" customFormat="false" ht="15" hidden="false" customHeight="false" outlineLevel="0" collapsed="false">
      <c r="A912" s="39" t="s">
        <v>1034</v>
      </c>
      <c r="B912" s="40" t="n">
        <v>45788</v>
      </c>
      <c r="C912" s="39" t="s">
        <v>162</v>
      </c>
      <c r="D912" s="39" t="n">
        <v>1</v>
      </c>
      <c r="E912" s="41" t="n">
        <v>67.95</v>
      </c>
      <c r="F912" s="39" t="s">
        <v>105</v>
      </c>
      <c r="G912" s="39" t="str">
        <f aca="false">VLOOKUP(C912,Products!$A$5:$D$24,2,FALSE())</f>
        <v>Bluetooth Speaker</v>
      </c>
      <c r="H912" s="39" t="str">
        <f aca="false">VLOOKUP(C912,Products!$A$5:$D$24,3,FALSE())</f>
        <v>Electronics</v>
      </c>
      <c r="I912" s="41" t="n">
        <f aca="false">VLOOKUP(C912,Products!$A$5:$D$24,4,FALSE())</f>
        <v>28</v>
      </c>
      <c r="J912" s="42" t="n">
        <f aca="false">DATE(YEAR(B912),MONTH(B912),1)</f>
        <v>45778</v>
      </c>
      <c r="K912" s="41" t="n">
        <f aca="false">D912*E912</f>
        <v>67.95</v>
      </c>
      <c r="L912" s="41" t="n">
        <f aca="false">D912*I912</f>
        <v>28</v>
      </c>
      <c r="M912" s="41" t="n">
        <f aca="false">IFERROR(INDEX(Raw_Expenses!$C$5:$C$2979,MATCH(A912,Raw_Expenses!$A$5:$A$2979,0)),0)</f>
        <v>6.1</v>
      </c>
      <c r="N912" s="41" t="n">
        <f aca="false">L912+M912</f>
        <v>34.1</v>
      </c>
      <c r="O912" s="41" t="n">
        <f aca="false">K912-N912</f>
        <v>33.85</v>
      </c>
      <c r="P912" s="43" t="n">
        <f aca="false">IF(K912=0,0,O912/K912)</f>
        <v>0.498160412067697</v>
      </c>
    </row>
    <row r="913" customFormat="false" ht="15" hidden="false" customHeight="false" outlineLevel="0" collapsed="false">
      <c r="A913" s="39" t="s">
        <v>1035</v>
      </c>
      <c r="B913" s="40" t="n">
        <v>45788</v>
      </c>
      <c r="C913" s="39" t="s">
        <v>130</v>
      </c>
      <c r="D913" s="39" t="n">
        <v>1</v>
      </c>
      <c r="E913" s="41" t="n">
        <v>8.48</v>
      </c>
      <c r="F913" s="39" t="s">
        <v>115</v>
      </c>
      <c r="G913" s="39" t="str">
        <f aca="false">VLOOKUP(C913,Products!$A$5:$D$24,2,FALSE())</f>
        <v>Notebook Set</v>
      </c>
      <c r="H913" s="39" t="str">
        <f aca="false">VLOOKUP(C913,Products!$A$5:$D$24,3,FALSE())</f>
        <v>Stationery</v>
      </c>
      <c r="I913" s="41" t="n">
        <f aca="false">VLOOKUP(C913,Products!$A$5:$D$24,4,FALSE())</f>
        <v>3</v>
      </c>
      <c r="J913" s="42" t="n">
        <f aca="false">DATE(YEAR(B913),MONTH(B913),1)</f>
        <v>45778</v>
      </c>
      <c r="K913" s="41" t="n">
        <f aca="false">D913*E913</f>
        <v>8.48</v>
      </c>
      <c r="L913" s="41" t="n">
        <f aca="false">D913*I913</f>
        <v>3</v>
      </c>
      <c r="M913" s="41" t="n">
        <f aca="false">IFERROR(INDEX(Raw_Expenses!$C$5:$C$2979,MATCH(A913,Raw_Expenses!$A$5:$A$2979,0)),0)</f>
        <v>0.64</v>
      </c>
      <c r="N913" s="41" t="n">
        <f aca="false">L913+M913</f>
        <v>3.64</v>
      </c>
      <c r="O913" s="41" t="n">
        <f aca="false">K913-N913</f>
        <v>4.84</v>
      </c>
      <c r="P913" s="43" t="n">
        <f aca="false">IF(K913=0,0,O913/K913)</f>
        <v>0.570754716981132</v>
      </c>
    </row>
    <row r="914" customFormat="false" ht="15" hidden="false" customHeight="false" outlineLevel="0" collapsed="false">
      <c r="A914" s="39" t="s">
        <v>1036</v>
      </c>
      <c r="B914" s="40" t="n">
        <v>45788</v>
      </c>
      <c r="C914" s="39" t="s">
        <v>139</v>
      </c>
      <c r="D914" s="39" t="n">
        <v>1</v>
      </c>
      <c r="E914" s="41" t="n">
        <v>126.45</v>
      </c>
      <c r="F914" s="39" t="s">
        <v>108</v>
      </c>
      <c r="G914" s="39" t="str">
        <f aca="false">VLOOKUP(C914,Products!$A$5:$D$24,2,FALSE())</f>
        <v>Noise-Cancelling Headphones</v>
      </c>
      <c r="H914" s="39" t="str">
        <f aca="false">VLOOKUP(C914,Products!$A$5:$D$24,3,FALSE())</f>
        <v>Electronics</v>
      </c>
      <c r="I914" s="41" t="n">
        <f aca="false">VLOOKUP(C914,Products!$A$5:$D$24,4,FALSE())</f>
        <v>55</v>
      </c>
      <c r="J914" s="42" t="n">
        <f aca="false">DATE(YEAR(B914),MONTH(B914),1)</f>
        <v>45778</v>
      </c>
      <c r="K914" s="41" t="n">
        <f aca="false">D914*E914</f>
        <v>126.45</v>
      </c>
      <c r="L914" s="41" t="n">
        <f aca="false">D914*I914</f>
        <v>55</v>
      </c>
      <c r="M914" s="41" t="n">
        <f aca="false">IFERROR(INDEX(Raw_Expenses!$C$5:$C$2979,MATCH(A914,Raw_Expenses!$A$5:$A$2979,0)),0)</f>
        <v>8.3</v>
      </c>
      <c r="N914" s="41" t="n">
        <f aca="false">L914+M914</f>
        <v>63.3</v>
      </c>
      <c r="O914" s="41" t="n">
        <f aca="false">K914-N914</f>
        <v>63.15</v>
      </c>
      <c r="P914" s="43" t="n">
        <f aca="false">IF(K914=0,0,O914/K914)</f>
        <v>0.499406880189798</v>
      </c>
    </row>
    <row r="915" customFormat="false" ht="15" hidden="false" customHeight="false" outlineLevel="0" collapsed="false">
      <c r="A915" s="39" t="s">
        <v>1037</v>
      </c>
      <c r="B915" s="40" t="n">
        <v>45788</v>
      </c>
      <c r="C915" s="39" t="s">
        <v>104</v>
      </c>
      <c r="D915" s="39" t="n">
        <v>6</v>
      </c>
      <c r="E915" s="41" t="n">
        <v>14.88</v>
      </c>
      <c r="F915" s="39" t="s">
        <v>108</v>
      </c>
      <c r="G915" s="39" t="str">
        <f aca="false">VLOOKUP(C915,Products!$A$5:$D$24,2,FALSE())</f>
        <v>Water Bottle</v>
      </c>
      <c r="H915" s="39" t="str">
        <f aca="false">VLOOKUP(C915,Products!$A$5:$D$24,3,FALSE())</f>
        <v>Accessories</v>
      </c>
      <c r="I915" s="41" t="n">
        <f aca="false">VLOOKUP(C915,Products!$A$5:$D$24,4,FALSE())</f>
        <v>5</v>
      </c>
      <c r="J915" s="42" t="n">
        <f aca="false">DATE(YEAR(B915),MONTH(B915),1)</f>
        <v>45778</v>
      </c>
      <c r="K915" s="41" t="n">
        <f aca="false">D915*E915</f>
        <v>89.28</v>
      </c>
      <c r="L915" s="41" t="n">
        <f aca="false">D915*I915</f>
        <v>30</v>
      </c>
      <c r="M915" s="41" t="n">
        <f aca="false">IFERROR(INDEX(Raw_Expenses!$C$5:$C$2979,MATCH(A915,Raw_Expenses!$A$5:$A$2979,0)),0)</f>
        <v>4.03</v>
      </c>
      <c r="N915" s="41" t="n">
        <f aca="false">L915+M915</f>
        <v>34.03</v>
      </c>
      <c r="O915" s="41" t="n">
        <f aca="false">K915-N915</f>
        <v>55.25</v>
      </c>
      <c r="P915" s="43" t="n">
        <f aca="false">IF(K915=0,0,O915/K915)</f>
        <v>0.618839605734767</v>
      </c>
    </row>
    <row r="916" customFormat="false" ht="15" hidden="false" customHeight="false" outlineLevel="0" collapsed="false">
      <c r="A916" s="39" t="s">
        <v>1038</v>
      </c>
      <c r="B916" s="40" t="n">
        <v>45788</v>
      </c>
      <c r="C916" s="39" t="s">
        <v>130</v>
      </c>
      <c r="D916" s="39" t="n">
        <v>1</v>
      </c>
      <c r="E916" s="41" t="n">
        <v>8.68</v>
      </c>
      <c r="F916" s="39" t="s">
        <v>118</v>
      </c>
      <c r="G916" s="39" t="str">
        <f aca="false">VLOOKUP(C916,Products!$A$5:$D$24,2,FALSE())</f>
        <v>Notebook Set</v>
      </c>
      <c r="H916" s="39" t="str">
        <f aca="false">VLOOKUP(C916,Products!$A$5:$D$24,3,FALSE())</f>
        <v>Stationery</v>
      </c>
      <c r="I916" s="41" t="n">
        <f aca="false">VLOOKUP(C916,Products!$A$5:$D$24,4,FALSE())</f>
        <v>3</v>
      </c>
      <c r="J916" s="42" t="n">
        <f aca="false">DATE(YEAR(B916),MONTH(B916),1)</f>
        <v>45778</v>
      </c>
      <c r="K916" s="41" t="n">
        <f aca="false">D916*E916</f>
        <v>8.68</v>
      </c>
      <c r="L916" s="41" t="n">
        <f aca="false">D916*I916</f>
        <v>3</v>
      </c>
      <c r="M916" s="41" t="n">
        <f aca="false">IFERROR(INDEX(Raw_Expenses!$C$5:$C$2979,MATCH(A916,Raw_Expenses!$A$5:$A$2979,0)),0)</f>
        <v>0.61</v>
      </c>
      <c r="N916" s="41" t="n">
        <f aca="false">L916+M916</f>
        <v>3.61</v>
      </c>
      <c r="O916" s="41" t="n">
        <f aca="false">K916-N916</f>
        <v>5.07</v>
      </c>
      <c r="P916" s="43" t="n">
        <f aca="false">IF(K916=0,0,O916/K916)</f>
        <v>0.584101382488479</v>
      </c>
    </row>
    <row r="917" customFormat="false" ht="15" hidden="false" customHeight="false" outlineLevel="0" collapsed="false">
      <c r="A917" s="39" t="s">
        <v>1039</v>
      </c>
      <c r="B917" s="40" t="n">
        <v>45788</v>
      </c>
      <c r="C917" s="39" t="s">
        <v>136</v>
      </c>
      <c r="D917" s="39" t="n">
        <v>3</v>
      </c>
      <c r="E917" s="41" t="n">
        <v>73.97</v>
      </c>
      <c r="F917" s="39" t="s">
        <v>118</v>
      </c>
      <c r="G917" s="39" t="str">
        <f aca="false">VLOOKUP(C917,Products!$A$5:$D$24,2,FALSE())</f>
        <v>Mechanical Keyboard</v>
      </c>
      <c r="H917" s="39" t="str">
        <f aca="false">VLOOKUP(C917,Products!$A$5:$D$24,3,FALSE())</f>
        <v>Electronics</v>
      </c>
      <c r="I917" s="41" t="n">
        <f aca="false">VLOOKUP(C917,Products!$A$5:$D$24,4,FALSE())</f>
        <v>38</v>
      </c>
      <c r="J917" s="42" t="n">
        <f aca="false">DATE(YEAR(B917),MONTH(B917),1)</f>
        <v>45778</v>
      </c>
      <c r="K917" s="41" t="n">
        <f aca="false">D917*E917</f>
        <v>221.91</v>
      </c>
      <c r="L917" s="41" t="n">
        <f aca="false">D917*I917</f>
        <v>114</v>
      </c>
      <c r="M917" s="41" t="n">
        <f aca="false">IFERROR(INDEX(Raw_Expenses!$C$5:$C$2979,MATCH(A917,Raw_Expenses!$A$5:$A$2979,0)),0)</f>
        <v>12.97</v>
      </c>
      <c r="N917" s="41" t="n">
        <f aca="false">L917+M917</f>
        <v>126.97</v>
      </c>
      <c r="O917" s="41" t="n">
        <f aca="false">K917-N917</f>
        <v>94.94</v>
      </c>
      <c r="P917" s="43" t="n">
        <f aca="false">IF(K917=0,0,O917/K917)</f>
        <v>0.427831102699293</v>
      </c>
    </row>
    <row r="918" customFormat="false" ht="15" hidden="false" customHeight="false" outlineLevel="0" collapsed="false">
      <c r="A918" s="39" t="s">
        <v>1040</v>
      </c>
      <c r="B918" s="40" t="n">
        <v>45788</v>
      </c>
      <c r="C918" s="39" t="s">
        <v>128</v>
      </c>
      <c r="D918" s="39" t="n">
        <v>4</v>
      </c>
      <c r="E918" s="41" t="n">
        <v>37.2</v>
      </c>
      <c r="F918" s="39" t="s">
        <v>118</v>
      </c>
      <c r="G918" s="39" t="str">
        <f aca="false">VLOOKUP(C918,Products!$A$5:$D$24,2,FALSE())</f>
        <v>Ergonomic Footrest</v>
      </c>
      <c r="H918" s="39" t="str">
        <f aca="false">VLOOKUP(C918,Products!$A$5:$D$24,3,FALSE())</f>
        <v>Furniture</v>
      </c>
      <c r="I918" s="41" t="n">
        <f aca="false">VLOOKUP(C918,Products!$A$5:$D$24,4,FALSE())</f>
        <v>15</v>
      </c>
      <c r="J918" s="42" t="n">
        <f aca="false">DATE(YEAR(B918),MONTH(B918),1)</f>
        <v>45778</v>
      </c>
      <c r="K918" s="41" t="n">
        <f aca="false">D918*E918</f>
        <v>148.8</v>
      </c>
      <c r="L918" s="41" t="n">
        <f aca="false">D918*I918</f>
        <v>60</v>
      </c>
      <c r="M918" s="41" t="n">
        <f aca="false">IFERROR(INDEX(Raw_Expenses!$C$5:$C$2979,MATCH(A918,Raw_Expenses!$A$5:$A$2979,0)),0)</f>
        <v>7.87</v>
      </c>
      <c r="N918" s="41" t="n">
        <f aca="false">L918+M918</f>
        <v>67.87</v>
      </c>
      <c r="O918" s="41" t="n">
        <f aca="false">K918-N918</f>
        <v>80.93</v>
      </c>
      <c r="P918" s="43" t="n">
        <f aca="false">IF(K918=0,0,O918/K918)</f>
        <v>0.543884408602151</v>
      </c>
    </row>
    <row r="919" customFormat="false" ht="15" hidden="false" customHeight="false" outlineLevel="0" collapsed="false">
      <c r="A919" s="39" t="s">
        <v>1041</v>
      </c>
      <c r="B919" s="40" t="n">
        <v>45789</v>
      </c>
      <c r="C919" s="39" t="s">
        <v>133</v>
      </c>
      <c r="D919" s="39" t="n">
        <v>1</v>
      </c>
      <c r="E919" s="41" t="n">
        <v>8.6</v>
      </c>
      <c r="F919" s="39" t="s">
        <v>118</v>
      </c>
      <c r="G919" s="39" t="str">
        <f aca="false">VLOOKUP(C919,Products!$A$5:$D$24,2,FALSE())</f>
        <v>Printer Paper Ream</v>
      </c>
      <c r="H919" s="39" t="str">
        <f aca="false">VLOOKUP(C919,Products!$A$5:$D$24,3,FALSE())</f>
        <v>Stationery</v>
      </c>
      <c r="I919" s="41" t="n">
        <f aca="false">VLOOKUP(C919,Products!$A$5:$D$24,4,FALSE())</f>
        <v>4</v>
      </c>
      <c r="J919" s="42" t="n">
        <f aca="false">DATE(YEAR(B919),MONTH(B919),1)</f>
        <v>45778</v>
      </c>
      <c r="K919" s="41" t="n">
        <f aca="false">D919*E919</f>
        <v>8.6</v>
      </c>
      <c r="L919" s="41" t="n">
        <f aca="false">D919*I919</f>
        <v>4</v>
      </c>
      <c r="M919" s="41" t="n">
        <f aca="false">IFERROR(INDEX(Raw_Expenses!$C$5:$C$2979,MATCH(A919,Raw_Expenses!$A$5:$A$2979,0)),0)</f>
        <v>0.38</v>
      </c>
      <c r="N919" s="41" t="n">
        <f aca="false">L919+M919</f>
        <v>4.38</v>
      </c>
      <c r="O919" s="41" t="n">
        <f aca="false">K919-N919</f>
        <v>4.22</v>
      </c>
      <c r="P919" s="43" t="n">
        <f aca="false">IF(K919=0,0,O919/K919)</f>
        <v>0.490697674418605</v>
      </c>
    </row>
    <row r="920" customFormat="false" ht="15" hidden="false" customHeight="false" outlineLevel="0" collapsed="false">
      <c r="A920" s="39" t="s">
        <v>1042</v>
      </c>
      <c r="B920" s="40" t="n">
        <v>45789</v>
      </c>
      <c r="C920" s="39" t="s">
        <v>114</v>
      </c>
      <c r="D920" s="39" t="n">
        <v>1</v>
      </c>
      <c r="E920" s="41" t="n">
        <v>5.92</v>
      </c>
      <c r="F920" s="39" t="s">
        <v>105</v>
      </c>
      <c r="G920" s="39" t="str">
        <f aca="false">VLOOKUP(C920,Products!$A$5:$D$24,2,FALSE())</f>
        <v>Gel Pen Pack</v>
      </c>
      <c r="H920" s="39" t="str">
        <f aca="false">VLOOKUP(C920,Products!$A$5:$D$24,3,FALSE())</f>
        <v>Stationery</v>
      </c>
      <c r="I920" s="41" t="n">
        <f aca="false">VLOOKUP(C920,Products!$A$5:$D$24,4,FALSE())</f>
        <v>2</v>
      </c>
      <c r="J920" s="42" t="n">
        <f aca="false">DATE(YEAR(B920),MONTH(B920),1)</f>
        <v>45778</v>
      </c>
      <c r="K920" s="41" t="n">
        <f aca="false">D920*E920</f>
        <v>5.92</v>
      </c>
      <c r="L920" s="41" t="n">
        <f aca="false">D920*I920</f>
        <v>2</v>
      </c>
      <c r="M920" s="41" t="n">
        <f aca="false">IFERROR(INDEX(Raw_Expenses!$C$5:$C$2979,MATCH(A920,Raw_Expenses!$A$5:$A$2979,0)),0)</f>
        <v>0.38</v>
      </c>
      <c r="N920" s="41" t="n">
        <f aca="false">L920+M920</f>
        <v>2.38</v>
      </c>
      <c r="O920" s="41" t="n">
        <f aca="false">K920-N920</f>
        <v>3.54</v>
      </c>
      <c r="P920" s="43" t="n">
        <f aca="false">IF(K920=0,0,O920/K920)</f>
        <v>0.597972972972973</v>
      </c>
    </row>
    <row r="921" customFormat="false" ht="15" hidden="false" customHeight="false" outlineLevel="0" collapsed="false">
      <c r="A921" s="39" t="s">
        <v>1043</v>
      </c>
      <c r="B921" s="40" t="n">
        <v>45789</v>
      </c>
      <c r="C921" s="39" t="s">
        <v>177</v>
      </c>
      <c r="D921" s="39" t="n">
        <v>1</v>
      </c>
      <c r="E921" s="41" t="n">
        <v>43.58</v>
      </c>
      <c r="F921" s="39" t="s">
        <v>115</v>
      </c>
      <c r="G921" s="39" t="str">
        <f aca="false">VLOOKUP(C921,Products!$A$5:$D$24,2,FALSE())</f>
        <v>Backpack</v>
      </c>
      <c r="H921" s="39" t="str">
        <f aca="false">VLOOKUP(C921,Products!$A$5:$D$24,3,FALSE())</f>
        <v>Accessories</v>
      </c>
      <c r="I921" s="41" t="n">
        <f aca="false">VLOOKUP(C921,Products!$A$5:$D$24,4,FALSE())</f>
        <v>17</v>
      </c>
      <c r="J921" s="42" t="n">
        <f aca="false">DATE(YEAR(B921),MONTH(B921),1)</f>
        <v>45778</v>
      </c>
      <c r="K921" s="41" t="n">
        <f aca="false">D921*E921</f>
        <v>43.58</v>
      </c>
      <c r="L921" s="41" t="n">
        <f aca="false">D921*I921</f>
        <v>17</v>
      </c>
      <c r="M921" s="41" t="n">
        <f aca="false">IFERROR(INDEX(Raw_Expenses!$C$5:$C$2979,MATCH(A921,Raw_Expenses!$A$5:$A$2979,0)),0)</f>
        <v>2.66</v>
      </c>
      <c r="N921" s="41" t="n">
        <f aca="false">L921+M921</f>
        <v>19.66</v>
      </c>
      <c r="O921" s="41" t="n">
        <f aca="false">K921-N921</f>
        <v>23.92</v>
      </c>
      <c r="P921" s="43" t="n">
        <f aca="false">IF(K921=0,0,O921/K921)</f>
        <v>0.548875631023405</v>
      </c>
    </row>
    <row r="922" customFormat="false" ht="15" hidden="false" customHeight="false" outlineLevel="0" collapsed="false">
      <c r="A922" s="39" t="s">
        <v>1044</v>
      </c>
      <c r="B922" s="40" t="n">
        <v>45789</v>
      </c>
      <c r="C922" s="39" t="s">
        <v>153</v>
      </c>
      <c r="D922" s="39" t="n">
        <v>6</v>
      </c>
      <c r="E922" s="41" t="n">
        <v>165.45</v>
      </c>
      <c r="F922" s="39" t="s">
        <v>115</v>
      </c>
      <c r="G922" s="39" t="str">
        <f aca="false">VLOOKUP(C922,Products!$A$5:$D$24,2,FALSE())</f>
        <v>24-inch Monitor</v>
      </c>
      <c r="H922" s="39" t="str">
        <f aca="false">VLOOKUP(C922,Products!$A$5:$D$24,3,FALSE())</f>
        <v>Electronics</v>
      </c>
      <c r="I922" s="41" t="n">
        <f aca="false">VLOOKUP(C922,Products!$A$5:$D$24,4,FALSE())</f>
        <v>90</v>
      </c>
      <c r="J922" s="42" t="n">
        <f aca="false">DATE(YEAR(B922),MONTH(B922),1)</f>
        <v>45778</v>
      </c>
      <c r="K922" s="41" t="n">
        <f aca="false">D922*E922</f>
        <v>992.7</v>
      </c>
      <c r="L922" s="41" t="n">
        <f aca="false">D922*I922</f>
        <v>540</v>
      </c>
      <c r="M922" s="41" t="n">
        <f aca="false">IFERROR(INDEX(Raw_Expenses!$C$5:$C$2979,MATCH(A922,Raw_Expenses!$A$5:$A$2979,0)),0)</f>
        <v>69.85</v>
      </c>
      <c r="N922" s="41" t="n">
        <f aca="false">L922+M922</f>
        <v>609.85</v>
      </c>
      <c r="O922" s="41" t="n">
        <f aca="false">K922-N922</f>
        <v>382.85</v>
      </c>
      <c r="P922" s="43" t="n">
        <f aca="false">IF(K922=0,0,O922/K922)</f>
        <v>0.38566535710688</v>
      </c>
    </row>
    <row r="923" customFormat="false" ht="15" hidden="false" customHeight="false" outlineLevel="0" collapsed="false">
      <c r="A923" s="39" t="s">
        <v>1045</v>
      </c>
      <c r="B923" s="40" t="n">
        <v>45789</v>
      </c>
      <c r="C923" s="39" t="s">
        <v>136</v>
      </c>
      <c r="D923" s="39" t="n">
        <v>3</v>
      </c>
      <c r="E923" s="41" t="n">
        <v>74.84</v>
      </c>
      <c r="F923" s="39" t="s">
        <v>118</v>
      </c>
      <c r="G923" s="39" t="str">
        <f aca="false">VLOOKUP(C923,Products!$A$5:$D$24,2,FALSE())</f>
        <v>Mechanical Keyboard</v>
      </c>
      <c r="H923" s="39" t="str">
        <f aca="false">VLOOKUP(C923,Products!$A$5:$D$24,3,FALSE())</f>
        <v>Electronics</v>
      </c>
      <c r="I923" s="41" t="n">
        <f aca="false">VLOOKUP(C923,Products!$A$5:$D$24,4,FALSE())</f>
        <v>38</v>
      </c>
      <c r="J923" s="42" t="n">
        <f aca="false">DATE(YEAR(B923),MONTH(B923),1)</f>
        <v>45778</v>
      </c>
      <c r="K923" s="41" t="n">
        <f aca="false">D923*E923</f>
        <v>224.52</v>
      </c>
      <c r="L923" s="41" t="n">
        <f aca="false">D923*I923</f>
        <v>114</v>
      </c>
      <c r="M923" s="41" t="n">
        <f aca="false">IFERROR(INDEX(Raw_Expenses!$C$5:$C$2979,MATCH(A923,Raw_Expenses!$A$5:$A$2979,0)),0)</f>
        <v>14.01</v>
      </c>
      <c r="N923" s="41" t="n">
        <f aca="false">L923+M923</f>
        <v>128.01</v>
      </c>
      <c r="O923" s="41" t="n">
        <f aca="false">K923-N923</f>
        <v>96.51</v>
      </c>
      <c r="P923" s="43" t="n">
        <f aca="false">IF(K923=0,0,O923/K923)</f>
        <v>0.429850347407803</v>
      </c>
    </row>
    <row r="924" customFormat="false" ht="15" hidden="false" customHeight="false" outlineLevel="0" collapsed="false">
      <c r="A924" s="39" t="s">
        <v>1046</v>
      </c>
      <c r="B924" s="40" t="n">
        <v>45789</v>
      </c>
      <c r="C924" s="39" t="s">
        <v>107</v>
      </c>
      <c r="D924" s="39" t="n">
        <v>1</v>
      </c>
      <c r="E924" s="41" t="n">
        <v>33.5</v>
      </c>
      <c r="F924" s="39" t="s">
        <v>108</v>
      </c>
      <c r="G924" s="39" t="str">
        <f aca="false">VLOOKUP(C924,Products!$A$5:$D$24,2,FALSE())</f>
        <v>USB-C Hub</v>
      </c>
      <c r="H924" s="39" t="str">
        <f aca="false">VLOOKUP(C924,Products!$A$5:$D$24,3,FALSE())</f>
        <v>Electronics</v>
      </c>
      <c r="I924" s="41" t="n">
        <f aca="false">VLOOKUP(C924,Products!$A$5:$D$24,4,FALSE())</f>
        <v>14</v>
      </c>
      <c r="J924" s="42" t="n">
        <f aca="false">DATE(YEAR(B924),MONTH(B924),1)</f>
        <v>45778</v>
      </c>
      <c r="K924" s="41" t="n">
        <f aca="false">D924*E924</f>
        <v>33.5</v>
      </c>
      <c r="L924" s="41" t="n">
        <f aca="false">D924*I924</f>
        <v>14</v>
      </c>
      <c r="M924" s="41" t="n">
        <f aca="false">IFERROR(INDEX(Raw_Expenses!$C$5:$C$2979,MATCH(A924,Raw_Expenses!$A$5:$A$2979,0)),0)</f>
        <v>2.66</v>
      </c>
      <c r="N924" s="41" t="n">
        <f aca="false">L924+M924</f>
        <v>16.66</v>
      </c>
      <c r="O924" s="41" t="n">
        <f aca="false">K924-N924</f>
        <v>16.84</v>
      </c>
      <c r="P924" s="43" t="n">
        <f aca="false">IF(K924=0,0,O924/K924)</f>
        <v>0.502686567164179</v>
      </c>
    </row>
    <row r="925" customFormat="false" ht="15" hidden="false" customHeight="false" outlineLevel="0" collapsed="false">
      <c r="A925" s="39" t="s">
        <v>1047</v>
      </c>
      <c r="B925" s="40" t="n">
        <v>45789</v>
      </c>
      <c r="C925" s="39" t="s">
        <v>126</v>
      </c>
      <c r="D925" s="39" t="n">
        <v>1</v>
      </c>
      <c r="E925" s="41" t="n">
        <v>24.42</v>
      </c>
      <c r="F925" s="39" t="s">
        <v>105</v>
      </c>
      <c r="G925" s="39" t="str">
        <f aca="false">VLOOKUP(C925,Products!$A$5:$D$24,2,FALSE())</f>
        <v>Wireless Mouse</v>
      </c>
      <c r="H925" s="39" t="str">
        <f aca="false">VLOOKUP(C925,Products!$A$5:$D$24,3,FALSE())</f>
        <v>Electronics</v>
      </c>
      <c r="I925" s="41" t="n">
        <f aca="false">VLOOKUP(C925,Products!$A$5:$D$24,4,FALSE())</f>
        <v>12</v>
      </c>
      <c r="J925" s="42" t="n">
        <f aca="false">DATE(YEAR(B925),MONTH(B925),1)</f>
        <v>45778</v>
      </c>
      <c r="K925" s="41" t="n">
        <f aca="false">D925*E925</f>
        <v>24.42</v>
      </c>
      <c r="L925" s="41" t="n">
        <f aca="false">D925*I925</f>
        <v>12</v>
      </c>
      <c r="M925" s="41" t="n">
        <f aca="false">IFERROR(INDEX(Raw_Expenses!$C$5:$C$2979,MATCH(A925,Raw_Expenses!$A$5:$A$2979,0)),0)</f>
        <v>1.34</v>
      </c>
      <c r="N925" s="41" t="n">
        <f aca="false">L925+M925</f>
        <v>13.34</v>
      </c>
      <c r="O925" s="41" t="n">
        <f aca="false">K925-N925</f>
        <v>11.08</v>
      </c>
      <c r="P925" s="43" t="n">
        <f aca="false">IF(K925=0,0,O925/K925)</f>
        <v>0.453726453726454</v>
      </c>
    </row>
    <row r="926" customFormat="false" ht="15" hidden="false" customHeight="false" outlineLevel="0" collapsed="false">
      <c r="A926" s="39" t="s">
        <v>1048</v>
      </c>
      <c r="B926" s="40" t="n">
        <v>45790</v>
      </c>
      <c r="C926" s="39" t="s">
        <v>183</v>
      </c>
      <c r="D926" s="39" t="n">
        <v>1</v>
      </c>
      <c r="E926" s="41" t="n">
        <v>186.43</v>
      </c>
      <c r="F926" s="39" t="s">
        <v>118</v>
      </c>
      <c r="G926" s="39" t="str">
        <f aca="false">VLOOKUP(C926,Products!$A$5:$D$24,2,FALSE())</f>
        <v>Office Chair</v>
      </c>
      <c r="H926" s="39" t="str">
        <f aca="false">VLOOKUP(C926,Products!$A$5:$D$24,3,FALSE())</f>
        <v>Furniture</v>
      </c>
      <c r="I926" s="41" t="n">
        <f aca="false">VLOOKUP(C926,Products!$A$5:$D$24,4,FALSE())</f>
        <v>85</v>
      </c>
      <c r="J926" s="42" t="n">
        <f aca="false">DATE(YEAR(B926),MONTH(B926),1)</f>
        <v>45778</v>
      </c>
      <c r="K926" s="41" t="n">
        <f aca="false">D926*E926</f>
        <v>186.43</v>
      </c>
      <c r="L926" s="41" t="n">
        <f aca="false">D926*I926</f>
        <v>85</v>
      </c>
      <c r="M926" s="41" t="n">
        <f aca="false">IFERROR(INDEX(Raw_Expenses!$C$5:$C$2979,MATCH(A926,Raw_Expenses!$A$5:$A$2979,0)),0)</f>
        <v>13.9</v>
      </c>
      <c r="N926" s="41" t="n">
        <f aca="false">L926+M926</f>
        <v>98.9</v>
      </c>
      <c r="O926" s="41" t="n">
        <f aca="false">K926-N926</f>
        <v>87.53</v>
      </c>
      <c r="P926" s="43" t="n">
        <f aca="false">IF(K926=0,0,O926/K926)</f>
        <v>0.469505980797082</v>
      </c>
    </row>
    <row r="927" customFormat="false" ht="15" hidden="false" customHeight="false" outlineLevel="0" collapsed="false">
      <c r="A927" s="39" t="s">
        <v>1049</v>
      </c>
      <c r="B927" s="40" t="n">
        <v>45790</v>
      </c>
      <c r="C927" s="39" t="s">
        <v>183</v>
      </c>
      <c r="D927" s="39" t="n">
        <v>2</v>
      </c>
      <c r="E927" s="41" t="n">
        <v>188.95</v>
      </c>
      <c r="F927" s="39" t="s">
        <v>108</v>
      </c>
      <c r="G927" s="39" t="str">
        <f aca="false">VLOOKUP(C927,Products!$A$5:$D$24,2,FALSE())</f>
        <v>Office Chair</v>
      </c>
      <c r="H927" s="39" t="str">
        <f aca="false">VLOOKUP(C927,Products!$A$5:$D$24,3,FALSE())</f>
        <v>Furniture</v>
      </c>
      <c r="I927" s="41" t="n">
        <f aca="false">VLOOKUP(C927,Products!$A$5:$D$24,4,FALSE())</f>
        <v>85</v>
      </c>
      <c r="J927" s="42" t="n">
        <f aca="false">DATE(YEAR(B927),MONTH(B927),1)</f>
        <v>45778</v>
      </c>
      <c r="K927" s="41" t="n">
        <f aca="false">D927*E927</f>
        <v>377.9</v>
      </c>
      <c r="L927" s="41" t="n">
        <f aca="false">D927*I927</f>
        <v>170</v>
      </c>
      <c r="M927" s="41" t="n">
        <f aca="false">IFERROR(INDEX(Raw_Expenses!$C$5:$C$2979,MATCH(A927,Raw_Expenses!$A$5:$A$2979,0)),0)</f>
        <v>28.37</v>
      </c>
      <c r="N927" s="41" t="n">
        <f aca="false">L927+M927</f>
        <v>198.37</v>
      </c>
      <c r="O927" s="41" t="n">
        <f aca="false">K927-N927</f>
        <v>179.53</v>
      </c>
      <c r="P927" s="43" t="n">
        <f aca="false">IF(K927=0,0,O927/K927)</f>
        <v>0.475072770574226</v>
      </c>
    </row>
    <row r="928" customFormat="false" ht="15" hidden="false" customHeight="false" outlineLevel="0" collapsed="false">
      <c r="A928" s="39" t="s">
        <v>1050</v>
      </c>
      <c r="B928" s="40" t="n">
        <v>45790</v>
      </c>
      <c r="C928" s="39" t="s">
        <v>126</v>
      </c>
      <c r="D928" s="39" t="n">
        <v>6</v>
      </c>
      <c r="E928" s="41" t="n">
        <v>23.09</v>
      </c>
      <c r="F928" s="39" t="s">
        <v>108</v>
      </c>
      <c r="G928" s="39" t="str">
        <f aca="false">VLOOKUP(C928,Products!$A$5:$D$24,2,FALSE())</f>
        <v>Wireless Mouse</v>
      </c>
      <c r="H928" s="39" t="str">
        <f aca="false">VLOOKUP(C928,Products!$A$5:$D$24,3,FALSE())</f>
        <v>Electronics</v>
      </c>
      <c r="I928" s="41" t="n">
        <f aca="false">VLOOKUP(C928,Products!$A$5:$D$24,4,FALSE())</f>
        <v>12</v>
      </c>
      <c r="J928" s="42" t="n">
        <f aca="false">DATE(YEAR(B928),MONTH(B928),1)</f>
        <v>45778</v>
      </c>
      <c r="K928" s="41" t="n">
        <f aca="false">D928*E928</f>
        <v>138.54</v>
      </c>
      <c r="L928" s="41" t="n">
        <f aca="false">D928*I928</f>
        <v>72</v>
      </c>
      <c r="M928" s="41" t="n">
        <f aca="false">IFERROR(INDEX(Raw_Expenses!$C$5:$C$2979,MATCH(A928,Raw_Expenses!$A$5:$A$2979,0)),0)</f>
        <v>11.74</v>
      </c>
      <c r="N928" s="41" t="n">
        <f aca="false">L928+M928</f>
        <v>83.74</v>
      </c>
      <c r="O928" s="41" t="n">
        <f aca="false">K928-N928</f>
        <v>54.8</v>
      </c>
      <c r="P928" s="43" t="n">
        <f aca="false">IF(K928=0,0,O928/K928)</f>
        <v>0.39555363072037</v>
      </c>
    </row>
    <row r="929" customFormat="false" ht="15" hidden="false" customHeight="false" outlineLevel="0" collapsed="false">
      <c r="A929" s="39" t="s">
        <v>1051</v>
      </c>
      <c r="B929" s="40" t="n">
        <v>45790</v>
      </c>
      <c r="C929" s="39" t="s">
        <v>144</v>
      </c>
      <c r="D929" s="39" t="n">
        <v>1</v>
      </c>
      <c r="E929" s="41" t="n">
        <v>57.27</v>
      </c>
      <c r="F929" s="39" t="s">
        <v>115</v>
      </c>
      <c r="G929" s="39" t="str">
        <f aca="false">VLOOKUP(C929,Products!$A$5:$D$24,2,FALSE())</f>
        <v>Whiteboard</v>
      </c>
      <c r="H929" s="39" t="str">
        <f aca="false">VLOOKUP(C929,Products!$A$5:$D$24,3,FALSE())</f>
        <v>Furniture</v>
      </c>
      <c r="I929" s="41" t="n">
        <f aca="false">VLOOKUP(C929,Products!$A$5:$D$24,4,FALSE())</f>
        <v>28</v>
      </c>
      <c r="J929" s="42" t="n">
        <f aca="false">DATE(YEAR(B929),MONTH(B929),1)</f>
        <v>45778</v>
      </c>
      <c r="K929" s="41" t="n">
        <f aca="false">D929*E929</f>
        <v>57.27</v>
      </c>
      <c r="L929" s="41" t="n">
        <f aca="false">D929*I929</f>
        <v>28</v>
      </c>
      <c r="M929" s="41" t="n">
        <f aca="false">IFERROR(INDEX(Raw_Expenses!$C$5:$C$2979,MATCH(A929,Raw_Expenses!$A$5:$A$2979,0)),0)</f>
        <v>2.58</v>
      </c>
      <c r="N929" s="41" t="n">
        <f aca="false">L929+M929</f>
        <v>30.58</v>
      </c>
      <c r="O929" s="41" t="n">
        <f aca="false">K929-N929</f>
        <v>26.69</v>
      </c>
      <c r="P929" s="43" t="n">
        <f aca="false">IF(K929=0,0,O929/K929)</f>
        <v>0.466038065304697</v>
      </c>
    </row>
    <row r="930" customFormat="false" ht="15" hidden="false" customHeight="false" outlineLevel="0" collapsed="false">
      <c r="A930" s="39" t="s">
        <v>1052</v>
      </c>
      <c r="B930" s="40" t="n">
        <v>45790</v>
      </c>
      <c r="C930" s="39" t="s">
        <v>130</v>
      </c>
      <c r="D930" s="39" t="n">
        <v>3</v>
      </c>
      <c r="E930" s="41" t="n">
        <v>8.73</v>
      </c>
      <c r="F930" s="39" t="s">
        <v>118</v>
      </c>
      <c r="G930" s="39" t="str">
        <f aca="false">VLOOKUP(C930,Products!$A$5:$D$24,2,FALSE())</f>
        <v>Notebook Set</v>
      </c>
      <c r="H930" s="39" t="str">
        <f aca="false">VLOOKUP(C930,Products!$A$5:$D$24,3,FALSE())</f>
        <v>Stationery</v>
      </c>
      <c r="I930" s="41" t="n">
        <f aca="false">VLOOKUP(C930,Products!$A$5:$D$24,4,FALSE())</f>
        <v>3</v>
      </c>
      <c r="J930" s="42" t="n">
        <f aca="false">DATE(YEAR(B930),MONTH(B930),1)</f>
        <v>45778</v>
      </c>
      <c r="K930" s="41" t="n">
        <f aca="false">D930*E930</f>
        <v>26.19</v>
      </c>
      <c r="L930" s="41" t="n">
        <f aca="false">D930*I930</f>
        <v>9</v>
      </c>
      <c r="M930" s="41" t="n">
        <f aca="false">IFERROR(INDEX(Raw_Expenses!$C$5:$C$2979,MATCH(A930,Raw_Expenses!$A$5:$A$2979,0)),0)</f>
        <v>2.13</v>
      </c>
      <c r="N930" s="41" t="n">
        <f aca="false">L930+M930</f>
        <v>11.13</v>
      </c>
      <c r="O930" s="41" t="n">
        <f aca="false">K930-N930</f>
        <v>15.06</v>
      </c>
      <c r="P930" s="43" t="n">
        <f aca="false">IF(K930=0,0,O930/K930)</f>
        <v>0.575028636884307</v>
      </c>
    </row>
    <row r="931" customFormat="false" ht="15" hidden="false" customHeight="false" outlineLevel="0" collapsed="false">
      <c r="A931" s="39" t="s">
        <v>1053</v>
      </c>
      <c r="B931" s="40" t="n">
        <v>45790</v>
      </c>
      <c r="C931" s="39" t="s">
        <v>169</v>
      </c>
      <c r="D931" s="39" t="n">
        <v>4</v>
      </c>
      <c r="E931" s="41" t="n">
        <v>28.64</v>
      </c>
      <c r="F931" s="39" t="s">
        <v>115</v>
      </c>
      <c r="G931" s="39" t="str">
        <f aca="false">VLOOKUP(C931,Products!$A$5:$D$24,2,FALSE())</f>
        <v>Laptop Stand</v>
      </c>
      <c r="H931" s="39" t="str">
        <f aca="false">VLOOKUP(C931,Products!$A$5:$D$24,3,FALSE())</f>
        <v>Accessories</v>
      </c>
      <c r="I931" s="41" t="n">
        <f aca="false">VLOOKUP(C931,Products!$A$5:$D$24,4,FALSE())</f>
        <v>11</v>
      </c>
      <c r="J931" s="42" t="n">
        <f aca="false">DATE(YEAR(B931),MONTH(B931),1)</f>
        <v>45778</v>
      </c>
      <c r="K931" s="41" t="n">
        <f aca="false">D931*E931</f>
        <v>114.56</v>
      </c>
      <c r="L931" s="41" t="n">
        <f aca="false">D931*I931</f>
        <v>44</v>
      </c>
      <c r="M931" s="41" t="n">
        <f aca="false">IFERROR(INDEX(Raw_Expenses!$C$5:$C$2979,MATCH(A931,Raw_Expenses!$A$5:$A$2979,0)),0)</f>
        <v>6.87</v>
      </c>
      <c r="N931" s="41" t="n">
        <f aca="false">L931+M931</f>
        <v>50.87</v>
      </c>
      <c r="O931" s="41" t="n">
        <f aca="false">K931-N931</f>
        <v>63.69</v>
      </c>
      <c r="P931" s="43" t="n">
        <f aca="false">IF(K931=0,0,O931/K931)</f>
        <v>0.555953212290503</v>
      </c>
    </row>
    <row r="932" customFormat="false" ht="15" hidden="false" customHeight="false" outlineLevel="0" collapsed="false">
      <c r="A932" s="39" t="s">
        <v>1054</v>
      </c>
      <c r="B932" s="40" t="n">
        <v>45790</v>
      </c>
      <c r="C932" s="39" t="s">
        <v>114</v>
      </c>
      <c r="D932" s="39" t="n">
        <v>3</v>
      </c>
      <c r="E932" s="41" t="n">
        <v>5.69</v>
      </c>
      <c r="F932" s="39" t="s">
        <v>115</v>
      </c>
      <c r="G932" s="39" t="str">
        <f aca="false">VLOOKUP(C932,Products!$A$5:$D$24,2,FALSE())</f>
        <v>Gel Pen Pack</v>
      </c>
      <c r="H932" s="39" t="str">
        <f aca="false">VLOOKUP(C932,Products!$A$5:$D$24,3,FALSE())</f>
        <v>Stationery</v>
      </c>
      <c r="I932" s="41" t="n">
        <f aca="false">VLOOKUP(C932,Products!$A$5:$D$24,4,FALSE())</f>
        <v>2</v>
      </c>
      <c r="J932" s="42" t="n">
        <f aca="false">DATE(YEAR(B932),MONTH(B932),1)</f>
        <v>45778</v>
      </c>
      <c r="K932" s="41" t="n">
        <f aca="false">D932*E932</f>
        <v>17.07</v>
      </c>
      <c r="L932" s="41" t="n">
        <f aca="false">D932*I932</f>
        <v>6</v>
      </c>
      <c r="M932" s="41" t="n">
        <f aca="false">IFERROR(INDEX(Raw_Expenses!$C$5:$C$2979,MATCH(A932,Raw_Expenses!$A$5:$A$2979,0)),0)</f>
        <v>1.01</v>
      </c>
      <c r="N932" s="41" t="n">
        <f aca="false">L932+M932</f>
        <v>7.01</v>
      </c>
      <c r="O932" s="41" t="n">
        <f aca="false">K932-N932</f>
        <v>10.06</v>
      </c>
      <c r="P932" s="43" t="n">
        <f aca="false">IF(K932=0,0,O932/K932)</f>
        <v>0.589338019917985</v>
      </c>
    </row>
    <row r="933" customFormat="false" ht="15" hidden="false" customHeight="false" outlineLevel="0" collapsed="false">
      <c r="A933" s="39" t="s">
        <v>1055</v>
      </c>
      <c r="B933" s="40" t="n">
        <v>45790</v>
      </c>
      <c r="C933" s="39" t="s">
        <v>139</v>
      </c>
      <c r="D933" s="39" t="n">
        <v>4</v>
      </c>
      <c r="E933" s="41" t="n">
        <v>125.32</v>
      </c>
      <c r="F933" s="39" t="s">
        <v>115</v>
      </c>
      <c r="G933" s="39" t="str">
        <f aca="false">VLOOKUP(C933,Products!$A$5:$D$24,2,FALSE())</f>
        <v>Noise-Cancelling Headphones</v>
      </c>
      <c r="H933" s="39" t="str">
        <f aca="false">VLOOKUP(C933,Products!$A$5:$D$24,3,FALSE())</f>
        <v>Electronics</v>
      </c>
      <c r="I933" s="41" t="n">
        <f aca="false">VLOOKUP(C933,Products!$A$5:$D$24,4,FALSE())</f>
        <v>55</v>
      </c>
      <c r="J933" s="42" t="n">
        <f aca="false">DATE(YEAR(B933),MONTH(B933),1)</f>
        <v>45778</v>
      </c>
      <c r="K933" s="41" t="n">
        <f aca="false">D933*E933</f>
        <v>501.28</v>
      </c>
      <c r="L933" s="41" t="n">
        <f aca="false">D933*I933</f>
        <v>220</v>
      </c>
      <c r="M933" s="41" t="n">
        <f aca="false">IFERROR(INDEX(Raw_Expenses!$C$5:$C$2979,MATCH(A933,Raw_Expenses!$A$5:$A$2979,0)),0)</f>
        <v>21.5</v>
      </c>
      <c r="N933" s="41" t="n">
        <f aca="false">L933+M933</f>
        <v>241.5</v>
      </c>
      <c r="O933" s="41" t="n">
        <f aca="false">K933-N933</f>
        <v>259.78</v>
      </c>
      <c r="P933" s="43" t="n">
        <f aca="false">IF(K933=0,0,O933/K933)</f>
        <v>0.518233322693904</v>
      </c>
    </row>
    <row r="934" customFormat="false" ht="15" hidden="false" customHeight="false" outlineLevel="0" collapsed="false">
      <c r="A934" s="39" t="s">
        <v>1056</v>
      </c>
      <c r="B934" s="40" t="n">
        <v>45791</v>
      </c>
      <c r="C934" s="39" t="s">
        <v>139</v>
      </c>
      <c r="D934" s="39" t="n">
        <v>2</v>
      </c>
      <c r="E934" s="41" t="n">
        <v>128</v>
      </c>
      <c r="F934" s="39" t="s">
        <v>108</v>
      </c>
      <c r="G934" s="39" t="str">
        <f aca="false">VLOOKUP(C934,Products!$A$5:$D$24,2,FALSE())</f>
        <v>Noise-Cancelling Headphones</v>
      </c>
      <c r="H934" s="39" t="str">
        <f aca="false">VLOOKUP(C934,Products!$A$5:$D$24,3,FALSE())</f>
        <v>Electronics</v>
      </c>
      <c r="I934" s="41" t="n">
        <f aca="false">VLOOKUP(C934,Products!$A$5:$D$24,4,FALSE())</f>
        <v>55</v>
      </c>
      <c r="J934" s="42" t="n">
        <f aca="false">DATE(YEAR(B934),MONTH(B934),1)</f>
        <v>45778</v>
      </c>
      <c r="K934" s="41" t="n">
        <f aca="false">D934*E934</f>
        <v>256</v>
      </c>
      <c r="L934" s="41" t="n">
        <f aca="false">D934*I934</f>
        <v>110</v>
      </c>
      <c r="M934" s="41" t="n">
        <f aca="false">IFERROR(INDEX(Raw_Expenses!$C$5:$C$2979,MATCH(A934,Raw_Expenses!$A$5:$A$2979,0)),0)</f>
        <v>21.17</v>
      </c>
      <c r="N934" s="41" t="n">
        <f aca="false">L934+M934</f>
        <v>131.17</v>
      </c>
      <c r="O934" s="41" t="n">
        <f aca="false">K934-N934</f>
        <v>124.83</v>
      </c>
      <c r="P934" s="43" t="n">
        <f aca="false">IF(K934=0,0,O934/K934)</f>
        <v>0.4876171875</v>
      </c>
    </row>
    <row r="935" customFormat="false" ht="15" hidden="false" customHeight="false" outlineLevel="0" collapsed="false">
      <c r="A935" s="39" t="s">
        <v>1057</v>
      </c>
      <c r="B935" s="40" t="n">
        <v>45791</v>
      </c>
      <c r="C935" s="39" t="s">
        <v>126</v>
      </c>
      <c r="D935" s="39" t="n">
        <v>2</v>
      </c>
      <c r="E935" s="41" t="n">
        <v>24.1</v>
      </c>
      <c r="F935" s="39" t="s">
        <v>118</v>
      </c>
      <c r="G935" s="39" t="str">
        <f aca="false">VLOOKUP(C935,Products!$A$5:$D$24,2,FALSE())</f>
        <v>Wireless Mouse</v>
      </c>
      <c r="H935" s="39" t="str">
        <f aca="false">VLOOKUP(C935,Products!$A$5:$D$24,3,FALSE())</f>
        <v>Electronics</v>
      </c>
      <c r="I935" s="41" t="n">
        <f aca="false">VLOOKUP(C935,Products!$A$5:$D$24,4,FALSE())</f>
        <v>12</v>
      </c>
      <c r="J935" s="42" t="n">
        <f aca="false">DATE(YEAR(B935),MONTH(B935),1)</f>
        <v>45778</v>
      </c>
      <c r="K935" s="41" t="n">
        <f aca="false">D935*E935</f>
        <v>48.2</v>
      </c>
      <c r="L935" s="41" t="n">
        <f aca="false">D935*I935</f>
        <v>24</v>
      </c>
      <c r="M935" s="41" t="n">
        <f aca="false">IFERROR(INDEX(Raw_Expenses!$C$5:$C$2979,MATCH(A935,Raw_Expenses!$A$5:$A$2979,0)),0)</f>
        <v>2.11</v>
      </c>
      <c r="N935" s="41" t="n">
        <f aca="false">L935+M935</f>
        <v>26.11</v>
      </c>
      <c r="O935" s="41" t="n">
        <f aca="false">K935-N935</f>
        <v>22.09</v>
      </c>
      <c r="P935" s="43" t="n">
        <f aca="false">IF(K935=0,0,O935/K935)</f>
        <v>0.458298755186722</v>
      </c>
    </row>
    <row r="936" customFormat="false" ht="15" hidden="false" customHeight="false" outlineLevel="0" collapsed="false">
      <c r="A936" s="39" t="s">
        <v>1058</v>
      </c>
      <c r="B936" s="40" t="n">
        <v>45791</v>
      </c>
      <c r="C936" s="39" t="s">
        <v>130</v>
      </c>
      <c r="D936" s="39" t="n">
        <v>1</v>
      </c>
      <c r="E936" s="41" t="n">
        <v>8.79</v>
      </c>
      <c r="F936" s="39" t="s">
        <v>118</v>
      </c>
      <c r="G936" s="39" t="str">
        <f aca="false">VLOOKUP(C936,Products!$A$5:$D$24,2,FALSE())</f>
        <v>Notebook Set</v>
      </c>
      <c r="H936" s="39" t="str">
        <f aca="false">VLOOKUP(C936,Products!$A$5:$D$24,3,FALSE())</f>
        <v>Stationery</v>
      </c>
      <c r="I936" s="41" t="n">
        <f aca="false">VLOOKUP(C936,Products!$A$5:$D$24,4,FALSE())</f>
        <v>3</v>
      </c>
      <c r="J936" s="42" t="n">
        <f aca="false">DATE(YEAR(B936),MONTH(B936),1)</f>
        <v>45778</v>
      </c>
      <c r="K936" s="41" t="n">
        <f aca="false">D936*E936</f>
        <v>8.79</v>
      </c>
      <c r="L936" s="41" t="n">
        <f aca="false">D936*I936</f>
        <v>3</v>
      </c>
      <c r="M936" s="41" t="n">
        <f aca="false">IFERROR(INDEX(Raw_Expenses!$C$5:$C$2979,MATCH(A936,Raw_Expenses!$A$5:$A$2979,0)),0)</f>
        <v>0.44</v>
      </c>
      <c r="N936" s="41" t="n">
        <f aca="false">L936+M936</f>
        <v>3.44</v>
      </c>
      <c r="O936" s="41" t="n">
        <f aca="false">K936-N936</f>
        <v>5.35</v>
      </c>
      <c r="P936" s="43" t="n">
        <f aca="false">IF(K936=0,0,O936/K936)</f>
        <v>0.608646188850967</v>
      </c>
    </row>
    <row r="937" customFormat="false" ht="15" hidden="false" customHeight="false" outlineLevel="0" collapsed="false">
      <c r="A937" s="39" t="s">
        <v>1059</v>
      </c>
      <c r="B937" s="40" t="n">
        <v>45791</v>
      </c>
      <c r="C937" s="39" t="s">
        <v>133</v>
      </c>
      <c r="D937" s="39" t="n">
        <v>1</v>
      </c>
      <c r="E937" s="41" t="n">
        <v>8.45</v>
      </c>
      <c r="F937" s="39" t="s">
        <v>108</v>
      </c>
      <c r="G937" s="39" t="str">
        <f aca="false">VLOOKUP(C937,Products!$A$5:$D$24,2,FALSE())</f>
        <v>Printer Paper Ream</v>
      </c>
      <c r="H937" s="39" t="str">
        <f aca="false">VLOOKUP(C937,Products!$A$5:$D$24,3,FALSE())</f>
        <v>Stationery</v>
      </c>
      <c r="I937" s="41" t="n">
        <f aca="false">VLOOKUP(C937,Products!$A$5:$D$24,4,FALSE())</f>
        <v>4</v>
      </c>
      <c r="J937" s="42" t="n">
        <f aca="false">DATE(YEAR(B937),MONTH(B937),1)</f>
        <v>45778</v>
      </c>
      <c r="K937" s="41" t="n">
        <f aca="false">D937*E937</f>
        <v>8.45</v>
      </c>
      <c r="L937" s="41" t="n">
        <f aca="false">D937*I937</f>
        <v>4</v>
      </c>
      <c r="M937" s="41" t="n">
        <f aca="false">IFERROR(INDEX(Raw_Expenses!$C$5:$C$2979,MATCH(A937,Raw_Expenses!$A$5:$A$2979,0)),0)</f>
        <v>0.42</v>
      </c>
      <c r="N937" s="41" t="n">
        <f aca="false">L937+M937</f>
        <v>4.42</v>
      </c>
      <c r="O937" s="41" t="n">
        <f aca="false">K937-N937</f>
        <v>4.03</v>
      </c>
      <c r="P937" s="43" t="n">
        <f aca="false">IF(K937=0,0,O937/K937)</f>
        <v>0.476923076923077</v>
      </c>
    </row>
    <row r="938" customFormat="false" ht="15" hidden="false" customHeight="false" outlineLevel="0" collapsed="false">
      <c r="A938" s="39" t="s">
        <v>1060</v>
      </c>
      <c r="B938" s="40" t="n">
        <v>45791</v>
      </c>
      <c r="C938" s="39" t="s">
        <v>104</v>
      </c>
      <c r="D938" s="39" t="n">
        <v>2</v>
      </c>
      <c r="E938" s="41" t="n">
        <v>14.81</v>
      </c>
      <c r="F938" s="39" t="s">
        <v>118</v>
      </c>
      <c r="G938" s="39" t="str">
        <f aca="false">VLOOKUP(C938,Products!$A$5:$D$24,2,FALSE())</f>
        <v>Water Bottle</v>
      </c>
      <c r="H938" s="39" t="str">
        <f aca="false">VLOOKUP(C938,Products!$A$5:$D$24,3,FALSE())</f>
        <v>Accessories</v>
      </c>
      <c r="I938" s="41" t="n">
        <f aca="false">VLOOKUP(C938,Products!$A$5:$D$24,4,FALSE())</f>
        <v>5</v>
      </c>
      <c r="J938" s="42" t="n">
        <f aca="false">DATE(YEAR(B938),MONTH(B938),1)</f>
        <v>45778</v>
      </c>
      <c r="K938" s="41" t="n">
        <f aca="false">D938*E938</f>
        <v>29.62</v>
      </c>
      <c r="L938" s="41" t="n">
        <f aca="false">D938*I938</f>
        <v>10</v>
      </c>
      <c r="M938" s="41" t="n">
        <f aca="false">IFERROR(INDEX(Raw_Expenses!$C$5:$C$2979,MATCH(A938,Raw_Expenses!$A$5:$A$2979,0)),0)</f>
        <v>2.45</v>
      </c>
      <c r="N938" s="41" t="n">
        <f aca="false">L938+M938</f>
        <v>12.45</v>
      </c>
      <c r="O938" s="41" t="n">
        <f aca="false">K938-N938</f>
        <v>17.17</v>
      </c>
      <c r="P938" s="43" t="n">
        <f aca="false">IF(K938=0,0,O938/K938)</f>
        <v>0.579675894665766</v>
      </c>
    </row>
    <row r="939" customFormat="false" ht="15" hidden="false" customHeight="false" outlineLevel="0" collapsed="false">
      <c r="A939" s="39" t="s">
        <v>1061</v>
      </c>
      <c r="B939" s="40" t="n">
        <v>45791</v>
      </c>
      <c r="C939" s="39" t="s">
        <v>130</v>
      </c>
      <c r="D939" s="39" t="n">
        <v>2</v>
      </c>
      <c r="E939" s="41" t="n">
        <v>8.98</v>
      </c>
      <c r="F939" s="39" t="s">
        <v>105</v>
      </c>
      <c r="G939" s="39" t="str">
        <f aca="false">VLOOKUP(C939,Products!$A$5:$D$24,2,FALSE())</f>
        <v>Notebook Set</v>
      </c>
      <c r="H939" s="39" t="str">
        <f aca="false">VLOOKUP(C939,Products!$A$5:$D$24,3,FALSE())</f>
        <v>Stationery</v>
      </c>
      <c r="I939" s="41" t="n">
        <f aca="false">VLOOKUP(C939,Products!$A$5:$D$24,4,FALSE())</f>
        <v>3</v>
      </c>
      <c r="J939" s="42" t="n">
        <f aca="false">DATE(YEAR(B939),MONTH(B939),1)</f>
        <v>45778</v>
      </c>
      <c r="K939" s="41" t="n">
        <f aca="false">D939*E939</f>
        <v>17.96</v>
      </c>
      <c r="L939" s="41" t="n">
        <f aca="false">D939*I939</f>
        <v>6</v>
      </c>
      <c r="M939" s="41" t="n">
        <f aca="false">IFERROR(INDEX(Raw_Expenses!$C$5:$C$2979,MATCH(A939,Raw_Expenses!$A$5:$A$2979,0)),0)</f>
        <v>1.25</v>
      </c>
      <c r="N939" s="41" t="n">
        <f aca="false">L939+M939</f>
        <v>7.25</v>
      </c>
      <c r="O939" s="41" t="n">
        <f aca="false">K939-N939</f>
        <v>10.71</v>
      </c>
      <c r="P939" s="43" t="n">
        <f aca="false">IF(K939=0,0,O939/K939)</f>
        <v>0.596325167037862</v>
      </c>
    </row>
    <row r="940" customFormat="false" ht="15" hidden="false" customHeight="false" outlineLevel="0" collapsed="false">
      <c r="A940" s="39" t="s">
        <v>1062</v>
      </c>
      <c r="B940" s="40" t="n">
        <v>45791</v>
      </c>
      <c r="C940" s="39" t="s">
        <v>183</v>
      </c>
      <c r="D940" s="39" t="n">
        <v>5</v>
      </c>
      <c r="E940" s="41" t="n">
        <v>176.19</v>
      </c>
      <c r="F940" s="39" t="s">
        <v>118</v>
      </c>
      <c r="G940" s="39" t="str">
        <f aca="false">VLOOKUP(C940,Products!$A$5:$D$24,2,FALSE())</f>
        <v>Office Chair</v>
      </c>
      <c r="H940" s="39" t="str">
        <f aca="false">VLOOKUP(C940,Products!$A$5:$D$24,3,FALSE())</f>
        <v>Furniture</v>
      </c>
      <c r="I940" s="41" t="n">
        <f aca="false">VLOOKUP(C940,Products!$A$5:$D$24,4,FALSE())</f>
        <v>85</v>
      </c>
      <c r="J940" s="42" t="n">
        <f aca="false">DATE(YEAR(B940),MONTH(B940),1)</f>
        <v>45778</v>
      </c>
      <c r="K940" s="41" t="n">
        <f aca="false">D940*E940</f>
        <v>880.95</v>
      </c>
      <c r="L940" s="41" t="n">
        <f aca="false">D940*I940</f>
        <v>425</v>
      </c>
      <c r="M940" s="41" t="n">
        <f aca="false">IFERROR(INDEX(Raw_Expenses!$C$5:$C$2979,MATCH(A940,Raw_Expenses!$A$5:$A$2979,0)),0)</f>
        <v>62.55</v>
      </c>
      <c r="N940" s="41" t="n">
        <f aca="false">L940+M940</f>
        <v>487.55</v>
      </c>
      <c r="O940" s="41" t="n">
        <f aca="false">K940-N940</f>
        <v>393.4</v>
      </c>
      <c r="P940" s="43" t="n">
        <f aca="false">IF(K940=0,0,O940/K940)</f>
        <v>0.446563369090187</v>
      </c>
    </row>
    <row r="941" customFormat="false" ht="15" hidden="false" customHeight="false" outlineLevel="0" collapsed="false">
      <c r="A941" s="39" t="s">
        <v>1063</v>
      </c>
      <c r="B941" s="40" t="n">
        <v>45791</v>
      </c>
      <c r="C941" s="39" t="s">
        <v>136</v>
      </c>
      <c r="D941" s="39" t="n">
        <v>3</v>
      </c>
      <c r="E941" s="41" t="n">
        <v>77.01</v>
      </c>
      <c r="F941" s="39" t="s">
        <v>118</v>
      </c>
      <c r="G941" s="39" t="str">
        <f aca="false">VLOOKUP(C941,Products!$A$5:$D$24,2,FALSE())</f>
        <v>Mechanical Keyboard</v>
      </c>
      <c r="H941" s="39" t="str">
        <f aca="false">VLOOKUP(C941,Products!$A$5:$D$24,3,FALSE())</f>
        <v>Electronics</v>
      </c>
      <c r="I941" s="41" t="n">
        <f aca="false">VLOOKUP(C941,Products!$A$5:$D$24,4,FALSE())</f>
        <v>38</v>
      </c>
      <c r="J941" s="42" t="n">
        <f aca="false">DATE(YEAR(B941),MONTH(B941),1)</f>
        <v>45778</v>
      </c>
      <c r="K941" s="41" t="n">
        <f aca="false">D941*E941</f>
        <v>231.03</v>
      </c>
      <c r="L941" s="41" t="n">
        <f aca="false">D941*I941</f>
        <v>114</v>
      </c>
      <c r="M941" s="41" t="n">
        <f aca="false">IFERROR(INDEX(Raw_Expenses!$C$5:$C$2979,MATCH(A941,Raw_Expenses!$A$5:$A$2979,0)),0)</f>
        <v>13.98</v>
      </c>
      <c r="N941" s="41" t="n">
        <f aca="false">L941+M941</f>
        <v>127.98</v>
      </c>
      <c r="O941" s="41" t="n">
        <f aca="false">K941-N941</f>
        <v>103.05</v>
      </c>
      <c r="P941" s="43" t="n">
        <f aca="false">IF(K941=0,0,O941/K941)</f>
        <v>0.446045968056097</v>
      </c>
    </row>
    <row r="942" customFormat="false" ht="15" hidden="false" customHeight="false" outlineLevel="0" collapsed="false">
      <c r="A942" s="39" t="s">
        <v>1064</v>
      </c>
      <c r="B942" s="40" t="n">
        <v>45791</v>
      </c>
      <c r="C942" s="39" t="s">
        <v>114</v>
      </c>
      <c r="D942" s="39" t="n">
        <v>1</v>
      </c>
      <c r="E942" s="41" t="n">
        <v>5.58</v>
      </c>
      <c r="F942" s="39" t="s">
        <v>118</v>
      </c>
      <c r="G942" s="39" t="str">
        <f aca="false">VLOOKUP(C942,Products!$A$5:$D$24,2,FALSE())</f>
        <v>Gel Pen Pack</v>
      </c>
      <c r="H942" s="39" t="str">
        <f aca="false">VLOOKUP(C942,Products!$A$5:$D$24,3,FALSE())</f>
        <v>Stationery</v>
      </c>
      <c r="I942" s="41" t="n">
        <f aca="false">VLOOKUP(C942,Products!$A$5:$D$24,4,FALSE())</f>
        <v>2</v>
      </c>
      <c r="J942" s="42" t="n">
        <f aca="false">DATE(YEAR(B942),MONTH(B942),1)</f>
        <v>45778</v>
      </c>
      <c r="K942" s="41" t="n">
        <f aca="false">D942*E942</f>
        <v>5.58</v>
      </c>
      <c r="L942" s="41" t="n">
        <f aca="false">D942*I942</f>
        <v>2</v>
      </c>
      <c r="M942" s="41" t="n">
        <f aca="false">IFERROR(INDEX(Raw_Expenses!$C$5:$C$2979,MATCH(A942,Raw_Expenses!$A$5:$A$2979,0)),0)</f>
        <v>0.39</v>
      </c>
      <c r="N942" s="41" t="n">
        <f aca="false">L942+M942</f>
        <v>2.39</v>
      </c>
      <c r="O942" s="41" t="n">
        <f aca="false">K942-N942</f>
        <v>3.19</v>
      </c>
      <c r="P942" s="43" t="n">
        <f aca="false">IF(K942=0,0,O942/K942)</f>
        <v>0.57168458781362</v>
      </c>
    </row>
    <row r="943" customFormat="false" ht="15" hidden="false" customHeight="false" outlineLevel="0" collapsed="false">
      <c r="A943" s="39" t="s">
        <v>1065</v>
      </c>
      <c r="B943" s="40" t="n">
        <v>45791</v>
      </c>
      <c r="C943" s="39" t="s">
        <v>110</v>
      </c>
      <c r="D943" s="39" t="n">
        <v>2</v>
      </c>
      <c r="E943" s="41" t="n">
        <v>13.25</v>
      </c>
      <c r="F943" s="39" t="s">
        <v>108</v>
      </c>
      <c r="G943" s="39" t="str">
        <f aca="false">VLOOKUP(C943,Products!$A$5:$D$24,2,FALSE())</f>
        <v>Phone Stand</v>
      </c>
      <c r="H943" s="39" t="str">
        <f aca="false">VLOOKUP(C943,Products!$A$5:$D$24,3,FALSE())</f>
        <v>Accessories</v>
      </c>
      <c r="I943" s="41" t="n">
        <f aca="false">VLOOKUP(C943,Products!$A$5:$D$24,4,FALSE())</f>
        <v>4</v>
      </c>
      <c r="J943" s="42" t="n">
        <f aca="false">DATE(YEAR(B943),MONTH(B943),1)</f>
        <v>45778</v>
      </c>
      <c r="K943" s="41" t="n">
        <f aca="false">D943*E943</f>
        <v>26.5</v>
      </c>
      <c r="L943" s="41" t="n">
        <f aca="false">D943*I943</f>
        <v>8</v>
      </c>
      <c r="M943" s="41" t="n">
        <f aca="false">IFERROR(INDEX(Raw_Expenses!$C$5:$C$2979,MATCH(A943,Raw_Expenses!$A$5:$A$2979,0)),0)</f>
        <v>1.92</v>
      </c>
      <c r="N943" s="41" t="n">
        <f aca="false">L943+M943</f>
        <v>9.92</v>
      </c>
      <c r="O943" s="41" t="n">
        <f aca="false">K943-N943</f>
        <v>16.58</v>
      </c>
      <c r="P943" s="43" t="n">
        <f aca="false">IF(K943=0,0,O943/K943)</f>
        <v>0.62566037735849</v>
      </c>
    </row>
    <row r="944" customFormat="false" ht="15" hidden="false" customHeight="false" outlineLevel="0" collapsed="false">
      <c r="A944" s="39" t="s">
        <v>1066</v>
      </c>
      <c r="B944" s="40" t="n">
        <v>45791</v>
      </c>
      <c r="C944" s="39" t="s">
        <v>121</v>
      </c>
      <c r="D944" s="39" t="n">
        <v>3</v>
      </c>
      <c r="E944" s="41" t="n">
        <v>109.79</v>
      </c>
      <c r="F944" s="39" t="s">
        <v>105</v>
      </c>
      <c r="G944" s="39" t="str">
        <f aca="false">VLOOKUP(C944,Products!$A$5:$D$24,2,FALSE())</f>
        <v>External SSD 1TB</v>
      </c>
      <c r="H944" s="39" t="str">
        <f aca="false">VLOOKUP(C944,Products!$A$5:$D$24,3,FALSE())</f>
        <v>Electronics</v>
      </c>
      <c r="I944" s="41" t="n">
        <f aca="false">VLOOKUP(C944,Products!$A$5:$D$24,4,FALSE())</f>
        <v>62</v>
      </c>
      <c r="J944" s="42" t="n">
        <f aca="false">DATE(YEAR(B944),MONTH(B944),1)</f>
        <v>45778</v>
      </c>
      <c r="K944" s="41" t="n">
        <f aca="false">D944*E944</f>
        <v>329.37</v>
      </c>
      <c r="L944" s="41" t="n">
        <f aca="false">D944*I944</f>
        <v>186</v>
      </c>
      <c r="M944" s="41" t="n">
        <f aca="false">IFERROR(INDEX(Raw_Expenses!$C$5:$C$2979,MATCH(A944,Raw_Expenses!$A$5:$A$2979,0)),0)</f>
        <v>22.73</v>
      </c>
      <c r="N944" s="41" t="n">
        <f aca="false">L944+M944</f>
        <v>208.73</v>
      </c>
      <c r="O944" s="41" t="n">
        <f aca="false">K944-N944</f>
        <v>120.64</v>
      </c>
      <c r="P944" s="43" t="n">
        <f aca="false">IF(K944=0,0,O944/K944)</f>
        <v>0.366275009867323</v>
      </c>
    </row>
    <row r="945" customFormat="false" ht="15" hidden="false" customHeight="false" outlineLevel="0" collapsed="false">
      <c r="A945" s="39" t="s">
        <v>1067</v>
      </c>
      <c r="B945" s="40" t="n">
        <v>45792</v>
      </c>
      <c r="C945" s="39" t="s">
        <v>139</v>
      </c>
      <c r="D945" s="39" t="n">
        <v>3</v>
      </c>
      <c r="E945" s="41" t="n">
        <v>123.82</v>
      </c>
      <c r="F945" s="39" t="s">
        <v>105</v>
      </c>
      <c r="G945" s="39" t="str">
        <f aca="false">VLOOKUP(C945,Products!$A$5:$D$24,2,FALSE())</f>
        <v>Noise-Cancelling Headphones</v>
      </c>
      <c r="H945" s="39" t="str">
        <f aca="false">VLOOKUP(C945,Products!$A$5:$D$24,3,FALSE())</f>
        <v>Electronics</v>
      </c>
      <c r="I945" s="41" t="n">
        <f aca="false">VLOOKUP(C945,Products!$A$5:$D$24,4,FALSE())</f>
        <v>55</v>
      </c>
      <c r="J945" s="42" t="n">
        <f aca="false">DATE(YEAR(B945),MONTH(B945),1)</f>
        <v>45778</v>
      </c>
      <c r="K945" s="41" t="n">
        <f aca="false">D945*E945</f>
        <v>371.46</v>
      </c>
      <c r="L945" s="41" t="n">
        <f aca="false">D945*I945</f>
        <v>165</v>
      </c>
      <c r="M945" s="41" t="n">
        <f aca="false">IFERROR(INDEX(Raw_Expenses!$C$5:$C$2979,MATCH(A945,Raw_Expenses!$A$5:$A$2979,0)),0)</f>
        <v>31.2</v>
      </c>
      <c r="N945" s="41" t="n">
        <f aca="false">L945+M945</f>
        <v>196.2</v>
      </c>
      <c r="O945" s="41" t="n">
        <f aca="false">K945-N945</f>
        <v>175.26</v>
      </c>
      <c r="P945" s="43" t="n">
        <f aca="false">IF(K945=0,0,O945/K945)</f>
        <v>0.471813923437248</v>
      </c>
    </row>
    <row r="946" customFormat="false" ht="15" hidden="false" customHeight="false" outlineLevel="0" collapsed="false">
      <c r="A946" s="39" t="s">
        <v>1068</v>
      </c>
      <c r="B946" s="40" t="n">
        <v>45792</v>
      </c>
      <c r="C946" s="39" t="s">
        <v>130</v>
      </c>
      <c r="D946" s="39" t="n">
        <v>4</v>
      </c>
      <c r="E946" s="41" t="n">
        <v>8.41</v>
      </c>
      <c r="F946" s="39" t="s">
        <v>115</v>
      </c>
      <c r="G946" s="39" t="str">
        <f aca="false">VLOOKUP(C946,Products!$A$5:$D$24,2,FALSE())</f>
        <v>Notebook Set</v>
      </c>
      <c r="H946" s="39" t="str">
        <f aca="false">VLOOKUP(C946,Products!$A$5:$D$24,3,FALSE())</f>
        <v>Stationery</v>
      </c>
      <c r="I946" s="41" t="n">
        <f aca="false">VLOOKUP(C946,Products!$A$5:$D$24,4,FALSE())</f>
        <v>3</v>
      </c>
      <c r="J946" s="42" t="n">
        <f aca="false">DATE(YEAR(B946),MONTH(B946),1)</f>
        <v>45778</v>
      </c>
      <c r="K946" s="41" t="n">
        <f aca="false">D946*E946</f>
        <v>33.64</v>
      </c>
      <c r="L946" s="41" t="n">
        <f aca="false">D946*I946</f>
        <v>12</v>
      </c>
      <c r="M946" s="41" t="n">
        <f aca="false">IFERROR(INDEX(Raw_Expenses!$C$5:$C$2979,MATCH(A946,Raw_Expenses!$A$5:$A$2979,0)),0)</f>
        <v>1.91</v>
      </c>
      <c r="N946" s="41" t="n">
        <f aca="false">L946+M946</f>
        <v>13.91</v>
      </c>
      <c r="O946" s="41" t="n">
        <f aca="false">K946-N946</f>
        <v>19.73</v>
      </c>
      <c r="P946" s="43" t="n">
        <f aca="false">IF(K946=0,0,O946/K946)</f>
        <v>0.586504161712247</v>
      </c>
    </row>
    <row r="947" customFormat="false" ht="15" hidden="false" customHeight="false" outlineLevel="0" collapsed="false">
      <c r="A947" s="39" t="s">
        <v>1069</v>
      </c>
      <c r="B947" s="40" t="n">
        <v>45792</v>
      </c>
      <c r="C947" s="39" t="s">
        <v>153</v>
      </c>
      <c r="D947" s="39" t="n">
        <v>1</v>
      </c>
      <c r="E947" s="41" t="n">
        <v>174.99</v>
      </c>
      <c r="F947" s="39" t="s">
        <v>105</v>
      </c>
      <c r="G947" s="39" t="str">
        <f aca="false">VLOOKUP(C947,Products!$A$5:$D$24,2,FALSE())</f>
        <v>24-inch Monitor</v>
      </c>
      <c r="H947" s="39" t="str">
        <f aca="false">VLOOKUP(C947,Products!$A$5:$D$24,3,FALSE())</f>
        <v>Electronics</v>
      </c>
      <c r="I947" s="41" t="n">
        <f aca="false">VLOOKUP(C947,Products!$A$5:$D$24,4,FALSE())</f>
        <v>90</v>
      </c>
      <c r="J947" s="42" t="n">
        <f aca="false">DATE(YEAR(B947),MONTH(B947),1)</f>
        <v>45778</v>
      </c>
      <c r="K947" s="41" t="n">
        <f aca="false">D947*E947</f>
        <v>174.99</v>
      </c>
      <c r="L947" s="41" t="n">
        <f aca="false">D947*I947</f>
        <v>90</v>
      </c>
      <c r="M947" s="41" t="n">
        <f aca="false">IFERROR(INDEX(Raw_Expenses!$C$5:$C$2979,MATCH(A947,Raw_Expenses!$A$5:$A$2979,0)),0)</f>
        <v>8.42</v>
      </c>
      <c r="N947" s="41" t="n">
        <f aca="false">L947+M947</f>
        <v>98.42</v>
      </c>
      <c r="O947" s="41" t="n">
        <f aca="false">K947-N947</f>
        <v>76.57</v>
      </c>
      <c r="P947" s="43" t="n">
        <f aca="false">IF(K947=0,0,O947/K947)</f>
        <v>0.43756786102063</v>
      </c>
    </row>
    <row r="948" customFormat="false" ht="15" hidden="false" customHeight="false" outlineLevel="0" collapsed="false">
      <c r="A948" s="39" t="s">
        <v>1070</v>
      </c>
      <c r="B948" s="40" t="n">
        <v>45792</v>
      </c>
      <c r="C948" s="39" t="s">
        <v>130</v>
      </c>
      <c r="D948" s="39" t="n">
        <v>4</v>
      </c>
      <c r="E948" s="41" t="n">
        <v>8.54</v>
      </c>
      <c r="F948" s="39" t="s">
        <v>115</v>
      </c>
      <c r="G948" s="39" t="str">
        <f aca="false">VLOOKUP(C948,Products!$A$5:$D$24,2,FALSE())</f>
        <v>Notebook Set</v>
      </c>
      <c r="H948" s="39" t="str">
        <f aca="false">VLOOKUP(C948,Products!$A$5:$D$24,3,FALSE())</f>
        <v>Stationery</v>
      </c>
      <c r="I948" s="41" t="n">
        <f aca="false">VLOOKUP(C948,Products!$A$5:$D$24,4,FALSE())</f>
        <v>3</v>
      </c>
      <c r="J948" s="42" t="n">
        <f aca="false">DATE(YEAR(B948),MONTH(B948),1)</f>
        <v>45778</v>
      </c>
      <c r="K948" s="41" t="n">
        <f aca="false">D948*E948</f>
        <v>34.16</v>
      </c>
      <c r="L948" s="41" t="n">
        <f aca="false">D948*I948</f>
        <v>12</v>
      </c>
      <c r="M948" s="41" t="n">
        <f aca="false">IFERROR(INDEX(Raw_Expenses!$C$5:$C$2979,MATCH(A948,Raw_Expenses!$A$5:$A$2979,0)),0)</f>
        <v>2.47</v>
      </c>
      <c r="N948" s="41" t="n">
        <f aca="false">L948+M948</f>
        <v>14.47</v>
      </c>
      <c r="O948" s="41" t="n">
        <f aca="false">K948-N948</f>
        <v>19.69</v>
      </c>
      <c r="P948" s="43" t="n">
        <f aca="false">IF(K948=0,0,O948/K948)</f>
        <v>0.576405152224824</v>
      </c>
    </row>
    <row r="949" customFormat="false" ht="15" hidden="false" customHeight="false" outlineLevel="0" collapsed="false">
      <c r="A949" s="39" t="s">
        <v>1071</v>
      </c>
      <c r="B949" s="40" t="n">
        <v>45792</v>
      </c>
      <c r="C949" s="39" t="s">
        <v>136</v>
      </c>
      <c r="D949" s="39" t="n">
        <v>3</v>
      </c>
      <c r="E949" s="41" t="n">
        <v>75.68</v>
      </c>
      <c r="F949" s="39" t="s">
        <v>115</v>
      </c>
      <c r="G949" s="39" t="str">
        <f aca="false">VLOOKUP(C949,Products!$A$5:$D$24,2,FALSE())</f>
        <v>Mechanical Keyboard</v>
      </c>
      <c r="H949" s="39" t="str">
        <f aca="false">VLOOKUP(C949,Products!$A$5:$D$24,3,FALSE())</f>
        <v>Electronics</v>
      </c>
      <c r="I949" s="41" t="n">
        <f aca="false">VLOOKUP(C949,Products!$A$5:$D$24,4,FALSE())</f>
        <v>38</v>
      </c>
      <c r="J949" s="42" t="n">
        <f aca="false">DATE(YEAR(B949),MONTH(B949),1)</f>
        <v>45778</v>
      </c>
      <c r="K949" s="41" t="n">
        <f aca="false">D949*E949</f>
        <v>227.04</v>
      </c>
      <c r="L949" s="41" t="n">
        <f aca="false">D949*I949</f>
        <v>114</v>
      </c>
      <c r="M949" s="41" t="n">
        <f aca="false">IFERROR(INDEX(Raw_Expenses!$C$5:$C$2979,MATCH(A949,Raw_Expenses!$A$5:$A$2979,0)),0)</f>
        <v>17.89</v>
      </c>
      <c r="N949" s="41" t="n">
        <f aca="false">L949+M949</f>
        <v>131.89</v>
      </c>
      <c r="O949" s="41" t="n">
        <f aca="false">K949-N949</f>
        <v>95.15</v>
      </c>
      <c r="P949" s="43" t="n">
        <f aca="false">IF(K949=0,0,O949/K949)</f>
        <v>0.419089147286822</v>
      </c>
    </row>
    <row r="950" customFormat="false" ht="15" hidden="false" customHeight="false" outlineLevel="0" collapsed="false">
      <c r="A950" s="39" t="s">
        <v>1072</v>
      </c>
      <c r="B950" s="40" t="n">
        <v>45792</v>
      </c>
      <c r="C950" s="39" t="s">
        <v>177</v>
      </c>
      <c r="D950" s="39" t="n">
        <v>1</v>
      </c>
      <c r="E950" s="41" t="n">
        <v>43.64</v>
      </c>
      <c r="F950" s="39" t="s">
        <v>108</v>
      </c>
      <c r="G950" s="39" t="str">
        <f aca="false">VLOOKUP(C950,Products!$A$5:$D$24,2,FALSE())</f>
        <v>Backpack</v>
      </c>
      <c r="H950" s="39" t="str">
        <f aca="false">VLOOKUP(C950,Products!$A$5:$D$24,3,FALSE())</f>
        <v>Accessories</v>
      </c>
      <c r="I950" s="41" t="n">
        <f aca="false">VLOOKUP(C950,Products!$A$5:$D$24,4,FALSE())</f>
        <v>17</v>
      </c>
      <c r="J950" s="42" t="n">
        <f aca="false">DATE(YEAR(B950),MONTH(B950),1)</f>
        <v>45778</v>
      </c>
      <c r="K950" s="41" t="n">
        <f aca="false">D950*E950</f>
        <v>43.64</v>
      </c>
      <c r="L950" s="41" t="n">
        <f aca="false">D950*I950</f>
        <v>17</v>
      </c>
      <c r="M950" s="41" t="n">
        <f aca="false">IFERROR(INDEX(Raw_Expenses!$C$5:$C$2979,MATCH(A950,Raw_Expenses!$A$5:$A$2979,0)),0)</f>
        <v>1.79</v>
      </c>
      <c r="N950" s="41" t="n">
        <f aca="false">L950+M950</f>
        <v>18.79</v>
      </c>
      <c r="O950" s="41" t="n">
        <f aca="false">K950-N950</f>
        <v>24.85</v>
      </c>
      <c r="P950" s="43" t="n">
        <f aca="false">IF(K950=0,0,O950/K950)</f>
        <v>0.569431714023831</v>
      </c>
    </row>
    <row r="951" customFormat="false" ht="15" hidden="false" customHeight="false" outlineLevel="0" collapsed="false">
      <c r="A951" s="39" t="s">
        <v>1073</v>
      </c>
      <c r="B951" s="40" t="n">
        <v>45793</v>
      </c>
      <c r="C951" s="39" t="s">
        <v>112</v>
      </c>
      <c r="D951" s="39" t="n">
        <v>2</v>
      </c>
      <c r="E951" s="41" t="n">
        <v>53.75</v>
      </c>
      <c r="F951" s="39" t="s">
        <v>118</v>
      </c>
      <c r="G951" s="39" t="str">
        <f aca="false">VLOOKUP(C951,Products!$A$5:$D$24,2,FALSE())</f>
        <v>HD Webcam</v>
      </c>
      <c r="H951" s="39" t="str">
        <f aca="false">VLOOKUP(C951,Products!$A$5:$D$24,3,FALSE())</f>
        <v>Electronics</v>
      </c>
      <c r="I951" s="41" t="n">
        <f aca="false">VLOOKUP(C951,Products!$A$5:$D$24,4,FALSE())</f>
        <v>22</v>
      </c>
      <c r="J951" s="42" t="n">
        <f aca="false">DATE(YEAR(B951),MONTH(B951),1)</f>
        <v>45778</v>
      </c>
      <c r="K951" s="41" t="n">
        <f aca="false">D951*E951</f>
        <v>107.5</v>
      </c>
      <c r="L951" s="41" t="n">
        <f aca="false">D951*I951</f>
        <v>44</v>
      </c>
      <c r="M951" s="41" t="n">
        <f aca="false">IFERROR(INDEX(Raw_Expenses!$C$5:$C$2979,MATCH(A951,Raw_Expenses!$A$5:$A$2979,0)),0)</f>
        <v>4.4</v>
      </c>
      <c r="N951" s="41" t="n">
        <f aca="false">L951+M951</f>
        <v>48.4</v>
      </c>
      <c r="O951" s="41" t="n">
        <f aca="false">K951-N951</f>
        <v>59.1</v>
      </c>
      <c r="P951" s="43" t="n">
        <f aca="false">IF(K951=0,0,O951/K951)</f>
        <v>0.549767441860465</v>
      </c>
    </row>
    <row r="952" customFormat="false" ht="15" hidden="false" customHeight="false" outlineLevel="0" collapsed="false">
      <c r="A952" s="39" t="s">
        <v>1074</v>
      </c>
      <c r="B952" s="40" t="n">
        <v>45793</v>
      </c>
      <c r="C952" s="39" t="s">
        <v>126</v>
      </c>
      <c r="D952" s="39" t="n">
        <v>2</v>
      </c>
      <c r="E952" s="41" t="n">
        <v>24.11</v>
      </c>
      <c r="F952" s="39" t="s">
        <v>118</v>
      </c>
      <c r="G952" s="39" t="str">
        <f aca="false">VLOOKUP(C952,Products!$A$5:$D$24,2,FALSE())</f>
        <v>Wireless Mouse</v>
      </c>
      <c r="H952" s="39" t="str">
        <f aca="false">VLOOKUP(C952,Products!$A$5:$D$24,3,FALSE())</f>
        <v>Electronics</v>
      </c>
      <c r="I952" s="41" t="n">
        <f aca="false">VLOOKUP(C952,Products!$A$5:$D$24,4,FALSE())</f>
        <v>12</v>
      </c>
      <c r="J952" s="42" t="n">
        <f aca="false">DATE(YEAR(B952),MONTH(B952),1)</f>
        <v>45778</v>
      </c>
      <c r="K952" s="41" t="n">
        <f aca="false">D952*E952</f>
        <v>48.22</v>
      </c>
      <c r="L952" s="41" t="n">
        <f aca="false">D952*I952</f>
        <v>24</v>
      </c>
      <c r="M952" s="41" t="n">
        <f aca="false">IFERROR(INDEX(Raw_Expenses!$C$5:$C$2979,MATCH(A952,Raw_Expenses!$A$5:$A$2979,0)),0)</f>
        <v>3.16</v>
      </c>
      <c r="N952" s="41" t="n">
        <f aca="false">L952+M952</f>
        <v>27.16</v>
      </c>
      <c r="O952" s="41" t="n">
        <f aca="false">K952-N952</f>
        <v>21.06</v>
      </c>
      <c r="P952" s="43" t="n">
        <f aca="false">IF(K952=0,0,O952/K952)</f>
        <v>0.436748237245956</v>
      </c>
    </row>
    <row r="953" customFormat="false" ht="15" hidden="false" customHeight="false" outlineLevel="0" collapsed="false">
      <c r="A953" s="39" t="s">
        <v>1075</v>
      </c>
      <c r="B953" s="40" t="n">
        <v>45793</v>
      </c>
      <c r="C953" s="39" t="s">
        <v>110</v>
      </c>
      <c r="D953" s="39" t="n">
        <v>5</v>
      </c>
      <c r="E953" s="41" t="n">
        <v>13.25</v>
      </c>
      <c r="F953" s="39" t="s">
        <v>118</v>
      </c>
      <c r="G953" s="39" t="str">
        <f aca="false">VLOOKUP(C953,Products!$A$5:$D$24,2,FALSE())</f>
        <v>Phone Stand</v>
      </c>
      <c r="H953" s="39" t="str">
        <f aca="false">VLOOKUP(C953,Products!$A$5:$D$24,3,FALSE())</f>
        <v>Accessories</v>
      </c>
      <c r="I953" s="41" t="n">
        <f aca="false">VLOOKUP(C953,Products!$A$5:$D$24,4,FALSE())</f>
        <v>4</v>
      </c>
      <c r="J953" s="42" t="n">
        <f aca="false">DATE(YEAR(B953),MONTH(B953),1)</f>
        <v>45778</v>
      </c>
      <c r="K953" s="41" t="n">
        <f aca="false">D953*E953</f>
        <v>66.25</v>
      </c>
      <c r="L953" s="41" t="n">
        <f aca="false">D953*I953</f>
        <v>20</v>
      </c>
      <c r="M953" s="41" t="n">
        <f aca="false">IFERROR(INDEX(Raw_Expenses!$C$5:$C$2979,MATCH(A953,Raw_Expenses!$A$5:$A$2979,0)),0)</f>
        <v>4.59</v>
      </c>
      <c r="N953" s="41" t="n">
        <f aca="false">L953+M953</f>
        <v>24.59</v>
      </c>
      <c r="O953" s="41" t="n">
        <f aca="false">K953-N953</f>
        <v>41.66</v>
      </c>
      <c r="P953" s="43" t="n">
        <f aca="false">IF(K953=0,0,O953/K953)</f>
        <v>0.628830188679245</v>
      </c>
    </row>
    <row r="954" customFormat="false" ht="15" hidden="false" customHeight="false" outlineLevel="0" collapsed="false">
      <c r="A954" s="39" t="s">
        <v>1076</v>
      </c>
      <c r="B954" s="40" t="n">
        <v>45793</v>
      </c>
      <c r="C954" s="39" t="s">
        <v>177</v>
      </c>
      <c r="D954" s="39" t="n">
        <v>2</v>
      </c>
      <c r="E954" s="41" t="n">
        <v>43.75</v>
      </c>
      <c r="F954" s="39" t="s">
        <v>105</v>
      </c>
      <c r="G954" s="39" t="str">
        <f aca="false">VLOOKUP(C954,Products!$A$5:$D$24,2,FALSE())</f>
        <v>Backpack</v>
      </c>
      <c r="H954" s="39" t="str">
        <f aca="false">VLOOKUP(C954,Products!$A$5:$D$24,3,FALSE())</f>
        <v>Accessories</v>
      </c>
      <c r="I954" s="41" t="n">
        <f aca="false">VLOOKUP(C954,Products!$A$5:$D$24,4,FALSE())</f>
        <v>17</v>
      </c>
      <c r="J954" s="42" t="n">
        <f aca="false">DATE(YEAR(B954),MONTH(B954),1)</f>
        <v>45778</v>
      </c>
      <c r="K954" s="41" t="n">
        <f aca="false">D954*E954</f>
        <v>87.5</v>
      </c>
      <c r="L954" s="41" t="n">
        <f aca="false">D954*I954</f>
        <v>34</v>
      </c>
      <c r="M954" s="41" t="n">
        <f aca="false">IFERROR(INDEX(Raw_Expenses!$C$5:$C$2979,MATCH(A954,Raw_Expenses!$A$5:$A$2979,0)),0)</f>
        <v>4.56</v>
      </c>
      <c r="N954" s="41" t="n">
        <f aca="false">L954+M954</f>
        <v>38.56</v>
      </c>
      <c r="O954" s="41" t="n">
        <f aca="false">K954-N954</f>
        <v>48.94</v>
      </c>
      <c r="P954" s="43" t="n">
        <f aca="false">IF(K954=0,0,O954/K954)</f>
        <v>0.559314285714286</v>
      </c>
    </row>
    <row r="955" customFormat="false" ht="15" hidden="false" customHeight="false" outlineLevel="0" collapsed="false">
      <c r="A955" s="39" t="s">
        <v>1077</v>
      </c>
      <c r="B955" s="40" t="n">
        <v>45793</v>
      </c>
      <c r="C955" s="39" t="s">
        <v>110</v>
      </c>
      <c r="D955" s="39" t="n">
        <v>1</v>
      </c>
      <c r="E955" s="41" t="n">
        <v>12.98</v>
      </c>
      <c r="F955" s="39" t="s">
        <v>118</v>
      </c>
      <c r="G955" s="39" t="str">
        <f aca="false">VLOOKUP(C955,Products!$A$5:$D$24,2,FALSE())</f>
        <v>Phone Stand</v>
      </c>
      <c r="H955" s="39" t="str">
        <f aca="false">VLOOKUP(C955,Products!$A$5:$D$24,3,FALSE())</f>
        <v>Accessories</v>
      </c>
      <c r="I955" s="41" t="n">
        <f aca="false">VLOOKUP(C955,Products!$A$5:$D$24,4,FALSE())</f>
        <v>4</v>
      </c>
      <c r="J955" s="42" t="n">
        <f aca="false">DATE(YEAR(B955),MONTH(B955),1)</f>
        <v>45778</v>
      </c>
      <c r="K955" s="41" t="n">
        <f aca="false">D955*E955</f>
        <v>12.98</v>
      </c>
      <c r="L955" s="41" t="n">
        <f aca="false">D955*I955</f>
        <v>4</v>
      </c>
      <c r="M955" s="41" t="n">
        <f aca="false">IFERROR(INDEX(Raw_Expenses!$C$5:$C$2979,MATCH(A955,Raw_Expenses!$A$5:$A$2979,0)),0)</f>
        <v>1.16</v>
      </c>
      <c r="N955" s="41" t="n">
        <f aca="false">L955+M955</f>
        <v>5.16</v>
      </c>
      <c r="O955" s="41" t="n">
        <f aca="false">K955-N955</f>
        <v>7.82</v>
      </c>
      <c r="P955" s="43" t="n">
        <f aca="false">IF(K955=0,0,O955/K955)</f>
        <v>0.602465331278891</v>
      </c>
    </row>
    <row r="956" customFormat="false" ht="15" hidden="false" customHeight="false" outlineLevel="0" collapsed="false">
      <c r="A956" s="39" t="s">
        <v>1078</v>
      </c>
      <c r="B956" s="40" t="n">
        <v>45793</v>
      </c>
      <c r="C956" s="39" t="s">
        <v>133</v>
      </c>
      <c r="D956" s="39" t="n">
        <v>2</v>
      </c>
      <c r="E956" s="41" t="n">
        <v>8.87</v>
      </c>
      <c r="F956" s="39" t="s">
        <v>118</v>
      </c>
      <c r="G956" s="39" t="str">
        <f aca="false">VLOOKUP(C956,Products!$A$5:$D$24,2,FALSE())</f>
        <v>Printer Paper Ream</v>
      </c>
      <c r="H956" s="39" t="str">
        <f aca="false">VLOOKUP(C956,Products!$A$5:$D$24,3,FALSE())</f>
        <v>Stationery</v>
      </c>
      <c r="I956" s="41" t="n">
        <f aca="false">VLOOKUP(C956,Products!$A$5:$D$24,4,FALSE())</f>
        <v>4</v>
      </c>
      <c r="J956" s="42" t="n">
        <f aca="false">DATE(YEAR(B956),MONTH(B956),1)</f>
        <v>45778</v>
      </c>
      <c r="K956" s="41" t="n">
        <f aca="false">D956*E956</f>
        <v>17.74</v>
      </c>
      <c r="L956" s="41" t="n">
        <f aca="false">D956*I956</f>
        <v>8</v>
      </c>
      <c r="M956" s="41" t="n">
        <f aca="false">IFERROR(INDEX(Raw_Expenses!$C$5:$C$2979,MATCH(A956,Raw_Expenses!$A$5:$A$2979,0)),0)</f>
        <v>1.17</v>
      </c>
      <c r="N956" s="41" t="n">
        <f aca="false">L956+M956</f>
        <v>9.17</v>
      </c>
      <c r="O956" s="41" t="n">
        <f aca="false">K956-N956</f>
        <v>8.57</v>
      </c>
      <c r="P956" s="43" t="n">
        <f aca="false">IF(K956=0,0,O956/K956)</f>
        <v>0.483089064261556</v>
      </c>
    </row>
    <row r="957" customFormat="false" ht="15" hidden="false" customHeight="false" outlineLevel="0" collapsed="false">
      <c r="A957" s="39" t="s">
        <v>1079</v>
      </c>
      <c r="B957" s="40" t="n">
        <v>45794</v>
      </c>
      <c r="C957" s="39" t="s">
        <v>305</v>
      </c>
      <c r="D957" s="39" t="n">
        <v>2</v>
      </c>
      <c r="E957" s="41" t="n">
        <v>336.23</v>
      </c>
      <c r="F957" s="39" t="s">
        <v>115</v>
      </c>
      <c r="G957" s="39" t="str">
        <f aca="false">VLOOKUP(C957,Products!$A$5:$D$24,2,FALSE())</f>
        <v>Standing Desk</v>
      </c>
      <c r="H957" s="39" t="str">
        <f aca="false">VLOOKUP(C957,Products!$A$5:$D$24,3,FALSE())</f>
        <v>Furniture</v>
      </c>
      <c r="I957" s="41" t="n">
        <f aca="false">VLOOKUP(C957,Products!$A$5:$D$24,4,FALSE())</f>
        <v>160</v>
      </c>
      <c r="J957" s="42" t="n">
        <f aca="false">DATE(YEAR(B957),MONTH(B957),1)</f>
        <v>45778</v>
      </c>
      <c r="K957" s="41" t="n">
        <f aca="false">D957*E957</f>
        <v>672.46</v>
      </c>
      <c r="L957" s="41" t="n">
        <f aca="false">D957*I957</f>
        <v>320</v>
      </c>
      <c r="M957" s="41" t="n">
        <f aca="false">IFERROR(INDEX(Raw_Expenses!$C$5:$C$2979,MATCH(A957,Raw_Expenses!$A$5:$A$2979,0)),0)</f>
        <v>57.05</v>
      </c>
      <c r="N957" s="41" t="n">
        <f aca="false">L957+M957</f>
        <v>377.05</v>
      </c>
      <c r="O957" s="41" t="n">
        <f aca="false">K957-N957</f>
        <v>295.41</v>
      </c>
      <c r="P957" s="43" t="n">
        <f aca="false">IF(K957=0,0,O957/K957)</f>
        <v>0.439297504684294</v>
      </c>
    </row>
    <row r="958" customFormat="false" ht="15" hidden="false" customHeight="false" outlineLevel="0" collapsed="false">
      <c r="A958" s="39" t="s">
        <v>1080</v>
      </c>
      <c r="B958" s="40" t="n">
        <v>45794</v>
      </c>
      <c r="C958" s="39" t="s">
        <v>153</v>
      </c>
      <c r="D958" s="39" t="n">
        <v>1</v>
      </c>
      <c r="E958" s="41" t="n">
        <v>167.57</v>
      </c>
      <c r="F958" s="39" t="s">
        <v>105</v>
      </c>
      <c r="G958" s="39" t="str">
        <f aca="false">VLOOKUP(C958,Products!$A$5:$D$24,2,FALSE())</f>
        <v>24-inch Monitor</v>
      </c>
      <c r="H958" s="39" t="str">
        <f aca="false">VLOOKUP(C958,Products!$A$5:$D$24,3,FALSE())</f>
        <v>Electronics</v>
      </c>
      <c r="I958" s="41" t="n">
        <f aca="false">VLOOKUP(C958,Products!$A$5:$D$24,4,FALSE())</f>
        <v>90</v>
      </c>
      <c r="J958" s="42" t="n">
        <f aca="false">DATE(YEAR(B958),MONTH(B958),1)</f>
        <v>45778</v>
      </c>
      <c r="K958" s="41" t="n">
        <f aca="false">D958*E958</f>
        <v>167.57</v>
      </c>
      <c r="L958" s="41" t="n">
        <f aca="false">D958*I958</f>
        <v>90</v>
      </c>
      <c r="M958" s="41" t="n">
        <f aca="false">IFERROR(INDEX(Raw_Expenses!$C$5:$C$2979,MATCH(A958,Raw_Expenses!$A$5:$A$2979,0)),0)</f>
        <v>8.26</v>
      </c>
      <c r="N958" s="41" t="n">
        <f aca="false">L958+M958</f>
        <v>98.26</v>
      </c>
      <c r="O958" s="41" t="n">
        <f aca="false">K958-N958</f>
        <v>69.31</v>
      </c>
      <c r="P958" s="43" t="n">
        <f aca="false">IF(K958=0,0,O958/K958)</f>
        <v>0.413618189413379</v>
      </c>
    </row>
    <row r="959" customFormat="false" ht="15" hidden="false" customHeight="false" outlineLevel="0" collapsed="false">
      <c r="A959" s="39" t="s">
        <v>1081</v>
      </c>
      <c r="B959" s="40" t="n">
        <v>45794</v>
      </c>
      <c r="C959" s="39" t="s">
        <v>153</v>
      </c>
      <c r="D959" s="39" t="n">
        <v>2</v>
      </c>
      <c r="E959" s="41" t="n">
        <v>174.76</v>
      </c>
      <c r="F959" s="39" t="s">
        <v>118</v>
      </c>
      <c r="G959" s="39" t="str">
        <f aca="false">VLOOKUP(C959,Products!$A$5:$D$24,2,FALSE())</f>
        <v>24-inch Monitor</v>
      </c>
      <c r="H959" s="39" t="str">
        <f aca="false">VLOOKUP(C959,Products!$A$5:$D$24,3,FALSE())</f>
        <v>Electronics</v>
      </c>
      <c r="I959" s="41" t="n">
        <f aca="false">VLOOKUP(C959,Products!$A$5:$D$24,4,FALSE())</f>
        <v>90</v>
      </c>
      <c r="J959" s="42" t="n">
        <f aca="false">DATE(YEAR(B959),MONTH(B959),1)</f>
        <v>45778</v>
      </c>
      <c r="K959" s="41" t="n">
        <f aca="false">D959*E959</f>
        <v>349.52</v>
      </c>
      <c r="L959" s="41" t="n">
        <f aca="false">D959*I959</f>
        <v>180</v>
      </c>
      <c r="M959" s="41" t="n">
        <f aca="false">IFERROR(INDEX(Raw_Expenses!$C$5:$C$2979,MATCH(A959,Raw_Expenses!$A$5:$A$2979,0)),0)</f>
        <v>30.29</v>
      </c>
      <c r="N959" s="41" t="n">
        <f aca="false">L959+M959</f>
        <v>210.29</v>
      </c>
      <c r="O959" s="41" t="n">
        <f aca="false">K959-N959</f>
        <v>139.23</v>
      </c>
      <c r="P959" s="43" t="n">
        <f aca="false">IF(K959=0,0,O959/K959)</f>
        <v>0.398346303501946</v>
      </c>
    </row>
    <row r="960" customFormat="false" ht="15" hidden="false" customHeight="false" outlineLevel="0" collapsed="false">
      <c r="A960" s="39" t="s">
        <v>1082</v>
      </c>
      <c r="B960" s="40" t="n">
        <v>45794</v>
      </c>
      <c r="C960" s="39" t="s">
        <v>139</v>
      </c>
      <c r="D960" s="39" t="n">
        <v>1</v>
      </c>
      <c r="E960" s="41" t="n">
        <v>125.66</v>
      </c>
      <c r="F960" s="39" t="s">
        <v>108</v>
      </c>
      <c r="G960" s="39" t="str">
        <f aca="false">VLOOKUP(C960,Products!$A$5:$D$24,2,FALSE())</f>
        <v>Noise-Cancelling Headphones</v>
      </c>
      <c r="H960" s="39" t="str">
        <f aca="false">VLOOKUP(C960,Products!$A$5:$D$24,3,FALSE())</f>
        <v>Electronics</v>
      </c>
      <c r="I960" s="41" t="n">
        <f aca="false">VLOOKUP(C960,Products!$A$5:$D$24,4,FALSE())</f>
        <v>55</v>
      </c>
      <c r="J960" s="42" t="n">
        <f aca="false">DATE(YEAR(B960),MONTH(B960),1)</f>
        <v>45778</v>
      </c>
      <c r="K960" s="41" t="n">
        <f aca="false">D960*E960</f>
        <v>125.66</v>
      </c>
      <c r="L960" s="41" t="n">
        <f aca="false">D960*I960</f>
        <v>55</v>
      </c>
      <c r="M960" s="41" t="n">
        <f aca="false">IFERROR(INDEX(Raw_Expenses!$C$5:$C$2979,MATCH(A960,Raw_Expenses!$A$5:$A$2979,0)),0)</f>
        <v>11.07</v>
      </c>
      <c r="N960" s="41" t="n">
        <f aca="false">L960+M960</f>
        <v>66.07</v>
      </c>
      <c r="O960" s="41" t="n">
        <f aca="false">K960-N960</f>
        <v>59.59</v>
      </c>
      <c r="P960" s="43" t="n">
        <f aca="false">IF(K960=0,0,O960/K960)</f>
        <v>0.474216138787204</v>
      </c>
    </row>
    <row r="961" customFormat="false" ht="15" hidden="false" customHeight="false" outlineLevel="0" collapsed="false">
      <c r="A961" s="39" t="s">
        <v>1083</v>
      </c>
      <c r="B961" s="40" t="n">
        <v>45794</v>
      </c>
      <c r="C961" s="39" t="s">
        <v>107</v>
      </c>
      <c r="D961" s="39" t="n">
        <v>1</v>
      </c>
      <c r="E961" s="41" t="n">
        <v>34.84</v>
      </c>
      <c r="F961" s="39" t="s">
        <v>108</v>
      </c>
      <c r="G961" s="39" t="str">
        <f aca="false">VLOOKUP(C961,Products!$A$5:$D$24,2,FALSE())</f>
        <v>USB-C Hub</v>
      </c>
      <c r="H961" s="39" t="str">
        <f aca="false">VLOOKUP(C961,Products!$A$5:$D$24,3,FALSE())</f>
        <v>Electronics</v>
      </c>
      <c r="I961" s="41" t="n">
        <f aca="false">VLOOKUP(C961,Products!$A$5:$D$24,4,FALSE())</f>
        <v>14</v>
      </c>
      <c r="J961" s="42" t="n">
        <f aca="false">DATE(YEAR(B961),MONTH(B961),1)</f>
        <v>45778</v>
      </c>
      <c r="K961" s="41" t="n">
        <f aca="false">D961*E961</f>
        <v>34.84</v>
      </c>
      <c r="L961" s="41" t="n">
        <f aca="false">D961*I961</f>
        <v>14</v>
      </c>
      <c r="M961" s="41" t="n">
        <f aca="false">IFERROR(INDEX(Raw_Expenses!$C$5:$C$2979,MATCH(A961,Raw_Expenses!$A$5:$A$2979,0)),0)</f>
        <v>2.8</v>
      </c>
      <c r="N961" s="41" t="n">
        <f aca="false">L961+M961</f>
        <v>16.8</v>
      </c>
      <c r="O961" s="41" t="n">
        <f aca="false">K961-N961</f>
        <v>18.04</v>
      </c>
      <c r="P961" s="43" t="n">
        <f aca="false">IF(K961=0,0,O961/K961)</f>
        <v>0.517795637198622</v>
      </c>
    </row>
    <row r="962" customFormat="false" ht="15" hidden="false" customHeight="false" outlineLevel="0" collapsed="false">
      <c r="A962" s="39" t="s">
        <v>1084</v>
      </c>
      <c r="B962" s="40" t="n">
        <v>45794</v>
      </c>
      <c r="C962" s="39" t="s">
        <v>117</v>
      </c>
      <c r="D962" s="39" t="n">
        <v>1</v>
      </c>
      <c r="E962" s="41" t="n">
        <v>29.93</v>
      </c>
      <c r="F962" s="39" t="s">
        <v>115</v>
      </c>
      <c r="G962" s="39" t="str">
        <f aca="false">VLOOKUP(C962,Products!$A$5:$D$24,2,FALSE())</f>
        <v>Desk Lamp</v>
      </c>
      <c r="H962" s="39" t="str">
        <f aca="false">VLOOKUP(C962,Products!$A$5:$D$24,3,FALSE())</f>
        <v>Furniture</v>
      </c>
      <c r="I962" s="41" t="n">
        <f aca="false">VLOOKUP(C962,Products!$A$5:$D$24,4,FALSE())</f>
        <v>13</v>
      </c>
      <c r="J962" s="42" t="n">
        <f aca="false">DATE(YEAR(B962),MONTH(B962),1)</f>
        <v>45778</v>
      </c>
      <c r="K962" s="41" t="n">
        <f aca="false">D962*E962</f>
        <v>29.93</v>
      </c>
      <c r="L962" s="41" t="n">
        <f aca="false">D962*I962</f>
        <v>13</v>
      </c>
      <c r="M962" s="41" t="n">
        <f aca="false">IFERROR(INDEX(Raw_Expenses!$C$5:$C$2979,MATCH(A962,Raw_Expenses!$A$5:$A$2979,0)),0)</f>
        <v>2.28</v>
      </c>
      <c r="N962" s="41" t="n">
        <f aca="false">L962+M962</f>
        <v>15.28</v>
      </c>
      <c r="O962" s="41" t="n">
        <f aca="false">K962-N962</f>
        <v>14.65</v>
      </c>
      <c r="P962" s="43" t="n">
        <f aca="false">IF(K962=0,0,O962/K962)</f>
        <v>0.489475442699633</v>
      </c>
    </row>
    <row r="963" customFormat="false" ht="15" hidden="false" customHeight="false" outlineLevel="0" collapsed="false">
      <c r="A963" s="39" t="s">
        <v>1085</v>
      </c>
      <c r="B963" s="40" t="n">
        <v>45794</v>
      </c>
      <c r="C963" s="39" t="s">
        <v>104</v>
      </c>
      <c r="D963" s="39" t="n">
        <v>4</v>
      </c>
      <c r="E963" s="41" t="n">
        <v>15.38</v>
      </c>
      <c r="F963" s="39" t="s">
        <v>108</v>
      </c>
      <c r="G963" s="39" t="str">
        <f aca="false">VLOOKUP(C963,Products!$A$5:$D$24,2,FALSE())</f>
        <v>Water Bottle</v>
      </c>
      <c r="H963" s="39" t="str">
        <f aca="false">VLOOKUP(C963,Products!$A$5:$D$24,3,FALSE())</f>
        <v>Accessories</v>
      </c>
      <c r="I963" s="41" t="n">
        <f aca="false">VLOOKUP(C963,Products!$A$5:$D$24,4,FALSE())</f>
        <v>5</v>
      </c>
      <c r="J963" s="42" t="n">
        <f aca="false">DATE(YEAR(B963),MONTH(B963),1)</f>
        <v>45778</v>
      </c>
      <c r="K963" s="41" t="n">
        <f aca="false">D963*E963</f>
        <v>61.52</v>
      </c>
      <c r="L963" s="41" t="n">
        <f aca="false">D963*I963</f>
        <v>20</v>
      </c>
      <c r="M963" s="41" t="n">
        <f aca="false">IFERROR(INDEX(Raw_Expenses!$C$5:$C$2979,MATCH(A963,Raw_Expenses!$A$5:$A$2979,0)),0)</f>
        <v>3.87</v>
      </c>
      <c r="N963" s="41" t="n">
        <f aca="false">L963+M963</f>
        <v>23.87</v>
      </c>
      <c r="O963" s="41" t="n">
        <f aca="false">K963-N963</f>
        <v>37.65</v>
      </c>
      <c r="P963" s="43" t="n">
        <f aca="false">IF(K963=0,0,O963/K963)</f>
        <v>0.611996098829649</v>
      </c>
    </row>
    <row r="964" customFormat="false" ht="15" hidden="false" customHeight="false" outlineLevel="0" collapsed="false">
      <c r="A964" s="39" t="s">
        <v>1086</v>
      </c>
      <c r="B964" s="40" t="n">
        <v>45794</v>
      </c>
      <c r="C964" s="39" t="s">
        <v>112</v>
      </c>
      <c r="D964" s="39" t="n">
        <v>4</v>
      </c>
      <c r="E964" s="41" t="n">
        <v>54.84</v>
      </c>
      <c r="F964" s="39" t="s">
        <v>105</v>
      </c>
      <c r="G964" s="39" t="str">
        <f aca="false">VLOOKUP(C964,Products!$A$5:$D$24,2,FALSE())</f>
        <v>HD Webcam</v>
      </c>
      <c r="H964" s="39" t="str">
        <f aca="false">VLOOKUP(C964,Products!$A$5:$D$24,3,FALSE())</f>
        <v>Electronics</v>
      </c>
      <c r="I964" s="41" t="n">
        <f aca="false">VLOOKUP(C964,Products!$A$5:$D$24,4,FALSE())</f>
        <v>22</v>
      </c>
      <c r="J964" s="42" t="n">
        <f aca="false">DATE(YEAR(B964),MONTH(B964),1)</f>
        <v>45778</v>
      </c>
      <c r="K964" s="41" t="n">
        <f aca="false">D964*E964</f>
        <v>219.36</v>
      </c>
      <c r="L964" s="41" t="n">
        <f aca="false">D964*I964</f>
        <v>88</v>
      </c>
      <c r="M964" s="41" t="n">
        <f aca="false">IFERROR(INDEX(Raw_Expenses!$C$5:$C$2979,MATCH(A964,Raw_Expenses!$A$5:$A$2979,0)),0)</f>
        <v>16.08</v>
      </c>
      <c r="N964" s="41" t="n">
        <f aca="false">L964+M964</f>
        <v>104.08</v>
      </c>
      <c r="O964" s="41" t="n">
        <f aca="false">K964-N964</f>
        <v>115.28</v>
      </c>
      <c r="P964" s="43" t="n">
        <f aca="false">IF(K964=0,0,O964/K964)</f>
        <v>0.525528811086798</v>
      </c>
    </row>
    <row r="965" customFormat="false" ht="15" hidden="false" customHeight="false" outlineLevel="0" collapsed="false">
      <c r="A965" s="39" t="s">
        <v>1087</v>
      </c>
      <c r="B965" s="40" t="n">
        <v>45794</v>
      </c>
      <c r="C965" s="39" t="s">
        <v>114</v>
      </c>
      <c r="D965" s="39" t="n">
        <v>3</v>
      </c>
      <c r="E965" s="41" t="n">
        <v>5.75</v>
      </c>
      <c r="F965" s="39" t="s">
        <v>108</v>
      </c>
      <c r="G965" s="39" t="str">
        <f aca="false">VLOOKUP(C965,Products!$A$5:$D$24,2,FALSE())</f>
        <v>Gel Pen Pack</v>
      </c>
      <c r="H965" s="39" t="str">
        <f aca="false">VLOOKUP(C965,Products!$A$5:$D$24,3,FALSE())</f>
        <v>Stationery</v>
      </c>
      <c r="I965" s="41" t="n">
        <f aca="false">VLOOKUP(C965,Products!$A$5:$D$24,4,FALSE())</f>
        <v>2</v>
      </c>
      <c r="J965" s="42" t="n">
        <f aca="false">DATE(YEAR(B965),MONTH(B965),1)</f>
        <v>45778</v>
      </c>
      <c r="K965" s="41" t="n">
        <f aca="false">D965*E965</f>
        <v>17.25</v>
      </c>
      <c r="L965" s="41" t="n">
        <f aca="false">D965*I965</f>
        <v>6</v>
      </c>
      <c r="M965" s="41" t="n">
        <f aca="false">IFERROR(INDEX(Raw_Expenses!$C$5:$C$2979,MATCH(A965,Raw_Expenses!$A$5:$A$2979,0)),0)</f>
        <v>1.51</v>
      </c>
      <c r="N965" s="41" t="n">
        <f aca="false">L965+M965</f>
        <v>7.51</v>
      </c>
      <c r="O965" s="41" t="n">
        <f aca="false">K965-N965</f>
        <v>9.74</v>
      </c>
      <c r="P965" s="43" t="n">
        <f aca="false">IF(K965=0,0,O965/K965)</f>
        <v>0.56463768115942</v>
      </c>
    </row>
    <row r="966" customFormat="false" ht="15" hidden="false" customHeight="false" outlineLevel="0" collapsed="false">
      <c r="A966" s="39" t="s">
        <v>1088</v>
      </c>
      <c r="B966" s="40" t="n">
        <v>45794</v>
      </c>
      <c r="C966" s="39" t="s">
        <v>126</v>
      </c>
      <c r="D966" s="39" t="n">
        <v>6</v>
      </c>
      <c r="E966" s="41" t="n">
        <v>24.28</v>
      </c>
      <c r="F966" s="39" t="s">
        <v>118</v>
      </c>
      <c r="G966" s="39" t="str">
        <f aca="false">VLOOKUP(C966,Products!$A$5:$D$24,2,FALSE())</f>
        <v>Wireless Mouse</v>
      </c>
      <c r="H966" s="39" t="str">
        <f aca="false">VLOOKUP(C966,Products!$A$5:$D$24,3,FALSE())</f>
        <v>Electronics</v>
      </c>
      <c r="I966" s="41" t="n">
        <f aca="false">VLOOKUP(C966,Products!$A$5:$D$24,4,FALSE())</f>
        <v>12</v>
      </c>
      <c r="J966" s="42" t="n">
        <f aca="false">DATE(YEAR(B966),MONTH(B966),1)</f>
        <v>45778</v>
      </c>
      <c r="K966" s="41" t="n">
        <f aca="false">D966*E966</f>
        <v>145.68</v>
      </c>
      <c r="L966" s="41" t="n">
        <f aca="false">D966*I966</f>
        <v>72</v>
      </c>
      <c r="M966" s="41" t="n">
        <f aca="false">IFERROR(INDEX(Raw_Expenses!$C$5:$C$2979,MATCH(A966,Raw_Expenses!$A$5:$A$2979,0)),0)</f>
        <v>5.9</v>
      </c>
      <c r="N966" s="41" t="n">
        <f aca="false">L966+M966</f>
        <v>77.9</v>
      </c>
      <c r="O966" s="41" t="n">
        <f aca="false">K966-N966</f>
        <v>67.78</v>
      </c>
      <c r="P966" s="43" t="n">
        <f aca="false">IF(K966=0,0,O966/K966)</f>
        <v>0.465266337177375</v>
      </c>
    </row>
    <row r="967" customFormat="false" ht="15" hidden="false" customHeight="false" outlineLevel="0" collapsed="false">
      <c r="A967" s="39" t="s">
        <v>1089</v>
      </c>
      <c r="B967" s="40" t="n">
        <v>45795</v>
      </c>
      <c r="C967" s="39" t="s">
        <v>107</v>
      </c>
      <c r="D967" s="39" t="n">
        <v>1</v>
      </c>
      <c r="E967" s="41" t="n">
        <v>33.91</v>
      </c>
      <c r="F967" s="39" t="s">
        <v>108</v>
      </c>
      <c r="G967" s="39" t="str">
        <f aca="false">VLOOKUP(C967,Products!$A$5:$D$24,2,FALSE())</f>
        <v>USB-C Hub</v>
      </c>
      <c r="H967" s="39" t="str">
        <f aca="false">VLOOKUP(C967,Products!$A$5:$D$24,3,FALSE())</f>
        <v>Electronics</v>
      </c>
      <c r="I967" s="41" t="n">
        <f aca="false">VLOOKUP(C967,Products!$A$5:$D$24,4,FALSE())</f>
        <v>14</v>
      </c>
      <c r="J967" s="42" t="n">
        <f aca="false">DATE(YEAR(B967),MONTH(B967),1)</f>
        <v>45778</v>
      </c>
      <c r="K967" s="41" t="n">
        <f aca="false">D967*E967</f>
        <v>33.91</v>
      </c>
      <c r="L967" s="41" t="n">
        <f aca="false">D967*I967</f>
        <v>14</v>
      </c>
      <c r="M967" s="41" t="n">
        <f aca="false">IFERROR(INDEX(Raw_Expenses!$C$5:$C$2979,MATCH(A967,Raw_Expenses!$A$5:$A$2979,0)),0)</f>
        <v>2.7</v>
      </c>
      <c r="N967" s="41" t="n">
        <f aca="false">L967+M967</f>
        <v>16.7</v>
      </c>
      <c r="O967" s="41" t="n">
        <f aca="false">K967-N967</f>
        <v>17.21</v>
      </c>
      <c r="P967" s="43" t="n">
        <f aca="false">IF(K967=0,0,O967/K967)</f>
        <v>0.507519905632557</v>
      </c>
    </row>
    <row r="968" customFormat="false" ht="15" hidden="false" customHeight="false" outlineLevel="0" collapsed="false">
      <c r="A968" s="39" t="s">
        <v>1090</v>
      </c>
      <c r="B968" s="40" t="n">
        <v>45795</v>
      </c>
      <c r="C968" s="39" t="s">
        <v>126</v>
      </c>
      <c r="D968" s="39" t="n">
        <v>5</v>
      </c>
      <c r="E968" s="41" t="n">
        <v>23.06</v>
      </c>
      <c r="F968" s="39" t="s">
        <v>118</v>
      </c>
      <c r="G968" s="39" t="str">
        <f aca="false">VLOOKUP(C968,Products!$A$5:$D$24,2,FALSE())</f>
        <v>Wireless Mouse</v>
      </c>
      <c r="H968" s="39" t="str">
        <f aca="false">VLOOKUP(C968,Products!$A$5:$D$24,3,FALSE())</f>
        <v>Electronics</v>
      </c>
      <c r="I968" s="41" t="n">
        <f aca="false">VLOOKUP(C968,Products!$A$5:$D$24,4,FALSE())</f>
        <v>12</v>
      </c>
      <c r="J968" s="42" t="n">
        <f aca="false">DATE(YEAR(B968),MONTH(B968),1)</f>
        <v>45778</v>
      </c>
      <c r="K968" s="41" t="n">
        <f aca="false">D968*E968</f>
        <v>115.3</v>
      </c>
      <c r="L968" s="41" t="n">
        <f aca="false">D968*I968</f>
        <v>60</v>
      </c>
      <c r="M968" s="41" t="n">
        <f aca="false">IFERROR(INDEX(Raw_Expenses!$C$5:$C$2979,MATCH(A968,Raw_Expenses!$A$5:$A$2979,0)),0)</f>
        <v>5.46</v>
      </c>
      <c r="N968" s="41" t="n">
        <f aca="false">L968+M968</f>
        <v>65.46</v>
      </c>
      <c r="O968" s="41" t="n">
        <f aca="false">K968-N968</f>
        <v>49.84</v>
      </c>
      <c r="P968" s="43" t="n">
        <f aca="false">IF(K968=0,0,O968/K968)</f>
        <v>0.432263660017346</v>
      </c>
    </row>
    <row r="969" customFormat="false" ht="15" hidden="false" customHeight="false" outlineLevel="0" collapsed="false">
      <c r="A969" s="39" t="s">
        <v>1091</v>
      </c>
      <c r="B969" s="40" t="n">
        <v>45795</v>
      </c>
      <c r="C969" s="39" t="s">
        <v>133</v>
      </c>
      <c r="D969" s="39" t="n">
        <v>2</v>
      </c>
      <c r="E969" s="41" t="n">
        <v>8.32</v>
      </c>
      <c r="F969" s="39" t="s">
        <v>118</v>
      </c>
      <c r="G969" s="39" t="str">
        <f aca="false">VLOOKUP(C969,Products!$A$5:$D$24,2,FALSE())</f>
        <v>Printer Paper Ream</v>
      </c>
      <c r="H969" s="39" t="str">
        <f aca="false">VLOOKUP(C969,Products!$A$5:$D$24,3,FALSE())</f>
        <v>Stationery</v>
      </c>
      <c r="I969" s="41" t="n">
        <f aca="false">VLOOKUP(C969,Products!$A$5:$D$24,4,FALSE())</f>
        <v>4</v>
      </c>
      <c r="J969" s="42" t="n">
        <f aca="false">DATE(YEAR(B969),MONTH(B969),1)</f>
        <v>45778</v>
      </c>
      <c r="K969" s="41" t="n">
        <f aca="false">D969*E969</f>
        <v>16.64</v>
      </c>
      <c r="L969" s="41" t="n">
        <f aca="false">D969*I969</f>
        <v>8</v>
      </c>
      <c r="M969" s="41" t="n">
        <f aca="false">IFERROR(INDEX(Raw_Expenses!$C$5:$C$2979,MATCH(A969,Raw_Expenses!$A$5:$A$2979,0)),0)</f>
        <v>1.33</v>
      </c>
      <c r="N969" s="41" t="n">
        <f aca="false">L969+M969</f>
        <v>9.33</v>
      </c>
      <c r="O969" s="41" t="n">
        <f aca="false">K969-N969</f>
        <v>7.31</v>
      </c>
      <c r="P969" s="43" t="n">
        <f aca="false">IF(K969=0,0,O969/K969)</f>
        <v>0.439302884615385</v>
      </c>
    </row>
    <row r="970" customFormat="false" ht="15" hidden="false" customHeight="false" outlineLevel="0" collapsed="false">
      <c r="A970" s="39" t="s">
        <v>1092</v>
      </c>
      <c r="B970" s="40" t="n">
        <v>45795</v>
      </c>
      <c r="C970" s="39" t="s">
        <v>136</v>
      </c>
      <c r="D970" s="39" t="n">
        <v>3</v>
      </c>
      <c r="E970" s="41" t="n">
        <v>78.47</v>
      </c>
      <c r="F970" s="39" t="s">
        <v>108</v>
      </c>
      <c r="G970" s="39" t="str">
        <f aca="false">VLOOKUP(C970,Products!$A$5:$D$24,2,FALSE())</f>
        <v>Mechanical Keyboard</v>
      </c>
      <c r="H970" s="39" t="str">
        <f aca="false">VLOOKUP(C970,Products!$A$5:$D$24,3,FALSE())</f>
        <v>Electronics</v>
      </c>
      <c r="I970" s="41" t="n">
        <f aca="false">VLOOKUP(C970,Products!$A$5:$D$24,4,FALSE())</f>
        <v>38</v>
      </c>
      <c r="J970" s="42" t="n">
        <f aca="false">DATE(YEAR(B970),MONTH(B970),1)</f>
        <v>45778</v>
      </c>
      <c r="K970" s="41" t="n">
        <f aca="false">D970*E970</f>
        <v>235.41</v>
      </c>
      <c r="L970" s="41" t="n">
        <f aca="false">D970*I970</f>
        <v>114</v>
      </c>
      <c r="M970" s="41" t="n">
        <f aca="false">IFERROR(INDEX(Raw_Expenses!$C$5:$C$2979,MATCH(A970,Raw_Expenses!$A$5:$A$2979,0)),0)</f>
        <v>16.02</v>
      </c>
      <c r="N970" s="41" t="n">
        <f aca="false">L970+M970</f>
        <v>130.02</v>
      </c>
      <c r="O970" s="41" t="n">
        <f aca="false">K970-N970</f>
        <v>105.39</v>
      </c>
      <c r="P970" s="43" t="n">
        <f aca="false">IF(K970=0,0,O970/K970)</f>
        <v>0.447687014145533</v>
      </c>
    </row>
    <row r="971" customFormat="false" ht="15" hidden="false" customHeight="false" outlineLevel="0" collapsed="false">
      <c r="A971" s="39" t="s">
        <v>1093</v>
      </c>
      <c r="B971" s="40" t="n">
        <v>45795</v>
      </c>
      <c r="C971" s="39" t="s">
        <v>133</v>
      </c>
      <c r="D971" s="39" t="n">
        <v>2</v>
      </c>
      <c r="E971" s="41" t="n">
        <v>8.91</v>
      </c>
      <c r="F971" s="39" t="s">
        <v>105</v>
      </c>
      <c r="G971" s="39" t="str">
        <f aca="false">VLOOKUP(C971,Products!$A$5:$D$24,2,FALSE())</f>
        <v>Printer Paper Ream</v>
      </c>
      <c r="H971" s="39" t="str">
        <f aca="false">VLOOKUP(C971,Products!$A$5:$D$24,3,FALSE())</f>
        <v>Stationery</v>
      </c>
      <c r="I971" s="41" t="n">
        <f aca="false">VLOOKUP(C971,Products!$A$5:$D$24,4,FALSE())</f>
        <v>4</v>
      </c>
      <c r="J971" s="42" t="n">
        <f aca="false">DATE(YEAR(B971),MONTH(B971),1)</f>
        <v>45778</v>
      </c>
      <c r="K971" s="41" t="n">
        <f aca="false">D971*E971</f>
        <v>17.82</v>
      </c>
      <c r="L971" s="41" t="n">
        <f aca="false">D971*I971</f>
        <v>8</v>
      </c>
      <c r="M971" s="41" t="n">
        <f aca="false">IFERROR(INDEX(Raw_Expenses!$C$5:$C$2979,MATCH(A971,Raw_Expenses!$A$5:$A$2979,0)),0)</f>
        <v>1.49</v>
      </c>
      <c r="N971" s="41" t="n">
        <f aca="false">L971+M971</f>
        <v>9.49</v>
      </c>
      <c r="O971" s="41" t="n">
        <f aca="false">K971-N971</f>
        <v>8.33</v>
      </c>
      <c r="P971" s="43" t="n">
        <f aca="false">IF(K971=0,0,O971/K971)</f>
        <v>0.467452300785634</v>
      </c>
    </row>
    <row r="972" customFormat="false" ht="15" hidden="false" customHeight="false" outlineLevel="0" collapsed="false">
      <c r="A972" s="39" t="s">
        <v>1094</v>
      </c>
      <c r="B972" s="40" t="n">
        <v>45795</v>
      </c>
      <c r="C972" s="39" t="s">
        <v>130</v>
      </c>
      <c r="D972" s="39" t="n">
        <v>1</v>
      </c>
      <c r="E972" s="41" t="n">
        <v>8.61</v>
      </c>
      <c r="F972" s="39" t="s">
        <v>108</v>
      </c>
      <c r="G972" s="39" t="str">
        <f aca="false">VLOOKUP(C972,Products!$A$5:$D$24,2,FALSE())</f>
        <v>Notebook Set</v>
      </c>
      <c r="H972" s="39" t="str">
        <f aca="false">VLOOKUP(C972,Products!$A$5:$D$24,3,FALSE())</f>
        <v>Stationery</v>
      </c>
      <c r="I972" s="41" t="n">
        <f aca="false">VLOOKUP(C972,Products!$A$5:$D$24,4,FALSE())</f>
        <v>3</v>
      </c>
      <c r="J972" s="42" t="n">
        <f aca="false">DATE(YEAR(B972),MONTH(B972),1)</f>
        <v>45778</v>
      </c>
      <c r="K972" s="41" t="n">
        <f aca="false">D972*E972</f>
        <v>8.61</v>
      </c>
      <c r="L972" s="41" t="n">
        <f aca="false">D972*I972</f>
        <v>3</v>
      </c>
      <c r="M972" s="41" t="n">
        <f aca="false">IFERROR(INDEX(Raw_Expenses!$C$5:$C$2979,MATCH(A972,Raw_Expenses!$A$5:$A$2979,0)),0)</f>
        <v>0.53</v>
      </c>
      <c r="N972" s="41" t="n">
        <f aca="false">L972+M972</f>
        <v>3.53</v>
      </c>
      <c r="O972" s="41" t="n">
        <f aca="false">K972-N972</f>
        <v>5.08</v>
      </c>
      <c r="P972" s="43" t="n">
        <f aca="false">IF(K972=0,0,O972/K972)</f>
        <v>0.590011614401858</v>
      </c>
    </row>
    <row r="973" customFormat="false" ht="15" hidden="false" customHeight="false" outlineLevel="0" collapsed="false">
      <c r="A973" s="39" t="s">
        <v>1095</v>
      </c>
      <c r="B973" s="40" t="n">
        <v>45795</v>
      </c>
      <c r="C973" s="39" t="s">
        <v>126</v>
      </c>
      <c r="D973" s="39" t="n">
        <v>4</v>
      </c>
      <c r="E973" s="41" t="n">
        <v>24.39</v>
      </c>
      <c r="F973" s="39" t="s">
        <v>115</v>
      </c>
      <c r="G973" s="39" t="str">
        <f aca="false">VLOOKUP(C973,Products!$A$5:$D$24,2,FALSE())</f>
        <v>Wireless Mouse</v>
      </c>
      <c r="H973" s="39" t="str">
        <f aca="false">VLOOKUP(C973,Products!$A$5:$D$24,3,FALSE())</f>
        <v>Electronics</v>
      </c>
      <c r="I973" s="41" t="n">
        <f aca="false">VLOOKUP(C973,Products!$A$5:$D$24,4,FALSE())</f>
        <v>12</v>
      </c>
      <c r="J973" s="42" t="n">
        <f aca="false">DATE(YEAR(B973),MONTH(B973),1)</f>
        <v>45778</v>
      </c>
      <c r="K973" s="41" t="n">
        <f aca="false">D973*E973</f>
        <v>97.56</v>
      </c>
      <c r="L973" s="41" t="n">
        <f aca="false">D973*I973</f>
        <v>48</v>
      </c>
      <c r="M973" s="41" t="n">
        <f aca="false">IFERROR(INDEX(Raw_Expenses!$C$5:$C$2979,MATCH(A973,Raw_Expenses!$A$5:$A$2979,0)),0)</f>
        <v>4.96</v>
      </c>
      <c r="N973" s="41" t="n">
        <f aca="false">L973+M973</f>
        <v>52.96</v>
      </c>
      <c r="O973" s="41" t="n">
        <f aca="false">K973-N973</f>
        <v>44.6</v>
      </c>
      <c r="P973" s="43" t="n">
        <f aca="false">IF(K973=0,0,O973/K973)</f>
        <v>0.457154571545716</v>
      </c>
    </row>
    <row r="974" customFormat="false" ht="15" hidden="false" customHeight="false" outlineLevel="0" collapsed="false">
      <c r="A974" s="39" t="s">
        <v>1096</v>
      </c>
      <c r="B974" s="40" t="n">
        <v>45795</v>
      </c>
      <c r="C974" s="39" t="s">
        <v>130</v>
      </c>
      <c r="D974" s="39" t="n">
        <v>2</v>
      </c>
      <c r="E974" s="41" t="n">
        <v>8.64</v>
      </c>
      <c r="F974" s="39" t="s">
        <v>108</v>
      </c>
      <c r="G974" s="39" t="str">
        <f aca="false">VLOOKUP(C974,Products!$A$5:$D$24,2,FALSE())</f>
        <v>Notebook Set</v>
      </c>
      <c r="H974" s="39" t="str">
        <f aca="false">VLOOKUP(C974,Products!$A$5:$D$24,3,FALSE())</f>
        <v>Stationery</v>
      </c>
      <c r="I974" s="41" t="n">
        <f aca="false">VLOOKUP(C974,Products!$A$5:$D$24,4,FALSE())</f>
        <v>3</v>
      </c>
      <c r="J974" s="42" t="n">
        <f aca="false">DATE(YEAR(B974),MONTH(B974),1)</f>
        <v>45778</v>
      </c>
      <c r="K974" s="41" t="n">
        <f aca="false">D974*E974</f>
        <v>17.28</v>
      </c>
      <c r="L974" s="41" t="n">
        <f aca="false">D974*I974</f>
        <v>6</v>
      </c>
      <c r="M974" s="41" t="n">
        <f aca="false">IFERROR(INDEX(Raw_Expenses!$C$5:$C$2979,MATCH(A974,Raw_Expenses!$A$5:$A$2979,0)),0)</f>
        <v>0.74</v>
      </c>
      <c r="N974" s="41" t="n">
        <f aca="false">L974+M974</f>
        <v>6.74</v>
      </c>
      <c r="O974" s="41" t="n">
        <f aca="false">K974-N974</f>
        <v>10.54</v>
      </c>
      <c r="P974" s="43" t="n">
        <f aca="false">IF(K974=0,0,O974/K974)</f>
        <v>0.609953703703704</v>
      </c>
    </row>
    <row r="975" customFormat="false" ht="15" hidden="false" customHeight="false" outlineLevel="0" collapsed="false">
      <c r="A975" s="39" t="s">
        <v>1097</v>
      </c>
      <c r="B975" s="40" t="n">
        <v>45795</v>
      </c>
      <c r="C975" s="39" t="s">
        <v>112</v>
      </c>
      <c r="D975" s="39" t="n">
        <v>2</v>
      </c>
      <c r="E975" s="41" t="n">
        <v>53.06</v>
      </c>
      <c r="F975" s="39" t="s">
        <v>108</v>
      </c>
      <c r="G975" s="39" t="str">
        <f aca="false">VLOOKUP(C975,Products!$A$5:$D$24,2,FALSE())</f>
        <v>HD Webcam</v>
      </c>
      <c r="H975" s="39" t="str">
        <f aca="false">VLOOKUP(C975,Products!$A$5:$D$24,3,FALSE())</f>
        <v>Electronics</v>
      </c>
      <c r="I975" s="41" t="n">
        <f aca="false">VLOOKUP(C975,Products!$A$5:$D$24,4,FALSE())</f>
        <v>22</v>
      </c>
      <c r="J975" s="42" t="n">
        <f aca="false">DATE(YEAR(B975),MONTH(B975),1)</f>
        <v>45778</v>
      </c>
      <c r="K975" s="41" t="n">
        <f aca="false">D975*E975</f>
        <v>106.12</v>
      </c>
      <c r="L975" s="41" t="n">
        <f aca="false">D975*I975</f>
        <v>44</v>
      </c>
      <c r="M975" s="41" t="n">
        <f aca="false">IFERROR(INDEX(Raw_Expenses!$C$5:$C$2979,MATCH(A975,Raw_Expenses!$A$5:$A$2979,0)),0)</f>
        <v>8.07</v>
      </c>
      <c r="N975" s="41" t="n">
        <f aca="false">L975+M975</f>
        <v>52.07</v>
      </c>
      <c r="O975" s="41" t="n">
        <f aca="false">K975-N975</f>
        <v>54.05</v>
      </c>
      <c r="P975" s="43" t="n">
        <f aca="false">IF(K975=0,0,O975/K975)</f>
        <v>0.509329061439879</v>
      </c>
    </row>
    <row r="976" customFormat="false" ht="15" hidden="false" customHeight="false" outlineLevel="0" collapsed="false">
      <c r="A976" s="39" t="s">
        <v>1098</v>
      </c>
      <c r="B976" s="40" t="n">
        <v>45795</v>
      </c>
      <c r="C976" s="39" t="s">
        <v>133</v>
      </c>
      <c r="D976" s="39" t="n">
        <v>3</v>
      </c>
      <c r="E976" s="41" t="n">
        <v>8.54</v>
      </c>
      <c r="F976" s="39" t="s">
        <v>108</v>
      </c>
      <c r="G976" s="39" t="str">
        <f aca="false">VLOOKUP(C976,Products!$A$5:$D$24,2,FALSE())</f>
        <v>Printer Paper Ream</v>
      </c>
      <c r="H976" s="39" t="str">
        <f aca="false">VLOOKUP(C976,Products!$A$5:$D$24,3,FALSE())</f>
        <v>Stationery</v>
      </c>
      <c r="I976" s="41" t="n">
        <f aca="false">VLOOKUP(C976,Products!$A$5:$D$24,4,FALSE())</f>
        <v>4</v>
      </c>
      <c r="J976" s="42" t="n">
        <f aca="false">DATE(YEAR(B976),MONTH(B976),1)</f>
        <v>45778</v>
      </c>
      <c r="K976" s="41" t="n">
        <f aca="false">D976*E976</f>
        <v>25.62</v>
      </c>
      <c r="L976" s="41" t="n">
        <f aca="false">D976*I976</f>
        <v>12</v>
      </c>
      <c r="M976" s="41" t="n">
        <f aca="false">IFERROR(INDEX(Raw_Expenses!$C$5:$C$2979,MATCH(A976,Raw_Expenses!$A$5:$A$2979,0)),0)</f>
        <v>1.86</v>
      </c>
      <c r="N976" s="41" t="n">
        <f aca="false">L976+M976</f>
        <v>13.86</v>
      </c>
      <c r="O976" s="41" t="n">
        <f aca="false">K976-N976</f>
        <v>11.76</v>
      </c>
      <c r="P976" s="43" t="n">
        <f aca="false">IF(K976=0,0,O976/K976)</f>
        <v>0.459016393442623</v>
      </c>
    </row>
    <row r="977" customFormat="false" ht="15" hidden="false" customHeight="false" outlineLevel="0" collapsed="false">
      <c r="A977" s="39" t="s">
        <v>1099</v>
      </c>
      <c r="B977" s="40" t="n">
        <v>45795</v>
      </c>
      <c r="C977" s="39" t="s">
        <v>107</v>
      </c>
      <c r="D977" s="39" t="n">
        <v>3</v>
      </c>
      <c r="E977" s="41" t="n">
        <v>32.27</v>
      </c>
      <c r="F977" s="39" t="s">
        <v>105</v>
      </c>
      <c r="G977" s="39" t="str">
        <f aca="false">VLOOKUP(C977,Products!$A$5:$D$24,2,FALSE())</f>
        <v>USB-C Hub</v>
      </c>
      <c r="H977" s="39" t="str">
        <f aca="false">VLOOKUP(C977,Products!$A$5:$D$24,3,FALSE())</f>
        <v>Electronics</v>
      </c>
      <c r="I977" s="41" t="n">
        <f aca="false">VLOOKUP(C977,Products!$A$5:$D$24,4,FALSE())</f>
        <v>14</v>
      </c>
      <c r="J977" s="42" t="n">
        <f aca="false">DATE(YEAR(B977),MONTH(B977),1)</f>
        <v>45778</v>
      </c>
      <c r="K977" s="41" t="n">
        <f aca="false">D977*E977</f>
        <v>96.81</v>
      </c>
      <c r="L977" s="41" t="n">
        <f aca="false">D977*I977</f>
        <v>42</v>
      </c>
      <c r="M977" s="41" t="n">
        <f aca="false">IFERROR(INDEX(Raw_Expenses!$C$5:$C$2979,MATCH(A977,Raw_Expenses!$A$5:$A$2979,0)),0)</f>
        <v>4.81</v>
      </c>
      <c r="N977" s="41" t="n">
        <f aca="false">L977+M977</f>
        <v>46.81</v>
      </c>
      <c r="O977" s="41" t="n">
        <f aca="false">K977-N977</f>
        <v>50</v>
      </c>
      <c r="P977" s="43" t="n">
        <f aca="false">IF(K977=0,0,O977/K977)</f>
        <v>0.516475570705506</v>
      </c>
    </row>
    <row r="978" customFormat="false" ht="15" hidden="false" customHeight="false" outlineLevel="0" collapsed="false">
      <c r="A978" s="39" t="s">
        <v>1100</v>
      </c>
      <c r="B978" s="40" t="n">
        <v>45795</v>
      </c>
      <c r="C978" s="39" t="s">
        <v>126</v>
      </c>
      <c r="D978" s="39" t="n">
        <v>1</v>
      </c>
      <c r="E978" s="41" t="n">
        <v>24.24</v>
      </c>
      <c r="F978" s="39" t="s">
        <v>118</v>
      </c>
      <c r="G978" s="39" t="str">
        <f aca="false">VLOOKUP(C978,Products!$A$5:$D$24,2,FALSE())</f>
        <v>Wireless Mouse</v>
      </c>
      <c r="H978" s="39" t="str">
        <f aca="false">VLOOKUP(C978,Products!$A$5:$D$24,3,FALSE())</f>
        <v>Electronics</v>
      </c>
      <c r="I978" s="41" t="n">
        <f aca="false">VLOOKUP(C978,Products!$A$5:$D$24,4,FALSE())</f>
        <v>12</v>
      </c>
      <c r="J978" s="42" t="n">
        <f aca="false">DATE(YEAR(B978),MONTH(B978),1)</f>
        <v>45778</v>
      </c>
      <c r="K978" s="41" t="n">
        <f aca="false">D978*E978</f>
        <v>24.24</v>
      </c>
      <c r="L978" s="41" t="n">
        <f aca="false">D978*I978</f>
        <v>12</v>
      </c>
      <c r="M978" s="41" t="n">
        <f aca="false">IFERROR(INDEX(Raw_Expenses!$C$5:$C$2979,MATCH(A978,Raw_Expenses!$A$5:$A$2979,0)),0)</f>
        <v>1.65</v>
      </c>
      <c r="N978" s="41" t="n">
        <f aca="false">L978+M978</f>
        <v>13.65</v>
      </c>
      <c r="O978" s="41" t="n">
        <f aca="false">K978-N978</f>
        <v>10.59</v>
      </c>
      <c r="P978" s="43" t="n">
        <f aca="false">IF(K978=0,0,O978/K978)</f>
        <v>0.436881188118812</v>
      </c>
    </row>
    <row r="979" customFormat="false" ht="15" hidden="false" customHeight="false" outlineLevel="0" collapsed="false">
      <c r="A979" s="39" t="s">
        <v>1101</v>
      </c>
      <c r="B979" s="40" t="n">
        <v>45796</v>
      </c>
      <c r="C979" s="39" t="s">
        <v>139</v>
      </c>
      <c r="D979" s="39" t="n">
        <v>1</v>
      </c>
      <c r="E979" s="41" t="n">
        <v>122.22</v>
      </c>
      <c r="F979" s="39" t="s">
        <v>115</v>
      </c>
      <c r="G979" s="39" t="str">
        <f aca="false">VLOOKUP(C979,Products!$A$5:$D$24,2,FALSE())</f>
        <v>Noise-Cancelling Headphones</v>
      </c>
      <c r="H979" s="39" t="str">
        <f aca="false">VLOOKUP(C979,Products!$A$5:$D$24,3,FALSE())</f>
        <v>Electronics</v>
      </c>
      <c r="I979" s="41" t="n">
        <f aca="false">VLOOKUP(C979,Products!$A$5:$D$24,4,FALSE())</f>
        <v>55</v>
      </c>
      <c r="J979" s="42" t="n">
        <f aca="false">DATE(YEAR(B979),MONTH(B979),1)</f>
        <v>45778</v>
      </c>
      <c r="K979" s="41" t="n">
        <f aca="false">D979*E979</f>
        <v>122.22</v>
      </c>
      <c r="L979" s="41" t="n">
        <f aca="false">D979*I979</f>
        <v>55</v>
      </c>
      <c r="M979" s="41" t="n">
        <f aca="false">IFERROR(INDEX(Raw_Expenses!$C$5:$C$2979,MATCH(A979,Raw_Expenses!$A$5:$A$2979,0)),0)</f>
        <v>8.75</v>
      </c>
      <c r="N979" s="41" t="n">
        <f aca="false">L979+M979</f>
        <v>63.75</v>
      </c>
      <c r="O979" s="41" t="n">
        <f aca="false">K979-N979</f>
        <v>58.47</v>
      </c>
      <c r="P979" s="43" t="n">
        <f aca="false">IF(K979=0,0,O979/K979)</f>
        <v>0.478399607265587</v>
      </c>
    </row>
    <row r="980" customFormat="false" ht="15" hidden="false" customHeight="false" outlineLevel="0" collapsed="false">
      <c r="A980" s="39" t="s">
        <v>1102</v>
      </c>
      <c r="B980" s="40" t="n">
        <v>45796</v>
      </c>
      <c r="C980" s="39" t="s">
        <v>117</v>
      </c>
      <c r="D980" s="39" t="n">
        <v>1</v>
      </c>
      <c r="E980" s="41" t="n">
        <v>31.34</v>
      </c>
      <c r="F980" s="39" t="s">
        <v>115</v>
      </c>
      <c r="G980" s="39" t="str">
        <f aca="false">VLOOKUP(C980,Products!$A$5:$D$24,2,FALSE())</f>
        <v>Desk Lamp</v>
      </c>
      <c r="H980" s="39" t="str">
        <f aca="false">VLOOKUP(C980,Products!$A$5:$D$24,3,FALSE())</f>
        <v>Furniture</v>
      </c>
      <c r="I980" s="41" t="n">
        <f aca="false">VLOOKUP(C980,Products!$A$5:$D$24,4,FALSE())</f>
        <v>13</v>
      </c>
      <c r="J980" s="42" t="n">
        <f aca="false">DATE(YEAR(B980),MONTH(B980),1)</f>
        <v>45778</v>
      </c>
      <c r="K980" s="41" t="n">
        <f aca="false">D980*E980</f>
        <v>31.34</v>
      </c>
      <c r="L980" s="41" t="n">
        <f aca="false">D980*I980</f>
        <v>13</v>
      </c>
      <c r="M980" s="41" t="n">
        <f aca="false">IFERROR(INDEX(Raw_Expenses!$C$5:$C$2979,MATCH(A980,Raw_Expenses!$A$5:$A$2979,0)),0)</f>
        <v>2.02</v>
      </c>
      <c r="N980" s="41" t="n">
        <f aca="false">L980+M980</f>
        <v>15.02</v>
      </c>
      <c r="O980" s="41" t="n">
        <f aca="false">K980-N980</f>
        <v>16.32</v>
      </c>
      <c r="P980" s="43" t="n">
        <f aca="false">IF(K980=0,0,O980/K980)</f>
        <v>0.520740268028079</v>
      </c>
    </row>
    <row r="981" customFormat="false" ht="15" hidden="false" customHeight="false" outlineLevel="0" collapsed="false">
      <c r="A981" s="39" t="s">
        <v>1103</v>
      </c>
      <c r="B981" s="40" t="n">
        <v>45796</v>
      </c>
      <c r="C981" s="39" t="s">
        <v>121</v>
      </c>
      <c r="D981" s="39" t="n">
        <v>1</v>
      </c>
      <c r="E981" s="41" t="n">
        <v>112.84</v>
      </c>
      <c r="F981" s="39" t="s">
        <v>105</v>
      </c>
      <c r="G981" s="39" t="str">
        <f aca="false">VLOOKUP(C981,Products!$A$5:$D$24,2,FALSE())</f>
        <v>External SSD 1TB</v>
      </c>
      <c r="H981" s="39" t="str">
        <f aca="false">VLOOKUP(C981,Products!$A$5:$D$24,3,FALSE())</f>
        <v>Electronics</v>
      </c>
      <c r="I981" s="41" t="n">
        <f aca="false">VLOOKUP(C981,Products!$A$5:$D$24,4,FALSE())</f>
        <v>62</v>
      </c>
      <c r="J981" s="42" t="n">
        <f aca="false">DATE(YEAR(B981),MONTH(B981),1)</f>
        <v>45778</v>
      </c>
      <c r="K981" s="41" t="n">
        <f aca="false">D981*E981</f>
        <v>112.84</v>
      </c>
      <c r="L981" s="41" t="n">
        <f aca="false">D981*I981</f>
        <v>62</v>
      </c>
      <c r="M981" s="41" t="n">
        <f aca="false">IFERROR(INDEX(Raw_Expenses!$C$5:$C$2979,MATCH(A981,Raw_Expenses!$A$5:$A$2979,0)),0)</f>
        <v>7.96</v>
      </c>
      <c r="N981" s="41" t="n">
        <f aca="false">L981+M981</f>
        <v>69.96</v>
      </c>
      <c r="O981" s="41" t="n">
        <f aca="false">K981-N981</f>
        <v>42.88</v>
      </c>
      <c r="P981" s="43" t="n">
        <f aca="false">IF(K981=0,0,O981/K981)</f>
        <v>0.380007089684509</v>
      </c>
    </row>
    <row r="982" customFormat="false" ht="15" hidden="false" customHeight="false" outlineLevel="0" collapsed="false">
      <c r="A982" s="39" t="s">
        <v>1104</v>
      </c>
      <c r="B982" s="40" t="n">
        <v>45796</v>
      </c>
      <c r="C982" s="39" t="s">
        <v>112</v>
      </c>
      <c r="D982" s="39" t="n">
        <v>1</v>
      </c>
      <c r="E982" s="41" t="n">
        <v>54.29</v>
      </c>
      <c r="F982" s="39" t="s">
        <v>108</v>
      </c>
      <c r="G982" s="39" t="str">
        <f aca="false">VLOOKUP(C982,Products!$A$5:$D$24,2,FALSE())</f>
        <v>HD Webcam</v>
      </c>
      <c r="H982" s="39" t="str">
        <f aca="false">VLOOKUP(C982,Products!$A$5:$D$24,3,FALSE())</f>
        <v>Electronics</v>
      </c>
      <c r="I982" s="41" t="n">
        <f aca="false">VLOOKUP(C982,Products!$A$5:$D$24,4,FALSE())</f>
        <v>22</v>
      </c>
      <c r="J982" s="42" t="n">
        <f aca="false">DATE(YEAR(B982),MONTH(B982),1)</f>
        <v>45778</v>
      </c>
      <c r="K982" s="41" t="n">
        <f aca="false">D982*E982</f>
        <v>54.29</v>
      </c>
      <c r="L982" s="41" t="n">
        <f aca="false">D982*I982</f>
        <v>22</v>
      </c>
      <c r="M982" s="41" t="n">
        <f aca="false">IFERROR(INDEX(Raw_Expenses!$C$5:$C$2979,MATCH(A982,Raw_Expenses!$A$5:$A$2979,0)),0)</f>
        <v>2.86</v>
      </c>
      <c r="N982" s="41" t="n">
        <f aca="false">L982+M982</f>
        <v>24.86</v>
      </c>
      <c r="O982" s="41" t="n">
        <f aca="false">K982-N982</f>
        <v>29.43</v>
      </c>
      <c r="P982" s="43" t="n">
        <f aca="false">IF(K982=0,0,O982/K982)</f>
        <v>0.542088782464542</v>
      </c>
    </row>
    <row r="983" customFormat="false" ht="15" hidden="false" customHeight="false" outlineLevel="0" collapsed="false">
      <c r="A983" s="39" t="s">
        <v>1105</v>
      </c>
      <c r="B983" s="40" t="n">
        <v>45796</v>
      </c>
      <c r="C983" s="39" t="s">
        <v>104</v>
      </c>
      <c r="D983" s="39" t="n">
        <v>1</v>
      </c>
      <c r="E983" s="41" t="n">
        <v>15.37</v>
      </c>
      <c r="F983" s="39" t="s">
        <v>105</v>
      </c>
      <c r="G983" s="39" t="str">
        <f aca="false">VLOOKUP(C983,Products!$A$5:$D$24,2,FALSE())</f>
        <v>Water Bottle</v>
      </c>
      <c r="H983" s="39" t="str">
        <f aca="false">VLOOKUP(C983,Products!$A$5:$D$24,3,FALSE())</f>
        <v>Accessories</v>
      </c>
      <c r="I983" s="41" t="n">
        <f aca="false">VLOOKUP(C983,Products!$A$5:$D$24,4,FALSE())</f>
        <v>5</v>
      </c>
      <c r="J983" s="42" t="n">
        <f aca="false">DATE(YEAR(B983),MONTH(B983),1)</f>
        <v>45778</v>
      </c>
      <c r="K983" s="41" t="n">
        <f aca="false">D983*E983</f>
        <v>15.37</v>
      </c>
      <c r="L983" s="41" t="n">
        <f aca="false">D983*I983</f>
        <v>5</v>
      </c>
      <c r="M983" s="41" t="n">
        <f aca="false">IFERROR(INDEX(Raw_Expenses!$C$5:$C$2979,MATCH(A983,Raw_Expenses!$A$5:$A$2979,0)),0)</f>
        <v>1.26</v>
      </c>
      <c r="N983" s="41" t="n">
        <f aca="false">L983+M983</f>
        <v>6.26</v>
      </c>
      <c r="O983" s="41" t="n">
        <f aca="false">K983-N983</f>
        <v>9.11</v>
      </c>
      <c r="P983" s="43" t="n">
        <f aca="false">IF(K983=0,0,O983/K983)</f>
        <v>0.592713077423552</v>
      </c>
    </row>
    <row r="984" customFormat="false" ht="15" hidden="false" customHeight="false" outlineLevel="0" collapsed="false">
      <c r="A984" s="39" t="s">
        <v>1106</v>
      </c>
      <c r="B984" s="40" t="n">
        <v>45796</v>
      </c>
      <c r="C984" s="39" t="s">
        <v>114</v>
      </c>
      <c r="D984" s="39" t="n">
        <v>2</v>
      </c>
      <c r="E984" s="41" t="n">
        <v>5.97</v>
      </c>
      <c r="F984" s="39" t="s">
        <v>108</v>
      </c>
      <c r="G984" s="39" t="str">
        <f aca="false">VLOOKUP(C984,Products!$A$5:$D$24,2,FALSE())</f>
        <v>Gel Pen Pack</v>
      </c>
      <c r="H984" s="39" t="str">
        <f aca="false">VLOOKUP(C984,Products!$A$5:$D$24,3,FALSE())</f>
        <v>Stationery</v>
      </c>
      <c r="I984" s="41" t="n">
        <f aca="false">VLOOKUP(C984,Products!$A$5:$D$24,4,FALSE())</f>
        <v>2</v>
      </c>
      <c r="J984" s="42" t="n">
        <f aca="false">DATE(YEAR(B984),MONTH(B984),1)</f>
        <v>45778</v>
      </c>
      <c r="K984" s="41" t="n">
        <f aca="false">D984*E984</f>
        <v>11.94</v>
      </c>
      <c r="L984" s="41" t="n">
        <f aca="false">D984*I984</f>
        <v>4</v>
      </c>
      <c r="M984" s="41" t="n">
        <f aca="false">IFERROR(INDEX(Raw_Expenses!$C$5:$C$2979,MATCH(A984,Raw_Expenses!$A$5:$A$2979,0)),0)</f>
        <v>0.75</v>
      </c>
      <c r="N984" s="41" t="n">
        <f aca="false">L984+M984</f>
        <v>4.75</v>
      </c>
      <c r="O984" s="41" t="n">
        <f aca="false">K984-N984</f>
        <v>7.19</v>
      </c>
      <c r="P984" s="43" t="n">
        <f aca="false">IF(K984=0,0,O984/K984)</f>
        <v>0.602177554438861</v>
      </c>
    </row>
    <row r="985" customFormat="false" ht="15" hidden="false" customHeight="false" outlineLevel="0" collapsed="false">
      <c r="A985" s="39" t="s">
        <v>1107</v>
      </c>
      <c r="B985" s="40" t="n">
        <v>45796</v>
      </c>
      <c r="C985" s="39" t="s">
        <v>133</v>
      </c>
      <c r="D985" s="39" t="n">
        <v>2</v>
      </c>
      <c r="E985" s="41" t="n">
        <v>8.74</v>
      </c>
      <c r="F985" s="39" t="s">
        <v>105</v>
      </c>
      <c r="G985" s="39" t="str">
        <f aca="false">VLOOKUP(C985,Products!$A$5:$D$24,2,FALSE())</f>
        <v>Printer Paper Ream</v>
      </c>
      <c r="H985" s="39" t="str">
        <f aca="false">VLOOKUP(C985,Products!$A$5:$D$24,3,FALSE())</f>
        <v>Stationery</v>
      </c>
      <c r="I985" s="41" t="n">
        <f aca="false">VLOOKUP(C985,Products!$A$5:$D$24,4,FALSE())</f>
        <v>4</v>
      </c>
      <c r="J985" s="42" t="n">
        <f aca="false">DATE(YEAR(B985),MONTH(B985),1)</f>
        <v>45778</v>
      </c>
      <c r="K985" s="41" t="n">
        <f aca="false">D985*E985</f>
        <v>17.48</v>
      </c>
      <c r="L985" s="41" t="n">
        <f aca="false">D985*I985</f>
        <v>8</v>
      </c>
      <c r="M985" s="41" t="n">
        <f aca="false">IFERROR(INDEX(Raw_Expenses!$C$5:$C$2979,MATCH(A985,Raw_Expenses!$A$5:$A$2979,0)),0)</f>
        <v>0.91</v>
      </c>
      <c r="N985" s="41" t="n">
        <f aca="false">L985+M985</f>
        <v>8.91</v>
      </c>
      <c r="O985" s="41" t="n">
        <f aca="false">K985-N985</f>
        <v>8.57</v>
      </c>
      <c r="P985" s="43" t="n">
        <f aca="false">IF(K985=0,0,O985/K985)</f>
        <v>0.490274599542334</v>
      </c>
    </row>
    <row r="986" customFormat="false" ht="15" hidden="false" customHeight="false" outlineLevel="0" collapsed="false">
      <c r="A986" s="39" t="s">
        <v>1108</v>
      </c>
      <c r="B986" s="40" t="n">
        <v>45797</v>
      </c>
      <c r="C986" s="39" t="s">
        <v>114</v>
      </c>
      <c r="D986" s="39" t="n">
        <v>2</v>
      </c>
      <c r="E986" s="41" t="n">
        <v>5.81</v>
      </c>
      <c r="F986" s="39" t="s">
        <v>105</v>
      </c>
      <c r="G986" s="39" t="str">
        <f aca="false">VLOOKUP(C986,Products!$A$5:$D$24,2,FALSE())</f>
        <v>Gel Pen Pack</v>
      </c>
      <c r="H986" s="39" t="str">
        <f aca="false">VLOOKUP(C986,Products!$A$5:$D$24,3,FALSE())</f>
        <v>Stationery</v>
      </c>
      <c r="I986" s="41" t="n">
        <f aca="false">VLOOKUP(C986,Products!$A$5:$D$24,4,FALSE())</f>
        <v>2</v>
      </c>
      <c r="J986" s="42" t="n">
        <f aca="false">DATE(YEAR(B986),MONTH(B986),1)</f>
        <v>45778</v>
      </c>
      <c r="K986" s="41" t="n">
        <f aca="false">D986*E986</f>
        <v>11.62</v>
      </c>
      <c r="L986" s="41" t="n">
        <f aca="false">D986*I986</f>
        <v>4</v>
      </c>
      <c r="M986" s="41" t="n">
        <f aca="false">IFERROR(INDEX(Raw_Expenses!$C$5:$C$2979,MATCH(A986,Raw_Expenses!$A$5:$A$2979,0)),0)</f>
        <v>0.64</v>
      </c>
      <c r="N986" s="41" t="n">
        <f aca="false">L986+M986</f>
        <v>4.64</v>
      </c>
      <c r="O986" s="41" t="n">
        <f aca="false">K986-N986</f>
        <v>6.98</v>
      </c>
      <c r="P986" s="43" t="n">
        <f aca="false">IF(K986=0,0,O986/K986)</f>
        <v>0.600688468158348</v>
      </c>
    </row>
    <row r="987" customFormat="false" ht="15" hidden="false" customHeight="false" outlineLevel="0" collapsed="false">
      <c r="A987" s="39" t="s">
        <v>1109</v>
      </c>
      <c r="B987" s="40" t="n">
        <v>45797</v>
      </c>
      <c r="C987" s="39" t="s">
        <v>130</v>
      </c>
      <c r="D987" s="39" t="n">
        <v>2</v>
      </c>
      <c r="E987" s="41" t="n">
        <v>8.29</v>
      </c>
      <c r="F987" s="39" t="s">
        <v>105</v>
      </c>
      <c r="G987" s="39" t="str">
        <f aca="false">VLOOKUP(C987,Products!$A$5:$D$24,2,FALSE())</f>
        <v>Notebook Set</v>
      </c>
      <c r="H987" s="39" t="str">
        <f aca="false">VLOOKUP(C987,Products!$A$5:$D$24,3,FALSE())</f>
        <v>Stationery</v>
      </c>
      <c r="I987" s="41" t="n">
        <f aca="false">VLOOKUP(C987,Products!$A$5:$D$24,4,FALSE())</f>
        <v>3</v>
      </c>
      <c r="J987" s="42" t="n">
        <f aca="false">DATE(YEAR(B987),MONTH(B987),1)</f>
        <v>45778</v>
      </c>
      <c r="K987" s="41" t="n">
        <f aca="false">D987*E987</f>
        <v>16.58</v>
      </c>
      <c r="L987" s="41" t="n">
        <f aca="false">D987*I987</f>
        <v>6</v>
      </c>
      <c r="M987" s="41" t="n">
        <f aca="false">IFERROR(INDEX(Raw_Expenses!$C$5:$C$2979,MATCH(A987,Raw_Expenses!$A$5:$A$2979,0)),0)</f>
        <v>0.8</v>
      </c>
      <c r="N987" s="41" t="n">
        <f aca="false">L987+M987</f>
        <v>6.8</v>
      </c>
      <c r="O987" s="41" t="n">
        <f aca="false">K987-N987</f>
        <v>9.78</v>
      </c>
      <c r="P987" s="43" t="n">
        <f aca="false">IF(K987=0,0,O987/K987)</f>
        <v>0.589867310012063</v>
      </c>
    </row>
    <row r="988" customFormat="false" ht="15" hidden="false" customHeight="false" outlineLevel="0" collapsed="false">
      <c r="A988" s="39" t="s">
        <v>1110</v>
      </c>
      <c r="B988" s="40" t="n">
        <v>45797</v>
      </c>
      <c r="C988" s="39" t="s">
        <v>126</v>
      </c>
      <c r="D988" s="39" t="n">
        <v>1</v>
      </c>
      <c r="E988" s="41" t="n">
        <v>23.9</v>
      </c>
      <c r="F988" s="39" t="s">
        <v>108</v>
      </c>
      <c r="G988" s="39" t="str">
        <f aca="false">VLOOKUP(C988,Products!$A$5:$D$24,2,FALSE())</f>
        <v>Wireless Mouse</v>
      </c>
      <c r="H988" s="39" t="str">
        <f aca="false">VLOOKUP(C988,Products!$A$5:$D$24,3,FALSE())</f>
        <v>Electronics</v>
      </c>
      <c r="I988" s="41" t="n">
        <f aca="false">VLOOKUP(C988,Products!$A$5:$D$24,4,FALSE())</f>
        <v>12</v>
      </c>
      <c r="J988" s="42" t="n">
        <f aca="false">DATE(YEAR(B988),MONTH(B988),1)</f>
        <v>45778</v>
      </c>
      <c r="K988" s="41" t="n">
        <f aca="false">D988*E988</f>
        <v>23.9</v>
      </c>
      <c r="L988" s="41" t="n">
        <f aca="false">D988*I988</f>
        <v>12</v>
      </c>
      <c r="M988" s="41" t="n">
        <f aca="false">IFERROR(INDEX(Raw_Expenses!$C$5:$C$2979,MATCH(A988,Raw_Expenses!$A$5:$A$2979,0)),0)</f>
        <v>1.66</v>
      </c>
      <c r="N988" s="41" t="n">
        <f aca="false">L988+M988</f>
        <v>13.66</v>
      </c>
      <c r="O988" s="41" t="n">
        <f aca="false">K988-N988</f>
        <v>10.24</v>
      </c>
      <c r="P988" s="43" t="n">
        <f aca="false">IF(K988=0,0,O988/K988)</f>
        <v>0.428451882845188</v>
      </c>
    </row>
    <row r="989" customFormat="false" ht="15" hidden="false" customHeight="false" outlineLevel="0" collapsed="false">
      <c r="A989" s="39" t="s">
        <v>1111</v>
      </c>
      <c r="B989" s="40" t="n">
        <v>45798</v>
      </c>
      <c r="C989" s="39" t="s">
        <v>162</v>
      </c>
      <c r="D989" s="39" t="n">
        <v>5</v>
      </c>
      <c r="E989" s="41" t="n">
        <v>66.48</v>
      </c>
      <c r="F989" s="39" t="s">
        <v>118</v>
      </c>
      <c r="G989" s="39" t="str">
        <f aca="false">VLOOKUP(C989,Products!$A$5:$D$24,2,FALSE())</f>
        <v>Bluetooth Speaker</v>
      </c>
      <c r="H989" s="39" t="str">
        <f aca="false">VLOOKUP(C989,Products!$A$5:$D$24,3,FALSE())</f>
        <v>Electronics</v>
      </c>
      <c r="I989" s="41" t="n">
        <f aca="false">VLOOKUP(C989,Products!$A$5:$D$24,4,FALSE())</f>
        <v>28</v>
      </c>
      <c r="J989" s="42" t="n">
        <f aca="false">DATE(YEAR(B989),MONTH(B989),1)</f>
        <v>45778</v>
      </c>
      <c r="K989" s="41" t="n">
        <f aca="false">D989*E989</f>
        <v>332.4</v>
      </c>
      <c r="L989" s="41" t="n">
        <f aca="false">D989*I989</f>
        <v>140</v>
      </c>
      <c r="M989" s="41" t="n">
        <f aca="false">IFERROR(INDEX(Raw_Expenses!$C$5:$C$2979,MATCH(A989,Raw_Expenses!$A$5:$A$2979,0)),0)</f>
        <v>25.64</v>
      </c>
      <c r="N989" s="41" t="n">
        <f aca="false">L989+M989</f>
        <v>165.64</v>
      </c>
      <c r="O989" s="41" t="n">
        <f aca="false">K989-N989</f>
        <v>166.76</v>
      </c>
      <c r="P989" s="43" t="n">
        <f aca="false">IF(K989=0,0,O989/K989)</f>
        <v>0.501684717208183</v>
      </c>
    </row>
    <row r="990" customFormat="false" ht="15" hidden="false" customHeight="false" outlineLevel="0" collapsed="false">
      <c r="A990" s="39" t="s">
        <v>1112</v>
      </c>
      <c r="B990" s="40" t="n">
        <v>45798</v>
      </c>
      <c r="C990" s="39" t="s">
        <v>121</v>
      </c>
      <c r="D990" s="39" t="n">
        <v>2</v>
      </c>
      <c r="E990" s="41" t="n">
        <v>113.93</v>
      </c>
      <c r="F990" s="39" t="s">
        <v>105</v>
      </c>
      <c r="G990" s="39" t="str">
        <f aca="false">VLOOKUP(C990,Products!$A$5:$D$24,2,FALSE())</f>
        <v>External SSD 1TB</v>
      </c>
      <c r="H990" s="39" t="str">
        <f aca="false">VLOOKUP(C990,Products!$A$5:$D$24,3,FALSE())</f>
        <v>Electronics</v>
      </c>
      <c r="I990" s="41" t="n">
        <f aca="false">VLOOKUP(C990,Products!$A$5:$D$24,4,FALSE())</f>
        <v>62</v>
      </c>
      <c r="J990" s="42" t="n">
        <f aca="false">DATE(YEAR(B990),MONTH(B990),1)</f>
        <v>45778</v>
      </c>
      <c r="K990" s="41" t="n">
        <f aca="false">D990*E990</f>
        <v>227.86</v>
      </c>
      <c r="L990" s="41" t="n">
        <f aca="false">D990*I990</f>
        <v>124</v>
      </c>
      <c r="M990" s="41" t="n">
        <f aca="false">IFERROR(INDEX(Raw_Expenses!$C$5:$C$2979,MATCH(A990,Raw_Expenses!$A$5:$A$2979,0)),0)</f>
        <v>17.11</v>
      </c>
      <c r="N990" s="41" t="n">
        <f aca="false">L990+M990</f>
        <v>141.11</v>
      </c>
      <c r="O990" s="41" t="n">
        <f aca="false">K990-N990</f>
        <v>86.75</v>
      </c>
      <c r="P990" s="43" t="n">
        <f aca="false">IF(K990=0,0,O990/K990)</f>
        <v>0.380716229263583</v>
      </c>
    </row>
    <row r="991" customFormat="false" ht="15" hidden="false" customHeight="false" outlineLevel="0" collapsed="false">
      <c r="A991" s="39" t="s">
        <v>1113</v>
      </c>
      <c r="B991" s="40" t="n">
        <v>45798</v>
      </c>
      <c r="C991" s="39" t="s">
        <v>112</v>
      </c>
      <c r="D991" s="39" t="n">
        <v>3</v>
      </c>
      <c r="E991" s="41" t="n">
        <v>54.13</v>
      </c>
      <c r="F991" s="39" t="s">
        <v>108</v>
      </c>
      <c r="G991" s="39" t="str">
        <f aca="false">VLOOKUP(C991,Products!$A$5:$D$24,2,FALSE())</f>
        <v>HD Webcam</v>
      </c>
      <c r="H991" s="39" t="str">
        <f aca="false">VLOOKUP(C991,Products!$A$5:$D$24,3,FALSE())</f>
        <v>Electronics</v>
      </c>
      <c r="I991" s="41" t="n">
        <f aca="false">VLOOKUP(C991,Products!$A$5:$D$24,4,FALSE())</f>
        <v>22</v>
      </c>
      <c r="J991" s="42" t="n">
        <f aca="false">DATE(YEAR(B991),MONTH(B991),1)</f>
        <v>45778</v>
      </c>
      <c r="K991" s="41" t="n">
        <f aca="false">D991*E991</f>
        <v>162.39</v>
      </c>
      <c r="L991" s="41" t="n">
        <f aca="false">D991*I991</f>
        <v>66</v>
      </c>
      <c r="M991" s="41" t="n">
        <f aca="false">IFERROR(INDEX(Raw_Expenses!$C$5:$C$2979,MATCH(A991,Raw_Expenses!$A$5:$A$2979,0)),0)</f>
        <v>11.03</v>
      </c>
      <c r="N991" s="41" t="n">
        <f aca="false">L991+M991</f>
        <v>77.03</v>
      </c>
      <c r="O991" s="41" t="n">
        <f aca="false">K991-N991</f>
        <v>85.36</v>
      </c>
      <c r="P991" s="43" t="n">
        <f aca="false">IF(K991=0,0,O991/K991)</f>
        <v>0.525648131042552</v>
      </c>
    </row>
    <row r="992" customFormat="false" ht="15" hidden="false" customHeight="false" outlineLevel="0" collapsed="false">
      <c r="A992" s="39" t="s">
        <v>1114</v>
      </c>
      <c r="B992" s="40" t="n">
        <v>45798</v>
      </c>
      <c r="C992" s="39" t="s">
        <v>136</v>
      </c>
      <c r="D992" s="39" t="n">
        <v>1</v>
      </c>
      <c r="E992" s="41" t="n">
        <v>78.83</v>
      </c>
      <c r="F992" s="39" t="s">
        <v>115</v>
      </c>
      <c r="G992" s="39" t="str">
        <f aca="false">VLOOKUP(C992,Products!$A$5:$D$24,2,FALSE())</f>
        <v>Mechanical Keyboard</v>
      </c>
      <c r="H992" s="39" t="str">
        <f aca="false">VLOOKUP(C992,Products!$A$5:$D$24,3,FALSE())</f>
        <v>Electronics</v>
      </c>
      <c r="I992" s="41" t="n">
        <f aca="false">VLOOKUP(C992,Products!$A$5:$D$24,4,FALSE())</f>
        <v>38</v>
      </c>
      <c r="J992" s="42" t="n">
        <f aca="false">DATE(YEAR(B992),MONTH(B992),1)</f>
        <v>45778</v>
      </c>
      <c r="K992" s="41" t="n">
        <f aca="false">D992*E992</f>
        <v>78.83</v>
      </c>
      <c r="L992" s="41" t="n">
        <f aca="false">D992*I992</f>
        <v>38</v>
      </c>
      <c r="M992" s="41" t="n">
        <f aca="false">IFERROR(INDEX(Raw_Expenses!$C$5:$C$2979,MATCH(A992,Raw_Expenses!$A$5:$A$2979,0)),0)</f>
        <v>6.42</v>
      </c>
      <c r="N992" s="41" t="n">
        <f aca="false">L992+M992</f>
        <v>44.42</v>
      </c>
      <c r="O992" s="41" t="n">
        <f aca="false">K992-N992</f>
        <v>34.41</v>
      </c>
      <c r="P992" s="43" t="n">
        <f aca="false">IF(K992=0,0,O992/K992)</f>
        <v>0.4365089432957</v>
      </c>
    </row>
    <row r="993" customFormat="false" ht="15" hidden="false" customHeight="false" outlineLevel="0" collapsed="false">
      <c r="A993" s="39" t="s">
        <v>1115</v>
      </c>
      <c r="B993" s="40" t="n">
        <v>45798</v>
      </c>
      <c r="C993" s="39" t="s">
        <v>183</v>
      </c>
      <c r="D993" s="39" t="n">
        <v>3</v>
      </c>
      <c r="E993" s="41" t="n">
        <v>183.55</v>
      </c>
      <c r="F993" s="39" t="s">
        <v>105</v>
      </c>
      <c r="G993" s="39" t="str">
        <f aca="false">VLOOKUP(C993,Products!$A$5:$D$24,2,FALSE())</f>
        <v>Office Chair</v>
      </c>
      <c r="H993" s="39" t="str">
        <f aca="false">VLOOKUP(C993,Products!$A$5:$D$24,3,FALSE())</f>
        <v>Furniture</v>
      </c>
      <c r="I993" s="41" t="n">
        <f aca="false">VLOOKUP(C993,Products!$A$5:$D$24,4,FALSE())</f>
        <v>85</v>
      </c>
      <c r="J993" s="42" t="n">
        <f aca="false">DATE(YEAR(B993),MONTH(B993),1)</f>
        <v>45778</v>
      </c>
      <c r="K993" s="41" t="n">
        <f aca="false">D993*E993</f>
        <v>550.65</v>
      </c>
      <c r="L993" s="41" t="n">
        <f aca="false">D993*I993</f>
        <v>255</v>
      </c>
      <c r="M993" s="41" t="n">
        <f aca="false">IFERROR(INDEX(Raw_Expenses!$C$5:$C$2979,MATCH(A993,Raw_Expenses!$A$5:$A$2979,0)),0)</f>
        <v>41.84</v>
      </c>
      <c r="N993" s="41" t="n">
        <f aca="false">L993+M993</f>
        <v>296.84</v>
      </c>
      <c r="O993" s="41" t="n">
        <f aca="false">K993-N993</f>
        <v>253.81</v>
      </c>
      <c r="P993" s="43" t="n">
        <f aca="false">IF(K993=0,0,O993/K993)</f>
        <v>0.460927994188686</v>
      </c>
    </row>
    <row r="994" customFormat="false" ht="15" hidden="false" customHeight="false" outlineLevel="0" collapsed="false">
      <c r="A994" s="39" t="s">
        <v>1116</v>
      </c>
      <c r="B994" s="40" t="n">
        <v>45798</v>
      </c>
      <c r="C994" s="39" t="s">
        <v>139</v>
      </c>
      <c r="D994" s="39" t="n">
        <v>6</v>
      </c>
      <c r="E994" s="41" t="n">
        <v>124.38</v>
      </c>
      <c r="F994" s="39" t="s">
        <v>105</v>
      </c>
      <c r="G994" s="39" t="str">
        <f aca="false">VLOOKUP(C994,Products!$A$5:$D$24,2,FALSE())</f>
        <v>Noise-Cancelling Headphones</v>
      </c>
      <c r="H994" s="39" t="str">
        <f aca="false">VLOOKUP(C994,Products!$A$5:$D$24,3,FALSE())</f>
        <v>Electronics</v>
      </c>
      <c r="I994" s="41" t="n">
        <f aca="false">VLOOKUP(C994,Products!$A$5:$D$24,4,FALSE())</f>
        <v>55</v>
      </c>
      <c r="J994" s="42" t="n">
        <f aca="false">DATE(YEAR(B994),MONTH(B994),1)</f>
        <v>45778</v>
      </c>
      <c r="K994" s="41" t="n">
        <f aca="false">D994*E994</f>
        <v>746.28</v>
      </c>
      <c r="L994" s="41" t="n">
        <f aca="false">D994*I994</f>
        <v>330</v>
      </c>
      <c r="M994" s="41" t="n">
        <f aca="false">IFERROR(INDEX(Raw_Expenses!$C$5:$C$2979,MATCH(A994,Raw_Expenses!$A$5:$A$2979,0)),0)</f>
        <v>42.1</v>
      </c>
      <c r="N994" s="41" t="n">
        <f aca="false">L994+M994</f>
        <v>372.1</v>
      </c>
      <c r="O994" s="41" t="n">
        <f aca="false">K994-N994</f>
        <v>374.18</v>
      </c>
      <c r="P994" s="43" t="n">
        <f aca="false">IF(K994=0,0,O994/K994)</f>
        <v>0.501393578817602</v>
      </c>
    </row>
    <row r="995" customFormat="false" ht="15" hidden="false" customHeight="false" outlineLevel="0" collapsed="false">
      <c r="A995" s="39" t="s">
        <v>1117</v>
      </c>
      <c r="B995" s="40" t="n">
        <v>45799</v>
      </c>
      <c r="C995" s="39" t="s">
        <v>169</v>
      </c>
      <c r="D995" s="39" t="n">
        <v>4</v>
      </c>
      <c r="E995" s="41" t="n">
        <v>28.57</v>
      </c>
      <c r="F995" s="39" t="s">
        <v>115</v>
      </c>
      <c r="G995" s="39" t="str">
        <f aca="false">VLOOKUP(C995,Products!$A$5:$D$24,2,FALSE())</f>
        <v>Laptop Stand</v>
      </c>
      <c r="H995" s="39" t="str">
        <f aca="false">VLOOKUP(C995,Products!$A$5:$D$24,3,FALSE())</f>
        <v>Accessories</v>
      </c>
      <c r="I995" s="41" t="n">
        <f aca="false">VLOOKUP(C995,Products!$A$5:$D$24,4,FALSE())</f>
        <v>11</v>
      </c>
      <c r="J995" s="42" t="n">
        <f aca="false">DATE(YEAR(B995),MONTH(B995),1)</f>
        <v>45778</v>
      </c>
      <c r="K995" s="41" t="n">
        <f aca="false">D995*E995</f>
        <v>114.28</v>
      </c>
      <c r="L995" s="41" t="n">
        <f aca="false">D995*I995</f>
        <v>44</v>
      </c>
      <c r="M995" s="41" t="n">
        <f aca="false">IFERROR(INDEX(Raw_Expenses!$C$5:$C$2979,MATCH(A995,Raw_Expenses!$A$5:$A$2979,0)),0)</f>
        <v>6.89</v>
      </c>
      <c r="N995" s="41" t="n">
        <f aca="false">L995+M995</f>
        <v>50.89</v>
      </c>
      <c r="O995" s="41" t="n">
        <f aca="false">K995-N995</f>
        <v>63.39</v>
      </c>
      <c r="P995" s="43" t="n">
        <f aca="false">IF(K995=0,0,O995/K995)</f>
        <v>0.554690234511726</v>
      </c>
    </row>
    <row r="996" customFormat="false" ht="15" hidden="false" customHeight="false" outlineLevel="0" collapsed="false">
      <c r="A996" s="39" t="s">
        <v>1118</v>
      </c>
      <c r="B996" s="40" t="n">
        <v>45799</v>
      </c>
      <c r="C996" s="39" t="s">
        <v>169</v>
      </c>
      <c r="D996" s="39" t="n">
        <v>2</v>
      </c>
      <c r="E996" s="41" t="n">
        <v>26.99</v>
      </c>
      <c r="F996" s="39" t="s">
        <v>115</v>
      </c>
      <c r="G996" s="39" t="str">
        <f aca="false">VLOOKUP(C996,Products!$A$5:$D$24,2,FALSE())</f>
        <v>Laptop Stand</v>
      </c>
      <c r="H996" s="39" t="str">
        <f aca="false">VLOOKUP(C996,Products!$A$5:$D$24,3,FALSE())</f>
        <v>Accessories</v>
      </c>
      <c r="I996" s="41" t="n">
        <f aca="false">VLOOKUP(C996,Products!$A$5:$D$24,4,FALSE())</f>
        <v>11</v>
      </c>
      <c r="J996" s="42" t="n">
        <f aca="false">DATE(YEAR(B996),MONTH(B996),1)</f>
        <v>45778</v>
      </c>
      <c r="K996" s="41" t="n">
        <f aca="false">D996*E996</f>
        <v>53.98</v>
      </c>
      <c r="L996" s="41" t="n">
        <f aca="false">D996*I996</f>
        <v>22</v>
      </c>
      <c r="M996" s="41" t="n">
        <f aca="false">IFERROR(INDEX(Raw_Expenses!$C$5:$C$2979,MATCH(A996,Raw_Expenses!$A$5:$A$2979,0)),0)</f>
        <v>4.26</v>
      </c>
      <c r="N996" s="41" t="n">
        <f aca="false">L996+M996</f>
        <v>26.26</v>
      </c>
      <c r="O996" s="41" t="n">
        <f aca="false">K996-N996</f>
        <v>27.72</v>
      </c>
      <c r="P996" s="43" t="n">
        <f aca="false">IF(K996=0,0,O996/K996)</f>
        <v>0.513523527232308</v>
      </c>
    </row>
    <row r="997" customFormat="false" ht="15" hidden="false" customHeight="false" outlineLevel="0" collapsed="false">
      <c r="A997" s="39" t="s">
        <v>1119</v>
      </c>
      <c r="B997" s="40" t="n">
        <v>45799</v>
      </c>
      <c r="C997" s="39" t="s">
        <v>117</v>
      </c>
      <c r="D997" s="39" t="n">
        <v>2</v>
      </c>
      <c r="E997" s="41" t="n">
        <v>30.59</v>
      </c>
      <c r="F997" s="39" t="s">
        <v>108</v>
      </c>
      <c r="G997" s="39" t="str">
        <f aca="false">VLOOKUP(C997,Products!$A$5:$D$24,2,FALSE())</f>
        <v>Desk Lamp</v>
      </c>
      <c r="H997" s="39" t="str">
        <f aca="false">VLOOKUP(C997,Products!$A$5:$D$24,3,FALSE())</f>
        <v>Furniture</v>
      </c>
      <c r="I997" s="41" t="n">
        <f aca="false">VLOOKUP(C997,Products!$A$5:$D$24,4,FALSE())</f>
        <v>13</v>
      </c>
      <c r="J997" s="42" t="n">
        <f aca="false">DATE(YEAR(B997),MONTH(B997),1)</f>
        <v>45778</v>
      </c>
      <c r="K997" s="41" t="n">
        <f aca="false">D997*E997</f>
        <v>61.18</v>
      </c>
      <c r="L997" s="41" t="n">
        <f aca="false">D997*I997</f>
        <v>26</v>
      </c>
      <c r="M997" s="41" t="n">
        <f aca="false">IFERROR(INDEX(Raw_Expenses!$C$5:$C$2979,MATCH(A997,Raw_Expenses!$A$5:$A$2979,0)),0)</f>
        <v>2.99</v>
      </c>
      <c r="N997" s="41" t="n">
        <f aca="false">L997+M997</f>
        <v>28.99</v>
      </c>
      <c r="O997" s="41" t="n">
        <f aca="false">K997-N997</f>
        <v>32.19</v>
      </c>
      <c r="P997" s="43" t="n">
        <f aca="false">IF(K997=0,0,O997/K997)</f>
        <v>0.526152337365152</v>
      </c>
    </row>
    <row r="998" customFormat="false" ht="15" hidden="false" customHeight="false" outlineLevel="0" collapsed="false">
      <c r="A998" s="39" t="s">
        <v>1120</v>
      </c>
      <c r="B998" s="40" t="n">
        <v>45800</v>
      </c>
      <c r="C998" s="39" t="s">
        <v>112</v>
      </c>
      <c r="D998" s="39" t="n">
        <v>3</v>
      </c>
      <c r="E998" s="41" t="n">
        <v>52.07</v>
      </c>
      <c r="F998" s="39" t="s">
        <v>115</v>
      </c>
      <c r="G998" s="39" t="str">
        <f aca="false">VLOOKUP(C998,Products!$A$5:$D$24,2,FALSE())</f>
        <v>HD Webcam</v>
      </c>
      <c r="H998" s="39" t="str">
        <f aca="false">VLOOKUP(C998,Products!$A$5:$D$24,3,FALSE())</f>
        <v>Electronics</v>
      </c>
      <c r="I998" s="41" t="n">
        <f aca="false">VLOOKUP(C998,Products!$A$5:$D$24,4,FALSE())</f>
        <v>22</v>
      </c>
      <c r="J998" s="42" t="n">
        <f aca="false">DATE(YEAR(B998),MONTH(B998),1)</f>
        <v>45778</v>
      </c>
      <c r="K998" s="41" t="n">
        <f aca="false">D998*E998</f>
        <v>156.21</v>
      </c>
      <c r="L998" s="41" t="n">
        <f aca="false">D998*I998</f>
        <v>66</v>
      </c>
      <c r="M998" s="41" t="n">
        <f aca="false">IFERROR(INDEX(Raw_Expenses!$C$5:$C$2979,MATCH(A998,Raw_Expenses!$A$5:$A$2979,0)),0)</f>
        <v>11.5</v>
      </c>
      <c r="N998" s="41" t="n">
        <f aca="false">L998+M998</f>
        <v>77.5</v>
      </c>
      <c r="O998" s="41" t="n">
        <f aca="false">K998-N998</f>
        <v>78.71</v>
      </c>
      <c r="P998" s="43" t="n">
        <f aca="false">IF(K998=0,0,O998/K998)</f>
        <v>0.50387299148582</v>
      </c>
    </row>
    <row r="999" customFormat="false" ht="15" hidden="false" customHeight="false" outlineLevel="0" collapsed="false">
      <c r="A999" s="39" t="s">
        <v>1121</v>
      </c>
      <c r="B999" s="40" t="n">
        <v>45800</v>
      </c>
      <c r="C999" s="39" t="s">
        <v>104</v>
      </c>
      <c r="D999" s="39" t="n">
        <v>3</v>
      </c>
      <c r="E999" s="41" t="n">
        <v>14.77</v>
      </c>
      <c r="F999" s="39" t="s">
        <v>105</v>
      </c>
      <c r="G999" s="39" t="str">
        <f aca="false">VLOOKUP(C999,Products!$A$5:$D$24,2,FALSE())</f>
        <v>Water Bottle</v>
      </c>
      <c r="H999" s="39" t="str">
        <f aca="false">VLOOKUP(C999,Products!$A$5:$D$24,3,FALSE())</f>
        <v>Accessories</v>
      </c>
      <c r="I999" s="41" t="n">
        <f aca="false">VLOOKUP(C999,Products!$A$5:$D$24,4,FALSE())</f>
        <v>5</v>
      </c>
      <c r="J999" s="42" t="n">
        <f aca="false">DATE(YEAR(B999),MONTH(B999),1)</f>
        <v>45778</v>
      </c>
      <c r="K999" s="41" t="n">
        <f aca="false">D999*E999</f>
        <v>44.31</v>
      </c>
      <c r="L999" s="41" t="n">
        <f aca="false">D999*I999</f>
        <v>15</v>
      </c>
      <c r="M999" s="41" t="n">
        <f aca="false">IFERROR(INDEX(Raw_Expenses!$C$5:$C$2979,MATCH(A999,Raw_Expenses!$A$5:$A$2979,0)),0)</f>
        <v>2.44</v>
      </c>
      <c r="N999" s="41" t="n">
        <f aca="false">L999+M999</f>
        <v>17.44</v>
      </c>
      <c r="O999" s="41" t="n">
        <f aca="false">K999-N999</f>
        <v>26.87</v>
      </c>
      <c r="P999" s="43" t="n">
        <f aca="false">IF(K999=0,0,O999/K999)</f>
        <v>0.60640938839991</v>
      </c>
    </row>
    <row r="1000" customFormat="false" ht="15" hidden="false" customHeight="false" outlineLevel="0" collapsed="false">
      <c r="A1000" s="39" t="s">
        <v>1122</v>
      </c>
      <c r="B1000" s="40" t="n">
        <v>45800</v>
      </c>
      <c r="C1000" s="39" t="s">
        <v>130</v>
      </c>
      <c r="D1000" s="39" t="n">
        <v>2</v>
      </c>
      <c r="E1000" s="41" t="n">
        <v>8.54</v>
      </c>
      <c r="F1000" s="39" t="s">
        <v>118</v>
      </c>
      <c r="G1000" s="39" t="str">
        <f aca="false">VLOOKUP(C1000,Products!$A$5:$D$24,2,FALSE())</f>
        <v>Notebook Set</v>
      </c>
      <c r="H1000" s="39" t="str">
        <f aca="false">VLOOKUP(C1000,Products!$A$5:$D$24,3,FALSE())</f>
        <v>Stationery</v>
      </c>
      <c r="I1000" s="41" t="n">
        <f aca="false">VLOOKUP(C1000,Products!$A$5:$D$24,4,FALSE())</f>
        <v>3</v>
      </c>
      <c r="J1000" s="42" t="n">
        <f aca="false">DATE(YEAR(B1000),MONTH(B1000),1)</f>
        <v>45778</v>
      </c>
      <c r="K1000" s="41" t="n">
        <f aca="false">D1000*E1000</f>
        <v>17.08</v>
      </c>
      <c r="L1000" s="41" t="n">
        <f aca="false">D1000*I1000</f>
        <v>6</v>
      </c>
      <c r="M1000" s="41" t="n">
        <f aca="false">IFERROR(INDEX(Raw_Expenses!$C$5:$C$2979,MATCH(A1000,Raw_Expenses!$A$5:$A$2979,0)),0)</f>
        <v>1.3</v>
      </c>
      <c r="N1000" s="41" t="n">
        <f aca="false">L1000+M1000</f>
        <v>7.3</v>
      </c>
      <c r="O1000" s="41" t="n">
        <f aca="false">K1000-N1000</f>
        <v>9.78</v>
      </c>
      <c r="P1000" s="43" t="n">
        <f aca="false">IF(K1000=0,0,O1000/K1000)</f>
        <v>0.572599531615925</v>
      </c>
    </row>
    <row r="1001" customFormat="false" ht="15" hidden="false" customHeight="false" outlineLevel="0" collapsed="false">
      <c r="A1001" s="39" t="s">
        <v>1123</v>
      </c>
      <c r="B1001" s="40" t="n">
        <v>45800</v>
      </c>
      <c r="C1001" s="39" t="s">
        <v>177</v>
      </c>
      <c r="D1001" s="39" t="n">
        <v>2</v>
      </c>
      <c r="E1001" s="41" t="n">
        <v>44.43</v>
      </c>
      <c r="F1001" s="39" t="s">
        <v>105</v>
      </c>
      <c r="G1001" s="39" t="str">
        <f aca="false">VLOOKUP(C1001,Products!$A$5:$D$24,2,FALSE())</f>
        <v>Backpack</v>
      </c>
      <c r="H1001" s="39" t="str">
        <f aca="false">VLOOKUP(C1001,Products!$A$5:$D$24,3,FALSE())</f>
        <v>Accessories</v>
      </c>
      <c r="I1001" s="41" t="n">
        <f aca="false">VLOOKUP(C1001,Products!$A$5:$D$24,4,FALSE())</f>
        <v>17</v>
      </c>
      <c r="J1001" s="42" t="n">
        <f aca="false">DATE(YEAR(B1001),MONTH(B1001),1)</f>
        <v>45778</v>
      </c>
      <c r="K1001" s="41" t="n">
        <f aca="false">D1001*E1001</f>
        <v>88.86</v>
      </c>
      <c r="L1001" s="41" t="n">
        <f aca="false">D1001*I1001</f>
        <v>34</v>
      </c>
      <c r="M1001" s="41" t="n">
        <f aca="false">IFERROR(INDEX(Raw_Expenses!$C$5:$C$2979,MATCH(A1001,Raw_Expenses!$A$5:$A$2979,0)),0)</f>
        <v>3.79</v>
      </c>
      <c r="N1001" s="41" t="n">
        <f aca="false">L1001+M1001</f>
        <v>37.79</v>
      </c>
      <c r="O1001" s="41" t="n">
        <f aca="false">K1001-N1001</f>
        <v>51.07</v>
      </c>
      <c r="P1001" s="43" t="n">
        <f aca="false">IF(K1001=0,0,O1001/K1001)</f>
        <v>0.574724285392753</v>
      </c>
    </row>
    <row r="1002" customFormat="false" ht="15" hidden="false" customHeight="false" outlineLevel="0" collapsed="false">
      <c r="A1002" s="39" t="s">
        <v>1124</v>
      </c>
      <c r="B1002" s="40" t="n">
        <v>45800</v>
      </c>
      <c r="C1002" s="39" t="s">
        <v>177</v>
      </c>
      <c r="D1002" s="39" t="n">
        <v>2</v>
      </c>
      <c r="E1002" s="41" t="n">
        <v>41.67</v>
      </c>
      <c r="F1002" s="39" t="s">
        <v>105</v>
      </c>
      <c r="G1002" s="39" t="str">
        <f aca="false">VLOOKUP(C1002,Products!$A$5:$D$24,2,FALSE())</f>
        <v>Backpack</v>
      </c>
      <c r="H1002" s="39" t="str">
        <f aca="false">VLOOKUP(C1002,Products!$A$5:$D$24,3,FALSE())</f>
        <v>Accessories</v>
      </c>
      <c r="I1002" s="41" t="n">
        <f aca="false">VLOOKUP(C1002,Products!$A$5:$D$24,4,FALSE())</f>
        <v>17</v>
      </c>
      <c r="J1002" s="42" t="n">
        <f aca="false">DATE(YEAR(B1002),MONTH(B1002),1)</f>
        <v>45778</v>
      </c>
      <c r="K1002" s="41" t="n">
        <f aca="false">D1002*E1002</f>
        <v>83.34</v>
      </c>
      <c r="L1002" s="41" t="n">
        <f aca="false">D1002*I1002</f>
        <v>34</v>
      </c>
      <c r="M1002" s="41" t="n">
        <f aca="false">IFERROR(INDEX(Raw_Expenses!$C$5:$C$2979,MATCH(A1002,Raw_Expenses!$A$5:$A$2979,0)),0)</f>
        <v>4.9</v>
      </c>
      <c r="N1002" s="41" t="n">
        <f aca="false">L1002+M1002</f>
        <v>38.9</v>
      </c>
      <c r="O1002" s="41" t="n">
        <f aca="false">K1002-N1002</f>
        <v>44.44</v>
      </c>
      <c r="P1002" s="43" t="n">
        <f aca="false">IF(K1002=0,0,O1002/K1002)</f>
        <v>0.533237341012719</v>
      </c>
    </row>
    <row r="1003" customFormat="false" ht="15" hidden="false" customHeight="false" outlineLevel="0" collapsed="false">
      <c r="A1003" s="39" t="s">
        <v>1125</v>
      </c>
      <c r="B1003" s="40" t="n">
        <v>45801</v>
      </c>
      <c r="C1003" s="39" t="s">
        <v>114</v>
      </c>
      <c r="D1003" s="39" t="n">
        <v>1</v>
      </c>
      <c r="E1003" s="41" t="n">
        <v>5.9</v>
      </c>
      <c r="F1003" s="39" t="s">
        <v>108</v>
      </c>
      <c r="G1003" s="39" t="str">
        <f aca="false">VLOOKUP(C1003,Products!$A$5:$D$24,2,FALSE())</f>
        <v>Gel Pen Pack</v>
      </c>
      <c r="H1003" s="39" t="str">
        <f aca="false">VLOOKUP(C1003,Products!$A$5:$D$24,3,FALSE())</f>
        <v>Stationery</v>
      </c>
      <c r="I1003" s="41" t="n">
        <f aca="false">VLOOKUP(C1003,Products!$A$5:$D$24,4,FALSE())</f>
        <v>2</v>
      </c>
      <c r="J1003" s="42" t="n">
        <f aca="false">DATE(YEAR(B1003),MONTH(B1003),1)</f>
        <v>45778</v>
      </c>
      <c r="K1003" s="41" t="n">
        <f aca="false">D1003*E1003</f>
        <v>5.9</v>
      </c>
      <c r="L1003" s="41" t="n">
        <f aca="false">D1003*I1003</f>
        <v>2</v>
      </c>
      <c r="M1003" s="41" t="n">
        <f aca="false">IFERROR(INDEX(Raw_Expenses!$C$5:$C$2979,MATCH(A1003,Raw_Expenses!$A$5:$A$2979,0)),0)</f>
        <v>0.35</v>
      </c>
      <c r="N1003" s="41" t="n">
        <f aca="false">L1003+M1003</f>
        <v>2.35</v>
      </c>
      <c r="O1003" s="41" t="n">
        <f aca="false">K1003-N1003</f>
        <v>3.55</v>
      </c>
      <c r="P1003" s="43" t="n">
        <f aca="false">IF(K1003=0,0,O1003/K1003)</f>
        <v>0.601694915254237</v>
      </c>
    </row>
    <row r="1004" customFormat="false" ht="15" hidden="false" customHeight="false" outlineLevel="0" collapsed="false">
      <c r="A1004" s="39" t="s">
        <v>1126</v>
      </c>
      <c r="B1004" s="40" t="n">
        <v>45801</v>
      </c>
      <c r="C1004" s="39" t="s">
        <v>144</v>
      </c>
      <c r="D1004" s="39" t="n">
        <v>1</v>
      </c>
      <c r="E1004" s="41" t="n">
        <v>56.19</v>
      </c>
      <c r="F1004" s="39" t="s">
        <v>115</v>
      </c>
      <c r="G1004" s="39" t="str">
        <f aca="false">VLOOKUP(C1004,Products!$A$5:$D$24,2,FALSE())</f>
        <v>Whiteboard</v>
      </c>
      <c r="H1004" s="39" t="str">
        <f aca="false">VLOOKUP(C1004,Products!$A$5:$D$24,3,FALSE())</f>
        <v>Furniture</v>
      </c>
      <c r="I1004" s="41" t="n">
        <f aca="false">VLOOKUP(C1004,Products!$A$5:$D$24,4,FALSE())</f>
        <v>28</v>
      </c>
      <c r="J1004" s="42" t="n">
        <f aca="false">DATE(YEAR(B1004),MONTH(B1004),1)</f>
        <v>45778</v>
      </c>
      <c r="K1004" s="41" t="n">
        <f aca="false">D1004*E1004</f>
        <v>56.19</v>
      </c>
      <c r="L1004" s="41" t="n">
        <f aca="false">D1004*I1004</f>
        <v>28</v>
      </c>
      <c r="M1004" s="41" t="n">
        <f aca="false">IFERROR(INDEX(Raw_Expenses!$C$5:$C$2979,MATCH(A1004,Raw_Expenses!$A$5:$A$2979,0)),0)</f>
        <v>3.15</v>
      </c>
      <c r="N1004" s="41" t="n">
        <f aca="false">L1004+M1004</f>
        <v>31.15</v>
      </c>
      <c r="O1004" s="41" t="n">
        <f aca="false">K1004-N1004</f>
        <v>25.04</v>
      </c>
      <c r="P1004" s="43" t="n">
        <f aca="false">IF(K1004=0,0,O1004/K1004)</f>
        <v>0.445630895177078</v>
      </c>
    </row>
    <row r="1005" customFormat="false" ht="15" hidden="false" customHeight="false" outlineLevel="0" collapsed="false">
      <c r="A1005" s="39" t="s">
        <v>1127</v>
      </c>
      <c r="B1005" s="40" t="n">
        <v>45801</v>
      </c>
      <c r="C1005" s="39" t="s">
        <v>130</v>
      </c>
      <c r="D1005" s="39" t="n">
        <v>1</v>
      </c>
      <c r="E1005" s="41" t="n">
        <v>8.52</v>
      </c>
      <c r="F1005" s="39" t="s">
        <v>105</v>
      </c>
      <c r="G1005" s="39" t="str">
        <f aca="false">VLOOKUP(C1005,Products!$A$5:$D$24,2,FALSE())</f>
        <v>Notebook Set</v>
      </c>
      <c r="H1005" s="39" t="str">
        <f aca="false">VLOOKUP(C1005,Products!$A$5:$D$24,3,FALSE())</f>
        <v>Stationery</v>
      </c>
      <c r="I1005" s="41" t="n">
        <f aca="false">VLOOKUP(C1005,Products!$A$5:$D$24,4,FALSE())</f>
        <v>3</v>
      </c>
      <c r="J1005" s="42" t="n">
        <f aca="false">DATE(YEAR(B1005),MONTH(B1005),1)</f>
        <v>45778</v>
      </c>
      <c r="K1005" s="41" t="n">
        <f aca="false">D1005*E1005</f>
        <v>8.52</v>
      </c>
      <c r="L1005" s="41" t="n">
        <f aca="false">D1005*I1005</f>
        <v>3</v>
      </c>
      <c r="M1005" s="41" t="n">
        <f aca="false">IFERROR(INDEX(Raw_Expenses!$C$5:$C$2979,MATCH(A1005,Raw_Expenses!$A$5:$A$2979,0)),0)</f>
        <v>0.44</v>
      </c>
      <c r="N1005" s="41" t="n">
        <f aca="false">L1005+M1005</f>
        <v>3.44</v>
      </c>
      <c r="O1005" s="41" t="n">
        <f aca="false">K1005-N1005</f>
        <v>5.08</v>
      </c>
      <c r="P1005" s="43" t="n">
        <f aca="false">IF(K1005=0,0,O1005/K1005)</f>
        <v>0.596244131455399</v>
      </c>
    </row>
    <row r="1006" customFormat="false" ht="15" hidden="false" customHeight="false" outlineLevel="0" collapsed="false">
      <c r="A1006" s="39" t="s">
        <v>1128</v>
      </c>
      <c r="B1006" s="40" t="n">
        <v>45801</v>
      </c>
      <c r="C1006" s="39" t="s">
        <v>144</v>
      </c>
      <c r="D1006" s="39" t="n">
        <v>1</v>
      </c>
      <c r="E1006" s="41" t="n">
        <v>54.33</v>
      </c>
      <c r="F1006" s="39" t="s">
        <v>105</v>
      </c>
      <c r="G1006" s="39" t="str">
        <f aca="false">VLOOKUP(C1006,Products!$A$5:$D$24,2,FALSE())</f>
        <v>Whiteboard</v>
      </c>
      <c r="H1006" s="39" t="str">
        <f aca="false">VLOOKUP(C1006,Products!$A$5:$D$24,3,FALSE())</f>
        <v>Furniture</v>
      </c>
      <c r="I1006" s="41" t="n">
        <f aca="false">VLOOKUP(C1006,Products!$A$5:$D$24,4,FALSE())</f>
        <v>28</v>
      </c>
      <c r="J1006" s="42" t="n">
        <f aca="false">DATE(YEAR(B1006),MONTH(B1006),1)</f>
        <v>45778</v>
      </c>
      <c r="K1006" s="41" t="n">
        <f aca="false">D1006*E1006</f>
        <v>54.33</v>
      </c>
      <c r="L1006" s="41" t="n">
        <f aca="false">D1006*I1006</f>
        <v>28</v>
      </c>
      <c r="M1006" s="41" t="n">
        <f aca="false">IFERROR(INDEX(Raw_Expenses!$C$5:$C$2979,MATCH(A1006,Raw_Expenses!$A$5:$A$2979,0)),0)</f>
        <v>3.47</v>
      </c>
      <c r="N1006" s="41" t="n">
        <f aca="false">L1006+M1006</f>
        <v>31.47</v>
      </c>
      <c r="O1006" s="41" t="n">
        <f aca="false">K1006-N1006</f>
        <v>22.86</v>
      </c>
      <c r="P1006" s="43" t="n">
        <f aca="false">IF(K1006=0,0,O1006/K1006)</f>
        <v>0.42076200993926</v>
      </c>
    </row>
    <row r="1007" customFormat="false" ht="15" hidden="false" customHeight="false" outlineLevel="0" collapsed="false">
      <c r="A1007" s="39" t="s">
        <v>1129</v>
      </c>
      <c r="B1007" s="40" t="n">
        <v>45801</v>
      </c>
      <c r="C1007" s="39" t="s">
        <v>112</v>
      </c>
      <c r="D1007" s="39" t="n">
        <v>1</v>
      </c>
      <c r="E1007" s="41" t="n">
        <v>53.56</v>
      </c>
      <c r="F1007" s="39" t="s">
        <v>108</v>
      </c>
      <c r="G1007" s="39" t="str">
        <f aca="false">VLOOKUP(C1007,Products!$A$5:$D$24,2,FALSE())</f>
        <v>HD Webcam</v>
      </c>
      <c r="H1007" s="39" t="str">
        <f aca="false">VLOOKUP(C1007,Products!$A$5:$D$24,3,FALSE())</f>
        <v>Electronics</v>
      </c>
      <c r="I1007" s="41" t="n">
        <f aca="false">VLOOKUP(C1007,Products!$A$5:$D$24,4,FALSE())</f>
        <v>22</v>
      </c>
      <c r="J1007" s="42" t="n">
        <f aca="false">DATE(YEAR(B1007),MONTH(B1007),1)</f>
        <v>45778</v>
      </c>
      <c r="K1007" s="41" t="n">
        <f aca="false">D1007*E1007</f>
        <v>53.56</v>
      </c>
      <c r="L1007" s="41" t="n">
        <f aca="false">D1007*I1007</f>
        <v>22</v>
      </c>
      <c r="M1007" s="41" t="n">
        <f aca="false">IFERROR(INDEX(Raw_Expenses!$C$5:$C$2979,MATCH(A1007,Raw_Expenses!$A$5:$A$2979,0)),0)</f>
        <v>4.76</v>
      </c>
      <c r="N1007" s="41" t="n">
        <f aca="false">L1007+M1007</f>
        <v>26.76</v>
      </c>
      <c r="O1007" s="41" t="n">
        <f aca="false">K1007-N1007</f>
        <v>26.8</v>
      </c>
      <c r="P1007" s="43" t="n">
        <f aca="false">IF(K1007=0,0,O1007/K1007)</f>
        <v>0.500373412994772</v>
      </c>
    </row>
    <row r="1008" customFormat="false" ht="15" hidden="false" customHeight="false" outlineLevel="0" collapsed="false">
      <c r="A1008" s="39" t="s">
        <v>1130</v>
      </c>
      <c r="B1008" s="40" t="n">
        <v>45801</v>
      </c>
      <c r="C1008" s="39" t="s">
        <v>130</v>
      </c>
      <c r="D1008" s="39" t="n">
        <v>5</v>
      </c>
      <c r="E1008" s="41" t="n">
        <v>8.54</v>
      </c>
      <c r="F1008" s="39" t="s">
        <v>108</v>
      </c>
      <c r="G1008" s="39" t="str">
        <f aca="false">VLOOKUP(C1008,Products!$A$5:$D$24,2,FALSE())</f>
        <v>Notebook Set</v>
      </c>
      <c r="H1008" s="39" t="str">
        <f aca="false">VLOOKUP(C1008,Products!$A$5:$D$24,3,FALSE())</f>
        <v>Stationery</v>
      </c>
      <c r="I1008" s="41" t="n">
        <f aca="false">VLOOKUP(C1008,Products!$A$5:$D$24,4,FALSE())</f>
        <v>3</v>
      </c>
      <c r="J1008" s="42" t="n">
        <f aca="false">DATE(YEAR(B1008),MONTH(B1008),1)</f>
        <v>45778</v>
      </c>
      <c r="K1008" s="41" t="n">
        <f aca="false">D1008*E1008</f>
        <v>42.7</v>
      </c>
      <c r="L1008" s="41" t="n">
        <f aca="false">D1008*I1008</f>
        <v>15</v>
      </c>
      <c r="M1008" s="41" t="n">
        <f aca="false">IFERROR(INDEX(Raw_Expenses!$C$5:$C$2979,MATCH(A1008,Raw_Expenses!$A$5:$A$2979,0)),0)</f>
        <v>3.7</v>
      </c>
      <c r="N1008" s="41" t="n">
        <f aca="false">L1008+M1008</f>
        <v>18.7</v>
      </c>
      <c r="O1008" s="41" t="n">
        <f aca="false">K1008-N1008</f>
        <v>24</v>
      </c>
      <c r="P1008" s="43" t="n">
        <f aca="false">IF(K1008=0,0,O1008/K1008)</f>
        <v>0.562060889929742</v>
      </c>
    </row>
    <row r="1009" customFormat="false" ht="15" hidden="false" customHeight="false" outlineLevel="0" collapsed="false">
      <c r="A1009" s="39" t="s">
        <v>1131</v>
      </c>
      <c r="B1009" s="40" t="n">
        <v>45801</v>
      </c>
      <c r="C1009" s="39" t="s">
        <v>126</v>
      </c>
      <c r="D1009" s="39" t="n">
        <v>1</v>
      </c>
      <c r="E1009" s="41" t="n">
        <v>24.54</v>
      </c>
      <c r="F1009" s="39" t="s">
        <v>118</v>
      </c>
      <c r="G1009" s="39" t="str">
        <f aca="false">VLOOKUP(C1009,Products!$A$5:$D$24,2,FALSE())</f>
        <v>Wireless Mouse</v>
      </c>
      <c r="H1009" s="39" t="str">
        <f aca="false">VLOOKUP(C1009,Products!$A$5:$D$24,3,FALSE())</f>
        <v>Electronics</v>
      </c>
      <c r="I1009" s="41" t="n">
        <f aca="false">VLOOKUP(C1009,Products!$A$5:$D$24,4,FALSE())</f>
        <v>12</v>
      </c>
      <c r="J1009" s="42" t="n">
        <f aca="false">DATE(YEAR(B1009),MONTH(B1009),1)</f>
        <v>45778</v>
      </c>
      <c r="K1009" s="41" t="n">
        <f aca="false">D1009*E1009</f>
        <v>24.54</v>
      </c>
      <c r="L1009" s="41" t="n">
        <f aca="false">D1009*I1009</f>
        <v>12</v>
      </c>
      <c r="M1009" s="41" t="n">
        <f aca="false">IFERROR(INDEX(Raw_Expenses!$C$5:$C$2979,MATCH(A1009,Raw_Expenses!$A$5:$A$2979,0)),0)</f>
        <v>1.33</v>
      </c>
      <c r="N1009" s="41" t="n">
        <f aca="false">L1009+M1009</f>
        <v>13.33</v>
      </c>
      <c r="O1009" s="41" t="n">
        <f aca="false">K1009-N1009</f>
        <v>11.21</v>
      </c>
      <c r="P1009" s="43" t="n">
        <f aca="false">IF(K1009=0,0,O1009/K1009)</f>
        <v>0.45680521597392</v>
      </c>
    </row>
    <row r="1010" customFormat="false" ht="15" hidden="false" customHeight="false" outlineLevel="0" collapsed="false">
      <c r="A1010" s="39" t="s">
        <v>1132</v>
      </c>
      <c r="B1010" s="40" t="n">
        <v>45801</v>
      </c>
      <c r="C1010" s="39" t="s">
        <v>177</v>
      </c>
      <c r="D1010" s="39" t="n">
        <v>4</v>
      </c>
      <c r="E1010" s="41" t="n">
        <v>43.28</v>
      </c>
      <c r="F1010" s="39" t="s">
        <v>115</v>
      </c>
      <c r="G1010" s="39" t="str">
        <f aca="false">VLOOKUP(C1010,Products!$A$5:$D$24,2,FALSE())</f>
        <v>Backpack</v>
      </c>
      <c r="H1010" s="39" t="str">
        <f aca="false">VLOOKUP(C1010,Products!$A$5:$D$24,3,FALSE())</f>
        <v>Accessories</v>
      </c>
      <c r="I1010" s="41" t="n">
        <f aca="false">VLOOKUP(C1010,Products!$A$5:$D$24,4,FALSE())</f>
        <v>17</v>
      </c>
      <c r="J1010" s="42" t="n">
        <f aca="false">DATE(YEAR(B1010),MONTH(B1010),1)</f>
        <v>45778</v>
      </c>
      <c r="K1010" s="41" t="n">
        <f aca="false">D1010*E1010</f>
        <v>173.12</v>
      </c>
      <c r="L1010" s="41" t="n">
        <f aca="false">D1010*I1010</f>
        <v>68</v>
      </c>
      <c r="M1010" s="41" t="n">
        <f aca="false">IFERROR(INDEX(Raw_Expenses!$C$5:$C$2979,MATCH(A1010,Raw_Expenses!$A$5:$A$2979,0)),0)</f>
        <v>11.86</v>
      </c>
      <c r="N1010" s="41" t="n">
        <f aca="false">L1010+M1010</f>
        <v>79.86</v>
      </c>
      <c r="O1010" s="41" t="n">
        <f aca="false">K1010-N1010</f>
        <v>93.26</v>
      </c>
      <c r="P1010" s="43" t="n">
        <f aca="false">IF(K1010=0,0,O1010/K1010)</f>
        <v>0.538701478743068</v>
      </c>
    </row>
    <row r="1011" customFormat="false" ht="15" hidden="false" customHeight="false" outlineLevel="0" collapsed="false">
      <c r="A1011" s="39" t="s">
        <v>1133</v>
      </c>
      <c r="B1011" s="40" t="n">
        <v>45801</v>
      </c>
      <c r="C1011" s="39" t="s">
        <v>162</v>
      </c>
      <c r="D1011" s="39" t="n">
        <v>1</v>
      </c>
      <c r="E1011" s="41" t="n">
        <v>67.76</v>
      </c>
      <c r="F1011" s="39" t="s">
        <v>115</v>
      </c>
      <c r="G1011" s="39" t="str">
        <f aca="false">VLOOKUP(C1011,Products!$A$5:$D$24,2,FALSE())</f>
        <v>Bluetooth Speaker</v>
      </c>
      <c r="H1011" s="39" t="str">
        <f aca="false">VLOOKUP(C1011,Products!$A$5:$D$24,3,FALSE())</f>
        <v>Electronics</v>
      </c>
      <c r="I1011" s="41" t="n">
        <f aca="false">VLOOKUP(C1011,Products!$A$5:$D$24,4,FALSE())</f>
        <v>28</v>
      </c>
      <c r="J1011" s="42" t="n">
        <f aca="false">DATE(YEAR(B1011),MONTH(B1011),1)</f>
        <v>45778</v>
      </c>
      <c r="K1011" s="41" t="n">
        <f aca="false">D1011*E1011</f>
        <v>67.76</v>
      </c>
      <c r="L1011" s="41" t="n">
        <f aca="false">D1011*I1011</f>
        <v>28</v>
      </c>
      <c r="M1011" s="41" t="n">
        <f aca="false">IFERROR(INDEX(Raw_Expenses!$C$5:$C$2979,MATCH(A1011,Raw_Expenses!$A$5:$A$2979,0)),0)</f>
        <v>5.78</v>
      </c>
      <c r="N1011" s="41" t="n">
        <f aca="false">L1011+M1011</f>
        <v>33.78</v>
      </c>
      <c r="O1011" s="41" t="n">
        <f aca="false">K1011-N1011</f>
        <v>33.98</v>
      </c>
      <c r="P1011" s="43" t="n">
        <f aca="false">IF(K1011=0,0,O1011/K1011)</f>
        <v>0.501475796930342</v>
      </c>
    </row>
    <row r="1012" customFormat="false" ht="15" hidden="false" customHeight="false" outlineLevel="0" collapsed="false">
      <c r="A1012" s="39" t="s">
        <v>1134</v>
      </c>
      <c r="B1012" s="40" t="n">
        <v>45801</v>
      </c>
      <c r="C1012" s="39" t="s">
        <v>114</v>
      </c>
      <c r="D1012" s="39" t="n">
        <v>5</v>
      </c>
      <c r="E1012" s="41" t="n">
        <v>5.78</v>
      </c>
      <c r="F1012" s="39" t="s">
        <v>118</v>
      </c>
      <c r="G1012" s="39" t="str">
        <f aca="false">VLOOKUP(C1012,Products!$A$5:$D$24,2,FALSE())</f>
        <v>Gel Pen Pack</v>
      </c>
      <c r="H1012" s="39" t="str">
        <f aca="false">VLOOKUP(C1012,Products!$A$5:$D$24,3,FALSE())</f>
        <v>Stationery</v>
      </c>
      <c r="I1012" s="41" t="n">
        <f aca="false">VLOOKUP(C1012,Products!$A$5:$D$24,4,FALSE())</f>
        <v>2</v>
      </c>
      <c r="J1012" s="42" t="n">
        <f aca="false">DATE(YEAR(B1012),MONTH(B1012),1)</f>
        <v>45778</v>
      </c>
      <c r="K1012" s="41" t="n">
        <f aca="false">D1012*E1012</f>
        <v>28.9</v>
      </c>
      <c r="L1012" s="41" t="n">
        <f aca="false">D1012*I1012</f>
        <v>10</v>
      </c>
      <c r="M1012" s="41" t="n">
        <f aca="false">IFERROR(INDEX(Raw_Expenses!$C$5:$C$2979,MATCH(A1012,Raw_Expenses!$A$5:$A$2979,0)),0)</f>
        <v>2.18</v>
      </c>
      <c r="N1012" s="41" t="n">
        <f aca="false">L1012+M1012</f>
        <v>12.18</v>
      </c>
      <c r="O1012" s="41" t="n">
        <f aca="false">K1012-N1012</f>
        <v>16.72</v>
      </c>
      <c r="P1012" s="43" t="n">
        <f aca="false">IF(K1012=0,0,O1012/K1012)</f>
        <v>0.578546712802768</v>
      </c>
    </row>
    <row r="1013" customFormat="false" ht="15" hidden="false" customHeight="false" outlineLevel="0" collapsed="false">
      <c r="A1013" s="39" t="s">
        <v>1135</v>
      </c>
      <c r="B1013" s="40" t="n">
        <v>45801</v>
      </c>
      <c r="C1013" s="39" t="s">
        <v>121</v>
      </c>
      <c r="D1013" s="39" t="n">
        <v>4</v>
      </c>
      <c r="E1013" s="41" t="n">
        <v>117.14</v>
      </c>
      <c r="F1013" s="39" t="s">
        <v>108</v>
      </c>
      <c r="G1013" s="39" t="str">
        <f aca="false">VLOOKUP(C1013,Products!$A$5:$D$24,2,FALSE())</f>
        <v>External SSD 1TB</v>
      </c>
      <c r="H1013" s="39" t="str">
        <f aca="false">VLOOKUP(C1013,Products!$A$5:$D$24,3,FALSE())</f>
        <v>Electronics</v>
      </c>
      <c r="I1013" s="41" t="n">
        <f aca="false">VLOOKUP(C1013,Products!$A$5:$D$24,4,FALSE())</f>
        <v>62</v>
      </c>
      <c r="J1013" s="42" t="n">
        <f aca="false">DATE(YEAR(B1013),MONTH(B1013),1)</f>
        <v>45778</v>
      </c>
      <c r="K1013" s="41" t="n">
        <f aca="false">D1013*E1013</f>
        <v>468.56</v>
      </c>
      <c r="L1013" s="41" t="n">
        <f aca="false">D1013*I1013</f>
        <v>248</v>
      </c>
      <c r="M1013" s="41" t="n">
        <f aca="false">IFERROR(INDEX(Raw_Expenses!$C$5:$C$2979,MATCH(A1013,Raw_Expenses!$A$5:$A$2979,0)),0)</f>
        <v>26.96</v>
      </c>
      <c r="N1013" s="41" t="n">
        <f aca="false">L1013+M1013</f>
        <v>274.96</v>
      </c>
      <c r="O1013" s="41" t="n">
        <f aca="false">K1013-N1013</f>
        <v>193.6</v>
      </c>
      <c r="P1013" s="43" t="n">
        <f aca="false">IF(K1013=0,0,O1013/K1013)</f>
        <v>0.413180809288031</v>
      </c>
    </row>
    <row r="1014" customFormat="false" ht="15" hidden="false" customHeight="false" outlineLevel="0" collapsed="false">
      <c r="A1014" s="39" t="s">
        <v>1136</v>
      </c>
      <c r="B1014" s="40" t="n">
        <v>45802</v>
      </c>
      <c r="C1014" s="39" t="s">
        <v>110</v>
      </c>
      <c r="D1014" s="39" t="n">
        <v>5</v>
      </c>
      <c r="E1014" s="41" t="n">
        <v>13.21</v>
      </c>
      <c r="F1014" s="39" t="s">
        <v>118</v>
      </c>
      <c r="G1014" s="39" t="str">
        <f aca="false">VLOOKUP(C1014,Products!$A$5:$D$24,2,FALSE())</f>
        <v>Phone Stand</v>
      </c>
      <c r="H1014" s="39" t="str">
        <f aca="false">VLOOKUP(C1014,Products!$A$5:$D$24,3,FALSE())</f>
        <v>Accessories</v>
      </c>
      <c r="I1014" s="41" t="n">
        <f aca="false">VLOOKUP(C1014,Products!$A$5:$D$24,4,FALSE())</f>
        <v>4</v>
      </c>
      <c r="J1014" s="42" t="n">
        <f aca="false">DATE(YEAR(B1014),MONTH(B1014),1)</f>
        <v>45778</v>
      </c>
      <c r="K1014" s="41" t="n">
        <f aca="false">D1014*E1014</f>
        <v>66.05</v>
      </c>
      <c r="L1014" s="41" t="n">
        <f aca="false">D1014*I1014</f>
        <v>20</v>
      </c>
      <c r="M1014" s="41" t="n">
        <f aca="false">IFERROR(INDEX(Raw_Expenses!$C$5:$C$2979,MATCH(A1014,Raw_Expenses!$A$5:$A$2979,0)),0)</f>
        <v>2.75</v>
      </c>
      <c r="N1014" s="41" t="n">
        <f aca="false">L1014+M1014</f>
        <v>22.75</v>
      </c>
      <c r="O1014" s="41" t="n">
        <f aca="false">K1014-N1014</f>
        <v>43.3</v>
      </c>
      <c r="P1014" s="43" t="n">
        <f aca="false">IF(K1014=0,0,O1014/K1014)</f>
        <v>0.6555639666919</v>
      </c>
    </row>
    <row r="1015" customFormat="false" ht="15" hidden="false" customHeight="false" outlineLevel="0" collapsed="false">
      <c r="A1015" s="39" t="s">
        <v>1137</v>
      </c>
      <c r="B1015" s="40" t="n">
        <v>45802</v>
      </c>
      <c r="C1015" s="39" t="s">
        <v>133</v>
      </c>
      <c r="D1015" s="39" t="n">
        <v>3</v>
      </c>
      <c r="E1015" s="41" t="n">
        <v>8.3</v>
      </c>
      <c r="F1015" s="39" t="s">
        <v>108</v>
      </c>
      <c r="G1015" s="39" t="str">
        <f aca="false">VLOOKUP(C1015,Products!$A$5:$D$24,2,FALSE())</f>
        <v>Printer Paper Ream</v>
      </c>
      <c r="H1015" s="39" t="str">
        <f aca="false">VLOOKUP(C1015,Products!$A$5:$D$24,3,FALSE())</f>
        <v>Stationery</v>
      </c>
      <c r="I1015" s="41" t="n">
        <f aca="false">VLOOKUP(C1015,Products!$A$5:$D$24,4,FALSE())</f>
        <v>4</v>
      </c>
      <c r="J1015" s="42" t="n">
        <f aca="false">DATE(YEAR(B1015),MONTH(B1015),1)</f>
        <v>45778</v>
      </c>
      <c r="K1015" s="41" t="n">
        <f aca="false">D1015*E1015</f>
        <v>24.9</v>
      </c>
      <c r="L1015" s="41" t="n">
        <f aca="false">D1015*I1015</f>
        <v>12</v>
      </c>
      <c r="M1015" s="41" t="n">
        <f aca="false">IFERROR(INDEX(Raw_Expenses!$C$5:$C$2979,MATCH(A1015,Raw_Expenses!$A$5:$A$2979,0)),0)</f>
        <v>1.1</v>
      </c>
      <c r="N1015" s="41" t="n">
        <f aca="false">L1015+M1015</f>
        <v>13.1</v>
      </c>
      <c r="O1015" s="41" t="n">
        <f aca="false">K1015-N1015</f>
        <v>11.8</v>
      </c>
      <c r="P1015" s="43" t="n">
        <f aca="false">IF(K1015=0,0,O1015/K1015)</f>
        <v>0.473895582329317</v>
      </c>
    </row>
    <row r="1016" customFormat="false" ht="15" hidden="false" customHeight="false" outlineLevel="0" collapsed="false">
      <c r="A1016" s="39" t="s">
        <v>1138</v>
      </c>
      <c r="B1016" s="40" t="n">
        <v>45802</v>
      </c>
      <c r="C1016" s="39" t="s">
        <v>133</v>
      </c>
      <c r="D1016" s="39" t="n">
        <v>4</v>
      </c>
      <c r="E1016" s="41" t="n">
        <v>8.33</v>
      </c>
      <c r="F1016" s="39" t="s">
        <v>115</v>
      </c>
      <c r="G1016" s="39" t="str">
        <f aca="false">VLOOKUP(C1016,Products!$A$5:$D$24,2,FALSE())</f>
        <v>Printer Paper Ream</v>
      </c>
      <c r="H1016" s="39" t="str">
        <f aca="false">VLOOKUP(C1016,Products!$A$5:$D$24,3,FALSE())</f>
        <v>Stationery</v>
      </c>
      <c r="I1016" s="41" t="n">
        <f aca="false">VLOOKUP(C1016,Products!$A$5:$D$24,4,FALSE())</f>
        <v>4</v>
      </c>
      <c r="J1016" s="42" t="n">
        <f aca="false">DATE(YEAR(B1016),MONTH(B1016),1)</f>
        <v>45778</v>
      </c>
      <c r="K1016" s="41" t="n">
        <f aca="false">D1016*E1016</f>
        <v>33.32</v>
      </c>
      <c r="L1016" s="41" t="n">
        <f aca="false">D1016*I1016</f>
        <v>16</v>
      </c>
      <c r="M1016" s="41" t="n">
        <f aca="false">IFERROR(INDEX(Raw_Expenses!$C$5:$C$2979,MATCH(A1016,Raw_Expenses!$A$5:$A$2979,0)),0)</f>
        <v>2.71</v>
      </c>
      <c r="N1016" s="41" t="n">
        <f aca="false">L1016+M1016</f>
        <v>18.71</v>
      </c>
      <c r="O1016" s="41" t="n">
        <f aca="false">K1016-N1016</f>
        <v>14.61</v>
      </c>
      <c r="P1016" s="43" t="n">
        <f aca="false">IF(K1016=0,0,O1016/K1016)</f>
        <v>0.438475390156062</v>
      </c>
    </row>
    <row r="1017" customFormat="false" ht="15" hidden="false" customHeight="false" outlineLevel="0" collapsed="false">
      <c r="A1017" s="39" t="s">
        <v>1139</v>
      </c>
      <c r="B1017" s="40" t="n">
        <v>45802</v>
      </c>
      <c r="C1017" s="39" t="s">
        <v>130</v>
      </c>
      <c r="D1017" s="39" t="n">
        <v>2</v>
      </c>
      <c r="E1017" s="41" t="n">
        <v>8.64</v>
      </c>
      <c r="F1017" s="39" t="s">
        <v>105</v>
      </c>
      <c r="G1017" s="39" t="str">
        <f aca="false">VLOOKUP(C1017,Products!$A$5:$D$24,2,FALSE())</f>
        <v>Notebook Set</v>
      </c>
      <c r="H1017" s="39" t="str">
        <f aca="false">VLOOKUP(C1017,Products!$A$5:$D$24,3,FALSE())</f>
        <v>Stationery</v>
      </c>
      <c r="I1017" s="41" t="n">
        <f aca="false">VLOOKUP(C1017,Products!$A$5:$D$24,4,FALSE())</f>
        <v>3</v>
      </c>
      <c r="J1017" s="42" t="n">
        <f aca="false">DATE(YEAR(B1017),MONTH(B1017),1)</f>
        <v>45778</v>
      </c>
      <c r="K1017" s="41" t="n">
        <f aca="false">D1017*E1017</f>
        <v>17.28</v>
      </c>
      <c r="L1017" s="41" t="n">
        <f aca="false">D1017*I1017</f>
        <v>6</v>
      </c>
      <c r="M1017" s="41" t="n">
        <f aca="false">IFERROR(INDEX(Raw_Expenses!$C$5:$C$2979,MATCH(A1017,Raw_Expenses!$A$5:$A$2979,0)),0)</f>
        <v>1.41</v>
      </c>
      <c r="N1017" s="41" t="n">
        <f aca="false">L1017+M1017</f>
        <v>7.41</v>
      </c>
      <c r="O1017" s="41" t="n">
        <f aca="false">K1017-N1017</f>
        <v>9.87</v>
      </c>
      <c r="P1017" s="43" t="n">
        <f aca="false">IF(K1017=0,0,O1017/K1017)</f>
        <v>0.571180555555556</v>
      </c>
    </row>
    <row r="1018" customFormat="false" ht="15" hidden="false" customHeight="false" outlineLevel="0" collapsed="false">
      <c r="A1018" s="39" t="s">
        <v>1140</v>
      </c>
      <c r="B1018" s="40" t="n">
        <v>45802</v>
      </c>
      <c r="C1018" s="39" t="s">
        <v>107</v>
      </c>
      <c r="D1018" s="39" t="n">
        <v>1</v>
      </c>
      <c r="E1018" s="41" t="n">
        <v>32.72</v>
      </c>
      <c r="F1018" s="39" t="s">
        <v>118</v>
      </c>
      <c r="G1018" s="39" t="str">
        <f aca="false">VLOOKUP(C1018,Products!$A$5:$D$24,2,FALSE())</f>
        <v>USB-C Hub</v>
      </c>
      <c r="H1018" s="39" t="str">
        <f aca="false">VLOOKUP(C1018,Products!$A$5:$D$24,3,FALSE())</f>
        <v>Electronics</v>
      </c>
      <c r="I1018" s="41" t="n">
        <f aca="false">VLOOKUP(C1018,Products!$A$5:$D$24,4,FALSE())</f>
        <v>14</v>
      </c>
      <c r="J1018" s="42" t="n">
        <f aca="false">DATE(YEAR(B1018),MONTH(B1018),1)</f>
        <v>45778</v>
      </c>
      <c r="K1018" s="41" t="n">
        <f aca="false">D1018*E1018</f>
        <v>32.72</v>
      </c>
      <c r="L1018" s="41" t="n">
        <f aca="false">D1018*I1018</f>
        <v>14</v>
      </c>
      <c r="M1018" s="41" t="n">
        <f aca="false">IFERROR(INDEX(Raw_Expenses!$C$5:$C$2979,MATCH(A1018,Raw_Expenses!$A$5:$A$2979,0)),0)</f>
        <v>1.56</v>
      </c>
      <c r="N1018" s="41" t="n">
        <f aca="false">L1018+M1018</f>
        <v>15.56</v>
      </c>
      <c r="O1018" s="41" t="n">
        <f aca="false">K1018-N1018</f>
        <v>17.16</v>
      </c>
      <c r="P1018" s="43" t="n">
        <f aca="false">IF(K1018=0,0,O1018/K1018)</f>
        <v>0.524449877750611</v>
      </c>
    </row>
    <row r="1019" customFormat="false" ht="15" hidden="false" customHeight="false" outlineLevel="0" collapsed="false">
      <c r="A1019" s="39" t="s">
        <v>1141</v>
      </c>
      <c r="B1019" s="40" t="n">
        <v>45802</v>
      </c>
      <c r="C1019" s="39" t="s">
        <v>110</v>
      </c>
      <c r="D1019" s="39" t="n">
        <v>6</v>
      </c>
      <c r="E1019" s="41" t="n">
        <v>13.21</v>
      </c>
      <c r="F1019" s="39" t="s">
        <v>105</v>
      </c>
      <c r="G1019" s="39" t="str">
        <f aca="false">VLOOKUP(C1019,Products!$A$5:$D$24,2,FALSE())</f>
        <v>Phone Stand</v>
      </c>
      <c r="H1019" s="39" t="str">
        <f aca="false">VLOOKUP(C1019,Products!$A$5:$D$24,3,FALSE())</f>
        <v>Accessories</v>
      </c>
      <c r="I1019" s="41" t="n">
        <f aca="false">VLOOKUP(C1019,Products!$A$5:$D$24,4,FALSE())</f>
        <v>4</v>
      </c>
      <c r="J1019" s="42" t="n">
        <f aca="false">DATE(YEAR(B1019),MONTH(B1019),1)</f>
        <v>45778</v>
      </c>
      <c r="K1019" s="41" t="n">
        <f aca="false">D1019*E1019</f>
        <v>79.26</v>
      </c>
      <c r="L1019" s="41" t="n">
        <f aca="false">D1019*I1019</f>
        <v>24</v>
      </c>
      <c r="M1019" s="41" t="n">
        <f aca="false">IFERROR(INDEX(Raw_Expenses!$C$5:$C$2979,MATCH(A1019,Raw_Expenses!$A$5:$A$2979,0)),0)</f>
        <v>5.58</v>
      </c>
      <c r="N1019" s="41" t="n">
        <f aca="false">L1019+M1019</f>
        <v>29.58</v>
      </c>
      <c r="O1019" s="41" t="n">
        <f aca="false">K1019-N1019</f>
        <v>49.68</v>
      </c>
      <c r="P1019" s="43" t="n">
        <f aca="false">IF(K1019=0,0,O1019/K1019)</f>
        <v>0.626797880393641</v>
      </c>
    </row>
    <row r="1020" customFormat="false" ht="15" hidden="false" customHeight="false" outlineLevel="0" collapsed="false">
      <c r="A1020" s="39" t="s">
        <v>1142</v>
      </c>
      <c r="B1020" s="40" t="n">
        <v>45803</v>
      </c>
      <c r="C1020" s="39" t="s">
        <v>153</v>
      </c>
      <c r="D1020" s="39" t="n">
        <v>1</v>
      </c>
      <c r="E1020" s="41" t="n">
        <v>166.15</v>
      </c>
      <c r="F1020" s="39" t="s">
        <v>105</v>
      </c>
      <c r="G1020" s="39" t="str">
        <f aca="false">VLOOKUP(C1020,Products!$A$5:$D$24,2,FALSE())</f>
        <v>24-inch Monitor</v>
      </c>
      <c r="H1020" s="39" t="str">
        <f aca="false">VLOOKUP(C1020,Products!$A$5:$D$24,3,FALSE())</f>
        <v>Electronics</v>
      </c>
      <c r="I1020" s="41" t="n">
        <f aca="false">VLOOKUP(C1020,Products!$A$5:$D$24,4,FALSE())</f>
        <v>90</v>
      </c>
      <c r="J1020" s="42" t="n">
        <f aca="false">DATE(YEAR(B1020),MONTH(B1020),1)</f>
        <v>45778</v>
      </c>
      <c r="K1020" s="41" t="n">
        <f aca="false">D1020*E1020</f>
        <v>166.15</v>
      </c>
      <c r="L1020" s="41" t="n">
        <f aca="false">D1020*I1020</f>
        <v>90</v>
      </c>
      <c r="M1020" s="41" t="n">
        <f aca="false">IFERROR(INDEX(Raw_Expenses!$C$5:$C$2979,MATCH(A1020,Raw_Expenses!$A$5:$A$2979,0)),0)</f>
        <v>11.68</v>
      </c>
      <c r="N1020" s="41" t="n">
        <f aca="false">L1020+M1020</f>
        <v>101.68</v>
      </c>
      <c r="O1020" s="41" t="n">
        <f aca="false">K1020-N1020</f>
        <v>64.47</v>
      </c>
      <c r="P1020" s="43" t="n">
        <f aca="false">IF(K1020=0,0,O1020/K1020)</f>
        <v>0.388022870899789</v>
      </c>
    </row>
    <row r="1021" customFormat="false" ht="15" hidden="false" customHeight="false" outlineLevel="0" collapsed="false">
      <c r="A1021" s="39" t="s">
        <v>1143</v>
      </c>
      <c r="B1021" s="40" t="n">
        <v>45803</v>
      </c>
      <c r="C1021" s="39" t="s">
        <v>107</v>
      </c>
      <c r="D1021" s="39" t="n">
        <v>3</v>
      </c>
      <c r="E1021" s="41" t="n">
        <v>34.1</v>
      </c>
      <c r="F1021" s="39" t="s">
        <v>105</v>
      </c>
      <c r="G1021" s="39" t="str">
        <f aca="false">VLOOKUP(C1021,Products!$A$5:$D$24,2,FALSE())</f>
        <v>USB-C Hub</v>
      </c>
      <c r="H1021" s="39" t="str">
        <f aca="false">VLOOKUP(C1021,Products!$A$5:$D$24,3,FALSE())</f>
        <v>Electronics</v>
      </c>
      <c r="I1021" s="41" t="n">
        <f aca="false">VLOOKUP(C1021,Products!$A$5:$D$24,4,FALSE())</f>
        <v>14</v>
      </c>
      <c r="J1021" s="42" t="n">
        <f aca="false">DATE(YEAR(B1021),MONTH(B1021),1)</f>
        <v>45778</v>
      </c>
      <c r="K1021" s="41" t="n">
        <f aca="false">D1021*E1021</f>
        <v>102.3</v>
      </c>
      <c r="L1021" s="41" t="n">
        <f aca="false">D1021*I1021</f>
        <v>42</v>
      </c>
      <c r="M1021" s="41" t="n">
        <f aca="false">IFERROR(INDEX(Raw_Expenses!$C$5:$C$2979,MATCH(A1021,Raw_Expenses!$A$5:$A$2979,0)),0)</f>
        <v>8.47</v>
      </c>
      <c r="N1021" s="41" t="n">
        <f aca="false">L1021+M1021</f>
        <v>50.47</v>
      </c>
      <c r="O1021" s="41" t="n">
        <f aca="false">K1021-N1021</f>
        <v>51.83</v>
      </c>
      <c r="P1021" s="43" t="n">
        <f aca="false">IF(K1021=0,0,O1021/K1021)</f>
        <v>0.506647116324536</v>
      </c>
    </row>
    <row r="1022" customFormat="false" ht="15" hidden="false" customHeight="false" outlineLevel="0" collapsed="false">
      <c r="A1022" s="39" t="s">
        <v>1144</v>
      </c>
      <c r="B1022" s="40" t="n">
        <v>45803</v>
      </c>
      <c r="C1022" s="39" t="s">
        <v>126</v>
      </c>
      <c r="D1022" s="39" t="n">
        <v>2</v>
      </c>
      <c r="E1022" s="41" t="n">
        <v>23.42</v>
      </c>
      <c r="F1022" s="39" t="s">
        <v>118</v>
      </c>
      <c r="G1022" s="39" t="str">
        <f aca="false">VLOOKUP(C1022,Products!$A$5:$D$24,2,FALSE())</f>
        <v>Wireless Mouse</v>
      </c>
      <c r="H1022" s="39" t="str">
        <f aca="false">VLOOKUP(C1022,Products!$A$5:$D$24,3,FALSE())</f>
        <v>Electronics</v>
      </c>
      <c r="I1022" s="41" t="n">
        <f aca="false">VLOOKUP(C1022,Products!$A$5:$D$24,4,FALSE())</f>
        <v>12</v>
      </c>
      <c r="J1022" s="42" t="n">
        <f aca="false">DATE(YEAR(B1022),MONTH(B1022),1)</f>
        <v>45778</v>
      </c>
      <c r="K1022" s="41" t="n">
        <f aca="false">D1022*E1022</f>
        <v>46.84</v>
      </c>
      <c r="L1022" s="41" t="n">
        <f aca="false">D1022*I1022</f>
        <v>24</v>
      </c>
      <c r="M1022" s="41" t="n">
        <f aca="false">IFERROR(INDEX(Raw_Expenses!$C$5:$C$2979,MATCH(A1022,Raw_Expenses!$A$5:$A$2979,0)),0)</f>
        <v>2.41</v>
      </c>
      <c r="N1022" s="41" t="n">
        <f aca="false">L1022+M1022</f>
        <v>26.41</v>
      </c>
      <c r="O1022" s="41" t="n">
        <f aca="false">K1022-N1022</f>
        <v>20.43</v>
      </c>
      <c r="P1022" s="43" t="n">
        <f aca="false">IF(K1022=0,0,O1022/K1022)</f>
        <v>0.436165670367208</v>
      </c>
    </row>
    <row r="1023" customFormat="false" ht="15" hidden="false" customHeight="false" outlineLevel="0" collapsed="false">
      <c r="A1023" s="39" t="s">
        <v>1145</v>
      </c>
      <c r="B1023" s="40" t="n">
        <v>45803</v>
      </c>
      <c r="C1023" s="39" t="s">
        <v>162</v>
      </c>
      <c r="D1023" s="39" t="n">
        <v>5</v>
      </c>
      <c r="E1023" s="41" t="n">
        <v>63.94</v>
      </c>
      <c r="F1023" s="39" t="s">
        <v>108</v>
      </c>
      <c r="G1023" s="39" t="str">
        <f aca="false">VLOOKUP(C1023,Products!$A$5:$D$24,2,FALSE())</f>
        <v>Bluetooth Speaker</v>
      </c>
      <c r="H1023" s="39" t="str">
        <f aca="false">VLOOKUP(C1023,Products!$A$5:$D$24,3,FALSE())</f>
        <v>Electronics</v>
      </c>
      <c r="I1023" s="41" t="n">
        <f aca="false">VLOOKUP(C1023,Products!$A$5:$D$24,4,FALSE())</f>
        <v>28</v>
      </c>
      <c r="J1023" s="42" t="n">
        <f aca="false">DATE(YEAR(B1023),MONTH(B1023),1)</f>
        <v>45778</v>
      </c>
      <c r="K1023" s="41" t="n">
        <f aca="false">D1023*E1023</f>
        <v>319.7</v>
      </c>
      <c r="L1023" s="41" t="n">
        <f aca="false">D1023*I1023</f>
        <v>140</v>
      </c>
      <c r="M1023" s="41" t="n">
        <f aca="false">IFERROR(INDEX(Raw_Expenses!$C$5:$C$2979,MATCH(A1023,Raw_Expenses!$A$5:$A$2979,0)),0)</f>
        <v>21.53</v>
      </c>
      <c r="N1023" s="41" t="n">
        <f aca="false">L1023+M1023</f>
        <v>161.53</v>
      </c>
      <c r="O1023" s="41" t="n">
        <f aca="false">K1023-N1023</f>
        <v>158.17</v>
      </c>
      <c r="P1023" s="43" t="n">
        <f aca="false">IF(K1023=0,0,O1023/K1023)</f>
        <v>0.494745073506412</v>
      </c>
    </row>
    <row r="1024" customFormat="false" ht="15" hidden="false" customHeight="false" outlineLevel="0" collapsed="false">
      <c r="A1024" s="39" t="s">
        <v>1146</v>
      </c>
      <c r="B1024" s="40" t="n">
        <v>45803</v>
      </c>
      <c r="C1024" s="39" t="s">
        <v>169</v>
      </c>
      <c r="D1024" s="39" t="n">
        <v>2</v>
      </c>
      <c r="E1024" s="41" t="n">
        <v>28.14</v>
      </c>
      <c r="F1024" s="39" t="s">
        <v>105</v>
      </c>
      <c r="G1024" s="39" t="str">
        <f aca="false">VLOOKUP(C1024,Products!$A$5:$D$24,2,FALSE())</f>
        <v>Laptop Stand</v>
      </c>
      <c r="H1024" s="39" t="str">
        <f aca="false">VLOOKUP(C1024,Products!$A$5:$D$24,3,FALSE())</f>
        <v>Accessories</v>
      </c>
      <c r="I1024" s="41" t="n">
        <f aca="false">VLOOKUP(C1024,Products!$A$5:$D$24,4,FALSE())</f>
        <v>11</v>
      </c>
      <c r="J1024" s="42" t="n">
        <f aca="false">DATE(YEAR(B1024),MONTH(B1024),1)</f>
        <v>45778</v>
      </c>
      <c r="K1024" s="41" t="n">
        <f aca="false">D1024*E1024</f>
        <v>56.28</v>
      </c>
      <c r="L1024" s="41" t="n">
        <f aca="false">D1024*I1024</f>
        <v>22</v>
      </c>
      <c r="M1024" s="41" t="n">
        <f aca="false">IFERROR(INDEX(Raw_Expenses!$C$5:$C$2979,MATCH(A1024,Raw_Expenses!$A$5:$A$2979,0)),0)</f>
        <v>4.07</v>
      </c>
      <c r="N1024" s="41" t="n">
        <f aca="false">L1024+M1024</f>
        <v>26.07</v>
      </c>
      <c r="O1024" s="41" t="n">
        <f aca="false">K1024-N1024</f>
        <v>30.21</v>
      </c>
      <c r="P1024" s="43" t="n">
        <f aca="false">IF(K1024=0,0,O1024/K1024)</f>
        <v>0.536780383795309</v>
      </c>
    </row>
    <row r="1025" customFormat="false" ht="15" hidden="false" customHeight="false" outlineLevel="0" collapsed="false">
      <c r="A1025" s="39" t="s">
        <v>1147</v>
      </c>
      <c r="B1025" s="40" t="n">
        <v>45803</v>
      </c>
      <c r="C1025" s="39" t="s">
        <v>104</v>
      </c>
      <c r="D1025" s="39" t="n">
        <v>2</v>
      </c>
      <c r="E1025" s="41" t="n">
        <v>15.44</v>
      </c>
      <c r="F1025" s="39" t="s">
        <v>105</v>
      </c>
      <c r="G1025" s="39" t="str">
        <f aca="false">VLOOKUP(C1025,Products!$A$5:$D$24,2,FALSE())</f>
        <v>Water Bottle</v>
      </c>
      <c r="H1025" s="39" t="str">
        <f aca="false">VLOOKUP(C1025,Products!$A$5:$D$24,3,FALSE())</f>
        <v>Accessories</v>
      </c>
      <c r="I1025" s="41" t="n">
        <f aca="false">VLOOKUP(C1025,Products!$A$5:$D$24,4,FALSE())</f>
        <v>5</v>
      </c>
      <c r="J1025" s="42" t="n">
        <f aca="false">DATE(YEAR(B1025),MONTH(B1025),1)</f>
        <v>45778</v>
      </c>
      <c r="K1025" s="41" t="n">
        <f aca="false">D1025*E1025</f>
        <v>30.88</v>
      </c>
      <c r="L1025" s="41" t="n">
        <f aca="false">D1025*I1025</f>
        <v>10</v>
      </c>
      <c r="M1025" s="41" t="n">
        <f aca="false">IFERROR(INDEX(Raw_Expenses!$C$5:$C$2979,MATCH(A1025,Raw_Expenses!$A$5:$A$2979,0)),0)</f>
        <v>2.04</v>
      </c>
      <c r="N1025" s="41" t="n">
        <f aca="false">L1025+M1025</f>
        <v>12.04</v>
      </c>
      <c r="O1025" s="41" t="n">
        <f aca="false">K1025-N1025</f>
        <v>18.84</v>
      </c>
      <c r="P1025" s="43" t="n">
        <f aca="false">IF(K1025=0,0,O1025/K1025)</f>
        <v>0.610103626943005</v>
      </c>
    </row>
    <row r="1026" customFormat="false" ht="15" hidden="false" customHeight="false" outlineLevel="0" collapsed="false">
      <c r="A1026" s="39" t="s">
        <v>1148</v>
      </c>
      <c r="B1026" s="40" t="n">
        <v>45803</v>
      </c>
      <c r="C1026" s="39" t="s">
        <v>144</v>
      </c>
      <c r="D1026" s="39" t="n">
        <v>2</v>
      </c>
      <c r="E1026" s="41" t="n">
        <v>55.94</v>
      </c>
      <c r="F1026" s="39" t="s">
        <v>105</v>
      </c>
      <c r="G1026" s="39" t="str">
        <f aca="false">VLOOKUP(C1026,Products!$A$5:$D$24,2,FALSE())</f>
        <v>Whiteboard</v>
      </c>
      <c r="H1026" s="39" t="str">
        <f aca="false">VLOOKUP(C1026,Products!$A$5:$D$24,3,FALSE())</f>
        <v>Furniture</v>
      </c>
      <c r="I1026" s="41" t="n">
        <f aca="false">VLOOKUP(C1026,Products!$A$5:$D$24,4,FALSE())</f>
        <v>28</v>
      </c>
      <c r="J1026" s="42" t="n">
        <f aca="false">DATE(YEAR(B1026),MONTH(B1026),1)</f>
        <v>45778</v>
      </c>
      <c r="K1026" s="41" t="n">
        <f aca="false">D1026*E1026</f>
        <v>111.88</v>
      </c>
      <c r="L1026" s="41" t="n">
        <f aca="false">D1026*I1026</f>
        <v>56</v>
      </c>
      <c r="M1026" s="41" t="n">
        <f aca="false">IFERROR(INDEX(Raw_Expenses!$C$5:$C$2979,MATCH(A1026,Raw_Expenses!$A$5:$A$2979,0)),0)</f>
        <v>8.71</v>
      </c>
      <c r="N1026" s="41" t="n">
        <f aca="false">L1026+M1026</f>
        <v>64.71</v>
      </c>
      <c r="O1026" s="41" t="n">
        <f aca="false">K1026-N1026</f>
        <v>47.17</v>
      </c>
      <c r="P1026" s="43" t="n">
        <f aca="false">IF(K1026=0,0,O1026/K1026)</f>
        <v>0.421612441902038</v>
      </c>
    </row>
    <row r="1027" customFormat="false" ht="15" hidden="false" customHeight="false" outlineLevel="0" collapsed="false">
      <c r="A1027" s="39" t="s">
        <v>1149</v>
      </c>
      <c r="B1027" s="40" t="n">
        <v>45803</v>
      </c>
      <c r="C1027" s="39" t="s">
        <v>126</v>
      </c>
      <c r="D1027" s="39" t="n">
        <v>3</v>
      </c>
      <c r="E1027" s="41" t="n">
        <v>24.04</v>
      </c>
      <c r="F1027" s="39" t="s">
        <v>118</v>
      </c>
      <c r="G1027" s="39" t="str">
        <f aca="false">VLOOKUP(C1027,Products!$A$5:$D$24,2,FALSE())</f>
        <v>Wireless Mouse</v>
      </c>
      <c r="H1027" s="39" t="str">
        <f aca="false">VLOOKUP(C1027,Products!$A$5:$D$24,3,FALSE())</f>
        <v>Electronics</v>
      </c>
      <c r="I1027" s="41" t="n">
        <f aca="false">VLOOKUP(C1027,Products!$A$5:$D$24,4,FALSE())</f>
        <v>12</v>
      </c>
      <c r="J1027" s="42" t="n">
        <f aca="false">DATE(YEAR(B1027),MONTH(B1027),1)</f>
        <v>45778</v>
      </c>
      <c r="K1027" s="41" t="n">
        <f aca="false">D1027*E1027</f>
        <v>72.12</v>
      </c>
      <c r="L1027" s="41" t="n">
        <f aca="false">D1027*I1027</f>
        <v>36</v>
      </c>
      <c r="M1027" s="41" t="n">
        <f aca="false">IFERROR(INDEX(Raw_Expenses!$C$5:$C$2979,MATCH(A1027,Raw_Expenses!$A$5:$A$2979,0)),0)</f>
        <v>3.36</v>
      </c>
      <c r="N1027" s="41" t="n">
        <f aca="false">L1027+M1027</f>
        <v>39.36</v>
      </c>
      <c r="O1027" s="41" t="n">
        <f aca="false">K1027-N1027</f>
        <v>32.76</v>
      </c>
      <c r="P1027" s="43" t="n">
        <f aca="false">IF(K1027=0,0,O1027/K1027)</f>
        <v>0.454242928452579</v>
      </c>
    </row>
    <row r="1028" customFormat="false" ht="15" hidden="false" customHeight="false" outlineLevel="0" collapsed="false">
      <c r="A1028" s="39" t="s">
        <v>1150</v>
      </c>
      <c r="B1028" s="40" t="n">
        <v>45804</v>
      </c>
      <c r="C1028" s="39" t="s">
        <v>121</v>
      </c>
      <c r="D1028" s="39" t="n">
        <v>2</v>
      </c>
      <c r="E1028" s="41" t="n">
        <v>111.99</v>
      </c>
      <c r="F1028" s="39" t="s">
        <v>108</v>
      </c>
      <c r="G1028" s="39" t="str">
        <f aca="false">VLOOKUP(C1028,Products!$A$5:$D$24,2,FALSE())</f>
        <v>External SSD 1TB</v>
      </c>
      <c r="H1028" s="39" t="str">
        <f aca="false">VLOOKUP(C1028,Products!$A$5:$D$24,3,FALSE())</f>
        <v>Electronics</v>
      </c>
      <c r="I1028" s="41" t="n">
        <f aca="false">VLOOKUP(C1028,Products!$A$5:$D$24,4,FALSE())</f>
        <v>62</v>
      </c>
      <c r="J1028" s="42" t="n">
        <f aca="false">DATE(YEAR(B1028),MONTH(B1028),1)</f>
        <v>45778</v>
      </c>
      <c r="K1028" s="41" t="n">
        <f aca="false">D1028*E1028</f>
        <v>223.98</v>
      </c>
      <c r="L1028" s="41" t="n">
        <f aca="false">D1028*I1028</f>
        <v>124</v>
      </c>
      <c r="M1028" s="41" t="n">
        <f aca="false">IFERROR(INDEX(Raw_Expenses!$C$5:$C$2979,MATCH(A1028,Raw_Expenses!$A$5:$A$2979,0)),0)</f>
        <v>12.13</v>
      </c>
      <c r="N1028" s="41" t="n">
        <f aca="false">L1028+M1028</f>
        <v>136.13</v>
      </c>
      <c r="O1028" s="41" t="n">
        <f aca="false">K1028-N1028</f>
        <v>87.85</v>
      </c>
      <c r="P1028" s="43" t="n">
        <f aca="false">IF(K1028=0,0,O1028/K1028)</f>
        <v>0.392222519867845</v>
      </c>
    </row>
    <row r="1029" customFormat="false" ht="15" hidden="false" customHeight="false" outlineLevel="0" collapsed="false">
      <c r="A1029" s="39" t="s">
        <v>1151</v>
      </c>
      <c r="B1029" s="40" t="n">
        <v>45804</v>
      </c>
      <c r="C1029" s="39" t="s">
        <v>114</v>
      </c>
      <c r="D1029" s="39" t="n">
        <v>1</v>
      </c>
      <c r="E1029" s="41" t="n">
        <v>5.91</v>
      </c>
      <c r="F1029" s="39" t="s">
        <v>118</v>
      </c>
      <c r="G1029" s="39" t="str">
        <f aca="false">VLOOKUP(C1029,Products!$A$5:$D$24,2,FALSE())</f>
        <v>Gel Pen Pack</v>
      </c>
      <c r="H1029" s="39" t="str">
        <f aca="false">VLOOKUP(C1029,Products!$A$5:$D$24,3,FALSE())</f>
        <v>Stationery</v>
      </c>
      <c r="I1029" s="41" t="n">
        <f aca="false">VLOOKUP(C1029,Products!$A$5:$D$24,4,FALSE())</f>
        <v>2</v>
      </c>
      <c r="J1029" s="42" t="n">
        <f aca="false">DATE(YEAR(B1029),MONTH(B1029),1)</f>
        <v>45778</v>
      </c>
      <c r="K1029" s="41" t="n">
        <f aca="false">D1029*E1029</f>
        <v>5.91</v>
      </c>
      <c r="L1029" s="41" t="n">
        <f aca="false">D1029*I1029</f>
        <v>2</v>
      </c>
      <c r="M1029" s="41" t="n">
        <f aca="false">IFERROR(INDEX(Raw_Expenses!$C$5:$C$2979,MATCH(A1029,Raw_Expenses!$A$5:$A$2979,0)),0)</f>
        <v>0.35</v>
      </c>
      <c r="N1029" s="41" t="n">
        <f aca="false">L1029+M1029</f>
        <v>2.35</v>
      </c>
      <c r="O1029" s="41" t="n">
        <f aca="false">K1029-N1029</f>
        <v>3.56</v>
      </c>
      <c r="P1029" s="43" t="n">
        <f aca="false">IF(K1029=0,0,O1029/K1029)</f>
        <v>0.602368866328257</v>
      </c>
    </row>
    <row r="1030" customFormat="false" ht="15" hidden="false" customHeight="false" outlineLevel="0" collapsed="false">
      <c r="A1030" s="39" t="s">
        <v>1152</v>
      </c>
      <c r="B1030" s="40" t="n">
        <v>45804</v>
      </c>
      <c r="C1030" s="39" t="s">
        <v>126</v>
      </c>
      <c r="D1030" s="39" t="n">
        <v>1</v>
      </c>
      <c r="E1030" s="41" t="n">
        <v>24.56</v>
      </c>
      <c r="F1030" s="39" t="s">
        <v>118</v>
      </c>
      <c r="G1030" s="39" t="str">
        <f aca="false">VLOOKUP(C1030,Products!$A$5:$D$24,2,FALSE())</f>
        <v>Wireless Mouse</v>
      </c>
      <c r="H1030" s="39" t="str">
        <f aca="false">VLOOKUP(C1030,Products!$A$5:$D$24,3,FALSE())</f>
        <v>Electronics</v>
      </c>
      <c r="I1030" s="41" t="n">
        <f aca="false">VLOOKUP(C1030,Products!$A$5:$D$24,4,FALSE())</f>
        <v>12</v>
      </c>
      <c r="J1030" s="42" t="n">
        <f aca="false">DATE(YEAR(B1030),MONTH(B1030),1)</f>
        <v>45778</v>
      </c>
      <c r="K1030" s="41" t="n">
        <f aca="false">D1030*E1030</f>
        <v>24.56</v>
      </c>
      <c r="L1030" s="41" t="n">
        <f aca="false">D1030*I1030</f>
        <v>12</v>
      </c>
      <c r="M1030" s="41" t="n">
        <f aca="false">IFERROR(INDEX(Raw_Expenses!$C$5:$C$2979,MATCH(A1030,Raw_Expenses!$A$5:$A$2979,0)),0)</f>
        <v>1.92</v>
      </c>
      <c r="N1030" s="41" t="n">
        <f aca="false">L1030+M1030</f>
        <v>13.92</v>
      </c>
      <c r="O1030" s="41" t="n">
        <f aca="false">K1030-N1030</f>
        <v>10.64</v>
      </c>
      <c r="P1030" s="43" t="n">
        <f aca="false">IF(K1030=0,0,O1030/K1030)</f>
        <v>0.433224755700326</v>
      </c>
    </row>
    <row r="1031" customFormat="false" ht="15" hidden="false" customHeight="false" outlineLevel="0" collapsed="false">
      <c r="A1031" s="39" t="s">
        <v>1153</v>
      </c>
      <c r="B1031" s="40" t="n">
        <v>45804</v>
      </c>
      <c r="C1031" s="39" t="s">
        <v>169</v>
      </c>
      <c r="D1031" s="39" t="n">
        <v>1</v>
      </c>
      <c r="E1031" s="41" t="n">
        <v>26.96</v>
      </c>
      <c r="F1031" s="39" t="s">
        <v>118</v>
      </c>
      <c r="G1031" s="39" t="str">
        <f aca="false">VLOOKUP(C1031,Products!$A$5:$D$24,2,FALSE())</f>
        <v>Laptop Stand</v>
      </c>
      <c r="H1031" s="39" t="str">
        <f aca="false">VLOOKUP(C1031,Products!$A$5:$D$24,3,FALSE())</f>
        <v>Accessories</v>
      </c>
      <c r="I1031" s="41" t="n">
        <f aca="false">VLOOKUP(C1031,Products!$A$5:$D$24,4,FALSE())</f>
        <v>11</v>
      </c>
      <c r="J1031" s="42" t="n">
        <f aca="false">DATE(YEAR(B1031),MONTH(B1031),1)</f>
        <v>45778</v>
      </c>
      <c r="K1031" s="41" t="n">
        <f aca="false">D1031*E1031</f>
        <v>26.96</v>
      </c>
      <c r="L1031" s="41" t="n">
        <f aca="false">D1031*I1031</f>
        <v>11</v>
      </c>
      <c r="M1031" s="41" t="n">
        <f aca="false">IFERROR(INDEX(Raw_Expenses!$C$5:$C$2979,MATCH(A1031,Raw_Expenses!$A$5:$A$2979,0)),0)</f>
        <v>1.63</v>
      </c>
      <c r="N1031" s="41" t="n">
        <f aca="false">L1031+M1031</f>
        <v>12.63</v>
      </c>
      <c r="O1031" s="41" t="n">
        <f aca="false">K1031-N1031</f>
        <v>14.33</v>
      </c>
      <c r="P1031" s="43" t="n">
        <f aca="false">IF(K1031=0,0,O1031/K1031)</f>
        <v>0.531528189910979</v>
      </c>
    </row>
    <row r="1032" customFormat="false" ht="15" hidden="false" customHeight="false" outlineLevel="0" collapsed="false">
      <c r="A1032" s="39" t="s">
        <v>1154</v>
      </c>
      <c r="B1032" s="40" t="n">
        <v>45804</v>
      </c>
      <c r="C1032" s="39" t="s">
        <v>139</v>
      </c>
      <c r="D1032" s="39" t="n">
        <v>3</v>
      </c>
      <c r="E1032" s="41" t="n">
        <v>122.03</v>
      </c>
      <c r="F1032" s="39" t="s">
        <v>115</v>
      </c>
      <c r="G1032" s="39" t="str">
        <f aca="false">VLOOKUP(C1032,Products!$A$5:$D$24,2,FALSE())</f>
        <v>Noise-Cancelling Headphones</v>
      </c>
      <c r="H1032" s="39" t="str">
        <f aca="false">VLOOKUP(C1032,Products!$A$5:$D$24,3,FALSE())</f>
        <v>Electronics</v>
      </c>
      <c r="I1032" s="41" t="n">
        <f aca="false">VLOOKUP(C1032,Products!$A$5:$D$24,4,FALSE())</f>
        <v>55</v>
      </c>
      <c r="J1032" s="42" t="n">
        <f aca="false">DATE(YEAR(B1032),MONTH(B1032),1)</f>
        <v>45778</v>
      </c>
      <c r="K1032" s="41" t="n">
        <f aca="false">D1032*E1032</f>
        <v>366.09</v>
      </c>
      <c r="L1032" s="41" t="n">
        <f aca="false">D1032*I1032</f>
        <v>165</v>
      </c>
      <c r="M1032" s="41" t="n">
        <f aca="false">IFERROR(INDEX(Raw_Expenses!$C$5:$C$2979,MATCH(A1032,Raw_Expenses!$A$5:$A$2979,0)),0)</f>
        <v>23.89</v>
      </c>
      <c r="N1032" s="41" t="n">
        <f aca="false">L1032+M1032</f>
        <v>188.89</v>
      </c>
      <c r="O1032" s="41" t="n">
        <f aca="false">K1032-N1032</f>
        <v>177.2</v>
      </c>
      <c r="P1032" s="43" t="n">
        <f aca="false">IF(K1032=0,0,O1032/K1032)</f>
        <v>0.484033980715125</v>
      </c>
    </row>
    <row r="1033" customFormat="false" ht="15" hidden="false" customHeight="false" outlineLevel="0" collapsed="false">
      <c r="A1033" s="39" t="s">
        <v>1155</v>
      </c>
      <c r="B1033" s="40" t="n">
        <v>45804</v>
      </c>
      <c r="C1033" s="39" t="s">
        <v>110</v>
      </c>
      <c r="D1033" s="39" t="n">
        <v>1</v>
      </c>
      <c r="E1033" s="41" t="n">
        <v>13.92</v>
      </c>
      <c r="F1033" s="39" t="s">
        <v>118</v>
      </c>
      <c r="G1033" s="39" t="str">
        <f aca="false">VLOOKUP(C1033,Products!$A$5:$D$24,2,FALSE())</f>
        <v>Phone Stand</v>
      </c>
      <c r="H1033" s="39" t="str">
        <f aca="false">VLOOKUP(C1033,Products!$A$5:$D$24,3,FALSE())</f>
        <v>Accessories</v>
      </c>
      <c r="I1033" s="41" t="n">
        <f aca="false">VLOOKUP(C1033,Products!$A$5:$D$24,4,FALSE())</f>
        <v>4</v>
      </c>
      <c r="J1033" s="42" t="n">
        <f aca="false">DATE(YEAR(B1033),MONTH(B1033),1)</f>
        <v>45778</v>
      </c>
      <c r="K1033" s="41" t="n">
        <f aca="false">D1033*E1033</f>
        <v>13.92</v>
      </c>
      <c r="L1033" s="41" t="n">
        <f aca="false">D1033*I1033</f>
        <v>4</v>
      </c>
      <c r="M1033" s="41" t="n">
        <f aca="false">IFERROR(INDEX(Raw_Expenses!$C$5:$C$2979,MATCH(A1033,Raw_Expenses!$A$5:$A$2979,0)),0)</f>
        <v>0.96</v>
      </c>
      <c r="N1033" s="41" t="n">
        <f aca="false">L1033+M1033</f>
        <v>4.96</v>
      </c>
      <c r="O1033" s="41" t="n">
        <f aca="false">K1033-N1033</f>
        <v>8.96</v>
      </c>
      <c r="P1033" s="43" t="n">
        <f aca="false">IF(K1033=0,0,O1033/K1033)</f>
        <v>0.64367816091954</v>
      </c>
    </row>
    <row r="1034" customFormat="false" ht="15" hidden="false" customHeight="false" outlineLevel="0" collapsed="false">
      <c r="A1034" s="39" t="s">
        <v>1156</v>
      </c>
      <c r="B1034" s="40" t="n">
        <v>45804</v>
      </c>
      <c r="C1034" s="39" t="s">
        <v>112</v>
      </c>
      <c r="D1034" s="39" t="n">
        <v>4</v>
      </c>
      <c r="E1034" s="41" t="n">
        <v>51.29</v>
      </c>
      <c r="F1034" s="39" t="s">
        <v>105</v>
      </c>
      <c r="G1034" s="39" t="str">
        <f aca="false">VLOOKUP(C1034,Products!$A$5:$D$24,2,FALSE())</f>
        <v>HD Webcam</v>
      </c>
      <c r="H1034" s="39" t="str">
        <f aca="false">VLOOKUP(C1034,Products!$A$5:$D$24,3,FALSE())</f>
        <v>Electronics</v>
      </c>
      <c r="I1034" s="41" t="n">
        <f aca="false">VLOOKUP(C1034,Products!$A$5:$D$24,4,FALSE())</f>
        <v>22</v>
      </c>
      <c r="J1034" s="42" t="n">
        <f aca="false">DATE(YEAR(B1034),MONTH(B1034),1)</f>
        <v>45778</v>
      </c>
      <c r="K1034" s="41" t="n">
        <f aca="false">D1034*E1034</f>
        <v>205.16</v>
      </c>
      <c r="L1034" s="41" t="n">
        <f aca="false">D1034*I1034</f>
        <v>88</v>
      </c>
      <c r="M1034" s="41" t="n">
        <f aca="false">IFERROR(INDEX(Raw_Expenses!$C$5:$C$2979,MATCH(A1034,Raw_Expenses!$A$5:$A$2979,0)),0)</f>
        <v>9.72</v>
      </c>
      <c r="N1034" s="41" t="n">
        <f aca="false">L1034+M1034</f>
        <v>97.72</v>
      </c>
      <c r="O1034" s="41" t="n">
        <f aca="false">K1034-N1034</f>
        <v>107.44</v>
      </c>
      <c r="P1034" s="43" t="n">
        <f aca="false">IF(K1034=0,0,O1034/K1034)</f>
        <v>0.523688828231624</v>
      </c>
    </row>
    <row r="1035" customFormat="false" ht="15" hidden="false" customHeight="false" outlineLevel="0" collapsed="false">
      <c r="A1035" s="39" t="s">
        <v>1157</v>
      </c>
      <c r="B1035" s="40" t="n">
        <v>45804</v>
      </c>
      <c r="C1035" s="39" t="s">
        <v>130</v>
      </c>
      <c r="D1035" s="39" t="n">
        <v>1</v>
      </c>
      <c r="E1035" s="41" t="n">
        <v>8.56</v>
      </c>
      <c r="F1035" s="39" t="s">
        <v>118</v>
      </c>
      <c r="G1035" s="39" t="str">
        <f aca="false">VLOOKUP(C1035,Products!$A$5:$D$24,2,FALSE())</f>
        <v>Notebook Set</v>
      </c>
      <c r="H1035" s="39" t="str">
        <f aca="false">VLOOKUP(C1035,Products!$A$5:$D$24,3,FALSE())</f>
        <v>Stationery</v>
      </c>
      <c r="I1035" s="41" t="n">
        <f aca="false">VLOOKUP(C1035,Products!$A$5:$D$24,4,FALSE())</f>
        <v>3</v>
      </c>
      <c r="J1035" s="42" t="n">
        <f aca="false">DATE(YEAR(B1035),MONTH(B1035),1)</f>
        <v>45778</v>
      </c>
      <c r="K1035" s="41" t="n">
        <f aca="false">D1035*E1035</f>
        <v>8.56</v>
      </c>
      <c r="L1035" s="41" t="n">
        <f aca="false">D1035*I1035</f>
        <v>3</v>
      </c>
      <c r="M1035" s="41" t="n">
        <f aca="false">IFERROR(INDEX(Raw_Expenses!$C$5:$C$2979,MATCH(A1035,Raw_Expenses!$A$5:$A$2979,0)),0)</f>
        <v>0.61</v>
      </c>
      <c r="N1035" s="41" t="n">
        <f aca="false">L1035+M1035</f>
        <v>3.61</v>
      </c>
      <c r="O1035" s="41" t="n">
        <f aca="false">K1035-N1035</f>
        <v>4.95</v>
      </c>
      <c r="P1035" s="43" t="n">
        <f aca="false">IF(K1035=0,0,O1035/K1035)</f>
        <v>0.578271028037383</v>
      </c>
    </row>
    <row r="1036" customFormat="false" ht="15" hidden="false" customHeight="false" outlineLevel="0" collapsed="false">
      <c r="A1036" s="39" t="s">
        <v>1158</v>
      </c>
      <c r="B1036" s="40" t="n">
        <v>45804</v>
      </c>
      <c r="C1036" s="39" t="s">
        <v>117</v>
      </c>
      <c r="D1036" s="39" t="n">
        <v>4</v>
      </c>
      <c r="E1036" s="41" t="n">
        <v>30.86</v>
      </c>
      <c r="F1036" s="39" t="s">
        <v>118</v>
      </c>
      <c r="G1036" s="39" t="str">
        <f aca="false">VLOOKUP(C1036,Products!$A$5:$D$24,2,FALSE())</f>
        <v>Desk Lamp</v>
      </c>
      <c r="H1036" s="39" t="str">
        <f aca="false">VLOOKUP(C1036,Products!$A$5:$D$24,3,FALSE())</f>
        <v>Furniture</v>
      </c>
      <c r="I1036" s="41" t="n">
        <f aca="false">VLOOKUP(C1036,Products!$A$5:$D$24,4,FALSE())</f>
        <v>13</v>
      </c>
      <c r="J1036" s="42" t="n">
        <f aca="false">DATE(YEAR(B1036),MONTH(B1036),1)</f>
        <v>45778</v>
      </c>
      <c r="K1036" s="41" t="n">
        <f aca="false">D1036*E1036</f>
        <v>123.44</v>
      </c>
      <c r="L1036" s="41" t="n">
        <f aca="false">D1036*I1036</f>
        <v>52</v>
      </c>
      <c r="M1036" s="41" t="n">
        <f aca="false">IFERROR(INDEX(Raw_Expenses!$C$5:$C$2979,MATCH(A1036,Raw_Expenses!$A$5:$A$2979,0)),0)</f>
        <v>9</v>
      </c>
      <c r="N1036" s="41" t="n">
        <f aca="false">L1036+M1036</f>
        <v>61</v>
      </c>
      <c r="O1036" s="41" t="n">
        <f aca="false">K1036-N1036</f>
        <v>62.44</v>
      </c>
      <c r="P1036" s="43" t="n">
        <f aca="false">IF(K1036=0,0,O1036/K1036)</f>
        <v>0.505832793259883</v>
      </c>
    </row>
    <row r="1037" customFormat="false" ht="15" hidden="false" customHeight="false" outlineLevel="0" collapsed="false">
      <c r="A1037" s="39" t="s">
        <v>1159</v>
      </c>
      <c r="B1037" s="40" t="n">
        <v>45804</v>
      </c>
      <c r="C1037" s="39" t="s">
        <v>107</v>
      </c>
      <c r="D1037" s="39" t="n">
        <v>1</v>
      </c>
      <c r="E1037" s="41" t="n">
        <v>33.88</v>
      </c>
      <c r="F1037" s="39" t="s">
        <v>115</v>
      </c>
      <c r="G1037" s="39" t="str">
        <f aca="false">VLOOKUP(C1037,Products!$A$5:$D$24,2,FALSE())</f>
        <v>USB-C Hub</v>
      </c>
      <c r="H1037" s="39" t="str">
        <f aca="false">VLOOKUP(C1037,Products!$A$5:$D$24,3,FALSE())</f>
        <v>Electronics</v>
      </c>
      <c r="I1037" s="41" t="n">
        <f aca="false">VLOOKUP(C1037,Products!$A$5:$D$24,4,FALSE())</f>
        <v>14</v>
      </c>
      <c r="J1037" s="42" t="n">
        <f aca="false">DATE(YEAR(B1037),MONTH(B1037),1)</f>
        <v>45778</v>
      </c>
      <c r="K1037" s="41" t="n">
        <f aca="false">D1037*E1037</f>
        <v>33.88</v>
      </c>
      <c r="L1037" s="41" t="n">
        <f aca="false">D1037*I1037</f>
        <v>14</v>
      </c>
      <c r="M1037" s="41" t="n">
        <f aca="false">IFERROR(INDEX(Raw_Expenses!$C$5:$C$2979,MATCH(A1037,Raw_Expenses!$A$5:$A$2979,0)),0)</f>
        <v>2.88</v>
      </c>
      <c r="N1037" s="41" t="n">
        <f aca="false">L1037+M1037</f>
        <v>16.88</v>
      </c>
      <c r="O1037" s="41" t="n">
        <f aca="false">K1037-N1037</f>
        <v>17</v>
      </c>
      <c r="P1037" s="43" t="n">
        <f aca="false">IF(K1037=0,0,O1037/K1037)</f>
        <v>0.501770956316411</v>
      </c>
    </row>
    <row r="1038" customFormat="false" ht="15" hidden="false" customHeight="false" outlineLevel="0" collapsed="false">
      <c r="A1038" s="39" t="s">
        <v>1160</v>
      </c>
      <c r="B1038" s="40" t="n">
        <v>45804</v>
      </c>
      <c r="C1038" s="39" t="s">
        <v>126</v>
      </c>
      <c r="D1038" s="39" t="n">
        <v>2</v>
      </c>
      <c r="E1038" s="41" t="n">
        <v>23.51</v>
      </c>
      <c r="F1038" s="39" t="s">
        <v>115</v>
      </c>
      <c r="G1038" s="39" t="str">
        <f aca="false">VLOOKUP(C1038,Products!$A$5:$D$24,2,FALSE())</f>
        <v>Wireless Mouse</v>
      </c>
      <c r="H1038" s="39" t="str">
        <f aca="false">VLOOKUP(C1038,Products!$A$5:$D$24,3,FALSE())</f>
        <v>Electronics</v>
      </c>
      <c r="I1038" s="41" t="n">
        <f aca="false">VLOOKUP(C1038,Products!$A$5:$D$24,4,FALSE())</f>
        <v>12</v>
      </c>
      <c r="J1038" s="42" t="n">
        <f aca="false">DATE(YEAR(B1038),MONTH(B1038),1)</f>
        <v>45778</v>
      </c>
      <c r="K1038" s="41" t="n">
        <f aca="false">D1038*E1038</f>
        <v>47.02</v>
      </c>
      <c r="L1038" s="41" t="n">
        <f aca="false">D1038*I1038</f>
        <v>24</v>
      </c>
      <c r="M1038" s="41" t="n">
        <f aca="false">IFERROR(INDEX(Raw_Expenses!$C$5:$C$2979,MATCH(A1038,Raw_Expenses!$A$5:$A$2979,0)),0)</f>
        <v>2.6</v>
      </c>
      <c r="N1038" s="41" t="n">
        <f aca="false">L1038+M1038</f>
        <v>26.6</v>
      </c>
      <c r="O1038" s="41" t="n">
        <f aca="false">K1038-N1038</f>
        <v>20.42</v>
      </c>
      <c r="P1038" s="43" t="n">
        <f aca="false">IF(K1038=0,0,O1038/K1038)</f>
        <v>0.43428328370906</v>
      </c>
    </row>
    <row r="1039" customFormat="false" ht="15" hidden="false" customHeight="false" outlineLevel="0" collapsed="false">
      <c r="A1039" s="39" t="s">
        <v>1161</v>
      </c>
      <c r="B1039" s="40" t="n">
        <v>45804</v>
      </c>
      <c r="C1039" s="39" t="s">
        <v>114</v>
      </c>
      <c r="D1039" s="39" t="n">
        <v>5</v>
      </c>
      <c r="E1039" s="41" t="n">
        <v>5.76</v>
      </c>
      <c r="F1039" s="39" t="s">
        <v>118</v>
      </c>
      <c r="G1039" s="39" t="str">
        <f aca="false">VLOOKUP(C1039,Products!$A$5:$D$24,2,FALSE())</f>
        <v>Gel Pen Pack</v>
      </c>
      <c r="H1039" s="39" t="str">
        <f aca="false">VLOOKUP(C1039,Products!$A$5:$D$24,3,FALSE())</f>
        <v>Stationery</v>
      </c>
      <c r="I1039" s="41" t="n">
        <f aca="false">VLOOKUP(C1039,Products!$A$5:$D$24,4,FALSE())</f>
        <v>2</v>
      </c>
      <c r="J1039" s="42" t="n">
        <f aca="false">DATE(YEAR(B1039),MONTH(B1039),1)</f>
        <v>45778</v>
      </c>
      <c r="K1039" s="41" t="n">
        <f aca="false">D1039*E1039</f>
        <v>28.8</v>
      </c>
      <c r="L1039" s="41" t="n">
        <f aca="false">D1039*I1039</f>
        <v>10</v>
      </c>
      <c r="M1039" s="41" t="n">
        <f aca="false">IFERROR(INDEX(Raw_Expenses!$C$5:$C$2979,MATCH(A1039,Raw_Expenses!$A$5:$A$2979,0)),0)</f>
        <v>1.6</v>
      </c>
      <c r="N1039" s="41" t="n">
        <f aca="false">L1039+M1039</f>
        <v>11.6</v>
      </c>
      <c r="O1039" s="41" t="n">
        <f aca="false">K1039-N1039</f>
        <v>17.2</v>
      </c>
      <c r="P1039" s="43" t="n">
        <f aca="false">IF(K1039=0,0,O1039/K1039)</f>
        <v>0.597222222222222</v>
      </c>
    </row>
    <row r="1040" customFormat="false" ht="15" hidden="false" customHeight="false" outlineLevel="0" collapsed="false">
      <c r="A1040" s="39" t="s">
        <v>1162</v>
      </c>
      <c r="B1040" s="40" t="n">
        <v>45805</v>
      </c>
      <c r="C1040" s="39" t="s">
        <v>128</v>
      </c>
      <c r="D1040" s="39" t="n">
        <v>3</v>
      </c>
      <c r="E1040" s="41" t="n">
        <v>36.31</v>
      </c>
      <c r="F1040" s="39" t="s">
        <v>105</v>
      </c>
      <c r="G1040" s="39" t="str">
        <f aca="false">VLOOKUP(C1040,Products!$A$5:$D$24,2,FALSE())</f>
        <v>Ergonomic Footrest</v>
      </c>
      <c r="H1040" s="39" t="str">
        <f aca="false">VLOOKUP(C1040,Products!$A$5:$D$24,3,FALSE())</f>
        <v>Furniture</v>
      </c>
      <c r="I1040" s="41" t="n">
        <f aca="false">VLOOKUP(C1040,Products!$A$5:$D$24,4,FALSE())</f>
        <v>15</v>
      </c>
      <c r="J1040" s="42" t="n">
        <f aca="false">DATE(YEAR(B1040),MONTH(B1040),1)</f>
        <v>45778</v>
      </c>
      <c r="K1040" s="41" t="n">
        <f aca="false">D1040*E1040</f>
        <v>108.93</v>
      </c>
      <c r="L1040" s="41" t="n">
        <f aca="false">D1040*I1040</f>
        <v>45</v>
      </c>
      <c r="M1040" s="41" t="n">
        <f aca="false">IFERROR(INDEX(Raw_Expenses!$C$5:$C$2979,MATCH(A1040,Raw_Expenses!$A$5:$A$2979,0)),0)</f>
        <v>4.79</v>
      </c>
      <c r="N1040" s="41" t="n">
        <f aca="false">L1040+M1040</f>
        <v>49.79</v>
      </c>
      <c r="O1040" s="41" t="n">
        <f aca="false">K1040-N1040</f>
        <v>59.14</v>
      </c>
      <c r="P1040" s="43" t="n">
        <f aca="false">IF(K1040=0,0,O1040/K1040)</f>
        <v>0.542917469934821</v>
      </c>
    </row>
    <row r="1041" customFormat="false" ht="15" hidden="false" customHeight="false" outlineLevel="0" collapsed="false">
      <c r="A1041" s="39" t="s">
        <v>1163</v>
      </c>
      <c r="B1041" s="40" t="n">
        <v>45805</v>
      </c>
      <c r="C1041" s="39" t="s">
        <v>169</v>
      </c>
      <c r="D1041" s="39" t="n">
        <v>4</v>
      </c>
      <c r="E1041" s="41" t="n">
        <v>28.03</v>
      </c>
      <c r="F1041" s="39" t="s">
        <v>118</v>
      </c>
      <c r="G1041" s="39" t="str">
        <f aca="false">VLOOKUP(C1041,Products!$A$5:$D$24,2,FALSE())</f>
        <v>Laptop Stand</v>
      </c>
      <c r="H1041" s="39" t="str">
        <f aca="false">VLOOKUP(C1041,Products!$A$5:$D$24,3,FALSE())</f>
        <v>Accessories</v>
      </c>
      <c r="I1041" s="41" t="n">
        <f aca="false">VLOOKUP(C1041,Products!$A$5:$D$24,4,FALSE())</f>
        <v>11</v>
      </c>
      <c r="J1041" s="42" t="n">
        <f aca="false">DATE(YEAR(B1041),MONTH(B1041),1)</f>
        <v>45778</v>
      </c>
      <c r="K1041" s="41" t="n">
        <f aca="false">D1041*E1041</f>
        <v>112.12</v>
      </c>
      <c r="L1041" s="41" t="n">
        <f aca="false">D1041*I1041</f>
        <v>44</v>
      </c>
      <c r="M1041" s="41" t="n">
        <f aca="false">IFERROR(INDEX(Raw_Expenses!$C$5:$C$2979,MATCH(A1041,Raw_Expenses!$A$5:$A$2979,0)),0)</f>
        <v>5.72</v>
      </c>
      <c r="N1041" s="41" t="n">
        <f aca="false">L1041+M1041</f>
        <v>49.72</v>
      </c>
      <c r="O1041" s="41" t="n">
        <f aca="false">K1041-N1041</f>
        <v>62.4</v>
      </c>
      <c r="P1041" s="43" t="n">
        <f aca="false">IF(K1041=0,0,O1041/K1041)</f>
        <v>0.556546557260079</v>
      </c>
    </row>
    <row r="1042" customFormat="false" ht="15" hidden="false" customHeight="false" outlineLevel="0" collapsed="false">
      <c r="A1042" s="39" t="s">
        <v>1164</v>
      </c>
      <c r="B1042" s="40" t="n">
        <v>45805</v>
      </c>
      <c r="C1042" s="39" t="s">
        <v>114</v>
      </c>
      <c r="D1042" s="39" t="n">
        <v>6</v>
      </c>
      <c r="E1042" s="41" t="n">
        <v>5.88</v>
      </c>
      <c r="F1042" s="39" t="s">
        <v>108</v>
      </c>
      <c r="G1042" s="39" t="str">
        <f aca="false">VLOOKUP(C1042,Products!$A$5:$D$24,2,FALSE())</f>
        <v>Gel Pen Pack</v>
      </c>
      <c r="H1042" s="39" t="str">
        <f aca="false">VLOOKUP(C1042,Products!$A$5:$D$24,3,FALSE())</f>
        <v>Stationery</v>
      </c>
      <c r="I1042" s="41" t="n">
        <f aca="false">VLOOKUP(C1042,Products!$A$5:$D$24,4,FALSE())</f>
        <v>2</v>
      </c>
      <c r="J1042" s="42" t="n">
        <f aca="false">DATE(YEAR(B1042),MONTH(B1042),1)</f>
        <v>45778</v>
      </c>
      <c r="K1042" s="41" t="n">
        <f aca="false">D1042*E1042</f>
        <v>35.28</v>
      </c>
      <c r="L1042" s="41" t="n">
        <f aca="false">D1042*I1042</f>
        <v>12</v>
      </c>
      <c r="M1042" s="41" t="n">
        <f aca="false">IFERROR(INDEX(Raw_Expenses!$C$5:$C$2979,MATCH(A1042,Raw_Expenses!$A$5:$A$2979,0)),0)</f>
        <v>1.95</v>
      </c>
      <c r="N1042" s="41" t="n">
        <f aca="false">L1042+M1042</f>
        <v>13.95</v>
      </c>
      <c r="O1042" s="41" t="n">
        <f aca="false">K1042-N1042</f>
        <v>21.33</v>
      </c>
      <c r="P1042" s="43" t="n">
        <f aca="false">IF(K1042=0,0,O1042/K1042)</f>
        <v>0.604591836734694</v>
      </c>
    </row>
    <row r="1043" customFormat="false" ht="15" hidden="false" customHeight="false" outlineLevel="0" collapsed="false">
      <c r="A1043" s="39" t="s">
        <v>1165</v>
      </c>
      <c r="B1043" s="40" t="n">
        <v>45805</v>
      </c>
      <c r="C1043" s="39" t="s">
        <v>139</v>
      </c>
      <c r="D1043" s="39" t="n">
        <v>1</v>
      </c>
      <c r="E1043" s="41" t="n">
        <v>122.48</v>
      </c>
      <c r="F1043" s="39" t="s">
        <v>118</v>
      </c>
      <c r="G1043" s="39" t="str">
        <f aca="false">VLOOKUP(C1043,Products!$A$5:$D$24,2,FALSE())</f>
        <v>Noise-Cancelling Headphones</v>
      </c>
      <c r="H1043" s="39" t="str">
        <f aca="false">VLOOKUP(C1043,Products!$A$5:$D$24,3,FALSE())</f>
        <v>Electronics</v>
      </c>
      <c r="I1043" s="41" t="n">
        <f aca="false">VLOOKUP(C1043,Products!$A$5:$D$24,4,FALSE())</f>
        <v>55</v>
      </c>
      <c r="J1043" s="42" t="n">
        <f aca="false">DATE(YEAR(B1043),MONTH(B1043),1)</f>
        <v>45778</v>
      </c>
      <c r="K1043" s="41" t="n">
        <f aca="false">D1043*E1043</f>
        <v>122.48</v>
      </c>
      <c r="L1043" s="41" t="n">
        <f aca="false">D1043*I1043</f>
        <v>55</v>
      </c>
      <c r="M1043" s="41" t="n">
        <f aca="false">IFERROR(INDEX(Raw_Expenses!$C$5:$C$2979,MATCH(A1043,Raw_Expenses!$A$5:$A$2979,0)),0)</f>
        <v>10.91</v>
      </c>
      <c r="N1043" s="41" t="n">
        <f aca="false">L1043+M1043</f>
        <v>65.91</v>
      </c>
      <c r="O1043" s="41" t="n">
        <f aca="false">K1043-N1043</f>
        <v>56.57</v>
      </c>
      <c r="P1043" s="43" t="n">
        <f aca="false">IF(K1043=0,0,O1043/K1043)</f>
        <v>0.461871325930764</v>
      </c>
    </row>
    <row r="1044" customFormat="false" ht="15" hidden="false" customHeight="false" outlineLevel="0" collapsed="false">
      <c r="A1044" s="39" t="s">
        <v>1166</v>
      </c>
      <c r="B1044" s="40" t="n">
        <v>45805</v>
      </c>
      <c r="C1044" s="39" t="s">
        <v>104</v>
      </c>
      <c r="D1044" s="39" t="n">
        <v>1</v>
      </c>
      <c r="E1044" s="41" t="n">
        <v>15.16</v>
      </c>
      <c r="F1044" s="39" t="s">
        <v>118</v>
      </c>
      <c r="G1044" s="39" t="str">
        <f aca="false">VLOOKUP(C1044,Products!$A$5:$D$24,2,FALSE())</f>
        <v>Water Bottle</v>
      </c>
      <c r="H1044" s="39" t="str">
        <f aca="false">VLOOKUP(C1044,Products!$A$5:$D$24,3,FALSE())</f>
        <v>Accessories</v>
      </c>
      <c r="I1044" s="41" t="n">
        <f aca="false">VLOOKUP(C1044,Products!$A$5:$D$24,4,FALSE())</f>
        <v>5</v>
      </c>
      <c r="J1044" s="42" t="n">
        <f aca="false">DATE(YEAR(B1044),MONTH(B1044),1)</f>
        <v>45778</v>
      </c>
      <c r="K1044" s="41" t="n">
        <f aca="false">D1044*E1044</f>
        <v>15.16</v>
      </c>
      <c r="L1044" s="41" t="n">
        <f aca="false">D1044*I1044</f>
        <v>5</v>
      </c>
      <c r="M1044" s="41" t="n">
        <f aca="false">IFERROR(INDEX(Raw_Expenses!$C$5:$C$2979,MATCH(A1044,Raw_Expenses!$A$5:$A$2979,0)),0)</f>
        <v>0.76</v>
      </c>
      <c r="N1044" s="41" t="n">
        <f aca="false">L1044+M1044</f>
        <v>5.76</v>
      </c>
      <c r="O1044" s="41" t="n">
        <f aca="false">K1044-N1044</f>
        <v>9.4</v>
      </c>
      <c r="P1044" s="43" t="n">
        <f aca="false">IF(K1044=0,0,O1044/K1044)</f>
        <v>0.620052770448549</v>
      </c>
    </row>
    <row r="1045" customFormat="false" ht="15" hidden="false" customHeight="false" outlineLevel="0" collapsed="false">
      <c r="A1045" s="39" t="s">
        <v>1167</v>
      </c>
      <c r="B1045" s="40" t="n">
        <v>45805</v>
      </c>
      <c r="C1045" s="39" t="s">
        <v>130</v>
      </c>
      <c r="D1045" s="39" t="n">
        <v>3</v>
      </c>
      <c r="E1045" s="41" t="n">
        <v>8.85</v>
      </c>
      <c r="F1045" s="39" t="s">
        <v>118</v>
      </c>
      <c r="G1045" s="39" t="str">
        <f aca="false">VLOOKUP(C1045,Products!$A$5:$D$24,2,FALSE())</f>
        <v>Notebook Set</v>
      </c>
      <c r="H1045" s="39" t="str">
        <f aca="false">VLOOKUP(C1045,Products!$A$5:$D$24,3,FALSE())</f>
        <v>Stationery</v>
      </c>
      <c r="I1045" s="41" t="n">
        <f aca="false">VLOOKUP(C1045,Products!$A$5:$D$24,4,FALSE())</f>
        <v>3</v>
      </c>
      <c r="J1045" s="42" t="n">
        <f aca="false">DATE(YEAR(B1045),MONTH(B1045),1)</f>
        <v>45778</v>
      </c>
      <c r="K1045" s="41" t="n">
        <f aca="false">D1045*E1045</f>
        <v>26.55</v>
      </c>
      <c r="L1045" s="41" t="n">
        <f aca="false">D1045*I1045</f>
        <v>9</v>
      </c>
      <c r="M1045" s="41" t="n">
        <f aca="false">IFERROR(INDEX(Raw_Expenses!$C$5:$C$2979,MATCH(A1045,Raw_Expenses!$A$5:$A$2979,0)),0)</f>
        <v>1.32</v>
      </c>
      <c r="N1045" s="41" t="n">
        <f aca="false">L1045+M1045</f>
        <v>10.32</v>
      </c>
      <c r="O1045" s="41" t="n">
        <f aca="false">K1045-N1045</f>
        <v>16.23</v>
      </c>
      <c r="P1045" s="43" t="n">
        <f aca="false">IF(K1045=0,0,O1045/K1045)</f>
        <v>0.611299435028249</v>
      </c>
    </row>
    <row r="1046" customFormat="false" ht="15" hidden="false" customHeight="false" outlineLevel="0" collapsed="false">
      <c r="A1046" s="39" t="s">
        <v>1168</v>
      </c>
      <c r="B1046" s="40" t="n">
        <v>45809</v>
      </c>
      <c r="C1046" s="39" t="s">
        <v>110</v>
      </c>
      <c r="D1046" s="39" t="n">
        <v>1</v>
      </c>
      <c r="E1046" s="41" t="n">
        <v>13.66</v>
      </c>
      <c r="F1046" s="39" t="s">
        <v>108</v>
      </c>
      <c r="G1046" s="39" t="str">
        <f aca="false">VLOOKUP(C1046,Products!$A$5:$D$24,2,FALSE())</f>
        <v>Phone Stand</v>
      </c>
      <c r="H1046" s="39" t="str">
        <f aca="false">VLOOKUP(C1046,Products!$A$5:$D$24,3,FALSE())</f>
        <v>Accessories</v>
      </c>
      <c r="I1046" s="41" t="n">
        <f aca="false">VLOOKUP(C1046,Products!$A$5:$D$24,4,FALSE())</f>
        <v>4</v>
      </c>
      <c r="J1046" s="42" t="n">
        <f aca="false">DATE(YEAR(B1046),MONTH(B1046),1)</f>
        <v>45809</v>
      </c>
      <c r="K1046" s="41" t="n">
        <f aca="false">D1046*E1046</f>
        <v>13.66</v>
      </c>
      <c r="L1046" s="41" t="n">
        <f aca="false">D1046*I1046</f>
        <v>4</v>
      </c>
      <c r="M1046" s="41" t="n">
        <f aca="false">IFERROR(INDEX(Raw_Expenses!$C$5:$C$2979,MATCH(A1046,Raw_Expenses!$A$5:$A$2979,0)),0)</f>
        <v>1.12</v>
      </c>
      <c r="N1046" s="41" t="n">
        <f aca="false">L1046+M1046</f>
        <v>5.12</v>
      </c>
      <c r="O1046" s="41" t="n">
        <f aca="false">K1046-N1046</f>
        <v>8.54</v>
      </c>
      <c r="P1046" s="43" t="n">
        <f aca="false">IF(K1046=0,0,O1046/K1046)</f>
        <v>0.625183016105417</v>
      </c>
    </row>
    <row r="1047" customFormat="false" ht="15" hidden="false" customHeight="false" outlineLevel="0" collapsed="false">
      <c r="A1047" s="39" t="s">
        <v>1169</v>
      </c>
      <c r="B1047" s="40" t="n">
        <v>45809</v>
      </c>
      <c r="C1047" s="39" t="s">
        <v>112</v>
      </c>
      <c r="D1047" s="39" t="n">
        <v>1</v>
      </c>
      <c r="E1047" s="41" t="n">
        <v>54.28</v>
      </c>
      <c r="F1047" s="39" t="s">
        <v>118</v>
      </c>
      <c r="G1047" s="39" t="str">
        <f aca="false">VLOOKUP(C1047,Products!$A$5:$D$24,2,FALSE())</f>
        <v>HD Webcam</v>
      </c>
      <c r="H1047" s="39" t="str">
        <f aca="false">VLOOKUP(C1047,Products!$A$5:$D$24,3,FALSE())</f>
        <v>Electronics</v>
      </c>
      <c r="I1047" s="41" t="n">
        <f aca="false">VLOOKUP(C1047,Products!$A$5:$D$24,4,FALSE())</f>
        <v>22</v>
      </c>
      <c r="J1047" s="42" t="n">
        <f aca="false">DATE(YEAR(B1047),MONTH(B1047),1)</f>
        <v>45809</v>
      </c>
      <c r="K1047" s="41" t="n">
        <f aca="false">D1047*E1047</f>
        <v>54.28</v>
      </c>
      <c r="L1047" s="41" t="n">
        <f aca="false">D1047*I1047</f>
        <v>22</v>
      </c>
      <c r="M1047" s="41" t="n">
        <f aca="false">IFERROR(INDEX(Raw_Expenses!$C$5:$C$2979,MATCH(A1047,Raw_Expenses!$A$5:$A$2979,0)),0)</f>
        <v>4.08</v>
      </c>
      <c r="N1047" s="41" t="n">
        <f aca="false">L1047+M1047</f>
        <v>26.08</v>
      </c>
      <c r="O1047" s="41" t="n">
        <f aca="false">K1047-N1047</f>
        <v>28.2</v>
      </c>
      <c r="P1047" s="43" t="n">
        <f aca="false">IF(K1047=0,0,O1047/K1047)</f>
        <v>0.519528371407517</v>
      </c>
    </row>
    <row r="1048" customFormat="false" ht="15" hidden="false" customHeight="false" outlineLevel="0" collapsed="false">
      <c r="A1048" s="39" t="s">
        <v>1170</v>
      </c>
      <c r="B1048" s="40" t="n">
        <v>45809</v>
      </c>
      <c r="C1048" s="39" t="s">
        <v>121</v>
      </c>
      <c r="D1048" s="39" t="n">
        <v>1</v>
      </c>
      <c r="E1048" s="41" t="n">
        <v>110.61</v>
      </c>
      <c r="F1048" s="39" t="s">
        <v>108</v>
      </c>
      <c r="G1048" s="39" t="str">
        <f aca="false">VLOOKUP(C1048,Products!$A$5:$D$24,2,FALSE())</f>
        <v>External SSD 1TB</v>
      </c>
      <c r="H1048" s="39" t="str">
        <f aca="false">VLOOKUP(C1048,Products!$A$5:$D$24,3,FALSE())</f>
        <v>Electronics</v>
      </c>
      <c r="I1048" s="41" t="n">
        <f aca="false">VLOOKUP(C1048,Products!$A$5:$D$24,4,FALSE())</f>
        <v>62</v>
      </c>
      <c r="J1048" s="42" t="n">
        <f aca="false">DATE(YEAR(B1048),MONTH(B1048),1)</f>
        <v>45809</v>
      </c>
      <c r="K1048" s="41" t="n">
        <f aca="false">D1048*E1048</f>
        <v>110.61</v>
      </c>
      <c r="L1048" s="41" t="n">
        <f aca="false">D1048*I1048</f>
        <v>62</v>
      </c>
      <c r="M1048" s="41" t="n">
        <f aca="false">IFERROR(INDEX(Raw_Expenses!$C$5:$C$2979,MATCH(A1048,Raw_Expenses!$A$5:$A$2979,0)),0)</f>
        <v>9.02</v>
      </c>
      <c r="N1048" s="41" t="n">
        <f aca="false">L1048+M1048</f>
        <v>71.02</v>
      </c>
      <c r="O1048" s="41" t="n">
        <f aca="false">K1048-N1048</f>
        <v>39.59</v>
      </c>
      <c r="P1048" s="43" t="n">
        <f aca="false">IF(K1048=0,0,O1048/K1048)</f>
        <v>0.3579242383148</v>
      </c>
    </row>
    <row r="1049" customFormat="false" ht="15" hidden="false" customHeight="false" outlineLevel="0" collapsed="false">
      <c r="A1049" s="39" t="s">
        <v>1171</v>
      </c>
      <c r="B1049" s="40" t="n">
        <v>45809</v>
      </c>
      <c r="C1049" s="39" t="s">
        <v>130</v>
      </c>
      <c r="D1049" s="39" t="n">
        <v>3</v>
      </c>
      <c r="E1049" s="41" t="n">
        <v>8.82</v>
      </c>
      <c r="F1049" s="39" t="s">
        <v>118</v>
      </c>
      <c r="G1049" s="39" t="str">
        <f aca="false">VLOOKUP(C1049,Products!$A$5:$D$24,2,FALSE())</f>
        <v>Notebook Set</v>
      </c>
      <c r="H1049" s="39" t="str">
        <f aca="false">VLOOKUP(C1049,Products!$A$5:$D$24,3,FALSE())</f>
        <v>Stationery</v>
      </c>
      <c r="I1049" s="41" t="n">
        <f aca="false">VLOOKUP(C1049,Products!$A$5:$D$24,4,FALSE())</f>
        <v>3</v>
      </c>
      <c r="J1049" s="42" t="n">
        <f aca="false">DATE(YEAR(B1049),MONTH(B1049),1)</f>
        <v>45809</v>
      </c>
      <c r="K1049" s="41" t="n">
        <f aca="false">D1049*E1049</f>
        <v>26.46</v>
      </c>
      <c r="L1049" s="41" t="n">
        <f aca="false">D1049*I1049</f>
        <v>9</v>
      </c>
      <c r="M1049" s="41" t="n">
        <f aca="false">IFERROR(INDEX(Raw_Expenses!$C$5:$C$2979,MATCH(A1049,Raw_Expenses!$A$5:$A$2979,0)),0)</f>
        <v>1.29</v>
      </c>
      <c r="N1049" s="41" t="n">
        <f aca="false">L1049+M1049</f>
        <v>10.29</v>
      </c>
      <c r="O1049" s="41" t="n">
        <f aca="false">K1049-N1049</f>
        <v>16.17</v>
      </c>
      <c r="P1049" s="43" t="n">
        <f aca="false">IF(K1049=0,0,O1049/K1049)</f>
        <v>0.611111111111111</v>
      </c>
    </row>
    <row r="1050" customFormat="false" ht="15" hidden="false" customHeight="false" outlineLevel="0" collapsed="false">
      <c r="A1050" s="39" t="s">
        <v>1172</v>
      </c>
      <c r="B1050" s="40" t="n">
        <v>45809</v>
      </c>
      <c r="C1050" s="39" t="s">
        <v>136</v>
      </c>
      <c r="D1050" s="39" t="n">
        <v>1</v>
      </c>
      <c r="E1050" s="41" t="n">
        <v>76.7</v>
      </c>
      <c r="F1050" s="39" t="s">
        <v>105</v>
      </c>
      <c r="G1050" s="39" t="str">
        <f aca="false">VLOOKUP(C1050,Products!$A$5:$D$24,2,FALSE())</f>
        <v>Mechanical Keyboard</v>
      </c>
      <c r="H1050" s="39" t="str">
        <f aca="false">VLOOKUP(C1050,Products!$A$5:$D$24,3,FALSE())</f>
        <v>Electronics</v>
      </c>
      <c r="I1050" s="41" t="n">
        <f aca="false">VLOOKUP(C1050,Products!$A$5:$D$24,4,FALSE())</f>
        <v>38</v>
      </c>
      <c r="J1050" s="42" t="n">
        <f aca="false">DATE(YEAR(B1050),MONTH(B1050),1)</f>
        <v>45809</v>
      </c>
      <c r="K1050" s="41" t="n">
        <f aca="false">D1050*E1050</f>
        <v>76.7</v>
      </c>
      <c r="L1050" s="41" t="n">
        <f aca="false">D1050*I1050</f>
        <v>38</v>
      </c>
      <c r="M1050" s="41" t="n">
        <f aca="false">IFERROR(INDEX(Raw_Expenses!$C$5:$C$2979,MATCH(A1050,Raw_Expenses!$A$5:$A$2979,0)),0)</f>
        <v>6.32</v>
      </c>
      <c r="N1050" s="41" t="n">
        <f aca="false">L1050+M1050</f>
        <v>44.32</v>
      </c>
      <c r="O1050" s="41" t="n">
        <f aca="false">K1050-N1050</f>
        <v>32.38</v>
      </c>
      <c r="P1050" s="43" t="n">
        <f aca="false">IF(K1050=0,0,O1050/K1050)</f>
        <v>0.422164276401565</v>
      </c>
    </row>
    <row r="1051" customFormat="false" ht="15" hidden="false" customHeight="false" outlineLevel="0" collapsed="false">
      <c r="A1051" s="39" t="s">
        <v>1173</v>
      </c>
      <c r="B1051" s="40" t="n">
        <v>45810</v>
      </c>
      <c r="C1051" s="39" t="s">
        <v>169</v>
      </c>
      <c r="D1051" s="39" t="n">
        <v>8</v>
      </c>
      <c r="E1051" s="41" t="n">
        <v>27.4</v>
      </c>
      <c r="F1051" s="39" t="s">
        <v>115</v>
      </c>
      <c r="G1051" s="39" t="str">
        <f aca="false">VLOOKUP(C1051,Products!$A$5:$D$24,2,FALSE())</f>
        <v>Laptop Stand</v>
      </c>
      <c r="H1051" s="39" t="str">
        <f aca="false">VLOOKUP(C1051,Products!$A$5:$D$24,3,FALSE())</f>
        <v>Accessories</v>
      </c>
      <c r="I1051" s="41" t="n">
        <f aca="false">VLOOKUP(C1051,Products!$A$5:$D$24,4,FALSE())</f>
        <v>11</v>
      </c>
      <c r="J1051" s="42" t="n">
        <f aca="false">DATE(YEAR(B1051),MONTH(B1051),1)</f>
        <v>45809</v>
      </c>
      <c r="K1051" s="41" t="n">
        <f aca="false">D1051*E1051</f>
        <v>219.2</v>
      </c>
      <c r="L1051" s="41" t="n">
        <f aca="false">D1051*I1051</f>
        <v>88</v>
      </c>
      <c r="M1051" s="41" t="n">
        <f aca="false">IFERROR(INDEX(Raw_Expenses!$C$5:$C$2979,MATCH(A1051,Raw_Expenses!$A$5:$A$2979,0)),0)</f>
        <v>12.28</v>
      </c>
      <c r="N1051" s="41" t="n">
        <f aca="false">L1051+M1051</f>
        <v>100.28</v>
      </c>
      <c r="O1051" s="41" t="n">
        <f aca="false">K1051-N1051</f>
        <v>118.92</v>
      </c>
      <c r="P1051" s="43" t="n">
        <f aca="false">IF(K1051=0,0,O1051/K1051)</f>
        <v>0.542518248175183</v>
      </c>
    </row>
    <row r="1052" customFormat="false" ht="15" hidden="false" customHeight="false" outlineLevel="0" collapsed="false">
      <c r="A1052" s="39" t="s">
        <v>1174</v>
      </c>
      <c r="B1052" s="40" t="n">
        <v>45810</v>
      </c>
      <c r="C1052" s="39" t="s">
        <v>110</v>
      </c>
      <c r="D1052" s="39" t="n">
        <v>4</v>
      </c>
      <c r="E1052" s="41" t="n">
        <v>13.3</v>
      </c>
      <c r="F1052" s="39" t="s">
        <v>108</v>
      </c>
      <c r="G1052" s="39" t="str">
        <f aca="false">VLOOKUP(C1052,Products!$A$5:$D$24,2,FALSE())</f>
        <v>Phone Stand</v>
      </c>
      <c r="H1052" s="39" t="str">
        <f aca="false">VLOOKUP(C1052,Products!$A$5:$D$24,3,FALSE())</f>
        <v>Accessories</v>
      </c>
      <c r="I1052" s="41" t="n">
        <f aca="false">VLOOKUP(C1052,Products!$A$5:$D$24,4,FALSE())</f>
        <v>4</v>
      </c>
      <c r="J1052" s="42" t="n">
        <f aca="false">DATE(YEAR(B1052),MONTH(B1052),1)</f>
        <v>45809</v>
      </c>
      <c r="K1052" s="41" t="n">
        <f aca="false">D1052*E1052</f>
        <v>53.2</v>
      </c>
      <c r="L1052" s="41" t="n">
        <f aca="false">D1052*I1052</f>
        <v>16</v>
      </c>
      <c r="M1052" s="41" t="n">
        <f aca="false">IFERROR(INDEX(Raw_Expenses!$C$5:$C$2979,MATCH(A1052,Raw_Expenses!$A$5:$A$2979,0)),0)</f>
        <v>4.03</v>
      </c>
      <c r="N1052" s="41" t="n">
        <f aca="false">L1052+M1052</f>
        <v>20.03</v>
      </c>
      <c r="O1052" s="41" t="n">
        <f aca="false">K1052-N1052</f>
        <v>33.17</v>
      </c>
      <c r="P1052" s="43" t="n">
        <f aca="false">IF(K1052=0,0,O1052/K1052)</f>
        <v>0.623496240601504</v>
      </c>
    </row>
    <row r="1053" customFormat="false" ht="15" hidden="false" customHeight="false" outlineLevel="0" collapsed="false">
      <c r="A1053" s="39" t="s">
        <v>1175</v>
      </c>
      <c r="B1053" s="40" t="n">
        <v>45810</v>
      </c>
      <c r="C1053" s="39" t="s">
        <v>133</v>
      </c>
      <c r="D1053" s="39" t="n">
        <v>1</v>
      </c>
      <c r="E1053" s="41" t="n">
        <v>8.94</v>
      </c>
      <c r="F1053" s="39" t="s">
        <v>105</v>
      </c>
      <c r="G1053" s="39" t="str">
        <f aca="false">VLOOKUP(C1053,Products!$A$5:$D$24,2,FALSE())</f>
        <v>Printer Paper Ream</v>
      </c>
      <c r="H1053" s="39" t="str">
        <f aca="false">VLOOKUP(C1053,Products!$A$5:$D$24,3,FALSE())</f>
        <v>Stationery</v>
      </c>
      <c r="I1053" s="41" t="n">
        <f aca="false">VLOOKUP(C1053,Products!$A$5:$D$24,4,FALSE())</f>
        <v>4</v>
      </c>
      <c r="J1053" s="42" t="n">
        <f aca="false">DATE(YEAR(B1053),MONTH(B1053),1)</f>
        <v>45809</v>
      </c>
      <c r="K1053" s="41" t="n">
        <f aca="false">D1053*E1053</f>
        <v>8.94</v>
      </c>
      <c r="L1053" s="41" t="n">
        <f aca="false">D1053*I1053</f>
        <v>4</v>
      </c>
      <c r="M1053" s="41" t="n">
        <f aca="false">IFERROR(INDEX(Raw_Expenses!$C$5:$C$2979,MATCH(A1053,Raw_Expenses!$A$5:$A$2979,0)),0)</f>
        <v>0.54</v>
      </c>
      <c r="N1053" s="41" t="n">
        <f aca="false">L1053+M1053</f>
        <v>4.54</v>
      </c>
      <c r="O1053" s="41" t="n">
        <f aca="false">K1053-N1053</f>
        <v>4.4</v>
      </c>
      <c r="P1053" s="43" t="n">
        <f aca="false">IF(K1053=0,0,O1053/K1053)</f>
        <v>0.492170022371365</v>
      </c>
    </row>
    <row r="1054" customFormat="false" ht="15" hidden="false" customHeight="false" outlineLevel="0" collapsed="false">
      <c r="A1054" s="39" t="s">
        <v>1176</v>
      </c>
      <c r="B1054" s="40" t="n">
        <v>45810</v>
      </c>
      <c r="C1054" s="39" t="s">
        <v>177</v>
      </c>
      <c r="D1054" s="39" t="n">
        <v>3</v>
      </c>
      <c r="E1054" s="41" t="n">
        <v>41.83</v>
      </c>
      <c r="F1054" s="39" t="s">
        <v>118</v>
      </c>
      <c r="G1054" s="39" t="str">
        <f aca="false">VLOOKUP(C1054,Products!$A$5:$D$24,2,FALSE())</f>
        <v>Backpack</v>
      </c>
      <c r="H1054" s="39" t="str">
        <f aca="false">VLOOKUP(C1054,Products!$A$5:$D$24,3,FALSE())</f>
        <v>Accessories</v>
      </c>
      <c r="I1054" s="41" t="n">
        <f aca="false">VLOOKUP(C1054,Products!$A$5:$D$24,4,FALSE())</f>
        <v>17</v>
      </c>
      <c r="J1054" s="42" t="n">
        <f aca="false">DATE(YEAR(B1054),MONTH(B1054),1)</f>
        <v>45809</v>
      </c>
      <c r="K1054" s="41" t="n">
        <f aca="false">D1054*E1054</f>
        <v>125.49</v>
      </c>
      <c r="L1054" s="41" t="n">
        <f aca="false">D1054*I1054</f>
        <v>51</v>
      </c>
      <c r="M1054" s="41" t="n">
        <f aca="false">IFERROR(INDEX(Raw_Expenses!$C$5:$C$2979,MATCH(A1054,Raw_Expenses!$A$5:$A$2979,0)),0)</f>
        <v>5.86</v>
      </c>
      <c r="N1054" s="41" t="n">
        <f aca="false">L1054+M1054</f>
        <v>56.86</v>
      </c>
      <c r="O1054" s="41" t="n">
        <f aca="false">K1054-N1054</f>
        <v>68.63</v>
      </c>
      <c r="P1054" s="43" t="n">
        <f aca="false">IF(K1054=0,0,O1054/K1054)</f>
        <v>0.546896167025261</v>
      </c>
    </row>
    <row r="1055" customFormat="false" ht="15" hidden="false" customHeight="false" outlineLevel="0" collapsed="false">
      <c r="A1055" s="39" t="s">
        <v>1177</v>
      </c>
      <c r="B1055" s="40" t="n">
        <v>45810</v>
      </c>
      <c r="C1055" s="39" t="s">
        <v>110</v>
      </c>
      <c r="D1055" s="39" t="n">
        <v>2</v>
      </c>
      <c r="E1055" s="41" t="n">
        <v>13.08</v>
      </c>
      <c r="F1055" s="39" t="s">
        <v>105</v>
      </c>
      <c r="G1055" s="39" t="str">
        <f aca="false">VLOOKUP(C1055,Products!$A$5:$D$24,2,FALSE())</f>
        <v>Phone Stand</v>
      </c>
      <c r="H1055" s="39" t="str">
        <f aca="false">VLOOKUP(C1055,Products!$A$5:$D$24,3,FALSE())</f>
        <v>Accessories</v>
      </c>
      <c r="I1055" s="41" t="n">
        <f aca="false">VLOOKUP(C1055,Products!$A$5:$D$24,4,FALSE())</f>
        <v>4</v>
      </c>
      <c r="J1055" s="42" t="n">
        <f aca="false">DATE(YEAR(B1055),MONTH(B1055),1)</f>
        <v>45809</v>
      </c>
      <c r="K1055" s="41" t="n">
        <f aca="false">D1055*E1055</f>
        <v>26.16</v>
      </c>
      <c r="L1055" s="41" t="n">
        <f aca="false">D1055*I1055</f>
        <v>8</v>
      </c>
      <c r="M1055" s="41" t="n">
        <f aca="false">IFERROR(INDEX(Raw_Expenses!$C$5:$C$2979,MATCH(A1055,Raw_Expenses!$A$5:$A$2979,0)),0)</f>
        <v>1.7</v>
      </c>
      <c r="N1055" s="41" t="n">
        <f aca="false">L1055+M1055</f>
        <v>9.7</v>
      </c>
      <c r="O1055" s="41" t="n">
        <f aca="false">K1055-N1055</f>
        <v>16.46</v>
      </c>
      <c r="P1055" s="43" t="n">
        <f aca="false">IF(K1055=0,0,O1055/K1055)</f>
        <v>0.629204892966361</v>
      </c>
    </row>
    <row r="1056" customFormat="false" ht="15" hidden="false" customHeight="false" outlineLevel="0" collapsed="false">
      <c r="A1056" s="39" t="s">
        <v>1178</v>
      </c>
      <c r="B1056" s="40" t="n">
        <v>45811</v>
      </c>
      <c r="C1056" s="39" t="s">
        <v>133</v>
      </c>
      <c r="D1056" s="39" t="n">
        <v>3</v>
      </c>
      <c r="E1056" s="41" t="n">
        <v>8.33</v>
      </c>
      <c r="F1056" s="39" t="s">
        <v>118</v>
      </c>
      <c r="G1056" s="39" t="str">
        <f aca="false">VLOOKUP(C1056,Products!$A$5:$D$24,2,FALSE())</f>
        <v>Printer Paper Ream</v>
      </c>
      <c r="H1056" s="39" t="str">
        <f aca="false">VLOOKUP(C1056,Products!$A$5:$D$24,3,FALSE())</f>
        <v>Stationery</v>
      </c>
      <c r="I1056" s="41" t="n">
        <f aca="false">VLOOKUP(C1056,Products!$A$5:$D$24,4,FALSE())</f>
        <v>4</v>
      </c>
      <c r="J1056" s="42" t="n">
        <f aca="false">DATE(YEAR(B1056),MONTH(B1056),1)</f>
        <v>45809</v>
      </c>
      <c r="K1056" s="41" t="n">
        <f aca="false">D1056*E1056</f>
        <v>24.99</v>
      </c>
      <c r="L1056" s="41" t="n">
        <f aca="false">D1056*I1056</f>
        <v>12</v>
      </c>
      <c r="M1056" s="41" t="n">
        <f aca="false">IFERROR(INDEX(Raw_Expenses!$C$5:$C$2979,MATCH(A1056,Raw_Expenses!$A$5:$A$2979,0)),0)</f>
        <v>1.13</v>
      </c>
      <c r="N1056" s="41" t="n">
        <f aca="false">L1056+M1056</f>
        <v>13.13</v>
      </c>
      <c r="O1056" s="41" t="n">
        <f aca="false">K1056-N1056</f>
        <v>11.86</v>
      </c>
      <c r="P1056" s="43" t="n">
        <f aca="false">IF(K1056=0,0,O1056/K1056)</f>
        <v>0.474589835934374</v>
      </c>
    </row>
    <row r="1057" customFormat="false" ht="15" hidden="false" customHeight="false" outlineLevel="0" collapsed="false">
      <c r="A1057" s="39" t="s">
        <v>1179</v>
      </c>
      <c r="B1057" s="40" t="n">
        <v>45811</v>
      </c>
      <c r="C1057" s="39" t="s">
        <v>128</v>
      </c>
      <c r="D1057" s="39" t="n">
        <v>3</v>
      </c>
      <c r="E1057" s="41" t="n">
        <v>38.57</v>
      </c>
      <c r="F1057" s="39" t="s">
        <v>108</v>
      </c>
      <c r="G1057" s="39" t="str">
        <f aca="false">VLOOKUP(C1057,Products!$A$5:$D$24,2,FALSE())</f>
        <v>Ergonomic Footrest</v>
      </c>
      <c r="H1057" s="39" t="str">
        <f aca="false">VLOOKUP(C1057,Products!$A$5:$D$24,3,FALSE())</f>
        <v>Furniture</v>
      </c>
      <c r="I1057" s="41" t="n">
        <f aca="false">VLOOKUP(C1057,Products!$A$5:$D$24,4,FALSE())</f>
        <v>15</v>
      </c>
      <c r="J1057" s="42" t="n">
        <f aca="false">DATE(YEAR(B1057),MONTH(B1057),1)</f>
        <v>45809</v>
      </c>
      <c r="K1057" s="41" t="n">
        <f aca="false">D1057*E1057</f>
        <v>115.71</v>
      </c>
      <c r="L1057" s="41" t="n">
        <f aca="false">D1057*I1057</f>
        <v>45</v>
      </c>
      <c r="M1057" s="41" t="n">
        <f aca="false">IFERROR(INDEX(Raw_Expenses!$C$5:$C$2979,MATCH(A1057,Raw_Expenses!$A$5:$A$2979,0)),0)</f>
        <v>9.02</v>
      </c>
      <c r="N1057" s="41" t="n">
        <f aca="false">L1057+M1057</f>
        <v>54.02</v>
      </c>
      <c r="O1057" s="41" t="n">
        <f aca="false">K1057-N1057</f>
        <v>61.69</v>
      </c>
      <c r="P1057" s="43" t="n">
        <f aca="false">IF(K1057=0,0,O1057/K1057)</f>
        <v>0.533143202834673</v>
      </c>
    </row>
    <row r="1058" customFormat="false" ht="15" hidden="false" customHeight="false" outlineLevel="0" collapsed="false">
      <c r="A1058" s="39" t="s">
        <v>1180</v>
      </c>
      <c r="B1058" s="40" t="n">
        <v>45811</v>
      </c>
      <c r="C1058" s="39" t="s">
        <v>133</v>
      </c>
      <c r="D1058" s="39" t="n">
        <v>2</v>
      </c>
      <c r="E1058" s="41" t="n">
        <v>8.59</v>
      </c>
      <c r="F1058" s="39" t="s">
        <v>118</v>
      </c>
      <c r="G1058" s="39" t="str">
        <f aca="false">VLOOKUP(C1058,Products!$A$5:$D$24,2,FALSE())</f>
        <v>Printer Paper Ream</v>
      </c>
      <c r="H1058" s="39" t="str">
        <f aca="false">VLOOKUP(C1058,Products!$A$5:$D$24,3,FALSE())</f>
        <v>Stationery</v>
      </c>
      <c r="I1058" s="41" t="n">
        <f aca="false">VLOOKUP(C1058,Products!$A$5:$D$24,4,FALSE())</f>
        <v>4</v>
      </c>
      <c r="J1058" s="42" t="n">
        <f aca="false">DATE(YEAR(B1058),MONTH(B1058),1)</f>
        <v>45809</v>
      </c>
      <c r="K1058" s="41" t="n">
        <f aca="false">D1058*E1058</f>
        <v>17.18</v>
      </c>
      <c r="L1058" s="41" t="n">
        <f aca="false">D1058*I1058</f>
        <v>8</v>
      </c>
      <c r="M1058" s="41" t="n">
        <f aca="false">IFERROR(INDEX(Raw_Expenses!$C$5:$C$2979,MATCH(A1058,Raw_Expenses!$A$5:$A$2979,0)),0)</f>
        <v>1.51</v>
      </c>
      <c r="N1058" s="41" t="n">
        <f aca="false">L1058+M1058</f>
        <v>9.51</v>
      </c>
      <c r="O1058" s="41" t="n">
        <f aca="false">K1058-N1058</f>
        <v>7.67</v>
      </c>
      <c r="P1058" s="43" t="n">
        <f aca="false">IF(K1058=0,0,O1058/K1058)</f>
        <v>0.446449359720605</v>
      </c>
    </row>
    <row r="1059" customFormat="false" ht="15" hidden="false" customHeight="false" outlineLevel="0" collapsed="false">
      <c r="A1059" s="39" t="s">
        <v>1181</v>
      </c>
      <c r="B1059" s="40" t="n">
        <v>45811</v>
      </c>
      <c r="C1059" s="39" t="s">
        <v>104</v>
      </c>
      <c r="D1059" s="39" t="n">
        <v>1</v>
      </c>
      <c r="E1059" s="41" t="n">
        <v>15.32</v>
      </c>
      <c r="F1059" s="39" t="s">
        <v>118</v>
      </c>
      <c r="G1059" s="39" t="str">
        <f aca="false">VLOOKUP(C1059,Products!$A$5:$D$24,2,FALSE())</f>
        <v>Water Bottle</v>
      </c>
      <c r="H1059" s="39" t="str">
        <f aca="false">VLOOKUP(C1059,Products!$A$5:$D$24,3,FALSE())</f>
        <v>Accessories</v>
      </c>
      <c r="I1059" s="41" t="n">
        <f aca="false">VLOOKUP(C1059,Products!$A$5:$D$24,4,FALSE())</f>
        <v>5</v>
      </c>
      <c r="J1059" s="42" t="n">
        <f aca="false">DATE(YEAR(B1059),MONTH(B1059),1)</f>
        <v>45809</v>
      </c>
      <c r="K1059" s="41" t="n">
        <f aca="false">D1059*E1059</f>
        <v>15.32</v>
      </c>
      <c r="L1059" s="41" t="n">
        <f aca="false">D1059*I1059</f>
        <v>5</v>
      </c>
      <c r="M1059" s="41" t="n">
        <f aca="false">IFERROR(INDEX(Raw_Expenses!$C$5:$C$2979,MATCH(A1059,Raw_Expenses!$A$5:$A$2979,0)),0)</f>
        <v>0.83</v>
      </c>
      <c r="N1059" s="41" t="n">
        <f aca="false">L1059+M1059</f>
        <v>5.83</v>
      </c>
      <c r="O1059" s="41" t="n">
        <f aca="false">K1059-N1059</f>
        <v>9.49</v>
      </c>
      <c r="P1059" s="43" t="n">
        <f aca="false">IF(K1059=0,0,O1059/K1059)</f>
        <v>0.619451697127937</v>
      </c>
    </row>
    <row r="1060" customFormat="false" ht="15" hidden="false" customHeight="false" outlineLevel="0" collapsed="false">
      <c r="A1060" s="39" t="s">
        <v>1182</v>
      </c>
      <c r="B1060" s="40" t="n">
        <v>45811</v>
      </c>
      <c r="C1060" s="39" t="s">
        <v>169</v>
      </c>
      <c r="D1060" s="39" t="n">
        <v>8</v>
      </c>
      <c r="E1060" s="41" t="n">
        <v>28.64</v>
      </c>
      <c r="F1060" s="39" t="s">
        <v>115</v>
      </c>
      <c r="G1060" s="39" t="str">
        <f aca="false">VLOOKUP(C1060,Products!$A$5:$D$24,2,FALSE())</f>
        <v>Laptop Stand</v>
      </c>
      <c r="H1060" s="39" t="str">
        <f aca="false">VLOOKUP(C1060,Products!$A$5:$D$24,3,FALSE())</f>
        <v>Accessories</v>
      </c>
      <c r="I1060" s="41" t="n">
        <f aca="false">VLOOKUP(C1060,Products!$A$5:$D$24,4,FALSE())</f>
        <v>11</v>
      </c>
      <c r="J1060" s="42" t="n">
        <f aca="false">DATE(YEAR(B1060),MONTH(B1060),1)</f>
        <v>45809</v>
      </c>
      <c r="K1060" s="41" t="n">
        <f aca="false">D1060*E1060</f>
        <v>229.12</v>
      </c>
      <c r="L1060" s="41" t="n">
        <f aca="false">D1060*I1060</f>
        <v>88</v>
      </c>
      <c r="M1060" s="41" t="n">
        <f aca="false">IFERROR(INDEX(Raw_Expenses!$C$5:$C$2979,MATCH(A1060,Raw_Expenses!$A$5:$A$2979,0)),0)</f>
        <v>10.31</v>
      </c>
      <c r="N1060" s="41" t="n">
        <f aca="false">L1060+M1060</f>
        <v>98.31</v>
      </c>
      <c r="O1060" s="41" t="n">
        <f aca="false">K1060-N1060</f>
        <v>130.81</v>
      </c>
      <c r="P1060" s="43" t="n">
        <f aca="false">IF(K1060=0,0,O1060/K1060)</f>
        <v>0.570923533519553</v>
      </c>
    </row>
    <row r="1061" customFormat="false" ht="15" hidden="false" customHeight="false" outlineLevel="0" collapsed="false">
      <c r="A1061" s="39" t="s">
        <v>1183</v>
      </c>
      <c r="B1061" s="40" t="n">
        <v>45811</v>
      </c>
      <c r="C1061" s="39" t="s">
        <v>110</v>
      </c>
      <c r="D1061" s="39" t="n">
        <v>3</v>
      </c>
      <c r="E1061" s="41" t="n">
        <v>12.95</v>
      </c>
      <c r="F1061" s="39" t="s">
        <v>115</v>
      </c>
      <c r="G1061" s="39" t="str">
        <f aca="false">VLOOKUP(C1061,Products!$A$5:$D$24,2,FALSE())</f>
        <v>Phone Stand</v>
      </c>
      <c r="H1061" s="39" t="str">
        <f aca="false">VLOOKUP(C1061,Products!$A$5:$D$24,3,FALSE())</f>
        <v>Accessories</v>
      </c>
      <c r="I1061" s="41" t="n">
        <f aca="false">VLOOKUP(C1061,Products!$A$5:$D$24,4,FALSE())</f>
        <v>4</v>
      </c>
      <c r="J1061" s="42" t="n">
        <f aca="false">DATE(YEAR(B1061),MONTH(B1061),1)</f>
        <v>45809</v>
      </c>
      <c r="K1061" s="41" t="n">
        <f aca="false">D1061*E1061</f>
        <v>38.85</v>
      </c>
      <c r="L1061" s="41" t="n">
        <f aca="false">D1061*I1061</f>
        <v>12</v>
      </c>
      <c r="M1061" s="41" t="n">
        <f aca="false">IFERROR(INDEX(Raw_Expenses!$C$5:$C$2979,MATCH(A1061,Raw_Expenses!$A$5:$A$2979,0)),0)</f>
        <v>2.47</v>
      </c>
      <c r="N1061" s="41" t="n">
        <f aca="false">L1061+M1061</f>
        <v>14.47</v>
      </c>
      <c r="O1061" s="41" t="n">
        <f aca="false">K1061-N1061</f>
        <v>24.38</v>
      </c>
      <c r="P1061" s="43" t="n">
        <f aca="false">IF(K1061=0,0,O1061/K1061)</f>
        <v>0.627541827541828</v>
      </c>
    </row>
    <row r="1062" customFormat="false" ht="15" hidden="false" customHeight="false" outlineLevel="0" collapsed="false">
      <c r="A1062" s="39" t="s">
        <v>1184</v>
      </c>
      <c r="B1062" s="40" t="n">
        <v>45811</v>
      </c>
      <c r="C1062" s="39" t="s">
        <v>133</v>
      </c>
      <c r="D1062" s="39" t="n">
        <v>1</v>
      </c>
      <c r="E1062" s="41" t="n">
        <v>8.28</v>
      </c>
      <c r="F1062" s="39" t="s">
        <v>108</v>
      </c>
      <c r="G1062" s="39" t="str">
        <f aca="false">VLOOKUP(C1062,Products!$A$5:$D$24,2,FALSE())</f>
        <v>Printer Paper Ream</v>
      </c>
      <c r="H1062" s="39" t="str">
        <f aca="false">VLOOKUP(C1062,Products!$A$5:$D$24,3,FALSE())</f>
        <v>Stationery</v>
      </c>
      <c r="I1062" s="41" t="n">
        <f aca="false">VLOOKUP(C1062,Products!$A$5:$D$24,4,FALSE())</f>
        <v>4</v>
      </c>
      <c r="J1062" s="42" t="n">
        <f aca="false">DATE(YEAR(B1062),MONTH(B1062),1)</f>
        <v>45809</v>
      </c>
      <c r="K1062" s="41" t="n">
        <f aca="false">D1062*E1062</f>
        <v>8.28</v>
      </c>
      <c r="L1062" s="41" t="n">
        <f aca="false">D1062*I1062</f>
        <v>4</v>
      </c>
      <c r="M1062" s="41" t="n">
        <f aca="false">IFERROR(INDEX(Raw_Expenses!$C$5:$C$2979,MATCH(A1062,Raw_Expenses!$A$5:$A$2979,0)),0)</f>
        <v>0.7</v>
      </c>
      <c r="N1062" s="41" t="n">
        <f aca="false">L1062+M1062</f>
        <v>4.7</v>
      </c>
      <c r="O1062" s="41" t="n">
        <f aca="false">K1062-N1062</f>
        <v>3.58</v>
      </c>
      <c r="P1062" s="43" t="n">
        <f aca="false">IF(K1062=0,0,O1062/K1062)</f>
        <v>0.432367149758454</v>
      </c>
    </row>
    <row r="1063" customFormat="false" ht="15" hidden="false" customHeight="false" outlineLevel="0" collapsed="false">
      <c r="A1063" s="39" t="s">
        <v>1185</v>
      </c>
      <c r="B1063" s="40" t="n">
        <v>45811</v>
      </c>
      <c r="C1063" s="39" t="s">
        <v>130</v>
      </c>
      <c r="D1063" s="39" t="n">
        <v>6</v>
      </c>
      <c r="E1063" s="41" t="n">
        <v>8.33</v>
      </c>
      <c r="F1063" s="39" t="s">
        <v>115</v>
      </c>
      <c r="G1063" s="39" t="str">
        <f aca="false">VLOOKUP(C1063,Products!$A$5:$D$24,2,FALSE())</f>
        <v>Notebook Set</v>
      </c>
      <c r="H1063" s="39" t="str">
        <f aca="false">VLOOKUP(C1063,Products!$A$5:$D$24,3,FALSE())</f>
        <v>Stationery</v>
      </c>
      <c r="I1063" s="41" t="n">
        <f aca="false">VLOOKUP(C1063,Products!$A$5:$D$24,4,FALSE())</f>
        <v>3</v>
      </c>
      <c r="J1063" s="42" t="n">
        <f aca="false">DATE(YEAR(B1063),MONTH(B1063),1)</f>
        <v>45809</v>
      </c>
      <c r="K1063" s="41" t="n">
        <f aca="false">D1063*E1063</f>
        <v>49.98</v>
      </c>
      <c r="L1063" s="41" t="n">
        <f aca="false">D1063*I1063</f>
        <v>18</v>
      </c>
      <c r="M1063" s="41" t="n">
        <f aca="false">IFERROR(INDEX(Raw_Expenses!$C$5:$C$2979,MATCH(A1063,Raw_Expenses!$A$5:$A$2979,0)),0)</f>
        <v>2.7</v>
      </c>
      <c r="N1063" s="41" t="n">
        <f aca="false">L1063+M1063</f>
        <v>20.7</v>
      </c>
      <c r="O1063" s="41" t="n">
        <f aca="false">K1063-N1063</f>
        <v>29.28</v>
      </c>
      <c r="P1063" s="43" t="n">
        <f aca="false">IF(K1063=0,0,O1063/K1063)</f>
        <v>0.585834333733494</v>
      </c>
    </row>
    <row r="1064" customFormat="false" ht="15" hidden="false" customHeight="false" outlineLevel="0" collapsed="false">
      <c r="A1064" s="39" t="s">
        <v>1186</v>
      </c>
      <c r="B1064" s="40" t="n">
        <v>45811</v>
      </c>
      <c r="C1064" s="39" t="s">
        <v>117</v>
      </c>
      <c r="D1064" s="39" t="n">
        <v>6</v>
      </c>
      <c r="E1064" s="41" t="n">
        <v>31.2</v>
      </c>
      <c r="F1064" s="39" t="s">
        <v>108</v>
      </c>
      <c r="G1064" s="39" t="str">
        <f aca="false">VLOOKUP(C1064,Products!$A$5:$D$24,2,FALSE())</f>
        <v>Desk Lamp</v>
      </c>
      <c r="H1064" s="39" t="str">
        <f aca="false">VLOOKUP(C1064,Products!$A$5:$D$24,3,FALSE())</f>
        <v>Furniture</v>
      </c>
      <c r="I1064" s="41" t="n">
        <f aca="false">VLOOKUP(C1064,Products!$A$5:$D$24,4,FALSE())</f>
        <v>13</v>
      </c>
      <c r="J1064" s="42" t="n">
        <f aca="false">DATE(YEAR(B1064),MONTH(B1064),1)</f>
        <v>45809</v>
      </c>
      <c r="K1064" s="41" t="n">
        <f aca="false">D1064*E1064</f>
        <v>187.2</v>
      </c>
      <c r="L1064" s="41" t="n">
        <f aca="false">D1064*I1064</f>
        <v>78</v>
      </c>
      <c r="M1064" s="41" t="n">
        <f aca="false">IFERROR(INDEX(Raw_Expenses!$C$5:$C$2979,MATCH(A1064,Raw_Expenses!$A$5:$A$2979,0)),0)</f>
        <v>7.6</v>
      </c>
      <c r="N1064" s="41" t="n">
        <f aca="false">L1064+M1064</f>
        <v>85.6</v>
      </c>
      <c r="O1064" s="41" t="n">
        <f aca="false">K1064-N1064</f>
        <v>101.6</v>
      </c>
      <c r="P1064" s="43" t="n">
        <f aca="false">IF(K1064=0,0,O1064/K1064)</f>
        <v>0.542735042735043</v>
      </c>
    </row>
    <row r="1065" customFormat="false" ht="15" hidden="false" customHeight="false" outlineLevel="0" collapsed="false">
      <c r="A1065" s="39" t="s">
        <v>1187</v>
      </c>
      <c r="B1065" s="40" t="n">
        <v>45812</v>
      </c>
      <c r="C1065" s="39" t="s">
        <v>104</v>
      </c>
      <c r="D1065" s="39" t="n">
        <v>6</v>
      </c>
      <c r="E1065" s="41" t="n">
        <v>15.99</v>
      </c>
      <c r="F1065" s="39" t="s">
        <v>105</v>
      </c>
      <c r="G1065" s="39" t="str">
        <f aca="false">VLOOKUP(C1065,Products!$A$5:$D$24,2,FALSE())</f>
        <v>Water Bottle</v>
      </c>
      <c r="H1065" s="39" t="str">
        <f aca="false">VLOOKUP(C1065,Products!$A$5:$D$24,3,FALSE())</f>
        <v>Accessories</v>
      </c>
      <c r="I1065" s="41" t="n">
        <f aca="false">VLOOKUP(C1065,Products!$A$5:$D$24,4,FALSE())</f>
        <v>5</v>
      </c>
      <c r="J1065" s="42" t="n">
        <f aca="false">DATE(YEAR(B1065),MONTH(B1065),1)</f>
        <v>45809</v>
      </c>
      <c r="K1065" s="41" t="n">
        <f aca="false">D1065*E1065</f>
        <v>95.94</v>
      </c>
      <c r="L1065" s="41" t="n">
        <f aca="false">D1065*I1065</f>
        <v>30</v>
      </c>
      <c r="M1065" s="41" t="n">
        <f aca="false">IFERROR(INDEX(Raw_Expenses!$C$5:$C$2979,MATCH(A1065,Raw_Expenses!$A$5:$A$2979,0)),0)</f>
        <v>6.57</v>
      </c>
      <c r="N1065" s="41" t="n">
        <f aca="false">L1065+M1065</f>
        <v>36.57</v>
      </c>
      <c r="O1065" s="41" t="n">
        <f aca="false">K1065-N1065</f>
        <v>59.37</v>
      </c>
      <c r="P1065" s="43" t="n">
        <f aca="false">IF(K1065=0,0,O1065/K1065)</f>
        <v>0.618824265165729</v>
      </c>
    </row>
    <row r="1066" customFormat="false" ht="15" hidden="false" customHeight="false" outlineLevel="0" collapsed="false">
      <c r="A1066" s="39" t="s">
        <v>1188</v>
      </c>
      <c r="B1066" s="40" t="n">
        <v>45812</v>
      </c>
      <c r="C1066" s="39" t="s">
        <v>121</v>
      </c>
      <c r="D1066" s="39" t="n">
        <v>1</v>
      </c>
      <c r="E1066" s="41" t="n">
        <v>110.45</v>
      </c>
      <c r="F1066" s="39" t="s">
        <v>105</v>
      </c>
      <c r="G1066" s="39" t="str">
        <f aca="false">VLOOKUP(C1066,Products!$A$5:$D$24,2,FALSE())</f>
        <v>External SSD 1TB</v>
      </c>
      <c r="H1066" s="39" t="str">
        <f aca="false">VLOOKUP(C1066,Products!$A$5:$D$24,3,FALSE())</f>
        <v>Electronics</v>
      </c>
      <c r="I1066" s="41" t="n">
        <f aca="false">VLOOKUP(C1066,Products!$A$5:$D$24,4,FALSE())</f>
        <v>62</v>
      </c>
      <c r="J1066" s="42" t="n">
        <f aca="false">DATE(YEAR(B1066),MONTH(B1066),1)</f>
        <v>45809</v>
      </c>
      <c r="K1066" s="41" t="n">
        <f aca="false">D1066*E1066</f>
        <v>110.45</v>
      </c>
      <c r="L1066" s="41" t="n">
        <f aca="false">D1066*I1066</f>
        <v>62</v>
      </c>
      <c r="M1066" s="41" t="n">
        <f aca="false">IFERROR(INDEX(Raw_Expenses!$C$5:$C$2979,MATCH(A1066,Raw_Expenses!$A$5:$A$2979,0)),0)</f>
        <v>8.24</v>
      </c>
      <c r="N1066" s="41" t="n">
        <f aca="false">L1066+M1066</f>
        <v>70.24</v>
      </c>
      <c r="O1066" s="41" t="n">
        <f aca="false">K1066-N1066</f>
        <v>40.21</v>
      </c>
      <c r="P1066" s="43" t="n">
        <f aca="false">IF(K1066=0,0,O1066/K1066)</f>
        <v>0.364056133997284</v>
      </c>
    </row>
    <row r="1067" customFormat="false" ht="15" hidden="false" customHeight="false" outlineLevel="0" collapsed="false">
      <c r="A1067" s="39" t="s">
        <v>1189</v>
      </c>
      <c r="B1067" s="40" t="n">
        <v>45812</v>
      </c>
      <c r="C1067" s="39" t="s">
        <v>305</v>
      </c>
      <c r="D1067" s="39" t="n">
        <v>2</v>
      </c>
      <c r="E1067" s="41" t="n">
        <v>329.43</v>
      </c>
      <c r="F1067" s="39" t="s">
        <v>115</v>
      </c>
      <c r="G1067" s="39" t="str">
        <f aca="false">VLOOKUP(C1067,Products!$A$5:$D$24,2,FALSE())</f>
        <v>Standing Desk</v>
      </c>
      <c r="H1067" s="39" t="str">
        <f aca="false">VLOOKUP(C1067,Products!$A$5:$D$24,3,FALSE())</f>
        <v>Furniture</v>
      </c>
      <c r="I1067" s="41" t="n">
        <f aca="false">VLOOKUP(C1067,Products!$A$5:$D$24,4,FALSE())</f>
        <v>160</v>
      </c>
      <c r="J1067" s="42" t="n">
        <f aca="false">DATE(YEAR(B1067),MONTH(B1067),1)</f>
        <v>45809</v>
      </c>
      <c r="K1067" s="41" t="n">
        <f aca="false">D1067*E1067</f>
        <v>658.86</v>
      </c>
      <c r="L1067" s="41" t="n">
        <f aca="false">D1067*I1067</f>
        <v>320</v>
      </c>
      <c r="M1067" s="41" t="n">
        <f aca="false">IFERROR(INDEX(Raw_Expenses!$C$5:$C$2979,MATCH(A1067,Raw_Expenses!$A$5:$A$2979,0)),0)</f>
        <v>29.5</v>
      </c>
      <c r="N1067" s="41" t="n">
        <f aca="false">L1067+M1067</f>
        <v>349.5</v>
      </c>
      <c r="O1067" s="41" t="n">
        <f aca="false">K1067-N1067</f>
        <v>309.36</v>
      </c>
      <c r="P1067" s="43" t="n">
        <f aca="false">IF(K1067=0,0,O1067/K1067)</f>
        <v>0.4695382934159</v>
      </c>
    </row>
    <row r="1068" customFormat="false" ht="15" hidden="false" customHeight="false" outlineLevel="0" collapsed="false">
      <c r="A1068" s="39" t="s">
        <v>1190</v>
      </c>
      <c r="B1068" s="40" t="n">
        <v>45812</v>
      </c>
      <c r="C1068" s="39" t="s">
        <v>162</v>
      </c>
      <c r="D1068" s="39" t="n">
        <v>1</v>
      </c>
      <c r="E1068" s="41" t="n">
        <v>64.91</v>
      </c>
      <c r="F1068" s="39" t="s">
        <v>105</v>
      </c>
      <c r="G1068" s="39" t="str">
        <f aca="false">VLOOKUP(C1068,Products!$A$5:$D$24,2,FALSE())</f>
        <v>Bluetooth Speaker</v>
      </c>
      <c r="H1068" s="39" t="str">
        <f aca="false">VLOOKUP(C1068,Products!$A$5:$D$24,3,FALSE())</f>
        <v>Electronics</v>
      </c>
      <c r="I1068" s="41" t="n">
        <f aca="false">VLOOKUP(C1068,Products!$A$5:$D$24,4,FALSE())</f>
        <v>28</v>
      </c>
      <c r="J1068" s="42" t="n">
        <f aca="false">DATE(YEAR(B1068),MONTH(B1068),1)</f>
        <v>45809</v>
      </c>
      <c r="K1068" s="41" t="n">
        <f aca="false">D1068*E1068</f>
        <v>64.91</v>
      </c>
      <c r="L1068" s="41" t="n">
        <f aca="false">D1068*I1068</f>
        <v>28</v>
      </c>
      <c r="M1068" s="41" t="n">
        <f aca="false">IFERROR(INDEX(Raw_Expenses!$C$5:$C$2979,MATCH(A1068,Raw_Expenses!$A$5:$A$2979,0)),0)</f>
        <v>4.3</v>
      </c>
      <c r="N1068" s="41" t="n">
        <f aca="false">L1068+M1068</f>
        <v>32.3</v>
      </c>
      <c r="O1068" s="41" t="n">
        <f aca="false">K1068-N1068</f>
        <v>32.61</v>
      </c>
      <c r="P1068" s="43" t="n">
        <f aca="false">IF(K1068=0,0,O1068/K1068)</f>
        <v>0.502387921737791</v>
      </c>
    </row>
    <row r="1069" customFormat="false" ht="15" hidden="false" customHeight="false" outlineLevel="0" collapsed="false">
      <c r="A1069" s="39" t="s">
        <v>1191</v>
      </c>
      <c r="B1069" s="40" t="n">
        <v>45812</v>
      </c>
      <c r="C1069" s="39" t="s">
        <v>177</v>
      </c>
      <c r="D1069" s="39" t="n">
        <v>3</v>
      </c>
      <c r="E1069" s="41" t="n">
        <v>44.78</v>
      </c>
      <c r="F1069" s="39" t="s">
        <v>115</v>
      </c>
      <c r="G1069" s="39" t="str">
        <f aca="false">VLOOKUP(C1069,Products!$A$5:$D$24,2,FALSE())</f>
        <v>Backpack</v>
      </c>
      <c r="H1069" s="39" t="str">
        <f aca="false">VLOOKUP(C1069,Products!$A$5:$D$24,3,FALSE())</f>
        <v>Accessories</v>
      </c>
      <c r="I1069" s="41" t="n">
        <f aca="false">VLOOKUP(C1069,Products!$A$5:$D$24,4,FALSE())</f>
        <v>17</v>
      </c>
      <c r="J1069" s="42" t="n">
        <f aca="false">DATE(YEAR(B1069),MONTH(B1069),1)</f>
        <v>45809</v>
      </c>
      <c r="K1069" s="41" t="n">
        <f aca="false">D1069*E1069</f>
        <v>134.34</v>
      </c>
      <c r="L1069" s="41" t="n">
        <f aca="false">D1069*I1069</f>
        <v>51</v>
      </c>
      <c r="M1069" s="41" t="n">
        <f aca="false">IFERROR(INDEX(Raw_Expenses!$C$5:$C$2979,MATCH(A1069,Raw_Expenses!$A$5:$A$2979,0)),0)</f>
        <v>6.56</v>
      </c>
      <c r="N1069" s="41" t="n">
        <f aca="false">L1069+M1069</f>
        <v>57.56</v>
      </c>
      <c r="O1069" s="41" t="n">
        <f aca="false">K1069-N1069</f>
        <v>76.78</v>
      </c>
      <c r="P1069" s="43" t="n">
        <f aca="false">IF(K1069=0,0,O1069/K1069)</f>
        <v>0.571534911418788</v>
      </c>
    </row>
    <row r="1070" customFormat="false" ht="15" hidden="false" customHeight="false" outlineLevel="0" collapsed="false">
      <c r="A1070" s="39" t="s">
        <v>1192</v>
      </c>
      <c r="B1070" s="40" t="n">
        <v>45812</v>
      </c>
      <c r="C1070" s="39" t="s">
        <v>133</v>
      </c>
      <c r="D1070" s="39" t="n">
        <v>3</v>
      </c>
      <c r="E1070" s="41" t="n">
        <v>8.8</v>
      </c>
      <c r="F1070" s="39" t="s">
        <v>115</v>
      </c>
      <c r="G1070" s="39" t="str">
        <f aca="false">VLOOKUP(C1070,Products!$A$5:$D$24,2,FALSE())</f>
        <v>Printer Paper Ream</v>
      </c>
      <c r="H1070" s="39" t="str">
        <f aca="false">VLOOKUP(C1070,Products!$A$5:$D$24,3,FALSE())</f>
        <v>Stationery</v>
      </c>
      <c r="I1070" s="41" t="n">
        <f aca="false">VLOOKUP(C1070,Products!$A$5:$D$24,4,FALSE())</f>
        <v>4</v>
      </c>
      <c r="J1070" s="42" t="n">
        <f aca="false">DATE(YEAR(B1070),MONTH(B1070),1)</f>
        <v>45809</v>
      </c>
      <c r="K1070" s="41" t="n">
        <f aca="false">D1070*E1070</f>
        <v>26.4</v>
      </c>
      <c r="L1070" s="41" t="n">
        <f aca="false">D1070*I1070</f>
        <v>12</v>
      </c>
      <c r="M1070" s="41" t="n">
        <f aca="false">IFERROR(INDEX(Raw_Expenses!$C$5:$C$2979,MATCH(A1070,Raw_Expenses!$A$5:$A$2979,0)),0)</f>
        <v>2.22</v>
      </c>
      <c r="N1070" s="41" t="n">
        <f aca="false">L1070+M1070</f>
        <v>14.22</v>
      </c>
      <c r="O1070" s="41" t="n">
        <f aca="false">K1070-N1070</f>
        <v>12.18</v>
      </c>
      <c r="P1070" s="43" t="n">
        <f aca="false">IF(K1070=0,0,O1070/K1070)</f>
        <v>0.461363636363636</v>
      </c>
    </row>
    <row r="1071" customFormat="false" ht="15" hidden="false" customHeight="false" outlineLevel="0" collapsed="false">
      <c r="A1071" s="39" t="s">
        <v>1193</v>
      </c>
      <c r="B1071" s="40" t="n">
        <v>45812</v>
      </c>
      <c r="C1071" s="39" t="s">
        <v>169</v>
      </c>
      <c r="D1071" s="39" t="n">
        <v>3</v>
      </c>
      <c r="E1071" s="41" t="n">
        <v>28.82</v>
      </c>
      <c r="F1071" s="39" t="s">
        <v>108</v>
      </c>
      <c r="G1071" s="39" t="str">
        <f aca="false">VLOOKUP(C1071,Products!$A$5:$D$24,2,FALSE())</f>
        <v>Laptop Stand</v>
      </c>
      <c r="H1071" s="39" t="str">
        <f aca="false">VLOOKUP(C1071,Products!$A$5:$D$24,3,FALSE())</f>
        <v>Accessories</v>
      </c>
      <c r="I1071" s="41" t="n">
        <f aca="false">VLOOKUP(C1071,Products!$A$5:$D$24,4,FALSE())</f>
        <v>11</v>
      </c>
      <c r="J1071" s="42" t="n">
        <f aca="false">DATE(YEAR(B1071),MONTH(B1071),1)</f>
        <v>45809</v>
      </c>
      <c r="K1071" s="41" t="n">
        <f aca="false">D1071*E1071</f>
        <v>86.46</v>
      </c>
      <c r="L1071" s="41" t="n">
        <f aca="false">D1071*I1071</f>
        <v>33</v>
      </c>
      <c r="M1071" s="41" t="n">
        <f aca="false">IFERROR(INDEX(Raw_Expenses!$C$5:$C$2979,MATCH(A1071,Raw_Expenses!$A$5:$A$2979,0)),0)</f>
        <v>7.76</v>
      </c>
      <c r="N1071" s="41" t="n">
        <f aca="false">L1071+M1071</f>
        <v>40.76</v>
      </c>
      <c r="O1071" s="41" t="n">
        <f aca="false">K1071-N1071</f>
        <v>45.7</v>
      </c>
      <c r="P1071" s="43" t="n">
        <f aca="false">IF(K1071=0,0,O1071/K1071)</f>
        <v>0.528568123987971</v>
      </c>
    </row>
    <row r="1072" customFormat="false" ht="15" hidden="false" customHeight="false" outlineLevel="0" collapsed="false">
      <c r="A1072" s="39" t="s">
        <v>1194</v>
      </c>
      <c r="B1072" s="40" t="n">
        <v>45812</v>
      </c>
      <c r="C1072" s="39" t="s">
        <v>144</v>
      </c>
      <c r="D1072" s="39" t="n">
        <v>4</v>
      </c>
      <c r="E1072" s="41" t="n">
        <v>55.98</v>
      </c>
      <c r="F1072" s="39" t="s">
        <v>118</v>
      </c>
      <c r="G1072" s="39" t="str">
        <f aca="false">VLOOKUP(C1072,Products!$A$5:$D$24,2,FALSE())</f>
        <v>Whiteboard</v>
      </c>
      <c r="H1072" s="39" t="str">
        <f aca="false">VLOOKUP(C1072,Products!$A$5:$D$24,3,FALSE())</f>
        <v>Furniture</v>
      </c>
      <c r="I1072" s="41" t="n">
        <f aca="false">VLOOKUP(C1072,Products!$A$5:$D$24,4,FALSE())</f>
        <v>28</v>
      </c>
      <c r="J1072" s="42" t="n">
        <f aca="false">DATE(YEAR(B1072),MONTH(B1072),1)</f>
        <v>45809</v>
      </c>
      <c r="K1072" s="41" t="n">
        <f aca="false">D1072*E1072</f>
        <v>223.92</v>
      </c>
      <c r="L1072" s="41" t="n">
        <f aca="false">D1072*I1072</f>
        <v>112</v>
      </c>
      <c r="M1072" s="41" t="n">
        <f aca="false">IFERROR(INDEX(Raw_Expenses!$C$5:$C$2979,MATCH(A1072,Raw_Expenses!$A$5:$A$2979,0)),0)</f>
        <v>11.76</v>
      </c>
      <c r="N1072" s="41" t="n">
        <f aca="false">L1072+M1072</f>
        <v>123.76</v>
      </c>
      <c r="O1072" s="41" t="n">
        <f aca="false">K1072-N1072</f>
        <v>100.16</v>
      </c>
      <c r="P1072" s="43" t="n">
        <f aca="false">IF(K1072=0,0,O1072/K1072)</f>
        <v>0.447302608074312</v>
      </c>
    </row>
    <row r="1073" customFormat="false" ht="15" hidden="false" customHeight="false" outlineLevel="0" collapsed="false">
      <c r="A1073" s="39" t="s">
        <v>1195</v>
      </c>
      <c r="B1073" s="40" t="n">
        <v>45812</v>
      </c>
      <c r="C1073" s="39" t="s">
        <v>305</v>
      </c>
      <c r="D1073" s="39" t="n">
        <v>2</v>
      </c>
      <c r="E1073" s="41" t="n">
        <v>329.86</v>
      </c>
      <c r="F1073" s="39" t="s">
        <v>105</v>
      </c>
      <c r="G1073" s="39" t="str">
        <f aca="false">VLOOKUP(C1073,Products!$A$5:$D$24,2,FALSE())</f>
        <v>Standing Desk</v>
      </c>
      <c r="H1073" s="39" t="str">
        <f aca="false">VLOOKUP(C1073,Products!$A$5:$D$24,3,FALSE())</f>
        <v>Furniture</v>
      </c>
      <c r="I1073" s="41" t="n">
        <f aca="false">VLOOKUP(C1073,Products!$A$5:$D$24,4,FALSE())</f>
        <v>160</v>
      </c>
      <c r="J1073" s="42" t="n">
        <f aca="false">DATE(YEAR(B1073),MONTH(B1073),1)</f>
        <v>45809</v>
      </c>
      <c r="K1073" s="41" t="n">
        <f aca="false">D1073*E1073</f>
        <v>659.72</v>
      </c>
      <c r="L1073" s="41" t="n">
        <f aca="false">D1073*I1073</f>
        <v>320</v>
      </c>
      <c r="M1073" s="41" t="n">
        <f aca="false">IFERROR(INDEX(Raw_Expenses!$C$5:$C$2979,MATCH(A1073,Raw_Expenses!$A$5:$A$2979,0)),0)</f>
        <v>57.44</v>
      </c>
      <c r="N1073" s="41" t="n">
        <f aca="false">L1073+M1073</f>
        <v>377.44</v>
      </c>
      <c r="O1073" s="41" t="n">
        <f aca="false">K1073-N1073</f>
        <v>282.28</v>
      </c>
      <c r="P1073" s="43" t="n">
        <f aca="false">IF(K1073=0,0,O1073/K1073)</f>
        <v>0.427878493906506</v>
      </c>
    </row>
    <row r="1074" customFormat="false" ht="15" hidden="false" customHeight="false" outlineLevel="0" collapsed="false">
      <c r="A1074" s="39" t="s">
        <v>1196</v>
      </c>
      <c r="B1074" s="40" t="n">
        <v>45812</v>
      </c>
      <c r="C1074" s="39" t="s">
        <v>126</v>
      </c>
      <c r="D1074" s="39" t="n">
        <v>2</v>
      </c>
      <c r="E1074" s="41" t="n">
        <v>24.16</v>
      </c>
      <c r="F1074" s="39" t="s">
        <v>105</v>
      </c>
      <c r="G1074" s="39" t="str">
        <f aca="false">VLOOKUP(C1074,Products!$A$5:$D$24,2,FALSE())</f>
        <v>Wireless Mouse</v>
      </c>
      <c r="H1074" s="39" t="str">
        <f aca="false">VLOOKUP(C1074,Products!$A$5:$D$24,3,FALSE())</f>
        <v>Electronics</v>
      </c>
      <c r="I1074" s="41" t="n">
        <f aca="false">VLOOKUP(C1074,Products!$A$5:$D$24,4,FALSE())</f>
        <v>12</v>
      </c>
      <c r="J1074" s="42" t="n">
        <f aca="false">DATE(YEAR(B1074),MONTH(B1074),1)</f>
        <v>45809</v>
      </c>
      <c r="K1074" s="41" t="n">
        <f aca="false">D1074*E1074</f>
        <v>48.32</v>
      </c>
      <c r="L1074" s="41" t="n">
        <f aca="false">D1074*I1074</f>
        <v>24</v>
      </c>
      <c r="M1074" s="41" t="n">
        <f aca="false">IFERROR(INDEX(Raw_Expenses!$C$5:$C$2979,MATCH(A1074,Raw_Expenses!$A$5:$A$2979,0)),0)</f>
        <v>1.98</v>
      </c>
      <c r="N1074" s="41" t="n">
        <f aca="false">L1074+M1074</f>
        <v>25.98</v>
      </c>
      <c r="O1074" s="41" t="n">
        <f aca="false">K1074-N1074</f>
        <v>22.34</v>
      </c>
      <c r="P1074" s="43" t="n">
        <f aca="false">IF(K1074=0,0,O1074/K1074)</f>
        <v>0.462334437086093</v>
      </c>
    </row>
    <row r="1075" customFormat="false" ht="15" hidden="false" customHeight="false" outlineLevel="0" collapsed="false">
      <c r="A1075" s="39" t="s">
        <v>1197</v>
      </c>
      <c r="B1075" s="40" t="n">
        <v>45812</v>
      </c>
      <c r="C1075" s="39" t="s">
        <v>126</v>
      </c>
      <c r="D1075" s="39" t="n">
        <v>1</v>
      </c>
      <c r="E1075" s="41" t="n">
        <v>23.34</v>
      </c>
      <c r="F1075" s="39" t="s">
        <v>115</v>
      </c>
      <c r="G1075" s="39" t="str">
        <f aca="false">VLOOKUP(C1075,Products!$A$5:$D$24,2,FALSE())</f>
        <v>Wireless Mouse</v>
      </c>
      <c r="H1075" s="39" t="str">
        <f aca="false">VLOOKUP(C1075,Products!$A$5:$D$24,3,FALSE())</f>
        <v>Electronics</v>
      </c>
      <c r="I1075" s="41" t="n">
        <f aca="false">VLOOKUP(C1075,Products!$A$5:$D$24,4,FALSE())</f>
        <v>12</v>
      </c>
      <c r="J1075" s="42" t="n">
        <f aca="false">DATE(YEAR(B1075),MONTH(B1075),1)</f>
        <v>45809</v>
      </c>
      <c r="K1075" s="41" t="n">
        <f aca="false">D1075*E1075</f>
        <v>23.34</v>
      </c>
      <c r="L1075" s="41" t="n">
        <f aca="false">D1075*I1075</f>
        <v>12</v>
      </c>
      <c r="M1075" s="41" t="n">
        <f aca="false">IFERROR(INDEX(Raw_Expenses!$C$5:$C$2979,MATCH(A1075,Raw_Expenses!$A$5:$A$2979,0)),0)</f>
        <v>1.13</v>
      </c>
      <c r="N1075" s="41" t="n">
        <f aca="false">L1075+M1075</f>
        <v>13.13</v>
      </c>
      <c r="O1075" s="41" t="n">
        <f aca="false">K1075-N1075</f>
        <v>10.21</v>
      </c>
      <c r="P1075" s="43" t="n">
        <f aca="false">IF(K1075=0,0,O1075/K1075)</f>
        <v>0.437446443873179</v>
      </c>
    </row>
    <row r="1076" customFormat="false" ht="15" hidden="false" customHeight="false" outlineLevel="0" collapsed="false">
      <c r="A1076" s="39" t="s">
        <v>1198</v>
      </c>
      <c r="B1076" s="40" t="n">
        <v>45812</v>
      </c>
      <c r="C1076" s="39" t="s">
        <v>121</v>
      </c>
      <c r="D1076" s="39" t="n">
        <v>2</v>
      </c>
      <c r="E1076" s="41" t="n">
        <v>118.44</v>
      </c>
      <c r="F1076" s="39" t="s">
        <v>115</v>
      </c>
      <c r="G1076" s="39" t="str">
        <f aca="false">VLOOKUP(C1076,Products!$A$5:$D$24,2,FALSE())</f>
        <v>External SSD 1TB</v>
      </c>
      <c r="H1076" s="39" t="str">
        <f aca="false">VLOOKUP(C1076,Products!$A$5:$D$24,3,FALSE())</f>
        <v>Electronics</v>
      </c>
      <c r="I1076" s="41" t="n">
        <f aca="false">VLOOKUP(C1076,Products!$A$5:$D$24,4,FALSE())</f>
        <v>62</v>
      </c>
      <c r="J1076" s="42" t="n">
        <f aca="false">DATE(YEAR(B1076),MONTH(B1076),1)</f>
        <v>45809</v>
      </c>
      <c r="K1076" s="41" t="n">
        <f aca="false">D1076*E1076</f>
        <v>236.88</v>
      </c>
      <c r="L1076" s="41" t="n">
        <f aca="false">D1076*I1076</f>
        <v>124</v>
      </c>
      <c r="M1076" s="41" t="n">
        <f aca="false">IFERROR(INDEX(Raw_Expenses!$C$5:$C$2979,MATCH(A1076,Raw_Expenses!$A$5:$A$2979,0)),0)</f>
        <v>19.41</v>
      </c>
      <c r="N1076" s="41" t="n">
        <f aca="false">L1076+M1076</f>
        <v>143.41</v>
      </c>
      <c r="O1076" s="41" t="n">
        <f aca="false">K1076-N1076</f>
        <v>93.47</v>
      </c>
      <c r="P1076" s="43" t="n">
        <f aca="false">IF(K1076=0,0,O1076/K1076)</f>
        <v>0.394587977034786</v>
      </c>
    </row>
    <row r="1077" customFormat="false" ht="15" hidden="false" customHeight="false" outlineLevel="0" collapsed="false">
      <c r="A1077" s="39" t="s">
        <v>1199</v>
      </c>
      <c r="B1077" s="40" t="n">
        <v>45813</v>
      </c>
      <c r="C1077" s="39" t="s">
        <v>153</v>
      </c>
      <c r="D1077" s="39" t="n">
        <v>5</v>
      </c>
      <c r="E1077" s="41" t="n">
        <v>178.29</v>
      </c>
      <c r="F1077" s="39" t="s">
        <v>115</v>
      </c>
      <c r="G1077" s="39" t="str">
        <f aca="false">VLOOKUP(C1077,Products!$A$5:$D$24,2,FALSE())</f>
        <v>24-inch Monitor</v>
      </c>
      <c r="H1077" s="39" t="str">
        <f aca="false">VLOOKUP(C1077,Products!$A$5:$D$24,3,FALSE())</f>
        <v>Electronics</v>
      </c>
      <c r="I1077" s="41" t="n">
        <f aca="false">VLOOKUP(C1077,Products!$A$5:$D$24,4,FALSE())</f>
        <v>90</v>
      </c>
      <c r="J1077" s="42" t="n">
        <f aca="false">DATE(YEAR(B1077),MONTH(B1077),1)</f>
        <v>45809</v>
      </c>
      <c r="K1077" s="41" t="n">
        <f aca="false">D1077*E1077</f>
        <v>891.45</v>
      </c>
      <c r="L1077" s="41" t="n">
        <f aca="false">D1077*I1077</f>
        <v>450</v>
      </c>
      <c r="M1077" s="41" t="n">
        <f aca="false">IFERROR(INDEX(Raw_Expenses!$C$5:$C$2979,MATCH(A1077,Raw_Expenses!$A$5:$A$2979,0)),0)</f>
        <v>53.76</v>
      </c>
      <c r="N1077" s="41" t="n">
        <f aca="false">L1077+M1077</f>
        <v>503.76</v>
      </c>
      <c r="O1077" s="41" t="n">
        <f aca="false">K1077-N1077</f>
        <v>387.69</v>
      </c>
      <c r="P1077" s="43" t="n">
        <f aca="false">IF(K1077=0,0,O1077/K1077)</f>
        <v>0.43489819956251</v>
      </c>
    </row>
    <row r="1078" customFormat="false" ht="15" hidden="false" customHeight="false" outlineLevel="0" collapsed="false">
      <c r="A1078" s="39" t="s">
        <v>1200</v>
      </c>
      <c r="B1078" s="40" t="n">
        <v>45813</v>
      </c>
      <c r="C1078" s="39" t="s">
        <v>112</v>
      </c>
      <c r="D1078" s="39" t="n">
        <v>3</v>
      </c>
      <c r="E1078" s="41" t="n">
        <v>50.99</v>
      </c>
      <c r="F1078" s="39" t="s">
        <v>105</v>
      </c>
      <c r="G1078" s="39" t="str">
        <f aca="false">VLOOKUP(C1078,Products!$A$5:$D$24,2,FALSE())</f>
        <v>HD Webcam</v>
      </c>
      <c r="H1078" s="39" t="str">
        <f aca="false">VLOOKUP(C1078,Products!$A$5:$D$24,3,FALSE())</f>
        <v>Electronics</v>
      </c>
      <c r="I1078" s="41" t="n">
        <f aca="false">VLOOKUP(C1078,Products!$A$5:$D$24,4,FALSE())</f>
        <v>22</v>
      </c>
      <c r="J1078" s="42" t="n">
        <f aca="false">DATE(YEAR(B1078),MONTH(B1078),1)</f>
        <v>45809</v>
      </c>
      <c r="K1078" s="41" t="n">
        <f aca="false">D1078*E1078</f>
        <v>152.97</v>
      </c>
      <c r="L1078" s="41" t="n">
        <f aca="false">D1078*I1078</f>
        <v>66</v>
      </c>
      <c r="M1078" s="41" t="n">
        <f aca="false">IFERROR(INDEX(Raw_Expenses!$C$5:$C$2979,MATCH(A1078,Raw_Expenses!$A$5:$A$2979,0)),0)</f>
        <v>10.94</v>
      </c>
      <c r="N1078" s="41" t="n">
        <f aca="false">L1078+M1078</f>
        <v>76.94</v>
      </c>
      <c r="O1078" s="41" t="n">
        <f aca="false">K1078-N1078</f>
        <v>76.03</v>
      </c>
      <c r="P1078" s="43" t="n">
        <f aca="false">IF(K1078=0,0,O1078/K1078)</f>
        <v>0.497025560567432</v>
      </c>
    </row>
    <row r="1079" customFormat="false" ht="15" hidden="false" customHeight="false" outlineLevel="0" collapsed="false">
      <c r="A1079" s="39" t="s">
        <v>1201</v>
      </c>
      <c r="B1079" s="40" t="n">
        <v>45813</v>
      </c>
      <c r="C1079" s="39" t="s">
        <v>114</v>
      </c>
      <c r="D1079" s="39" t="n">
        <v>1</v>
      </c>
      <c r="E1079" s="41" t="n">
        <v>5.65</v>
      </c>
      <c r="F1079" s="39" t="s">
        <v>108</v>
      </c>
      <c r="G1079" s="39" t="str">
        <f aca="false">VLOOKUP(C1079,Products!$A$5:$D$24,2,FALSE())</f>
        <v>Gel Pen Pack</v>
      </c>
      <c r="H1079" s="39" t="str">
        <f aca="false">VLOOKUP(C1079,Products!$A$5:$D$24,3,FALSE())</f>
        <v>Stationery</v>
      </c>
      <c r="I1079" s="41" t="n">
        <f aca="false">VLOOKUP(C1079,Products!$A$5:$D$24,4,FALSE())</f>
        <v>2</v>
      </c>
      <c r="J1079" s="42" t="n">
        <f aca="false">DATE(YEAR(B1079),MONTH(B1079),1)</f>
        <v>45809</v>
      </c>
      <c r="K1079" s="41" t="n">
        <f aca="false">D1079*E1079</f>
        <v>5.65</v>
      </c>
      <c r="L1079" s="41" t="n">
        <f aca="false">D1079*I1079</f>
        <v>2</v>
      </c>
      <c r="M1079" s="41" t="n">
        <f aca="false">IFERROR(INDEX(Raw_Expenses!$C$5:$C$2979,MATCH(A1079,Raw_Expenses!$A$5:$A$2979,0)),0)</f>
        <v>0.47</v>
      </c>
      <c r="N1079" s="41" t="n">
        <f aca="false">L1079+M1079</f>
        <v>2.47</v>
      </c>
      <c r="O1079" s="41" t="n">
        <f aca="false">K1079-N1079</f>
        <v>3.18</v>
      </c>
      <c r="P1079" s="43" t="n">
        <f aca="false">IF(K1079=0,0,O1079/K1079)</f>
        <v>0.56283185840708</v>
      </c>
    </row>
    <row r="1080" customFormat="false" ht="15" hidden="false" customHeight="false" outlineLevel="0" collapsed="false">
      <c r="A1080" s="39" t="s">
        <v>1202</v>
      </c>
      <c r="B1080" s="40" t="n">
        <v>45813</v>
      </c>
      <c r="C1080" s="39" t="s">
        <v>114</v>
      </c>
      <c r="D1080" s="39" t="n">
        <v>3</v>
      </c>
      <c r="E1080" s="41" t="n">
        <v>5.75</v>
      </c>
      <c r="F1080" s="39" t="s">
        <v>105</v>
      </c>
      <c r="G1080" s="39" t="str">
        <f aca="false">VLOOKUP(C1080,Products!$A$5:$D$24,2,FALSE())</f>
        <v>Gel Pen Pack</v>
      </c>
      <c r="H1080" s="39" t="str">
        <f aca="false">VLOOKUP(C1080,Products!$A$5:$D$24,3,FALSE())</f>
        <v>Stationery</v>
      </c>
      <c r="I1080" s="41" t="n">
        <f aca="false">VLOOKUP(C1080,Products!$A$5:$D$24,4,FALSE())</f>
        <v>2</v>
      </c>
      <c r="J1080" s="42" t="n">
        <f aca="false">DATE(YEAR(B1080),MONTH(B1080),1)</f>
        <v>45809</v>
      </c>
      <c r="K1080" s="41" t="n">
        <f aca="false">D1080*E1080</f>
        <v>17.25</v>
      </c>
      <c r="L1080" s="41" t="n">
        <f aca="false">D1080*I1080</f>
        <v>6</v>
      </c>
      <c r="M1080" s="41" t="n">
        <f aca="false">IFERROR(INDEX(Raw_Expenses!$C$5:$C$2979,MATCH(A1080,Raw_Expenses!$A$5:$A$2979,0)),0)</f>
        <v>1</v>
      </c>
      <c r="N1080" s="41" t="n">
        <f aca="false">L1080+M1080</f>
        <v>7</v>
      </c>
      <c r="O1080" s="41" t="n">
        <f aca="false">K1080-N1080</f>
        <v>10.25</v>
      </c>
      <c r="P1080" s="43" t="n">
        <f aca="false">IF(K1080=0,0,O1080/K1080)</f>
        <v>0.594202898550725</v>
      </c>
    </row>
    <row r="1081" customFormat="false" ht="15" hidden="false" customHeight="false" outlineLevel="0" collapsed="false">
      <c r="A1081" s="39" t="s">
        <v>1203</v>
      </c>
      <c r="B1081" s="40" t="n">
        <v>45813</v>
      </c>
      <c r="C1081" s="39" t="s">
        <v>107</v>
      </c>
      <c r="D1081" s="39" t="n">
        <v>3</v>
      </c>
      <c r="E1081" s="41" t="n">
        <v>33.8</v>
      </c>
      <c r="F1081" s="39" t="s">
        <v>118</v>
      </c>
      <c r="G1081" s="39" t="str">
        <f aca="false">VLOOKUP(C1081,Products!$A$5:$D$24,2,FALSE())</f>
        <v>USB-C Hub</v>
      </c>
      <c r="H1081" s="39" t="str">
        <f aca="false">VLOOKUP(C1081,Products!$A$5:$D$24,3,FALSE())</f>
        <v>Electronics</v>
      </c>
      <c r="I1081" s="41" t="n">
        <f aca="false">VLOOKUP(C1081,Products!$A$5:$D$24,4,FALSE())</f>
        <v>14</v>
      </c>
      <c r="J1081" s="42" t="n">
        <f aca="false">DATE(YEAR(B1081),MONTH(B1081),1)</f>
        <v>45809</v>
      </c>
      <c r="K1081" s="41" t="n">
        <f aca="false">D1081*E1081</f>
        <v>101.4</v>
      </c>
      <c r="L1081" s="41" t="n">
        <f aca="false">D1081*I1081</f>
        <v>42</v>
      </c>
      <c r="M1081" s="41" t="n">
        <f aca="false">IFERROR(INDEX(Raw_Expenses!$C$5:$C$2979,MATCH(A1081,Raw_Expenses!$A$5:$A$2979,0)),0)</f>
        <v>8.61</v>
      </c>
      <c r="N1081" s="41" t="n">
        <f aca="false">L1081+M1081</f>
        <v>50.61</v>
      </c>
      <c r="O1081" s="41" t="n">
        <f aca="false">K1081-N1081</f>
        <v>50.79</v>
      </c>
      <c r="P1081" s="43" t="n">
        <f aca="false">IF(K1081=0,0,O1081/K1081)</f>
        <v>0.500887573964497</v>
      </c>
    </row>
    <row r="1082" customFormat="false" ht="15" hidden="false" customHeight="false" outlineLevel="0" collapsed="false">
      <c r="A1082" s="39" t="s">
        <v>1204</v>
      </c>
      <c r="B1082" s="40" t="n">
        <v>45813</v>
      </c>
      <c r="C1082" s="39" t="s">
        <v>104</v>
      </c>
      <c r="D1082" s="39" t="n">
        <v>1</v>
      </c>
      <c r="E1082" s="41" t="n">
        <v>15.22</v>
      </c>
      <c r="F1082" s="39" t="s">
        <v>108</v>
      </c>
      <c r="G1082" s="39" t="str">
        <f aca="false">VLOOKUP(C1082,Products!$A$5:$D$24,2,FALSE())</f>
        <v>Water Bottle</v>
      </c>
      <c r="H1082" s="39" t="str">
        <f aca="false">VLOOKUP(C1082,Products!$A$5:$D$24,3,FALSE())</f>
        <v>Accessories</v>
      </c>
      <c r="I1082" s="41" t="n">
        <f aca="false">VLOOKUP(C1082,Products!$A$5:$D$24,4,FALSE())</f>
        <v>5</v>
      </c>
      <c r="J1082" s="42" t="n">
        <f aca="false">DATE(YEAR(B1082),MONTH(B1082),1)</f>
        <v>45809</v>
      </c>
      <c r="K1082" s="41" t="n">
        <f aca="false">D1082*E1082</f>
        <v>15.22</v>
      </c>
      <c r="L1082" s="41" t="n">
        <f aca="false">D1082*I1082</f>
        <v>5</v>
      </c>
      <c r="M1082" s="41" t="n">
        <f aca="false">IFERROR(INDEX(Raw_Expenses!$C$5:$C$2979,MATCH(A1082,Raw_Expenses!$A$5:$A$2979,0)),0)</f>
        <v>0.9</v>
      </c>
      <c r="N1082" s="41" t="n">
        <f aca="false">L1082+M1082</f>
        <v>5.9</v>
      </c>
      <c r="O1082" s="41" t="n">
        <f aca="false">K1082-N1082</f>
        <v>9.32</v>
      </c>
      <c r="P1082" s="43" t="n">
        <f aca="false">IF(K1082=0,0,O1082/K1082)</f>
        <v>0.612352168199737</v>
      </c>
    </row>
    <row r="1083" customFormat="false" ht="15" hidden="false" customHeight="false" outlineLevel="0" collapsed="false">
      <c r="A1083" s="39" t="s">
        <v>1205</v>
      </c>
      <c r="B1083" s="40" t="n">
        <v>45813</v>
      </c>
      <c r="C1083" s="39" t="s">
        <v>130</v>
      </c>
      <c r="D1083" s="39" t="n">
        <v>2</v>
      </c>
      <c r="E1083" s="41" t="n">
        <v>8.82</v>
      </c>
      <c r="F1083" s="39" t="s">
        <v>105</v>
      </c>
      <c r="G1083" s="39" t="str">
        <f aca="false">VLOOKUP(C1083,Products!$A$5:$D$24,2,FALSE())</f>
        <v>Notebook Set</v>
      </c>
      <c r="H1083" s="39" t="str">
        <f aca="false">VLOOKUP(C1083,Products!$A$5:$D$24,3,FALSE())</f>
        <v>Stationery</v>
      </c>
      <c r="I1083" s="41" t="n">
        <f aca="false">VLOOKUP(C1083,Products!$A$5:$D$24,4,FALSE())</f>
        <v>3</v>
      </c>
      <c r="J1083" s="42" t="n">
        <f aca="false">DATE(YEAR(B1083),MONTH(B1083),1)</f>
        <v>45809</v>
      </c>
      <c r="K1083" s="41" t="n">
        <f aca="false">D1083*E1083</f>
        <v>17.64</v>
      </c>
      <c r="L1083" s="41" t="n">
        <f aca="false">D1083*I1083</f>
        <v>6</v>
      </c>
      <c r="M1083" s="41" t="n">
        <f aca="false">IFERROR(INDEX(Raw_Expenses!$C$5:$C$2979,MATCH(A1083,Raw_Expenses!$A$5:$A$2979,0)),0)</f>
        <v>0.71</v>
      </c>
      <c r="N1083" s="41" t="n">
        <f aca="false">L1083+M1083</f>
        <v>6.71</v>
      </c>
      <c r="O1083" s="41" t="n">
        <f aca="false">K1083-N1083</f>
        <v>10.93</v>
      </c>
      <c r="P1083" s="43" t="n">
        <f aca="false">IF(K1083=0,0,O1083/K1083)</f>
        <v>0.619614512471655</v>
      </c>
    </row>
    <row r="1084" customFormat="false" ht="15" hidden="false" customHeight="false" outlineLevel="0" collapsed="false">
      <c r="A1084" s="39" t="s">
        <v>1206</v>
      </c>
      <c r="B1084" s="40" t="n">
        <v>45814</v>
      </c>
      <c r="C1084" s="39" t="s">
        <v>183</v>
      </c>
      <c r="D1084" s="39" t="n">
        <v>2</v>
      </c>
      <c r="E1084" s="41" t="n">
        <v>177.86</v>
      </c>
      <c r="F1084" s="39" t="s">
        <v>115</v>
      </c>
      <c r="G1084" s="39" t="str">
        <f aca="false">VLOOKUP(C1084,Products!$A$5:$D$24,2,FALSE())</f>
        <v>Office Chair</v>
      </c>
      <c r="H1084" s="39" t="str">
        <f aca="false">VLOOKUP(C1084,Products!$A$5:$D$24,3,FALSE())</f>
        <v>Furniture</v>
      </c>
      <c r="I1084" s="41" t="n">
        <f aca="false">VLOOKUP(C1084,Products!$A$5:$D$24,4,FALSE())</f>
        <v>85</v>
      </c>
      <c r="J1084" s="42" t="n">
        <f aca="false">DATE(YEAR(B1084),MONTH(B1084),1)</f>
        <v>45809</v>
      </c>
      <c r="K1084" s="41" t="n">
        <f aca="false">D1084*E1084</f>
        <v>355.72</v>
      </c>
      <c r="L1084" s="41" t="n">
        <f aca="false">D1084*I1084</f>
        <v>170</v>
      </c>
      <c r="M1084" s="41" t="n">
        <f aca="false">IFERROR(INDEX(Raw_Expenses!$C$5:$C$2979,MATCH(A1084,Raw_Expenses!$A$5:$A$2979,0)),0)</f>
        <v>26.13</v>
      </c>
      <c r="N1084" s="41" t="n">
        <f aca="false">L1084+M1084</f>
        <v>196.13</v>
      </c>
      <c r="O1084" s="41" t="n">
        <f aca="false">K1084-N1084</f>
        <v>159.59</v>
      </c>
      <c r="P1084" s="43" t="n">
        <f aca="false">IF(K1084=0,0,O1084/K1084)</f>
        <v>0.44863937928708</v>
      </c>
    </row>
    <row r="1085" customFormat="false" ht="15" hidden="false" customHeight="false" outlineLevel="0" collapsed="false">
      <c r="A1085" s="39" t="s">
        <v>1207</v>
      </c>
      <c r="B1085" s="40" t="n">
        <v>45814</v>
      </c>
      <c r="C1085" s="39" t="s">
        <v>169</v>
      </c>
      <c r="D1085" s="39" t="n">
        <v>5</v>
      </c>
      <c r="E1085" s="41" t="n">
        <v>27.75</v>
      </c>
      <c r="F1085" s="39" t="s">
        <v>108</v>
      </c>
      <c r="G1085" s="39" t="str">
        <f aca="false">VLOOKUP(C1085,Products!$A$5:$D$24,2,FALSE())</f>
        <v>Laptop Stand</v>
      </c>
      <c r="H1085" s="39" t="str">
        <f aca="false">VLOOKUP(C1085,Products!$A$5:$D$24,3,FALSE())</f>
        <v>Accessories</v>
      </c>
      <c r="I1085" s="41" t="n">
        <f aca="false">VLOOKUP(C1085,Products!$A$5:$D$24,4,FALSE())</f>
        <v>11</v>
      </c>
      <c r="J1085" s="42" t="n">
        <f aca="false">DATE(YEAR(B1085),MONTH(B1085),1)</f>
        <v>45809</v>
      </c>
      <c r="K1085" s="41" t="n">
        <f aca="false">D1085*E1085</f>
        <v>138.75</v>
      </c>
      <c r="L1085" s="41" t="n">
        <f aca="false">D1085*I1085</f>
        <v>55</v>
      </c>
      <c r="M1085" s="41" t="n">
        <f aca="false">IFERROR(INDEX(Raw_Expenses!$C$5:$C$2979,MATCH(A1085,Raw_Expenses!$A$5:$A$2979,0)),0)</f>
        <v>10.14</v>
      </c>
      <c r="N1085" s="41" t="n">
        <f aca="false">L1085+M1085</f>
        <v>65.14</v>
      </c>
      <c r="O1085" s="41" t="n">
        <f aca="false">K1085-N1085</f>
        <v>73.61</v>
      </c>
      <c r="P1085" s="43" t="n">
        <f aca="false">IF(K1085=0,0,O1085/K1085)</f>
        <v>0.530522522522523</v>
      </c>
    </row>
    <row r="1086" customFormat="false" ht="15" hidden="false" customHeight="false" outlineLevel="0" collapsed="false">
      <c r="A1086" s="39" t="s">
        <v>1208</v>
      </c>
      <c r="B1086" s="40" t="n">
        <v>45814</v>
      </c>
      <c r="C1086" s="39" t="s">
        <v>112</v>
      </c>
      <c r="D1086" s="39" t="n">
        <v>2</v>
      </c>
      <c r="E1086" s="41" t="n">
        <v>51.94</v>
      </c>
      <c r="F1086" s="39" t="s">
        <v>105</v>
      </c>
      <c r="G1086" s="39" t="str">
        <f aca="false">VLOOKUP(C1086,Products!$A$5:$D$24,2,FALSE())</f>
        <v>HD Webcam</v>
      </c>
      <c r="H1086" s="39" t="str">
        <f aca="false">VLOOKUP(C1086,Products!$A$5:$D$24,3,FALSE())</f>
        <v>Electronics</v>
      </c>
      <c r="I1086" s="41" t="n">
        <f aca="false">VLOOKUP(C1086,Products!$A$5:$D$24,4,FALSE())</f>
        <v>22</v>
      </c>
      <c r="J1086" s="42" t="n">
        <f aca="false">DATE(YEAR(B1086),MONTH(B1086),1)</f>
        <v>45809</v>
      </c>
      <c r="K1086" s="41" t="n">
        <f aca="false">D1086*E1086</f>
        <v>103.88</v>
      </c>
      <c r="L1086" s="41" t="n">
        <f aca="false">D1086*I1086</f>
        <v>44</v>
      </c>
      <c r="M1086" s="41" t="n">
        <f aca="false">IFERROR(INDEX(Raw_Expenses!$C$5:$C$2979,MATCH(A1086,Raw_Expenses!$A$5:$A$2979,0)),0)</f>
        <v>8.94</v>
      </c>
      <c r="N1086" s="41" t="n">
        <f aca="false">L1086+M1086</f>
        <v>52.94</v>
      </c>
      <c r="O1086" s="41" t="n">
        <f aca="false">K1086-N1086</f>
        <v>50.94</v>
      </c>
      <c r="P1086" s="43" t="n">
        <f aca="false">IF(K1086=0,0,O1086/K1086)</f>
        <v>0.490373507893724</v>
      </c>
    </row>
    <row r="1087" customFormat="false" ht="15" hidden="false" customHeight="false" outlineLevel="0" collapsed="false">
      <c r="A1087" s="39" t="s">
        <v>1209</v>
      </c>
      <c r="B1087" s="40" t="n">
        <v>45814</v>
      </c>
      <c r="C1087" s="39" t="s">
        <v>130</v>
      </c>
      <c r="D1087" s="39" t="n">
        <v>5</v>
      </c>
      <c r="E1087" s="41" t="n">
        <v>8.61</v>
      </c>
      <c r="F1087" s="39" t="s">
        <v>118</v>
      </c>
      <c r="G1087" s="39" t="str">
        <f aca="false">VLOOKUP(C1087,Products!$A$5:$D$24,2,FALSE())</f>
        <v>Notebook Set</v>
      </c>
      <c r="H1087" s="39" t="str">
        <f aca="false">VLOOKUP(C1087,Products!$A$5:$D$24,3,FALSE())</f>
        <v>Stationery</v>
      </c>
      <c r="I1087" s="41" t="n">
        <f aca="false">VLOOKUP(C1087,Products!$A$5:$D$24,4,FALSE())</f>
        <v>3</v>
      </c>
      <c r="J1087" s="42" t="n">
        <f aca="false">DATE(YEAR(B1087),MONTH(B1087),1)</f>
        <v>45809</v>
      </c>
      <c r="K1087" s="41" t="n">
        <f aca="false">D1087*E1087</f>
        <v>43.05</v>
      </c>
      <c r="L1087" s="41" t="n">
        <f aca="false">D1087*I1087</f>
        <v>15</v>
      </c>
      <c r="M1087" s="41" t="n">
        <f aca="false">IFERROR(INDEX(Raw_Expenses!$C$5:$C$2979,MATCH(A1087,Raw_Expenses!$A$5:$A$2979,0)),0)</f>
        <v>2.71</v>
      </c>
      <c r="N1087" s="41" t="n">
        <f aca="false">L1087+M1087</f>
        <v>17.71</v>
      </c>
      <c r="O1087" s="41" t="n">
        <f aca="false">K1087-N1087</f>
        <v>25.34</v>
      </c>
      <c r="P1087" s="43" t="n">
        <f aca="false">IF(K1087=0,0,O1087/K1087)</f>
        <v>0.588617886178862</v>
      </c>
    </row>
    <row r="1088" customFormat="false" ht="15" hidden="false" customHeight="false" outlineLevel="0" collapsed="false">
      <c r="A1088" s="39" t="s">
        <v>1210</v>
      </c>
      <c r="B1088" s="40" t="n">
        <v>45814</v>
      </c>
      <c r="C1088" s="39" t="s">
        <v>126</v>
      </c>
      <c r="D1088" s="39" t="n">
        <v>3</v>
      </c>
      <c r="E1088" s="41" t="n">
        <v>24.72</v>
      </c>
      <c r="F1088" s="39" t="s">
        <v>105</v>
      </c>
      <c r="G1088" s="39" t="str">
        <f aca="false">VLOOKUP(C1088,Products!$A$5:$D$24,2,FALSE())</f>
        <v>Wireless Mouse</v>
      </c>
      <c r="H1088" s="39" t="str">
        <f aca="false">VLOOKUP(C1088,Products!$A$5:$D$24,3,FALSE())</f>
        <v>Electronics</v>
      </c>
      <c r="I1088" s="41" t="n">
        <f aca="false">VLOOKUP(C1088,Products!$A$5:$D$24,4,FALSE())</f>
        <v>12</v>
      </c>
      <c r="J1088" s="42" t="n">
        <f aca="false">DATE(YEAR(B1088),MONTH(B1088),1)</f>
        <v>45809</v>
      </c>
      <c r="K1088" s="41" t="n">
        <f aca="false">D1088*E1088</f>
        <v>74.16</v>
      </c>
      <c r="L1088" s="41" t="n">
        <f aca="false">D1088*I1088</f>
        <v>36</v>
      </c>
      <c r="M1088" s="41" t="n">
        <f aca="false">IFERROR(INDEX(Raw_Expenses!$C$5:$C$2979,MATCH(A1088,Raw_Expenses!$A$5:$A$2979,0)),0)</f>
        <v>6.66</v>
      </c>
      <c r="N1088" s="41" t="n">
        <f aca="false">L1088+M1088</f>
        <v>42.66</v>
      </c>
      <c r="O1088" s="41" t="n">
        <f aca="false">K1088-N1088</f>
        <v>31.5</v>
      </c>
      <c r="P1088" s="43" t="n">
        <f aca="false">IF(K1088=0,0,O1088/K1088)</f>
        <v>0.424757281553398</v>
      </c>
    </row>
    <row r="1089" customFormat="false" ht="15" hidden="false" customHeight="false" outlineLevel="0" collapsed="false">
      <c r="A1089" s="39" t="s">
        <v>1211</v>
      </c>
      <c r="B1089" s="40" t="n">
        <v>45814</v>
      </c>
      <c r="C1089" s="39" t="s">
        <v>130</v>
      </c>
      <c r="D1089" s="39" t="n">
        <v>2</v>
      </c>
      <c r="E1089" s="41" t="n">
        <v>8.43</v>
      </c>
      <c r="F1089" s="39" t="s">
        <v>115</v>
      </c>
      <c r="G1089" s="39" t="str">
        <f aca="false">VLOOKUP(C1089,Products!$A$5:$D$24,2,FALSE())</f>
        <v>Notebook Set</v>
      </c>
      <c r="H1089" s="39" t="str">
        <f aca="false">VLOOKUP(C1089,Products!$A$5:$D$24,3,FALSE())</f>
        <v>Stationery</v>
      </c>
      <c r="I1089" s="41" t="n">
        <f aca="false">VLOOKUP(C1089,Products!$A$5:$D$24,4,FALSE())</f>
        <v>3</v>
      </c>
      <c r="J1089" s="42" t="n">
        <f aca="false">DATE(YEAR(B1089),MONTH(B1089),1)</f>
        <v>45809</v>
      </c>
      <c r="K1089" s="41" t="n">
        <f aca="false">D1089*E1089</f>
        <v>16.86</v>
      </c>
      <c r="L1089" s="41" t="n">
        <f aca="false">D1089*I1089</f>
        <v>6</v>
      </c>
      <c r="M1089" s="41" t="n">
        <f aca="false">IFERROR(INDEX(Raw_Expenses!$C$5:$C$2979,MATCH(A1089,Raw_Expenses!$A$5:$A$2979,0)),0)</f>
        <v>0.9</v>
      </c>
      <c r="N1089" s="41" t="n">
        <f aca="false">L1089+M1089</f>
        <v>6.9</v>
      </c>
      <c r="O1089" s="41" t="n">
        <f aca="false">K1089-N1089</f>
        <v>9.96</v>
      </c>
      <c r="P1089" s="43" t="n">
        <f aca="false">IF(K1089=0,0,O1089/K1089)</f>
        <v>0.590747330960854</v>
      </c>
    </row>
    <row r="1090" customFormat="false" ht="15" hidden="false" customHeight="false" outlineLevel="0" collapsed="false">
      <c r="A1090" s="39" t="s">
        <v>1212</v>
      </c>
      <c r="B1090" s="40" t="n">
        <v>45815</v>
      </c>
      <c r="C1090" s="39" t="s">
        <v>305</v>
      </c>
      <c r="D1090" s="39" t="n">
        <v>1</v>
      </c>
      <c r="E1090" s="41" t="n">
        <v>343.19</v>
      </c>
      <c r="F1090" s="39" t="s">
        <v>108</v>
      </c>
      <c r="G1090" s="39" t="str">
        <f aca="false">VLOOKUP(C1090,Products!$A$5:$D$24,2,FALSE())</f>
        <v>Standing Desk</v>
      </c>
      <c r="H1090" s="39" t="str">
        <f aca="false">VLOOKUP(C1090,Products!$A$5:$D$24,3,FALSE())</f>
        <v>Furniture</v>
      </c>
      <c r="I1090" s="41" t="n">
        <f aca="false">VLOOKUP(C1090,Products!$A$5:$D$24,4,FALSE())</f>
        <v>160</v>
      </c>
      <c r="J1090" s="42" t="n">
        <f aca="false">DATE(YEAR(B1090),MONTH(B1090),1)</f>
        <v>45809</v>
      </c>
      <c r="K1090" s="41" t="n">
        <f aca="false">D1090*E1090</f>
        <v>343.19</v>
      </c>
      <c r="L1090" s="41" t="n">
        <f aca="false">D1090*I1090</f>
        <v>160</v>
      </c>
      <c r="M1090" s="41" t="n">
        <f aca="false">IFERROR(INDEX(Raw_Expenses!$C$5:$C$2979,MATCH(A1090,Raw_Expenses!$A$5:$A$2979,0)),0)</f>
        <v>26.8</v>
      </c>
      <c r="N1090" s="41" t="n">
        <f aca="false">L1090+M1090</f>
        <v>186.8</v>
      </c>
      <c r="O1090" s="41" t="n">
        <f aca="false">K1090-N1090</f>
        <v>156.39</v>
      </c>
      <c r="P1090" s="43" t="n">
        <f aca="false">IF(K1090=0,0,O1090/K1090)</f>
        <v>0.455695096010956</v>
      </c>
    </row>
    <row r="1091" customFormat="false" ht="15" hidden="false" customHeight="false" outlineLevel="0" collapsed="false">
      <c r="A1091" s="39" t="s">
        <v>1213</v>
      </c>
      <c r="B1091" s="40" t="n">
        <v>45815</v>
      </c>
      <c r="C1091" s="39" t="s">
        <v>130</v>
      </c>
      <c r="D1091" s="39" t="n">
        <v>5</v>
      </c>
      <c r="E1091" s="41" t="n">
        <v>8.9</v>
      </c>
      <c r="F1091" s="39" t="s">
        <v>105</v>
      </c>
      <c r="G1091" s="39" t="str">
        <f aca="false">VLOOKUP(C1091,Products!$A$5:$D$24,2,FALSE())</f>
        <v>Notebook Set</v>
      </c>
      <c r="H1091" s="39" t="str">
        <f aca="false">VLOOKUP(C1091,Products!$A$5:$D$24,3,FALSE())</f>
        <v>Stationery</v>
      </c>
      <c r="I1091" s="41" t="n">
        <f aca="false">VLOOKUP(C1091,Products!$A$5:$D$24,4,FALSE())</f>
        <v>3</v>
      </c>
      <c r="J1091" s="42" t="n">
        <f aca="false">DATE(YEAR(B1091),MONTH(B1091),1)</f>
        <v>45809</v>
      </c>
      <c r="K1091" s="41" t="n">
        <f aca="false">D1091*E1091</f>
        <v>44.5</v>
      </c>
      <c r="L1091" s="41" t="n">
        <f aca="false">D1091*I1091</f>
        <v>15</v>
      </c>
      <c r="M1091" s="41" t="n">
        <f aca="false">IFERROR(INDEX(Raw_Expenses!$C$5:$C$2979,MATCH(A1091,Raw_Expenses!$A$5:$A$2979,0)),0)</f>
        <v>2.65</v>
      </c>
      <c r="N1091" s="41" t="n">
        <f aca="false">L1091+M1091</f>
        <v>17.65</v>
      </c>
      <c r="O1091" s="41" t="n">
        <f aca="false">K1091-N1091</f>
        <v>26.85</v>
      </c>
      <c r="P1091" s="43" t="n">
        <f aca="false">IF(K1091=0,0,O1091/K1091)</f>
        <v>0.603370786516854</v>
      </c>
    </row>
    <row r="1092" customFormat="false" ht="15" hidden="false" customHeight="false" outlineLevel="0" collapsed="false">
      <c r="A1092" s="39" t="s">
        <v>1214</v>
      </c>
      <c r="B1092" s="40" t="n">
        <v>45815</v>
      </c>
      <c r="C1092" s="39" t="s">
        <v>177</v>
      </c>
      <c r="D1092" s="39" t="n">
        <v>5</v>
      </c>
      <c r="E1092" s="41" t="n">
        <v>42.25</v>
      </c>
      <c r="F1092" s="39" t="s">
        <v>108</v>
      </c>
      <c r="G1092" s="39" t="str">
        <f aca="false">VLOOKUP(C1092,Products!$A$5:$D$24,2,FALSE())</f>
        <v>Backpack</v>
      </c>
      <c r="H1092" s="39" t="str">
        <f aca="false">VLOOKUP(C1092,Products!$A$5:$D$24,3,FALSE())</f>
        <v>Accessories</v>
      </c>
      <c r="I1092" s="41" t="n">
        <f aca="false">VLOOKUP(C1092,Products!$A$5:$D$24,4,FALSE())</f>
        <v>17</v>
      </c>
      <c r="J1092" s="42" t="n">
        <f aca="false">DATE(YEAR(B1092),MONTH(B1092),1)</f>
        <v>45809</v>
      </c>
      <c r="K1092" s="41" t="n">
        <f aca="false">D1092*E1092</f>
        <v>211.25</v>
      </c>
      <c r="L1092" s="41" t="n">
        <f aca="false">D1092*I1092</f>
        <v>85</v>
      </c>
      <c r="M1092" s="41" t="n">
        <f aca="false">IFERROR(INDEX(Raw_Expenses!$C$5:$C$2979,MATCH(A1092,Raw_Expenses!$A$5:$A$2979,0)),0)</f>
        <v>12.88</v>
      </c>
      <c r="N1092" s="41" t="n">
        <f aca="false">L1092+M1092</f>
        <v>97.88</v>
      </c>
      <c r="O1092" s="41" t="n">
        <f aca="false">K1092-N1092</f>
        <v>113.37</v>
      </c>
      <c r="P1092" s="43" t="n">
        <f aca="false">IF(K1092=0,0,O1092/K1092)</f>
        <v>0.536662721893491</v>
      </c>
    </row>
    <row r="1093" customFormat="false" ht="15" hidden="false" customHeight="false" outlineLevel="0" collapsed="false">
      <c r="A1093" s="39" t="s">
        <v>1215</v>
      </c>
      <c r="B1093" s="40" t="n">
        <v>45815</v>
      </c>
      <c r="C1093" s="39" t="s">
        <v>130</v>
      </c>
      <c r="D1093" s="39" t="n">
        <v>2</v>
      </c>
      <c r="E1093" s="41" t="n">
        <v>8.92</v>
      </c>
      <c r="F1093" s="39" t="s">
        <v>108</v>
      </c>
      <c r="G1093" s="39" t="str">
        <f aca="false">VLOOKUP(C1093,Products!$A$5:$D$24,2,FALSE())</f>
        <v>Notebook Set</v>
      </c>
      <c r="H1093" s="39" t="str">
        <f aca="false">VLOOKUP(C1093,Products!$A$5:$D$24,3,FALSE())</f>
        <v>Stationery</v>
      </c>
      <c r="I1093" s="41" t="n">
        <f aca="false">VLOOKUP(C1093,Products!$A$5:$D$24,4,FALSE())</f>
        <v>3</v>
      </c>
      <c r="J1093" s="42" t="n">
        <f aca="false">DATE(YEAR(B1093),MONTH(B1093),1)</f>
        <v>45809</v>
      </c>
      <c r="K1093" s="41" t="n">
        <f aca="false">D1093*E1093</f>
        <v>17.84</v>
      </c>
      <c r="L1093" s="41" t="n">
        <f aca="false">D1093*I1093</f>
        <v>6</v>
      </c>
      <c r="M1093" s="41" t="n">
        <f aca="false">IFERROR(INDEX(Raw_Expenses!$C$5:$C$2979,MATCH(A1093,Raw_Expenses!$A$5:$A$2979,0)),0)</f>
        <v>1.2</v>
      </c>
      <c r="N1093" s="41" t="n">
        <f aca="false">L1093+M1093</f>
        <v>7.2</v>
      </c>
      <c r="O1093" s="41" t="n">
        <f aca="false">K1093-N1093</f>
        <v>10.64</v>
      </c>
      <c r="P1093" s="43" t="n">
        <f aca="false">IF(K1093=0,0,O1093/K1093)</f>
        <v>0.596412556053812</v>
      </c>
    </row>
    <row r="1094" customFormat="false" ht="15" hidden="false" customHeight="false" outlineLevel="0" collapsed="false">
      <c r="A1094" s="39" t="s">
        <v>1216</v>
      </c>
      <c r="B1094" s="40" t="n">
        <v>45815</v>
      </c>
      <c r="C1094" s="39" t="s">
        <v>126</v>
      </c>
      <c r="D1094" s="39" t="n">
        <v>1</v>
      </c>
      <c r="E1094" s="41" t="n">
        <v>23.55</v>
      </c>
      <c r="F1094" s="39" t="s">
        <v>108</v>
      </c>
      <c r="G1094" s="39" t="str">
        <f aca="false">VLOOKUP(C1094,Products!$A$5:$D$24,2,FALSE())</f>
        <v>Wireless Mouse</v>
      </c>
      <c r="H1094" s="39" t="str">
        <f aca="false">VLOOKUP(C1094,Products!$A$5:$D$24,3,FALSE())</f>
        <v>Electronics</v>
      </c>
      <c r="I1094" s="41" t="n">
        <f aca="false">VLOOKUP(C1094,Products!$A$5:$D$24,4,FALSE())</f>
        <v>12</v>
      </c>
      <c r="J1094" s="42" t="n">
        <f aca="false">DATE(YEAR(B1094),MONTH(B1094),1)</f>
        <v>45809</v>
      </c>
      <c r="K1094" s="41" t="n">
        <f aca="false">D1094*E1094</f>
        <v>23.55</v>
      </c>
      <c r="L1094" s="41" t="n">
        <f aca="false">D1094*I1094</f>
        <v>12</v>
      </c>
      <c r="M1094" s="41" t="n">
        <f aca="false">IFERROR(INDEX(Raw_Expenses!$C$5:$C$2979,MATCH(A1094,Raw_Expenses!$A$5:$A$2979,0)),0)</f>
        <v>1.23</v>
      </c>
      <c r="N1094" s="41" t="n">
        <f aca="false">L1094+M1094</f>
        <v>13.23</v>
      </c>
      <c r="O1094" s="41" t="n">
        <f aca="false">K1094-N1094</f>
        <v>10.32</v>
      </c>
      <c r="P1094" s="43" t="n">
        <f aca="false">IF(K1094=0,0,O1094/K1094)</f>
        <v>0.438216560509554</v>
      </c>
    </row>
    <row r="1095" customFormat="false" ht="15" hidden="false" customHeight="false" outlineLevel="0" collapsed="false">
      <c r="A1095" s="39" t="s">
        <v>1217</v>
      </c>
      <c r="B1095" s="40" t="n">
        <v>45815</v>
      </c>
      <c r="C1095" s="39" t="s">
        <v>117</v>
      </c>
      <c r="D1095" s="39" t="n">
        <v>8</v>
      </c>
      <c r="E1095" s="41" t="n">
        <v>31.76</v>
      </c>
      <c r="F1095" s="39" t="s">
        <v>108</v>
      </c>
      <c r="G1095" s="39" t="str">
        <f aca="false">VLOOKUP(C1095,Products!$A$5:$D$24,2,FALSE())</f>
        <v>Desk Lamp</v>
      </c>
      <c r="H1095" s="39" t="str">
        <f aca="false">VLOOKUP(C1095,Products!$A$5:$D$24,3,FALSE())</f>
        <v>Furniture</v>
      </c>
      <c r="I1095" s="41" t="n">
        <f aca="false">VLOOKUP(C1095,Products!$A$5:$D$24,4,FALSE())</f>
        <v>13</v>
      </c>
      <c r="J1095" s="42" t="n">
        <f aca="false">DATE(YEAR(B1095),MONTH(B1095),1)</f>
        <v>45809</v>
      </c>
      <c r="K1095" s="41" t="n">
        <f aca="false">D1095*E1095</f>
        <v>254.08</v>
      </c>
      <c r="L1095" s="41" t="n">
        <f aca="false">D1095*I1095</f>
        <v>104</v>
      </c>
      <c r="M1095" s="41" t="n">
        <f aca="false">IFERROR(INDEX(Raw_Expenses!$C$5:$C$2979,MATCH(A1095,Raw_Expenses!$A$5:$A$2979,0)),0)</f>
        <v>11.42</v>
      </c>
      <c r="N1095" s="41" t="n">
        <f aca="false">L1095+M1095</f>
        <v>115.42</v>
      </c>
      <c r="O1095" s="41" t="n">
        <f aca="false">K1095-N1095</f>
        <v>138.66</v>
      </c>
      <c r="P1095" s="43" t="n">
        <f aca="false">IF(K1095=0,0,O1095/K1095)</f>
        <v>0.54573362720403</v>
      </c>
    </row>
    <row r="1096" customFormat="false" ht="15" hidden="false" customHeight="false" outlineLevel="0" collapsed="false">
      <c r="A1096" s="39" t="s">
        <v>1218</v>
      </c>
      <c r="B1096" s="40" t="n">
        <v>45815</v>
      </c>
      <c r="C1096" s="39" t="s">
        <v>104</v>
      </c>
      <c r="D1096" s="39" t="n">
        <v>5</v>
      </c>
      <c r="E1096" s="41" t="n">
        <v>15.56</v>
      </c>
      <c r="F1096" s="39" t="s">
        <v>108</v>
      </c>
      <c r="G1096" s="39" t="str">
        <f aca="false">VLOOKUP(C1096,Products!$A$5:$D$24,2,FALSE())</f>
        <v>Water Bottle</v>
      </c>
      <c r="H1096" s="39" t="str">
        <f aca="false">VLOOKUP(C1096,Products!$A$5:$D$24,3,FALSE())</f>
        <v>Accessories</v>
      </c>
      <c r="I1096" s="41" t="n">
        <f aca="false">VLOOKUP(C1096,Products!$A$5:$D$24,4,FALSE())</f>
        <v>5</v>
      </c>
      <c r="J1096" s="42" t="n">
        <f aca="false">DATE(YEAR(B1096),MONTH(B1096),1)</f>
        <v>45809</v>
      </c>
      <c r="K1096" s="41" t="n">
        <f aca="false">D1096*E1096</f>
        <v>77.8</v>
      </c>
      <c r="L1096" s="41" t="n">
        <f aca="false">D1096*I1096</f>
        <v>25</v>
      </c>
      <c r="M1096" s="41" t="n">
        <f aca="false">IFERROR(INDEX(Raw_Expenses!$C$5:$C$2979,MATCH(A1096,Raw_Expenses!$A$5:$A$2979,0)),0)</f>
        <v>6.83</v>
      </c>
      <c r="N1096" s="41" t="n">
        <f aca="false">L1096+M1096</f>
        <v>31.83</v>
      </c>
      <c r="O1096" s="41" t="n">
        <f aca="false">K1096-N1096</f>
        <v>45.97</v>
      </c>
      <c r="P1096" s="43" t="n">
        <f aca="false">IF(K1096=0,0,O1096/K1096)</f>
        <v>0.590874035989717</v>
      </c>
    </row>
    <row r="1097" customFormat="false" ht="15" hidden="false" customHeight="false" outlineLevel="0" collapsed="false">
      <c r="A1097" s="39" t="s">
        <v>1219</v>
      </c>
      <c r="B1097" s="40" t="n">
        <v>45815</v>
      </c>
      <c r="C1097" s="39" t="s">
        <v>114</v>
      </c>
      <c r="D1097" s="39" t="n">
        <v>2</v>
      </c>
      <c r="E1097" s="41" t="n">
        <v>5.94</v>
      </c>
      <c r="F1097" s="39" t="s">
        <v>118</v>
      </c>
      <c r="G1097" s="39" t="str">
        <f aca="false">VLOOKUP(C1097,Products!$A$5:$D$24,2,FALSE())</f>
        <v>Gel Pen Pack</v>
      </c>
      <c r="H1097" s="39" t="str">
        <f aca="false">VLOOKUP(C1097,Products!$A$5:$D$24,3,FALSE())</f>
        <v>Stationery</v>
      </c>
      <c r="I1097" s="41" t="n">
        <f aca="false">VLOOKUP(C1097,Products!$A$5:$D$24,4,FALSE())</f>
        <v>2</v>
      </c>
      <c r="J1097" s="42" t="n">
        <f aca="false">DATE(YEAR(B1097),MONTH(B1097),1)</f>
        <v>45809</v>
      </c>
      <c r="K1097" s="41" t="n">
        <f aca="false">D1097*E1097</f>
        <v>11.88</v>
      </c>
      <c r="L1097" s="41" t="n">
        <f aca="false">D1097*I1097</f>
        <v>4</v>
      </c>
      <c r="M1097" s="41" t="n">
        <f aca="false">IFERROR(INDEX(Raw_Expenses!$C$5:$C$2979,MATCH(A1097,Raw_Expenses!$A$5:$A$2979,0)),0)</f>
        <v>0.98</v>
      </c>
      <c r="N1097" s="41" t="n">
        <f aca="false">L1097+M1097</f>
        <v>4.98</v>
      </c>
      <c r="O1097" s="41" t="n">
        <f aca="false">K1097-N1097</f>
        <v>6.9</v>
      </c>
      <c r="P1097" s="43" t="n">
        <f aca="false">IF(K1097=0,0,O1097/K1097)</f>
        <v>0.580808080808081</v>
      </c>
    </row>
    <row r="1098" customFormat="false" ht="15" hidden="false" customHeight="false" outlineLevel="0" collapsed="false">
      <c r="A1098" s="39" t="s">
        <v>1220</v>
      </c>
      <c r="B1098" s="40" t="n">
        <v>45815</v>
      </c>
      <c r="C1098" s="39" t="s">
        <v>130</v>
      </c>
      <c r="D1098" s="39" t="n">
        <v>4</v>
      </c>
      <c r="E1098" s="41" t="n">
        <v>8.86</v>
      </c>
      <c r="F1098" s="39" t="s">
        <v>115</v>
      </c>
      <c r="G1098" s="39" t="str">
        <f aca="false">VLOOKUP(C1098,Products!$A$5:$D$24,2,FALSE())</f>
        <v>Notebook Set</v>
      </c>
      <c r="H1098" s="39" t="str">
        <f aca="false">VLOOKUP(C1098,Products!$A$5:$D$24,3,FALSE())</f>
        <v>Stationery</v>
      </c>
      <c r="I1098" s="41" t="n">
        <f aca="false">VLOOKUP(C1098,Products!$A$5:$D$24,4,FALSE())</f>
        <v>3</v>
      </c>
      <c r="J1098" s="42" t="n">
        <f aca="false">DATE(YEAR(B1098),MONTH(B1098),1)</f>
        <v>45809</v>
      </c>
      <c r="K1098" s="41" t="n">
        <f aca="false">D1098*E1098</f>
        <v>35.44</v>
      </c>
      <c r="L1098" s="41" t="n">
        <f aca="false">D1098*I1098</f>
        <v>12</v>
      </c>
      <c r="M1098" s="41" t="n">
        <f aca="false">IFERROR(INDEX(Raw_Expenses!$C$5:$C$2979,MATCH(A1098,Raw_Expenses!$A$5:$A$2979,0)),0)</f>
        <v>1.86</v>
      </c>
      <c r="N1098" s="41" t="n">
        <f aca="false">L1098+M1098</f>
        <v>13.86</v>
      </c>
      <c r="O1098" s="41" t="n">
        <f aca="false">K1098-N1098</f>
        <v>21.58</v>
      </c>
      <c r="P1098" s="43" t="n">
        <f aca="false">IF(K1098=0,0,O1098/K1098)</f>
        <v>0.608916478555305</v>
      </c>
    </row>
    <row r="1099" customFormat="false" ht="15" hidden="false" customHeight="false" outlineLevel="0" collapsed="false">
      <c r="A1099" s="39" t="s">
        <v>1221</v>
      </c>
      <c r="B1099" s="40" t="n">
        <v>45816</v>
      </c>
      <c r="C1099" s="39" t="s">
        <v>110</v>
      </c>
      <c r="D1099" s="39" t="n">
        <v>2</v>
      </c>
      <c r="E1099" s="41" t="n">
        <v>13.72</v>
      </c>
      <c r="F1099" s="39" t="s">
        <v>118</v>
      </c>
      <c r="G1099" s="39" t="str">
        <f aca="false">VLOOKUP(C1099,Products!$A$5:$D$24,2,FALSE())</f>
        <v>Phone Stand</v>
      </c>
      <c r="H1099" s="39" t="str">
        <f aca="false">VLOOKUP(C1099,Products!$A$5:$D$24,3,FALSE())</f>
        <v>Accessories</v>
      </c>
      <c r="I1099" s="41" t="n">
        <f aca="false">VLOOKUP(C1099,Products!$A$5:$D$24,4,FALSE())</f>
        <v>4</v>
      </c>
      <c r="J1099" s="42" t="n">
        <f aca="false">DATE(YEAR(B1099),MONTH(B1099),1)</f>
        <v>45809</v>
      </c>
      <c r="K1099" s="41" t="n">
        <f aca="false">D1099*E1099</f>
        <v>27.44</v>
      </c>
      <c r="L1099" s="41" t="n">
        <f aca="false">D1099*I1099</f>
        <v>8</v>
      </c>
      <c r="M1099" s="41" t="n">
        <f aca="false">IFERROR(INDEX(Raw_Expenses!$C$5:$C$2979,MATCH(A1099,Raw_Expenses!$A$5:$A$2979,0)),0)</f>
        <v>2.07</v>
      </c>
      <c r="N1099" s="41" t="n">
        <f aca="false">L1099+M1099</f>
        <v>10.07</v>
      </c>
      <c r="O1099" s="41" t="n">
        <f aca="false">K1099-N1099</f>
        <v>17.37</v>
      </c>
      <c r="P1099" s="43" t="n">
        <f aca="false">IF(K1099=0,0,O1099/K1099)</f>
        <v>0.63301749271137</v>
      </c>
    </row>
    <row r="1100" customFormat="false" ht="15" hidden="false" customHeight="false" outlineLevel="0" collapsed="false">
      <c r="A1100" s="39" t="s">
        <v>1222</v>
      </c>
      <c r="B1100" s="40" t="n">
        <v>45816</v>
      </c>
      <c r="C1100" s="39" t="s">
        <v>183</v>
      </c>
      <c r="D1100" s="39" t="n">
        <v>1</v>
      </c>
      <c r="E1100" s="41" t="n">
        <v>185.18</v>
      </c>
      <c r="F1100" s="39" t="s">
        <v>105</v>
      </c>
      <c r="G1100" s="39" t="str">
        <f aca="false">VLOOKUP(C1100,Products!$A$5:$D$24,2,FALSE())</f>
        <v>Office Chair</v>
      </c>
      <c r="H1100" s="39" t="str">
        <f aca="false">VLOOKUP(C1100,Products!$A$5:$D$24,3,FALSE())</f>
        <v>Furniture</v>
      </c>
      <c r="I1100" s="41" t="n">
        <f aca="false">VLOOKUP(C1100,Products!$A$5:$D$24,4,FALSE())</f>
        <v>85</v>
      </c>
      <c r="J1100" s="42" t="n">
        <f aca="false">DATE(YEAR(B1100),MONTH(B1100),1)</f>
        <v>45809</v>
      </c>
      <c r="K1100" s="41" t="n">
        <f aca="false">D1100*E1100</f>
        <v>185.18</v>
      </c>
      <c r="L1100" s="41" t="n">
        <f aca="false">D1100*I1100</f>
        <v>85</v>
      </c>
      <c r="M1100" s="41" t="n">
        <f aca="false">IFERROR(INDEX(Raw_Expenses!$C$5:$C$2979,MATCH(A1100,Raw_Expenses!$A$5:$A$2979,0)),0)</f>
        <v>12.44</v>
      </c>
      <c r="N1100" s="41" t="n">
        <f aca="false">L1100+M1100</f>
        <v>97.44</v>
      </c>
      <c r="O1100" s="41" t="n">
        <f aca="false">K1100-N1100</f>
        <v>87.74</v>
      </c>
      <c r="P1100" s="43" t="n">
        <f aca="false">IF(K1100=0,0,O1100/K1100)</f>
        <v>0.473809266659467</v>
      </c>
    </row>
    <row r="1101" customFormat="false" ht="15" hidden="false" customHeight="false" outlineLevel="0" collapsed="false">
      <c r="A1101" s="39" t="s">
        <v>1223</v>
      </c>
      <c r="B1101" s="40" t="n">
        <v>45816</v>
      </c>
      <c r="C1101" s="39" t="s">
        <v>139</v>
      </c>
      <c r="D1101" s="39" t="n">
        <v>3</v>
      </c>
      <c r="E1101" s="41" t="n">
        <v>119.96</v>
      </c>
      <c r="F1101" s="39" t="s">
        <v>108</v>
      </c>
      <c r="G1101" s="39" t="str">
        <f aca="false">VLOOKUP(C1101,Products!$A$5:$D$24,2,FALSE())</f>
        <v>Noise-Cancelling Headphones</v>
      </c>
      <c r="H1101" s="39" t="str">
        <f aca="false">VLOOKUP(C1101,Products!$A$5:$D$24,3,FALSE())</f>
        <v>Electronics</v>
      </c>
      <c r="I1101" s="41" t="n">
        <f aca="false">VLOOKUP(C1101,Products!$A$5:$D$24,4,FALSE())</f>
        <v>55</v>
      </c>
      <c r="J1101" s="42" t="n">
        <f aca="false">DATE(YEAR(B1101),MONTH(B1101),1)</f>
        <v>45809</v>
      </c>
      <c r="K1101" s="41" t="n">
        <f aca="false">D1101*E1101</f>
        <v>359.88</v>
      </c>
      <c r="L1101" s="41" t="n">
        <f aca="false">D1101*I1101</f>
        <v>165</v>
      </c>
      <c r="M1101" s="41" t="n">
        <f aca="false">IFERROR(INDEX(Raw_Expenses!$C$5:$C$2979,MATCH(A1101,Raw_Expenses!$A$5:$A$2979,0)),0)</f>
        <v>31.84</v>
      </c>
      <c r="N1101" s="41" t="n">
        <f aca="false">L1101+M1101</f>
        <v>196.84</v>
      </c>
      <c r="O1101" s="41" t="n">
        <f aca="false">K1101-N1101</f>
        <v>163.04</v>
      </c>
      <c r="P1101" s="43" t="n">
        <f aca="false">IF(K1101=0,0,O1101/K1101)</f>
        <v>0.453039902189619</v>
      </c>
    </row>
    <row r="1102" customFormat="false" ht="15" hidden="false" customHeight="false" outlineLevel="0" collapsed="false">
      <c r="A1102" s="39" t="s">
        <v>1224</v>
      </c>
      <c r="B1102" s="40" t="n">
        <v>45816</v>
      </c>
      <c r="C1102" s="39" t="s">
        <v>104</v>
      </c>
      <c r="D1102" s="39" t="n">
        <v>5</v>
      </c>
      <c r="E1102" s="41" t="n">
        <v>15.58</v>
      </c>
      <c r="F1102" s="39" t="s">
        <v>105</v>
      </c>
      <c r="G1102" s="39" t="str">
        <f aca="false">VLOOKUP(C1102,Products!$A$5:$D$24,2,FALSE())</f>
        <v>Water Bottle</v>
      </c>
      <c r="H1102" s="39" t="str">
        <f aca="false">VLOOKUP(C1102,Products!$A$5:$D$24,3,FALSE())</f>
        <v>Accessories</v>
      </c>
      <c r="I1102" s="41" t="n">
        <f aca="false">VLOOKUP(C1102,Products!$A$5:$D$24,4,FALSE())</f>
        <v>5</v>
      </c>
      <c r="J1102" s="42" t="n">
        <f aca="false">DATE(YEAR(B1102),MONTH(B1102),1)</f>
        <v>45809</v>
      </c>
      <c r="K1102" s="41" t="n">
        <f aca="false">D1102*E1102</f>
        <v>77.9</v>
      </c>
      <c r="L1102" s="41" t="n">
        <f aca="false">D1102*I1102</f>
        <v>25</v>
      </c>
      <c r="M1102" s="41" t="n">
        <f aca="false">IFERROR(INDEX(Raw_Expenses!$C$5:$C$2979,MATCH(A1102,Raw_Expenses!$A$5:$A$2979,0)),0)</f>
        <v>6.93</v>
      </c>
      <c r="N1102" s="41" t="n">
        <f aca="false">L1102+M1102</f>
        <v>31.93</v>
      </c>
      <c r="O1102" s="41" t="n">
        <f aca="false">K1102-N1102</f>
        <v>45.97</v>
      </c>
      <c r="P1102" s="43" t="n">
        <f aca="false">IF(K1102=0,0,O1102/K1102)</f>
        <v>0.590115532734275</v>
      </c>
    </row>
    <row r="1103" customFormat="false" ht="15" hidden="false" customHeight="false" outlineLevel="0" collapsed="false">
      <c r="A1103" s="39" t="s">
        <v>1225</v>
      </c>
      <c r="B1103" s="40" t="n">
        <v>45816</v>
      </c>
      <c r="C1103" s="39" t="s">
        <v>112</v>
      </c>
      <c r="D1103" s="39" t="n">
        <v>1</v>
      </c>
      <c r="E1103" s="41" t="n">
        <v>52.97</v>
      </c>
      <c r="F1103" s="39" t="s">
        <v>108</v>
      </c>
      <c r="G1103" s="39" t="str">
        <f aca="false">VLOOKUP(C1103,Products!$A$5:$D$24,2,FALSE())</f>
        <v>HD Webcam</v>
      </c>
      <c r="H1103" s="39" t="str">
        <f aca="false">VLOOKUP(C1103,Products!$A$5:$D$24,3,FALSE())</f>
        <v>Electronics</v>
      </c>
      <c r="I1103" s="41" t="n">
        <f aca="false">VLOOKUP(C1103,Products!$A$5:$D$24,4,FALSE())</f>
        <v>22</v>
      </c>
      <c r="J1103" s="42" t="n">
        <f aca="false">DATE(YEAR(B1103),MONTH(B1103),1)</f>
        <v>45809</v>
      </c>
      <c r="K1103" s="41" t="n">
        <f aca="false">D1103*E1103</f>
        <v>52.97</v>
      </c>
      <c r="L1103" s="41" t="n">
        <f aca="false">D1103*I1103</f>
        <v>22</v>
      </c>
      <c r="M1103" s="41" t="n">
        <f aca="false">IFERROR(INDEX(Raw_Expenses!$C$5:$C$2979,MATCH(A1103,Raw_Expenses!$A$5:$A$2979,0)),0)</f>
        <v>4.11</v>
      </c>
      <c r="N1103" s="41" t="n">
        <f aca="false">L1103+M1103</f>
        <v>26.11</v>
      </c>
      <c r="O1103" s="41" t="n">
        <f aca="false">K1103-N1103</f>
        <v>26.86</v>
      </c>
      <c r="P1103" s="43" t="n">
        <f aca="false">IF(K1103=0,0,O1103/K1103)</f>
        <v>0.507079478950349</v>
      </c>
    </row>
    <row r="1104" customFormat="false" ht="15" hidden="false" customHeight="false" outlineLevel="0" collapsed="false">
      <c r="A1104" s="39" t="s">
        <v>1226</v>
      </c>
      <c r="B1104" s="40" t="n">
        <v>45816</v>
      </c>
      <c r="C1104" s="39" t="s">
        <v>117</v>
      </c>
      <c r="D1104" s="39" t="n">
        <v>2</v>
      </c>
      <c r="E1104" s="41" t="n">
        <v>30.94</v>
      </c>
      <c r="F1104" s="39" t="s">
        <v>105</v>
      </c>
      <c r="G1104" s="39" t="str">
        <f aca="false">VLOOKUP(C1104,Products!$A$5:$D$24,2,FALSE())</f>
        <v>Desk Lamp</v>
      </c>
      <c r="H1104" s="39" t="str">
        <f aca="false">VLOOKUP(C1104,Products!$A$5:$D$24,3,FALSE())</f>
        <v>Furniture</v>
      </c>
      <c r="I1104" s="41" t="n">
        <f aca="false">VLOOKUP(C1104,Products!$A$5:$D$24,4,FALSE())</f>
        <v>13</v>
      </c>
      <c r="J1104" s="42" t="n">
        <f aca="false">DATE(YEAR(B1104),MONTH(B1104),1)</f>
        <v>45809</v>
      </c>
      <c r="K1104" s="41" t="n">
        <f aca="false">D1104*E1104</f>
        <v>61.88</v>
      </c>
      <c r="L1104" s="41" t="n">
        <f aca="false">D1104*I1104</f>
        <v>26</v>
      </c>
      <c r="M1104" s="41" t="n">
        <f aca="false">IFERROR(INDEX(Raw_Expenses!$C$5:$C$2979,MATCH(A1104,Raw_Expenses!$A$5:$A$2979,0)),0)</f>
        <v>4.04</v>
      </c>
      <c r="N1104" s="41" t="n">
        <f aca="false">L1104+M1104</f>
        <v>30.04</v>
      </c>
      <c r="O1104" s="41" t="n">
        <f aca="false">K1104-N1104</f>
        <v>31.84</v>
      </c>
      <c r="P1104" s="43" t="n">
        <f aca="false">IF(K1104=0,0,O1104/K1104)</f>
        <v>0.514544279250162</v>
      </c>
    </row>
    <row r="1105" customFormat="false" ht="15" hidden="false" customHeight="false" outlineLevel="0" collapsed="false">
      <c r="A1105" s="39" t="s">
        <v>1227</v>
      </c>
      <c r="B1105" s="40" t="n">
        <v>45816</v>
      </c>
      <c r="C1105" s="39" t="s">
        <v>177</v>
      </c>
      <c r="D1105" s="39" t="n">
        <v>5</v>
      </c>
      <c r="E1105" s="41" t="n">
        <v>42.31</v>
      </c>
      <c r="F1105" s="39" t="s">
        <v>118</v>
      </c>
      <c r="G1105" s="39" t="str">
        <f aca="false">VLOOKUP(C1105,Products!$A$5:$D$24,2,FALSE())</f>
        <v>Backpack</v>
      </c>
      <c r="H1105" s="39" t="str">
        <f aca="false">VLOOKUP(C1105,Products!$A$5:$D$24,3,FALSE())</f>
        <v>Accessories</v>
      </c>
      <c r="I1105" s="41" t="n">
        <f aca="false">VLOOKUP(C1105,Products!$A$5:$D$24,4,FALSE())</f>
        <v>17</v>
      </c>
      <c r="J1105" s="42" t="n">
        <f aca="false">DATE(YEAR(B1105),MONTH(B1105),1)</f>
        <v>45809</v>
      </c>
      <c r="K1105" s="41" t="n">
        <f aca="false">D1105*E1105</f>
        <v>211.55</v>
      </c>
      <c r="L1105" s="41" t="n">
        <f aca="false">D1105*I1105</f>
        <v>85</v>
      </c>
      <c r="M1105" s="41" t="n">
        <f aca="false">IFERROR(INDEX(Raw_Expenses!$C$5:$C$2979,MATCH(A1105,Raw_Expenses!$A$5:$A$2979,0)),0)</f>
        <v>12.88</v>
      </c>
      <c r="N1105" s="41" t="n">
        <f aca="false">L1105+M1105</f>
        <v>97.88</v>
      </c>
      <c r="O1105" s="41" t="n">
        <f aca="false">K1105-N1105</f>
        <v>113.67</v>
      </c>
      <c r="P1105" s="43" t="n">
        <f aca="false">IF(K1105=0,0,O1105/K1105)</f>
        <v>0.537319782557315</v>
      </c>
    </row>
    <row r="1106" customFormat="false" ht="15" hidden="false" customHeight="false" outlineLevel="0" collapsed="false">
      <c r="A1106" s="39" t="s">
        <v>1228</v>
      </c>
      <c r="B1106" s="40" t="n">
        <v>45816</v>
      </c>
      <c r="C1106" s="39" t="s">
        <v>133</v>
      </c>
      <c r="D1106" s="39" t="n">
        <v>3</v>
      </c>
      <c r="E1106" s="41" t="n">
        <v>8.37</v>
      </c>
      <c r="F1106" s="39" t="s">
        <v>105</v>
      </c>
      <c r="G1106" s="39" t="str">
        <f aca="false">VLOOKUP(C1106,Products!$A$5:$D$24,2,FALSE())</f>
        <v>Printer Paper Ream</v>
      </c>
      <c r="H1106" s="39" t="str">
        <f aca="false">VLOOKUP(C1106,Products!$A$5:$D$24,3,FALSE())</f>
        <v>Stationery</v>
      </c>
      <c r="I1106" s="41" t="n">
        <f aca="false">VLOOKUP(C1106,Products!$A$5:$D$24,4,FALSE())</f>
        <v>4</v>
      </c>
      <c r="J1106" s="42" t="n">
        <f aca="false">DATE(YEAR(B1106),MONTH(B1106),1)</f>
        <v>45809</v>
      </c>
      <c r="K1106" s="41" t="n">
        <f aca="false">D1106*E1106</f>
        <v>25.11</v>
      </c>
      <c r="L1106" s="41" t="n">
        <f aca="false">D1106*I1106</f>
        <v>12</v>
      </c>
      <c r="M1106" s="41" t="n">
        <f aca="false">IFERROR(INDEX(Raw_Expenses!$C$5:$C$2979,MATCH(A1106,Raw_Expenses!$A$5:$A$2979,0)),0)</f>
        <v>1.74</v>
      </c>
      <c r="N1106" s="41" t="n">
        <f aca="false">L1106+M1106</f>
        <v>13.74</v>
      </c>
      <c r="O1106" s="41" t="n">
        <f aca="false">K1106-N1106</f>
        <v>11.37</v>
      </c>
      <c r="P1106" s="43" t="n">
        <f aca="false">IF(K1106=0,0,O1106/K1106)</f>
        <v>0.452807646356033</v>
      </c>
    </row>
    <row r="1107" customFormat="false" ht="15" hidden="false" customHeight="false" outlineLevel="0" collapsed="false">
      <c r="A1107" s="39" t="s">
        <v>1229</v>
      </c>
      <c r="B1107" s="40" t="n">
        <v>45816</v>
      </c>
      <c r="C1107" s="39" t="s">
        <v>162</v>
      </c>
      <c r="D1107" s="39" t="n">
        <v>3</v>
      </c>
      <c r="E1107" s="41" t="n">
        <v>64.27</v>
      </c>
      <c r="F1107" s="39" t="s">
        <v>108</v>
      </c>
      <c r="G1107" s="39" t="str">
        <f aca="false">VLOOKUP(C1107,Products!$A$5:$D$24,2,FALSE())</f>
        <v>Bluetooth Speaker</v>
      </c>
      <c r="H1107" s="39" t="str">
        <f aca="false">VLOOKUP(C1107,Products!$A$5:$D$24,3,FALSE())</f>
        <v>Electronics</v>
      </c>
      <c r="I1107" s="41" t="n">
        <f aca="false">VLOOKUP(C1107,Products!$A$5:$D$24,4,FALSE())</f>
        <v>28</v>
      </c>
      <c r="J1107" s="42" t="n">
        <f aca="false">DATE(YEAR(B1107),MONTH(B1107),1)</f>
        <v>45809</v>
      </c>
      <c r="K1107" s="41" t="n">
        <f aca="false">D1107*E1107</f>
        <v>192.81</v>
      </c>
      <c r="L1107" s="41" t="n">
        <f aca="false">D1107*I1107</f>
        <v>84</v>
      </c>
      <c r="M1107" s="41" t="n">
        <f aca="false">IFERROR(INDEX(Raw_Expenses!$C$5:$C$2979,MATCH(A1107,Raw_Expenses!$A$5:$A$2979,0)),0)</f>
        <v>11.76</v>
      </c>
      <c r="N1107" s="41" t="n">
        <f aca="false">L1107+M1107</f>
        <v>95.76</v>
      </c>
      <c r="O1107" s="41" t="n">
        <f aca="false">K1107-N1107</f>
        <v>97.05</v>
      </c>
      <c r="P1107" s="43" t="n">
        <f aca="false">IF(K1107=0,0,O1107/K1107)</f>
        <v>0.503345262175198</v>
      </c>
    </row>
    <row r="1108" customFormat="false" ht="15" hidden="false" customHeight="false" outlineLevel="0" collapsed="false">
      <c r="A1108" s="39" t="s">
        <v>1230</v>
      </c>
      <c r="B1108" s="40" t="n">
        <v>45816</v>
      </c>
      <c r="C1108" s="39" t="s">
        <v>136</v>
      </c>
      <c r="D1108" s="39" t="n">
        <v>1</v>
      </c>
      <c r="E1108" s="41" t="n">
        <v>72.99</v>
      </c>
      <c r="F1108" s="39" t="s">
        <v>105</v>
      </c>
      <c r="G1108" s="39" t="str">
        <f aca="false">VLOOKUP(C1108,Products!$A$5:$D$24,2,FALSE())</f>
        <v>Mechanical Keyboard</v>
      </c>
      <c r="H1108" s="39" t="str">
        <f aca="false">VLOOKUP(C1108,Products!$A$5:$D$24,3,FALSE())</f>
        <v>Electronics</v>
      </c>
      <c r="I1108" s="41" t="n">
        <f aca="false">VLOOKUP(C1108,Products!$A$5:$D$24,4,FALSE())</f>
        <v>38</v>
      </c>
      <c r="J1108" s="42" t="n">
        <f aca="false">DATE(YEAR(B1108),MONTH(B1108),1)</f>
        <v>45809</v>
      </c>
      <c r="K1108" s="41" t="n">
        <f aca="false">D1108*E1108</f>
        <v>72.99</v>
      </c>
      <c r="L1108" s="41" t="n">
        <f aca="false">D1108*I1108</f>
        <v>38</v>
      </c>
      <c r="M1108" s="41" t="n">
        <f aca="false">IFERROR(INDEX(Raw_Expenses!$C$5:$C$2979,MATCH(A1108,Raw_Expenses!$A$5:$A$2979,0)),0)</f>
        <v>5.53</v>
      </c>
      <c r="N1108" s="41" t="n">
        <f aca="false">L1108+M1108</f>
        <v>43.53</v>
      </c>
      <c r="O1108" s="41" t="n">
        <f aca="false">K1108-N1108</f>
        <v>29.46</v>
      </c>
      <c r="P1108" s="43" t="n">
        <f aca="false">IF(K1108=0,0,O1108/K1108)</f>
        <v>0.403616933826552</v>
      </c>
    </row>
    <row r="1109" customFormat="false" ht="15" hidden="false" customHeight="false" outlineLevel="0" collapsed="false">
      <c r="A1109" s="39" t="s">
        <v>1231</v>
      </c>
      <c r="B1109" s="40" t="n">
        <v>45816</v>
      </c>
      <c r="C1109" s="39" t="s">
        <v>121</v>
      </c>
      <c r="D1109" s="39" t="n">
        <v>3</v>
      </c>
      <c r="E1109" s="41" t="n">
        <v>116.37</v>
      </c>
      <c r="F1109" s="39" t="s">
        <v>108</v>
      </c>
      <c r="G1109" s="39" t="str">
        <f aca="false">VLOOKUP(C1109,Products!$A$5:$D$24,2,FALSE())</f>
        <v>External SSD 1TB</v>
      </c>
      <c r="H1109" s="39" t="str">
        <f aca="false">VLOOKUP(C1109,Products!$A$5:$D$24,3,FALSE())</f>
        <v>Electronics</v>
      </c>
      <c r="I1109" s="41" t="n">
        <f aca="false">VLOOKUP(C1109,Products!$A$5:$D$24,4,FALSE())</f>
        <v>62</v>
      </c>
      <c r="J1109" s="42" t="n">
        <f aca="false">DATE(YEAR(B1109),MONTH(B1109),1)</f>
        <v>45809</v>
      </c>
      <c r="K1109" s="41" t="n">
        <f aca="false">D1109*E1109</f>
        <v>349.11</v>
      </c>
      <c r="L1109" s="41" t="n">
        <f aca="false">D1109*I1109</f>
        <v>186</v>
      </c>
      <c r="M1109" s="41" t="n">
        <f aca="false">IFERROR(INDEX(Raw_Expenses!$C$5:$C$2979,MATCH(A1109,Raw_Expenses!$A$5:$A$2979,0)),0)</f>
        <v>28.26</v>
      </c>
      <c r="N1109" s="41" t="n">
        <f aca="false">L1109+M1109</f>
        <v>214.26</v>
      </c>
      <c r="O1109" s="41" t="n">
        <f aca="false">K1109-N1109</f>
        <v>134.85</v>
      </c>
      <c r="P1109" s="43" t="n">
        <f aca="false">IF(K1109=0,0,O1109/K1109)</f>
        <v>0.386267938472115</v>
      </c>
    </row>
    <row r="1110" customFormat="false" ht="15" hidden="false" customHeight="false" outlineLevel="0" collapsed="false">
      <c r="A1110" s="39" t="s">
        <v>1232</v>
      </c>
      <c r="B1110" s="40" t="n">
        <v>45816</v>
      </c>
      <c r="C1110" s="39" t="s">
        <v>104</v>
      </c>
      <c r="D1110" s="39" t="n">
        <v>2</v>
      </c>
      <c r="E1110" s="41" t="n">
        <v>14.77</v>
      </c>
      <c r="F1110" s="39" t="s">
        <v>115</v>
      </c>
      <c r="G1110" s="39" t="str">
        <f aca="false">VLOOKUP(C1110,Products!$A$5:$D$24,2,FALSE())</f>
        <v>Water Bottle</v>
      </c>
      <c r="H1110" s="39" t="str">
        <f aca="false">VLOOKUP(C1110,Products!$A$5:$D$24,3,FALSE())</f>
        <v>Accessories</v>
      </c>
      <c r="I1110" s="41" t="n">
        <f aca="false">VLOOKUP(C1110,Products!$A$5:$D$24,4,FALSE())</f>
        <v>5</v>
      </c>
      <c r="J1110" s="42" t="n">
        <f aca="false">DATE(YEAR(B1110),MONTH(B1110),1)</f>
        <v>45809</v>
      </c>
      <c r="K1110" s="41" t="n">
        <f aca="false">D1110*E1110</f>
        <v>29.54</v>
      </c>
      <c r="L1110" s="41" t="n">
        <f aca="false">D1110*I1110</f>
        <v>10</v>
      </c>
      <c r="M1110" s="41" t="n">
        <f aca="false">IFERROR(INDEX(Raw_Expenses!$C$5:$C$2979,MATCH(A1110,Raw_Expenses!$A$5:$A$2979,0)),0)</f>
        <v>1.96</v>
      </c>
      <c r="N1110" s="41" t="n">
        <f aca="false">L1110+M1110</f>
        <v>11.96</v>
      </c>
      <c r="O1110" s="41" t="n">
        <f aca="false">K1110-N1110</f>
        <v>17.58</v>
      </c>
      <c r="P1110" s="43" t="n">
        <f aca="false">IF(K1110=0,0,O1110/K1110)</f>
        <v>0.595125253893026</v>
      </c>
    </row>
    <row r="1111" customFormat="false" ht="15" hidden="false" customHeight="false" outlineLevel="0" collapsed="false">
      <c r="A1111" s="39" t="s">
        <v>1233</v>
      </c>
      <c r="B1111" s="40" t="n">
        <v>45817</v>
      </c>
      <c r="C1111" s="39" t="s">
        <v>107</v>
      </c>
      <c r="D1111" s="39" t="n">
        <v>2</v>
      </c>
      <c r="E1111" s="41" t="n">
        <v>34.76</v>
      </c>
      <c r="F1111" s="39" t="s">
        <v>115</v>
      </c>
      <c r="G1111" s="39" t="str">
        <f aca="false">VLOOKUP(C1111,Products!$A$5:$D$24,2,FALSE())</f>
        <v>USB-C Hub</v>
      </c>
      <c r="H1111" s="39" t="str">
        <f aca="false">VLOOKUP(C1111,Products!$A$5:$D$24,3,FALSE())</f>
        <v>Electronics</v>
      </c>
      <c r="I1111" s="41" t="n">
        <f aca="false">VLOOKUP(C1111,Products!$A$5:$D$24,4,FALSE())</f>
        <v>14</v>
      </c>
      <c r="J1111" s="42" t="n">
        <f aca="false">DATE(YEAR(B1111),MONTH(B1111),1)</f>
        <v>45809</v>
      </c>
      <c r="K1111" s="41" t="n">
        <f aca="false">D1111*E1111</f>
        <v>69.52</v>
      </c>
      <c r="L1111" s="41" t="n">
        <f aca="false">D1111*I1111</f>
        <v>28</v>
      </c>
      <c r="M1111" s="41" t="n">
        <f aca="false">IFERROR(INDEX(Raw_Expenses!$C$5:$C$2979,MATCH(A1111,Raw_Expenses!$A$5:$A$2979,0)),0)</f>
        <v>3.11</v>
      </c>
      <c r="N1111" s="41" t="n">
        <f aca="false">L1111+M1111</f>
        <v>31.11</v>
      </c>
      <c r="O1111" s="41" t="n">
        <f aca="false">K1111-N1111</f>
        <v>38.41</v>
      </c>
      <c r="P1111" s="43" t="n">
        <f aca="false">IF(K1111=0,0,O1111/K1111)</f>
        <v>0.552502876869966</v>
      </c>
    </row>
    <row r="1112" customFormat="false" ht="15" hidden="false" customHeight="false" outlineLevel="0" collapsed="false">
      <c r="A1112" s="39" t="s">
        <v>1234</v>
      </c>
      <c r="B1112" s="40" t="n">
        <v>45817</v>
      </c>
      <c r="C1112" s="39" t="s">
        <v>183</v>
      </c>
      <c r="D1112" s="39" t="n">
        <v>4</v>
      </c>
      <c r="E1112" s="41" t="n">
        <v>182.65</v>
      </c>
      <c r="F1112" s="39" t="s">
        <v>108</v>
      </c>
      <c r="G1112" s="39" t="str">
        <f aca="false">VLOOKUP(C1112,Products!$A$5:$D$24,2,FALSE())</f>
        <v>Office Chair</v>
      </c>
      <c r="H1112" s="39" t="str">
        <f aca="false">VLOOKUP(C1112,Products!$A$5:$D$24,3,FALSE())</f>
        <v>Furniture</v>
      </c>
      <c r="I1112" s="41" t="n">
        <f aca="false">VLOOKUP(C1112,Products!$A$5:$D$24,4,FALSE())</f>
        <v>85</v>
      </c>
      <c r="J1112" s="42" t="n">
        <f aca="false">DATE(YEAR(B1112),MONTH(B1112),1)</f>
        <v>45809</v>
      </c>
      <c r="K1112" s="41" t="n">
        <f aca="false">D1112*E1112</f>
        <v>730.6</v>
      </c>
      <c r="L1112" s="41" t="n">
        <f aca="false">D1112*I1112</f>
        <v>340</v>
      </c>
      <c r="M1112" s="41" t="n">
        <f aca="false">IFERROR(INDEX(Raw_Expenses!$C$5:$C$2979,MATCH(A1112,Raw_Expenses!$A$5:$A$2979,0)),0)</f>
        <v>48.75</v>
      </c>
      <c r="N1112" s="41" t="n">
        <f aca="false">L1112+M1112</f>
        <v>388.75</v>
      </c>
      <c r="O1112" s="41" t="n">
        <f aca="false">K1112-N1112</f>
        <v>341.85</v>
      </c>
      <c r="P1112" s="43" t="n">
        <f aca="false">IF(K1112=0,0,O1112/K1112)</f>
        <v>0.467903093347933</v>
      </c>
    </row>
    <row r="1113" customFormat="false" ht="15" hidden="false" customHeight="false" outlineLevel="0" collapsed="false">
      <c r="A1113" s="39" t="s">
        <v>1235</v>
      </c>
      <c r="B1113" s="40" t="n">
        <v>45817</v>
      </c>
      <c r="C1113" s="39" t="s">
        <v>183</v>
      </c>
      <c r="D1113" s="39" t="n">
        <v>1</v>
      </c>
      <c r="E1113" s="41" t="n">
        <v>177.91</v>
      </c>
      <c r="F1113" s="39" t="s">
        <v>105</v>
      </c>
      <c r="G1113" s="39" t="str">
        <f aca="false">VLOOKUP(C1113,Products!$A$5:$D$24,2,FALSE())</f>
        <v>Office Chair</v>
      </c>
      <c r="H1113" s="39" t="str">
        <f aca="false">VLOOKUP(C1113,Products!$A$5:$D$24,3,FALSE())</f>
        <v>Furniture</v>
      </c>
      <c r="I1113" s="41" t="n">
        <f aca="false">VLOOKUP(C1113,Products!$A$5:$D$24,4,FALSE())</f>
        <v>85</v>
      </c>
      <c r="J1113" s="42" t="n">
        <f aca="false">DATE(YEAR(B1113),MONTH(B1113),1)</f>
        <v>45809</v>
      </c>
      <c r="K1113" s="41" t="n">
        <f aca="false">D1113*E1113</f>
        <v>177.91</v>
      </c>
      <c r="L1113" s="41" t="n">
        <f aca="false">D1113*I1113</f>
        <v>85</v>
      </c>
      <c r="M1113" s="41" t="n">
        <f aca="false">IFERROR(INDEX(Raw_Expenses!$C$5:$C$2979,MATCH(A1113,Raw_Expenses!$A$5:$A$2979,0)),0)</f>
        <v>12.24</v>
      </c>
      <c r="N1113" s="41" t="n">
        <f aca="false">L1113+M1113</f>
        <v>97.24</v>
      </c>
      <c r="O1113" s="41" t="n">
        <f aca="false">K1113-N1113</f>
        <v>80.67</v>
      </c>
      <c r="P1113" s="43" t="n">
        <f aca="false">IF(K1113=0,0,O1113/K1113)</f>
        <v>0.453431510314204</v>
      </c>
    </row>
    <row r="1114" customFormat="false" ht="15" hidden="false" customHeight="false" outlineLevel="0" collapsed="false">
      <c r="A1114" s="39" t="s">
        <v>1236</v>
      </c>
      <c r="B1114" s="40" t="n">
        <v>45817</v>
      </c>
      <c r="C1114" s="39" t="s">
        <v>169</v>
      </c>
      <c r="D1114" s="39" t="n">
        <v>2</v>
      </c>
      <c r="E1114" s="41" t="n">
        <v>27.07</v>
      </c>
      <c r="F1114" s="39" t="s">
        <v>115</v>
      </c>
      <c r="G1114" s="39" t="str">
        <f aca="false">VLOOKUP(C1114,Products!$A$5:$D$24,2,FALSE())</f>
        <v>Laptop Stand</v>
      </c>
      <c r="H1114" s="39" t="str">
        <f aca="false">VLOOKUP(C1114,Products!$A$5:$D$24,3,FALSE())</f>
        <v>Accessories</v>
      </c>
      <c r="I1114" s="41" t="n">
        <f aca="false">VLOOKUP(C1114,Products!$A$5:$D$24,4,FALSE())</f>
        <v>11</v>
      </c>
      <c r="J1114" s="42" t="n">
        <f aca="false">DATE(YEAR(B1114),MONTH(B1114),1)</f>
        <v>45809</v>
      </c>
      <c r="K1114" s="41" t="n">
        <f aca="false">D1114*E1114</f>
        <v>54.14</v>
      </c>
      <c r="L1114" s="41" t="n">
        <f aca="false">D1114*I1114</f>
        <v>22</v>
      </c>
      <c r="M1114" s="41" t="n">
        <f aca="false">IFERROR(INDEX(Raw_Expenses!$C$5:$C$2979,MATCH(A1114,Raw_Expenses!$A$5:$A$2979,0)),0)</f>
        <v>3.79</v>
      </c>
      <c r="N1114" s="41" t="n">
        <f aca="false">L1114+M1114</f>
        <v>25.79</v>
      </c>
      <c r="O1114" s="41" t="n">
        <f aca="false">K1114-N1114</f>
        <v>28.35</v>
      </c>
      <c r="P1114" s="43" t="n">
        <f aca="false">IF(K1114=0,0,O1114/K1114)</f>
        <v>0.523642408570373</v>
      </c>
    </row>
    <row r="1115" customFormat="false" ht="15" hidden="false" customHeight="false" outlineLevel="0" collapsed="false">
      <c r="A1115" s="39" t="s">
        <v>1237</v>
      </c>
      <c r="B1115" s="40" t="n">
        <v>45817</v>
      </c>
      <c r="C1115" s="39" t="s">
        <v>121</v>
      </c>
      <c r="D1115" s="39" t="n">
        <v>8</v>
      </c>
      <c r="E1115" s="41" t="n">
        <v>112.31</v>
      </c>
      <c r="F1115" s="39" t="s">
        <v>108</v>
      </c>
      <c r="G1115" s="39" t="str">
        <f aca="false">VLOOKUP(C1115,Products!$A$5:$D$24,2,FALSE())</f>
        <v>External SSD 1TB</v>
      </c>
      <c r="H1115" s="39" t="str">
        <f aca="false">VLOOKUP(C1115,Products!$A$5:$D$24,3,FALSE())</f>
        <v>Electronics</v>
      </c>
      <c r="I1115" s="41" t="n">
        <f aca="false">VLOOKUP(C1115,Products!$A$5:$D$24,4,FALSE())</f>
        <v>62</v>
      </c>
      <c r="J1115" s="42" t="n">
        <f aca="false">DATE(YEAR(B1115),MONTH(B1115),1)</f>
        <v>45809</v>
      </c>
      <c r="K1115" s="41" t="n">
        <f aca="false">D1115*E1115</f>
        <v>898.48</v>
      </c>
      <c r="L1115" s="41" t="n">
        <f aca="false">D1115*I1115</f>
        <v>496</v>
      </c>
      <c r="M1115" s="41" t="n">
        <f aca="false">IFERROR(INDEX(Raw_Expenses!$C$5:$C$2979,MATCH(A1115,Raw_Expenses!$A$5:$A$2979,0)),0)</f>
        <v>55.02</v>
      </c>
      <c r="N1115" s="41" t="n">
        <f aca="false">L1115+M1115</f>
        <v>551.02</v>
      </c>
      <c r="O1115" s="41" t="n">
        <f aca="false">K1115-N1115</f>
        <v>347.46</v>
      </c>
      <c r="P1115" s="43" t="n">
        <f aca="false">IF(K1115=0,0,O1115/K1115)</f>
        <v>0.386719793428902</v>
      </c>
    </row>
    <row r="1116" customFormat="false" ht="15" hidden="false" customHeight="false" outlineLevel="0" collapsed="false">
      <c r="A1116" s="39" t="s">
        <v>1238</v>
      </c>
      <c r="B1116" s="40" t="n">
        <v>45817</v>
      </c>
      <c r="C1116" s="39" t="s">
        <v>183</v>
      </c>
      <c r="D1116" s="39" t="n">
        <v>2</v>
      </c>
      <c r="E1116" s="41" t="n">
        <v>182.5</v>
      </c>
      <c r="F1116" s="39" t="s">
        <v>115</v>
      </c>
      <c r="G1116" s="39" t="str">
        <f aca="false">VLOOKUP(C1116,Products!$A$5:$D$24,2,FALSE())</f>
        <v>Office Chair</v>
      </c>
      <c r="H1116" s="39" t="str">
        <f aca="false">VLOOKUP(C1116,Products!$A$5:$D$24,3,FALSE())</f>
        <v>Furniture</v>
      </c>
      <c r="I1116" s="41" t="n">
        <f aca="false">VLOOKUP(C1116,Products!$A$5:$D$24,4,FALSE())</f>
        <v>85</v>
      </c>
      <c r="J1116" s="42" t="n">
        <f aca="false">DATE(YEAR(B1116),MONTH(B1116),1)</f>
        <v>45809</v>
      </c>
      <c r="K1116" s="41" t="n">
        <f aca="false">D1116*E1116</f>
        <v>365</v>
      </c>
      <c r="L1116" s="41" t="n">
        <f aca="false">D1116*I1116</f>
        <v>170</v>
      </c>
      <c r="M1116" s="41" t="n">
        <f aca="false">IFERROR(INDEX(Raw_Expenses!$C$5:$C$2979,MATCH(A1116,Raw_Expenses!$A$5:$A$2979,0)),0)</f>
        <v>30.75</v>
      </c>
      <c r="N1116" s="41" t="n">
        <f aca="false">L1116+M1116</f>
        <v>200.75</v>
      </c>
      <c r="O1116" s="41" t="n">
        <f aca="false">K1116-N1116</f>
        <v>164.25</v>
      </c>
      <c r="P1116" s="43" t="n">
        <f aca="false">IF(K1116=0,0,O1116/K1116)</f>
        <v>0.45</v>
      </c>
    </row>
    <row r="1117" customFormat="false" ht="15" hidden="false" customHeight="false" outlineLevel="0" collapsed="false">
      <c r="A1117" s="39" t="s">
        <v>1239</v>
      </c>
      <c r="B1117" s="40" t="n">
        <v>45817</v>
      </c>
      <c r="C1117" s="39" t="s">
        <v>110</v>
      </c>
      <c r="D1117" s="39" t="n">
        <v>2</v>
      </c>
      <c r="E1117" s="41" t="n">
        <v>13.56</v>
      </c>
      <c r="F1117" s="39" t="s">
        <v>115</v>
      </c>
      <c r="G1117" s="39" t="str">
        <f aca="false">VLOOKUP(C1117,Products!$A$5:$D$24,2,FALSE())</f>
        <v>Phone Stand</v>
      </c>
      <c r="H1117" s="39" t="str">
        <f aca="false">VLOOKUP(C1117,Products!$A$5:$D$24,3,FALSE())</f>
        <v>Accessories</v>
      </c>
      <c r="I1117" s="41" t="n">
        <f aca="false">VLOOKUP(C1117,Products!$A$5:$D$24,4,FALSE())</f>
        <v>4</v>
      </c>
      <c r="J1117" s="42" t="n">
        <f aca="false">DATE(YEAR(B1117),MONTH(B1117),1)</f>
        <v>45809</v>
      </c>
      <c r="K1117" s="41" t="n">
        <f aca="false">D1117*E1117</f>
        <v>27.12</v>
      </c>
      <c r="L1117" s="41" t="n">
        <f aca="false">D1117*I1117</f>
        <v>8</v>
      </c>
      <c r="M1117" s="41" t="n">
        <f aca="false">IFERROR(INDEX(Raw_Expenses!$C$5:$C$2979,MATCH(A1117,Raw_Expenses!$A$5:$A$2979,0)),0)</f>
        <v>1.41</v>
      </c>
      <c r="N1117" s="41" t="n">
        <f aca="false">L1117+M1117</f>
        <v>9.41</v>
      </c>
      <c r="O1117" s="41" t="n">
        <f aca="false">K1117-N1117</f>
        <v>17.71</v>
      </c>
      <c r="P1117" s="43" t="n">
        <f aca="false">IF(K1117=0,0,O1117/K1117)</f>
        <v>0.653023598820059</v>
      </c>
    </row>
    <row r="1118" customFormat="false" ht="15" hidden="false" customHeight="false" outlineLevel="0" collapsed="false">
      <c r="A1118" s="39" t="s">
        <v>1240</v>
      </c>
      <c r="B1118" s="40" t="n">
        <v>45818</v>
      </c>
      <c r="C1118" s="39" t="s">
        <v>104</v>
      </c>
      <c r="D1118" s="39" t="n">
        <v>2</v>
      </c>
      <c r="E1118" s="41" t="n">
        <v>15.38</v>
      </c>
      <c r="F1118" s="39" t="s">
        <v>115</v>
      </c>
      <c r="G1118" s="39" t="str">
        <f aca="false">VLOOKUP(C1118,Products!$A$5:$D$24,2,FALSE())</f>
        <v>Water Bottle</v>
      </c>
      <c r="H1118" s="39" t="str">
        <f aca="false">VLOOKUP(C1118,Products!$A$5:$D$24,3,FALSE())</f>
        <v>Accessories</v>
      </c>
      <c r="I1118" s="41" t="n">
        <f aca="false">VLOOKUP(C1118,Products!$A$5:$D$24,4,FALSE())</f>
        <v>5</v>
      </c>
      <c r="J1118" s="42" t="n">
        <f aca="false">DATE(YEAR(B1118),MONTH(B1118),1)</f>
        <v>45809</v>
      </c>
      <c r="K1118" s="41" t="n">
        <f aca="false">D1118*E1118</f>
        <v>30.76</v>
      </c>
      <c r="L1118" s="41" t="n">
        <f aca="false">D1118*I1118</f>
        <v>10</v>
      </c>
      <c r="M1118" s="41" t="n">
        <f aca="false">IFERROR(INDEX(Raw_Expenses!$C$5:$C$2979,MATCH(A1118,Raw_Expenses!$A$5:$A$2979,0)),0)</f>
        <v>1.81</v>
      </c>
      <c r="N1118" s="41" t="n">
        <f aca="false">L1118+M1118</f>
        <v>11.81</v>
      </c>
      <c r="O1118" s="41" t="n">
        <f aca="false">K1118-N1118</f>
        <v>18.95</v>
      </c>
      <c r="P1118" s="43" t="n">
        <f aca="false">IF(K1118=0,0,O1118/K1118)</f>
        <v>0.616059817945384</v>
      </c>
    </row>
    <row r="1119" customFormat="false" ht="15" hidden="false" customHeight="false" outlineLevel="0" collapsed="false">
      <c r="A1119" s="39" t="s">
        <v>1241</v>
      </c>
      <c r="B1119" s="40" t="n">
        <v>45818</v>
      </c>
      <c r="C1119" s="39" t="s">
        <v>126</v>
      </c>
      <c r="D1119" s="39" t="n">
        <v>1</v>
      </c>
      <c r="E1119" s="41" t="n">
        <v>23.46</v>
      </c>
      <c r="F1119" s="39" t="s">
        <v>108</v>
      </c>
      <c r="G1119" s="39" t="str">
        <f aca="false">VLOOKUP(C1119,Products!$A$5:$D$24,2,FALSE())</f>
        <v>Wireless Mouse</v>
      </c>
      <c r="H1119" s="39" t="str">
        <f aca="false">VLOOKUP(C1119,Products!$A$5:$D$24,3,FALSE())</f>
        <v>Electronics</v>
      </c>
      <c r="I1119" s="41" t="n">
        <f aca="false">VLOOKUP(C1119,Products!$A$5:$D$24,4,FALSE())</f>
        <v>12</v>
      </c>
      <c r="J1119" s="42" t="n">
        <f aca="false">DATE(YEAR(B1119),MONTH(B1119),1)</f>
        <v>45809</v>
      </c>
      <c r="K1119" s="41" t="n">
        <f aca="false">D1119*E1119</f>
        <v>23.46</v>
      </c>
      <c r="L1119" s="41" t="n">
        <f aca="false">D1119*I1119</f>
        <v>12</v>
      </c>
      <c r="M1119" s="41" t="n">
        <f aca="false">IFERROR(INDEX(Raw_Expenses!$C$5:$C$2979,MATCH(A1119,Raw_Expenses!$A$5:$A$2979,0)),0)</f>
        <v>2.11</v>
      </c>
      <c r="N1119" s="41" t="n">
        <f aca="false">L1119+M1119</f>
        <v>14.11</v>
      </c>
      <c r="O1119" s="41" t="n">
        <f aca="false">K1119-N1119</f>
        <v>9.35</v>
      </c>
      <c r="P1119" s="43" t="n">
        <f aca="false">IF(K1119=0,0,O1119/K1119)</f>
        <v>0.398550724637681</v>
      </c>
    </row>
    <row r="1120" customFormat="false" ht="15" hidden="false" customHeight="false" outlineLevel="0" collapsed="false">
      <c r="A1120" s="39" t="s">
        <v>1242</v>
      </c>
      <c r="B1120" s="40" t="n">
        <v>45818</v>
      </c>
      <c r="C1120" s="39" t="s">
        <v>139</v>
      </c>
      <c r="D1120" s="39" t="n">
        <v>5</v>
      </c>
      <c r="E1120" s="41" t="n">
        <v>125.35</v>
      </c>
      <c r="F1120" s="39" t="s">
        <v>118</v>
      </c>
      <c r="G1120" s="39" t="str">
        <f aca="false">VLOOKUP(C1120,Products!$A$5:$D$24,2,FALSE())</f>
        <v>Noise-Cancelling Headphones</v>
      </c>
      <c r="H1120" s="39" t="str">
        <f aca="false">VLOOKUP(C1120,Products!$A$5:$D$24,3,FALSE())</f>
        <v>Electronics</v>
      </c>
      <c r="I1120" s="41" t="n">
        <f aca="false">VLOOKUP(C1120,Products!$A$5:$D$24,4,FALSE())</f>
        <v>55</v>
      </c>
      <c r="J1120" s="42" t="n">
        <f aca="false">DATE(YEAR(B1120),MONTH(B1120),1)</f>
        <v>45809</v>
      </c>
      <c r="K1120" s="41" t="n">
        <f aca="false">D1120*E1120</f>
        <v>626.75</v>
      </c>
      <c r="L1120" s="41" t="n">
        <f aca="false">D1120*I1120</f>
        <v>275</v>
      </c>
      <c r="M1120" s="41" t="n">
        <f aca="false">IFERROR(INDEX(Raw_Expenses!$C$5:$C$2979,MATCH(A1120,Raw_Expenses!$A$5:$A$2979,0)),0)</f>
        <v>33.58</v>
      </c>
      <c r="N1120" s="41" t="n">
        <f aca="false">L1120+M1120</f>
        <v>308.58</v>
      </c>
      <c r="O1120" s="41" t="n">
        <f aca="false">K1120-N1120</f>
        <v>318.17</v>
      </c>
      <c r="P1120" s="43" t="n">
        <f aca="false">IF(K1120=0,0,O1120/K1120)</f>
        <v>0.507650578380535</v>
      </c>
    </row>
    <row r="1121" customFormat="false" ht="15" hidden="false" customHeight="false" outlineLevel="0" collapsed="false">
      <c r="A1121" s="39" t="s">
        <v>1243</v>
      </c>
      <c r="B1121" s="40" t="n">
        <v>45818</v>
      </c>
      <c r="C1121" s="39" t="s">
        <v>130</v>
      </c>
      <c r="D1121" s="39" t="n">
        <v>2</v>
      </c>
      <c r="E1121" s="41" t="n">
        <v>8.84</v>
      </c>
      <c r="F1121" s="39" t="s">
        <v>108</v>
      </c>
      <c r="G1121" s="39" t="str">
        <f aca="false">VLOOKUP(C1121,Products!$A$5:$D$24,2,FALSE())</f>
        <v>Notebook Set</v>
      </c>
      <c r="H1121" s="39" t="str">
        <f aca="false">VLOOKUP(C1121,Products!$A$5:$D$24,3,FALSE())</f>
        <v>Stationery</v>
      </c>
      <c r="I1121" s="41" t="n">
        <f aca="false">VLOOKUP(C1121,Products!$A$5:$D$24,4,FALSE())</f>
        <v>3</v>
      </c>
      <c r="J1121" s="42" t="n">
        <f aca="false">DATE(YEAR(B1121),MONTH(B1121),1)</f>
        <v>45809</v>
      </c>
      <c r="K1121" s="41" t="n">
        <f aca="false">D1121*E1121</f>
        <v>17.68</v>
      </c>
      <c r="L1121" s="41" t="n">
        <f aca="false">D1121*I1121</f>
        <v>6</v>
      </c>
      <c r="M1121" s="41" t="n">
        <f aca="false">IFERROR(INDEX(Raw_Expenses!$C$5:$C$2979,MATCH(A1121,Raw_Expenses!$A$5:$A$2979,0)),0)</f>
        <v>1.52</v>
      </c>
      <c r="N1121" s="41" t="n">
        <f aca="false">L1121+M1121</f>
        <v>7.52</v>
      </c>
      <c r="O1121" s="41" t="n">
        <f aca="false">K1121-N1121</f>
        <v>10.16</v>
      </c>
      <c r="P1121" s="43" t="n">
        <f aca="false">IF(K1121=0,0,O1121/K1121)</f>
        <v>0.574660633484163</v>
      </c>
    </row>
    <row r="1122" customFormat="false" ht="15" hidden="false" customHeight="false" outlineLevel="0" collapsed="false">
      <c r="A1122" s="39" t="s">
        <v>1244</v>
      </c>
      <c r="B1122" s="40" t="n">
        <v>45818</v>
      </c>
      <c r="C1122" s="39" t="s">
        <v>114</v>
      </c>
      <c r="D1122" s="39" t="n">
        <v>3</v>
      </c>
      <c r="E1122" s="41" t="n">
        <v>5.93</v>
      </c>
      <c r="F1122" s="39" t="s">
        <v>108</v>
      </c>
      <c r="G1122" s="39" t="str">
        <f aca="false">VLOOKUP(C1122,Products!$A$5:$D$24,2,FALSE())</f>
        <v>Gel Pen Pack</v>
      </c>
      <c r="H1122" s="39" t="str">
        <f aca="false">VLOOKUP(C1122,Products!$A$5:$D$24,3,FALSE())</f>
        <v>Stationery</v>
      </c>
      <c r="I1122" s="41" t="n">
        <f aca="false">VLOOKUP(C1122,Products!$A$5:$D$24,4,FALSE())</f>
        <v>2</v>
      </c>
      <c r="J1122" s="42" t="n">
        <f aca="false">DATE(YEAR(B1122),MONTH(B1122),1)</f>
        <v>45809</v>
      </c>
      <c r="K1122" s="41" t="n">
        <f aca="false">D1122*E1122</f>
        <v>17.79</v>
      </c>
      <c r="L1122" s="41" t="n">
        <f aca="false">D1122*I1122</f>
        <v>6</v>
      </c>
      <c r="M1122" s="41" t="n">
        <f aca="false">IFERROR(INDEX(Raw_Expenses!$C$5:$C$2979,MATCH(A1122,Raw_Expenses!$A$5:$A$2979,0)),0)</f>
        <v>1.24</v>
      </c>
      <c r="N1122" s="41" t="n">
        <f aca="false">L1122+M1122</f>
        <v>7.24</v>
      </c>
      <c r="O1122" s="41" t="n">
        <f aca="false">K1122-N1122</f>
        <v>10.55</v>
      </c>
      <c r="P1122" s="43" t="n">
        <f aca="false">IF(K1122=0,0,O1122/K1122)</f>
        <v>0.593029792017988</v>
      </c>
    </row>
    <row r="1123" customFormat="false" ht="15" hidden="false" customHeight="false" outlineLevel="0" collapsed="false">
      <c r="A1123" s="39" t="s">
        <v>1245</v>
      </c>
      <c r="B1123" s="40" t="n">
        <v>45818</v>
      </c>
      <c r="C1123" s="39" t="s">
        <v>114</v>
      </c>
      <c r="D1123" s="39" t="n">
        <v>1</v>
      </c>
      <c r="E1123" s="41" t="n">
        <v>5.72</v>
      </c>
      <c r="F1123" s="39" t="s">
        <v>118</v>
      </c>
      <c r="G1123" s="39" t="str">
        <f aca="false">VLOOKUP(C1123,Products!$A$5:$D$24,2,FALSE())</f>
        <v>Gel Pen Pack</v>
      </c>
      <c r="H1123" s="39" t="str">
        <f aca="false">VLOOKUP(C1123,Products!$A$5:$D$24,3,FALSE())</f>
        <v>Stationery</v>
      </c>
      <c r="I1123" s="41" t="n">
        <f aca="false">VLOOKUP(C1123,Products!$A$5:$D$24,4,FALSE())</f>
        <v>2</v>
      </c>
      <c r="J1123" s="42" t="n">
        <f aca="false">DATE(YEAR(B1123),MONTH(B1123),1)</f>
        <v>45809</v>
      </c>
      <c r="K1123" s="41" t="n">
        <f aca="false">D1123*E1123</f>
        <v>5.72</v>
      </c>
      <c r="L1123" s="41" t="n">
        <f aca="false">D1123*I1123</f>
        <v>2</v>
      </c>
      <c r="M1123" s="41" t="n">
        <f aca="false">IFERROR(INDEX(Raw_Expenses!$C$5:$C$2979,MATCH(A1123,Raw_Expenses!$A$5:$A$2979,0)),0)</f>
        <v>0.46</v>
      </c>
      <c r="N1123" s="41" t="n">
        <f aca="false">L1123+M1123</f>
        <v>2.46</v>
      </c>
      <c r="O1123" s="41" t="n">
        <f aca="false">K1123-N1123</f>
        <v>3.26</v>
      </c>
      <c r="P1123" s="43" t="n">
        <f aca="false">IF(K1123=0,0,O1123/K1123)</f>
        <v>0.56993006993007</v>
      </c>
    </row>
    <row r="1124" customFormat="false" ht="15" hidden="false" customHeight="false" outlineLevel="0" collapsed="false">
      <c r="A1124" s="39" t="s">
        <v>1246</v>
      </c>
      <c r="B1124" s="40" t="n">
        <v>45818</v>
      </c>
      <c r="C1124" s="39" t="s">
        <v>153</v>
      </c>
      <c r="D1124" s="39" t="n">
        <v>1</v>
      </c>
      <c r="E1124" s="41" t="n">
        <v>165.18</v>
      </c>
      <c r="F1124" s="39" t="s">
        <v>105</v>
      </c>
      <c r="G1124" s="39" t="str">
        <f aca="false">VLOOKUP(C1124,Products!$A$5:$D$24,2,FALSE())</f>
        <v>24-inch Monitor</v>
      </c>
      <c r="H1124" s="39" t="str">
        <f aca="false">VLOOKUP(C1124,Products!$A$5:$D$24,3,FALSE())</f>
        <v>Electronics</v>
      </c>
      <c r="I1124" s="41" t="n">
        <f aca="false">VLOOKUP(C1124,Products!$A$5:$D$24,4,FALSE())</f>
        <v>90</v>
      </c>
      <c r="J1124" s="42" t="n">
        <f aca="false">DATE(YEAR(B1124),MONTH(B1124),1)</f>
        <v>45809</v>
      </c>
      <c r="K1124" s="41" t="n">
        <f aca="false">D1124*E1124</f>
        <v>165.18</v>
      </c>
      <c r="L1124" s="41" t="n">
        <f aca="false">D1124*I1124</f>
        <v>90</v>
      </c>
      <c r="M1124" s="41" t="n">
        <f aca="false">IFERROR(INDEX(Raw_Expenses!$C$5:$C$2979,MATCH(A1124,Raw_Expenses!$A$5:$A$2979,0)),0)</f>
        <v>10.08</v>
      </c>
      <c r="N1124" s="41" t="n">
        <f aca="false">L1124+M1124</f>
        <v>100.08</v>
      </c>
      <c r="O1124" s="41" t="n">
        <f aca="false">K1124-N1124</f>
        <v>65.1</v>
      </c>
      <c r="P1124" s="43" t="n">
        <f aca="false">IF(K1124=0,0,O1124/K1124)</f>
        <v>0.394115510352343</v>
      </c>
    </row>
    <row r="1125" customFormat="false" ht="15" hidden="false" customHeight="false" outlineLevel="0" collapsed="false">
      <c r="A1125" s="39" t="s">
        <v>1247</v>
      </c>
      <c r="B1125" s="40" t="n">
        <v>45818</v>
      </c>
      <c r="C1125" s="39" t="s">
        <v>133</v>
      </c>
      <c r="D1125" s="39" t="n">
        <v>4</v>
      </c>
      <c r="E1125" s="41" t="n">
        <v>8.62</v>
      </c>
      <c r="F1125" s="39" t="s">
        <v>115</v>
      </c>
      <c r="G1125" s="39" t="str">
        <f aca="false">VLOOKUP(C1125,Products!$A$5:$D$24,2,FALSE())</f>
        <v>Printer Paper Ream</v>
      </c>
      <c r="H1125" s="39" t="str">
        <f aca="false">VLOOKUP(C1125,Products!$A$5:$D$24,3,FALSE())</f>
        <v>Stationery</v>
      </c>
      <c r="I1125" s="41" t="n">
        <f aca="false">VLOOKUP(C1125,Products!$A$5:$D$24,4,FALSE())</f>
        <v>4</v>
      </c>
      <c r="J1125" s="42" t="n">
        <f aca="false">DATE(YEAR(B1125),MONTH(B1125),1)</f>
        <v>45809</v>
      </c>
      <c r="K1125" s="41" t="n">
        <f aca="false">D1125*E1125</f>
        <v>34.48</v>
      </c>
      <c r="L1125" s="41" t="n">
        <f aca="false">D1125*I1125</f>
        <v>16</v>
      </c>
      <c r="M1125" s="41" t="n">
        <f aca="false">IFERROR(INDEX(Raw_Expenses!$C$5:$C$2979,MATCH(A1125,Raw_Expenses!$A$5:$A$2979,0)),0)</f>
        <v>2.75</v>
      </c>
      <c r="N1125" s="41" t="n">
        <f aca="false">L1125+M1125</f>
        <v>18.75</v>
      </c>
      <c r="O1125" s="41" t="n">
        <f aca="false">K1125-N1125</f>
        <v>15.73</v>
      </c>
      <c r="P1125" s="43" t="n">
        <f aca="false">IF(K1125=0,0,O1125/K1125)</f>
        <v>0.456206496519722</v>
      </c>
    </row>
    <row r="1126" customFormat="false" ht="15" hidden="false" customHeight="false" outlineLevel="0" collapsed="false">
      <c r="A1126" s="39" t="s">
        <v>1248</v>
      </c>
      <c r="B1126" s="40" t="n">
        <v>45819</v>
      </c>
      <c r="C1126" s="39" t="s">
        <v>126</v>
      </c>
      <c r="D1126" s="39" t="n">
        <v>1</v>
      </c>
      <c r="E1126" s="41" t="n">
        <v>24.43</v>
      </c>
      <c r="F1126" s="39" t="s">
        <v>118</v>
      </c>
      <c r="G1126" s="39" t="str">
        <f aca="false">VLOOKUP(C1126,Products!$A$5:$D$24,2,FALSE())</f>
        <v>Wireless Mouse</v>
      </c>
      <c r="H1126" s="39" t="str">
        <f aca="false">VLOOKUP(C1126,Products!$A$5:$D$24,3,FALSE())</f>
        <v>Electronics</v>
      </c>
      <c r="I1126" s="41" t="n">
        <f aca="false">VLOOKUP(C1126,Products!$A$5:$D$24,4,FALSE())</f>
        <v>12</v>
      </c>
      <c r="J1126" s="42" t="n">
        <f aca="false">DATE(YEAR(B1126),MONTH(B1126),1)</f>
        <v>45809</v>
      </c>
      <c r="K1126" s="41" t="n">
        <f aca="false">D1126*E1126</f>
        <v>24.43</v>
      </c>
      <c r="L1126" s="41" t="n">
        <f aca="false">D1126*I1126</f>
        <v>12</v>
      </c>
      <c r="M1126" s="41" t="n">
        <f aca="false">IFERROR(INDEX(Raw_Expenses!$C$5:$C$2979,MATCH(A1126,Raw_Expenses!$A$5:$A$2979,0)),0)</f>
        <v>1.75</v>
      </c>
      <c r="N1126" s="41" t="n">
        <f aca="false">L1126+M1126</f>
        <v>13.75</v>
      </c>
      <c r="O1126" s="41" t="n">
        <f aca="false">K1126-N1126</f>
        <v>10.68</v>
      </c>
      <c r="P1126" s="43" t="n">
        <f aca="false">IF(K1126=0,0,O1126/K1126)</f>
        <v>0.437167417110111</v>
      </c>
    </row>
    <row r="1127" customFormat="false" ht="15" hidden="false" customHeight="false" outlineLevel="0" collapsed="false">
      <c r="A1127" s="39" t="s">
        <v>1249</v>
      </c>
      <c r="B1127" s="40" t="n">
        <v>45819</v>
      </c>
      <c r="C1127" s="39" t="s">
        <v>162</v>
      </c>
      <c r="D1127" s="39" t="n">
        <v>1</v>
      </c>
      <c r="E1127" s="41" t="n">
        <v>63.51</v>
      </c>
      <c r="F1127" s="39" t="s">
        <v>118</v>
      </c>
      <c r="G1127" s="39" t="str">
        <f aca="false">VLOOKUP(C1127,Products!$A$5:$D$24,2,FALSE())</f>
        <v>Bluetooth Speaker</v>
      </c>
      <c r="H1127" s="39" t="str">
        <f aca="false">VLOOKUP(C1127,Products!$A$5:$D$24,3,FALSE())</f>
        <v>Electronics</v>
      </c>
      <c r="I1127" s="41" t="n">
        <f aca="false">VLOOKUP(C1127,Products!$A$5:$D$24,4,FALSE())</f>
        <v>28</v>
      </c>
      <c r="J1127" s="42" t="n">
        <f aca="false">DATE(YEAR(B1127),MONTH(B1127),1)</f>
        <v>45809</v>
      </c>
      <c r="K1127" s="41" t="n">
        <f aca="false">D1127*E1127</f>
        <v>63.51</v>
      </c>
      <c r="L1127" s="41" t="n">
        <f aca="false">D1127*I1127</f>
        <v>28</v>
      </c>
      <c r="M1127" s="41" t="n">
        <f aca="false">IFERROR(INDEX(Raw_Expenses!$C$5:$C$2979,MATCH(A1127,Raw_Expenses!$A$5:$A$2979,0)),0)</f>
        <v>5.33</v>
      </c>
      <c r="N1127" s="41" t="n">
        <f aca="false">L1127+M1127</f>
        <v>33.33</v>
      </c>
      <c r="O1127" s="41" t="n">
        <f aca="false">K1127-N1127</f>
        <v>30.18</v>
      </c>
      <c r="P1127" s="43" t="n">
        <f aca="false">IF(K1127=0,0,O1127/K1127)</f>
        <v>0.47520075578649</v>
      </c>
    </row>
    <row r="1128" customFormat="false" ht="15" hidden="false" customHeight="false" outlineLevel="0" collapsed="false">
      <c r="A1128" s="39" t="s">
        <v>1250</v>
      </c>
      <c r="B1128" s="40" t="n">
        <v>45819</v>
      </c>
      <c r="C1128" s="39" t="s">
        <v>112</v>
      </c>
      <c r="D1128" s="39" t="n">
        <v>1</v>
      </c>
      <c r="E1128" s="41" t="n">
        <v>53.17</v>
      </c>
      <c r="F1128" s="39" t="s">
        <v>118</v>
      </c>
      <c r="G1128" s="39" t="str">
        <f aca="false">VLOOKUP(C1128,Products!$A$5:$D$24,2,FALSE())</f>
        <v>HD Webcam</v>
      </c>
      <c r="H1128" s="39" t="str">
        <f aca="false">VLOOKUP(C1128,Products!$A$5:$D$24,3,FALSE())</f>
        <v>Electronics</v>
      </c>
      <c r="I1128" s="41" t="n">
        <f aca="false">VLOOKUP(C1128,Products!$A$5:$D$24,4,FALSE())</f>
        <v>22</v>
      </c>
      <c r="J1128" s="42" t="n">
        <f aca="false">DATE(YEAR(B1128),MONTH(B1128),1)</f>
        <v>45809</v>
      </c>
      <c r="K1128" s="41" t="n">
        <f aca="false">D1128*E1128</f>
        <v>53.17</v>
      </c>
      <c r="L1128" s="41" t="n">
        <f aca="false">D1128*I1128</f>
        <v>22</v>
      </c>
      <c r="M1128" s="41" t="n">
        <f aca="false">IFERROR(INDEX(Raw_Expenses!$C$5:$C$2979,MATCH(A1128,Raw_Expenses!$A$5:$A$2979,0)),0)</f>
        <v>3.34</v>
      </c>
      <c r="N1128" s="41" t="n">
        <f aca="false">L1128+M1128</f>
        <v>25.34</v>
      </c>
      <c r="O1128" s="41" t="n">
        <f aca="false">K1128-N1128</f>
        <v>27.83</v>
      </c>
      <c r="P1128" s="43" t="n">
        <f aca="false">IF(K1128=0,0,O1128/K1128)</f>
        <v>0.523415459845778</v>
      </c>
    </row>
    <row r="1129" customFormat="false" ht="15" hidden="false" customHeight="false" outlineLevel="0" collapsed="false">
      <c r="A1129" s="39" t="s">
        <v>1251</v>
      </c>
      <c r="B1129" s="40" t="n">
        <v>45819</v>
      </c>
      <c r="C1129" s="39" t="s">
        <v>128</v>
      </c>
      <c r="D1129" s="39" t="n">
        <v>3</v>
      </c>
      <c r="E1129" s="41" t="n">
        <v>38.45</v>
      </c>
      <c r="F1129" s="39" t="s">
        <v>108</v>
      </c>
      <c r="G1129" s="39" t="str">
        <f aca="false">VLOOKUP(C1129,Products!$A$5:$D$24,2,FALSE())</f>
        <v>Ergonomic Footrest</v>
      </c>
      <c r="H1129" s="39" t="str">
        <f aca="false">VLOOKUP(C1129,Products!$A$5:$D$24,3,FALSE())</f>
        <v>Furniture</v>
      </c>
      <c r="I1129" s="41" t="n">
        <f aca="false">VLOOKUP(C1129,Products!$A$5:$D$24,4,FALSE())</f>
        <v>15</v>
      </c>
      <c r="J1129" s="42" t="n">
        <f aca="false">DATE(YEAR(B1129),MONTH(B1129),1)</f>
        <v>45809</v>
      </c>
      <c r="K1129" s="41" t="n">
        <f aca="false">D1129*E1129</f>
        <v>115.35</v>
      </c>
      <c r="L1129" s="41" t="n">
        <f aca="false">D1129*I1129</f>
        <v>45</v>
      </c>
      <c r="M1129" s="41" t="n">
        <f aca="false">IFERROR(INDEX(Raw_Expenses!$C$5:$C$2979,MATCH(A1129,Raw_Expenses!$A$5:$A$2979,0)),0)</f>
        <v>5.12</v>
      </c>
      <c r="N1129" s="41" t="n">
        <f aca="false">L1129+M1129</f>
        <v>50.12</v>
      </c>
      <c r="O1129" s="41" t="n">
        <f aca="false">K1129-N1129</f>
        <v>65.23</v>
      </c>
      <c r="P1129" s="43" t="n">
        <f aca="false">IF(K1129=0,0,O1129/K1129)</f>
        <v>0.565496315561335</v>
      </c>
    </row>
    <row r="1130" customFormat="false" ht="15" hidden="false" customHeight="false" outlineLevel="0" collapsed="false">
      <c r="A1130" s="39" t="s">
        <v>1252</v>
      </c>
      <c r="B1130" s="40" t="n">
        <v>45819</v>
      </c>
      <c r="C1130" s="39" t="s">
        <v>114</v>
      </c>
      <c r="D1130" s="39" t="n">
        <v>3</v>
      </c>
      <c r="E1130" s="41" t="n">
        <v>5.99</v>
      </c>
      <c r="F1130" s="39" t="s">
        <v>108</v>
      </c>
      <c r="G1130" s="39" t="str">
        <f aca="false">VLOOKUP(C1130,Products!$A$5:$D$24,2,FALSE())</f>
        <v>Gel Pen Pack</v>
      </c>
      <c r="H1130" s="39" t="str">
        <f aca="false">VLOOKUP(C1130,Products!$A$5:$D$24,3,FALSE())</f>
        <v>Stationery</v>
      </c>
      <c r="I1130" s="41" t="n">
        <f aca="false">VLOOKUP(C1130,Products!$A$5:$D$24,4,FALSE())</f>
        <v>2</v>
      </c>
      <c r="J1130" s="42" t="n">
        <f aca="false">DATE(YEAR(B1130),MONTH(B1130),1)</f>
        <v>45809</v>
      </c>
      <c r="K1130" s="41" t="n">
        <f aca="false">D1130*E1130</f>
        <v>17.97</v>
      </c>
      <c r="L1130" s="41" t="n">
        <f aca="false">D1130*I1130</f>
        <v>6</v>
      </c>
      <c r="M1130" s="41" t="n">
        <f aca="false">IFERROR(INDEX(Raw_Expenses!$C$5:$C$2979,MATCH(A1130,Raw_Expenses!$A$5:$A$2979,0)),0)</f>
        <v>0.76</v>
      </c>
      <c r="N1130" s="41" t="n">
        <f aca="false">L1130+M1130</f>
        <v>6.76</v>
      </c>
      <c r="O1130" s="41" t="n">
        <f aca="false">K1130-N1130</f>
        <v>11.21</v>
      </c>
      <c r="P1130" s="43" t="n">
        <f aca="false">IF(K1130=0,0,O1130/K1130)</f>
        <v>0.623817473567056</v>
      </c>
    </row>
    <row r="1131" customFormat="false" ht="15" hidden="false" customHeight="false" outlineLevel="0" collapsed="false">
      <c r="A1131" s="39" t="s">
        <v>1253</v>
      </c>
      <c r="B1131" s="40" t="n">
        <v>45819</v>
      </c>
      <c r="C1131" s="39" t="s">
        <v>110</v>
      </c>
      <c r="D1131" s="39" t="n">
        <v>3</v>
      </c>
      <c r="E1131" s="41" t="n">
        <v>13.1</v>
      </c>
      <c r="F1131" s="39" t="s">
        <v>118</v>
      </c>
      <c r="G1131" s="39" t="str">
        <f aca="false">VLOOKUP(C1131,Products!$A$5:$D$24,2,FALSE())</f>
        <v>Phone Stand</v>
      </c>
      <c r="H1131" s="39" t="str">
        <f aca="false">VLOOKUP(C1131,Products!$A$5:$D$24,3,FALSE())</f>
        <v>Accessories</v>
      </c>
      <c r="I1131" s="41" t="n">
        <f aca="false">VLOOKUP(C1131,Products!$A$5:$D$24,4,FALSE())</f>
        <v>4</v>
      </c>
      <c r="J1131" s="42" t="n">
        <f aca="false">DATE(YEAR(B1131),MONTH(B1131),1)</f>
        <v>45809</v>
      </c>
      <c r="K1131" s="41" t="n">
        <f aca="false">D1131*E1131</f>
        <v>39.3</v>
      </c>
      <c r="L1131" s="41" t="n">
        <f aca="false">D1131*I1131</f>
        <v>12</v>
      </c>
      <c r="M1131" s="41" t="n">
        <f aca="false">IFERROR(INDEX(Raw_Expenses!$C$5:$C$2979,MATCH(A1131,Raw_Expenses!$A$5:$A$2979,0)),0)</f>
        <v>3.23</v>
      </c>
      <c r="N1131" s="41" t="n">
        <f aca="false">L1131+M1131</f>
        <v>15.23</v>
      </c>
      <c r="O1131" s="41" t="n">
        <f aca="false">K1131-N1131</f>
        <v>24.07</v>
      </c>
      <c r="P1131" s="43" t="n">
        <f aca="false">IF(K1131=0,0,O1131/K1131)</f>
        <v>0.612468193384224</v>
      </c>
    </row>
    <row r="1132" customFormat="false" ht="15" hidden="false" customHeight="false" outlineLevel="0" collapsed="false">
      <c r="A1132" s="39" t="s">
        <v>1254</v>
      </c>
      <c r="B1132" s="40" t="n">
        <v>45819</v>
      </c>
      <c r="C1132" s="39" t="s">
        <v>169</v>
      </c>
      <c r="D1132" s="39" t="n">
        <v>2</v>
      </c>
      <c r="E1132" s="41" t="n">
        <v>28.99</v>
      </c>
      <c r="F1132" s="39" t="s">
        <v>115</v>
      </c>
      <c r="G1132" s="39" t="str">
        <f aca="false">VLOOKUP(C1132,Products!$A$5:$D$24,2,FALSE())</f>
        <v>Laptop Stand</v>
      </c>
      <c r="H1132" s="39" t="str">
        <f aca="false">VLOOKUP(C1132,Products!$A$5:$D$24,3,FALSE())</f>
        <v>Accessories</v>
      </c>
      <c r="I1132" s="41" t="n">
        <f aca="false">VLOOKUP(C1132,Products!$A$5:$D$24,4,FALSE())</f>
        <v>11</v>
      </c>
      <c r="J1132" s="42" t="n">
        <f aca="false">DATE(YEAR(B1132),MONTH(B1132),1)</f>
        <v>45809</v>
      </c>
      <c r="K1132" s="41" t="n">
        <f aca="false">D1132*E1132</f>
        <v>57.98</v>
      </c>
      <c r="L1132" s="41" t="n">
        <f aca="false">D1132*I1132</f>
        <v>22</v>
      </c>
      <c r="M1132" s="41" t="n">
        <f aca="false">IFERROR(INDEX(Raw_Expenses!$C$5:$C$2979,MATCH(A1132,Raw_Expenses!$A$5:$A$2979,0)),0)</f>
        <v>4.99</v>
      </c>
      <c r="N1132" s="41" t="n">
        <f aca="false">L1132+M1132</f>
        <v>26.99</v>
      </c>
      <c r="O1132" s="41" t="n">
        <f aca="false">K1132-N1132</f>
        <v>30.99</v>
      </c>
      <c r="P1132" s="43" t="n">
        <f aca="false">IF(K1132=0,0,O1132/K1132)</f>
        <v>0.534494653328734</v>
      </c>
    </row>
    <row r="1133" customFormat="false" ht="15" hidden="false" customHeight="false" outlineLevel="0" collapsed="false">
      <c r="A1133" s="39" t="s">
        <v>1255</v>
      </c>
      <c r="B1133" s="40" t="n">
        <v>45819</v>
      </c>
      <c r="C1133" s="39" t="s">
        <v>153</v>
      </c>
      <c r="D1133" s="39" t="n">
        <v>5</v>
      </c>
      <c r="E1133" s="41" t="n">
        <v>172.1</v>
      </c>
      <c r="F1133" s="39" t="s">
        <v>105</v>
      </c>
      <c r="G1133" s="39" t="str">
        <f aca="false">VLOOKUP(C1133,Products!$A$5:$D$24,2,FALSE())</f>
        <v>24-inch Monitor</v>
      </c>
      <c r="H1133" s="39" t="str">
        <f aca="false">VLOOKUP(C1133,Products!$A$5:$D$24,3,FALSE())</f>
        <v>Electronics</v>
      </c>
      <c r="I1133" s="41" t="n">
        <f aca="false">VLOOKUP(C1133,Products!$A$5:$D$24,4,FALSE())</f>
        <v>90</v>
      </c>
      <c r="J1133" s="42" t="n">
        <f aca="false">DATE(YEAR(B1133),MONTH(B1133),1)</f>
        <v>45809</v>
      </c>
      <c r="K1133" s="41" t="n">
        <f aca="false">D1133*E1133</f>
        <v>860.5</v>
      </c>
      <c r="L1133" s="41" t="n">
        <f aca="false">D1133*I1133</f>
        <v>450</v>
      </c>
      <c r="M1133" s="41" t="n">
        <f aca="false">IFERROR(INDEX(Raw_Expenses!$C$5:$C$2979,MATCH(A1133,Raw_Expenses!$A$5:$A$2979,0)),0)</f>
        <v>54.6</v>
      </c>
      <c r="N1133" s="41" t="n">
        <f aca="false">L1133+M1133</f>
        <v>504.6</v>
      </c>
      <c r="O1133" s="41" t="n">
        <f aca="false">K1133-N1133</f>
        <v>355.9</v>
      </c>
      <c r="P1133" s="43" t="n">
        <f aca="false">IF(K1133=0,0,O1133/K1133)</f>
        <v>0.413596746077862</v>
      </c>
    </row>
    <row r="1134" customFormat="false" ht="15" hidden="false" customHeight="false" outlineLevel="0" collapsed="false">
      <c r="A1134" s="39" t="s">
        <v>1256</v>
      </c>
      <c r="B1134" s="40" t="n">
        <v>45820</v>
      </c>
      <c r="C1134" s="39" t="s">
        <v>126</v>
      </c>
      <c r="D1134" s="39" t="n">
        <v>3</v>
      </c>
      <c r="E1134" s="41" t="n">
        <v>24.73</v>
      </c>
      <c r="F1134" s="39" t="s">
        <v>105</v>
      </c>
      <c r="G1134" s="39" t="str">
        <f aca="false">VLOOKUP(C1134,Products!$A$5:$D$24,2,FALSE())</f>
        <v>Wireless Mouse</v>
      </c>
      <c r="H1134" s="39" t="str">
        <f aca="false">VLOOKUP(C1134,Products!$A$5:$D$24,3,FALSE())</f>
        <v>Electronics</v>
      </c>
      <c r="I1134" s="41" t="n">
        <f aca="false">VLOOKUP(C1134,Products!$A$5:$D$24,4,FALSE())</f>
        <v>12</v>
      </c>
      <c r="J1134" s="42" t="n">
        <f aca="false">DATE(YEAR(B1134),MONTH(B1134),1)</f>
        <v>45809</v>
      </c>
      <c r="K1134" s="41" t="n">
        <f aca="false">D1134*E1134</f>
        <v>74.19</v>
      </c>
      <c r="L1134" s="41" t="n">
        <f aca="false">D1134*I1134</f>
        <v>36</v>
      </c>
      <c r="M1134" s="41" t="n">
        <f aca="false">IFERROR(INDEX(Raw_Expenses!$C$5:$C$2979,MATCH(A1134,Raw_Expenses!$A$5:$A$2979,0)),0)</f>
        <v>5.03</v>
      </c>
      <c r="N1134" s="41" t="n">
        <f aca="false">L1134+M1134</f>
        <v>41.03</v>
      </c>
      <c r="O1134" s="41" t="n">
        <f aca="false">K1134-N1134</f>
        <v>33.16</v>
      </c>
      <c r="P1134" s="43" t="n">
        <f aca="false">IF(K1134=0,0,O1134/K1134)</f>
        <v>0.446960506806847</v>
      </c>
    </row>
    <row r="1135" customFormat="false" ht="15" hidden="false" customHeight="false" outlineLevel="0" collapsed="false">
      <c r="A1135" s="39" t="s">
        <v>1257</v>
      </c>
      <c r="B1135" s="40" t="n">
        <v>45820</v>
      </c>
      <c r="C1135" s="39" t="s">
        <v>153</v>
      </c>
      <c r="D1135" s="39" t="n">
        <v>1</v>
      </c>
      <c r="E1135" s="41" t="n">
        <v>178.61</v>
      </c>
      <c r="F1135" s="39" t="s">
        <v>108</v>
      </c>
      <c r="G1135" s="39" t="str">
        <f aca="false">VLOOKUP(C1135,Products!$A$5:$D$24,2,FALSE())</f>
        <v>24-inch Monitor</v>
      </c>
      <c r="H1135" s="39" t="str">
        <f aca="false">VLOOKUP(C1135,Products!$A$5:$D$24,3,FALSE())</f>
        <v>Electronics</v>
      </c>
      <c r="I1135" s="41" t="n">
        <f aca="false">VLOOKUP(C1135,Products!$A$5:$D$24,4,FALSE())</f>
        <v>90</v>
      </c>
      <c r="J1135" s="42" t="n">
        <f aca="false">DATE(YEAR(B1135),MONTH(B1135),1)</f>
        <v>45809</v>
      </c>
      <c r="K1135" s="41" t="n">
        <f aca="false">D1135*E1135</f>
        <v>178.61</v>
      </c>
      <c r="L1135" s="41" t="n">
        <f aca="false">D1135*I1135</f>
        <v>90</v>
      </c>
      <c r="M1135" s="41" t="n">
        <f aca="false">IFERROR(INDEX(Raw_Expenses!$C$5:$C$2979,MATCH(A1135,Raw_Expenses!$A$5:$A$2979,0)),0)</f>
        <v>8.01</v>
      </c>
      <c r="N1135" s="41" t="n">
        <f aca="false">L1135+M1135</f>
        <v>98.01</v>
      </c>
      <c r="O1135" s="41" t="n">
        <f aca="false">K1135-N1135</f>
        <v>80.6</v>
      </c>
      <c r="P1135" s="43" t="n">
        <f aca="false">IF(K1135=0,0,O1135/K1135)</f>
        <v>0.451262527294105</v>
      </c>
    </row>
    <row r="1136" customFormat="false" ht="15" hidden="false" customHeight="false" outlineLevel="0" collapsed="false">
      <c r="A1136" s="39" t="s">
        <v>1258</v>
      </c>
      <c r="B1136" s="40" t="n">
        <v>45820</v>
      </c>
      <c r="C1136" s="39" t="s">
        <v>126</v>
      </c>
      <c r="D1136" s="39" t="n">
        <v>1</v>
      </c>
      <c r="E1136" s="41" t="n">
        <v>24.2</v>
      </c>
      <c r="F1136" s="39" t="s">
        <v>118</v>
      </c>
      <c r="G1136" s="39" t="str">
        <f aca="false">VLOOKUP(C1136,Products!$A$5:$D$24,2,FALSE())</f>
        <v>Wireless Mouse</v>
      </c>
      <c r="H1136" s="39" t="str">
        <f aca="false">VLOOKUP(C1136,Products!$A$5:$D$24,3,FALSE())</f>
        <v>Electronics</v>
      </c>
      <c r="I1136" s="41" t="n">
        <f aca="false">VLOOKUP(C1136,Products!$A$5:$D$24,4,FALSE())</f>
        <v>12</v>
      </c>
      <c r="J1136" s="42" t="n">
        <f aca="false">DATE(YEAR(B1136),MONTH(B1136),1)</f>
        <v>45809</v>
      </c>
      <c r="K1136" s="41" t="n">
        <f aca="false">D1136*E1136</f>
        <v>24.2</v>
      </c>
      <c r="L1136" s="41" t="n">
        <f aca="false">D1136*I1136</f>
        <v>12</v>
      </c>
      <c r="M1136" s="41" t="n">
        <f aca="false">IFERROR(INDEX(Raw_Expenses!$C$5:$C$2979,MATCH(A1136,Raw_Expenses!$A$5:$A$2979,0)),0)</f>
        <v>1.73</v>
      </c>
      <c r="N1136" s="41" t="n">
        <f aca="false">L1136+M1136</f>
        <v>13.73</v>
      </c>
      <c r="O1136" s="41" t="n">
        <f aca="false">K1136-N1136</f>
        <v>10.47</v>
      </c>
      <c r="P1136" s="43" t="n">
        <f aca="false">IF(K1136=0,0,O1136/K1136)</f>
        <v>0.432644628099174</v>
      </c>
    </row>
    <row r="1137" customFormat="false" ht="15" hidden="false" customHeight="false" outlineLevel="0" collapsed="false">
      <c r="A1137" s="39" t="s">
        <v>1259</v>
      </c>
      <c r="B1137" s="40" t="n">
        <v>45820</v>
      </c>
      <c r="C1137" s="39" t="s">
        <v>126</v>
      </c>
      <c r="D1137" s="39" t="n">
        <v>6</v>
      </c>
      <c r="E1137" s="41" t="n">
        <v>24.92</v>
      </c>
      <c r="F1137" s="39" t="s">
        <v>108</v>
      </c>
      <c r="G1137" s="39" t="str">
        <f aca="false">VLOOKUP(C1137,Products!$A$5:$D$24,2,FALSE())</f>
        <v>Wireless Mouse</v>
      </c>
      <c r="H1137" s="39" t="str">
        <f aca="false">VLOOKUP(C1137,Products!$A$5:$D$24,3,FALSE())</f>
        <v>Electronics</v>
      </c>
      <c r="I1137" s="41" t="n">
        <f aca="false">VLOOKUP(C1137,Products!$A$5:$D$24,4,FALSE())</f>
        <v>12</v>
      </c>
      <c r="J1137" s="42" t="n">
        <f aca="false">DATE(YEAR(B1137),MONTH(B1137),1)</f>
        <v>45809</v>
      </c>
      <c r="K1137" s="41" t="n">
        <f aca="false">D1137*E1137</f>
        <v>149.52</v>
      </c>
      <c r="L1137" s="41" t="n">
        <f aca="false">D1137*I1137</f>
        <v>72</v>
      </c>
      <c r="M1137" s="41" t="n">
        <f aca="false">IFERROR(INDEX(Raw_Expenses!$C$5:$C$2979,MATCH(A1137,Raw_Expenses!$A$5:$A$2979,0)),0)</f>
        <v>11.69</v>
      </c>
      <c r="N1137" s="41" t="n">
        <f aca="false">L1137+M1137</f>
        <v>83.69</v>
      </c>
      <c r="O1137" s="41" t="n">
        <f aca="false">K1137-N1137</f>
        <v>65.83</v>
      </c>
      <c r="P1137" s="43" t="n">
        <f aca="false">IF(K1137=0,0,O1137/K1137)</f>
        <v>0.440275548421616</v>
      </c>
    </row>
    <row r="1138" customFormat="false" ht="15" hidden="false" customHeight="false" outlineLevel="0" collapsed="false">
      <c r="A1138" s="39" t="s">
        <v>1260</v>
      </c>
      <c r="B1138" s="40" t="n">
        <v>45820</v>
      </c>
      <c r="C1138" s="39" t="s">
        <v>136</v>
      </c>
      <c r="D1138" s="39" t="n">
        <v>1</v>
      </c>
      <c r="E1138" s="41" t="n">
        <v>73.58</v>
      </c>
      <c r="F1138" s="39" t="s">
        <v>118</v>
      </c>
      <c r="G1138" s="39" t="str">
        <f aca="false">VLOOKUP(C1138,Products!$A$5:$D$24,2,FALSE())</f>
        <v>Mechanical Keyboard</v>
      </c>
      <c r="H1138" s="39" t="str">
        <f aca="false">VLOOKUP(C1138,Products!$A$5:$D$24,3,FALSE())</f>
        <v>Electronics</v>
      </c>
      <c r="I1138" s="41" t="n">
        <f aca="false">VLOOKUP(C1138,Products!$A$5:$D$24,4,FALSE())</f>
        <v>38</v>
      </c>
      <c r="J1138" s="42" t="n">
        <f aca="false">DATE(YEAR(B1138),MONTH(B1138),1)</f>
        <v>45809</v>
      </c>
      <c r="K1138" s="41" t="n">
        <f aca="false">D1138*E1138</f>
        <v>73.58</v>
      </c>
      <c r="L1138" s="41" t="n">
        <f aca="false">D1138*I1138</f>
        <v>38</v>
      </c>
      <c r="M1138" s="41" t="n">
        <f aca="false">IFERROR(INDEX(Raw_Expenses!$C$5:$C$2979,MATCH(A1138,Raw_Expenses!$A$5:$A$2979,0)),0)</f>
        <v>5.23</v>
      </c>
      <c r="N1138" s="41" t="n">
        <f aca="false">L1138+M1138</f>
        <v>43.23</v>
      </c>
      <c r="O1138" s="41" t="n">
        <f aca="false">K1138-N1138</f>
        <v>30.35</v>
      </c>
      <c r="P1138" s="43" t="n">
        <f aca="false">IF(K1138=0,0,O1138/K1138)</f>
        <v>0.412476216363142</v>
      </c>
    </row>
    <row r="1139" customFormat="false" ht="15" hidden="false" customHeight="false" outlineLevel="0" collapsed="false">
      <c r="A1139" s="39" t="s">
        <v>1261</v>
      </c>
      <c r="B1139" s="40" t="n">
        <v>45820</v>
      </c>
      <c r="C1139" s="39" t="s">
        <v>112</v>
      </c>
      <c r="D1139" s="39" t="n">
        <v>3</v>
      </c>
      <c r="E1139" s="41" t="n">
        <v>51.62</v>
      </c>
      <c r="F1139" s="39" t="s">
        <v>115</v>
      </c>
      <c r="G1139" s="39" t="str">
        <f aca="false">VLOOKUP(C1139,Products!$A$5:$D$24,2,FALSE())</f>
        <v>HD Webcam</v>
      </c>
      <c r="H1139" s="39" t="str">
        <f aca="false">VLOOKUP(C1139,Products!$A$5:$D$24,3,FALSE())</f>
        <v>Electronics</v>
      </c>
      <c r="I1139" s="41" t="n">
        <f aca="false">VLOOKUP(C1139,Products!$A$5:$D$24,4,FALSE())</f>
        <v>22</v>
      </c>
      <c r="J1139" s="42" t="n">
        <f aca="false">DATE(YEAR(B1139),MONTH(B1139),1)</f>
        <v>45809</v>
      </c>
      <c r="K1139" s="41" t="n">
        <f aca="false">D1139*E1139</f>
        <v>154.86</v>
      </c>
      <c r="L1139" s="41" t="n">
        <f aca="false">D1139*I1139</f>
        <v>66</v>
      </c>
      <c r="M1139" s="41" t="n">
        <f aca="false">IFERROR(INDEX(Raw_Expenses!$C$5:$C$2979,MATCH(A1139,Raw_Expenses!$A$5:$A$2979,0)),0)</f>
        <v>11.06</v>
      </c>
      <c r="N1139" s="41" t="n">
        <f aca="false">L1139+M1139</f>
        <v>77.06</v>
      </c>
      <c r="O1139" s="41" t="n">
        <f aca="false">K1139-N1139</f>
        <v>77.8</v>
      </c>
      <c r="P1139" s="43" t="n">
        <f aca="false">IF(K1139=0,0,O1139/K1139)</f>
        <v>0.502389254810797</v>
      </c>
    </row>
    <row r="1140" customFormat="false" ht="15" hidden="false" customHeight="false" outlineLevel="0" collapsed="false">
      <c r="A1140" s="39" t="s">
        <v>1262</v>
      </c>
      <c r="B1140" s="40" t="n">
        <v>45820</v>
      </c>
      <c r="C1140" s="39" t="s">
        <v>114</v>
      </c>
      <c r="D1140" s="39" t="n">
        <v>3</v>
      </c>
      <c r="E1140" s="41" t="n">
        <v>5.52</v>
      </c>
      <c r="F1140" s="39" t="s">
        <v>105</v>
      </c>
      <c r="G1140" s="39" t="str">
        <f aca="false">VLOOKUP(C1140,Products!$A$5:$D$24,2,FALSE())</f>
        <v>Gel Pen Pack</v>
      </c>
      <c r="H1140" s="39" t="str">
        <f aca="false">VLOOKUP(C1140,Products!$A$5:$D$24,3,FALSE())</f>
        <v>Stationery</v>
      </c>
      <c r="I1140" s="41" t="n">
        <f aca="false">VLOOKUP(C1140,Products!$A$5:$D$24,4,FALSE())</f>
        <v>2</v>
      </c>
      <c r="J1140" s="42" t="n">
        <f aca="false">DATE(YEAR(B1140),MONTH(B1140),1)</f>
        <v>45809</v>
      </c>
      <c r="K1140" s="41" t="n">
        <f aca="false">D1140*E1140</f>
        <v>16.56</v>
      </c>
      <c r="L1140" s="41" t="n">
        <f aca="false">D1140*I1140</f>
        <v>6</v>
      </c>
      <c r="M1140" s="41" t="n">
        <f aca="false">IFERROR(INDEX(Raw_Expenses!$C$5:$C$2979,MATCH(A1140,Raw_Expenses!$A$5:$A$2979,0)),0)</f>
        <v>1.4</v>
      </c>
      <c r="N1140" s="41" t="n">
        <f aca="false">L1140+M1140</f>
        <v>7.4</v>
      </c>
      <c r="O1140" s="41" t="n">
        <f aca="false">K1140-N1140</f>
        <v>9.16</v>
      </c>
      <c r="P1140" s="43" t="n">
        <f aca="false">IF(K1140=0,0,O1140/K1140)</f>
        <v>0.553140096618357</v>
      </c>
    </row>
    <row r="1141" customFormat="false" ht="15" hidden="false" customHeight="false" outlineLevel="0" collapsed="false">
      <c r="A1141" s="39" t="s">
        <v>1263</v>
      </c>
      <c r="B1141" s="40" t="n">
        <v>45821</v>
      </c>
      <c r="C1141" s="39" t="s">
        <v>121</v>
      </c>
      <c r="D1141" s="39" t="n">
        <v>2</v>
      </c>
      <c r="E1141" s="41" t="n">
        <v>118.72</v>
      </c>
      <c r="F1141" s="39" t="s">
        <v>108</v>
      </c>
      <c r="G1141" s="39" t="str">
        <f aca="false">VLOOKUP(C1141,Products!$A$5:$D$24,2,FALSE())</f>
        <v>External SSD 1TB</v>
      </c>
      <c r="H1141" s="39" t="str">
        <f aca="false">VLOOKUP(C1141,Products!$A$5:$D$24,3,FALSE())</f>
        <v>Electronics</v>
      </c>
      <c r="I1141" s="41" t="n">
        <f aca="false">VLOOKUP(C1141,Products!$A$5:$D$24,4,FALSE())</f>
        <v>62</v>
      </c>
      <c r="J1141" s="42" t="n">
        <f aca="false">DATE(YEAR(B1141),MONTH(B1141),1)</f>
        <v>45809</v>
      </c>
      <c r="K1141" s="41" t="n">
        <f aca="false">D1141*E1141</f>
        <v>237.44</v>
      </c>
      <c r="L1141" s="41" t="n">
        <f aca="false">D1141*I1141</f>
        <v>124</v>
      </c>
      <c r="M1141" s="41" t="n">
        <f aca="false">IFERROR(INDEX(Raw_Expenses!$C$5:$C$2979,MATCH(A1141,Raw_Expenses!$A$5:$A$2979,0)),0)</f>
        <v>9.56</v>
      </c>
      <c r="N1141" s="41" t="n">
        <f aca="false">L1141+M1141</f>
        <v>133.56</v>
      </c>
      <c r="O1141" s="41" t="n">
        <f aca="false">K1141-N1141</f>
        <v>103.88</v>
      </c>
      <c r="P1141" s="43" t="n">
        <f aca="false">IF(K1141=0,0,O1141/K1141)</f>
        <v>0.4375</v>
      </c>
    </row>
    <row r="1142" customFormat="false" ht="15" hidden="false" customHeight="false" outlineLevel="0" collapsed="false">
      <c r="A1142" s="39" t="s">
        <v>1264</v>
      </c>
      <c r="B1142" s="40" t="n">
        <v>45821</v>
      </c>
      <c r="C1142" s="39" t="s">
        <v>126</v>
      </c>
      <c r="D1142" s="39" t="n">
        <v>3</v>
      </c>
      <c r="E1142" s="41" t="n">
        <v>24.06</v>
      </c>
      <c r="F1142" s="39" t="s">
        <v>115</v>
      </c>
      <c r="G1142" s="39" t="str">
        <f aca="false">VLOOKUP(C1142,Products!$A$5:$D$24,2,FALSE())</f>
        <v>Wireless Mouse</v>
      </c>
      <c r="H1142" s="39" t="str">
        <f aca="false">VLOOKUP(C1142,Products!$A$5:$D$24,3,FALSE())</f>
        <v>Electronics</v>
      </c>
      <c r="I1142" s="41" t="n">
        <f aca="false">VLOOKUP(C1142,Products!$A$5:$D$24,4,FALSE())</f>
        <v>12</v>
      </c>
      <c r="J1142" s="42" t="n">
        <f aca="false">DATE(YEAR(B1142),MONTH(B1142),1)</f>
        <v>45809</v>
      </c>
      <c r="K1142" s="41" t="n">
        <f aca="false">D1142*E1142</f>
        <v>72.18</v>
      </c>
      <c r="L1142" s="41" t="n">
        <f aca="false">D1142*I1142</f>
        <v>36</v>
      </c>
      <c r="M1142" s="41" t="n">
        <f aca="false">IFERROR(INDEX(Raw_Expenses!$C$5:$C$2979,MATCH(A1142,Raw_Expenses!$A$5:$A$2979,0)),0)</f>
        <v>3.08</v>
      </c>
      <c r="N1142" s="41" t="n">
        <f aca="false">L1142+M1142</f>
        <v>39.08</v>
      </c>
      <c r="O1142" s="41" t="n">
        <f aca="false">K1142-N1142</f>
        <v>33.1</v>
      </c>
      <c r="P1142" s="43" t="n">
        <f aca="false">IF(K1142=0,0,O1142/K1142)</f>
        <v>0.458575782765309</v>
      </c>
    </row>
    <row r="1143" customFormat="false" ht="15" hidden="false" customHeight="false" outlineLevel="0" collapsed="false">
      <c r="A1143" s="39" t="s">
        <v>1265</v>
      </c>
      <c r="B1143" s="40" t="n">
        <v>45821</v>
      </c>
      <c r="C1143" s="39" t="s">
        <v>144</v>
      </c>
      <c r="D1143" s="39" t="n">
        <v>3</v>
      </c>
      <c r="E1143" s="41" t="n">
        <v>55.72</v>
      </c>
      <c r="F1143" s="39" t="s">
        <v>105</v>
      </c>
      <c r="G1143" s="39" t="str">
        <f aca="false">VLOOKUP(C1143,Products!$A$5:$D$24,2,FALSE())</f>
        <v>Whiteboard</v>
      </c>
      <c r="H1143" s="39" t="str">
        <f aca="false">VLOOKUP(C1143,Products!$A$5:$D$24,3,FALSE())</f>
        <v>Furniture</v>
      </c>
      <c r="I1143" s="41" t="n">
        <f aca="false">VLOOKUP(C1143,Products!$A$5:$D$24,4,FALSE())</f>
        <v>28</v>
      </c>
      <c r="J1143" s="42" t="n">
        <f aca="false">DATE(YEAR(B1143),MONTH(B1143),1)</f>
        <v>45809</v>
      </c>
      <c r="K1143" s="41" t="n">
        <f aca="false">D1143*E1143</f>
        <v>167.16</v>
      </c>
      <c r="L1143" s="41" t="n">
        <f aca="false">D1143*I1143</f>
        <v>84</v>
      </c>
      <c r="M1143" s="41" t="n">
        <f aca="false">IFERROR(INDEX(Raw_Expenses!$C$5:$C$2979,MATCH(A1143,Raw_Expenses!$A$5:$A$2979,0)),0)</f>
        <v>13.79</v>
      </c>
      <c r="N1143" s="41" t="n">
        <f aca="false">L1143+M1143</f>
        <v>97.79</v>
      </c>
      <c r="O1143" s="41" t="n">
        <f aca="false">K1143-N1143</f>
        <v>69.37</v>
      </c>
      <c r="P1143" s="43" t="n">
        <f aca="false">IF(K1143=0,0,O1143/K1143)</f>
        <v>0.41499162479062</v>
      </c>
    </row>
    <row r="1144" customFormat="false" ht="15" hidden="false" customHeight="false" outlineLevel="0" collapsed="false">
      <c r="A1144" s="39" t="s">
        <v>1266</v>
      </c>
      <c r="B1144" s="40" t="n">
        <v>45821</v>
      </c>
      <c r="C1144" s="39" t="s">
        <v>183</v>
      </c>
      <c r="D1144" s="39" t="n">
        <v>2</v>
      </c>
      <c r="E1144" s="41" t="n">
        <v>178.22</v>
      </c>
      <c r="F1144" s="39" t="s">
        <v>105</v>
      </c>
      <c r="G1144" s="39" t="str">
        <f aca="false">VLOOKUP(C1144,Products!$A$5:$D$24,2,FALSE())</f>
        <v>Office Chair</v>
      </c>
      <c r="H1144" s="39" t="str">
        <f aca="false">VLOOKUP(C1144,Products!$A$5:$D$24,3,FALSE())</f>
        <v>Furniture</v>
      </c>
      <c r="I1144" s="41" t="n">
        <f aca="false">VLOOKUP(C1144,Products!$A$5:$D$24,4,FALSE())</f>
        <v>85</v>
      </c>
      <c r="J1144" s="42" t="n">
        <f aca="false">DATE(YEAR(B1144),MONTH(B1144),1)</f>
        <v>45809</v>
      </c>
      <c r="K1144" s="41" t="n">
        <f aca="false">D1144*E1144</f>
        <v>356.44</v>
      </c>
      <c r="L1144" s="41" t="n">
        <f aca="false">D1144*I1144</f>
        <v>170</v>
      </c>
      <c r="M1144" s="41" t="n">
        <f aca="false">IFERROR(INDEX(Raw_Expenses!$C$5:$C$2979,MATCH(A1144,Raw_Expenses!$A$5:$A$2979,0)),0)</f>
        <v>16</v>
      </c>
      <c r="N1144" s="41" t="n">
        <f aca="false">L1144+M1144</f>
        <v>186</v>
      </c>
      <c r="O1144" s="41" t="n">
        <f aca="false">K1144-N1144</f>
        <v>170.44</v>
      </c>
      <c r="P1144" s="43" t="n">
        <f aca="false">IF(K1144=0,0,O1144/K1144)</f>
        <v>0.478173044551678</v>
      </c>
    </row>
    <row r="1145" customFormat="false" ht="15" hidden="false" customHeight="false" outlineLevel="0" collapsed="false">
      <c r="A1145" s="39" t="s">
        <v>1267</v>
      </c>
      <c r="B1145" s="40" t="n">
        <v>45821</v>
      </c>
      <c r="C1145" s="39" t="s">
        <v>130</v>
      </c>
      <c r="D1145" s="39" t="n">
        <v>3</v>
      </c>
      <c r="E1145" s="41" t="n">
        <v>8.62</v>
      </c>
      <c r="F1145" s="39" t="s">
        <v>115</v>
      </c>
      <c r="G1145" s="39" t="str">
        <f aca="false">VLOOKUP(C1145,Products!$A$5:$D$24,2,FALSE())</f>
        <v>Notebook Set</v>
      </c>
      <c r="H1145" s="39" t="str">
        <f aca="false">VLOOKUP(C1145,Products!$A$5:$D$24,3,FALSE())</f>
        <v>Stationery</v>
      </c>
      <c r="I1145" s="41" t="n">
        <f aca="false">VLOOKUP(C1145,Products!$A$5:$D$24,4,FALSE())</f>
        <v>3</v>
      </c>
      <c r="J1145" s="42" t="n">
        <f aca="false">DATE(YEAR(B1145),MONTH(B1145),1)</f>
        <v>45809</v>
      </c>
      <c r="K1145" s="41" t="n">
        <f aca="false">D1145*E1145</f>
        <v>25.86</v>
      </c>
      <c r="L1145" s="41" t="n">
        <f aca="false">D1145*I1145</f>
        <v>9</v>
      </c>
      <c r="M1145" s="41" t="n">
        <f aca="false">IFERROR(INDEX(Raw_Expenses!$C$5:$C$2979,MATCH(A1145,Raw_Expenses!$A$5:$A$2979,0)),0)</f>
        <v>1.35</v>
      </c>
      <c r="N1145" s="41" t="n">
        <f aca="false">L1145+M1145</f>
        <v>10.35</v>
      </c>
      <c r="O1145" s="41" t="n">
        <f aca="false">K1145-N1145</f>
        <v>15.51</v>
      </c>
      <c r="P1145" s="43" t="n">
        <f aca="false">IF(K1145=0,0,O1145/K1145)</f>
        <v>0.599767981438515</v>
      </c>
    </row>
    <row r="1146" customFormat="false" ht="15" hidden="false" customHeight="false" outlineLevel="0" collapsed="false">
      <c r="A1146" s="39" t="s">
        <v>1268</v>
      </c>
      <c r="B1146" s="40" t="n">
        <v>45821</v>
      </c>
      <c r="C1146" s="39" t="s">
        <v>114</v>
      </c>
      <c r="D1146" s="39" t="n">
        <v>1</v>
      </c>
      <c r="E1146" s="41" t="n">
        <v>5.55</v>
      </c>
      <c r="F1146" s="39" t="s">
        <v>118</v>
      </c>
      <c r="G1146" s="39" t="str">
        <f aca="false">VLOOKUP(C1146,Products!$A$5:$D$24,2,FALSE())</f>
        <v>Gel Pen Pack</v>
      </c>
      <c r="H1146" s="39" t="str">
        <f aca="false">VLOOKUP(C1146,Products!$A$5:$D$24,3,FALSE())</f>
        <v>Stationery</v>
      </c>
      <c r="I1146" s="41" t="n">
        <f aca="false">VLOOKUP(C1146,Products!$A$5:$D$24,4,FALSE())</f>
        <v>2</v>
      </c>
      <c r="J1146" s="42" t="n">
        <f aca="false">DATE(YEAR(B1146),MONTH(B1146),1)</f>
        <v>45809</v>
      </c>
      <c r="K1146" s="41" t="n">
        <f aca="false">D1146*E1146</f>
        <v>5.55</v>
      </c>
      <c r="L1146" s="41" t="n">
        <f aca="false">D1146*I1146</f>
        <v>2</v>
      </c>
      <c r="M1146" s="41" t="n">
        <f aca="false">IFERROR(INDEX(Raw_Expenses!$C$5:$C$2979,MATCH(A1146,Raw_Expenses!$A$5:$A$2979,0)),0)</f>
        <v>0.41</v>
      </c>
      <c r="N1146" s="41" t="n">
        <f aca="false">L1146+M1146</f>
        <v>2.41</v>
      </c>
      <c r="O1146" s="41" t="n">
        <f aca="false">K1146-N1146</f>
        <v>3.14</v>
      </c>
      <c r="P1146" s="43" t="n">
        <f aca="false">IF(K1146=0,0,O1146/K1146)</f>
        <v>0.565765765765766</v>
      </c>
    </row>
    <row r="1147" customFormat="false" ht="15" hidden="false" customHeight="false" outlineLevel="0" collapsed="false">
      <c r="A1147" s="39" t="s">
        <v>1269</v>
      </c>
      <c r="B1147" s="40" t="n">
        <v>45821</v>
      </c>
      <c r="C1147" s="39" t="s">
        <v>177</v>
      </c>
      <c r="D1147" s="39" t="n">
        <v>4</v>
      </c>
      <c r="E1147" s="41" t="n">
        <v>42.7</v>
      </c>
      <c r="F1147" s="39" t="s">
        <v>108</v>
      </c>
      <c r="G1147" s="39" t="str">
        <f aca="false">VLOOKUP(C1147,Products!$A$5:$D$24,2,FALSE())</f>
        <v>Backpack</v>
      </c>
      <c r="H1147" s="39" t="str">
        <f aca="false">VLOOKUP(C1147,Products!$A$5:$D$24,3,FALSE())</f>
        <v>Accessories</v>
      </c>
      <c r="I1147" s="41" t="n">
        <f aca="false">VLOOKUP(C1147,Products!$A$5:$D$24,4,FALSE())</f>
        <v>17</v>
      </c>
      <c r="J1147" s="42" t="n">
        <f aca="false">DATE(YEAR(B1147),MONTH(B1147),1)</f>
        <v>45809</v>
      </c>
      <c r="K1147" s="41" t="n">
        <f aca="false">D1147*E1147</f>
        <v>170.8</v>
      </c>
      <c r="L1147" s="41" t="n">
        <f aca="false">D1147*I1147</f>
        <v>68</v>
      </c>
      <c r="M1147" s="41" t="n">
        <f aca="false">IFERROR(INDEX(Raw_Expenses!$C$5:$C$2979,MATCH(A1147,Raw_Expenses!$A$5:$A$2979,0)),0)</f>
        <v>9.67</v>
      </c>
      <c r="N1147" s="41" t="n">
        <f aca="false">L1147+M1147</f>
        <v>77.67</v>
      </c>
      <c r="O1147" s="41" t="n">
        <f aca="false">K1147-N1147</f>
        <v>93.13</v>
      </c>
      <c r="P1147" s="43" t="n">
        <f aca="false">IF(K1147=0,0,O1147/K1147)</f>
        <v>0.545257611241218</v>
      </c>
    </row>
    <row r="1148" customFormat="false" ht="15" hidden="false" customHeight="false" outlineLevel="0" collapsed="false">
      <c r="A1148" s="39" t="s">
        <v>1270</v>
      </c>
      <c r="B1148" s="40" t="n">
        <v>45821</v>
      </c>
      <c r="C1148" s="39" t="s">
        <v>128</v>
      </c>
      <c r="D1148" s="39" t="n">
        <v>2</v>
      </c>
      <c r="E1148" s="41" t="n">
        <v>36.28</v>
      </c>
      <c r="F1148" s="39" t="s">
        <v>118</v>
      </c>
      <c r="G1148" s="39" t="str">
        <f aca="false">VLOOKUP(C1148,Products!$A$5:$D$24,2,FALSE())</f>
        <v>Ergonomic Footrest</v>
      </c>
      <c r="H1148" s="39" t="str">
        <f aca="false">VLOOKUP(C1148,Products!$A$5:$D$24,3,FALSE())</f>
        <v>Furniture</v>
      </c>
      <c r="I1148" s="41" t="n">
        <f aca="false">VLOOKUP(C1148,Products!$A$5:$D$24,4,FALSE())</f>
        <v>15</v>
      </c>
      <c r="J1148" s="42" t="n">
        <f aca="false">DATE(YEAR(B1148),MONTH(B1148),1)</f>
        <v>45809</v>
      </c>
      <c r="K1148" s="41" t="n">
        <f aca="false">D1148*E1148</f>
        <v>72.56</v>
      </c>
      <c r="L1148" s="41" t="n">
        <f aca="false">D1148*I1148</f>
        <v>30</v>
      </c>
      <c r="M1148" s="41" t="n">
        <f aca="false">IFERROR(INDEX(Raw_Expenses!$C$5:$C$2979,MATCH(A1148,Raw_Expenses!$A$5:$A$2979,0)),0)</f>
        <v>3.57</v>
      </c>
      <c r="N1148" s="41" t="n">
        <f aca="false">L1148+M1148</f>
        <v>33.57</v>
      </c>
      <c r="O1148" s="41" t="n">
        <f aca="false">K1148-N1148</f>
        <v>38.99</v>
      </c>
      <c r="P1148" s="43" t="n">
        <f aca="false">IF(K1148=0,0,O1148/K1148)</f>
        <v>0.537348401323043</v>
      </c>
    </row>
    <row r="1149" customFormat="false" ht="15" hidden="false" customHeight="false" outlineLevel="0" collapsed="false">
      <c r="A1149" s="39" t="s">
        <v>1271</v>
      </c>
      <c r="B1149" s="40" t="n">
        <v>45821</v>
      </c>
      <c r="C1149" s="39" t="s">
        <v>114</v>
      </c>
      <c r="D1149" s="39" t="n">
        <v>1</v>
      </c>
      <c r="E1149" s="41" t="n">
        <v>5.57</v>
      </c>
      <c r="F1149" s="39" t="s">
        <v>118</v>
      </c>
      <c r="G1149" s="39" t="str">
        <f aca="false">VLOOKUP(C1149,Products!$A$5:$D$24,2,FALSE())</f>
        <v>Gel Pen Pack</v>
      </c>
      <c r="H1149" s="39" t="str">
        <f aca="false">VLOOKUP(C1149,Products!$A$5:$D$24,3,FALSE())</f>
        <v>Stationery</v>
      </c>
      <c r="I1149" s="41" t="n">
        <f aca="false">VLOOKUP(C1149,Products!$A$5:$D$24,4,FALSE())</f>
        <v>2</v>
      </c>
      <c r="J1149" s="42" t="n">
        <f aca="false">DATE(YEAR(B1149),MONTH(B1149),1)</f>
        <v>45809</v>
      </c>
      <c r="K1149" s="41" t="n">
        <f aca="false">D1149*E1149</f>
        <v>5.57</v>
      </c>
      <c r="L1149" s="41" t="n">
        <f aca="false">D1149*I1149</f>
        <v>2</v>
      </c>
      <c r="M1149" s="41" t="n">
        <f aca="false">IFERROR(INDEX(Raw_Expenses!$C$5:$C$2979,MATCH(A1149,Raw_Expenses!$A$5:$A$2979,0)),0)</f>
        <v>0.42</v>
      </c>
      <c r="N1149" s="41" t="n">
        <f aca="false">L1149+M1149</f>
        <v>2.42</v>
      </c>
      <c r="O1149" s="41" t="n">
        <f aca="false">K1149-N1149</f>
        <v>3.15</v>
      </c>
      <c r="P1149" s="43" t="n">
        <f aca="false">IF(K1149=0,0,O1149/K1149)</f>
        <v>0.565529622980251</v>
      </c>
    </row>
    <row r="1150" customFormat="false" ht="15" hidden="false" customHeight="false" outlineLevel="0" collapsed="false">
      <c r="A1150" s="39" t="s">
        <v>1272</v>
      </c>
      <c r="B1150" s="40" t="n">
        <v>45821</v>
      </c>
      <c r="C1150" s="39" t="s">
        <v>126</v>
      </c>
      <c r="D1150" s="39" t="n">
        <v>3</v>
      </c>
      <c r="E1150" s="41" t="n">
        <v>23.4</v>
      </c>
      <c r="F1150" s="39" t="s">
        <v>115</v>
      </c>
      <c r="G1150" s="39" t="str">
        <f aca="false">VLOOKUP(C1150,Products!$A$5:$D$24,2,FALSE())</f>
        <v>Wireless Mouse</v>
      </c>
      <c r="H1150" s="39" t="str">
        <f aca="false">VLOOKUP(C1150,Products!$A$5:$D$24,3,FALSE())</f>
        <v>Electronics</v>
      </c>
      <c r="I1150" s="41" t="n">
        <f aca="false">VLOOKUP(C1150,Products!$A$5:$D$24,4,FALSE())</f>
        <v>12</v>
      </c>
      <c r="J1150" s="42" t="n">
        <f aca="false">DATE(YEAR(B1150),MONTH(B1150),1)</f>
        <v>45809</v>
      </c>
      <c r="K1150" s="41" t="n">
        <f aca="false">D1150*E1150</f>
        <v>70.2</v>
      </c>
      <c r="L1150" s="41" t="n">
        <f aca="false">D1150*I1150</f>
        <v>36</v>
      </c>
      <c r="M1150" s="41" t="n">
        <f aca="false">IFERROR(INDEX(Raw_Expenses!$C$5:$C$2979,MATCH(A1150,Raw_Expenses!$A$5:$A$2979,0)),0)</f>
        <v>3.98</v>
      </c>
      <c r="N1150" s="41" t="n">
        <f aca="false">L1150+M1150</f>
        <v>39.98</v>
      </c>
      <c r="O1150" s="41" t="n">
        <f aca="false">K1150-N1150</f>
        <v>30.22</v>
      </c>
      <c r="P1150" s="43" t="n">
        <f aca="false">IF(K1150=0,0,O1150/K1150)</f>
        <v>0.43048433048433</v>
      </c>
    </row>
    <row r="1151" customFormat="false" ht="15" hidden="false" customHeight="false" outlineLevel="0" collapsed="false">
      <c r="A1151" s="39" t="s">
        <v>1273</v>
      </c>
      <c r="B1151" s="40" t="n">
        <v>45822</v>
      </c>
      <c r="C1151" s="39" t="s">
        <v>114</v>
      </c>
      <c r="D1151" s="39" t="n">
        <v>2</v>
      </c>
      <c r="E1151" s="41" t="n">
        <v>5.55</v>
      </c>
      <c r="F1151" s="39" t="s">
        <v>115</v>
      </c>
      <c r="G1151" s="39" t="str">
        <f aca="false">VLOOKUP(C1151,Products!$A$5:$D$24,2,FALSE())</f>
        <v>Gel Pen Pack</v>
      </c>
      <c r="H1151" s="39" t="str">
        <f aca="false">VLOOKUP(C1151,Products!$A$5:$D$24,3,FALSE())</f>
        <v>Stationery</v>
      </c>
      <c r="I1151" s="41" t="n">
        <f aca="false">VLOOKUP(C1151,Products!$A$5:$D$24,4,FALSE())</f>
        <v>2</v>
      </c>
      <c r="J1151" s="42" t="n">
        <f aca="false">DATE(YEAR(B1151),MONTH(B1151),1)</f>
        <v>45809</v>
      </c>
      <c r="K1151" s="41" t="n">
        <f aca="false">D1151*E1151</f>
        <v>11.1</v>
      </c>
      <c r="L1151" s="41" t="n">
        <f aca="false">D1151*I1151</f>
        <v>4</v>
      </c>
      <c r="M1151" s="41" t="n">
        <f aca="false">IFERROR(INDEX(Raw_Expenses!$C$5:$C$2979,MATCH(A1151,Raw_Expenses!$A$5:$A$2979,0)),0)</f>
        <v>0.53</v>
      </c>
      <c r="N1151" s="41" t="n">
        <f aca="false">L1151+M1151</f>
        <v>4.53</v>
      </c>
      <c r="O1151" s="41" t="n">
        <f aca="false">K1151-N1151</f>
        <v>6.57</v>
      </c>
      <c r="P1151" s="43" t="n">
        <f aca="false">IF(K1151=0,0,O1151/K1151)</f>
        <v>0.591891891891892</v>
      </c>
    </row>
    <row r="1152" customFormat="false" ht="15" hidden="false" customHeight="false" outlineLevel="0" collapsed="false">
      <c r="A1152" s="39" t="s">
        <v>1274</v>
      </c>
      <c r="B1152" s="40" t="n">
        <v>45822</v>
      </c>
      <c r="C1152" s="39" t="s">
        <v>114</v>
      </c>
      <c r="D1152" s="39" t="n">
        <v>1</v>
      </c>
      <c r="E1152" s="41" t="n">
        <v>5.98</v>
      </c>
      <c r="F1152" s="39" t="s">
        <v>108</v>
      </c>
      <c r="G1152" s="39" t="str">
        <f aca="false">VLOOKUP(C1152,Products!$A$5:$D$24,2,FALSE())</f>
        <v>Gel Pen Pack</v>
      </c>
      <c r="H1152" s="39" t="str">
        <f aca="false">VLOOKUP(C1152,Products!$A$5:$D$24,3,FALSE())</f>
        <v>Stationery</v>
      </c>
      <c r="I1152" s="41" t="n">
        <f aca="false">VLOOKUP(C1152,Products!$A$5:$D$24,4,FALSE())</f>
        <v>2</v>
      </c>
      <c r="J1152" s="42" t="n">
        <f aca="false">DATE(YEAR(B1152),MONTH(B1152),1)</f>
        <v>45809</v>
      </c>
      <c r="K1152" s="41" t="n">
        <f aca="false">D1152*E1152</f>
        <v>5.98</v>
      </c>
      <c r="L1152" s="41" t="n">
        <f aca="false">D1152*I1152</f>
        <v>2</v>
      </c>
      <c r="M1152" s="41" t="n">
        <f aca="false">IFERROR(INDEX(Raw_Expenses!$C$5:$C$2979,MATCH(A1152,Raw_Expenses!$A$5:$A$2979,0)),0)</f>
        <v>0.46</v>
      </c>
      <c r="N1152" s="41" t="n">
        <f aca="false">L1152+M1152</f>
        <v>2.46</v>
      </c>
      <c r="O1152" s="41" t="n">
        <f aca="false">K1152-N1152</f>
        <v>3.52</v>
      </c>
      <c r="P1152" s="43" t="n">
        <f aca="false">IF(K1152=0,0,O1152/K1152)</f>
        <v>0.588628762541806</v>
      </c>
    </row>
    <row r="1153" customFormat="false" ht="15" hidden="false" customHeight="false" outlineLevel="0" collapsed="false">
      <c r="A1153" s="39" t="s">
        <v>1275</v>
      </c>
      <c r="B1153" s="40" t="n">
        <v>45822</v>
      </c>
      <c r="C1153" s="39" t="s">
        <v>128</v>
      </c>
      <c r="D1153" s="39" t="n">
        <v>2</v>
      </c>
      <c r="E1153" s="41" t="n">
        <v>36.73</v>
      </c>
      <c r="F1153" s="39" t="s">
        <v>105</v>
      </c>
      <c r="G1153" s="39" t="str">
        <f aca="false">VLOOKUP(C1153,Products!$A$5:$D$24,2,FALSE())</f>
        <v>Ergonomic Footrest</v>
      </c>
      <c r="H1153" s="39" t="str">
        <f aca="false">VLOOKUP(C1153,Products!$A$5:$D$24,3,FALSE())</f>
        <v>Furniture</v>
      </c>
      <c r="I1153" s="41" t="n">
        <f aca="false">VLOOKUP(C1153,Products!$A$5:$D$24,4,FALSE())</f>
        <v>15</v>
      </c>
      <c r="J1153" s="42" t="n">
        <f aca="false">DATE(YEAR(B1153),MONTH(B1153),1)</f>
        <v>45809</v>
      </c>
      <c r="K1153" s="41" t="n">
        <f aca="false">D1153*E1153</f>
        <v>73.46</v>
      </c>
      <c r="L1153" s="41" t="n">
        <f aca="false">D1153*I1153</f>
        <v>30</v>
      </c>
      <c r="M1153" s="41" t="n">
        <f aca="false">IFERROR(INDEX(Raw_Expenses!$C$5:$C$2979,MATCH(A1153,Raw_Expenses!$A$5:$A$2979,0)),0)</f>
        <v>5.17</v>
      </c>
      <c r="N1153" s="41" t="n">
        <f aca="false">L1153+M1153</f>
        <v>35.17</v>
      </c>
      <c r="O1153" s="41" t="n">
        <f aca="false">K1153-N1153</f>
        <v>38.29</v>
      </c>
      <c r="P1153" s="43" t="n">
        <f aca="false">IF(K1153=0,0,O1153/K1153)</f>
        <v>0.521236046828206</v>
      </c>
    </row>
    <row r="1154" customFormat="false" ht="15" hidden="false" customHeight="false" outlineLevel="0" collapsed="false">
      <c r="A1154" s="39" t="s">
        <v>1276</v>
      </c>
      <c r="B1154" s="40" t="n">
        <v>45822</v>
      </c>
      <c r="C1154" s="39" t="s">
        <v>162</v>
      </c>
      <c r="D1154" s="39" t="n">
        <v>6</v>
      </c>
      <c r="E1154" s="41" t="n">
        <v>64.37</v>
      </c>
      <c r="F1154" s="39" t="s">
        <v>115</v>
      </c>
      <c r="G1154" s="39" t="str">
        <f aca="false">VLOOKUP(C1154,Products!$A$5:$D$24,2,FALSE())</f>
        <v>Bluetooth Speaker</v>
      </c>
      <c r="H1154" s="39" t="str">
        <f aca="false">VLOOKUP(C1154,Products!$A$5:$D$24,3,FALSE())</f>
        <v>Electronics</v>
      </c>
      <c r="I1154" s="41" t="n">
        <f aca="false">VLOOKUP(C1154,Products!$A$5:$D$24,4,FALSE())</f>
        <v>28</v>
      </c>
      <c r="J1154" s="42" t="n">
        <f aca="false">DATE(YEAR(B1154),MONTH(B1154),1)</f>
        <v>45809</v>
      </c>
      <c r="K1154" s="41" t="n">
        <f aca="false">D1154*E1154</f>
        <v>386.22</v>
      </c>
      <c r="L1154" s="41" t="n">
        <f aca="false">D1154*I1154</f>
        <v>168</v>
      </c>
      <c r="M1154" s="41" t="n">
        <f aca="false">IFERROR(INDEX(Raw_Expenses!$C$5:$C$2979,MATCH(A1154,Raw_Expenses!$A$5:$A$2979,0)),0)</f>
        <v>21.1</v>
      </c>
      <c r="N1154" s="41" t="n">
        <f aca="false">L1154+M1154</f>
        <v>189.1</v>
      </c>
      <c r="O1154" s="41" t="n">
        <f aca="false">K1154-N1154</f>
        <v>197.12</v>
      </c>
      <c r="P1154" s="43" t="n">
        <f aca="false">IF(K1154=0,0,O1154/K1154)</f>
        <v>0.510382683444669</v>
      </c>
    </row>
    <row r="1155" customFormat="false" ht="15" hidden="false" customHeight="false" outlineLevel="0" collapsed="false">
      <c r="A1155" s="39" t="s">
        <v>1277</v>
      </c>
      <c r="B1155" s="40" t="n">
        <v>45822</v>
      </c>
      <c r="C1155" s="39" t="s">
        <v>104</v>
      </c>
      <c r="D1155" s="39" t="n">
        <v>1</v>
      </c>
      <c r="E1155" s="41" t="n">
        <v>15.99</v>
      </c>
      <c r="F1155" s="39" t="s">
        <v>118</v>
      </c>
      <c r="G1155" s="39" t="str">
        <f aca="false">VLOOKUP(C1155,Products!$A$5:$D$24,2,FALSE())</f>
        <v>Water Bottle</v>
      </c>
      <c r="H1155" s="39" t="str">
        <f aca="false">VLOOKUP(C1155,Products!$A$5:$D$24,3,FALSE())</f>
        <v>Accessories</v>
      </c>
      <c r="I1155" s="41" t="n">
        <f aca="false">VLOOKUP(C1155,Products!$A$5:$D$24,4,FALSE())</f>
        <v>5</v>
      </c>
      <c r="J1155" s="42" t="n">
        <f aca="false">DATE(YEAR(B1155),MONTH(B1155),1)</f>
        <v>45809</v>
      </c>
      <c r="K1155" s="41" t="n">
        <f aca="false">D1155*E1155</f>
        <v>15.99</v>
      </c>
      <c r="L1155" s="41" t="n">
        <f aca="false">D1155*I1155</f>
        <v>5</v>
      </c>
      <c r="M1155" s="41" t="n">
        <f aca="false">IFERROR(INDEX(Raw_Expenses!$C$5:$C$2979,MATCH(A1155,Raw_Expenses!$A$5:$A$2979,0)),0)</f>
        <v>0.66</v>
      </c>
      <c r="N1155" s="41" t="n">
        <f aca="false">L1155+M1155</f>
        <v>5.66</v>
      </c>
      <c r="O1155" s="41" t="n">
        <f aca="false">K1155-N1155</f>
        <v>10.33</v>
      </c>
      <c r="P1155" s="43" t="n">
        <f aca="false">IF(K1155=0,0,O1155/K1155)</f>
        <v>0.646028767979988</v>
      </c>
    </row>
    <row r="1156" customFormat="false" ht="15" hidden="false" customHeight="false" outlineLevel="0" collapsed="false">
      <c r="A1156" s="39" t="s">
        <v>1278</v>
      </c>
      <c r="B1156" s="40" t="n">
        <v>45822</v>
      </c>
      <c r="C1156" s="39" t="s">
        <v>305</v>
      </c>
      <c r="D1156" s="39" t="n">
        <v>8</v>
      </c>
      <c r="E1156" s="41" t="n">
        <v>348.53</v>
      </c>
      <c r="F1156" s="39" t="s">
        <v>105</v>
      </c>
      <c r="G1156" s="39" t="str">
        <f aca="false">VLOOKUP(C1156,Products!$A$5:$D$24,2,FALSE())</f>
        <v>Standing Desk</v>
      </c>
      <c r="H1156" s="39" t="str">
        <f aca="false">VLOOKUP(C1156,Products!$A$5:$D$24,3,FALSE())</f>
        <v>Furniture</v>
      </c>
      <c r="I1156" s="41" t="n">
        <f aca="false">VLOOKUP(C1156,Products!$A$5:$D$24,4,FALSE())</f>
        <v>160</v>
      </c>
      <c r="J1156" s="42" t="n">
        <f aca="false">DATE(YEAR(B1156),MONTH(B1156),1)</f>
        <v>45809</v>
      </c>
      <c r="K1156" s="41" t="n">
        <f aca="false">D1156*E1156</f>
        <v>2788.24</v>
      </c>
      <c r="L1156" s="41" t="n">
        <f aca="false">D1156*I1156</f>
        <v>1280</v>
      </c>
      <c r="M1156" s="41" t="n">
        <f aca="false">IFERROR(INDEX(Raw_Expenses!$C$5:$C$2979,MATCH(A1156,Raw_Expenses!$A$5:$A$2979,0)),0)</f>
        <v>122.06</v>
      </c>
      <c r="N1156" s="41" t="n">
        <f aca="false">L1156+M1156</f>
        <v>1402.06</v>
      </c>
      <c r="O1156" s="41" t="n">
        <f aca="false">K1156-N1156</f>
        <v>1386.18</v>
      </c>
      <c r="P1156" s="43" t="n">
        <f aca="false">IF(K1156=0,0,O1156/K1156)</f>
        <v>0.497152325481307</v>
      </c>
    </row>
    <row r="1157" customFormat="false" ht="15" hidden="false" customHeight="false" outlineLevel="0" collapsed="false">
      <c r="A1157" s="39" t="s">
        <v>1279</v>
      </c>
      <c r="B1157" s="40" t="n">
        <v>45822</v>
      </c>
      <c r="C1157" s="39" t="s">
        <v>139</v>
      </c>
      <c r="D1157" s="39" t="n">
        <v>1</v>
      </c>
      <c r="E1157" s="41" t="n">
        <v>119.02</v>
      </c>
      <c r="F1157" s="39" t="s">
        <v>118</v>
      </c>
      <c r="G1157" s="39" t="str">
        <f aca="false">VLOOKUP(C1157,Products!$A$5:$D$24,2,FALSE())</f>
        <v>Noise-Cancelling Headphones</v>
      </c>
      <c r="H1157" s="39" t="str">
        <f aca="false">VLOOKUP(C1157,Products!$A$5:$D$24,3,FALSE())</f>
        <v>Electronics</v>
      </c>
      <c r="I1157" s="41" t="n">
        <f aca="false">VLOOKUP(C1157,Products!$A$5:$D$24,4,FALSE())</f>
        <v>55</v>
      </c>
      <c r="J1157" s="42" t="n">
        <f aca="false">DATE(YEAR(B1157),MONTH(B1157),1)</f>
        <v>45809</v>
      </c>
      <c r="K1157" s="41" t="n">
        <f aca="false">D1157*E1157</f>
        <v>119.02</v>
      </c>
      <c r="L1157" s="41" t="n">
        <f aca="false">D1157*I1157</f>
        <v>55</v>
      </c>
      <c r="M1157" s="41" t="n">
        <f aca="false">IFERROR(INDEX(Raw_Expenses!$C$5:$C$2979,MATCH(A1157,Raw_Expenses!$A$5:$A$2979,0)),0)</f>
        <v>6.72</v>
      </c>
      <c r="N1157" s="41" t="n">
        <f aca="false">L1157+M1157</f>
        <v>61.72</v>
      </c>
      <c r="O1157" s="41" t="n">
        <f aca="false">K1157-N1157</f>
        <v>57.3</v>
      </c>
      <c r="P1157" s="43" t="n">
        <f aca="false">IF(K1157=0,0,O1157/K1157)</f>
        <v>0.481431692152579</v>
      </c>
    </row>
    <row r="1158" customFormat="false" ht="15" hidden="false" customHeight="false" outlineLevel="0" collapsed="false">
      <c r="A1158" s="39" t="s">
        <v>1280</v>
      </c>
      <c r="B1158" s="40" t="n">
        <v>45822</v>
      </c>
      <c r="C1158" s="39" t="s">
        <v>112</v>
      </c>
      <c r="D1158" s="39" t="n">
        <v>3</v>
      </c>
      <c r="E1158" s="41" t="n">
        <v>51.36</v>
      </c>
      <c r="F1158" s="39" t="s">
        <v>105</v>
      </c>
      <c r="G1158" s="39" t="str">
        <f aca="false">VLOOKUP(C1158,Products!$A$5:$D$24,2,FALSE())</f>
        <v>HD Webcam</v>
      </c>
      <c r="H1158" s="39" t="str">
        <f aca="false">VLOOKUP(C1158,Products!$A$5:$D$24,3,FALSE())</f>
        <v>Electronics</v>
      </c>
      <c r="I1158" s="41" t="n">
        <f aca="false">VLOOKUP(C1158,Products!$A$5:$D$24,4,FALSE())</f>
        <v>22</v>
      </c>
      <c r="J1158" s="42" t="n">
        <f aca="false">DATE(YEAR(B1158),MONTH(B1158),1)</f>
        <v>45809</v>
      </c>
      <c r="K1158" s="41" t="n">
        <f aca="false">D1158*E1158</f>
        <v>154.08</v>
      </c>
      <c r="L1158" s="41" t="n">
        <f aca="false">D1158*I1158</f>
        <v>66</v>
      </c>
      <c r="M1158" s="41" t="n">
        <f aca="false">IFERROR(INDEX(Raw_Expenses!$C$5:$C$2979,MATCH(A1158,Raw_Expenses!$A$5:$A$2979,0)),0)</f>
        <v>9</v>
      </c>
      <c r="N1158" s="41" t="n">
        <f aca="false">L1158+M1158</f>
        <v>75</v>
      </c>
      <c r="O1158" s="41" t="n">
        <f aca="false">K1158-N1158</f>
        <v>79.08</v>
      </c>
      <c r="P1158" s="43" t="n">
        <f aca="false">IF(K1158=0,0,O1158/K1158)</f>
        <v>0.513239875389408</v>
      </c>
    </row>
    <row r="1159" customFormat="false" ht="15" hidden="false" customHeight="false" outlineLevel="0" collapsed="false">
      <c r="A1159" s="39" t="s">
        <v>1281</v>
      </c>
      <c r="B1159" s="40" t="n">
        <v>45822</v>
      </c>
      <c r="C1159" s="39" t="s">
        <v>136</v>
      </c>
      <c r="D1159" s="39" t="n">
        <v>4</v>
      </c>
      <c r="E1159" s="41" t="n">
        <v>74.44</v>
      </c>
      <c r="F1159" s="39" t="s">
        <v>115</v>
      </c>
      <c r="G1159" s="39" t="str">
        <f aca="false">VLOOKUP(C1159,Products!$A$5:$D$24,2,FALSE())</f>
        <v>Mechanical Keyboard</v>
      </c>
      <c r="H1159" s="39" t="str">
        <f aca="false">VLOOKUP(C1159,Products!$A$5:$D$24,3,FALSE())</f>
        <v>Electronics</v>
      </c>
      <c r="I1159" s="41" t="n">
        <f aca="false">VLOOKUP(C1159,Products!$A$5:$D$24,4,FALSE())</f>
        <v>38</v>
      </c>
      <c r="J1159" s="42" t="n">
        <f aca="false">DATE(YEAR(B1159),MONTH(B1159),1)</f>
        <v>45809</v>
      </c>
      <c r="K1159" s="41" t="n">
        <f aca="false">D1159*E1159</f>
        <v>297.76</v>
      </c>
      <c r="L1159" s="41" t="n">
        <f aca="false">D1159*I1159</f>
        <v>152</v>
      </c>
      <c r="M1159" s="41" t="n">
        <f aca="false">IFERROR(INDEX(Raw_Expenses!$C$5:$C$2979,MATCH(A1159,Raw_Expenses!$A$5:$A$2979,0)),0)</f>
        <v>19.98</v>
      </c>
      <c r="N1159" s="41" t="n">
        <f aca="false">L1159+M1159</f>
        <v>171.98</v>
      </c>
      <c r="O1159" s="41" t="n">
        <f aca="false">K1159-N1159</f>
        <v>125.78</v>
      </c>
      <c r="P1159" s="43" t="n">
        <f aca="false">IF(K1159=0,0,O1159/K1159)</f>
        <v>0.422420741536808</v>
      </c>
    </row>
    <row r="1160" customFormat="false" ht="15" hidden="false" customHeight="false" outlineLevel="0" collapsed="false">
      <c r="A1160" s="39" t="s">
        <v>1282</v>
      </c>
      <c r="B1160" s="40" t="n">
        <v>45822</v>
      </c>
      <c r="C1160" s="39" t="s">
        <v>107</v>
      </c>
      <c r="D1160" s="39" t="n">
        <v>2</v>
      </c>
      <c r="E1160" s="41" t="n">
        <v>33.09</v>
      </c>
      <c r="F1160" s="39" t="s">
        <v>108</v>
      </c>
      <c r="G1160" s="39" t="str">
        <f aca="false">VLOOKUP(C1160,Products!$A$5:$D$24,2,FALSE())</f>
        <v>USB-C Hub</v>
      </c>
      <c r="H1160" s="39" t="str">
        <f aca="false">VLOOKUP(C1160,Products!$A$5:$D$24,3,FALSE())</f>
        <v>Electronics</v>
      </c>
      <c r="I1160" s="41" t="n">
        <f aca="false">VLOOKUP(C1160,Products!$A$5:$D$24,4,FALSE())</f>
        <v>14</v>
      </c>
      <c r="J1160" s="42" t="n">
        <f aca="false">DATE(YEAR(B1160),MONTH(B1160),1)</f>
        <v>45809</v>
      </c>
      <c r="K1160" s="41" t="n">
        <f aca="false">D1160*E1160</f>
        <v>66.18</v>
      </c>
      <c r="L1160" s="41" t="n">
        <f aca="false">D1160*I1160</f>
        <v>28</v>
      </c>
      <c r="M1160" s="41" t="n">
        <f aca="false">IFERROR(INDEX(Raw_Expenses!$C$5:$C$2979,MATCH(A1160,Raw_Expenses!$A$5:$A$2979,0)),0)</f>
        <v>4.31</v>
      </c>
      <c r="N1160" s="41" t="n">
        <f aca="false">L1160+M1160</f>
        <v>32.31</v>
      </c>
      <c r="O1160" s="41" t="n">
        <f aca="false">K1160-N1160</f>
        <v>33.87</v>
      </c>
      <c r="P1160" s="43" t="n">
        <f aca="false">IF(K1160=0,0,O1160/K1160)</f>
        <v>0.511786038077969</v>
      </c>
    </row>
    <row r="1161" customFormat="false" ht="15" hidden="false" customHeight="false" outlineLevel="0" collapsed="false">
      <c r="A1161" s="39" t="s">
        <v>1283</v>
      </c>
      <c r="B1161" s="40" t="n">
        <v>45823</v>
      </c>
      <c r="C1161" s="39" t="s">
        <v>139</v>
      </c>
      <c r="D1161" s="39" t="n">
        <v>4</v>
      </c>
      <c r="E1161" s="41" t="n">
        <v>120.46</v>
      </c>
      <c r="F1161" s="39" t="s">
        <v>105</v>
      </c>
      <c r="G1161" s="39" t="str">
        <f aca="false">VLOOKUP(C1161,Products!$A$5:$D$24,2,FALSE())</f>
        <v>Noise-Cancelling Headphones</v>
      </c>
      <c r="H1161" s="39" t="str">
        <f aca="false">VLOOKUP(C1161,Products!$A$5:$D$24,3,FALSE())</f>
        <v>Electronics</v>
      </c>
      <c r="I1161" s="41" t="n">
        <f aca="false">VLOOKUP(C1161,Products!$A$5:$D$24,4,FALSE())</f>
        <v>55</v>
      </c>
      <c r="J1161" s="42" t="n">
        <f aca="false">DATE(YEAR(B1161),MONTH(B1161),1)</f>
        <v>45809</v>
      </c>
      <c r="K1161" s="41" t="n">
        <f aca="false">D1161*E1161</f>
        <v>481.84</v>
      </c>
      <c r="L1161" s="41" t="n">
        <f aca="false">D1161*I1161</f>
        <v>220</v>
      </c>
      <c r="M1161" s="41" t="n">
        <f aca="false">IFERROR(INDEX(Raw_Expenses!$C$5:$C$2979,MATCH(A1161,Raw_Expenses!$A$5:$A$2979,0)),0)</f>
        <v>34.73</v>
      </c>
      <c r="N1161" s="41" t="n">
        <f aca="false">L1161+M1161</f>
        <v>254.73</v>
      </c>
      <c r="O1161" s="41" t="n">
        <f aca="false">K1161-N1161</f>
        <v>227.11</v>
      </c>
      <c r="P1161" s="43" t="n">
        <f aca="false">IF(K1161=0,0,O1161/K1161)</f>
        <v>0.471339033704134</v>
      </c>
    </row>
    <row r="1162" customFormat="false" ht="15" hidden="false" customHeight="false" outlineLevel="0" collapsed="false">
      <c r="A1162" s="39" t="s">
        <v>1284</v>
      </c>
      <c r="B1162" s="40" t="n">
        <v>45823</v>
      </c>
      <c r="C1162" s="39" t="s">
        <v>130</v>
      </c>
      <c r="D1162" s="39" t="n">
        <v>1</v>
      </c>
      <c r="E1162" s="41" t="n">
        <v>8.58</v>
      </c>
      <c r="F1162" s="39" t="s">
        <v>115</v>
      </c>
      <c r="G1162" s="39" t="str">
        <f aca="false">VLOOKUP(C1162,Products!$A$5:$D$24,2,FALSE())</f>
        <v>Notebook Set</v>
      </c>
      <c r="H1162" s="39" t="str">
        <f aca="false">VLOOKUP(C1162,Products!$A$5:$D$24,3,FALSE())</f>
        <v>Stationery</v>
      </c>
      <c r="I1162" s="41" t="n">
        <f aca="false">VLOOKUP(C1162,Products!$A$5:$D$24,4,FALSE())</f>
        <v>3</v>
      </c>
      <c r="J1162" s="42" t="n">
        <f aca="false">DATE(YEAR(B1162),MONTH(B1162),1)</f>
        <v>45809</v>
      </c>
      <c r="K1162" s="41" t="n">
        <f aca="false">D1162*E1162</f>
        <v>8.58</v>
      </c>
      <c r="L1162" s="41" t="n">
        <f aca="false">D1162*I1162</f>
        <v>3</v>
      </c>
      <c r="M1162" s="41" t="n">
        <f aca="false">IFERROR(INDEX(Raw_Expenses!$C$5:$C$2979,MATCH(A1162,Raw_Expenses!$A$5:$A$2979,0)),0)</f>
        <v>0.55</v>
      </c>
      <c r="N1162" s="41" t="n">
        <f aca="false">L1162+M1162</f>
        <v>3.55</v>
      </c>
      <c r="O1162" s="41" t="n">
        <f aca="false">K1162-N1162</f>
        <v>5.03</v>
      </c>
      <c r="P1162" s="43" t="n">
        <f aca="false">IF(K1162=0,0,O1162/K1162)</f>
        <v>0.586247086247086</v>
      </c>
    </row>
    <row r="1163" customFormat="false" ht="15" hidden="false" customHeight="false" outlineLevel="0" collapsed="false">
      <c r="A1163" s="39" t="s">
        <v>1285</v>
      </c>
      <c r="B1163" s="40" t="n">
        <v>45823</v>
      </c>
      <c r="C1163" s="39" t="s">
        <v>126</v>
      </c>
      <c r="D1163" s="39" t="n">
        <v>4</v>
      </c>
      <c r="E1163" s="41" t="n">
        <v>23.62</v>
      </c>
      <c r="F1163" s="39" t="s">
        <v>115</v>
      </c>
      <c r="G1163" s="39" t="str">
        <f aca="false">VLOOKUP(C1163,Products!$A$5:$D$24,2,FALSE())</f>
        <v>Wireless Mouse</v>
      </c>
      <c r="H1163" s="39" t="str">
        <f aca="false">VLOOKUP(C1163,Products!$A$5:$D$24,3,FALSE())</f>
        <v>Electronics</v>
      </c>
      <c r="I1163" s="41" t="n">
        <f aca="false">VLOOKUP(C1163,Products!$A$5:$D$24,4,FALSE())</f>
        <v>12</v>
      </c>
      <c r="J1163" s="42" t="n">
        <f aca="false">DATE(YEAR(B1163),MONTH(B1163),1)</f>
        <v>45809</v>
      </c>
      <c r="K1163" s="41" t="n">
        <f aca="false">D1163*E1163</f>
        <v>94.48</v>
      </c>
      <c r="L1163" s="41" t="n">
        <f aca="false">D1163*I1163</f>
        <v>48</v>
      </c>
      <c r="M1163" s="41" t="n">
        <f aca="false">IFERROR(INDEX(Raw_Expenses!$C$5:$C$2979,MATCH(A1163,Raw_Expenses!$A$5:$A$2979,0)),0)</f>
        <v>7.63</v>
      </c>
      <c r="N1163" s="41" t="n">
        <f aca="false">L1163+M1163</f>
        <v>55.63</v>
      </c>
      <c r="O1163" s="41" t="n">
        <f aca="false">K1163-N1163</f>
        <v>38.85</v>
      </c>
      <c r="P1163" s="43" t="n">
        <f aca="false">IF(K1163=0,0,O1163/K1163)</f>
        <v>0.411198137171888</v>
      </c>
    </row>
    <row r="1164" customFormat="false" ht="15" hidden="false" customHeight="false" outlineLevel="0" collapsed="false">
      <c r="A1164" s="39" t="s">
        <v>1286</v>
      </c>
      <c r="B1164" s="40" t="n">
        <v>45823</v>
      </c>
      <c r="C1164" s="39" t="s">
        <v>169</v>
      </c>
      <c r="D1164" s="39" t="n">
        <v>3</v>
      </c>
      <c r="E1164" s="41" t="n">
        <v>28.11</v>
      </c>
      <c r="F1164" s="39" t="s">
        <v>115</v>
      </c>
      <c r="G1164" s="39" t="str">
        <f aca="false">VLOOKUP(C1164,Products!$A$5:$D$24,2,FALSE())</f>
        <v>Laptop Stand</v>
      </c>
      <c r="H1164" s="39" t="str">
        <f aca="false">VLOOKUP(C1164,Products!$A$5:$D$24,3,FALSE())</f>
        <v>Accessories</v>
      </c>
      <c r="I1164" s="41" t="n">
        <f aca="false">VLOOKUP(C1164,Products!$A$5:$D$24,4,FALSE())</f>
        <v>11</v>
      </c>
      <c r="J1164" s="42" t="n">
        <f aca="false">DATE(YEAR(B1164),MONTH(B1164),1)</f>
        <v>45809</v>
      </c>
      <c r="K1164" s="41" t="n">
        <f aca="false">D1164*E1164</f>
        <v>84.33</v>
      </c>
      <c r="L1164" s="41" t="n">
        <f aca="false">D1164*I1164</f>
        <v>33</v>
      </c>
      <c r="M1164" s="41" t="n">
        <f aca="false">IFERROR(INDEX(Raw_Expenses!$C$5:$C$2979,MATCH(A1164,Raw_Expenses!$A$5:$A$2979,0)),0)</f>
        <v>6.66</v>
      </c>
      <c r="N1164" s="41" t="n">
        <f aca="false">L1164+M1164</f>
        <v>39.66</v>
      </c>
      <c r="O1164" s="41" t="n">
        <f aca="false">K1164-N1164</f>
        <v>44.67</v>
      </c>
      <c r="P1164" s="43" t="n">
        <f aca="false">IF(K1164=0,0,O1164/K1164)</f>
        <v>0.529704731412309</v>
      </c>
    </row>
    <row r="1165" customFormat="false" ht="15" hidden="false" customHeight="false" outlineLevel="0" collapsed="false">
      <c r="A1165" s="39" t="s">
        <v>1287</v>
      </c>
      <c r="B1165" s="40" t="n">
        <v>45823</v>
      </c>
      <c r="C1165" s="39" t="s">
        <v>107</v>
      </c>
      <c r="D1165" s="39" t="n">
        <v>1</v>
      </c>
      <c r="E1165" s="41" t="n">
        <v>32.63</v>
      </c>
      <c r="F1165" s="39" t="s">
        <v>115</v>
      </c>
      <c r="G1165" s="39" t="str">
        <f aca="false">VLOOKUP(C1165,Products!$A$5:$D$24,2,FALSE())</f>
        <v>USB-C Hub</v>
      </c>
      <c r="H1165" s="39" t="str">
        <f aca="false">VLOOKUP(C1165,Products!$A$5:$D$24,3,FALSE())</f>
        <v>Electronics</v>
      </c>
      <c r="I1165" s="41" t="n">
        <f aca="false">VLOOKUP(C1165,Products!$A$5:$D$24,4,FALSE())</f>
        <v>14</v>
      </c>
      <c r="J1165" s="42" t="n">
        <f aca="false">DATE(YEAR(B1165),MONTH(B1165),1)</f>
        <v>45809</v>
      </c>
      <c r="K1165" s="41" t="n">
        <f aca="false">D1165*E1165</f>
        <v>32.63</v>
      </c>
      <c r="L1165" s="41" t="n">
        <f aca="false">D1165*I1165</f>
        <v>14</v>
      </c>
      <c r="M1165" s="41" t="n">
        <f aca="false">IFERROR(INDEX(Raw_Expenses!$C$5:$C$2979,MATCH(A1165,Raw_Expenses!$A$5:$A$2979,0)),0)</f>
        <v>2.19</v>
      </c>
      <c r="N1165" s="41" t="n">
        <f aca="false">L1165+M1165</f>
        <v>16.19</v>
      </c>
      <c r="O1165" s="41" t="n">
        <f aca="false">K1165-N1165</f>
        <v>16.44</v>
      </c>
      <c r="P1165" s="43" t="n">
        <f aca="false">IF(K1165=0,0,O1165/K1165)</f>
        <v>0.503830830524058</v>
      </c>
    </row>
    <row r="1166" customFormat="false" ht="15" hidden="false" customHeight="false" outlineLevel="0" collapsed="false">
      <c r="A1166" s="39" t="s">
        <v>1288</v>
      </c>
      <c r="B1166" s="40" t="n">
        <v>45823</v>
      </c>
      <c r="C1166" s="39" t="s">
        <v>107</v>
      </c>
      <c r="D1166" s="39" t="n">
        <v>2</v>
      </c>
      <c r="E1166" s="41" t="n">
        <v>32.22</v>
      </c>
      <c r="F1166" s="39" t="s">
        <v>118</v>
      </c>
      <c r="G1166" s="39" t="str">
        <f aca="false">VLOOKUP(C1166,Products!$A$5:$D$24,2,FALSE())</f>
        <v>USB-C Hub</v>
      </c>
      <c r="H1166" s="39" t="str">
        <f aca="false">VLOOKUP(C1166,Products!$A$5:$D$24,3,FALSE())</f>
        <v>Electronics</v>
      </c>
      <c r="I1166" s="41" t="n">
        <f aca="false">VLOOKUP(C1166,Products!$A$5:$D$24,4,FALSE())</f>
        <v>14</v>
      </c>
      <c r="J1166" s="42" t="n">
        <f aca="false">DATE(YEAR(B1166),MONTH(B1166),1)</f>
        <v>45809</v>
      </c>
      <c r="K1166" s="41" t="n">
        <f aca="false">D1166*E1166</f>
        <v>64.44</v>
      </c>
      <c r="L1166" s="41" t="n">
        <f aca="false">D1166*I1166</f>
        <v>28</v>
      </c>
      <c r="M1166" s="41" t="n">
        <f aca="false">IFERROR(INDEX(Raw_Expenses!$C$5:$C$2979,MATCH(A1166,Raw_Expenses!$A$5:$A$2979,0)),0)</f>
        <v>3.61</v>
      </c>
      <c r="N1166" s="41" t="n">
        <f aca="false">L1166+M1166</f>
        <v>31.61</v>
      </c>
      <c r="O1166" s="41" t="n">
        <f aca="false">K1166-N1166</f>
        <v>32.83</v>
      </c>
      <c r="P1166" s="43" t="n">
        <f aca="false">IF(K1166=0,0,O1166/K1166)</f>
        <v>0.509466170080695</v>
      </c>
    </row>
    <row r="1167" customFormat="false" ht="15" hidden="false" customHeight="false" outlineLevel="0" collapsed="false">
      <c r="A1167" s="39" t="s">
        <v>1289</v>
      </c>
      <c r="B1167" s="40" t="n">
        <v>45824</v>
      </c>
      <c r="C1167" s="39" t="s">
        <v>114</v>
      </c>
      <c r="D1167" s="39" t="n">
        <v>2</v>
      </c>
      <c r="E1167" s="41" t="n">
        <v>5.77</v>
      </c>
      <c r="F1167" s="39" t="s">
        <v>115</v>
      </c>
      <c r="G1167" s="39" t="str">
        <f aca="false">VLOOKUP(C1167,Products!$A$5:$D$24,2,FALSE())</f>
        <v>Gel Pen Pack</v>
      </c>
      <c r="H1167" s="39" t="str">
        <f aca="false">VLOOKUP(C1167,Products!$A$5:$D$24,3,FALSE())</f>
        <v>Stationery</v>
      </c>
      <c r="I1167" s="41" t="n">
        <f aca="false">VLOOKUP(C1167,Products!$A$5:$D$24,4,FALSE())</f>
        <v>2</v>
      </c>
      <c r="J1167" s="42" t="n">
        <f aca="false">DATE(YEAR(B1167),MONTH(B1167),1)</f>
        <v>45809</v>
      </c>
      <c r="K1167" s="41" t="n">
        <f aca="false">D1167*E1167</f>
        <v>11.54</v>
      </c>
      <c r="L1167" s="41" t="n">
        <f aca="false">D1167*I1167</f>
        <v>4</v>
      </c>
      <c r="M1167" s="41" t="n">
        <f aca="false">IFERROR(INDEX(Raw_Expenses!$C$5:$C$2979,MATCH(A1167,Raw_Expenses!$A$5:$A$2979,0)),0)</f>
        <v>0.8</v>
      </c>
      <c r="N1167" s="41" t="n">
        <f aca="false">L1167+M1167</f>
        <v>4.8</v>
      </c>
      <c r="O1167" s="41" t="n">
        <f aca="false">K1167-N1167</f>
        <v>6.74</v>
      </c>
      <c r="P1167" s="43" t="n">
        <f aca="false">IF(K1167=0,0,O1167/K1167)</f>
        <v>0.584055459272097</v>
      </c>
    </row>
    <row r="1168" customFormat="false" ht="15" hidden="false" customHeight="false" outlineLevel="0" collapsed="false">
      <c r="A1168" s="39" t="s">
        <v>1290</v>
      </c>
      <c r="B1168" s="40" t="n">
        <v>45824</v>
      </c>
      <c r="C1168" s="39" t="s">
        <v>126</v>
      </c>
      <c r="D1168" s="39" t="n">
        <v>2</v>
      </c>
      <c r="E1168" s="41" t="n">
        <v>23.3</v>
      </c>
      <c r="F1168" s="39" t="s">
        <v>108</v>
      </c>
      <c r="G1168" s="39" t="str">
        <f aca="false">VLOOKUP(C1168,Products!$A$5:$D$24,2,FALSE())</f>
        <v>Wireless Mouse</v>
      </c>
      <c r="H1168" s="39" t="str">
        <f aca="false">VLOOKUP(C1168,Products!$A$5:$D$24,3,FALSE())</f>
        <v>Electronics</v>
      </c>
      <c r="I1168" s="41" t="n">
        <f aca="false">VLOOKUP(C1168,Products!$A$5:$D$24,4,FALSE())</f>
        <v>12</v>
      </c>
      <c r="J1168" s="42" t="n">
        <f aca="false">DATE(YEAR(B1168),MONTH(B1168),1)</f>
        <v>45809</v>
      </c>
      <c r="K1168" s="41" t="n">
        <f aca="false">D1168*E1168</f>
        <v>46.6</v>
      </c>
      <c r="L1168" s="41" t="n">
        <f aca="false">D1168*I1168</f>
        <v>24</v>
      </c>
      <c r="M1168" s="41" t="n">
        <f aca="false">IFERROR(INDEX(Raw_Expenses!$C$5:$C$2979,MATCH(A1168,Raw_Expenses!$A$5:$A$2979,0)),0)</f>
        <v>3.07</v>
      </c>
      <c r="N1168" s="41" t="n">
        <f aca="false">L1168+M1168</f>
        <v>27.07</v>
      </c>
      <c r="O1168" s="41" t="n">
        <f aca="false">K1168-N1168</f>
        <v>19.53</v>
      </c>
      <c r="P1168" s="43" t="n">
        <f aca="false">IF(K1168=0,0,O1168/K1168)</f>
        <v>0.419098712446352</v>
      </c>
    </row>
    <row r="1169" customFormat="false" ht="15" hidden="false" customHeight="false" outlineLevel="0" collapsed="false">
      <c r="A1169" s="39" t="s">
        <v>1291</v>
      </c>
      <c r="B1169" s="40" t="n">
        <v>45824</v>
      </c>
      <c r="C1169" s="39" t="s">
        <v>139</v>
      </c>
      <c r="D1169" s="39" t="n">
        <v>2</v>
      </c>
      <c r="E1169" s="41" t="n">
        <v>124.75</v>
      </c>
      <c r="F1169" s="39" t="s">
        <v>108</v>
      </c>
      <c r="G1169" s="39" t="str">
        <f aca="false">VLOOKUP(C1169,Products!$A$5:$D$24,2,FALSE())</f>
        <v>Noise-Cancelling Headphones</v>
      </c>
      <c r="H1169" s="39" t="str">
        <f aca="false">VLOOKUP(C1169,Products!$A$5:$D$24,3,FALSE())</f>
        <v>Electronics</v>
      </c>
      <c r="I1169" s="41" t="n">
        <f aca="false">VLOOKUP(C1169,Products!$A$5:$D$24,4,FALSE())</f>
        <v>55</v>
      </c>
      <c r="J1169" s="42" t="n">
        <f aca="false">DATE(YEAR(B1169),MONTH(B1169),1)</f>
        <v>45809</v>
      </c>
      <c r="K1169" s="41" t="n">
        <f aca="false">D1169*E1169</f>
        <v>249.5</v>
      </c>
      <c r="L1169" s="41" t="n">
        <f aca="false">D1169*I1169</f>
        <v>110</v>
      </c>
      <c r="M1169" s="41" t="n">
        <f aca="false">IFERROR(INDEX(Raw_Expenses!$C$5:$C$2979,MATCH(A1169,Raw_Expenses!$A$5:$A$2979,0)),0)</f>
        <v>18.45</v>
      </c>
      <c r="N1169" s="41" t="n">
        <f aca="false">L1169+M1169</f>
        <v>128.45</v>
      </c>
      <c r="O1169" s="41" t="n">
        <f aca="false">K1169-N1169</f>
        <v>121.05</v>
      </c>
      <c r="P1169" s="43" t="n">
        <f aca="false">IF(K1169=0,0,O1169/K1169)</f>
        <v>0.485170340681363</v>
      </c>
    </row>
    <row r="1170" customFormat="false" ht="15" hidden="false" customHeight="false" outlineLevel="0" collapsed="false">
      <c r="A1170" s="39" t="s">
        <v>1292</v>
      </c>
      <c r="B1170" s="40" t="n">
        <v>45824</v>
      </c>
      <c r="C1170" s="39" t="s">
        <v>136</v>
      </c>
      <c r="D1170" s="39" t="n">
        <v>1</v>
      </c>
      <c r="E1170" s="41" t="n">
        <v>77.06</v>
      </c>
      <c r="F1170" s="39" t="s">
        <v>108</v>
      </c>
      <c r="G1170" s="39" t="str">
        <f aca="false">VLOOKUP(C1170,Products!$A$5:$D$24,2,FALSE())</f>
        <v>Mechanical Keyboard</v>
      </c>
      <c r="H1170" s="39" t="str">
        <f aca="false">VLOOKUP(C1170,Products!$A$5:$D$24,3,FALSE())</f>
        <v>Electronics</v>
      </c>
      <c r="I1170" s="41" t="n">
        <f aca="false">VLOOKUP(C1170,Products!$A$5:$D$24,4,FALSE())</f>
        <v>38</v>
      </c>
      <c r="J1170" s="42" t="n">
        <f aca="false">DATE(YEAR(B1170),MONTH(B1170),1)</f>
        <v>45809</v>
      </c>
      <c r="K1170" s="41" t="n">
        <f aca="false">D1170*E1170</f>
        <v>77.06</v>
      </c>
      <c r="L1170" s="41" t="n">
        <f aca="false">D1170*I1170</f>
        <v>38</v>
      </c>
      <c r="M1170" s="41" t="n">
        <f aca="false">IFERROR(INDEX(Raw_Expenses!$C$5:$C$2979,MATCH(A1170,Raw_Expenses!$A$5:$A$2979,0)),0)</f>
        <v>6.87</v>
      </c>
      <c r="N1170" s="41" t="n">
        <f aca="false">L1170+M1170</f>
        <v>44.87</v>
      </c>
      <c r="O1170" s="41" t="n">
        <f aca="false">K1170-N1170</f>
        <v>32.19</v>
      </c>
      <c r="P1170" s="43" t="n">
        <f aca="false">IF(K1170=0,0,O1170/K1170)</f>
        <v>0.417726446924474</v>
      </c>
    </row>
    <row r="1171" customFormat="false" ht="15" hidden="false" customHeight="false" outlineLevel="0" collapsed="false">
      <c r="A1171" s="39" t="s">
        <v>1293</v>
      </c>
      <c r="B1171" s="40" t="n">
        <v>45825</v>
      </c>
      <c r="C1171" s="39" t="s">
        <v>112</v>
      </c>
      <c r="D1171" s="39" t="n">
        <v>5</v>
      </c>
      <c r="E1171" s="41" t="n">
        <v>52.45</v>
      </c>
      <c r="F1171" s="39" t="s">
        <v>115</v>
      </c>
      <c r="G1171" s="39" t="str">
        <f aca="false">VLOOKUP(C1171,Products!$A$5:$D$24,2,FALSE())</f>
        <v>HD Webcam</v>
      </c>
      <c r="H1171" s="39" t="str">
        <f aca="false">VLOOKUP(C1171,Products!$A$5:$D$24,3,FALSE())</f>
        <v>Electronics</v>
      </c>
      <c r="I1171" s="41" t="n">
        <f aca="false">VLOOKUP(C1171,Products!$A$5:$D$24,4,FALSE())</f>
        <v>22</v>
      </c>
      <c r="J1171" s="42" t="n">
        <f aca="false">DATE(YEAR(B1171),MONTH(B1171),1)</f>
        <v>45809</v>
      </c>
      <c r="K1171" s="41" t="n">
        <f aca="false">D1171*E1171</f>
        <v>262.25</v>
      </c>
      <c r="L1171" s="41" t="n">
        <f aca="false">D1171*I1171</f>
        <v>110</v>
      </c>
      <c r="M1171" s="41" t="n">
        <f aca="false">IFERROR(INDEX(Raw_Expenses!$C$5:$C$2979,MATCH(A1171,Raw_Expenses!$A$5:$A$2979,0)),0)</f>
        <v>13.55</v>
      </c>
      <c r="N1171" s="41" t="n">
        <f aca="false">L1171+M1171</f>
        <v>123.55</v>
      </c>
      <c r="O1171" s="41" t="n">
        <f aca="false">K1171-N1171</f>
        <v>138.7</v>
      </c>
      <c r="P1171" s="43" t="n">
        <f aca="false">IF(K1171=0,0,O1171/K1171)</f>
        <v>0.528884652049571</v>
      </c>
    </row>
    <row r="1172" customFormat="false" ht="15" hidden="false" customHeight="false" outlineLevel="0" collapsed="false">
      <c r="A1172" s="39" t="s">
        <v>1294</v>
      </c>
      <c r="B1172" s="40" t="n">
        <v>45825</v>
      </c>
      <c r="C1172" s="39" t="s">
        <v>162</v>
      </c>
      <c r="D1172" s="39" t="n">
        <v>1</v>
      </c>
      <c r="E1172" s="41" t="n">
        <v>65.21</v>
      </c>
      <c r="F1172" s="39" t="s">
        <v>118</v>
      </c>
      <c r="G1172" s="39" t="str">
        <f aca="false">VLOOKUP(C1172,Products!$A$5:$D$24,2,FALSE())</f>
        <v>Bluetooth Speaker</v>
      </c>
      <c r="H1172" s="39" t="str">
        <f aca="false">VLOOKUP(C1172,Products!$A$5:$D$24,3,FALSE())</f>
        <v>Electronics</v>
      </c>
      <c r="I1172" s="41" t="n">
        <f aca="false">VLOOKUP(C1172,Products!$A$5:$D$24,4,FALSE())</f>
        <v>28</v>
      </c>
      <c r="J1172" s="42" t="n">
        <f aca="false">DATE(YEAR(B1172),MONTH(B1172),1)</f>
        <v>45809</v>
      </c>
      <c r="K1172" s="41" t="n">
        <f aca="false">D1172*E1172</f>
        <v>65.21</v>
      </c>
      <c r="L1172" s="41" t="n">
        <f aca="false">D1172*I1172</f>
        <v>28</v>
      </c>
      <c r="M1172" s="41" t="n">
        <f aca="false">IFERROR(INDEX(Raw_Expenses!$C$5:$C$2979,MATCH(A1172,Raw_Expenses!$A$5:$A$2979,0)),0)</f>
        <v>4</v>
      </c>
      <c r="N1172" s="41" t="n">
        <f aca="false">L1172+M1172</f>
        <v>32</v>
      </c>
      <c r="O1172" s="41" t="n">
        <f aca="false">K1172-N1172</f>
        <v>33.21</v>
      </c>
      <c r="P1172" s="43" t="n">
        <f aca="false">IF(K1172=0,0,O1172/K1172)</f>
        <v>0.509277718141389</v>
      </c>
    </row>
    <row r="1173" customFormat="false" ht="15" hidden="false" customHeight="false" outlineLevel="0" collapsed="false">
      <c r="A1173" s="39" t="s">
        <v>1295</v>
      </c>
      <c r="B1173" s="40" t="n">
        <v>45825</v>
      </c>
      <c r="C1173" s="39" t="s">
        <v>139</v>
      </c>
      <c r="D1173" s="39" t="n">
        <v>1</v>
      </c>
      <c r="E1173" s="41" t="n">
        <v>126.77</v>
      </c>
      <c r="F1173" s="39" t="s">
        <v>118</v>
      </c>
      <c r="G1173" s="39" t="str">
        <f aca="false">VLOOKUP(C1173,Products!$A$5:$D$24,2,FALSE())</f>
        <v>Noise-Cancelling Headphones</v>
      </c>
      <c r="H1173" s="39" t="str">
        <f aca="false">VLOOKUP(C1173,Products!$A$5:$D$24,3,FALSE())</f>
        <v>Electronics</v>
      </c>
      <c r="I1173" s="41" t="n">
        <f aca="false">VLOOKUP(C1173,Products!$A$5:$D$24,4,FALSE())</f>
        <v>55</v>
      </c>
      <c r="J1173" s="42" t="n">
        <f aca="false">DATE(YEAR(B1173),MONTH(B1173),1)</f>
        <v>45809</v>
      </c>
      <c r="K1173" s="41" t="n">
        <f aca="false">D1173*E1173</f>
        <v>126.77</v>
      </c>
      <c r="L1173" s="41" t="n">
        <f aca="false">D1173*I1173</f>
        <v>55</v>
      </c>
      <c r="M1173" s="41" t="n">
        <f aca="false">IFERROR(INDEX(Raw_Expenses!$C$5:$C$2979,MATCH(A1173,Raw_Expenses!$A$5:$A$2979,0)),0)</f>
        <v>9.71</v>
      </c>
      <c r="N1173" s="41" t="n">
        <f aca="false">L1173+M1173</f>
        <v>64.71</v>
      </c>
      <c r="O1173" s="41" t="n">
        <f aca="false">K1173-N1173</f>
        <v>62.06</v>
      </c>
      <c r="P1173" s="43" t="n">
        <f aca="false">IF(K1173=0,0,O1173/K1173)</f>
        <v>0.489548000315532</v>
      </c>
    </row>
    <row r="1174" customFormat="false" ht="15" hidden="false" customHeight="false" outlineLevel="0" collapsed="false">
      <c r="A1174" s="39" t="s">
        <v>1296</v>
      </c>
      <c r="B1174" s="40" t="n">
        <v>45825</v>
      </c>
      <c r="C1174" s="39" t="s">
        <v>117</v>
      </c>
      <c r="D1174" s="39" t="n">
        <v>2</v>
      </c>
      <c r="E1174" s="41" t="n">
        <v>29.94</v>
      </c>
      <c r="F1174" s="39" t="s">
        <v>118</v>
      </c>
      <c r="G1174" s="39" t="str">
        <f aca="false">VLOOKUP(C1174,Products!$A$5:$D$24,2,FALSE())</f>
        <v>Desk Lamp</v>
      </c>
      <c r="H1174" s="39" t="str">
        <f aca="false">VLOOKUP(C1174,Products!$A$5:$D$24,3,FALSE())</f>
        <v>Furniture</v>
      </c>
      <c r="I1174" s="41" t="n">
        <f aca="false">VLOOKUP(C1174,Products!$A$5:$D$24,4,FALSE())</f>
        <v>13</v>
      </c>
      <c r="J1174" s="42" t="n">
        <f aca="false">DATE(YEAR(B1174),MONTH(B1174),1)</f>
        <v>45809</v>
      </c>
      <c r="K1174" s="41" t="n">
        <f aca="false">D1174*E1174</f>
        <v>59.88</v>
      </c>
      <c r="L1174" s="41" t="n">
        <f aca="false">D1174*I1174</f>
        <v>26</v>
      </c>
      <c r="M1174" s="41" t="n">
        <f aca="false">IFERROR(INDEX(Raw_Expenses!$C$5:$C$2979,MATCH(A1174,Raw_Expenses!$A$5:$A$2979,0)),0)</f>
        <v>4.47</v>
      </c>
      <c r="N1174" s="41" t="n">
        <f aca="false">L1174+M1174</f>
        <v>30.47</v>
      </c>
      <c r="O1174" s="41" t="n">
        <f aca="false">K1174-N1174</f>
        <v>29.41</v>
      </c>
      <c r="P1174" s="43" t="n">
        <f aca="false">IF(K1174=0,0,O1174/K1174)</f>
        <v>0.491148964595858</v>
      </c>
    </row>
    <row r="1175" customFormat="false" ht="15" hidden="false" customHeight="false" outlineLevel="0" collapsed="false">
      <c r="A1175" s="39" t="s">
        <v>1297</v>
      </c>
      <c r="B1175" s="40" t="n">
        <v>45825</v>
      </c>
      <c r="C1175" s="39" t="s">
        <v>162</v>
      </c>
      <c r="D1175" s="39" t="n">
        <v>2</v>
      </c>
      <c r="E1175" s="41" t="n">
        <v>66.48</v>
      </c>
      <c r="F1175" s="39" t="s">
        <v>108</v>
      </c>
      <c r="G1175" s="39" t="str">
        <f aca="false">VLOOKUP(C1175,Products!$A$5:$D$24,2,FALSE())</f>
        <v>Bluetooth Speaker</v>
      </c>
      <c r="H1175" s="39" t="str">
        <f aca="false">VLOOKUP(C1175,Products!$A$5:$D$24,3,FALSE())</f>
        <v>Electronics</v>
      </c>
      <c r="I1175" s="41" t="n">
        <f aca="false">VLOOKUP(C1175,Products!$A$5:$D$24,4,FALSE())</f>
        <v>28</v>
      </c>
      <c r="J1175" s="42" t="n">
        <f aca="false">DATE(YEAR(B1175),MONTH(B1175),1)</f>
        <v>45809</v>
      </c>
      <c r="K1175" s="41" t="n">
        <f aca="false">D1175*E1175</f>
        <v>132.96</v>
      </c>
      <c r="L1175" s="41" t="n">
        <f aca="false">D1175*I1175</f>
        <v>56</v>
      </c>
      <c r="M1175" s="41" t="n">
        <f aca="false">IFERROR(INDEX(Raw_Expenses!$C$5:$C$2979,MATCH(A1175,Raw_Expenses!$A$5:$A$2979,0)),0)</f>
        <v>5.88</v>
      </c>
      <c r="N1175" s="41" t="n">
        <f aca="false">L1175+M1175</f>
        <v>61.88</v>
      </c>
      <c r="O1175" s="41" t="n">
        <f aca="false">K1175-N1175</f>
        <v>71.08</v>
      </c>
      <c r="P1175" s="43" t="n">
        <f aca="false">IF(K1175=0,0,O1175/K1175)</f>
        <v>0.534596871239471</v>
      </c>
    </row>
    <row r="1176" customFormat="false" ht="15" hidden="false" customHeight="false" outlineLevel="0" collapsed="false">
      <c r="A1176" s="39" t="s">
        <v>1298</v>
      </c>
      <c r="B1176" s="40" t="n">
        <v>45825</v>
      </c>
      <c r="C1176" s="39" t="s">
        <v>104</v>
      </c>
      <c r="D1176" s="39" t="n">
        <v>1</v>
      </c>
      <c r="E1176" s="41" t="n">
        <v>14.78</v>
      </c>
      <c r="F1176" s="39" t="s">
        <v>118</v>
      </c>
      <c r="G1176" s="39" t="str">
        <f aca="false">VLOOKUP(C1176,Products!$A$5:$D$24,2,FALSE())</f>
        <v>Water Bottle</v>
      </c>
      <c r="H1176" s="39" t="str">
        <f aca="false">VLOOKUP(C1176,Products!$A$5:$D$24,3,FALSE())</f>
        <v>Accessories</v>
      </c>
      <c r="I1176" s="41" t="n">
        <f aca="false">VLOOKUP(C1176,Products!$A$5:$D$24,4,FALSE())</f>
        <v>5</v>
      </c>
      <c r="J1176" s="42" t="n">
        <f aca="false">DATE(YEAR(B1176),MONTH(B1176),1)</f>
        <v>45809</v>
      </c>
      <c r="K1176" s="41" t="n">
        <f aca="false">D1176*E1176</f>
        <v>14.78</v>
      </c>
      <c r="L1176" s="41" t="n">
        <f aca="false">D1176*I1176</f>
        <v>5</v>
      </c>
      <c r="M1176" s="41" t="n">
        <f aca="false">IFERROR(INDEX(Raw_Expenses!$C$5:$C$2979,MATCH(A1176,Raw_Expenses!$A$5:$A$2979,0)),0)</f>
        <v>1.15</v>
      </c>
      <c r="N1176" s="41" t="n">
        <f aca="false">L1176+M1176</f>
        <v>6.15</v>
      </c>
      <c r="O1176" s="41" t="n">
        <f aca="false">K1176-N1176</f>
        <v>8.63</v>
      </c>
      <c r="P1176" s="43" t="n">
        <f aca="false">IF(K1176=0,0,O1176/K1176)</f>
        <v>0.583897158322057</v>
      </c>
    </row>
    <row r="1177" customFormat="false" ht="15" hidden="false" customHeight="false" outlineLevel="0" collapsed="false">
      <c r="A1177" s="39" t="s">
        <v>1299</v>
      </c>
      <c r="B1177" s="40" t="n">
        <v>45825</v>
      </c>
      <c r="C1177" s="39" t="s">
        <v>126</v>
      </c>
      <c r="D1177" s="39" t="n">
        <v>5</v>
      </c>
      <c r="E1177" s="41" t="n">
        <v>23.35</v>
      </c>
      <c r="F1177" s="39" t="s">
        <v>108</v>
      </c>
      <c r="G1177" s="39" t="str">
        <f aca="false">VLOOKUP(C1177,Products!$A$5:$D$24,2,FALSE())</f>
        <v>Wireless Mouse</v>
      </c>
      <c r="H1177" s="39" t="str">
        <f aca="false">VLOOKUP(C1177,Products!$A$5:$D$24,3,FALSE())</f>
        <v>Electronics</v>
      </c>
      <c r="I1177" s="41" t="n">
        <f aca="false">VLOOKUP(C1177,Products!$A$5:$D$24,4,FALSE())</f>
        <v>12</v>
      </c>
      <c r="J1177" s="42" t="n">
        <f aca="false">DATE(YEAR(B1177),MONTH(B1177),1)</f>
        <v>45809</v>
      </c>
      <c r="K1177" s="41" t="n">
        <f aca="false">D1177*E1177</f>
        <v>116.75</v>
      </c>
      <c r="L1177" s="41" t="n">
        <f aca="false">D1177*I1177</f>
        <v>60</v>
      </c>
      <c r="M1177" s="41" t="n">
        <f aca="false">IFERROR(INDEX(Raw_Expenses!$C$5:$C$2979,MATCH(A1177,Raw_Expenses!$A$5:$A$2979,0)),0)</f>
        <v>10.5</v>
      </c>
      <c r="N1177" s="41" t="n">
        <f aca="false">L1177+M1177</f>
        <v>70.5</v>
      </c>
      <c r="O1177" s="41" t="n">
        <f aca="false">K1177-N1177</f>
        <v>46.25</v>
      </c>
      <c r="P1177" s="43" t="n">
        <f aca="false">IF(K1177=0,0,O1177/K1177)</f>
        <v>0.396145610278373</v>
      </c>
    </row>
    <row r="1178" customFormat="false" ht="15" hidden="false" customHeight="false" outlineLevel="0" collapsed="false">
      <c r="A1178" s="39" t="s">
        <v>1300</v>
      </c>
      <c r="B1178" s="40" t="n">
        <v>45826</v>
      </c>
      <c r="C1178" s="39" t="s">
        <v>128</v>
      </c>
      <c r="D1178" s="39" t="n">
        <v>2</v>
      </c>
      <c r="E1178" s="41" t="n">
        <v>37.2</v>
      </c>
      <c r="F1178" s="39" t="s">
        <v>108</v>
      </c>
      <c r="G1178" s="39" t="str">
        <f aca="false">VLOOKUP(C1178,Products!$A$5:$D$24,2,FALSE())</f>
        <v>Ergonomic Footrest</v>
      </c>
      <c r="H1178" s="39" t="str">
        <f aca="false">VLOOKUP(C1178,Products!$A$5:$D$24,3,FALSE())</f>
        <v>Furniture</v>
      </c>
      <c r="I1178" s="41" t="n">
        <f aca="false">VLOOKUP(C1178,Products!$A$5:$D$24,4,FALSE())</f>
        <v>15</v>
      </c>
      <c r="J1178" s="42" t="n">
        <f aca="false">DATE(YEAR(B1178),MONTH(B1178),1)</f>
        <v>45809</v>
      </c>
      <c r="K1178" s="41" t="n">
        <f aca="false">D1178*E1178</f>
        <v>74.4</v>
      </c>
      <c r="L1178" s="41" t="n">
        <f aca="false">D1178*I1178</f>
        <v>30</v>
      </c>
      <c r="M1178" s="41" t="n">
        <f aca="false">IFERROR(INDEX(Raw_Expenses!$C$5:$C$2979,MATCH(A1178,Raw_Expenses!$A$5:$A$2979,0)),0)</f>
        <v>4.59</v>
      </c>
      <c r="N1178" s="41" t="n">
        <f aca="false">L1178+M1178</f>
        <v>34.59</v>
      </c>
      <c r="O1178" s="41" t="n">
        <f aca="false">K1178-N1178</f>
        <v>39.81</v>
      </c>
      <c r="P1178" s="43" t="n">
        <f aca="false">IF(K1178=0,0,O1178/K1178)</f>
        <v>0.53508064516129</v>
      </c>
    </row>
    <row r="1179" customFormat="false" ht="15" hidden="false" customHeight="false" outlineLevel="0" collapsed="false">
      <c r="A1179" s="39" t="s">
        <v>1301</v>
      </c>
      <c r="B1179" s="40" t="n">
        <v>45826</v>
      </c>
      <c r="C1179" s="39" t="s">
        <v>177</v>
      </c>
      <c r="D1179" s="39" t="n">
        <v>1</v>
      </c>
      <c r="E1179" s="41" t="n">
        <v>44.06</v>
      </c>
      <c r="F1179" s="39" t="s">
        <v>105</v>
      </c>
      <c r="G1179" s="39" t="str">
        <f aca="false">VLOOKUP(C1179,Products!$A$5:$D$24,2,FALSE())</f>
        <v>Backpack</v>
      </c>
      <c r="H1179" s="39" t="str">
        <f aca="false">VLOOKUP(C1179,Products!$A$5:$D$24,3,FALSE())</f>
        <v>Accessories</v>
      </c>
      <c r="I1179" s="41" t="n">
        <f aca="false">VLOOKUP(C1179,Products!$A$5:$D$24,4,FALSE())</f>
        <v>17</v>
      </c>
      <c r="J1179" s="42" t="n">
        <f aca="false">DATE(YEAR(B1179),MONTH(B1179),1)</f>
        <v>45809</v>
      </c>
      <c r="K1179" s="41" t="n">
        <f aca="false">D1179*E1179</f>
        <v>44.06</v>
      </c>
      <c r="L1179" s="41" t="n">
        <f aca="false">D1179*I1179</f>
        <v>17</v>
      </c>
      <c r="M1179" s="41" t="n">
        <f aca="false">IFERROR(INDEX(Raw_Expenses!$C$5:$C$2979,MATCH(A1179,Raw_Expenses!$A$5:$A$2979,0)),0)</f>
        <v>2.42</v>
      </c>
      <c r="N1179" s="41" t="n">
        <f aca="false">L1179+M1179</f>
        <v>19.42</v>
      </c>
      <c r="O1179" s="41" t="n">
        <f aca="false">K1179-N1179</f>
        <v>24.64</v>
      </c>
      <c r="P1179" s="43" t="n">
        <f aca="false">IF(K1179=0,0,O1179/K1179)</f>
        <v>0.559237403540627</v>
      </c>
    </row>
    <row r="1180" customFormat="false" ht="15" hidden="false" customHeight="false" outlineLevel="0" collapsed="false">
      <c r="A1180" s="39" t="s">
        <v>1302</v>
      </c>
      <c r="B1180" s="40" t="n">
        <v>45826</v>
      </c>
      <c r="C1180" s="39" t="s">
        <v>136</v>
      </c>
      <c r="D1180" s="39" t="n">
        <v>6</v>
      </c>
      <c r="E1180" s="41" t="n">
        <v>75.81</v>
      </c>
      <c r="F1180" s="39" t="s">
        <v>108</v>
      </c>
      <c r="G1180" s="39" t="str">
        <f aca="false">VLOOKUP(C1180,Products!$A$5:$D$24,2,FALSE())</f>
        <v>Mechanical Keyboard</v>
      </c>
      <c r="H1180" s="39" t="str">
        <f aca="false">VLOOKUP(C1180,Products!$A$5:$D$24,3,FALSE())</f>
        <v>Electronics</v>
      </c>
      <c r="I1180" s="41" t="n">
        <f aca="false">VLOOKUP(C1180,Products!$A$5:$D$24,4,FALSE())</f>
        <v>38</v>
      </c>
      <c r="J1180" s="42" t="n">
        <f aca="false">DATE(YEAR(B1180),MONTH(B1180),1)</f>
        <v>45809</v>
      </c>
      <c r="K1180" s="41" t="n">
        <f aca="false">D1180*E1180</f>
        <v>454.86</v>
      </c>
      <c r="L1180" s="41" t="n">
        <f aca="false">D1180*I1180</f>
        <v>228</v>
      </c>
      <c r="M1180" s="41" t="n">
        <f aca="false">IFERROR(INDEX(Raw_Expenses!$C$5:$C$2979,MATCH(A1180,Raw_Expenses!$A$5:$A$2979,0)),0)</f>
        <v>35.83</v>
      </c>
      <c r="N1180" s="41" t="n">
        <f aca="false">L1180+M1180</f>
        <v>263.83</v>
      </c>
      <c r="O1180" s="41" t="n">
        <f aca="false">K1180-N1180</f>
        <v>191.03</v>
      </c>
      <c r="P1180" s="43" t="n">
        <f aca="false">IF(K1180=0,0,O1180/K1180)</f>
        <v>0.419975377039089</v>
      </c>
    </row>
    <row r="1181" customFormat="false" ht="15" hidden="false" customHeight="false" outlineLevel="0" collapsed="false">
      <c r="A1181" s="39" t="s">
        <v>1303</v>
      </c>
      <c r="B1181" s="40" t="n">
        <v>45826</v>
      </c>
      <c r="C1181" s="39" t="s">
        <v>114</v>
      </c>
      <c r="D1181" s="39" t="n">
        <v>1</v>
      </c>
      <c r="E1181" s="41" t="n">
        <v>5.88</v>
      </c>
      <c r="F1181" s="39" t="s">
        <v>108</v>
      </c>
      <c r="G1181" s="39" t="str">
        <f aca="false">VLOOKUP(C1181,Products!$A$5:$D$24,2,FALSE())</f>
        <v>Gel Pen Pack</v>
      </c>
      <c r="H1181" s="39" t="str">
        <f aca="false">VLOOKUP(C1181,Products!$A$5:$D$24,3,FALSE())</f>
        <v>Stationery</v>
      </c>
      <c r="I1181" s="41" t="n">
        <f aca="false">VLOOKUP(C1181,Products!$A$5:$D$24,4,FALSE())</f>
        <v>2</v>
      </c>
      <c r="J1181" s="42" t="n">
        <f aca="false">DATE(YEAR(B1181),MONTH(B1181),1)</f>
        <v>45809</v>
      </c>
      <c r="K1181" s="41" t="n">
        <f aca="false">D1181*E1181</f>
        <v>5.88</v>
      </c>
      <c r="L1181" s="41" t="n">
        <f aca="false">D1181*I1181</f>
        <v>2</v>
      </c>
      <c r="M1181" s="41" t="n">
        <f aca="false">IFERROR(INDEX(Raw_Expenses!$C$5:$C$2979,MATCH(A1181,Raw_Expenses!$A$5:$A$2979,0)),0)</f>
        <v>0.46</v>
      </c>
      <c r="N1181" s="41" t="n">
        <f aca="false">L1181+M1181</f>
        <v>2.46</v>
      </c>
      <c r="O1181" s="41" t="n">
        <f aca="false">K1181-N1181</f>
        <v>3.42</v>
      </c>
      <c r="P1181" s="43" t="n">
        <f aca="false">IF(K1181=0,0,O1181/K1181)</f>
        <v>0.581632653061225</v>
      </c>
    </row>
    <row r="1182" customFormat="false" ht="15" hidden="false" customHeight="false" outlineLevel="0" collapsed="false">
      <c r="A1182" s="39" t="s">
        <v>1304</v>
      </c>
      <c r="B1182" s="40" t="n">
        <v>45826</v>
      </c>
      <c r="C1182" s="39" t="s">
        <v>121</v>
      </c>
      <c r="D1182" s="39" t="n">
        <v>1</v>
      </c>
      <c r="E1182" s="41" t="n">
        <v>117.67</v>
      </c>
      <c r="F1182" s="39" t="s">
        <v>118</v>
      </c>
      <c r="G1182" s="39" t="str">
        <f aca="false">VLOOKUP(C1182,Products!$A$5:$D$24,2,FALSE())</f>
        <v>External SSD 1TB</v>
      </c>
      <c r="H1182" s="39" t="str">
        <f aca="false">VLOOKUP(C1182,Products!$A$5:$D$24,3,FALSE())</f>
        <v>Electronics</v>
      </c>
      <c r="I1182" s="41" t="n">
        <f aca="false">VLOOKUP(C1182,Products!$A$5:$D$24,4,FALSE())</f>
        <v>62</v>
      </c>
      <c r="J1182" s="42" t="n">
        <f aca="false">DATE(YEAR(B1182),MONTH(B1182),1)</f>
        <v>45809</v>
      </c>
      <c r="K1182" s="41" t="n">
        <f aca="false">D1182*E1182</f>
        <v>117.67</v>
      </c>
      <c r="L1182" s="41" t="n">
        <f aca="false">D1182*I1182</f>
        <v>62</v>
      </c>
      <c r="M1182" s="41" t="n">
        <f aca="false">IFERROR(INDEX(Raw_Expenses!$C$5:$C$2979,MATCH(A1182,Raw_Expenses!$A$5:$A$2979,0)),0)</f>
        <v>9.12</v>
      </c>
      <c r="N1182" s="41" t="n">
        <f aca="false">L1182+M1182</f>
        <v>71.12</v>
      </c>
      <c r="O1182" s="41" t="n">
        <f aca="false">K1182-N1182</f>
        <v>46.55</v>
      </c>
      <c r="P1182" s="43" t="n">
        <f aca="false">IF(K1182=0,0,O1182/K1182)</f>
        <v>0.395597858417609</v>
      </c>
    </row>
    <row r="1183" customFormat="false" ht="15" hidden="false" customHeight="false" outlineLevel="0" collapsed="false">
      <c r="A1183" s="39" t="s">
        <v>1305</v>
      </c>
      <c r="B1183" s="40" t="n">
        <v>45826</v>
      </c>
      <c r="C1183" s="39" t="s">
        <v>121</v>
      </c>
      <c r="D1183" s="39" t="n">
        <v>1</v>
      </c>
      <c r="E1183" s="41" t="n">
        <v>111.97</v>
      </c>
      <c r="F1183" s="39" t="s">
        <v>115</v>
      </c>
      <c r="G1183" s="39" t="str">
        <f aca="false">VLOOKUP(C1183,Products!$A$5:$D$24,2,FALSE())</f>
        <v>External SSD 1TB</v>
      </c>
      <c r="H1183" s="39" t="str">
        <f aca="false">VLOOKUP(C1183,Products!$A$5:$D$24,3,FALSE())</f>
        <v>Electronics</v>
      </c>
      <c r="I1183" s="41" t="n">
        <f aca="false">VLOOKUP(C1183,Products!$A$5:$D$24,4,FALSE())</f>
        <v>62</v>
      </c>
      <c r="J1183" s="42" t="n">
        <f aca="false">DATE(YEAR(B1183),MONTH(B1183),1)</f>
        <v>45809</v>
      </c>
      <c r="K1183" s="41" t="n">
        <f aca="false">D1183*E1183</f>
        <v>111.97</v>
      </c>
      <c r="L1183" s="41" t="n">
        <f aca="false">D1183*I1183</f>
        <v>62</v>
      </c>
      <c r="M1183" s="41" t="n">
        <f aca="false">IFERROR(INDEX(Raw_Expenses!$C$5:$C$2979,MATCH(A1183,Raw_Expenses!$A$5:$A$2979,0)),0)</f>
        <v>9.93</v>
      </c>
      <c r="N1183" s="41" t="n">
        <f aca="false">L1183+M1183</f>
        <v>71.93</v>
      </c>
      <c r="O1183" s="41" t="n">
        <f aca="false">K1183-N1183</f>
        <v>40.04</v>
      </c>
      <c r="P1183" s="43" t="n">
        <f aca="false">IF(K1183=0,0,O1183/K1183)</f>
        <v>0.357595784585157</v>
      </c>
    </row>
    <row r="1184" customFormat="false" ht="15" hidden="false" customHeight="false" outlineLevel="0" collapsed="false">
      <c r="A1184" s="39" t="s">
        <v>1306</v>
      </c>
      <c r="B1184" s="40" t="n">
        <v>45826</v>
      </c>
      <c r="C1184" s="39" t="s">
        <v>169</v>
      </c>
      <c r="D1184" s="39" t="n">
        <v>2</v>
      </c>
      <c r="E1184" s="41" t="n">
        <v>27.94</v>
      </c>
      <c r="F1184" s="39" t="s">
        <v>108</v>
      </c>
      <c r="G1184" s="39" t="str">
        <f aca="false">VLOOKUP(C1184,Products!$A$5:$D$24,2,FALSE())</f>
        <v>Laptop Stand</v>
      </c>
      <c r="H1184" s="39" t="str">
        <f aca="false">VLOOKUP(C1184,Products!$A$5:$D$24,3,FALSE())</f>
        <v>Accessories</v>
      </c>
      <c r="I1184" s="41" t="n">
        <f aca="false">VLOOKUP(C1184,Products!$A$5:$D$24,4,FALSE())</f>
        <v>11</v>
      </c>
      <c r="J1184" s="42" t="n">
        <f aca="false">DATE(YEAR(B1184),MONTH(B1184),1)</f>
        <v>45809</v>
      </c>
      <c r="K1184" s="41" t="n">
        <f aca="false">D1184*E1184</f>
        <v>55.88</v>
      </c>
      <c r="L1184" s="41" t="n">
        <f aca="false">D1184*I1184</f>
        <v>22</v>
      </c>
      <c r="M1184" s="41" t="n">
        <f aca="false">IFERROR(INDEX(Raw_Expenses!$C$5:$C$2979,MATCH(A1184,Raw_Expenses!$A$5:$A$2979,0)),0)</f>
        <v>2.95</v>
      </c>
      <c r="N1184" s="41" t="n">
        <f aca="false">L1184+M1184</f>
        <v>24.95</v>
      </c>
      <c r="O1184" s="41" t="n">
        <f aca="false">K1184-N1184</f>
        <v>30.93</v>
      </c>
      <c r="P1184" s="43" t="n">
        <f aca="false">IF(K1184=0,0,O1184/K1184)</f>
        <v>0.553507516105941</v>
      </c>
    </row>
    <row r="1185" customFormat="false" ht="15" hidden="false" customHeight="false" outlineLevel="0" collapsed="false">
      <c r="A1185" s="39" t="s">
        <v>1307</v>
      </c>
      <c r="B1185" s="40" t="n">
        <v>45826</v>
      </c>
      <c r="C1185" s="39" t="s">
        <v>133</v>
      </c>
      <c r="D1185" s="39" t="n">
        <v>1</v>
      </c>
      <c r="E1185" s="41" t="n">
        <v>8.3</v>
      </c>
      <c r="F1185" s="39" t="s">
        <v>115</v>
      </c>
      <c r="G1185" s="39" t="str">
        <f aca="false">VLOOKUP(C1185,Products!$A$5:$D$24,2,FALSE())</f>
        <v>Printer Paper Ream</v>
      </c>
      <c r="H1185" s="39" t="str">
        <f aca="false">VLOOKUP(C1185,Products!$A$5:$D$24,3,FALSE())</f>
        <v>Stationery</v>
      </c>
      <c r="I1185" s="41" t="n">
        <f aca="false">VLOOKUP(C1185,Products!$A$5:$D$24,4,FALSE())</f>
        <v>4</v>
      </c>
      <c r="J1185" s="42" t="n">
        <f aca="false">DATE(YEAR(B1185),MONTH(B1185),1)</f>
        <v>45809</v>
      </c>
      <c r="K1185" s="41" t="n">
        <f aca="false">D1185*E1185</f>
        <v>8.3</v>
      </c>
      <c r="L1185" s="41" t="n">
        <f aca="false">D1185*I1185</f>
        <v>4</v>
      </c>
      <c r="M1185" s="41" t="n">
        <f aca="false">IFERROR(INDEX(Raw_Expenses!$C$5:$C$2979,MATCH(A1185,Raw_Expenses!$A$5:$A$2979,0)),0)</f>
        <v>0.7</v>
      </c>
      <c r="N1185" s="41" t="n">
        <f aca="false">L1185+M1185</f>
        <v>4.7</v>
      </c>
      <c r="O1185" s="41" t="n">
        <f aca="false">K1185-N1185</f>
        <v>3.6</v>
      </c>
      <c r="P1185" s="43" t="n">
        <f aca="false">IF(K1185=0,0,O1185/K1185)</f>
        <v>0.433734939759036</v>
      </c>
    </row>
    <row r="1186" customFormat="false" ht="15" hidden="false" customHeight="false" outlineLevel="0" collapsed="false">
      <c r="A1186" s="39" t="s">
        <v>1308</v>
      </c>
      <c r="B1186" s="40" t="n">
        <v>45826</v>
      </c>
      <c r="C1186" s="39" t="s">
        <v>177</v>
      </c>
      <c r="D1186" s="39" t="n">
        <v>1</v>
      </c>
      <c r="E1186" s="41" t="n">
        <v>42.88</v>
      </c>
      <c r="F1186" s="39" t="s">
        <v>105</v>
      </c>
      <c r="G1186" s="39" t="str">
        <f aca="false">VLOOKUP(C1186,Products!$A$5:$D$24,2,FALSE())</f>
        <v>Backpack</v>
      </c>
      <c r="H1186" s="39" t="str">
        <f aca="false">VLOOKUP(C1186,Products!$A$5:$D$24,3,FALSE())</f>
        <v>Accessories</v>
      </c>
      <c r="I1186" s="41" t="n">
        <f aca="false">VLOOKUP(C1186,Products!$A$5:$D$24,4,FALSE())</f>
        <v>17</v>
      </c>
      <c r="J1186" s="42" t="n">
        <f aca="false">DATE(YEAR(B1186),MONTH(B1186),1)</f>
        <v>45809</v>
      </c>
      <c r="K1186" s="41" t="n">
        <f aca="false">D1186*E1186</f>
        <v>42.88</v>
      </c>
      <c r="L1186" s="41" t="n">
        <f aca="false">D1186*I1186</f>
        <v>17</v>
      </c>
      <c r="M1186" s="41" t="n">
        <f aca="false">IFERROR(INDEX(Raw_Expenses!$C$5:$C$2979,MATCH(A1186,Raw_Expenses!$A$5:$A$2979,0)),0)</f>
        <v>2.67</v>
      </c>
      <c r="N1186" s="41" t="n">
        <f aca="false">L1186+M1186</f>
        <v>19.67</v>
      </c>
      <c r="O1186" s="41" t="n">
        <f aca="false">K1186-N1186</f>
        <v>23.21</v>
      </c>
      <c r="P1186" s="43" t="n">
        <f aca="false">IF(K1186=0,0,O1186/K1186)</f>
        <v>0.541277985074627</v>
      </c>
    </row>
    <row r="1187" customFormat="false" ht="15" hidden="false" customHeight="false" outlineLevel="0" collapsed="false">
      <c r="A1187" s="39" t="s">
        <v>1309</v>
      </c>
      <c r="B1187" s="40" t="n">
        <v>45827</v>
      </c>
      <c r="C1187" s="39" t="s">
        <v>139</v>
      </c>
      <c r="D1187" s="39" t="n">
        <v>2</v>
      </c>
      <c r="E1187" s="41" t="n">
        <v>118.88</v>
      </c>
      <c r="F1187" s="39" t="s">
        <v>118</v>
      </c>
      <c r="G1187" s="39" t="str">
        <f aca="false">VLOOKUP(C1187,Products!$A$5:$D$24,2,FALSE())</f>
        <v>Noise-Cancelling Headphones</v>
      </c>
      <c r="H1187" s="39" t="str">
        <f aca="false">VLOOKUP(C1187,Products!$A$5:$D$24,3,FALSE())</f>
        <v>Electronics</v>
      </c>
      <c r="I1187" s="41" t="n">
        <f aca="false">VLOOKUP(C1187,Products!$A$5:$D$24,4,FALSE())</f>
        <v>55</v>
      </c>
      <c r="J1187" s="42" t="n">
        <f aca="false">DATE(YEAR(B1187),MONTH(B1187),1)</f>
        <v>45809</v>
      </c>
      <c r="K1187" s="41" t="n">
        <f aca="false">D1187*E1187</f>
        <v>237.76</v>
      </c>
      <c r="L1187" s="41" t="n">
        <f aca="false">D1187*I1187</f>
        <v>110</v>
      </c>
      <c r="M1187" s="41" t="n">
        <f aca="false">IFERROR(INDEX(Raw_Expenses!$C$5:$C$2979,MATCH(A1187,Raw_Expenses!$A$5:$A$2979,0)),0)</f>
        <v>13.69</v>
      </c>
      <c r="N1187" s="41" t="n">
        <f aca="false">L1187+M1187</f>
        <v>123.69</v>
      </c>
      <c r="O1187" s="41" t="n">
        <f aca="false">K1187-N1187</f>
        <v>114.07</v>
      </c>
      <c r="P1187" s="43" t="n">
        <f aca="false">IF(K1187=0,0,O1187/K1187)</f>
        <v>0.479769515477793</v>
      </c>
    </row>
    <row r="1188" customFormat="false" ht="15" hidden="false" customHeight="false" outlineLevel="0" collapsed="false">
      <c r="A1188" s="39" t="s">
        <v>1310</v>
      </c>
      <c r="B1188" s="40" t="n">
        <v>45827</v>
      </c>
      <c r="C1188" s="39" t="s">
        <v>162</v>
      </c>
      <c r="D1188" s="39" t="n">
        <v>3</v>
      </c>
      <c r="E1188" s="41" t="n">
        <v>68.25</v>
      </c>
      <c r="F1188" s="39" t="s">
        <v>118</v>
      </c>
      <c r="G1188" s="39" t="str">
        <f aca="false">VLOOKUP(C1188,Products!$A$5:$D$24,2,FALSE())</f>
        <v>Bluetooth Speaker</v>
      </c>
      <c r="H1188" s="39" t="str">
        <f aca="false">VLOOKUP(C1188,Products!$A$5:$D$24,3,FALSE())</f>
        <v>Electronics</v>
      </c>
      <c r="I1188" s="41" t="n">
        <f aca="false">VLOOKUP(C1188,Products!$A$5:$D$24,4,FALSE())</f>
        <v>28</v>
      </c>
      <c r="J1188" s="42" t="n">
        <f aca="false">DATE(YEAR(B1188),MONTH(B1188),1)</f>
        <v>45809</v>
      </c>
      <c r="K1188" s="41" t="n">
        <f aca="false">D1188*E1188</f>
        <v>204.75</v>
      </c>
      <c r="L1188" s="41" t="n">
        <f aca="false">D1188*I1188</f>
        <v>84</v>
      </c>
      <c r="M1188" s="41" t="n">
        <f aca="false">IFERROR(INDEX(Raw_Expenses!$C$5:$C$2979,MATCH(A1188,Raw_Expenses!$A$5:$A$2979,0)),0)</f>
        <v>16.04</v>
      </c>
      <c r="N1188" s="41" t="n">
        <f aca="false">L1188+M1188</f>
        <v>100.04</v>
      </c>
      <c r="O1188" s="41" t="n">
        <f aca="false">K1188-N1188</f>
        <v>104.71</v>
      </c>
      <c r="P1188" s="43" t="n">
        <f aca="false">IF(K1188=0,0,O1188/K1188)</f>
        <v>0.511404151404151</v>
      </c>
    </row>
    <row r="1189" customFormat="false" ht="15" hidden="false" customHeight="false" outlineLevel="0" collapsed="false">
      <c r="A1189" s="39" t="s">
        <v>1311</v>
      </c>
      <c r="B1189" s="40" t="n">
        <v>45827</v>
      </c>
      <c r="C1189" s="39" t="s">
        <v>121</v>
      </c>
      <c r="D1189" s="39" t="n">
        <v>3</v>
      </c>
      <c r="E1189" s="41" t="n">
        <v>116.89</v>
      </c>
      <c r="F1189" s="39" t="s">
        <v>105</v>
      </c>
      <c r="G1189" s="39" t="str">
        <f aca="false">VLOOKUP(C1189,Products!$A$5:$D$24,2,FALSE())</f>
        <v>External SSD 1TB</v>
      </c>
      <c r="H1189" s="39" t="str">
        <f aca="false">VLOOKUP(C1189,Products!$A$5:$D$24,3,FALSE())</f>
        <v>Electronics</v>
      </c>
      <c r="I1189" s="41" t="n">
        <f aca="false">VLOOKUP(C1189,Products!$A$5:$D$24,4,FALSE())</f>
        <v>62</v>
      </c>
      <c r="J1189" s="42" t="n">
        <f aca="false">DATE(YEAR(B1189),MONTH(B1189),1)</f>
        <v>45809</v>
      </c>
      <c r="K1189" s="41" t="n">
        <f aca="false">D1189*E1189</f>
        <v>350.67</v>
      </c>
      <c r="L1189" s="41" t="n">
        <f aca="false">D1189*I1189</f>
        <v>186</v>
      </c>
      <c r="M1189" s="41" t="n">
        <f aca="false">IFERROR(INDEX(Raw_Expenses!$C$5:$C$2979,MATCH(A1189,Raw_Expenses!$A$5:$A$2979,0)),0)</f>
        <v>19.37</v>
      </c>
      <c r="N1189" s="41" t="n">
        <f aca="false">L1189+M1189</f>
        <v>205.37</v>
      </c>
      <c r="O1189" s="41" t="n">
        <f aca="false">K1189-N1189</f>
        <v>145.3</v>
      </c>
      <c r="P1189" s="43" t="n">
        <f aca="false">IF(K1189=0,0,O1189/K1189)</f>
        <v>0.414349673482191</v>
      </c>
    </row>
    <row r="1190" customFormat="false" ht="15" hidden="false" customHeight="false" outlineLevel="0" collapsed="false">
      <c r="A1190" s="39" t="s">
        <v>1312</v>
      </c>
      <c r="B1190" s="40" t="n">
        <v>45827</v>
      </c>
      <c r="C1190" s="39" t="s">
        <v>126</v>
      </c>
      <c r="D1190" s="39" t="n">
        <v>5</v>
      </c>
      <c r="E1190" s="41" t="n">
        <v>24.16</v>
      </c>
      <c r="F1190" s="39" t="s">
        <v>108</v>
      </c>
      <c r="G1190" s="39" t="str">
        <f aca="false">VLOOKUP(C1190,Products!$A$5:$D$24,2,FALSE())</f>
        <v>Wireless Mouse</v>
      </c>
      <c r="H1190" s="39" t="str">
        <f aca="false">VLOOKUP(C1190,Products!$A$5:$D$24,3,FALSE())</f>
        <v>Electronics</v>
      </c>
      <c r="I1190" s="41" t="n">
        <f aca="false">VLOOKUP(C1190,Products!$A$5:$D$24,4,FALSE())</f>
        <v>12</v>
      </c>
      <c r="J1190" s="42" t="n">
        <f aca="false">DATE(YEAR(B1190),MONTH(B1190),1)</f>
        <v>45809</v>
      </c>
      <c r="K1190" s="41" t="n">
        <f aca="false">D1190*E1190</f>
        <v>120.8</v>
      </c>
      <c r="L1190" s="41" t="n">
        <f aca="false">D1190*I1190</f>
        <v>60</v>
      </c>
      <c r="M1190" s="41" t="n">
        <f aca="false">IFERROR(INDEX(Raw_Expenses!$C$5:$C$2979,MATCH(A1190,Raw_Expenses!$A$5:$A$2979,0)),0)</f>
        <v>7.51</v>
      </c>
      <c r="N1190" s="41" t="n">
        <f aca="false">L1190+M1190</f>
        <v>67.51</v>
      </c>
      <c r="O1190" s="41" t="n">
        <f aca="false">K1190-N1190</f>
        <v>53.29</v>
      </c>
      <c r="P1190" s="43" t="n">
        <f aca="false">IF(K1190=0,0,O1190/K1190)</f>
        <v>0.44114238410596</v>
      </c>
    </row>
    <row r="1191" customFormat="false" ht="15" hidden="false" customHeight="false" outlineLevel="0" collapsed="false">
      <c r="A1191" s="39" t="s">
        <v>1313</v>
      </c>
      <c r="B1191" s="40" t="n">
        <v>45827</v>
      </c>
      <c r="C1191" s="39" t="s">
        <v>117</v>
      </c>
      <c r="D1191" s="39" t="n">
        <v>3</v>
      </c>
      <c r="E1191" s="41" t="n">
        <v>29.44</v>
      </c>
      <c r="F1191" s="39" t="s">
        <v>108</v>
      </c>
      <c r="G1191" s="39" t="str">
        <f aca="false">VLOOKUP(C1191,Products!$A$5:$D$24,2,FALSE())</f>
        <v>Desk Lamp</v>
      </c>
      <c r="H1191" s="39" t="str">
        <f aca="false">VLOOKUP(C1191,Products!$A$5:$D$24,3,FALSE())</f>
        <v>Furniture</v>
      </c>
      <c r="I1191" s="41" t="n">
        <f aca="false">VLOOKUP(C1191,Products!$A$5:$D$24,4,FALSE())</f>
        <v>13</v>
      </c>
      <c r="J1191" s="42" t="n">
        <f aca="false">DATE(YEAR(B1191),MONTH(B1191),1)</f>
        <v>45809</v>
      </c>
      <c r="K1191" s="41" t="n">
        <f aca="false">D1191*E1191</f>
        <v>88.32</v>
      </c>
      <c r="L1191" s="41" t="n">
        <f aca="false">D1191*I1191</f>
        <v>39</v>
      </c>
      <c r="M1191" s="41" t="n">
        <f aca="false">IFERROR(INDEX(Raw_Expenses!$C$5:$C$2979,MATCH(A1191,Raw_Expenses!$A$5:$A$2979,0)),0)</f>
        <v>5.51</v>
      </c>
      <c r="N1191" s="41" t="n">
        <f aca="false">L1191+M1191</f>
        <v>44.51</v>
      </c>
      <c r="O1191" s="41" t="n">
        <f aca="false">K1191-N1191</f>
        <v>43.81</v>
      </c>
      <c r="P1191" s="43" t="n">
        <f aca="false">IF(K1191=0,0,O1191/K1191)</f>
        <v>0.49603713768116</v>
      </c>
    </row>
    <row r="1192" customFormat="false" ht="15" hidden="false" customHeight="false" outlineLevel="0" collapsed="false">
      <c r="A1192" s="39" t="s">
        <v>1314</v>
      </c>
      <c r="B1192" s="40" t="n">
        <v>45827</v>
      </c>
      <c r="C1192" s="39" t="s">
        <v>112</v>
      </c>
      <c r="D1192" s="39" t="n">
        <v>2</v>
      </c>
      <c r="E1192" s="41" t="n">
        <v>51.07</v>
      </c>
      <c r="F1192" s="39" t="s">
        <v>115</v>
      </c>
      <c r="G1192" s="39" t="str">
        <f aca="false">VLOOKUP(C1192,Products!$A$5:$D$24,2,FALSE())</f>
        <v>HD Webcam</v>
      </c>
      <c r="H1192" s="39" t="str">
        <f aca="false">VLOOKUP(C1192,Products!$A$5:$D$24,3,FALSE())</f>
        <v>Electronics</v>
      </c>
      <c r="I1192" s="41" t="n">
        <f aca="false">VLOOKUP(C1192,Products!$A$5:$D$24,4,FALSE())</f>
        <v>22</v>
      </c>
      <c r="J1192" s="42" t="n">
        <f aca="false">DATE(YEAR(B1192),MONTH(B1192),1)</f>
        <v>45809</v>
      </c>
      <c r="K1192" s="41" t="n">
        <f aca="false">D1192*E1192</f>
        <v>102.14</v>
      </c>
      <c r="L1192" s="41" t="n">
        <f aca="false">D1192*I1192</f>
        <v>44</v>
      </c>
      <c r="M1192" s="41" t="n">
        <f aca="false">IFERROR(INDEX(Raw_Expenses!$C$5:$C$2979,MATCH(A1192,Raw_Expenses!$A$5:$A$2979,0)),0)</f>
        <v>8.54</v>
      </c>
      <c r="N1192" s="41" t="n">
        <f aca="false">L1192+M1192</f>
        <v>52.54</v>
      </c>
      <c r="O1192" s="41" t="n">
        <f aca="false">K1192-N1192</f>
        <v>49.6</v>
      </c>
      <c r="P1192" s="43" t="n">
        <f aca="false">IF(K1192=0,0,O1192/K1192)</f>
        <v>0.485607989034658</v>
      </c>
    </row>
    <row r="1193" customFormat="false" ht="15" hidden="false" customHeight="false" outlineLevel="0" collapsed="false">
      <c r="A1193" s="39" t="s">
        <v>1315</v>
      </c>
      <c r="B1193" s="40" t="n">
        <v>45827</v>
      </c>
      <c r="C1193" s="39" t="s">
        <v>139</v>
      </c>
      <c r="D1193" s="39" t="n">
        <v>2</v>
      </c>
      <c r="E1193" s="41" t="n">
        <v>120</v>
      </c>
      <c r="F1193" s="39" t="s">
        <v>118</v>
      </c>
      <c r="G1193" s="39" t="str">
        <f aca="false">VLOOKUP(C1193,Products!$A$5:$D$24,2,FALSE())</f>
        <v>Noise-Cancelling Headphones</v>
      </c>
      <c r="H1193" s="39" t="str">
        <f aca="false">VLOOKUP(C1193,Products!$A$5:$D$24,3,FALSE())</f>
        <v>Electronics</v>
      </c>
      <c r="I1193" s="41" t="n">
        <f aca="false">VLOOKUP(C1193,Products!$A$5:$D$24,4,FALSE())</f>
        <v>55</v>
      </c>
      <c r="J1193" s="42" t="n">
        <f aca="false">DATE(YEAR(B1193),MONTH(B1193),1)</f>
        <v>45809</v>
      </c>
      <c r="K1193" s="41" t="n">
        <f aca="false">D1193*E1193</f>
        <v>240</v>
      </c>
      <c r="L1193" s="41" t="n">
        <f aca="false">D1193*I1193</f>
        <v>110</v>
      </c>
      <c r="M1193" s="41" t="n">
        <f aca="false">IFERROR(INDEX(Raw_Expenses!$C$5:$C$2979,MATCH(A1193,Raw_Expenses!$A$5:$A$2979,0)),0)</f>
        <v>13.63</v>
      </c>
      <c r="N1193" s="41" t="n">
        <f aca="false">L1193+M1193</f>
        <v>123.63</v>
      </c>
      <c r="O1193" s="41" t="n">
        <f aca="false">K1193-N1193</f>
        <v>116.37</v>
      </c>
      <c r="P1193" s="43" t="n">
        <f aca="false">IF(K1193=0,0,O1193/K1193)</f>
        <v>0.484875</v>
      </c>
    </row>
    <row r="1194" customFormat="false" ht="15" hidden="false" customHeight="false" outlineLevel="0" collapsed="false">
      <c r="A1194" s="39" t="s">
        <v>1316</v>
      </c>
      <c r="B1194" s="40" t="n">
        <v>45827</v>
      </c>
      <c r="C1194" s="39" t="s">
        <v>169</v>
      </c>
      <c r="D1194" s="39" t="n">
        <v>2</v>
      </c>
      <c r="E1194" s="41" t="n">
        <v>27.41</v>
      </c>
      <c r="F1194" s="39" t="s">
        <v>118</v>
      </c>
      <c r="G1194" s="39" t="str">
        <f aca="false">VLOOKUP(C1194,Products!$A$5:$D$24,2,FALSE())</f>
        <v>Laptop Stand</v>
      </c>
      <c r="H1194" s="39" t="str">
        <f aca="false">VLOOKUP(C1194,Products!$A$5:$D$24,3,FALSE())</f>
        <v>Accessories</v>
      </c>
      <c r="I1194" s="41" t="n">
        <f aca="false">VLOOKUP(C1194,Products!$A$5:$D$24,4,FALSE())</f>
        <v>11</v>
      </c>
      <c r="J1194" s="42" t="n">
        <f aca="false">DATE(YEAR(B1194),MONTH(B1194),1)</f>
        <v>45809</v>
      </c>
      <c r="K1194" s="41" t="n">
        <f aca="false">D1194*E1194</f>
        <v>54.82</v>
      </c>
      <c r="L1194" s="41" t="n">
        <f aca="false">D1194*I1194</f>
        <v>22</v>
      </c>
      <c r="M1194" s="41" t="n">
        <f aca="false">IFERROR(INDEX(Raw_Expenses!$C$5:$C$2979,MATCH(A1194,Raw_Expenses!$A$5:$A$2979,0)),0)</f>
        <v>2.65</v>
      </c>
      <c r="N1194" s="41" t="n">
        <f aca="false">L1194+M1194</f>
        <v>24.65</v>
      </c>
      <c r="O1194" s="41" t="n">
        <f aca="false">K1194-N1194</f>
        <v>30.17</v>
      </c>
      <c r="P1194" s="43" t="n">
        <f aca="false">IF(K1194=0,0,O1194/K1194)</f>
        <v>0.550346588836191</v>
      </c>
    </row>
    <row r="1195" customFormat="false" ht="15" hidden="false" customHeight="false" outlineLevel="0" collapsed="false">
      <c r="A1195" s="39" t="s">
        <v>1317</v>
      </c>
      <c r="B1195" s="40" t="n">
        <v>45827</v>
      </c>
      <c r="C1195" s="39" t="s">
        <v>121</v>
      </c>
      <c r="D1195" s="39" t="n">
        <v>1</v>
      </c>
      <c r="E1195" s="41" t="n">
        <v>116.06</v>
      </c>
      <c r="F1195" s="39" t="s">
        <v>105</v>
      </c>
      <c r="G1195" s="39" t="str">
        <f aca="false">VLOOKUP(C1195,Products!$A$5:$D$24,2,FALSE())</f>
        <v>External SSD 1TB</v>
      </c>
      <c r="H1195" s="39" t="str">
        <f aca="false">VLOOKUP(C1195,Products!$A$5:$D$24,3,FALSE())</f>
        <v>Electronics</v>
      </c>
      <c r="I1195" s="41" t="n">
        <f aca="false">VLOOKUP(C1195,Products!$A$5:$D$24,4,FALSE())</f>
        <v>62</v>
      </c>
      <c r="J1195" s="42" t="n">
        <f aca="false">DATE(YEAR(B1195),MONTH(B1195),1)</f>
        <v>45809</v>
      </c>
      <c r="K1195" s="41" t="n">
        <f aca="false">D1195*E1195</f>
        <v>116.06</v>
      </c>
      <c r="L1195" s="41" t="n">
        <f aca="false">D1195*I1195</f>
        <v>62</v>
      </c>
      <c r="M1195" s="41" t="n">
        <f aca="false">IFERROR(INDEX(Raw_Expenses!$C$5:$C$2979,MATCH(A1195,Raw_Expenses!$A$5:$A$2979,0)),0)</f>
        <v>7.66</v>
      </c>
      <c r="N1195" s="41" t="n">
        <f aca="false">L1195+M1195</f>
        <v>69.66</v>
      </c>
      <c r="O1195" s="41" t="n">
        <f aca="false">K1195-N1195</f>
        <v>46.4</v>
      </c>
      <c r="P1195" s="43" t="n">
        <f aca="false">IF(K1195=0,0,O1195/K1195)</f>
        <v>0.39979321040841</v>
      </c>
    </row>
    <row r="1196" customFormat="false" ht="15" hidden="false" customHeight="false" outlineLevel="0" collapsed="false">
      <c r="A1196" s="39" t="s">
        <v>1318</v>
      </c>
      <c r="B1196" s="40" t="n">
        <v>45828</v>
      </c>
      <c r="C1196" s="39" t="s">
        <v>112</v>
      </c>
      <c r="D1196" s="39" t="n">
        <v>3</v>
      </c>
      <c r="E1196" s="41" t="n">
        <v>51.93</v>
      </c>
      <c r="F1196" s="39" t="s">
        <v>108</v>
      </c>
      <c r="G1196" s="39" t="str">
        <f aca="false">VLOOKUP(C1196,Products!$A$5:$D$24,2,FALSE())</f>
        <v>HD Webcam</v>
      </c>
      <c r="H1196" s="39" t="str">
        <f aca="false">VLOOKUP(C1196,Products!$A$5:$D$24,3,FALSE())</f>
        <v>Electronics</v>
      </c>
      <c r="I1196" s="41" t="n">
        <f aca="false">VLOOKUP(C1196,Products!$A$5:$D$24,4,FALSE())</f>
        <v>22</v>
      </c>
      <c r="J1196" s="42" t="n">
        <f aca="false">DATE(YEAR(B1196),MONTH(B1196),1)</f>
        <v>45809</v>
      </c>
      <c r="K1196" s="41" t="n">
        <f aca="false">D1196*E1196</f>
        <v>155.79</v>
      </c>
      <c r="L1196" s="41" t="n">
        <f aca="false">D1196*I1196</f>
        <v>66</v>
      </c>
      <c r="M1196" s="41" t="n">
        <f aca="false">IFERROR(INDEX(Raw_Expenses!$C$5:$C$2979,MATCH(A1196,Raw_Expenses!$A$5:$A$2979,0)),0)</f>
        <v>10.92</v>
      </c>
      <c r="N1196" s="41" t="n">
        <f aca="false">L1196+M1196</f>
        <v>76.92</v>
      </c>
      <c r="O1196" s="41" t="n">
        <f aca="false">K1196-N1196</f>
        <v>78.87</v>
      </c>
      <c r="P1196" s="43" t="n">
        <f aca="false">IF(K1196=0,0,O1196/K1196)</f>
        <v>0.506258424802619</v>
      </c>
    </row>
    <row r="1197" customFormat="false" ht="15" hidden="false" customHeight="false" outlineLevel="0" collapsed="false">
      <c r="A1197" s="39" t="s">
        <v>1319</v>
      </c>
      <c r="B1197" s="40" t="n">
        <v>45828</v>
      </c>
      <c r="C1197" s="39" t="s">
        <v>183</v>
      </c>
      <c r="D1197" s="39" t="n">
        <v>1</v>
      </c>
      <c r="E1197" s="41" t="n">
        <v>175.62</v>
      </c>
      <c r="F1197" s="39" t="s">
        <v>105</v>
      </c>
      <c r="G1197" s="39" t="str">
        <f aca="false">VLOOKUP(C1197,Products!$A$5:$D$24,2,FALSE())</f>
        <v>Office Chair</v>
      </c>
      <c r="H1197" s="39" t="str">
        <f aca="false">VLOOKUP(C1197,Products!$A$5:$D$24,3,FALSE())</f>
        <v>Furniture</v>
      </c>
      <c r="I1197" s="41" t="n">
        <f aca="false">VLOOKUP(C1197,Products!$A$5:$D$24,4,FALSE())</f>
        <v>85</v>
      </c>
      <c r="J1197" s="42" t="n">
        <f aca="false">DATE(YEAR(B1197),MONTH(B1197),1)</f>
        <v>45809</v>
      </c>
      <c r="K1197" s="41" t="n">
        <f aca="false">D1197*E1197</f>
        <v>175.62</v>
      </c>
      <c r="L1197" s="41" t="n">
        <f aca="false">D1197*I1197</f>
        <v>85</v>
      </c>
      <c r="M1197" s="41" t="n">
        <f aca="false">IFERROR(INDEX(Raw_Expenses!$C$5:$C$2979,MATCH(A1197,Raw_Expenses!$A$5:$A$2979,0)),0)</f>
        <v>7.3</v>
      </c>
      <c r="N1197" s="41" t="n">
        <f aca="false">L1197+M1197</f>
        <v>92.3</v>
      </c>
      <c r="O1197" s="41" t="n">
        <f aca="false">K1197-N1197</f>
        <v>83.32</v>
      </c>
      <c r="P1197" s="43" t="n">
        <f aca="false">IF(K1197=0,0,O1197/K1197)</f>
        <v>0.474433435827355</v>
      </c>
    </row>
    <row r="1198" customFormat="false" ht="15" hidden="false" customHeight="false" outlineLevel="0" collapsed="false">
      <c r="A1198" s="39" t="s">
        <v>1320</v>
      </c>
      <c r="B1198" s="40" t="n">
        <v>45829</v>
      </c>
      <c r="C1198" s="39" t="s">
        <v>117</v>
      </c>
      <c r="D1198" s="39" t="n">
        <v>2</v>
      </c>
      <c r="E1198" s="41" t="n">
        <v>31.02</v>
      </c>
      <c r="F1198" s="39" t="s">
        <v>118</v>
      </c>
      <c r="G1198" s="39" t="str">
        <f aca="false">VLOOKUP(C1198,Products!$A$5:$D$24,2,FALSE())</f>
        <v>Desk Lamp</v>
      </c>
      <c r="H1198" s="39" t="str">
        <f aca="false">VLOOKUP(C1198,Products!$A$5:$D$24,3,FALSE())</f>
        <v>Furniture</v>
      </c>
      <c r="I1198" s="41" t="n">
        <f aca="false">VLOOKUP(C1198,Products!$A$5:$D$24,4,FALSE())</f>
        <v>13</v>
      </c>
      <c r="J1198" s="42" t="n">
        <f aca="false">DATE(YEAR(B1198),MONTH(B1198),1)</f>
        <v>45809</v>
      </c>
      <c r="K1198" s="41" t="n">
        <f aca="false">D1198*E1198</f>
        <v>62.04</v>
      </c>
      <c r="L1198" s="41" t="n">
        <f aca="false">D1198*I1198</f>
        <v>26</v>
      </c>
      <c r="M1198" s="41" t="n">
        <f aca="false">IFERROR(INDEX(Raw_Expenses!$C$5:$C$2979,MATCH(A1198,Raw_Expenses!$A$5:$A$2979,0)),0)</f>
        <v>3.55</v>
      </c>
      <c r="N1198" s="41" t="n">
        <f aca="false">L1198+M1198</f>
        <v>29.55</v>
      </c>
      <c r="O1198" s="41" t="n">
        <f aca="false">K1198-N1198</f>
        <v>32.49</v>
      </c>
      <c r="P1198" s="43" t="n">
        <f aca="false">IF(K1198=0,0,O1198/K1198)</f>
        <v>0.523694390715667</v>
      </c>
    </row>
    <row r="1199" customFormat="false" ht="15" hidden="false" customHeight="false" outlineLevel="0" collapsed="false">
      <c r="A1199" s="39" t="s">
        <v>1321</v>
      </c>
      <c r="B1199" s="40" t="n">
        <v>45829</v>
      </c>
      <c r="C1199" s="39" t="s">
        <v>121</v>
      </c>
      <c r="D1199" s="39" t="n">
        <v>1</v>
      </c>
      <c r="E1199" s="41" t="n">
        <v>113.55</v>
      </c>
      <c r="F1199" s="39" t="s">
        <v>115</v>
      </c>
      <c r="G1199" s="39" t="str">
        <f aca="false">VLOOKUP(C1199,Products!$A$5:$D$24,2,FALSE())</f>
        <v>External SSD 1TB</v>
      </c>
      <c r="H1199" s="39" t="str">
        <f aca="false">VLOOKUP(C1199,Products!$A$5:$D$24,3,FALSE())</f>
        <v>Electronics</v>
      </c>
      <c r="I1199" s="41" t="n">
        <f aca="false">VLOOKUP(C1199,Products!$A$5:$D$24,4,FALSE())</f>
        <v>62</v>
      </c>
      <c r="J1199" s="42" t="n">
        <f aca="false">DATE(YEAR(B1199),MONTH(B1199),1)</f>
        <v>45809</v>
      </c>
      <c r="K1199" s="41" t="n">
        <f aca="false">D1199*E1199</f>
        <v>113.55</v>
      </c>
      <c r="L1199" s="41" t="n">
        <f aca="false">D1199*I1199</f>
        <v>62</v>
      </c>
      <c r="M1199" s="41" t="n">
        <f aca="false">IFERROR(INDEX(Raw_Expenses!$C$5:$C$2979,MATCH(A1199,Raw_Expenses!$A$5:$A$2979,0)),0)</f>
        <v>6.62</v>
      </c>
      <c r="N1199" s="41" t="n">
        <f aca="false">L1199+M1199</f>
        <v>68.62</v>
      </c>
      <c r="O1199" s="41" t="n">
        <f aca="false">K1199-N1199</f>
        <v>44.93</v>
      </c>
      <c r="P1199" s="43" t="n">
        <f aca="false">IF(K1199=0,0,O1199/K1199)</f>
        <v>0.395684720387494</v>
      </c>
    </row>
    <row r="1200" customFormat="false" ht="15" hidden="false" customHeight="false" outlineLevel="0" collapsed="false">
      <c r="A1200" s="39" t="s">
        <v>1322</v>
      </c>
      <c r="B1200" s="40" t="n">
        <v>45829</v>
      </c>
      <c r="C1200" s="39" t="s">
        <v>117</v>
      </c>
      <c r="D1200" s="39" t="n">
        <v>3</v>
      </c>
      <c r="E1200" s="41" t="n">
        <v>30.91</v>
      </c>
      <c r="F1200" s="39" t="s">
        <v>115</v>
      </c>
      <c r="G1200" s="39" t="str">
        <f aca="false">VLOOKUP(C1200,Products!$A$5:$D$24,2,FALSE())</f>
        <v>Desk Lamp</v>
      </c>
      <c r="H1200" s="39" t="str">
        <f aca="false">VLOOKUP(C1200,Products!$A$5:$D$24,3,FALSE())</f>
        <v>Furniture</v>
      </c>
      <c r="I1200" s="41" t="n">
        <f aca="false">VLOOKUP(C1200,Products!$A$5:$D$24,4,FALSE())</f>
        <v>13</v>
      </c>
      <c r="J1200" s="42" t="n">
        <f aca="false">DATE(YEAR(B1200),MONTH(B1200),1)</f>
        <v>45809</v>
      </c>
      <c r="K1200" s="41" t="n">
        <f aca="false">D1200*E1200</f>
        <v>92.73</v>
      </c>
      <c r="L1200" s="41" t="n">
        <f aca="false">D1200*I1200</f>
        <v>39</v>
      </c>
      <c r="M1200" s="41" t="n">
        <f aca="false">IFERROR(INDEX(Raw_Expenses!$C$5:$C$2979,MATCH(A1200,Raw_Expenses!$A$5:$A$2979,0)),0)</f>
        <v>8.01</v>
      </c>
      <c r="N1200" s="41" t="n">
        <f aca="false">L1200+M1200</f>
        <v>47.01</v>
      </c>
      <c r="O1200" s="41" t="n">
        <f aca="false">K1200-N1200</f>
        <v>45.72</v>
      </c>
      <c r="P1200" s="43" t="n">
        <f aca="false">IF(K1200=0,0,O1200/K1200)</f>
        <v>0.493044322225817</v>
      </c>
    </row>
    <row r="1201" customFormat="false" ht="15" hidden="false" customHeight="false" outlineLevel="0" collapsed="false">
      <c r="A1201" s="39" t="s">
        <v>1323</v>
      </c>
      <c r="B1201" s="40" t="n">
        <v>45829</v>
      </c>
      <c r="C1201" s="39" t="s">
        <v>114</v>
      </c>
      <c r="D1201" s="39" t="n">
        <v>2</v>
      </c>
      <c r="E1201" s="41" t="n">
        <v>5.55</v>
      </c>
      <c r="F1201" s="39" t="s">
        <v>108</v>
      </c>
      <c r="G1201" s="39" t="str">
        <f aca="false">VLOOKUP(C1201,Products!$A$5:$D$24,2,FALSE())</f>
        <v>Gel Pen Pack</v>
      </c>
      <c r="H1201" s="39" t="str">
        <f aca="false">VLOOKUP(C1201,Products!$A$5:$D$24,3,FALSE())</f>
        <v>Stationery</v>
      </c>
      <c r="I1201" s="41" t="n">
        <f aca="false">VLOOKUP(C1201,Products!$A$5:$D$24,4,FALSE())</f>
        <v>2</v>
      </c>
      <c r="J1201" s="42" t="n">
        <f aca="false">DATE(YEAR(B1201),MONTH(B1201),1)</f>
        <v>45809</v>
      </c>
      <c r="K1201" s="41" t="n">
        <f aca="false">D1201*E1201</f>
        <v>11.1</v>
      </c>
      <c r="L1201" s="41" t="n">
        <f aca="false">D1201*I1201</f>
        <v>4</v>
      </c>
      <c r="M1201" s="41" t="n">
        <f aca="false">IFERROR(INDEX(Raw_Expenses!$C$5:$C$2979,MATCH(A1201,Raw_Expenses!$A$5:$A$2979,0)),0)</f>
        <v>0.81</v>
      </c>
      <c r="N1201" s="41" t="n">
        <f aca="false">L1201+M1201</f>
        <v>4.81</v>
      </c>
      <c r="O1201" s="41" t="n">
        <f aca="false">K1201-N1201</f>
        <v>6.29</v>
      </c>
      <c r="P1201" s="43" t="n">
        <f aca="false">IF(K1201=0,0,O1201/K1201)</f>
        <v>0.566666666666667</v>
      </c>
    </row>
    <row r="1202" customFormat="false" ht="15" hidden="false" customHeight="false" outlineLevel="0" collapsed="false">
      <c r="A1202" s="39" t="s">
        <v>1324</v>
      </c>
      <c r="B1202" s="40" t="n">
        <v>45830</v>
      </c>
      <c r="C1202" s="39" t="s">
        <v>136</v>
      </c>
      <c r="D1202" s="39" t="n">
        <v>1</v>
      </c>
      <c r="E1202" s="41" t="n">
        <v>76.17</v>
      </c>
      <c r="F1202" s="39" t="s">
        <v>108</v>
      </c>
      <c r="G1202" s="39" t="str">
        <f aca="false">VLOOKUP(C1202,Products!$A$5:$D$24,2,FALSE())</f>
        <v>Mechanical Keyboard</v>
      </c>
      <c r="H1202" s="39" t="str">
        <f aca="false">VLOOKUP(C1202,Products!$A$5:$D$24,3,FALSE())</f>
        <v>Electronics</v>
      </c>
      <c r="I1202" s="41" t="n">
        <f aca="false">VLOOKUP(C1202,Products!$A$5:$D$24,4,FALSE())</f>
        <v>38</v>
      </c>
      <c r="J1202" s="42" t="n">
        <f aca="false">DATE(YEAR(B1202),MONTH(B1202),1)</f>
        <v>45809</v>
      </c>
      <c r="K1202" s="41" t="n">
        <f aca="false">D1202*E1202</f>
        <v>76.17</v>
      </c>
      <c r="L1202" s="41" t="n">
        <f aca="false">D1202*I1202</f>
        <v>38</v>
      </c>
      <c r="M1202" s="41" t="n">
        <f aca="false">IFERROR(INDEX(Raw_Expenses!$C$5:$C$2979,MATCH(A1202,Raw_Expenses!$A$5:$A$2979,0)),0)</f>
        <v>3.24</v>
      </c>
      <c r="N1202" s="41" t="n">
        <f aca="false">L1202+M1202</f>
        <v>41.24</v>
      </c>
      <c r="O1202" s="41" t="n">
        <f aca="false">K1202-N1202</f>
        <v>34.93</v>
      </c>
      <c r="P1202" s="43" t="n">
        <f aca="false">IF(K1202=0,0,O1202/K1202)</f>
        <v>0.458579493238808</v>
      </c>
    </row>
    <row r="1203" customFormat="false" ht="15" hidden="false" customHeight="false" outlineLevel="0" collapsed="false">
      <c r="A1203" s="39" t="s">
        <v>1325</v>
      </c>
      <c r="B1203" s="40" t="n">
        <v>45830</v>
      </c>
      <c r="C1203" s="39" t="s">
        <v>133</v>
      </c>
      <c r="D1203" s="39" t="n">
        <v>6</v>
      </c>
      <c r="E1203" s="41" t="n">
        <v>8.34</v>
      </c>
      <c r="F1203" s="39" t="s">
        <v>108</v>
      </c>
      <c r="G1203" s="39" t="str">
        <f aca="false">VLOOKUP(C1203,Products!$A$5:$D$24,2,FALSE())</f>
        <v>Printer Paper Ream</v>
      </c>
      <c r="H1203" s="39" t="str">
        <f aca="false">VLOOKUP(C1203,Products!$A$5:$D$24,3,FALSE())</f>
        <v>Stationery</v>
      </c>
      <c r="I1203" s="41" t="n">
        <f aca="false">VLOOKUP(C1203,Products!$A$5:$D$24,4,FALSE())</f>
        <v>4</v>
      </c>
      <c r="J1203" s="42" t="n">
        <f aca="false">DATE(YEAR(B1203),MONTH(B1203),1)</f>
        <v>45809</v>
      </c>
      <c r="K1203" s="41" t="n">
        <f aca="false">D1203*E1203</f>
        <v>50.04</v>
      </c>
      <c r="L1203" s="41" t="n">
        <f aca="false">D1203*I1203</f>
        <v>24</v>
      </c>
      <c r="M1203" s="41" t="n">
        <f aca="false">IFERROR(INDEX(Raw_Expenses!$C$5:$C$2979,MATCH(A1203,Raw_Expenses!$A$5:$A$2979,0)),0)</f>
        <v>3.41</v>
      </c>
      <c r="N1203" s="41" t="n">
        <f aca="false">L1203+M1203</f>
        <v>27.41</v>
      </c>
      <c r="O1203" s="41" t="n">
        <f aca="false">K1203-N1203</f>
        <v>22.63</v>
      </c>
      <c r="P1203" s="43" t="n">
        <f aca="false">IF(K1203=0,0,O1203/K1203)</f>
        <v>0.452238209432454</v>
      </c>
    </row>
    <row r="1204" customFormat="false" ht="15" hidden="false" customHeight="false" outlineLevel="0" collapsed="false">
      <c r="A1204" s="39" t="s">
        <v>1326</v>
      </c>
      <c r="B1204" s="40" t="n">
        <v>45830</v>
      </c>
      <c r="C1204" s="39" t="s">
        <v>183</v>
      </c>
      <c r="D1204" s="39" t="n">
        <v>3</v>
      </c>
      <c r="E1204" s="41" t="n">
        <v>187.98</v>
      </c>
      <c r="F1204" s="39" t="s">
        <v>115</v>
      </c>
      <c r="G1204" s="39" t="str">
        <f aca="false">VLOOKUP(C1204,Products!$A$5:$D$24,2,FALSE())</f>
        <v>Office Chair</v>
      </c>
      <c r="H1204" s="39" t="str">
        <f aca="false">VLOOKUP(C1204,Products!$A$5:$D$24,3,FALSE())</f>
        <v>Furniture</v>
      </c>
      <c r="I1204" s="41" t="n">
        <f aca="false">VLOOKUP(C1204,Products!$A$5:$D$24,4,FALSE())</f>
        <v>85</v>
      </c>
      <c r="J1204" s="42" t="n">
        <f aca="false">DATE(YEAR(B1204),MONTH(B1204),1)</f>
        <v>45809</v>
      </c>
      <c r="K1204" s="41" t="n">
        <f aca="false">D1204*E1204</f>
        <v>563.94</v>
      </c>
      <c r="L1204" s="41" t="n">
        <f aca="false">D1204*I1204</f>
        <v>255</v>
      </c>
      <c r="M1204" s="41" t="n">
        <f aca="false">IFERROR(INDEX(Raw_Expenses!$C$5:$C$2979,MATCH(A1204,Raw_Expenses!$A$5:$A$2979,0)),0)</f>
        <v>32.69</v>
      </c>
      <c r="N1204" s="41" t="n">
        <f aca="false">L1204+M1204</f>
        <v>287.69</v>
      </c>
      <c r="O1204" s="41" t="n">
        <f aca="false">K1204-N1204</f>
        <v>276.25</v>
      </c>
      <c r="P1204" s="43" t="n">
        <f aca="false">IF(K1204=0,0,O1204/K1204)</f>
        <v>0.489857076994006</v>
      </c>
    </row>
    <row r="1205" customFormat="false" ht="15" hidden="false" customHeight="false" outlineLevel="0" collapsed="false">
      <c r="A1205" s="39" t="s">
        <v>1327</v>
      </c>
      <c r="B1205" s="40" t="n">
        <v>45830</v>
      </c>
      <c r="C1205" s="39" t="s">
        <v>114</v>
      </c>
      <c r="D1205" s="39" t="n">
        <v>1</v>
      </c>
      <c r="E1205" s="41" t="n">
        <v>5.55</v>
      </c>
      <c r="F1205" s="39" t="s">
        <v>115</v>
      </c>
      <c r="G1205" s="39" t="str">
        <f aca="false">VLOOKUP(C1205,Products!$A$5:$D$24,2,FALSE())</f>
        <v>Gel Pen Pack</v>
      </c>
      <c r="H1205" s="39" t="str">
        <f aca="false">VLOOKUP(C1205,Products!$A$5:$D$24,3,FALSE())</f>
        <v>Stationery</v>
      </c>
      <c r="I1205" s="41" t="n">
        <f aca="false">VLOOKUP(C1205,Products!$A$5:$D$24,4,FALSE())</f>
        <v>2</v>
      </c>
      <c r="J1205" s="42" t="n">
        <f aca="false">DATE(YEAR(B1205),MONTH(B1205),1)</f>
        <v>45809</v>
      </c>
      <c r="K1205" s="41" t="n">
        <f aca="false">D1205*E1205</f>
        <v>5.55</v>
      </c>
      <c r="L1205" s="41" t="n">
        <f aca="false">D1205*I1205</f>
        <v>2</v>
      </c>
      <c r="M1205" s="41" t="n">
        <f aca="false">IFERROR(INDEX(Raw_Expenses!$C$5:$C$2979,MATCH(A1205,Raw_Expenses!$A$5:$A$2979,0)),0)</f>
        <v>0.24</v>
      </c>
      <c r="N1205" s="41" t="n">
        <f aca="false">L1205+M1205</f>
        <v>2.24</v>
      </c>
      <c r="O1205" s="41" t="n">
        <f aca="false">K1205-N1205</f>
        <v>3.31</v>
      </c>
      <c r="P1205" s="43" t="n">
        <f aca="false">IF(K1205=0,0,O1205/K1205)</f>
        <v>0.596396396396396</v>
      </c>
    </row>
    <row r="1206" customFormat="false" ht="15" hidden="false" customHeight="false" outlineLevel="0" collapsed="false">
      <c r="A1206" s="39" t="s">
        <v>1328</v>
      </c>
      <c r="B1206" s="40" t="n">
        <v>45830</v>
      </c>
      <c r="C1206" s="39" t="s">
        <v>130</v>
      </c>
      <c r="D1206" s="39" t="n">
        <v>3</v>
      </c>
      <c r="E1206" s="41" t="n">
        <v>8.32</v>
      </c>
      <c r="F1206" s="39" t="s">
        <v>105</v>
      </c>
      <c r="G1206" s="39" t="str">
        <f aca="false">VLOOKUP(C1206,Products!$A$5:$D$24,2,FALSE())</f>
        <v>Notebook Set</v>
      </c>
      <c r="H1206" s="39" t="str">
        <f aca="false">VLOOKUP(C1206,Products!$A$5:$D$24,3,FALSE())</f>
        <v>Stationery</v>
      </c>
      <c r="I1206" s="41" t="n">
        <f aca="false">VLOOKUP(C1206,Products!$A$5:$D$24,4,FALSE())</f>
        <v>3</v>
      </c>
      <c r="J1206" s="42" t="n">
        <f aca="false">DATE(YEAR(B1206),MONTH(B1206),1)</f>
        <v>45809</v>
      </c>
      <c r="K1206" s="41" t="n">
        <f aca="false">D1206*E1206</f>
        <v>24.96</v>
      </c>
      <c r="L1206" s="41" t="n">
        <f aca="false">D1206*I1206</f>
        <v>9</v>
      </c>
      <c r="M1206" s="41" t="n">
        <f aca="false">IFERROR(INDEX(Raw_Expenses!$C$5:$C$2979,MATCH(A1206,Raw_Expenses!$A$5:$A$2979,0)),0)</f>
        <v>2.1</v>
      </c>
      <c r="N1206" s="41" t="n">
        <f aca="false">L1206+M1206</f>
        <v>11.1</v>
      </c>
      <c r="O1206" s="41" t="n">
        <f aca="false">K1206-N1206</f>
        <v>13.86</v>
      </c>
      <c r="P1206" s="43" t="n">
        <f aca="false">IF(K1206=0,0,O1206/K1206)</f>
        <v>0.555288461538462</v>
      </c>
    </row>
    <row r="1207" customFormat="false" ht="15" hidden="false" customHeight="false" outlineLevel="0" collapsed="false">
      <c r="A1207" s="39" t="s">
        <v>1329</v>
      </c>
      <c r="B1207" s="40" t="n">
        <v>45830</v>
      </c>
      <c r="C1207" s="39" t="s">
        <v>162</v>
      </c>
      <c r="D1207" s="39" t="n">
        <v>4</v>
      </c>
      <c r="E1207" s="41" t="n">
        <v>64.48</v>
      </c>
      <c r="F1207" s="39" t="s">
        <v>108</v>
      </c>
      <c r="G1207" s="39" t="str">
        <f aca="false">VLOOKUP(C1207,Products!$A$5:$D$24,2,FALSE())</f>
        <v>Bluetooth Speaker</v>
      </c>
      <c r="H1207" s="39" t="str">
        <f aca="false">VLOOKUP(C1207,Products!$A$5:$D$24,3,FALSE())</f>
        <v>Electronics</v>
      </c>
      <c r="I1207" s="41" t="n">
        <f aca="false">VLOOKUP(C1207,Products!$A$5:$D$24,4,FALSE())</f>
        <v>28</v>
      </c>
      <c r="J1207" s="42" t="n">
        <f aca="false">DATE(YEAR(B1207),MONTH(B1207),1)</f>
        <v>45809</v>
      </c>
      <c r="K1207" s="41" t="n">
        <f aca="false">D1207*E1207</f>
        <v>257.92</v>
      </c>
      <c r="L1207" s="41" t="n">
        <f aca="false">D1207*I1207</f>
        <v>112</v>
      </c>
      <c r="M1207" s="41" t="n">
        <f aca="false">IFERROR(INDEX(Raw_Expenses!$C$5:$C$2979,MATCH(A1207,Raw_Expenses!$A$5:$A$2979,0)),0)</f>
        <v>15.64</v>
      </c>
      <c r="N1207" s="41" t="n">
        <f aca="false">L1207+M1207</f>
        <v>127.64</v>
      </c>
      <c r="O1207" s="41" t="n">
        <f aca="false">K1207-N1207</f>
        <v>130.28</v>
      </c>
      <c r="P1207" s="43" t="n">
        <f aca="false">IF(K1207=0,0,O1207/K1207)</f>
        <v>0.505117866004963</v>
      </c>
    </row>
    <row r="1208" customFormat="false" ht="15" hidden="false" customHeight="false" outlineLevel="0" collapsed="false">
      <c r="A1208" s="39" t="s">
        <v>1330</v>
      </c>
      <c r="B1208" s="40" t="n">
        <v>45830</v>
      </c>
      <c r="C1208" s="39" t="s">
        <v>107</v>
      </c>
      <c r="D1208" s="39" t="n">
        <v>2</v>
      </c>
      <c r="E1208" s="41" t="n">
        <v>34.2</v>
      </c>
      <c r="F1208" s="39" t="s">
        <v>118</v>
      </c>
      <c r="G1208" s="39" t="str">
        <f aca="false">VLOOKUP(C1208,Products!$A$5:$D$24,2,FALSE())</f>
        <v>USB-C Hub</v>
      </c>
      <c r="H1208" s="39" t="str">
        <f aca="false">VLOOKUP(C1208,Products!$A$5:$D$24,3,FALSE())</f>
        <v>Electronics</v>
      </c>
      <c r="I1208" s="41" t="n">
        <f aca="false">VLOOKUP(C1208,Products!$A$5:$D$24,4,FALSE())</f>
        <v>14</v>
      </c>
      <c r="J1208" s="42" t="n">
        <f aca="false">DATE(YEAR(B1208),MONTH(B1208),1)</f>
        <v>45809</v>
      </c>
      <c r="K1208" s="41" t="n">
        <f aca="false">D1208*E1208</f>
        <v>68.4</v>
      </c>
      <c r="L1208" s="41" t="n">
        <f aca="false">D1208*I1208</f>
        <v>28</v>
      </c>
      <c r="M1208" s="41" t="n">
        <f aca="false">IFERROR(INDEX(Raw_Expenses!$C$5:$C$2979,MATCH(A1208,Raw_Expenses!$A$5:$A$2979,0)),0)</f>
        <v>6.02</v>
      </c>
      <c r="N1208" s="41" t="n">
        <f aca="false">L1208+M1208</f>
        <v>34.02</v>
      </c>
      <c r="O1208" s="41" t="n">
        <f aca="false">K1208-N1208</f>
        <v>34.38</v>
      </c>
      <c r="P1208" s="43" t="n">
        <f aca="false">IF(K1208=0,0,O1208/K1208)</f>
        <v>0.502631578947369</v>
      </c>
    </row>
    <row r="1209" customFormat="false" ht="15" hidden="false" customHeight="false" outlineLevel="0" collapsed="false">
      <c r="A1209" s="39" t="s">
        <v>1331</v>
      </c>
      <c r="B1209" s="40" t="n">
        <v>45830</v>
      </c>
      <c r="C1209" s="39" t="s">
        <v>162</v>
      </c>
      <c r="D1209" s="39" t="n">
        <v>3</v>
      </c>
      <c r="E1209" s="41" t="n">
        <v>63.48</v>
      </c>
      <c r="F1209" s="39" t="s">
        <v>118</v>
      </c>
      <c r="G1209" s="39" t="str">
        <f aca="false">VLOOKUP(C1209,Products!$A$5:$D$24,2,FALSE())</f>
        <v>Bluetooth Speaker</v>
      </c>
      <c r="H1209" s="39" t="str">
        <f aca="false">VLOOKUP(C1209,Products!$A$5:$D$24,3,FALSE())</f>
        <v>Electronics</v>
      </c>
      <c r="I1209" s="41" t="n">
        <f aca="false">VLOOKUP(C1209,Products!$A$5:$D$24,4,FALSE())</f>
        <v>28</v>
      </c>
      <c r="J1209" s="42" t="n">
        <f aca="false">DATE(YEAR(B1209),MONTH(B1209),1)</f>
        <v>45809</v>
      </c>
      <c r="K1209" s="41" t="n">
        <f aca="false">D1209*E1209</f>
        <v>190.44</v>
      </c>
      <c r="L1209" s="41" t="n">
        <f aca="false">D1209*I1209</f>
        <v>84</v>
      </c>
      <c r="M1209" s="41" t="n">
        <f aca="false">IFERROR(INDEX(Raw_Expenses!$C$5:$C$2979,MATCH(A1209,Raw_Expenses!$A$5:$A$2979,0)),0)</f>
        <v>14.8</v>
      </c>
      <c r="N1209" s="41" t="n">
        <f aca="false">L1209+M1209</f>
        <v>98.8</v>
      </c>
      <c r="O1209" s="41" t="n">
        <f aca="false">K1209-N1209</f>
        <v>91.64</v>
      </c>
      <c r="P1209" s="43" t="n">
        <f aca="false">IF(K1209=0,0,O1209/K1209)</f>
        <v>0.481201428271372</v>
      </c>
    </row>
    <row r="1210" customFormat="false" ht="15" hidden="false" customHeight="false" outlineLevel="0" collapsed="false">
      <c r="A1210" s="39" t="s">
        <v>1332</v>
      </c>
      <c r="B1210" s="40" t="n">
        <v>45830</v>
      </c>
      <c r="C1210" s="39" t="s">
        <v>112</v>
      </c>
      <c r="D1210" s="39" t="n">
        <v>1</v>
      </c>
      <c r="E1210" s="41" t="n">
        <v>52.97</v>
      </c>
      <c r="F1210" s="39" t="s">
        <v>105</v>
      </c>
      <c r="G1210" s="39" t="str">
        <f aca="false">VLOOKUP(C1210,Products!$A$5:$D$24,2,FALSE())</f>
        <v>HD Webcam</v>
      </c>
      <c r="H1210" s="39" t="str">
        <f aca="false">VLOOKUP(C1210,Products!$A$5:$D$24,3,FALSE())</f>
        <v>Electronics</v>
      </c>
      <c r="I1210" s="41" t="n">
        <f aca="false">VLOOKUP(C1210,Products!$A$5:$D$24,4,FALSE())</f>
        <v>22</v>
      </c>
      <c r="J1210" s="42" t="n">
        <f aca="false">DATE(YEAR(B1210),MONTH(B1210),1)</f>
        <v>45809</v>
      </c>
      <c r="K1210" s="41" t="n">
        <f aca="false">D1210*E1210</f>
        <v>52.97</v>
      </c>
      <c r="L1210" s="41" t="n">
        <f aca="false">D1210*I1210</f>
        <v>22</v>
      </c>
      <c r="M1210" s="41" t="n">
        <f aca="false">IFERROR(INDEX(Raw_Expenses!$C$5:$C$2979,MATCH(A1210,Raw_Expenses!$A$5:$A$2979,0)),0)</f>
        <v>3.09</v>
      </c>
      <c r="N1210" s="41" t="n">
        <f aca="false">L1210+M1210</f>
        <v>25.09</v>
      </c>
      <c r="O1210" s="41" t="n">
        <f aca="false">K1210-N1210</f>
        <v>27.88</v>
      </c>
      <c r="P1210" s="43" t="n">
        <f aca="false">IF(K1210=0,0,O1210/K1210)</f>
        <v>0.526335661695299</v>
      </c>
    </row>
    <row r="1211" customFormat="false" ht="15" hidden="false" customHeight="false" outlineLevel="0" collapsed="false">
      <c r="A1211" s="39" t="s">
        <v>1333</v>
      </c>
      <c r="B1211" s="40" t="n">
        <v>45830</v>
      </c>
      <c r="C1211" s="39" t="s">
        <v>144</v>
      </c>
      <c r="D1211" s="39" t="n">
        <v>2</v>
      </c>
      <c r="E1211" s="41" t="n">
        <v>57.32</v>
      </c>
      <c r="F1211" s="39" t="s">
        <v>108</v>
      </c>
      <c r="G1211" s="39" t="str">
        <f aca="false">VLOOKUP(C1211,Products!$A$5:$D$24,2,FALSE())</f>
        <v>Whiteboard</v>
      </c>
      <c r="H1211" s="39" t="str">
        <f aca="false">VLOOKUP(C1211,Products!$A$5:$D$24,3,FALSE())</f>
        <v>Furniture</v>
      </c>
      <c r="I1211" s="41" t="n">
        <f aca="false">VLOOKUP(C1211,Products!$A$5:$D$24,4,FALSE())</f>
        <v>28</v>
      </c>
      <c r="J1211" s="42" t="n">
        <f aca="false">DATE(YEAR(B1211),MONTH(B1211),1)</f>
        <v>45809</v>
      </c>
      <c r="K1211" s="41" t="n">
        <f aca="false">D1211*E1211</f>
        <v>114.64</v>
      </c>
      <c r="L1211" s="41" t="n">
        <f aca="false">D1211*I1211</f>
        <v>56</v>
      </c>
      <c r="M1211" s="41" t="n">
        <f aca="false">IFERROR(INDEX(Raw_Expenses!$C$5:$C$2979,MATCH(A1211,Raw_Expenses!$A$5:$A$2979,0)),0)</f>
        <v>5.83</v>
      </c>
      <c r="N1211" s="41" t="n">
        <f aca="false">L1211+M1211</f>
        <v>61.83</v>
      </c>
      <c r="O1211" s="41" t="n">
        <f aca="false">K1211-N1211</f>
        <v>52.81</v>
      </c>
      <c r="P1211" s="43" t="n">
        <f aca="false">IF(K1211=0,0,O1211/K1211)</f>
        <v>0.460659455687369</v>
      </c>
    </row>
    <row r="1212" customFormat="false" ht="15" hidden="false" customHeight="false" outlineLevel="0" collapsed="false">
      <c r="A1212" s="39" t="s">
        <v>1334</v>
      </c>
      <c r="B1212" s="40" t="n">
        <v>45830</v>
      </c>
      <c r="C1212" s="39" t="s">
        <v>305</v>
      </c>
      <c r="D1212" s="39" t="n">
        <v>2</v>
      </c>
      <c r="E1212" s="41" t="n">
        <v>338.76</v>
      </c>
      <c r="F1212" s="39" t="s">
        <v>115</v>
      </c>
      <c r="G1212" s="39" t="str">
        <f aca="false">VLOOKUP(C1212,Products!$A$5:$D$24,2,FALSE())</f>
        <v>Standing Desk</v>
      </c>
      <c r="H1212" s="39" t="str">
        <f aca="false">VLOOKUP(C1212,Products!$A$5:$D$24,3,FALSE())</f>
        <v>Furniture</v>
      </c>
      <c r="I1212" s="41" t="n">
        <f aca="false">VLOOKUP(C1212,Products!$A$5:$D$24,4,FALSE())</f>
        <v>160</v>
      </c>
      <c r="J1212" s="42" t="n">
        <f aca="false">DATE(YEAR(B1212),MONTH(B1212),1)</f>
        <v>45809</v>
      </c>
      <c r="K1212" s="41" t="n">
        <f aca="false">D1212*E1212</f>
        <v>677.52</v>
      </c>
      <c r="L1212" s="41" t="n">
        <f aca="false">D1212*I1212</f>
        <v>320</v>
      </c>
      <c r="M1212" s="41" t="n">
        <f aca="false">IFERROR(INDEX(Raw_Expenses!$C$5:$C$2979,MATCH(A1212,Raw_Expenses!$A$5:$A$2979,0)),0)</f>
        <v>38.33</v>
      </c>
      <c r="N1212" s="41" t="n">
        <f aca="false">L1212+M1212</f>
        <v>358.33</v>
      </c>
      <c r="O1212" s="41" t="n">
        <f aca="false">K1212-N1212</f>
        <v>319.19</v>
      </c>
      <c r="P1212" s="43" t="n">
        <f aca="false">IF(K1212=0,0,O1212/K1212)</f>
        <v>0.47111524383044</v>
      </c>
    </row>
    <row r="1213" customFormat="false" ht="15" hidden="false" customHeight="false" outlineLevel="0" collapsed="false">
      <c r="A1213" s="39" t="s">
        <v>1335</v>
      </c>
      <c r="B1213" s="40" t="n">
        <v>45830</v>
      </c>
      <c r="C1213" s="39" t="s">
        <v>130</v>
      </c>
      <c r="D1213" s="39" t="n">
        <v>1</v>
      </c>
      <c r="E1213" s="41" t="n">
        <v>8.62</v>
      </c>
      <c r="F1213" s="39" t="s">
        <v>118</v>
      </c>
      <c r="G1213" s="39" t="str">
        <f aca="false">VLOOKUP(C1213,Products!$A$5:$D$24,2,FALSE())</f>
        <v>Notebook Set</v>
      </c>
      <c r="H1213" s="39" t="str">
        <f aca="false">VLOOKUP(C1213,Products!$A$5:$D$24,3,FALSE())</f>
        <v>Stationery</v>
      </c>
      <c r="I1213" s="41" t="n">
        <f aca="false">VLOOKUP(C1213,Products!$A$5:$D$24,4,FALSE())</f>
        <v>3</v>
      </c>
      <c r="J1213" s="42" t="n">
        <f aca="false">DATE(YEAR(B1213),MONTH(B1213),1)</f>
        <v>45809</v>
      </c>
      <c r="K1213" s="41" t="n">
        <f aca="false">D1213*E1213</f>
        <v>8.62</v>
      </c>
      <c r="L1213" s="41" t="n">
        <f aca="false">D1213*I1213</f>
        <v>3</v>
      </c>
      <c r="M1213" s="41" t="n">
        <f aca="false">IFERROR(INDEX(Raw_Expenses!$C$5:$C$2979,MATCH(A1213,Raw_Expenses!$A$5:$A$2979,0)),0)</f>
        <v>0.39</v>
      </c>
      <c r="N1213" s="41" t="n">
        <f aca="false">L1213+M1213</f>
        <v>3.39</v>
      </c>
      <c r="O1213" s="41" t="n">
        <f aca="false">K1213-N1213</f>
        <v>5.23</v>
      </c>
      <c r="P1213" s="43" t="n">
        <f aca="false">IF(K1213=0,0,O1213/K1213)</f>
        <v>0.606728538283063</v>
      </c>
    </row>
    <row r="1214" customFormat="false" ht="15" hidden="false" customHeight="false" outlineLevel="0" collapsed="false">
      <c r="A1214" s="39" t="s">
        <v>1336</v>
      </c>
      <c r="B1214" s="40" t="n">
        <v>45831</v>
      </c>
      <c r="C1214" s="39" t="s">
        <v>107</v>
      </c>
      <c r="D1214" s="39" t="n">
        <v>1</v>
      </c>
      <c r="E1214" s="41" t="n">
        <v>34.62</v>
      </c>
      <c r="F1214" s="39" t="s">
        <v>108</v>
      </c>
      <c r="G1214" s="39" t="str">
        <f aca="false">VLOOKUP(C1214,Products!$A$5:$D$24,2,FALSE())</f>
        <v>USB-C Hub</v>
      </c>
      <c r="H1214" s="39" t="str">
        <f aca="false">VLOOKUP(C1214,Products!$A$5:$D$24,3,FALSE())</f>
        <v>Electronics</v>
      </c>
      <c r="I1214" s="41" t="n">
        <f aca="false">VLOOKUP(C1214,Products!$A$5:$D$24,4,FALSE())</f>
        <v>14</v>
      </c>
      <c r="J1214" s="42" t="n">
        <f aca="false">DATE(YEAR(B1214),MONTH(B1214),1)</f>
        <v>45809</v>
      </c>
      <c r="K1214" s="41" t="n">
        <f aca="false">D1214*E1214</f>
        <v>34.62</v>
      </c>
      <c r="L1214" s="41" t="n">
        <f aca="false">D1214*I1214</f>
        <v>14</v>
      </c>
      <c r="M1214" s="41" t="n">
        <f aca="false">IFERROR(INDEX(Raw_Expenses!$C$5:$C$2979,MATCH(A1214,Raw_Expenses!$A$5:$A$2979,0)),0)</f>
        <v>2.35</v>
      </c>
      <c r="N1214" s="41" t="n">
        <f aca="false">L1214+M1214</f>
        <v>16.35</v>
      </c>
      <c r="O1214" s="41" t="n">
        <f aca="false">K1214-N1214</f>
        <v>18.27</v>
      </c>
      <c r="P1214" s="43" t="n">
        <f aca="false">IF(K1214=0,0,O1214/K1214)</f>
        <v>0.527729636048527</v>
      </c>
    </row>
    <row r="1215" customFormat="false" ht="15" hidden="false" customHeight="false" outlineLevel="0" collapsed="false">
      <c r="A1215" s="39" t="s">
        <v>1337</v>
      </c>
      <c r="B1215" s="40" t="n">
        <v>45831</v>
      </c>
      <c r="C1215" s="39" t="s">
        <v>110</v>
      </c>
      <c r="D1215" s="39" t="n">
        <v>8</v>
      </c>
      <c r="E1215" s="41" t="n">
        <v>13.14</v>
      </c>
      <c r="F1215" s="39" t="s">
        <v>118</v>
      </c>
      <c r="G1215" s="39" t="str">
        <f aca="false">VLOOKUP(C1215,Products!$A$5:$D$24,2,FALSE())</f>
        <v>Phone Stand</v>
      </c>
      <c r="H1215" s="39" t="str">
        <f aca="false">VLOOKUP(C1215,Products!$A$5:$D$24,3,FALSE())</f>
        <v>Accessories</v>
      </c>
      <c r="I1215" s="41" t="n">
        <f aca="false">VLOOKUP(C1215,Products!$A$5:$D$24,4,FALSE())</f>
        <v>4</v>
      </c>
      <c r="J1215" s="42" t="n">
        <f aca="false">DATE(YEAR(B1215),MONTH(B1215),1)</f>
        <v>45809</v>
      </c>
      <c r="K1215" s="41" t="n">
        <f aca="false">D1215*E1215</f>
        <v>105.12</v>
      </c>
      <c r="L1215" s="41" t="n">
        <f aca="false">D1215*I1215</f>
        <v>32</v>
      </c>
      <c r="M1215" s="41" t="n">
        <f aca="false">IFERROR(INDEX(Raw_Expenses!$C$5:$C$2979,MATCH(A1215,Raw_Expenses!$A$5:$A$2979,0)),0)</f>
        <v>8.64</v>
      </c>
      <c r="N1215" s="41" t="n">
        <f aca="false">L1215+M1215</f>
        <v>40.64</v>
      </c>
      <c r="O1215" s="41" t="n">
        <f aca="false">K1215-N1215</f>
        <v>64.48</v>
      </c>
      <c r="P1215" s="43" t="n">
        <f aca="false">IF(K1215=0,0,O1215/K1215)</f>
        <v>0.613394216133942</v>
      </c>
    </row>
    <row r="1216" customFormat="false" ht="15" hidden="false" customHeight="false" outlineLevel="0" collapsed="false">
      <c r="A1216" s="39" t="s">
        <v>1338</v>
      </c>
      <c r="B1216" s="40" t="n">
        <v>45831</v>
      </c>
      <c r="C1216" s="39" t="s">
        <v>126</v>
      </c>
      <c r="D1216" s="39" t="n">
        <v>4</v>
      </c>
      <c r="E1216" s="41" t="n">
        <v>23.63</v>
      </c>
      <c r="F1216" s="39" t="s">
        <v>118</v>
      </c>
      <c r="G1216" s="39" t="str">
        <f aca="false">VLOOKUP(C1216,Products!$A$5:$D$24,2,FALSE())</f>
        <v>Wireless Mouse</v>
      </c>
      <c r="H1216" s="39" t="str">
        <f aca="false">VLOOKUP(C1216,Products!$A$5:$D$24,3,FALSE())</f>
        <v>Electronics</v>
      </c>
      <c r="I1216" s="41" t="n">
        <f aca="false">VLOOKUP(C1216,Products!$A$5:$D$24,4,FALSE())</f>
        <v>12</v>
      </c>
      <c r="J1216" s="42" t="n">
        <f aca="false">DATE(YEAR(B1216),MONTH(B1216),1)</f>
        <v>45809</v>
      </c>
      <c r="K1216" s="41" t="n">
        <f aca="false">D1216*E1216</f>
        <v>94.52</v>
      </c>
      <c r="L1216" s="41" t="n">
        <f aca="false">D1216*I1216</f>
        <v>48</v>
      </c>
      <c r="M1216" s="41" t="n">
        <f aca="false">IFERROR(INDEX(Raw_Expenses!$C$5:$C$2979,MATCH(A1216,Raw_Expenses!$A$5:$A$2979,0)),0)</f>
        <v>5.92</v>
      </c>
      <c r="N1216" s="41" t="n">
        <f aca="false">L1216+M1216</f>
        <v>53.92</v>
      </c>
      <c r="O1216" s="41" t="n">
        <f aca="false">K1216-N1216</f>
        <v>40.6</v>
      </c>
      <c r="P1216" s="43" t="n">
        <f aca="false">IF(K1216=0,0,O1216/K1216)</f>
        <v>0.429538721963606</v>
      </c>
    </row>
    <row r="1217" customFormat="false" ht="15" hidden="false" customHeight="false" outlineLevel="0" collapsed="false">
      <c r="A1217" s="39" t="s">
        <v>1339</v>
      </c>
      <c r="B1217" s="40" t="n">
        <v>45831</v>
      </c>
      <c r="C1217" s="39" t="s">
        <v>104</v>
      </c>
      <c r="D1217" s="39" t="n">
        <v>2</v>
      </c>
      <c r="E1217" s="41" t="n">
        <v>14.93</v>
      </c>
      <c r="F1217" s="39" t="s">
        <v>105</v>
      </c>
      <c r="G1217" s="39" t="str">
        <f aca="false">VLOOKUP(C1217,Products!$A$5:$D$24,2,FALSE())</f>
        <v>Water Bottle</v>
      </c>
      <c r="H1217" s="39" t="str">
        <f aca="false">VLOOKUP(C1217,Products!$A$5:$D$24,3,FALSE())</f>
        <v>Accessories</v>
      </c>
      <c r="I1217" s="41" t="n">
        <f aca="false">VLOOKUP(C1217,Products!$A$5:$D$24,4,FALSE())</f>
        <v>5</v>
      </c>
      <c r="J1217" s="42" t="n">
        <f aca="false">DATE(YEAR(B1217),MONTH(B1217),1)</f>
        <v>45809</v>
      </c>
      <c r="K1217" s="41" t="n">
        <f aca="false">D1217*E1217</f>
        <v>29.86</v>
      </c>
      <c r="L1217" s="41" t="n">
        <f aca="false">D1217*I1217</f>
        <v>10</v>
      </c>
      <c r="M1217" s="41" t="n">
        <f aca="false">IFERROR(INDEX(Raw_Expenses!$C$5:$C$2979,MATCH(A1217,Raw_Expenses!$A$5:$A$2979,0)),0)</f>
        <v>2.53</v>
      </c>
      <c r="N1217" s="41" t="n">
        <f aca="false">L1217+M1217</f>
        <v>12.53</v>
      </c>
      <c r="O1217" s="41" t="n">
        <f aca="false">K1217-N1217</f>
        <v>17.33</v>
      </c>
      <c r="P1217" s="43" t="n">
        <f aca="false">IF(K1217=0,0,O1217/K1217)</f>
        <v>0.580375083724045</v>
      </c>
    </row>
    <row r="1218" customFormat="false" ht="15" hidden="false" customHeight="false" outlineLevel="0" collapsed="false">
      <c r="A1218" s="39" t="s">
        <v>1340</v>
      </c>
      <c r="B1218" s="40" t="n">
        <v>45831</v>
      </c>
      <c r="C1218" s="39" t="s">
        <v>117</v>
      </c>
      <c r="D1218" s="39" t="n">
        <v>2</v>
      </c>
      <c r="E1218" s="41" t="n">
        <v>30.63</v>
      </c>
      <c r="F1218" s="39" t="s">
        <v>105</v>
      </c>
      <c r="G1218" s="39" t="str">
        <f aca="false">VLOOKUP(C1218,Products!$A$5:$D$24,2,FALSE())</f>
        <v>Desk Lamp</v>
      </c>
      <c r="H1218" s="39" t="str">
        <f aca="false">VLOOKUP(C1218,Products!$A$5:$D$24,3,FALSE())</f>
        <v>Furniture</v>
      </c>
      <c r="I1218" s="41" t="n">
        <f aca="false">VLOOKUP(C1218,Products!$A$5:$D$24,4,FALSE())</f>
        <v>13</v>
      </c>
      <c r="J1218" s="42" t="n">
        <f aca="false">DATE(YEAR(B1218),MONTH(B1218),1)</f>
        <v>45809</v>
      </c>
      <c r="K1218" s="41" t="n">
        <f aca="false">D1218*E1218</f>
        <v>61.26</v>
      </c>
      <c r="L1218" s="41" t="n">
        <f aca="false">D1218*I1218</f>
        <v>26</v>
      </c>
      <c r="M1218" s="41" t="n">
        <f aca="false">IFERROR(INDEX(Raw_Expenses!$C$5:$C$2979,MATCH(A1218,Raw_Expenses!$A$5:$A$2979,0)),0)</f>
        <v>3.04</v>
      </c>
      <c r="N1218" s="41" t="n">
        <f aca="false">L1218+M1218</f>
        <v>29.04</v>
      </c>
      <c r="O1218" s="41" t="n">
        <f aca="false">K1218-N1218</f>
        <v>32.22</v>
      </c>
      <c r="P1218" s="43" t="n">
        <f aca="false">IF(K1218=0,0,O1218/K1218)</f>
        <v>0.525954946131244</v>
      </c>
    </row>
    <row r="1219" customFormat="false" ht="15" hidden="false" customHeight="false" outlineLevel="0" collapsed="false">
      <c r="A1219" s="39" t="s">
        <v>1341</v>
      </c>
      <c r="B1219" s="40" t="n">
        <v>45832</v>
      </c>
      <c r="C1219" s="39" t="s">
        <v>133</v>
      </c>
      <c r="D1219" s="39" t="n">
        <v>1</v>
      </c>
      <c r="E1219" s="41" t="n">
        <v>8.54</v>
      </c>
      <c r="F1219" s="39" t="s">
        <v>108</v>
      </c>
      <c r="G1219" s="39" t="str">
        <f aca="false">VLOOKUP(C1219,Products!$A$5:$D$24,2,FALSE())</f>
        <v>Printer Paper Ream</v>
      </c>
      <c r="H1219" s="39" t="str">
        <f aca="false">VLOOKUP(C1219,Products!$A$5:$D$24,3,FALSE())</f>
        <v>Stationery</v>
      </c>
      <c r="I1219" s="41" t="n">
        <f aca="false">VLOOKUP(C1219,Products!$A$5:$D$24,4,FALSE())</f>
        <v>4</v>
      </c>
      <c r="J1219" s="42" t="n">
        <f aca="false">DATE(YEAR(B1219),MONTH(B1219),1)</f>
        <v>45809</v>
      </c>
      <c r="K1219" s="41" t="n">
        <f aca="false">D1219*E1219</f>
        <v>8.54</v>
      </c>
      <c r="L1219" s="41" t="n">
        <f aca="false">D1219*I1219</f>
        <v>4</v>
      </c>
      <c r="M1219" s="41" t="n">
        <f aca="false">IFERROR(INDEX(Raw_Expenses!$C$5:$C$2979,MATCH(A1219,Raw_Expenses!$A$5:$A$2979,0)),0)</f>
        <v>0.59</v>
      </c>
      <c r="N1219" s="41" t="n">
        <f aca="false">L1219+M1219</f>
        <v>4.59</v>
      </c>
      <c r="O1219" s="41" t="n">
        <f aca="false">K1219-N1219</f>
        <v>3.95</v>
      </c>
      <c r="P1219" s="43" t="n">
        <f aca="false">IF(K1219=0,0,O1219/K1219)</f>
        <v>0.462529274004684</v>
      </c>
    </row>
    <row r="1220" customFormat="false" ht="15" hidden="false" customHeight="false" outlineLevel="0" collapsed="false">
      <c r="A1220" s="39" t="s">
        <v>1342</v>
      </c>
      <c r="B1220" s="40" t="n">
        <v>45832</v>
      </c>
      <c r="C1220" s="39" t="s">
        <v>136</v>
      </c>
      <c r="D1220" s="39" t="n">
        <v>2</v>
      </c>
      <c r="E1220" s="41" t="n">
        <v>73.03</v>
      </c>
      <c r="F1220" s="39" t="s">
        <v>115</v>
      </c>
      <c r="G1220" s="39" t="str">
        <f aca="false">VLOOKUP(C1220,Products!$A$5:$D$24,2,FALSE())</f>
        <v>Mechanical Keyboard</v>
      </c>
      <c r="H1220" s="39" t="str">
        <f aca="false">VLOOKUP(C1220,Products!$A$5:$D$24,3,FALSE())</f>
        <v>Electronics</v>
      </c>
      <c r="I1220" s="41" t="n">
        <f aca="false">VLOOKUP(C1220,Products!$A$5:$D$24,4,FALSE())</f>
        <v>38</v>
      </c>
      <c r="J1220" s="42" t="n">
        <f aca="false">DATE(YEAR(B1220),MONTH(B1220),1)</f>
        <v>45809</v>
      </c>
      <c r="K1220" s="41" t="n">
        <f aca="false">D1220*E1220</f>
        <v>146.06</v>
      </c>
      <c r="L1220" s="41" t="n">
        <f aca="false">D1220*I1220</f>
        <v>76</v>
      </c>
      <c r="M1220" s="41" t="n">
        <f aca="false">IFERROR(INDEX(Raw_Expenses!$C$5:$C$2979,MATCH(A1220,Raw_Expenses!$A$5:$A$2979,0)),0)</f>
        <v>10.48</v>
      </c>
      <c r="N1220" s="41" t="n">
        <f aca="false">L1220+M1220</f>
        <v>86.48</v>
      </c>
      <c r="O1220" s="41" t="n">
        <f aca="false">K1220-N1220</f>
        <v>59.58</v>
      </c>
      <c r="P1220" s="43" t="n">
        <f aca="false">IF(K1220=0,0,O1220/K1220)</f>
        <v>0.407914555662057</v>
      </c>
    </row>
    <row r="1221" customFormat="false" ht="15" hidden="false" customHeight="false" outlineLevel="0" collapsed="false">
      <c r="A1221" s="39" t="s">
        <v>1343</v>
      </c>
      <c r="B1221" s="40" t="n">
        <v>45832</v>
      </c>
      <c r="C1221" s="39" t="s">
        <v>126</v>
      </c>
      <c r="D1221" s="39" t="n">
        <v>5</v>
      </c>
      <c r="E1221" s="41" t="n">
        <v>24.07</v>
      </c>
      <c r="F1221" s="39" t="s">
        <v>105</v>
      </c>
      <c r="G1221" s="39" t="str">
        <f aca="false">VLOOKUP(C1221,Products!$A$5:$D$24,2,FALSE())</f>
        <v>Wireless Mouse</v>
      </c>
      <c r="H1221" s="39" t="str">
        <f aca="false">VLOOKUP(C1221,Products!$A$5:$D$24,3,FALSE())</f>
        <v>Electronics</v>
      </c>
      <c r="I1221" s="41" t="n">
        <f aca="false">VLOOKUP(C1221,Products!$A$5:$D$24,4,FALSE())</f>
        <v>12</v>
      </c>
      <c r="J1221" s="42" t="n">
        <f aca="false">DATE(YEAR(B1221),MONTH(B1221),1)</f>
        <v>45809</v>
      </c>
      <c r="K1221" s="41" t="n">
        <f aca="false">D1221*E1221</f>
        <v>120.35</v>
      </c>
      <c r="L1221" s="41" t="n">
        <f aca="false">D1221*I1221</f>
        <v>60</v>
      </c>
      <c r="M1221" s="41" t="n">
        <f aca="false">IFERROR(INDEX(Raw_Expenses!$C$5:$C$2979,MATCH(A1221,Raw_Expenses!$A$5:$A$2979,0)),0)</f>
        <v>5.22</v>
      </c>
      <c r="N1221" s="41" t="n">
        <f aca="false">L1221+M1221</f>
        <v>65.22</v>
      </c>
      <c r="O1221" s="41" t="n">
        <f aca="false">K1221-N1221</f>
        <v>55.13</v>
      </c>
      <c r="P1221" s="43" t="n">
        <f aca="false">IF(K1221=0,0,O1221/K1221)</f>
        <v>0.458080598255089</v>
      </c>
    </row>
    <row r="1222" customFormat="false" ht="15" hidden="false" customHeight="false" outlineLevel="0" collapsed="false">
      <c r="A1222" s="39" t="s">
        <v>1344</v>
      </c>
      <c r="B1222" s="40" t="n">
        <v>45832</v>
      </c>
      <c r="C1222" s="39" t="s">
        <v>183</v>
      </c>
      <c r="D1222" s="39" t="n">
        <v>2</v>
      </c>
      <c r="E1222" s="41" t="n">
        <v>186.12</v>
      </c>
      <c r="F1222" s="39" t="s">
        <v>105</v>
      </c>
      <c r="G1222" s="39" t="str">
        <f aca="false">VLOOKUP(C1222,Products!$A$5:$D$24,2,FALSE())</f>
        <v>Office Chair</v>
      </c>
      <c r="H1222" s="39" t="str">
        <f aca="false">VLOOKUP(C1222,Products!$A$5:$D$24,3,FALSE())</f>
        <v>Furniture</v>
      </c>
      <c r="I1222" s="41" t="n">
        <f aca="false">VLOOKUP(C1222,Products!$A$5:$D$24,4,FALSE())</f>
        <v>85</v>
      </c>
      <c r="J1222" s="42" t="n">
        <f aca="false">DATE(YEAR(B1222),MONTH(B1222),1)</f>
        <v>45809</v>
      </c>
      <c r="K1222" s="41" t="n">
        <f aca="false">D1222*E1222</f>
        <v>372.24</v>
      </c>
      <c r="L1222" s="41" t="n">
        <f aca="false">D1222*I1222</f>
        <v>170</v>
      </c>
      <c r="M1222" s="41" t="n">
        <f aca="false">IFERROR(INDEX(Raw_Expenses!$C$5:$C$2979,MATCH(A1222,Raw_Expenses!$A$5:$A$2979,0)),0)</f>
        <v>27.9</v>
      </c>
      <c r="N1222" s="41" t="n">
        <f aca="false">L1222+M1222</f>
        <v>197.9</v>
      </c>
      <c r="O1222" s="41" t="n">
        <f aca="false">K1222-N1222</f>
        <v>174.34</v>
      </c>
      <c r="P1222" s="43" t="n">
        <f aca="false">IF(K1222=0,0,O1222/K1222)</f>
        <v>0.468353750268644</v>
      </c>
    </row>
    <row r="1223" customFormat="false" ht="15" hidden="false" customHeight="false" outlineLevel="0" collapsed="false">
      <c r="A1223" s="39" t="s">
        <v>1345</v>
      </c>
      <c r="B1223" s="40" t="n">
        <v>45832</v>
      </c>
      <c r="C1223" s="39" t="s">
        <v>177</v>
      </c>
      <c r="D1223" s="39" t="n">
        <v>2</v>
      </c>
      <c r="E1223" s="41" t="n">
        <v>43.87</v>
      </c>
      <c r="F1223" s="39" t="s">
        <v>108</v>
      </c>
      <c r="G1223" s="39" t="str">
        <f aca="false">VLOOKUP(C1223,Products!$A$5:$D$24,2,FALSE())</f>
        <v>Backpack</v>
      </c>
      <c r="H1223" s="39" t="str">
        <f aca="false">VLOOKUP(C1223,Products!$A$5:$D$24,3,FALSE())</f>
        <v>Accessories</v>
      </c>
      <c r="I1223" s="41" t="n">
        <f aca="false">VLOOKUP(C1223,Products!$A$5:$D$24,4,FALSE())</f>
        <v>17</v>
      </c>
      <c r="J1223" s="42" t="n">
        <f aca="false">DATE(YEAR(B1223),MONTH(B1223),1)</f>
        <v>45809</v>
      </c>
      <c r="K1223" s="41" t="n">
        <f aca="false">D1223*E1223</f>
        <v>87.74</v>
      </c>
      <c r="L1223" s="41" t="n">
        <f aca="false">D1223*I1223</f>
        <v>34</v>
      </c>
      <c r="M1223" s="41" t="n">
        <f aca="false">IFERROR(INDEX(Raw_Expenses!$C$5:$C$2979,MATCH(A1223,Raw_Expenses!$A$5:$A$2979,0)),0)</f>
        <v>5.23</v>
      </c>
      <c r="N1223" s="41" t="n">
        <f aca="false">L1223+M1223</f>
        <v>39.23</v>
      </c>
      <c r="O1223" s="41" t="n">
        <f aca="false">K1223-N1223</f>
        <v>48.51</v>
      </c>
      <c r="P1223" s="43" t="n">
        <f aca="false">IF(K1223=0,0,O1223/K1223)</f>
        <v>0.5528835194894</v>
      </c>
    </row>
    <row r="1224" customFormat="false" ht="15" hidden="false" customHeight="false" outlineLevel="0" collapsed="false">
      <c r="A1224" s="39" t="s">
        <v>1346</v>
      </c>
      <c r="B1224" s="40" t="n">
        <v>45832</v>
      </c>
      <c r="C1224" s="39" t="s">
        <v>121</v>
      </c>
      <c r="D1224" s="39" t="n">
        <v>2</v>
      </c>
      <c r="E1224" s="41" t="n">
        <v>115.71</v>
      </c>
      <c r="F1224" s="39" t="s">
        <v>108</v>
      </c>
      <c r="G1224" s="39" t="str">
        <f aca="false">VLOOKUP(C1224,Products!$A$5:$D$24,2,FALSE())</f>
        <v>External SSD 1TB</v>
      </c>
      <c r="H1224" s="39" t="str">
        <f aca="false">VLOOKUP(C1224,Products!$A$5:$D$24,3,FALSE())</f>
        <v>Electronics</v>
      </c>
      <c r="I1224" s="41" t="n">
        <f aca="false">VLOOKUP(C1224,Products!$A$5:$D$24,4,FALSE())</f>
        <v>62</v>
      </c>
      <c r="J1224" s="42" t="n">
        <f aca="false">DATE(YEAR(B1224),MONTH(B1224),1)</f>
        <v>45809</v>
      </c>
      <c r="K1224" s="41" t="n">
        <f aca="false">D1224*E1224</f>
        <v>231.42</v>
      </c>
      <c r="L1224" s="41" t="n">
        <f aca="false">D1224*I1224</f>
        <v>124</v>
      </c>
      <c r="M1224" s="41" t="n">
        <f aca="false">IFERROR(INDEX(Raw_Expenses!$C$5:$C$2979,MATCH(A1224,Raw_Expenses!$A$5:$A$2979,0)),0)</f>
        <v>19.87</v>
      </c>
      <c r="N1224" s="41" t="n">
        <f aca="false">L1224+M1224</f>
        <v>143.87</v>
      </c>
      <c r="O1224" s="41" t="n">
        <f aca="false">K1224-N1224</f>
        <v>87.55</v>
      </c>
      <c r="P1224" s="43" t="n">
        <f aca="false">IF(K1224=0,0,O1224/K1224)</f>
        <v>0.378316480857316</v>
      </c>
    </row>
    <row r="1225" customFormat="false" ht="15" hidden="false" customHeight="false" outlineLevel="0" collapsed="false">
      <c r="A1225" s="39" t="s">
        <v>1347</v>
      </c>
      <c r="B1225" s="40" t="n">
        <v>45832</v>
      </c>
      <c r="C1225" s="39" t="s">
        <v>110</v>
      </c>
      <c r="D1225" s="39" t="n">
        <v>3</v>
      </c>
      <c r="E1225" s="41" t="n">
        <v>13.48</v>
      </c>
      <c r="F1225" s="39" t="s">
        <v>108</v>
      </c>
      <c r="G1225" s="39" t="str">
        <f aca="false">VLOOKUP(C1225,Products!$A$5:$D$24,2,FALSE())</f>
        <v>Phone Stand</v>
      </c>
      <c r="H1225" s="39" t="str">
        <f aca="false">VLOOKUP(C1225,Products!$A$5:$D$24,3,FALSE())</f>
        <v>Accessories</v>
      </c>
      <c r="I1225" s="41" t="n">
        <f aca="false">VLOOKUP(C1225,Products!$A$5:$D$24,4,FALSE())</f>
        <v>4</v>
      </c>
      <c r="J1225" s="42" t="n">
        <f aca="false">DATE(YEAR(B1225),MONTH(B1225),1)</f>
        <v>45809</v>
      </c>
      <c r="K1225" s="41" t="n">
        <f aca="false">D1225*E1225</f>
        <v>40.44</v>
      </c>
      <c r="L1225" s="41" t="n">
        <f aca="false">D1225*I1225</f>
        <v>12</v>
      </c>
      <c r="M1225" s="41" t="n">
        <f aca="false">IFERROR(INDEX(Raw_Expenses!$C$5:$C$2979,MATCH(A1225,Raw_Expenses!$A$5:$A$2979,0)),0)</f>
        <v>2.9</v>
      </c>
      <c r="N1225" s="41" t="n">
        <f aca="false">L1225+M1225</f>
        <v>14.9</v>
      </c>
      <c r="O1225" s="41" t="n">
        <f aca="false">K1225-N1225</f>
        <v>25.54</v>
      </c>
      <c r="P1225" s="43" t="n">
        <f aca="false">IF(K1225=0,0,O1225/K1225)</f>
        <v>0.631552917903066</v>
      </c>
    </row>
    <row r="1226" customFormat="false" ht="15" hidden="false" customHeight="false" outlineLevel="0" collapsed="false">
      <c r="A1226" s="39" t="s">
        <v>1348</v>
      </c>
      <c r="B1226" s="40" t="n">
        <v>45832</v>
      </c>
      <c r="C1226" s="39" t="s">
        <v>139</v>
      </c>
      <c r="D1226" s="39" t="n">
        <v>1</v>
      </c>
      <c r="E1226" s="41" t="n">
        <v>122.24</v>
      </c>
      <c r="F1226" s="39" t="s">
        <v>108</v>
      </c>
      <c r="G1226" s="39" t="str">
        <f aca="false">VLOOKUP(C1226,Products!$A$5:$D$24,2,FALSE())</f>
        <v>Noise-Cancelling Headphones</v>
      </c>
      <c r="H1226" s="39" t="str">
        <f aca="false">VLOOKUP(C1226,Products!$A$5:$D$24,3,FALSE())</f>
        <v>Electronics</v>
      </c>
      <c r="I1226" s="41" t="n">
        <f aca="false">VLOOKUP(C1226,Products!$A$5:$D$24,4,FALSE())</f>
        <v>55</v>
      </c>
      <c r="J1226" s="42" t="n">
        <f aca="false">DATE(YEAR(B1226),MONTH(B1226),1)</f>
        <v>45809</v>
      </c>
      <c r="K1226" s="41" t="n">
        <f aca="false">D1226*E1226</f>
        <v>122.24</v>
      </c>
      <c r="L1226" s="41" t="n">
        <f aca="false">D1226*I1226</f>
        <v>55</v>
      </c>
      <c r="M1226" s="41" t="n">
        <f aca="false">IFERROR(INDEX(Raw_Expenses!$C$5:$C$2979,MATCH(A1226,Raw_Expenses!$A$5:$A$2979,0)),0)</f>
        <v>9.95</v>
      </c>
      <c r="N1226" s="41" t="n">
        <f aca="false">L1226+M1226</f>
        <v>64.95</v>
      </c>
      <c r="O1226" s="41" t="n">
        <f aca="false">K1226-N1226</f>
        <v>57.29</v>
      </c>
      <c r="P1226" s="43" t="n">
        <f aca="false">IF(K1226=0,0,O1226/K1226)</f>
        <v>0.468668193717277</v>
      </c>
    </row>
    <row r="1227" customFormat="false" ht="15" hidden="false" customHeight="false" outlineLevel="0" collapsed="false">
      <c r="A1227" s="39" t="s">
        <v>1349</v>
      </c>
      <c r="B1227" s="40" t="n">
        <v>45832</v>
      </c>
      <c r="C1227" s="39" t="s">
        <v>117</v>
      </c>
      <c r="D1227" s="39" t="n">
        <v>6</v>
      </c>
      <c r="E1227" s="41" t="n">
        <v>30.25</v>
      </c>
      <c r="F1227" s="39" t="s">
        <v>118</v>
      </c>
      <c r="G1227" s="39" t="str">
        <f aca="false">VLOOKUP(C1227,Products!$A$5:$D$24,2,FALSE())</f>
        <v>Desk Lamp</v>
      </c>
      <c r="H1227" s="39" t="str">
        <f aca="false">VLOOKUP(C1227,Products!$A$5:$D$24,3,FALSE())</f>
        <v>Furniture</v>
      </c>
      <c r="I1227" s="41" t="n">
        <f aca="false">VLOOKUP(C1227,Products!$A$5:$D$24,4,FALSE())</f>
        <v>13</v>
      </c>
      <c r="J1227" s="42" t="n">
        <f aca="false">DATE(YEAR(B1227),MONTH(B1227),1)</f>
        <v>45809</v>
      </c>
      <c r="K1227" s="41" t="n">
        <f aca="false">D1227*E1227</f>
        <v>181.5</v>
      </c>
      <c r="L1227" s="41" t="n">
        <f aca="false">D1227*I1227</f>
        <v>78</v>
      </c>
      <c r="M1227" s="41" t="n">
        <f aca="false">IFERROR(INDEX(Raw_Expenses!$C$5:$C$2979,MATCH(A1227,Raw_Expenses!$A$5:$A$2979,0)),0)</f>
        <v>12.25</v>
      </c>
      <c r="N1227" s="41" t="n">
        <f aca="false">L1227+M1227</f>
        <v>90.25</v>
      </c>
      <c r="O1227" s="41" t="n">
        <f aca="false">K1227-N1227</f>
        <v>91.25</v>
      </c>
      <c r="P1227" s="43" t="n">
        <f aca="false">IF(K1227=0,0,O1227/K1227)</f>
        <v>0.502754820936639</v>
      </c>
    </row>
    <row r="1228" customFormat="false" ht="15" hidden="false" customHeight="false" outlineLevel="0" collapsed="false">
      <c r="A1228" s="39" t="s">
        <v>1350</v>
      </c>
      <c r="B1228" s="40" t="n">
        <v>45832</v>
      </c>
      <c r="C1228" s="39" t="s">
        <v>110</v>
      </c>
      <c r="D1228" s="39" t="n">
        <v>5</v>
      </c>
      <c r="E1228" s="41" t="n">
        <v>12.91</v>
      </c>
      <c r="F1228" s="39" t="s">
        <v>118</v>
      </c>
      <c r="G1228" s="39" t="str">
        <f aca="false">VLOOKUP(C1228,Products!$A$5:$D$24,2,FALSE())</f>
        <v>Phone Stand</v>
      </c>
      <c r="H1228" s="39" t="str">
        <f aca="false">VLOOKUP(C1228,Products!$A$5:$D$24,3,FALSE())</f>
        <v>Accessories</v>
      </c>
      <c r="I1228" s="41" t="n">
        <f aca="false">VLOOKUP(C1228,Products!$A$5:$D$24,4,FALSE())</f>
        <v>4</v>
      </c>
      <c r="J1228" s="42" t="n">
        <f aca="false">DATE(YEAR(B1228),MONTH(B1228),1)</f>
        <v>45809</v>
      </c>
      <c r="K1228" s="41" t="n">
        <f aca="false">D1228*E1228</f>
        <v>64.55</v>
      </c>
      <c r="L1228" s="41" t="n">
        <f aca="false">D1228*I1228</f>
        <v>20</v>
      </c>
      <c r="M1228" s="41" t="n">
        <f aca="false">IFERROR(INDEX(Raw_Expenses!$C$5:$C$2979,MATCH(A1228,Raw_Expenses!$A$5:$A$2979,0)),0)</f>
        <v>3.14</v>
      </c>
      <c r="N1228" s="41" t="n">
        <f aca="false">L1228+M1228</f>
        <v>23.14</v>
      </c>
      <c r="O1228" s="41" t="n">
        <f aca="false">K1228-N1228</f>
        <v>41.41</v>
      </c>
      <c r="P1228" s="43" t="n">
        <f aca="false">IF(K1228=0,0,O1228/K1228)</f>
        <v>0.641518202943455</v>
      </c>
    </row>
    <row r="1229" customFormat="false" ht="15" hidden="false" customHeight="false" outlineLevel="0" collapsed="false">
      <c r="A1229" s="39" t="s">
        <v>1351</v>
      </c>
      <c r="B1229" s="40" t="n">
        <v>45832</v>
      </c>
      <c r="C1229" s="39" t="s">
        <v>128</v>
      </c>
      <c r="D1229" s="39" t="n">
        <v>1</v>
      </c>
      <c r="E1229" s="41" t="n">
        <v>37.57</v>
      </c>
      <c r="F1229" s="39" t="s">
        <v>118</v>
      </c>
      <c r="G1229" s="39" t="str">
        <f aca="false">VLOOKUP(C1229,Products!$A$5:$D$24,2,FALSE())</f>
        <v>Ergonomic Footrest</v>
      </c>
      <c r="H1229" s="39" t="str">
        <f aca="false">VLOOKUP(C1229,Products!$A$5:$D$24,3,FALSE())</f>
        <v>Furniture</v>
      </c>
      <c r="I1229" s="41" t="n">
        <f aca="false">VLOOKUP(C1229,Products!$A$5:$D$24,4,FALSE())</f>
        <v>15</v>
      </c>
      <c r="J1229" s="42" t="n">
        <f aca="false">DATE(YEAR(B1229),MONTH(B1229),1)</f>
        <v>45809</v>
      </c>
      <c r="K1229" s="41" t="n">
        <f aca="false">D1229*E1229</f>
        <v>37.57</v>
      </c>
      <c r="L1229" s="41" t="n">
        <f aca="false">D1229*I1229</f>
        <v>15</v>
      </c>
      <c r="M1229" s="41" t="n">
        <f aca="false">IFERROR(INDEX(Raw_Expenses!$C$5:$C$2979,MATCH(A1229,Raw_Expenses!$A$5:$A$2979,0)),0)</f>
        <v>1.58</v>
      </c>
      <c r="N1229" s="41" t="n">
        <f aca="false">L1229+M1229</f>
        <v>16.58</v>
      </c>
      <c r="O1229" s="41" t="n">
        <f aca="false">K1229-N1229</f>
        <v>20.99</v>
      </c>
      <c r="P1229" s="43" t="n">
        <f aca="false">IF(K1229=0,0,O1229/K1229)</f>
        <v>0.558690444503593</v>
      </c>
    </row>
    <row r="1230" customFormat="false" ht="15" hidden="false" customHeight="false" outlineLevel="0" collapsed="false">
      <c r="A1230" s="39" t="s">
        <v>1352</v>
      </c>
      <c r="B1230" s="40" t="n">
        <v>45833</v>
      </c>
      <c r="C1230" s="39" t="s">
        <v>133</v>
      </c>
      <c r="D1230" s="39" t="n">
        <v>6</v>
      </c>
      <c r="E1230" s="41" t="n">
        <v>8.69</v>
      </c>
      <c r="F1230" s="39" t="s">
        <v>108</v>
      </c>
      <c r="G1230" s="39" t="str">
        <f aca="false">VLOOKUP(C1230,Products!$A$5:$D$24,2,FALSE())</f>
        <v>Printer Paper Ream</v>
      </c>
      <c r="H1230" s="39" t="str">
        <f aca="false">VLOOKUP(C1230,Products!$A$5:$D$24,3,FALSE())</f>
        <v>Stationery</v>
      </c>
      <c r="I1230" s="41" t="n">
        <f aca="false">VLOOKUP(C1230,Products!$A$5:$D$24,4,FALSE())</f>
        <v>4</v>
      </c>
      <c r="J1230" s="42" t="n">
        <f aca="false">DATE(YEAR(B1230),MONTH(B1230),1)</f>
        <v>45809</v>
      </c>
      <c r="K1230" s="41" t="n">
        <f aca="false">D1230*E1230</f>
        <v>52.14</v>
      </c>
      <c r="L1230" s="41" t="n">
        <f aca="false">D1230*I1230</f>
        <v>24</v>
      </c>
      <c r="M1230" s="41" t="n">
        <f aca="false">IFERROR(INDEX(Raw_Expenses!$C$5:$C$2979,MATCH(A1230,Raw_Expenses!$A$5:$A$2979,0)),0)</f>
        <v>3.42</v>
      </c>
      <c r="N1230" s="41" t="n">
        <f aca="false">L1230+M1230</f>
        <v>27.42</v>
      </c>
      <c r="O1230" s="41" t="n">
        <f aca="false">K1230-N1230</f>
        <v>24.72</v>
      </c>
      <c r="P1230" s="43" t="n">
        <f aca="false">IF(K1230=0,0,O1230/K1230)</f>
        <v>0.474108170310702</v>
      </c>
    </row>
    <row r="1231" customFormat="false" ht="15" hidden="false" customHeight="false" outlineLevel="0" collapsed="false">
      <c r="A1231" s="39" t="s">
        <v>1353</v>
      </c>
      <c r="B1231" s="40" t="n">
        <v>45833</v>
      </c>
      <c r="C1231" s="39" t="s">
        <v>121</v>
      </c>
      <c r="D1231" s="39" t="n">
        <v>2</v>
      </c>
      <c r="E1231" s="41" t="n">
        <v>110.69</v>
      </c>
      <c r="F1231" s="39" t="s">
        <v>115</v>
      </c>
      <c r="G1231" s="39" t="str">
        <f aca="false">VLOOKUP(C1231,Products!$A$5:$D$24,2,FALSE())</f>
        <v>External SSD 1TB</v>
      </c>
      <c r="H1231" s="39" t="str">
        <f aca="false">VLOOKUP(C1231,Products!$A$5:$D$24,3,FALSE())</f>
        <v>Electronics</v>
      </c>
      <c r="I1231" s="41" t="n">
        <f aca="false">VLOOKUP(C1231,Products!$A$5:$D$24,4,FALSE())</f>
        <v>62</v>
      </c>
      <c r="J1231" s="42" t="n">
        <f aca="false">DATE(YEAR(B1231),MONTH(B1231),1)</f>
        <v>45809</v>
      </c>
      <c r="K1231" s="41" t="n">
        <f aca="false">D1231*E1231</f>
        <v>221.38</v>
      </c>
      <c r="L1231" s="41" t="n">
        <f aca="false">D1231*I1231</f>
        <v>124</v>
      </c>
      <c r="M1231" s="41" t="n">
        <f aca="false">IFERROR(INDEX(Raw_Expenses!$C$5:$C$2979,MATCH(A1231,Raw_Expenses!$A$5:$A$2979,0)),0)</f>
        <v>19.2</v>
      </c>
      <c r="N1231" s="41" t="n">
        <f aca="false">L1231+M1231</f>
        <v>143.2</v>
      </c>
      <c r="O1231" s="41" t="n">
        <f aca="false">K1231-N1231</f>
        <v>78.18</v>
      </c>
      <c r="P1231" s="43" t="n">
        <f aca="false">IF(K1231=0,0,O1231/K1231)</f>
        <v>0.3531484325594</v>
      </c>
    </row>
    <row r="1232" customFormat="false" ht="15" hidden="false" customHeight="false" outlineLevel="0" collapsed="false">
      <c r="A1232" s="39" t="s">
        <v>1354</v>
      </c>
      <c r="B1232" s="40" t="n">
        <v>45833</v>
      </c>
      <c r="C1232" s="39" t="s">
        <v>128</v>
      </c>
      <c r="D1232" s="39" t="n">
        <v>2</v>
      </c>
      <c r="E1232" s="41" t="n">
        <v>38.17</v>
      </c>
      <c r="F1232" s="39" t="s">
        <v>108</v>
      </c>
      <c r="G1232" s="39" t="str">
        <f aca="false">VLOOKUP(C1232,Products!$A$5:$D$24,2,FALSE())</f>
        <v>Ergonomic Footrest</v>
      </c>
      <c r="H1232" s="39" t="str">
        <f aca="false">VLOOKUP(C1232,Products!$A$5:$D$24,3,FALSE())</f>
        <v>Furniture</v>
      </c>
      <c r="I1232" s="41" t="n">
        <f aca="false">VLOOKUP(C1232,Products!$A$5:$D$24,4,FALSE())</f>
        <v>15</v>
      </c>
      <c r="J1232" s="42" t="n">
        <f aca="false">DATE(YEAR(B1232),MONTH(B1232),1)</f>
        <v>45809</v>
      </c>
      <c r="K1232" s="41" t="n">
        <f aca="false">D1232*E1232</f>
        <v>76.34</v>
      </c>
      <c r="L1232" s="41" t="n">
        <f aca="false">D1232*I1232</f>
        <v>30</v>
      </c>
      <c r="M1232" s="41" t="n">
        <f aca="false">IFERROR(INDEX(Raw_Expenses!$C$5:$C$2979,MATCH(A1232,Raw_Expenses!$A$5:$A$2979,0)),0)</f>
        <v>3.08</v>
      </c>
      <c r="N1232" s="41" t="n">
        <f aca="false">L1232+M1232</f>
        <v>33.08</v>
      </c>
      <c r="O1232" s="41" t="n">
        <f aca="false">K1232-N1232</f>
        <v>43.26</v>
      </c>
      <c r="P1232" s="43" t="n">
        <f aca="false">IF(K1232=0,0,O1232/K1232)</f>
        <v>0.566675399528426</v>
      </c>
    </row>
    <row r="1233" customFormat="false" ht="15" hidden="false" customHeight="false" outlineLevel="0" collapsed="false">
      <c r="A1233" s="39" t="s">
        <v>1355</v>
      </c>
      <c r="B1233" s="40" t="n">
        <v>45833</v>
      </c>
      <c r="C1233" s="39" t="s">
        <v>117</v>
      </c>
      <c r="D1233" s="39" t="n">
        <v>5</v>
      </c>
      <c r="E1233" s="41" t="n">
        <v>30.3</v>
      </c>
      <c r="F1233" s="39" t="s">
        <v>118</v>
      </c>
      <c r="G1233" s="39" t="str">
        <f aca="false">VLOOKUP(C1233,Products!$A$5:$D$24,2,FALSE())</f>
        <v>Desk Lamp</v>
      </c>
      <c r="H1233" s="39" t="str">
        <f aca="false">VLOOKUP(C1233,Products!$A$5:$D$24,3,FALSE())</f>
        <v>Furniture</v>
      </c>
      <c r="I1233" s="41" t="n">
        <f aca="false">VLOOKUP(C1233,Products!$A$5:$D$24,4,FALSE())</f>
        <v>13</v>
      </c>
      <c r="J1233" s="42" t="n">
        <f aca="false">DATE(YEAR(B1233),MONTH(B1233),1)</f>
        <v>45809</v>
      </c>
      <c r="K1233" s="41" t="n">
        <f aca="false">D1233*E1233</f>
        <v>151.5</v>
      </c>
      <c r="L1233" s="41" t="n">
        <f aca="false">D1233*I1233</f>
        <v>65</v>
      </c>
      <c r="M1233" s="41" t="n">
        <f aca="false">IFERROR(INDEX(Raw_Expenses!$C$5:$C$2979,MATCH(A1233,Raw_Expenses!$A$5:$A$2979,0)),0)</f>
        <v>6.39</v>
      </c>
      <c r="N1233" s="41" t="n">
        <f aca="false">L1233+M1233</f>
        <v>71.39</v>
      </c>
      <c r="O1233" s="41" t="n">
        <f aca="false">K1233-N1233</f>
        <v>80.11</v>
      </c>
      <c r="P1233" s="43" t="n">
        <f aca="false">IF(K1233=0,0,O1233/K1233)</f>
        <v>0.528778877887789</v>
      </c>
    </row>
    <row r="1234" customFormat="false" ht="15" hidden="false" customHeight="false" outlineLevel="0" collapsed="false">
      <c r="A1234" s="39" t="s">
        <v>1356</v>
      </c>
      <c r="B1234" s="40" t="n">
        <v>45833</v>
      </c>
      <c r="C1234" s="39" t="s">
        <v>139</v>
      </c>
      <c r="D1234" s="39" t="n">
        <v>3</v>
      </c>
      <c r="E1234" s="41" t="n">
        <v>127.19</v>
      </c>
      <c r="F1234" s="39" t="s">
        <v>115</v>
      </c>
      <c r="G1234" s="39" t="str">
        <f aca="false">VLOOKUP(C1234,Products!$A$5:$D$24,2,FALSE())</f>
        <v>Noise-Cancelling Headphones</v>
      </c>
      <c r="H1234" s="39" t="str">
        <f aca="false">VLOOKUP(C1234,Products!$A$5:$D$24,3,FALSE())</f>
        <v>Electronics</v>
      </c>
      <c r="I1234" s="41" t="n">
        <f aca="false">VLOOKUP(C1234,Products!$A$5:$D$24,4,FALSE())</f>
        <v>55</v>
      </c>
      <c r="J1234" s="42" t="n">
        <f aca="false">DATE(YEAR(B1234),MONTH(B1234),1)</f>
        <v>45809</v>
      </c>
      <c r="K1234" s="41" t="n">
        <f aca="false">D1234*E1234</f>
        <v>381.57</v>
      </c>
      <c r="L1234" s="41" t="n">
        <f aca="false">D1234*I1234</f>
        <v>165</v>
      </c>
      <c r="M1234" s="41" t="n">
        <f aca="false">IFERROR(INDEX(Raw_Expenses!$C$5:$C$2979,MATCH(A1234,Raw_Expenses!$A$5:$A$2979,0)),0)</f>
        <v>31.44</v>
      </c>
      <c r="N1234" s="41" t="n">
        <f aca="false">L1234+M1234</f>
        <v>196.44</v>
      </c>
      <c r="O1234" s="41" t="n">
        <f aca="false">K1234-N1234</f>
        <v>185.13</v>
      </c>
      <c r="P1234" s="43" t="n">
        <f aca="false">IF(K1234=0,0,O1234/K1234)</f>
        <v>0.485179652488403</v>
      </c>
    </row>
    <row r="1235" customFormat="false" ht="15" hidden="false" customHeight="false" outlineLevel="0" collapsed="false">
      <c r="A1235" s="39" t="s">
        <v>1357</v>
      </c>
      <c r="B1235" s="40" t="n">
        <v>45833</v>
      </c>
      <c r="C1235" s="39" t="s">
        <v>305</v>
      </c>
      <c r="D1235" s="39" t="n">
        <v>1</v>
      </c>
      <c r="E1235" s="41" t="n">
        <v>329.27</v>
      </c>
      <c r="F1235" s="39" t="s">
        <v>108</v>
      </c>
      <c r="G1235" s="39" t="str">
        <f aca="false">VLOOKUP(C1235,Products!$A$5:$D$24,2,FALSE())</f>
        <v>Standing Desk</v>
      </c>
      <c r="H1235" s="39" t="str">
        <f aca="false">VLOOKUP(C1235,Products!$A$5:$D$24,3,FALSE())</f>
        <v>Furniture</v>
      </c>
      <c r="I1235" s="41" t="n">
        <f aca="false">VLOOKUP(C1235,Products!$A$5:$D$24,4,FALSE())</f>
        <v>160</v>
      </c>
      <c r="J1235" s="42" t="n">
        <f aca="false">DATE(YEAR(B1235),MONTH(B1235),1)</f>
        <v>45809</v>
      </c>
      <c r="K1235" s="41" t="n">
        <f aca="false">D1235*E1235</f>
        <v>329.27</v>
      </c>
      <c r="L1235" s="41" t="n">
        <f aca="false">D1235*I1235</f>
        <v>160</v>
      </c>
      <c r="M1235" s="41" t="n">
        <f aca="false">IFERROR(INDEX(Raw_Expenses!$C$5:$C$2979,MATCH(A1235,Raw_Expenses!$A$5:$A$2979,0)),0)</f>
        <v>25.06</v>
      </c>
      <c r="N1235" s="41" t="n">
        <f aca="false">L1235+M1235</f>
        <v>185.06</v>
      </c>
      <c r="O1235" s="41" t="n">
        <f aca="false">K1235-N1235</f>
        <v>144.21</v>
      </c>
      <c r="P1235" s="43" t="n">
        <f aca="false">IF(K1235=0,0,O1235/K1235)</f>
        <v>0.43796884016157</v>
      </c>
    </row>
    <row r="1236" customFormat="false" ht="15" hidden="false" customHeight="false" outlineLevel="0" collapsed="false">
      <c r="A1236" s="39" t="s">
        <v>1358</v>
      </c>
      <c r="B1236" s="40" t="n">
        <v>45833</v>
      </c>
      <c r="C1236" s="39" t="s">
        <v>139</v>
      </c>
      <c r="D1236" s="39" t="n">
        <v>3</v>
      </c>
      <c r="E1236" s="41" t="n">
        <v>122.34</v>
      </c>
      <c r="F1236" s="39" t="s">
        <v>115</v>
      </c>
      <c r="G1236" s="39" t="str">
        <f aca="false">VLOOKUP(C1236,Products!$A$5:$D$24,2,FALSE())</f>
        <v>Noise-Cancelling Headphones</v>
      </c>
      <c r="H1236" s="39" t="str">
        <f aca="false">VLOOKUP(C1236,Products!$A$5:$D$24,3,FALSE())</f>
        <v>Electronics</v>
      </c>
      <c r="I1236" s="41" t="n">
        <f aca="false">VLOOKUP(C1236,Products!$A$5:$D$24,4,FALSE())</f>
        <v>55</v>
      </c>
      <c r="J1236" s="42" t="n">
        <f aca="false">DATE(YEAR(B1236),MONTH(B1236),1)</f>
        <v>45809</v>
      </c>
      <c r="K1236" s="41" t="n">
        <f aca="false">D1236*E1236</f>
        <v>367.02</v>
      </c>
      <c r="L1236" s="41" t="n">
        <f aca="false">D1236*I1236</f>
        <v>165</v>
      </c>
      <c r="M1236" s="41" t="n">
        <f aca="false">IFERROR(INDEX(Raw_Expenses!$C$5:$C$2979,MATCH(A1236,Raw_Expenses!$A$5:$A$2979,0)),0)</f>
        <v>16.43</v>
      </c>
      <c r="N1236" s="41" t="n">
        <f aca="false">L1236+M1236</f>
        <v>181.43</v>
      </c>
      <c r="O1236" s="41" t="n">
        <f aca="false">K1236-N1236</f>
        <v>185.59</v>
      </c>
      <c r="P1236" s="43" t="n">
        <f aca="false">IF(K1236=0,0,O1236/K1236)</f>
        <v>0.505667266089041</v>
      </c>
    </row>
    <row r="1237" customFormat="false" ht="15" hidden="false" customHeight="false" outlineLevel="0" collapsed="false">
      <c r="A1237" s="39" t="s">
        <v>1359</v>
      </c>
      <c r="B1237" s="40" t="n">
        <v>45834</v>
      </c>
      <c r="C1237" s="39" t="s">
        <v>126</v>
      </c>
      <c r="D1237" s="39" t="n">
        <v>3</v>
      </c>
      <c r="E1237" s="41" t="n">
        <v>24.51</v>
      </c>
      <c r="F1237" s="39" t="s">
        <v>115</v>
      </c>
      <c r="G1237" s="39" t="str">
        <f aca="false">VLOOKUP(C1237,Products!$A$5:$D$24,2,FALSE())</f>
        <v>Wireless Mouse</v>
      </c>
      <c r="H1237" s="39" t="str">
        <f aca="false">VLOOKUP(C1237,Products!$A$5:$D$24,3,FALSE())</f>
        <v>Electronics</v>
      </c>
      <c r="I1237" s="41" t="n">
        <f aca="false">VLOOKUP(C1237,Products!$A$5:$D$24,4,FALSE())</f>
        <v>12</v>
      </c>
      <c r="J1237" s="42" t="n">
        <f aca="false">DATE(YEAR(B1237),MONTH(B1237),1)</f>
        <v>45809</v>
      </c>
      <c r="K1237" s="41" t="n">
        <f aca="false">D1237*E1237</f>
        <v>73.53</v>
      </c>
      <c r="L1237" s="41" t="n">
        <f aca="false">D1237*I1237</f>
        <v>36</v>
      </c>
      <c r="M1237" s="41" t="n">
        <f aca="false">IFERROR(INDEX(Raw_Expenses!$C$5:$C$2979,MATCH(A1237,Raw_Expenses!$A$5:$A$2979,0)),0)</f>
        <v>3.98</v>
      </c>
      <c r="N1237" s="41" t="n">
        <f aca="false">L1237+M1237</f>
        <v>39.98</v>
      </c>
      <c r="O1237" s="41" t="n">
        <f aca="false">K1237-N1237</f>
        <v>33.55</v>
      </c>
      <c r="P1237" s="43" t="n">
        <f aca="false">IF(K1237=0,0,O1237/K1237)</f>
        <v>0.456276349789202</v>
      </c>
    </row>
    <row r="1238" customFormat="false" ht="15" hidden="false" customHeight="false" outlineLevel="0" collapsed="false">
      <c r="A1238" s="39" t="s">
        <v>1360</v>
      </c>
      <c r="B1238" s="40" t="n">
        <v>45834</v>
      </c>
      <c r="C1238" s="39" t="s">
        <v>107</v>
      </c>
      <c r="D1238" s="39" t="n">
        <v>1</v>
      </c>
      <c r="E1238" s="41" t="n">
        <v>34.85</v>
      </c>
      <c r="F1238" s="39" t="s">
        <v>118</v>
      </c>
      <c r="G1238" s="39" t="str">
        <f aca="false">VLOOKUP(C1238,Products!$A$5:$D$24,2,FALSE())</f>
        <v>USB-C Hub</v>
      </c>
      <c r="H1238" s="39" t="str">
        <f aca="false">VLOOKUP(C1238,Products!$A$5:$D$24,3,FALSE())</f>
        <v>Electronics</v>
      </c>
      <c r="I1238" s="41" t="n">
        <f aca="false">VLOOKUP(C1238,Products!$A$5:$D$24,4,FALSE())</f>
        <v>14</v>
      </c>
      <c r="J1238" s="42" t="n">
        <f aca="false">DATE(YEAR(B1238),MONTH(B1238),1)</f>
        <v>45809</v>
      </c>
      <c r="K1238" s="41" t="n">
        <f aca="false">D1238*E1238</f>
        <v>34.85</v>
      </c>
      <c r="L1238" s="41" t="n">
        <f aca="false">D1238*I1238</f>
        <v>14</v>
      </c>
      <c r="M1238" s="41" t="n">
        <f aca="false">IFERROR(INDEX(Raw_Expenses!$C$5:$C$2979,MATCH(A1238,Raw_Expenses!$A$5:$A$2979,0)),0)</f>
        <v>2.19</v>
      </c>
      <c r="N1238" s="41" t="n">
        <f aca="false">L1238+M1238</f>
        <v>16.19</v>
      </c>
      <c r="O1238" s="41" t="n">
        <f aca="false">K1238-N1238</f>
        <v>18.66</v>
      </c>
      <c r="P1238" s="43" t="n">
        <f aca="false">IF(K1238=0,0,O1238/K1238)</f>
        <v>0.535437589670014</v>
      </c>
    </row>
    <row r="1239" customFormat="false" ht="15" hidden="false" customHeight="false" outlineLevel="0" collapsed="false">
      <c r="A1239" s="39" t="s">
        <v>1361</v>
      </c>
      <c r="B1239" s="40" t="n">
        <v>45834</v>
      </c>
      <c r="C1239" s="39" t="s">
        <v>130</v>
      </c>
      <c r="D1239" s="39" t="n">
        <v>3</v>
      </c>
      <c r="E1239" s="41" t="n">
        <v>8.77</v>
      </c>
      <c r="F1239" s="39" t="s">
        <v>115</v>
      </c>
      <c r="G1239" s="39" t="str">
        <f aca="false">VLOOKUP(C1239,Products!$A$5:$D$24,2,FALSE())</f>
        <v>Notebook Set</v>
      </c>
      <c r="H1239" s="39" t="str">
        <f aca="false">VLOOKUP(C1239,Products!$A$5:$D$24,3,FALSE())</f>
        <v>Stationery</v>
      </c>
      <c r="I1239" s="41" t="n">
        <f aca="false">VLOOKUP(C1239,Products!$A$5:$D$24,4,FALSE())</f>
        <v>3</v>
      </c>
      <c r="J1239" s="42" t="n">
        <f aca="false">DATE(YEAR(B1239),MONTH(B1239),1)</f>
        <v>45809</v>
      </c>
      <c r="K1239" s="41" t="n">
        <f aca="false">D1239*E1239</f>
        <v>26.31</v>
      </c>
      <c r="L1239" s="41" t="n">
        <f aca="false">D1239*I1239</f>
        <v>9</v>
      </c>
      <c r="M1239" s="41" t="n">
        <f aca="false">IFERROR(INDEX(Raw_Expenses!$C$5:$C$2979,MATCH(A1239,Raw_Expenses!$A$5:$A$2979,0)),0)</f>
        <v>2.22</v>
      </c>
      <c r="N1239" s="41" t="n">
        <f aca="false">L1239+M1239</f>
        <v>11.22</v>
      </c>
      <c r="O1239" s="41" t="n">
        <f aca="false">K1239-N1239</f>
        <v>15.09</v>
      </c>
      <c r="P1239" s="43" t="n">
        <f aca="false">IF(K1239=0,0,O1239/K1239)</f>
        <v>0.573546180159635</v>
      </c>
    </row>
    <row r="1240" customFormat="false" ht="15" hidden="false" customHeight="false" outlineLevel="0" collapsed="false">
      <c r="A1240" s="39" t="s">
        <v>1362</v>
      </c>
      <c r="B1240" s="40" t="n">
        <v>45834</v>
      </c>
      <c r="C1240" s="39" t="s">
        <v>117</v>
      </c>
      <c r="D1240" s="39" t="n">
        <v>4</v>
      </c>
      <c r="E1240" s="41" t="n">
        <v>29.74</v>
      </c>
      <c r="F1240" s="39" t="s">
        <v>108</v>
      </c>
      <c r="G1240" s="39" t="str">
        <f aca="false">VLOOKUP(C1240,Products!$A$5:$D$24,2,FALSE())</f>
        <v>Desk Lamp</v>
      </c>
      <c r="H1240" s="39" t="str">
        <f aca="false">VLOOKUP(C1240,Products!$A$5:$D$24,3,FALSE())</f>
        <v>Furniture</v>
      </c>
      <c r="I1240" s="41" t="n">
        <f aca="false">VLOOKUP(C1240,Products!$A$5:$D$24,4,FALSE())</f>
        <v>13</v>
      </c>
      <c r="J1240" s="42" t="n">
        <f aca="false">DATE(YEAR(B1240),MONTH(B1240),1)</f>
        <v>45809</v>
      </c>
      <c r="K1240" s="41" t="n">
        <f aca="false">D1240*E1240</f>
        <v>118.96</v>
      </c>
      <c r="L1240" s="41" t="n">
        <f aca="false">D1240*I1240</f>
        <v>52</v>
      </c>
      <c r="M1240" s="41" t="n">
        <f aca="false">IFERROR(INDEX(Raw_Expenses!$C$5:$C$2979,MATCH(A1240,Raw_Expenses!$A$5:$A$2979,0)),0)</f>
        <v>7.28</v>
      </c>
      <c r="N1240" s="41" t="n">
        <f aca="false">L1240+M1240</f>
        <v>59.28</v>
      </c>
      <c r="O1240" s="41" t="n">
        <f aca="false">K1240-N1240</f>
        <v>59.68</v>
      </c>
      <c r="P1240" s="43" t="n">
        <f aca="false">IF(K1240=0,0,O1240/K1240)</f>
        <v>0.50168123739072</v>
      </c>
    </row>
    <row r="1241" customFormat="false" ht="15" hidden="false" customHeight="false" outlineLevel="0" collapsed="false">
      <c r="A1241" s="39" t="s">
        <v>1363</v>
      </c>
      <c r="B1241" s="40" t="n">
        <v>45834</v>
      </c>
      <c r="C1241" s="39" t="s">
        <v>110</v>
      </c>
      <c r="D1241" s="39" t="n">
        <v>2</v>
      </c>
      <c r="E1241" s="41" t="n">
        <v>13.36</v>
      </c>
      <c r="F1241" s="39" t="s">
        <v>108</v>
      </c>
      <c r="G1241" s="39" t="str">
        <f aca="false">VLOOKUP(C1241,Products!$A$5:$D$24,2,FALSE())</f>
        <v>Phone Stand</v>
      </c>
      <c r="H1241" s="39" t="str">
        <f aca="false">VLOOKUP(C1241,Products!$A$5:$D$24,3,FALSE())</f>
        <v>Accessories</v>
      </c>
      <c r="I1241" s="41" t="n">
        <f aca="false">VLOOKUP(C1241,Products!$A$5:$D$24,4,FALSE())</f>
        <v>4</v>
      </c>
      <c r="J1241" s="42" t="n">
        <f aca="false">DATE(YEAR(B1241),MONTH(B1241),1)</f>
        <v>45809</v>
      </c>
      <c r="K1241" s="41" t="n">
        <f aca="false">D1241*E1241</f>
        <v>26.72</v>
      </c>
      <c r="L1241" s="41" t="n">
        <f aca="false">D1241*I1241</f>
        <v>8</v>
      </c>
      <c r="M1241" s="41" t="n">
        <f aca="false">IFERROR(INDEX(Raw_Expenses!$C$5:$C$2979,MATCH(A1241,Raw_Expenses!$A$5:$A$2979,0)),0)</f>
        <v>1.72</v>
      </c>
      <c r="N1241" s="41" t="n">
        <f aca="false">L1241+M1241</f>
        <v>9.72</v>
      </c>
      <c r="O1241" s="41" t="n">
        <f aca="false">K1241-N1241</f>
        <v>17</v>
      </c>
      <c r="P1241" s="43" t="n">
        <f aca="false">IF(K1241=0,0,O1241/K1241)</f>
        <v>0.63622754491018</v>
      </c>
    </row>
    <row r="1242" customFormat="false" ht="15" hidden="false" customHeight="false" outlineLevel="0" collapsed="false">
      <c r="A1242" s="39" t="s">
        <v>1364</v>
      </c>
      <c r="B1242" s="40" t="n">
        <v>45834</v>
      </c>
      <c r="C1242" s="39" t="s">
        <v>136</v>
      </c>
      <c r="D1242" s="39" t="n">
        <v>3</v>
      </c>
      <c r="E1242" s="41" t="n">
        <v>78.19</v>
      </c>
      <c r="F1242" s="39" t="s">
        <v>118</v>
      </c>
      <c r="G1242" s="39" t="str">
        <f aca="false">VLOOKUP(C1242,Products!$A$5:$D$24,2,FALSE())</f>
        <v>Mechanical Keyboard</v>
      </c>
      <c r="H1242" s="39" t="str">
        <f aca="false">VLOOKUP(C1242,Products!$A$5:$D$24,3,FALSE())</f>
        <v>Electronics</v>
      </c>
      <c r="I1242" s="41" t="n">
        <f aca="false">VLOOKUP(C1242,Products!$A$5:$D$24,4,FALSE())</f>
        <v>38</v>
      </c>
      <c r="J1242" s="42" t="n">
        <f aca="false">DATE(YEAR(B1242),MONTH(B1242),1)</f>
        <v>45809</v>
      </c>
      <c r="K1242" s="41" t="n">
        <f aca="false">D1242*E1242</f>
        <v>234.57</v>
      </c>
      <c r="L1242" s="41" t="n">
        <f aca="false">D1242*I1242</f>
        <v>114</v>
      </c>
      <c r="M1242" s="41" t="n">
        <f aca="false">IFERROR(INDEX(Raw_Expenses!$C$5:$C$2979,MATCH(A1242,Raw_Expenses!$A$5:$A$2979,0)),0)</f>
        <v>19.02</v>
      </c>
      <c r="N1242" s="41" t="n">
        <f aca="false">L1242+M1242</f>
        <v>133.02</v>
      </c>
      <c r="O1242" s="41" t="n">
        <f aca="false">K1242-N1242</f>
        <v>101.55</v>
      </c>
      <c r="P1242" s="43" t="n">
        <f aca="false">IF(K1242=0,0,O1242/K1242)</f>
        <v>0.432919810717483</v>
      </c>
    </row>
    <row r="1243" customFormat="false" ht="15" hidden="false" customHeight="false" outlineLevel="0" collapsed="false">
      <c r="A1243" s="39" t="s">
        <v>1365</v>
      </c>
      <c r="B1243" s="40" t="n">
        <v>45834</v>
      </c>
      <c r="C1243" s="39" t="s">
        <v>112</v>
      </c>
      <c r="D1243" s="39" t="n">
        <v>2</v>
      </c>
      <c r="E1243" s="41" t="n">
        <v>52.67</v>
      </c>
      <c r="F1243" s="39" t="s">
        <v>115</v>
      </c>
      <c r="G1243" s="39" t="str">
        <f aca="false">VLOOKUP(C1243,Products!$A$5:$D$24,2,FALSE())</f>
        <v>HD Webcam</v>
      </c>
      <c r="H1243" s="39" t="str">
        <f aca="false">VLOOKUP(C1243,Products!$A$5:$D$24,3,FALSE())</f>
        <v>Electronics</v>
      </c>
      <c r="I1243" s="41" t="n">
        <f aca="false">VLOOKUP(C1243,Products!$A$5:$D$24,4,FALSE())</f>
        <v>22</v>
      </c>
      <c r="J1243" s="42" t="n">
        <f aca="false">DATE(YEAR(B1243),MONTH(B1243),1)</f>
        <v>45809</v>
      </c>
      <c r="K1243" s="41" t="n">
        <f aca="false">D1243*E1243</f>
        <v>105.34</v>
      </c>
      <c r="L1243" s="41" t="n">
        <f aca="false">D1243*I1243</f>
        <v>44</v>
      </c>
      <c r="M1243" s="41" t="n">
        <f aca="false">IFERROR(INDEX(Raw_Expenses!$C$5:$C$2979,MATCH(A1243,Raw_Expenses!$A$5:$A$2979,0)),0)</f>
        <v>7.14</v>
      </c>
      <c r="N1243" s="41" t="n">
        <f aca="false">L1243+M1243</f>
        <v>51.14</v>
      </c>
      <c r="O1243" s="41" t="n">
        <f aca="false">K1243-N1243</f>
        <v>54.2</v>
      </c>
      <c r="P1243" s="43" t="n">
        <f aca="false">IF(K1243=0,0,O1243/K1243)</f>
        <v>0.514524397190051</v>
      </c>
    </row>
    <row r="1244" customFormat="false" ht="15" hidden="false" customHeight="false" outlineLevel="0" collapsed="false">
      <c r="A1244" s="39" t="s">
        <v>1366</v>
      </c>
      <c r="B1244" s="40" t="n">
        <v>45834</v>
      </c>
      <c r="C1244" s="39" t="s">
        <v>112</v>
      </c>
      <c r="D1244" s="39" t="n">
        <v>4</v>
      </c>
      <c r="E1244" s="41" t="n">
        <v>54.24</v>
      </c>
      <c r="F1244" s="39" t="s">
        <v>118</v>
      </c>
      <c r="G1244" s="39" t="str">
        <f aca="false">VLOOKUP(C1244,Products!$A$5:$D$24,2,FALSE())</f>
        <v>HD Webcam</v>
      </c>
      <c r="H1244" s="39" t="str">
        <f aca="false">VLOOKUP(C1244,Products!$A$5:$D$24,3,FALSE())</f>
        <v>Electronics</v>
      </c>
      <c r="I1244" s="41" t="n">
        <f aca="false">VLOOKUP(C1244,Products!$A$5:$D$24,4,FALSE())</f>
        <v>22</v>
      </c>
      <c r="J1244" s="42" t="n">
        <f aca="false">DATE(YEAR(B1244),MONTH(B1244),1)</f>
        <v>45809</v>
      </c>
      <c r="K1244" s="41" t="n">
        <f aca="false">D1244*E1244</f>
        <v>216.96</v>
      </c>
      <c r="L1244" s="41" t="n">
        <f aca="false">D1244*I1244</f>
        <v>88</v>
      </c>
      <c r="M1244" s="41" t="n">
        <f aca="false">IFERROR(INDEX(Raw_Expenses!$C$5:$C$2979,MATCH(A1244,Raw_Expenses!$A$5:$A$2979,0)),0)</f>
        <v>14.31</v>
      </c>
      <c r="N1244" s="41" t="n">
        <f aca="false">L1244+M1244</f>
        <v>102.31</v>
      </c>
      <c r="O1244" s="41" t="n">
        <f aca="false">K1244-N1244</f>
        <v>114.65</v>
      </c>
      <c r="P1244" s="43" t="n">
        <f aca="false">IF(K1244=0,0,O1244/K1244)</f>
        <v>0.528438421828909</v>
      </c>
    </row>
    <row r="1245" customFormat="false" ht="15" hidden="false" customHeight="false" outlineLevel="0" collapsed="false">
      <c r="A1245" s="39" t="s">
        <v>1367</v>
      </c>
      <c r="B1245" s="40" t="n">
        <v>45835</v>
      </c>
      <c r="C1245" s="39" t="s">
        <v>183</v>
      </c>
      <c r="D1245" s="39" t="n">
        <v>2</v>
      </c>
      <c r="E1245" s="41" t="n">
        <v>185</v>
      </c>
      <c r="F1245" s="39" t="s">
        <v>105</v>
      </c>
      <c r="G1245" s="39" t="str">
        <f aca="false">VLOOKUP(C1245,Products!$A$5:$D$24,2,FALSE())</f>
        <v>Office Chair</v>
      </c>
      <c r="H1245" s="39" t="str">
        <f aca="false">VLOOKUP(C1245,Products!$A$5:$D$24,3,FALSE())</f>
        <v>Furniture</v>
      </c>
      <c r="I1245" s="41" t="n">
        <f aca="false">VLOOKUP(C1245,Products!$A$5:$D$24,4,FALSE())</f>
        <v>85</v>
      </c>
      <c r="J1245" s="42" t="n">
        <f aca="false">DATE(YEAR(B1245),MONTH(B1245),1)</f>
        <v>45809</v>
      </c>
      <c r="K1245" s="41" t="n">
        <f aca="false">D1245*E1245</f>
        <v>370</v>
      </c>
      <c r="L1245" s="41" t="n">
        <f aca="false">D1245*I1245</f>
        <v>170</v>
      </c>
      <c r="M1245" s="41" t="n">
        <f aca="false">IFERROR(INDEX(Raw_Expenses!$C$5:$C$2979,MATCH(A1245,Raw_Expenses!$A$5:$A$2979,0)),0)</f>
        <v>25.39</v>
      </c>
      <c r="N1245" s="41" t="n">
        <f aca="false">L1245+M1245</f>
        <v>195.39</v>
      </c>
      <c r="O1245" s="41" t="n">
        <f aca="false">K1245-N1245</f>
        <v>174.61</v>
      </c>
      <c r="P1245" s="43" t="n">
        <f aca="false">IF(K1245=0,0,O1245/K1245)</f>
        <v>0.471918918918919</v>
      </c>
    </row>
    <row r="1246" customFormat="false" ht="15" hidden="false" customHeight="false" outlineLevel="0" collapsed="false">
      <c r="A1246" s="39" t="s">
        <v>1368</v>
      </c>
      <c r="B1246" s="40" t="n">
        <v>45835</v>
      </c>
      <c r="C1246" s="39" t="s">
        <v>126</v>
      </c>
      <c r="D1246" s="39" t="n">
        <v>4</v>
      </c>
      <c r="E1246" s="41" t="n">
        <v>24.34</v>
      </c>
      <c r="F1246" s="39" t="s">
        <v>105</v>
      </c>
      <c r="G1246" s="39" t="str">
        <f aca="false">VLOOKUP(C1246,Products!$A$5:$D$24,2,FALSE())</f>
        <v>Wireless Mouse</v>
      </c>
      <c r="H1246" s="39" t="str">
        <f aca="false">VLOOKUP(C1246,Products!$A$5:$D$24,3,FALSE())</f>
        <v>Electronics</v>
      </c>
      <c r="I1246" s="41" t="n">
        <f aca="false">VLOOKUP(C1246,Products!$A$5:$D$24,4,FALSE())</f>
        <v>12</v>
      </c>
      <c r="J1246" s="42" t="n">
        <f aca="false">DATE(YEAR(B1246),MONTH(B1246),1)</f>
        <v>45809</v>
      </c>
      <c r="K1246" s="41" t="n">
        <f aca="false">D1246*E1246</f>
        <v>97.36</v>
      </c>
      <c r="L1246" s="41" t="n">
        <f aca="false">D1246*I1246</f>
        <v>48</v>
      </c>
      <c r="M1246" s="41" t="n">
        <f aca="false">IFERROR(INDEX(Raw_Expenses!$C$5:$C$2979,MATCH(A1246,Raw_Expenses!$A$5:$A$2979,0)),0)</f>
        <v>5.62</v>
      </c>
      <c r="N1246" s="41" t="n">
        <f aca="false">L1246+M1246</f>
        <v>53.62</v>
      </c>
      <c r="O1246" s="41" t="n">
        <f aca="false">K1246-N1246</f>
        <v>43.74</v>
      </c>
      <c r="P1246" s="43" t="n">
        <f aca="false">IF(K1246=0,0,O1246/K1246)</f>
        <v>0.449260476581758</v>
      </c>
    </row>
    <row r="1247" customFormat="false" ht="15" hidden="false" customHeight="false" outlineLevel="0" collapsed="false">
      <c r="A1247" s="39" t="s">
        <v>1369</v>
      </c>
      <c r="B1247" s="40" t="n">
        <v>45835</v>
      </c>
      <c r="C1247" s="39" t="s">
        <v>117</v>
      </c>
      <c r="D1247" s="39" t="n">
        <v>4</v>
      </c>
      <c r="E1247" s="41" t="n">
        <v>31.56</v>
      </c>
      <c r="F1247" s="39" t="s">
        <v>105</v>
      </c>
      <c r="G1247" s="39" t="str">
        <f aca="false">VLOOKUP(C1247,Products!$A$5:$D$24,2,FALSE())</f>
        <v>Desk Lamp</v>
      </c>
      <c r="H1247" s="39" t="str">
        <f aca="false">VLOOKUP(C1247,Products!$A$5:$D$24,3,FALSE())</f>
        <v>Furniture</v>
      </c>
      <c r="I1247" s="41" t="n">
        <f aca="false">VLOOKUP(C1247,Products!$A$5:$D$24,4,FALSE())</f>
        <v>13</v>
      </c>
      <c r="J1247" s="42" t="n">
        <f aca="false">DATE(YEAR(B1247),MONTH(B1247),1)</f>
        <v>45809</v>
      </c>
      <c r="K1247" s="41" t="n">
        <f aca="false">D1247*E1247</f>
        <v>126.24</v>
      </c>
      <c r="L1247" s="41" t="n">
        <f aca="false">D1247*I1247</f>
        <v>52</v>
      </c>
      <c r="M1247" s="41" t="n">
        <f aca="false">IFERROR(INDEX(Raw_Expenses!$C$5:$C$2979,MATCH(A1247,Raw_Expenses!$A$5:$A$2979,0)),0)</f>
        <v>9.2</v>
      </c>
      <c r="N1247" s="41" t="n">
        <f aca="false">L1247+M1247</f>
        <v>61.2</v>
      </c>
      <c r="O1247" s="41" t="n">
        <f aca="false">K1247-N1247</f>
        <v>65.04</v>
      </c>
      <c r="P1247" s="43" t="n">
        <f aca="false">IF(K1247=0,0,O1247/K1247)</f>
        <v>0.515209125475285</v>
      </c>
    </row>
    <row r="1248" customFormat="false" ht="15" hidden="false" customHeight="false" outlineLevel="0" collapsed="false">
      <c r="A1248" s="39" t="s">
        <v>1370</v>
      </c>
      <c r="B1248" s="40" t="n">
        <v>45835</v>
      </c>
      <c r="C1248" s="39" t="s">
        <v>104</v>
      </c>
      <c r="D1248" s="39" t="n">
        <v>1</v>
      </c>
      <c r="E1248" s="41" t="n">
        <v>15.55</v>
      </c>
      <c r="F1248" s="39" t="s">
        <v>115</v>
      </c>
      <c r="G1248" s="39" t="str">
        <f aca="false">VLOOKUP(C1248,Products!$A$5:$D$24,2,FALSE())</f>
        <v>Water Bottle</v>
      </c>
      <c r="H1248" s="39" t="str">
        <f aca="false">VLOOKUP(C1248,Products!$A$5:$D$24,3,FALSE())</f>
        <v>Accessories</v>
      </c>
      <c r="I1248" s="41" t="n">
        <f aca="false">VLOOKUP(C1248,Products!$A$5:$D$24,4,FALSE())</f>
        <v>5</v>
      </c>
      <c r="J1248" s="42" t="n">
        <f aca="false">DATE(YEAR(B1248),MONTH(B1248),1)</f>
        <v>45809</v>
      </c>
      <c r="K1248" s="41" t="n">
        <f aca="false">D1248*E1248</f>
        <v>15.55</v>
      </c>
      <c r="L1248" s="41" t="n">
        <f aca="false">D1248*I1248</f>
        <v>5</v>
      </c>
      <c r="M1248" s="41" t="n">
        <f aca="false">IFERROR(INDEX(Raw_Expenses!$C$5:$C$2979,MATCH(A1248,Raw_Expenses!$A$5:$A$2979,0)),0)</f>
        <v>1.27</v>
      </c>
      <c r="N1248" s="41" t="n">
        <f aca="false">L1248+M1248</f>
        <v>6.27</v>
      </c>
      <c r="O1248" s="41" t="n">
        <f aca="false">K1248-N1248</f>
        <v>9.28</v>
      </c>
      <c r="P1248" s="43" t="n">
        <f aca="false">IF(K1248=0,0,O1248/K1248)</f>
        <v>0.596784565916399</v>
      </c>
    </row>
    <row r="1249" customFormat="false" ht="15" hidden="false" customHeight="false" outlineLevel="0" collapsed="false">
      <c r="A1249" s="39" t="s">
        <v>1371</v>
      </c>
      <c r="B1249" s="40" t="n">
        <v>45835</v>
      </c>
      <c r="C1249" s="39" t="s">
        <v>139</v>
      </c>
      <c r="D1249" s="39" t="n">
        <v>1</v>
      </c>
      <c r="E1249" s="41" t="n">
        <v>127.68</v>
      </c>
      <c r="F1249" s="39" t="s">
        <v>115</v>
      </c>
      <c r="G1249" s="39" t="str">
        <f aca="false">VLOOKUP(C1249,Products!$A$5:$D$24,2,FALSE())</f>
        <v>Noise-Cancelling Headphones</v>
      </c>
      <c r="H1249" s="39" t="str">
        <f aca="false">VLOOKUP(C1249,Products!$A$5:$D$24,3,FALSE())</f>
        <v>Electronics</v>
      </c>
      <c r="I1249" s="41" t="n">
        <f aca="false">VLOOKUP(C1249,Products!$A$5:$D$24,4,FALSE())</f>
        <v>55</v>
      </c>
      <c r="J1249" s="42" t="n">
        <f aca="false">DATE(YEAR(B1249),MONTH(B1249),1)</f>
        <v>45809</v>
      </c>
      <c r="K1249" s="41" t="n">
        <f aca="false">D1249*E1249</f>
        <v>127.68</v>
      </c>
      <c r="L1249" s="41" t="n">
        <f aca="false">D1249*I1249</f>
        <v>55</v>
      </c>
      <c r="M1249" s="41" t="n">
        <f aca="false">IFERROR(INDEX(Raw_Expenses!$C$5:$C$2979,MATCH(A1249,Raw_Expenses!$A$5:$A$2979,0)),0)</f>
        <v>9.22</v>
      </c>
      <c r="N1249" s="41" t="n">
        <f aca="false">L1249+M1249</f>
        <v>64.22</v>
      </c>
      <c r="O1249" s="41" t="n">
        <f aca="false">K1249-N1249</f>
        <v>63.46</v>
      </c>
      <c r="P1249" s="43" t="n">
        <f aca="false">IF(K1249=0,0,O1249/K1249)</f>
        <v>0.49702380952381</v>
      </c>
    </row>
    <row r="1250" customFormat="false" ht="15" hidden="false" customHeight="false" outlineLevel="0" collapsed="false">
      <c r="A1250" s="39" t="s">
        <v>1372</v>
      </c>
      <c r="B1250" s="40" t="n">
        <v>45835</v>
      </c>
      <c r="C1250" s="39" t="s">
        <v>126</v>
      </c>
      <c r="D1250" s="39" t="n">
        <v>1</v>
      </c>
      <c r="E1250" s="41" t="n">
        <v>24.21</v>
      </c>
      <c r="F1250" s="39" t="s">
        <v>118</v>
      </c>
      <c r="G1250" s="39" t="str">
        <f aca="false">VLOOKUP(C1250,Products!$A$5:$D$24,2,FALSE())</f>
        <v>Wireless Mouse</v>
      </c>
      <c r="H1250" s="39" t="str">
        <f aca="false">VLOOKUP(C1250,Products!$A$5:$D$24,3,FALSE())</f>
        <v>Electronics</v>
      </c>
      <c r="I1250" s="41" t="n">
        <f aca="false">VLOOKUP(C1250,Products!$A$5:$D$24,4,FALSE())</f>
        <v>12</v>
      </c>
      <c r="J1250" s="42" t="n">
        <f aca="false">DATE(YEAR(B1250),MONTH(B1250),1)</f>
        <v>45809</v>
      </c>
      <c r="K1250" s="41" t="n">
        <f aca="false">D1250*E1250</f>
        <v>24.21</v>
      </c>
      <c r="L1250" s="41" t="n">
        <f aca="false">D1250*I1250</f>
        <v>12</v>
      </c>
      <c r="M1250" s="41" t="n">
        <f aca="false">IFERROR(INDEX(Raw_Expenses!$C$5:$C$2979,MATCH(A1250,Raw_Expenses!$A$5:$A$2979,0)),0)</f>
        <v>1.73</v>
      </c>
      <c r="N1250" s="41" t="n">
        <f aca="false">L1250+M1250</f>
        <v>13.73</v>
      </c>
      <c r="O1250" s="41" t="n">
        <f aca="false">K1250-N1250</f>
        <v>10.48</v>
      </c>
      <c r="P1250" s="43" t="n">
        <f aca="false">IF(K1250=0,0,O1250/K1250)</f>
        <v>0.432878975629905</v>
      </c>
    </row>
    <row r="1251" customFormat="false" ht="15" hidden="false" customHeight="false" outlineLevel="0" collapsed="false">
      <c r="A1251" s="39" t="s">
        <v>1373</v>
      </c>
      <c r="B1251" s="40" t="n">
        <v>45835</v>
      </c>
      <c r="C1251" s="39" t="s">
        <v>169</v>
      </c>
      <c r="D1251" s="39" t="n">
        <v>1</v>
      </c>
      <c r="E1251" s="41" t="n">
        <v>27.01</v>
      </c>
      <c r="F1251" s="39" t="s">
        <v>118</v>
      </c>
      <c r="G1251" s="39" t="str">
        <f aca="false">VLOOKUP(C1251,Products!$A$5:$D$24,2,FALSE())</f>
        <v>Laptop Stand</v>
      </c>
      <c r="H1251" s="39" t="str">
        <f aca="false">VLOOKUP(C1251,Products!$A$5:$D$24,3,FALSE())</f>
        <v>Accessories</v>
      </c>
      <c r="I1251" s="41" t="n">
        <f aca="false">VLOOKUP(C1251,Products!$A$5:$D$24,4,FALSE())</f>
        <v>11</v>
      </c>
      <c r="J1251" s="42" t="n">
        <f aca="false">DATE(YEAR(B1251),MONTH(B1251),1)</f>
        <v>45809</v>
      </c>
      <c r="K1251" s="41" t="n">
        <f aca="false">D1251*E1251</f>
        <v>27.01</v>
      </c>
      <c r="L1251" s="41" t="n">
        <f aca="false">D1251*I1251</f>
        <v>11</v>
      </c>
      <c r="M1251" s="41" t="n">
        <f aca="false">IFERROR(INDEX(Raw_Expenses!$C$5:$C$2979,MATCH(A1251,Raw_Expenses!$A$5:$A$2979,0)),0)</f>
        <v>1.52</v>
      </c>
      <c r="N1251" s="41" t="n">
        <f aca="false">L1251+M1251</f>
        <v>12.52</v>
      </c>
      <c r="O1251" s="41" t="n">
        <f aca="false">K1251-N1251</f>
        <v>14.49</v>
      </c>
      <c r="P1251" s="43" t="n">
        <f aca="false">IF(K1251=0,0,O1251/K1251)</f>
        <v>0.536467974824139</v>
      </c>
    </row>
    <row r="1252" customFormat="false" ht="15" hidden="false" customHeight="false" outlineLevel="0" collapsed="false">
      <c r="A1252" s="39" t="s">
        <v>1374</v>
      </c>
      <c r="B1252" s="40" t="n">
        <v>45835</v>
      </c>
      <c r="C1252" s="39" t="s">
        <v>130</v>
      </c>
      <c r="D1252" s="39" t="n">
        <v>3</v>
      </c>
      <c r="E1252" s="41" t="n">
        <v>8.66</v>
      </c>
      <c r="F1252" s="39" t="s">
        <v>115</v>
      </c>
      <c r="G1252" s="39" t="str">
        <f aca="false">VLOOKUP(C1252,Products!$A$5:$D$24,2,FALSE())</f>
        <v>Notebook Set</v>
      </c>
      <c r="H1252" s="39" t="str">
        <f aca="false">VLOOKUP(C1252,Products!$A$5:$D$24,3,FALSE())</f>
        <v>Stationery</v>
      </c>
      <c r="I1252" s="41" t="n">
        <f aca="false">VLOOKUP(C1252,Products!$A$5:$D$24,4,FALSE())</f>
        <v>3</v>
      </c>
      <c r="J1252" s="42" t="n">
        <f aca="false">DATE(YEAR(B1252),MONTH(B1252),1)</f>
        <v>45809</v>
      </c>
      <c r="K1252" s="41" t="n">
        <f aca="false">D1252*E1252</f>
        <v>25.98</v>
      </c>
      <c r="L1252" s="41" t="n">
        <f aca="false">D1252*I1252</f>
        <v>9</v>
      </c>
      <c r="M1252" s="41" t="n">
        <f aca="false">IFERROR(INDEX(Raw_Expenses!$C$5:$C$2979,MATCH(A1252,Raw_Expenses!$A$5:$A$2979,0)),0)</f>
        <v>1.89</v>
      </c>
      <c r="N1252" s="41" t="n">
        <f aca="false">L1252+M1252</f>
        <v>10.89</v>
      </c>
      <c r="O1252" s="41" t="n">
        <f aca="false">K1252-N1252</f>
        <v>15.09</v>
      </c>
      <c r="P1252" s="43" t="n">
        <f aca="false">IF(K1252=0,0,O1252/K1252)</f>
        <v>0.580831408775982</v>
      </c>
    </row>
    <row r="1253" customFormat="false" ht="15" hidden="false" customHeight="false" outlineLevel="0" collapsed="false">
      <c r="A1253" s="39" t="s">
        <v>1375</v>
      </c>
      <c r="B1253" s="40" t="n">
        <v>45836</v>
      </c>
      <c r="C1253" s="39" t="s">
        <v>133</v>
      </c>
      <c r="D1253" s="39" t="n">
        <v>1</v>
      </c>
      <c r="E1253" s="41" t="n">
        <v>8.47</v>
      </c>
      <c r="F1253" s="39" t="s">
        <v>105</v>
      </c>
      <c r="G1253" s="39" t="str">
        <f aca="false">VLOOKUP(C1253,Products!$A$5:$D$24,2,FALSE())</f>
        <v>Printer Paper Ream</v>
      </c>
      <c r="H1253" s="39" t="str">
        <f aca="false">VLOOKUP(C1253,Products!$A$5:$D$24,3,FALSE())</f>
        <v>Stationery</v>
      </c>
      <c r="I1253" s="41" t="n">
        <f aca="false">VLOOKUP(C1253,Products!$A$5:$D$24,4,FALSE())</f>
        <v>4</v>
      </c>
      <c r="J1253" s="42" t="n">
        <f aca="false">DATE(YEAR(B1253),MONTH(B1253),1)</f>
        <v>45809</v>
      </c>
      <c r="K1253" s="41" t="n">
        <f aca="false">D1253*E1253</f>
        <v>8.47</v>
      </c>
      <c r="L1253" s="41" t="n">
        <f aca="false">D1253*I1253</f>
        <v>4</v>
      </c>
      <c r="M1253" s="41" t="n">
        <f aca="false">IFERROR(INDEX(Raw_Expenses!$C$5:$C$2979,MATCH(A1253,Raw_Expenses!$A$5:$A$2979,0)),0)</f>
        <v>0.42</v>
      </c>
      <c r="N1253" s="41" t="n">
        <f aca="false">L1253+M1253</f>
        <v>4.42</v>
      </c>
      <c r="O1253" s="41" t="n">
        <f aca="false">K1253-N1253</f>
        <v>4.05</v>
      </c>
      <c r="P1253" s="43" t="n">
        <f aca="false">IF(K1253=0,0,O1253/K1253)</f>
        <v>0.478158205430933</v>
      </c>
    </row>
    <row r="1254" customFormat="false" ht="15" hidden="false" customHeight="false" outlineLevel="0" collapsed="false">
      <c r="A1254" s="39" t="s">
        <v>1376</v>
      </c>
      <c r="B1254" s="40" t="n">
        <v>45836</v>
      </c>
      <c r="C1254" s="39" t="s">
        <v>144</v>
      </c>
      <c r="D1254" s="39" t="n">
        <v>1</v>
      </c>
      <c r="E1254" s="41" t="n">
        <v>54.63</v>
      </c>
      <c r="F1254" s="39" t="s">
        <v>118</v>
      </c>
      <c r="G1254" s="39" t="str">
        <f aca="false">VLOOKUP(C1254,Products!$A$5:$D$24,2,FALSE())</f>
        <v>Whiteboard</v>
      </c>
      <c r="H1254" s="39" t="str">
        <f aca="false">VLOOKUP(C1254,Products!$A$5:$D$24,3,FALSE())</f>
        <v>Furniture</v>
      </c>
      <c r="I1254" s="41" t="n">
        <f aca="false">VLOOKUP(C1254,Products!$A$5:$D$24,4,FALSE())</f>
        <v>28</v>
      </c>
      <c r="J1254" s="42" t="n">
        <f aca="false">DATE(YEAR(B1254),MONTH(B1254),1)</f>
        <v>45809</v>
      </c>
      <c r="K1254" s="41" t="n">
        <f aca="false">D1254*E1254</f>
        <v>54.63</v>
      </c>
      <c r="L1254" s="41" t="n">
        <f aca="false">D1254*I1254</f>
        <v>28</v>
      </c>
      <c r="M1254" s="41" t="n">
        <f aca="false">IFERROR(INDEX(Raw_Expenses!$C$5:$C$2979,MATCH(A1254,Raw_Expenses!$A$5:$A$2979,0)),0)</f>
        <v>2.79</v>
      </c>
      <c r="N1254" s="41" t="n">
        <f aca="false">L1254+M1254</f>
        <v>30.79</v>
      </c>
      <c r="O1254" s="41" t="n">
        <f aca="false">K1254-N1254</f>
        <v>23.84</v>
      </c>
      <c r="P1254" s="43" t="n">
        <f aca="false">IF(K1254=0,0,O1254/K1254)</f>
        <v>0.436390261760937</v>
      </c>
    </row>
    <row r="1255" customFormat="false" ht="15" hidden="false" customHeight="false" outlineLevel="0" collapsed="false">
      <c r="A1255" s="39" t="s">
        <v>1377</v>
      </c>
      <c r="B1255" s="40" t="n">
        <v>45836</v>
      </c>
      <c r="C1255" s="39" t="s">
        <v>114</v>
      </c>
      <c r="D1255" s="39" t="n">
        <v>4</v>
      </c>
      <c r="E1255" s="41" t="n">
        <v>5.54</v>
      </c>
      <c r="F1255" s="39" t="s">
        <v>118</v>
      </c>
      <c r="G1255" s="39" t="str">
        <f aca="false">VLOOKUP(C1255,Products!$A$5:$D$24,2,FALSE())</f>
        <v>Gel Pen Pack</v>
      </c>
      <c r="H1255" s="39" t="str">
        <f aca="false">VLOOKUP(C1255,Products!$A$5:$D$24,3,FALSE())</f>
        <v>Stationery</v>
      </c>
      <c r="I1255" s="41" t="n">
        <f aca="false">VLOOKUP(C1255,Products!$A$5:$D$24,4,FALSE())</f>
        <v>2</v>
      </c>
      <c r="J1255" s="42" t="n">
        <f aca="false">DATE(YEAR(B1255),MONTH(B1255),1)</f>
        <v>45809</v>
      </c>
      <c r="K1255" s="41" t="n">
        <f aca="false">D1255*E1255</f>
        <v>22.16</v>
      </c>
      <c r="L1255" s="41" t="n">
        <f aca="false">D1255*I1255</f>
        <v>8</v>
      </c>
      <c r="M1255" s="41" t="n">
        <f aca="false">IFERROR(INDEX(Raw_Expenses!$C$5:$C$2979,MATCH(A1255,Raw_Expenses!$A$5:$A$2979,0)),0)</f>
        <v>1.59</v>
      </c>
      <c r="N1255" s="41" t="n">
        <f aca="false">L1255+M1255</f>
        <v>9.59</v>
      </c>
      <c r="O1255" s="41" t="n">
        <f aca="false">K1255-N1255</f>
        <v>12.57</v>
      </c>
      <c r="P1255" s="43" t="n">
        <f aca="false">IF(K1255=0,0,O1255/K1255)</f>
        <v>0.567238267148014</v>
      </c>
    </row>
    <row r="1256" customFormat="false" ht="15" hidden="false" customHeight="false" outlineLevel="0" collapsed="false">
      <c r="A1256" s="39" t="s">
        <v>1378</v>
      </c>
      <c r="B1256" s="40" t="n">
        <v>45836</v>
      </c>
      <c r="C1256" s="39" t="s">
        <v>133</v>
      </c>
      <c r="D1256" s="39" t="n">
        <v>1</v>
      </c>
      <c r="E1256" s="41" t="n">
        <v>8.79</v>
      </c>
      <c r="F1256" s="39" t="s">
        <v>118</v>
      </c>
      <c r="G1256" s="39" t="str">
        <f aca="false">VLOOKUP(C1256,Products!$A$5:$D$24,2,FALSE())</f>
        <v>Printer Paper Ream</v>
      </c>
      <c r="H1256" s="39" t="str">
        <f aca="false">VLOOKUP(C1256,Products!$A$5:$D$24,3,FALSE())</f>
        <v>Stationery</v>
      </c>
      <c r="I1256" s="41" t="n">
        <f aca="false">VLOOKUP(C1256,Products!$A$5:$D$24,4,FALSE())</f>
        <v>4</v>
      </c>
      <c r="J1256" s="42" t="n">
        <f aca="false">DATE(YEAR(B1256),MONTH(B1256),1)</f>
        <v>45809</v>
      </c>
      <c r="K1256" s="41" t="n">
        <f aca="false">D1256*E1256</f>
        <v>8.79</v>
      </c>
      <c r="L1256" s="41" t="n">
        <f aca="false">D1256*I1256</f>
        <v>4</v>
      </c>
      <c r="M1256" s="41" t="n">
        <f aca="false">IFERROR(INDEX(Raw_Expenses!$C$5:$C$2979,MATCH(A1256,Raw_Expenses!$A$5:$A$2979,0)),0)</f>
        <v>0.56</v>
      </c>
      <c r="N1256" s="41" t="n">
        <f aca="false">L1256+M1256</f>
        <v>4.56</v>
      </c>
      <c r="O1256" s="41" t="n">
        <f aca="false">K1256-N1256</f>
        <v>4.23</v>
      </c>
      <c r="P1256" s="43" t="n">
        <f aca="false">IF(K1256=0,0,O1256/K1256)</f>
        <v>0.481228668941979</v>
      </c>
    </row>
    <row r="1257" customFormat="false" ht="15" hidden="false" customHeight="false" outlineLevel="0" collapsed="false">
      <c r="A1257" s="39" t="s">
        <v>1379</v>
      </c>
      <c r="B1257" s="40" t="n">
        <v>45836</v>
      </c>
      <c r="C1257" s="39" t="s">
        <v>112</v>
      </c>
      <c r="D1257" s="39" t="n">
        <v>4</v>
      </c>
      <c r="E1257" s="41" t="n">
        <v>54.8</v>
      </c>
      <c r="F1257" s="39" t="s">
        <v>105</v>
      </c>
      <c r="G1257" s="39" t="str">
        <f aca="false">VLOOKUP(C1257,Products!$A$5:$D$24,2,FALSE())</f>
        <v>HD Webcam</v>
      </c>
      <c r="H1257" s="39" t="str">
        <f aca="false">VLOOKUP(C1257,Products!$A$5:$D$24,3,FALSE())</f>
        <v>Electronics</v>
      </c>
      <c r="I1257" s="41" t="n">
        <f aca="false">VLOOKUP(C1257,Products!$A$5:$D$24,4,FALSE())</f>
        <v>22</v>
      </c>
      <c r="J1257" s="42" t="n">
        <f aca="false">DATE(YEAR(B1257),MONTH(B1257),1)</f>
        <v>45809</v>
      </c>
      <c r="K1257" s="41" t="n">
        <f aca="false">D1257*E1257</f>
        <v>219.2</v>
      </c>
      <c r="L1257" s="41" t="n">
        <f aca="false">D1257*I1257</f>
        <v>88</v>
      </c>
      <c r="M1257" s="41" t="n">
        <f aca="false">IFERROR(INDEX(Raw_Expenses!$C$5:$C$2979,MATCH(A1257,Raw_Expenses!$A$5:$A$2979,0)),0)</f>
        <v>18.77</v>
      </c>
      <c r="N1257" s="41" t="n">
        <f aca="false">L1257+M1257</f>
        <v>106.77</v>
      </c>
      <c r="O1257" s="41" t="n">
        <f aca="false">K1257-N1257</f>
        <v>112.43</v>
      </c>
      <c r="P1257" s="43" t="n">
        <f aca="false">IF(K1257=0,0,O1257/K1257)</f>
        <v>0.512910583941606</v>
      </c>
    </row>
    <row r="1258" customFormat="false" ht="15" hidden="false" customHeight="false" outlineLevel="0" collapsed="false">
      <c r="A1258" s="39" t="s">
        <v>1380</v>
      </c>
      <c r="B1258" s="40" t="n">
        <v>45839</v>
      </c>
      <c r="C1258" s="39" t="s">
        <v>136</v>
      </c>
      <c r="D1258" s="39" t="n">
        <v>2</v>
      </c>
      <c r="E1258" s="41" t="n">
        <v>75.53</v>
      </c>
      <c r="F1258" s="39" t="s">
        <v>105</v>
      </c>
      <c r="G1258" s="39" t="str">
        <f aca="false">VLOOKUP(C1258,Products!$A$5:$D$24,2,FALSE())</f>
        <v>Mechanical Keyboard</v>
      </c>
      <c r="H1258" s="39" t="str">
        <f aca="false">VLOOKUP(C1258,Products!$A$5:$D$24,3,FALSE())</f>
        <v>Electronics</v>
      </c>
      <c r="I1258" s="41" t="n">
        <f aca="false">VLOOKUP(C1258,Products!$A$5:$D$24,4,FALSE())</f>
        <v>38</v>
      </c>
      <c r="J1258" s="42" t="n">
        <f aca="false">DATE(YEAR(B1258),MONTH(B1258),1)</f>
        <v>45839</v>
      </c>
      <c r="K1258" s="41" t="n">
        <f aca="false">D1258*E1258</f>
        <v>151.06</v>
      </c>
      <c r="L1258" s="41" t="n">
        <f aca="false">D1258*I1258</f>
        <v>76</v>
      </c>
      <c r="M1258" s="41" t="n">
        <f aca="false">IFERROR(INDEX(Raw_Expenses!$C$5:$C$2979,MATCH(A1258,Raw_Expenses!$A$5:$A$2979,0)),0)</f>
        <v>12.49</v>
      </c>
      <c r="N1258" s="41" t="n">
        <f aca="false">L1258+M1258</f>
        <v>88.49</v>
      </c>
      <c r="O1258" s="41" t="n">
        <f aca="false">K1258-N1258</f>
        <v>62.57</v>
      </c>
      <c r="P1258" s="43" t="n">
        <f aca="false">IF(K1258=0,0,O1258/K1258)</f>
        <v>0.414206275652059</v>
      </c>
    </row>
    <row r="1259" customFormat="false" ht="15" hidden="false" customHeight="false" outlineLevel="0" collapsed="false">
      <c r="A1259" s="39" t="s">
        <v>1381</v>
      </c>
      <c r="B1259" s="40" t="n">
        <v>45839</v>
      </c>
      <c r="C1259" s="39" t="s">
        <v>126</v>
      </c>
      <c r="D1259" s="39" t="n">
        <v>2</v>
      </c>
      <c r="E1259" s="41" t="n">
        <v>23.47</v>
      </c>
      <c r="F1259" s="39" t="s">
        <v>105</v>
      </c>
      <c r="G1259" s="39" t="str">
        <f aca="false">VLOOKUP(C1259,Products!$A$5:$D$24,2,FALSE())</f>
        <v>Wireless Mouse</v>
      </c>
      <c r="H1259" s="39" t="str">
        <f aca="false">VLOOKUP(C1259,Products!$A$5:$D$24,3,FALSE())</f>
        <v>Electronics</v>
      </c>
      <c r="I1259" s="41" t="n">
        <f aca="false">VLOOKUP(C1259,Products!$A$5:$D$24,4,FALSE())</f>
        <v>12</v>
      </c>
      <c r="J1259" s="42" t="n">
        <f aca="false">DATE(YEAR(B1259),MONTH(B1259),1)</f>
        <v>45839</v>
      </c>
      <c r="K1259" s="41" t="n">
        <f aca="false">D1259*E1259</f>
        <v>46.94</v>
      </c>
      <c r="L1259" s="41" t="n">
        <f aca="false">D1259*I1259</f>
        <v>24</v>
      </c>
      <c r="M1259" s="41" t="n">
        <f aca="false">IFERROR(INDEX(Raw_Expenses!$C$5:$C$2979,MATCH(A1259,Raw_Expenses!$A$5:$A$2979,0)),0)</f>
        <v>2.06</v>
      </c>
      <c r="N1259" s="41" t="n">
        <f aca="false">L1259+M1259</f>
        <v>26.06</v>
      </c>
      <c r="O1259" s="41" t="n">
        <f aca="false">K1259-N1259</f>
        <v>20.88</v>
      </c>
      <c r="P1259" s="43" t="n">
        <f aca="false">IF(K1259=0,0,O1259/K1259)</f>
        <v>0.444823178525778</v>
      </c>
    </row>
    <row r="1260" customFormat="false" ht="15" hidden="false" customHeight="false" outlineLevel="0" collapsed="false">
      <c r="A1260" s="39" t="s">
        <v>1382</v>
      </c>
      <c r="B1260" s="40" t="n">
        <v>45839</v>
      </c>
      <c r="C1260" s="39" t="s">
        <v>107</v>
      </c>
      <c r="D1260" s="39" t="n">
        <v>2</v>
      </c>
      <c r="E1260" s="41" t="n">
        <v>32.8</v>
      </c>
      <c r="F1260" s="39" t="s">
        <v>115</v>
      </c>
      <c r="G1260" s="39" t="str">
        <f aca="false">VLOOKUP(C1260,Products!$A$5:$D$24,2,FALSE())</f>
        <v>USB-C Hub</v>
      </c>
      <c r="H1260" s="39" t="str">
        <f aca="false">VLOOKUP(C1260,Products!$A$5:$D$24,3,FALSE())</f>
        <v>Electronics</v>
      </c>
      <c r="I1260" s="41" t="n">
        <f aca="false">VLOOKUP(C1260,Products!$A$5:$D$24,4,FALSE())</f>
        <v>14</v>
      </c>
      <c r="J1260" s="42" t="n">
        <f aca="false">DATE(YEAR(B1260),MONTH(B1260),1)</f>
        <v>45839</v>
      </c>
      <c r="K1260" s="41" t="n">
        <f aca="false">D1260*E1260</f>
        <v>65.6</v>
      </c>
      <c r="L1260" s="41" t="n">
        <f aca="false">D1260*I1260</f>
        <v>28</v>
      </c>
      <c r="M1260" s="41" t="n">
        <f aca="false">IFERROR(INDEX(Raw_Expenses!$C$5:$C$2979,MATCH(A1260,Raw_Expenses!$A$5:$A$2979,0)),0)</f>
        <v>4.52</v>
      </c>
      <c r="N1260" s="41" t="n">
        <f aca="false">L1260+M1260</f>
        <v>32.52</v>
      </c>
      <c r="O1260" s="41" t="n">
        <f aca="false">K1260-N1260</f>
        <v>33.08</v>
      </c>
      <c r="P1260" s="43" t="n">
        <f aca="false">IF(K1260=0,0,O1260/K1260)</f>
        <v>0.504268292682927</v>
      </c>
    </row>
    <row r="1261" customFormat="false" ht="15" hidden="false" customHeight="false" outlineLevel="0" collapsed="false">
      <c r="A1261" s="39" t="s">
        <v>1383</v>
      </c>
      <c r="B1261" s="40" t="n">
        <v>45839</v>
      </c>
      <c r="C1261" s="39" t="s">
        <v>114</v>
      </c>
      <c r="D1261" s="39" t="n">
        <v>2</v>
      </c>
      <c r="E1261" s="41" t="n">
        <v>5.96</v>
      </c>
      <c r="F1261" s="39" t="s">
        <v>108</v>
      </c>
      <c r="G1261" s="39" t="str">
        <f aca="false">VLOOKUP(C1261,Products!$A$5:$D$24,2,FALSE())</f>
        <v>Gel Pen Pack</v>
      </c>
      <c r="H1261" s="39" t="str">
        <f aca="false">VLOOKUP(C1261,Products!$A$5:$D$24,3,FALSE())</f>
        <v>Stationery</v>
      </c>
      <c r="I1261" s="41" t="n">
        <f aca="false">VLOOKUP(C1261,Products!$A$5:$D$24,4,FALSE())</f>
        <v>2</v>
      </c>
      <c r="J1261" s="42" t="n">
        <f aca="false">DATE(YEAR(B1261),MONTH(B1261),1)</f>
        <v>45839</v>
      </c>
      <c r="K1261" s="41" t="n">
        <f aca="false">D1261*E1261</f>
        <v>11.92</v>
      </c>
      <c r="L1261" s="41" t="n">
        <f aca="false">D1261*I1261</f>
        <v>4</v>
      </c>
      <c r="M1261" s="41" t="n">
        <f aca="false">IFERROR(INDEX(Raw_Expenses!$C$5:$C$2979,MATCH(A1261,Raw_Expenses!$A$5:$A$2979,0)),0)</f>
        <v>0.79</v>
      </c>
      <c r="N1261" s="41" t="n">
        <f aca="false">L1261+M1261</f>
        <v>4.79</v>
      </c>
      <c r="O1261" s="41" t="n">
        <f aca="false">K1261-N1261</f>
        <v>7.13</v>
      </c>
      <c r="P1261" s="43" t="n">
        <f aca="false">IF(K1261=0,0,O1261/K1261)</f>
        <v>0.598154362416107</v>
      </c>
    </row>
    <row r="1262" customFormat="false" ht="15" hidden="false" customHeight="false" outlineLevel="0" collapsed="false">
      <c r="A1262" s="39" t="s">
        <v>1384</v>
      </c>
      <c r="B1262" s="40" t="n">
        <v>45839</v>
      </c>
      <c r="C1262" s="39" t="s">
        <v>139</v>
      </c>
      <c r="D1262" s="39" t="n">
        <v>4</v>
      </c>
      <c r="E1262" s="41" t="n">
        <v>124.25</v>
      </c>
      <c r="F1262" s="39" t="s">
        <v>118</v>
      </c>
      <c r="G1262" s="39" t="str">
        <f aca="false">VLOOKUP(C1262,Products!$A$5:$D$24,2,FALSE())</f>
        <v>Noise-Cancelling Headphones</v>
      </c>
      <c r="H1262" s="39" t="str">
        <f aca="false">VLOOKUP(C1262,Products!$A$5:$D$24,3,FALSE())</f>
        <v>Electronics</v>
      </c>
      <c r="I1262" s="41" t="n">
        <f aca="false">VLOOKUP(C1262,Products!$A$5:$D$24,4,FALSE())</f>
        <v>55</v>
      </c>
      <c r="J1262" s="42" t="n">
        <f aca="false">DATE(YEAR(B1262),MONTH(B1262),1)</f>
        <v>45839</v>
      </c>
      <c r="K1262" s="41" t="n">
        <f aca="false">D1262*E1262</f>
        <v>497</v>
      </c>
      <c r="L1262" s="41" t="n">
        <f aca="false">D1262*I1262</f>
        <v>220</v>
      </c>
      <c r="M1262" s="41" t="n">
        <f aca="false">IFERROR(INDEX(Raw_Expenses!$C$5:$C$2979,MATCH(A1262,Raw_Expenses!$A$5:$A$2979,0)),0)</f>
        <v>40.97</v>
      </c>
      <c r="N1262" s="41" t="n">
        <f aca="false">L1262+M1262</f>
        <v>260.97</v>
      </c>
      <c r="O1262" s="41" t="n">
        <f aca="false">K1262-N1262</f>
        <v>236.03</v>
      </c>
      <c r="P1262" s="43" t="n">
        <f aca="false">IF(K1262=0,0,O1262/K1262)</f>
        <v>0.474909456740443</v>
      </c>
    </row>
    <row r="1263" customFormat="false" ht="15" hidden="false" customHeight="false" outlineLevel="0" collapsed="false">
      <c r="A1263" s="39" t="s">
        <v>1385</v>
      </c>
      <c r="B1263" s="40" t="n">
        <v>45839</v>
      </c>
      <c r="C1263" s="39" t="s">
        <v>153</v>
      </c>
      <c r="D1263" s="39" t="n">
        <v>5</v>
      </c>
      <c r="E1263" s="41" t="n">
        <v>170.26</v>
      </c>
      <c r="F1263" s="39" t="s">
        <v>105</v>
      </c>
      <c r="G1263" s="39" t="str">
        <f aca="false">VLOOKUP(C1263,Products!$A$5:$D$24,2,FALSE())</f>
        <v>24-inch Monitor</v>
      </c>
      <c r="H1263" s="39" t="str">
        <f aca="false">VLOOKUP(C1263,Products!$A$5:$D$24,3,FALSE())</f>
        <v>Electronics</v>
      </c>
      <c r="I1263" s="41" t="n">
        <f aca="false">VLOOKUP(C1263,Products!$A$5:$D$24,4,FALSE())</f>
        <v>90</v>
      </c>
      <c r="J1263" s="42" t="n">
        <f aca="false">DATE(YEAR(B1263),MONTH(B1263),1)</f>
        <v>45839</v>
      </c>
      <c r="K1263" s="41" t="n">
        <f aca="false">D1263*E1263</f>
        <v>851.3</v>
      </c>
      <c r="L1263" s="41" t="n">
        <f aca="false">D1263*I1263</f>
        <v>450</v>
      </c>
      <c r="M1263" s="41" t="n">
        <f aca="false">IFERROR(INDEX(Raw_Expenses!$C$5:$C$2979,MATCH(A1263,Raw_Expenses!$A$5:$A$2979,0)),0)</f>
        <v>51.29</v>
      </c>
      <c r="N1263" s="41" t="n">
        <f aca="false">L1263+M1263</f>
        <v>501.29</v>
      </c>
      <c r="O1263" s="41" t="n">
        <f aca="false">K1263-N1263</f>
        <v>350.01</v>
      </c>
      <c r="P1263" s="43" t="n">
        <f aca="false">IF(K1263=0,0,O1263/K1263)</f>
        <v>0.411147656525314</v>
      </c>
    </row>
    <row r="1264" customFormat="false" ht="15" hidden="false" customHeight="false" outlineLevel="0" collapsed="false">
      <c r="A1264" s="39" t="s">
        <v>1386</v>
      </c>
      <c r="B1264" s="40" t="n">
        <v>45839</v>
      </c>
      <c r="C1264" s="39" t="s">
        <v>117</v>
      </c>
      <c r="D1264" s="39" t="n">
        <v>4</v>
      </c>
      <c r="E1264" s="41" t="n">
        <v>29.81</v>
      </c>
      <c r="F1264" s="39" t="s">
        <v>115</v>
      </c>
      <c r="G1264" s="39" t="str">
        <f aca="false">VLOOKUP(C1264,Products!$A$5:$D$24,2,FALSE())</f>
        <v>Desk Lamp</v>
      </c>
      <c r="H1264" s="39" t="str">
        <f aca="false">VLOOKUP(C1264,Products!$A$5:$D$24,3,FALSE())</f>
        <v>Furniture</v>
      </c>
      <c r="I1264" s="41" t="n">
        <f aca="false">VLOOKUP(C1264,Products!$A$5:$D$24,4,FALSE())</f>
        <v>13</v>
      </c>
      <c r="J1264" s="42" t="n">
        <f aca="false">DATE(YEAR(B1264),MONTH(B1264),1)</f>
        <v>45839</v>
      </c>
      <c r="K1264" s="41" t="n">
        <f aca="false">D1264*E1264</f>
        <v>119.24</v>
      </c>
      <c r="L1264" s="41" t="n">
        <f aca="false">D1264*I1264</f>
        <v>52</v>
      </c>
      <c r="M1264" s="41" t="n">
        <f aca="false">IFERROR(INDEX(Raw_Expenses!$C$5:$C$2979,MATCH(A1264,Raw_Expenses!$A$5:$A$2979,0)),0)</f>
        <v>7.75</v>
      </c>
      <c r="N1264" s="41" t="n">
        <f aca="false">L1264+M1264</f>
        <v>59.75</v>
      </c>
      <c r="O1264" s="41" t="n">
        <f aca="false">K1264-N1264</f>
        <v>59.49</v>
      </c>
      <c r="P1264" s="43" t="n">
        <f aca="false">IF(K1264=0,0,O1264/K1264)</f>
        <v>0.498909761824891</v>
      </c>
    </row>
    <row r="1265" customFormat="false" ht="15" hidden="false" customHeight="false" outlineLevel="0" collapsed="false">
      <c r="A1265" s="39" t="s">
        <v>1387</v>
      </c>
      <c r="B1265" s="40" t="n">
        <v>45839</v>
      </c>
      <c r="C1265" s="39" t="s">
        <v>110</v>
      </c>
      <c r="D1265" s="39" t="n">
        <v>3</v>
      </c>
      <c r="E1265" s="41" t="n">
        <v>13.8</v>
      </c>
      <c r="F1265" s="39" t="s">
        <v>105</v>
      </c>
      <c r="G1265" s="39" t="str">
        <f aca="false">VLOOKUP(C1265,Products!$A$5:$D$24,2,FALSE())</f>
        <v>Phone Stand</v>
      </c>
      <c r="H1265" s="39" t="str">
        <f aca="false">VLOOKUP(C1265,Products!$A$5:$D$24,3,FALSE())</f>
        <v>Accessories</v>
      </c>
      <c r="I1265" s="41" t="n">
        <f aca="false">VLOOKUP(C1265,Products!$A$5:$D$24,4,FALSE())</f>
        <v>4</v>
      </c>
      <c r="J1265" s="42" t="n">
        <f aca="false">DATE(YEAR(B1265),MONTH(B1265),1)</f>
        <v>45839</v>
      </c>
      <c r="K1265" s="41" t="n">
        <f aca="false">D1265*E1265</f>
        <v>41.4</v>
      </c>
      <c r="L1265" s="41" t="n">
        <f aca="false">D1265*I1265</f>
        <v>12</v>
      </c>
      <c r="M1265" s="41" t="n">
        <f aca="false">IFERROR(INDEX(Raw_Expenses!$C$5:$C$2979,MATCH(A1265,Raw_Expenses!$A$5:$A$2979,0)),0)</f>
        <v>3.56</v>
      </c>
      <c r="N1265" s="41" t="n">
        <f aca="false">L1265+M1265</f>
        <v>15.56</v>
      </c>
      <c r="O1265" s="41" t="n">
        <f aca="false">K1265-N1265</f>
        <v>25.84</v>
      </c>
      <c r="P1265" s="43" t="n">
        <f aca="false">IF(K1265=0,0,O1265/K1265)</f>
        <v>0.624154589371981</v>
      </c>
    </row>
    <row r="1266" customFormat="false" ht="15" hidden="false" customHeight="false" outlineLevel="0" collapsed="false">
      <c r="A1266" s="39" t="s">
        <v>1388</v>
      </c>
      <c r="B1266" s="40" t="n">
        <v>45839</v>
      </c>
      <c r="C1266" s="39" t="s">
        <v>162</v>
      </c>
      <c r="D1266" s="39" t="n">
        <v>3</v>
      </c>
      <c r="E1266" s="41" t="n">
        <v>65.49</v>
      </c>
      <c r="F1266" s="39" t="s">
        <v>108</v>
      </c>
      <c r="G1266" s="39" t="str">
        <f aca="false">VLOOKUP(C1266,Products!$A$5:$D$24,2,FALSE())</f>
        <v>Bluetooth Speaker</v>
      </c>
      <c r="H1266" s="39" t="str">
        <f aca="false">VLOOKUP(C1266,Products!$A$5:$D$24,3,FALSE())</f>
        <v>Electronics</v>
      </c>
      <c r="I1266" s="41" t="n">
        <f aca="false">VLOOKUP(C1266,Products!$A$5:$D$24,4,FALSE())</f>
        <v>28</v>
      </c>
      <c r="J1266" s="42" t="n">
        <f aca="false">DATE(YEAR(B1266),MONTH(B1266),1)</f>
        <v>45839</v>
      </c>
      <c r="K1266" s="41" t="n">
        <f aca="false">D1266*E1266</f>
        <v>196.47</v>
      </c>
      <c r="L1266" s="41" t="n">
        <f aca="false">D1266*I1266</f>
        <v>84</v>
      </c>
      <c r="M1266" s="41" t="n">
        <f aca="false">IFERROR(INDEX(Raw_Expenses!$C$5:$C$2979,MATCH(A1266,Raw_Expenses!$A$5:$A$2979,0)),0)</f>
        <v>13.41</v>
      </c>
      <c r="N1266" s="41" t="n">
        <f aca="false">L1266+M1266</f>
        <v>97.41</v>
      </c>
      <c r="O1266" s="41" t="n">
        <f aca="false">K1266-N1266</f>
        <v>99.06</v>
      </c>
      <c r="P1266" s="43" t="n">
        <f aca="false">IF(K1266=0,0,O1266/K1266)</f>
        <v>0.504199114368606</v>
      </c>
    </row>
    <row r="1267" customFormat="false" ht="15" hidden="false" customHeight="false" outlineLevel="0" collapsed="false">
      <c r="A1267" s="39" t="s">
        <v>1389</v>
      </c>
      <c r="B1267" s="40" t="n">
        <v>45839</v>
      </c>
      <c r="C1267" s="39" t="s">
        <v>144</v>
      </c>
      <c r="D1267" s="39" t="n">
        <v>3</v>
      </c>
      <c r="E1267" s="41" t="n">
        <v>56.22</v>
      </c>
      <c r="F1267" s="39" t="s">
        <v>105</v>
      </c>
      <c r="G1267" s="39" t="str">
        <f aca="false">VLOOKUP(C1267,Products!$A$5:$D$24,2,FALSE())</f>
        <v>Whiteboard</v>
      </c>
      <c r="H1267" s="39" t="str">
        <f aca="false">VLOOKUP(C1267,Products!$A$5:$D$24,3,FALSE())</f>
        <v>Furniture</v>
      </c>
      <c r="I1267" s="41" t="n">
        <f aca="false">VLOOKUP(C1267,Products!$A$5:$D$24,4,FALSE())</f>
        <v>28</v>
      </c>
      <c r="J1267" s="42" t="n">
        <f aca="false">DATE(YEAR(B1267),MONTH(B1267),1)</f>
        <v>45839</v>
      </c>
      <c r="K1267" s="41" t="n">
        <f aca="false">D1267*E1267</f>
        <v>168.66</v>
      </c>
      <c r="L1267" s="41" t="n">
        <f aca="false">D1267*I1267</f>
        <v>84</v>
      </c>
      <c r="M1267" s="41" t="n">
        <f aca="false">IFERROR(INDEX(Raw_Expenses!$C$5:$C$2979,MATCH(A1267,Raw_Expenses!$A$5:$A$2979,0)),0)</f>
        <v>7.49</v>
      </c>
      <c r="N1267" s="41" t="n">
        <f aca="false">L1267+M1267</f>
        <v>91.49</v>
      </c>
      <c r="O1267" s="41" t="n">
        <f aca="false">K1267-N1267</f>
        <v>77.17</v>
      </c>
      <c r="P1267" s="43" t="n">
        <f aca="false">IF(K1267=0,0,O1267/K1267)</f>
        <v>0.457547729159255</v>
      </c>
    </row>
    <row r="1268" customFormat="false" ht="15" hidden="false" customHeight="false" outlineLevel="0" collapsed="false">
      <c r="A1268" s="39" t="s">
        <v>1390</v>
      </c>
      <c r="B1268" s="40" t="n">
        <v>45839</v>
      </c>
      <c r="C1268" s="39" t="s">
        <v>107</v>
      </c>
      <c r="D1268" s="39" t="n">
        <v>4</v>
      </c>
      <c r="E1268" s="41" t="n">
        <v>32.84</v>
      </c>
      <c r="F1268" s="39" t="s">
        <v>105</v>
      </c>
      <c r="G1268" s="39" t="str">
        <f aca="false">VLOOKUP(C1268,Products!$A$5:$D$24,2,FALSE())</f>
        <v>USB-C Hub</v>
      </c>
      <c r="H1268" s="39" t="str">
        <f aca="false">VLOOKUP(C1268,Products!$A$5:$D$24,3,FALSE())</f>
        <v>Electronics</v>
      </c>
      <c r="I1268" s="41" t="n">
        <f aca="false">VLOOKUP(C1268,Products!$A$5:$D$24,4,FALSE())</f>
        <v>14</v>
      </c>
      <c r="J1268" s="42" t="n">
        <f aca="false">DATE(YEAR(B1268),MONTH(B1268),1)</f>
        <v>45839</v>
      </c>
      <c r="K1268" s="41" t="n">
        <f aca="false">D1268*E1268</f>
        <v>131.36</v>
      </c>
      <c r="L1268" s="41" t="n">
        <f aca="false">D1268*I1268</f>
        <v>56</v>
      </c>
      <c r="M1268" s="41" t="n">
        <f aca="false">IFERROR(INDEX(Raw_Expenses!$C$5:$C$2979,MATCH(A1268,Raw_Expenses!$A$5:$A$2979,0)),0)</f>
        <v>8.08</v>
      </c>
      <c r="N1268" s="41" t="n">
        <f aca="false">L1268+M1268</f>
        <v>64.08</v>
      </c>
      <c r="O1268" s="41" t="n">
        <f aca="false">K1268-N1268</f>
        <v>67.28</v>
      </c>
      <c r="P1268" s="43" t="n">
        <f aca="false">IF(K1268=0,0,O1268/K1268)</f>
        <v>0.512180267965895</v>
      </c>
    </row>
    <row r="1269" customFormat="false" ht="15" hidden="false" customHeight="false" outlineLevel="0" collapsed="false">
      <c r="A1269" s="39" t="s">
        <v>1391</v>
      </c>
      <c r="B1269" s="40" t="n">
        <v>45840</v>
      </c>
      <c r="C1269" s="39" t="s">
        <v>153</v>
      </c>
      <c r="D1269" s="39" t="n">
        <v>1</v>
      </c>
      <c r="E1269" s="41" t="n">
        <v>169.71</v>
      </c>
      <c r="F1269" s="39" t="s">
        <v>105</v>
      </c>
      <c r="G1269" s="39" t="str">
        <f aca="false">VLOOKUP(C1269,Products!$A$5:$D$24,2,FALSE())</f>
        <v>24-inch Monitor</v>
      </c>
      <c r="H1269" s="39" t="str">
        <f aca="false">VLOOKUP(C1269,Products!$A$5:$D$24,3,FALSE())</f>
        <v>Electronics</v>
      </c>
      <c r="I1269" s="41" t="n">
        <f aca="false">VLOOKUP(C1269,Products!$A$5:$D$24,4,FALSE())</f>
        <v>90</v>
      </c>
      <c r="J1269" s="42" t="n">
        <f aca="false">DATE(YEAR(B1269),MONTH(B1269),1)</f>
        <v>45839</v>
      </c>
      <c r="K1269" s="41" t="n">
        <f aca="false">D1269*E1269</f>
        <v>169.71</v>
      </c>
      <c r="L1269" s="41" t="n">
        <f aca="false">D1269*I1269</f>
        <v>90</v>
      </c>
      <c r="M1269" s="41" t="n">
        <f aca="false">IFERROR(INDEX(Raw_Expenses!$C$5:$C$2979,MATCH(A1269,Raw_Expenses!$A$5:$A$2979,0)),0)</f>
        <v>12.6</v>
      </c>
      <c r="N1269" s="41" t="n">
        <f aca="false">L1269+M1269</f>
        <v>102.6</v>
      </c>
      <c r="O1269" s="41" t="n">
        <f aca="false">K1269-N1269</f>
        <v>67.11</v>
      </c>
      <c r="P1269" s="43" t="n">
        <f aca="false">IF(K1269=0,0,O1269/K1269)</f>
        <v>0.395439278769666</v>
      </c>
    </row>
    <row r="1270" customFormat="false" ht="15" hidden="false" customHeight="false" outlineLevel="0" collapsed="false">
      <c r="A1270" s="39" t="s">
        <v>1392</v>
      </c>
      <c r="B1270" s="40" t="n">
        <v>45840</v>
      </c>
      <c r="C1270" s="39" t="s">
        <v>130</v>
      </c>
      <c r="D1270" s="39" t="n">
        <v>1</v>
      </c>
      <c r="E1270" s="41" t="n">
        <v>8.35</v>
      </c>
      <c r="F1270" s="39" t="s">
        <v>115</v>
      </c>
      <c r="G1270" s="39" t="str">
        <f aca="false">VLOOKUP(C1270,Products!$A$5:$D$24,2,FALSE())</f>
        <v>Notebook Set</v>
      </c>
      <c r="H1270" s="39" t="str">
        <f aca="false">VLOOKUP(C1270,Products!$A$5:$D$24,3,FALSE())</f>
        <v>Stationery</v>
      </c>
      <c r="I1270" s="41" t="n">
        <f aca="false">VLOOKUP(C1270,Products!$A$5:$D$24,4,FALSE())</f>
        <v>3</v>
      </c>
      <c r="J1270" s="42" t="n">
        <f aca="false">DATE(YEAR(B1270),MONTH(B1270),1)</f>
        <v>45839</v>
      </c>
      <c r="K1270" s="41" t="n">
        <f aca="false">D1270*E1270</f>
        <v>8.35</v>
      </c>
      <c r="L1270" s="41" t="n">
        <f aca="false">D1270*I1270</f>
        <v>3</v>
      </c>
      <c r="M1270" s="41" t="n">
        <f aca="false">IFERROR(INDEX(Raw_Expenses!$C$5:$C$2979,MATCH(A1270,Raw_Expenses!$A$5:$A$2979,0)),0)</f>
        <v>0.36</v>
      </c>
      <c r="N1270" s="41" t="n">
        <f aca="false">L1270+M1270</f>
        <v>3.36</v>
      </c>
      <c r="O1270" s="41" t="n">
        <f aca="false">K1270-N1270</f>
        <v>4.99</v>
      </c>
      <c r="P1270" s="43" t="n">
        <f aca="false">IF(K1270=0,0,O1270/K1270)</f>
        <v>0.597604790419162</v>
      </c>
    </row>
    <row r="1271" customFormat="false" ht="15" hidden="false" customHeight="false" outlineLevel="0" collapsed="false">
      <c r="A1271" s="39" t="s">
        <v>1393</v>
      </c>
      <c r="B1271" s="40" t="n">
        <v>45840</v>
      </c>
      <c r="C1271" s="39" t="s">
        <v>112</v>
      </c>
      <c r="D1271" s="39" t="n">
        <v>3</v>
      </c>
      <c r="E1271" s="41" t="n">
        <v>51.86</v>
      </c>
      <c r="F1271" s="39" t="s">
        <v>115</v>
      </c>
      <c r="G1271" s="39" t="str">
        <f aca="false">VLOOKUP(C1271,Products!$A$5:$D$24,2,FALSE())</f>
        <v>HD Webcam</v>
      </c>
      <c r="H1271" s="39" t="str">
        <f aca="false">VLOOKUP(C1271,Products!$A$5:$D$24,3,FALSE())</f>
        <v>Electronics</v>
      </c>
      <c r="I1271" s="41" t="n">
        <f aca="false">VLOOKUP(C1271,Products!$A$5:$D$24,4,FALSE())</f>
        <v>22</v>
      </c>
      <c r="J1271" s="42" t="n">
        <f aca="false">DATE(YEAR(B1271),MONTH(B1271),1)</f>
        <v>45839</v>
      </c>
      <c r="K1271" s="41" t="n">
        <f aca="false">D1271*E1271</f>
        <v>155.58</v>
      </c>
      <c r="L1271" s="41" t="n">
        <f aca="false">D1271*I1271</f>
        <v>66</v>
      </c>
      <c r="M1271" s="41" t="n">
        <f aca="false">IFERROR(INDEX(Raw_Expenses!$C$5:$C$2979,MATCH(A1271,Raw_Expenses!$A$5:$A$2979,0)),0)</f>
        <v>12.47</v>
      </c>
      <c r="N1271" s="41" t="n">
        <f aca="false">L1271+M1271</f>
        <v>78.47</v>
      </c>
      <c r="O1271" s="41" t="n">
        <f aca="false">K1271-N1271</f>
        <v>77.11</v>
      </c>
      <c r="P1271" s="43" t="n">
        <f aca="false">IF(K1271=0,0,O1271/K1271)</f>
        <v>0.495629258259416</v>
      </c>
    </row>
    <row r="1272" customFormat="false" ht="15" hidden="false" customHeight="false" outlineLevel="0" collapsed="false">
      <c r="A1272" s="39" t="s">
        <v>1394</v>
      </c>
      <c r="B1272" s="40" t="n">
        <v>45840</v>
      </c>
      <c r="C1272" s="39" t="s">
        <v>136</v>
      </c>
      <c r="D1272" s="39" t="n">
        <v>8</v>
      </c>
      <c r="E1272" s="41" t="n">
        <v>75.08</v>
      </c>
      <c r="F1272" s="39" t="s">
        <v>105</v>
      </c>
      <c r="G1272" s="39" t="str">
        <f aca="false">VLOOKUP(C1272,Products!$A$5:$D$24,2,FALSE())</f>
        <v>Mechanical Keyboard</v>
      </c>
      <c r="H1272" s="39" t="str">
        <f aca="false">VLOOKUP(C1272,Products!$A$5:$D$24,3,FALSE())</f>
        <v>Electronics</v>
      </c>
      <c r="I1272" s="41" t="n">
        <f aca="false">VLOOKUP(C1272,Products!$A$5:$D$24,4,FALSE())</f>
        <v>38</v>
      </c>
      <c r="J1272" s="42" t="n">
        <f aca="false">DATE(YEAR(B1272),MONTH(B1272),1)</f>
        <v>45839</v>
      </c>
      <c r="K1272" s="41" t="n">
        <f aca="false">D1272*E1272</f>
        <v>600.64</v>
      </c>
      <c r="L1272" s="41" t="n">
        <f aca="false">D1272*I1272</f>
        <v>304</v>
      </c>
      <c r="M1272" s="41" t="n">
        <f aca="false">IFERROR(INDEX(Raw_Expenses!$C$5:$C$2979,MATCH(A1272,Raw_Expenses!$A$5:$A$2979,0)),0)</f>
        <v>33.35</v>
      </c>
      <c r="N1272" s="41" t="n">
        <f aca="false">L1272+M1272</f>
        <v>337.35</v>
      </c>
      <c r="O1272" s="41" t="n">
        <f aca="false">K1272-N1272</f>
        <v>263.29</v>
      </c>
      <c r="P1272" s="43" t="n">
        <f aca="false">IF(K1272=0,0,O1272/K1272)</f>
        <v>0.438349094299414</v>
      </c>
    </row>
    <row r="1273" customFormat="false" ht="15" hidden="false" customHeight="false" outlineLevel="0" collapsed="false">
      <c r="A1273" s="39" t="s">
        <v>1395</v>
      </c>
      <c r="B1273" s="40" t="n">
        <v>45840</v>
      </c>
      <c r="C1273" s="39" t="s">
        <v>169</v>
      </c>
      <c r="D1273" s="39" t="n">
        <v>1</v>
      </c>
      <c r="E1273" s="41" t="n">
        <v>28.43</v>
      </c>
      <c r="F1273" s="39" t="s">
        <v>108</v>
      </c>
      <c r="G1273" s="39" t="str">
        <f aca="false">VLOOKUP(C1273,Products!$A$5:$D$24,2,FALSE())</f>
        <v>Laptop Stand</v>
      </c>
      <c r="H1273" s="39" t="str">
        <f aca="false">VLOOKUP(C1273,Products!$A$5:$D$24,3,FALSE())</f>
        <v>Accessories</v>
      </c>
      <c r="I1273" s="41" t="n">
        <f aca="false">VLOOKUP(C1273,Products!$A$5:$D$24,4,FALSE())</f>
        <v>11</v>
      </c>
      <c r="J1273" s="42" t="n">
        <f aca="false">DATE(YEAR(B1273),MONTH(B1273),1)</f>
        <v>45839</v>
      </c>
      <c r="K1273" s="41" t="n">
        <f aca="false">D1273*E1273</f>
        <v>28.43</v>
      </c>
      <c r="L1273" s="41" t="n">
        <f aca="false">D1273*I1273</f>
        <v>11</v>
      </c>
      <c r="M1273" s="41" t="n">
        <f aca="false">IFERROR(INDEX(Raw_Expenses!$C$5:$C$2979,MATCH(A1273,Raw_Expenses!$A$5:$A$2979,0)),0)</f>
        <v>1.83</v>
      </c>
      <c r="N1273" s="41" t="n">
        <f aca="false">L1273+M1273</f>
        <v>12.83</v>
      </c>
      <c r="O1273" s="41" t="n">
        <f aca="false">K1273-N1273</f>
        <v>15.6</v>
      </c>
      <c r="P1273" s="43" t="n">
        <f aca="false">IF(K1273=0,0,O1273/K1273)</f>
        <v>0.548716144917341</v>
      </c>
    </row>
    <row r="1274" customFormat="false" ht="15" hidden="false" customHeight="false" outlineLevel="0" collapsed="false">
      <c r="A1274" s="39" t="s">
        <v>1396</v>
      </c>
      <c r="B1274" s="40" t="n">
        <v>45840</v>
      </c>
      <c r="C1274" s="39" t="s">
        <v>177</v>
      </c>
      <c r="D1274" s="39" t="n">
        <v>2</v>
      </c>
      <c r="E1274" s="41" t="n">
        <v>42.43</v>
      </c>
      <c r="F1274" s="39" t="s">
        <v>105</v>
      </c>
      <c r="G1274" s="39" t="str">
        <f aca="false">VLOOKUP(C1274,Products!$A$5:$D$24,2,FALSE())</f>
        <v>Backpack</v>
      </c>
      <c r="H1274" s="39" t="str">
        <f aca="false">VLOOKUP(C1274,Products!$A$5:$D$24,3,FALSE())</f>
        <v>Accessories</v>
      </c>
      <c r="I1274" s="41" t="n">
        <f aca="false">VLOOKUP(C1274,Products!$A$5:$D$24,4,FALSE())</f>
        <v>17</v>
      </c>
      <c r="J1274" s="42" t="n">
        <f aca="false">DATE(YEAR(B1274),MONTH(B1274),1)</f>
        <v>45839</v>
      </c>
      <c r="K1274" s="41" t="n">
        <f aca="false">D1274*E1274</f>
        <v>84.86</v>
      </c>
      <c r="L1274" s="41" t="n">
        <f aca="false">D1274*I1274</f>
        <v>34</v>
      </c>
      <c r="M1274" s="41" t="n">
        <f aca="false">IFERROR(INDEX(Raw_Expenses!$C$5:$C$2979,MATCH(A1274,Raw_Expenses!$A$5:$A$2979,0)),0)</f>
        <v>5.34</v>
      </c>
      <c r="N1274" s="41" t="n">
        <f aca="false">L1274+M1274</f>
        <v>39.34</v>
      </c>
      <c r="O1274" s="41" t="n">
        <f aca="false">K1274-N1274</f>
        <v>45.52</v>
      </c>
      <c r="P1274" s="43" t="n">
        <f aca="false">IF(K1274=0,0,O1274/K1274)</f>
        <v>0.536412915390054</v>
      </c>
    </row>
    <row r="1275" customFormat="false" ht="15" hidden="false" customHeight="false" outlineLevel="0" collapsed="false">
      <c r="A1275" s="39" t="s">
        <v>1397</v>
      </c>
      <c r="B1275" s="40" t="n">
        <v>45840</v>
      </c>
      <c r="C1275" s="39" t="s">
        <v>153</v>
      </c>
      <c r="D1275" s="39" t="n">
        <v>4</v>
      </c>
      <c r="E1275" s="41" t="n">
        <v>173.34</v>
      </c>
      <c r="F1275" s="39" t="s">
        <v>105</v>
      </c>
      <c r="G1275" s="39" t="str">
        <f aca="false">VLOOKUP(C1275,Products!$A$5:$D$24,2,FALSE())</f>
        <v>24-inch Monitor</v>
      </c>
      <c r="H1275" s="39" t="str">
        <f aca="false">VLOOKUP(C1275,Products!$A$5:$D$24,3,FALSE())</f>
        <v>Electronics</v>
      </c>
      <c r="I1275" s="41" t="n">
        <f aca="false">VLOOKUP(C1275,Products!$A$5:$D$24,4,FALSE())</f>
        <v>90</v>
      </c>
      <c r="J1275" s="42" t="n">
        <f aca="false">DATE(YEAR(B1275),MONTH(B1275),1)</f>
        <v>45839</v>
      </c>
      <c r="K1275" s="41" t="n">
        <f aca="false">D1275*E1275</f>
        <v>693.36</v>
      </c>
      <c r="L1275" s="41" t="n">
        <f aca="false">D1275*I1275</f>
        <v>360</v>
      </c>
      <c r="M1275" s="41" t="n">
        <f aca="false">IFERROR(INDEX(Raw_Expenses!$C$5:$C$2979,MATCH(A1275,Raw_Expenses!$A$5:$A$2979,0)),0)</f>
        <v>27.9</v>
      </c>
      <c r="N1275" s="41" t="n">
        <f aca="false">L1275+M1275</f>
        <v>387.9</v>
      </c>
      <c r="O1275" s="41" t="n">
        <f aca="false">K1275-N1275</f>
        <v>305.46</v>
      </c>
      <c r="P1275" s="43" t="n">
        <f aca="false">IF(K1275=0,0,O1275/K1275)</f>
        <v>0.44055036344756</v>
      </c>
    </row>
    <row r="1276" customFormat="false" ht="15" hidden="false" customHeight="false" outlineLevel="0" collapsed="false">
      <c r="A1276" s="39" t="s">
        <v>1398</v>
      </c>
      <c r="B1276" s="40" t="n">
        <v>45841</v>
      </c>
      <c r="C1276" s="39" t="s">
        <v>183</v>
      </c>
      <c r="D1276" s="39" t="n">
        <v>5</v>
      </c>
      <c r="E1276" s="41" t="n">
        <v>188.5</v>
      </c>
      <c r="F1276" s="39" t="s">
        <v>105</v>
      </c>
      <c r="G1276" s="39" t="str">
        <f aca="false">VLOOKUP(C1276,Products!$A$5:$D$24,2,FALSE())</f>
        <v>Office Chair</v>
      </c>
      <c r="H1276" s="39" t="str">
        <f aca="false">VLOOKUP(C1276,Products!$A$5:$D$24,3,FALSE())</f>
        <v>Furniture</v>
      </c>
      <c r="I1276" s="41" t="n">
        <f aca="false">VLOOKUP(C1276,Products!$A$5:$D$24,4,FALSE())</f>
        <v>85</v>
      </c>
      <c r="J1276" s="42" t="n">
        <f aca="false">DATE(YEAR(B1276),MONTH(B1276),1)</f>
        <v>45839</v>
      </c>
      <c r="K1276" s="41" t="n">
        <f aca="false">D1276*E1276</f>
        <v>942.5</v>
      </c>
      <c r="L1276" s="41" t="n">
        <f aca="false">D1276*I1276</f>
        <v>425</v>
      </c>
      <c r="M1276" s="41" t="n">
        <f aca="false">IFERROR(INDEX(Raw_Expenses!$C$5:$C$2979,MATCH(A1276,Raw_Expenses!$A$5:$A$2979,0)),0)</f>
        <v>68.64</v>
      </c>
      <c r="N1276" s="41" t="n">
        <f aca="false">L1276+M1276</f>
        <v>493.64</v>
      </c>
      <c r="O1276" s="41" t="n">
        <f aca="false">K1276-N1276</f>
        <v>448.86</v>
      </c>
      <c r="P1276" s="43" t="n">
        <f aca="false">IF(K1276=0,0,O1276/K1276)</f>
        <v>0.476244031830239</v>
      </c>
    </row>
    <row r="1277" customFormat="false" ht="15" hidden="false" customHeight="false" outlineLevel="0" collapsed="false">
      <c r="A1277" s="39" t="s">
        <v>1399</v>
      </c>
      <c r="B1277" s="40" t="n">
        <v>45841</v>
      </c>
      <c r="C1277" s="39" t="s">
        <v>144</v>
      </c>
      <c r="D1277" s="39" t="n">
        <v>1</v>
      </c>
      <c r="E1277" s="41" t="n">
        <v>56.71</v>
      </c>
      <c r="F1277" s="39" t="s">
        <v>105</v>
      </c>
      <c r="G1277" s="39" t="str">
        <f aca="false">VLOOKUP(C1277,Products!$A$5:$D$24,2,FALSE())</f>
        <v>Whiteboard</v>
      </c>
      <c r="H1277" s="39" t="str">
        <f aca="false">VLOOKUP(C1277,Products!$A$5:$D$24,3,FALSE())</f>
        <v>Furniture</v>
      </c>
      <c r="I1277" s="41" t="n">
        <f aca="false">VLOOKUP(C1277,Products!$A$5:$D$24,4,FALSE())</f>
        <v>28</v>
      </c>
      <c r="J1277" s="42" t="n">
        <f aca="false">DATE(YEAR(B1277),MONTH(B1277),1)</f>
        <v>45839</v>
      </c>
      <c r="K1277" s="41" t="n">
        <f aca="false">D1277*E1277</f>
        <v>56.71</v>
      </c>
      <c r="L1277" s="41" t="n">
        <f aca="false">D1277*I1277</f>
        <v>28</v>
      </c>
      <c r="M1277" s="41" t="n">
        <f aca="false">IFERROR(INDEX(Raw_Expenses!$C$5:$C$2979,MATCH(A1277,Raw_Expenses!$A$5:$A$2979,0)),0)</f>
        <v>5.06</v>
      </c>
      <c r="N1277" s="41" t="n">
        <f aca="false">L1277+M1277</f>
        <v>33.06</v>
      </c>
      <c r="O1277" s="41" t="n">
        <f aca="false">K1277-N1277</f>
        <v>23.65</v>
      </c>
      <c r="P1277" s="43" t="n">
        <f aca="false">IF(K1277=0,0,O1277/K1277)</f>
        <v>0.417034032798448</v>
      </c>
    </row>
    <row r="1278" customFormat="false" ht="15" hidden="false" customHeight="false" outlineLevel="0" collapsed="false">
      <c r="A1278" s="39" t="s">
        <v>1400</v>
      </c>
      <c r="B1278" s="40" t="n">
        <v>45841</v>
      </c>
      <c r="C1278" s="39" t="s">
        <v>104</v>
      </c>
      <c r="D1278" s="39" t="n">
        <v>1</v>
      </c>
      <c r="E1278" s="41" t="n">
        <v>14.87</v>
      </c>
      <c r="F1278" s="39" t="s">
        <v>108</v>
      </c>
      <c r="G1278" s="39" t="str">
        <f aca="false">VLOOKUP(C1278,Products!$A$5:$D$24,2,FALSE())</f>
        <v>Water Bottle</v>
      </c>
      <c r="H1278" s="39" t="str">
        <f aca="false">VLOOKUP(C1278,Products!$A$5:$D$24,3,FALSE())</f>
        <v>Accessories</v>
      </c>
      <c r="I1278" s="41" t="n">
        <f aca="false">VLOOKUP(C1278,Products!$A$5:$D$24,4,FALSE())</f>
        <v>5</v>
      </c>
      <c r="J1278" s="42" t="n">
        <f aca="false">DATE(YEAR(B1278),MONTH(B1278),1)</f>
        <v>45839</v>
      </c>
      <c r="K1278" s="41" t="n">
        <f aca="false">D1278*E1278</f>
        <v>14.87</v>
      </c>
      <c r="L1278" s="41" t="n">
        <f aca="false">D1278*I1278</f>
        <v>5</v>
      </c>
      <c r="M1278" s="41" t="n">
        <f aca="false">IFERROR(INDEX(Raw_Expenses!$C$5:$C$2979,MATCH(A1278,Raw_Expenses!$A$5:$A$2979,0)),0)</f>
        <v>1.12</v>
      </c>
      <c r="N1278" s="41" t="n">
        <f aca="false">L1278+M1278</f>
        <v>6.12</v>
      </c>
      <c r="O1278" s="41" t="n">
        <f aca="false">K1278-N1278</f>
        <v>8.75</v>
      </c>
      <c r="P1278" s="43" t="n">
        <f aca="false">IF(K1278=0,0,O1278/K1278)</f>
        <v>0.588433086751849</v>
      </c>
    </row>
    <row r="1279" customFormat="false" ht="15" hidden="false" customHeight="false" outlineLevel="0" collapsed="false">
      <c r="A1279" s="39" t="s">
        <v>1401</v>
      </c>
      <c r="B1279" s="40" t="n">
        <v>45842</v>
      </c>
      <c r="C1279" s="39" t="s">
        <v>107</v>
      </c>
      <c r="D1279" s="39" t="n">
        <v>3</v>
      </c>
      <c r="E1279" s="41" t="n">
        <v>34.66</v>
      </c>
      <c r="F1279" s="39" t="s">
        <v>105</v>
      </c>
      <c r="G1279" s="39" t="str">
        <f aca="false">VLOOKUP(C1279,Products!$A$5:$D$24,2,FALSE())</f>
        <v>USB-C Hub</v>
      </c>
      <c r="H1279" s="39" t="str">
        <f aca="false">VLOOKUP(C1279,Products!$A$5:$D$24,3,FALSE())</f>
        <v>Electronics</v>
      </c>
      <c r="I1279" s="41" t="n">
        <f aca="false">VLOOKUP(C1279,Products!$A$5:$D$24,4,FALSE())</f>
        <v>14</v>
      </c>
      <c r="J1279" s="42" t="n">
        <f aca="false">DATE(YEAR(B1279),MONTH(B1279),1)</f>
        <v>45839</v>
      </c>
      <c r="K1279" s="41" t="n">
        <f aca="false">D1279*E1279</f>
        <v>103.98</v>
      </c>
      <c r="L1279" s="41" t="n">
        <f aca="false">D1279*I1279</f>
        <v>42</v>
      </c>
      <c r="M1279" s="41" t="n">
        <f aca="false">IFERROR(INDEX(Raw_Expenses!$C$5:$C$2979,MATCH(A1279,Raw_Expenses!$A$5:$A$2979,0)),0)</f>
        <v>6.09</v>
      </c>
      <c r="N1279" s="41" t="n">
        <f aca="false">L1279+M1279</f>
        <v>48.09</v>
      </c>
      <c r="O1279" s="41" t="n">
        <f aca="false">K1279-N1279</f>
        <v>55.89</v>
      </c>
      <c r="P1279" s="43" t="n">
        <f aca="false">IF(K1279=0,0,O1279/K1279)</f>
        <v>0.537507212925563</v>
      </c>
    </row>
    <row r="1280" customFormat="false" ht="15" hidden="false" customHeight="false" outlineLevel="0" collapsed="false">
      <c r="A1280" s="39" t="s">
        <v>1402</v>
      </c>
      <c r="B1280" s="40" t="n">
        <v>45842</v>
      </c>
      <c r="C1280" s="39" t="s">
        <v>128</v>
      </c>
      <c r="D1280" s="39" t="n">
        <v>2</v>
      </c>
      <c r="E1280" s="41" t="n">
        <v>37</v>
      </c>
      <c r="F1280" s="39" t="s">
        <v>108</v>
      </c>
      <c r="G1280" s="39" t="str">
        <f aca="false">VLOOKUP(C1280,Products!$A$5:$D$24,2,FALSE())</f>
        <v>Ergonomic Footrest</v>
      </c>
      <c r="H1280" s="39" t="str">
        <f aca="false">VLOOKUP(C1280,Products!$A$5:$D$24,3,FALSE())</f>
        <v>Furniture</v>
      </c>
      <c r="I1280" s="41" t="n">
        <f aca="false">VLOOKUP(C1280,Products!$A$5:$D$24,4,FALSE())</f>
        <v>15</v>
      </c>
      <c r="J1280" s="42" t="n">
        <f aca="false">DATE(YEAR(B1280),MONTH(B1280),1)</f>
        <v>45839</v>
      </c>
      <c r="K1280" s="41" t="n">
        <f aca="false">D1280*E1280</f>
        <v>74</v>
      </c>
      <c r="L1280" s="41" t="n">
        <f aca="false">D1280*I1280</f>
        <v>30</v>
      </c>
      <c r="M1280" s="41" t="n">
        <f aca="false">IFERROR(INDEX(Raw_Expenses!$C$5:$C$2979,MATCH(A1280,Raw_Expenses!$A$5:$A$2979,0)),0)</f>
        <v>5.29</v>
      </c>
      <c r="N1280" s="41" t="n">
        <f aca="false">L1280+M1280</f>
        <v>35.29</v>
      </c>
      <c r="O1280" s="41" t="n">
        <f aca="false">K1280-N1280</f>
        <v>38.71</v>
      </c>
      <c r="P1280" s="43" t="n">
        <f aca="false">IF(K1280=0,0,O1280/K1280)</f>
        <v>0.523108108108108</v>
      </c>
    </row>
    <row r="1281" customFormat="false" ht="15" hidden="false" customHeight="false" outlineLevel="0" collapsed="false">
      <c r="A1281" s="39" t="s">
        <v>1403</v>
      </c>
      <c r="B1281" s="40" t="n">
        <v>45842</v>
      </c>
      <c r="C1281" s="39" t="s">
        <v>133</v>
      </c>
      <c r="D1281" s="39" t="n">
        <v>5</v>
      </c>
      <c r="E1281" s="41" t="n">
        <v>8.86</v>
      </c>
      <c r="F1281" s="39" t="s">
        <v>105</v>
      </c>
      <c r="G1281" s="39" t="str">
        <f aca="false">VLOOKUP(C1281,Products!$A$5:$D$24,2,FALSE())</f>
        <v>Printer Paper Ream</v>
      </c>
      <c r="H1281" s="39" t="str">
        <f aca="false">VLOOKUP(C1281,Products!$A$5:$D$24,3,FALSE())</f>
        <v>Stationery</v>
      </c>
      <c r="I1281" s="41" t="n">
        <f aca="false">VLOOKUP(C1281,Products!$A$5:$D$24,4,FALSE())</f>
        <v>4</v>
      </c>
      <c r="J1281" s="42" t="n">
        <f aca="false">DATE(YEAR(B1281),MONTH(B1281),1)</f>
        <v>45839</v>
      </c>
      <c r="K1281" s="41" t="n">
        <f aca="false">D1281*E1281</f>
        <v>44.3</v>
      </c>
      <c r="L1281" s="41" t="n">
        <f aca="false">D1281*I1281</f>
        <v>20</v>
      </c>
      <c r="M1281" s="41" t="n">
        <f aca="false">IFERROR(INDEX(Raw_Expenses!$C$5:$C$2979,MATCH(A1281,Raw_Expenses!$A$5:$A$2979,0)),0)</f>
        <v>3.77</v>
      </c>
      <c r="N1281" s="41" t="n">
        <f aca="false">L1281+M1281</f>
        <v>23.77</v>
      </c>
      <c r="O1281" s="41" t="n">
        <f aca="false">K1281-N1281</f>
        <v>20.53</v>
      </c>
      <c r="P1281" s="43" t="n">
        <f aca="false">IF(K1281=0,0,O1281/K1281)</f>
        <v>0.463431151241535</v>
      </c>
    </row>
    <row r="1282" customFormat="false" ht="15" hidden="false" customHeight="false" outlineLevel="0" collapsed="false">
      <c r="A1282" s="39" t="s">
        <v>1404</v>
      </c>
      <c r="B1282" s="40" t="n">
        <v>45842</v>
      </c>
      <c r="C1282" s="39" t="s">
        <v>136</v>
      </c>
      <c r="D1282" s="39" t="n">
        <v>3</v>
      </c>
      <c r="E1282" s="41" t="n">
        <v>75.76</v>
      </c>
      <c r="F1282" s="39" t="s">
        <v>105</v>
      </c>
      <c r="G1282" s="39" t="str">
        <f aca="false">VLOOKUP(C1282,Products!$A$5:$D$24,2,FALSE())</f>
        <v>Mechanical Keyboard</v>
      </c>
      <c r="H1282" s="39" t="str">
        <f aca="false">VLOOKUP(C1282,Products!$A$5:$D$24,3,FALSE())</f>
        <v>Electronics</v>
      </c>
      <c r="I1282" s="41" t="n">
        <f aca="false">VLOOKUP(C1282,Products!$A$5:$D$24,4,FALSE())</f>
        <v>38</v>
      </c>
      <c r="J1282" s="42" t="n">
        <f aca="false">DATE(YEAR(B1282),MONTH(B1282),1)</f>
        <v>45839</v>
      </c>
      <c r="K1282" s="41" t="n">
        <f aca="false">D1282*E1282</f>
        <v>227.28</v>
      </c>
      <c r="L1282" s="41" t="n">
        <f aca="false">D1282*I1282</f>
        <v>114</v>
      </c>
      <c r="M1282" s="41" t="n">
        <f aca="false">IFERROR(INDEX(Raw_Expenses!$C$5:$C$2979,MATCH(A1282,Raw_Expenses!$A$5:$A$2979,0)),0)</f>
        <v>10.69</v>
      </c>
      <c r="N1282" s="41" t="n">
        <f aca="false">L1282+M1282</f>
        <v>124.69</v>
      </c>
      <c r="O1282" s="41" t="n">
        <f aca="false">K1282-N1282</f>
        <v>102.59</v>
      </c>
      <c r="P1282" s="43" t="n">
        <f aca="false">IF(K1282=0,0,O1282/K1282)</f>
        <v>0.451381555790215</v>
      </c>
    </row>
    <row r="1283" customFormat="false" ht="15" hidden="false" customHeight="false" outlineLevel="0" collapsed="false">
      <c r="A1283" s="39" t="s">
        <v>1405</v>
      </c>
      <c r="B1283" s="40" t="n">
        <v>45842</v>
      </c>
      <c r="C1283" s="39" t="s">
        <v>139</v>
      </c>
      <c r="D1283" s="39" t="n">
        <v>3</v>
      </c>
      <c r="E1283" s="41" t="n">
        <v>121.45</v>
      </c>
      <c r="F1283" s="39" t="s">
        <v>105</v>
      </c>
      <c r="G1283" s="39" t="str">
        <f aca="false">VLOOKUP(C1283,Products!$A$5:$D$24,2,FALSE())</f>
        <v>Noise-Cancelling Headphones</v>
      </c>
      <c r="H1283" s="39" t="str">
        <f aca="false">VLOOKUP(C1283,Products!$A$5:$D$24,3,FALSE())</f>
        <v>Electronics</v>
      </c>
      <c r="I1283" s="41" t="n">
        <f aca="false">VLOOKUP(C1283,Products!$A$5:$D$24,4,FALSE())</f>
        <v>55</v>
      </c>
      <c r="J1283" s="42" t="n">
        <f aca="false">DATE(YEAR(B1283),MONTH(B1283),1)</f>
        <v>45839</v>
      </c>
      <c r="K1283" s="41" t="n">
        <f aca="false">D1283*E1283</f>
        <v>364.35</v>
      </c>
      <c r="L1283" s="41" t="n">
        <f aca="false">D1283*I1283</f>
        <v>165</v>
      </c>
      <c r="M1283" s="41" t="n">
        <f aca="false">IFERROR(INDEX(Raw_Expenses!$C$5:$C$2979,MATCH(A1283,Raw_Expenses!$A$5:$A$2979,0)),0)</f>
        <v>19.78</v>
      </c>
      <c r="N1283" s="41" t="n">
        <f aca="false">L1283+M1283</f>
        <v>184.78</v>
      </c>
      <c r="O1283" s="41" t="n">
        <f aca="false">K1283-N1283</f>
        <v>179.57</v>
      </c>
      <c r="P1283" s="43" t="n">
        <f aca="false">IF(K1283=0,0,O1283/K1283)</f>
        <v>0.492850281322904</v>
      </c>
    </row>
    <row r="1284" customFormat="false" ht="15" hidden="false" customHeight="false" outlineLevel="0" collapsed="false">
      <c r="A1284" s="39" t="s">
        <v>1406</v>
      </c>
      <c r="B1284" s="40" t="n">
        <v>45842</v>
      </c>
      <c r="C1284" s="39" t="s">
        <v>104</v>
      </c>
      <c r="D1284" s="39" t="n">
        <v>1</v>
      </c>
      <c r="E1284" s="41" t="n">
        <v>15.25</v>
      </c>
      <c r="F1284" s="39" t="s">
        <v>115</v>
      </c>
      <c r="G1284" s="39" t="str">
        <f aca="false">VLOOKUP(C1284,Products!$A$5:$D$24,2,FALSE())</f>
        <v>Water Bottle</v>
      </c>
      <c r="H1284" s="39" t="str">
        <f aca="false">VLOOKUP(C1284,Products!$A$5:$D$24,3,FALSE())</f>
        <v>Accessories</v>
      </c>
      <c r="I1284" s="41" t="n">
        <f aca="false">VLOOKUP(C1284,Products!$A$5:$D$24,4,FALSE())</f>
        <v>5</v>
      </c>
      <c r="J1284" s="42" t="n">
        <f aca="false">DATE(YEAR(B1284),MONTH(B1284),1)</f>
        <v>45839</v>
      </c>
      <c r="K1284" s="41" t="n">
        <f aca="false">D1284*E1284</f>
        <v>15.25</v>
      </c>
      <c r="L1284" s="41" t="n">
        <f aca="false">D1284*I1284</f>
        <v>5</v>
      </c>
      <c r="M1284" s="41" t="n">
        <f aca="false">IFERROR(INDEX(Raw_Expenses!$C$5:$C$2979,MATCH(A1284,Raw_Expenses!$A$5:$A$2979,0)),0)</f>
        <v>1.36</v>
      </c>
      <c r="N1284" s="41" t="n">
        <f aca="false">L1284+M1284</f>
        <v>6.36</v>
      </c>
      <c r="O1284" s="41" t="n">
        <f aca="false">K1284-N1284</f>
        <v>8.89</v>
      </c>
      <c r="P1284" s="43" t="n">
        <f aca="false">IF(K1284=0,0,O1284/K1284)</f>
        <v>0.582950819672131</v>
      </c>
    </row>
    <row r="1285" customFormat="false" ht="15" hidden="false" customHeight="false" outlineLevel="0" collapsed="false">
      <c r="A1285" s="39" t="s">
        <v>1407</v>
      </c>
      <c r="B1285" s="40" t="n">
        <v>45842</v>
      </c>
      <c r="C1285" s="39" t="s">
        <v>114</v>
      </c>
      <c r="D1285" s="39" t="n">
        <v>3</v>
      </c>
      <c r="E1285" s="41" t="n">
        <v>5.84</v>
      </c>
      <c r="F1285" s="39" t="s">
        <v>115</v>
      </c>
      <c r="G1285" s="39" t="str">
        <f aca="false">VLOOKUP(C1285,Products!$A$5:$D$24,2,FALSE())</f>
        <v>Gel Pen Pack</v>
      </c>
      <c r="H1285" s="39" t="str">
        <f aca="false">VLOOKUP(C1285,Products!$A$5:$D$24,3,FALSE())</f>
        <v>Stationery</v>
      </c>
      <c r="I1285" s="41" t="n">
        <f aca="false">VLOOKUP(C1285,Products!$A$5:$D$24,4,FALSE())</f>
        <v>2</v>
      </c>
      <c r="J1285" s="42" t="n">
        <f aca="false">DATE(YEAR(B1285),MONTH(B1285),1)</f>
        <v>45839</v>
      </c>
      <c r="K1285" s="41" t="n">
        <f aca="false">D1285*E1285</f>
        <v>17.52</v>
      </c>
      <c r="L1285" s="41" t="n">
        <f aca="false">D1285*I1285</f>
        <v>6</v>
      </c>
      <c r="M1285" s="41" t="n">
        <f aca="false">IFERROR(INDEX(Raw_Expenses!$C$5:$C$2979,MATCH(A1285,Raw_Expenses!$A$5:$A$2979,0)),0)</f>
        <v>0.87</v>
      </c>
      <c r="N1285" s="41" t="n">
        <f aca="false">L1285+M1285</f>
        <v>6.87</v>
      </c>
      <c r="O1285" s="41" t="n">
        <f aca="false">K1285-N1285</f>
        <v>10.65</v>
      </c>
      <c r="P1285" s="43" t="n">
        <f aca="false">IF(K1285=0,0,O1285/K1285)</f>
        <v>0.607876712328767</v>
      </c>
    </row>
    <row r="1286" customFormat="false" ht="15" hidden="false" customHeight="false" outlineLevel="0" collapsed="false">
      <c r="A1286" s="39" t="s">
        <v>1408</v>
      </c>
      <c r="B1286" s="40" t="n">
        <v>45842</v>
      </c>
      <c r="C1286" s="39" t="s">
        <v>117</v>
      </c>
      <c r="D1286" s="39" t="n">
        <v>2</v>
      </c>
      <c r="E1286" s="41" t="n">
        <v>31.66</v>
      </c>
      <c r="F1286" s="39" t="s">
        <v>108</v>
      </c>
      <c r="G1286" s="39" t="str">
        <f aca="false">VLOOKUP(C1286,Products!$A$5:$D$24,2,FALSE())</f>
        <v>Desk Lamp</v>
      </c>
      <c r="H1286" s="39" t="str">
        <f aca="false">VLOOKUP(C1286,Products!$A$5:$D$24,3,FALSE())</f>
        <v>Furniture</v>
      </c>
      <c r="I1286" s="41" t="n">
        <f aca="false">VLOOKUP(C1286,Products!$A$5:$D$24,4,FALSE())</f>
        <v>13</v>
      </c>
      <c r="J1286" s="42" t="n">
        <f aca="false">DATE(YEAR(B1286),MONTH(B1286),1)</f>
        <v>45839</v>
      </c>
      <c r="K1286" s="41" t="n">
        <f aca="false">D1286*E1286</f>
        <v>63.32</v>
      </c>
      <c r="L1286" s="41" t="n">
        <f aca="false">D1286*I1286</f>
        <v>26</v>
      </c>
      <c r="M1286" s="41" t="n">
        <f aca="false">IFERROR(INDEX(Raw_Expenses!$C$5:$C$2979,MATCH(A1286,Raw_Expenses!$A$5:$A$2979,0)),0)</f>
        <v>4.74</v>
      </c>
      <c r="N1286" s="41" t="n">
        <f aca="false">L1286+M1286</f>
        <v>30.74</v>
      </c>
      <c r="O1286" s="41" t="n">
        <f aca="false">K1286-N1286</f>
        <v>32.58</v>
      </c>
      <c r="P1286" s="43" t="n">
        <f aca="false">IF(K1286=0,0,O1286/K1286)</f>
        <v>0.51452937460518</v>
      </c>
    </row>
    <row r="1287" customFormat="false" ht="15" hidden="false" customHeight="false" outlineLevel="0" collapsed="false">
      <c r="A1287" s="39" t="s">
        <v>1409</v>
      </c>
      <c r="B1287" s="40" t="n">
        <v>45842</v>
      </c>
      <c r="C1287" s="39" t="s">
        <v>126</v>
      </c>
      <c r="D1287" s="39" t="n">
        <v>3</v>
      </c>
      <c r="E1287" s="41" t="n">
        <v>24.68</v>
      </c>
      <c r="F1287" s="39" t="s">
        <v>118</v>
      </c>
      <c r="G1287" s="39" t="str">
        <f aca="false">VLOOKUP(C1287,Products!$A$5:$D$24,2,FALSE())</f>
        <v>Wireless Mouse</v>
      </c>
      <c r="H1287" s="39" t="str">
        <f aca="false">VLOOKUP(C1287,Products!$A$5:$D$24,3,FALSE())</f>
        <v>Electronics</v>
      </c>
      <c r="I1287" s="41" t="n">
        <f aca="false">VLOOKUP(C1287,Products!$A$5:$D$24,4,FALSE())</f>
        <v>12</v>
      </c>
      <c r="J1287" s="42" t="n">
        <f aca="false">DATE(YEAR(B1287),MONTH(B1287),1)</f>
        <v>45839</v>
      </c>
      <c r="K1287" s="41" t="n">
        <f aca="false">D1287*E1287</f>
        <v>74.04</v>
      </c>
      <c r="L1287" s="41" t="n">
        <f aca="false">D1287*I1287</f>
        <v>36</v>
      </c>
      <c r="M1287" s="41" t="n">
        <f aca="false">IFERROR(INDEX(Raw_Expenses!$C$5:$C$2979,MATCH(A1287,Raw_Expenses!$A$5:$A$2979,0)),0)</f>
        <v>3.26</v>
      </c>
      <c r="N1287" s="41" t="n">
        <f aca="false">L1287+M1287</f>
        <v>39.26</v>
      </c>
      <c r="O1287" s="41" t="n">
        <f aca="false">K1287-N1287</f>
        <v>34.78</v>
      </c>
      <c r="P1287" s="43" t="n">
        <f aca="false">IF(K1287=0,0,O1287/K1287)</f>
        <v>0.469746083198271</v>
      </c>
    </row>
    <row r="1288" customFormat="false" ht="15" hidden="false" customHeight="false" outlineLevel="0" collapsed="false">
      <c r="A1288" s="39" t="s">
        <v>1410</v>
      </c>
      <c r="B1288" s="40" t="n">
        <v>45843</v>
      </c>
      <c r="C1288" s="39" t="s">
        <v>183</v>
      </c>
      <c r="D1288" s="39" t="n">
        <v>1</v>
      </c>
      <c r="E1288" s="41" t="n">
        <v>179.69</v>
      </c>
      <c r="F1288" s="39" t="s">
        <v>115</v>
      </c>
      <c r="G1288" s="39" t="str">
        <f aca="false">VLOOKUP(C1288,Products!$A$5:$D$24,2,FALSE())</f>
        <v>Office Chair</v>
      </c>
      <c r="H1288" s="39" t="str">
        <f aca="false">VLOOKUP(C1288,Products!$A$5:$D$24,3,FALSE())</f>
        <v>Furniture</v>
      </c>
      <c r="I1288" s="41" t="n">
        <f aca="false">VLOOKUP(C1288,Products!$A$5:$D$24,4,FALSE())</f>
        <v>85</v>
      </c>
      <c r="J1288" s="42" t="n">
        <f aca="false">DATE(YEAR(B1288),MONTH(B1288),1)</f>
        <v>45839</v>
      </c>
      <c r="K1288" s="41" t="n">
        <f aca="false">D1288*E1288</f>
        <v>179.69</v>
      </c>
      <c r="L1288" s="41" t="n">
        <f aca="false">D1288*I1288</f>
        <v>85</v>
      </c>
      <c r="M1288" s="41" t="n">
        <f aca="false">IFERROR(INDEX(Raw_Expenses!$C$5:$C$2979,MATCH(A1288,Raw_Expenses!$A$5:$A$2979,0)),0)</f>
        <v>9.6</v>
      </c>
      <c r="N1288" s="41" t="n">
        <f aca="false">L1288+M1288</f>
        <v>94.6</v>
      </c>
      <c r="O1288" s="41" t="n">
        <f aca="false">K1288-N1288</f>
        <v>85.09</v>
      </c>
      <c r="P1288" s="43" t="n">
        <f aca="false">IF(K1288=0,0,O1288/K1288)</f>
        <v>0.473537759474651</v>
      </c>
    </row>
    <row r="1289" customFormat="false" ht="15" hidden="false" customHeight="false" outlineLevel="0" collapsed="false">
      <c r="A1289" s="39" t="s">
        <v>1411</v>
      </c>
      <c r="B1289" s="40" t="n">
        <v>45843</v>
      </c>
      <c r="C1289" s="39" t="s">
        <v>112</v>
      </c>
      <c r="D1289" s="39" t="n">
        <v>2</v>
      </c>
      <c r="E1289" s="41" t="n">
        <v>54.7</v>
      </c>
      <c r="F1289" s="39" t="s">
        <v>115</v>
      </c>
      <c r="G1289" s="39" t="str">
        <f aca="false">VLOOKUP(C1289,Products!$A$5:$D$24,2,FALSE())</f>
        <v>HD Webcam</v>
      </c>
      <c r="H1289" s="39" t="str">
        <f aca="false">VLOOKUP(C1289,Products!$A$5:$D$24,3,FALSE())</f>
        <v>Electronics</v>
      </c>
      <c r="I1289" s="41" t="n">
        <f aca="false">VLOOKUP(C1289,Products!$A$5:$D$24,4,FALSE())</f>
        <v>22</v>
      </c>
      <c r="J1289" s="42" t="n">
        <f aca="false">DATE(YEAR(B1289),MONTH(B1289),1)</f>
        <v>45839</v>
      </c>
      <c r="K1289" s="41" t="n">
        <f aca="false">D1289*E1289</f>
        <v>109.4</v>
      </c>
      <c r="L1289" s="41" t="n">
        <f aca="false">D1289*I1289</f>
        <v>44</v>
      </c>
      <c r="M1289" s="41" t="n">
        <f aca="false">IFERROR(INDEX(Raw_Expenses!$C$5:$C$2979,MATCH(A1289,Raw_Expenses!$A$5:$A$2979,0)),0)</f>
        <v>8.78</v>
      </c>
      <c r="N1289" s="41" t="n">
        <f aca="false">L1289+M1289</f>
        <v>52.78</v>
      </c>
      <c r="O1289" s="41" t="n">
        <f aca="false">K1289-N1289</f>
        <v>56.62</v>
      </c>
      <c r="P1289" s="43" t="n">
        <f aca="false">IF(K1289=0,0,O1289/K1289)</f>
        <v>0.517550274223035</v>
      </c>
    </row>
    <row r="1290" customFormat="false" ht="15" hidden="false" customHeight="false" outlineLevel="0" collapsed="false">
      <c r="A1290" s="39" t="s">
        <v>1412</v>
      </c>
      <c r="B1290" s="40" t="n">
        <v>45843</v>
      </c>
      <c r="C1290" s="39" t="s">
        <v>162</v>
      </c>
      <c r="D1290" s="39" t="n">
        <v>1</v>
      </c>
      <c r="E1290" s="41" t="n">
        <v>65.76</v>
      </c>
      <c r="F1290" s="39" t="s">
        <v>115</v>
      </c>
      <c r="G1290" s="39" t="str">
        <f aca="false">VLOOKUP(C1290,Products!$A$5:$D$24,2,FALSE())</f>
        <v>Bluetooth Speaker</v>
      </c>
      <c r="H1290" s="39" t="str">
        <f aca="false">VLOOKUP(C1290,Products!$A$5:$D$24,3,FALSE())</f>
        <v>Electronics</v>
      </c>
      <c r="I1290" s="41" t="n">
        <f aca="false">VLOOKUP(C1290,Products!$A$5:$D$24,4,FALSE())</f>
        <v>28</v>
      </c>
      <c r="J1290" s="42" t="n">
        <f aca="false">DATE(YEAR(B1290),MONTH(B1290),1)</f>
        <v>45839</v>
      </c>
      <c r="K1290" s="41" t="n">
        <f aca="false">D1290*E1290</f>
        <v>65.76</v>
      </c>
      <c r="L1290" s="41" t="n">
        <f aca="false">D1290*I1290</f>
        <v>28</v>
      </c>
      <c r="M1290" s="41" t="n">
        <f aca="false">IFERROR(INDEX(Raw_Expenses!$C$5:$C$2979,MATCH(A1290,Raw_Expenses!$A$5:$A$2979,0)),0)</f>
        <v>3.18</v>
      </c>
      <c r="N1290" s="41" t="n">
        <f aca="false">L1290+M1290</f>
        <v>31.18</v>
      </c>
      <c r="O1290" s="41" t="n">
        <f aca="false">K1290-N1290</f>
        <v>34.58</v>
      </c>
      <c r="P1290" s="43" t="n">
        <f aca="false">IF(K1290=0,0,O1290/K1290)</f>
        <v>0.525851581508516</v>
      </c>
    </row>
    <row r="1291" customFormat="false" ht="15" hidden="false" customHeight="false" outlineLevel="0" collapsed="false">
      <c r="A1291" s="39" t="s">
        <v>1413</v>
      </c>
      <c r="B1291" s="40" t="n">
        <v>45843</v>
      </c>
      <c r="C1291" s="39" t="s">
        <v>153</v>
      </c>
      <c r="D1291" s="39" t="n">
        <v>3</v>
      </c>
      <c r="E1291" s="41" t="n">
        <v>176.27</v>
      </c>
      <c r="F1291" s="39" t="s">
        <v>108</v>
      </c>
      <c r="G1291" s="39" t="str">
        <f aca="false">VLOOKUP(C1291,Products!$A$5:$D$24,2,FALSE())</f>
        <v>24-inch Monitor</v>
      </c>
      <c r="H1291" s="39" t="str">
        <f aca="false">VLOOKUP(C1291,Products!$A$5:$D$24,3,FALSE())</f>
        <v>Electronics</v>
      </c>
      <c r="I1291" s="41" t="n">
        <f aca="false">VLOOKUP(C1291,Products!$A$5:$D$24,4,FALSE())</f>
        <v>90</v>
      </c>
      <c r="J1291" s="42" t="n">
        <f aca="false">DATE(YEAR(B1291),MONTH(B1291),1)</f>
        <v>45839</v>
      </c>
      <c r="K1291" s="41" t="n">
        <f aca="false">D1291*E1291</f>
        <v>528.81</v>
      </c>
      <c r="L1291" s="41" t="n">
        <f aca="false">D1291*I1291</f>
        <v>270</v>
      </c>
      <c r="M1291" s="41" t="n">
        <f aca="false">IFERROR(INDEX(Raw_Expenses!$C$5:$C$2979,MATCH(A1291,Raw_Expenses!$A$5:$A$2979,0)),0)</f>
        <v>27.94</v>
      </c>
      <c r="N1291" s="41" t="n">
        <f aca="false">L1291+M1291</f>
        <v>297.94</v>
      </c>
      <c r="O1291" s="41" t="n">
        <f aca="false">K1291-N1291</f>
        <v>230.87</v>
      </c>
      <c r="P1291" s="43" t="n">
        <f aca="false">IF(K1291=0,0,O1291/K1291)</f>
        <v>0.436584028289934</v>
      </c>
    </row>
    <row r="1292" customFormat="false" ht="15" hidden="false" customHeight="false" outlineLevel="0" collapsed="false">
      <c r="A1292" s="39" t="s">
        <v>1414</v>
      </c>
      <c r="B1292" s="40" t="n">
        <v>45843</v>
      </c>
      <c r="C1292" s="39" t="s">
        <v>162</v>
      </c>
      <c r="D1292" s="39" t="n">
        <v>1</v>
      </c>
      <c r="E1292" s="41" t="n">
        <v>65.8</v>
      </c>
      <c r="F1292" s="39" t="s">
        <v>105</v>
      </c>
      <c r="G1292" s="39" t="str">
        <f aca="false">VLOOKUP(C1292,Products!$A$5:$D$24,2,FALSE())</f>
        <v>Bluetooth Speaker</v>
      </c>
      <c r="H1292" s="39" t="str">
        <f aca="false">VLOOKUP(C1292,Products!$A$5:$D$24,3,FALSE())</f>
        <v>Electronics</v>
      </c>
      <c r="I1292" s="41" t="n">
        <f aca="false">VLOOKUP(C1292,Products!$A$5:$D$24,4,FALSE())</f>
        <v>28</v>
      </c>
      <c r="J1292" s="42" t="n">
        <f aca="false">DATE(YEAR(B1292),MONTH(B1292),1)</f>
        <v>45839</v>
      </c>
      <c r="K1292" s="41" t="n">
        <f aca="false">D1292*E1292</f>
        <v>65.8</v>
      </c>
      <c r="L1292" s="41" t="n">
        <f aca="false">D1292*I1292</f>
        <v>28</v>
      </c>
      <c r="M1292" s="41" t="n">
        <f aca="false">IFERROR(INDEX(Raw_Expenses!$C$5:$C$2979,MATCH(A1292,Raw_Expenses!$A$5:$A$2979,0)),0)</f>
        <v>4.73</v>
      </c>
      <c r="N1292" s="41" t="n">
        <f aca="false">L1292+M1292</f>
        <v>32.73</v>
      </c>
      <c r="O1292" s="41" t="n">
        <f aca="false">K1292-N1292</f>
        <v>33.07</v>
      </c>
      <c r="P1292" s="43" t="n">
        <f aca="false">IF(K1292=0,0,O1292/K1292)</f>
        <v>0.50258358662614</v>
      </c>
    </row>
    <row r="1293" customFormat="false" ht="15" hidden="false" customHeight="false" outlineLevel="0" collapsed="false">
      <c r="A1293" s="39" t="s">
        <v>1415</v>
      </c>
      <c r="B1293" s="40" t="n">
        <v>45843</v>
      </c>
      <c r="C1293" s="39" t="s">
        <v>104</v>
      </c>
      <c r="D1293" s="39" t="n">
        <v>1</v>
      </c>
      <c r="E1293" s="41" t="n">
        <v>15.09</v>
      </c>
      <c r="F1293" s="39" t="s">
        <v>108</v>
      </c>
      <c r="G1293" s="39" t="str">
        <f aca="false">VLOOKUP(C1293,Products!$A$5:$D$24,2,FALSE())</f>
        <v>Water Bottle</v>
      </c>
      <c r="H1293" s="39" t="str">
        <f aca="false">VLOOKUP(C1293,Products!$A$5:$D$24,3,FALSE())</f>
        <v>Accessories</v>
      </c>
      <c r="I1293" s="41" t="n">
        <f aca="false">VLOOKUP(C1293,Products!$A$5:$D$24,4,FALSE())</f>
        <v>5</v>
      </c>
      <c r="J1293" s="42" t="n">
        <f aca="false">DATE(YEAR(B1293),MONTH(B1293),1)</f>
        <v>45839</v>
      </c>
      <c r="K1293" s="41" t="n">
        <f aca="false">D1293*E1293</f>
        <v>15.09</v>
      </c>
      <c r="L1293" s="41" t="n">
        <f aca="false">D1293*I1293</f>
        <v>5</v>
      </c>
      <c r="M1293" s="41" t="n">
        <f aca="false">IFERROR(INDEX(Raw_Expenses!$C$5:$C$2979,MATCH(A1293,Raw_Expenses!$A$5:$A$2979,0)),0)</f>
        <v>1.22</v>
      </c>
      <c r="N1293" s="41" t="n">
        <f aca="false">L1293+M1293</f>
        <v>6.22</v>
      </c>
      <c r="O1293" s="41" t="n">
        <f aca="false">K1293-N1293</f>
        <v>8.87</v>
      </c>
      <c r="P1293" s="43" t="n">
        <f aca="false">IF(K1293=0,0,O1293/K1293)</f>
        <v>0.587806494367131</v>
      </c>
    </row>
    <row r="1294" customFormat="false" ht="15" hidden="false" customHeight="false" outlineLevel="0" collapsed="false">
      <c r="A1294" s="39" t="s">
        <v>1416</v>
      </c>
      <c r="B1294" s="40" t="n">
        <v>45843</v>
      </c>
      <c r="C1294" s="39" t="s">
        <v>126</v>
      </c>
      <c r="D1294" s="39" t="n">
        <v>2</v>
      </c>
      <c r="E1294" s="41" t="n">
        <v>23.76</v>
      </c>
      <c r="F1294" s="39" t="s">
        <v>105</v>
      </c>
      <c r="G1294" s="39" t="str">
        <f aca="false">VLOOKUP(C1294,Products!$A$5:$D$24,2,FALSE())</f>
        <v>Wireless Mouse</v>
      </c>
      <c r="H1294" s="39" t="str">
        <f aca="false">VLOOKUP(C1294,Products!$A$5:$D$24,3,FALSE())</f>
        <v>Electronics</v>
      </c>
      <c r="I1294" s="41" t="n">
        <f aca="false">VLOOKUP(C1294,Products!$A$5:$D$24,4,FALSE())</f>
        <v>12</v>
      </c>
      <c r="J1294" s="42" t="n">
        <f aca="false">DATE(YEAR(B1294),MONTH(B1294),1)</f>
        <v>45839</v>
      </c>
      <c r="K1294" s="41" t="n">
        <f aca="false">D1294*E1294</f>
        <v>47.52</v>
      </c>
      <c r="L1294" s="41" t="n">
        <f aca="false">D1294*I1294</f>
        <v>24</v>
      </c>
      <c r="M1294" s="41" t="n">
        <f aca="false">IFERROR(INDEX(Raw_Expenses!$C$5:$C$2979,MATCH(A1294,Raw_Expenses!$A$5:$A$2979,0)),0)</f>
        <v>2.69</v>
      </c>
      <c r="N1294" s="41" t="n">
        <f aca="false">L1294+M1294</f>
        <v>26.69</v>
      </c>
      <c r="O1294" s="41" t="n">
        <f aca="false">K1294-N1294</f>
        <v>20.83</v>
      </c>
      <c r="P1294" s="43" t="n">
        <f aca="false">IF(K1294=0,0,O1294/K1294)</f>
        <v>0.438341750841751</v>
      </c>
    </row>
    <row r="1295" customFormat="false" ht="15" hidden="false" customHeight="false" outlineLevel="0" collapsed="false">
      <c r="A1295" s="39" t="s">
        <v>1417</v>
      </c>
      <c r="B1295" s="40" t="n">
        <v>45843</v>
      </c>
      <c r="C1295" s="39" t="s">
        <v>107</v>
      </c>
      <c r="D1295" s="39" t="n">
        <v>1</v>
      </c>
      <c r="E1295" s="41" t="n">
        <v>32.45</v>
      </c>
      <c r="F1295" s="39" t="s">
        <v>108</v>
      </c>
      <c r="G1295" s="39" t="str">
        <f aca="false">VLOOKUP(C1295,Products!$A$5:$D$24,2,FALSE())</f>
        <v>USB-C Hub</v>
      </c>
      <c r="H1295" s="39" t="str">
        <f aca="false">VLOOKUP(C1295,Products!$A$5:$D$24,3,FALSE())</f>
        <v>Electronics</v>
      </c>
      <c r="I1295" s="41" t="n">
        <f aca="false">VLOOKUP(C1295,Products!$A$5:$D$24,4,FALSE())</f>
        <v>14</v>
      </c>
      <c r="J1295" s="42" t="n">
        <f aca="false">DATE(YEAR(B1295),MONTH(B1295),1)</f>
        <v>45839</v>
      </c>
      <c r="K1295" s="41" t="n">
        <f aca="false">D1295*E1295</f>
        <v>32.45</v>
      </c>
      <c r="L1295" s="41" t="n">
        <f aca="false">D1295*I1295</f>
        <v>14</v>
      </c>
      <c r="M1295" s="41" t="n">
        <f aca="false">IFERROR(INDEX(Raw_Expenses!$C$5:$C$2979,MATCH(A1295,Raw_Expenses!$A$5:$A$2979,0)),0)</f>
        <v>2.64</v>
      </c>
      <c r="N1295" s="41" t="n">
        <f aca="false">L1295+M1295</f>
        <v>16.64</v>
      </c>
      <c r="O1295" s="41" t="n">
        <f aca="false">K1295-N1295</f>
        <v>15.81</v>
      </c>
      <c r="P1295" s="43" t="n">
        <f aca="false">IF(K1295=0,0,O1295/K1295)</f>
        <v>0.487211093990755</v>
      </c>
    </row>
    <row r="1296" customFormat="false" ht="15" hidden="false" customHeight="false" outlineLevel="0" collapsed="false">
      <c r="A1296" s="39" t="s">
        <v>1418</v>
      </c>
      <c r="B1296" s="40" t="n">
        <v>45844</v>
      </c>
      <c r="C1296" s="39" t="s">
        <v>133</v>
      </c>
      <c r="D1296" s="39" t="n">
        <v>2</v>
      </c>
      <c r="E1296" s="41" t="n">
        <v>8.89</v>
      </c>
      <c r="F1296" s="39" t="s">
        <v>105</v>
      </c>
      <c r="G1296" s="39" t="str">
        <f aca="false">VLOOKUP(C1296,Products!$A$5:$D$24,2,FALSE())</f>
        <v>Printer Paper Ream</v>
      </c>
      <c r="H1296" s="39" t="str">
        <f aca="false">VLOOKUP(C1296,Products!$A$5:$D$24,3,FALSE())</f>
        <v>Stationery</v>
      </c>
      <c r="I1296" s="41" t="n">
        <f aca="false">VLOOKUP(C1296,Products!$A$5:$D$24,4,FALSE())</f>
        <v>4</v>
      </c>
      <c r="J1296" s="42" t="n">
        <f aca="false">DATE(YEAR(B1296),MONTH(B1296),1)</f>
        <v>45839</v>
      </c>
      <c r="K1296" s="41" t="n">
        <f aca="false">D1296*E1296</f>
        <v>17.78</v>
      </c>
      <c r="L1296" s="41" t="n">
        <f aca="false">D1296*I1296</f>
        <v>8</v>
      </c>
      <c r="M1296" s="41" t="n">
        <f aca="false">IFERROR(INDEX(Raw_Expenses!$C$5:$C$2979,MATCH(A1296,Raw_Expenses!$A$5:$A$2979,0)),0)</f>
        <v>1.22</v>
      </c>
      <c r="N1296" s="41" t="n">
        <f aca="false">L1296+M1296</f>
        <v>9.22</v>
      </c>
      <c r="O1296" s="41" t="n">
        <f aca="false">K1296-N1296</f>
        <v>8.56</v>
      </c>
      <c r="P1296" s="43" t="n">
        <f aca="false">IF(K1296=0,0,O1296/K1296)</f>
        <v>0.481439820022497</v>
      </c>
    </row>
    <row r="1297" customFormat="false" ht="15" hidden="false" customHeight="false" outlineLevel="0" collapsed="false">
      <c r="A1297" s="39" t="s">
        <v>1419</v>
      </c>
      <c r="B1297" s="40" t="n">
        <v>45844</v>
      </c>
      <c r="C1297" s="39" t="s">
        <v>136</v>
      </c>
      <c r="D1297" s="39" t="n">
        <v>2</v>
      </c>
      <c r="E1297" s="41" t="n">
        <v>73.26</v>
      </c>
      <c r="F1297" s="39" t="s">
        <v>118</v>
      </c>
      <c r="G1297" s="39" t="str">
        <f aca="false">VLOOKUP(C1297,Products!$A$5:$D$24,2,FALSE())</f>
        <v>Mechanical Keyboard</v>
      </c>
      <c r="H1297" s="39" t="str">
        <f aca="false">VLOOKUP(C1297,Products!$A$5:$D$24,3,FALSE())</f>
        <v>Electronics</v>
      </c>
      <c r="I1297" s="41" t="n">
        <f aca="false">VLOOKUP(C1297,Products!$A$5:$D$24,4,FALSE())</f>
        <v>38</v>
      </c>
      <c r="J1297" s="42" t="n">
        <f aca="false">DATE(YEAR(B1297),MONTH(B1297),1)</f>
        <v>45839</v>
      </c>
      <c r="K1297" s="41" t="n">
        <f aca="false">D1297*E1297</f>
        <v>146.52</v>
      </c>
      <c r="L1297" s="41" t="n">
        <f aca="false">D1297*I1297</f>
        <v>76</v>
      </c>
      <c r="M1297" s="41" t="n">
        <f aca="false">IFERROR(INDEX(Raw_Expenses!$C$5:$C$2979,MATCH(A1297,Raw_Expenses!$A$5:$A$2979,0)),0)</f>
        <v>7.7</v>
      </c>
      <c r="N1297" s="41" t="n">
        <f aca="false">L1297+M1297</f>
        <v>83.7</v>
      </c>
      <c r="O1297" s="41" t="n">
        <f aca="false">K1297-N1297</f>
        <v>62.82</v>
      </c>
      <c r="P1297" s="43" t="n">
        <f aca="false">IF(K1297=0,0,O1297/K1297)</f>
        <v>0.428746928746929</v>
      </c>
    </row>
    <row r="1298" customFormat="false" ht="15" hidden="false" customHeight="false" outlineLevel="0" collapsed="false">
      <c r="A1298" s="39" t="s">
        <v>1420</v>
      </c>
      <c r="B1298" s="40" t="n">
        <v>45844</v>
      </c>
      <c r="C1298" s="39" t="s">
        <v>110</v>
      </c>
      <c r="D1298" s="39" t="n">
        <v>1</v>
      </c>
      <c r="E1298" s="41" t="n">
        <v>13.13</v>
      </c>
      <c r="F1298" s="39" t="s">
        <v>108</v>
      </c>
      <c r="G1298" s="39" t="str">
        <f aca="false">VLOOKUP(C1298,Products!$A$5:$D$24,2,FALSE())</f>
        <v>Phone Stand</v>
      </c>
      <c r="H1298" s="39" t="str">
        <f aca="false">VLOOKUP(C1298,Products!$A$5:$D$24,3,FALSE())</f>
        <v>Accessories</v>
      </c>
      <c r="I1298" s="41" t="n">
        <f aca="false">VLOOKUP(C1298,Products!$A$5:$D$24,4,FALSE())</f>
        <v>4</v>
      </c>
      <c r="J1298" s="42" t="n">
        <f aca="false">DATE(YEAR(B1298),MONTH(B1298),1)</f>
        <v>45839</v>
      </c>
      <c r="K1298" s="41" t="n">
        <f aca="false">D1298*E1298</f>
        <v>13.13</v>
      </c>
      <c r="L1298" s="41" t="n">
        <f aca="false">D1298*I1298</f>
        <v>4</v>
      </c>
      <c r="M1298" s="41" t="n">
        <f aca="false">IFERROR(INDEX(Raw_Expenses!$C$5:$C$2979,MATCH(A1298,Raw_Expenses!$A$5:$A$2979,0)),0)</f>
        <v>0.78</v>
      </c>
      <c r="N1298" s="41" t="n">
        <f aca="false">L1298+M1298</f>
        <v>4.78</v>
      </c>
      <c r="O1298" s="41" t="n">
        <f aca="false">K1298-N1298</f>
        <v>8.35</v>
      </c>
      <c r="P1298" s="43" t="n">
        <f aca="false">IF(K1298=0,0,O1298/K1298)</f>
        <v>0.635948210205636</v>
      </c>
    </row>
    <row r="1299" customFormat="false" ht="15" hidden="false" customHeight="false" outlineLevel="0" collapsed="false">
      <c r="A1299" s="39" t="s">
        <v>1421</v>
      </c>
      <c r="B1299" s="40" t="n">
        <v>45844</v>
      </c>
      <c r="C1299" s="39" t="s">
        <v>136</v>
      </c>
      <c r="D1299" s="39" t="n">
        <v>1</v>
      </c>
      <c r="E1299" s="41" t="n">
        <v>75.52</v>
      </c>
      <c r="F1299" s="39" t="s">
        <v>108</v>
      </c>
      <c r="G1299" s="39" t="str">
        <f aca="false">VLOOKUP(C1299,Products!$A$5:$D$24,2,FALSE())</f>
        <v>Mechanical Keyboard</v>
      </c>
      <c r="H1299" s="39" t="str">
        <f aca="false">VLOOKUP(C1299,Products!$A$5:$D$24,3,FALSE())</f>
        <v>Electronics</v>
      </c>
      <c r="I1299" s="41" t="n">
        <f aca="false">VLOOKUP(C1299,Products!$A$5:$D$24,4,FALSE())</f>
        <v>38</v>
      </c>
      <c r="J1299" s="42" t="n">
        <f aca="false">DATE(YEAR(B1299),MONTH(B1299),1)</f>
        <v>45839</v>
      </c>
      <c r="K1299" s="41" t="n">
        <f aca="false">D1299*E1299</f>
        <v>75.52</v>
      </c>
      <c r="L1299" s="41" t="n">
        <f aca="false">D1299*I1299</f>
        <v>38</v>
      </c>
      <c r="M1299" s="41" t="n">
        <f aca="false">IFERROR(INDEX(Raw_Expenses!$C$5:$C$2979,MATCH(A1299,Raw_Expenses!$A$5:$A$2979,0)),0)</f>
        <v>3.16</v>
      </c>
      <c r="N1299" s="41" t="n">
        <f aca="false">L1299+M1299</f>
        <v>41.16</v>
      </c>
      <c r="O1299" s="41" t="n">
        <f aca="false">K1299-N1299</f>
        <v>34.36</v>
      </c>
      <c r="P1299" s="43" t="n">
        <f aca="false">IF(K1299=0,0,O1299/K1299)</f>
        <v>0.454978813559322</v>
      </c>
    </row>
    <row r="1300" customFormat="false" ht="15" hidden="false" customHeight="false" outlineLevel="0" collapsed="false">
      <c r="A1300" s="39" t="s">
        <v>1422</v>
      </c>
      <c r="B1300" s="40" t="n">
        <v>45844</v>
      </c>
      <c r="C1300" s="39" t="s">
        <v>104</v>
      </c>
      <c r="D1300" s="39" t="n">
        <v>2</v>
      </c>
      <c r="E1300" s="41" t="n">
        <v>15.86</v>
      </c>
      <c r="F1300" s="39" t="s">
        <v>108</v>
      </c>
      <c r="G1300" s="39" t="str">
        <f aca="false">VLOOKUP(C1300,Products!$A$5:$D$24,2,FALSE())</f>
        <v>Water Bottle</v>
      </c>
      <c r="H1300" s="39" t="str">
        <f aca="false">VLOOKUP(C1300,Products!$A$5:$D$24,3,FALSE())</f>
        <v>Accessories</v>
      </c>
      <c r="I1300" s="41" t="n">
        <f aca="false">VLOOKUP(C1300,Products!$A$5:$D$24,4,FALSE())</f>
        <v>5</v>
      </c>
      <c r="J1300" s="42" t="n">
        <f aca="false">DATE(YEAR(B1300),MONTH(B1300),1)</f>
        <v>45839</v>
      </c>
      <c r="K1300" s="41" t="n">
        <f aca="false">D1300*E1300</f>
        <v>31.72</v>
      </c>
      <c r="L1300" s="41" t="n">
        <f aca="false">D1300*I1300</f>
        <v>10</v>
      </c>
      <c r="M1300" s="41" t="n">
        <f aca="false">IFERROR(INDEX(Raw_Expenses!$C$5:$C$2979,MATCH(A1300,Raw_Expenses!$A$5:$A$2979,0)),0)</f>
        <v>1.63</v>
      </c>
      <c r="N1300" s="41" t="n">
        <f aca="false">L1300+M1300</f>
        <v>11.63</v>
      </c>
      <c r="O1300" s="41" t="n">
        <f aca="false">K1300-N1300</f>
        <v>20.09</v>
      </c>
      <c r="P1300" s="43" t="n">
        <f aca="false">IF(K1300=0,0,O1300/K1300)</f>
        <v>0.633354350567465</v>
      </c>
    </row>
    <row r="1301" customFormat="false" ht="15" hidden="false" customHeight="false" outlineLevel="0" collapsed="false">
      <c r="A1301" s="39" t="s">
        <v>1423</v>
      </c>
      <c r="B1301" s="40" t="n">
        <v>45844</v>
      </c>
      <c r="C1301" s="39" t="s">
        <v>177</v>
      </c>
      <c r="D1301" s="39" t="n">
        <v>2</v>
      </c>
      <c r="E1301" s="41" t="n">
        <v>44.44</v>
      </c>
      <c r="F1301" s="39" t="s">
        <v>115</v>
      </c>
      <c r="G1301" s="39" t="str">
        <f aca="false">VLOOKUP(C1301,Products!$A$5:$D$24,2,FALSE())</f>
        <v>Backpack</v>
      </c>
      <c r="H1301" s="39" t="str">
        <f aca="false">VLOOKUP(C1301,Products!$A$5:$D$24,3,FALSE())</f>
        <v>Accessories</v>
      </c>
      <c r="I1301" s="41" t="n">
        <f aca="false">VLOOKUP(C1301,Products!$A$5:$D$24,4,FALSE())</f>
        <v>17</v>
      </c>
      <c r="J1301" s="42" t="n">
        <f aca="false">DATE(YEAR(B1301),MONTH(B1301),1)</f>
        <v>45839</v>
      </c>
      <c r="K1301" s="41" t="n">
        <f aca="false">D1301*E1301</f>
        <v>88.88</v>
      </c>
      <c r="L1301" s="41" t="n">
        <f aca="false">D1301*I1301</f>
        <v>34</v>
      </c>
      <c r="M1301" s="41" t="n">
        <f aca="false">IFERROR(INDEX(Raw_Expenses!$C$5:$C$2979,MATCH(A1301,Raw_Expenses!$A$5:$A$2979,0)),0)</f>
        <v>4.88</v>
      </c>
      <c r="N1301" s="41" t="n">
        <f aca="false">L1301+M1301</f>
        <v>38.88</v>
      </c>
      <c r="O1301" s="41" t="n">
        <f aca="false">K1301-N1301</f>
        <v>50</v>
      </c>
      <c r="P1301" s="43" t="n">
        <f aca="false">IF(K1301=0,0,O1301/K1301)</f>
        <v>0.562556255625563</v>
      </c>
    </row>
    <row r="1302" customFormat="false" ht="15" hidden="false" customHeight="false" outlineLevel="0" collapsed="false">
      <c r="A1302" s="39" t="s">
        <v>1424</v>
      </c>
      <c r="B1302" s="40" t="n">
        <v>45844</v>
      </c>
      <c r="C1302" s="39" t="s">
        <v>114</v>
      </c>
      <c r="D1302" s="39" t="n">
        <v>2</v>
      </c>
      <c r="E1302" s="41" t="n">
        <v>5.78</v>
      </c>
      <c r="F1302" s="39" t="s">
        <v>115</v>
      </c>
      <c r="G1302" s="39" t="str">
        <f aca="false">VLOOKUP(C1302,Products!$A$5:$D$24,2,FALSE())</f>
        <v>Gel Pen Pack</v>
      </c>
      <c r="H1302" s="39" t="str">
        <f aca="false">VLOOKUP(C1302,Products!$A$5:$D$24,3,FALSE())</f>
        <v>Stationery</v>
      </c>
      <c r="I1302" s="41" t="n">
        <f aca="false">VLOOKUP(C1302,Products!$A$5:$D$24,4,FALSE())</f>
        <v>2</v>
      </c>
      <c r="J1302" s="42" t="n">
        <f aca="false">DATE(YEAR(B1302),MONTH(B1302),1)</f>
        <v>45839</v>
      </c>
      <c r="K1302" s="41" t="n">
        <f aca="false">D1302*E1302</f>
        <v>11.56</v>
      </c>
      <c r="L1302" s="41" t="n">
        <f aca="false">D1302*I1302</f>
        <v>4</v>
      </c>
      <c r="M1302" s="41" t="n">
        <f aca="false">IFERROR(INDEX(Raw_Expenses!$C$5:$C$2979,MATCH(A1302,Raw_Expenses!$A$5:$A$2979,0)),0)</f>
        <v>0.52</v>
      </c>
      <c r="N1302" s="41" t="n">
        <f aca="false">L1302+M1302</f>
        <v>4.52</v>
      </c>
      <c r="O1302" s="41" t="n">
        <f aca="false">K1302-N1302</f>
        <v>7.04</v>
      </c>
      <c r="P1302" s="43" t="n">
        <f aca="false">IF(K1302=0,0,O1302/K1302)</f>
        <v>0.608996539792388</v>
      </c>
    </row>
    <row r="1303" customFormat="false" ht="15" hidden="false" customHeight="false" outlineLevel="0" collapsed="false">
      <c r="A1303" s="39" t="s">
        <v>1425</v>
      </c>
      <c r="B1303" s="40" t="n">
        <v>45844</v>
      </c>
      <c r="C1303" s="39" t="s">
        <v>130</v>
      </c>
      <c r="D1303" s="39" t="n">
        <v>3</v>
      </c>
      <c r="E1303" s="41" t="n">
        <v>8.55</v>
      </c>
      <c r="F1303" s="39" t="s">
        <v>108</v>
      </c>
      <c r="G1303" s="39" t="str">
        <f aca="false">VLOOKUP(C1303,Products!$A$5:$D$24,2,FALSE())</f>
        <v>Notebook Set</v>
      </c>
      <c r="H1303" s="39" t="str">
        <f aca="false">VLOOKUP(C1303,Products!$A$5:$D$24,3,FALSE())</f>
        <v>Stationery</v>
      </c>
      <c r="I1303" s="41" t="n">
        <f aca="false">VLOOKUP(C1303,Products!$A$5:$D$24,4,FALSE())</f>
        <v>3</v>
      </c>
      <c r="J1303" s="42" t="n">
        <f aca="false">DATE(YEAR(B1303),MONTH(B1303),1)</f>
        <v>45839</v>
      </c>
      <c r="K1303" s="41" t="n">
        <f aca="false">D1303*E1303</f>
        <v>25.65</v>
      </c>
      <c r="L1303" s="41" t="n">
        <f aca="false">D1303*I1303</f>
        <v>9</v>
      </c>
      <c r="M1303" s="41" t="n">
        <f aca="false">IFERROR(INDEX(Raw_Expenses!$C$5:$C$2979,MATCH(A1303,Raw_Expenses!$A$5:$A$2979,0)),0)</f>
        <v>1.04</v>
      </c>
      <c r="N1303" s="41" t="n">
        <f aca="false">L1303+M1303</f>
        <v>10.04</v>
      </c>
      <c r="O1303" s="41" t="n">
        <f aca="false">K1303-N1303</f>
        <v>15.61</v>
      </c>
      <c r="P1303" s="43" t="n">
        <f aca="false">IF(K1303=0,0,O1303/K1303)</f>
        <v>0.608576998050682</v>
      </c>
    </row>
    <row r="1304" customFormat="false" ht="15" hidden="false" customHeight="false" outlineLevel="0" collapsed="false">
      <c r="A1304" s="39" t="s">
        <v>1426</v>
      </c>
      <c r="B1304" s="40" t="n">
        <v>45844</v>
      </c>
      <c r="C1304" s="39" t="s">
        <v>136</v>
      </c>
      <c r="D1304" s="39" t="n">
        <v>2</v>
      </c>
      <c r="E1304" s="41" t="n">
        <v>75.77</v>
      </c>
      <c r="F1304" s="39" t="s">
        <v>105</v>
      </c>
      <c r="G1304" s="39" t="str">
        <f aca="false">VLOOKUP(C1304,Products!$A$5:$D$24,2,FALSE())</f>
        <v>Mechanical Keyboard</v>
      </c>
      <c r="H1304" s="39" t="str">
        <f aca="false">VLOOKUP(C1304,Products!$A$5:$D$24,3,FALSE())</f>
        <v>Electronics</v>
      </c>
      <c r="I1304" s="41" t="n">
        <f aca="false">VLOOKUP(C1304,Products!$A$5:$D$24,4,FALSE())</f>
        <v>38</v>
      </c>
      <c r="J1304" s="42" t="n">
        <f aca="false">DATE(YEAR(B1304),MONTH(B1304),1)</f>
        <v>45839</v>
      </c>
      <c r="K1304" s="41" t="n">
        <f aca="false">D1304*E1304</f>
        <v>151.54</v>
      </c>
      <c r="L1304" s="41" t="n">
        <f aca="false">D1304*I1304</f>
        <v>76</v>
      </c>
      <c r="M1304" s="41" t="n">
        <f aca="false">IFERROR(INDEX(Raw_Expenses!$C$5:$C$2979,MATCH(A1304,Raw_Expenses!$A$5:$A$2979,0)),0)</f>
        <v>11.97</v>
      </c>
      <c r="N1304" s="41" t="n">
        <f aca="false">L1304+M1304</f>
        <v>87.97</v>
      </c>
      <c r="O1304" s="41" t="n">
        <f aca="false">K1304-N1304</f>
        <v>63.57</v>
      </c>
      <c r="P1304" s="43" t="n">
        <f aca="false">IF(K1304=0,0,O1304/K1304)</f>
        <v>0.419493203114689</v>
      </c>
    </row>
    <row r="1305" customFormat="false" ht="15" hidden="false" customHeight="false" outlineLevel="0" collapsed="false">
      <c r="A1305" s="39" t="s">
        <v>1427</v>
      </c>
      <c r="B1305" s="40" t="n">
        <v>45844</v>
      </c>
      <c r="C1305" s="39" t="s">
        <v>117</v>
      </c>
      <c r="D1305" s="39" t="n">
        <v>2</v>
      </c>
      <c r="E1305" s="41" t="n">
        <v>30.31</v>
      </c>
      <c r="F1305" s="39" t="s">
        <v>115</v>
      </c>
      <c r="G1305" s="39" t="str">
        <f aca="false">VLOOKUP(C1305,Products!$A$5:$D$24,2,FALSE())</f>
        <v>Desk Lamp</v>
      </c>
      <c r="H1305" s="39" t="str">
        <f aca="false">VLOOKUP(C1305,Products!$A$5:$D$24,3,FALSE())</f>
        <v>Furniture</v>
      </c>
      <c r="I1305" s="41" t="n">
        <f aca="false">VLOOKUP(C1305,Products!$A$5:$D$24,4,FALSE())</f>
        <v>13</v>
      </c>
      <c r="J1305" s="42" t="n">
        <f aca="false">DATE(YEAR(B1305),MONTH(B1305),1)</f>
        <v>45839</v>
      </c>
      <c r="K1305" s="41" t="n">
        <f aca="false">D1305*E1305</f>
        <v>60.62</v>
      </c>
      <c r="L1305" s="41" t="n">
        <f aca="false">D1305*I1305</f>
        <v>26</v>
      </c>
      <c r="M1305" s="41" t="n">
        <f aca="false">IFERROR(INDEX(Raw_Expenses!$C$5:$C$2979,MATCH(A1305,Raw_Expenses!$A$5:$A$2979,0)),0)</f>
        <v>2.55</v>
      </c>
      <c r="N1305" s="41" t="n">
        <f aca="false">L1305+M1305</f>
        <v>28.55</v>
      </c>
      <c r="O1305" s="41" t="n">
        <f aca="false">K1305-N1305</f>
        <v>32.07</v>
      </c>
      <c r="P1305" s="43" t="n">
        <f aca="false">IF(K1305=0,0,O1305/K1305)</f>
        <v>0.529033322335863</v>
      </c>
    </row>
    <row r="1306" customFormat="false" ht="15" hidden="false" customHeight="false" outlineLevel="0" collapsed="false">
      <c r="A1306" s="39" t="s">
        <v>1428</v>
      </c>
      <c r="B1306" s="40" t="n">
        <v>45844</v>
      </c>
      <c r="C1306" s="39" t="s">
        <v>169</v>
      </c>
      <c r="D1306" s="39" t="n">
        <v>8</v>
      </c>
      <c r="E1306" s="41" t="n">
        <v>27.32</v>
      </c>
      <c r="F1306" s="39" t="s">
        <v>108</v>
      </c>
      <c r="G1306" s="39" t="str">
        <f aca="false">VLOOKUP(C1306,Products!$A$5:$D$24,2,FALSE())</f>
        <v>Laptop Stand</v>
      </c>
      <c r="H1306" s="39" t="str">
        <f aca="false">VLOOKUP(C1306,Products!$A$5:$D$24,3,FALSE())</f>
        <v>Accessories</v>
      </c>
      <c r="I1306" s="41" t="n">
        <f aca="false">VLOOKUP(C1306,Products!$A$5:$D$24,4,FALSE())</f>
        <v>11</v>
      </c>
      <c r="J1306" s="42" t="n">
        <f aca="false">DATE(YEAR(B1306),MONTH(B1306),1)</f>
        <v>45839</v>
      </c>
      <c r="K1306" s="41" t="n">
        <f aca="false">D1306*E1306</f>
        <v>218.56</v>
      </c>
      <c r="L1306" s="41" t="n">
        <f aca="false">D1306*I1306</f>
        <v>88</v>
      </c>
      <c r="M1306" s="41" t="n">
        <f aca="false">IFERROR(INDEX(Raw_Expenses!$C$5:$C$2979,MATCH(A1306,Raw_Expenses!$A$5:$A$2979,0)),0)</f>
        <v>15.93</v>
      </c>
      <c r="N1306" s="41" t="n">
        <f aca="false">L1306+M1306</f>
        <v>103.93</v>
      </c>
      <c r="O1306" s="41" t="n">
        <f aca="false">K1306-N1306</f>
        <v>114.63</v>
      </c>
      <c r="P1306" s="43" t="n">
        <f aca="false">IF(K1306=0,0,O1306/K1306)</f>
        <v>0.524478404099561</v>
      </c>
    </row>
    <row r="1307" customFormat="false" ht="15" hidden="false" customHeight="false" outlineLevel="0" collapsed="false">
      <c r="A1307" s="39" t="s">
        <v>1429</v>
      </c>
      <c r="B1307" s="40" t="n">
        <v>45845</v>
      </c>
      <c r="C1307" s="39" t="s">
        <v>305</v>
      </c>
      <c r="D1307" s="39" t="n">
        <v>8</v>
      </c>
      <c r="E1307" s="41" t="n">
        <v>336.31</v>
      </c>
      <c r="F1307" s="39" t="s">
        <v>105</v>
      </c>
      <c r="G1307" s="39" t="str">
        <f aca="false">VLOOKUP(C1307,Products!$A$5:$D$24,2,FALSE())</f>
        <v>Standing Desk</v>
      </c>
      <c r="H1307" s="39" t="str">
        <f aca="false">VLOOKUP(C1307,Products!$A$5:$D$24,3,FALSE())</f>
        <v>Furniture</v>
      </c>
      <c r="I1307" s="41" t="n">
        <f aca="false">VLOOKUP(C1307,Products!$A$5:$D$24,4,FALSE())</f>
        <v>160</v>
      </c>
      <c r="J1307" s="42" t="n">
        <f aca="false">DATE(YEAR(B1307),MONTH(B1307),1)</f>
        <v>45839</v>
      </c>
      <c r="K1307" s="41" t="n">
        <f aca="false">D1307*E1307</f>
        <v>2690.48</v>
      </c>
      <c r="L1307" s="41" t="n">
        <f aca="false">D1307*I1307</f>
        <v>1280</v>
      </c>
      <c r="M1307" s="41" t="n">
        <f aca="false">IFERROR(INDEX(Raw_Expenses!$C$5:$C$2979,MATCH(A1307,Raw_Expenses!$A$5:$A$2979,0)),0)</f>
        <v>219.75</v>
      </c>
      <c r="N1307" s="41" t="n">
        <f aca="false">L1307+M1307</f>
        <v>1499.75</v>
      </c>
      <c r="O1307" s="41" t="n">
        <f aca="false">K1307-N1307</f>
        <v>1190.73</v>
      </c>
      <c r="P1307" s="43" t="n">
        <f aca="false">IF(K1307=0,0,O1307/K1307)</f>
        <v>0.442571585739348</v>
      </c>
    </row>
    <row r="1308" customFormat="false" ht="15" hidden="false" customHeight="false" outlineLevel="0" collapsed="false">
      <c r="A1308" s="39" t="s">
        <v>1430</v>
      </c>
      <c r="B1308" s="40" t="n">
        <v>45845</v>
      </c>
      <c r="C1308" s="39" t="s">
        <v>114</v>
      </c>
      <c r="D1308" s="39" t="n">
        <v>2</v>
      </c>
      <c r="E1308" s="41" t="n">
        <v>5.88</v>
      </c>
      <c r="F1308" s="39" t="s">
        <v>105</v>
      </c>
      <c r="G1308" s="39" t="str">
        <f aca="false">VLOOKUP(C1308,Products!$A$5:$D$24,2,FALSE())</f>
        <v>Gel Pen Pack</v>
      </c>
      <c r="H1308" s="39" t="str">
        <f aca="false">VLOOKUP(C1308,Products!$A$5:$D$24,3,FALSE())</f>
        <v>Stationery</v>
      </c>
      <c r="I1308" s="41" t="n">
        <f aca="false">VLOOKUP(C1308,Products!$A$5:$D$24,4,FALSE())</f>
        <v>2</v>
      </c>
      <c r="J1308" s="42" t="n">
        <f aca="false">DATE(YEAR(B1308),MONTH(B1308),1)</f>
        <v>45839</v>
      </c>
      <c r="K1308" s="41" t="n">
        <f aca="false">D1308*E1308</f>
        <v>11.76</v>
      </c>
      <c r="L1308" s="41" t="n">
        <f aca="false">D1308*I1308</f>
        <v>4</v>
      </c>
      <c r="M1308" s="41" t="n">
        <f aca="false">IFERROR(INDEX(Raw_Expenses!$C$5:$C$2979,MATCH(A1308,Raw_Expenses!$A$5:$A$2979,0)),0)</f>
        <v>0.94</v>
      </c>
      <c r="N1308" s="41" t="n">
        <f aca="false">L1308+M1308</f>
        <v>4.94</v>
      </c>
      <c r="O1308" s="41" t="n">
        <f aca="false">K1308-N1308</f>
        <v>6.82</v>
      </c>
      <c r="P1308" s="43" t="n">
        <f aca="false">IF(K1308=0,0,O1308/K1308)</f>
        <v>0.579931972789116</v>
      </c>
    </row>
    <row r="1309" customFormat="false" ht="15" hidden="false" customHeight="false" outlineLevel="0" collapsed="false">
      <c r="A1309" s="39" t="s">
        <v>1431</v>
      </c>
      <c r="B1309" s="40" t="n">
        <v>45845</v>
      </c>
      <c r="C1309" s="39" t="s">
        <v>104</v>
      </c>
      <c r="D1309" s="39" t="n">
        <v>1</v>
      </c>
      <c r="E1309" s="41" t="n">
        <v>15.76</v>
      </c>
      <c r="F1309" s="39" t="s">
        <v>115</v>
      </c>
      <c r="G1309" s="39" t="str">
        <f aca="false">VLOOKUP(C1309,Products!$A$5:$D$24,2,FALSE())</f>
        <v>Water Bottle</v>
      </c>
      <c r="H1309" s="39" t="str">
        <f aca="false">VLOOKUP(C1309,Products!$A$5:$D$24,3,FALSE())</f>
        <v>Accessories</v>
      </c>
      <c r="I1309" s="41" t="n">
        <f aca="false">VLOOKUP(C1309,Products!$A$5:$D$24,4,FALSE())</f>
        <v>5</v>
      </c>
      <c r="J1309" s="42" t="n">
        <f aca="false">DATE(YEAR(B1309),MONTH(B1309),1)</f>
        <v>45839</v>
      </c>
      <c r="K1309" s="41" t="n">
        <f aca="false">D1309*E1309</f>
        <v>15.76</v>
      </c>
      <c r="L1309" s="41" t="n">
        <f aca="false">D1309*I1309</f>
        <v>5</v>
      </c>
      <c r="M1309" s="41" t="n">
        <f aca="false">IFERROR(INDEX(Raw_Expenses!$C$5:$C$2979,MATCH(A1309,Raw_Expenses!$A$5:$A$2979,0)),0)</f>
        <v>0.83</v>
      </c>
      <c r="N1309" s="41" t="n">
        <f aca="false">L1309+M1309</f>
        <v>5.83</v>
      </c>
      <c r="O1309" s="41" t="n">
        <f aca="false">K1309-N1309</f>
        <v>9.93</v>
      </c>
      <c r="P1309" s="43" t="n">
        <f aca="false">IF(K1309=0,0,O1309/K1309)</f>
        <v>0.63007614213198</v>
      </c>
    </row>
    <row r="1310" customFormat="false" ht="15" hidden="false" customHeight="false" outlineLevel="0" collapsed="false">
      <c r="A1310" s="39" t="s">
        <v>1432</v>
      </c>
      <c r="B1310" s="40" t="n">
        <v>45846</v>
      </c>
      <c r="C1310" s="39" t="s">
        <v>177</v>
      </c>
      <c r="D1310" s="39" t="n">
        <v>5</v>
      </c>
      <c r="E1310" s="41" t="n">
        <v>44.5</v>
      </c>
      <c r="F1310" s="39" t="s">
        <v>115</v>
      </c>
      <c r="G1310" s="39" t="str">
        <f aca="false">VLOOKUP(C1310,Products!$A$5:$D$24,2,FALSE())</f>
        <v>Backpack</v>
      </c>
      <c r="H1310" s="39" t="str">
        <f aca="false">VLOOKUP(C1310,Products!$A$5:$D$24,3,FALSE())</f>
        <v>Accessories</v>
      </c>
      <c r="I1310" s="41" t="n">
        <f aca="false">VLOOKUP(C1310,Products!$A$5:$D$24,4,FALSE())</f>
        <v>17</v>
      </c>
      <c r="J1310" s="42" t="n">
        <f aca="false">DATE(YEAR(B1310),MONTH(B1310),1)</f>
        <v>45839</v>
      </c>
      <c r="K1310" s="41" t="n">
        <f aca="false">D1310*E1310</f>
        <v>222.5</v>
      </c>
      <c r="L1310" s="41" t="n">
        <f aca="false">D1310*I1310</f>
        <v>85</v>
      </c>
      <c r="M1310" s="41" t="n">
        <f aca="false">IFERROR(INDEX(Raw_Expenses!$C$5:$C$2979,MATCH(A1310,Raw_Expenses!$A$5:$A$2979,0)),0)</f>
        <v>14.03</v>
      </c>
      <c r="N1310" s="41" t="n">
        <f aca="false">L1310+M1310</f>
        <v>99.03</v>
      </c>
      <c r="O1310" s="41" t="n">
        <f aca="false">K1310-N1310</f>
        <v>123.47</v>
      </c>
      <c r="P1310" s="43" t="n">
        <f aca="false">IF(K1310=0,0,O1310/K1310)</f>
        <v>0.554921348314607</v>
      </c>
    </row>
    <row r="1311" customFormat="false" ht="15" hidden="false" customHeight="false" outlineLevel="0" collapsed="false">
      <c r="A1311" s="39" t="s">
        <v>1433</v>
      </c>
      <c r="B1311" s="40" t="n">
        <v>45846</v>
      </c>
      <c r="C1311" s="39" t="s">
        <v>107</v>
      </c>
      <c r="D1311" s="39" t="n">
        <v>1</v>
      </c>
      <c r="E1311" s="41" t="n">
        <v>33.45</v>
      </c>
      <c r="F1311" s="39" t="s">
        <v>105</v>
      </c>
      <c r="G1311" s="39" t="str">
        <f aca="false">VLOOKUP(C1311,Products!$A$5:$D$24,2,FALSE())</f>
        <v>USB-C Hub</v>
      </c>
      <c r="H1311" s="39" t="str">
        <f aca="false">VLOOKUP(C1311,Products!$A$5:$D$24,3,FALSE())</f>
        <v>Electronics</v>
      </c>
      <c r="I1311" s="41" t="n">
        <f aca="false">VLOOKUP(C1311,Products!$A$5:$D$24,4,FALSE())</f>
        <v>14</v>
      </c>
      <c r="J1311" s="42" t="n">
        <f aca="false">DATE(YEAR(B1311),MONTH(B1311),1)</f>
        <v>45839</v>
      </c>
      <c r="K1311" s="41" t="n">
        <f aca="false">D1311*E1311</f>
        <v>33.45</v>
      </c>
      <c r="L1311" s="41" t="n">
        <f aca="false">D1311*I1311</f>
        <v>14</v>
      </c>
      <c r="M1311" s="41" t="n">
        <f aca="false">IFERROR(INDEX(Raw_Expenses!$C$5:$C$2979,MATCH(A1311,Raw_Expenses!$A$5:$A$2979,0)),0)</f>
        <v>2.61</v>
      </c>
      <c r="N1311" s="41" t="n">
        <f aca="false">L1311+M1311</f>
        <v>16.61</v>
      </c>
      <c r="O1311" s="41" t="n">
        <f aca="false">K1311-N1311</f>
        <v>16.84</v>
      </c>
      <c r="P1311" s="43" t="n">
        <f aca="false">IF(K1311=0,0,O1311/K1311)</f>
        <v>0.503437967115097</v>
      </c>
    </row>
    <row r="1312" customFormat="false" ht="15" hidden="false" customHeight="false" outlineLevel="0" collapsed="false">
      <c r="A1312" s="39" t="s">
        <v>1434</v>
      </c>
      <c r="B1312" s="40" t="n">
        <v>45846</v>
      </c>
      <c r="C1312" s="39" t="s">
        <v>130</v>
      </c>
      <c r="D1312" s="39" t="n">
        <v>1</v>
      </c>
      <c r="E1312" s="41" t="n">
        <v>8.58</v>
      </c>
      <c r="F1312" s="39" t="s">
        <v>105</v>
      </c>
      <c r="G1312" s="39" t="str">
        <f aca="false">VLOOKUP(C1312,Products!$A$5:$D$24,2,FALSE())</f>
        <v>Notebook Set</v>
      </c>
      <c r="H1312" s="39" t="str">
        <f aca="false">VLOOKUP(C1312,Products!$A$5:$D$24,3,FALSE())</f>
        <v>Stationery</v>
      </c>
      <c r="I1312" s="41" t="n">
        <f aca="false">VLOOKUP(C1312,Products!$A$5:$D$24,4,FALSE())</f>
        <v>3</v>
      </c>
      <c r="J1312" s="42" t="n">
        <f aca="false">DATE(YEAR(B1312),MONTH(B1312),1)</f>
        <v>45839</v>
      </c>
      <c r="K1312" s="41" t="n">
        <f aca="false">D1312*E1312</f>
        <v>8.58</v>
      </c>
      <c r="L1312" s="41" t="n">
        <f aca="false">D1312*I1312</f>
        <v>3</v>
      </c>
      <c r="M1312" s="41" t="n">
        <f aca="false">IFERROR(INDEX(Raw_Expenses!$C$5:$C$2979,MATCH(A1312,Raw_Expenses!$A$5:$A$2979,0)),0)</f>
        <v>0.6</v>
      </c>
      <c r="N1312" s="41" t="n">
        <f aca="false">L1312+M1312</f>
        <v>3.6</v>
      </c>
      <c r="O1312" s="41" t="n">
        <f aca="false">K1312-N1312</f>
        <v>4.98</v>
      </c>
      <c r="P1312" s="43" t="n">
        <f aca="false">IF(K1312=0,0,O1312/K1312)</f>
        <v>0.58041958041958</v>
      </c>
    </row>
    <row r="1313" customFormat="false" ht="15" hidden="false" customHeight="false" outlineLevel="0" collapsed="false">
      <c r="A1313" s="39" t="s">
        <v>1435</v>
      </c>
      <c r="B1313" s="40" t="n">
        <v>45846</v>
      </c>
      <c r="C1313" s="39" t="s">
        <v>169</v>
      </c>
      <c r="D1313" s="39" t="n">
        <v>1</v>
      </c>
      <c r="E1313" s="41" t="n">
        <v>28.61</v>
      </c>
      <c r="F1313" s="39" t="s">
        <v>105</v>
      </c>
      <c r="G1313" s="39" t="str">
        <f aca="false">VLOOKUP(C1313,Products!$A$5:$D$24,2,FALSE())</f>
        <v>Laptop Stand</v>
      </c>
      <c r="H1313" s="39" t="str">
        <f aca="false">VLOOKUP(C1313,Products!$A$5:$D$24,3,FALSE())</f>
        <v>Accessories</v>
      </c>
      <c r="I1313" s="41" t="n">
        <f aca="false">VLOOKUP(C1313,Products!$A$5:$D$24,4,FALSE())</f>
        <v>11</v>
      </c>
      <c r="J1313" s="42" t="n">
        <f aca="false">DATE(YEAR(B1313),MONTH(B1313),1)</f>
        <v>45839</v>
      </c>
      <c r="K1313" s="41" t="n">
        <f aca="false">D1313*E1313</f>
        <v>28.61</v>
      </c>
      <c r="L1313" s="41" t="n">
        <f aca="false">D1313*I1313</f>
        <v>11</v>
      </c>
      <c r="M1313" s="41" t="n">
        <f aca="false">IFERROR(INDEX(Raw_Expenses!$C$5:$C$2979,MATCH(A1313,Raw_Expenses!$A$5:$A$2979,0)),0)</f>
        <v>1.23</v>
      </c>
      <c r="N1313" s="41" t="n">
        <f aca="false">L1313+M1313</f>
        <v>12.23</v>
      </c>
      <c r="O1313" s="41" t="n">
        <f aca="false">K1313-N1313</f>
        <v>16.38</v>
      </c>
      <c r="P1313" s="43" t="n">
        <f aca="false">IF(K1313=0,0,O1313/K1313)</f>
        <v>0.572527088430619</v>
      </c>
    </row>
    <row r="1314" customFormat="false" ht="15" hidden="false" customHeight="false" outlineLevel="0" collapsed="false">
      <c r="A1314" s="39" t="s">
        <v>1436</v>
      </c>
      <c r="B1314" s="40" t="n">
        <v>45846</v>
      </c>
      <c r="C1314" s="39" t="s">
        <v>110</v>
      </c>
      <c r="D1314" s="39" t="n">
        <v>4</v>
      </c>
      <c r="E1314" s="41" t="n">
        <v>13.82</v>
      </c>
      <c r="F1314" s="39" t="s">
        <v>115</v>
      </c>
      <c r="G1314" s="39" t="str">
        <f aca="false">VLOOKUP(C1314,Products!$A$5:$D$24,2,FALSE())</f>
        <v>Phone Stand</v>
      </c>
      <c r="H1314" s="39" t="str">
        <f aca="false">VLOOKUP(C1314,Products!$A$5:$D$24,3,FALSE())</f>
        <v>Accessories</v>
      </c>
      <c r="I1314" s="41" t="n">
        <f aca="false">VLOOKUP(C1314,Products!$A$5:$D$24,4,FALSE())</f>
        <v>4</v>
      </c>
      <c r="J1314" s="42" t="n">
        <f aca="false">DATE(YEAR(B1314),MONTH(B1314),1)</f>
        <v>45839</v>
      </c>
      <c r="K1314" s="41" t="n">
        <f aca="false">D1314*E1314</f>
        <v>55.28</v>
      </c>
      <c r="L1314" s="41" t="n">
        <f aca="false">D1314*I1314</f>
        <v>16</v>
      </c>
      <c r="M1314" s="41" t="n">
        <f aca="false">IFERROR(INDEX(Raw_Expenses!$C$5:$C$2979,MATCH(A1314,Raw_Expenses!$A$5:$A$2979,0)),0)</f>
        <v>4.19</v>
      </c>
      <c r="N1314" s="41" t="n">
        <f aca="false">L1314+M1314</f>
        <v>20.19</v>
      </c>
      <c r="O1314" s="41" t="n">
        <f aca="false">K1314-N1314</f>
        <v>35.09</v>
      </c>
      <c r="P1314" s="43" t="n">
        <f aca="false">IF(K1314=0,0,O1314/K1314)</f>
        <v>0.634768451519537</v>
      </c>
    </row>
    <row r="1315" customFormat="false" ht="15" hidden="false" customHeight="false" outlineLevel="0" collapsed="false">
      <c r="A1315" s="39" t="s">
        <v>1437</v>
      </c>
      <c r="B1315" s="40" t="n">
        <v>45846</v>
      </c>
      <c r="C1315" s="39" t="s">
        <v>130</v>
      </c>
      <c r="D1315" s="39" t="n">
        <v>5</v>
      </c>
      <c r="E1315" s="41" t="n">
        <v>8.35</v>
      </c>
      <c r="F1315" s="39" t="s">
        <v>108</v>
      </c>
      <c r="G1315" s="39" t="str">
        <f aca="false">VLOOKUP(C1315,Products!$A$5:$D$24,2,FALSE())</f>
        <v>Notebook Set</v>
      </c>
      <c r="H1315" s="39" t="str">
        <f aca="false">VLOOKUP(C1315,Products!$A$5:$D$24,3,FALSE())</f>
        <v>Stationery</v>
      </c>
      <c r="I1315" s="41" t="n">
        <f aca="false">VLOOKUP(C1315,Products!$A$5:$D$24,4,FALSE())</f>
        <v>3</v>
      </c>
      <c r="J1315" s="42" t="n">
        <f aca="false">DATE(YEAR(B1315),MONTH(B1315),1)</f>
        <v>45839</v>
      </c>
      <c r="K1315" s="41" t="n">
        <f aca="false">D1315*E1315</f>
        <v>41.75</v>
      </c>
      <c r="L1315" s="41" t="n">
        <f aca="false">D1315*I1315</f>
        <v>15</v>
      </c>
      <c r="M1315" s="41" t="n">
        <f aca="false">IFERROR(INDEX(Raw_Expenses!$C$5:$C$2979,MATCH(A1315,Raw_Expenses!$A$5:$A$2979,0)),0)</f>
        <v>2.68</v>
      </c>
      <c r="N1315" s="41" t="n">
        <f aca="false">L1315+M1315</f>
        <v>17.68</v>
      </c>
      <c r="O1315" s="41" t="n">
        <f aca="false">K1315-N1315</f>
        <v>24.07</v>
      </c>
      <c r="P1315" s="43" t="n">
        <f aca="false">IF(K1315=0,0,O1315/K1315)</f>
        <v>0.576526946107784</v>
      </c>
    </row>
    <row r="1316" customFormat="false" ht="15" hidden="false" customHeight="false" outlineLevel="0" collapsed="false">
      <c r="A1316" s="39" t="s">
        <v>1438</v>
      </c>
      <c r="B1316" s="40" t="n">
        <v>45846</v>
      </c>
      <c r="C1316" s="39" t="s">
        <v>177</v>
      </c>
      <c r="D1316" s="39" t="n">
        <v>5</v>
      </c>
      <c r="E1316" s="41" t="n">
        <v>43.87</v>
      </c>
      <c r="F1316" s="39" t="s">
        <v>115</v>
      </c>
      <c r="G1316" s="39" t="str">
        <f aca="false">VLOOKUP(C1316,Products!$A$5:$D$24,2,FALSE())</f>
        <v>Backpack</v>
      </c>
      <c r="H1316" s="39" t="str">
        <f aca="false">VLOOKUP(C1316,Products!$A$5:$D$24,3,FALSE())</f>
        <v>Accessories</v>
      </c>
      <c r="I1316" s="41" t="n">
        <f aca="false">VLOOKUP(C1316,Products!$A$5:$D$24,4,FALSE())</f>
        <v>17</v>
      </c>
      <c r="J1316" s="42" t="n">
        <f aca="false">DATE(YEAR(B1316),MONTH(B1316),1)</f>
        <v>45839</v>
      </c>
      <c r="K1316" s="41" t="n">
        <f aca="false">D1316*E1316</f>
        <v>219.35</v>
      </c>
      <c r="L1316" s="41" t="n">
        <f aca="false">D1316*I1316</f>
        <v>85</v>
      </c>
      <c r="M1316" s="41" t="n">
        <f aca="false">IFERROR(INDEX(Raw_Expenses!$C$5:$C$2979,MATCH(A1316,Raw_Expenses!$A$5:$A$2979,0)),0)</f>
        <v>11.05</v>
      </c>
      <c r="N1316" s="41" t="n">
        <f aca="false">L1316+M1316</f>
        <v>96.05</v>
      </c>
      <c r="O1316" s="41" t="n">
        <f aca="false">K1316-N1316</f>
        <v>123.3</v>
      </c>
      <c r="P1316" s="43" t="n">
        <f aca="false">IF(K1316=0,0,O1316/K1316)</f>
        <v>0.562115340779576</v>
      </c>
    </row>
    <row r="1317" customFormat="false" ht="15" hidden="false" customHeight="false" outlineLevel="0" collapsed="false">
      <c r="A1317" s="39" t="s">
        <v>1439</v>
      </c>
      <c r="B1317" s="40" t="n">
        <v>45846</v>
      </c>
      <c r="C1317" s="39" t="s">
        <v>107</v>
      </c>
      <c r="D1317" s="39" t="n">
        <v>1</v>
      </c>
      <c r="E1317" s="41" t="n">
        <v>33.12</v>
      </c>
      <c r="F1317" s="39" t="s">
        <v>105</v>
      </c>
      <c r="G1317" s="39" t="str">
        <f aca="false">VLOOKUP(C1317,Products!$A$5:$D$24,2,FALSE())</f>
        <v>USB-C Hub</v>
      </c>
      <c r="H1317" s="39" t="str">
        <f aca="false">VLOOKUP(C1317,Products!$A$5:$D$24,3,FALSE())</f>
        <v>Electronics</v>
      </c>
      <c r="I1317" s="41" t="n">
        <f aca="false">VLOOKUP(C1317,Products!$A$5:$D$24,4,FALSE())</f>
        <v>14</v>
      </c>
      <c r="J1317" s="42" t="n">
        <f aca="false">DATE(YEAR(B1317),MONTH(B1317),1)</f>
        <v>45839</v>
      </c>
      <c r="K1317" s="41" t="n">
        <f aca="false">D1317*E1317</f>
        <v>33.12</v>
      </c>
      <c r="L1317" s="41" t="n">
        <f aca="false">D1317*I1317</f>
        <v>14</v>
      </c>
      <c r="M1317" s="41" t="n">
        <f aca="false">IFERROR(INDEX(Raw_Expenses!$C$5:$C$2979,MATCH(A1317,Raw_Expenses!$A$5:$A$2979,0)),0)</f>
        <v>2.65</v>
      </c>
      <c r="N1317" s="41" t="n">
        <f aca="false">L1317+M1317</f>
        <v>16.65</v>
      </c>
      <c r="O1317" s="41" t="n">
        <f aca="false">K1317-N1317</f>
        <v>16.47</v>
      </c>
      <c r="P1317" s="43" t="n">
        <f aca="false">IF(K1317=0,0,O1317/K1317)</f>
        <v>0.497282608695652</v>
      </c>
    </row>
    <row r="1318" customFormat="false" ht="15" hidden="false" customHeight="false" outlineLevel="0" collapsed="false">
      <c r="A1318" s="39" t="s">
        <v>1440</v>
      </c>
      <c r="B1318" s="40" t="n">
        <v>45846</v>
      </c>
      <c r="C1318" s="39" t="s">
        <v>139</v>
      </c>
      <c r="D1318" s="39" t="n">
        <v>2</v>
      </c>
      <c r="E1318" s="41" t="n">
        <v>127.98</v>
      </c>
      <c r="F1318" s="39" t="s">
        <v>108</v>
      </c>
      <c r="G1318" s="39" t="str">
        <f aca="false">VLOOKUP(C1318,Products!$A$5:$D$24,2,FALSE())</f>
        <v>Noise-Cancelling Headphones</v>
      </c>
      <c r="H1318" s="39" t="str">
        <f aca="false">VLOOKUP(C1318,Products!$A$5:$D$24,3,FALSE())</f>
        <v>Electronics</v>
      </c>
      <c r="I1318" s="41" t="n">
        <f aca="false">VLOOKUP(C1318,Products!$A$5:$D$24,4,FALSE())</f>
        <v>55</v>
      </c>
      <c r="J1318" s="42" t="n">
        <f aca="false">DATE(YEAR(B1318),MONTH(B1318),1)</f>
        <v>45839</v>
      </c>
      <c r="K1318" s="41" t="n">
        <f aca="false">D1318*E1318</f>
        <v>255.96</v>
      </c>
      <c r="L1318" s="41" t="n">
        <f aca="false">D1318*I1318</f>
        <v>110</v>
      </c>
      <c r="M1318" s="41" t="n">
        <f aca="false">IFERROR(INDEX(Raw_Expenses!$C$5:$C$2979,MATCH(A1318,Raw_Expenses!$A$5:$A$2979,0)),0)</f>
        <v>22.8</v>
      </c>
      <c r="N1318" s="41" t="n">
        <f aca="false">L1318+M1318</f>
        <v>132.8</v>
      </c>
      <c r="O1318" s="41" t="n">
        <f aca="false">K1318-N1318</f>
        <v>123.16</v>
      </c>
      <c r="P1318" s="43" t="n">
        <f aca="false">IF(K1318=0,0,O1318/K1318)</f>
        <v>0.481168932645726</v>
      </c>
    </row>
    <row r="1319" customFormat="false" ht="15" hidden="false" customHeight="false" outlineLevel="0" collapsed="false">
      <c r="A1319" s="39" t="s">
        <v>1441</v>
      </c>
      <c r="B1319" s="40" t="n">
        <v>45846</v>
      </c>
      <c r="C1319" s="39" t="s">
        <v>114</v>
      </c>
      <c r="D1319" s="39" t="n">
        <v>2</v>
      </c>
      <c r="E1319" s="41" t="n">
        <v>5.52</v>
      </c>
      <c r="F1319" s="39" t="s">
        <v>118</v>
      </c>
      <c r="G1319" s="39" t="str">
        <f aca="false">VLOOKUP(C1319,Products!$A$5:$D$24,2,FALSE())</f>
        <v>Gel Pen Pack</v>
      </c>
      <c r="H1319" s="39" t="str">
        <f aca="false">VLOOKUP(C1319,Products!$A$5:$D$24,3,FALSE())</f>
        <v>Stationery</v>
      </c>
      <c r="I1319" s="41" t="n">
        <f aca="false">VLOOKUP(C1319,Products!$A$5:$D$24,4,FALSE())</f>
        <v>2</v>
      </c>
      <c r="J1319" s="42" t="n">
        <f aca="false">DATE(YEAR(B1319),MONTH(B1319),1)</f>
        <v>45839</v>
      </c>
      <c r="K1319" s="41" t="n">
        <f aca="false">D1319*E1319</f>
        <v>11.04</v>
      </c>
      <c r="L1319" s="41" t="n">
        <f aca="false">D1319*I1319</f>
        <v>4</v>
      </c>
      <c r="M1319" s="41" t="n">
        <f aca="false">IFERROR(INDEX(Raw_Expenses!$C$5:$C$2979,MATCH(A1319,Raw_Expenses!$A$5:$A$2979,0)),0)</f>
        <v>0.61</v>
      </c>
      <c r="N1319" s="41" t="n">
        <f aca="false">L1319+M1319</f>
        <v>4.61</v>
      </c>
      <c r="O1319" s="41" t="n">
        <f aca="false">K1319-N1319</f>
        <v>6.43</v>
      </c>
      <c r="P1319" s="43" t="n">
        <f aca="false">IF(K1319=0,0,O1319/K1319)</f>
        <v>0.582427536231884</v>
      </c>
    </row>
    <row r="1320" customFormat="false" ht="15" hidden="false" customHeight="false" outlineLevel="0" collapsed="false">
      <c r="A1320" s="39" t="s">
        <v>1442</v>
      </c>
      <c r="B1320" s="40" t="n">
        <v>45847</v>
      </c>
      <c r="C1320" s="39" t="s">
        <v>133</v>
      </c>
      <c r="D1320" s="39" t="n">
        <v>3</v>
      </c>
      <c r="E1320" s="41" t="n">
        <v>8.61</v>
      </c>
      <c r="F1320" s="39" t="s">
        <v>118</v>
      </c>
      <c r="G1320" s="39" t="str">
        <f aca="false">VLOOKUP(C1320,Products!$A$5:$D$24,2,FALSE())</f>
        <v>Printer Paper Ream</v>
      </c>
      <c r="H1320" s="39" t="str">
        <f aca="false">VLOOKUP(C1320,Products!$A$5:$D$24,3,FALSE())</f>
        <v>Stationery</v>
      </c>
      <c r="I1320" s="41" t="n">
        <f aca="false">VLOOKUP(C1320,Products!$A$5:$D$24,4,FALSE())</f>
        <v>4</v>
      </c>
      <c r="J1320" s="42" t="n">
        <f aca="false">DATE(YEAR(B1320),MONTH(B1320),1)</f>
        <v>45839</v>
      </c>
      <c r="K1320" s="41" t="n">
        <f aca="false">D1320*E1320</f>
        <v>25.83</v>
      </c>
      <c r="L1320" s="41" t="n">
        <f aca="false">D1320*I1320</f>
        <v>12</v>
      </c>
      <c r="M1320" s="41" t="n">
        <f aca="false">IFERROR(INDEX(Raw_Expenses!$C$5:$C$2979,MATCH(A1320,Raw_Expenses!$A$5:$A$2979,0)),0)</f>
        <v>1.99</v>
      </c>
      <c r="N1320" s="41" t="n">
        <f aca="false">L1320+M1320</f>
        <v>13.99</v>
      </c>
      <c r="O1320" s="41" t="n">
        <f aca="false">K1320-N1320</f>
        <v>11.84</v>
      </c>
      <c r="P1320" s="43" t="n">
        <f aca="false">IF(K1320=0,0,O1320/K1320)</f>
        <v>0.45838172667441</v>
      </c>
    </row>
    <row r="1321" customFormat="false" ht="15" hidden="false" customHeight="false" outlineLevel="0" collapsed="false">
      <c r="A1321" s="39" t="s">
        <v>1443</v>
      </c>
      <c r="B1321" s="40" t="n">
        <v>45847</v>
      </c>
      <c r="C1321" s="39" t="s">
        <v>128</v>
      </c>
      <c r="D1321" s="39" t="n">
        <v>1</v>
      </c>
      <c r="E1321" s="41" t="n">
        <v>36.38</v>
      </c>
      <c r="F1321" s="39" t="s">
        <v>105</v>
      </c>
      <c r="G1321" s="39" t="str">
        <f aca="false">VLOOKUP(C1321,Products!$A$5:$D$24,2,FALSE())</f>
        <v>Ergonomic Footrest</v>
      </c>
      <c r="H1321" s="39" t="str">
        <f aca="false">VLOOKUP(C1321,Products!$A$5:$D$24,3,FALSE())</f>
        <v>Furniture</v>
      </c>
      <c r="I1321" s="41" t="n">
        <f aca="false">VLOOKUP(C1321,Products!$A$5:$D$24,4,FALSE())</f>
        <v>15</v>
      </c>
      <c r="J1321" s="42" t="n">
        <f aca="false">DATE(YEAR(B1321),MONTH(B1321),1)</f>
        <v>45839</v>
      </c>
      <c r="K1321" s="41" t="n">
        <f aca="false">D1321*E1321</f>
        <v>36.38</v>
      </c>
      <c r="L1321" s="41" t="n">
        <f aca="false">D1321*I1321</f>
        <v>15</v>
      </c>
      <c r="M1321" s="41" t="n">
        <f aca="false">IFERROR(INDEX(Raw_Expenses!$C$5:$C$2979,MATCH(A1321,Raw_Expenses!$A$5:$A$2979,0)),0)</f>
        <v>2.22</v>
      </c>
      <c r="N1321" s="41" t="n">
        <f aca="false">L1321+M1321</f>
        <v>17.22</v>
      </c>
      <c r="O1321" s="41" t="n">
        <f aca="false">K1321-N1321</f>
        <v>19.16</v>
      </c>
      <c r="P1321" s="43" t="n">
        <f aca="false">IF(K1321=0,0,O1321/K1321)</f>
        <v>0.526663001649258</v>
      </c>
    </row>
    <row r="1322" customFormat="false" ht="15" hidden="false" customHeight="false" outlineLevel="0" collapsed="false">
      <c r="A1322" s="39" t="s">
        <v>1444</v>
      </c>
      <c r="B1322" s="40" t="n">
        <v>45847</v>
      </c>
      <c r="C1322" s="39" t="s">
        <v>133</v>
      </c>
      <c r="D1322" s="39" t="n">
        <v>2</v>
      </c>
      <c r="E1322" s="41" t="n">
        <v>8.45</v>
      </c>
      <c r="F1322" s="39" t="s">
        <v>118</v>
      </c>
      <c r="G1322" s="39" t="str">
        <f aca="false">VLOOKUP(C1322,Products!$A$5:$D$24,2,FALSE())</f>
        <v>Printer Paper Ream</v>
      </c>
      <c r="H1322" s="39" t="str">
        <f aca="false">VLOOKUP(C1322,Products!$A$5:$D$24,3,FALSE())</f>
        <v>Stationery</v>
      </c>
      <c r="I1322" s="41" t="n">
        <f aca="false">VLOOKUP(C1322,Products!$A$5:$D$24,4,FALSE())</f>
        <v>4</v>
      </c>
      <c r="J1322" s="42" t="n">
        <f aca="false">DATE(YEAR(B1322),MONTH(B1322),1)</f>
        <v>45839</v>
      </c>
      <c r="K1322" s="41" t="n">
        <f aca="false">D1322*E1322</f>
        <v>16.9</v>
      </c>
      <c r="L1322" s="41" t="n">
        <f aca="false">D1322*I1322</f>
        <v>8</v>
      </c>
      <c r="M1322" s="41" t="n">
        <f aca="false">IFERROR(INDEX(Raw_Expenses!$C$5:$C$2979,MATCH(A1322,Raw_Expenses!$A$5:$A$2979,0)),0)</f>
        <v>1.03</v>
      </c>
      <c r="N1322" s="41" t="n">
        <f aca="false">L1322+M1322</f>
        <v>9.03</v>
      </c>
      <c r="O1322" s="41" t="n">
        <f aca="false">K1322-N1322</f>
        <v>7.87</v>
      </c>
      <c r="P1322" s="43" t="n">
        <f aca="false">IF(K1322=0,0,O1322/K1322)</f>
        <v>0.465680473372781</v>
      </c>
    </row>
    <row r="1323" customFormat="false" ht="15" hidden="false" customHeight="false" outlineLevel="0" collapsed="false">
      <c r="A1323" s="39" t="s">
        <v>1445</v>
      </c>
      <c r="B1323" s="40" t="n">
        <v>45847</v>
      </c>
      <c r="C1323" s="39" t="s">
        <v>128</v>
      </c>
      <c r="D1323" s="39" t="n">
        <v>8</v>
      </c>
      <c r="E1323" s="41" t="n">
        <v>38.26</v>
      </c>
      <c r="F1323" s="39" t="s">
        <v>118</v>
      </c>
      <c r="G1323" s="39" t="str">
        <f aca="false">VLOOKUP(C1323,Products!$A$5:$D$24,2,FALSE())</f>
        <v>Ergonomic Footrest</v>
      </c>
      <c r="H1323" s="39" t="str">
        <f aca="false">VLOOKUP(C1323,Products!$A$5:$D$24,3,FALSE())</f>
        <v>Furniture</v>
      </c>
      <c r="I1323" s="41" t="n">
        <f aca="false">VLOOKUP(C1323,Products!$A$5:$D$24,4,FALSE())</f>
        <v>15</v>
      </c>
      <c r="J1323" s="42" t="n">
        <f aca="false">DATE(YEAR(B1323),MONTH(B1323),1)</f>
        <v>45839</v>
      </c>
      <c r="K1323" s="41" t="n">
        <f aca="false">D1323*E1323</f>
        <v>306.08</v>
      </c>
      <c r="L1323" s="41" t="n">
        <f aca="false">D1323*I1323</f>
        <v>120</v>
      </c>
      <c r="M1323" s="41" t="n">
        <f aca="false">IFERROR(INDEX(Raw_Expenses!$C$5:$C$2979,MATCH(A1323,Raw_Expenses!$A$5:$A$2979,0)),0)</f>
        <v>21.44</v>
      </c>
      <c r="N1323" s="41" t="n">
        <f aca="false">L1323+M1323</f>
        <v>141.44</v>
      </c>
      <c r="O1323" s="41" t="n">
        <f aca="false">K1323-N1323</f>
        <v>164.64</v>
      </c>
      <c r="P1323" s="43" t="n">
        <f aca="false">IF(K1323=0,0,O1323/K1323)</f>
        <v>0.537898588604286</v>
      </c>
    </row>
    <row r="1324" customFormat="false" ht="15" hidden="false" customHeight="false" outlineLevel="0" collapsed="false">
      <c r="A1324" s="39" t="s">
        <v>1446</v>
      </c>
      <c r="B1324" s="40" t="n">
        <v>45847</v>
      </c>
      <c r="C1324" s="39" t="s">
        <v>133</v>
      </c>
      <c r="D1324" s="39" t="n">
        <v>1</v>
      </c>
      <c r="E1324" s="41" t="n">
        <v>8.59</v>
      </c>
      <c r="F1324" s="39" t="s">
        <v>108</v>
      </c>
      <c r="G1324" s="39" t="str">
        <f aca="false">VLOOKUP(C1324,Products!$A$5:$D$24,2,FALSE())</f>
        <v>Printer Paper Ream</v>
      </c>
      <c r="H1324" s="39" t="str">
        <f aca="false">VLOOKUP(C1324,Products!$A$5:$D$24,3,FALSE())</f>
        <v>Stationery</v>
      </c>
      <c r="I1324" s="41" t="n">
        <f aca="false">VLOOKUP(C1324,Products!$A$5:$D$24,4,FALSE())</f>
        <v>4</v>
      </c>
      <c r="J1324" s="42" t="n">
        <f aca="false">DATE(YEAR(B1324),MONTH(B1324),1)</f>
        <v>45839</v>
      </c>
      <c r="K1324" s="41" t="n">
        <f aca="false">D1324*E1324</f>
        <v>8.59</v>
      </c>
      <c r="L1324" s="41" t="n">
        <f aca="false">D1324*I1324</f>
        <v>4</v>
      </c>
      <c r="M1324" s="41" t="n">
        <f aca="false">IFERROR(INDEX(Raw_Expenses!$C$5:$C$2979,MATCH(A1324,Raw_Expenses!$A$5:$A$2979,0)),0)</f>
        <v>0.45</v>
      </c>
      <c r="N1324" s="41" t="n">
        <f aca="false">L1324+M1324</f>
        <v>4.45</v>
      </c>
      <c r="O1324" s="41" t="n">
        <f aca="false">K1324-N1324</f>
        <v>4.14</v>
      </c>
      <c r="P1324" s="43" t="n">
        <f aca="false">IF(K1324=0,0,O1324/K1324)</f>
        <v>0.481955762514552</v>
      </c>
    </row>
    <row r="1325" customFormat="false" ht="15" hidden="false" customHeight="false" outlineLevel="0" collapsed="false">
      <c r="A1325" s="39" t="s">
        <v>1447</v>
      </c>
      <c r="B1325" s="40" t="n">
        <v>45847</v>
      </c>
      <c r="C1325" s="39" t="s">
        <v>128</v>
      </c>
      <c r="D1325" s="39" t="n">
        <v>3</v>
      </c>
      <c r="E1325" s="41" t="n">
        <v>37.12</v>
      </c>
      <c r="F1325" s="39" t="s">
        <v>118</v>
      </c>
      <c r="G1325" s="39" t="str">
        <f aca="false">VLOOKUP(C1325,Products!$A$5:$D$24,2,FALSE())</f>
        <v>Ergonomic Footrest</v>
      </c>
      <c r="H1325" s="39" t="str">
        <f aca="false">VLOOKUP(C1325,Products!$A$5:$D$24,3,FALSE())</f>
        <v>Furniture</v>
      </c>
      <c r="I1325" s="41" t="n">
        <f aca="false">VLOOKUP(C1325,Products!$A$5:$D$24,4,FALSE())</f>
        <v>15</v>
      </c>
      <c r="J1325" s="42" t="n">
        <f aca="false">DATE(YEAR(B1325),MONTH(B1325),1)</f>
        <v>45839</v>
      </c>
      <c r="K1325" s="41" t="n">
        <f aca="false">D1325*E1325</f>
        <v>111.36</v>
      </c>
      <c r="L1325" s="41" t="n">
        <f aca="false">D1325*I1325</f>
        <v>45</v>
      </c>
      <c r="M1325" s="41" t="n">
        <f aca="false">IFERROR(INDEX(Raw_Expenses!$C$5:$C$2979,MATCH(A1325,Raw_Expenses!$A$5:$A$2979,0)),0)</f>
        <v>9.01</v>
      </c>
      <c r="N1325" s="41" t="n">
        <f aca="false">L1325+M1325</f>
        <v>54.01</v>
      </c>
      <c r="O1325" s="41" t="n">
        <f aca="false">K1325-N1325</f>
        <v>57.35</v>
      </c>
      <c r="P1325" s="43" t="n">
        <f aca="false">IF(K1325=0,0,O1325/K1325)</f>
        <v>0.514996408045977</v>
      </c>
    </row>
    <row r="1326" customFormat="false" ht="15" hidden="false" customHeight="false" outlineLevel="0" collapsed="false">
      <c r="A1326" s="39" t="s">
        <v>1448</v>
      </c>
      <c r="B1326" s="40" t="n">
        <v>45847</v>
      </c>
      <c r="C1326" s="39" t="s">
        <v>114</v>
      </c>
      <c r="D1326" s="39" t="n">
        <v>4</v>
      </c>
      <c r="E1326" s="41" t="n">
        <v>5.94</v>
      </c>
      <c r="F1326" s="39" t="s">
        <v>115</v>
      </c>
      <c r="G1326" s="39" t="str">
        <f aca="false">VLOOKUP(C1326,Products!$A$5:$D$24,2,FALSE())</f>
        <v>Gel Pen Pack</v>
      </c>
      <c r="H1326" s="39" t="str">
        <f aca="false">VLOOKUP(C1326,Products!$A$5:$D$24,3,FALSE())</f>
        <v>Stationery</v>
      </c>
      <c r="I1326" s="41" t="n">
        <f aca="false">VLOOKUP(C1326,Products!$A$5:$D$24,4,FALSE())</f>
        <v>2</v>
      </c>
      <c r="J1326" s="42" t="n">
        <f aca="false">DATE(YEAR(B1326),MONTH(B1326),1)</f>
        <v>45839</v>
      </c>
      <c r="K1326" s="41" t="n">
        <f aca="false">D1326*E1326</f>
        <v>23.76</v>
      </c>
      <c r="L1326" s="41" t="n">
        <f aca="false">D1326*I1326</f>
        <v>8</v>
      </c>
      <c r="M1326" s="41" t="n">
        <f aca="false">IFERROR(INDEX(Raw_Expenses!$C$5:$C$2979,MATCH(A1326,Raw_Expenses!$A$5:$A$2979,0)),0)</f>
        <v>2.1</v>
      </c>
      <c r="N1326" s="41" t="n">
        <f aca="false">L1326+M1326</f>
        <v>10.1</v>
      </c>
      <c r="O1326" s="41" t="n">
        <f aca="false">K1326-N1326</f>
        <v>13.66</v>
      </c>
      <c r="P1326" s="43" t="n">
        <f aca="false">IF(K1326=0,0,O1326/K1326)</f>
        <v>0.574915824915825</v>
      </c>
    </row>
    <row r="1327" customFormat="false" ht="15" hidden="false" customHeight="false" outlineLevel="0" collapsed="false">
      <c r="A1327" s="39" t="s">
        <v>1449</v>
      </c>
      <c r="B1327" s="40" t="n">
        <v>45848</v>
      </c>
      <c r="C1327" s="39" t="s">
        <v>136</v>
      </c>
      <c r="D1327" s="39" t="n">
        <v>4</v>
      </c>
      <c r="E1327" s="41" t="n">
        <v>74.89</v>
      </c>
      <c r="F1327" s="39" t="s">
        <v>118</v>
      </c>
      <c r="G1327" s="39" t="str">
        <f aca="false">VLOOKUP(C1327,Products!$A$5:$D$24,2,FALSE())</f>
        <v>Mechanical Keyboard</v>
      </c>
      <c r="H1327" s="39" t="str">
        <f aca="false">VLOOKUP(C1327,Products!$A$5:$D$24,3,FALSE())</f>
        <v>Electronics</v>
      </c>
      <c r="I1327" s="41" t="n">
        <f aca="false">VLOOKUP(C1327,Products!$A$5:$D$24,4,FALSE())</f>
        <v>38</v>
      </c>
      <c r="J1327" s="42" t="n">
        <f aca="false">DATE(YEAR(B1327),MONTH(B1327),1)</f>
        <v>45839</v>
      </c>
      <c r="K1327" s="41" t="n">
        <f aca="false">D1327*E1327</f>
        <v>299.56</v>
      </c>
      <c r="L1327" s="41" t="n">
        <f aca="false">D1327*I1327</f>
        <v>152</v>
      </c>
      <c r="M1327" s="41" t="n">
        <f aca="false">IFERROR(INDEX(Raw_Expenses!$C$5:$C$2979,MATCH(A1327,Raw_Expenses!$A$5:$A$2979,0)),0)</f>
        <v>26.42</v>
      </c>
      <c r="N1327" s="41" t="n">
        <f aca="false">L1327+M1327</f>
        <v>178.42</v>
      </c>
      <c r="O1327" s="41" t="n">
        <f aca="false">K1327-N1327</f>
        <v>121.14</v>
      </c>
      <c r="P1327" s="43" t="n">
        <f aca="false">IF(K1327=0,0,O1327/K1327)</f>
        <v>0.404393109894512</v>
      </c>
    </row>
    <row r="1328" customFormat="false" ht="15" hidden="false" customHeight="false" outlineLevel="0" collapsed="false">
      <c r="A1328" s="39" t="s">
        <v>1450</v>
      </c>
      <c r="B1328" s="40" t="n">
        <v>45848</v>
      </c>
      <c r="C1328" s="39" t="s">
        <v>162</v>
      </c>
      <c r="D1328" s="39" t="n">
        <v>3</v>
      </c>
      <c r="E1328" s="41" t="n">
        <v>65.08</v>
      </c>
      <c r="F1328" s="39" t="s">
        <v>108</v>
      </c>
      <c r="G1328" s="39" t="str">
        <f aca="false">VLOOKUP(C1328,Products!$A$5:$D$24,2,FALSE())</f>
        <v>Bluetooth Speaker</v>
      </c>
      <c r="H1328" s="39" t="str">
        <f aca="false">VLOOKUP(C1328,Products!$A$5:$D$24,3,FALSE())</f>
        <v>Electronics</v>
      </c>
      <c r="I1328" s="41" t="n">
        <f aca="false">VLOOKUP(C1328,Products!$A$5:$D$24,4,FALSE())</f>
        <v>28</v>
      </c>
      <c r="J1328" s="42" t="n">
        <f aca="false">DATE(YEAR(B1328),MONTH(B1328),1)</f>
        <v>45839</v>
      </c>
      <c r="K1328" s="41" t="n">
        <f aca="false">D1328*E1328</f>
        <v>195.24</v>
      </c>
      <c r="L1328" s="41" t="n">
        <f aca="false">D1328*I1328</f>
        <v>84</v>
      </c>
      <c r="M1328" s="41" t="n">
        <f aca="false">IFERROR(INDEX(Raw_Expenses!$C$5:$C$2979,MATCH(A1328,Raw_Expenses!$A$5:$A$2979,0)),0)</f>
        <v>12.03</v>
      </c>
      <c r="N1328" s="41" t="n">
        <f aca="false">L1328+M1328</f>
        <v>96.03</v>
      </c>
      <c r="O1328" s="41" t="n">
        <f aca="false">K1328-N1328</f>
        <v>99.21</v>
      </c>
      <c r="P1328" s="43" t="n">
        <f aca="false">IF(K1328=0,0,O1328/K1328)</f>
        <v>0.508143822987093</v>
      </c>
    </row>
    <row r="1329" customFormat="false" ht="15" hidden="false" customHeight="false" outlineLevel="0" collapsed="false">
      <c r="A1329" s="39" t="s">
        <v>1451</v>
      </c>
      <c r="B1329" s="40" t="n">
        <v>45848</v>
      </c>
      <c r="C1329" s="39" t="s">
        <v>104</v>
      </c>
      <c r="D1329" s="39" t="n">
        <v>2</v>
      </c>
      <c r="E1329" s="41" t="n">
        <v>15.73</v>
      </c>
      <c r="F1329" s="39" t="s">
        <v>118</v>
      </c>
      <c r="G1329" s="39" t="str">
        <f aca="false">VLOOKUP(C1329,Products!$A$5:$D$24,2,FALSE())</f>
        <v>Water Bottle</v>
      </c>
      <c r="H1329" s="39" t="str">
        <f aca="false">VLOOKUP(C1329,Products!$A$5:$D$24,3,FALSE())</f>
        <v>Accessories</v>
      </c>
      <c r="I1329" s="41" t="n">
        <f aca="false">VLOOKUP(C1329,Products!$A$5:$D$24,4,FALSE())</f>
        <v>5</v>
      </c>
      <c r="J1329" s="42" t="n">
        <f aca="false">DATE(YEAR(B1329),MONTH(B1329),1)</f>
        <v>45839</v>
      </c>
      <c r="K1329" s="41" t="n">
        <f aca="false">D1329*E1329</f>
        <v>31.46</v>
      </c>
      <c r="L1329" s="41" t="n">
        <f aca="false">D1329*I1329</f>
        <v>10</v>
      </c>
      <c r="M1329" s="41" t="n">
        <f aca="false">IFERROR(INDEX(Raw_Expenses!$C$5:$C$2979,MATCH(A1329,Raw_Expenses!$A$5:$A$2979,0)),0)</f>
        <v>1.3</v>
      </c>
      <c r="N1329" s="41" t="n">
        <f aca="false">L1329+M1329</f>
        <v>11.3</v>
      </c>
      <c r="O1329" s="41" t="n">
        <f aca="false">K1329-N1329</f>
        <v>20.16</v>
      </c>
      <c r="P1329" s="43" t="n">
        <f aca="false">IF(K1329=0,0,O1329/K1329)</f>
        <v>0.640813731722823</v>
      </c>
    </row>
    <row r="1330" customFormat="false" ht="15" hidden="false" customHeight="false" outlineLevel="0" collapsed="false">
      <c r="A1330" s="39" t="s">
        <v>1452</v>
      </c>
      <c r="B1330" s="40" t="n">
        <v>45848</v>
      </c>
      <c r="C1330" s="39" t="s">
        <v>107</v>
      </c>
      <c r="D1330" s="39" t="n">
        <v>1</v>
      </c>
      <c r="E1330" s="41" t="n">
        <v>34.6</v>
      </c>
      <c r="F1330" s="39" t="s">
        <v>115</v>
      </c>
      <c r="G1330" s="39" t="str">
        <f aca="false">VLOOKUP(C1330,Products!$A$5:$D$24,2,FALSE())</f>
        <v>USB-C Hub</v>
      </c>
      <c r="H1330" s="39" t="str">
        <f aca="false">VLOOKUP(C1330,Products!$A$5:$D$24,3,FALSE())</f>
        <v>Electronics</v>
      </c>
      <c r="I1330" s="41" t="n">
        <f aca="false">VLOOKUP(C1330,Products!$A$5:$D$24,4,FALSE())</f>
        <v>14</v>
      </c>
      <c r="J1330" s="42" t="n">
        <f aca="false">DATE(YEAR(B1330),MONTH(B1330),1)</f>
        <v>45839</v>
      </c>
      <c r="K1330" s="41" t="n">
        <f aca="false">D1330*E1330</f>
        <v>34.6</v>
      </c>
      <c r="L1330" s="41" t="n">
        <f aca="false">D1330*I1330</f>
        <v>14</v>
      </c>
      <c r="M1330" s="41" t="n">
        <f aca="false">IFERROR(INDEX(Raw_Expenses!$C$5:$C$2979,MATCH(A1330,Raw_Expenses!$A$5:$A$2979,0)),0)</f>
        <v>1.99</v>
      </c>
      <c r="N1330" s="41" t="n">
        <f aca="false">L1330+M1330</f>
        <v>15.99</v>
      </c>
      <c r="O1330" s="41" t="n">
        <f aca="false">K1330-N1330</f>
        <v>18.61</v>
      </c>
      <c r="P1330" s="43" t="n">
        <f aca="false">IF(K1330=0,0,O1330/K1330)</f>
        <v>0.537861271676301</v>
      </c>
    </row>
    <row r="1331" customFormat="false" ht="15" hidden="false" customHeight="false" outlineLevel="0" collapsed="false">
      <c r="A1331" s="39" t="s">
        <v>1453</v>
      </c>
      <c r="B1331" s="40" t="n">
        <v>45848</v>
      </c>
      <c r="C1331" s="39" t="s">
        <v>144</v>
      </c>
      <c r="D1331" s="39" t="n">
        <v>3</v>
      </c>
      <c r="E1331" s="41" t="n">
        <v>58.39</v>
      </c>
      <c r="F1331" s="39" t="s">
        <v>105</v>
      </c>
      <c r="G1331" s="39" t="str">
        <f aca="false">VLOOKUP(C1331,Products!$A$5:$D$24,2,FALSE())</f>
        <v>Whiteboard</v>
      </c>
      <c r="H1331" s="39" t="str">
        <f aca="false">VLOOKUP(C1331,Products!$A$5:$D$24,3,FALSE())</f>
        <v>Furniture</v>
      </c>
      <c r="I1331" s="41" t="n">
        <f aca="false">VLOOKUP(C1331,Products!$A$5:$D$24,4,FALSE())</f>
        <v>28</v>
      </c>
      <c r="J1331" s="42" t="n">
        <f aca="false">DATE(YEAR(B1331),MONTH(B1331),1)</f>
        <v>45839</v>
      </c>
      <c r="K1331" s="41" t="n">
        <f aca="false">D1331*E1331</f>
        <v>175.17</v>
      </c>
      <c r="L1331" s="41" t="n">
        <f aca="false">D1331*I1331</f>
        <v>84</v>
      </c>
      <c r="M1331" s="41" t="n">
        <f aca="false">IFERROR(INDEX(Raw_Expenses!$C$5:$C$2979,MATCH(A1331,Raw_Expenses!$A$5:$A$2979,0)),0)</f>
        <v>14.67</v>
      </c>
      <c r="N1331" s="41" t="n">
        <f aca="false">L1331+M1331</f>
        <v>98.67</v>
      </c>
      <c r="O1331" s="41" t="n">
        <f aca="false">K1331-N1331</f>
        <v>76.5</v>
      </c>
      <c r="P1331" s="43" t="n">
        <f aca="false">IF(K1331=0,0,O1331/K1331)</f>
        <v>0.436718616201404</v>
      </c>
    </row>
    <row r="1332" customFormat="false" ht="15" hidden="false" customHeight="false" outlineLevel="0" collapsed="false">
      <c r="A1332" s="39" t="s">
        <v>1454</v>
      </c>
      <c r="B1332" s="40" t="n">
        <v>45848</v>
      </c>
      <c r="C1332" s="39" t="s">
        <v>110</v>
      </c>
      <c r="D1332" s="39" t="n">
        <v>3</v>
      </c>
      <c r="E1332" s="41" t="n">
        <v>12.95</v>
      </c>
      <c r="F1332" s="39" t="s">
        <v>105</v>
      </c>
      <c r="G1332" s="39" t="str">
        <f aca="false">VLOOKUP(C1332,Products!$A$5:$D$24,2,FALSE())</f>
        <v>Phone Stand</v>
      </c>
      <c r="H1332" s="39" t="str">
        <f aca="false">VLOOKUP(C1332,Products!$A$5:$D$24,3,FALSE())</f>
        <v>Accessories</v>
      </c>
      <c r="I1332" s="41" t="n">
        <f aca="false">VLOOKUP(C1332,Products!$A$5:$D$24,4,FALSE())</f>
        <v>4</v>
      </c>
      <c r="J1332" s="42" t="n">
        <f aca="false">DATE(YEAR(B1332),MONTH(B1332),1)</f>
        <v>45839</v>
      </c>
      <c r="K1332" s="41" t="n">
        <f aca="false">D1332*E1332</f>
        <v>38.85</v>
      </c>
      <c r="L1332" s="41" t="n">
        <f aca="false">D1332*I1332</f>
        <v>12</v>
      </c>
      <c r="M1332" s="41" t="n">
        <f aca="false">IFERROR(INDEX(Raw_Expenses!$C$5:$C$2979,MATCH(A1332,Raw_Expenses!$A$5:$A$2979,0)),0)</f>
        <v>3.47</v>
      </c>
      <c r="N1332" s="41" t="n">
        <f aca="false">L1332+M1332</f>
        <v>15.47</v>
      </c>
      <c r="O1332" s="41" t="n">
        <f aca="false">K1332-N1332</f>
        <v>23.38</v>
      </c>
      <c r="P1332" s="43" t="n">
        <f aca="false">IF(K1332=0,0,O1332/K1332)</f>
        <v>0.601801801801802</v>
      </c>
    </row>
    <row r="1333" customFormat="false" ht="15" hidden="false" customHeight="false" outlineLevel="0" collapsed="false">
      <c r="A1333" s="39" t="s">
        <v>1455</v>
      </c>
      <c r="B1333" s="40" t="n">
        <v>45848</v>
      </c>
      <c r="C1333" s="39" t="s">
        <v>128</v>
      </c>
      <c r="D1333" s="39" t="n">
        <v>1</v>
      </c>
      <c r="E1333" s="41" t="n">
        <v>36.91</v>
      </c>
      <c r="F1333" s="39" t="s">
        <v>105</v>
      </c>
      <c r="G1333" s="39" t="str">
        <f aca="false">VLOOKUP(C1333,Products!$A$5:$D$24,2,FALSE())</f>
        <v>Ergonomic Footrest</v>
      </c>
      <c r="H1333" s="39" t="str">
        <f aca="false">VLOOKUP(C1333,Products!$A$5:$D$24,3,FALSE())</f>
        <v>Furniture</v>
      </c>
      <c r="I1333" s="41" t="n">
        <f aca="false">VLOOKUP(C1333,Products!$A$5:$D$24,4,FALSE())</f>
        <v>15</v>
      </c>
      <c r="J1333" s="42" t="n">
        <f aca="false">DATE(YEAR(B1333),MONTH(B1333),1)</f>
        <v>45839</v>
      </c>
      <c r="K1333" s="41" t="n">
        <f aca="false">D1333*E1333</f>
        <v>36.91</v>
      </c>
      <c r="L1333" s="41" t="n">
        <f aca="false">D1333*I1333</f>
        <v>15</v>
      </c>
      <c r="M1333" s="41" t="n">
        <f aca="false">IFERROR(INDEX(Raw_Expenses!$C$5:$C$2979,MATCH(A1333,Raw_Expenses!$A$5:$A$2979,0)),0)</f>
        <v>1.65</v>
      </c>
      <c r="N1333" s="41" t="n">
        <f aca="false">L1333+M1333</f>
        <v>16.65</v>
      </c>
      <c r="O1333" s="41" t="n">
        <f aca="false">K1333-N1333</f>
        <v>20.26</v>
      </c>
      <c r="P1333" s="43" t="n">
        <f aca="false">IF(K1333=0,0,O1333/K1333)</f>
        <v>0.548902736385803</v>
      </c>
    </row>
    <row r="1334" customFormat="false" ht="15" hidden="false" customHeight="false" outlineLevel="0" collapsed="false">
      <c r="A1334" s="39" t="s">
        <v>1456</v>
      </c>
      <c r="B1334" s="40" t="n">
        <v>45849</v>
      </c>
      <c r="C1334" s="39" t="s">
        <v>107</v>
      </c>
      <c r="D1334" s="39" t="n">
        <v>1</v>
      </c>
      <c r="E1334" s="41" t="n">
        <v>33.95</v>
      </c>
      <c r="F1334" s="39" t="s">
        <v>118</v>
      </c>
      <c r="G1334" s="39" t="str">
        <f aca="false">VLOOKUP(C1334,Products!$A$5:$D$24,2,FALSE())</f>
        <v>USB-C Hub</v>
      </c>
      <c r="H1334" s="39" t="str">
        <f aca="false">VLOOKUP(C1334,Products!$A$5:$D$24,3,FALSE())</f>
        <v>Electronics</v>
      </c>
      <c r="I1334" s="41" t="n">
        <f aca="false">VLOOKUP(C1334,Products!$A$5:$D$24,4,FALSE())</f>
        <v>14</v>
      </c>
      <c r="J1334" s="42" t="n">
        <f aca="false">DATE(YEAR(B1334),MONTH(B1334),1)</f>
        <v>45839</v>
      </c>
      <c r="K1334" s="41" t="n">
        <f aca="false">D1334*E1334</f>
        <v>33.95</v>
      </c>
      <c r="L1334" s="41" t="n">
        <f aca="false">D1334*I1334</f>
        <v>14</v>
      </c>
      <c r="M1334" s="41" t="n">
        <f aca="false">IFERROR(INDEX(Raw_Expenses!$C$5:$C$2979,MATCH(A1334,Raw_Expenses!$A$5:$A$2979,0)),0)</f>
        <v>3</v>
      </c>
      <c r="N1334" s="41" t="n">
        <f aca="false">L1334+M1334</f>
        <v>17</v>
      </c>
      <c r="O1334" s="41" t="n">
        <f aca="false">K1334-N1334</f>
        <v>16.95</v>
      </c>
      <c r="P1334" s="43" t="n">
        <f aca="false">IF(K1334=0,0,O1334/K1334)</f>
        <v>0.499263622974963</v>
      </c>
    </row>
    <row r="1335" customFormat="false" ht="15" hidden="false" customHeight="false" outlineLevel="0" collapsed="false">
      <c r="A1335" s="39" t="s">
        <v>1457</v>
      </c>
      <c r="B1335" s="40" t="n">
        <v>45849</v>
      </c>
      <c r="C1335" s="39" t="s">
        <v>139</v>
      </c>
      <c r="D1335" s="39" t="n">
        <v>5</v>
      </c>
      <c r="E1335" s="41" t="n">
        <v>118.72</v>
      </c>
      <c r="F1335" s="39" t="s">
        <v>108</v>
      </c>
      <c r="G1335" s="39" t="str">
        <f aca="false">VLOOKUP(C1335,Products!$A$5:$D$24,2,FALSE())</f>
        <v>Noise-Cancelling Headphones</v>
      </c>
      <c r="H1335" s="39" t="str">
        <f aca="false">VLOOKUP(C1335,Products!$A$5:$D$24,3,FALSE())</f>
        <v>Electronics</v>
      </c>
      <c r="I1335" s="41" t="n">
        <f aca="false">VLOOKUP(C1335,Products!$A$5:$D$24,4,FALSE())</f>
        <v>55</v>
      </c>
      <c r="J1335" s="42" t="n">
        <f aca="false">DATE(YEAR(B1335),MONTH(B1335),1)</f>
        <v>45839</v>
      </c>
      <c r="K1335" s="41" t="n">
        <f aca="false">D1335*E1335</f>
        <v>593.6</v>
      </c>
      <c r="L1335" s="41" t="n">
        <f aca="false">D1335*I1335</f>
        <v>275</v>
      </c>
      <c r="M1335" s="41" t="n">
        <f aca="false">IFERROR(INDEX(Raw_Expenses!$C$5:$C$2979,MATCH(A1335,Raw_Expenses!$A$5:$A$2979,0)),0)</f>
        <v>46.11</v>
      </c>
      <c r="N1335" s="41" t="n">
        <f aca="false">L1335+M1335</f>
        <v>321.11</v>
      </c>
      <c r="O1335" s="41" t="n">
        <f aca="false">K1335-N1335</f>
        <v>272.49</v>
      </c>
      <c r="P1335" s="43" t="n">
        <f aca="false">IF(K1335=0,0,O1335/K1335)</f>
        <v>0.459046495956873</v>
      </c>
    </row>
    <row r="1336" customFormat="false" ht="15" hidden="false" customHeight="false" outlineLevel="0" collapsed="false">
      <c r="A1336" s="39" t="s">
        <v>1458</v>
      </c>
      <c r="B1336" s="40" t="n">
        <v>45849</v>
      </c>
      <c r="C1336" s="39" t="s">
        <v>121</v>
      </c>
      <c r="D1336" s="39" t="n">
        <v>1</v>
      </c>
      <c r="E1336" s="41" t="n">
        <v>112.23</v>
      </c>
      <c r="F1336" s="39" t="s">
        <v>108</v>
      </c>
      <c r="G1336" s="39" t="str">
        <f aca="false">VLOOKUP(C1336,Products!$A$5:$D$24,2,FALSE())</f>
        <v>External SSD 1TB</v>
      </c>
      <c r="H1336" s="39" t="str">
        <f aca="false">VLOOKUP(C1336,Products!$A$5:$D$24,3,FALSE())</f>
        <v>Electronics</v>
      </c>
      <c r="I1336" s="41" t="n">
        <f aca="false">VLOOKUP(C1336,Products!$A$5:$D$24,4,FALSE())</f>
        <v>62</v>
      </c>
      <c r="J1336" s="42" t="n">
        <f aca="false">DATE(YEAR(B1336),MONTH(B1336),1)</f>
        <v>45839</v>
      </c>
      <c r="K1336" s="41" t="n">
        <f aca="false">D1336*E1336</f>
        <v>112.23</v>
      </c>
      <c r="L1336" s="41" t="n">
        <f aca="false">D1336*I1336</f>
        <v>62</v>
      </c>
      <c r="M1336" s="41" t="n">
        <f aca="false">IFERROR(INDEX(Raw_Expenses!$C$5:$C$2979,MATCH(A1336,Raw_Expenses!$A$5:$A$2979,0)),0)</f>
        <v>9.82</v>
      </c>
      <c r="N1336" s="41" t="n">
        <f aca="false">L1336+M1336</f>
        <v>71.82</v>
      </c>
      <c r="O1336" s="41" t="n">
        <f aca="false">K1336-N1336</f>
        <v>40.41</v>
      </c>
      <c r="P1336" s="43" t="n">
        <f aca="false">IF(K1336=0,0,O1336/K1336)</f>
        <v>0.360064153969527</v>
      </c>
    </row>
    <row r="1337" customFormat="false" ht="15" hidden="false" customHeight="false" outlineLevel="0" collapsed="false">
      <c r="A1337" s="39" t="s">
        <v>1459</v>
      </c>
      <c r="B1337" s="40" t="n">
        <v>45849</v>
      </c>
      <c r="C1337" s="39" t="s">
        <v>110</v>
      </c>
      <c r="D1337" s="39" t="n">
        <v>2</v>
      </c>
      <c r="E1337" s="41" t="n">
        <v>13.03</v>
      </c>
      <c r="F1337" s="39" t="s">
        <v>118</v>
      </c>
      <c r="G1337" s="39" t="str">
        <f aca="false">VLOOKUP(C1337,Products!$A$5:$D$24,2,FALSE())</f>
        <v>Phone Stand</v>
      </c>
      <c r="H1337" s="39" t="str">
        <f aca="false">VLOOKUP(C1337,Products!$A$5:$D$24,3,FALSE())</f>
        <v>Accessories</v>
      </c>
      <c r="I1337" s="41" t="n">
        <f aca="false">VLOOKUP(C1337,Products!$A$5:$D$24,4,FALSE())</f>
        <v>4</v>
      </c>
      <c r="J1337" s="42" t="n">
        <f aca="false">DATE(YEAR(B1337),MONTH(B1337),1)</f>
        <v>45839</v>
      </c>
      <c r="K1337" s="41" t="n">
        <f aca="false">D1337*E1337</f>
        <v>26.06</v>
      </c>
      <c r="L1337" s="41" t="n">
        <f aca="false">D1337*I1337</f>
        <v>8</v>
      </c>
      <c r="M1337" s="41" t="n">
        <f aca="false">IFERROR(INDEX(Raw_Expenses!$C$5:$C$2979,MATCH(A1337,Raw_Expenses!$A$5:$A$2979,0)),0)</f>
        <v>1.07</v>
      </c>
      <c r="N1337" s="41" t="n">
        <f aca="false">L1337+M1337</f>
        <v>9.07</v>
      </c>
      <c r="O1337" s="41" t="n">
        <f aca="false">K1337-N1337</f>
        <v>16.99</v>
      </c>
      <c r="P1337" s="43" t="n">
        <f aca="false">IF(K1337=0,0,O1337/K1337)</f>
        <v>0.651957022256332</v>
      </c>
    </row>
    <row r="1338" customFormat="false" ht="15" hidden="false" customHeight="false" outlineLevel="0" collapsed="false">
      <c r="A1338" s="39" t="s">
        <v>1460</v>
      </c>
      <c r="B1338" s="40" t="n">
        <v>45849</v>
      </c>
      <c r="C1338" s="39" t="s">
        <v>177</v>
      </c>
      <c r="D1338" s="39" t="n">
        <v>1</v>
      </c>
      <c r="E1338" s="41" t="n">
        <v>44.82</v>
      </c>
      <c r="F1338" s="39" t="s">
        <v>115</v>
      </c>
      <c r="G1338" s="39" t="str">
        <f aca="false">VLOOKUP(C1338,Products!$A$5:$D$24,2,FALSE())</f>
        <v>Backpack</v>
      </c>
      <c r="H1338" s="39" t="str">
        <f aca="false">VLOOKUP(C1338,Products!$A$5:$D$24,3,FALSE())</f>
        <v>Accessories</v>
      </c>
      <c r="I1338" s="41" t="n">
        <f aca="false">VLOOKUP(C1338,Products!$A$5:$D$24,4,FALSE())</f>
        <v>17</v>
      </c>
      <c r="J1338" s="42" t="n">
        <f aca="false">DATE(YEAR(B1338),MONTH(B1338),1)</f>
        <v>45839</v>
      </c>
      <c r="K1338" s="41" t="n">
        <f aca="false">D1338*E1338</f>
        <v>44.82</v>
      </c>
      <c r="L1338" s="41" t="n">
        <f aca="false">D1338*I1338</f>
        <v>17</v>
      </c>
      <c r="M1338" s="41" t="n">
        <f aca="false">IFERROR(INDEX(Raw_Expenses!$C$5:$C$2979,MATCH(A1338,Raw_Expenses!$A$5:$A$2979,0)),0)</f>
        <v>3.14</v>
      </c>
      <c r="N1338" s="41" t="n">
        <f aca="false">L1338+M1338</f>
        <v>20.14</v>
      </c>
      <c r="O1338" s="41" t="n">
        <f aca="false">K1338-N1338</f>
        <v>24.68</v>
      </c>
      <c r="P1338" s="43" t="n">
        <f aca="false">IF(K1338=0,0,O1338/K1338)</f>
        <v>0.550647032574744</v>
      </c>
    </row>
    <row r="1339" customFormat="false" ht="15" hidden="false" customHeight="false" outlineLevel="0" collapsed="false">
      <c r="A1339" s="39" t="s">
        <v>1461</v>
      </c>
      <c r="B1339" s="40" t="n">
        <v>45849</v>
      </c>
      <c r="C1339" s="39" t="s">
        <v>112</v>
      </c>
      <c r="D1339" s="39" t="n">
        <v>1</v>
      </c>
      <c r="E1339" s="41" t="n">
        <v>53.91</v>
      </c>
      <c r="F1339" s="39" t="s">
        <v>115</v>
      </c>
      <c r="G1339" s="39" t="str">
        <f aca="false">VLOOKUP(C1339,Products!$A$5:$D$24,2,FALSE())</f>
        <v>HD Webcam</v>
      </c>
      <c r="H1339" s="39" t="str">
        <f aca="false">VLOOKUP(C1339,Products!$A$5:$D$24,3,FALSE())</f>
        <v>Electronics</v>
      </c>
      <c r="I1339" s="41" t="n">
        <f aca="false">VLOOKUP(C1339,Products!$A$5:$D$24,4,FALSE())</f>
        <v>22</v>
      </c>
      <c r="J1339" s="42" t="n">
        <f aca="false">DATE(YEAR(B1339),MONTH(B1339),1)</f>
        <v>45839</v>
      </c>
      <c r="K1339" s="41" t="n">
        <f aca="false">D1339*E1339</f>
        <v>53.91</v>
      </c>
      <c r="L1339" s="41" t="n">
        <f aca="false">D1339*I1339</f>
        <v>22</v>
      </c>
      <c r="M1339" s="41" t="n">
        <f aca="false">IFERROR(INDEX(Raw_Expenses!$C$5:$C$2979,MATCH(A1339,Raw_Expenses!$A$5:$A$2979,0)),0)</f>
        <v>3.47</v>
      </c>
      <c r="N1339" s="41" t="n">
        <f aca="false">L1339+M1339</f>
        <v>25.47</v>
      </c>
      <c r="O1339" s="41" t="n">
        <f aca="false">K1339-N1339</f>
        <v>28.44</v>
      </c>
      <c r="P1339" s="43" t="n">
        <f aca="false">IF(K1339=0,0,O1339/K1339)</f>
        <v>0.52754590984975</v>
      </c>
    </row>
    <row r="1340" customFormat="false" ht="15" hidden="false" customHeight="false" outlineLevel="0" collapsed="false">
      <c r="A1340" s="39" t="s">
        <v>1462</v>
      </c>
      <c r="B1340" s="40" t="n">
        <v>45849</v>
      </c>
      <c r="C1340" s="39" t="s">
        <v>107</v>
      </c>
      <c r="D1340" s="39" t="n">
        <v>2</v>
      </c>
      <c r="E1340" s="41" t="n">
        <v>32.54</v>
      </c>
      <c r="F1340" s="39" t="s">
        <v>118</v>
      </c>
      <c r="G1340" s="39" t="str">
        <f aca="false">VLOOKUP(C1340,Products!$A$5:$D$24,2,FALSE())</f>
        <v>USB-C Hub</v>
      </c>
      <c r="H1340" s="39" t="str">
        <f aca="false">VLOOKUP(C1340,Products!$A$5:$D$24,3,FALSE())</f>
        <v>Electronics</v>
      </c>
      <c r="I1340" s="41" t="n">
        <f aca="false">VLOOKUP(C1340,Products!$A$5:$D$24,4,FALSE())</f>
        <v>14</v>
      </c>
      <c r="J1340" s="42" t="n">
        <f aca="false">DATE(YEAR(B1340),MONTH(B1340),1)</f>
        <v>45839</v>
      </c>
      <c r="K1340" s="41" t="n">
        <f aca="false">D1340*E1340</f>
        <v>65.08</v>
      </c>
      <c r="L1340" s="41" t="n">
        <f aca="false">D1340*I1340</f>
        <v>28</v>
      </c>
      <c r="M1340" s="41" t="n">
        <f aca="false">IFERROR(INDEX(Raw_Expenses!$C$5:$C$2979,MATCH(A1340,Raw_Expenses!$A$5:$A$2979,0)),0)</f>
        <v>4.81</v>
      </c>
      <c r="N1340" s="41" t="n">
        <f aca="false">L1340+M1340</f>
        <v>32.81</v>
      </c>
      <c r="O1340" s="41" t="n">
        <f aca="false">K1340-N1340</f>
        <v>32.27</v>
      </c>
      <c r="P1340" s="43" t="n">
        <f aca="false">IF(K1340=0,0,O1340/K1340)</f>
        <v>0.495851259987707</v>
      </c>
    </row>
    <row r="1341" customFormat="false" ht="15" hidden="false" customHeight="false" outlineLevel="0" collapsed="false">
      <c r="A1341" s="39" t="s">
        <v>1463</v>
      </c>
      <c r="B1341" s="40" t="n">
        <v>45849</v>
      </c>
      <c r="C1341" s="39" t="s">
        <v>133</v>
      </c>
      <c r="D1341" s="39" t="n">
        <v>2</v>
      </c>
      <c r="E1341" s="41" t="n">
        <v>8.53</v>
      </c>
      <c r="F1341" s="39" t="s">
        <v>105</v>
      </c>
      <c r="G1341" s="39" t="str">
        <f aca="false">VLOOKUP(C1341,Products!$A$5:$D$24,2,FALSE())</f>
        <v>Printer Paper Ream</v>
      </c>
      <c r="H1341" s="39" t="str">
        <f aca="false">VLOOKUP(C1341,Products!$A$5:$D$24,3,FALSE())</f>
        <v>Stationery</v>
      </c>
      <c r="I1341" s="41" t="n">
        <f aca="false">VLOOKUP(C1341,Products!$A$5:$D$24,4,FALSE())</f>
        <v>4</v>
      </c>
      <c r="J1341" s="42" t="n">
        <f aca="false">DATE(YEAR(B1341),MONTH(B1341),1)</f>
        <v>45839</v>
      </c>
      <c r="K1341" s="41" t="n">
        <f aca="false">D1341*E1341</f>
        <v>17.06</v>
      </c>
      <c r="L1341" s="41" t="n">
        <f aca="false">D1341*I1341</f>
        <v>8</v>
      </c>
      <c r="M1341" s="41" t="n">
        <f aca="false">IFERROR(INDEX(Raw_Expenses!$C$5:$C$2979,MATCH(A1341,Raw_Expenses!$A$5:$A$2979,0)),0)</f>
        <v>1.18</v>
      </c>
      <c r="N1341" s="41" t="n">
        <f aca="false">L1341+M1341</f>
        <v>9.18</v>
      </c>
      <c r="O1341" s="41" t="n">
        <f aca="false">K1341-N1341</f>
        <v>7.88</v>
      </c>
      <c r="P1341" s="43" t="n">
        <f aca="false">IF(K1341=0,0,O1341/K1341)</f>
        <v>0.46189917936694</v>
      </c>
    </row>
    <row r="1342" customFormat="false" ht="15" hidden="false" customHeight="false" outlineLevel="0" collapsed="false">
      <c r="A1342" s="39" t="s">
        <v>1464</v>
      </c>
      <c r="B1342" s="40" t="n">
        <v>45849</v>
      </c>
      <c r="C1342" s="39" t="s">
        <v>114</v>
      </c>
      <c r="D1342" s="39" t="n">
        <v>1</v>
      </c>
      <c r="E1342" s="41" t="n">
        <v>5.78</v>
      </c>
      <c r="F1342" s="39" t="s">
        <v>118</v>
      </c>
      <c r="G1342" s="39" t="str">
        <f aca="false">VLOOKUP(C1342,Products!$A$5:$D$24,2,FALSE())</f>
        <v>Gel Pen Pack</v>
      </c>
      <c r="H1342" s="39" t="str">
        <f aca="false">VLOOKUP(C1342,Products!$A$5:$D$24,3,FALSE())</f>
        <v>Stationery</v>
      </c>
      <c r="I1342" s="41" t="n">
        <f aca="false">VLOOKUP(C1342,Products!$A$5:$D$24,4,FALSE())</f>
        <v>2</v>
      </c>
      <c r="J1342" s="42" t="n">
        <f aca="false">DATE(YEAR(B1342),MONTH(B1342),1)</f>
        <v>45839</v>
      </c>
      <c r="K1342" s="41" t="n">
        <f aca="false">D1342*E1342</f>
        <v>5.78</v>
      </c>
      <c r="L1342" s="41" t="n">
        <f aca="false">D1342*I1342</f>
        <v>2</v>
      </c>
      <c r="M1342" s="41" t="n">
        <f aca="false">IFERROR(INDEX(Raw_Expenses!$C$5:$C$2979,MATCH(A1342,Raw_Expenses!$A$5:$A$2979,0)),0)</f>
        <v>0.4</v>
      </c>
      <c r="N1342" s="41" t="n">
        <f aca="false">L1342+M1342</f>
        <v>2.4</v>
      </c>
      <c r="O1342" s="41" t="n">
        <f aca="false">K1342-N1342</f>
        <v>3.38</v>
      </c>
      <c r="P1342" s="43" t="n">
        <f aca="false">IF(K1342=0,0,O1342/K1342)</f>
        <v>0.58477508650519</v>
      </c>
    </row>
    <row r="1343" customFormat="false" ht="15" hidden="false" customHeight="false" outlineLevel="0" collapsed="false">
      <c r="A1343" s="39" t="s">
        <v>1465</v>
      </c>
      <c r="B1343" s="40" t="n">
        <v>45849</v>
      </c>
      <c r="C1343" s="39" t="s">
        <v>162</v>
      </c>
      <c r="D1343" s="39" t="n">
        <v>5</v>
      </c>
      <c r="E1343" s="41" t="n">
        <v>66.11</v>
      </c>
      <c r="F1343" s="39" t="s">
        <v>108</v>
      </c>
      <c r="G1343" s="39" t="str">
        <f aca="false">VLOOKUP(C1343,Products!$A$5:$D$24,2,FALSE())</f>
        <v>Bluetooth Speaker</v>
      </c>
      <c r="H1343" s="39" t="str">
        <f aca="false">VLOOKUP(C1343,Products!$A$5:$D$24,3,FALSE())</f>
        <v>Electronics</v>
      </c>
      <c r="I1343" s="41" t="n">
        <f aca="false">VLOOKUP(C1343,Products!$A$5:$D$24,4,FALSE())</f>
        <v>28</v>
      </c>
      <c r="J1343" s="42" t="n">
        <f aca="false">DATE(YEAR(B1343),MONTH(B1343),1)</f>
        <v>45839</v>
      </c>
      <c r="K1343" s="41" t="n">
        <f aca="false">D1343*E1343</f>
        <v>330.55</v>
      </c>
      <c r="L1343" s="41" t="n">
        <f aca="false">D1343*I1343</f>
        <v>140</v>
      </c>
      <c r="M1343" s="41" t="n">
        <f aca="false">IFERROR(INDEX(Raw_Expenses!$C$5:$C$2979,MATCH(A1343,Raw_Expenses!$A$5:$A$2979,0)),0)</f>
        <v>27.29</v>
      </c>
      <c r="N1343" s="41" t="n">
        <f aca="false">L1343+M1343</f>
        <v>167.29</v>
      </c>
      <c r="O1343" s="41" t="n">
        <f aca="false">K1343-N1343</f>
        <v>163.26</v>
      </c>
      <c r="P1343" s="43" t="n">
        <f aca="false">IF(K1343=0,0,O1343/K1343)</f>
        <v>0.493904099228559</v>
      </c>
    </row>
    <row r="1344" customFormat="false" ht="15" hidden="false" customHeight="false" outlineLevel="0" collapsed="false">
      <c r="A1344" s="39" t="s">
        <v>1466</v>
      </c>
      <c r="B1344" s="40" t="n">
        <v>45849</v>
      </c>
      <c r="C1344" s="39" t="s">
        <v>107</v>
      </c>
      <c r="D1344" s="39" t="n">
        <v>4</v>
      </c>
      <c r="E1344" s="41" t="n">
        <v>33.66</v>
      </c>
      <c r="F1344" s="39" t="s">
        <v>115</v>
      </c>
      <c r="G1344" s="39" t="str">
        <f aca="false">VLOOKUP(C1344,Products!$A$5:$D$24,2,FALSE())</f>
        <v>USB-C Hub</v>
      </c>
      <c r="H1344" s="39" t="str">
        <f aca="false">VLOOKUP(C1344,Products!$A$5:$D$24,3,FALSE())</f>
        <v>Electronics</v>
      </c>
      <c r="I1344" s="41" t="n">
        <f aca="false">VLOOKUP(C1344,Products!$A$5:$D$24,4,FALSE())</f>
        <v>14</v>
      </c>
      <c r="J1344" s="42" t="n">
        <f aca="false">DATE(YEAR(B1344),MONTH(B1344),1)</f>
        <v>45839</v>
      </c>
      <c r="K1344" s="41" t="n">
        <f aca="false">D1344*E1344</f>
        <v>134.64</v>
      </c>
      <c r="L1344" s="41" t="n">
        <f aca="false">D1344*I1344</f>
        <v>56</v>
      </c>
      <c r="M1344" s="41" t="n">
        <f aca="false">IFERROR(INDEX(Raw_Expenses!$C$5:$C$2979,MATCH(A1344,Raw_Expenses!$A$5:$A$2979,0)),0)</f>
        <v>5.81</v>
      </c>
      <c r="N1344" s="41" t="n">
        <f aca="false">L1344+M1344</f>
        <v>61.81</v>
      </c>
      <c r="O1344" s="41" t="n">
        <f aca="false">K1344-N1344</f>
        <v>72.83</v>
      </c>
      <c r="P1344" s="43" t="n">
        <f aca="false">IF(K1344=0,0,O1344/K1344)</f>
        <v>0.54092394533571</v>
      </c>
    </row>
    <row r="1345" customFormat="false" ht="15" hidden="false" customHeight="false" outlineLevel="0" collapsed="false">
      <c r="A1345" s="39" t="s">
        <v>1467</v>
      </c>
      <c r="B1345" s="40" t="n">
        <v>45850</v>
      </c>
      <c r="C1345" s="39" t="s">
        <v>112</v>
      </c>
      <c r="D1345" s="39" t="n">
        <v>1</v>
      </c>
      <c r="E1345" s="41" t="n">
        <v>53.92</v>
      </c>
      <c r="F1345" s="39" t="s">
        <v>108</v>
      </c>
      <c r="G1345" s="39" t="str">
        <f aca="false">VLOOKUP(C1345,Products!$A$5:$D$24,2,FALSE())</f>
        <v>HD Webcam</v>
      </c>
      <c r="H1345" s="39" t="str">
        <f aca="false">VLOOKUP(C1345,Products!$A$5:$D$24,3,FALSE())</f>
        <v>Electronics</v>
      </c>
      <c r="I1345" s="41" t="n">
        <f aca="false">VLOOKUP(C1345,Products!$A$5:$D$24,4,FALSE())</f>
        <v>22</v>
      </c>
      <c r="J1345" s="42" t="n">
        <f aca="false">DATE(YEAR(B1345),MONTH(B1345),1)</f>
        <v>45839</v>
      </c>
      <c r="K1345" s="41" t="n">
        <f aca="false">D1345*E1345</f>
        <v>53.92</v>
      </c>
      <c r="L1345" s="41" t="n">
        <f aca="false">D1345*I1345</f>
        <v>22</v>
      </c>
      <c r="M1345" s="41" t="n">
        <f aca="false">IFERROR(INDEX(Raw_Expenses!$C$5:$C$2979,MATCH(A1345,Raw_Expenses!$A$5:$A$2979,0)),0)</f>
        <v>2.86</v>
      </c>
      <c r="N1345" s="41" t="n">
        <f aca="false">L1345+M1345</f>
        <v>24.86</v>
      </c>
      <c r="O1345" s="41" t="n">
        <f aca="false">K1345-N1345</f>
        <v>29.06</v>
      </c>
      <c r="P1345" s="43" t="n">
        <f aca="false">IF(K1345=0,0,O1345/K1345)</f>
        <v>0.538946587537092</v>
      </c>
    </row>
    <row r="1346" customFormat="false" ht="15" hidden="false" customHeight="false" outlineLevel="0" collapsed="false">
      <c r="A1346" s="39" t="s">
        <v>1468</v>
      </c>
      <c r="B1346" s="40" t="n">
        <v>45850</v>
      </c>
      <c r="C1346" s="39" t="s">
        <v>133</v>
      </c>
      <c r="D1346" s="39" t="n">
        <v>1</v>
      </c>
      <c r="E1346" s="41" t="n">
        <v>8.29</v>
      </c>
      <c r="F1346" s="39" t="s">
        <v>108</v>
      </c>
      <c r="G1346" s="39" t="str">
        <f aca="false">VLOOKUP(C1346,Products!$A$5:$D$24,2,FALSE())</f>
        <v>Printer Paper Ream</v>
      </c>
      <c r="H1346" s="39" t="str">
        <f aca="false">VLOOKUP(C1346,Products!$A$5:$D$24,3,FALSE())</f>
        <v>Stationery</v>
      </c>
      <c r="I1346" s="41" t="n">
        <f aca="false">VLOOKUP(C1346,Products!$A$5:$D$24,4,FALSE())</f>
        <v>4</v>
      </c>
      <c r="J1346" s="42" t="n">
        <f aca="false">DATE(YEAR(B1346),MONTH(B1346),1)</f>
        <v>45839</v>
      </c>
      <c r="K1346" s="41" t="n">
        <f aca="false">D1346*E1346</f>
        <v>8.29</v>
      </c>
      <c r="L1346" s="41" t="n">
        <f aca="false">D1346*I1346</f>
        <v>4</v>
      </c>
      <c r="M1346" s="41" t="n">
        <f aca="false">IFERROR(INDEX(Raw_Expenses!$C$5:$C$2979,MATCH(A1346,Raw_Expenses!$A$5:$A$2979,0)),0)</f>
        <v>0.7</v>
      </c>
      <c r="N1346" s="41" t="n">
        <f aca="false">L1346+M1346</f>
        <v>4.7</v>
      </c>
      <c r="O1346" s="41" t="n">
        <f aca="false">K1346-N1346</f>
        <v>3.59</v>
      </c>
      <c r="P1346" s="43" t="n">
        <f aca="false">IF(K1346=0,0,O1346/K1346)</f>
        <v>0.433051869722557</v>
      </c>
    </row>
    <row r="1347" customFormat="false" ht="15" hidden="false" customHeight="false" outlineLevel="0" collapsed="false">
      <c r="A1347" s="39" t="s">
        <v>1469</v>
      </c>
      <c r="B1347" s="40" t="n">
        <v>45850</v>
      </c>
      <c r="C1347" s="39" t="s">
        <v>114</v>
      </c>
      <c r="D1347" s="39" t="n">
        <v>2</v>
      </c>
      <c r="E1347" s="41" t="n">
        <v>5.92</v>
      </c>
      <c r="F1347" s="39" t="s">
        <v>105</v>
      </c>
      <c r="G1347" s="39" t="str">
        <f aca="false">VLOOKUP(C1347,Products!$A$5:$D$24,2,FALSE())</f>
        <v>Gel Pen Pack</v>
      </c>
      <c r="H1347" s="39" t="str">
        <f aca="false">VLOOKUP(C1347,Products!$A$5:$D$24,3,FALSE())</f>
        <v>Stationery</v>
      </c>
      <c r="I1347" s="41" t="n">
        <f aca="false">VLOOKUP(C1347,Products!$A$5:$D$24,4,FALSE())</f>
        <v>2</v>
      </c>
      <c r="J1347" s="42" t="n">
        <f aca="false">DATE(YEAR(B1347),MONTH(B1347),1)</f>
        <v>45839</v>
      </c>
      <c r="K1347" s="41" t="n">
        <f aca="false">D1347*E1347</f>
        <v>11.84</v>
      </c>
      <c r="L1347" s="41" t="n">
        <f aca="false">D1347*I1347</f>
        <v>4</v>
      </c>
      <c r="M1347" s="41" t="n">
        <f aca="false">IFERROR(INDEX(Raw_Expenses!$C$5:$C$2979,MATCH(A1347,Raw_Expenses!$A$5:$A$2979,0)),0)</f>
        <v>1</v>
      </c>
      <c r="N1347" s="41" t="n">
        <f aca="false">L1347+M1347</f>
        <v>5</v>
      </c>
      <c r="O1347" s="41" t="n">
        <f aca="false">K1347-N1347</f>
        <v>6.84</v>
      </c>
      <c r="P1347" s="43" t="n">
        <f aca="false">IF(K1347=0,0,O1347/K1347)</f>
        <v>0.577702702702703</v>
      </c>
    </row>
    <row r="1348" customFormat="false" ht="15" hidden="false" customHeight="false" outlineLevel="0" collapsed="false">
      <c r="A1348" s="39" t="s">
        <v>1470</v>
      </c>
      <c r="B1348" s="40" t="n">
        <v>45850</v>
      </c>
      <c r="C1348" s="39" t="s">
        <v>110</v>
      </c>
      <c r="D1348" s="39" t="n">
        <v>1</v>
      </c>
      <c r="E1348" s="41" t="n">
        <v>13.85</v>
      </c>
      <c r="F1348" s="39" t="s">
        <v>118</v>
      </c>
      <c r="G1348" s="39" t="str">
        <f aca="false">VLOOKUP(C1348,Products!$A$5:$D$24,2,FALSE())</f>
        <v>Phone Stand</v>
      </c>
      <c r="H1348" s="39" t="str">
        <f aca="false">VLOOKUP(C1348,Products!$A$5:$D$24,3,FALSE())</f>
        <v>Accessories</v>
      </c>
      <c r="I1348" s="41" t="n">
        <f aca="false">VLOOKUP(C1348,Products!$A$5:$D$24,4,FALSE())</f>
        <v>4</v>
      </c>
      <c r="J1348" s="42" t="n">
        <f aca="false">DATE(YEAR(B1348),MONTH(B1348),1)</f>
        <v>45839</v>
      </c>
      <c r="K1348" s="41" t="n">
        <f aca="false">D1348*E1348</f>
        <v>13.85</v>
      </c>
      <c r="L1348" s="41" t="n">
        <f aca="false">D1348*I1348</f>
        <v>4</v>
      </c>
      <c r="M1348" s="41" t="n">
        <f aca="false">IFERROR(INDEX(Raw_Expenses!$C$5:$C$2979,MATCH(A1348,Raw_Expenses!$A$5:$A$2979,0)),0)</f>
        <v>0.8</v>
      </c>
      <c r="N1348" s="41" t="n">
        <f aca="false">L1348+M1348</f>
        <v>4.8</v>
      </c>
      <c r="O1348" s="41" t="n">
        <f aca="false">K1348-N1348</f>
        <v>9.05</v>
      </c>
      <c r="P1348" s="43" t="n">
        <f aca="false">IF(K1348=0,0,O1348/K1348)</f>
        <v>0.653429602888087</v>
      </c>
    </row>
    <row r="1349" customFormat="false" ht="15" hidden="false" customHeight="false" outlineLevel="0" collapsed="false">
      <c r="A1349" s="39" t="s">
        <v>1471</v>
      </c>
      <c r="B1349" s="40" t="n">
        <v>45850</v>
      </c>
      <c r="C1349" s="39" t="s">
        <v>112</v>
      </c>
      <c r="D1349" s="39" t="n">
        <v>3</v>
      </c>
      <c r="E1349" s="41" t="n">
        <v>50.72</v>
      </c>
      <c r="F1349" s="39" t="s">
        <v>105</v>
      </c>
      <c r="G1349" s="39" t="str">
        <f aca="false">VLOOKUP(C1349,Products!$A$5:$D$24,2,FALSE())</f>
        <v>HD Webcam</v>
      </c>
      <c r="H1349" s="39" t="str">
        <f aca="false">VLOOKUP(C1349,Products!$A$5:$D$24,3,FALSE())</f>
        <v>Electronics</v>
      </c>
      <c r="I1349" s="41" t="n">
        <f aca="false">VLOOKUP(C1349,Products!$A$5:$D$24,4,FALSE())</f>
        <v>22</v>
      </c>
      <c r="J1349" s="42" t="n">
        <f aca="false">DATE(YEAR(B1349),MONTH(B1349),1)</f>
        <v>45839</v>
      </c>
      <c r="K1349" s="41" t="n">
        <f aca="false">D1349*E1349</f>
        <v>152.16</v>
      </c>
      <c r="L1349" s="41" t="n">
        <f aca="false">D1349*I1349</f>
        <v>66</v>
      </c>
      <c r="M1349" s="41" t="n">
        <f aca="false">IFERROR(INDEX(Raw_Expenses!$C$5:$C$2979,MATCH(A1349,Raw_Expenses!$A$5:$A$2979,0)),0)</f>
        <v>11.23</v>
      </c>
      <c r="N1349" s="41" t="n">
        <f aca="false">L1349+M1349</f>
        <v>77.23</v>
      </c>
      <c r="O1349" s="41" t="n">
        <f aca="false">K1349-N1349</f>
        <v>74.93</v>
      </c>
      <c r="P1349" s="43" t="n">
        <f aca="false">IF(K1349=0,0,O1349/K1349)</f>
        <v>0.492442166140904</v>
      </c>
    </row>
    <row r="1350" customFormat="false" ht="15" hidden="false" customHeight="false" outlineLevel="0" collapsed="false">
      <c r="A1350" s="39" t="s">
        <v>1472</v>
      </c>
      <c r="B1350" s="40" t="n">
        <v>45850</v>
      </c>
      <c r="C1350" s="39" t="s">
        <v>162</v>
      </c>
      <c r="D1350" s="39" t="n">
        <v>4</v>
      </c>
      <c r="E1350" s="41" t="n">
        <v>64.09</v>
      </c>
      <c r="F1350" s="39" t="s">
        <v>105</v>
      </c>
      <c r="G1350" s="39" t="str">
        <f aca="false">VLOOKUP(C1350,Products!$A$5:$D$24,2,FALSE())</f>
        <v>Bluetooth Speaker</v>
      </c>
      <c r="H1350" s="39" t="str">
        <f aca="false">VLOOKUP(C1350,Products!$A$5:$D$24,3,FALSE())</f>
        <v>Electronics</v>
      </c>
      <c r="I1350" s="41" t="n">
        <f aca="false">VLOOKUP(C1350,Products!$A$5:$D$24,4,FALSE())</f>
        <v>28</v>
      </c>
      <c r="J1350" s="42" t="n">
        <f aca="false">DATE(YEAR(B1350),MONTH(B1350),1)</f>
        <v>45839</v>
      </c>
      <c r="K1350" s="41" t="n">
        <f aca="false">D1350*E1350</f>
        <v>256.36</v>
      </c>
      <c r="L1350" s="41" t="n">
        <f aca="false">D1350*I1350</f>
        <v>112</v>
      </c>
      <c r="M1350" s="41" t="n">
        <f aca="false">IFERROR(INDEX(Raw_Expenses!$C$5:$C$2979,MATCH(A1350,Raw_Expenses!$A$5:$A$2979,0)),0)</f>
        <v>22.78</v>
      </c>
      <c r="N1350" s="41" t="n">
        <f aca="false">L1350+M1350</f>
        <v>134.78</v>
      </c>
      <c r="O1350" s="41" t="n">
        <f aca="false">K1350-N1350</f>
        <v>121.58</v>
      </c>
      <c r="P1350" s="43" t="n">
        <f aca="false">IF(K1350=0,0,O1350/K1350)</f>
        <v>0.474254953970978</v>
      </c>
    </row>
    <row r="1351" customFormat="false" ht="15" hidden="false" customHeight="false" outlineLevel="0" collapsed="false">
      <c r="A1351" s="39" t="s">
        <v>1473</v>
      </c>
      <c r="B1351" s="40" t="n">
        <v>45850</v>
      </c>
      <c r="C1351" s="39" t="s">
        <v>136</v>
      </c>
      <c r="D1351" s="39" t="n">
        <v>4</v>
      </c>
      <c r="E1351" s="41" t="n">
        <v>78.77</v>
      </c>
      <c r="F1351" s="39" t="s">
        <v>108</v>
      </c>
      <c r="G1351" s="39" t="str">
        <f aca="false">VLOOKUP(C1351,Products!$A$5:$D$24,2,FALSE())</f>
        <v>Mechanical Keyboard</v>
      </c>
      <c r="H1351" s="39" t="str">
        <f aca="false">VLOOKUP(C1351,Products!$A$5:$D$24,3,FALSE())</f>
        <v>Electronics</v>
      </c>
      <c r="I1351" s="41" t="n">
        <f aca="false">VLOOKUP(C1351,Products!$A$5:$D$24,4,FALSE())</f>
        <v>38</v>
      </c>
      <c r="J1351" s="42" t="n">
        <f aca="false">DATE(YEAR(B1351),MONTH(B1351),1)</f>
        <v>45839</v>
      </c>
      <c r="K1351" s="41" t="n">
        <f aca="false">D1351*E1351</f>
        <v>315.08</v>
      </c>
      <c r="L1351" s="41" t="n">
        <f aca="false">D1351*I1351</f>
        <v>152</v>
      </c>
      <c r="M1351" s="41" t="n">
        <f aca="false">IFERROR(INDEX(Raw_Expenses!$C$5:$C$2979,MATCH(A1351,Raw_Expenses!$A$5:$A$2979,0)),0)</f>
        <v>16.7</v>
      </c>
      <c r="N1351" s="41" t="n">
        <f aca="false">L1351+M1351</f>
        <v>168.7</v>
      </c>
      <c r="O1351" s="41" t="n">
        <f aca="false">K1351-N1351</f>
        <v>146.38</v>
      </c>
      <c r="P1351" s="43" t="n">
        <f aca="false">IF(K1351=0,0,O1351/K1351)</f>
        <v>0.464580424019297</v>
      </c>
    </row>
    <row r="1352" customFormat="false" ht="15" hidden="false" customHeight="false" outlineLevel="0" collapsed="false">
      <c r="A1352" s="39" t="s">
        <v>1474</v>
      </c>
      <c r="B1352" s="40" t="n">
        <v>45850</v>
      </c>
      <c r="C1352" s="39" t="s">
        <v>133</v>
      </c>
      <c r="D1352" s="39" t="n">
        <v>3</v>
      </c>
      <c r="E1352" s="41" t="n">
        <v>8.69</v>
      </c>
      <c r="F1352" s="39" t="s">
        <v>105</v>
      </c>
      <c r="G1352" s="39" t="str">
        <f aca="false">VLOOKUP(C1352,Products!$A$5:$D$24,2,FALSE())</f>
        <v>Printer Paper Ream</v>
      </c>
      <c r="H1352" s="39" t="str">
        <f aca="false">VLOOKUP(C1352,Products!$A$5:$D$24,3,FALSE())</f>
        <v>Stationery</v>
      </c>
      <c r="I1352" s="41" t="n">
        <f aca="false">VLOOKUP(C1352,Products!$A$5:$D$24,4,FALSE())</f>
        <v>4</v>
      </c>
      <c r="J1352" s="42" t="n">
        <f aca="false">DATE(YEAR(B1352),MONTH(B1352),1)</f>
        <v>45839</v>
      </c>
      <c r="K1352" s="41" t="n">
        <f aca="false">D1352*E1352</f>
        <v>26.07</v>
      </c>
      <c r="L1352" s="41" t="n">
        <f aca="false">D1352*I1352</f>
        <v>12</v>
      </c>
      <c r="M1352" s="41" t="n">
        <f aca="false">IFERROR(INDEX(Raw_Expenses!$C$5:$C$2979,MATCH(A1352,Raw_Expenses!$A$5:$A$2979,0)),0)</f>
        <v>1.51</v>
      </c>
      <c r="N1352" s="41" t="n">
        <f aca="false">L1352+M1352</f>
        <v>13.51</v>
      </c>
      <c r="O1352" s="41" t="n">
        <f aca="false">K1352-N1352</f>
        <v>12.56</v>
      </c>
      <c r="P1352" s="43" t="n">
        <f aca="false">IF(K1352=0,0,O1352/K1352)</f>
        <v>0.481779823551975</v>
      </c>
    </row>
    <row r="1353" customFormat="false" ht="15" hidden="false" customHeight="false" outlineLevel="0" collapsed="false">
      <c r="A1353" s="39" t="s">
        <v>1475</v>
      </c>
      <c r="B1353" s="40" t="n">
        <v>45850</v>
      </c>
      <c r="C1353" s="39" t="s">
        <v>169</v>
      </c>
      <c r="D1353" s="39" t="n">
        <v>2</v>
      </c>
      <c r="E1353" s="41" t="n">
        <v>27.16</v>
      </c>
      <c r="F1353" s="39" t="s">
        <v>115</v>
      </c>
      <c r="G1353" s="39" t="str">
        <f aca="false">VLOOKUP(C1353,Products!$A$5:$D$24,2,FALSE())</f>
        <v>Laptop Stand</v>
      </c>
      <c r="H1353" s="39" t="str">
        <f aca="false">VLOOKUP(C1353,Products!$A$5:$D$24,3,FALSE())</f>
        <v>Accessories</v>
      </c>
      <c r="I1353" s="41" t="n">
        <f aca="false">VLOOKUP(C1353,Products!$A$5:$D$24,4,FALSE())</f>
        <v>11</v>
      </c>
      <c r="J1353" s="42" t="n">
        <f aca="false">DATE(YEAR(B1353),MONTH(B1353),1)</f>
        <v>45839</v>
      </c>
      <c r="K1353" s="41" t="n">
        <f aca="false">D1353*E1353</f>
        <v>54.32</v>
      </c>
      <c r="L1353" s="41" t="n">
        <f aca="false">D1353*I1353</f>
        <v>22</v>
      </c>
      <c r="M1353" s="41" t="n">
        <f aca="false">IFERROR(INDEX(Raw_Expenses!$C$5:$C$2979,MATCH(A1353,Raw_Expenses!$A$5:$A$2979,0)),0)</f>
        <v>2.53</v>
      </c>
      <c r="N1353" s="41" t="n">
        <f aca="false">L1353+M1353</f>
        <v>24.53</v>
      </c>
      <c r="O1353" s="41" t="n">
        <f aca="false">K1353-N1353</f>
        <v>29.79</v>
      </c>
      <c r="P1353" s="43" t="n">
        <f aca="false">IF(K1353=0,0,O1353/K1353)</f>
        <v>0.548416789396171</v>
      </c>
    </row>
    <row r="1354" customFormat="false" ht="15" hidden="false" customHeight="false" outlineLevel="0" collapsed="false">
      <c r="A1354" s="39" t="s">
        <v>1476</v>
      </c>
      <c r="B1354" s="40" t="n">
        <v>45850</v>
      </c>
      <c r="C1354" s="39" t="s">
        <v>114</v>
      </c>
      <c r="D1354" s="39" t="n">
        <v>2</v>
      </c>
      <c r="E1354" s="41" t="n">
        <v>5.59</v>
      </c>
      <c r="F1354" s="39" t="s">
        <v>108</v>
      </c>
      <c r="G1354" s="39" t="str">
        <f aca="false">VLOOKUP(C1354,Products!$A$5:$D$24,2,FALSE())</f>
        <v>Gel Pen Pack</v>
      </c>
      <c r="H1354" s="39" t="str">
        <f aca="false">VLOOKUP(C1354,Products!$A$5:$D$24,3,FALSE())</f>
        <v>Stationery</v>
      </c>
      <c r="I1354" s="41" t="n">
        <f aca="false">VLOOKUP(C1354,Products!$A$5:$D$24,4,FALSE())</f>
        <v>2</v>
      </c>
      <c r="J1354" s="42" t="n">
        <f aca="false">DATE(YEAR(B1354),MONTH(B1354),1)</f>
        <v>45839</v>
      </c>
      <c r="K1354" s="41" t="n">
        <f aca="false">D1354*E1354</f>
        <v>11.18</v>
      </c>
      <c r="L1354" s="41" t="n">
        <f aca="false">D1354*I1354</f>
        <v>4</v>
      </c>
      <c r="M1354" s="41" t="n">
        <f aca="false">IFERROR(INDEX(Raw_Expenses!$C$5:$C$2979,MATCH(A1354,Raw_Expenses!$A$5:$A$2979,0)),0)</f>
        <v>0.81</v>
      </c>
      <c r="N1354" s="41" t="n">
        <f aca="false">L1354+M1354</f>
        <v>4.81</v>
      </c>
      <c r="O1354" s="41" t="n">
        <f aca="false">K1354-N1354</f>
        <v>6.37</v>
      </c>
      <c r="P1354" s="43" t="n">
        <f aca="false">IF(K1354=0,0,O1354/K1354)</f>
        <v>0.569767441860465</v>
      </c>
    </row>
    <row r="1355" customFormat="false" ht="15" hidden="false" customHeight="false" outlineLevel="0" collapsed="false">
      <c r="A1355" s="39" t="s">
        <v>1477</v>
      </c>
      <c r="B1355" s="40" t="n">
        <v>45850</v>
      </c>
      <c r="C1355" s="39" t="s">
        <v>114</v>
      </c>
      <c r="D1355" s="39" t="n">
        <v>1</v>
      </c>
      <c r="E1355" s="41" t="n">
        <v>5.97</v>
      </c>
      <c r="F1355" s="39" t="s">
        <v>105</v>
      </c>
      <c r="G1355" s="39" t="str">
        <f aca="false">VLOOKUP(C1355,Products!$A$5:$D$24,2,FALSE())</f>
        <v>Gel Pen Pack</v>
      </c>
      <c r="H1355" s="39" t="str">
        <f aca="false">VLOOKUP(C1355,Products!$A$5:$D$24,3,FALSE())</f>
        <v>Stationery</v>
      </c>
      <c r="I1355" s="41" t="n">
        <f aca="false">VLOOKUP(C1355,Products!$A$5:$D$24,4,FALSE())</f>
        <v>2</v>
      </c>
      <c r="J1355" s="42" t="n">
        <f aca="false">DATE(YEAR(B1355),MONTH(B1355),1)</f>
        <v>45839</v>
      </c>
      <c r="K1355" s="41" t="n">
        <f aca="false">D1355*E1355</f>
        <v>5.97</v>
      </c>
      <c r="L1355" s="41" t="n">
        <f aca="false">D1355*I1355</f>
        <v>2</v>
      </c>
      <c r="M1355" s="41" t="n">
        <f aca="false">IFERROR(INDEX(Raw_Expenses!$C$5:$C$2979,MATCH(A1355,Raw_Expenses!$A$5:$A$2979,0)),0)</f>
        <v>0.38</v>
      </c>
      <c r="N1355" s="41" t="n">
        <f aca="false">L1355+M1355</f>
        <v>2.38</v>
      </c>
      <c r="O1355" s="41" t="n">
        <f aca="false">K1355-N1355</f>
        <v>3.59</v>
      </c>
      <c r="P1355" s="43" t="n">
        <f aca="false">IF(K1355=0,0,O1355/K1355)</f>
        <v>0.601340033500838</v>
      </c>
    </row>
    <row r="1356" customFormat="false" ht="15" hidden="false" customHeight="false" outlineLevel="0" collapsed="false">
      <c r="A1356" s="39" t="s">
        <v>1478</v>
      </c>
      <c r="B1356" s="40" t="n">
        <v>45850</v>
      </c>
      <c r="C1356" s="39" t="s">
        <v>107</v>
      </c>
      <c r="D1356" s="39" t="n">
        <v>4</v>
      </c>
      <c r="E1356" s="41" t="n">
        <v>33.71</v>
      </c>
      <c r="F1356" s="39" t="s">
        <v>118</v>
      </c>
      <c r="G1356" s="39" t="str">
        <f aca="false">VLOOKUP(C1356,Products!$A$5:$D$24,2,FALSE())</f>
        <v>USB-C Hub</v>
      </c>
      <c r="H1356" s="39" t="str">
        <f aca="false">VLOOKUP(C1356,Products!$A$5:$D$24,3,FALSE())</f>
        <v>Electronics</v>
      </c>
      <c r="I1356" s="41" t="n">
        <f aca="false">VLOOKUP(C1356,Products!$A$5:$D$24,4,FALSE())</f>
        <v>14</v>
      </c>
      <c r="J1356" s="42" t="n">
        <f aca="false">DATE(YEAR(B1356),MONTH(B1356),1)</f>
        <v>45839</v>
      </c>
      <c r="K1356" s="41" t="n">
        <f aca="false">D1356*E1356</f>
        <v>134.84</v>
      </c>
      <c r="L1356" s="41" t="n">
        <f aca="false">D1356*I1356</f>
        <v>56</v>
      </c>
      <c r="M1356" s="41" t="n">
        <f aca="false">IFERROR(INDEX(Raw_Expenses!$C$5:$C$2979,MATCH(A1356,Raw_Expenses!$A$5:$A$2979,0)),0)</f>
        <v>6.2</v>
      </c>
      <c r="N1356" s="41" t="n">
        <f aca="false">L1356+M1356</f>
        <v>62.2</v>
      </c>
      <c r="O1356" s="41" t="n">
        <f aca="false">K1356-N1356</f>
        <v>72.64</v>
      </c>
      <c r="P1356" s="43" t="n">
        <f aca="false">IF(K1356=0,0,O1356/K1356)</f>
        <v>0.53871254820528</v>
      </c>
    </row>
    <row r="1357" customFormat="false" ht="15" hidden="false" customHeight="false" outlineLevel="0" collapsed="false">
      <c r="A1357" s="39" t="s">
        <v>1479</v>
      </c>
      <c r="B1357" s="40" t="n">
        <v>45850</v>
      </c>
      <c r="C1357" s="39" t="s">
        <v>169</v>
      </c>
      <c r="D1357" s="39" t="n">
        <v>2</v>
      </c>
      <c r="E1357" s="41" t="n">
        <v>28.59</v>
      </c>
      <c r="F1357" s="39" t="s">
        <v>118</v>
      </c>
      <c r="G1357" s="39" t="str">
        <f aca="false">VLOOKUP(C1357,Products!$A$5:$D$24,2,FALSE())</f>
        <v>Laptop Stand</v>
      </c>
      <c r="H1357" s="39" t="str">
        <f aca="false">VLOOKUP(C1357,Products!$A$5:$D$24,3,FALSE())</f>
        <v>Accessories</v>
      </c>
      <c r="I1357" s="41" t="n">
        <f aca="false">VLOOKUP(C1357,Products!$A$5:$D$24,4,FALSE())</f>
        <v>11</v>
      </c>
      <c r="J1357" s="42" t="n">
        <f aca="false">DATE(YEAR(B1357),MONTH(B1357),1)</f>
        <v>45839</v>
      </c>
      <c r="K1357" s="41" t="n">
        <f aca="false">D1357*E1357</f>
        <v>57.18</v>
      </c>
      <c r="L1357" s="41" t="n">
        <f aca="false">D1357*I1357</f>
        <v>22</v>
      </c>
      <c r="M1357" s="41" t="n">
        <f aca="false">IFERROR(INDEX(Raw_Expenses!$C$5:$C$2979,MATCH(A1357,Raw_Expenses!$A$5:$A$2979,0)),0)</f>
        <v>0</v>
      </c>
      <c r="N1357" s="41" t="n">
        <f aca="false">L1357+M1357</f>
        <v>22</v>
      </c>
      <c r="O1357" s="41" t="n">
        <f aca="false">K1357-N1357</f>
        <v>35.18</v>
      </c>
      <c r="P1357" s="43" t="n">
        <f aca="false">IF(K1357=0,0,O1357/K1357)</f>
        <v>0.615250087443162</v>
      </c>
    </row>
    <row r="1358" customFormat="false" ht="15" hidden="false" customHeight="false" outlineLevel="0" collapsed="false">
      <c r="A1358" s="39" t="s">
        <v>1480</v>
      </c>
      <c r="B1358" s="40" t="n">
        <v>45851</v>
      </c>
      <c r="C1358" s="39" t="s">
        <v>144</v>
      </c>
      <c r="D1358" s="39" t="n">
        <v>3</v>
      </c>
      <c r="E1358" s="41" t="n">
        <v>57.49</v>
      </c>
      <c r="F1358" s="39" t="s">
        <v>105</v>
      </c>
      <c r="G1358" s="39" t="str">
        <f aca="false">VLOOKUP(C1358,Products!$A$5:$D$24,2,FALSE())</f>
        <v>Whiteboard</v>
      </c>
      <c r="H1358" s="39" t="str">
        <f aca="false">VLOOKUP(C1358,Products!$A$5:$D$24,3,FALSE())</f>
        <v>Furniture</v>
      </c>
      <c r="I1358" s="41" t="n">
        <f aca="false">VLOOKUP(C1358,Products!$A$5:$D$24,4,FALSE())</f>
        <v>28</v>
      </c>
      <c r="J1358" s="42" t="n">
        <f aca="false">DATE(YEAR(B1358),MONTH(B1358),1)</f>
        <v>45839</v>
      </c>
      <c r="K1358" s="41" t="n">
        <f aca="false">D1358*E1358</f>
        <v>172.47</v>
      </c>
      <c r="L1358" s="41" t="n">
        <f aca="false">D1358*I1358</f>
        <v>84</v>
      </c>
      <c r="M1358" s="41" t="n">
        <f aca="false">IFERROR(INDEX(Raw_Expenses!$C$5:$C$2979,MATCH(A1358,Raw_Expenses!$A$5:$A$2979,0)),0)</f>
        <v>13.88</v>
      </c>
      <c r="N1358" s="41" t="n">
        <f aca="false">L1358+M1358</f>
        <v>97.88</v>
      </c>
      <c r="O1358" s="41" t="n">
        <f aca="false">K1358-N1358</f>
        <v>74.59</v>
      </c>
      <c r="P1358" s="43" t="n">
        <f aca="false">IF(K1358=0,0,O1358/K1358)</f>
        <v>0.432481011190352</v>
      </c>
    </row>
    <row r="1359" customFormat="false" ht="15" hidden="false" customHeight="false" outlineLevel="0" collapsed="false">
      <c r="A1359" s="39" t="s">
        <v>1481</v>
      </c>
      <c r="B1359" s="40" t="n">
        <v>45851</v>
      </c>
      <c r="C1359" s="39" t="s">
        <v>110</v>
      </c>
      <c r="D1359" s="39" t="n">
        <v>3</v>
      </c>
      <c r="E1359" s="41" t="n">
        <v>12.89</v>
      </c>
      <c r="F1359" s="39" t="s">
        <v>115</v>
      </c>
      <c r="G1359" s="39" t="str">
        <f aca="false">VLOOKUP(C1359,Products!$A$5:$D$24,2,FALSE())</f>
        <v>Phone Stand</v>
      </c>
      <c r="H1359" s="39" t="str">
        <f aca="false">VLOOKUP(C1359,Products!$A$5:$D$24,3,FALSE())</f>
        <v>Accessories</v>
      </c>
      <c r="I1359" s="41" t="n">
        <f aca="false">VLOOKUP(C1359,Products!$A$5:$D$24,4,FALSE())</f>
        <v>4</v>
      </c>
      <c r="J1359" s="42" t="n">
        <f aca="false">DATE(YEAR(B1359),MONTH(B1359),1)</f>
        <v>45839</v>
      </c>
      <c r="K1359" s="41" t="n">
        <f aca="false">D1359*E1359</f>
        <v>38.67</v>
      </c>
      <c r="L1359" s="41" t="n">
        <f aca="false">D1359*I1359</f>
        <v>12</v>
      </c>
      <c r="M1359" s="41" t="n">
        <f aca="false">IFERROR(INDEX(Raw_Expenses!$C$5:$C$2979,MATCH(A1359,Raw_Expenses!$A$5:$A$2979,0)),0)</f>
        <v>2.96</v>
      </c>
      <c r="N1359" s="41" t="n">
        <f aca="false">L1359+M1359</f>
        <v>14.96</v>
      </c>
      <c r="O1359" s="41" t="n">
        <f aca="false">K1359-N1359</f>
        <v>23.71</v>
      </c>
      <c r="P1359" s="43" t="n">
        <f aca="false">IF(K1359=0,0,O1359/K1359)</f>
        <v>0.613136798551849</v>
      </c>
    </row>
    <row r="1360" customFormat="false" ht="15" hidden="false" customHeight="false" outlineLevel="0" collapsed="false">
      <c r="A1360" s="39" t="s">
        <v>1482</v>
      </c>
      <c r="B1360" s="40" t="n">
        <v>45851</v>
      </c>
      <c r="C1360" s="39" t="s">
        <v>114</v>
      </c>
      <c r="D1360" s="39" t="n">
        <v>2</v>
      </c>
      <c r="E1360" s="41" t="n">
        <v>5.94</v>
      </c>
      <c r="F1360" s="39" t="s">
        <v>115</v>
      </c>
      <c r="G1360" s="39" t="str">
        <f aca="false">VLOOKUP(C1360,Products!$A$5:$D$24,2,FALSE())</f>
        <v>Gel Pen Pack</v>
      </c>
      <c r="H1360" s="39" t="str">
        <f aca="false">VLOOKUP(C1360,Products!$A$5:$D$24,3,FALSE())</f>
        <v>Stationery</v>
      </c>
      <c r="I1360" s="41" t="n">
        <f aca="false">VLOOKUP(C1360,Products!$A$5:$D$24,4,FALSE())</f>
        <v>2</v>
      </c>
      <c r="J1360" s="42" t="n">
        <f aca="false">DATE(YEAR(B1360),MONTH(B1360),1)</f>
        <v>45839</v>
      </c>
      <c r="K1360" s="41" t="n">
        <f aca="false">D1360*E1360</f>
        <v>11.88</v>
      </c>
      <c r="L1360" s="41" t="n">
        <f aca="false">D1360*I1360</f>
        <v>4</v>
      </c>
      <c r="M1360" s="41" t="n">
        <f aca="false">IFERROR(INDEX(Raw_Expenses!$C$5:$C$2979,MATCH(A1360,Raw_Expenses!$A$5:$A$2979,0)),0)</f>
        <v>1.02</v>
      </c>
      <c r="N1360" s="41" t="n">
        <f aca="false">L1360+M1360</f>
        <v>5.02</v>
      </c>
      <c r="O1360" s="41" t="n">
        <f aca="false">K1360-N1360</f>
        <v>6.86</v>
      </c>
      <c r="P1360" s="43" t="n">
        <f aca="false">IF(K1360=0,0,O1360/K1360)</f>
        <v>0.577441077441078</v>
      </c>
    </row>
    <row r="1361" customFormat="false" ht="15" hidden="false" customHeight="false" outlineLevel="0" collapsed="false">
      <c r="A1361" s="39" t="s">
        <v>1483</v>
      </c>
      <c r="B1361" s="40" t="n">
        <v>45851</v>
      </c>
      <c r="C1361" s="39" t="s">
        <v>169</v>
      </c>
      <c r="D1361" s="39" t="n">
        <v>1</v>
      </c>
      <c r="E1361" s="41" t="n">
        <v>27.85</v>
      </c>
      <c r="F1361" s="39" t="s">
        <v>118</v>
      </c>
      <c r="G1361" s="39" t="str">
        <f aca="false">VLOOKUP(C1361,Products!$A$5:$D$24,2,FALSE())</f>
        <v>Laptop Stand</v>
      </c>
      <c r="H1361" s="39" t="str">
        <f aca="false">VLOOKUP(C1361,Products!$A$5:$D$24,3,FALSE())</f>
        <v>Accessories</v>
      </c>
      <c r="I1361" s="41" t="n">
        <f aca="false">VLOOKUP(C1361,Products!$A$5:$D$24,4,FALSE())</f>
        <v>11</v>
      </c>
      <c r="J1361" s="42" t="n">
        <f aca="false">DATE(YEAR(B1361),MONTH(B1361),1)</f>
        <v>45839</v>
      </c>
      <c r="K1361" s="41" t="n">
        <f aca="false">D1361*E1361</f>
        <v>27.85</v>
      </c>
      <c r="L1361" s="41" t="n">
        <f aca="false">D1361*I1361</f>
        <v>11</v>
      </c>
      <c r="M1361" s="41" t="n">
        <f aca="false">IFERROR(INDEX(Raw_Expenses!$C$5:$C$2979,MATCH(A1361,Raw_Expenses!$A$5:$A$2979,0)),0)</f>
        <v>1.2</v>
      </c>
      <c r="N1361" s="41" t="n">
        <f aca="false">L1361+M1361</f>
        <v>12.2</v>
      </c>
      <c r="O1361" s="41" t="n">
        <f aca="false">K1361-N1361</f>
        <v>15.65</v>
      </c>
      <c r="P1361" s="43" t="n">
        <f aca="false">IF(K1361=0,0,O1361/K1361)</f>
        <v>0.561938958707361</v>
      </c>
    </row>
    <row r="1362" customFormat="false" ht="15" hidden="false" customHeight="false" outlineLevel="0" collapsed="false">
      <c r="A1362" s="39" t="s">
        <v>1484</v>
      </c>
      <c r="B1362" s="40" t="n">
        <v>45851</v>
      </c>
      <c r="C1362" s="39" t="s">
        <v>133</v>
      </c>
      <c r="D1362" s="39" t="n">
        <v>2</v>
      </c>
      <c r="E1362" s="41" t="n">
        <v>8.85</v>
      </c>
      <c r="F1362" s="39" t="s">
        <v>115</v>
      </c>
      <c r="G1362" s="39" t="str">
        <f aca="false">VLOOKUP(C1362,Products!$A$5:$D$24,2,FALSE())</f>
        <v>Printer Paper Ream</v>
      </c>
      <c r="H1362" s="39" t="str">
        <f aca="false">VLOOKUP(C1362,Products!$A$5:$D$24,3,FALSE())</f>
        <v>Stationery</v>
      </c>
      <c r="I1362" s="41" t="n">
        <f aca="false">VLOOKUP(C1362,Products!$A$5:$D$24,4,FALSE())</f>
        <v>4</v>
      </c>
      <c r="J1362" s="42" t="n">
        <f aca="false">DATE(YEAR(B1362),MONTH(B1362),1)</f>
        <v>45839</v>
      </c>
      <c r="K1362" s="41" t="n">
        <f aca="false">D1362*E1362</f>
        <v>17.7</v>
      </c>
      <c r="L1362" s="41" t="n">
        <f aca="false">D1362*I1362</f>
        <v>8</v>
      </c>
      <c r="M1362" s="41" t="n">
        <f aca="false">IFERROR(INDEX(Raw_Expenses!$C$5:$C$2979,MATCH(A1362,Raw_Expenses!$A$5:$A$2979,0)),0)</f>
        <v>1.53</v>
      </c>
      <c r="N1362" s="41" t="n">
        <f aca="false">L1362+M1362</f>
        <v>9.53</v>
      </c>
      <c r="O1362" s="41" t="n">
        <f aca="false">K1362-N1362</f>
        <v>8.17</v>
      </c>
      <c r="P1362" s="43" t="n">
        <f aca="false">IF(K1362=0,0,O1362/K1362)</f>
        <v>0.461581920903955</v>
      </c>
    </row>
    <row r="1363" customFormat="false" ht="15" hidden="false" customHeight="false" outlineLevel="0" collapsed="false">
      <c r="A1363" s="39" t="s">
        <v>1485</v>
      </c>
      <c r="B1363" s="40" t="n">
        <v>45851</v>
      </c>
      <c r="C1363" s="39" t="s">
        <v>130</v>
      </c>
      <c r="D1363" s="39" t="n">
        <v>3</v>
      </c>
      <c r="E1363" s="41" t="n">
        <v>8.63</v>
      </c>
      <c r="F1363" s="39" t="s">
        <v>118</v>
      </c>
      <c r="G1363" s="39" t="str">
        <f aca="false">VLOOKUP(C1363,Products!$A$5:$D$24,2,FALSE())</f>
        <v>Notebook Set</v>
      </c>
      <c r="H1363" s="39" t="str">
        <f aca="false">VLOOKUP(C1363,Products!$A$5:$D$24,3,FALSE())</f>
        <v>Stationery</v>
      </c>
      <c r="I1363" s="41" t="n">
        <f aca="false">VLOOKUP(C1363,Products!$A$5:$D$24,4,FALSE())</f>
        <v>3</v>
      </c>
      <c r="J1363" s="42" t="n">
        <f aca="false">DATE(YEAR(B1363),MONTH(B1363),1)</f>
        <v>45839</v>
      </c>
      <c r="K1363" s="41" t="n">
        <f aca="false">D1363*E1363</f>
        <v>25.89</v>
      </c>
      <c r="L1363" s="41" t="n">
        <f aca="false">D1363*I1363</f>
        <v>9</v>
      </c>
      <c r="M1363" s="41" t="n">
        <f aca="false">IFERROR(INDEX(Raw_Expenses!$C$5:$C$2979,MATCH(A1363,Raw_Expenses!$A$5:$A$2979,0)),0)</f>
        <v>1.52</v>
      </c>
      <c r="N1363" s="41" t="n">
        <f aca="false">L1363+M1363</f>
        <v>10.52</v>
      </c>
      <c r="O1363" s="41" t="n">
        <f aca="false">K1363-N1363</f>
        <v>15.37</v>
      </c>
      <c r="P1363" s="43" t="n">
        <f aca="false">IF(K1363=0,0,O1363/K1363)</f>
        <v>0.593665507918115</v>
      </c>
    </row>
    <row r="1364" customFormat="false" ht="15" hidden="false" customHeight="false" outlineLevel="0" collapsed="false">
      <c r="A1364" s="39" t="s">
        <v>1486</v>
      </c>
      <c r="B1364" s="40" t="n">
        <v>45851</v>
      </c>
      <c r="C1364" s="39" t="s">
        <v>130</v>
      </c>
      <c r="D1364" s="39" t="n">
        <v>1</v>
      </c>
      <c r="E1364" s="41" t="n">
        <v>8.57</v>
      </c>
      <c r="F1364" s="39" t="s">
        <v>108</v>
      </c>
      <c r="G1364" s="39" t="str">
        <f aca="false">VLOOKUP(C1364,Products!$A$5:$D$24,2,FALSE())</f>
        <v>Notebook Set</v>
      </c>
      <c r="H1364" s="39" t="str">
        <f aca="false">VLOOKUP(C1364,Products!$A$5:$D$24,3,FALSE())</f>
        <v>Stationery</v>
      </c>
      <c r="I1364" s="41" t="n">
        <f aca="false">VLOOKUP(C1364,Products!$A$5:$D$24,4,FALSE())</f>
        <v>3</v>
      </c>
      <c r="J1364" s="42" t="n">
        <f aca="false">DATE(YEAR(B1364),MONTH(B1364),1)</f>
        <v>45839</v>
      </c>
      <c r="K1364" s="41" t="n">
        <f aca="false">D1364*E1364</f>
        <v>8.57</v>
      </c>
      <c r="L1364" s="41" t="n">
        <f aca="false">D1364*I1364</f>
        <v>3</v>
      </c>
      <c r="M1364" s="41" t="n">
        <f aca="false">IFERROR(INDEX(Raw_Expenses!$C$5:$C$2979,MATCH(A1364,Raw_Expenses!$A$5:$A$2979,0)),0)</f>
        <v>0.52</v>
      </c>
      <c r="N1364" s="41" t="n">
        <f aca="false">L1364+M1364</f>
        <v>3.52</v>
      </c>
      <c r="O1364" s="41" t="n">
        <f aca="false">K1364-N1364</f>
        <v>5.05</v>
      </c>
      <c r="P1364" s="43" t="n">
        <f aca="false">IF(K1364=0,0,O1364/K1364)</f>
        <v>0.58926487747958</v>
      </c>
    </row>
    <row r="1365" customFormat="false" ht="15" hidden="false" customHeight="false" outlineLevel="0" collapsed="false">
      <c r="A1365" s="39" t="s">
        <v>1487</v>
      </c>
      <c r="B1365" s="40" t="n">
        <v>45851</v>
      </c>
      <c r="C1365" s="39" t="s">
        <v>117</v>
      </c>
      <c r="D1365" s="39" t="n">
        <v>1</v>
      </c>
      <c r="E1365" s="41" t="n">
        <v>29.82</v>
      </c>
      <c r="F1365" s="39" t="s">
        <v>105</v>
      </c>
      <c r="G1365" s="39" t="str">
        <f aca="false">VLOOKUP(C1365,Products!$A$5:$D$24,2,FALSE())</f>
        <v>Desk Lamp</v>
      </c>
      <c r="H1365" s="39" t="str">
        <f aca="false">VLOOKUP(C1365,Products!$A$5:$D$24,3,FALSE())</f>
        <v>Furniture</v>
      </c>
      <c r="I1365" s="41" t="n">
        <f aca="false">VLOOKUP(C1365,Products!$A$5:$D$24,4,FALSE())</f>
        <v>13</v>
      </c>
      <c r="J1365" s="42" t="n">
        <f aca="false">DATE(YEAR(B1365),MONTH(B1365),1)</f>
        <v>45839</v>
      </c>
      <c r="K1365" s="41" t="n">
        <f aca="false">D1365*E1365</f>
        <v>29.82</v>
      </c>
      <c r="L1365" s="41" t="n">
        <f aca="false">D1365*I1365</f>
        <v>13</v>
      </c>
      <c r="M1365" s="41" t="n">
        <f aca="false">IFERROR(INDEX(Raw_Expenses!$C$5:$C$2979,MATCH(A1365,Raw_Expenses!$A$5:$A$2979,0)),0)</f>
        <v>1.36</v>
      </c>
      <c r="N1365" s="41" t="n">
        <f aca="false">L1365+M1365</f>
        <v>14.36</v>
      </c>
      <c r="O1365" s="41" t="n">
        <f aca="false">K1365-N1365</f>
        <v>15.46</v>
      </c>
      <c r="P1365" s="43" t="n">
        <f aca="false">IF(K1365=0,0,O1365/K1365)</f>
        <v>0.518443997317237</v>
      </c>
    </row>
    <row r="1366" customFormat="false" ht="15" hidden="false" customHeight="false" outlineLevel="0" collapsed="false">
      <c r="A1366" s="39" t="s">
        <v>1488</v>
      </c>
      <c r="B1366" s="40" t="n">
        <v>45851</v>
      </c>
      <c r="C1366" s="39" t="s">
        <v>128</v>
      </c>
      <c r="D1366" s="39" t="n">
        <v>2</v>
      </c>
      <c r="E1366" s="41" t="n">
        <v>35.89</v>
      </c>
      <c r="F1366" s="39" t="s">
        <v>108</v>
      </c>
      <c r="G1366" s="39" t="str">
        <f aca="false">VLOOKUP(C1366,Products!$A$5:$D$24,2,FALSE())</f>
        <v>Ergonomic Footrest</v>
      </c>
      <c r="H1366" s="39" t="str">
        <f aca="false">VLOOKUP(C1366,Products!$A$5:$D$24,3,FALSE())</f>
        <v>Furniture</v>
      </c>
      <c r="I1366" s="41" t="n">
        <f aca="false">VLOOKUP(C1366,Products!$A$5:$D$24,4,FALSE())</f>
        <v>15</v>
      </c>
      <c r="J1366" s="42" t="n">
        <f aca="false">DATE(YEAR(B1366),MONTH(B1366),1)</f>
        <v>45839</v>
      </c>
      <c r="K1366" s="41" t="n">
        <f aca="false">D1366*E1366</f>
        <v>71.78</v>
      </c>
      <c r="L1366" s="41" t="n">
        <f aca="false">D1366*I1366</f>
        <v>30</v>
      </c>
      <c r="M1366" s="41" t="n">
        <f aca="false">IFERROR(INDEX(Raw_Expenses!$C$5:$C$2979,MATCH(A1366,Raw_Expenses!$A$5:$A$2979,0)),0)</f>
        <v>6.04</v>
      </c>
      <c r="N1366" s="41" t="n">
        <f aca="false">L1366+M1366</f>
        <v>36.04</v>
      </c>
      <c r="O1366" s="41" t="n">
        <f aca="false">K1366-N1366</f>
        <v>35.74</v>
      </c>
      <c r="P1366" s="43" t="n">
        <f aca="false">IF(K1366=0,0,O1366/K1366)</f>
        <v>0.497910281415436</v>
      </c>
    </row>
    <row r="1367" customFormat="false" ht="15" hidden="false" customHeight="false" outlineLevel="0" collapsed="false">
      <c r="A1367" s="39" t="s">
        <v>1489</v>
      </c>
      <c r="B1367" s="40" t="n">
        <v>45851</v>
      </c>
      <c r="C1367" s="39" t="s">
        <v>112</v>
      </c>
      <c r="D1367" s="39" t="n">
        <v>2</v>
      </c>
      <c r="E1367" s="41" t="n">
        <v>52.1</v>
      </c>
      <c r="F1367" s="39" t="s">
        <v>108</v>
      </c>
      <c r="G1367" s="39" t="str">
        <f aca="false">VLOOKUP(C1367,Products!$A$5:$D$24,2,FALSE())</f>
        <v>HD Webcam</v>
      </c>
      <c r="H1367" s="39" t="str">
        <f aca="false">VLOOKUP(C1367,Products!$A$5:$D$24,3,FALSE())</f>
        <v>Electronics</v>
      </c>
      <c r="I1367" s="41" t="n">
        <f aca="false">VLOOKUP(C1367,Products!$A$5:$D$24,4,FALSE())</f>
        <v>22</v>
      </c>
      <c r="J1367" s="42" t="n">
        <f aca="false">DATE(YEAR(B1367),MONTH(B1367),1)</f>
        <v>45839</v>
      </c>
      <c r="K1367" s="41" t="n">
        <f aca="false">D1367*E1367</f>
        <v>104.2</v>
      </c>
      <c r="L1367" s="41" t="n">
        <f aca="false">D1367*I1367</f>
        <v>44</v>
      </c>
      <c r="M1367" s="41" t="n">
        <f aca="false">IFERROR(INDEX(Raw_Expenses!$C$5:$C$2979,MATCH(A1367,Raw_Expenses!$A$5:$A$2979,0)),0)</f>
        <v>4.65</v>
      </c>
      <c r="N1367" s="41" t="n">
        <f aca="false">L1367+M1367</f>
        <v>48.65</v>
      </c>
      <c r="O1367" s="41" t="n">
        <f aca="false">K1367-N1367</f>
        <v>55.55</v>
      </c>
      <c r="P1367" s="43" t="n">
        <f aca="false">IF(K1367=0,0,O1367/K1367)</f>
        <v>0.533109404990403</v>
      </c>
    </row>
    <row r="1368" customFormat="false" ht="15" hidden="false" customHeight="false" outlineLevel="0" collapsed="false">
      <c r="A1368" s="39" t="s">
        <v>1490</v>
      </c>
      <c r="B1368" s="40" t="n">
        <v>45851</v>
      </c>
      <c r="C1368" s="39" t="s">
        <v>110</v>
      </c>
      <c r="D1368" s="39" t="n">
        <v>1</v>
      </c>
      <c r="E1368" s="41" t="n">
        <v>13.22</v>
      </c>
      <c r="F1368" s="39" t="s">
        <v>105</v>
      </c>
      <c r="G1368" s="39" t="str">
        <f aca="false">VLOOKUP(C1368,Products!$A$5:$D$24,2,FALSE())</f>
        <v>Phone Stand</v>
      </c>
      <c r="H1368" s="39" t="str">
        <f aca="false">VLOOKUP(C1368,Products!$A$5:$D$24,3,FALSE())</f>
        <v>Accessories</v>
      </c>
      <c r="I1368" s="41" t="n">
        <f aca="false">VLOOKUP(C1368,Products!$A$5:$D$24,4,FALSE())</f>
        <v>4</v>
      </c>
      <c r="J1368" s="42" t="n">
        <f aca="false">DATE(YEAR(B1368),MONTH(B1368),1)</f>
        <v>45839</v>
      </c>
      <c r="K1368" s="41" t="n">
        <f aca="false">D1368*E1368</f>
        <v>13.22</v>
      </c>
      <c r="L1368" s="41" t="n">
        <f aca="false">D1368*I1368</f>
        <v>4</v>
      </c>
      <c r="M1368" s="41" t="n">
        <f aca="false">IFERROR(INDEX(Raw_Expenses!$C$5:$C$2979,MATCH(A1368,Raw_Expenses!$A$5:$A$2979,0)),0)</f>
        <v>0.86</v>
      </c>
      <c r="N1368" s="41" t="n">
        <f aca="false">L1368+M1368</f>
        <v>4.86</v>
      </c>
      <c r="O1368" s="41" t="n">
        <f aca="false">K1368-N1368</f>
        <v>8.36</v>
      </c>
      <c r="P1368" s="43" t="n">
        <f aca="false">IF(K1368=0,0,O1368/K1368)</f>
        <v>0.632375189107413</v>
      </c>
    </row>
    <row r="1369" customFormat="false" ht="15" hidden="false" customHeight="false" outlineLevel="0" collapsed="false">
      <c r="A1369" s="39" t="s">
        <v>1491</v>
      </c>
      <c r="B1369" s="40" t="n">
        <v>45852</v>
      </c>
      <c r="C1369" s="39" t="s">
        <v>144</v>
      </c>
      <c r="D1369" s="39" t="n">
        <v>2</v>
      </c>
      <c r="E1369" s="41" t="n">
        <v>55.49</v>
      </c>
      <c r="F1369" s="39" t="s">
        <v>118</v>
      </c>
      <c r="G1369" s="39" t="str">
        <f aca="false">VLOOKUP(C1369,Products!$A$5:$D$24,2,FALSE())</f>
        <v>Whiteboard</v>
      </c>
      <c r="H1369" s="39" t="str">
        <f aca="false">VLOOKUP(C1369,Products!$A$5:$D$24,3,FALSE())</f>
        <v>Furniture</v>
      </c>
      <c r="I1369" s="41" t="n">
        <f aca="false">VLOOKUP(C1369,Products!$A$5:$D$24,4,FALSE())</f>
        <v>28</v>
      </c>
      <c r="J1369" s="42" t="n">
        <f aca="false">DATE(YEAR(B1369),MONTH(B1369),1)</f>
        <v>45839</v>
      </c>
      <c r="K1369" s="41" t="n">
        <f aca="false">D1369*E1369</f>
        <v>110.98</v>
      </c>
      <c r="L1369" s="41" t="n">
        <f aca="false">D1369*I1369</f>
        <v>56</v>
      </c>
      <c r="M1369" s="41" t="n">
        <f aca="false">IFERROR(INDEX(Raw_Expenses!$C$5:$C$2979,MATCH(A1369,Raw_Expenses!$A$5:$A$2979,0)),0)</f>
        <v>5.81</v>
      </c>
      <c r="N1369" s="41" t="n">
        <f aca="false">L1369+M1369</f>
        <v>61.81</v>
      </c>
      <c r="O1369" s="41" t="n">
        <f aca="false">K1369-N1369</f>
        <v>49.17</v>
      </c>
      <c r="P1369" s="43" t="n">
        <f aca="false">IF(K1369=0,0,O1369/K1369)</f>
        <v>0.443052802306722</v>
      </c>
    </row>
    <row r="1370" customFormat="false" ht="15" hidden="false" customHeight="false" outlineLevel="0" collapsed="false">
      <c r="A1370" s="39" t="s">
        <v>1492</v>
      </c>
      <c r="B1370" s="40" t="n">
        <v>45852</v>
      </c>
      <c r="C1370" s="39" t="s">
        <v>114</v>
      </c>
      <c r="D1370" s="39" t="n">
        <v>2</v>
      </c>
      <c r="E1370" s="41" t="n">
        <v>5.62</v>
      </c>
      <c r="F1370" s="39" t="s">
        <v>108</v>
      </c>
      <c r="G1370" s="39" t="str">
        <f aca="false">VLOOKUP(C1370,Products!$A$5:$D$24,2,FALSE())</f>
        <v>Gel Pen Pack</v>
      </c>
      <c r="H1370" s="39" t="str">
        <f aca="false">VLOOKUP(C1370,Products!$A$5:$D$24,3,FALSE())</f>
        <v>Stationery</v>
      </c>
      <c r="I1370" s="41" t="n">
        <f aca="false">VLOOKUP(C1370,Products!$A$5:$D$24,4,FALSE())</f>
        <v>2</v>
      </c>
      <c r="J1370" s="42" t="n">
        <f aca="false">DATE(YEAR(B1370),MONTH(B1370),1)</f>
        <v>45839</v>
      </c>
      <c r="K1370" s="41" t="n">
        <f aca="false">D1370*E1370</f>
        <v>11.24</v>
      </c>
      <c r="L1370" s="41" t="n">
        <f aca="false">D1370*I1370</f>
        <v>4</v>
      </c>
      <c r="M1370" s="41" t="n">
        <f aca="false">IFERROR(INDEX(Raw_Expenses!$C$5:$C$2979,MATCH(A1370,Raw_Expenses!$A$5:$A$2979,0)),0)</f>
        <v>0.51</v>
      </c>
      <c r="N1370" s="41" t="n">
        <f aca="false">L1370+M1370</f>
        <v>4.51</v>
      </c>
      <c r="O1370" s="41" t="n">
        <f aca="false">K1370-N1370</f>
        <v>6.73</v>
      </c>
      <c r="P1370" s="43" t="n">
        <f aca="false">IF(K1370=0,0,O1370/K1370)</f>
        <v>0.598754448398577</v>
      </c>
    </row>
    <row r="1371" customFormat="false" ht="15" hidden="false" customHeight="false" outlineLevel="0" collapsed="false">
      <c r="A1371" s="39" t="s">
        <v>1493</v>
      </c>
      <c r="B1371" s="40" t="n">
        <v>45852</v>
      </c>
      <c r="C1371" s="39" t="s">
        <v>130</v>
      </c>
      <c r="D1371" s="39" t="n">
        <v>4</v>
      </c>
      <c r="E1371" s="41" t="n">
        <v>8.55</v>
      </c>
      <c r="F1371" s="39" t="s">
        <v>108</v>
      </c>
      <c r="G1371" s="39" t="str">
        <f aca="false">VLOOKUP(C1371,Products!$A$5:$D$24,2,FALSE())</f>
        <v>Notebook Set</v>
      </c>
      <c r="H1371" s="39" t="str">
        <f aca="false">VLOOKUP(C1371,Products!$A$5:$D$24,3,FALSE())</f>
        <v>Stationery</v>
      </c>
      <c r="I1371" s="41" t="n">
        <f aca="false">VLOOKUP(C1371,Products!$A$5:$D$24,4,FALSE())</f>
        <v>3</v>
      </c>
      <c r="J1371" s="42" t="n">
        <f aca="false">DATE(YEAR(B1371),MONTH(B1371),1)</f>
        <v>45839</v>
      </c>
      <c r="K1371" s="41" t="n">
        <f aca="false">D1371*E1371</f>
        <v>34.2</v>
      </c>
      <c r="L1371" s="41" t="n">
        <f aca="false">D1371*I1371</f>
        <v>12</v>
      </c>
      <c r="M1371" s="41" t="n">
        <f aca="false">IFERROR(INDEX(Raw_Expenses!$C$5:$C$2979,MATCH(A1371,Raw_Expenses!$A$5:$A$2979,0)),0)</f>
        <v>2.17</v>
      </c>
      <c r="N1371" s="41" t="n">
        <f aca="false">L1371+M1371</f>
        <v>14.17</v>
      </c>
      <c r="O1371" s="41" t="n">
        <f aca="false">K1371-N1371</f>
        <v>20.03</v>
      </c>
      <c r="P1371" s="43" t="n">
        <f aca="false">IF(K1371=0,0,O1371/K1371)</f>
        <v>0.585672514619883</v>
      </c>
    </row>
    <row r="1372" customFormat="false" ht="15" hidden="false" customHeight="false" outlineLevel="0" collapsed="false">
      <c r="A1372" s="39" t="s">
        <v>1494</v>
      </c>
      <c r="B1372" s="40" t="n">
        <v>45852</v>
      </c>
      <c r="C1372" s="39" t="s">
        <v>121</v>
      </c>
      <c r="D1372" s="39" t="n">
        <v>1</v>
      </c>
      <c r="E1372" s="41" t="n">
        <v>112.39</v>
      </c>
      <c r="F1372" s="39" t="s">
        <v>105</v>
      </c>
      <c r="G1372" s="39" t="str">
        <f aca="false">VLOOKUP(C1372,Products!$A$5:$D$24,2,FALSE())</f>
        <v>External SSD 1TB</v>
      </c>
      <c r="H1372" s="39" t="str">
        <f aca="false">VLOOKUP(C1372,Products!$A$5:$D$24,3,FALSE())</f>
        <v>Electronics</v>
      </c>
      <c r="I1372" s="41" t="n">
        <f aca="false">VLOOKUP(C1372,Products!$A$5:$D$24,4,FALSE())</f>
        <v>62</v>
      </c>
      <c r="J1372" s="42" t="n">
        <f aca="false">DATE(YEAR(B1372),MONTH(B1372),1)</f>
        <v>45839</v>
      </c>
      <c r="K1372" s="41" t="n">
        <f aca="false">D1372*E1372</f>
        <v>112.39</v>
      </c>
      <c r="L1372" s="41" t="n">
        <f aca="false">D1372*I1372</f>
        <v>62</v>
      </c>
      <c r="M1372" s="41" t="n">
        <f aca="false">IFERROR(INDEX(Raw_Expenses!$C$5:$C$2979,MATCH(A1372,Raw_Expenses!$A$5:$A$2979,0)),0)</f>
        <v>5.92</v>
      </c>
      <c r="N1372" s="41" t="n">
        <f aca="false">L1372+M1372</f>
        <v>67.92</v>
      </c>
      <c r="O1372" s="41" t="n">
        <f aca="false">K1372-N1372</f>
        <v>44.47</v>
      </c>
      <c r="P1372" s="43" t="n">
        <f aca="false">IF(K1372=0,0,O1372/K1372)</f>
        <v>0.395675771865824</v>
      </c>
    </row>
    <row r="1373" customFormat="false" ht="15" hidden="false" customHeight="false" outlineLevel="0" collapsed="false">
      <c r="A1373" s="39" t="s">
        <v>1495</v>
      </c>
      <c r="B1373" s="40" t="n">
        <v>45852</v>
      </c>
      <c r="C1373" s="39" t="s">
        <v>139</v>
      </c>
      <c r="D1373" s="39" t="n">
        <v>1</v>
      </c>
      <c r="E1373" s="41" t="n">
        <v>119.97</v>
      </c>
      <c r="F1373" s="39" t="s">
        <v>108</v>
      </c>
      <c r="G1373" s="39" t="str">
        <f aca="false">VLOOKUP(C1373,Products!$A$5:$D$24,2,FALSE())</f>
        <v>Noise-Cancelling Headphones</v>
      </c>
      <c r="H1373" s="39" t="str">
        <f aca="false">VLOOKUP(C1373,Products!$A$5:$D$24,3,FALSE())</f>
        <v>Electronics</v>
      </c>
      <c r="I1373" s="41" t="n">
        <f aca="false">VLOOKUP(C1373,Products!$A$5:$D$24,4,FALSE())</f>
        <v>55</v>
      </c>
      <c r="J1373" s="42" t="n">
        <f aca="false">DATE(YEAR(B1373),MONTH(B1373),1)</f>
        <v>45839</v>
      </c>
      <c r="K1373" s="41" t="n">
        <f aca="false">D1373*E1373</f>
        <v>119.97</v>
      </c>
      <c r="L1373" s="41" t="n">
        <f aca="false">D1373*I1373</f>
        <v>55</v>
      </c>
      <c r="M1373" s="41" t="n">
        <f aca="false">IFERROR(INDEX(Raw_Expenses!$C$5:$C$2979,MATCH(A1373,Raw_Expenses!$A$5:$A$2979,0)),0)</f>
        <v>7.14</v>
      </c>
      <c r="N1373" s="41" t="n">
        <f aca="false">L1373+M1373</f>
        <v>62.14</v>
      </c>
      <c r="O1373" s="41" t="n">
        <f aca="false">K1373-N1373</f>
        <v>57.83</v>
      </c>
      <c r="P1373" s="43" t="n">
        <f aca="false">IF(K1373=0,0,O1373/K1373)</f>
        <v>0.482037175960657</v>
      </c>
    </row>
    <row r="1374" customFormat="false" ht="15" hidden="false" customHeight="false" outlineLevel="0" collapsed="false">
      <c r="A1374" s="39" t="s">
        <v>1496</v>
      </c>
      <c r="B1374" s="40" t="n">
        <v>45852</v>
      </c>
      <c r="C1374" s="39" t="s">
        <v>139</v>
      </c>
      <c r="D1374" s="39" t="n">
        <v>2</v>
      </c>
      <c r="E1374" s="41" t="n">
        <v>128.04</v>
      </c>
      <c r="F1374" s="39" t="s">
        <v>108</v>
      </c>
      <c r="G1374" s="39" t="str">
        <f aca="false">VLOOKUP(C1374,Products!$A$5:$D$24,2,FALSE())</f>
        <v>Noise-Cancelling Headphones</v>
      </c>
      <c r="H1374" s="39" t="str">
        <f aca="false">VLOOKUP(C1374,Products!$A$5:$D$24,3,FALSE())</f>
        <v>Electronics</v>
      </c>
      <c r="I1374" s="41" t="n">
        <f aca="false">VLOOKUP(C1374,Products!$A$5:$D$24,4,FALSE())</f>
        <v>55</v>
      </c>
      <c r="J1374" s="42" t="n">
        <f aca="false">DATE(YEAR(B1374),MONTH(B1374),1)</f>
        <v>45839</v>
      </c>
      <c r="K1374" s="41" t="n">
        <f aca="false">D1374*E1374</f>
        <v>256.08</v>
      </c>
      <c r="L1374" s="41" t="n">
        <f aca="false">D1374*I1374</f>
        <v>110</v>
      </c>
      <c r="M1374" s="41" t="n">
        <f aca="false">IFERROR(INDEX(Raw_Expenses!$C$5:$C$2979,MATCH(A1374,Raw_Expenses!$A$5:$A$2979,0)),0)</f>
        <v>15.01</v>
      </c>
      <c r="N1374" s="41" t="n">
        <f aca="false">L1374+M1374</f>
        <v>125.01</v>
      </c>
      <c r="O1374" s="41" t="n">
        <f aca="false">K1374-N1374</f>
        <v>131.07</v>
      </c>
      <c r="P1374" s="43" t="n">
        <f aca="false">IF(K1374=0,0,O1374/K1374)</f>
        <v>0.511832239925024</v>
      </c>
    </row>
    <row r="1375" customFormat="false" ht="15" hidden="false" customHeight="false" outlineLevel="0" collapsed="false">
      <c r="A1375" s="39" t="s">
        <v>1497</v>
      </c>
      <c r="B1375" s="40" t="n">
        <v>45852</v>
      </c>
      <c r="C1375" s="39" t="s">
        <v>169</v>
      </c>
      <c r="D1375" s="39" t="n">
        <v>1</v>
      </c>
      <c r="E1375" s="41" t="n">
        <v>26.71</v>
      </c>
      <c r="F1375" s="39" t="s">
        <v>118</v>
      </c>
      <c r="G1375" s="39" t="str">
        <f aca="false">VLOOKUP(C1375,Products!$A$5:$D$24,2,FALSE())</f>
        <v>Laptop Stand</v>
      </c>
      <c r="H1375" s="39" t="str">
        <f aca="false">VLOOKUP(C1375,Products!$A$5:$D$24,3,FALSE())</f>
        <v>Accessories</v>
      </c>
      <c r="I1375" s="41" t="n">
        <f aca="false">VLOOKUP(C1375,Products!$A$5:$D$24,4,FALSE())</f>
        <v>11</v>
      </c>
      <c r="J1375" s="42" t="n">
        <f aca="false">DATE(YEAR(B1375),MONTH(B1375),1)</f>
        <v>45839</v>
      </c>
      <c r="K1375" s="41" t="n">
        <f aca="false">D1375*E1375</f>
        <v>26.71</v>
      </c>
      <c r="L1375" s="41" t="n">
        <f aca="false">D1375*I1375</f>
        <v>11</v>
      </c>
      <c r="M1375" s="41" t="n">
        <f aca="false">IFERROR(INDEX(Raw_Expenses!$C$5:$C$2979,MATCH(A1375,Raw_Expenses!$A$5:$A$2979,0)),0)</f>
        <v>1.58</v>
      </c>
      <c r="N1375" s="41" t="n">
        <f aca="false">L1375+M1375</f>
        <v>12.58</v>
      </c>
      <c r="O1375" s="41" t="n">
        <f aca="false">K1375-N1375</f>
        <v>14.13</v>
      </c>
      <c r="P1375" s="43" t="n">
        <f aca="false">IF(K1375=0,0,O1375/K1375)</f>
        <v>0.529015350056159</v>
      </c>
    </row>
    <row r="1376" customFormat="false" ht="15" hidden="false" customHeight="false" outlineLevel="0" collapsed="false">
      <c r="A1376" s="39" t="s">
        <v>1498</v>
      </c>
      <c r="B1376" s="40" t="n">
        <v>45852</v>
      </c>
      <c r="C1376" s="39" t="s">
        <v>117</v>
      </c>
      <c r="D1376" s="39" t="n">
        <v>3</v>
      </c>
      <c r="E1376" s="41" t="n">
        <v>30.64</v>
      </c>
      <c r="F1376" s="39" t="s">
        <v>118</v>
      </c>
      <c r="G1376" s="39" t="str">
        <f aca="false">VLOOKUP(C1376,Products!$A$5:$D$24,2,FALSE())</f>
        <v>Desk Lamp</v>
      </c>
      <c r="H1376" s="39" t="str">
        <f aca="false">VLOOKUP(C1376,Products!$A$5:$D$24,3,FALSE())</f>
        <v>Furniture</v>
      </c>
      <c r="I1376" s="41" t="n">
        <f aca="false">VLOOKUP(C1376,Products!$A$5:$D$24,4,FALSE())</f>
        <v>13</v>
      </c>
      <c r="J1376" s="42" t="n">
        <f aca="false">DATE(YEAR(B1376),MONTH(B1376),1)</f>
        <v>45839</v>
      </c>
      <c r="K1376" s="41" t="n">
        <f aca="false">D1376*E1376</f>
        <v>91.92</v>
      </c>
      <c r="L1376" s="41" t="n">
        <f aca="false">D1376*I1376</f>
        <v>39</v>
      </c>
      <c r="M1376" s="41" t="n">
        <f aca="false">IFERROR(INDEX(Raw_Expenses!$C$5:$C$2979,MATCH(A1376,Raw_Expenses!$A$5:$A$2979,0)),0)</f>
        <v>4.54</v>
      </c>
      <c r="N1376" s="41" t="n">
        <f aca="false">L1376+M1376</f>
        <v>43.54</v>
      </c>
      <c r="O1376" s="41" t="n">
        <f aca="false">K1376-N1376</f>
        <v>48.38</v>
      </c>
      <c r="P1376" s="43" t="n">
        <f aca="false">IF(K1376=0,0,O1376/K1376)</f>
        <v>0.526327241079199</v>
      </c>
    </row>
    <row r="1377" customFormat="false" ht="15" hidden="false" customHeight="false" outlineLevel="0" collapsed="false">
      <c r="A1377" s="39" t="s">
        <v>1499</v>
      </c>
      <c r="B1377" s="40" t="n">
        <v>45852</v>
      </c>
      <c r="C1377" s="39" t="s">
        <v>110</v>
      </c>
      <c r="D1377" s="39" t="n">
        <v>6</v>
      </c>
      <c r="E1377" s="41" t="n">
        <v>12.94</v>
      </c>
      <c r="F1377" s="39" t="s">
        <v>108</v>
      </c>
      <c r="G1377" s="39" t="str">
        <f aca="false">VLOOKUP(C1377,Products!$A$5:$D$24,2,FALSE())</f>
        <v>Phone Stand</v>
      </c>
      <c r="H1377" s="39" t="str">
        <f aca="false">VLOOKUP(C1377,Products!$A$5:$D$24,3,FALSE())</f>
        <v>Accessories</v>
      </c>
      <c r="I1377" s="41" t="n">
        <f aca="false">VLOOKUP(C1377,Products!$A$5:$D$24,4,FALSE())</f>
        <v>4</v>
      </c>
      <c r="J1377" s="42" t="n">
        <f aca="false">DATE(YEAR(B1377),MONTH(B1377),1)</f>
        <v>45839</v>
      </c>
      <c r="K1377" s="41" t="n">
        <f aca="false">D1377*E1377</f>
        <v>77.64</v>
      </c>
      <c r="L1377" s="41" t="n">
        <f aca="false">D1377*I1377</f>
        <v>24</v>
      </c>
      <c r="M1377" s="41" t="n">
        <f aca="false">IFERROR(INDEX(Raw_Expenses!$C$5:$C$2979,MATCH(A1377,Raw_Expenses!$A$5:$A$2979,0)),0)</f>
        <v>4.2</v>
      </c>
      <c r="N1377" s="41" t="n">
        <f aca="false">L1377+M1377</f>
        <v>28.2</v>
      </c>
      <c r="O1377" s="41" t="n">
        <f aca="false">K1377-N1377</f>
        <v>49.44</v>
      </c>
      <c r="P1377" s="43" t="n">
        <f aca="false">IF(K1377=0,0,O1377/K1377)</f>
        <v>0.636785162287481</v>
      </c>
    </row>
    <row r="1378" customFormat="false" ht="15" hidden="false" customHeight="false" outlineLevel="0" collapsed="false">
      <c r="A1378" s="39" t="s">
        <v>1500</v>
      </c>
      <c r="B1378" s="40" t="n">
        <v>45853</v>
      </c>
      <c r="C1378" s="39" t="s">
        <v>104</v>
      </c>
      <c r="D1378" s="39" t="n">
        <v>1</v>
      </c>
      <c r="E1378" s="41" t="n">
        <v>15.78</v>
      </c>
      <c r="F1378" s="39" t="s">
        <v>115</v>
      </c>
      <c r="G1378" s="39" t="str">
        <f aca="false">VLOOKUP(C1378,Products!$A$5:$D$24,2,FALSE())</f>
        <v>Water Bottle</v>
      </c>
      <c r="H1378" s="39" t="str">
        <f aca="false">VLOOKUP(C1378,Products!$A$5:$D$24,3,FALSE())</f>
        <v>Accessories</v>
      </c>
      <c r="I1378" s="41" t="n">
        <f aca="false">VLOOKUP(C1378,Products!$A$5:$D$24,4,FALSE())</f>
        <v>5</v>
      </c>
      <c r="J1378" s="42" t="n">
        <f aca="false">DATE(YEAR(B1378),MONTH(B1378),1)</f>
        <v>45839</v>
      </c>
      <c r="K1378" s="41" t="n">
        <f aca="false">D1378*E1378</f>
        <v>15.78</v>
      </c>
      <c r="L1378" s="41" t="n">
        <f aca="false">D1378*I1378</f>
        <v>5</v>
      </c>
      <c r="M1378" s="41" t="n">
        <f aca="false">IFERROR(INDEX(Raw_Expenses!$C$5:$C$2979,MATCH(A1378,Raw_Expenses!$A$5:$A$2979,0)),0)</f>
        <v>0.9</v>
      </c>
      <c r="N1378" s="41" t="n">
        <f aca="false">L1378+M1378</f>
        <v>5.9</v>
      </c>
      <c r="O1378" s="41" t="n">
        <f aca="false">K1378-N1378</f>
        <v>9.88</v>
      </c>
      <c r="P1378" s="43" t="n">
        <f aca="false">IF(K1378=0,0,O1378/K1378)</f>
        <v>0.626108998732573</v>
      </c>
    </row>
    <row r="1379" customFormat="false" ht="15" hidden="false" customHeight="false" outlineLevel="0" collapsed="false">
      <c r="A1379" s="39" t="s">
        <v>1501</v>
      </c>
      <c r="B1379" s="40" t="n">
        <v>45853</v>
      </c>
      <c r="C1379" s="39" t="s">
        <v>104</v>
      </c>
      <c r="D1379" s="39" t="n">
        <v>1</v>
      </c>
      <c r="E1379" s="41" t="n">
        <v>15.62</v>
      </c>
      <c r="F1379" s="39" t="s">
        <v>108</v>
      </c>
      <c r="G1379" s="39" t="str">
        <f aca="false">VLOOKUP(C1379,Products!$A$5:$D$24,2,FALSE())</f>
        <v>Water Bottle</v>
      </c>
      <c r="H1379" s="39" t="str">
        <f aca="false">VLOOKUP(C1379,Products!$A$5:$D$24,3,FALSE())</f>
        <v>Accessories</v>
      </c>
      <c r="I1379" s="41" t="n">
        <f aca="false">VLOOKUP(C1379,Products!$A$5:$D$24,4,FALSE())</f>
        <v>5</v>
      </c>
      <c r="J1379" s="42" t="n">
        <f aca="false">DATE(YEAR(B1379),MONTH(B1379),1)</f>
        <v>45839</v>
      </c>
      <c r="K1379" s="41" t="n">
        <f aca="false">D1379*E1379</f>
        <v>15.62</v>
      </c>
      <c r="L1379" s="41" t="n">
        <f aca="false">D1379*I1379</f>
        <v>5</v>
      </c>
      <c r="M1379" s="41" t="n">
        <f aca="false">IFERROR(INDEX(Raw_Expenses!$C$5:$C$2979,MATCH(A1379,Raw_Expenses!$A$5:$A$2979,0)),0)</f>
        <v>0.88</v>
      </c>
      <c r="N1379" s="41" t="n">
        <f aca="false">L1379+M1379</f>
        <v>5.88</v>
      </c>
      <c r="O1379" s="41" t="n">
        <f aca="false">K1379-N1379</f>
        <v>9.74</v>
      </c>
      <c r="P1379" s="43" t="n">
        <f aca="false">IF(K1379=0,0,O1379/K1379)</f>
        <v>0.623559539052497</v>
      </c>
    </row>
    <row r="1380" customFormat="false" ht="15" hidden="false" customHeight="false" outlineLevel="0" collapsed="false">
      <c r="A1380" s="39" t="s">
        <v>1502</v>
      </c>
      <c r="B1380" s="40" t="n">
        <v>45853</v>
      </c>
      <c r="C1380" s="39" t="s">
        <v>126</v>
      </c>
      <c r="D1380" s="39" t="n">
        <v>3</v>
      </c>
      <c r="E1380" s="41" t="n">
        <v>23.74</v>
      </c>
      <c r="F1380" s="39" t="s">
        <v>108</v>
      </c>
      <c r="G1380" s="39" t="str">
        <f aca="false">VLOOKUP(C1380,Products!$A$5:$D$24,2,FALSE())</f>
        <v>Wireless Mouse</v>
      </c>
      <c r="H1380" s="39" t="str">
        <f aca="false">VLOOKUP(C1380,Products!$A$5:$D$24,3,FALSE())</f>
        <v>Electronics</v>
      </c>
      <c r="I1380" s="41" t="n">
        <f aca="false">VLOOKUP(C1380,Products!$A$5:$D$24,4,FALSE())</f>
        <v>12</v>
      </c>
      <c r="J1380" s="42" t="n">
        <f aca="false">DATE(YEAR(B1380),MONTH(B1380),1)</f>
        <v>45839</v>
      </c>
      <c r="K1380" s="41" t="n">
        <f aca="false">D1380*E1380</f>
        <v>71.22</v>
      </c>
      <c r="L1380" s="41" t="n">
        <f aca="false">D1380*I1380</f>
        <v>36</v>
      </c>
      <c r="M1380" s="41" t="n">
        <f aca="false">IFERROR(INDEX(Raw_Expenses!$C$5:$C$2979,MATCH(A1380,Raw_Expenses!$A$5:$A$2979,0)),0)</f>
        <v>3.56</v>
      </c>
      <c r="N1380" s="41" t="n">
        <f aca="false">L1380+M1380</f>
        <v>39.56</v>
      </c>
      <c r="O1380" s="41" t="n">
        <f aca="false">K1380-N1380</f>
        <v>31.66</v>
      </c>
      <c r="P1380" s="43" t="n">
        <f aca="false">IF(K1380=0,0,O1380/K1380)</f>
        <v>0.444538051109239</v>
      </c>
    </row>
    <row r="1381" customFormat="false" ht="15" hidden="false" customHeight="false" outlineLevel="0" collapsed="false">
      <c r="A1381" s="39" t="s">
        <v>1503</v>
      </c>
      <c r="B1381" s="40" t="n">
        <v>45853</v>
      </c>
      <c r="C1381" s="39" t="s">
        <v>162</v>
      </c>
      <c r="D1381" s="39" t="n">
        <v>6</v>
      </c>
      <c r="E1381" s="41" t="n">
        <v>64.27</v>
      </c>
      <c r="F1381" s="39" t="s">
        <v>115</v>
      </c>
      <c r="G1381" s="39" t="str">
        <f aca="false">VLOOKUP(C1381,Products!$A$5:$D$24,2,FALSE())</f>
        <v>Bluetooth Speaker</v>
      </c>
      <c r="H1381" s="39" t="str">
        <f aca="false">VLOOKUP(C1381,Products!$A$5:$D$24,3,FALSE())</f>
        <v>Electronics</v>
      </c>
      <c r="I1381" s="41" t="n">
        <f aca="false">VLOOKUP(C1381,Products!$A$5:$D$24,4,FALSE())</f>
        <v>28</v>
      </c>
      <c r="J1381" s="42" t="n">
        <f aca="false">DATE(YEAR(B1381),MONTH(B1381),1)</f>
        <v>45839</v>
      </c>
      <c r="K1381" s="41" t="n">
        <f aca="false">D1381*E1381</f>
        <v>385.62</v>
      </c>
      <c r="L1381" s="41" t="n">
        <f aca="false">D1381*I1381</f>
        <v>168</v>
      </c>
      <c r="M1381" s="41" t="n">
        <f aca="false">IFERROR(INDEX(Raw_Expenses!$C$5:$C$2979,MATCH(A1381,Raw_Expenses!$A$5:$A$2979,0)),0)</f>
        <v>24.36</v>
      </c>
      <c r="N1381" s="41" t="n">
        <f aca="false">L1381+M1381</f>
        <v>192.36</v>
      </c>
      <c r="O1381" s="41" t="n">
        <f aca="false">K1381-N1381</f>
        <v>193.26</v>
      </c>
      <c r="P1381" s="43" t="n">
        <f aca="false">IF(K1381=0,0,O1381/K1381)</f>
        <v>0.501166951921581</v>
      </c>
    </row>
    <row r="1382" customFormat="false" ht="15" hidden="false" customHeight="false" outlineLevel="0" collapsed="false">
      <c r="A1382" s="39" t="s">
        <v>1504</v>
      </c>
      <c r="B1382" s="40" t="n">
        <v>45853</v>
      </c>
      <c r="C1382" s="39" t="s">
        <v>114</v>
      </c>
      <c r="D1382" s="39" t="n">
        <v>1</v>
      </c>
      <c r="E1382" s="41" t="n">
        <v>5.64</v>
      </c>
      <c r="F1382" s="39" t="s">
        <v>115</v>
      </c>
      <c r="G1382" s="39" t="str">
        <f aca="false">VLOOKUP(C1382,Products!$A$5:$D$24,2,FALSE())</f>
        <v>Gel Pen Pack</v>
      </c>
      <c r="H1382" s="39" t="str">
        <f aca="false">VLOOKUP(C1382,Products!$A$5:$D$24,3,FALSE())</f>
        <v>Stationery</v>
      </c>
      <c r="I1382" s="41" t="n">
        <f aca="false">VLOOKUP(C1382,Products!$A$5:$D$24,4,FALSE())</f>
        <v>2</v>
      </c>
      <c r="J1382" s="42" t="n">
        <f aca="false">DATE(YEAR(B1382),MONTH(B1382),1)</f>
        <v>45839</v>
      </c>
      <c r="K1382" s="41" t="n">
        <f aca="false">D1382*E1382</f>
        <v>5.64</v>
      </c>
      <c r="L1382" s="41" t="n">
        <f aca="false">D1382*I1382</f>
        <v>2</v>
      </c>
      <c r="M1382" s="41" t="n">
        <f aca="false">IFERROR(INDEX(Raw_Expenses!$C$5:$C$2979,MATCH(A1382,Raw_Expenses!$A$5:$A$2979,0)),0)</f>
        <v>0.46</v>
      </c>
      <c r="N1382" s="41" t="n">
        <f aca="false">L1382+M1382</f>
        <v>2.46</v>
      </c>
      <c r="O1382" s="41" t="n">
        <f aca="false">K1382-N1382</f>
        <v>3.18</v>
      </c>
      <c r="P1382" s="43" t="n">
        <f aca="false">IF(K1382=0,0,O1382/K1382)</f>
        <v>0.563829787234043</v>
      </c>
    </row>
    <row r="1383" customFormat="false" ht="15" hidden="false" customHeight="false" outlineLevel="0" collapsed="false">
      <c r="A1383" s="39" t="s">
        <v>1505</v>
      </c>
      <c r="B1383" s="40" t="n">
        <v>45853</v>
      </c>
      <c r="C1383" s="39" t="s">
        <v>130</v>
      </c>
      <c r="D1383" s="39" t="n">
        <v>1</v>
      </c>
      <c r="E1383" s="41" t="n">
        <v>8.83</v>
      </c>
      <c r="F1383" s="39" t="s">
        <v>118</v>
      </c>
      <c r="G1383" s="39" t="str">
        <f aca="false">VLOOKUP(C1383,Products!$A$5:$D$24,2,FALSE())</f>
        <v>Notebook Set</v>
      </c>
      <c r="H1383" s="39" t="str">
        <f aca="false">VLOOKUP(C1383,Products!$A$5:$D$24,3,FALSE())</f>
        <v>Stationery</v>
      </c>
      <c r="I1383" s="41" t="n">
        <f aca="false">VLOOKUP(C1383,Products!$A$5:$D$24,4,FALSE())</f>
        <v>3</v>
      </c>
      <c r="J1383" s="42" t="n">
        <f aca="false">DATE(YEAR(B1383),MONTH(B1383),1)</f>
        <v>45839</v>
      </c>
      <c r="K1383" s="41" t="n">
        <f aca="false">D1383*E1383</f>
        <v>8.83</v>
      </c>
      <c r="L1383" s="41" t="n">
        <f aca="false">D1383*I1383</f>
        <v>3</v>
      </c>
      <c r="M1383" s="41" t="n">
        <f aca="false">IFERROR(INDEX(Raw_Expenses!$C$5:$C$2979,MATCH(A1383,Raw_Expenses!$A$5:$A$2979,0)),0)</f>
        <v>0.78</v>
      </c>
      <c r="N1383" s="41" t="n">
        <f aca="false">L1383+M1383</f>
        <v>3.78</v>
      </c>
      <c r="O1383" s="41" t="n">
        <f aca="false">K1383-N1383</f>
        <v>5.05</v>
      </c>
      <c r="P1383" s="43" t="n">
        <f aca="false">IF(K1383=0,0,O1383/K1383)</f>
        <v>0.571913929784825</v>
      </c>
    </row>
    <row r="1384" customFormat="false" ht="15" hidden="false" customHeight="false" outlineLevel="0" collapsed="false">
      <c r="A1384" s="39" t="s">
        <v>1506</v>
      </c>
      <c r="B1384" s="40" t="n">
        <v>45853</v>
      </c>
      <c r="C1384" s="39" t="s">
        <v>133</v>
      </c>
      <c r="D1384" s="39" t="n">
        <v>6</v>
      </c>
      <c r="E1384" s="41" t="n">
        <v>8.94</v>
      </c>
      <c r="F1384" s="39" t="s">
        <v>105</v>
      </c>
      <c r="G1384" s="39" t="str">
        <f aca="false">VLOOKUP(C1384,Products!$A$5:$D$24,2,FALSE())</f>
        <v>Printer Paper Ream</v>
      </c>
      <c r="H1384" s="39" t="str">
        <f aca="false">VLOOKUP(C1384,Products!$A$5:$D$24,3,FALSE())</f>
        <v>Stationery</v>
      </c>
      <c r="I1384" s="41" t="n">
        <f aca="false">VLOOKUP(C1384,Products!$A$5:$D$24,4,FALSE())</f>
        <v>4</v>
      </c>
      <c r="J1384" s="42" t="n">
        <f aca="false">DATE(YEAR(B1384),MONTH(B1384),1)</f>
        <v>45839</v>
      </c>
      <c r="K1384" s="41" t="n">
        <f aca="false">D1384*E1384</f>
        <v>53.64</v>
      </c>
      <c r="L1384" s="41" t="n">
        <f aca="false">D1384*I1384</f>
        <v>24</v>
      </c>
      <c r="M1384" s="41" t="n">
        <f aca="false">IFERROR(INDEX(Raw_Expenses!$C$5:$C$2979,MATCH(A1384,Raw_Expenses!$A$5:$A$2979,0)),0)</f>
        <v>3.71</v>
      </c>
      <c r="N1384" s="41" t="n">
        <f aca="false">L1384+M1384</f>
        <v>27.71</v>
      </c>
      <c r="O1384" s="41" t="n">
        <f aca="false">K1384-N1384</f>
        <v>25.93</v>
      </c>
      <c r="P1384" s="43" t="n">
        <f aca="false">IF(K1384=0,0,O1384/K1384)</f>
        <v>0.483407904548844</v>
      </c>
    </row>
    <row r="1385" customFormat="false" ht="15" hidden="false" customHeight="false" outlineLevel="0" collapsed="false">
      <c r="A1385" s="39" t="s">
        <v>1507</v>
      </c>
      <c r="B1385" s="40" t="n">
        <v>45853</v>
      </c>
      <c r="C1385" s="39" t="s">
        <v>177</v>
      </c>
      <c r="D1385" s="39" t="n">
        <v>6</v>
      </c>
      <c r="E1385" s="41" t="n">
        <v>42.54</v>
      </c>
      <c r="F1385" s="39" t="s">
        <v>115</v>
      </c>
      <c r="G1385" s="39" t="str">
        <f aca="false">VLOOKUP(C1385,Products!$A$5:$D$24,2,FALSE())</f>
        <v>Backpack</v>
      </c>
      <c r="H1385" s="39" t="str">
        <f aca="false">VLOOKUP(C1385,Products!$A$5:$D$24,3,FALSE())</f>
        <v>Accessories</v>
      </c>
      <c r="I1385" s="41" t="n">
        <f aca="false">VLOOKUP(C1385,Products!$A$5:$D$24,4,FALSE())</f>
        <v>17</v>
      </c>
      <c r="J1385" s="42" t="n">
        <f aca="false">DATE(YEAR(B1385),MONTH(B1385),1)</f>
        <v>45839</v>
      </c>
      <c r="K1385" s="41" t="n">
        <f aca="false">D1385*E1385</f>
        <v>255.24</v>
      </c>
      <c r="L1385" s="41" t="n">
        <f aca="false">D1385*I1385</f>
        <v>102</v>
      </c>
      <c r="M1385" s="41" t="n">
        <f aca="false">IFERROR(INDEX(Raw_Expenses!$C$5:$C$2979,MATCH(A1385,Raw_Expenses!$A$5:$A$2979,0)),0)</f>
        <v>11.45</v>
      </c>
      <c r="N1385" s="41" t="n">
        <f aca="false">L1385+M1385</f>
        <v>113.45</v>
      </c>
      <c r="O1385" s="41" t="n">
        <f aca="false">K1385-N1385</f>
        <v>141.79</v>
      </c>
      <c r="P1385" s="43" t="n">
        <f aca="false">IF(K1385=0,0,O1385/K1385)</f>
        <v>0.555516376743457</v>
      </c>
    </row>
    <row r="1386" customFormat="false" ht="15" hidden="false" customHeight="false" outlineLevel="0" collapsed="false">
      <c r="A1386" s="39" t="s">
        <v>1508</v>
      </c>
      <c r="B1386" s="40" t="n">
        <v>45853</v>
      </c>
      <c r="C1386" s="39" t="s">
        <v>112</v>
      </c>
      <c r="D1386" s="39" t="n">
        <v>2</v>
      </c>
      <c r="E1386" s="41" t="n">
        <v>54.3</v>
      </c>
      <c r="F1386" s="39" t="s">
        <v>115</v>
      </c>
      <c r="G1386" s="39" t="str">
        <f aca="false">VLOOKUP(C1386,Products!$A$5:$D$24,2,FALSE())</f>
        <v>HD Webcam</v>
      </c>
      <c r="H1386" s="39" t="str">
        <f aca="false">VLOOKUP(C1386,Products!$A$5:$D$24,3,FALSE())</f>
        <v>Electronics</v>
      </c>
      <c r="I1386" s="41" t="n">
        <f aca="false">VLOOKUP(C1386,Products!$A$5:$D$24,4,FALSE())</f>
        <v>22</v>
      </c>
      <c r="J1386" s="42" t="n">
        <f aca="false">DATE(YEAR(B1386),MONTH(B1386),1)</f>
        <v>45839</v>
      </c>
      <c r="K1386" s="41" t="n">
        <f aca="false">D1386*E1386</f>
        <v>108.6</v>
      </c>
      <c r="L1386" s="41" t="n">
        <f aca="false">D1386*I1386</f>
        <v>44</v>
      </c>
      <c r="M1386" s="41" t="n">
        <f aca="false">IFERROR(INDEX(Raw_Expenses!$C$5:$C$2979,MATCH(A1386,Raw_Expenses!$A$5:$A$2979,0)),0)</f>
        <v>7.2</v>
      </c>
      <c r="N1386" s="41" t="n">
        <f aca="false">L1386+M1386</f>
        <v>51.2</v>
      </c>
      <c r="O1386" s="41" t="n">
        <f aca="false">K1386-N1386</f>
        <v>57.4</v>
      </c>
      <c r="P1386" s="43" t="n">
        <f aca="false">IF(K1386=0,0,O1386/K1386)</f>
        <v>0.528545119705341</v>
      </c>
    </row>
    <row r="1387" customFormat="false" ht="15" hidden="false" customHeight="false" outlineLevel="0" collapsed="false">
      <c r="A1387" s="39" t="s">
        <v>1509</v>
      </c>
      <c r="B1387" s="40" t="n">
        <v>45853</v>
      </c>
      <c r="C1387" s="39" t="s">
        <v>112</v>
      </c>
      <c r="D1387" s="39" t="n">
        <v>2</v>
      </c>
      <c r="E1387" s="41" t="n">
        <v>54.04</v>
      </c>
      <c r="F1387" s="39" t="s">
        <v>105</v>
      </c>
      <c r="G1387" s="39" t="str">
        <f aca="false">VLOOKUP(C1387,Products!$A$5:$D$24,2,FALSE())</f>
        <v>HD Webcam</v>
      </c>
      <c r="H1387" s="39" t="str">
        <f aca="false">VLOOKUP(C1387,Products!$A$5:$D$24,3,FALSE())</f>
        <v>Electronics</v>
      </c>
      <c r="I1387" s="41" t="n">
        <f aca="false">VLOOKUP(C1387,Products!$A$5:$D$24,4,FALSE())</f>
        <v>22</v>
      </c>
      <c r="J1387" s="42" t="n">
        <f aca="false">DATE(YEAR(B1387),MONTH(B1387),1)</f>
        <v>45839</v>
      </c>
      <c r="K1387" s="41" t="n">
        <f aca="false">D1387*E1387</f>
        <v>108.08</v>
      </c>
      <c r="L1387" s="41" t="n">
        <f aca="false">D1387*I1387</f>
        <v>44</v>
      </c>
      <c r="M1387" s="41" t="n">
        <f aca="false">IFERROR(INDEX(Raw_Expenses!$C$5:$C$2979,MATCH(A1387,Raw_Expenses!$A$5:$A$2979,0)),0)</f>
        <v>8.72</v>
      </c>
      <c r="N1387" s="41" t="n">
        <f aca="false">L1387+M1387</f>
        <v>52.72</v>
      </c>
      <c r="O1387" s="41" t="n">
        <f aca="false">K1387-N1387</f>
        <v>55.36</v>
      </c>
      <c r="P1387" s="43" t="n">
        <f aca="false">IF(K1387=0,0,O1387/K1387)</f>
        <v>0.512213175425611</v>
      </c>
    </row>
    <row r="1388" customFormat="false" ht="15" hidden="false" customHeight="false" outlineLevel="0" collapsed="false">
      <c r="A1388" s="39" t="s">
        <v>1510</v>
      </c>
      <c r="B1388" s="40" t="n">
        <v>45853</v>
      </c>
      <c r="C1388" s="39" t="s">
        <v>128</v>
      </c>
      <c r="D1388" s="39" t="n">
        <v>4</v>
      </c>
      <c r="E1388" s="41" t="n">
        <v>37.96</v>
      </c>
      <c r="F1388" s="39" t="s">
        <v>118</v>
      </c>
      <c r="G1388" s="39" t="str">
        <f aca="false">VLOOKUP(C1388,Products!$A$5:$D$24,2,FALSE())</f>
        <v>Ergonomic Footrest</v>
      </c>
      <c r="H1388" s="39" t="str">
        <f aca="false">VLOOKUP(C1388,Products!$A$5:$D$24,3,FALSE())</f>
        <v>Furniture</v>
      </c>
      <c r="I1388" s="41" t="n">
        <f aca="false">VLOOKUP(C1388,Products!$A$5:$D$24,4,FALSE())</f>
        <v>15</v>
      </c>
      <c r="J1388" s="42" t="n">
        <f aca="false">DATE(YEAR(B1388),MONTH(B1388),1)</f>
        <v>45839</v>
      </c>
      <c r="K1388" s="41" t="n">
        <f aca="false">D1388*E1388</f>
        <v>151.84</v>
      </c>
      <c r="L1388" s="41" t="n">
        <f aca="false">D1388*I1388</f>
        <v>60</v>
      </c>
      <c r="M1388" s="41" t="n">
        <f aca="false">IFERROR(INDEX(Raw_Expenses!$C$5:$C$2979,MATCH(A1388,Raw_Expenses!$A$5:$A$2979,0)),0)</f>
        <v>7.75</v>
      </c>
      <c r="N1388" s="41" t="n">
        <f aca="false">L1388+M1388</f>
        <v>67.75</v>
      </c>
      <c r="O1388" s="41" t="n">
        <f aca="false">K1388-N1388</f>
        <v>84.09</v>
      </c>
      <c r="P1388" s="43" t="n">
        <f aca="false">IF(K1388=0,0,O1388/K1388)</f>
        <v>0.553806638566913</v>
      </c>
    </row>
    <row r="1389" customFormat="false" ht="15" hidden="false" customHeight="false" outlineLevel="0" collapsed="false">
      <c r="A1389" s="39" t="s">
        <v>1511</v>
      </c>
      <c r="B1389" s="40" t="n">
        <v>45853</v>
      </c>
      <c r="C1389" s="39" t="s">
        <v>107</v>
      </c>
      <c r="D1389" s="39" t="n">
        <v>5</v>
      </c>
      <c r="E1389" s="41" t="n">
        <v>34.36</v>
      </c>
      <c r="F1389" s="39" t="s">
        <v>105</v>
      </c>
      <c r="G1389" s="39" t="str">
        <f aca="false">VLOOKUP(C1389,Products!$A$5:$D$24,2,FALSE())</f>
        <v>USB-C Hub</v>
      </c>
      <c r="H1389" s="39" t="str">
        <f aca="false">VLOOKUP(C1389,Products!$A$5:$D$24,3,FALSE())</f>
        <v>Electronics</v>
      </c>
      <c r="I1389" s="41" t="n">
        <f aca="false">VLOOKUP(C1389,Products!$A$5:$D$24,4,FALSE())</f>
        <v>14</v>
      </c>
      <c r="J1389" s="42" t="n">
        <f aca="false">DATE(YEAR(B1389),MONTH(B1389),1)</f>
        <v>45839</v>
      </c>
      <c r="K1389" s="41" t="n">
        <f aca="false">D1389*E1389</f>
        <v>171.8</v>
      </c>
      <c r="L1389" s="41" t="n">
        <f aca="false">D1389*I1389</f>
        <v>70</v>
      </c>
      <c r="M1389" s="41" t="n">
        <f aca="false">IFERROR(INDEX(Raw_Expenses!$C$5:$C$2979,MATCH(A1389,Raw_Expenses!$A$5:$A$2979,0)),0)</f>
        <v>15.34</v>
      </c>
      <c r="N1389" s="41" t="n">
        <f aca="false">L1389+M1389</f>
        <v>85.34</v>
      </c>
      <c r="O1389" s="41" t="n">
        <f aca="false">K1389-N1389</f>
        <v>86.46</v>
      </c>
      <c r="P1389" s="43" t="n">
        <f aca="false">IF(K1389=0,0,O1389/K1389)</f>
        <v>0.50325960419092</v>
      </c>
    </row>
    <row r="1390" customFormat="false" ht="15" hidden="false" customHeight="false" outlineLevel="0" collapsed="false">
      <c r="A1390" s="39" t="s">
        <v>1512</v>
      </c>
      <c r="B1390" s="40" t="n">
        <v>45854</v>
      </c>
      <c r="C1390" s="39" t="s">
        <v>177</v>
      </c>
      <c r="D1390" s="39" t="n">
        <v>2</v>
      </c>
      <c r="E1390" s="41" t="n">
        <v>42.18</v>
      </c>
      <c r="F1390" s="39" t="s">
        <v>115</v>
      </c>
      <c r="G1390" s="39" t="str">
        <f aca="false">VLOOKUP(C1390,Products!$A$5:$D$24,2,FALSE())</f>
        <v>Backpack</v>
      </c>
      <c r="H1390" s="39" t="str">
        <f aca="false">VLOOKUP(C1390,Products!$A$5:$D$24,3,FALSE())</f>
        <v>Accessories</v>
      </c>
      <c r="I1390" s="41" t="n">
        <f aca="false">VLOOKUP(C1390,Products!$A$5:$D$24,4,FALSE())</f>
        <v>17</v>
      </c>
      <c r="J1390" s="42" t="n">
        <f aca="false">DATE(YEAR(B1390),MONTH(B1390),1)</f>
        <v>45839</v>
      </c>
      <c r="K1390" s="41" t="n">
        <f aca="false">D1390*E1390</f>
        <v>84.36</v>
      </c>
      <c r="L1390" s="41" t="n">
        <f aca="false">D1390*I1390</f>
        <v>34</v>
      </c>
      <c r="M1390" s="41" t="n">
        <f aca="false">IFERROR(INDEX(Raw_Expenses!$C$5:$C$2979,MATCH(A1390,Raw_Expenses!$A$5:$A$2979,0)),0)</f>
        <v>5.72</v>
      </c>
      <c r="N1390" s="41" t="n">
        <f aca="false">L1390+M1390</f>
        <v>39.72</v>
      </c>
      <c r="O1390" s="41" t="n">
        <f aca="false">K1390-N1390</f>
        <v>44.64</v>
      </c>
      <c r="P1390" s="43" t="n">
        <f aca="false">IF(K1390=0,0,O1390/K1390)</f>
        <v>0.529160739687056</v>
      </c>
    </row>
    <row r="1391" customFormat="false" ht="15" hidden="false" customHeight="false" outlineLevel="0" collapsed="false">
      <c r="A1391" s="39" t="s">
        <v>1513</v>
      </c>
      <c r="B1391" s="40" t="n">
        <v>45854</v>
      </c>
      <c r="C1391" s="39" t="s">
        <v>126</v>
      </c>
      <c r="D1391" s="39" t="n">
        <v>2</v>
      </c>
      <c r="E1391" s="41" t="n">
        <v>24.96</v>
      </c>
      <c r="F1391" s="39" t="s">
        <v>105</v>
      </c>
      <c r="G1391" s="39" t="str">
        <f aca="false">VLOOKUP(C1391,Products!$A$5:$D$24,2,FALSE())</f>
        <v>Wireless Mouse</v>
      </c>
      <c r="H1391" s="39" t="str">
        <f aca="false">VLOOKUP(C1391,Products!$A$5:$D$24,3,FALSE())</f>
        <v>Electronics</v>
      </c>
      <c r="I1391" s="41" t="n">
        <f aca="false">VLOOKUP(C1391,Products!$A$5:$D$24,4,FALSE())</f>
        <v>12</v>
      </c>
      <c r="J1391" s="42" t="n">
        <f aca="false">DATE(YEAR(B1391),MONTH(B1391),1)</f>
        <v>45839</v>
      </c>
      <c r="K1391" s="41" t="n">
        <f aca="false">D1391*E1391</f>
        <v>49.92</v>
      </c>
      <c r="L1391" s="41" t="n">
        <f aca="false">D1391*I1391</f>
        <v>24</v>
      </c>
      <c r="M1391" s="41" t="n">
        <f aca="false">IFERROR(INDEX(Raw_Expenses!$C$5:$C$2979,MATCH(A1391,Raw_Expenses!$A$5:$A$2979,0)),0)</f>
        <v>4.42</v>
      </c>
      <c r="N1391" s="41" t="n">
        <f aca="false">L1391+M1391</f>
        <v>28.42</v>
      </c>
      <c r="O1391" s="41" t="n">
        <f aca="false">K1391-N1391</f>
        <v>21.5</v>
      </c>
      <c r="P1391" s="43" t="n">
        <f aca="false">IF(K1391=0,0,O1391/K1391)</f>
        <v>0.430689102564103</v>
      </c>
    </row>
    <row r="1392" customFormat="false" ht="15" hidden="false" customHeight="false" outlineLevel="0" collapsed="false">
      <c r="A1392" s="39" t="s">
        <v>1514</v>
      </c>
      <c r="B1392" s="40" t="n">
        <v>45854</v>
      </c>
      <c r="C1392" s="39" t="s">
        <v>177</v>
      </c>
      <c r="D1392" s="39" t="n">
        <v>2</v>
      </c>
      <c r="E1392" s="41" t="n">
        <v>43.39</v>
      </c>
      <c r="F1392" s="39" t="s">
        <v>105</v>
      </c>
      <c r="G1392" s="39" t="str">
        <f aca="false">VLOOKUP(C1392,Products!$A$5:$D$24,2,FALSE())</f>
        <v>Backpack</v>
      </c>
      <c r="H1392" s="39" t="str">
        <f aca="false">VLOOKUP(C1392,Products!$A$5:$D$24,3,FALSE())</f>
        <v>Accessories</v>
      </c>
      <c r="I1392" s="41" t="n">
        <f aca="false">VLOOKUP(C1392,Products!$A$5:$D$24,4,FALSE())</f>
        <v>17</v>
      </c>
      <c r="J1392" s="42" t="n">
        <f aca="false">DATE(YEAR(B1392),MONTH(B1392),1)</f>
        <v>45839</v>
      </c>
      <c r="K1392" s="41" t="n">
        <f aca="false">D1392*E1392</f>
        <v>86.78</v>
      </c>
      <c r="L1392" s="41" t="n">
        <f aca="false">D1392*I1392</f>
        <v>34</v>
      </c>
      <c r="M1392" s="41" t="n">
        <f aca="false">IFERROR(INDEX(Raw_Expenses!$C$5:$C$2979,MATCH(A1392,Raw_Expenses!$A$5:$A$2979,0)),0)</f>
        <v>7.31</v>
      </c>
      <c r="N1392" s="41" t="n">
        <f aca="false">L1392+M1392</f>
        <v>41.31</v>
      </c>
      <c r="O1392" s="41" t="n">
        <f aca="false">K1392-N1392</f>
        <v>45.47</v>
      </c>
      <c r="P1392" s="43" t="n">
        <f aca="false">IF(K1392=0,0,O1392/K1392)</f>
        <v>0.523968656372436</v>
      </c>
    </row>
    <row r="1393" customFormat="false" ht="15" hidden="false" customHeight="false" outlineLevel="0" collapsed="false">
      <c r="A1393" s="39" t="s">
        <v>1515</v>
      </c>
      <c r="B1393" s="40" t="n">
        <v>45854</v>
      </c>
      <c r="C1393" s="39" t="s">
        <v>110</v>
      </c>
      <c r="D1393" s="39" t="n">
        <v>2</v>
      </c>
      <c r="E1393" s="41" t="n">
        <v>13.16</v>
      </c>
      <c r="F1393" s="39" t="s">
        <v>118</v>
      </c>
      <c r="G1393" s="39" t="str">
        <f aca="false">VLOOKUP(C1393,Products!$A$5:$D$24,2,FALSE())</f>
        <v>Phone Stand</v>
      </c>
      <c r="H1393" s="39" t="str">
        <f aca="false">VLOOKUP(C1393,Products!$A$5:$D$24,3,FALSE())</f>
        <v>Accessories</v>
      </c>
      <c r="I1393" s="41" t="n">
        <f aca="false">VLOOKUP(C1393,Products!$A$5:$D$24,4,FALSE())</f>
        <v>4</v>
      </c>
      <c r="J1393" s="42" t="n">
        <f aca="false">DATE(YEAR(B1393),MONTH(B1393),1)</f>
        <v>45839</v>
      </c>
      <c r="K1393" s="41" t="n">
        <f aca="false">D1393*E1393</f>
        <v>26.32</v>
      </c>
      <c r="L1393" s="41" t="n">
        <f aca="false">D1393*I1393</f>
        <v>8</v>
      </c>
      <c r="M1393" s="41" t="n">
        <f aca="false">IFERROR(INDEX(Raw_Expenses!$C$5:$C$2979,MATCH(A1393,Raw_Expenses!$A$5:$A$2979,0)),0)</f>
        <v>1.39</v>
      </c>
      <c r="N1393" s="41" t="n">
        <f aca="false">L1393+M1393</f>
        <v>9.39</v>
      </c>
      <c r="O1393" s="41" t="n">
        <f aca="false">K1393-N1393</f>
        <v>16.93</v>
      </c>
      <c r="P1393" s="43" t="n">
        <f aca="false">IF(K1393=0,0,O1393/K1393)</f>
        <v>0.643237082066869</v>
      </c>
    </row>
    <row r="1394" customFormat="false" ht="15" hidden="false" customHeight="false" outlineLevel="0" collapsed="false">
      <c r="A1394" s="39" t="s">
        <v>1516</v>
      </c>
      <c r="B1394" s="40" t="n">
        <v>45854</v>
      </c>
      <c r="C1394" s="39" t="s">
        <v>117</v>
      </c>
      <c r="D1394" s="39" t="n">
        <v>2</v>
      </c>
      <c r="E1394" s="41" t="n">
        <v>31.43</v>
      </c>
      <c r="F1394" s="39" t="s">
        <v>108</v>
      </c>
      <c r="G1394" s="39" t="str">
        <f aca="false">VLOOKUP(C1394,Products!$A$5:$D$24,2,FALSE())</f>
        <v>Desk Lamp</v>
      </c>
      <c r="H1394" s="39" t="str">
        <f aca="false">VLOOKUP(C1394,Products!$A$5:$D$24,3,FALSE())</f>
        <v>Furniture</v>
      </c>
      <c r="I1394" s="41" t="n">
        <f aca="false">VLOOKUP(C1394,Products!$A$5:$D$24,4,FALSE())</f>
        <v>13</v>
      </c>
      <c r="J1394" s="42" t="n">
        <f aca="false">DATE(YEAR(B1394),MONTH(B1394),1)</f>
        <v>45839</v>
      </c>
      <c r="K1394" s="41" t="n">
        <f aca="false">D1394*E1394</f>
        <v>62.86</v>
      </c>
      <c r="L1394" s="41" t="n">
        <f aca="false">D1394*I1394</f>
        <v>26</v>
      </c>
      <c r="M1394" s="41" t="n">
        <f aca="false">IFERROR(INDEX(Raw_Expenses!$C$5:$C$2979,MATCH(A1394,Raw_Expenses!$A$5:$A$2979,0)),0)</f>
        <v>3.87</v>
      </c>
      <c r="N1394" s="41" t="n">
        <f aca="false">L1394+M1394</f>
        <v>29.87</v>
      </c>
      <c r="O1394" s="41" t="n">
        <f aca="false">K1394-N1394</f>
        <v>32.99</v>
      </c>
      <c r="P1394" s="43" t="n">
        <f aca="false">IF(K1394=0,0,O1394/K1394)</f>
        <v>0.524817053770283</v>
      </c>
    </row>
    <row r="1395" customFormat="false" ht="15" hidden="false" customHeight="false" outlineLevel="0" collapsed="false">
      <c r="A1395" s="39" t="s">
        <v>1517</v>
      </c>
      <c r="B1395" s="40" t="n">
        <v>45854</v>
      </c>
      <c r="C1395" s="39" t="s">
        <v>130</v>
      </c>
      <c r="D1395" s="39" t="n">
        <v>2</v>
      </c>
      <c r="E1395" s="41" t="n">
        <v>8.45</v>
      </c>
      <c r="F1395" s="39" t="s">
        <v>115</v>
      </c>
      <c r="G1395" s="39" t="str">
        <f aca="false">VLOOKUP(C1395,Products!$A$5:$D$24,2,FALSE())</f>
        <v>Notebook Set</v>
      </c>
      <c r="H1395" s="39" t="str">
        <f aca="false">VLOOKUP(C1395,Products!$A$5:$D$24,3,FALSE())</f>
        <v>Stationery</v>
      </c>
      <c r="I1395" s="41" t="n">
        <f aca="false">VLOOKUP(C1395,Products!$A$5:$D$24,4,FALSE())</f>
        <v>3</v>
      </c>
      <c r="J1395" s="42" t="n">
        <f aca="false">DATE(YEAR(B1395),MONTH(B1395),1)</f>
        <v>45839</v>
      </c>
      <c r="K1395" s="41" t="n">
        <f aca="false">D1395*E1395</f>
        <v>16.9</v>
      </c>
      <c r="L1395" s="41" t="n">
        <f aca="false">D1395*I1395</f>
        <v>6</v>
      </c>
      <c r="M1395" s="41" t="n">
        <f aca="false">IFERROR(INDEX(Raw_Expenses!$C$5:$C$2979,MATCH(A1395,Raw_Expenses!$A$5:$A$2979,0)),0)</f>
        <v>1.42</v>
      </c>
      <c r="N1395" s="41" t="n">
        <f aca="false">L1395+M1395</f>
        <v>7.42</v>
      </c>
      <c r="O1395" s="41" t="n">
        <f aca="false">K1395-N1395</f>
        <v>9.48</v>
      </c>
      <c r="P1395" s="43" t="n">
        <f aca="false">IF(K1395=0,0,O1395/K1395)</f>
        <v>0.56094674556213</v>
      </c>
    </row>
    <row r="1396" customFormat="false" ht="15" hidden="false" customHeight="false" outlineLevel="0" collapsed="false">
      <c r="A1396" s="39" t="s">
        <v>1518</v>
      </c>
      <c r="B1396" s="40" t="n">
        <v>45854</v>
      </c>
      <c r="C1396" s="39" t="s">
        <v>144</v>
      </c>
      <c r="D1396" s="39" t="n">
        <v>1</v>
      </c>
      <c r="E1396" s="41" t="n">
        <v>54.41</v>
      </c>
      <c r="F1396" s="39" t="s">
        <v>105</v>
      </c>
      <c r="G1396" s="39" t="str">
        <f aca="false">VLOOKUP(C1396,Products!$A$5:$D$24,2,FALSE())</f>
        <v>Whiteboard</v>
      </c>
      <c r="H1396" s="39" t="str">
        <f aca="false">VLOOKUP(C1396,Products!$A$5:$D$24,3,FALSE())</f>
        <v>Furniture</v>
      </c>
      <c r="I1396" s="41" t="n">
        <f aca="false">VLOOKUP(C1396,Products!$A$5:$D$24,4,FALSE())</f>
        <v>28</v>
      </c>
      <c r="J1396" s="42" t="n">
        <f aca="false">DATE(YEAR(B1396),MONTH(B1396),1)</f>
        <v>45839</v>
      </c>
      <c r="K1396" s="41" t="n">
        <f aca="false">D1396*E1396</f>
        <v>54.41</v>
      </c>
      <c r="L1396" s="41" t="n">
        <f aca="false">D1396*I1396</f>
        <v>28</v>
      </c>
      <c r="M1396" s="41" t="n">
        <f aca="false">IFERROR(INDEX(Raw_Expenses!$C$5:$C$2979,MATCH(A1396,Raw_Expenses!$A$5:$A$2979,0)),0)</f>
        <v>3.14</v>
      </c>
      <c r="N1396" s="41" t="n">
        <f aca="false">L1396+M1396</f>
        <v>31.14</v>
      </c>
      <c r="O1396" s="41" t="n">
        <f aca="false">K1396-N1396</f>
        <v>23.27</v>
      </c>
      <c r="P1396" s="43" t="n">
        <f aca="false">IF(K1396=0,0,O1396/K1396)</f>
        <v>0.427678735526558</v>
      </c>
    </row>
    <row r="1397" customFormat="false" ht="15" hidden="false" customHeight="false" outlineLevel="0" collapsed="false">
      <c r="A1397" s="39" t="s">
        <v>1519</v>
      </c>
      <c r="B1397" s="40" t="n">
        <v>45854</v>
      </c>
      <c r="C1397" s="39" t="s">
        <v>136</v>
      </c>
      <c r="D1397" s="39" t="n">
        <v>1</v>
      </c>
      <c r="E1397" s="41" t="n">
        <v>73.39</v>
      </c>
      <c r="F1397" s="39" t="s">
        <v>105</v>
      </c>
      <c r="G1397" s="39" t="str">
        <f aca="false">VLOOKUP(C1397,Products!$A$5:$D$24,2,FALSE())</f>
        <v>Mechanical Keyboard</v>
      </c>
      <c r="H1397" s="39" t="str">
        <f aca="false">VLOOKUP(C1397,Products!$A$5:$D$24,3,FALSE())</f>
        <v>Electronics</v>
      </c>
      <c r="I1397" s="41" t="n">
        <f aca="false">VLOOKUP(C1397,Products!$A$5:$D$24,4,FALSE())</f>
        <v>38</v>
      </c>
      <c r="J1397" s="42" t="n">
        <f aca="false">DATE(YEAR(B1397),MONTH(B1397),1)</f>
        <v>45839</v>
      </c>
      <c r="K1397" s="41" t="n">
        <f aca="false">D1397*E1397</f>
        <v>73.39</v>
      </c>
      <c r="L1397" s="41" t="n">
        <f aca="false">D1397*I1397</f>
        <v>38</v>
      </c>
      <c r="M1397" s="41" t="n">
        <f aca="false">IFERROR(INDEX(Raw_Expenses!$C$5:$C$2979,MATCH(A1397,Raw_Expenses!$A$5:$A$2979,0)),0)</f>
        <v>5.46</v>
      </c>
      <c r="N1397" s="41" t="n">
        <f aca="false">L1397+M1397</f>
        <v>43.46</v>
      </c>
      <c r="O1397" s="41" t="n">
        <f aca="false">K1397-N1397</f>
        <v>29.93</v>
      </c>
      <c r="P1397" s="43" t="n">
        <f aca="false">IF(K1397=0,0,O1397/K1397)</f>
        <v>0.407821229050279</v>
      </c>
    </row>
    <row r="1398" customFormat="false" ht="15" hidden="false" customHeight="false" outlineLevel="0" collapsed="false">
      <c r="A1398" s="39" t="s">
        <v>1520</v>
      </c>
      <c r="B1398" s="40" t="n">
        <v>45854</v>
      </c>
      <c r="C1398" s="39" t="s">
        <v>114</v>
      </c>
      <c r="D1398" s="39" t="n">
        <v>3</v>
      </c>
      <c r="E1398" s="41" t="n">
        <v>5.82</v>
      </c>
      <c r="F1398" s="39" t="s">
        <v>118</v>
      </c>
      <c r="G1398" s="39" t="str">
        <f aca="false">VLOOKUP(C1398,Products!$A$5:$D$24,2,FALSE())</f>
        <v>Gel Pen Pack</v>
      </c>
      <c r="H1398" s="39" t="str">
        <f aca="false">VLOOKUP(C1398,Products!$A$5:$D$24,3,FALSE())</f>
        <v>Stationery</v>
      </c>
      <c r="I1398" s="41" t="n">
        <f aca="false">VLOOKUP(C1398,Products!$A$5:$D$24,4,FALSE())</f>
        <v>2</v>
      </c>
      <c r="J1398" s="42" t="n">
        <f aca="false">DATE(YEAR(B1398),MONTH(B1398),1)</f>
        <v>45839</v>
      </c>
      <c r="K1398" s="41" t="n">
        <f aca="false">D1398*E1398</f>
        <v>17.46</v>
      </c>
      <c r="L1398" s="41" t="n">
        <f aca="false">D1398*I1398</f>
        <v>6</v>
      </c>
      <c r="M1398" s="41" t="n">
        <f aca="false">IFERROR(INDEX(Raw_Expenses!$C$5:$C$2979,MATCH(A1398,Raw_Expenses!$A$5:$A$2979,0)),0)</f>
        <v>0.77</v>
      </c>
      <c r="N1398" s="41" t="n">
        <f aca="false">L1398+M1398</f>
        <v>6.77</v>
      </c>
      <c r="O1398" s="41" t="n">
        <f aca="false">K1398-N1398</f>
        <v>10.69</v>
      </c>
      <c r="P1398" s="43" t="n">
        <f aca="false">IF(K1398=0,0,O1398/K1398)</f>
        <v>0.612256586483391</v>
      </c>
    </row>
    <row r="1399" customFormat="false" ht="15" hidden="false" customHeight="false" outlineLevel="0" collapsed="false">
      <c r="A1399" s="39" t="s">
        <v>1521</v>
      </c>
      <c r="B1399" s="40" t="n">
        <v>45854</v>
      </c>
      <c r="C1399" s="39" t="s">
        <v>110</v>
      </c>
      <c r="D1399" s="39" t="n">
        <v>1</v>
      </c>
      <c r="E1399" s="41" t="n">
        <v>13.02</v>
      </c>
      <c r="F1399" s="39" t="s">
        <v>118</v>
      </c>
      <c r="G1399" s="39" t="str">
        <f aca="false">VLOOKUP(C1399,Products!$A$5:$D$24,2,FALSE())</f>
        <v>Phone Stand</v>
      </c>
      <c r="H1399" s="39" t="str">
        <f aca="false">VLOOKUP(C1399,Products!$A$5:$D$24,3,FALSE())</f>
        <v>Accessories</v>
      </c>
      <c r="I1399" s="41" t="n">
        <f aca="false">VLOOKUP(C1399,Products!$A$5:$D$24,4,FALSE())</f>
        <v>4</v>
      </c>
      <c r="J1399" s="42" t="n">
        <f aca="false">DATE(YEAR(B1399),MONTH(B1399),1)</f>
        <v>45839</v>
      </c>
      <c r="K1399" s="41" t="n">
        <f aca="false">D1399*E1399</f>
        <v>13.02</v>
      </c>
      <c r="L1399" s="41" t="n">
        <f aca="false">D1399*I1399</f>
        <v>4</v>
      </c>
      <c r="M1399" s="41" t="n">
        <f aca="false">IFERROR(INDEX(Raw_Expenses!$C$5:$C$2979,MATCH(A1399,Raw_Expenses!$A$5:$A$2979,0)),0)</f>
        <v>0.74</v>
      </c>
      <c r="N1399" s="41" t="n">
        <f aca="false">L1399+M1399</f>
        <v>4.74</v>
      </c>
      <c r="O1399" s="41" t="n">
        <f aca="false">K1399-N1399</f>
        <v>8.28</v>
      </c>
      <c r="P1399" s="43" t="n">
        <f aca="false">IF(K1399=0,0,O1399/K1399)</f>
        <v>0.63594470046083</v>
      </c>
    </row>
    <row r="1400" customFormat="false" ht="15" hidden="false" customHeight="false" outlineLevel="0" collapsed="false">
      <c r="A1400" s="39" t="s">
        <v>1522</v>
      </c>
      <c r="B1400" s="40" t="n">
        <v>45854</v>
      </c>
      <c r="C1400" s="39" t="s">
        <v>169</v>
      </c>
      <c r="D1400" s="39" t="n">
        <v>1</v>
      </c>
      <c r="E1400" s="41" t="n">
        <v>27.7</v>
      </c>
      <c r="F1400" s="39" t="s">
        <v>115</v>
      </c>
      <c r="G1400" s="39" t="str">
        <f aca="false">VLOOKUP(C1400,Products!$A$5:$D$24,2,FALSE())</f>
        <v>Laptop Stand</v>
      </c>
      <c r="H1400" s="39" t="str">
        <f aca="false">VLOOKUP(C1400,Products!$A$5:$D$24,3,FALSE())</f>
        <v>Accessories</v>
      </c>
      <c r="I1400" s="41" t="n">
        <f aca="false">VLOOKUP(C1400,Products!$A$5:$D$24,4,FALSE())</f>
        <v>11</v>
      </c>
      <c r="J1400" s="42" t="n">
        <f aca="false">DATE(YEAR(B1400),MONTH(B1400),1)</f>
        <v>45839</v>
      </c>
      <c r="K1400" s="41" t="n">
        <f aca="false">D1400*E1400</f>
        <v>27.7</v>
      </c>
      <c r="L1400" s="41" t="n">
        <f aca="false">D1400*I1400</f>
        <v>11</v>
      </c>
      <c r="M1400" s="41" t="n">
        <f aca="false">IFERROR(INDEX(Raw_Expenses!$C$5:$C$2979,MATCH(A1400,Raw_Expenses!$A$5:$A$2979,0)),0)</f>
        <v>2.17</v>
      </c>
      <c r="N1400" s="41" t="n">
        <f aca="false">L1400+M1400</f>
        <v>13.17</v>
      </c>
      <c r="O1400" s="41" t="n">
        <f aca="false">K1400-N1400</f>
        <v>14.53</v>
      </c>
      <c r="P1400" s="43" t="n">
        <f aca="false">IF(K1400=0,0,O1400/K1400)</f>
        <v>0.524548736462094</v>
      </c>
    </row>
    <row r="1401" customFormat="false" ht="15" hidden="false" customHeight="false" outlineLevel="0" collapsed="false">
      <c r="A1401" s="39" t="s">
        <v>1523</v>
      </c>
      <c r="B1401" s="40" t="n">
        <v>45855</v>
      </c>
      <c r="C1401" s="39" t="s">
        <v>177</v>
      </c>
      <c r="D1401" s="39" t="n">
        <v>2</v>
      </c>
      <c r="E1401" s="41" t="n">
        <v>41.75</v>
      </c>
      <c r="F1401" s="39" t="s">
        <v>115</v>
      </c>
      <c r="G1401" s="39" t="str">
        <f aca="false">VLOOKUP(C1401,Products!$A$5:$D$24,2,FALSE())</f>
        <v>Backpack</v>
      </c>
      <c r="H1401" s="39" t="str">
        <f aca="false">VLOOKUP(C1401,Products!$A$5:$D$24,3,FALSE())</f>
        <v>Accessories</v>
      </c>
      <c r="I1401" s="41" t="n">
        <f aca="false">VLOOKUP(C1401,Products!$A$5:$D$24,4,FALSE())</f>
        <v>17</v>
      </c>
      <c r="J1401" s="42" t="n">
        <f aca="false">DATE(YEAR(B1401),MONTH(B1401),1)</f>
        <v>45839</v>
      </c>
      <c r="K1401" s="41" t="n">
        <f aca="false">D1401*E1401</f>
        <v>83.5</v>
      </c>
      <c r="L1401" s="41" t="n">
        <f aca="false">D1401*I1401</f>
        <v>34</v>
      </c>
      <c r="M1401" s="41" t="n">
        <f aca="false">IFERROR(INDEX(Raw_Expenses!$C$5:$C$2979,MATCH(A1401,Raw_Expenses!$A$5:$A$2979,0)),0)</f>
        <v>4.55</v>
      </c>
      <c r="N1401" s="41" t="n">
        <f aca="false">L1401+M1401</f>
        <v>38.55</v>
      </c>
      <c r="O1401" s="41" t="n">
        <f aca="false">K1401-N1401</f>
        <v>44.95</v>
      </c>
      <c r="P1401" s="43" t="n">
        <f aca="false">IF(K1401=0,0,O1401/K1401)</f>
        <v>0.538323353293413</v>
      </c>
    </row>
    <row r="1402" customFormat="false" ht="15" hidden="false" customHeight="false" outlineLevel="0" collapsed="false">
      <c r="A1402" s="39" t="s">
        <v>1524</v>
      </c>
      <c r="B1402" s="40" t="n">
        <v>45855</v>
      </c>
      <c r="C1402" s="39" t="s">
        <v>130</v>
      </c>
      <c r="D1402" s="39" t="n">
        <v>3</v>
      </c>
      <c r="E1402" s="41" t="n">
        <v>8.62</v>
      </c>
      <c r="F1402" s="39" t="s">
        <v>108</v>
      </c>
      <c r="G1402" s="39" t="str">
        <f aca="false">VLOOKUP(C1402,Products!$A$5:$D$24,2,FALSE())</f>
        <v>Notebook Set</v>
      </c>
      <c r="H1402" s="39" t="str">
        <f aca="false">VLOOKUP(C1402,Products!$A$5:$D$24,3,FALSE())</f>
        <v>Stationery</v>
      </c>
      <c r="I1402" s="41" t="n">
        <f aca="false">VLOOKUP(C1402,Products!$A$5:$D$24,4,FALSE())</f>
        <v>3</v>
      </c>
      <c r="J1402" s="42" t="n">
        <f aca="false">DATE(YEAR(B1402),MONTH(B1402),1)</f>
        <v>45839</v>
      </c>
      <c r="K1402" s="41" t="n">
        <f aca="false">D1402*E1402</f>
        <v>25.86</v>
      </c>
      <c r="L1402" s="41" t="n">
        <f aca="false">D1402*I1402</f>
        <v>9</v>
      </c>
      <c r="M1402" s="41" t="n">
        <f aca="false">IFERROR(INDEX(Raw_Expenses!$C$5:$C$2979,MATCH(A1402,Raw_Expenses!$A$5:$A$2979,0)),0)</f>
        <v>1.51</v>
      </c>
      <c r="N1402" s="41" t="n">
        <f aca="false">L1402+M1402</f>
        <v>10.51</v>
      </c>
      <c r="O1402" s="41" t="n">
        <f aca="false">K1402-N1402</f>
        <v>15.35</v>
      </c>
      <c r="P1402" s="43" t="n">
        <f aca="false">IF(K1402=0,0,O1402/K1402)</f>
        <v>0.593580819798917</v>
      </c>
    </row>
    <row r="1403" customFormat="false" ht="15" hidden="false" customHeight="false" outlineLevel="0" collapsed="false">
      <c r="A1403" s="39" t="s">
        <v>1525</v>
      </c>
      <c r="B1403" s="40" t="n">
        <v>45855</v>
      </c>
      <c r="C1403" s="39" t="s">
        <v>305</v>
      </c>
      <c r="D1403" s="39" t="n">
        <v>1</v>
      </c>
      <c r="E1403" s="41" t="n">
        <v>345.03</v>
      </c>
      <c r="F1403" s="39" t="s">
        <v>118</v>
      </c>
      <c r="G1403" s="39" t="str">
        <f aca="false">VLOOKUP(C1403,Products!$A$5:$D$24,2,FALSE())</f>
        <v>Standing Desk</v>
      </c>
      <c r="H1403" s="39" t="str">
        <f aca="false">VLOOKUP(C1403,Products!$A$5:$D$24,3,FALSE())</f>
        <v>Furniture</v>
      </c>
      <c r="I1403" s="41" t="n">
        <f aca="false">VLOOKUP(C1403,Products!$A$5:$D$24,4,FALSE())</f>
        <v>160</v>
      </c>
      <c r="J1403" s="42" t="n">
        <f aca="false">DATE(YEAR(B1403),MONTH(B1403),1)</f>
        <v>45839</v>
      </c>
      <c r="K1403" s="41" t="n">
        <f aca="false">D1403*E1403</f>
        <v>345.03</v>
      </c>
      <c r="L1403" s="41" t="n">
        <f aca="false">D1403*I1403</f>
        <v>160</v>
      </c>
      <c r="M1403" s="41" t="n">
        <f aca="false">IFERROR(INDEX(Raw_Expenses!$C$5:$C$2979,MATCH(A1403,Raw_Expenses!$A$5:$A$2979,0)),0)</f>
        <v>0</v>
      </c>
      <c r="N1403" s="41" t="n">
        <f aca="false">L1403+M1403</f>
        <v>160</v>
      </c>
      <c r="O1403" s="41" t="n">
        <f aca="false">K1403-N1403</f>
        <v>185.03</v>
      </c>
      <c r="P1403" s="43" t="n">
        <f aca="false">IF(K1403=0,0,O1403/K1403)</f>
        <v>0.536272208213779</v>
      </c>
    </row>
    <row r="1404" customFormat="false" ht="15" hidden="false" customHeight="false" outlineLevel="0" collapsed="false">
      <c r="A1404" s="39" t="s">
        <v>1526</v>
      </c>
      <c r="B1404" s="40" t="n">
        <v>45855</v>
      </c>
      <c r="C1404" s="39" t="s">
        <v>144</v>
      </c>
      <c r="D1404" s="39" t="n">
        <v>1</v>
      </c>
      <c r="E1404" s="41" t="n">
        <v>58.42</v>
      </c>
      <c r="F1404" s="39" t="s">
        <v>108</v>
      </c>
      <c r="G1404" s="39" t="str">
        <f aca="false">VLOOKUP(C1404,Products!$A$5:$D$24,2,FALSE())</f>
        <v>Whiteboard</v>
      </c>
      <c r="H1404" s="39" t="str">
        <f aca="false">VLOOKUP(C1404,Products!$A$5:$D$24,3,FALSE())</f>
        <v>Furniture</v>
      </c>
      <c r="I1404" s="41" t="n">
        <f aca="false">VLOOKUP(C1404,Products!$A$5:$D$24,4,FALSE())</f>
        <v>28</v>
      </c>
      <c r="J1404" s="42" t="n">
        <f aca="false">DATE(YEAR(B1404),MONTH(B1404),1)</f>
        <v>45839</v>
      </c>
      <c r="K1404" s="41" t="n">
        <f aca="false">D1404*E1404</f>
        <v>58.42</v>
      </c>
      <c r="L1404" s="41" t="n">
        <f aca="false">D1404*I1404</f>
        <v>28</v>
      </c>
      <c r="M1404" s="41" t="n">
        <f aca="false">IFERROR(INDEX(Raw_Expenses!$C$5:$C$2979,MATCH(A1404,Raw_Expenses!$A$5:$A$2979,0)),0)</f>
        <v>5.02</v>
      </c>
      <c r="N1404" s="41" t="n">
        <f aca="false">L1404+M1404</f>
        <v>33.02</v>
      </c>
      <c r="O1404" s="41" t="n">
        <f aca="false">K1404-N1404</f>
        <v>25.4</v>
      </c>
      <c r="P1404" s="43" t="n">
        <f aca="false">IF(K1404=0,0,O1404/K1404)</f>
        <v>0.434782608695652</v>
      </c>
    </row>
    <row r="1405" customFormat="false" ht="15" hidden="false" customHeight="false" outlineLevel="0" collapsed="false">
      <c r="A1405" s="39" t="s">
        <v>1527</v>
      </c>
      <c r="B1405" s="40" t="n">
        <v>45855</v>
      </c>
      <c r="C1405" s="39" t="s">
        <v>104</v>
      </c>
      <c r="D1405" s="39" t="n">
        <v>8</v>
      </c>
      <c r="E1405" s="41" t="n">
        <v>15.13</v>
      </c>
      <c r="F1405" s="39" t="s">
        <v>115</v>
      </c>
      <c r="G1405" s="39" t="str">
        <f aca="false">VLOOKUP(C1405,Products!$A$5:$D$24,2,FALSE())</f>
        <v>Water Bottle</v>
      </c>
      <c r="H1405" s="39" t="str">
        <f aca="false">VLOOKUP(C1405,Products!$A$5:$D$24,3,FALSE())</f>
        <v>Accessories</v>
      </c>
      <c r="I1405" s="41" t="n">
        <f aca="false">VLOOKUP(C1405,Products!$A$5:$D$24,4,FALSE())</f>
        <v>5</v>
      </c>
      <c r="J1405" s="42" t="n">
        <f aca="false">DATE(YEAR(B1405),MONTH(B1405),1)</f>
        <v>45839</v>
      </c>
      <c r="K1405" s="41" t="n">
        <f aca="false">D1405*E1405</f>
        <v>121.04</v>
      </c>
      <c r="L1405" s="41" t="n">
        <f aca="false">D1405*I1405</f>
        <v>40</v>
      </c>
      <c r="M1405" s="41" t="n">
        <f aca="false">IFERROR(INDEX(Raw_Expenses!$C$5:$C$2979,MATCH(A1405,Raw_Expenses!$A$5:$A$2979,0)),0)</f>
        <v>10.09</v>
      </c>
      <c r="N1405" s="41" t="n">
        <f aca="false">L1405+M1405</f>
        <v>50.09</v>
      </c>
      <c r="O1405" s="41" t="n">
        <f aca="false">K1405-N1405</f>
        <v>70.95</v>
      </c>
      <c r="P1405" s="43" t="n">
        <f aca="false">IF(K1405=0,0,O1405/K1405)</f>
        <v>0.586169861202908</v>
      </c>
    </row>
    <row r="1406" customFormat="false" ht="15" hidden="false" customHeight="false" outlineLevel="0" collapsed="false">
      <c r="A1406" s="39" t="s">
        <v>1528</v>
      </c>
      <c r="B1406" s="40" t="n">
        <v>45855</v>
      </c>
      <c r="C1406" s="39" t="s">
        <v>177</v>
      </c>
      <c r="D1406" s="39" t="n">
        <v>2</v>
      </c>
      <c r="E1406" s="41" t="n">
        <v>43.79</v>
      </c>
      <c r="F1406" s="39" t="s">
        <v>105</v>
      </c>
      <c r="G1406" s="39" t="str">
        <f aca="false">VLOOKUP(C1406,Products!$A$5:$D$24,2,FALSE())</f>
        <v>Backpack</v>
      </c>
      <c r="H1406" s="39" t="str">
        <f aca="false">VLOOKUP(C1406,Products!$A$5:$D$24,3,FALSE())</f>
        <v>Accessories</v>
      </c>
      <c r="I1406" s="41" t="n">
        <f aca="false">VLOOKUP(C1406,Products!$A$5:$D$24,4,FALSE())</f>
        <v>17</v>
      </c>
      <c r="J1406" s="42" t="n">
        <f aca="false">DATE(YEAR(B1406),MONTH(B1406),1)</f>
        <v>45839</v>
      </c>
      <c r="K1406" s="41" t="n">
        <f aca="false">D1406*E1406</f>
        <v>87.58</v>
      </c>
      <c r="L1406" s="41" t="n">
        <f aca="false">D1406*I1406</f>
        <v>34</v>
      </c>
      <c r="M1406" s="41" t="n">
        <f aca="false">IFERROR(INDEX(Raw_Expenses!$C$5:$C$2979,MATCH(A1406,Raw_Expenses!$A$5:$A$2979,0)),0)</f>
        <v>6.79</v>
      </c>
      <c r="N1406" s="41" t="n">
        <f aca="false">L1406+M1406</f>
        <v>40.79</v>
      </c>
      <c r="O1406" s="41" t="n">
        <f aca="false">K1406-N1406</f>
        <v>46.79</v>
      </c>
      <c r="P1406" s="43" t="n">
        <f aca="false">IF(K1406=0,0,O1406/K1406)</f>
        <v>0.534254395980818</v>
      </c>
    </row>
    <row r="1407" customFormat="false" ht="15" hidden="false" customHeight="false" outlineLevel="0" collapsed="false">
      <c r="A1407" s="39" t="s">
        <v>1529</v>
      </c>
      <c r="B1407" s="40" t="n">
        <v>45856</v>
      </c>
      <c r="C1407" s="39" t="s">
        <v>177</v>
      </c>
      <c r="D1407" s="39" t="n">
        <v>6</v>
      </c>
      <c r="E1407" s="41" t="n">
        <v>42.84</v>
      </c>
      <c r="F1407" s="39" t="s">
        <v>105</v>
      </c>
      <c r="G1407" s="39" t="str">
        <f aca="false">VLOOKUP(C1407,Products!$A$5:$D$24,2,FALSE())</f>
        <v>Backpack</v>
      </c>
      <c r="H1407" s="39" t="str">
        <f aca="false">VLOOKUP(C1407,Products!$A$5:$D$24,3,FALSE())</f>
        <v>Accessories</v>
      </c>
      <c r="I1407" s="41" t="n">
        <f aca="false">VLOOKUP(C1407,Products!$A$5:$D$24,4,FALSE())</f>
        <v>17</v>
      </c>
      <c r="J1407" s="42" t="n">
        <f aca="false">DATE(YEAR(B1407),MONTH(B1407),1)</f>
        <v>45839</v>
      </c>
      <c r="K1407" s="41" t="n">
        <f aca="false">D1407*E1407</f>
        <v>257.04</v>
      </c>
      <c r="L1407" s="41" t="n">
        <f aca="false">D1407*I1407</f>
        <v>102</v>
      </c>
      <c r="M1407" s="41" t="n">
        <f aca="false">IFERROR(INDEX(Raw_Expenses!$C$5:$C$2979,MATCH(A1407,Raw_Expenses!$A$5:$A$2979,0)),0)</f>
        <v>22.43</v>
      </c>
      <c r="N1407" s="41" t="n">
        <f aca="false">L1407+M1407</f>
        <v>124.43</v>
      </c>
      <c r="O1407" s="41" t="n">
        <f aca="false">K1407-N1407</f>
        <v>132.61</v>
      </c>
      <c r="P1407" s="43" t="n">
        <f aca="false">IF(K1407=0,0,O1407/K1407)</f>
        <v>0.515911920323685</v>
      </c>
    </row>
    <row r="1408" customFormat="false" ht="15" hidden="false" customHeight="false" outlineLevel="0" collapsed="false">
      <c r="A1408" s="39" t="s">
        <v>1530</v>
      </c>
      <c r="B1408" s="40" t="n">
        <v>45856</v>
      </c>
      <c r="C1408" s="39" t="s">
        <v>177</v>
      </c>
      <c r="D1408" s="39" t="n">
        <v>5</v>
      </c>
      <c r="E1408" s="41" t="n">
        <v>44.29</v>
      </c>
      <c r="F1408" s="39" t="s">
        <v>115</v>
      </c>
      <c r="G1408" s="39" t="str">
        <f aca="false">VLOOKUP(C1408,Products!$A$5:$D$24,2,FALSE())</f>
        <v>Backpack</v>
      </c>
      <c r="H1408" s="39" t="str">
        <f aca="false">VLOOKUP(C1408,Products!$A$5:$D$24,3,FALSE())</f>
        <v>Accessories</v>
      </c>
      <c r="I1408" s="41" t="n">
        <f aca="false">VLOOKUP(C1408,Products!$A$5:$D$24,4,FALSE())</f>
        <v>17</v>
      </c>
      <c r="J1408" s="42" t="n">
        <f aca="false">DATE(YEAR(B1408),MONTH(B1408),1)</f>
        <v>45839</v>
      </c>
      <c r="K1408" s="41" t="n">
        <f aca="false">D1408*E1408</f>
        <v>221.45</v>
      </c>
      <c r="L1408" s="41" t="n">
        <f aca="false">D1408*I1408</f>
        <v>85</v>
      </c>
      <c r="M1408" s="41" t="n">
        <f aca="false">IFERROR(INDEX(Raw_Expenses!$C$5:$C$2979,MATCH(A1408,Raw_Expenses!$A$5:$A$2979,0)),0)</f>
        <v>17.66</v>
      </c>
      <c r="N1408" s="41" t="n">
        <f aca="false">L1408+M1408</f>
        <v>102.66</v>
      </c>
      <c r="O1408" s="41" t="n">
        <f aca="false">K1408-N1408</f>
        <v>118.79</v>
      </c>
      <c r="P1408" s="43" t="n">
        <f aca="false">IF(K1408=0,0,O1408/K1408)</f>
        <v>0.536419056220366</v>
      </c>
    </row>
    <row r="1409" customFormat="false" ht="15" hidden="false" customHeight="false" outlineLevel="0" collapsed="false">
      <c r="A1409" s="39" t="s">
        <v>1531</v>
      </c>
      <c r="B1409" s="40" t="n">
        <v>45856</v>
      </c>
      <c r="C1409" s="39" t="s">
        <v>114</v>
      </c>
      <c r="D1409" s="39" t="n">
        <v>1</v>
      </c>
      <c r="E1409" s="41" t="n">
        <v>5.6</v>
      </c>
      <c r="F1409" s="39" t="s">
        <v>115</v>
      </c>
      <c r="G1409" s="39" t="str">
        <f aca="false">VLOOKUP(C1409,Products!$A$5:$D$24,2,FALSE())</f>
        <v>Gel Pen Pack</v>
      </c>
      <c r="H1409" s="39" t="str">
        <f aca="false">VLOOKUP(C1409,Products!$A$5:$D$24,3,FALSE())</f>
        <v>Stationery</v>
      </c>
      <c r="I1409" s="41" t="n">
        <f aca="false">VLOOKUP(C1409,Products!$A$5:$D$24,4,FALSE())</f>
        <v>2</v>
      </c>
      <c r="J1409" s="42" t="n">
        <f aca="false">DATE(YEAR(B1409),MONTH(B1409),1)</f>
        <v>45839</v>
      </c>
      <c r="K1409" s="41" t="n">
        <f aca="false">D1409*E1409</f>
        <v>5.6</v>
      </c>
      <c r="L1409" s="41" t="n">
        <f aca="false">D1409*I1409</f>
        <v>2</v>
      </c>
      <c r="M1409" s="41" t="n">
        <f aca="false">IFERROR(INDEX(Raw_Expenses!$C$5:$C$2979,MATCH(A1409,Raw_Expenses!$A$5:$A$2979,0)),0)</f>
        <v>0.42</v>
      </c>
      <c r="N1409" s="41" t="n">
        <f aca="false">L1409+M1409</f>
        <v>2.42</v>
      </c>
      <c r="O1409" s="41" t="n">
        <f aca="false">K1409-N1409</f>
        <v>3.18</v>
      </c>
      <c r="P1409" s="43" t="n">
        <f aca="false">IF(K1409=0,0,O1409/K1409)</f>
        <v>0.567857142857143</v>
      </c>
    </row>
    <row r="1410" customFormat="false" ht="15" hidden="false" customHeight="false" outlineLevel="0" collapsed="false">
      <c r="A1410" s="39" t="s">
        <v>1532</v>
      </c>
      <c r="B1410" s="40" t="n">
        <v>45856</v>
      </c>
      <c r="C1410" s="39" t="s">
        <v>107</v>
      </c>
      <c r="D1410" s="39" t="n">
        <v>5</v>
      </c>
      <c r="E1410" s="41" t="n">
        <v>34.53</v>
      </c>
      <c r="F1410" s="39" t="s">
        <v>108</v>
      </c>
      <c r="G1410" s="39" t="str">
        <f aca="false">VLOOKUP(C1410,Products!$A$5:$D$24,2,FALSE())</f>
        <v>USB-C Hub</v>
      </c>
      <c r="H1410" s="39" t="str">
        <f aca="false">VLOOKUP(C1410,Products!$A$5:$D$24,3,FALSE())</f>
        <v>Electronics</v>
      </c>
      <c r="I1410" s="41" t="n">
        <f aca="false">VLOOKUP(C1410,Products!$A$5:$D$24,4,FALSE())</f>
        <v>14</v>
      </c>
      <c r="J1410" s="42" t="n">
        <f aca="false">DATE(YEAR(B1410),MONTH(B1410),1)</f>
        <v>45839</v>
      </c>
      <c r="K1410" s="41" t="n">
        <f aca="false">D1410*E1410</f>
        <v>172.65</v>
      </c>
      <c r="L1410" s="41" t="n">
        <f aca="false">D1410*I1410</f>
        <v>70</v>
      </c>
      <c r="M1410" s="41" t="n">
        <f aca="false">IFERROR(INDEX(Raw_Expenses!$C$5:$C$2979,MATCH(A1410,Raw_Expenses!$A$5:$A$2979,0)),0)</f>
        <v>13.93</v>
      </c>
      <c r="N1410" s="41" t="n">
        <f aca="false">L1410+M1410</f>
        <v>83.93</v>
      </c>
      <c r="O1410" s="41" t="n">
        <f aca="false">K1410-N1410</f>
        <v>88.72</v>
      </c>
      <c r="P1410" s="43" t="n">
        <f aca="false">IF(K1410=0,0,O1410/K1410)</f>
        <v>0.513871995366348</v>
      </c>
    </row>
    <row r="1411" customFormat="false" ht="15" hidden="false" customHeight="false" outlineLevel="0" collapsed="false">
      <c r="A1411" s="39" t="s">
        <v>1533</v>
      </c>
      <c r="B1411" s="40" t="n">
        <v>45856</v>
      </c>
      <c r="C1411" s="39" t="s">
        <v>110</v>
      </c>
      <c r="D1411" s="39" t="n">
        <v>2</v>
      </c>
      <c r="E1411" s="41" t="n">
        <v>13.63</v>
      </c>
      <c r="F1411" s="39" t="s">
        <v>105</v>
      </c>
      <c r="G1411" s="39" t="str">
        <f aca="false">VLOOKUP(C1411,Products!$A$5:$D$24,2,FALSE())</f>
        <v>Phone Stand</v>
      </c>
      <c r="H1411" s="39" t="str">
        <f aca="false">VLOOKUP(C1411,Products!$A$5:$D$24,3,FALSE())</f>
        <v>Accessories</v>
      </c>
      <c r="I1411" s="41" t="n">
        <f aca="false">VLOOKUP(C1411,Products!$A$5:$D$24,4,FALSE())</f>
        <v>4</v>
      </c>
      <c r="J1411" s="42" t="n">
        <f aca="false">DATE(YEAR(B1411),MONTH(B1411),1)</f>
        <v>45839</v>
      </c>
      <c r="K1411" s="41" t="n">
        <f aca="false">D1411*E1411</f>
        <v>27.26</v>
      </c>
      <c r="L1411" s="41" t="n">
        <f aca="false">D1411*I1411</f>
        <v>8</v>
      </c>
      <c r="M1411" s="41" t="n">
        <f aca="false">IFERROR(INDEX(Raw_Expenses!$C$5:$C$2979,MATCH(A1411,Raw_Expenses!$A$5:$A$2979,0)),0)</f>
        <v>2.35</v>
      </c>
      <c r="N1411" s="41" t="n">
        <f aca="false">L1411+M1411</f>
        <v>10.35</v>
      </c>
      <c r="O1411" s="41" t="n">
        <f aca="false">K1411-N1411</f>
        <v>16.91</v>
      </c>
      <c r="P1411" s="43" t="n">
        <f aca="false">IF(K1411=0,0,O1411/K1411)</f>
        <v>0.620322817314747</v>
      </c>
    </row>
    <row r="1412" customFormat="false" ht="15" hidden="false" customHeight="false" outlineLevel="0" collapsed="false">
      <c r="A1412" s="39" t="s">
        <v>1534</v>
      </c>
      <c r="B1412" s="40" t="n">
        <v>45857</v>
      </c>
      <c r="C1412" s="39" t="s">
        <v>177</v>
      </c>
      <c r="D1412" s="39" t="n">
        <v>1</v>
      </c>
      <c r="E1412" s="41" t="n">
        <v>41.86</v>
      </c>
      <c r="F1412" s="39" t="s">
        <v>105</v>
      </c>
      <c r="G1412" s="39" t="str">
        <f aca="false">VLOOKUP(C1412,Products!$A$5:$D$24,2,FALSE())</f>
        <v>Backpack</v>
      </c>
      <c r="H1412" s="39" t="str">
        <f aca="false">VLOOKUP(C1412,Products!$A$5:$D$24,3,FALSE())</f>
        <v>Accessories</v>
      </c>
      <c r="I1412" s="41" t="n">
        <f aca="false">VLOOKUP(C1412,Products!$A$5:$D$24,4,FALSE())</f>
        <v>17</v>
      </c>
      <c r="J1412" s="42" t="n">
        <f aca="false">DATE(YEAR(B1412),MONTH(B1412),1)</f>
        <v>45839</v>
      </c>
      <c r="K1412" s="41" t="n">
        <f aca="false">D1412*E1412</f>
        <v>41.86</v>
      </c>
      <c r="L1412" s="41" t="n">
        <f aca="false">D1412*I1412</f>
        <v>17</v>
      </c>
      <c r="M1412" s="41" t="n">
        <f aca="false">IFERROR(INDEX(Raw_Expenses!$C$5:$C$2979,MATCH(A1412,Raw_Expenses!$A$5:$A$2979,0)),0)</f>
        <v>2.93</v>
      </c>
      <c r="N1412" s="41" t="n">
        <f aca="false">L1412+M1412</f>
        <v>19.93</v>
      </c>
      <c r="O1412" s="41" t="n">
        <f aca="false">K1412-N1412</f>
        <v>21.93</v>
      </c>
      <c r="P1412" s="43" t="n">
        <f aca="false">IF(K1412=0,0,O1412/K1412)</f>
        <v>0.523889154323937</v>
      </c>
    </row>
    <row r="1413" customFormat="false" ht="15" hidden="false" customHeight="false" outlineLevel="0" collapsed="false">
      <c r="A1413" s="39" t="s">
        <v>1535</v>
      </c>
      <c r="B1413" s="40" t="n">
        <v>45857</v>
      </c>
      <c r="C1413" s="39" t="s">
        <v>169</v>
      </c>
      <c r="D1413" s="39" t="n">
        <v>1</v>
      </c>
      <c r="E1413" s="41" t="n">
        <v>28.14</v>
      </c>
      <c r="F1413" s="39" t="s">
        <v>105</v>
      </c>
      <c r="G1413" s="39" t="str">
        <f aca="false">VLOOKUP(C1413,Products!$A$5:$D$24,2,FALSE())</f>
        <v>Laptop Stand</v>
      </c>
      <c r="H1413" s="39" t="str">
        <f aca="false">VLOOKUP(C1413,Products!$A$5:$D$24,3,FALSE())</f>
        <v>Accessories</v>
      </c>
      <c r="I1413" s="41" t="n">
        <f aca="false">VLOOKUP(C1413,Products!$A$5:$D$24,4,FALSE())</f>
        <v>11</v>
      </c>
      <c r="J1413" s="42" t="n">
        <f aca="false">DATE(YEAR(B1413),MONTH(B1413),1)</f>
        <v>45839</v>
      </c>
      <c r="K1413" s="41" t="n">
        <f aca="false">D1413*E1413</f>
        <v>28.14</v>
      </c>
      <c r="L1413" s="41" t="n">
        <f aca="false">D1413*I1413</f>
        <v>11</v>
      </c>
      <c r="M1413" s="41" t="n">
        <f aca="false">IFERROR(INDEX(Raw_Expenses!$C$5:$C$2979,MATCH(A1413,Raw_Expenses!$A$5:$A$2979,0)),0)</f>
        <v>2.51</v>
      </c>
      <c r="N1413" s="41" t="n">
        <f aca="false">L1413+M1413</f>
        <v>13.51</v>
      </c>
      <c r="O1413" s="41" t="n">
        <f aca="false">K1413-N1413</f>
        <v>14.63</v>
      </c>
      <c r="P1413" s="43" t="n">
        <f aca="false">IF(K1413=0,0,O1413/K1413)</f>
        <v>0.519900497512438</v>
      </c>
    </row>
    <row r="1414" customFormat="false" ht="15" hidden="false" customHeight="false" outlineLevel="0" collapsed="false">
      <c r="A1414" s="39" t="s">
        <v>1536</v>
      </c>
      <c r="B1414" s="40" t="n">
        <v>45857</v>
      </c>
      <c r="C1414" s="39" t="s">
        <v>104</v>
      </c>
      <c r="D1414" s="39" t="n">
        <v>3</v>
      </c>
      <c r="E1414" s="41" t="n">
        <v>15.16</v>
      </c>
      <c r="F1414" s="39" t="s">
        <v>115</v>
      </c>
      <c r="G1414" s="39" t="str">
        <f aca="false">VLOOKUP(C1414,Products!$A$5:$D$24,2,FALSE())</f>
        <v>Water Bottle</v>
      </c>
      <c r="H1414" s="39" t="str">
        <f aca="false">VLOOKUP(C1414,Products!$A$5:$D$24,3,FALSE())</f>
        <v>Accessories</v>
      </c>
      <c r="I1414" s="41" t="n">
        <f aca="false">VLOOKUP(C1414,Products!$A$5:$D$24,4,FALSE())</f>
        <v>5</v>
      </c>
      <c r="J1414" s="42" t="n">
        <f aca="false">DATE(YEAR(B1414),MONTH(B1414),1)</f>
        <v>45839</v>
      </c>
      <c r="K1414" s="41" t="n">
        <f aca="false">D1414*E1414</f>
        <v>45.48</v>
      </c>
      <c r="L1414" s="41" t="n">
        <f aca="false">D1414*I1414</f>
        <v>15</v>
      </c>
      <c r="M1414" s="41" t="n">
        <f aca="false">IFERROR(INDEX(Raw_Expenses!$C$5:$C$2979,MATCH(A1414,Raw_Expenses!$A$5:$A$2979,0)),0)</f>
        <v>2.36</v>
      </c>
      <c r="N1414" s="41" t="n">
        <f aca="false">L1414+M1414</f>
        <v>17.36</v>
      </c>
      <c r="O1414" s="41" t="n">
        <f aca="false">K1414-N1414</f>
        <v>28.12</v>
      </c>
      <c r="P1414" s="43" t="n">
        <f aca="false">IF(K1414=0,0,O1414/K1414)</f>
        <v>0.618293755496922</v>
      </c>
    </row>
    <row r="1415" customFormat="false" ht="15" hidden="false" customHeight="false" outlineLevel="0" collapsed="false">
      <c r="A1415" s="39" t="s">
        <v>1537</v>
      </c>
      <c r="B1415" s="40" t="n">
        <v>45857</v>
      </c>
      <c r="C1415" s="39" t="s">
        <v>114</v>
      </c>
      <c r="D1415" s="39" t="n">
        <v>3</v>
      </c>
      <c r="E1415" s="41" t="n">
        <v>5.84</v>
      </c>
      <c r="F1415" s="39" t="s">
        <v>108</v>
      </c>
      <c r="G1415" s="39" t="str">
        <f aca="false">VLOOKUP(C1415,Products!$A$5:$D$24,2,FALSE())</f>
        <v>Gel Pen Pack</v>
      </c>
      <c r="H1415" s="39" t="str">
        <f aca="false">VLOOKUP(C1415,Products!$A$5:$D$24,3,FALSE())</f>
        <v>Stationery</v>
      </c>
      <c r="I1415" s="41" t="n">
        <f aca="false">VLOOKUP(C1415,Products!$A$5:$D$24,4,FALSE())</f>
        <v>2</v>
      </c>
      <c r="J1415" s="42" t="n">
        <f aca="false">DATE(YEAR(B1415),MONTH(B1415),1)</f>
        <v>45839</v>
      </c>
      <c r="K1415" s="41" t="n">
        <f aca="false">D1415*E1415</f>
        <v>17.52</v>
      </c>
      <c r="L1415" s="41" t="n">
        <f aca="false">D1415*I1415</f>
        <v>6</v>
      </c>
      <c r="M1415" s="41" t="n">
        <f aca="false">IFERROR(INDEX(Raw_Expenses!$C$5:$C$2979,MATCH(A1415,Raw_Expenses!$A$5:$A$2979,0)),0)</f>
        <v>0.81</v>
      </c>
      <c r="N1415" s="41" t="n">
        <f aca="false">L1415+M1415</f>
        <v>6.81</v>
      </c>
      <c r="O1415" s="41" t="n">
        <f aca="false">K1415-N1415</f>
        <v>10.71</v>
      </c>
      <c r="P1415" s="43" t="n">
        <f aca="false">IF(K1415=0,0,O1415/K1415)</f>
        <v>0.611301369863014</v>
      </c>
    </row>
    <row r="1416" customFormat="false" ht="15" hidden="false" customHeight="false" outlineLevel="0" collapsed="false">
      <c r="A1416" s="39" t="s">
        <v>1538</v>
      </c>
      <c r="B1416" s="40" t="n">
        <v>45857</v>
      </c>
      <c r="C1416" s="39" t="s">
        <v>104</v>
      </c>
      <c r="D1416" s="39" t="n">
        <v>1</v>
      </c>
      <c r="E1416" s="41" t="n">
        <v>15.63</v>
      </c>
      <c r="F1416" s="39" t="s">
        <v>105</v>
      </c>
      <c r="G1416" s="39" t="str">
        <f aca="false">VLOOKUP(C1416,Products!$A$5:$D$24,2,FALSE())</f>
        <v>Water Bottle</v>
      </c>
      <c r="H1416" s="39" t="str">
        <f aca="false">VLOOKUP(C1416,Products!$A$5:$D$24,3,FALSE())</f>
        <v>Accessories</v>
      </c>
      <c r="I1416" s="41" t="n">
        <f aca="false">VLOOKUP(C1416,Products!$A$5:$D$24,4,FALSE())</f>
        <v>5</v>
      </c>
      <c r="J1416" s="42" t="n">
        <f aca="false">DATE(YEAR(B1416),MONTH(B1416),1)</f>
        <v>45839</v>
      </c>
      <c r="K1416" s="41" t="n">
        <f aca="false">D1416*E1416</f>
        <v>15.63</v>
      </c>
      <c r="L1416" s="41" t="n">
        <f aca="false">D1416*I1416</f>
        <v>5</v>
      </c>
      <c r="M1416" s="41" t="n">
        <f aca="false">IFERROR(INDEX(Raw_Expenses!$C$5:$C$2979,MATCH(A1416,Raw_Expenses!$A$5:$A$2979,0)),0)</f>
        <v>1.2</v>
      </c>
      <c r="N1416" s="41" t="n">
        <f aca="false">L1416+M1416</f>
        <v>6.2</v>
      </c>
      <c r="O1416" s="41" t="n">
        <f aca="false">K1416-N1416</f>
        <v>9.43</v>
      </c>
      <c r="P1416" s="43" t="n">
        <f aca="false">IF(K1416=0,0,O1416/K1416)</f>
        <v>0.603326935380678</v>
      </c>
    </row>
    <row r="1417" customFormat="false" ht="15" hidden="false" customHeight="false" outlineLevel="0" collapsed="false">
      <c r="A1417" s="39" t="s">
        <v>1539</v>
      </c>
      <c r="B1417" s="40" t="n">
        <v>45857</v>
      </c>
      <c r="C1417" s="39" t="s">
        <v>177</v>
      </c>
      <c r="D1417" s="39" t="n">
        <v>3</v>
      </c>
      <c r="E1417" s="41" t="n">
        <v>41.72</v>
      </c>
      <c r="F1417" s="39" t="s">
        <v>118</v>
      </c>
      <c r="G1417" s="39" t="str">
        <f aca="false">VLOOKUP(C1417,Products!$A$5:$D$24,2,FALSE())</f>
        <v>Backpack</v>
      </c>
      <c r="H1417" s="39" t="str">
        <f aca="false">VLOOKUP(C1417,Products!$A$5:$D$24,3,FALSE())</f>
        <v>Accessories</v>
      </c>
      <c r="I1417" s="41" t="n">
        <f aca="false">VLOOKUP(C1417,Products!$A$5:$D$24,4,FALSE())</f>
        <v>17</v>
      </c>
      <c r="J1417" s="42" t="n">
        <f aca="false">DATE(YEAR(B1417),MONTH(B1417),1)</f>
        <v>45839</v>
      </c>
      <c r="K1417" s="41" t="n">
        <f aca="false">D1417*E1417</f>
        <v>125.16</v>
      </c>
      <c r="L1417" s="41" t="n">
        <f aca="false">D1417*I1417</f>
        <v>51</v>
      </c>
      <c r="M1417" s="41" t="n">
        <f aca="false">IFERROR(INDEX(Raw_Expenses!$C$5:$C$2979,MATCH(A1417,Raw_Expenses!$A$5:$A$2979,0)),0)</f>
        <v>7.88</v>
      </c>
      <c r="N1417" s="41" t="n">
        <f aca="false">L1417+M1417</f>
        <v>58.88</v>
      </c>
      <c r="O1417" s="41" t="n">
        <f aca="false">K1417-N1417</f>
        <v>66.28</v>
      </c>
      <c r="P1417" s="43" t="n">
        <f aca="false">IF(K1417=0,0,O1417/K1417)</f>
        <v>0.529562160434644</v>
      </c>
    </row>
    <row r="1418" customFormat="false" ht="15" hidden="false" customHeight="false" outlineLevel="0" collapsed="false">
      <c r="A1418" s="39" t="s">
        <v>1540</v>
      </c>
      <c r="B1418" s="40" t="n">
        <v>45858</v>
      </c>
      <c r="C1418" s="39" t="s">
        <v>144</v>
      </c>
      <c r="D1418" s="39" t="n">
        <v>3</v>
      </c>
      <c r="E1418" s="41" t="n">
        <v>54.51</v>
      </c>
      <c r="F1418" s="39" t="s">
        <v>108</v>
      </c>
      <c r="G1418" s="39" t="str">
        <f aca="false">VLOOKUP(C1418,Products!$A$5:$D$24,2,FALSE())</f>
        <v>Whiteboard</v>
      </c>
      <c r="H1418" s="39" t="str">
        <f aca="false">VLOOKUP(C1418,Products!$A$5:$D$24,3,FALSE())</f>
        <v>Furniture</v>
      </c>
      <c r="I1418" s="41" t="n">
        <f aca="false">VLOOKUP(C1418,Products!$A$5:$D$24,4,FALSE())</f>
        <v>28</v>
      </c>
      <c r="J1418" s="42" t="n">
        <f aca="false">DATE(YEAR(B1418),MONTH(B1418),1)</f>
        <v>45839</v>
      </c>
      <c r="K1418" s="41" t="n">
        <f aca="false">D1418*E1418</f>
        <v>163.53</v>
      </c>
      <c r="L1418" s="41" t="n">
        <f aca="false">D1418*I1418</f>
        <v>84</v>
      </c>
      <c r="M1418" s="41" t="n">
        <f aca="false">IFERROR(INDEX(Raw_Expenses!$C$5:$C$2979,MATCH(A1418,Raw_Expenses!$A$5:$A$2979,0)),0)</f>
        <v>7.52</v>
      </c>
      <c r="N1418" s="41" t="n">
        <f aca="false">L1418+M1418</f>
        <v>91.52</v>
      </c>
      <c r="O1418" s="41" t="n">
        <f aca="false">K1418-N1418</f>
        <v>72.01</v>
      </c>
      <c r="P1418" s="43" t="n">
        <f aca="false">IF(K1418=0,0,O1418/K1418)</f>
        <v>0.440347336880083</v>
      </c>
    </row>
    <row r="1419" customFormat="false" ht="15" hidden="false" customHeight="false" outlineLevel="0" collapsed="false">
      <c r="A1419" s="39" t="s">
        <v>1541</v>
      </c>
      <c r="B1419" s="40" t="n">
        <v>45858</v>
      </c>
      <c r="C1419" s="39" t="s">
        <v>133</v>
      </c>
      <c r="D1419" s="39" t="n">
        <v>1</v>
      </c>
      <c r="E1419" s="41" t="n">
        <v>8.94</v>
      </c>
      <c r="F1419" s="39" t="s">
        <v>108</v>
      </c>
      <c r="G1419" s="39" t="str">
        <f aca="false">VLOOKUP(C1419,Products!$A$5:$D$24,2,FALSE())</f>
        <v>Printer Paper Ream</v>
      </c>
      <c r="H1419" s="39" t="str">
        <f aca="false">VLOOKUP(C1419,Products!$A$5:$D$24,3,FALSE())</f>
        <v>Stationery</v>
      </c>
      <c r="I1419" s="41" t="n">
        <f aca="false">VLOOKUP(C1419,Products!$A$5:$D$24,4,FALSE())</f>
        <v>4</v>
      </c>
      <c r="J1419" s="42" t="n">
        <f aca="false">DATE(YEAR(B1419),MONTH(B1419),1)</f>
        <v>45839</v>
      </c>
      <c r="K1419" s="41" t="n">
        <f aca="false">D1419*E1419</f>
        <v>8.94</v>
      </c>
      <c r="L1419" s="41" t="n">
        <f aca="false">D1419*I1419</f>
        <v>4</v>
      </c>
      <c r="M1419" s="41" t="n">
        <f aca="false">IFERROR(INDEX(Raw_Expenses!$C$5:$C$2979,MATCH(A1419,Raw_Expenses!$A$5:$A$2979,0)),0)</f>
        <v>0.47</v>
      </c>
      <c r="N1419" s="41" t="n">
        <f aca="false">L1419+M1419</f>
        <v>4.47</v>
      </c>
      <c r="O1419" s="41" t="n">
        <f aca="false">K1419-N1419</f>
        <v>4.47</v>
      </c>
      <c r="P1419" s="43" t="n">
        <f aca="false">IF(K1419=0,0,O1419/K1419)</f>
        <v>0.5</v>
      </c>
    </row>
    <row r="1420" customFormat="false" ht="15" hidden="false" customHeight="false" outlineLevel="0" collapsed="false">
      <c r="A1420" s="39" t="s">
        <v>1542</v>
      </c>
      <c r="B1420" s="40" t="n">
        <v>45858</v>
      </c>
      <c r="C1420" s="39" t="s">
        <v>112</v>
      </c>
      <c r="D1420" s="39" t="n">
        <v>2</v>
      </c>
      <c r="E1420" s="41" t="n">
        <v>51.05</v>
      </c>
      <c r="F1420" s="39" t="s">
        <v>115</v>
      </c>
      <c r="G1420" s="39" t="str">
        <f aca="false">VLOOKUP(C1420,Products!$A$5:$D$24,2,FALSE())</f>
        <v>HD Webcam</v>
      </c>
      <c r="H1420" s="39" t="str">
        <f aca="false">VLOOKUP(C1420,Products!$A$5:$D$24,3,FALSE())</f>
        <v>Electronics</v>
      </c>
      <c r="I1420" s="41" t="n">
        <f aca="false">VLOOKUP(C1420,Products!$A$5:$D$24,4,FALSE())</f>
        <v>22</v>
      </c>
      <c r="J1420" s="42" t="n">
        <f aca="false">DATE(YEAR(B1420),MONTH(B1420),1)</f>
        <v>45839</v>
      </c>
      <c r="K1420" s="41" t="n">
        <f aca="false">D1420*E1420</f>
        <v>102.1</v>
      </c>
      <c r="L1420" s="41" t="n">
        <f aca="false">D1420*I1420</f>
        <v>44</v>
      </c>
      <c r="M1420" s="41" t="n">
        <f aca="false">IFERROR(INDEX(Raw_Expenses!$C$5:$C$2979,MATCH(A1420,Raw_Expenses!$A$5:$A$2979,0)),0)</f>
        <v>7.48</v>
      </c>
      <c r="N1420" s="41" t="n">
        <f aca="false">L1420+M1420</f>
        <v>51.48</v>
      </c>
      <c r="O1420" s="41" t="n">
        <f aca="false">K1420-N1420</f>
        <v>50.62</v>
      </c>
      <c r="P1420" s="43" t="n">
        <f aca="false">IF(K1420=0,0,O1420/K1420)</f>
        <v>0.495788442703232</v>
      </c>
    </row>
    <row r="1421" customFormat="false" ht="15" hidden="false" customHeight="false" outlineLevel="0" collapsed="false">
      <c r="A1421" s="39" t="s">
        <v>1543</v>
      </c>
      <c r="B1421" s="40" t="n">
        <v>45858</v>
      </c>
      <c r="C1421" s="39" t="s">
        <v>162</v>
      </c>
      <c r="D1421" s="39" t="n">
        <v>6</v>
      </c>
      <c r="E1421" s="41" t="n">
        <v>65.13</v>
      </c>
      <c r="F1421" s="39" t="s">
        <v>118</v>
      </c>
      <c r="G1421" s="39" t="str">
        <f aca="false">VLOOKUP(C1421,Products!$A$5:$D$24,2,FALSE())</f>
        <v>Bluetooth Speaker</v>
      </c>
      <c r="H1421" s="39" t="str">
        <f aca="false">VLOOKUP(C1421,Products!$A$5:$D$24,3,FALSE())</f>
        <v>Electronics</v>
      </c>
      <c r="I1421" s="41" t="n">
        <f aca="false">VLOOKUP(C1421,Products!$A$5:$D$24,4,FALSE())</f>
        <v>28</v>
      </c>
      <c r="J1421" s="42" t="n">
        <f aca="false">DATE(YEAR(B1421),MONTH(B1421),1)</f>
        <v>45839</v>
      </c>
      <c r="K1421" s="41" t="n">
        <f aca="false">D1421*E1421</f>
        <v>390.78</v>
      </c>
      <c r="L1421" s="41" t="n">
        <f aca="false">D1421*I1421</f>
        <v>168</v>
      </c>
      <c r="M1421" s="41" t="n">
        <f aca="false">IFERROR(INDEX(Raw_Expenses!$C$5:$C$2979,MATCH(A1421,Raw_Expenses!$A$5:$A$2979,0)),0)</f>
        <v>27.55</v>
      </c>
      <c r="N1421" s="41" t="n">
        <f aca="false">L1421+M1421</f>
        <v>195.55</v>
      </c>
      <c r="O1421" s="41" t="n">
        <f aca="false">K1421-N1421</f>
        <v>195.23</v>
      </c>
      <c r="P1421" s="43" t="n">
        <f aca="false">IF(K1421=0,0,O1421/K1421)</f>
        <v>0.499590562464814</v>
      </c>
    </row>
    <row r="1422" customFormat="false" ht="15" hidden="false" customHeight="false" outlineLevel="0" collapsed="false">
      <c r="A1422" s="39" t="s">
        <v>1544</v>
      </c>
      <c r="B1422" s="40" t="n">
        <v>45858</v>
      </c>
      <c r="C1422" s="39" t="s">
        <v>112</v>
      </c>
      <c r="D1422" s="39" t="n">
        <v>2</v>
      </c>
      <c r="E1422" s="41" t="n">
        <v>54.53</v>
      </c>
      <c r="F1422" s="39" t="s">
        <v>118</v>
      </c>
      <c r="G1422" s="39" t="str">
        <f aca="false">VLOOKUP(C1422,Products!$A$5:$D$24,2,FALSE())</f>
        <v>HD Webcam</v>
      </c>
      <c r="H1422" s="39" t="str">
        <f aca="false">VLOOKUP(C1422,Products!$A$5:$D$24,3,FALSE())</f>
        <v>Electronics</v>
      </c>
      <c r="I1422" s="41" t="n">
        <f aca="false">VLOOKUP(C1422,Products!$A$5:$D$24,4,FALSE())</f>
        <v>22</v>
      </c>
      <c r="J1422" s="42" t="n">
        <f aca="false">DATE(YEAR(B1422),MONTH(B1422),1)</f>
        <v>45839</v>
      </c>
      <c r="K1422" s="41" t="n">
        <f aca="false">D1422*E1422</f>
        <v>109.06</v>
      </c>
      <c r="L1422" s="41" t="n">
        <f aca="false">D1422*I1422</f>
        <v>44</v>
      </c>
      <c r="M1422" s="41" t="n">
        <f aca="false">IFERROR(INDEX(Raw_Expenses!$C$5:$C$2979,MATCH(A1422,Raw_Expenses!$A$5:$A$2979,0)),0)</f>
        <v>4.53</v>
      </c>
      <c r="N1422" s="41" t="n">
        <f aca="false">L1422+M1422</f>
        <v>48.53</v>
      </c>
      <c r="O1422" s="41" t="n">
        <f aca="false">K1422-N1422</f>
        <v>60.53</v>
      </c>
      <c r="P1422" s="43" t="n">
        <f aca="false">IF(K1422=0,0,O1422/K1422)</f>
        <v>0.555015587749863</v>
      </c>
    </row>
    <row r="1423" customFormat="false" ht="15" hidden="false" customHeight="false" outlineLevel="0" collapsed="false">
      <c r="A1423" s="39" t="s">
        <v>1545</v>
      </c>
      <c r="B1423" s="40" t="n">
        <v>45858</v>
      </c>
      <c r="C1423" s="39" t="s">
        <v>107</v>
      </c>
      <c r="D1423" s="39" t="n">
        <v>2</v>
      </c>
      <c r="E1423" s="41" t="n">
        <v>32.42</v>
      </c>
      <c r="F1423" s="39" t="s">
        <v>105</v>
      </c>
      <c r="G1423" s="39" t="str">
        <f aca="false">VLOOKUP(C1423,Products!$A$5:$D$24,2,FALSE())</f>
        <v>USB-C Hub</v>
      </c>
      <c r="H1423" s="39" t="str">
        <f aca="false">VLOOKUP(C1423,Products!$A$5:$D$24,3,FALSE())</f>
        <v>Electronics</v>
      </c>
      <c r="I1423" s="41" t="n">
        <f aca="false">VLOOKUP(C1423,Products!$A$5:$D$24,4,FALSE())</f>
        <v>14</v>
      </c>
      <c r="J1423" s="42" t="n">
        <f aca="false">DATE(YEAR(B1423),MONTH(B1423),1)</f>
        <v>45839</v>
      </c>
      <c r="K1423" s="41" t="n">
        <f aca="false">D1423*E1423</f>
        <v>64.84</v>
      </c>
      <c r="L1423" s="41" t="n">
        <f aca="false">D1423*I1423</f>
        <v>28</v>
      </c>
      <c r="M1423" s="41" t="n">
        <f aca="false">IFERROR(INDEX(Raw_Expenses!$C$5:$C$2979,MATCH(A1423,Raw_Expenses!$A$5:$A$2979,0)),0)</f>
        <v>5.76</v>
      </c>
      <c r="N1423" s="41" t="n">
        <f aca="false">L1423+M1423</f>
        <v>33.76</v>
      </c>
      <c r="O1423" s="41" t="n">
        <f aca="false">K1423-N1423</f>
        <v>31.08</v>
      </c>
      <c r="P1423" s="43" t="n">
        <f aca="false">IF(K1423=0,0,O1423/K1423)</f>
        <v>0.479333744602098</v>
      </c>
    </row>
    <row r="1424" customFormat="false" ht="15" hidden="false" customHeight="false" outlineLevel="0" collapsed="false">
      <c r="A1424" s="39" t="s">
        <v>1546</v>
      </c>
      <c r="B1424" s="40" t="n">
        <v>45858</v>
      </c>
      <c r="C1424" s="39" t="s">
        <v>136</v>
      </c>
      <c r="D1424" s="39" t="n">
        <v>1</v>
      </c>
      <c r="E1424" s="41" t="n">
        <v>73.37</v>
      </c>
      <c r="F1424" s="39" t="s">
        <v>108</v>
      </c>
      <c r="G1424" s="39" t="str">
        <f aca="false">VLOOKUP(C1424,Products!$A$5:$D$24,2,FALSE())</f>
        <v>Mechanical Keyboard</v>
      </c>
      <c r="H1424" s="39" t="str">
        <f aca="false">VLOOKUP(C1424,Products!$A$5:$D$24,3,FALSE())</f>
        <v>Electronics</v>
      </c>
      <c r="I1424" s="41" t="n">
        <f aca="false">VLOOKUP(C1424,Products!$A$5:$D$24,4,FALSE())</f>
        <v>38</v>
      </c>
      <c r="J1424" s="42" t="n">
        <f aca="false">DATE(YEAR(B1424),MONTH(B1424),1)</f>
        <v>45839</v>
      </c>
      <c r="K1424" s="41" t="n">
        <f aca="false">D1424*E1424</f>
        <v>73.37</v>
      </c>
      <c r="L1424" s="41" t="n">
        <f aca="false">D1424*I1424</f>
        <v>38</v>
      </c>
      <c r="M1424" s="41" t="n">
        <f aca="false">IFERROR(INDEX(Raw_Expenses!$C$5:$C$2979,MATCH(A1424,Raw_Expenses!$A$5:$A$2979,0)),0)</f>
        <v>4.71</v>
      </c>
      <c r="N1424" s="41" t="n">
        <f aca="false">L1424+M1424</f>
        <v>42.71</v>
      </c>
      <c r="O1424" s="41" t="n">
        <f aca="false">K1424-N1424</f>
        <v>30.66</v>
      </c>
      <c r="P1424" s="43" t="n">
        <f aca="false">IF(K1424=0,0,O1424/K1424)</f>
        <v>0.417881968106856</v>
      </c>
    </row>
    <row r="1425" customFormat="false" ht="15" hidden="false" customHeight="false" outlineLevel="0" collapsed="false">
      <c r="A1425" s="39" t="s">
        <v>1547</v>
      </c>
      <c r="B1425" s="40" t="n">
        <v>45858</v>
      </c>
      <c r="C1425" s="39" t="s">
        <v>104</v>
      </c>
      <c r="D1425" s="39" t="n">
        <v>1</v>
      </c>
      <c r="E1425" s="41" t="n">
        <v>15.26</v>
      </c>
      <c r="F1425" s="39" t="s">
        <v>118</v>
      </c>
      <c r="G1425" s="39" t="str">
        <f aca="false">VLOOKUP(C1425,Products!$A$5:$D$24,2,FALSE())</f>
        <v>Water Bottle</v>
      </c>
      <c r="H1425" s="39" t="str">
        <f aca="false">VLOOKUP(C1425,Products!$A$5:$D$24,3,FALSE())</f>
        <v>Accessories</v>
      </c>
      <c r="I1425" s="41" t="n">
        <f aca="false">VLOOKUP(C1425,Products!$A$5:$D$24,4,FALSE())</f>
        <v>5</v>
      </c>
      <c r="J1425" s="42" t="n">
        <f aca="false">DATE(YEAR(B1425),MONTH(B1425),1)</f>
        <v>45839</v>
      </c>
      <c r="K1425" s="41" t="n">
        <f aca="false">D1425*E1425</f>
        <v>15.26</v>
      </c>
      <c r="L1425" s="41" t="n">
        <f aca="false">D1425*I1425</f>
        <v>5</v>
      </c>
      <c r="M1425" s="41" t="n">
        <f aca="false">IFERROR(INDEX(Raw_Expenses!$C$5:$C$2979,MATCH(A1425,Raw_Expenses!$A$5:$A$2979,0)),0)</f>
        <v>1.06</v>
      </c>
      <c r="N1425" s="41" t="n">
        <f aca="false">L1425+M1425</f>
        <v>6.06</v>
      </c>
      <c r="O1425" s="41" t="n">
        <f aca="false">K1425-N1425</f>
        <v>9.2</v>
      </c>
      <c r="P1425" s="43" t="n">
        <f aca="false">IF(K1425=0,0,O1425/K1425)</f>
        <v>0.602883355176933</v>
      </c>
    </row>
    <row r="1426" customFormat="false" ht="15" hidden="false" customHeight="false" outlineLevel="0" collapsed="false">
      <c r="A1426" s="39" t="s">
        <v>1548</v>
      </c>
      <c r="B1426" s="40" t="n">
        <v>45858</v>
      </c>
      <c r="C1426" s="39" t="s">
        <v>121</v>
      </c>
      <c r="D1426" s="39" t="n">
        <v>1</v>
      </c>
      <c r="E1426" s="41" t="n">
        <v>118.39</v>
      </c>
      <c r="F1426" s="39" t="s">
        <v>118</v>
      </c>
      <c r="G1426" s="39" t="str">
        <f aca="false">VLOOKUP(C1426,Products!$A$5:$D$24,2,FALSE())</f>
        <v>External SSD 1TB</v>
      </c>
      <c r="H1426" s="39" t="str">
        <f aca="false">VLOOKUP(C1426,Products!$A$5:$D$24,3,FALSE())</f>
        <v>Electronics</v>
      </c>
      <c r="I1426" s="41" t="n">
        <f aca="false">VLOOKUP(C1426,Products!$A$5:$D$24,4,FALSE())</f>
        <v>62</v>
      </c>
      <c r="J1426" s="42" t="n">
        <f aca="false">DATE(YEAR(B1426),MONTH(B1426),1)</f>
        <v>45839</v>
      </c>
      <c r="K1426" s="41" t="n">
        <f aca="false">D1426*E1426</f>
        <v>118.39</v>
      </c>
      <c r="L1426" s="41" t="n">
        <f aca="false">D1426*I1426</f>
        <v>62</v>
      </c>
      <c r="M1426" s="41" t="n">
        <f aca="false">IFERROR(INDEX(Raw_Expenses!$C$5:$C$2979,MATCH(A1426,Raw_Expenses!$A$5:$A$2979,0)),0)</f>
        <v>10.4</v>
      </c>
      <c r="N1426" s="41" t="n">
        <f aca="false">L1426+M1426</f>
        <v>72.4</v>
      </c>
      <c r="O1426" s="41" t="n">
        <f aca="false">K1426-N1426</f>
        <v>45.99</v>
      </c>
      <c r="P1426" s="43" t="n">
        <f aca="false">IF(K1426=0,0,O1426/K1426)</f>
        <v>0.388461863333052</v>
      </c>
    </row>
    <row r="1427" customFormat="false" ht="15" hidden="false" customHeight="false" outlineLevel="0" collapsed="false">
      <c r="A1427" s="39" t="s">
        <v>1549</v>
      </c>
      <c r="B1427" s="40" t="n">
        <v>45858</v>
      </c>
      <c r="C1427" s="39" t="s">
        <v>136</v>
      </c>
      <c r="D1427" s="39" t="n">
        <v>8</v>
      </c>
      <c r="E1427" s="41" t="n">
        <v>74.73</v>
      </c>
      <c r="F1427" s="39" t="s">
        <v>118</v>
      </c>
      <c r="G1427" s="39" t="str">
        <f aca="false">VLOOKUP(C1427,Products!$A$5:$D$24,2,FALSE())</f>
        <v>Mechanical Keyboard</v>
      </c>
      <c r="H1427" s="39" t="str">
        <f aca="false">VLOOKUP(C1427,Products!$A$5:$D$24,3,FALSE())</f>
        <v>Electronics</v>
      </c>
      <c r="I1427" s="41" t="n">
        <f aca="false">VLOOKUP(C1427,Products!$A$5:$D$24,4,FALSE())</f>
        <v>38</v>
      </c>
      <c r="J1427" s="42" t="n">
        <f aca="false">DATE(YEAR(B1427),MONTH(B1427),1)</f>
        <v>45839</v>
      </c>
      <c r="K1427" s="41" t="n">
        <f aca="false">D1427*E1427</f>
        <v>597.84</v>
      </c>
      <c r="L1427" s="41" t="n">
        <f aca="false">D1427*I1427</f>
        <v>304</v>
      </c>
      <c r="M1427" s="41" t="n">
        <f aca="false">IFERROR(INDEX(Raw_Expenses!$C$5:$C$2979,MATCH(A1427,Raw_Expenses!$A$5:$A$2979,0)),0)</f>
        <v>40.22</v>
      </c>
      <c r="N1427" s="41" t="n">
        <f aca="false">L1427+M1427</f>
        <v>344.22</v>
      </c>
      <c r="O1427" s="41" t="n">
        <f aca="false">K1427-N1427</f>
        <v>253.62</v>
      </c>
      <c r="P1427" s="43" t="n">
        <f aca="false">IF(K1427=0,0,O1427/K1427)</f>
        <v>0.424227217984745</v>
      </c>
    </row>
    <row r="1428" customFormat="false" ht="15" hidden="false" customHeight="false" outlineLevel="0" collapsed="false">
      <c r="A1428" s="39" t="s">
        <v>1550</v>
      </c>
      <c r="B1428" s="40" t="n">
        <v>45859</v>
      </c>
      <c r="C1428" s="39" t="s">
        <v>183</v>
      </c>
      <c r="D1428" s="39" t="n">
        <v>3</v>
      </c>
      <c r="E1428" s="41" t="n">
        <v>187.83</v>
      </c>
      <c r="F1428" s="39" t="s">
        <v>105</v>
      </c>
      <c r="G1428" s="39" t="str">
        <f aca="false">VLOOKUP(C1428,Products!$A$5:$D$24,2,FALSE())</f>
        <v>Office Chair</v>
      </c>
      <c r="H1428" s="39" t="str">
        <f aca="false">VLOOKUP(C1428,Products!$A$5:$D$24,3,FALSE())</f>
        <v>Furniture</v>
      </c>
      <c r="I1428" s="41" t="n">
        <f aca="false">VLOOKUP(C1428,Products!$A$5:$D$24,4,FALSE())</f>
        <v>85</v>
      </c>
      <c r="J1428" s="42" t="n">
        <f aca="false">DATE(YEAR(B1428),MONTH(B1428),1)</f>
        <v>45839</v>
      </c>
      <c r="K1428" s="41" t="n">
        <f aca="false">D1428*E1428</f>
        <v>563.49</v>
      </c>
      <c r="L1428" s="41" t="n">
        <f aca="false">D1428*I1428</f>
        <v>255</v>
      </c>
      <c r="M1428" s="41" t="n">
        <f aca="false">IFERROR(INDEX(Raw_Expenses!$C$5:$C$2979,MATCH(A1428,Raw_Expenses!$A$5:$A$2979,0)),0)</f>
        <v>24.61</v>
      </c>
      <c r="N1428" s="41" t="n">
        <f aca="false">L1428+M1428</f>
        <v>279.61</v>
      </c>
      <c r="O1428" s="41" t="n">
        <f aca="false">K1428-N1428</f>
        <v>283.88</v>
      </c>
      <c r="P1428" s="43" t="n">
        <f aca="false">IF(K1428=0,0,O1428/K1428)</f>
        <v>0.503788887114235</v>
      </c>
    </row>
    <row r="1429" customFormat="false" ht="15" hidden="false" customHeight="false" outlineLevel="0" collapsed="false">
      <c r="A1429" s="39" t="s">
        <v>1551</v>
      </c>
      <c r="B1429" s="40" t="n">
        <v>45859</v>
      </c>
      <c r="C1429" s="39" t="s">
        <v>136</v>
      </c>
      <c r="D1429" s="39" t="n">
        <v>1</v>
      </c>
      <c r="E1429" s="41" t="n">
        <v>77.54</v>
      </c>
      <c r="F1429" s="39" t="s">
        <v>115</v>
      </c>
      <c r="G1429" s="39" t="str">
        <f aca="false">VLOOKUP(C1429,Products!$A$5:$D$24,2,FALSE())</f>
        <v>Mechanical Keyboard</v>
      </c>
      <c r="H1429" s="39" t="str">
        <f aca="false">VLOOKUP(C1429,Products!$A$5:$D$24,3,FALSE())</f>
        <v>Electronics</v>
      </c>
      <c r="I1429" s="41" t="n">
        <f aca="false">VLOOKUP(C1429,Products!$A$5:$D$24,4,FALSE())</f>
        <v>38</v>
      </c>
      <c r="J1429" s="42" t="n">
        <f aca="false">DATE(YEAR(B1429),MONTH(B1429),1)</f>
        <v>45839</v>
      </c>
      <c r="K1429" s="41" t="n">
        <f aca="false">D1429*E1429</f>
        <v>77.54</v>
      </c>
      <c r="L1429" s="41" t="n">
        <f aca="false">D1429*I1429</f>
        <v>38</v>
      </c>
      <c r="M1429" s="41" t="n">
        <f aca="false">IFERROR(INDEX(Raw_Expenses!$C$5:$C$2979,MATCH(A1429,Raw_Expenses!$A$5:$A$2979,0)),0)</f>
        <v>5.91</v>
      </c>
      <c r="N1429" s="41" t="n">
        <f aca="false">L1429+M1429</f>
        <v>43.91</v>
      </c>
      <c r="O1429" s="41" t="n">
        <f aca="false">K1429-N1429</f>
        <v>33.63</v>
      </c>
      <c r="P1429" s="43" t="n">
        <f aca="false">IF(K1429=0,0,O1429/K1429)</f>
        <v>0.4337116327057</v>
      </c>
    </row>
    <row r="1430" customFormat="false" ht="15" hidden="false" customHeight="false" outlineLevel="0" collapsed="false">
      <c r="A1430" s="39" t="s">
        <v>1552</v>
      </c>
      <c r="B1430" s="40" t="n">
        <v>45859</v>
      </c>
      <c r="C1430" s="39" t="s">
        <v>169</v>
      </c>
      <c r="D1430" s="39" t="n">
        <v>2</v>
      </c>
      <c r="E1430" s="41" t="n">
        <v>28.97</v>
      </c>
      <c r="F1430" s="39" t="s">
        <v>105</v>
      </c>
      <c r="G1430" s="39" t="str">
        <f aca="false">VLOOKUP(C1430,Products!$A$5:$D$24,2,FALSE())</f>
        <v>Laptop Stand</v>
      </c>
      <c r="H1430" s="39" t="str">
        <f aca="false">VLOOKUP(C1430,Products!$A$5:$D$24,3,FALSE())</f>
        <v>Accessories</v>
      </c>
      <c r="I1430" s="41" t="n">
        <f aca="false">VLOOKUP(C1430,Products!$A$5:$D$24,4,FALSE())</f>
        <v>11</v>
      </c>
      <c r="J1430" s="42" t="n">
        <f aca="false">DATE(YEAR(B1430),MONTH(B1430),1)</f>
        <v>45839</v>
      </c>
      <c r="K1430" s="41" t="n">
        <f aca="false">D1430*E1430</f>
        <v>57.94</v>
      </c>
      <c r="L1430" s="41" t="n">
        <f aca="false">D1430*I1430</f>
        <v>22</v>
      </c>
      <c r="M1430" s="41" t="n">
        <f aca="false">IFERROR(INDEX(Raw_Expenses!$C$5:$C$2979,MATCH(A1430,Raw_Expenses!$A$5:$A$2979,0)),0)</f>
        <v>4.31</v>
      </c>
      <c r="N1430" s="41" t="n">
        <f aca="false">L1430+M1430</f>
        <v>26.31</v>
      </c>
      <c r="O1430" s="41" t="n">
        <f aca="false">K1430-N1430</f>
        <v>31.63</v>
      </c>
      <c r="P1430" s="43" t="n">
        <f aca="false">IF(K1430=0,0,O1430/K1430)</f>
        <v>0.545909561615464</v>
      </c>
    </row>
    <row r="1431" customFormat="false" ht="15" hidden="false" customHeight="false" outlineLevel="0" collapsed="false">
      <c r="A1431" s="39" t="s">
        <v>1553</v>
      </c>
      <c r="B1431" s="40" t="n">
        <v>45859</v>
      </c>
      <c r="C1431" s="39" t="s">
        <v>183</v>
      </c>
      <c r="D1431" s="39" t="n">
        <v>2</v>
      </c>
      <c r="E1431" s="41" t="n">
        <v>176.48</v>
      </c>
      <c r="F1431" s="39" t="s">
        <v>105</v>
      </c>
      <c r="G1431" s="39" t="str">
        <f aca="false">VLOOKUP(C1431,Products!$A$5:$D$24,2,FALSE())</f>
        <v>Office Chair</v>
      </c>
      <c r="H1431" s="39" t="str">
        <f aca="false">VLOOKUP(C1431,Products!$A$5:$D$24,3,FALSE())</f>
        <v>Furniture</v>
      </c>
      <c r="I1431" s="41" t="n">
        <f aca="false">VLOOKUP(C1431,Products!$A$5:$D$24,4,FALSE())</f>
        <v>85</v>
      </c>
      <c r="J1431" s="42" t="n">
        <f aca="false">DATE(YEAR(B1431),MONTH(B1431),1)</f>
        <v>45839</v>
      </c>
      <c r="K1431" s="41" t="n">
        <f aca="false">D1431*E1431</f>
        <v>352.96</v>
      </c>
      <c r="L1431" s="41" t="n">
        <f aca="false">D1431*I1431</f>
        <v>170</v>
      </c>
      <c r="M1431" s="41" t="n">
        <f aca="false">IFERROR(INDEX(Raw_Expenses!$C$5:$C$2979,MATCH(A1431,Raw_Expenses!$A$5:$A$2979,0)),0)</f>
        <v>17.71</v>
      </c>
      <c r="N1431" s="41" t="n">
        <f aca="false">L1431+M1431</f>
        <v>187.71</v>
      </c>
      <c r="O1431" s="41" t="n">
        <f aca="false">K1431-N1431</f>
        <v>165.25</v>
      </c>
      <c r="P1431" s="43" t="n">
        <f aca="false">IF(K1431=0,0,O1431/K1431)</f>
        <v>0.468183363553944</v>
      </c>
    </row>
    <row r="1432" customFormat="false" ht="15" hidden="false" customHeight="false" outlineLevel="0" collapsed="false">
      <c r="A1432" s="39" t="s">
        <v>1554</v>
      </c>
      <c r="B1432" s="40" t="n">
        <v>45859</v>
      </c>
      <c r="C1432" s="39" t="s">
        <v>104</v>
      </c>
      <c r="D1432" s="39" t="n">
        <v>2</v>
      </c>
      <c r="E1432" s="41" t="n">
        <v>15.96</v>
      </c>
      <c r="F1432" s="39" t="s">
        <v>108</v>
      </c>
      <c r="G1432" s="39" t="str">
        <f aca="false">VLOOKUP(C1432,Products!$A$5:$D$24,2,FALSE())</f>
        <v>Water Bottle</v>
      </c>
      <c r="H1432" s="39" t="str">
        <f aca="false">VLOOKUP(C1432,Products!$A$5:$D$24,3,FALSE())</f>
        <v>Accessories</v>
      </c>
      <c r="I1432" s="41" t="n">
        <f aca="false">VLOOKUP(C1432,Products!$A$5:$D$24,4,FALSE())</f>
        <v>5</v>
      </c>
      <c r="J1432" s="42" t="n">
        <f aca="false">DATE(YEAR(B1432),MONTH(B1432),1)</f>
        <v>45839</v>
      </c>
      <c r="K1432" s="41" t="n">
        <f aca="false">D1432*E1432</f>
        <v>31.92</v>
      </c>
      <c r="L1432" s="41" t="n">
        <f aca="false">D1432*I1432</f>
        <v>10</v>
      </c>
      <c r="M1432" s="41" t="n">
        <f aca="false">IFERROR(INDEX(Raw_Expenses!$C$5:$C$2979,MATCH(A1432,Raw_Expenses!$A$5:$A$2979,0)),0)</f>
        <v>1.28</v>
      </c>
      <c r="N1432" s="41" t="n">
        <f aca="false">L1432+M1432</f>
        <v>11.28</v>
      </c>
      <c r="O1432" s="41" t="n">
        <f aca="false">K1432-N1432</f>
        <v>20.64</v>
      </c>
      <c r="P1432" s="43" t="n">
        <f aca="false">IF(K1432=0,0,O1432/K1432)</f>
        <v>0.646616541353383</v>
      </c>
    </row>
    <row r="1433" customFormat="false" ht="15" hidden="false" customHeight="false" outlineLevel="0" collapsed="false">
      <c r="A1433" s="39" t="s">
        <v>1555</v>
      </c>
      <c r="B1433" s="40" t="n">
        <v>45859</v>
      </c>
      <c r="C1433" s="39" t="s">
        <v>112</v>
      </c>
      <c r="D1433" s="39" t="n">
        <v>4</v>
      </c>
      <c r="E1433" s="41" t="n">
        <v>51.28</v>
      </c>
      <c r="F1433" s="39" t="s">
        <v>105</v>
      </c>
      <c r="G1433" s="39" t="str">
        <f aca="false">VLOOKUP(C1433,Products!$A$5:$D$24,2,FALSE())</f>
        <v>HD Webcam</v>
      </c>
      <c r="H1433" s="39" t="str">
        <f aca="false">VLOOKUP(C1433,Products!$A$5:$D$24,3,FALSE())</f>
        <v>Electronics</v>
      </c>
      <c r="I1433" s="41" t="n">
        <f aca="false">VLOOKUP(C1433,Products!$A$5:$D$24,4,FALSE())</f>
        <v>22</v>
      </c>
      <c r="J1433" s="42" t="n">
        <f aca="false">DATE(YEAR(B1433),MONTH(B1433),1)</f>
        <v>45839</v>
      </c>
      <c r="K1433" s="41" t="n">
        <f aca="false">D1433*E1433</f>
        <v>205.12</v>
      </c>
      <c r="L1433" s="41" t="n">
        <f aca="false">D1433*I1433</f>
        <v>88</v>
      </c>
      <c r="M1433" s="41" t="n">
        <f aca="false">IFERROR(INDEX(Raw_Expenses!$C$5:$C$2979,MATCH(A1433,Raw_Expenses!$A$5:$A$2979,0)),0)</f>
        <v>12.08</v>
      </c>
      <c r="N1433" s="41" t="n">
        <f aca="false">L1433+M1433</f>
        <v>100.08</v>
      </c>
      <c r="O1433" s="41" t="n">
        <f aca="false">K1433-N1433</f>
        <v>105.04</v>
      </c>
      <c r="P1433" s="43" t="n">
        <f aca="false">IF(K1433=0,0,O1433/K1433)</f>
        <v>0.512090483619345</v>
      </c>
    </row>
    <row r="1434" customFormat="false" ht="15" hidden="false" customHeight="false" outlineLevel="0" collapsed="false">
      <c r="A1434" s="39" t="s">
        <v>1556</v>
      </c>
      <c r="B1434" s="40" t="n">
        <v>45859</v>
      </c>
      <c r="C1434" s="39" t="s">
        <v>183</v>
      </c>
      <c r="D1434" s="39" t="n">
        <v>5</v>
      </c>
      <c r="E1434" s="41" t="n">
        <v>184.37</v>
      </c>
      <c r="F1434" s="39" t="s">
        <v>118</v>
      </c>
      <c r="G1434" s="39" t="str">
        <f aca="false">VLOOKUP(C1434,Products!$A$5:$D$24,2,FALSE())</f>
        <v>Office Chair</v>
      </c>
      <c r="H1434" s="39" t="str">
        <f aca="false">VLOOKUP(C1434,Products!$A$5:$D$24,3,FALSE())</f>
        <v>Furniture</v>
      </c>
      <c r="I1434" s="41" t="n">
        <f aca="false">VLOOKUP(C1434,Products!$A$5:$D$24,4,FALSE())</f>
        <v>85</v>
      </c>
      <c r="J1434" s="42" t="n">
        <f aca="false">DATE(YEAR(B1434),MONTH(B1434),1)</f>
        <v>45839</v>
      </c>
      <c r="K1434" s="41" t="n">
        <f aca="false">D1434*E1434</f>
        <v>921.85</v>
      </c>
      <c r="L1434" s="41" t="n">
        <f aca="false">D1434*I1434</f>
        <v>425</v>
      </c>
      <c r="M1434" s="41" t="n">
        <f aca="false">IFERROR(INDEX(Raw_Expenses!$C$5:$C$2979,MATCH(A1434,Raw_Expenses!$A$5:$A$2979,0)),0)</f>
        <v>60.12</v>
      </c>
      <c r="N1434" s="41" t="n">
        <f aca="false">L1434+M1434</f>
        <v>485.12</v>
      </c>
      <c r="O1434" s="41" t="n">
        <f aca="false">K1434-N1434</f>
        <v>436.73</v>
      </c>
      <c r="P1434" s="43" t="n">
        <f aca="false">IF(K1434=0,0,O1434/K1434)</f>
        <v>0.47375386451158</v>
      </c>
    </row>
    <row r="1435" customFormat="false" ht="15" hidden="false" customHeight="false" outlineLevel="0" collapsed="false">
      <c r="A1435" s="39" t="s">
        <v>1557</v>
      </c>
      <c r="B1435" s="40" t="n">
        <v>45859</v>
      </c>
      <c r="C1435" s="39" t="s">
        <v>128</v>
      </c>
      <c r="D1435" s="39" t="n">
        <v>2</v>
      </c>
      <c r="E1435" s="41" t="n">
        <v>36.35</v>
      </c>
      <c r="F1435" s="39" t="s">
        <v>108</v>
      </c>
      <c r="G1435" s="39" t="str">
        <f aca="false">VLOOKUP(C1435,Products!$A$5:$D$24,2,FALSE())</f>
        <v>Ergonomic Footrest</v>
      </c>
      <c r="H1435" s="39" t="str">
        <f aca="false">VLOOKUP(C1435,Products!$A$5:$D$24,3,FALSE())</f>
        <v>Furniture</v>
      </c>
      <c r="I1435" s="41" t="n">
        <f aca="false">VLOOKUP(C1435,Products!$A$5:$D$24,4,FALSE())</f>
        <v>15</v>
      </c>
      <c r="J1435" s="42" t="n">
        <f aca="false">DATE(YEAR(B1435),MONTH(B1435),1)</f>
        <v>45839</v>
      </c>
      <c r="K1435" s="41" t="n">
        <f aca="false">D1435*E1435</f>
        <v>72.7</v>
      </c>
      <c r="L1435" s="41" t="n">
        <f aca="false">D1435*I1435</f>
        <v>30</v>
      </c>
      <c r="M1435" s="41" t="n">
        <f aca="false">IFERROR(INDEX(Raw_Expenses!$C$5:$C$2979,MATCH(A1435,Raw_Expenses!$A$5:$A$2979,0)),0)</f>
        <v>5.47</v>
      </c>
      <c r="N1435" s="41" t="n">
        <f aca="false">L1435+M1435</f>
        <v>35.47</v>
      </c>
      <c r="O1435" s="41" t="n">
        <f aca="false">K1435-N1435</f>
        <v>37.23</v>
      </c>
      <c r="P1435" s="43" t="n">
        <f aca="false">IF(K1435=0,0,O1435/K1435)</f>
        <v>0.512104539202201</v>
      </c>
    </row>
    <row r="1436" customFormat="false" ht="15" hidden="false" customHeight="false" outlineLevel="0" collapsed="false">
      <c r="A1436" s="39" t="s">
        <v>1558</v>
      </c>
      <c r="B1436" s="40" t="n">
        <v>45860</v>
      </c>
      <c r="C1436" s="39" t="s">
        <v>169</v>
      </c>
      <c r="D1436" s="39" t="n">
        <v>2</v>
      </c>
      <c r="E1436" s="41" t="n">
        <v>27.27</v>
      </c>
      <c r="F1436" s="39" t="s">
        <v>108</v>
      </c>
      <c r="G1436" s="39" t="str">
        <f aca="false">VLOOKUP(C1436,Products!$A$5:$D$24,2,FALSE())</f>
        <v>Laptop Stand</v>
      </c>
      <c r="H1436" s="39" t="str">
        <f aca="false">VLOOKUP(C1436,Products!$A$5:$D$24,3,FALSE())</f>
        <v>Accessories</v>
      </c>
      <c r="I1436" s="41" t="n">
        <f aca="false">VLOOKUP(C1436,Products!$A$5:$D$24,4,FALSE())</f>
        <v>11</v>
      </c>
      <c r="J1436" s="42" t="n">
        <f aca="false">DATE(YEAR(B1436),MONTH(B1436),1)</f>
        <v>45839</v>
      </c>
      <c r="K1436" s="41" t="n">
        <f aca="false">D1436*E1436</f>
        <v>54.54</v>
      </c>
      <c r="L1436" s="41" t="n">
        <f aca="false">D1436*I1436</f>
        <v>22</v>
      </c>
      <c r="M1436" s="41" t="n">
        <f aca="false">IFERROR(INDEX(Raw_Expenses!$C$5:$C$2979,MATCH(A1436,Raw_Expenses!$A$5:$A$2979,0)),0)</f>
        <v>3.22</v>
      </c>
      <c r="N1436" s="41" t="n">
        <f aca="false">L1436+M1436</f>
        <v>25.22</v>
      </c>
      <c r="O1436" s="41" t="n">
        <f aca="false">K1436-N1436</f>
        <v>29.32</v>
      </c>
      <c r="P1436" s="43" t="n">
        <f aca="false">IF(K1436=0,0,O1436/K1436)</f>
        <v>0.537587092042538</v>
      </c>
    </row>
    <row r="1437" customFormat="false" ht="15" hidden="false" customHeight="false" outlineLevel="0" collapsed="false">
      <c r="A1437" s="39" t="s">
        <v>1559</v>
      </c>
      <c r="B1437" s="40" t="n">
        <v>45860</v>
      </c>
      <c r="C1437" s="39" t="s">
        <v>153</v>
      </c>
      <c r="D1437" s="39" t="n">
        <v>2</v>
      </c>
      <c r="E1437" s="41" t="n">
        <v>171.8</v>
      </c>
      <c r="F1437" s="39" t="s">
        <v>118</v>
      </c>
      <c r="G1437" s="39" t="str">
        <f aca="false">VLOOKUP(C1437,Products!$A$5:$D$24,2,FALSE())</f>
        <v>24-inch Monitor</v>
      </c>
      <c r="H1437" s="39" t="str">
        <f aca="false">VLOOKUP(C1437,Products!$A$5:$D$24,3,FALSE())</f>
        <v>Electronics</v>
      </c>
      <c r="I1437" s="41" t="n">
        <f aca="false">VLOOKUP(C1437,Products!$A$5:$D$24,4,FALSE())</f>
        <v>90</v>
      </c>
      <c r="J1437" s="42" t="n">
        <f aca="false">DATE(YEAR(B1437),MONTH(B1437),1)</f>
        <v>45839</v>
      </c>
      <c r="K1437" s="41" t="n">
        <f aca="false">D1437*E1437</f>
        <v>343.6</v>
      </c>
      <c r="L1437" s="41" t="n">
        <f aca="false">D1437*I1437</f>
        <v>180</v>
      </c>
      <c r="M1437" s="41" t="n">
        <f aca="false">IFERROR(INDEX(Raw_Expenses!$C$5:$C$2979,MATCH(A1437,Raw_Expenses!$A$5:$A$2979,0)),0)</f>
        <v>20.27</v>
      </c>
      <c r="N1437" s="41" t="n">
        <f aca="false">L1437+M1437</f>
        <v>200.27</v>
      </c>
      <c r="O1437" s="41" t="n">
        <f aca="false">K1437-N1437</f>
        <v>143.33</v>
      </c>
      <c r="P1437" s="43" t="n">
        <f aca="false">IF(K1437=0,0,O1437/K1437)</f>
        <v>0.417142025611176</v>
      </c>
    </row>
    <row r="1438" customFormat="false" ht="15" hidden="false" customHeight="false" outlineLevel="0" collapsed="false">
      <c r="A1438" s="39" t="s">
        <v>1560</v>
      </c>
      <c r="B1438" s="40" t="n">
        <v>45860</v>
      </c>
      <c r="C1438" s="39" t="s">
        <v>110</v>
      </c>
      <c r="D1438" s="39" t="n">
        <v>4</v>
      </c>
      <c r="E1438" s="41" t="n">
        <v>12.98</v>
      </c>
      <c r="F1438" s="39" t="s">
        <v>118</v>
      </c>
      <c r="G1438" s="39" t="str">
        <f aca="false">VLOOKUP(C1438,Products!$A$5:$D$24,2,FALSE())</f>
        <v>Phone Stand</v>
      </c>
      <c r="H1438" s="39" t="str">
        <f aca="false">VLOOKUP(C1438,Products!$A$5:$D$24,3,FALSE())</f>
        <v>Accessories</v>
      </c>
      <c r="I1438" s="41" t="n">
        <f aca="false">VLOOKUP(C1438,Products!$A$5:$D$24,4,FALSE())</f>
        <v>4</v>
      </c>
      <c r="J1438" s="42" t="n">
        <f aca="false">DATE(YEAR(B1438),MONTH(B1438),1)</f>
        <v>45839</v>
      </c>
      <c r="K1438" s="41" t="n">
        <f aca="false">D1438*E1438</f>
        <v>51.92</v>
      </c>
      <c r="L1438" s="41" t="n">
        <f aca="false">D1438*I1438</f>
        <v>16</v>
      </c>
      <c r="M1438" s="41" t="n">
        <f aca="false">IFERROR(INDEX(Raw_Expenses!$C$5:$C$2979,MATCH(A1438,Raw_Expenses!$A$5:$A$2979,0)),0)</f>
        <v>4.48</v>
      </c>
      <c r="N1438" s="41" t="n">
        <f aca="false">L1438+M1438</f>
        <v>20.48</v>
      </c>
      <c r="O1438" s="41" t="n">
        <f aca="false">K1438-N1438</f>
        <v>31.44</v>
      </c>
      <c r="P1438" s="43" t="n">
        <f aca="false">IF(K1438=0,0,O1438/K1438)</f>
        <v>0.605546995377504</v>
      </c>
    </row>
    <row r="1439" customFormat="false" ht="15" hidden="false" customHeight="false" outlineLevel="0" collapsed="false">
      <c r="A1439" s="39" t="s">
        <v>1561</v>
      </c>
      <c r="B1439" s="40" t="n">
        <v>45860</v>
      </c>
      <c r="C1439" s="39" t="s">
        <v>153</v>
      </c>
      <c r="D1439" s="39" t="n">
        <v>6</v>
      </c>
      <c r="E1439" s="41" t="n">
        <v>165.01</v>
      </c>
      <c r="F1439" s="39" t="s">
        <v>105</v>
      </c>
      <c r="G1439" s="39" t="str">
        <f aca="false">VLOOKUP(C1439,Products!$A$5:$D$24,2,FALSE())</f>
        <v>24-inch Monitor</v>
      </c>
      <c r="H1439" s="39" t="str">
        <f aca="false">VLOOKUP(C1439,Products!$A$5:$D$24,3,FALSE())</f>
        <v>Electronics</v>
      </c>
      <c r="I1439" s="41" t="n">
        <f aca="false">VLOOKUP(C1439,Products!$A$5:$D$24,4,FALSE())</f>
        <v>90</v>
      </c>
      <c r="J1439" s="42" t="n">
        <f aca="false">DATE(YEAR(B1439),MONTH(B1439),1)</f>
        <v>45839</v>
      </c>
      <c r="K1439" s="41" t="n">
        <f aca="false">D1439*E1439</f>
        <v>990.06</v>
      </c>
      <c r="L1439" s="41" t="n">
        <f aca="false">D1439*I1439</f>
        <v>540</v>
      </c>
      <c r="M1439" s="41" t="n">
        <f aca="false">IFERROR(INDEX(Raw_Expenses!$C$5:$C$2979,MATCH(A1439,Raw_Expenses!$A$5:$A$2979,0)),0)</f>
        <v>45.88</v>
      </c>
      <c r="N1439" s="41" t="n">
        <f aca="false">L1439+M1439</f>
        <v>585.88</v>
      </c>
      <c r="O1439" s="41" t="n">
        <f aca="false">K1439-N1439</f>
        <v>404.18</v>
      </c>
      <c r="P1439" s="43" t="n">
        <f aca="false">IF(K1439=0,0,O1439/K1439)</f>
        <v>0.408237884572652</v>
      </c>
    </row>
    <row r="1440" customFormat="false" ht="15" hidden="false" customHeight="false" outlineLevel="0" collapsed="false">
      <c r="A1440" s="39" t="s">
        <v>1562</v>
      </c>
      <c r="B1440" s="40" t="n">
        <v>45860</v>
      </c>
      <c r="C1440" s="39" t="s">
        <v>305</v>
      </c>
      <c r="D1440" s="39" t="n">
        <v>2</v>
      </c>
      <c r="E1440" s="41" t="n">
        <v>331.78</v>
      </c>
      <c r="F1440" s="39" t="s">
        <v>108</v>
      </c>
      <c r="G1440" s="39" t="str">
        <f aca="false">VLOOKUP(C1440,Products!$A$5:$D$24,2,FALSE())</f>
        <v>Standing Desk</v>
      </c>
      <c r="H1440" s="39" t="str">
        <f aca="false">VLOOKUP(C1440,Products!$A$5:$D$24,3,FALSE())</f>
        <v>Furniture</v>
      </c>
      <c r="I1440" s="41" t="n">
        <f aca="false">VLOOKUP(C1440,Products!$A$5:$D$24,4,FALSE())</f>
        <v>160</v>
      </c>
      <c r="J1440" s="42" t="n">
        <f aca="false">DATE(YEAR(B1440),MONTH(B1440),1)</f>
        <v>45839</v>
      </c>
      <c r="K1440" s="41" t="n">
        <f aca="false">D1440*E1440</f>
        <v>663.56</v>
      </c>
      <c r="L1440" s="41" t="n">
        <f aca="false">D1440*I1440</f>
        <v>320</v>
      </c>
      <c r="M1440" s="41" t="n">
        <f aca="false">IFERROR(INDEX(Raw_Expenses!$C$5:$C$2979,MATCH(A1440,Raw_Expenses!$A$5:$A$2979,0)),0)</f>
        <v>29.63</v>
      </c>
      <c r="N1440" s="41" t="n">
        <f aca="false">L1440+M1440</f>
        <v>349.63</v>
      </c>
      <c r="O1440" s="41" t="n">
        <f aca="false">K1440-N1440</f>
        <v>313.93</v>
      </c>
      <c r="P1440" s="43" t="n">
        <f aca="false">IF(K1440=0,0,O1440/K1440)</f>
        <v>0.473099644342637</v>
      </c>
    </row>
    <row r="1441" customFormat="false" ht="15" hidden="false" customHeight="false" outlineLevel="0" collapsed="false">
      <c r="A1441" s="39" t="s">
        <v>1563</v>
      </c>
      <c r="B1441" s="40" t="n">
        <v>45860</v>
      </c>
      <c r="C1441" s="39" t="s">
        <v>112</v>
      </c>
      <c r="D1441" s="39" t="n">
        <v>4</v>
      </c>
      <c r="E1441" s="41" t="n">
        <v>52.85</v>
      </c>
      <c r="F1441" s="39" t="s">
        <v>105</v>
      </c>
      <c r="G1441" s="39" t="str">
        <f aca="false">VLOOKUP(C1441,Products!$A$5:$D$24,2,FALSE())</f>
        <v>HD Webcam</v>
      </c>
      <c r="H1441" s="39" t="str">
        <f aca="false">VLOOKUP(C1441,Products!$A$5:$D$24,3,FALSE())</f>
        <v>Electronics</v>
      </c>
      <c r="I1441" s="41" t="n">
        <f aca="false">VLOOKUP(C1441,Products!$A$5:$D$24,4,FALSE())</f>
        <v>22</v>
      </c>
      <c r="J1441" s="42" t="n">
        <f aca="false">DATE(YEAR(B1441),MONTH(B1441),1)</f>
        <v>45839</v>
      </c>
      <c r="K1441" s="41" t="n">
        <f aca="false">D1441*E1441</f>
        <v>211.4</v>
      </c>
      <c r="L1441" s="41" t="n">
        <f aca="false">D1441*I1441</f>
        <v>88</v>
      </c>
      <c r="M1441" s="41" t="n">
        <f aca="false">IFERROR(INDEX(Raw_Expenses!$C$5:$C$2979,MATCH(A1441,Raw_Expenses!$A$5:$A$2979,0)),0)</f>
        <v>9.86</v>
      </c>
      <c r="N1441" s="41" t="n">
        <f aca="false">L1441+M1441</f>
        <v>97.86</v>
      </c>
      <c r="O1441" s="41" t="n">
        <f aca="false">K1441-N1441</f>
        <v>113.54</v>
      </c>
      <c r="P1441" s="43" t="n">
        <f aca="false">IF(K1441=0,0,O1441/K1441)</f>
        <v>0.537086092715232</v>
      </c>
    </row>
    <row r="1442" customFormat="false" ht="15" hidden="false" customHeight="false" outlineLevel="0" collapsed="false">
      <c r="A1442" s="39" t="s">
        <v>1564</v>
      </c>
      <c r="B1442" s="40" t="n">
        <v>45860</v>
      </c>
      <c r="C1442" s="39" t="s">
        <v>133</v>
      </c>
      <c r="D1442" s="39" t="n">
        <v>3</v>
      </c>
      <c r="E1442" s="41" t="n">
        <v>8.86</v>
      </c>
      <c r="F1442" s="39" t="s">
        <v>118</v>
      </c>
      <c r="G1442" s="39" t="str">
        <f aca="false">VLOOKUP(C1442,Products!$A$5:$D$24,2,FALSE())</f>
        <v>Printer Paper Ream</v>
      </c>
      <c r="H1442" s="39" t="str">
        <f aca="false">VLOOKUP(C1442,Products!$A$5:$D$24,3,FALSE())</f>
        <v>Stationery</v>
      </c>
      <c r="I1442" s="41" t="n">
        <f aca="false">VLOOKUP(C1442,Products!$A$5:$D$24,4,FALSE())</f>
        <v>4</v>
      </c>
      <c r="J1442" s="42" t="n">
        <f aca="false">DATE(YEAR(B1442),MONTH(B1442),1)</f>
        <v>45839</v>
      </c>
      <c r="K1442" s="41" t="n">
        <f aca="false">D1442*E1442</f>
        <v>26.58</v>
      </c>
      <c r="L1442" s="41" t="n">
        <f aca="false">D1442*I1442</f>
        <v>12</v>
      </c>
      <c r="M1442" s="41" t="n">
        <f aca="false">IFERROR(INDEX(Raw_Expenses!$C$5:$C$2979,MATCH(A1442,Raw_Expenses!$A$5:$A$2979,0)),0)</f>
        <v>1.77</v>
      </c>
      <c r="N1442" s="41" t="n">
        <f aca="false">L1442+M1442</f>
        <v>13.77</v>
      </c>
      <c r="O1442" s="41" t="n">
        <f aca="false">K1442-N1442</f>
        <v>12.81</v>
      </c>
      <c r="P1442" s="43" t="n">
        <f aca="false">IF(K1442=0,0,O1442/K1442)</f>
        <v>0.481941309255079</v>
      </c>
    </row>
    <row r="1443" customFormat="false" ht="15" hidden="false" customHeight="false" outlineLevel="0" collapsed="false">
      <c r="A1443" s="39" t="s">
        <v>1565</v>
      </c>
      <c r="B1443" s="40" t="n">
        <v>45860</v>
      </c>
      <c r="C1443" s="39" t="s">
        <v>126</v>
      </c>
      <c r="D1443" s="39" t="n">
        <v>2</v>
      </c>
      <c r="E1443" s="41" t="n">
        <v>23.06</v>
      </c>
      <c r="F1443" s="39" t="s">
        <v>118</v>
      </c>
      <c r="G1443" s="39" t="str">
        <f aca="false">VLOOKUP(C1443,Products!$A$5:$D$24,2,FALSE())</f>
        <v>Wireless Mouse</v>
      </c>
      <c r="H1443" s="39" t="str">
        <f aca="false">VLOOKUP(C1443,Products!$A$5:$D$24,3,FALSE())</f>
        <v>Electronics</v>
      </c>
      <c r="I1443" s="41" t="n">
        <f aca="false">VLOOKUP(C1443,Products!$A$5:$D$24,4,FALSE())</f>
        <v>12</v>
      </c>
      <c r="J1443" s="42" t="n">
        <f aca="false">DATE(YEAR(B1443),MONTH(B1443),1)</f>
        <v>45839</v>
      </c>
      <c r="K1443" s="41" t="n">
        <f aca="false">D1443*E1443</f>
        <v>46.12</v>
      </c>
      <c r="L1443" s="41" t="n">
        <f aca="false">D1443*I1443</f>
        <v>24</v>
      </c>
      <c r="M1443" s="41" t="n">
        <f aca="false">IFERROR(INDEX(Raw_Expenses!$C$5:$C$2979,MATCH(A1443,Raw_Expenses!$A$5:$A$2979,0)),0)</f>
        <v>3.45</v>
      </c>
      <c r="N1443" s="41" t="n">
        <f aca="false">L1443+M1443</f>
        <v>27.45</v>
      </c>
      <c r="O1443" s="41" t="n">
        <f aca="false">K1443-N1443</f>
        <v>18.67</v>
      </c>
      <c r="P1443" s="43" t="n">
        <f aca="false">IF(K1443=0,0,O1443/K1443)</f>
        <v>0.404813529921943</v>
      </c>
    </row>
    <row r="1444" customFormat="false" ht="15" hidden="false" customHeight="false" outlineLevel="0" collapsed="false">
      <c r="A1444" s="39" t="s">
        <v>1566</v>
      </c>
      <c r="B1444" s="40" t="n">
        <v>45860</v>
      </c>
      <c r="C1444" s="39" t="s">
        <v>162</v>
      </c>
      <c r="D1444" s="39" t="n">
        <v>1</v>
      </c>
      <c r="E1444" s="41" t="n">
        <v>68.61</v>
      </c>
      <c r="F1444" s="39" t="s">
        <v>105</v>
      </c>
      <c r="G1444" s="39" t="str">
        <f aca="false">VLOOKUP(C1444,Products!$A$5:$D$24,2,FALSE())</f>
        <v>Bluetooth Speaker</v>
      </c>
      <c r="H1444" s="39" t="str">
        <f aca="false">VLOOKUP(C1444,Products!$A$5:$D$24,3,FALSE())</f>
        <v>Electronics</v>
      </c>
      <c r="I1444" s="41" t="n">
        <f aca="false">VLOOKUP(C1444,Products!$A$5:$D$24,4,FALSE())</f>
        <v>28</v>
      </c>
      <c r="J1444" s="42" t="n">
        <f aca="false">DATE(YEAR(B1444),MONTH(B1444),1)</f>
        <v>45839</v>
      </c>
      <c r="K1444" s="41" t="n">
        <f aca="false">D1444*E1444</f>
        <v>68.61</v>
      </c>
      <c r="L1444" s="41" t="n">
        <f aca="false">D1444*I1444</f>
        <v>28</v>
      </c>
      <c r="M1444" s="41" t="n">
        <f aca="false">IFERROR(INDEX(Raw_Expenses!$C$5:$C$2979,MATCH(A1444,Raw_Expenses!$A$5:$A$2979,0)),0)</f>
        <v>4.47</v>
      </c>
      <c r="N1444" s="41" t="n">
        <f aca="false">L1444+M1444</f>
        <v>32.47</v>
      </c>
      <c r="O1444" s="41" t="n">
        <f aca="false">K1444-N1444</f>
        <v>36.14</v>
      </c>
      <c r="P1444" s="43" t="n">
        <f aca="false">IF(K1444=0,0,O1444/K1444)</f>
        <v>0.526745372394695</v>
      </c>
    </row>
    <row r="1445" customFormat="false" ht="15" hidden="false" customHeight="false" outlineLevel="0" collapsed="false">
      <c r="A1445" s="39" t="s">
        <v>1567</v>
      </c>
      <c r="B1445" s="40" t="n">
        <v>45861</v>
      </c>
      <c r="C1445" s="39" t="s">
        <v>177</v>
      </c>
      <c r="D1445" s="39" t="n">
        <v>1</v>
      </c>
      <c r="E1445" s="41" t="n">
        <v>44.26</v>
      </c>
      <c r="F1445" s="39" t="s">
        <v>105</v>
      </c>
      <c r="G1445" s="39" t="str">
        <f aca="false">VLOOKUP(C1445,Products!$A$5:$D$24,2,FALSE())</f>
        <v>Backpack</v>
      </c>
      <c r="H1445" s="39" t="str">
        <f aca="false">VLOOKUP(C1445,Products!$A$5:$D$24,3,FALSE())</f>
        <v>Accessories</v>
      </c>
      <c r="I1445" s="41" t="n">
        <f aca="false">VLOOKUP(C1445,Products!$A$5:$D$24,4,FALSE())</f>
        <v>17</v>
      </c>
      <c r="J1445" s="42" t="n">
        <f aca="false">DATE(YEAR(B1445),MONTH(B1445),1)</f>
        <v>45839</v>
      </c>
      <c r="K1445" s="41" t="n">
        <f aca="false">D1445*E1445</f>
        <v>44.26</v>
      </c>
      <c r="L1445" s="41" t="n">
        <f aca="false">D1445*I1445</f>
        <v>17</v>
      </c>
      <c r="M1445" s="41" t="n">
        <f aca="false">IFERROR(INDEX(Raw_Expenses!$C$5:$C$2979,MATCH(A1445,Raw_Expenses!$A$5:$A$2979,0)),0)</f>
        <v>1.94</v>
      </c>
      <c r="N1445" s="41" t="n">
        <f aca="false">L1445+M1445</f>
        <v>18.94</v>
      </c>
      <c r="O1445" s="41" t="n">
        <f aca="false">K1445-N1445</f>
        <v>25.32</v>
      </c>
      <c r="P1445" s="43" t="n">
        <f aca="false">IF(K1445=0,0,O1445/K1445)</f>
        <v>0.572074107546317</v>
      </c>
    </row>
    <row r="1446" customFormat="false" ht="15" hidden="false" customHeight="false" outlineLevel="0" collapsed="false">
      <c r="A1446" s="39" t="s">
        <v>1568</v>
      </c>
      <c r="B1446" s="40" t="n">
        <v>45861</v>
      </c>
      <c r="C1446" s="39" t="s">
        <v>126</v>
      </c>
      <c r="D1446" s="39" t="n">
        <v>3</v>
      </c>
      <c r="E1446" s="41" t="n">
        <v>24.69</v>
      </c>
      <c r="F1446" s="39" t="s">
        <v>118</v>
      </c>
      <c r="G1446" s="39" t="str">
        <f aca="false">VLOOKUP(C1446,Products!$A$5:$D$24,2,FALSE())</f>
        <v>Wireless Mouse</v>
      </c>
      <c r="H1446" s="39" t="str">
        <f aca="false">VLOOKUP(C1446,Products!$A$5:$D$24,3,FALSE())</f>
        <v>Electronics</v>
      </c>
      <c r="I1446" s="41" t="n">
        <f aca="false">VLOOKUP(C1446,Products!$A$5:$D$24,4,FALSE())</f>
        <v>12</v>
      </c>
      <c r="J1446" s="42" t="n">
        <f aca="false">DATE(YEAR(B1446),MONTH(B1446),1)</f>
        <v>45839</v>
      </c>
      <c r="K1446" s="41" t="n">
        <f aca="false">D1446*E1446</f>
        <v>74.07</v>
      </c>
      <c r="L1446" s="41" t="n">
        <f aca="false">D1446*I1446</f>
        <v>36</v>
      </c>
      <c r="M1446" s="41" t="n">
        <f aca="false">IFERROR(INDEX(Raw_Expenses!$C$5:$C$2979,MATCH(A1446,Raw_Expenses!$A$5:$A$2979,0)),0)</f>
        <v>4.82</v>
      </c>
      <c r="N1446" s="41" t="n">
        <f aca="false">L1446+M1446</f>
        <v>40.82</v>
      </c>
      <c r="O1446" s="41" t="n">
        <f aca="false">K1446-N1446</f>
        <v>33.25</v>
      </c>
      <c r="P1446" s="43" t="n">
        <f aca="false">IF(K1446=0,0,O1446/K1446)</f>
        <v>0.448899689482922</v>
      </c>
    </row>
    <row r="1447" customFormat="false" ht="15" hidden="false" customHeight="false" outlineLevel="0" collapsed="false">
      <c r="A1447" s="39" t="s">
        <v>1569</v>
      </c>
      <c r="B1447" s="40" t="n">
        <v>45861</v>
      </c>
      <c r="C1447" s="39" t="s">
        <v>104</v>
      </c>
      <c r="D1447" s="39" t="n">
        <v>2</v>
      </c>
      <c r="E1447" s="41" t="n">
        <v>14.99</v>
      </c>
      <c r="F1447" s="39" t="s">
        <v>118</v>
      </c>
      <c r="G1447" s="39" t="str">
        <f aca="false">VLOOKUP(C1447,Products!$A$5:$D$24,2,FALSE())</f>
        <v>Water Bottle</v>
      </c>
      <c r="H1447" s="39" t="str">
        <f aca="false">VLOOKUP(C1447,Products!$A$5:$D$24,3,FALSE())</f>
        <v>Accessories</v>
      </c>
      <c r="I1447" s="41" t="n">
        <f aca="false">VLOOKUP(C1447,Products!$A$5:$D$24,4,FALSE())</f>
        <v>5</v>
      </c>
      <c r="J1447" s="42" t="n">
        <f aca="false">DATE(YEAR(B1447),MONTH(B1447),1)</f>
        <v>45839</v>
      </c>
      <c r="K1447" s="41" t="n">
        <f aca="false">D1447*E1447</f>
        <v>29.98</v>
      </c>
      <c r="L1447" s="41" t="n">
        <f aca="false">D1447*I1447</f>
        <v>10</v>
      </c>
      <c r="M1447" s="41" t="n">
        <f aca="false">IFERROR(INDEX(Raw_Expenses!$C$5:$C$2979,MATCH(A1447,Raw_Expenses!$A$5:$A$2979,0)),0)</f>
        <v>2.37</v>
      </c>
      <c r="N1447" s="41" t="n">
        <f aca="false">L1447+M1447</f>
        <v>12.37</v>
      </c>
      <c r="O1447" s="41" t="n">
        <f aca="false">K1447-N1447</f>
        <v>17.61</v>
      </c>
      <c r="P1447" s="43" t="n">
        <f aca="false">IF(K1447=0,0,O1447/K1447)</f>
        <v>0.587391594396264</v>
      </c>
    </row>
    <row r="1448" customFormat="false" ht="15" hidden="false" customHeight="false" outlineLevel="0" collapsed="false">
      <c r="A1448" s="39" t="s">
        <v>1570</v>
      </c>
      <c r="B1448" s="40" t="n">
        <v>45861</v>
      </c>
      <c r="C1448" s="39" t="s">
        <v>177</v>
      </c>
      <c r="D1448" s="39" t="n">
        <v>3</v>
      </c>
      <c r="E1448" s="41" t="n">
        <v>42.88</v>
      </c>
      <c r="F1448" s="39" t="s">
        <v>105</v>
      </c>
      <c r="G1448" s="39" t="str">
        <f aca="false">VLOOKUP(C1448,Products!$A$5:$D$24,2,FALSE())</f>
        <v>Backpack</v>
      </c>
      <c r="H1448" s="39" t="str">
        <f aca="false">VLOOKUP(C1448,Products!$A$5:$D$24,3,FALSE())</f>
        <v>Accessories</v>
      </c>
      <c r="I1448" s="41" t="n">
        <f aca="false">VLOOKUP(C1448,Products!$A$5:$D$24,4,FALSE())</f>
        <v>17</v>
      </c>
      <c r="J1448" s="42" t="n">
        <f aca="false">DATE(YEAR(B1448),MONTH(B1448),1)</f>
        <v>45839</v>
      </c>
      <c r="K1448" s="41" t="n">
        <f aca="false">D1448*E1448</f>
        <v>128.64</v>
      </c>
      <c r="L1448" s="41" t="n">
        <f aca="false">D1448*I1448</f>
        <v>51</v>
      </c>
      <c r="M1448" s="41" t="n">
        <f aca="false">IFERROR(INDEX(Raw_Expenses!$C$5:$C$2979,MATCH(A1448,Raw_Expenses!$A$5:$A$2979,0)),0)</f>
        <v>10.84</v>
      </c>
      <c r="N1448" s="41" t="n">
        <f aca="false">L1448+M1448</f>
        <v>61.84</v>
      </c>
      <c r="O1448" s="41" t="n">
        <f aca="false">K1448-N1448</f>
        <v>66.8</v>
      </c>
      <c r="P1448" s="43" t="n">
        <f aca="false">IF(K1448=0,0,O1448/K1448)</f>
        <v>0.519278606965174</v>
      </c>
    </row>
    <row r="1449" customFormat="false" ht="15" hidden="false" customHeight="false" outlineLevel="0" collapsed="false">
      <c r="A1449" s="39" t="s">
        <v>1571</v>
      </c>
      <c r="B1449" s="40" t="n">
        <v>45861</v>
      </c>
      <c r="C1449" s="39" t="s">
        <v>183</v>
      </c>
      <c r="D1449" s="39" t="n">
        <v>1</v>
      </c>
      <c r="E1449" s="41" t="n">
        <v>179.5</v>
      </c>
      <c r="F1449" s="39" t="s">
        <v>115</v>
      </c>
      <c r="G1449" s="39" t="str">
        <f aca="false">VLOOKUP(C1449,Products!$A$5:$D$24,2,FALSE())</f>
        <v>Office Chair</v>
      </c>
      <c r="H1449" s="39" t="str">
        <f aca="false">VLOOKUP(C1449,Products!$A$5:$D$24,3,FALSE())</f>
        <v>Furniture</v>
      </c>
      <c r="I1449" s="41" t="n">
        <f aca="false">VLOOKUP(C1449,Products!$A$5:$D$24,4,FALSE())</f>
        <v>85</v>
      </c>
      <c r="J1449" s="42" t="n">
        <f aca="false">DATE(YEAR(B1449),MONTH(B1449),1)</f>
        <v>45839</v>
      </c>
      <c r="K1449" s="41" t="n">
        <f aca="false">D1449*E1449</f>
        <v>179.5</v>
      </c>
      <c r="L1449" s="41" t="n">
        <f aca="false">D1449*I1449</f>
        <v>85</v>
      </c>
      <c r="M1449" s="41" t="n">
        <f aca="false">IFERROR(INDEX(Raw_Expenses!$C$5:$C$2979,MATCH(A1449,Raw_Expenses!$A$5:$A$2979,0)),0)</f>
        <v>13.35</v>
      </c>
      <c r="N1449" s="41" t="n">
        <f aca="false">L1449+M1449</f>
        <v>98.35</v>
      </c>
      <c r="O1449" s="41" t="n">
        <f aca="false">K1449-N1449</f>
        <v>81.15</v>
      </c>
      <c r="P1449" s="43" t="n">
        <f aca="false">IF(K1449=0,0,O1449/K1449)</f>
        <v>0.452089136490251</v>
      </c>
    </row>
    <row r="1450" customFormat="false" ht="15" hidden="false" customHeight="false" outlineLevel="0" collapsed="false">
      <c r="A1450" s="39" t="s">
        <v>1572</v>
      </c>
      <c r="B1450" s="40" t="n">
        <v>45861</v>
      </c>
      <c r="C1450" s="39" t="s">
        <v>114</v>
      </c>
      <c r="D1450" s="39" t="n">
        <v>1</v>
      </c>
      <c r="E1450" s="41" t="n">
        <v>5.98</v>
      </c>
      <c r="F1450" s="39" t="s">
        <v>118</v>
      </c>
      <c r="G1450" s="39" t="str">
        <f aca="false">VLOOKUP(C1450,Products!$A$5:$D$24,2,FALSE())</f>
        <v>Gel Pen Pack</v>
      </c>
      <c r="H1450" s="39" t="str">
        <f aca="false">VLOOKUP(C1450,Products!$A$5:$D$24,3,FALSE())</f>
        <v>Stationery</v>
      </c>
      <c r="I1450" s="41" t="n">
        <f aca="false">VLOOKUP(C1450,Products!$A$5:$D$24,4,FALSE())</f>
        <v>2</v>
      </c>
      <c r="J1450" s="42" t="n">
        <f aca="false">DATE(YEAR(B1450),MONTH(B1450),1)</f>
        <v>45839</v>
      </c>
      <c r="K1450" s="41" t="n">
        <f aca="false">D1450*E1450</f>
        <v>5.98</v>
      </c>
      <c r="L1450" s="41" t="n">
        <f aca="false">D1450*I1450</f>
        <v>2</v>
      </c>
      <c r="M1450" s="41" t="n">
        <f aca="false">IFERROR(INDEX(Raw_Expenses!$C$5:$C$2979,MATCH(A1450,Raw_Expenses!$A$5:$A$2979,0)),0)</f>
        <v>0.28</v>
      </c>
      <c r="N1450" s="41" t="n">
        <f aca="false">L1450+M1450</f>
        <v>2.28</v>
      </c>
      <c r="O1450" s="41" t="n">
        <f aca="false">K1450-N1450</f>
        <v>3.7</v>
      </c>
      <c r="P1450" s="43" t="n">
        <f aca="false">IF(K1450=0,0,O1450/K1450)</f>
        <v>0.618729096989967</v>
      </c>
    </row>
    <row r="1451" customFormat="false" ht="15" hidden="false" customHeight="false" outlineLevel="0" collapsed="false">
      <c r="A1451" s="39" t="s">
        <v>1573</v>
      </c>
      <c r="B1451" s="40" t="n">
        <v>45861</v>
      </c>
      <c r="C1451" s="39" t="s">
        <v>126</v>
      </c>
      <c r="D1451" s="39" t="n">
        <v>1</v>
      </c>
      <c r="E1451" s="41" t="n">
        <v>23.4</v>
      </c>
      <c r="F1451" s="39" t="s">
        <v>108</v>
      </c>
      <c r="G1451" s="39" t="str">
        <f aca="false">VLOOKUP(C1451,Products!$A$5:$D$24,2,FALSE())</f>
        <v>Wireless Mouse</v>
      </c>
      <c r="H1451" s="39" t="str">
        <f aca="false">VLOOKUP(C1451,Products!$A$5:$D$24,3,FALSE())</f>
        <v>Electronics</v>
      </c>
      <c r="I1451" s="41" t="n">
        <f aca="false">VLOOKUP(C1451,Products!$A$5:$D$24,4,FALSE())</f>
        <v>12</v>
      </c>
      <c r="J1451" s="42" t="n">
        <f aca="false">DATE(YEAR(B1451),MONTH(B1451),1)</f>
        <v>45839</v>
      </c>
      <c r="K1451" s="41" t="n">
        <f aca="false">D1451*E1451</f>
        <v>23.4</v>
      </c>
      <c r="L1451" s="41" t="n">
        <f aca="false">D1451*I1451</f>
        <v>12</v>
      </c>
      <c r="M1451" s="41" t="n">
        <f aca="false">IFERROR(INDEX(Raw_Expenses!$C$5:$C$2979,MATCH(A1451,Raw_Expenses!$A$5:$A$2979,0)),0)</f>
        <v>1.45</v>
      </c>
      <c r="N1451" s="41" t="n">
        <f aca="false">L1451+M1451</f>
        <v>13.45</v>
      </c>
      <c r="O1451" s="41" t="n">
        <f aca="false">K1451-N1451</f>
        <v>9.95</v>
      </c>
      <c r="P1451" s="43" t="n">
        <f aca="false">IF(K1451=0,0,O1451/K1451)</f>
        <v>0.425213675213675</v>
      </c>
    </row>
    <row r="1452" customFormat="false" ht="15" hidden="false" customHeight="false" outlineLevel="0" collapsed="false">
      <c r="A1452" s="39" t="s">
        <v>1574</v>
      </c>
      <c r="B1452" s="40" t="n">
        <v>45861</v>
      </c>
      <c r="C1452" s="39" t="s">
        <v>114</v>
      </c>
      <c r="D1452" s="39" t="n">
        <v>1</v>
      </c>
      <c r="E1452" s="41" t="n">
        <v>5.8</v>
      </c>
      <c r="F1452" s="39" t="s">
        <v>105</v>
      </c>
      <c r="G1452" s="39" t="str">
        <f aca="false">VLOOKUP(C1452,Products!$A$5:$D$24,2,FALSE())</f>
        <v>Gel Pen Pack</v>
      </c>
      <c r="H1452" s="39" t="str">
        <f aca="false">VLOOKUP(C1452,Products!$A$5:$D$24,3,FALSE())</f>
        <v>Stationery</v>
      </c>
      <c r="I1452" s="41" t="n">
        <f aca="false">VLOOKUP(C1452,Products!$A$5:$D$24,4,FALSE())</f>
        <v>2</v>
      </c>
      <c r="J1452" s="42" t="n">
        <f aca="false">DATE(YEAR(B1452),MONTH(B1452),1)</f>
        <v>45839</v>
      </c>
      <c r="K1452" s="41" t="n">
        <f aca="false">D1452*E1452</f>
        <v>5.8</v>
      </c>
      <c r="L1452" s="41" t="n">
        <f aca="false">D1452*I1452</f>
        <v>2</v>
      </c>
      <c r="M1452" s="41" t="n">
        <f aca="false">IFERROR(INDEX(Raw_Expenses!$C$5:$C$2979,MATCH(A1452,Raw_Expenses!$A$5:$A$2979,0)),0)</f>
        <v>0.4</v>
      </c>
      <c r="N1452" s="41" t="n">
        <f aca="false">L1452+M1452</f>
        <v>2.4</v>
      </c>
      <c r="O1452" s="41" t="n">
        <f aca="false">K1452-N1452</f>
        <v>3.4</v>
      </c>
      <c r="P1452" s="43" t="n">
        <f aca="false">IF(K1452=0,0,O1452/K1452)</f>
        <v>0.586206896551724</v>
      </c>
    </row>
    <row r="1453" customFormat="false" ht="15" hidden="false" customHeight="false" outlineLevel="0" collapsed="false">
      <c r="A1453" s="39" t="s">
        <v>1575</v>
      </c>
      <c r="B1453" s="40" t="n">
        <v>45862</v>
      </c>
      <c r="C1453" s="39" t="s">
        <v>305</v>
      </c>
      <c r="D1453" s="39" t="n">
        <v>1</v>
      </c>
      <c r="E1453" s="41" t="n">
        <v>344.64</v>
      </c>
      <c r="F1453" s="39" t="s">
        <v>115</v>
      </c>
      <c r="G1453" s="39" t="str">
        <f aca="false">VLOOKUP(C1453,Products!$A$5:$D$24,2,FALSE())</f>
        <v>Standing Desk</v>
      </c>
      <c r="H1453" s="39" t="str">
        <f aca="false">VLOOKUP(C1453,Products!$A$5:$D$24,3,FALSE())</f>
        <v>Furniture</v>
      </c>
      <c r="I1453" s="41" t="n">
        <f aca="false">VLOOKUP(C1453,Products!$A$5:$D$24,4,FALSE())</f>
        <v>160</v>
      </c>
      <c r="J1453" s="42" t="n">
        <f aca="false">DATE(YEAR(B1453),MONTH(B1453),1)</f>
        <v>45839</v>
      </c>
      <c r="K1453" s="41" t="n">
        <f aca="false">D1453*E1453</f>
        <v>344.64</v>
      </c>
      <c r="L1453" s="41" t="n">
        <f aca="false">D1453*I1453</f>
        <v>160</v>
      </c>
      <c r="M1453" s="41" t="n">
        <f aca="false">IFERROR(INDEX(Raw_Expenses!$C$5:$C$2979,MATCH(A1453,Raw_Expenses!$A$5:$A$2979,0)),0)</f>
        <v>24.07</v>
      </c>
      <c r="N1453" s="41" t="n">
        <f aca="false">L1453+M1453</f>
        <v>184.07</v>
      </c>
      <c r="O1453" s="41" t="n">
        <f aca="false">K1453-N1453</f>
        <v>160.57</v>
      </c>
      <c r="P1453" s="43" t="n">
        <f aca="false">IF(K1453=0,0,O1453/K1453)</f>
        <v>0.465906453110492</v>
      </c>
    </row>
    <row r="1454" customFormat="false" ht="15" hidden="false" customHeight="false" outlineLevel="0" collapsed="false">
      <c r="A1454" s="39" t="s">
        <v>1576</v>
      </c>
      <c r="B1454" s="40" t="n">
        <v>45862</v>
      </c>
      <c r="C1454" s="39" t="s">
        <v>133</v>
      </c>
      <c r="D1454" s="39" t="n">
        <v>1</v>
      </c>
      <c r="E1454" s="41" t="n">
        <v>8.78</v>
      </c>
      <c r="F1454" s="39" t="s">
        <v>118</v>
      </c>
      <c r="G1454" s="39" t="str">
        <f aca="false">VLOOKUP(C1454,Products!$A$5:$D$24,2,FALSE())</f>
        <v>Printer Paper Ream</v>
      </c>
      <c r="H1454" s="39" t="str">
        <f aca="false">VLOOKUP(C1454,Products!$A$5:$D$24,3,FALSE())</f>
        <v>Stationery</v>
      </c>
      <c r="I1454" s="41" t="n">
        <f aca="false">VLOOKUP(C1454,Products!$A$5:$D$24,4,FALSE())</f>
        <v>4</v>
      </c>
      <c r="J1454" s="42" t="n">
        <f aca="false">DATE(YEAR(B1454),MONTH(B1454),1)</f>
        <v>45839</v>
      </c>
      <c r="K1454" s="41" t="n">
        <f aca="false">D1454*E1454</f>
        <v>8.78</v>
      </c>
      <c r="L1454" s="41" t="n">
        <f aca="false">D1454*I1454</f>
        <v>4</v>
      </c>
      <c r="M1454" s="41" t="n">
        <f aca="false">IFERROR(INDEX(Raw_Expenses!$C$5:$C$2979,MATCH(A1454,Raw_Expenses!$A$5:$A$2979,0)),0)</f>
        <v>0.45</v>
      </c>
      <c r="N1454" s="41" t="n">
        <f aca="false">L1454+M1454</f>
        <v>4.45</v>
      </c>
      <c r="O1454" s="41" t="n">
        <f aca="false">K1454-N1454</f>
        <v>4.33</v>
      </c>
      <c r="P1454" s="43" t="n">
        <f aca="false">IF(K1454=0,0,O1454/K1454)</f>
        <v>0.493166287015945</v>
      </c>
    </row>
    <row r="1455" customFormat="false" ht="15" hidden="false" customHeight="false" outlineLevel="0" collapsed="false">
      <c r="A1455" s="39" t="s">
        <v>1577</v>
      </c>
      <c r="B1455" s="40" t="n">
        <v>45862</v>
      </c>
      <c r="C1455" s="39" t="s">
        <v>126</v>
      </c>
      <c r="D1455" s="39" t="n">
        <v>8</v>
      </c>
      <c r="E1455" s="41" t="n">
        <v>23.39</v>
      </c>
      <c r="F1455" s="39" t="s">
        <v>115</v>
      </c>
      <c r="G1455" s="39" t="str">
        <f aca="false">VLOOKUP(C1455,Products!$A$5:$D$24,2,FALSE())</f>
        <v>Wireless Mouse</v>
      </c>
      <c r="H1455" s="39" t="str">
        <f aca="false">VLOOKUP(C1455,Products!$A$5:$D$24,3,FALSE())</f>
        <v>Electronics</v>
      </c>
      <c r="I1455" s="41" t="n">
        <f aca="false">VLOOKUP(C1455,Products!$A$5:$D$24,4,FALSE())</f>
        <v>12</v>
      </c>
      <c r="J1455" s="42" t="n">
        <f aca="false">DATE(YEAR(B1455),MONTH(B1455),1)</f>
        <v>45839</v>
      </c>
      <c r="K1455" s="41" t="n">
        <f aca="false">D1455*E1455</f>
        <v>187.12</v>
      </c>
      <c r="L1455" s="41" t="n">
        <f aca="false">D1455*I1455</f>
        <v>96</v>
      </c>
      <c r="M1455" s="41" t="n">
        <f aca="false">IFERROR(INDEX(Raw_Expenses!$C$5:$C$2979,MATCH(A1455,Raw_Expenses!$A$5:$A$2979,0)),0)</f>
        <v>13.92</v>
      </c>
      <c r="N1455" s="41" t="n">
        <f aca="false">L1455+M1455</f>
        <v>109.92</v>
      </c>
      <c r="O1455" s="41" t="n">
        <f aca="false">K1455-N1455</f>
        <v>77.2</v>
      </c>
      <c r="P1455" s="43" t="n">
        <f aca="false">IF(K1455=0,0,O1455/K1455)</f>
        <v>0.412569474134245</v>
      </c>
    </row>
    <row r="1456" customFormat="false" ht="15" hidden="false" customHeight="false" outlineLevel="0" collapsed="false">
      <c r="A1456" s="39" t="s">
        <v>1578</v>
      </c>
      <c r="B1456" s="40" t="n">
        <v>45862</v>
      </c>
      <c r="C1456" s="39" t="s">
        <v>107</v>
      </c>
      <c r="D1456" s="39" t="n">
        <v>6</v>
      </c>
      <c r="E1456" s="41" t="n">
        <v>32.51</v>
      </c>
      <c r="F1456" s="39" t="s">
        <v>115</v>
      </c>
      <c r="G1456" s="39" t="str">
        <f aca="false">VLOOKUP(C1456,Products!$A$5:$D$24,2,FALSE())</f>
        <v>USB-C Hub</v>
      </c>
      <c r="H1456" s="39" t="str">
        <f aca="false">VLOOKUP(C1456,Products!$A$5:$D$24,3,FALSE())</f>
        <v>Electronics</v>
      </c>
      <c r="I1456" s="41" t="n">
        <f aca="false">VLOOKUP(C1456,Products!$A$5:$D$24,4,FALSE())</f>
        <v>14</v>
      </c>
      <c r="J1456" s="42" t="n">
        <f aca="false">DATE(YEAR(B1456),MONTH(B1456),1)</f>
        <v>45839</v>
      </c>
      <c r="K1456" s="41" t="n">
        <f aca="false">D1456*E1456</f>
        <v>195.06</v>
      </c>
      <c r="L1456" s="41" t="n">
        <f aca="false">D1456*I1456</f>
        <v>84</v>
      </c>
      <c r="M1456" s="41" t="n">
        <f aca="false">IFERROR(INDEX(Raw_Expenses!$C$5:$C$2979,MATCH(A1456,Raw_Expenses!$A$5:$A$2979,0)),0)</f>
        <v>16.51</v>
      </c>
      <c r="N1456" s="41" t="n">
        <f aca="false">L1456+M1456</f>
        <v>100.51</v>
      </c>
      <c r="O1456" s="41" t="n">
        <f aca="false">K1456-N1456</f>
        <v>94.55</v>
      </c>
      <c r="P1456" s="43" t="n">
        <f aca="false">IF(K1456=0,0,O1456/K1456)</f>
        <v>0.484722649441198</v>
      </c>
    </row>
    <row r="1457" customFormat="false" ht="15" hidden="false" customHeight="false" outlineLevel="0" collapsed="false">
      <c r="A1457" s="39" t="s">
        <v>1579</v>
      </c>
      <c r="B1457" s="40" t="n">
        <v>45862</v>
      </c>
      <c r="C1457" s="39" t="s">
        <v>130</v>
      </c>
      <c r="D1457" s="39" t="n">
        <v>1</v>
      </c>
      <c r="E1457" s="41" t="n">
        <v>8.67</v>
      </c>
      <c r="F1457" s="39" t="s">
        <v>108</v>
      </c>
      <c r="G1457" s="39" t="str">
        <f aca="false">VLOOKUP(C1457,Products!$A$5:$D$24,2,FALSE())</f>
        <v>Notebook Set</v>
      </c>
      <c r="H1457" s="39" t="str">
        <f aca="false">VLOOKUP(C1457,Products!$A$5:$D$24,3,FALSE())</f>
        <v>Stationery</v>
      </c>
      <c r="I1457" s="41" t="n">
        <f aca="false">VLOOKUP(C1457,Products!$A$5:$D$24,4,FALSE())</f>
        <v>3</v>
      </c>
      <c r="J1457" s="42" t="n">
        <f aca="false">DATE(YEAR(B1457),MONTH(B1457),1)</f>
        <v>45839</v>
      </c>
      <c r="K1457" s="41" t="n">
        <f aca="false">D1457*E1457</f>
        <v>8.67</v>
      </c>
      <c r="L1457" s="41" t="n">
        <f aca="false">D1457*I1457</f>
        <v>3</v>
      </c>
      <c r="M1457" s="41" t="n">
        <f aca="false">IFERROR(INDEX(Raw_Expenses!$C$5:$C$2979,MATCH(A1457,Raw_Expenses!$A$5:$A$2979,0)),0)</f>
        <v>0.78</v>
      </c>
      <c r="N1457" s="41" t="n">
        <f aca="false">L1457+M1457</f>
        <v>3.78</v>
      </c>
      <c r="O1457" s="41" t="n">
        <f aca="false">K1457-N1457</f>
        <v>4.89</v>
      </c>
      <c r="P1457" s="43" t="n">
        <f aca="false">IF(K1457=0,0,O1457/K1457)</f>
        <v>0.56401384083045</v>
      </c>
    </row>
    <row r="1458" customFormat="false" ht="15" hidden="false" customHeight="false" outlineLevel="0" collapsed="false">
      <c r="A1458" s="39" t="s">
        <v>1580</v>
      </c>
      <c r="B1458" s="40" t="n">
        <v>45862</v>
      </c>
      <c r="C1458" s="39" t="s">
        <v>110</v>
      </c>
      <c r="D1458" s="39" t="n">
        <v>1</v>
      </c>
      <c r="E1458" s="41" t="n">
        <v>13.8</v>
      </c>
      <c r="F1458" s="39" t="s">
        <v>118</v>
      </c>
      <c r="G1458" s="39" t="str">
        <f aca="false">VLOOKUP(C1458,Products!$A$5:$D$24,2,FALSE())</f>
        <v>Phone Stand</v>
      </c>
      <c r="H1458" s="39" t="str">
        <f aca="false">VLOOKUP(C1458,Products!$A$5:$D$24,3,FALSE())</f>
        <v>Accessories</v>
      </c>
      <c r="I1458" s="41" t="n">
        <f aca="false">VLOOKUP(C1458,Products!$A$5:$D$24,4,FALSE())</f>
        <v>4</v>
      </c>
      <c r="J1458" s="42" t="n">
        <f aca="false">DATE(YEAR(B1458),MONTH(B1458),1)</f>
        <v>45839</v>
      </c>
      <c r="K1458" s="41" t="n">
        <f aca="false">D1458*E1458</f>
        <v>13.8</v>
      </c>
      <c r="L1458" s="41" t="n">
        <f aca="false">D1458*I1458</f>
        <v>4</v>
      </c>
      <c r="M1458" s="41" t="n">
        <f aca="false">IFERROR(INDEX(Raw_Expenses!$C$5:$C$2979,MATCH(A1458,Raw_Expenses!$A$5:$A$2979,0)),0)</f>
        <v>0.88</v>
      </c>
      <c r="N1458" s="41" t="n">
        <f aca="false">L1458+M1458</f>
        <v>4.88</v>
      </c>
      <c r="O1458" s="41" t="n">
        <f aca="false">K1458-N1458</f>
        <v>8.92</v>
      </c>
      <c r="P1458" s="43" t="n">
        <f aca="false">IF(K1458=0,0,O1458/K1458)</f>
        <v>0.646376811594203</v>
      </c>
    </row>
    <row r="1459" customFormat="false" ht="15" hidden="false" customHeight="false" outlineLevel="0" collapsed="false">
      <c r="A1459" s="39" t="s">
        <v>1581</v>
      </c>
      <c r="B1459" s="40" t="n">
        <v>45862</v>
      </c>
      <c r="C1459" s="39" t="s">
        <v>110</v>
      </c>
      <c r="D1459" s="39" t="n">
        <v>3</v>
      </c>
      <c r="E1459" s="41" t="n">
        <v>13.48</v>
      </c>
      <c r="F1459" s="39" t="s">
        <v>118</v>
      </c>
      <c r="G1459" s="39" t="str">
        <f aca="false">VLOOKUP(C1459,Products!$A$5:$D$24,2,FALSE())</f>
        <v>Phone Stand</v>
      </c>
      <c r="H1459" s="39" t="str">
        <f aca="false">VLOOKUP(C1459,Products!$A$5:$D$24,3,FALSE())</f>
        <v>Accessories</v>
      </c>
      <c r="I1459" s="41" t="n">
        <f aca="false">VLOOKUP(C1459,Products!$A$5:$D$24,4,FALSE())</f>
        <v>4</v>
      </c>
      <c r="J1459" s="42" t="n">
        <f aca="false">DATE(YEAR(B1459),MONTH(B1459),1)</f>
        <v>45839</v>
      </c>
      <c r="K1459" s="41" t="n">
        <f aca="false">D1459*E1459</f>
        <v>40.44</v>
      </c>
      <c r="L1459" s="41" t="n">
        <f aca="false">D1459*I1459</f>
        <v>12</v>
      </c>
      <c r="M1459" s="41" t="n">
        <f aca="false">IFERROR(INDEX(Raw_Expenses!$C$5:$C$2979,MATCH(A1459,Raw_Expenses!$A$5:$A$2979,0)),0)</f>
        <v>1.99</v>
      </c>
      <c r="N1459" s="41" t="n">
        <f aca="false">L1459+M1459</f>
        <v>13.99</v>
      </c>
      <c r="O1459" s="41" t="n">
        <f aca="false">K1459-N1459</f>
        <v>26.45</v>
      </c>
      <c r="P1459" s="43" t="n">
        <f aca="false">IF(K1459=0,0,O1459/K1459)</f>
        <v>0.654055390702275</v>
      </c>
    </row>
    <row r="1460" customFormat="false" ht="15" hidden="false" customHeight="false" outlineLevel="0" collapsed="false">
      <c r="A1460" s="39" t="s">
        <v>1582</v>
      </c>
      <c r="B1460" s="40" t="n">
        <v>45862</v>
      </c>
      <c r="C1460" s="39" t="s">
        <v>107</v>
      </c>
      <c r="D1460" s="39" t="n">
        <v>2</v>
      </c>
      <c r="E1460" s="41" t="n">
        <v>34.96</v>
      </c>
      <c r="F1460" s="39" t="s">
        <v>105</v>
      </c>
      <c r="G1460" s="39" t="str">
        <f aca="false">VLOOKUP(C1460,Products!$A$5:$D$24,2,FALSE())</f>
        <v>USB-C Hub</v>
      </c>
      <c r="H1460" s="39" t="str">
        <f aca="false">VLOOKUP(C1460,Products!$A$5:$D$24,3,FALSE())</f>
        <v>Electronics</v>
      </c>
      <c r="I1460" s="41" t="n">
        <f aca="false">VLOOKUP(C1460,Products!$A$5:$D$24,4,FALSE())</f>
        <v>14</v>
      </c>
      <c r="J1460" s="42" t="n">
        <f aca="false">DATE(YEAR(B1460),MONTH(B1460),1)</f>
        <v>45839</v>
      </c>
      <c r="K1460" s="41" t="n">
        <f aca="false">D1460*E1460</f>
        <v>69.92</v>
      </c>
      <c r="L1460" s="41" t="n">
        <f aca="false">D1460*I1460</f>
        <v>28</v>
      </c>
      <c r="M1460" s="41" t="n">
        <f aca="false">IFERROR(INDEX(Raw_Expenses!$C$5:$C$2979,MATCH(A1460,Raw_Expenses!$A$5:$A$2979,0)),0)</f>
        <v>5.35</v>
      </c>
      <c r="N1460" s="41" t="n">
        <f aca="false">L1460+M1460</f>
        <v>33.35</v>
      </c>
      <c r="O1460" s="41" t="n">
        <f aca="false">K1460-N1460</f>
        <v>36.57</v>
      </c>
      <c r="P1460" s="43" t="n">
        <f aca="false">IF(K1460=0,0,O1460/K1460)</f>
        <v>0.523026315789474</v>
      </c>
    </row>
    <row r="1461" customFormat="false" ht="15" hidden="false" customHeight="false" outlineLevel="0" collapsed="false">
      <c r="A1461" s="39" t="s">
        <v>1583</v>
      </c>
      <c r="B1461" s="40" t="n">
        <v>45862</v>
      </c>
      <c r="C1461" s="39" t="s">
        <v>107</v>
      </c>
      <c r="D1461" s="39" t="n">
        <v>1</v>
      </c>
      <c r="E1461" s="41" t="n">
        <v>34.38</v>
      </c>
      <c r="F1461" s="39" t="s">
        <v>105</v>
      </c>
      <c r="G1461" s="39" t="str">
        <f aca="false">VLOOKUP(C1461,Products!$A$5:$D$24,2,FALSE())</f>
        <v>USB-C Hub</v>
      </c>
      <c r="H1461" s="39" t="str">
        <f aca="false">VLOOKUP(C1461,Products!$A$5:$D$24,3,FALSE())</f>
        <v>Electronics</v>
      </c>
      <c r="I1461" s="41" t="n">
        <f aca="false">VLOOKUP(C1461,Products!$A$5:$D$24,4,FALSE())</f>
        <v>14</v>
      </c>
      <c r="J1461" s="42" t="n">
        <f aca="false">DATE(YEAR(B1461),MONTH(B1461),1)</f>
        <v>45839</v>
      </c>
      <c r="K1461" s="41" t="n">
        <f aca="false">D1461*E1461</f>
        <v>34.38</v>
      </c>
      <c r="L1461" s="41" t="n">
        <f aca="false">D1461*I1461</f>
        <v>14</v>
      </c>
      <c r="M1461" s="41" t="n">
        <f aca="false">IFERROR(INDEX(Raw_Expenses!$C$5:$C$2979,MATCH(A1461,Raw_Expenses!$A$5:$A$2979,0)),0)</f>
        <v>2.63</v>
      </c>
      <c r="N1461" s="41" t="n">
        <f aca="false">L1461+M1461</f>
        <v>16.63</v>
      </c>
      <c r="O1461" s="41" t="n">
        <f aca="false">K1461-N1461</f>
        <v>17.75</v>
      </c>
      <c r="P1461" s="43" t="n">
        <f aca="false">IF(K1461=0,0,O1461/K1461)</f>
        <v>0.516288539848749</v>
      </c>
    </row>
    <row r="1462" customFormat="false" ht="15" hidden="false" customHeight="false" outlineLevel="0" collapsed="false">
      <c r="A1462" s="39" t="s">
        <v>1584</v>
      </c>
      <c r="B1462" s="40" t="n">
        <v>45862</v>
      </c>
      <c r="C1462" s="39" t="s">
        <v>110</v>
      </c>
      <c r="D1462" s="39" t="n">
        <v>5</v>
      </c>
      <c r="E1462" s="41" t="n">
        <v>13.08</v>
      </c>
      <c r="F1462" s="39" t="s">
        <v>118</v>
      </c>
      <c r="G1462" s="39" t="str">
        <f aca="false">VLOOKUP(C1462,Products!$A$5:$D$24,2,FALSE())</f>
        <v>Phone Stand</v>
      </c>
      <c r="H1462" s="39" t="str">
        <f aca="false">VLOOKUP(C1462,Products!$A$5:$D$24,3,FALSE())</f>
        <v>Accessories</v>
      </c>
      <c r="I1462" s="41" t="n">
        <f aca="false">VLOOKUP(C1462,Products!$A$5:$D$24,4,FALSE())</f>
        <v>4</v>
      </c>
      <c r="J1462" s="42" t="n">
        <f aca="false">DATE(YEAR(B1462),MONTH(B1462),1)</f>
        <v>45839</v>
      </c>
      <c r="K1462" s="41" t="n">
        <f aca="false">D1462*E1462</f>
        <v>65.4</v>
      </c>
      <c r="L1462" s="41" t="n">
        <f aca="false">D1462*I1462</f>
        <v>20</v>
      </c>
      <c r="M1462" s="41" t="n">
        <f aca="false">IFERROR(INDEX(Raw_Expenses!$C$5:$C$2979,MATCH(A1462,Raw_Expenses!$A$5:$A$2979,0)),0)</f>
        <v>4.56</v>
      </c>
      <c r="N1462" s="41" t="n">
        <f aca="false">L1462+M1462</f>
        <v>24.56</v>
      </c>
      <c r="O1462" s="41" t="n">
        <f aca="false">K1462-N1462</f>
        <v>40.84</v>
      </c>
      <c r="P1462" s="43" t="n">
        <f aca="false">IF(K1462=0,0,O1462/K1462)</f>
        <v>0.624464831804281</v>
      </c>
    </row>
    <row r="1463" customFormat="false" ht="15" hidden="false" customHeight="false" outlineLevel="0" collapsed="false">
      <c r="A1463" s="39" t="s">
        <v>1585</v>
      </c>
      <c r="B1463" s="40" t="n">
        <v>45863</v>
      </c>
      <c r="C1463" s="39" t="s">
        <v>130</v>
      </c>
      <c r="D1463" s="39" t="n">
        <v>1</v>
      </c>
      <c r="E1463" s="41" t="n">
        <v>8.41</v>
      </c>
      <c r="F1463" s="39" t="s">
        <v>105</v>
      </c>
      <c r="G1463" s="39" t="str">
        <f aca="false">VLOOKUP(C1463,Products!$A$5:$D$24,2,FALSE())</f>
        <v>Notebook Set</v>
      </c>
      <c r="H1463" s="39" t="str">
        <f aca="false">VLOOKUP(C1463,Products!$A$5:$D$24,3,FALSE())</f>
        <v>Stationery</v>
      </c>
      <c r="I1463" s="41" t="n">
        <f aca="false">VLOOKUP(C1463,Products!$A$5:$D$24,4,FALSE())</f>
        <v>3</v>
      </c>
      <c r="J1463" s="42" t="n">
        <f aca="false">DATE(YEAR(B1463),MONTH(B1463),1)</f>
        <v>45839</v>
      </c>
      <c r="K1463" s="41" t="n">
        <f aca="false">D1463*E1463</f>
        <v>8.41</v>
      </c>
      <c r="L1463" s="41" t="n">
        <f aca="false">D1463*I1463</f>
        <v>3</v>
      </c>
      <c r="M1463" s="41" t="n">
        <f aca="false">IFERROR(INDEX(Raw_Expenses!$C$5:$C$2979,MATCH(A1463,Raw_Expenses!$A$5:$A$2979,0)),0)</f>
        <v>0.73</v>
      </c>
      <c r="N1463" s="41" t="n">
        <f aca="false">L1463+M1463</f>
        <v>3.73</v>
      </c>
      <c r="O1463" s="41" t="n">
        <f aca="false">K1463-N1463</f>
        <v>4.68</v>
      </c>
      <c r="P1463" s="43" t="n">
        <f aca="false">IF(K1463=0,0,O1463/K1463)</f>
        <v>0.556480380499405</v>
      </c>
    </row>
    <row r="1464" customFormat="false" ht="15" hidden="false" customHeight="false" outlineLevel="0" collapsed="false">
      <c r="A1464" s="39" t="s">
        <v>1586</v>
      </c>
      <c r="B1464" s="40" t="n">
        <v>45863</v>
      </c>
      <c r="C1464" s="39" t="s">
        <v>144</v>
      </c>
      <c r="D1464" s="39" t="n">
        <v>5</v>
      </c>
      <c r="E1464" s="41" t="n">
        <v>58.09</v>
      </c>
      <c r="F1464" s="39" t="s">
        <v>105</v>
      </c>
      <c r="G1464" s="39" t="str">
        <f aca="false">VLOOKUP(C1464,Products!$A$5:$D$24,2,FALSE())</f>
        <v>Whiteboard</v>
      </c>
      <c r="H1464" s="39" t="str">
        <f aca="false">VLOOKUP(C1464,Products!$A$5:$D$24,3,FALSE())</f>
        <v>Furniture</v>
      </c>
      <c r="I1464" s="41" t="n">
        <f aca="false">VLOOKUP(C1464,Products!$A$5:$D$24,4,FALSE())</f>
        <v>28</v>
      </c>
      <c r="J1464" s="42" t="n">
        <f aca="false">DATE(YEAR(B1464),MONTH(B1464),1)</f>
        <v>45839</v>
      </c>
      <c r="K1464" s="41" t="n">
        <f aca="false">D1464*E1464</f>
        <v>290.45</v>
      </c>
      <c r="L1464" s="41" t="n">
        <f aca="false">D1464*I1464</f>
        <v>140</v>
      </c>
      <c r="M1464" s="41" t="n">
        <f aca="false">IFERROR(INDEX(Raw_Expenses!$C$5:$C$2979,MATCH(A1464,Raw_Expenses!$A$5:$A$2979,0)),0)</f>
        <v>24.06</v>
      </c>
      <c r="N1464" s="41" t="n">
        <f aca="false">L1464+M1464</f>
        <v>164.06</v>
      </c>
      <c r="O1464" s="41" t="n">
        <f aca="false">K1464-N1464</f>
        <v>126.39</v>
      </c>
      <c r="P1464" s="43" t="n">
        <f aca="false">IF(K1464=0,0,O1464/K1464)</f>
        <v>0.435152349802031</v>
      </c>
    </row>
    <row r="1465" customFormat="false" ht="15" hidden="false" customHeight="false" outlineLevel="0" collapsed="false">
      <c r="A1465" s="39" t="s">
        <v>1587</v>
      </c>
      <c r="B1465" s="40" t="n">
        <v>45863</v>
      </c>
      <c r="C1465" s="39" t="s">
        <v>133</v>
      </c>
      <c r="D1465" s="39" t="n">
        <v>4</v>
      </c>
      <c r="E1465" s="41" t="n">
        <v>8.82</v>
      </c>
      <c r="F1465" s="39" t="s">
        <v>118</v>
      </c>
      <c r="G1465" s="39" t="str">
        <f aca="false">VLOOKUP(C1465,Products!$A$5:$D$24,2,FALSE())</f>
        <v>Printer Paper Ream</v>
      </c>
      <c r="H1465" s="39" t="str">
        <f aca="false">VLOOKUP(C1465,Products!$A$5:$D$24,3,FALSE())</f>
        <v>Stationery</v>
      </c>
      <c r="I1465" s="41" t="n">
        <f aca="false">VLOOKUP(C1465,Products!$A$5:$D$24,4,FALSE())</f>
        <v>4</v>
      </c>
      <c r="J1465" s="42" t="n">
        <f aca="false">DATE(YEAR(B1465),MONTH(B1465),1)</f>
        <v>45839</v>
      </c>
      <c r="K1465" s="41" t="n">
        <f aca="false">D1465*E1465</f>
        <v>35.28</v>
      </c>
      <c r="L1465" s="41" t="n">
        <f aca="false">D1465*I1465</f>
        <v>16</v>
      </c>
      <c r="M1465" s="41" t="n">
        <f aca="false">IFERROR(INDEX(Raw_Expenses!$C$5:$C$2979,MATCH(A1465,Raw_Expenses!$A$5:$A$2979,0)),0)</f>
        <v>1.67</v>
      </c>
      <c r="N1465" s="41" t="n">
        <f aca="false">L1465+M1465</f>
        <v>17.67</v>
      </c>
      <c r="O1465" s="41" t="n">
        <f aca="false">K1465-N1465</f>
        <v>17.61</v>
      </c>
      <c r="P1465" s="43" t="n">
        <f aca="false">IF(K1465=0,0,O1465/K1465)</f>
        <v>0.499149659863946</v>
      </c>
    </row>
    <row r="1466" customFormat="false" ht="15" hidden="false" customHeight="false" outlineLevel="0" collapsed="false">
      <c r="A1466" s="39" t="s">
        <v>1588</v>
      </c>
      <c r="B1466" s="40" t="n">
        <v>45863</v>
      </c>
      <c r="C1466" s="39" t="s">
        <v>130</v>
      </c>
      <c r="D1466" s="39" t="n">
        <v>2</v>
      </c>
      <c r="E1466" s="41" t="n">
        <v>8.63</v>
      </c>
      <c r="F1466" s="39" t="s">
        <v>118</v>
      </c>
      <c r="G1466" s="39" t="str">
        <f aca="false">VLOOKUP(C1466,Products!$A$5:$D$24,2,FALSE())</f>
        <v>Notebook Set</v>
      </c>
      <c r="H1466" s="39" t="str">
        <f aca="false">VLOOKUP(C1466,Products!$A$5:$D$24,3,FALSE())</f>
        <v>Stationery</v>
      </c>
      <c r="I1466" s="41" t="n">
        <f aca="false">VLOOKUP(C1466,Products!$A$5:$D$24,4,FALSE())</f>
        <v>3</v>
      </c>
      <c r="J1466" s="42" t="n">
        <f aca="false">DATE(YEAR(B1466),MONTH(B1466),1)</f>
        <v>45839</v>
      </c>
      <c r="K1466" s="41" t="n">
        <f aca="false">D1466*E1466</f>
        <v>17.26</v>
      </c>
      <c r="L1466" s="41" t="n">
        <f aca="false">D1466*I1466</f>
        <v>6</v>
      </c>
      <c r="M1466" s="41" t="n">
        <f aca="false">IFERROR(INDEX(Raw_Expenses!$C$5:$C$2979,MATCH(A1466,Raw_Expenses!$A$5:$A$2979,0)),0)</f>
        <v>1.43</v>
      </c>
      <c r="N1466" s="41" t="n">
        <f aca="false">L1466+M1466</f>
        <v>7.43</v>
      </c>
      <c r="O1466" s="41" t="n">
        <f aca="false">K1466-N1466</f>
        <v>9.83</v>
      </c>
      <c r="P1466" s="43" t="n">
        <f aca="false">IF(K1466=0,0,O1466/K1466)</f>
        <v>0.569524913093859</v>
      </c>
    </row>
    <row r="1467" customFormat="false" ht="15" hidden="false" customHeight="false" outlineLevel="0" collapsed="false">
      <c r="A1467" s="39" t="s">
        <v>1589</v>
      </c>
      <c r="B1467" s="40" t="n">
        <v>45863</v>
      </c>
      <c r="C1467" s="39" t="s">
        <v>130</v>
      </c>
      <c r="D1467" s="39" t="n">
        <v>3</v>
      </c>
      <c r="E1467" s="41" t="n">
        <v>8.49</v>
      </c>
      <c r="F1467" s="39" t="s">
        <v>108</v>
      </c>
      <c r="G1467" s="39" t="str">
        <f aca="false">VLOOKUP(C1467,Products!$A$5:$D$24,2,FALSE())</f>
        <v>Notebook Set</v>
      </c>
      <c r="H1467" s="39" t="str">
        <f aca="false">VLOOKUP(C1467,Products!$A$5:$D$24,3,FALSE())</f>
        <v>Stationery</v>
      </c>
      <c r="I1467" s="41" t="n">
        <f aca="false">VLOOKUP(C1467,Products!$A$5:$D$24,4,FALSE())</f>
        <v>3</v>
      </c>
      <c r="J1467" s="42" t="n">
        <f aca="false">DATE(YEAR(B1467),MONTH(B1467),1)</f>
        <v>45839</v>
      </c>
      <c r="K1467" s="41" t="n">
        <f aca="false">D1467*E1467</f>
        <v>25.47</v>
      </c>
      <c r="L1467" s="41" t="n">
        <f aca="false">D1467*I1467</f>
        <v>9</v>
      </c>
      <c r="M1467" s="41" t="n">
        <f aca="false">IFERROR(INDEX(Raw_Expenses!$C$5:$C$2979,MATCH(A1467,Raw_Expenses!$A$5:$A$2979,0)),0)</f>
        <v>1.17</v>
      </c>
      <c r="N1467" s="41" t="n">
        <f aca="false">L1467+M1467</f>
        <v>10.17</v>
      </c>
      <c r="O1467" s="41" t="n">
        <f aca="false">K1467-N1467</f>
        <v>15.3</v>
      </c>
      <c r="P1467" s="43" t="n">
        <f aca="false">IF(K1467=0,0,O1467/K1467)</f>
        <v>0.600706713780919</v>
      </c>
    </row>
    <row r="1468" customFormat="false" ht="15" hidden="false" customHeight="false" outlineLevel="0" collapsed="false">
      <c r="A1468" s="39" t="s">
        <v>1590</v>
      </c>
      <c r="B1468" s="40" t="n">
        <v>45864</v>
      </c>
      <c r="C1468" s="39" t="s">
        <v>144</v>
      </c>
      <c r="D1468" s="39" t="n">
        <v>6</v>
      </c>
      <c r="E1468" s="41" t="n">
        <v>58.16</v>
      </c>
      <c r="F1468" s="39" t="s">
        <v>105</v>
      </c>
      <c r="G1468" s="39" t="str">
        <f aca="false">VLOOKUP(C1468,Products!$A$5:$D$24,2,FALSE())</f>
        <v>Whiteboard</v>
      </c>
      <c r="H1468" s="39" t="str">
        <f aca="false">VLOOKUP(C1468,Products!$A$5:$D$24,3,FALSE())</f>
        <v>Furniture</v>
      </c>
      <c r="I1468" s="41" t="n">
        <f aca="false">VLOOKUP(C1468,Products!$A$5:$D$24,4,FALSE())</f>
        <v>28</v>
      </c>
      <c r="J1468" s="42" t="n">
        <f aca="false">DATE(YEAR(B1468),MONTH(B1468),1)</f>
        <v>45839</v>
      </c>
      <c r="K1468" s="41" t="n">
        <f aca="false">D1468*E1468</f>
        <v>348.96</v>
      </c>
      <c r="L1468" s="41" t="n">
        <f aca="false">D1468*I1468</f>
        <v>168</v>
      </c>
      <c r="M1468" s="41" t="n">
        <f aca="false">IFERROR(INDEX(Raw_Expenses!$C$5:$C$2979,MATCH(A1468,Raw_Expenses!$A$5:$A$2979,0)),0)</f>
        <v>21.14</v>
      </c>
      <c r="N1468" s="41" t="n">
        <f aca="false">L1468+M1468</f>
        <v>189.14</v>
      </c>
      <c r="O1468" s="41" t="n">
        <f aca="false">K1468-N1468</f>
        <v>159.82</v>
      </c>
      <c r="P1468" s="43" t="n">
        <f aca="false">IF(K1468=0,0,O1468/K1468)</f>
        <v>0.457989454378725</v>
      </c>
    </row>
    <row r="1469" customFormat="false" ht="15" hidden="false" customHeight="false" outlineLevel="0" collapsed="false">
      <c r="A1469" s="39" t="s">
        <v>1591</v>
      </c>
      <c r="B1469" s="40" t="n">
        <v>45864</v>
      </c>
      <c r="C1469" s="39" t="s">
        <v>126</v>
      </c>
      <c r="D1469" s="39" t="n">
        <v>2</v>
      </c>
      <c r="E1469" s="41" t="n">
        <v>24.32</v>
      </c>
      <c r="F1469" s="39" t="s">
        <v>105</v>
      </c>
      <c r="G1469" s="39" t="str">
        <f aca="false">VLOOKUP(C1469,Products!$A$5:$D$24,2,FALSE())</f>
        <v>Wireless Mouse</v>
      </c>
      <c r="H1469" s="39" t="str">
        <f aca="false">VLOOKUP(C1469,Products!$A$5:$D$24,3,FALSE())</f>
        <v>Electronics</v>
      </c>
      <c r="I1469" s="41" t="n">
        <f aca="false">VLOOKUP(C1469,Products!$A$5:$D$24,4,FALSE())</f>
        <v>12</v>
      </c>
      <c r="J1469" s="42" t="n">
        <f aca="false">DATE(YEAR(B1469),MONTH(B1469),1)</f>
        <v>45839</v>
      </c>
      <c r="K1469" s="41" t="n">
        <f aca="false">D1469*E1469</f>
        <v>48.64</v>
      </c>
      <c r="L1469" s="41" t="n">
        <f aca="false">D1469*I1469</f>
        <v>24</v>
      </c>
      <c r="M1469" s="41" t="n">
        <f aca="false">IFERROR(INDEX(Raw_Expenses!$C$5:$C$2979,MATCH(A1469,Raw_Expenses!$A$5:$A$2979,0)),0)</f>
        <v>4.37</v>
      </c>
      <c r="N1469" s="41" t="n">
        <f aca="false">L1469+M1469</f>
        <v>28.37</v>
      </c>
      <c r="O1469" s="41" t="n">
        <f aca="false">K1469-N1469</f>
        <v>20.27</v>
      </c>
      <c r="P1469" s="43" t="n">
        <f aca="false">IF(K1469=0,0,O1469/K1469)</f>
        <v>0.416735197368421</v>
      </c>
    </row>
    <row r="1470" customFormat="false" ht="15" hidden="false" customHeight="false" outlineLevel="0" collapsed="false">
      <c r="A1470" s="39" t="s">
        <v>1592</v>
      </c>
      <c r="B1470" s="40" t="n">
        <v>45864</v>
      </c>
      <c r="C1470" s="39" t="s">
        <v>114</v>
      </c>
      <c r="D1470" s="39" t="n">
        <v>2</v>
      </c>
      <c r="E1470" s="41" t="n">
        <v>5.69</v>
      </c>
      <c r="F1470" s="39" t="s">
        <v>115</v>
      </c>
      <c r="G1470" s="39" t="str">
        <f aca="false">VLOOKUP(C1470,Products!$A$5:$D$24,2,FALSE())</f>
        <v>Gel Pen Pack</v>
      </c>
      <c r="H1470" s="39" t="str">
        <f aca="false">VLOOKUP(C1470,Products!$A$5:$D$24,3,FALSE())</f>
        <v>Stationery</v>
      </c>
      <c r="I1470" s="41" t="n">
        <f aca="false">VLOOKUP(C1470,Products!$A$5:$D$24,4,FALSE())</f>
        <v>2</v>
      </c>
      <c r="J1470" s="42" t="n">
        <f aca="false">DATE(YEAR(B1470),MONTH(B1470),1)</f>
        <v>45839</v>
      </c>
      <c r="K1470" s="41" t="n">
        <f aca="false">D1470*E1470</f>
        <v>11.38</v>
      </c>
      <c r="L1470" s="41" t="n">
        <f aca="false">D1470*I1470</f>
        <v>4</v>
      </c>
      <c r="M1470" s="41" t="n">
        <f aca="false">IFERROR(INDEX(Raw_Expenses!$C$5:$C$2979,MATCH(A1470,Raw_Expenses!$A$5:$A$2979,0)),0)</f>
        <v>0.55</v>
      </c>
      <c r="N1470" s="41" t="n">
        <f aca="false">L1470+M1470</f>
        <v>4.55</v>
      </c>
      <c r="O1470" s="41" t="n">
        <f aca="false">K1470-N1470</f>
        <v>6.83</v>
      </c>
      <c r="P1470" s="43" t="n">
        <f aca="false">IF(K1470=0,0,O1470/K1470)</f>
        <v>0.600175746924429</v>
      </c>
    </row>
    <row r="1471" customFormat="false" ht="15" hidden="false" customHeight="false" outlineLevel="0" collapsed="false">
      <c r="A1471" s="39" t="s">
        <v>1593</v>
      </c>
      <c r="B1471" s="40" t="n">
        <v>45864</v>
      </c>
      <c r="C1471" s="39" t="s">
        <v>110</v>
      </c>
      <c r="D1471" s="39" t="n">
        <v>1</v>
      </c>
      <c r="E1471" s="41" t="n">
        <v>13.02</v>
      </c>
      <c r="F1471" s="39" t="s">
        <v>118</v>
      </c>
      <c r="G1471" s="39" t="str">
        <f aca="false">VLOOKUP(C1471,Products!$A$5:$D$24,2,FALSE())</f>
        <v>Phone Stand</v>
      </c>
      <c r="H1471" s="39" t="str">
        <f aca="false">VLOOKUP(C1471,Products!$A$5:$D$24,3,FALSE())</f>
        <v>Accessories</v>
      </c>
      <c r="I1471" s="41" t="n">
        <f aca="false">VLOOKUP(C1471,Products!$A$5:$D$24,4,FALSE())</f>
        <v>4</v>
      </c>
      <c r="J1471" s="42" t="n">
        <f aca="false">DATE(YEAR(B1471),MONTH(B1471),1)</f>
        <v>45839</v>
      </c>
      <c r="K1471" s="41" t="n">
        <f aca="false">D1471*E1471</f>
        <v>13.02</v>
      </c>
      <c r="L1471" s="41" t="n">
        <f aca="false">D1471*I1471</f>
        <v>4</v>
      </c>
      <c r="M1471" s="41" t="n">
        <f aca="false">IFERROR(INDEX(Raw_Expenses!$C$5:$C$2979,MATCH(A1471,Raw_Expenses!$A$5:$A$2979,0)),0)</f>
        <v>1.01</v>
      </c>
      <c r="N1471" s="41" t="n">
        <f aca="false">L1471+M1471</f>
        <v>5.01</v>
      </c>
      <c r="O1471" s="41" t="n">
        <f aca="false">K1471-N1471</f>
        <v>8.01</v>
      </c>
      <c r="P1471" s="43" t="n">
        <f aca="false">IF(K1471=0,0,O1471/K1471)</f>
        <v>0.61520737327189</v>
      </c>
    </row>
    <row r="1472" customFormat="false" ht="15" hidden="false" customHeight="false" outlineLevel="0" collapsed="false">
      <c r="A1472" s="39" t="s">
        <v>1594</v>
      </c>
      <c r="B1472" s="40" t="n">
        <v>45864</v>
      </c>
      <c r="C1472" s="39" t="s">
        <v>121</v>
      </c>
      <c r="D1472" s="39" t="n">
        <v>1</v>
      </c>
      <c r="E1472" s="41" t="n">
        <v>110.45</v>
      </c>
      <c r="F1472" s="39" t="s">
        <v>108</v>
      </c>
      <c r="G1472" s="39" t="str">
        <f aca="false">VLOOKUP(C1472,Products!$A$5:$D$24,2,FALSE())</f>
        <v>External SSD 1TB</v>
      </c>
      <c r="H1472" s="39" t="str">
        <f aca="false">VLOOKUP(C1472,Products!$A$5:$D$24,3,FALSE())</f>
        <v>Electronics</v>
      </c>
      <c r="I1472" s="41" t="n">
        <f aca="false">VLOOKUP(C1472,Products!$A$5:$D$24,4,FALSE())</f>
        <v>62</v>
      </c>
      <c r="J1472" s="42" t="n">
        <f aca="false">DATE(YEAR(B1472),MONTH(B1472),1)</f>
        <v>45839</v>
      </c>
      <c r="K1472" s="41" t="n">
        <f aca="false">D1472*E1472</f>
        <v>110.45</v>
      </c>
      <c r="L1472" s="41" t="n">
        <f aca="false">D1472*I1472</f>
        <v>62</v>
      </c>
      <c r="M1472" s="41" t="n">
        <f aca="false">IFERROR(INDEX(Raw_Expenses!$C$5:$C$2979,MATCH(A1472,Raw_Expenses!$A$5:$A$2979,0)),0)</f>
        <v>9.52</v>
      </c>
      <c r="N1472" s="41" t="n">
        <f aca="false">L1472+M1472</f>
        <v>71.52</v>
      </c>
      <c r="O1472" s="41" t="n">
        <f aca="false">K1472-N1472</f>
        <v>38.93</v>
      </c>
      <c r="P1472" s="43" t="n">
        <f aca="false">IF(K1472=0,0,O1472/K1472)</f>
        <v>0.35246717971933</v>
      </c>
    </row>
    <row r="1473" customFormat="false" ht="15" hidden="false" customHeight="false" outlineLevel="0" collapsed="false">
      <c r="A1473" s="39" t="s">
        <v>1595</v>
      </c>
      <c r="B1473" s="40" t="n">
        <v>45865</v>
      </c>
      <c r="C1473" s="39" t="s">
        <v>133</v>
      </c>
      <c r="D1473" s="39" t="n">
        <v>1</v>
      </c>
      <c r="E1473" s="41" t="n">
        <v>8.74</v>
      </c>
      <c r="F1473" s="39" t="s">
        <v>115</v>
      </c>
      <c r="G1473" s="39" t="str">
        <f aca="false">VLOOKUP(C1473,Products!$A$5:$D$24,2,FALSE())</f>
        <v>Printer Paper Ream</v>
      </c>
      <c r="H1473" s="39" t="str">
        <f aca="false">VLOOKUP(C1473,Products!$A$5:$D$24,3,FALSE())</f>
        <v>Stationery</v>
      </c>
      <c r="I1473" s="41" t="n">
        <f aca="false">VLOOKUP(C1473,Products!$A$5:$D$24,4,FALSE())</f>
        <v>4</v>
      </c>
      <c r="J1473" s="42" t="n">
        <f aca="false">DATE(YEAR(B1473),MONTH(B1473),1)</f>
        <v>45839</v>
      </c>
      <c r="K1473" s="41" t="n">
        <f aca="false">D1473*E1473</f>
        <v>8.74</v>
      </c>
      <c r="L1473" s="41" t="n">
        <f aca="false">D1473*I1473</f>
        <v>4</v>
      </c>
      <c r="M1473" s="41" t="n">
        <f aca="false">IFERROR(INDEX(Raw_Expenses!$C$5:$C$2979,MATCH(A1473,Raw_Expenses!$A$5:$A$2979,0)),0)</f>
        <v>0.56</v>
      </c>
      <c r="N1473" s="41" t="n">
        <f aca="false">L1473+M1473</f>
        <v>4.56</v>
      </c>
      <c r="O1473" s="41" t="n">
        <f aca="false">K1473-N1473</f>
        <v>4.18</v>
      </c>
      <c r="P1473" s="43" t="n">
        <f aca="false">IF(K1473=0,0,O1473/K1473)</f>
        <v>0.478260869565217</v>
      </c>
    </row>
    <row r="1474" customFormat="false" ht="15" hidden="false" customHeight="false" outlineLevel="0" collapsed="false">
      <c r="A1474" s="39" t="s">
        <v>1596</v>
      </c>
      <c r="B1474" s="40" t="n">
        <v>45865</v>
      </c>
      <c r="C1474" s="39" t="s">
        <v>133</v>
      </c>
      <c r="D1474" s="39" t="n">
        <v>2</v>
      </c>
      <c r="E1474" s="41" t="n">
        <v>8.59</v>
      </c>
      <c r="F1474" s="39" t="s">
        <v>108</v>
      </c>
      <c r="G1474" s="39" t="str">
        <f aca="false">VLOOKUP(C1474,Products!$A$5:$D$24,2,FALSE())</f>
        <v>Printer Paper Ream</v>
      </c>
      <c r="H1474" s="39" t="str">
        <f aca="false">VLOOKUP(C1474,Products!$A$5:$D$24,3,FALSE())</f>
        <v>Stationery</v>
      </c>
      <c r="I1474" s="41" t="n">
        <f aca="false">VLOOKUP(C1474,Products!$A$5:$D$24,4,FALSE())</f>
        <v>4</v>
      </c>
      <c r="J1474" s="42" t="n">
        <f aca="false">DATE(YEAR(B1474),MONTH(B1474),1)</f>
        <v>45839</v>
      </c>
      <c r="K1474" s="41" t="n">
        <f aca="false">D1474*E1474</f>
        <v>17.18</v>
      </c>
      <c r="L1474" s="41" t="n">
        <f aca="false">D1474*I1474</f>
        <v>8</v>
      </c>
      <c r="M1474" s="41" t="n">
        <f aca="false">IFERROR(INDEX(Raw_Expenses!$C$5:$C$2979,MATCH(A1474,Raw_Expenses!$A$5:$A$2979,0)),0)</f>
        <v>0.78</v>
      </c>
      <c r="N1474" s="41" t="n">
        <f aca="false">L1474+M1474</f>
        <v>8.78</v>
      </c>
      <c r="O1474" s="41" t="n">
        <f aca="false">K1474-N1474</f>
        <v>8.4</v>
      </c>
      <c r="P1474" s="43" t="n">
        <f aca="false">IF(K1474=0,0,O1474/K1474)</f>
        <v>0.488940628637951</v>
      </c>
    </row>
    <row r="1475" customFormat="false" ht="15" hidden="false" customHeight="false" outlineLevel="0" collapsed="false">
      <c r="A1475" s="39" t="s">
        <v>1597</v>
      </c>
      <c r="B1475" s="40" t="n">
        <v>45865</v>
      </c>
      <c r="C1475" s="39" t="s">
        <v>126</v>
      </c>
      <c r="D1475" s="39" t="n">
        <v>1</v>
      </c>
      <c r="E1475" s="41" t="n">
        <v>24.18</v>
      </c>
      <c r="F1475" s="39" t="s">
        <v>118</v>
      </c>
      <c r="G1475" s="39" t="str">
        <f aca="false">VLOOKUP(C1475,Products!$A$5:$D$24,2,FALSE())</f>
        <v>Wireless Mouse</v>
      </c>
      <c r="H1475" s="39" t="str">
        <f aca="false">VLOOKUP(C1475,Products!$A$5:$D$24,3,FALSE())</f>
        <v>Electronics</v>
      </c>
      <c r="I1475" s="41" t="n">
        <f aca="false">VLOOKUP(C1475,Products!$A$5:$D$24,4,FALSE())</f>
        <v>12</v>
      </c>
      <c r="J1475" s="42" t="n">
        <f aca="false">DATE(YEAR(B1475),MONTH(B1475),1)</f>
        <v>45839</v>
      </c>
      <c r="K1475" s="41" t="n">
        <f aca="false">D1475*E1475</f>
        <v>24.18</v>
      </c>
      <c r="L1475" s="41" t="n">
        <f aca="false">D1475*I1475</f>
        <v>12</v>
      </c>
      <c r="M1475" s="41" t="n">
        <f aca="false">IFERROR(INDEX(Raw_Expenses!$C$5:$C$2979,MATCH(A1475,Raw_Expenses!$A$5:$A$2979,0)),0)</f>
        <v>0.97</v>
      </c>
      <c r="N1475" s="41" t="n">
        <f aca="false">L1475+M1475</f>
        <v>12.97</v>
      </c>
      <c r="O1475" s="41" t="n">
        <f aca="false">K1475-N1475</f>
        <v>11.21</v>
      </c>
      <c r="P1475" s="43" t="n">
        <f aca="false">IF(K1475=0,0,O1475/K1475)</f>
        <v>0.463606286186931</v>
      </c>
    </row>
    <row r="1476" customFormat="false" ht="15" hidden="false" customHeight="false" outlineLevel="0" collapsed="false">
      <c r="A1476" s="39" t="s">
        <v>1598</v>
      </c>
      <c r="B1476" s="40" t="n">
        <v>45865</v>
      </c>
      <c r="C1476" s="39" t="s">
        <v>133</v>
      </c>
      <c r="D1476" s="39" t="n">
        <v>1</v>
      </c>
      <c r="E1476" s="41" t="n">
        <v>8.74</v>
      </c>
      <c r="F1476" s="39" t="s">
        <v>108</v>
      </c>
      <c r="G1476" s="39" t="str">
        <f aca="false">VLOOKUP(C1476,Products!$A$5:$D$24,2,FALSE())</f>
        <v>Printer Paper Ream</v>
      </c>
      <c r="H1476" s="39" t="str">
        <f aca="false">VLOOKUP(C1476,Products!$A$5:$D$24,3,FALSE())</f>
        <v>Stationery</v>
      </c>
      <c r="I1476" s="41" t="n">
        <f aca="false">VLOOKUP(C1476,Products!$A$5:$D$24,4,FALSE())</f>
        <v>4</v>
      </c>
      <c r="J1476" s="42" t="n">
        <f aca="false">DATE(YEAR(B1476),MONTH(B1476),1)</f>
        <v>45839</v>
      </c>
      <c r="K1476" s="41" t="n">
        <f aca="false">D1476*E1476</f>
        <v>8.74</v>
      </c>
      <c r="L1476" s="41" t="n">
        <f aca="false">D1476*I1476</f>
        <v>4</v>
      </c>
      <c r="M1476" s="41" t="n">
        <f aca="false">IFERROR(INDEX(Raw_Expenses!$C$5:$C$2979,MATCH(A1476,Raw_Expenses!$A$5:$A$2979,0)),0)</f>
        <v>0.41</v>
      </c>
      <c r="N1476" s="41" t="n">
        <f aca="false">L1476+M1476</f>
        <v>4.41</v>
      </c>
      <c r="O1476" s="41" t="n">
        <f aca="false">K1476-N1476</f>
        <v>4.33</v>
      </c>
      <c r="P1476" s="43" t="n">
        <f aca="false">IF(K1476=0,0,O1476/K1476)</f>
        <v>0.495423340961098</v>
      </c>
    </row>
    <row r="1477" customFormat="false" ht="15" hidden="false" customHeight="false" outlineLevel="0" collapsed="false">
      <c r="A1477" s="39" t="s">
        <v>1599</v>
      </c>
      <c r="B1477" s="40" t="n">
        <v>45865</v>
      </c>
      <c r="C1477" s="39" t="s">
        <v>104</v>
      </c>
      <c r="D1477" s="39" t="n">
        <v>2</v>
      </c>
      <c r="E1477" s="41" t="n">
        <v>14.79</v>
      </c>
      <c r="F1477" s="39" t="s">
        <v>115</v>
      </c>
      <c r="G1477" s="39" t="str">
        <f aca="false">VLOOKUP(C1477,Products!$A$5:$D$24,2,FALSE())</f>
        <v>Water Bottle</v>
      </c>
      <c r="H1477" s="39" t="str">
        <f aca="false">VLOOKUP(C1477,Products!$A$5:$D$24,3,FALSE())</f>
        <v>Accessories</v>
      </c>
      <c r="I1477" s="41" t="n">
        <f aca="false">VLOOKUP(C1477,Products!$A$5:$D$24,4,FALSE())</f>
        <v>5</v>
      </c>
      <c r="J1477" s="42" t="n">
        <f aca="false">DATE(YEAR(B1477),MONTH(B1477),1)</f>
        <v>45839</v>
      </c>
      <c r="K1477" s="41" t="n">
        <f aca="false">D1477*E1477</f>
        <v>29.58</v>
      </c>
      <c r="L1477" s="41" t="n">
        <f aca="false">D1477*I1477</f>
        <v>10</v>
      </c>
      <c r="M1477" s="41" t="n">
        <f aca="false">IFERROR(INDEX(Raw_Expenses!$C$5:$C$2979,MATCH(A1477,Raw_Expenses!$A$5:$A$2979,0)),0)</f>
        <v>2.1</v>
      </c>
      <c r="N1477" s="41" t="n">
        <f aca="false">L1477+M1477</f>
        <v>12.1</v>
      </c>
      <c r="O1477" s="41" t="n">
        <f aca="false">K1477-N1477</f>
        <v>17.48</v>
      </c>
      <c r="P1477" s="43" t="n">
        <f aca="false">IF(K1477=0,0,O1477/K1477)</f>
        <v>0.590939824205544</v>
      </c>
    </row>
    <row r="1478" customFormat="false" ht="15" hidden="false" customHeight="false" outlineLevel="0" collapsed="false">
      <c r="A1478" s="39" t="s">
        <v>1600</v>
      </c>
      <c r="B1478" s="40" t="n">
        <v>45865</v>
      </c>
      <c r="C1478" s="39" t="s">
        <v>107</v>
      </c>
      <c r="D1478" s="39" t="n">
        <v>1</v>
      </c>
      <c r="E1478" s="41" t="n">
        <v>32.35</v>
      </c>
      <c r="F1478" s="39" t="s">
        <v>118</v>
      </c>
      <c r="G1478" s="39" t="str">
        <f aca="false">VLOOKUP(C1478,Products!$A$5:$D$24,2,FALSE())</f>
        <v>USB-C Hub</v>
      </c>
      <c r="H1478" s="39" t="str">
        <f aca="false">VLOOKUP(C1478,Products!$A$5:$D$24,3,FALSE())</f>
        <v>Electronics</v>
      </c>
      <c r="I1478" s="41" t="n">
        <f aca="false">VLOOKUP(C1478,Products!$A$5:$D$24,4,FALSE())</f>
        <v>14</v>
      </c>
      <c r="J1478" s="42" t="n">
        <f aca="false">DATE(YEAR(B1478),MONTH(B1478),1)</f>
        <v>45839</v>
      </c>
      <c r="K1478" s="41" t="n">
        <f aca="false">D1478*E1478</f>
        <v>32.35</v>
      </c>
      <c r="L1478" s="41" t="n">
        <f aca="false">D1478*I1478</f>
        <v>14</v>
      </c>
      <c r="M1478" s="41" t="n">
        <f aca="false">IFERROR(INDEX(Raw_Expenses!$C$5:$C$2979,MATCH(A1478,Raw_Expenses!$A$5:$A$2979,0)),0)</f>
        <v>2.32</v>
      </c>
      <c r="N1478" s="41" t="n">
        <f aca="false">L1478+M1478</f>
        <v>16.32</v>
      </c>
      <c r="O1478" s="41" t="n">
        <f aca="false">K1478-N1478</f>
        <v>16.03</v>
      </c>
      <c r="P1478" s="43" t="n">
        <f aca="false">IF(K1478=0,0,O1478/K1478)</f>
        <v>0.495517774343122</v>
      </c>
    </row>
    <row r="1479" customFormat="false" ht="15" hidden="false" customHeight="false" outlineLevel="0" collapsed="false">
      <c r="A1479" s="39" t="s">
        <v>1601</v>
      </c>
      <c r="B1479" s="40" t="n">
        <v>45865</v>
      </c>
      <c r="C1479" s="39" t="s">
        <v>130</v>
      </c>
      <c r="D1479" s="39" t="n">
        <v>3</v>
      </c>
      <c r="E1479" s="41" t="n">
        <v>8.63</v>
      </c>
      <c r="F1479" s="39" t="s">
        <v>105</v>
      </c>
      <c r="G1479" s="39" t="str">
        <f aca="false">VLOOKUP(C1479,Products!$A$5:$D$24,2,FALSE())</f>
        <v>Notebook Set</v>
      </c>
      <c r="H1479" s="39" t="str">
        <f aca="false">VLOOKUP(C1479,Products!$A$5:$D$24,3,FALSE())</f>
        <v>Stationery</v>
      </c>
      <c r="I1479" s="41" t="n">
        <f aca="false">VLOOKUP(C1479,Products!$A$5:$D$24,4,FALSE())</f>
        <v>3</v>
      </c>
      <c r="J1479" s="42" t="n">
        <f aca="false">DATE(YEAR(B1479),MONTH(B1479),1)</f>
        <v>45839</v>
      </c>
      <c r="K1479" s="41" t="n">
        <f aca="false">D1479*E1479</f>
        <v>25.89</v>
      </c>
      <c r="L1479" s="41" t="n">
        <f aca="false">D1479*I1479</f>
        <v>9</v>
      </c>
      <c r="M1479" s="41" t="n">
        <f aca="false">IFERROR(INDEX(Raw_Expenses!$C$5:$C$2979,MATCH(A1479,Raw_Expenses!$A$5:$A$2979,0)),0)</f>
        <v>1.05</v>
      </c>
      <c r="N1479" s="41" t="n">
        <f aca="false">L1479+M1479</f>
        <v>10.05</v>
      </c>
      <c r="O1479" s="41" t="n">
        <f aca="false">K1479-N1479</f>
        <v>15.84</v>
      </c>
      <c r="P1479" s="43" t="n">
        <f aca="false">IF(K1479=0,0,O1479/K1479)</f>
        <v>0.611819235225956</v>
      </c>
    </row>
    <row r="1480" customFormat="false" ht="15" hidden="false" customHeight="false" outlineLevel="0" collapsed="false">
      <c r="A1480" s="39" t="s">
        <v>1602</v>
      </c>
      <c r="B1480" s="40" t="n">
        <v>45865</v>
      </c>
      <c r="C1480" s="39" t="s">
        <v>117</v>
      </c>
      <c r="D1480" s="39" t="n">
        <v>4</v>
      </c>
      <c r="E1480" s="41" t="n">
        <v>31.53</v>
      </c>
      <c r="F1480" s="39" t="s">
        <v>115</v>
      </c>
      <c r="G1480" s="39" t="str">
        <f aca="false">VLOOKUP(C1480,Products!$A$5:$D$24,2,FALSE())</f>
        <v>Desk Lamp</v>
      </c>
      <c r="H1480" s="39" t="str">
        <f aca="false">VLOOKUP(C1480,Products!$A$5:$D$24,3,FALSE())</f>
        <v>Furniture</v>
      </c>
      <c r="I1480" s="41" t="n">
        <f aca="false">VLOOKUP(C1480,Products!$A$5:$D$24,4,FALSE())</f>
        <v>13</v>
      </c>
      <c r="J1480" s="42" t="n">
        <f aca="false">DATE(YEAR(B1480),MONTH(B1480),1)</f>
        <v>45839</v>
      </c>
      <c r="K1480" s="41" t="n">
        <f aca="false">D1480*E1480</f>
        <v>126.12</v>
      </c>
      <c r="L1480" s="41" t="n">
        <f aca="false">D1480*I1480</f>
        <v>52</v>
      </c>
      <c r="M1480" s="41" t="n">
        <f aca="false">IFERROR(INDEX(Raw_Expenses!$C$5:$C$2979,MATCH(A1480,Raw_Expenses!$A$5:$A$2979,0)),0)</f>
        <v>7.75</v>
      </c>
      <c r="N1480" s="41" t="n">
        <f aca="false">L1480+M1480</f>
        <v>59.75</v>
      </c>
      <c r="O1480" s="41" t="n">
        <f aca="false">K1480-N1480</f>
        <v>66.37</v>
      </c>
      <c r="P1480" s="43" t="n">
        <f aca="false">IF(K1480=0,0,O1480/K1480)</f>
        <v>0.526244846178243</v>
      </c>
    </row>
    <row r="1481" customFormat="false" ht="15" hidden="false" customHeight="false" outlineLevel="0" collapsed="false">
      <c r="A1481" s="39" t="s">
        <v>1603</v>
      </c>
      <c r="B1481" s="40" t="n">
        <v>45866</v>
      </c>
      <c r="C1481" s="39" t="s">
        <v>139</v>
      </c>
      <c r="D1481" s="39" t="n">
        <v>3</v>
      </c>
      <c r="E1481" s="41" t="n">
        <v>120.42</v>
      </c>
      <c r="F1481" s="39" t="s">
        <v>105</v>
      </c>
      <c r="G1481" s="39" t="str">
        <f aca="false">VLOOKUP(C1481,Products!$A$5:$D$24,2,FALSE())</f>
        <v>Noise-Cancelling Headphones</v>
      </c>
      <c r="H1481" s="39" t="str">
        <f aca="false">VLOOKUP(C1481,Products!$A$5:$D$24,3,FALSE())</f>
        <v>Electronics</v>
      </c>
      <c r="I1481" s="41" t="n">
        <f aca="false">VLOOKUP(C1481,Products!$A$5:$D$24,4,FALSE())</f>
        <v>55</v>
      </c>
      <c r="J1481" s="42" t="n">
        <f aca="false">DATE(YEAR(B1481),MONTH(B1481),1)</f>
        <v>45839</v>
      </c>
      <c r="K1481" s="41" t="n">
        <f aca="false">D1481*E1481</f>
        <v>361.26</v>
      </c>
      <c r="L1481" s="41" t="n">
        <f aca="false">D1481*I1481</f>
        <v>165</v>
      </c>
      <c r="M1481" s="41" t="n">
        <f aca="false">IFERROR(INDEX(Raw_Expenses!$C$5:$C$2979,MATCH(A1481,Raw_Expenses!$A$5:$A$2979,0)),0)</f>
        <v>28.89</v>
      </c>
      <c r="N1481" s="41" t="n">
        <f aca="false">L1481+M1481</f>
        <v>193.89</v>
      </c>
      <c r="O1481" s="41" t="n">
        <f aca="false">K1481-N1481</f>
        <v>167.37</v>
      </c>
      <c r="P1481" s="43" t="n">
        <f aca="false">IF(K1481=0,0,O1481/K1481)</f>
        <v>0.463295133698721</v>
      </c>
    </row>
    <row r="1482" customFormat="false" ht="15" hidden="false" customHeight="false" outlineLevel="0" collapsed="false">
      <c r="A1482" s="39" t="s">
        <v>1604</v>
      </c>
      <c r="B1482" s="40" t="n">
        <v>45866</v>
      </c>
      <c r="C1482" s="39" t="s">
        <v>121</v>
      </c>
      <c r="D1482" s="39" t="n">
        <v>6</v>
      </c>
      <c r="E1482" s="41" t="n">
        <v>111.46</v>
      </c>
      <c r="F1482" s="39" t="s">
        <v>115</v>
      </c>
      <c r="G1482" s="39" t="str">
        <f aca="false">VLOOKUP(C1482,Products!$A$5:$D$24,2,FALSE())</f>
        <v>External SSD 1TB</v>
      </c>
      <c r="H1482" s="39" t="str">
        <f aca="false">VLOOKUP(C1482,Products!$A$5:$D$24,3,FALSE())</f>
        <v>Electronics</v>
      </c>
      <c r="I1482" s="41" t="n">
        <f aca="false">VLOOKUP(C1482,Products!$A$5:$D$24,4,FALSE())</f>
        <v>62</v>
      </c>
      <c r="J1482" s="42" t="n">
        <f aca="false">DATE(YEAR(B1482),MONTH(B1482),1)</f>
        <v>45839</v>
      </c>
      <c r="K1482" s="41" t="n">
        <f aca="false">D1482*E1482</f>
        <v>668.76</v>
      </c>
      <c r="L1482" s="41" t="n">
        <f aca="false">D1482*I1482</f>
        <v>372</v>
      </c>
      <c r="M1482" s="41" t="n">
        <f aca="false">IFERROR(INDEX(Raw_Expenses!$C$5:$C$2979,MATCH(A1482,Raw_Expenses!$A$5:$A$2979,0)),0)</f>
        <v>42.39</v>
      </c>
      <c r="N1482" s="41" t="n">
        <f aca="false">L1482+M1482</f>
        <v>414.39</v>
      </c>
      <c r="O1482" s="41" t="n">
        <f aca="false">K1482-N1482</f>
        <v>254.37</v>
      </c>
      <c r="P1482" s="43" t="n">
        <f aca="false">IF(K1482=0,0,O1482/K1482)</f>
        <v>0.380360667504037</v>
      </c>
    </row>
    <row r="1483" customFormat="false" ht="15" hidden="false" customHeight="false" outlineLevel="0" collapsed="false">
      <c r="A1483" s="39" t="s">
        <v>1605</v>
      </c>
      <c r="B1483" s="40" t="n">
        <v>45866</v>
      </c>
      <c r="C1483" s="39" t="s">
        <v>183</v>
      </c>
      <c r="D1483" s="39" t="n">
        <v>3</v>
      </c>
      <c r="E1483" s="41" t="n">
        <v>181.42</v>
      </c>
      <c r="F1483" s="39" t="s">
        <v>118</v>
      </c>
      <c r="G1483" s="39" t="str">
        <f aca="false">VLOOKUP(C1483,Products!$A$5:$D$24,2,FALSE())</f>
        <v>Office Chair</v>
      </c>
      <c r="H1483" s="39" t="str">
        <f aca="false">VLOOKUP(C1483,Products!$A$5:$D$24,3,FALSE())</f>
        <v>Furniture</v>
      </c>
      <c r="I1483" s="41" t="n">
        <f aca="false">VLOOKUP(C1483,Products!$A$5:$D$24,4,FALSE())</f>
        <v>85</v>
      </c>
      <c r="J1483" s="42" t="n">
        <f aca="false">DATE(YEAR(B1483),MONTH(B1483),1)</f>
        <v>45839</v>
      </c>
      <c r="K1483" s="41" t="n">
        <f aca="false">D1483*E1483</f>
        <v>544.26</v>
      </c>
      <c r="L1483" s="41" t="n">
        <f aca="false">D1483*I1483</f>
        <v>255</v>
      </c>
      <c r="M1483" s="41" t="n">
        <f aca="false">IFERROR(INDEX(Raw_Expenses!$C$5:$C$2979,MATCH(A1483,Raw_Expenses!$A$5:$A$2979,0)),0)</f>
        <v>37.74</v>
      </c>
      <c r="N1483" s="41" t="n">
        <f aca="false">L1483+M1483</f>
        <v>292.74</v>
      </c>
      <c r="O1483" s="41" t="n">
        <f aca="false">K1483-N1483</f>
        <v>251.52</v>
      </c>
      <c r="P1483" s="43" t="n">
        <f aca="false">IF(K1483=0,0,O1483/K1483)</f>
        <v>0.462132069231617</v>
      </c>
    </row>
    <row r="1484" customFormat="false" ht="15" hidden="false" customHeight="false" outlineLevel="0" collapsed="false">
      <c r="A1484" s="39" t="s">
        <v>1606</v>
      </c>
      <c r="B1484" s="40" t="n">
        <v>45866</v>
      </c>
      <c r="C1484" s="39" t="s">
        <v>114</v>
      </c>
      <c r="D1484" s="39" t="n">
        <v>1</v>
      </c>
      <c r="E1484" s="41" t="n">
        <v>5.88</v>
      </c>
      <c r="F1484" s="39" t="s">
        <v>115</v>
      </c>
      <c r="G1484" s="39" t="str">
        <f aca="false">VLOOKUP(C1484,Products!$A$5:$D$24,2,FALSE())</f>
        <v>Gel Pen Pack</v>
      </c>
      <c r="H1484" s="39" t="str">
        <f aca="false">VLOOKUP(C1484,Products!$A$5:$D$24,3,FALSE())</f>
        <v>Stationery</v>
      </c>
      <c r="I1484" s="41" t="n">
        <f aca="false">VLOOKUP(C1484,Products!$A$5:$D$24,4,FALSE())</f>
        <v>2</v>
      </c>
      <c r="J1484" s="42" t="n">
        <f aca="false">DATE(YEAR(B1484),MONTH(B1484),1)</f>
        <v>45839</v>
      </c>
      <c r="K1484" s="41" t="n">
        <f aca="false">D1484*E1484</f>
        <v>5.88</v>
      </c>
      <c r="L1484" s="41" t="n">
        <f aca="false">D1484*I1484</f>
        <v>2</v>
      </c>
      <c r="M1484" s="41" t="n">
        <f aca="false">IFERROR(INDEX(Raw_Expenses!$C$5:$C$2979,MATCH(A1484,Raw_Expenses!$A$5:$A$2979,0)),0)</f>
        <v>0.44</v>
      </c>
      <c r="N1484" s="41" t="n">
        <f aca="false">L1484+M1484</f>
        <v>2.44</v>
      </c>
      <c r="O1484" s="41" t="n">
        <f aca="false">K1484-N1484</f>
        <v>3.44</v>
      </c>
      <c r="P1484" s="43" t="n">
        <f aca="false">IF(K1484=0,0,O1484/K1484)</f>
        <v>0.585034013605442</v>
      </c>
    </row>
    <row r="1485" customFormat="false" ht="15" hidden="false" customHeight="false" outlineLevel="0" collapsed="false">
      <c r="A1485" s="39" t="s">
        <v>1607</v>
      </c>
      <c r="B1485" s="40" t="n">
        <v>45866</v>
      </c>
      <c r="C1485" s="39" t="s">
        <v>126</v>
      </c>
      <c r="D1485" s="39" t="n">
        <v>5</v>
      </c>
      <c r="E1485" s="41" t="n">
        <v>23.4</v>
      </c>
      <c r="F1485" s="39" t="s">
        <v>118</v>
      </c>
      <c r="G1485" s="39" t="str">
        <f aca="false">VLOOKUP(C1485,Products!$A$5:$D$24,2,FALSE())</f>
        <v>Wireless Mouse</v>
      </c>
      <c r="H1485" s="39" t="str">
        <f aca="false">VLOOKUP(C1485,Products!$A$5:$D$24,3,FALSE())</f>
        <v>Electronics</v>
      </c>
      <c r="I1485" s="41" t="n">
        <f aca="false">VLOOKUP(C1485,Products!$A$5:$D$24,4,FALSE())</f>
        <v>12</v>
      </c>
      <c r="J1485" s="42" t="n">
        <f aca="false">DATE(YEAR(B1485),MONTH(B1485),1)</f>
        <v>45839</v>
      </c>
      <c r="K1485" s="41" t="n">
        <f aca="false">D1485*E1485</f>
        <v>117</v>
      </c>
      <c r="L1485" s="41" t="n">
        <f aca="false">D1485*I1485</f>
        <v>60</v>
      </c>
      <c r="M1485" s="41" t="n">
        <f aca="false">IFERROR(INDEX(Raw_Expenses!$C$5:$C$2979,MATCH(A1485,Raw_Expenses!$A$5:$A$2979,0)),0)</f>
        <v>6.89</v>
      </c>
      <c r="N1485" s="41" t="n">
        <f aca="false">L1485+M1485</f>
        <v>66.89</v>
      </c>
      <c r="O1485" s="41" t="n">
        <f aca="false">K1485-N1485</f>
        <v>50.11</v>
      </c>
      <c r="P1485" s="43" t="n">
        <f aca="false">IF(K1485=0,0,O1485/K1485)</f>
        <v>0.428290598290598</v>
      </c>
    </row>
    <row r="1486" customFormat="false" ht="15" hidden="false" customHeight="false" outlineLevel="0" collapsed="false">
      <c r="A1486" s="39" t="s">
        <v>1608</v>
      </c>
      <c r="B1486" s="40" t="n">
        <v>45866</v>
      </c>
      <c r="C1486" s="39" t="s">
        <v>169</v>
      </c>
      <c r="D1486" s="39" t="n">
        <v>3</v>
      </c>
      <c r="E1486" s="41" t="n">
        <v>27.47</v>
      </c>
      <c r="F1486" s="39" t="s">
        <v>115</v>
      </c>
      <c r="G1486" s="39" t="str">
        <f aca="false">VLOOKUP(C1486,Products!$A$5:$D$24,2,FALSE())</f>
        <v>Laptop Stand</v>
      </c>
      <c r="H1486" s="39" t="str">
        <f aca="false">VLOOKUP(C1486,Products!$A$5:$D$24,3,FALSE())</f>
        <v>Accessories</v>
      </c>
      <c r="I1486" s="41" t="n">
        <f aca="false">VLOOKUP(C1486,Products!$A$5:$D$24,4,FALSE())</f>
        <v>11</v>
      </c>
      <c r="J1486" s="42" t="n">
        <f aca="false">DATE(YEAR(B1486),MONTH(B1486),1)</f>
        <v>45839</v>
      </c>
      <c r="K1486" s="41" t="n">
        <f aca="false">D1486*E1486</f>
        <v>82.41</v>
      </c>
      <c r="L1486" s="41" t="n">
        <f aca="false">D1486*I1486</f>
        <v>33</v>
      </c>
      <c r="M1486" s="41" t="n">
        <f aca="false">IFERROR(INDEX(Raw_Expenses!$C$5:$C$2979,MATCH(A1486,Raw_Expenses!$A$5:$A$2979,0)),0)</f>
        <v>7.36</v>
      </c>
      <c r="N1486" s="41" t="n">
        <f aca="false">L1486+M1486</f>
        <v>40.36</v>
      </c>
      <c r="O1486" s="41" t="n">
        <f aca="false">K1486-N1486</f>
        <v>42.05</v>
      </c>
      <c r="P1486" s="43" t="n">
        <f aca="false">IF(K1486=0,0,O1486/K1486)</f>
        <v>0.510253609998787</v>
      </c>
    </row>
    <row r="1487" customFormat="false" ht="15" hidden="false" customHeight="false" outlineLevel="0" collapsed="false">
      <c r="A1487" s="39" t="s">
        <v>1609</v>
      </c>
      <c r="B1487" s="40" t="n">
        <v>45866</v>
      </c>
      <c r="C1487" s="39" t="s">
        <v>130</v>
      </c>
      <c r="D1487" s="39" t="n">
        <v>2</v>
      </c>
      <c r="E1487" s="41" t="n">
        <v>8.88</v>
      </c>
      <c r="F1487" s="39" t="s">
        <v>118</v>
      </c>
      <c r="G1487" s="39" t="str">
        <f aca="false">VLOOKUP(C1487,Products!$A$5:$D$24,2,FALSE())</f>
        <v>Notebook Set</v>
      </c>
      <c r="H1487" s="39" t="str">
        <f aca="false">VLOOKUP(C1487,Products!$A$5:$D$24,3,FALSE())</f>
        <v>Stationery</v>
      </c>
      <c r="I1487" s="41" t="n">
        <f aca="false">VLOOKUP(C1487,Products!$A$5:$D$24,4,FALSE())</f>
        <v>3</v>
      </c>
      <c r="J1487" s="42" t="n">
        <f aca="false">DATE(YEAR(B1487),MONTH(B1487),1)</f>
        <v>45839</v>
      </c>
      <c r="K1487" s="41" t="n">
        <f aca="false">D1487*E1487</f>
        <v>17.76</v>
      </c>
      <c r="L1487" s="41" t="n">
        <f aca="false">D1487*I1487</f>
        <v>6</v>
      </c>
      <c r="M1487" s="41" t="n">
        <f aca="false">IFERROR(INDEX(Raw_Expenses!$C$5:$C$2979,MATCH(A1487,Raw_Expenses!$A$5:$A$2979,0)),0)</f>
        <v>1.39</v>
      </c>
      <c r="N1487" s="41" t="n">
        <f aca="false">L1487+M1487</f>
        <v>7.39</v>
      </c>
      <c r="O1487" s="41" t="n">
        <f aca="false">K1487-N1487</f>
        <v>10.37</v>
      </c>
      <c r="P1487" s="43" t="n">
        <f aca="false">IF(K1487=0,0,O1487/K1487)</f>
        <v>0.583896396396397</v>
      </c>
    </row>
    <row r="1488" customFormat="false" ht="15" hidden="false" customHeight="false" outlineLevel="0" collapsed="false">
      <c r="A1488" s="39" t="s">
        <v>1610</v>
      </c>
      <c r="B1488" s="40" t="n">
        <v>45866</v>
      </c>
      <c r="C1488" s="39" t="s">
        <v>126</v>
      </c>
      <c r="D1488" s="39" t="n">
        <v>4</v>
      </c>
      <c r="E1488" s="41" t="n">
        <v>24.66</v>
      </c>
      <c r="F1488" s="39" t="s">
        <v>118</v>
      </c>
      <c r="G1488" s="39" t="str">
        <f aca="false">VLOOKUP(C1488,Products!$A$5:$D$24,2,FALSE())</f>
        <v>Wireless Mouse</v>
      </c>
      <c r="H1488" s="39" t="str">
        <f aca="false">VLOOKUP(C1488,Products!$A$5:$D$24,3,FALSE())</f>
        <v>Electronics</v>
      </c>
      <c r="I1488" s="41" t="n">
        <f aca="false">VLOOKUP(C1488,Products!$A$5:$D$24,4,FALSE())</f>
        <v>12</v>
      </c>
      <c r="J1488" s="42" t="n">
        <f aca="false">DATE(YEAR(B1488),MONTH(B1488),1)</f>
        <v>45839</v>
      </c>
      <c r="K1488" s="41" t="n">
        <f aca="false">D1488*E1488</f>
        <v>98.64</v>
      </c>
      <c r="L1488" s="41" t="n">
        <f aca="false">D1488*I1488</f>
        <v>48</v>
      </c>
      <c r="M1488" s="41" t="n">
        <f aca="false">IFERROR(INDEX(Raw_Expenses!$C$5:$C$2979,MATCH(A1488,Raw_Expenses!$A$5:$A$2979,0)),0)</f>
        <v>8.43</v>
      </c>
      <c r="N1488" s="41" t="n">
        <f aca="false">L1488+M1488</f>
        <v>56.43</v>
      </c>
      <c r="O1488" s="41" t="n">
        <f aca="false">K1488-N1488</f>
        <v>42.21</v>
      </c>
      <c r="P1488" s="43" t="n">
        <f aca="false">IF(K1488=0,0,O1488/K1488)</f>
        <v>0.427919708029197</v>
      </c>
    </row>
    <row r="1489" customFormat="false" ht="15" hidden="false" customHeight="false" outlineLevel="0" collapsed="false">
      <c r="A1489" s="39" t="s">
        <v>1611</v>
      </c>
      <c r="B1489" s="40" t="n">
        <v>45870</v>
      </c>
      <c r="C1489" s="39" t="s">
        <v>133</v>
      </c>
      <c r="D1489" s="39" t="n">
        <v>4</v>
      </c>
      <c r="E1489" s="41" t="n">
        <v>8.87</v>
      </c>
      <c r="F1489" s="39" t="s">
        <v>115</v>
      </c>
      <c r="G1489" s="39" t="str">
        <f aca="false">VLOOKUP(C1489,Products!$A$5:$D$24,2,FALSE())</f>
        <v>Printer Paper Ream</v>
      </c>
      <c r="H1489" s="39" t="str">
        <f aca="false">VLOOKUP(C1489,Products!$A$5:$D$24,3,FALSE())</f>
        <v>Stationery</v>
      </c>
      <c r="I1489" s="41" t="n">
        <f aca="false">VLOOKUP(C1489,Products!$A$5:$D$24,4,FALSE())</f>
        <v>4</v>
      </c>
      <c r="J1489" s="42" t="n">
        <f aca="false">DATE(YEAR(B1489),MONTH(B1489),1)</f>
        <v>45870</v>
      </c>
      <c r="K1489" s="41" t="n">
        <f aca="false">D1489*E1489</f>
        <v>35.48</v>
      </c>
      <c r="L1489" s="41" t="n">
        <f aca="false">D1489*I1489</f>
        <v>16</v>
      </c>
      <c r="M1489" s="41" t="n">
        <f aca="false">IFERROR(INDEX(Raw_Expenses!$C$5:$C$2979,MATCH(A1489,Raw_Expenses!$A$5:$A$2979,0)),0)</f>
        <v>2.35</v>
      </c>
      <c r="N1489" s="41" t="n">
        <f aca="false">L1489+M1489</f>
        <v>18.35</v>
      </c>
      <c r="O1489" s="41" t="n">
        <f aca="false">K1489-N1489</f>
        <v>17.13</v>
      </c>
      <c r="P1489" s="43" t="n">
        <f aca="false">IF(K1489=0,0,O1489/K1489)</f>
        <v>0.482807215332582</v>
      </c>
    </row>
    <row r="1490" customFormat="false" ht="15" hidden="false" customHeight="false" outlineLevel="0" collapsed="false">
      <c r="A1490" s="39" t="s">
        <v>1612</v>
      </c>
      <c r="B1490" s="40" t="n">
        <v>45870</v>
      </c>
      <c r="C1490" s="39" t="s">
        <v>130</v>
      </c>
      <c r="D1490" s="39" t="n">
        <v>4</v>
      </c>
      <c r="E1490" s="41" t="n">
        <v>8.44</v>
      </c>
      <c r="F1490" s="39" t="s">
        <v>115</v>
      </c>
      <c r="G1490" s="39" t="str">
        <f aca="false">VLOOKUP(C1490,Products!$A$5:$D$24,2,FALSE())</f>
        <v>Notebook Set</v>
      </c>
      <c r="H1490" s="39" t="str">
        <f aca="false">VLOOKUP(C1490,Products!$A$5:$D$24,3,FALSE())</f>
        <v>Stationery</v>
      </c>
      <c r="I1490" s="41" t="n">
        <f aca="false">VLOOKUP(C1490,Products!$A$5:$D$24,4,FALSE())</f>
        <v>3</v>
      </c>
      <c r="J1490" s="42" t="n">
        <f aca="false">DATE(YEAR(B1490),MONTH(B1490),1)</f>
        <v>45870</v>
      </c>
      <c r="K1490" s="41" t="n">
        <f aca="false">D1490*E1490</f>
        <v>33.76</v>
      </c>
      <c r="L1490" s="41" t="n">
        <f aca="false">D1490*I1490</f>
        <v>12</v>
      </c>
      <c r="M1490" s="41" t="n">
        <f aca="false">IFERROR(INDEX(Raw_Expenses!$C$5:$C$2979,MATCH(A1490,Raw_Expenses!$A$5:$A$2979,0)),0)</f>
        <v>2.82</v>
      </c>
      <c r="N1490" s="41" t="n">
        <f aca="false">L1490+M1490</f>
        <v>14.82</v>
      </c>
      <c r="O1490" s="41" t="n">
        <f aca="false">K1490-N1490</f>
        <v>18.94</v>
      </c>
      <c r="P1490" s="43" t="n">
        <f aca="false">IF(K1490=0,0,O1490/K1490)</f>
        <v>0.561018957345972</v>
      </c>
    </row>
    <row r="1491" customFormat="false" ht="15" hidden="false" customHeight="false" outlineLevel="0" collapsed="false">
      <c r="A1491" s="39" t="s">
        <v>1613</v>
      </c>
      <c r="B1491" s="40" t="n">
        <v>45870</v>
      </c>
      <c r="C1491" s="39" t="s">
        <v>305</v>
      </c>
      <c r="D1491" s="39" t="n">
        <v>1</v>
      </c>
      <c r="E1491" s="41" t="n">
        <v>335.05</v>
      </c>
      <c r="F1491" s="39" t="s">
        <v>108</v>
      </c>
      <c r="G1491" s="39" t="str">
        <f aca="false">VLOOKUP(C1491,Products!$A$5:$D$24,2,FALSE())</f>
        <v>Standing Desk</v>
      </c>
      <c r="H1491" s="39" t="str">
        <f aca="false">VLOOKUP(C1491,Products!$A$5:$D$24,3,FALSE())</f>
        <v>Furniture</v>
      </c>
      <c r="I1491" s="41" t="n">
        <f aca="false">VLOOKUP(C1491,Products!$A$5:$D$24,4,FALSE())</f>
        <v>160</v>
      </c>
      <c r="J1491" s="42" t="n">
        <f aca="false">DATE(YEAR(B1491),MONTH(B1491),1)</f>
        <v>45870</v>
      </c>
      <c r="K1491" s="41" t="n">
        <f aca="false">D1491*E1491</f>
        <v>335.05</v>
      </c>
      <c r="L1491" s="41" t="n">
        <f aca="false">D1491*I1491</f>
        <v>160</v>
      </c>
      <c r="M1491" s="41" t="n">
        <f aca="false">IFERROR(INDEX(Raw_Expenses!$C$5:$C$2979,MATCH(A1491,Raw_Expenses!$A$5:$A$2979,0)),0)</f>
        <v>16.32</v>
      </c>
      <c r="N1491" s="41" t="n">
        <f aca="false">L1491+M1491</f>
        <v>176.32</v>
      </c>
      <c r="O1491" s="41" t="n">
        <f aca="false">K1491-N1491</f>
        <v>158.73</v>
      </c>
      <c r="P1491" s="43" t="n">
        <f aca="false">IF(K1491=0,0,O1491/K1491)</f>
        <v>0.473750186539323</v>
      </c>
    </row>
    <row r="1492" customFormat="false" ht="15" hidden="false" customHeight="false" outlineLevel="0" collapsed="false">
      <c r="A1492" s="39" t="s">
        <v>1614</v>
      </c>
      <c r="B1492" s="40" t="n">
        <v>45870</v>
      </c>
      <c r="C1492" s="39" t="s">
        <v>162</v>
      </c>
      <c r="D1492" s="39" t="n">
        <v>1</v>
      </c>
      <c r="E1492" s="41" t="n">
        <v>66.36</v>
      </c>
      <c r="F1492" s="39" t="s">
        <v>105</v>
      </c>
      <c r="G1492" s="39" t="str">
        <f aca="false">VLOOKUP(C1492,Products!$A$5:$D$24,2,FALSE())</f>
        <v>Bluetooth Speaker</v>
      </c>
      <c r="H1492" s="39" t="str">
        <f aca="false">VLOOKUP(C1492,Products!$A$5:$D$24,3,FALSE())</f>
        <v>Electronics</v>
      </c>
      <c r="I1492" s="41" t="n">
        <f aca="false">VLOOKUP(C1492,Products!$A$5:$D$24,4,FALSE())</f>
        <v>28</v>
      </c>
      <c r="J1492" s="42" t="n">
        <f aca="false">DATE(YEAR(B1492),MONTH(B1492),1)</f>
        <v>45870</v>
      </c>
      <c r="K1492" s="41" t="n">
        <f aca="false">D1492*E1492</f>
        <v>66.36</v>
      </c>
      <c r="L1492" s="41" t="n">
        <f aca="false">D1492*I1492</f>
        <v>28</v>
      </c>
      <c r="M1492" s="41" t="n">
        <f aca="false">IFERROR(INDEX(Raw_Expenses!$C$5:$C$2979,MATCH(A1492,Raw_Expenses!$A$5:$A$2979,0)),0)</f>
        <v>3.03</v>
      </c>
      <c r="N1492" s="41" t="n">
        <f aca="false">L1492+M1492</f>
        <v>31.03</v>
      </c>
      <c r="O1492" s="41" t="n">
        <f aca="false">K1492-N1492</f>
        <v>35.33</v>
      </c>
      <c r="P1492" s="43" t="n">
        <f aca="false">IF(K1492=0,0,O1492/K1492)</f>
        <v>0.532399035563593</v>
      </c>
    </row>
    <row r="1493" customFormat="false" ht="15" hidden="false" customHeight="false" outlineLevel="0" collapsed="false">
      <c r="A1493" s="39" t="s">
        <v>1615</v>
      </c>
      <c r="B1493" s="40" t="n">
        <v>45870</v>
      </c>
      <c r="C1493" s="39" t="s">
        <v>114</v>
      </c>
      <c r="D1493" s="39" t="n">
        <v>4</v>
      </c>
      <c r="E1493" s="41" t="n">
        <v>5.72</v>
      </c>
      <c r="F1493" s="39" t="s">
        <v>105</v>
      </c>
      <c r="G1493" s="39" t="str">
        <f aca="false">VLOOKUP(C1493,Products!$A$5:$D$24,2,FALSE())</f>
        <v>Gel Pen Pack</v>
      </c>
      <c r="H1493" s="39" t="str">
        <f aca="false">VLOOKUP(C1493,Products!$A$5:$D$24,3,FALSE())</f>
        <v>Stationery</v>
      </c>
      <c r="I1493" s="41" t="n">
        <f aca="false">VLOOKUP(C1493,Products!$A$5:$D$24,4,FALSE())</f>
        <v>2</v>
      </c>
      <c r="J1493" s="42" t="n">
        <f aca="false">DATE(YEAR(B1493),MONTH(B1493),1)</f>
        <v>45870</v>
      </c>
      <c r="K1493" s="41" t="n">
        <f aca="false">D1493*E1493</f>
        <v>22.88</v>
      </c>
      <c r="L1493" s="41" t="n">
        <f aca="false">D1493*I1493</f>
        <v>8</v>
      </c>
      <c r="M1493" s="41" t="n">
        <f aca="false">IFERROR(INDEX(Raw_Expenses!$C$5:$C$2979,MATCH(A1493,Raw_Expenses!$A$5:$A$2979,0)),0)</f>
        <v>1.53</v>
      </c>
      <c r="N1493" s="41" t="n">
        <f aca="false">L1493+M1493</f>
        <v>9.53</v>
      </c>
      <c r="O1493" s="41" t="n">
        <f aca="false">K1493-N1493</f>
        <v>13.35</v>
      </c>
      <c r="P1493" s="43" t="n">
        <f aca="false">IF(K1493=0,0,O1493/K1493)</f>
        <v>0.583479020979021</v>
      </c>
    </row>
    <row r="1494" customFormat="false" ht="15" hidden="false" customHeight="false" outlineLevel="0" collapsed="false">
      <c r="A1494" s="39" t="s">
        <v>1616</v>
      </c>
      <c r="B1494" s="40" t="n">
        <v>45870</v>
      </c>
      <c r="C1494" s="39" t="s">
        <v>110</v>
      </c>
      <c r="D1494" s="39" t="n">
        <v>1</v>
      </c>
      <c r="E1494" s="41" t="n">
        <v>13.6</v>
      </c>
      <c r="F1494" s="39" t="s">
        <v>118</v>
      </c>
      <c r="G1494" s="39" t="str">
        <f aca="false">VLOOKUP(C1494,Products!$A$5:$D$24,2,FALSE())</f>
        <v>Phone Stand</v>
      </c>
      <c r="H1494" s="39" t="str">
        <f aca="false">VLOOKUP(C1494,Products!$A$5:$D$24,3,FALSE())</f>
        <v>Accessories</v>
      </c>
      <c r="I1494" s="41" t="n">
        <f aca="false">VLOOKUP(C1494,Products!$A$5:$D$24,4,FALSE())</f>
        <v>4</v>
      </c>
      <c r="J1494" s="42" t="n">
        <f aca="false">DATE(YEAR(B1494),MONTH(B1494),1)</f>
        <v>45870</v>
      </c>
      <c r="K1494" s="41" t="n">
        <f aca="false">D1494*E1494</f>
        <v>13.6</v>
      </c>
      <c r="L1494" s="41" t="n">
        <f aca="false">D1494*I1494</f>
        <v>4</v>
      </c>
      <c r="M1494" s="41" t="n">
        <f aca="false">IFERROR(INDEX(Raw_Expenses!$C$5:$C$2979,MATCH(A1494,Raw_Expenses!$A$5:$A$2979,0)),0)</f>
        <v>0.91</v>
      </c>
      <c r="N1494" s="41" t="n">
        <f aca="false">L1494+M1494</f>
        <v>4.91</v>
      </c>
      <c r="O1494" s="41" t="n">
        <f aca="false">K1494-N1494</f>
        <v>8.69</v>
      </c>
      <c r="P1494" s="43" t="n">
        <f aca="false">IF(K1494=0,0,O1494/K1494)</f>
        <v>0.638970588235294</v>
      </c>
    </row>
    <row r="1495" customFormat="false" ht="15" hidden="false" customHeight="false" outlineLevel="0" collapsed="false">
      <c r="A1495" s="39" t="s">
        <v>1617</v>
      </c>
      <c r="B1495" s="40" t="n">
        <v>45871</v>
      </c>
      <c r="C1495" s="39" t="s">
        <v>114</v>
      </c>
      <c r="D1495" s="39" t="n">
        <v>2</v>
      </c>
      <c r="E1495" s="41" t="n">
        <v>5.63</v>
      </c>
      <c r="F1495" s="39" t="s">
        <v>105</v>
      </c>
      <c r="G1495" s="39" t="str">
        <f aca="false">VLOOKUP(C1495,Products!$A$5:$D$24,2,FALSE())</f>
        <v>Gel Pen Pack</v>
      </c>
      <c r="H1495" s="39" t="str">
        <f aca="false">VLOOKUP(C1495,Products!$A$5:$D$24,3,FALSE())</f>
        <v>Stationery</v>
      </c>
      <c r="I1495" s="41" t="n">
        <f aca="false">VLOOKUP(C1495,Products!$A$5:$D$24,4,FALSE())</f>
        <v>2</v>
      </c>
      <c r="J1495" s="42" t="n">
        <f aca="false">DATE(YEAR(B1495),MONTH(B1495),1)</f>
        <v>45870</v>
      </c>
      <c r="K1495" s="41" t="n">
        <f aca="false">D1495*E1495</f>
        <v>11.26</v>
      </c>
      <c r="L1495" s="41" t="n">
        <f aca="false">D1495*I1495</f>
        <v>4</v>
      </c>
      <c r="M1495" s="41" t="n">
        <f aca="false">IFERROR(INDEX(Raw_Expenses!$C$5:$C$2979,MATCH(A1495,Raw_Expenses!$A$5:$A$2979,0)),0)</f>
        <v>0.6</v>
      </c>
      <c r="N1495" s="41" t="n">
        <f aca="false">L1495+M1495</f>
        <v>4.6</v>
      </c>
      <c r="O1495" s="41" t="n">
        <f aca="false">K1495-N1495</f>
        <v>6.66</v>
      </c>
      <c r="P1495" s="43" t="n">
        <f aca="false">IF(K1495=0,0,O1495/K1495)</f>
        <v>0.591474245115453</v>
      </c>
    </row>
    <row r="1496" customFormat="false" ht="15" hidden="false" customHeight="false" outlineLevel="0" collapsed="false">
      <c r="A1496" s="39" t="s">
        <v>1618</v>
      </c>
      <c r="B1496" s="40" t="n">
        <v>45871</v>
      </c>
      <c r="C1496" s="39" t="s">
        <v>114</v>
      </c>
      <c r="D1496" s="39" t="n">
        <v>3</v>
      </c>
      <c r="E1496" s="41" t="n">
        <v>5.76</v>
      </c>
      <c r="F1496" s="39" t="s">
        <v>105</v>
      </c>
      <c r="G1496" s="39" t="str">
        <f aca="false">VLOOKUP(C1496,Products!$A$5:$D$24,2,FALSE())</f>
        <v>Gel Pen Pack</v>
      </c>
      <c r="H1496" s="39" t="str">
        <f aca="false">VLOOKUP(C1496,Products!$A$5:$D$24,3,FALSE())</f>
        <v>Stationery</v>
      </c>
      <c r="I1496" s="41" t="n">
        <f aca="false">VLOOKUP(C1496,Products!$A$5:$D$24,4,FALSE())</f>
        <v>2</v>
      </c>
      <c r="J1496" s="42" t="n">
        <f aca="false">DATE(YEAR(B1496),MONTH(B1496),1)</f>
        <v>45870</v>
      </c>
      <c r="K1496" s="41" t="n">
        <f aca="false">D1496*E1496</f>
        <v>17.28</v>
      </c>
      <c r="L1496" s="41" t="n">
        <f aca="false">D1496*I1496</f>
        <v>6</v>
      </c>
      <c r="M1496" s="41" t="n">
        <f aca="false">IFERROR(INDEX(Raw_Expenses!$C$5:$C$2979,MATCH(A1496,Raw_Expenses!$A$5:$A$2979,0)),0)</f>
        <v>1.28</v>
      </c>
      <c r="N1496" s="41" t="n">
        <f aca="false">L1496+M1496</f>
        <v>7.28</v>
      </c>
      <c r="O1496" s="41" t="n">
        <f aca="false">K1496-N1496</f>
        <v>10</v>
      </c>
      <c r="P1496" s="43" t="n">
        <f aca="false">IF(K1496=0,0,O1496/K1496)</f>
        <v>0.578703703703704</v>
      </c>
    </row>
    <row r="1497" customFormat="false" ht="15" hidden="false" customHeight="false" outlineLevel="0" collapsed="false">
      <c r="A1497" s="39" t="s">
        <v>1619</v>
      </c>
      <c r="B1497" s="40" t="n">
        <v>45871</v>
      </c>
      <c r="C1497" s="39" t="s">
        <v>112</v>
      </c>
      <c r="D1497" s="39" t="n">
        <v>5</v>
      </c>
      <c r="E1497" s="41" t="n">
        <v>54.11</v>
      </c>
      <c r="F1497" s="39" t="s">
        <v>115</v>
      </c>
      <c r="G1497" s="39" t="str">
        <f aca="false">VLOOKUP(C1497,Products!$A$5:$D$24,2,FALSE())</f>
        <v>HD Webcam</v>
      </c>
      <c r="H1497" s="39" t="str">
        <f aca="false">VLOOKUP(C1497,Products!$A$5:$D$24,3,FALSE())</f>
        <v>Electronics</v>
      </c>
      <c r="I1497" s="41" t="n">
        <f aca="false">VLOOKUP(C1497,Products!$A$5:$D$24,4,FALSE())</f>
        <v>22</v>
      </c>
      <c r="J1497" s="42" t="n">
        <f aca="false">DATE(YEAR(B1497),MONTH(B1497),1)</f>
        <v>45870</v>
      </c>
      <c r="K1497" s="41" t="n">
        <f aca="false">D1497*E1497</f>
        <v>270.55</v>
      </c>
      <c r="L1497" s="41" t="n">
        <f aca="false">D1497*I1497</f>
        <v>110</v>
      </c>
      <c r="M1497" s="41" t="n">
        <f aca="false">IFERROR(INDEX(Raw_Expenses!$C$5:$C$2979,MATCH(A1497,Raw_Expenses!$A$5:$A$2979,0)),0)</f>
        <v>15.36</v>
      </c>
      <c r="N1497" s="41" t="n">
        <f aca="false">L1497+M1497</f>
        <v>125.36</v>
      </c>
      <c r="O1497" s="41" t="n">
        <f aca="false">K1497-N1497</f>
        <v>145.19</v>
      </c>
      <c r="P1497" s="43" t="n">
        <f aca="false">IF(K1497=0,0,O1497/K1497)</f>
        <v>0.536647569765293</v>
      </c>
    </row>
    <row r="1498" customFormat="false" ht="15" hidden="false" customHeight="false" outlineLevel="0" collapsed="false">
      <c r="A1498" s="39" t="s">
        <v>1620</v>
      </c>
      <c r="B1498" s="40" t="n">
        <v>45871</v>
      </c>
      <c r="C1498" s="39" t="s">
        <v>121</v>
      </c>
      <c r="D1498" s="39" t="n">
        <v>1</v>
      </c>
      <c r="E1498" s="41" t="n">
        <v>112.22</v>
      </c>
      <c r="F1498" s="39" t="s">
        <v>108</v>
      </c>
      <c r="G1498" s="39" t="str">
        <f aca="false">VLOOKUP(C1498,Products!$A$5:$D$24,2,FALSE())</f>
        <v>External SSD 1TB</v>
      </c>
      <c r="H1498" s="39" t="str">
        <f aca="false">VLOOKUP(C1498,Products!$A$5:$D$24,3,FALSE())</f>
        <v>Electronics</v>
      </c>
      <c r="I1498" s="41" t="n">
        <f aca="false">VLOOKUP(C1498,Products!$A$5:$D$24,4,FALSE())</f>
        <v>62</v>
      </c>
      <c r="J1498" s="42" t="n">
        <f aca="false">DATE(YEAR(B1498),MONTH(B1498),1)</f>
        <v>45870</v>
      </c>
      <c r="K1498" s="41" t="n">
        <f aca="false">D1498*E1498</f>
        <v>112.22</v>
      </c>
      <c r="L1498" s="41" t="n">
        <f aca="false">D1498*I1498</f>
        <v>62</v>
      </c>
      <c r="M1498" s="41" t="n">
        <f aca="false">IFERROR(INDEX(Raw_Expenses!$C$5:$C$2979,MATCH(A1498,Raw_Expenses!$A$5:$A$2979,0)),0)</f>
        <v>5.77</v>
      </c>
      <c r="N1498" s="41" t="n">
        <f aca="false">L1498+M1498</f>
        <v>67.77</v>
      </c>
      <c r="O1498" s="41" t="n">
        <f aca="false">K1498-N1498</f>
        <v>44.45</v>
      </c>
      <c r="P1498" s="43" t="n">
        <f aca="false">IF(K1498=0,0,O1498/K1498)</f>
        <v>0.396096952414899</v>
      </c>
    </row>
    <row r="1499" customFormat="false" ht="15" hidden="false" customHeight="false" outlineLevel="0" collapsed="false">
      <c r="A1499" s="39" t="s">
        <v>1621</v>
      </c>
      <c r="B1499" s="40" t="n">
        <v>45871</v>
      </c>
      <c r="C1499" s="39" t="s">
        <v>130</v>
      </c>
      <c r="D1499" s="39" t="n">
        <v>4</v>
      </c>
      <c r="E1499" s="41" t="n">
        <v>8.87</v>
      </c>
      <c r="F1499" s="39" t="s">
        <v>118</v>
      </c>
      <c r="G1499" s="39" t="str">
        <f aca="false">VLOOKUP(C1499,Products!$A$5:$D$24,2,FALSE())</f>
        <v>Notebook Set</v>
      </c>
      <c r="H1499" s="39" t="str">
        <f aca="false">VLOOKUP(C1499,Products!$A$5:$D$24,3,FALSE())</f>
        <v>Stationery</v>
      </c>
      <c r="I1499" s="41" t="n">
        <f aca="false">VLOOKUP(C1499,Products!$A$5:$D$24,4,FALSE())</f>
        <v>3</v>
      </c>
      <c r="J1499" s="42" t="n">
        <f aca="false">DATE(YEAR(B1499),MONTH(B1499),1)</f>
        <v>45870</v>
      </c>
      <c r="K1499" s="41" t="n">
        <f aca="false">D1499*E1499</f>
        <v>35.48</v>
      </c>
      <c r="L1499" s="41" t="n">
        <f aca="false">D1499*I1499</f>
        <v>12</v>
      </c>
      <c r="M1499" s="41" t="n">
        <f aca="false">IFERROR(INDEX(Raw_Expenses!$C$5:$C$2979,MATCH(A1499,Raw_Expenses!$A$5:$A$2979,0)),0)</f>
        <v>2.08</v>
      </c>
      <c r="N1499" s="41" t="n">
        <f aca="false">L1499+M1499</f>
        <v>14.08</v>
      </c>
      <c r="O1499" s="41" t="n">
        <f aca="false">K1499-N1499</f>
        <v>21.4</v>
      </c>
      <c r="P1499" s="43" t="n">
        <f aca="false">IF(K1499=0,0,O1499/K1499)</f>
        <v>0.60315670800451</v>
      </c>
    </row>
    <row r="1500" customFormat="false" ht="15" hidden="false" customHeight="false" outlineLevel="0" collapsed="false">
      <c r="A1500" s="39" t="s">
        <v>1622</v>
      </c>
      <c r="B1500" s="40" t="n">
        <v>45871</v>
      </c>
      <c r="C1500" s="39" t="s">
        <v>183</v>
      </c>
      <c r="D1500" s="39" t="n">
        <v>1</v>
      </c>
      <c r="E1500" s="41" t="n">
        <v>188.86</v>
      </c>
      <c r="F1500" s="39" t="s">
        <v>118</v>
      </c>
      <c r="G1500" s="39" t="str">
        <f aca="false">VLOOKUP(C1500,Products!$A$5:$D$24,2,FALSE())</f>
        <v>Office Chair</v>
      </c>
      <c r="H1500" s="39" t="str">
        <f aca="false">VLOOKUP(C1500,Products!$A$5:$D$24,3,FALSE())</f>
        <v>Furniture</v>
      </c>
      <c r="I1500" s="41" t="n">
        <f aca="false">VLOOKUP(C1500,Products!$A$5:$D$24,4,FALSE())</f>
        <v>85</v>
      </c>
      <c r="J1500" s="42" t="n">
        <f aca="false">DATE(YEAR(B1500),MONTH(B1500),1)</f>
        <v>45870</v>
      </c>
      <c r="K1500" s="41" t="n">
        <f aca="false">D1500*E1500</f>
        <v>188.86</v>
      </c>
      <c r="L1500" s="41" t="n">
        <f aca="false">D1500*I1500</f>
        <v>85</v>
      </c>
      <c r="M1500" s="41" t="n">
        <f aca="false">IFERROR(INDEX(Raw_Expenses!$C$5:$C$2979,MATCH(A1500,Raw_Expenses!$A$5:$A$2979,0)),0)</f>
        <v>13.79</v>
      </c>
      <c r="N1500" s="41" t="n">
        <f aca="false">L1500+M1500</f>
        <v>98.79</v>
      </c>
      <c r="O1500" s="41" t="n">
        <f aca="false">K1500-N1500</f>
        <v>90.07</v>
      </c>
      <c r="P1500" s="43" t="n">
        <f aca="false">IF(K1500=0,0,O1500/K1500)</f>
        <v>0.476914116276607</v>
      </c>
    </row>
    <row r="1501" customFormat="false" ht="15" hidden="false" customHeight="false" outlineLevel="0" collapsed="false">
      <c r="A1501" s="39" t="s">
        <v>1623</v>
      </c>
      <c r="B1501" s="40" t="n">
        <v>45871</v>
      </c>
      <c r="C1501" s="39" t="s">
        <v>133</v>
      </c>
      <c r="D1501" s="39" t="n">
        <v>8</v>
      </c>
      <c r="E1501" s="41" t="n">
        <v>8.55</v>
      </c>
      <c r="F1501" s="39" t="s">
        <v>115</v>
      </c>
      <c r="G1501" s="39" t="str">
        <f aca="false">VLOOKUP(C1501,Products!$A$5:$D$24,2,FALSE())</f>
        <v>Printer Paper Ream</v>
      </c>
      <c r="H1501" s="39" t="str">
        <f aca="false">VLOOKUP(C1501,Products!$A$5:$D$24,3,FALSE())</f>
        <v>Stationery</v>
      </c>
      <c r="I1501" s="41" t="n">
        <f aca="false">VLOOKUP(C1501,Products!$A$5:$D$24,4,FALSE())</f>
        <v>4</v>
      </c>
      <c r="J1501" s="42" t="n">
        <f aca="false">DATE(YEAR(B1501),MONTH(B1501),1)</f>
        <v>45870</v>
      </c>
      <c r="K1501" s="41" t="n">
        <f aca="false">D1501*E1501</f>
        <v>68.4</v>
      </c>
      <c r="L1501" s="41" t="n">
        <f aca="false">D1501*I1501</f>
        <v>32</v>
      </c>
      <c r="M1501" s="41" t="n">
        <f aca="false">IFERROR(INDEX(Raw_Expenses!$C$5:$C$2979,MATCH(A1501,Raw_Expenses!$A$5:$A$2979,0)),0)</f>
        <v>5.48</v>
      </c>
      <c r="N1501" s="41" t="n">
        <f aca="false">L1501+M1501</f>
        <v>37.48</v>
      </c>
      <c r="O1501" s="41" t="n">
        <f aca="false">K1501-N1501</f>
        <v>30.92</v>
      </c>
      <c r="P1501" s="43" t="n">
        <f aca="false">IF(K1501=0,0,O1501/K1501)</f>
        <v>0.452046783625731</v>
      </c>
    </row>
    <row r="1502" customFormat="false" ht="15" hidden="false" customHeight="false" outlineLevel="0" collapsed="false">
      <c r="A1502" s="39" t="s">
        <v>1624</v>
      </c>
      <c r="B1502" s="40" t="n">
        <v>45872</v>
      </c>
      <c r="C1502" s="39" t="s">
        <v>130</v>
      </c>
      <c r="D1502" s="39" t="n">
        <v>5</v>
      </c>
      <c r="E1502" s="41" t="n">
        <v>8.75</v>
      </c>
      <c r="F1502" s="39" t="s">
        <v>115</v>
      </c>
      <c r="G1502" s="39" t="str">
        <f aca="false">VLOOKUP(C1502,Products!$A$5:$D$24,2,FALSE())</f>
        <v>Notebook Set</v>
      </c>
      <c r="H1502" s="39" t="str">
        <f aca="false">VLOOKUP(C1502,Products!$A$5:$D$24,3,FALSE())</f>
        <v>Stationery</v>
      </c>
      <c r="I1502" s="41" t="n">
        <f aca="false">VLOOKUP(C1502,Products!$A$5:$D$24,4,FALSE())</f>
        <v>3</v>
      </c>
      <c r="J1502" s="42" t="n">
        <f aca="false">DATE(YEAR(B1502),MONTH(B1502),1)</f>
        <v>45870</v>
      </c>
      <c r="K1502" s="41" t="n">
        <f aca="false">D1502*E1502</f>
        <v>43.75</v>
      </c>
      <c r="L1502" s="41" t="n">
        <f aca="false">D1502*I1502</f>
        <v>15</v>
      </c>
      <c r="M1502" s="41" t="n">
        <f aca="false">IFERROR(INDEX(Raw_Expenses!$C$5:$C$2979,MATCH(A1502,Raw_Expenses!$A$5:$A$2979,0)),0)</f>
        <v>2.31</v>
      </c>
      <c r="N1502" s="41" t="n">
        <f aca="false">L1502+M1502</f>
        <v>17.31</v>
      </c>
      <c r="O1502" s="41" t="n">
        <f aca="false">K1502-N1502</f>
        <v>26.44</v>
      </c>
      <c r="P1502" s="43" t="n">
        <f aca="false">IF(K1502=0,0,O1502/K1502)</f>
        <v>0.604342857142857</v>
      </c>
    </row>
    <row r="1503" customFormat="false" ht="15" hidden="false" customHeight="false" outlineLevel="0" collapsed="false">
      <c r="A1503" s="39" t="s">
        <v>1625</v>
      </c>
      <c r="B1503" s="40" t="n">
        <v>45872</v>
      </c>
      <c r="C1503" s="39" t="s">
        <v>112</v>
      </c>
      <c r="D1503" s="39" t="n">
        <v>1</v>
      </c>
      <c r="E1503" s="41" t="n">
        <v>54.98</v>
      </c>
      <c r="F1503" s="39" t="s">
        <v>115</v>
      </c>
      <c r="G1503" s="39" t="str">
        <f aca="false">VLOOKUP(C1503,Products!$A$5:$D$24,2,FALSE())</f>
        <v>HD Webcam</v>
      </c>
      <c r="H1503" s="39" t="str">
        <f aca="false">VLOOKUP(C1503,Products!$A$5:$D$24,3,FALSE())</f>
        <v>Electronics</v>
      </c>
      <c r="I1503" s="41" t="n">
        <f aca="false">VLOOKUP(C1503,Products!$A$5:$D$24,4,FALSE())</f>
        <v>22</v>
      </c>
      <c r="J1503" s="42" t="n">
        <f aca="false">DATE(YEAR(B1503),MONTH(B1503),1)</f>
        <v>45870</v>
      </c>
      <c r="K1503" s="41" t="n">
        <f aca="false">D1503*E1503</f>
        <v>54.98</v>
      </c>
      <c r="L1503" s="41" t="n">
        <f aca="false">D1503*I1503</f>
        <v>22</v>
      </c>
      <c r="M1503" s="41" t="n">
        <f aca="false">IFERROR(INDEX(Raw_Expenses!$C$5:$C$2979,MATCH(A1503,Raw_Expenses!$A$5:$A$2979,0)),0)</f>
        <v>2.94</v>
      </c>
      <c r="N1503" s="41" t="n">
        <f aca="false">L1503+M1503</f>
        <v>24.94</v>
      </c>
      <c r="O1503" s="41" t="n">
        <f aca="false">K1503-N1503</f>
        <v>30.04</v>
      </c>
      <c r="P1503" s="43" t="n">
        <f aca="false">IF(K1503=0,0,O1503/K1503)</f>
        <v>0.546380502000728</v>
      </c>
    </row>
    <row r="1504" customFormat="false" ht="15" hidden="false" customHeight="false" outlineLevel="0" collapsed="false">
      <c r="A1504" s="39" t="s">
        <v>1626</v>
      </c>
      <c r="B1504" s="40" t="n">
        <v>45872</v>
      </c>
      <c r="C1504" s="39" t="s">
        <v>130</v>
      </c>
      <c r="D1504" s="39" t="n">
        <v>1</v>
      </c>
      <c r="E1504" s="41" t="n">
        <v>8.98</v>
      </c>
      <c r="F1504" s="39" t="s">
        <v>115</v>
      </c>
      <c r="G1504" s="39" t="str">
        <f aca="false">VLOOKUP(C1504,Products!$A$5:$D$24,2,FALSE())</f>
        <v>Notebook Set</v>
      </c>
      <c r="H1504" s="39" t="str">
        <f aca="false">VLOOKUP(C1504,Products!$A$5:$D$24,3,FALSE())</f>
        <v>Stationery</v>
      </c>
      <c r="I1504" s="41" t="n">
        <f aca="false">VLOOKUP(C1504,Products!$A$5:$D$24,4,FALSE())</f>
        <v>3</v>
      </c>
      <c r="J1504" s="42" t="n">
        <f aca="false">DATE(YEAR(B1504),MONTH(B1504),1)</f>
        <v>45870</v>
      </c>
      <c r="K1504" s="41" t="n">
        <f aca="false">D1504*E1504</f>
        <v>8.98</v>
      </c>
      <c r="L1504" s="41" t="n">
        <f aca="false">D1504*I1504</f>
        <v>3</v>
      </c>
      <c r="M1504" s="41" t="n">
        <f aca="false">IFERROR(INDEX(Raw_Expenses!$C$5:$C$2979,MATCH(A1504,Raw_Expenses!$A$5:$A$2979,0)),0)</f>
        <v>0.46</v>
      </c>
      <c r="N1504" s="41" t="n">
        <f aca="false">L1504+M1504</f>
        <v>3.46</v>
      </c>
      <c r="O1504" s="41" t="n">
        <f aca="false">K1504-N1504</f>
        <v>5.52</v>
      </c>
      <c r="P1504" s="43" t="n">
        <f aca="false">IF(K1504=0,0,O1504/K1504)</f>
        <v>0.614699331848552</v>
      </c>
    </row>
    <row r="1505" customFormat="false" ht="15" hidden="false" customHeight="false" outlineLevel="0" collapsed="false">
      <c r="A1505" s="39" t="s">
        <v>1627</v>
      </c>
      <c r="B1505" s="40" t="n">
        <v>45872</v>
      </c>
      <c r="C1505" s="39" t="s">
        <v>117</v>
      </c>
      <c r="D1505" s="39" t="n">
        <v>3</v>
      </c>
      <c r="E1505" s="41" t="n">
        <v>29.99</v>
      </c>
      <c r="F1505" s="39" t="s">
        <v>108</v>
      </c>
      <c r="G1505" s="39" t="str">
        <f aca="false">VLOOKUP(C1505,Products!$A$5:$D$24,2,FALSE())</f>
        <v>Desk Lamp</v>
      </c>
      <c r="H1505" s="39" t="str">
        <f aca="false">VLOOKUP(C1505,Products!$A$5:$D$24,3,FALSE())</f>
        <v>Furniture</v>
      </c>
      <c r="I1505" s="41" t="n">
        <f aca="false">VLOOKUP(C1505,Products!$A$5:$D$24,4,FALSE())</f>
        <v>13</v>
      </c>
      <c r="J1505" s="42" t="n">
        <f aca="false">DATE(YEAR(B1505),MONTH(B1505),1)</f>
        <v>45870</v>
      </c>
      <c r="K1505" s="41" t="n">
        <f aca="false">D1505*E1505</f>
        <v>89.97</v>
      </c>
      <c r="L1505" s="41" t="n">
        <f aca="false">D1505*I1505</f>
        <v>39</v>
      </c>
      <c r="M1505" s="41" t="n">
        <f aca="false">IFERROR(INDEX(Raw_Expenses!$C$5:$C$2979,MATCH(A1505,Raw_Expenses!$A$5:$A$2979,0)),0)</f>
        <v>4.45</v>
      </c>
      <c r="N1505" s="41" t="n">
        <f aca="false">L1505+M1505</f>
        <v>43.45</v>
      </c>
      <c r="O1505" s="41" t="n">
        <f aca="false">K1505-N1505</f>
        <v>46.52</v>
      </c>
      <c r="P1505" s="43" t="n">
        <f aca="false">IF(K1505=0,0,O1505/K1505)</f>
        <v>0.517061242636434</v>
      </c>
    </row>
    <row r="1506" customFormat="false" ht="15" hidden="false" customHeight="false" outlineLevel="0" collapsed="false">
      <c r="A1506" s="39" t="s">
        <v>1628</v>
      </c>
      <c r="B1506" s="40" t="n">
        <v>45872</v>
      </c>
      <c r="C1506" s="39" t="s">
        <v>144</v>
      </c>
      <c r="D1506" s="39" t="n">
        <v>2</v>
      </c>
      <c r="E1506" s="41" t="n">
        <v>58.88</v>
      </c>
      <c r="F1506" s="39" t="s">
        <v>108</v>
      </c>
      <c r="G1506" s="39" t="str">
        <f aca="false">VLOOKUP(C1506,Products!$A$5:$D$24,2,FALSE())</f>
        <v>Whiteboard</v>
      </c>
      <c r="H1506" s="39" t="str">
        <f aca="false">VLOOKUP(C1506,Products!$A$5:$D$24,3,FALSE())</f>
        <v>Furniture</v>
      </c>
      <c r="I1506" s="41" t="n">
        <f aca="false">VLOOKUP(C1506,Products!$A$5:$D$24,4,FALSE())</f>
        <v>28</v>
      </c>
      <c r="J1506" s="42" t="n">
        <f aca="false">DATE(YEAR(B1506),MONTH(B1506),1)</f>
        <v>45870</v>
      </c>
      <c r="K1506" s="41" t="n">
        <f aca="false">D1506*E1506</f>
        <v>117.76</v>
      </c>
      <c r="L1506" s="41" t="n">
        <f aca="false">D1506*I1506</f>
        <v>56</v>
      </c>
      <c r="M1506" s="41" t="n">
        <f aca="false">IFERROR(INDEX(Raw_Expenses!$C$5:$C$2979,MATCH(A1506,Raw_Expenses!$A$5:$A$2979,0)),0)</f>
        <v>7.82</v>
      </c>
      <c r="N1506" s="41" t="n">
        <f aca="false">L1506+M1506</f>
        <v>63.82</v>
      </c>
      <c r="O1506" s="41" t="n">
        <f aca="false">K1506-N1506</f>
        <v>53.94</v>
      </c>
      <c r="P1506" s="43" t="n">
        <f aca="false">IF(K1506=0,0,O1506/K1506)</f>
        <v>0.45805027173913</v>
      </c>
    </row>
    <row r="1507" customFormat="false" ht="15" hidden="false" customHeight="false" outlineLevel="0" collapsed="false">
      <c r="A1507" s="39" t="s">
        <v>1629</v>
      </c>
      <c r="B1507" s="40" t="n">
        <v>45872</v>
      </c>
      <c r="C1507" s="39" t="s">
        <v>128</v>
      </c>
      <c r="D1507" s="39" t="n">
        <v>1</v>
      </c>
      <c r="E1507" s="41" t="n">
        <v>38.27</v>
      </c>
      <c r="F1507" s="39" t="s">
        <v>105</v>
      </c>
      <c r="G1507" s="39" t="str">
        <f aca="false">VLOOKUP(C1507,Products!$A$5:$D$24,2,FALSE())</f>
        <v>Ergonomic Footrest</v>
      </c>
      <c r="H1507" s="39" t="str">
        <f aca="false">VLOOKUP(C1507,Products!$A$5:$D$24,3,FALSE())</f>
        <v>Furniture</v>
      </c>
      <c r="I1507" s="41" t="n">
        <f aca="false">VLOOKUP(C1507,Products!$A$5:$D$24,4,FALSE())</f>
        <v>15</v>
      </c>
      <c r="J1507" s="42" t="n">
        <f aca="false">DATE(YEAR(B1507),MONTH(B1507),1)</f>
        <v>45870</v>
      </c>
      <c r="K1507" s="41" t="n">
        <f aca="false">D1507*E1507</f>
        <v>38.27</v>
      </c>
      <c r="L1507" s="41" t="n">
        <f aca="false">D1507*I1507</f>
        <v>15</v>
      </c>
      <c r="M1507" s="41" t="n">
        <f aca="false">IFERROR(INDEX(Raw_Expenses!$C$5:$C$2979,MATCH(A1507,Raw_Expenses!$A$5:$A$2979,0)),0)</f>
        <v>1.57</v>
      </c>
      <c r="N1507" s="41" t="n">
        <f aca="false">L1507+M1507</f>
        <v>16.57</v>
      </c>
      <c r="O1507" s="41" t="n">
        <f aca="false">K1507-N1507</f>
        <v>21.7</v>
      </c>
      <c r="P1507" s="43" t="n">
        <f aca="false">IF(K1507=0,0,O1507/K1507)</f>
        <v>0.567023778416514</v>
      </c>
    </row>
    <row r="1508" customFormat="false" ht="15" hidden="false" customHeight="false" outlineLevel="0" collapsed="false">
      <c r="A1508" s="39" t="s">
        <v>1630</v>
      </c>
      <c r="B1508" s="40" t="n">
        <v>45873</v>
      </c>
      <c r="C1508" s="39" t="s">
        <v>144</v>
      </c>
      <c r="D1508" s="39" t="n">
        <v>2</v>
      </c>
      <c r="E1508" s="41" t="n">
        <v>55.32</v>
      </c>
      <c r="F1508" s="39" t="s">
        <v>105</v>
      </c>
      <c r="G1508" s="39" t="str">
        <f aca="false">VLOOKUP(C1508,Products!$A$5:$D$24,2,FALSE())</f>
        <v>Whiteboard</v>
      </c>
      <c r="H1508" s="39" t="str">
        <f aca="false">VLOOKUP(C1508,Products!$A$5:$D$24,3,FALSE())</f>
        <v>Furniture</v>
      </c>
      <c r="I1508" s="41" t="n">
        <f aca="false">VLOOKUP(C1508,Products!$A$5:$D$24,4,FALSE())</f>
        <v>28</v>
      </c>
      <c r="J1508" s="42" t="n">
        <f aca="false">DATE(YEAR(B1508),MONTH(B1508),1)</f>
        <v>45870</v>
      </c>
      <c r="K1508" s="41" t="n">
        <f aca="false">D1508*E1508</f>
        <v>110.64</v>
      </c>
      <c r="L1508" s="41" t="n">
        <f aca="false">D1508*I1508</f>
        <v>56</v>
      </c>
      <c r="M1508" s="41" t="n">
        <f aca="false">IFERROR(INDEX(Raw_Expenses!$C$5:$C$2979,MATCH(A1508,Raw_Expenses!$A$5:$A$2979,0)),0)</f>
        <v>6.78</v>
      </c>
      <c r="N1508" s="41" t="n">
        <f aca="false">L1508+M1508</f>
        <v>62.78</v>
      </c>
      <c r="O1508" s="41" t="n">
        <f aca="false">K1508-N1508</f>
        <v>47.86</v>
      </c>
      <c r="P1508" s="43" t="n">
        <f aca="false">IF(K1508=0,0,O1508/K1508)</f>
        <v>0.432574114244396</v>
      </c>
    </row>
    <row r="1509" customFormat="false" ht="15" hidden="false" customHeight="false" outlineLevel="0" collapsed="false">
      <c r="A1509" s="39" t="s">
        <v>1631</v>
      </c>
      <c r="B1509" s="40" t="n">
        <v>45873</v>
      </c>
      <c r="C1509" s="39" t="s">
        <v>144</v>
      </c>
      <c r="D1509" s="39" t="n">
        <v>5</v>
      </c>
      <c r="E1509" s="41" t="n">
        <v>57.46</v>
      </c>
      <c r="F1509" s="39" t="s">
        <v>118</v>
      </c>
      <c r="G1509" s="39" t="str">
        <f aca="false">VLOOKUP(C1509,Products!$A$5:$D$24,2,FALSE())</f>
        <v>Whiteboard</v>
      </c>
      <c r="H1509" s="39" t="str">
        <f aca="false">VLOOKUP(C1509,Products!$A$5:$D$24,3,FALSE())</f>
        <v>Furniture</v>
      </c>
      <c r="I1509" s="41" t="n">
        <f aca="false">VLOOKUP(C1509,Products!$A$5:$D$24,4,FALSE())</f>
        <v>28</v>
      </c>
      <c r="J1509" s="42" t="n">
        <f aca="false">DATE(YEAR(B1509),MONTH(B1509),1)</f>
        <v>45870</v>
      </c>
      <c r="K1509" s="41" t="n">
        <f aca="false">D1509*E1509</f>
        <v>287.3</v>
      </c>
      <c r="L1509" s="41" t="n">
        <f aca="false">D1509*I1509</f>
        <v>140</v>
      </c>
      <c r="M1509" s="41" t="n">
        <f aca="false">IFERROR(INDEX(Raw_Expenses!$C$5:$C$2979,MATCH(A1509,Raw_Expenses!$A$5:$A$2979,0)),0)</f>
        <v>15.21</v>
      </c>
      <c r="N1509" s="41" t="n">
        <f aca="false">L1509+M1509</f>
        <v>155.21</v>
      </c>
      <c r="O1509" s="41" t="n">
        <f aca="false">K1509-N1509</f>
        <v>132.09</v>
      </c>
      <c r="P1509" s="43" t="n">
        <f aca="false">IF(K1509=0,0,O1509/K1509)</f>
        <v>0.459763313609467</v>
      </c>
    </row>
    <row r="1510" customFormat="false" ht="15" hidden="false" customHeight="false" outlineLevel="0" collapsed="false">
      <c r="A1510" s="39" t="s">
        <v>1632</v>
      </c>
      <c r="B1510" s="40" t="n">
        <v>45873</v>
      </c>
      <c r="C1510" s="39" t="s">
        <v>153</v>
      </c>
      <c r="D1510" s="39" t="n">
        <v>3</v>
      </c>
      <c r="E1510" s="41" t="n">
        <v>175.39</v>
      </c>
      <c r="F1510" s="39" t="s">
        <v>118</v>
      </c>
      <c r="G1510" s="39" t="str">
        <f aca="false">VLOOKUP(C1510,Products!$A$5:$D$24,2,FALSE())</f>
        <v>24-inch Monitor</v>
      </c>
      <c r="H1510" s="39" t="str">
        <f aca="false">VLOOKUP(C1510,Products!$A$5:$D$24,3,FALSE())</f>
        <v>Electronics</v>
      </c>
      <c r="I1510" s="41" t="n">
        <f aca="false">VLOOKUP(C1510,Products!$A$5:$D$24,4,FALSE())</f>
        <v>90</v>
      </c>
      <c r="J1510" s="42" t="n">
        <f aca="false">DATE(YEAR(B1510),MONTH(B1510),1)</f>
        <v>45870</v>
      </c>
      <c r="K1510" s="41" t="n">
        <f aca="false">D1510*E1510</f>
        <v>526.17</v>
      </c>
      <c r="L1510" s="41" t="n">
        <f aca="false">D1510*I1510</f>
        <v>270</v>
      </c>
      <c r="M1510" s="41" t="n">
        <f aca="false">IFERROR(INDEX(Raw_Expenses!$C$5:$C$2979,MATCH(A1510,Raw_Expenses!$A$5:$A$2979,0)),0)</f>
        <v>39.47</v>
      </c>
      <c r="N1510" s="41" t="n">
        <f aca="false">L1510+M1510</f>
        <v>309.47</v>
      </c>
      <c r="O1510" s="41" t="n">
        <f aca="false">K1510-N1510</f>
        <v>216.7</v>
      </c>
      <c r="P1510" s="43" t="n">
        <f aca="false">IF(K1510=0,0,O1510/K1510)</f>
        <v>0.411844080810384</v>
      </c>
    </row>
    <row r="1511" customFormat="false" ht="15" hidden="false" customHeight="false" outlineLevel="0" collapsed="false">
      <c r="A1511" s="39" t="s">
        <v>1633</v>
      </c>
      <c r="B1511" s="40" t="n">
        <v>45874</v>
      </c>
      <c r="C1511" s="39" t="s">
        <v>136</v>
      </c>
      <c r="D1511" s="39" t="n">
        <v>1</v>
      </c>
      <c r="E1511" s="41" t="n">
        <v>73.59</v>
      </c>
      <c r="F1511" s="39" t="s">
        <v>108</v>
      </c>
      <c r="G1511" s="39" t="str">
        <f aca="false">VLOOKUP(C1511,Products!$A$5:$D$24,2,FALSE())</f>
        <v>Mechanical Keyboard</v>
      </c>
      <c r="H1511" s="39" t="str">
        <f aca="false">VLOOKUP(C1511,Products!$A$5:$D$24,3,FALSE())</f>
        <v>Electronics</v>
      </c>
      <c r="I1511" s="41" t="n">
        <f aca="false">VLOOKUP(C1511,Products!$A$5:$D$24,4,FALSE())</f>
        <v>38</v>
      </c>
      <c r="J1511" s="42" t="n">
        <f aca="false">DATE(YEAR(B1511),MONTH(B1511),1)</f>
        <v>45870</v>
      </c>
      <c r="K1511" s="41" t="n">
        <f aca="false">D1511*E1511</f>
        <v>73.59</v>
      </c>
      <c r="L1511" s="41" t="n">
        <f aca="false">D1511*I1511</f>
        <v>38</v>
      </c>
      <c r="M1511" s="41" t="n">
        <f aca="false">IFERROR(INDEX(Raw_Expenses!$C$5:$C$2979,MATCH(A1511,Raw_Expenses!$A$5:$A$2979,0)),0)</f>
        <v>4.86</v>
      </c>
      <c r="N1511" s="41" t="n">
        <f aca="false">L1511+M1511</f>
        <v>42.86</v>
      </c>
      <c r="O1511" s="41" t="n">
        <f aca="false">K1511-N1511</f>
        <v>30.73</v>
      </c>
      <c r="P1511" s="43" t="n">
        <f aca="false">IF(K1511=0,0,O1511/K1511)</f>
        <v>0.417583910857454</v>
      </c>
    </row>
    <row r="1512" customFormat="false" ht="15" hidden="false" customHeight="false" outlineLevel="0" collapsed="false">
      <c r="A1512" s="39" t="s">
        <v>1634</v>
      </c>
      <c r="B1512" s="40" t="n">
        <v>45874</v>
      </c>
      <c r="C1512" s="39" t="s">
        <v>133</v>
      </c>
      <c r="D1512" s="39" t="n">
        <v>1</v>
      </c>
      <c r="E1512" s="41" t="n">
        <v>8.38</v>
      </c>
      <c r="F1512" s="39" t="s">
        <v>105</v>
      </c>
      <c r="G1512" s="39" t="str">
        <f aca="false">VLOOKUP(C1512,Products!$A$5:$D$24,2,FALSE())</f>
        <v>Printer Paper Ream</v>
      </c>
      <c r="H1512" s="39" t="str">
        <f aca="false">VLOOKUP(C1512,Products!$A$5:$D$24,3,FALSE())</f>
        <v>Stationery</v>
      </c>
      <c r="I1512" s="41" t="n">
        <f aca="false">VLOOKUP(C1512,Products!$A$5:$D$24,4,FALSE())</f>
        <v>4</v>
      </c>
      <c r="J1512" s="42" t="n">
        <f aca="false">DATE(YEAR(B1512),MONTH(B1512),1)</f>
        <v>45870</v>
      </c>
      <c r="K1512" s="41" t="n">
        <f aca="false">D1512*E1512</f>
        <v>8.38</v>
      </c>
      <c r="L1512" s="41" t="n">
        <f aca="false">D1512*I1512</f>
        <v>4</v>
      </c>
      <c r="M1512" s="41" t="n">
        <f aca="false">IFERROR(INDEX(Raw_Expenses!$C$5:$C$2979,MATCH(A1512,Raw_Expenses!$A$5:$A$2979,0)),0)</f>
        <v>0.6</v>
      </c>
      <c r="N1512" s="41" t="n">
        <f aca="false">L1512+M1512</f>
        <v>4.6</v>
      </c>
      <c r="O1512" s="41" t="n">
        <f aca="false">K1512-N1512</f>
        <v>3.78</v>
      </c>
      <c r="P1512" s="43" t="n">
        <f aca="false">IF(K1512=0,0,O1512/K1512)</f>
        <v>0.451073985680191</v>
      </c>
    </row>
    <row r="1513" customFormat="false" ht="15" hidden="false" customHeight="false" outlineLevel="0" collapsed="false">
      <c r="A1513" s="39" t="s">
        <v>1635</v>
      </c>
      <c r="B1513" s="40" t="n">
        <v>45874</v>
      </c>
      <c r="C1513" s="39" t="s">
        <v>126</v>
      </c>
      <c r="D1513" s="39" t="n">
        <v>3</v>
      </c>
      <c r="E1513" s="41" t="n">
        <v>23.03</v>
      </c>
      <c r="F1513" s="39" t="s">
        <v>105</v>
      </c>
      <c r="G1513" s="39" t="str">
        <f aca="false">VLOOKUP(C1513,Products!$A$5:$D$24,2,FALSE())</f>
        <v>Wireless Mouse</v>
      </c>
      <c r="H1513" s="39" t="str">
        <f aca="false">VLOOKUP(C1513,Products!$A$5:$D$24,3,FALSE())</f>
        <v>Electronics</v>
      </c>
      <c r="I1513" s="41" t="n">
        <f aca="false">VLOOKUP(C1513,Products!$A$5:$D$24,4,FALSE())</f>
        <v>12</v>
      </c>
      <c r="J1513" s="42" t="n">
        <f aca="false">DATE(YEAR(B1513),MONTH(B1513),1)</f>
        <v>45870</v>
      </c>
      <c r="K1513" s="41" t="n">
        <f aca="false">D1513*E1513</f>
        <v>69.09</v>
      </c>
      <c r="L1513" s="41" t="n">
        <f aca="false">D1513*I1513</f>
        <v>36</v>
      </c>
      <c r="M1513" s="41" t="n">
        <f aca="false">IFERROR(INDEX(Raw_Expenses!$C$5:$C$2979,MATCH(A1513,Raw_Expenses!$A$5:$A$2979,0)),0)</f>
        <v>5.53</v>
      </c>
      <c r="N1513" s="41" t="n">
        <f aca="false">L1513+M1513</f>
        <v>41.53</v>
      </c>
      <c r="O1513" s="41" t="n">
        <f aca="false">K1513-N1513</f>
        <v>27.56</v>
      </c>
      <c r="P1513" s="43" t="n">
        <f aca="false">IF(K1513=0,0,O1513/K1513)</f>
        <v>0.398899985526125</v>
      </c>
    </row>
    <row r="1514" customFormat="false" ht="15" hidden="false" customHeight="false" outlineLevel="0" collapsed="false">
      <c r="A1514" s="39" t="s">
        <v>1636</v>
      </c>
      <c r="B1514" s="40" t="n">
        <v>45874</v>
      </c>
      <c r="C1514" s="39" t="s">
        <v>114</v>
      </c>
      <c r="D1514" s="39" t="n">
        <v>5</v>
      </c>
      <c r="E1514" s="41" t="n">
        <v>5.85</v>
      </c>
      <c r="F1514" s="39" t="s">
        <v>108</v>
      </c>
      <c r="G1514" s="39" t="str">
        <f aca="false">VLOOKUP(C1514,Products!$A$5:$D$24,2,FALSE())</f>
        <v>Gel Pen Pack</v>
      </c>
      <c r="H1514" s="39" t="str">
        <f aca="false">VLOOKUP(C1514,Products!$A$5:$D$24,3,FALSE())</f>
        <v>Stationery</v>
      </c>
      <c r="I1514" s="41" t="n">
        <f aca="false">VLOOKUP(C1514,Products!$A$5:$D$24,4,FALSE())</f>
        <v>2</v>
      </c>
      <c r="J1514" s="42" t="n">
        <f aca="false">DATE(YEAR(B1514),MONTH(B1514),1)</f>
        <v>45870</v>
      </c>
      <c r="K1514" s="41" t="n">
        <f aca="false">D1514*E1514</f>
        <v>29.25</v>
      </c>
      <c r="L1514" s="41" t="n">
        <f aca="false">D1514*I1514</f>
        <v>10</v>
      </c>
      <c r="M1514" s="41" t="n">
        <f aca="false">IFERROR(INDEX(Raw_Expenses!$C$5:$C$2979,MATCH(A1514,Raw_Expenses!$A$5:$A$2979,0)),0)</f>
        <v>2.38</v>
      </c>
      <c r="N1514" s="41" t="n">
        <f aca="false">L1514+M1514</f>
        <v>12.38</v>
      </c>
      <c r="O1514" s="41" t="n">
        <f aca="false">K1514-N1514</f>
        <v>16.87</v>
      </c>
      <c r="P1514" s="43" t="n">
        <f aca="false">IF(K1514=0,0,O1514/K1514)</f>
        <v>0.576752136752137</v>
      </c>
    </row>
    <row r="1515" customFormat="false" ht="15" hidden="false" customHeight="false" outlineLevel="0" collapsed="false">
      <c r="A1515" s="39" t="s">
        <v>1637</v>
      </c>
      <c r="B1515" s="40" t="n">
        <v>45874</v>
      </c>
      <c r="C1515" s="39" t="s">
        <v>104</v>
      </c>
      <c r="D1515" s="39" t="n">
        <v>1</v>
      </c>
      <c r="E1515" s="41" t="n">
        <v>14.73</v>
      </c>
      <c r="F1515" s="39" t="s">
        <v>108</v>
      </c>
      <c r="G1515" s="39" t="str">
        <f aca="false">VLOOKUP(C1515,Products!$A$5:$D$24,2,FALSE())</f>
        <v>Water Bottle</v>
      </c>
      <c r="H1515" s="39" t="str">
        <f aca="false">VLOOKUP(C1515,Products!$A$5:$D$24,3,FALSE())</f>
        <v>Accessories</v>
      </c>
      <c r="I1515" s="41" t="n">
        <f aca="false">VLOOKUP(C1515,Products!$A$5:$D$24,4,FALSE())</f>
        <v>5</v>
      </c>
      <c r="J1515" s="42" t="n">
        <f aca="false">DATE(YEAR(B1515),MONTH(B1515),1)</f>
        <v>45870</v>
      </c>
      <c r="K1515" s="41" t="n">
        <f aca="false">D1515*E1515</f>
        <v>14.73</v>
      </c>
      <c r="L1515" s="41" t="n">
        <f aca="false">D1515*I1515</f>
        <v>5</v>
      </c>
      <c r="M1515" s="41" t="n">
        <f aca="false">IFERROR(INDEX(Raw_Expenses!$C$5:$C$2979,MATCH(A1515,Raw_Expenses!$A$5:$A$2979,0)),0)</f>
        <v>0.67</v>
      </c>
      <c r="N1515" s="41" t="n">
        <f aca="false">L1515+M1515</f>
        <v>5.67</v>
      </c>
      <c r="O1515" s="41" t="n">
        <f aca="false">K1515-N1515</f>
        <v>9.06</v>
      </c>
      <c r="P1515" s="43" t="n">
        <f aca="false">IF(K1515=0,0,O1515/K1515)</f>
        <v>0.615071283095723</v>
      </c>
    </row>
    <row r="1516" customFormat="false" ht="15" hidden="false" customHeight="false" outlineLevel="0" collapsed="false">
      <c r="A1516" s="39" t="s">
        <v>1638</v>
      </c>
      <c r="B1516" s="40" t="n">
        <v>45874</v>
      </c>
      <c r="C1516" s="39" t="s">
        <v>117</v>
      </c>
      <c r="D1516" s="39" t="n">
        <v>2</v>
      </c>
      <c r="E1516" s="41" t="n">
        <v>29.82</v>
      </c>
      <c r="F1516" s="39" t="s">
        <v>105</v>
      </c>
      <c r="G1516" s="39" t="str">
        <f aca="false">VLOOKUP(C1516,Products!$A$5:$D$24,2,FALSE())</f>
        <v>Desk Lamp</v>
      </c>
      <c r="H1516" s="39" t="str">
        <f aca="false">VLOOKUP(C1516,Products!$A$5:$D$24,3,FALSE())</f>
        <v>Furniture</v>
      </c>
      <c r="I1516" s="41" t="n">
        <f aca="false">VLOOKUP(C1516,Products!$A$5:$D$24,4,FALSE())</f>
        <v>13</v>
      </c>
      <c r="J1516" s="42" t="n">
        <f aca="false">DATE(YEAR(B1516),MONTH(B1516),1)</f>
        <v>45870</v>
      </c>
      <c r="K1516" s="41" t="n">
        <f aca="false">D1516*E1516</f>
        <v>59.64</v>
      </c>
      <c r="L1516" s="41" t="n">
        <f aca="false">D1516*I1516</f>
        <v>26</v>
      </c>
      <c r="M1516" s="41" t="n">
        <f aca="false">IFERROR(INDEX(Raw_Expenses!$C$5:$C$2979,MATCH(A1516,Raw_Expenses!$A$5:$A$2979,0)),0)</f>
        <v>3.87</v>
      </c>
      <c r="N1516" s="41" t="n">
        <f aca="false">L1516+M1516</f>
        <v>29.87</v>
      </c>
      <c r="O1516" s="41" t="n">
        <f aca="false">K1516-N1516</f>
        <v>29.77</v>
      </c>
      <c r="P1516" s="43" t="n">
        <f aca="false">IF(K1516=0,0,O1516/K1516)</f>
        <v>0.49916163648558</v>
      </c>
    </row>
    <row r="1517" customFormat="false" ht="15" hidden="false" customHeight="false" outlineLevel="0" collapsed="false">
      <c r="A1517" s="39" t="s">
        <v>1639</v>
      </c>
      <c r="B1517" s="40" t="n">
        <v>45874</v>
      </c>
      <c r="C1517" s="39" t="s">
        <v>117</v>
      </c>
      <c r="D1517" s="39" t="n">
        <v>2</v>
      </c>
      <c r="E1517" s="41" t="n">
        <v>30.18</v>
      </c>
      <c r="F1517" s="39" t="s">
        <v>115</v>
      </c>
      <c r="G1517" s="39" t="str">
        <f aca="false">VLOOKUP(C1517,Products!$A$5:$D$24,2,FALSE())</f>
        <v>Desk Lamp</v>
      </c>
      <c r="H1517" s="39" t="str">
        <f aca="false">VLOOKUP(C1517,Products!$A$5:$D$24,3,FALSE())</f>
        <v>Furniture</v>
      </c>
      <c r="I1517" s="41" t="n">
        <f aca="false">VLOOKUP(C1517,Products!$A$5:$D$24,4,FALSE())</f>
        <v>13</v>
      </c>
      <c r="J1517" s="42" t="n">
        <f aca="false">DATE(YEAR(B1517),MONTH(B1517),1)</f>
        <v>45870</v>
      </c>
      <c r="K1517" s="41" t="n">
        <f aca="false">D1517*E1517</f>
        <v>60.36</v>
      </c>
      <c r="L1517" s="41" t="n">
        <f aca="false">D1517*I1517</f>
        <v>26</v>
      </c>
      <c r="M1517" s="41" t="n">
        <f aca="false">IFERROR(INDEX(Raw_Expenses!$C$5:$C$2979,MATCH(A1517,Raw_Expenses!$A$5:$A$2979,0)),0)</f>
        <v>3.91</v>
      </c>
      <c r="N1517" s="41" t="n">
        <f aca="false">L1517+M1517</f>
        <v>29.91</v>
      </c>
      <c r="O1517" s="41" t="n">
        <f aca="false">K1517-N1517</f>
        <v>30.45</v>
      </c>
      <c r="P1517" s="43" t="n">
        <f aca="false">IF(K1517=0,0,O1517/K1517)</f>
        <v>0.504473161033797</v>
      </c>
    </row>
    <row r="1518" customFormat="false" ht="15" hidden="false" customHeight="false" outlineLevel="0" collapsed="false">
      <c r="A1518" s="39" t="s">
        <v>1640</v>
      </c>
      <c r="B1518" s="40" t="n">
        <v>45874</v>
      </c>
      <c r="C1518" s="39" t="s">
        <v>110</v>
      </c>
      <c r="D1518" s="39" t="n">
        <v>1</v>
      </c>
      <c r="E1518" s="41" t="n">
        <v>13.8</v>
      </c>
      <c r="F1518" s="39" t="s">
        <v>118</v>
      </c>
      <c r="G1518" s="39" t="str">
        <f aca="false">VLOOKUP(C1518,Products!$A$5:$D$24,2,FALSE())</f>
        <v>Phone Stand</v>
      </c>
      <c r="H1518" s="39" t="str">
        <f aca="false">VLOOKUP(C1518,Products!$A$5:$D$24,3,FALSE())</f>
        <v>Accessories</v>
      </c>
      <c r="I1518" s="41" t="n">
        <f aca="false">VLOOKUP(C1518,Products!$A$5:$D$24,4,FALSE())</f>
        <v>4</v>
      </c>
      <c r="J1518" s="42" t="n">
        <f aca="false">DATE(YEAR(B1518),MONTH(B1518),1)</f>
        <v>45870</v>
      </c>
      <c r="K1518" s="41" t="n">
        <f aca="false">D1518*E1518</f>
        <v>13.8</v>
      </c>
      <c r="L1518" s="41" t="n">
        <f aca="false">D1518*I1518</f>
        <v>4</v>
      </c>
      <c r="M1518" s="41" t="n">
        <f aca="false">IFERROR(INDEX(Raw_Expenses!$C$5:$C$2979,MATCH(A1518,Raw_Expenses!$A$5:$A$2979,0)),0)</f>
        <v>1.1</v>
      </c>
      <c r="N1518" s="41" t="n">
        <f aca="false">L1518+M1518</f>
        <v>5.1</v>
      </c>
      <c r="O1518" s="41" t="n">
        <f aca="false">K1518-N1518</f>
        <v>8.7</v>
      </c>
      <c r="P1518" s="43" t="n">
        <f aca="false">IF(K1518=0,0,O1518/K1518)</f>
        <v>0.630434782608696</v>
      </c>
    </row>
    <row r="1519" customFormat="false" ht="15" hidden="false" customHeight="false" outlineLevel="0" collapsed="false">
      <c r="A1519" s="39" t="s">
        <v>1641</v>
      </c>
      <c r="B1519" s="40" t="n">
        <v>45874</v>
      </c>
      <c r="C1519" s="39" t="s">
        <v>130</v>
      </c>
      <c r="D1519" s="39" t="n">
        <v>2</v>
      </c>
      <c r="E1519" s="41" t="n">
        <v>8.31</v>
      </c>
      <c r="F1519" s="39" t="s">
        <v>105</v>
      </c>
      <c r="G1519" s="39" t="str">
        <f aca="false">VLOOKUP(C1519,Products!$A$5:$D$24,2,FALSE())</f>
        <v>Notebook Set</v>
      </c>
      <c r="H1519" s="39" t="str">
        <f aca="false">VLOOKUP(C1519,Products!$A$5:$D$24,3,FALSE())</f>
        <v>Stationery</v>
      </c>
      <c r="I1519" s="41" t="n">
        <f aca="false">VLOOKUP(C1519,Products!$A$5:$D$24,4,FALSE())</f>
        <v>3</v>
      </c>
      <c r="J1519" s="42" t="n">
        <f aca="false">DATE(YEAR(B1519),MONTH(B1519),1)</f>
        <v>45870</v>
      </c>
      <c r="K1519" s="41" t="n">
        <f aca="false">D1519*E1519</f>
        <v>16.62</v>
      </c>
      <c r="L1519" s="41" t="n">
        <f aca="false">D1519*I1519</f>
        <v>6</v>
      </c>
      <c r="M1519" s="41" t="n">
        <f aca="false">IFERROR(INDEX(Raw_Expenses!$C$5:$C$2979,MATCH(A1519,Raw_Expenses!$A$5:$A$2979,0)),0)</f>
        <v>1.28</v>
      </c>
      <c r="N1519" s="41" t="n">
        <f aca="false">L1519+M1519</f>
        <v>7.28</v>
      </c>
      <c r="O1519" s="41" t="n">
        <f aca="false">K1519-N1519</f>
        <v>9.34</v>
      </c>
      <c r="P1519" s="43" t="n">
        <f aca="false">IF(K1519=0,0,O1519/K1519)</f>
        <v>0.561973525872443</v>
      </c>
    </row>
    <row r="1520" customFormat="false" ht="15" hidden="false" customHeight="false" outlineLevel="0" collapsed="false">
      <c r="A1520" s="39" t="s">
        <v>1642</v>
      </c>
      <c r="B1520" s="40" t="n">
        <v>45875</v>
      </c>
      <c r="C1520" s="39" t="s">
        <v>114</v>
      </c>
      <c r="D1520" s="39" t="n">
        <v>5</v>
      </c>
      <c r="E1520" s="41" t="n">
        <v>6</v>
      </c>
      <c r="F1520" s="39" t="s">
        <v>118</v>
      </c>
      <c r="G1520" s="39" t="str">
        <f aca="false">VLOOKUP(C1520,Products!$A$5:$D$24,2,FALSE())</f>
        <v>Gel Pen Pack</v>
      </c>
      <c r="H1520" s="39" t="str">
        <f aca="false">VLOOKUP(C1520,Products!$A$5:$D$24,3,FALSE())</f>
        <v>Stationery</v>
      </c>
      <c r="I1520" s="41" t="n">
        <f aca="false">VLOOKUP(C1520,Products!$A$5:$D$24,4,FALSE())</f>
        <v>2</v>
      </c>
      <c r="J1520" s="42" t="n">
        <f aca="false">DATE(YEAR(B1520),MONTH(B1520),1)</f>
        <v>45870</v>
      </c>
      <c r="K1520" s="41" t="n">
        <f aca="false">D1520*E1520</f>
        <v>30</v>
      </c>
      <c r="L1520" s="41" t="n">
        <f aca="false">D1520*I1520</f>
        <v>10</v>
      </c>
      <c r="M1520" s="41" t="n">
        <f aca="false">IFERROR(INDEX(Raw_Expenses!$C$5:$C$2979,MATCH(A1520,Raw_Expenses!$A$5:$A$2979,0)),0)</f>
        <v>1.82</v>
      </c>
      <c r="N1520" s="41" t="n">
        <f aca="false">L1520+M1520</f>
        <v>11.82</v>
      </c>
      <c r="O1520" s="41" t="n">
        <f aca="false">K1520-N1520</f>
        <v>18.18</v>
      </c>
      <c r="P1520" s="43" t="n">
        <f aca="false">IF(K1520=0,0,O1520/K1520)</f>
        <v>0.606</v>
      </c>
    </row>
    <row r="1521" customFormat="false" ht="15" hidden="false" customHeight="false" outlineLevel="0" collapsed="false">
      <c r="A1521" s="39" t="s">
        <v>1643</v>
      </c>
      <c r="B1521" s="40" t="n">
        <v>45875</v>
      </c>
      <c r="C1521" s="39" t="s">
        <v>126</v>
      </c>
      <c r="D1521" s="39" t="n">
        <v>5</v>
      </c>
      <c r="E1521" s="41" t="n">
        <v>24.6</v>
      </c>
      <c r="F1521" s="39" t="s">
        <v>118</v>
      </c>
      <c r="G1521" s="39" t="str">
        <f aca="false">VLOOKUP(C1521,Products!$A$5:$D$24,2,FALSE())</f>
        <v>Wireless Mouse</v>
      </c>
      <c r="H1521" s="39" t="str">
        <f aca="false">VLOOKUP(C1521,Products!$A$5:$D$24,3,FALSE())</f>
        <v>Electronics</v>
      </c>
      <c r="I1521" s="41" t="n">
        <f aca="false">VLOOKUP(C1521,Products!$A$5:$D$24,4,FALSE())</f>
        <v>12</v>
      </c>
      <c r="J1521" s="42" t="n">
        <f aca="false">DATE(YEAR(B1521),MONTH(B1521),1)</f>
        <v>45870</v>
      </c>
      <c r="K1521" s="41" t="n">
        <f aca="false">D1521*E1521</f>
        <v>123</v>
      </c>
      <c r="L1521" s="41" t="n">
        <f aca="false">D1521*I1521</f>
        <v>60</v>
      </c>
      <c r="M1521" s="41" t="n">
        <f aca="false">IFERROR(INDEX(Raw_Expenses!$C$5:$C$2979,MATCH(A1521,Raw_Expenses!$A$5:$A$2979,0)),0)</f>
        <v>6.47</v>
      </c>
      <c r="N1521" s="41" t="n">
        <f aca="false">L1521+M1521</f>
        <v>66.47</v>
      </c>
      <c r="O1521" s="41" t="n">
        <f aca="false">K1521-N1521</f>
        <v>56.53</v>
      </c>
      <c r="P1521" s="43" t="n">
        <f aca="false">IF(K1521=0,0,O1521/K1521)</f>
        <v>0.459593495934959</v>
      </c>
    </row>
    <row r="1522" customFormat="false" ht="15" hidden="false" customHeight="false" outlineLevel="0" collapsed="false">
      <c r="A1522" s="39" t="s">
        <v>1644</v>
      </c>
      <c r="B1522" s="40" t="n">
        <v>45876</v>
      </c>
      <c r="C1522" s="39" t="s">
        <v>114</v>
      </c>
      <c r="D1522" s="39" t="n">
        <v>1</v>
      </c>
      <c r="E1522" s="41" t="n">
        <v>5.53</v>
      </c>
      <c r="F1522" s="39" t="s">
        <v>108</v>
      </c>
      <c r="G1522" s="39" t="str">
        <f aca="false">VLOOKUP(C1522,Products!$A$5:$D$24,2,FALSE())</f>
        <v>Gel Pen Pack</v>
      </c>
      <c r="H1522" s="39" t="str">
        <f aca="false">VLOOKUP(C1522,Products!$A$5:$D$24,3,FALSE())</f>
        <v>Stationery</v>
      </c>
      <c r="I1522" s="41" t="n">
        <f aca="false">VLOOKUP(C1522,Products!$A$5:$D$24,4,FALSE())</f>
        <v>2</v>
      </c>
      <c r="J1522" s="42" t="n">
        <f aca="false">DATE(YEAR(B1522),MONTH(B1522),1)</f>
        <v>45870</v>
      </c>
      <c r="K1522" s="41" t="n">
        <f aca="false">D1522*E1522</f>
        <v>5.53</v>
      </c>
      <c r="L1522" s="41" t="n">
        <f aca="false">D1522*I1522</f>
        <v>2</v>
      </c>
      <c r="M1522" s="41" t="n">
        <f aca="false">IFERROR(INDEX(Raw_Expenses!$C$5:$C$2979,MATCH(A1522,Raw_Expenses!$A$5:$A$2979,0)),0)</f>
        <v>0.25</v>
      </c>
      <c r="N1522" s="41" t="n">
        <f aca="false">L1522+M1522</f>
        <v>2.25</v>
      </c>
      <c r="O1522" s="41" t="n">
        <f aca="false">K1522-N1522</f>
        <v>3.28</v>
      </c>
      <c r="P1522" s="43" t="n">
        <f aca="false">IF(K1522=0,0,O1522/K1522)</f>
        <v>0.593128390596745</v>
      </c>
    </row>
    <row r="1523" customFormat="false" ht="15" hidden="false" customHeight="false" outlineLevel="0" collapsed="false">
      <c r="A1523" s="39" t="s">
        <v>1645</v>
      </c>
      <c r="B1523" s="40" t="n">
        <v>45876</v>
      </c>
      <c r="C1523" s="39" t="s">
        <v>130</v>
      </c>
      <c r="D1523" s="39" t="n">
        <v>2</v>
      </c>
      <c r="E1523" s="41" t="n">
        <v>8.59</v>
      </c>
      <c r="F1523" s="39" t="s">
        <v>118</v>
      </c>
      <c r="G1523" s="39" t="str">
        <f aca="false">VLOOKUP(C1523,Products!$A$5:$D$24,2,FALSE())</f>
        <v>Notebook Set</v>
      </c>
      <c r="H1523" s="39" t="str">
        <f aca="false">VLOOKUP(C1523,Products!$A$5:$D$24,3,FALSE())</f>
        <v>Stationery</v>
      </c>
      <c r="I1523" s="41" t="n">
        <f aca="false">VLOOKUP(C1523,Products!$A$5:$D$24,4,FALSE())</f>
        <v>3</v>
      </c>
      <c r="J1523" s="42" t="n">
        <f aca="false">DATE(YEAR(B1523),MONTH(B1523),1)</f>
        <v>45870</v>
      </c>
      <c r="K1523" s="41" t="n">
        <f aca="false">D1523*E1523</f>
        <v>17.18</v>
      </c>
      <c r="L1523" s="41" t="n">
        <f aca="false">D1523*I1523</f>
        <v>6</v>
      </c>
      <c r="M1523" s="41" t="n">
        <f aca="false">IFERROR(INDEX(Raw_Expenses!$C$5:$C$2979,MATCH(A1523,Raw_Expenses!$A$5:$A$2979,0)),0)</f>
        <v>0.8</v>
      </c>
      <c r="N1523" s="41" t="n">
        <f aca="false">L1523+M1523</f>
        <v>6.8</v>
      </c>
      <c r="O1523" s="41" t="n">
        <f aca="false">K1523-N1523</f>
        <v>10.38</v>
      </c>
      <c r="P1523" s="43" t="n">
        <f aca="false">IF(K1523=0,0,O1523/K1523)</f>
        <v>0.60419091967404</v>
      </c>
    </row>
    <row r="1524" customFormat="false" ht="15" hidden="false" customHeight="false" outlineLevel="0" collapsed="false">
      <c r="A1524" s="39" t="s">
        <v>1646</v>
      </c>
      <c r="B1524" s="40" t="n">
        <v>45876</v>
      </c>
      <c r="C1524" s="39" t="s">
        <v>107</v>
      </c>
      <c r="D1524" s="39" t="n">
        <v>2</v>
      </c>
      <c r="E1524" s="41" t="n">
        <v>33.66</v>
      </c>
      <c r="F1524" s="39" t="s">
        <v>105</v>
      </c>
      <c r="G1524" s="39" t="str">
        <f aca="false">VLOOKUP(C1524,Products!$A$5:$D$24,2,FALSE())</f>
        <v>USB-C Hub</v>
      </c>
      <c r="H1524" s="39" t="str">
        <f aca="false">VLOOKUP(C1524,Products!$A$5:$D$24,3,FALSE())</f>
        <v>Electronics</v>
      </c>
      <c r="I1524" s="41" t="n">
        <f aca="false">VLOOKUP(C1524,Products!$A$5:$D$24,4,FALSE())</f>
        <v>14</v>
      </c>
      <c r="J1524" s="42" t="n">
        <f aca="false">DATE(YEAR(B1524),MONTH(B1524),1)</f>
        <v>45870</v>
      </c>
      <c r="K1524" s="41" t="n">
        <f aca="false">D1524*E1524</f>
        <v>67.32</v>
      </c>
      <c r="L1524" s="41" t="n">
        <f aca="false">D1524*I1524</f>
        <v>28</v>
      </c>
      <c r="M1524" s="41" t="n">
        <f aca="false">IFERROR(INDEX(Raw_Expenses!$C$5:$C$2979,MATCH(A1524,Raw_Expenses!$A$5:$A$2979,0)),0)</f>
        <v>3.15</v>
      </c>
      <c r="N1524" s="41" t="n">
        <f aca="false">L1524+M1524</f>
        <v>31.15</v>
      </c>
      <c r="O1524" s="41" t="n">
        <f aca="false">K1524-N1524</f>
        <v>36.17</v>
      </c>
      <c r="P1524" s="43" t="n">
        <f aca="false">IF(K1524=0,0,O1524/K1524)</f>
        <v>0.537284610814023</v>
      </c>
    </row>
    <row r="1525" customFormat="false" ht="15" hidden="false" customHeight="false" outlineLevel="0" collapsed="false">
      <c r="A1525" s="39" t="s">
        <v>1647</v>
      </c>
      <c r="B1525" s="40" t="n">
        <v>45876</v>
      </c>
      <c r="C1525" s="39" t="s">
        <v>139</v>
      </c>
      <c r="D1525" s="39" t="n">
        <v>2</v>
      </c>
      <c r="E1525" s="41" t="n">
        <v>127.05</v>
      </c>
      <c r="F1525" s="39" t="s">
        <v>108</v>
      </c>
      <c r="G1525" s="39" t="str">
        <f aca="false">VLOOKUP(C1525,Products!$A$5:$D$24,2,FALSE())</f>
        <v>Noise-Cancelling Headphones</v>
      </c>
      <c r="H1525" s="39" t="str">
        <f aca="false">VLOOKUP(C1525,Products!$A$5:$D$24,3,FALSE())</f>
        <v>Electronics</v>
      </c>
      <c r="I1525" s="41" t="n">
        <f aca="false">VLOOKUP(C1525,Products!$A$5:$D$24,4,FALSE())</f>
        <v>55</v>
      </c>
      <c r="J1525" s="42" t="n">
        <f aca="false">DATE(YEAR(B1525),MONTH(B1525),1)</f>
        <v>45870</v>
      </c>
      <c r="K1525" s="41" t="n">
        <f aca="false">D1525*E1525</f>
        <v>254.1</v>
      </c>
      <c r="L1525" s="41" t="n">
        <f aca="false">D1525*I1525</f>
        <v>110</v>
      </c>
      <c r="M1525" s="41" t="n">
        <f aca="false">IFERROR(INDEX(Raw_Expenses!$C$5:$C$2979,MATCH(A1525,Raw_Expenses!$A$5:$A$2979,0)),0)</f>
        <v>15.15</v>
      </c>
      <c r="N1525" s="41" t="n">
        <f aca="false">L1525+M1525</f>
        <v>125.15</v>
      </c>
      <c r="O1525" s="41" t="n">
        <f aca="false">K1525-N1525</f>
        <v>128.95</v>
      </c>
      <c r="P1525" s="43" t="n">
        <f aca="false">IF(K1525=0,0,O1525/K1525)</f>
        <v>0.507477371113735</v>
      </c>
    </row>
    <row r="1526" customFormat="false" ht="15" hidden="false" customHeight="false" outlineLevel="0" collapsed="false">
      <c r="A1526" s="39" t="s">
        <v>1648</v>
      </c>
      <c r="B1526" s="40" t="n">
        <v>45876</v>
      </c>
      <c r="C1526" s="39" t="s">
        <v>104</v>
      </c>
      <c r="D1526" s="39" t="n">
        <v>4</v>
      </c>
      <c r="E1526" s="41" t="n">
        <v>15.58</v>
      </c>
      <c r="F1526" s="39" t="s">
        <v>115</v>
      </c>
      <c r="G1526" s="39" t="str">
        <f aca="false">VLOOKUP(C1526,Products!$A$5:$D$24,2,FALSE())</f>
        <v>Water Bottle</v>
      </c>
      <c r="H1526" s="39" t="str">
        <f aca="false">VLOOKUP(C1526,Products!$A$5:$D$24,3,FALSE())</f>
        <v>Accessories</v>
      </c>
      <c r="I1526" s="41" t="n">
        <f aca="false">VLOOKUP(C1526,Products!$A$5:$D$24,4,FALSE())</f>
        <v>5</v>
      </c>
      <c r="J1526" s="42" t="n">
        <f aca="false">DATE(YEAR(B1526),MONTH(B1526),1)</f>
        <v>45870</v>
      </c>
      <c r="K1526" s="41" t="n">
        <f aca="false">D1526*E1526</f>
        <v>62.32</v>
      </c>
      <c r="L1526" s="41" t="n">
        <f aca="false">D1526*I1526</f>
        <v>20</v>
      </c>
      <c r="M1526" s="41" t="n">
        <f aca="false">IFERROR(INDEX(Raw_Expenses!$C$5:$C$2979,MATCH(A1526,Raw_Expenses!$A$5:$A$2979,0)),0)</f>
        <v>3.5</v>
      </c>
      <c r="N1526" s="41" t="n">
        <f aca="false">L1526+M1526</f>
        <v>23.5</v>
      </c>
      <c r="O1526" s="41" t="n">
        <f aca="false">K1526-N1526</f>
        <v>38.82</v>
      </c>
      <c r="P1526" s="43" t="n">
        <f aca="false">IF(K1526=0,0,O1526/K1526)</f>
        <v>0.622913992297818</v>
      </c>
    </row>
    <row r="1527" customFormat="false" ht="15" hidden="false" customHeight="false" outlineLevel="0" collapsed="false">
      <c r="A1527" s="39" t="s">
        <v>1649</v>
      </c>
      <c r="B1527" s="40" t="n">
        <v>45876</v>
      </c>
      <c r="C1527" s="39" t="s">
        <v>110</v>
      </c>
      <c r="D1527" s="39" t="n">
        <v>5</v>
      </c>
      <c r="E1527" s="41" t="n">
        <v>13.24</v>
      </c>
      <c r="F1527" s="39" t="s">
        <v>105</v>
      </c>
      <c r="G1527" s="39" t="str">
        <f aca="false">VLOOKUP(C1527,Products!$A$5:$D$24,2,FALSE())</f>
        <v>Phone Stand</v>
      </c>
      <c r="H1527" s="39" t="str">
        <f aca="false">VLOOKUP(C1527,Products!$A$5:$D$24,3,FALSE())</f>
        <v>Accessories</v>
      </c>
      <c r="I1527" s="41" t="n">
        <f aca="false">VLOOKUP(C1527,Products!$A$5:$D$24,4,FALSE())</f>
        <v>4</v>
      </c>
      <c r="J1527" s="42" t="n">
        <f aca="false">DATE(YEAR(B1527),MONTH(B1527),1)</f>
        <v>45870</v>
      </c>
      <c r="K1527" s="41" t="n">
        <f aca="false">D1527*E1527</f>
        <v>66.2</v>
      </c>
      <c r="L1527" s="41" t="n">
        <f aca="false">D1527*I1527</f>
        <v>20</v>
      </c>
      <c r="M1527" s="41" t="n">
        <f aca="false">IFERROR(INDEX(Raw_Expenses!$C$5:$C$2979,MATCH(A1527,Raw_Expenses!$A$5:$A$2979,0)),0)</f>
        <v>4.75</v>
      </c>
      <c r="N1527" s="41" t="n">
        <f aca="false">L1527+M1527</f>
        <v>24.75</v>
      </c>
      <c r="O1527" s="41" t="n">
        <f aca="false">K1527-N1527</f>
        <v>41.45</v>
      </c>
      <c r="P1527" s="43" t="n">
        <f aca="false">IF(K1527=0,0,O1527/K1527)</f>
        <v>0.626132930513595</v>
      </c>
    </row>
    <row r="1528" customFormat="false" ht="15" hidden="false" customHeight="false" outlineLevel="0" collapsed="false">
      <c r="A1528" s="39" t="s">
        <v>1650</v>
      </c>
      <c r="B1528" s="40" t="n">
        <v>45876</v>
      </c>
      <c r="C1528" s="39" t="s">
        <v>128</v>
      </c>
      <c r="D1528" s="39" t="n">
        <v>4</v>
      </c>
      <c r="E1528" s="41" t="n">
        <v>35.89</v>
      </c>
      <c r="F1528" s="39" t="s">
        <v>108</v>
      </c>
      <c r="G1528" s="39" t="str">
        <f aca="false">VLOOKUP(C1528,Products!$A$5:$D$24,2,FALSE())</f>
        <v>Ergonomic Footrest</v>
      </c>
      <c r="H1528" s="39" t="str">
        <f aca="false">VLOOKUP(C1528,Products!$A$5:$D$24,3,FALSE())</f>
        <v>Furniture</v>
      </c>
      <c r="I1528" s="41" t="n">
        <f aca="false">VLOOKUP(C1528,Products!$A$5:$D$24,4,FALSE())</f>
        <v>15</v>
      </c>
      <c r="J1528" s="42" t="n">
        <f aca="false">DATE(YEAR(B1528),MONTH(B1528),1)</f>
        <v>45870</v>
      </c>
      <c r="K1528" s="41" t="n">
        <f aca="false">D1528*E1528</f>
        <v>143.56</v>
      </c>
      <c r="L1528" s="41" t="n">
        <f aca="false">D1528*I1528</f>
        <v>60</v>
      </c>
      <c r="M1528" s="41" t="n">
        <f aca="false">IFERROR(INDEX(Raw_Expenses!$C$5:$C$2979,MATCH(A1528,Raw_Expenses!$A$5:$A$2979,0)),0)</f>
        <v>10.75</v>
      </c>
      <c r="N1528" s="41" t="n">
        <f aca="false">L1528+M1528</f>
        <v>70.75</v>
      </c>
      <c r="O1528" s="41" t="n">
        <f aca="false">K1528-N1528</f>
        <v>72.81</v>
      </c>
      <c r="P1528" s="43" t="n">
        <f aca="false">IF(K1528=0,0,O1528/K1528)</f>
        <v>0.50717470047367</v>
      </c>
    </row>
    <row r="1529" customFormat="false" ht="15" hidden="false" customHeight="false" outlineLevel="0" collapsed="false">
      <c r="A1529" s="39" t="s">
        <v>1651</v>
      </c>
      <c r="B1529" s="40" t="n">
        <v>45876</v>
      </c>
      <c r="C1529" s="39" t="s">
        <v>121</v>
      </c>
      <c r="D1529" s="39" t="n">
        <v>8</v>
      </c>
      <c r="E1529" s="41" t="n">
        <v>116.01</v>
      </c>
      <c r="F1529" s="39" t="s">
        <v>118</v>
      </c>
      <c r="G1529" s="39" t="str">
        <f aca="false">VLOOKUP(C1529,Products!$A$5:$D$24,2,FALSE())</f>
        <v>External SSD 1TB</v>
      </c>
      <c r="H1529" s="39" t="str">
        <f aca="false">VLOOKUP(C1529,Products!$A$5:$D$24,3,FALSE())</f>
        <v>Electronics</v>
      </c>
      <c r="I1529" s="41" t="n">
        <f aca="false">VLOOKUP(C1529,Products!$A$5:$D$24,4,FALSE())</f>
        <v>62</v>
      </c>
      <c r="J1529" s="42" t="n">
        <f aca="false">DATE(YEAR(B1529),MONTH(B1529),1)</f>
        <v>45870</v>
      </c>
      <c r="K1529" s="41" t="n">
        <f aca="false">D1529*E1529</f>
        <v>928.08</v>
      </c>
      <c r="L1529" s="41" t="n">
        <f aca="false">D1529*I1529</f>
        <v>496</v>
      </c>
      <c r="M1529" s="41" t="n">
        <f aca="false">IFERROR(INDEX(Raw_Expenses!$C$5:$C$2979,MATCH(A1529,Raw_Expenses!$A$5:$A$2979,0)),0)</f>
        <v>37.15</v>
      </c>
      <c r="N1529" s="41" t="n">
        <f aca="false">L1529+M1529</f>
        <v>533.15</v>
      </c>
      <c r="O1529" s="41" t="n">
        <f aca="false">K1529-N1529</f>
        <v>394.93</v>
      </c>
      <c r="P1529" s="43" t="n">
        <f aca="false">IF(K1529=0,0,O1529/K1529)</f>
        <v>0.425534436686493</v>
      </c>
    </row>
    <row r="1530" customFormat="false" ht="15" hidden="false" customHeight="false" outlineLevel="0" collapsed="false">
      <c r="A1530" s="39" t="s">
        <v>1652</v>
      </c>
      <c r="B1530" s="40" t="n">
        <v>45876</v>
      </c>
      <c r="C1530" s="39" t="s">
        <v>183</v>
      </c>
      <c r="D1530" s="39" t="n">
        <v>1</v>
      </c>
      <c r="E1530" s="41" t="n">
        <v>182.62</v>
      </c>
      <c r="F1530" s="39" t="s">
        <v>118</v>
      </c>
      <c r="G1530" s="39" t="str">
        <f aca="false">VLOOKUP(C1530,Products!$A$5:$D$24,2,FALSE())</f>
        <v>Office Chair</v>
      </c>
      <c r="H1530" s="39" t="str">
        <f aca="false">VLOOKUP(C1530,Products!$A$5:$D$24,3,FALSE())</f>
        <v>Furniture</v>
      </c>
      <c r="I1530" s="41" t="n">
        <f aca="false">VLOOKUP(C1530,Products!$A$5:$D$24,4,FALSE())</f>
        <v>85</v>
      </c>
      <c r="J1530" s="42" t="n">
        <f aca="false">DATE(YEAR(B1530),MONTH(B1530),1)</f>
        <v>45870</v>
      </c>
      <c r="K1530" s="41" t="n">
        <f aca="false">D1530*E1530</f>
        <v>182.62</v>
      </c>
      <c r="L1530" s="41" t="n">
        <f aca="false">D1530*I1530</f>
        <v>85</v>
      </c>
      <c r="M1530" s="41" t="n">
        <f aca="false">IFERROR(INDEX(Raw_Expenses!$C$5:$C$2979,MATCH(A1530,Raw_Expenses!$A$5:$A$2979,0)),0)</f>
        <v>11.22</v>
      </c>
      <c r="N1530" s="41" t="n">
        <f aca="false">L1530+M1530</f>
        <v>96.22</v>
      </c>
      <c r="O1530" s="41" t="n">
        <f aca="false">K1530-N1530</f>
        <v>86.4</v>
      </c>
      <c r="P1530" s="43" t="n">
        <f aca="false">IF(K1530=0,0,O1530/K1530)</f>
        <v>0.473113569160004</v>
      </c>
    </row>
    <row r="1531" customFormat="false" ht="15" hidden="false" customHeight="false" outlineLevel="0" collapsed="false">
      <c r="A1531" s="39" t="s">
        <v>1653</v>
      </c>
      <c r="B1531" s="40" t="n">
        <v>45876</v>
      </c>
      <c r="C1531" s="39" t="s">
        <v>169</v>
      </c>
      <c r="D1531" s="39" t="n">
        <v>2</v>
      </c>
      <c r="E1531" s="41" t="n">
        <v>27.42</v>
      </c>
      <c r="F1531" s="39" t="s">
        <v>115</v>
      </c>
      <c r="G1531" s="39" t="str">
        <f aca="false">VLOOKUP(C1531,Products!$A$5:$D$24,2,FALSE())</f>
        <v>Laptop Stand</v>
      </c>
      <c r="H1531" s="39" t="str">
        <f aca="false">VLOOKUP(C1531,Products!$A$5:$D$24,3,FALSE())</f>
        <v>Accessories</v>
      </c>
      <c r="I1531" s="41" t="n">
        <f aca="false">VLOOKUP(C1531,Products!$A$5:$D$24,4,FALSE())</f>
        <v>11</v>
      </c>
      <c r="J1531" s="42" t="n">
        <f aca="false">DATE(YEAR(B1531),MONTH(B1531),1)</f>
        <v>45870</v>
      </c>
      <c r="K1531" s="41" t="n">
        <f aca="false">D1531*E1531</f>
        <v>54.84</v>
      </c>
      <c r="L1531" s="41" t="n">
        <f aca="false">D1531*I1531</f>
        <v>22</v>
      </c>
      <c r="M1531" s="41" t="n">
        <f aca="false">IFERROR(INDEX(Raw_Expenses!$C$5:$C$2979,MATCH(A1531,Raw_Expenses!$A$5:$A$2979,0)),0)</f>
        <v>3.17</v>
      </c>
      <c r="N1531" s="41" t="n">
        <f aca="false">L1531+M1531</f>
        <v>25.17</v>
      </c>
      <c r="O1531" s="41" t="n">
        <f aca="false">K1531-N1531</f>
        <v>29.67</v>
      </c>
      <c r="P1531" s="43" t="n">
        <f aca="false">IF(K1531=0,0,O1531/K1531)</f>
        <v>0.541028446389497</v>
      </c>
    </row>
    <row r="1532" customFormat="false" ht="15" hidden="false" customHeight="false" outlineLevel="0" collapsed="false">
      <c r="A1532" s="39" t="s">
        <v>1654</v>
      </c>
      <c r="B1532" s="40" t="n">
        <v>45876</v>
      </c>
      <c r="C1532" s="39" t="s">
        <v>133</v>
      </c>
      <c r="D1532" s="39" t="n">
        <v>2</v>
      </c>
      <c r="E1532" s="41" t="n">
        <v>8.93</v>
      </c>
      <c r="F1532" s="39" t="s">
        <v>115</v>
      </c>
      <c r="G1532" s="39" t="str">
        <f aca="false">VLOOKUP(C1532,Products!$A$5:$D$24,2,FALSE())</f>
        <v>Printer Paper Ream</v>
      </c>
      <c r="H1532" s="39" t="str">
        <f aca="false">VLOOKUP(C1532,Products!$A$5:$D$24,3,FALSE())</f>
        <v>Stationery</v>
      </c>
      <c r="I1532" s="41" t="n">
        <f aca="false">VLOOKUP(C1532,Products!$A$5:$D$24,4,FALSE())</f>
        <v>4</v>
      </c>
      <c r="J1532" s="42" t="n">
        <f aca="false">DATE(YEAR(B1532),MONTH(B1532),1)</f>
        <v>45870</v>
      </c>
      <c r="K1532" s="41" t="n">
        <f aca="false">D1532*E1532</f>
        <v>17.86</v>
      </c>
      <c r="L1532" s="41" t="n">
        <f aca="false">D1532*I1532</f>
        <v>8</v>
      </c>
      <c r="M1532" s="41" t="n">
        <f aca="false">IFERROR(INDEX(Raw_Expenses!$C$5:$C$2979,MATCH(A1532,Raw_Expenses!$A$5:$A$2979,0)),0)</f>
        <v>1.07</v>
      </c>
      <c r="N1532" s="41" t="n">
        <f aca="false">L1532+M1532</f>
        <v>9.07</v>
      </c>
      <c r="O1532" s="41" t="n">
        <f aca="false">K1532-N1532</f>
        <v>8.79</v>
      </c>
      <c r="P1532" s="43" t="n">
        <f aca="false">IF(K1532=0,0,O1532/K1532)</f>
        <v>0.492161254199328</v>
      </c>
    </row>
    <row r="1533" customFormat="false" ht="15" hidden="false" customHeight="false" outlineLevel="0" collapsed="false">
      <c r="A1533" s="39" t="s">
        <v>1655</v>
      </c>
      <c r="B1533" s="40" t="n">
        <v>45876</v>
      </c>
      <c r="C1533" s="39" t="s">
        <v>121</v>
      </c>
      <c r="D1533" s="39" t="n">
        <v>3</v>
      </c>
      <c r="E1533" s="41" t="n">
        <v>111.75</v>
      </c>
      <c r="F1533" s="39" t="s">
        <v>115</v>
      </c>
      <c r="G1533" s="39" t="str">
        <f aca="false">VLOOKUP(C1533,Products!$A$5:$D$24,2,FALSE())</f>
        <v>External SSD 1TB</v>
      </c>
      <c r="H1533" s="39" t="str">
        <f aca="false">VLOOKUP(C1533,Products!$A$5:$D$24,3,FALSE())</f>
        <v>Electronics</v>
      </c>
      <c r="I1533" s="41" t="n">
        <f aca="false">VLOOKUP(C1533,Products!$A$5:$D$24,4,FALSE())</f>
        <v>62</v>
      </c>
      <c r="J1533" s="42" t="n">
        <f aca="false">DATE(YEAR(B1533),MONTH(B1533),1)</f>
        <v>45870</v>
      </c>
      <c r="K1533" s="41" t="n">
        <f aca="false">D1533*E1533</f>
        <v>335.25</v>
      </c>
      <c r="L1533" s="41" t="n">
        <f aca="false">D1533*I1533</f>
        <v>186</v>
      </c>
      <c r="M1533" s="41" t="n">
        <f aca="false">IFERROR(INDEX(Raw_Expenses!$C$5:$C$2979,MATCH(A1533,Raw_Expenses!$A$5:$A$2979,0)),0)</f>
        <v>21.86</v>
      </c>
      <c r="N1533" s="41" t="n">
        <f aca="false">L1533+M1533</f>
        <v>207.86</v>
      </c>
      <c r="O1533" s="41" t="n">
        <f aca="false">K1533-N1533</f>
        <v>127.39</v>
      </c>
      <c r="P1533" s="43" t="n">
        <f aca="false">IF(K1533=0,0,O1533/K1533)</f>
        <v>0.379985085756898</v>
      </c>
    </row>
    <row r="1534" customFormat="false" ht="15" hidden="false" customHeight="false" outlineLevel="0" collapsed="false">
      <c r="A1534" s="39" t="s">
        <v>1656</v>
      </c>
      <c r="B1534" s="40" t="n">
        <v>45877</v>
      </c>
      <c r="C1534" s="39" t="s">
        <v>117</v>
      </c>
      <c r="D1534" s="39" t="n">
        <v>1</v>
      </c>
      <c r="E1534" s="41" t="n">
        <v>30.84</v>
      </c>
      <c r="F1534" s="39" t="s">
        <v>115</v>
      </c>
      <c r="G1534" s="39" t="str">
        <f aca="false">VLOOKUP(C1534,Products!$A$5:$D$24,2,FALSE())</f>
        <v>Desk Lamp</v>
      </c>
      <c r="H1534" s="39" t="str">
        <f aca="false">VLOOKUP(C1534,Products!$A$5:$D$24,3,FALSE())</f>
        <v>Furniture</v>
      </c>
      <c r="I1534" s="41" t="n">
        <f aca="false">VLOOKUP(C1534,Products!$A$5:$D$24,4,FALSE())</f>
        <v>13</v>
      </c>
      <c r="J1534" s="42" t="n">
        <f aca="false">DATE(YEAR(B1534),MONTH(B1534),1)</f>
        <v>45870</v>
      </c>
      <c r="K1534" s="41" t="n">
        <f aca="false">D1534*E1534</f>
        <v>30.84</v>
      </c>
      <c r="L1534" s="41" t="n">
        <f aca="false">D1534*I1534</f>
        <v>13</v>
      </c>
      <c r="M1534" s="41" t="n">
        <f aca="false">IFERROR(INDEX(Raw_Expenses!$C$5:$C$2979,MATCH(A1534,Raw_Expenses!$A$5:$A$2979,0)),0)</f>
        <v>2.37</v>
      </c>
      <c r="N1534" s="41" t="n">
        <f aca="false">L1534+M1534</f>
        <v>15.37</v>
      </c>
      <c r="O1534" s="41" t="n">
        <f aca="false">K1534-N1534</f>
        <v>15.47</v>
      </c>
      <c r="P1534" s="43" t="n">
        <f aca="false">IF(K1534=0,0,O1534/K1534)</f>
        <v>0.501621271076524</v>
      </c>
    </row>
    <row r="1535" customFormat="false" ht="15" hidden="false" customHeight="false" outlineLevel="0" collapsed="false">
      <c r="A1535" s="39" t="s">
        <v>1657</v>
      </c>
      <c r="B1535" s="40" t="n">
        <v>45877</v>
      </c>
      <c r="C1535" s="39" t="s">
        <v>177</v>
      </c>
      <c r="D1535" s="39" t="n">
        <v>4</v>
      </c>
      <c r="E1535" s="41" t="n">
        <v>44.36</v>
      </c>
      <c r="F1535" s="39" t="s">
        <v>108</v>
      </c>
      <c r="G1535" s="39" t="str">
        <f aca="false">VLOOKUP(C1535,Products!$A$5:$D$24,2,FALSE())</f>
        <v>Backpack</v>
      </c>
      <c r="H1535" s="39" t="str">
        <f aca="false">VLOOKUP(C1535,Products!$A$5:$D$24,3,FALSE())</f>
        <v>Accessories</v>
      </c>
      <c r="I1535" s="41" t="n">
        <f aca="false">VLOOKUP(C1535,Products!$A$5:$D$24,4,FALSE())</f>
        <v>17</v>
      </c>
      <c r="J1535" s="42" t="n">
        <f aca="false">DATE(YEAR(B1535),MONTH(B1535),1)</f>
        <v>45870</v>
      </c>
      <c r="K1535" s="41" t="n">
        <f aca="false">D1535*E1535</f>
        <v>177.44</v>
      </c>
      <c r="L1535" s="41" t="n">
        <f aca="false">D1535*I1535</f>
        <v>68</v>
      </c>
      <c r="M1535" s="41" t="n">
        <f aca="false">IFERROR(INDEX(Raw_Expenses!$C$5:$C$2979,MATCH(A1535,Raw_Expenses!$A$5:$A$2979,0)),0)</f>
        <v>7.74</v>
      </c>
      <c r="N1535" s="41" t="n">
        <f aca="false">L1535+M1535</f>
        <v>75.74</v>
      </c>
      <c r="O1535" s="41" t="n">
        <f aca="false">K1535-N1535</f>
        <v>101.7</v>
      </c>
      <c r="P1535" s="43" t="n">
        <f aca="false">IF(K1535=0,0,O1535/K1535)</f>
        <v>0.573151487826871</v>
      </c>
    </row>
    <row r="1536" customFormat="false" ht="15" hidden="false" customHeight="false" outlineLevel="0" collapsed="false">
      <c r="A1536" s="39" t="s">
        <v>1658</v>
      </c>
      <c r="B1536" s="40" t="n">
        <v>45877</v>
      </c>
      <c r="C1536" s="39" t="s">
        <v>139</v>
      </c>
      <c r="D1536" s="39" t="n">
        <v>4</v>
      </c>
      <c r="E1536" s="41" t="n">
        <v>127.56</v>
      </c>
      <c r="F1536" s="39" t="s">
        <v>118</v>
      </c>
      <c r="G1536" s="39" t="str">
        <f aca="false">VLOOKUP(C1536,Products!$A$5:$D$24,2,FALSE())</f>
        <v>Noise-Cancelling Headphones</v>
      </c>
      <c r="H1536" s="39" t="str">
        <f aca="false">VLOOKUP(C1536,Products!$A$5:$D$24,3,FALSE())</f>
        <v>Electronics</v>
      </c>
      <c r="I1536" s="41" t="n">
        <f aca="false">VLOOKUP(C1536,Products!$A$5:$D$24,4,FALSE())</f>
        <v>55</v>
      </c>
      <c r="J1536" s="42" t="n">
        <f aca="false">DATE(YEAR(B1536),MONTH(B1536),1)</f>
        <v>45870</v>
      </c>
      <c r="K1536" s="41" t="n">
        <f aca="false">D1536*E1536</f>
        <v>510.24</v>
      </c>
      <c r="L1536" s="41" t="n">
        <f aca="false">D1536*I1536</f>
        <v>220</v>
      </c>
      <c r="M1536" s="41" t="n">
        <f aca="false">IFERROR(INDEX(Raw_Expenses!$C$5:$C$2979,MATCH(A1536,Raw_Expenses!$A$5:$A$2979,0)),0)</f>
        <v>34.21</v>
      </c>
      <c r="N1536" s="41" t="n">
        <f aca="false">L1536+M1536</f>
        <v>254.21</v>
      </c>
      <c r="O1536" s="41" t="n">
        <f aca="false">K1536-N1536</f>
        <v>256.03</v>
      </c>
      <c r="P1536" s="43" t="n">
        <f aca="false">IF(K1536=0,0,O1536/K1536)</f>
        <v>0.501783474443399</v>
      </c>
    </row>
    <row r="1537" customFormat="false" ht="15" hidden="false" customHeight="false" outlineLevel="0" collapsed="false">
      <c r="A1537" s="39" t="s">
        <v>1659</v>
      </c>
      <c r="B1537" s="40" t="n">
        <v>45877</v>
      </c>
      <c r="C1537" s="39" t="s">
        <v>177</v>
      </c>
      <c r="D1537" s="39" t="n">
        <v>2</v>
      </c>
      <c r="E1537" s="41" t="n">
        <v>43.69</v>
      </c>
      <c r="F1537" s="39" t="s">
        <v>118</v>
      </c>
      <c r="G1537" s="39" t="str">
        <f aca="false">VLOOKUP(C1537,Products!$A$5:$D$24,2,FALSE())</f>
        <v>Backpack</v>
      </c>
      <c r="H1537" s="39" t="str">
        <f aca="false">VLOOKUP(C1537,Products!$A$5:$D$24,3,FALSE())</f>
        <v>Accessories</v>
      </c>
      <c r="I1537" s="41" t="n">
        <f aca="false">VLOOKUP(C1537,Products!$A$5:$D$24,4,FALSE())</f>
        <v>17</v>
      </c>
      <c r="J1537" s="42" t="n">
        <f aca="false">DATE(YEAR(B1537),MONTH(B1537),1)</f>
        <v>45870</v>
      </c>
      <c r="K1537" s="41" t="n">
        <f aca="false">D1537*E1537</f>
        <v>87.38</v>
      </c>
      <c r="L1537" s="41" t="n">
        <f aca="false">D1537*I1537</f>
        <v>34</v>
      </c>
      <c r="M1537" s="41" t="n">
        <f aca="false">IFERROR(INDEX(Raw_Expenses!$C$5:$C$2979,MATCH(A1537,Raw_Expenses!$A$5:$A$2979,0)),0)</f>
        <v>6.56</v>
      </c>
      <c r="N1537" s="41" t="n">
        <f aca="false">L1537+M1537</f>
        <v>40.56</v>
      </c>
      <c r="O1537" s="41" t="n">
        <f aca="false">K1537-N1537</f>
        <v>46.82</v>
      </c>
      <c r="P1537" s="43" t="n">
        <f aca="false">IF(K1537=0,0,O1537/K1537)</f>
        <v>0.535820553902495</v>
      </c>
    </row>
    <row r="1538" customFormat="false" ht="15" hidden="false" customHeight="false" outlineLevel="0" collapsed="false">
      <c r="A1538" s="39" t="s">
        <v>1660</v>
      </c>
      <c r="B1538" s="40" t="n">
        <v>45877</v>
      </c>
      <c r="C1538" s="39" t="s">
        <v>110</v>
      </c>
      <c r="D1538" s="39" t="n">
        <v>4</v>
      </c>
      <c r="E1538" s="41" t="n">
        <v>13.43</v>
      </c>
      <c r="F1538" s="39" t="s">
        <v>115</v>
      </c>
      <c r="G1538" s="39" t="str">
        <f aca="false">VLOOKUP(C1538,Products!$A$5:$D$24,2,FALSE())</f>
        <v>Phone Stand</v>
      </c>
      <c r="H1538" s="39" t="str">
        <f aca="false">VLOOKUP(C1538,Products!$A$5:$D$24,3,FALSE())</f>
        <v>Accessories</v>
      </c>
      <c r="I1538" s="41" t="n">
        <f aca="false">VLOOKUP(C1538,Products!$A$5:$D$24,4,FALSE())</f>
        <v>4</v>
      </c>
      <c r="J1538" s="42" t="n">
        <f aca="false">DATE(YEAR(B1538),MONTH(B1538),1)</f>
        <v>45870</v>
      </c>
      <c r="K1538" s="41" t="n">
        <f aca="false">D1538*E1538</f>
        <v>53.72</v>
      </c>
      <c r="L1538" s="41" t="n">
        <f aca="false">D1538*I1538</f>
        <v>16</v>
      </c>
      <c r="M1538" s="41" t="n">
        <f aca="false">IFERROR(INDEX(Raw_Expenses!$C$5:$C$2979,MATCH(A1538,Raw_Expenses!$A$5:$A$2979,0)),0)</f>
        <v>4.31</v>
      </c>
      <c r="N1538" s="41" t="n">
        <f aca="false">L1538+M1538</f>
        <v>20.31</v>
      </c>
      <c r="O1538" s="41" t="n">
        <f aca="false">K1538-N1538</f>
        <v>33.41</v>
      </c>
      <c r="P1538" s="43" t="n">
        <f aca="false">IF(K1538=0,0,O1538/K1538)</f>
        <v>0.62192851824274</v>
      </c>
    </row>
    <row r="1539" customFormat="false" ht="15" hidden="false" customHeight="false" outlineLevel="0" collapsed="false">
      <c r="A1539" s="39" t="s">
        <v>1661</v>
      </c>
      <c r="B1539" s="40" t="n">
        <v>45877</v>
      </c>
      <c r="C1539" s="39" t="s">
        <v>133</v>
      </c>
      <c r="D1539" s="39" t="n">
        <v>3</v>
      </c>
      <c r="E1539" s="41" t="n">
        <v>8.88</v>
      </c>
      <c r="F1539" s="39" t="s">
        <v>118</v>
      </c>
      <c r="G1539" s="39" t="str">
        <f aca="false">VLOOKUP(C1539,Products!$A$5:$D$24,2,FALSE())</f>
        <v>Printer Paper Ream</v>
      </c>
      <c r="H1539" s="39" t="str">
        <f aca="false">VLOOKUP(C1539,Products!$A$5:$D$24,3,FALSE())</f>
        <v>Stationery</v>
      </c>
      <c r="I1539" s="41" t="n">
        <f aca="false">VLOOKUP(C1539,Products!$A$5:$D$24,4,FALSE())</f>
        <v>4</v>
      </c>
      <c r="J1539" s="42" t="n">
        <f aca="false">DATE(YEAR(B1539),MONTH(B1539),1)</f>
        <v>45870</v>
      </c>
      <c r="K1539" s="41" t="n">
        <f aca="false">D1539*E1539</f>
        <v>26.64</v>
      </c>
      <c r="L1539" s="41" t="n">
        <f aca="false">D1539*I1539</f>
        <v>12</v>
      </c>
      <c r="M1539" s="41" t="n">
        <f aca="false">IFERROR(INDEX(Raw_Expenses!$C$5:$C$2979,MATCH(A1539,Raw_Expenses!$A$5:$A$2979,0)),0)</f>
        <v>1.83</v>
      </c>
      <c r="N1539" s="41" t="n">
        <f aca="false">L1539+M1539</f>
        <v>13.83</v>
      </c>
      <c r="O1539" s="41" t="n">
        <f aca="false">K1539-N1539</f>
        <v>12.81</v>
      </c>
      <c r="P1539" s="43" t="n">
        <f aca="false">IF(K1539=0,0,O1539/K1539)</f>
        <v>0.480855855855856</v>
      </c>
    </row>
    <row r="1540" customFormat="false" ht="15" hidden="false" customHeight="false" outlineLevel="0" collapsed="false">
      <c r="A1540" s="39" t="s">
        <v>1662</v>
      </c>
      <c r="B1540" s="40" t="n">
        <v>45877</v>
      </c>
      <c r="C1540" s="39" t="s">
        <v>169</v>
      </c>
      <c r="D1540" s="39" t="n">
        <v>1</v>
      </c>
      <c r="E1540" s="41" t="n">
        <v>28.5</v>
      </c>
      <c r="F1540" s="39" t="s">
        <v>118</v>
      </c>
      <c r="G1540" s="39" t="str">
        <f aca="false">VLOOKUP(C1540,Products!$A$5:$D$24,2,FALSE())</f>
        <v>Laptop Stand</v>
      </c>
      <c r="H1540" s="39" t="str">
        <f aca="false">VLOOKUP(C1540,Products!$A$5:$D$24,3,FALSE())</f>
        <v>Accessories</v>
      </c>
      <c r="I1540" s="41" t="n">
        <f aca="false">VLOOKUP(C1540,Products!$A$5:$D$24,4,FALSE())</f>
        <v>11</v>
      </c>
      <c r="J1540" s="42" t="n">
        <f aca="false">DATE(YEAR(B1540),MONTH(B1540),1)</f>
        <v>45870</v>
      </c>
      <c r="K1540" s="41" t="n">
        <f aca="false">D1540*E1540</f>
        <v>28.5</v>
      </c>
      <c r="L1540" s="41" t="n">
        <f aca="false">D1540*I1540</f>
        <v>11</v>
      </c>
      <c r="M1540" s="41" t="n">
        <f aca="false">IFERROR(INDEX(Raw_Expenses!$C$5:$C$2979,MATCH(A1540,Raw_Expenses!$A$5:$A$2979,0)),0)</f>
        <v>2.17</v>
      </c>
      <c r="N1540" s="41" t="n">
        <f aca="false">L1540+M1540</f>
        <v>13.17</v>
      </c>
      <c r="O1540" s="41" t="n">
        <f aca="false">K1540-N1540</f>
        <v>15.33</v>
      </c>
      <c r="P1540" s="43" t="n">
        <f aca="false">IF(K1540=0,0,O1540/K1540)</f>
        <v>0.537894736842105</v>
      </c>
    </row>
    <row r="1541" customFormat="false" ht="15" hidden="false" customHeight="false" outlineLevel="0" collapsed="false">
      <c r="A1541" s="39" t="s">
        <v>1663</v>
      </c>
      <c r="B1541" s="40" t="n">
        <v>45877</v>
      </c>
      <c r="C1541" s="39" t="s">
        <v>126</v>
      </c>
      <c r="D1541" s="39" t="n">
        <v>5</v>
      </c>
      <c r="E1541" s="41" t="n">
        <v>23.45</v>
      </c>
      <c r="F1541" s="39" t="s">
        <v>115</v>
      </c>
      <c r="G1541" s="39" t="str">
        <f aca="false">VLOOKUP(C1541,Products!$A$5:$D$24,2,FALSE())</f>
        <v>Wireless Mouse</v>
      </c>
      <c r="H1541" s="39" t="str">
        <f aca="false">VLOOKUP(C1541,Products!$A$5:$D$24,3,FALSE())</f>
        <v>Electronics</v>
      </c>
      <c r="I1541" s="41" t="n">
        <f aca="false">VLOOKUP(C1541,Products!$A$5:$D$24,4,FALSE())</f>
        <v>12</v>
      </c>
      <c r="J1541" s="42" t="n">
        <f aca="false">DATE(YEAR(B1541),MONTH(B1541),1)</f>
        <v>45870</v>
      </c>
      <c r="K1541" s="41" t="n">
        <f aca="false">D1541*E1541</f>
        <v>117.25</v>
      </c>
      <c r="L1541" s="41" t="n">
        <f aca="false">D1541*I1541</f>
        <v>60</v>
      </c>
      <c r="M1541" s="41" t="n">
        <f aca="false">IFERROR(INDEX(Raw_Expenses!$C$5:$C$2979,MATCH(A1541,Raw_Expenses!$A$5:$A$2979,0)),0)</f>
        <v>7.55</v>
      </c>
      <c r="N1541" s="41" t="n">
        <f aca="false">L1541+M1541</f>
        <v>67.55</v>
      </c>
      <c r="O1541" s="41" t="n">
        <f aca="false">K1541-N1541</f>
        <v>49.7</v>
      </c>
      <c r="P1541" s="43" t="n">
        <f aca="false">IF(K1541=0,0,O1541/K1541)</f>
        <v>0.423880597014925</v>
      </c>
    </row>
    <row r="1542" customFormat="false" ht="15" hidden="false" customHeight="false" outlineLevel="0" collapsed="false">
      <c r="A1542" s="39" t="s">
        <v>1664</v>
      </c>
      <c r="B1542" s="40" t="n">
        <v>45877</v>
      </c>
      <c r="C1542" s="39" t="s">
        <v>114</v>
      </c>
      <c r="D1542" s="39" t="n">
        <v>2</v>
      </c>
      <c r="E1542" s="41" t="n">
        <v>5.86</v>
      </c>
      <c r="F1542" s="39" t="s">
        <v>108</v>
      </c>
      <c r="G1542" s="39" t="str">
        <f aca="false">VLOOKUP(C1542,Products!$A$5:$D$24,2,FALSE())</f>
        <v>Gel Pen Pack</v>
      </c>
      <c r="H1542" s="39" t="str">
        <f aca="false">VLOOKUP(C1542,Products!$A$5:$D$24,3,FALSE())</f>
        <v>Stationery</v>
      </c>
      <c r="I1542" s="41" t="n">
        <f aca="false">VLOOKUP(C1542,Products!$A$5:$D$24,4,FALSE())</f>
        <v>2</v>
      </c>
      <c r="J1542" s="42" t="n">
        <f aca="false">DATE(YEAR(B1542),MONTH(B1542),1)</f>
        <v>45870</v>
      </c>
      <c r="K1542" s="41" t="n">
        <f aca="false">D1542*E1542</f>
        <v>11.72</v>
      </c>
      <c r="L1542" s="41" t="n">
        <f aca="false">D1542*I1542</f>
        <v>4</v>
      </c>
      <c r="M1542" s="41" t="n">
        <f aca="false">IFERROR(INDEX(Raw_Expenses!$C$5:$C$2979,MATCH(A1542,Raw_Expenses!$A$5:$A$2979,0)),0)</f>
        <v>1.02</v>
      </c>
      <c r="N1542" s="41" t="n">
        <f aca="false">L1542+M1542</f>
        <v>5.02</v>
      </c>
      <c r="O1542" s="41" t="n">
        <f aca="false">K1542-N1542</f>
        <v>6.7</v>
      </c>
      <c r="P1542" s="43" t="n">
        <f aca="false">IF(K1542=0,0,O1542/K1542)</f>
        <v>0.571672354948806</v>
      </c>
    </row>
    <row r="1543" customFormat="false" ht="15" hidden="false" customHeight="false" outlineLevel="0" collapsed="false">
      <c r="A1543" s="39" t="s">
        <v>1665</v>
      </c>
      <c r="B1543" s="40" t="n">
        <v>45878</v>
      </c>
      <c r="C1543" s="39" t="s">
        <v>114</v>
      </c>
      <c r="D1543" s="39" t="n">
        <v>6</v>
      </c>
      <c r="E1543" s="41" t="n">
        <v>5.55</v>
      </c>
      <c r="F1543" s="39" t="s">
        <v>118</v>
      </c>
      <c r="G1543" s="39" t="str">
        <f aca="false">VLOOKUP(C1543,Products!$A$5:$D$24,2,FALSE())</f>
        <v>Gel Pen Pack</v>
      </c>
      <c r="H1543" s="39" t="str">
        <f aca="false">VLOOKUP(C1543,Products!$A$5:$D$24,3,FALSE())</f>
        <v>Stationery</v>
      </c>
      <c r="I1543" s="41" t="n">
        <f aca="false">VLOOKUP(C1543,Products!$A$5:$D$24,4,FALSE())</f>
        <v>2</v>
      </c>
      <c r="J1543" s="42" t="n">
        <f aca="false">DATE(YEAR(B1543),MONTH(B1543),1)</f>
        <v>45870</v>
      </c>
      <c r="K1543" s="41" t="n">
        <f aca="false">D1543*E1543</f>
        <v>33.3</v>
      </c>
      <c r="L1543" s="41" t="n">
        <f aca="false">D1543*I1543</f>
        <v>12</v>
      </c>
      <c r="M1543" s="41" t="n">
        <f aca="false">IFERROR(INDEX(Raw_Expenses!$C$5:$C$2979,MATCH(A1543,Raw_Expenses!$A$5:$A$2979,0)),0)</f>
        <v>2.15</v>
      </c>
      <c r="N1543" s="41" t="n">
        <f aca="false">L1543+M1543</f>
        <v>14.15</v>
      </c>
      <c r="O1543" s="41" t="n">
        <f aca="false">K1543-N1543</f>
        <v>19.15</v>
      </c>
      <c r="P1543" s="43" t="n">
        <f aca="false">IF(K1543=0,0,O1543/K1543)</f>
        <v>0.575075075075075</v>
      </c>
    </row>
    <row r="1544" customFormat="false" ht="15" hidden="false" customHeight="false" outlineLevel="0" collapsed="false">
      <c r="A1544" s="39" t="s">
        <v>1666</v>
      </c>
      <c r="B1544" s="40" t="n">
        <v>45878</v>
      </c>
      <c r="C1544" s="39" t="s">
        <v>126</v>
      </c>
      <c r="D1544" s="39" t="n">
        <v>2</v>
      </c>
      <c r="E1544" s="41" t="n">
        <v>24.22</v>
      </c>
      <c r="F1544" s="39" t="s">
        <v>108</v>
      </c>
      <c r="G1544" s="39" t="str">
        <f aca="false">VLOOKUP(C1544,Products!$A$5:$D$24,2,FALSE())</f>
        <v>Wireless Mouse</v>
      </c>
      <c r="H1544" s="39" t="str">
        <f aca="false">VLOOKUP(C1544,Products!$A$5:$D$24,3,FALSE())</f>
        <v>Electronics</v>
      </c>
      <c r="I1544" s="41" t="n">
        <f aca="false">VLOOKUP(C1544,Products!$A$5:$D$24,4,FALSE())</f>
        <v>12</v>
      </c>
      <c r="J1544" s="42" t="n">
        <f aca="false">DATE(YEAR(B1544),MONTH(B1544),1)</f>
        <v>45870</v>
      </c>
      <c r="K1544" s="41" t="n">
        <f aca="false">D1544*E1544</f>
        <v>48.44</v>
      </c>
      <c r="L1544" s="41" t="n">
        <f aca="false">D1544*I1544</f>
        <v>24</v>
      </c>
      <c r="M1544" s="41" t="n">
        <f aca="false">IFERROR(INDEX(Raw_Expenses!$C$5:$C$2979,MATCH(A1544,Raw_Expenses!$A$5:$A$2979,0)),0)</f>
        <v>2.77</v>
      </c>
      <c r="N1544" s="41" t="n">
        <f aca="false">L1544+M1544</f>
        <v>26.77</v>
      </c>
      <c r="O1544" s="41" t="n">
        <f aca="false">K1544-N1544</f>
        <v>21.67</v>
      </c>
      <c r="P1544" s="43" t="n">
        <f aca="false">IF(K1544=0,0,O1544/K1544)</f>
        <v>0.447357555739059</v>
      </c>
    </row>
    <row r="1545" customFormat="false" ht="15" hidden="false" customHeight="false" outlineLevel="0" collapsed="false">
      <c r="A1545" s="39" t="s">
        <v>1667</v>
      </c>
      <c r="B1545" s="40" t="n">
        <v>45878</v>
      </c>
      <c r="C1545" s="39" t="s">
        <v>130</v>
      </c>
      <c r="D1545" s="39" t="n">
        <v>2</v>
      </c>
      <c r="E1545" s="41" t="n">
        <v>8.95</v>
      </c>
      <c r="F1545" s="39" t="s">
        <v>108</v>
      </c>
      <c r="G1545" s="39" t="str">
        <f aca="false">VLOOKUP(C1545,Products!$A$5:$D$24,2,FALSE())</f>
        <v>Notebook Set</v>
      </c>
      <c r="H1545" s="39" t="str">
        <f aca="false">VLOOKUP(C1545,Products!$A$5:$D$24,3,FALSE())</f>
        <v>Stationery</v>
      </c>
      <c r="I1545" s="41" t="n">
        <f aca="false">VLOOKUP(C1545,Products!$A$5:$D$24,4,FALSE())</f>
        <v>3</v>
      </c>
      <c r="J1545" s="42" t="n">
        <f aca="false">DATE(YEAR(B1545),MONTH(B1545),1)</f>
        <v>45870</v>
      </c>
      <c r="K1545" s="41" t="n">
        <f aca="false">D1545*E1545</f>
        <v>17.9</v>
      </c>
      <c r="L1545" s="41" t="n">
        <f aca="false">D1545*I1545</f>
        <v>6</v>
      </c>
      <c r="M1545" s="41" t="n">
        <f aca="false">IFERROR(INDEX(Raw_Expenses!$C$5:$C$2979,MATCH(A1545,Raw_Expenses!$A$5:$A$2979,0)),0)</f>
        <v>1.46</v>
      </c>
      <c r="N1545" s="41" t="n">
        <f aca="false">L1545+M1545</f>
        <v>7.46</v>
      </c>
      <c r="O1545" s="41" t="n">
        <f aca="false">K1545-N1545</f>
        <v>10.44</v>
      </c>
      <c r="P1545" s="43" t="n">
        <f aca="false">IF(K1545=0,0,O1545/K1545)</f>
        <v>0.583240223463687</v>
      </c>
    </row>
    <row r="1546" customFormat="false" ht="15" hidden="false" customHeight="false" outlineLevel="0" collapsed="false">
      <c r="A1546" s="39" t="s">
        <v>1668</v>
      </c>
      <c r="B1546" s="40" t="n">
        <v>45878</v>
      </c>
      <c r="C1546" s="39" t="s">
        <v>177</v>
      </c>
      <c r="D1546" s="39" t="n">
        <v>6</v>
      </c>
      <c r="E1546" s="41" t="n">
        <v>42.51</v>
      </c>
      <c r="F1546" s="39" t="s">
        <v>108</v>
      </c>
      <c r="G1546" s="39" t="str">
        <f aca="false">VLOOKUP(C1546,Products!$A$5:$D$24,2,FALSE())</f>
        <v>Backpack</v>
      </c>
      <c r="H1546" s="39" t="str">
        <f aca="false">VLOOKUP(C1546,Products!$A$5:$D$24,3,FALSE())</f>
        <v>Accessories</v>
      </c>
      <c r="I1546" s="41" t="n">
        <f aca="false">VLOOKUP(C1546,Products!$A$5:$D$24,4,FALSE())</f>
        <v>17</v>
      </c>
      <c r="J1546" s="42" t="n">
        <f aca="false">DATE(YEAR(B1546),MONTH(B1546),1)</f>
        <v>45870</v>
      </c>
      <c r="K1546" s="41" t="n">
        <f aca="false">D1546*E1546</f>
        <v>255.06</v>
      </c>
      <c r="L1546" s="41" t="n">
        <f aca="false">D1546*I1546</f>
        <v>102</v>
      </c>
      <c r="M1546" s="41" t="n">
        <f aca="false">IFERROR(INDEX(Raw_Expenses!$C$5:$C$2979,MATCH(A1546,Raw_Expenses!$A$5:$A$2979,0)),0)</f>
        <v>14.43</v>
      </c>
      <c r="N1546" s="41" t="n">
        <f aca="false">L1546+M1546</f>
        <v>116.43</v>
      </c>
      <c r="O1546" s="41" t="n">
        <f aca="false">K1546-N1546</f>
        <v>138.63</v>
      </c>
      <c r="P1546" s="43" t="n">
        <f aca="false">IF(K1546=0,0,O1546/K1546)</f>
        <v>0.543519171959539</v>
      </c>
    </row>
    <row r="1547" customFormat="false" ht="15" hidden="false" customHeight="false" outlineLevel="0" collapsed="false">
      <c r="A1547" s="39" t="s">
        <v>1669</v>
      </c>
      <c r="B1547" s="40" t="n">
        <v>45878</v>
      </c>
      <c r="C1547" s="39" t="s">
        <v>162</v>
      </c>
      <c r="D1547" s="39" t="n">
        <v>5</v>
      </c>
      <c r="E1547" s="41" t="n">
        <v>63.48</v>
      </c>
      <c r="F1547" s="39" t="s">
        <v>105</v>
      </c>
      <c r="G1547" s="39" t="str">
        <f aca="false">VLOOKUP(C1547,Products!$A$5:$D$24,2,FALSE())</f>
        <v>Bluetooth Speaker</v>
      </c>
      <c r="H1547" s="39" t="str">
        <f aca="false">VLOOKUP(C1547,Products!$A$5:$D$24,3,FALSE())</f>
        <v>Electronics</v>
      </c>
      <c r="I1547" s="41" t="n">
        <f aca="false">VLOOKUP(C1547,Products!$A$5:$D$24,4,FALSE())</f>
        <v>28</v>
      </c>
      <c r="J1547" s="42" t="n">
        <f aca="false">DATE(YEAR(B1547),MONTH(B1547),1)</f>
        <v>45870</v>
      </c>
      <c r="K1547" s="41" t="n">
        <f aca="false">D1547*E1547</f>
        <v>317.4</v>
      </c>
      <c r="L1547" s="41" t="n">
        <f aca="false">D1547*I1547</f>
        <v>140</v>
      </c>
      <c r="M1547" s="41" t="n">
        <f aca="false">IFERROR(INDEX(Raw_Expenses!$C$5:$C$2979,MATCH(A1547,Raw_Expenses!$A$5:$A$2979,0)),0)</f>
        <v>20.76</v>
      </c>
      <c r="N1547" s="41" t="n">
        <f aca="false">L1547+M1547</f>
        <v>160.76</v>
      </c>
      <c r="O1547" s="41" t="n">
        <f aca="false">K1547-N1547</f>
        <v>156.64</v>
      </c>
      <c r="P1547" s="43" t="n">
        <f aca="false">IF(K1547=0,0,O1547/K1547)</f>
        <v>0.493509766855703</v>
      </c>
    </row>
    <row r="1548" customFormat="false" ht="15" hidden="false" customHeight="false" outlineLevel="0" collapsed="false">
      <c r="A1548" s="39" t="s">
        <v>1670</v>
      </c>
      <c r="B1548" s="40" t="n">
        <v>45878</v>
      </c>
      <c r="C1548" s="39" t="s">
        <v>130</v>
      </c>
      <c r="D1548" s="39" t="n">
        <v>1</v>
      </c>
      <c r="E1548" s="41" t="n">
        <v>8.83</v>
      </c>
      <c r="F1548" s="39" t="s">
        <v>115</v>
      </c>
      <c r="G1548" s="39" t="str">
        <f aca="false">VLOOKUP(C1548,Products!$A$5:$D$24,2,FALSE())</f>
        <v>Notebook Set</v>
      </c>
      <c r="H1548" s="39" t="str">
        <f aca="false">VLOOKUP(C1548,Products!$A$5:$D$24,3,FALSE())</f>
        <v>Stationery</v>
      </c>
      <c r="I1548" s="41" t="n">
        <f aca="false">VLOOKUP(C1548,Products!$A$5:$D$24,4,FALSE())</f>
        <v>3</v>
      </c>
      <c r="J1548" s="42" t="n">
        <f aca="false">DATE(YEAR(B1548),MONTH(B1548),1)</f>
        <v>45870</v>
      </c>
      <c r="K1548" s="41" t="n">
        <f aca="false">D1548*E1548</f>
        <v>8.83</v>
      </c>
      <c r="L1548" s="41" t="n">
        <f aca="false">D1548*I1548</f>
        <v>3</v>
      </c>
      <c r="M1548" s="41" t="n">
        <f aca="false">IFERROR(INDEX(Raw_Expenses!$C$5:$C$2979,MATCH(A1548,Raw_Expenses!$A$5:$A$2979,0)),0)</f>
        <v>0.74</v>
      </c>
      <c r="N1548" s="41" t="n">
        <f aca="false">L1548+M1548</f>
        <v>3.74</v>
      </c>
      <c r="O1548" s="41" t="n">
        <f aca="false">K1548-N1548</f>
        <v>5.09</v>
      </c>
      <c r="P1548" s="43" t="n">
        <f aca="false">IF(K1548=0,0,O1548/K1548)</f>
        <v>0.576443941109853</v>
      </c>
    </row>
    <row r="1549" customFormat="false" ht="15" hidden="false" customHeight="false" outlineLevel="0" collapsed="false">
      <c r="A1549" s="39" t="s">
        <v>1671</v>
      </c>
      <c r="B1549" s="40" t="n">
        <v>45878</v>
      </c>
      <c r="C1549" s="39" t="s">
        <v>126</v>
      </c>
      <c r="D1549" s="39" t="n">
        <v>1</v>
      </c>
      <c r="E1549" s="41" t="n">
        <v>23.53</v>
      </c>
      <c r="F1549" s="39" t="s">
        <v>118</v>
      </c>
      <c r="G1549" s="39" t="str">
        <f aca="false">VLOOKUP(C1549,Products!$A$5:$D$24,2,FALSE())</f>
        <v>Wireless Mouse</v>
      </c>
      <c r="H1549" s="39" t="str">
        <f aca="false">VLOOKUP(C1549,Products!$A$5:$D$24,3,FALSE())</f>
        <v>Electronics</v>
      </c>
      <c r="I1549" s="41" t="n">
        <f aca="false">VLOOKUP(C1549,Products!$A$5:$D$24,4,FALSE())</f>
        <v>12</v>
      </c>
      <c r="J1549" s="42" t="n">
        <f aca="false">DATE(YEAR(B1549),MONTH(B1549),1)</f>
        <v>45870</v>
      </c>
      <c r="K1549" s="41" t="n">
        <f aca="false">D1549*E1549</f>
        <v>23.53</v>
      </c>
      <c r="L1549" s="41" t="n">
        <f aca="false">D1549*I1549</f>
        <v>12</v>
      </c>
      <c r="M1549" s="41" t="n">
        <f aca="false">IFERROR(INDEX(Raw_Expenses!$C$5:$C$2979,MATCH(A1549,Raw_Expenses!$A$5:$A$2979,0)),0)</f>
        <v>1.21</v>
      </c>
      <c r="N1549" s="41" t="n">
        <f aca="false">L1549+M1549</f>
        <v>13.21</v>
      </c>
      <c r="O1549" s="41" t="n">
        <f aca="false">K1549-N1549</f>
        <v>10.32</v>
      </c>
      <c r="P1549" s="43" t="n">
        <f aca="false">IF(K1549=0,0,O1549/K1549)</f>
        <v>0.438589035274118</v>
      </c>
    </row>
    <row r="1550" customFormat="false" ht="15" hidden="false" customHeight="false" outlineLevel="0" collapsed="false">
      <c r="A1550" s="39" t="s">
        <v>1672</v>
      </c>
      <c r="B1550" s="40" t="n">
        <v>45878</v>
      </c>
      <c r="C1550" s="39" t="s">
        <v>110</v>
      </c>
      <c r="D1550" s="39" t="n">
        <v>2</v>
      </c>
      <c r="E1550" s="41" t="n">
        <v>13.25</v>
      </c>
      <c r="F1550" s="39" t="s">
        <v>115</v>
      </c>
      <c r="G1550" s="39" t="str">
        <f aca="false">VLOOKUP(C1550,Products!$A$5:$D$24,2,FALSE())</f>
        <v>Phone Stand</v>
      </c>
      <c r="H1550" s="39" t="str">
        <f aca="false">VLOOKUP(C1550,Products!$A$5:$D$24,3,FALSE())</f>
        <v>Accessories</v>
      </c>
      <c r="I1550" s="41" t="n">
        <f aca="false">VLOOKUP(C1550,Products!$A$5:$D$24,4,FALSE())</f>
        <v>4</v>
      </c>
      <c r="J1550" s="42" t="n">
        <f aca="false">DATE(YEAR(B1550),MONTH(B1550),1)</f>
        <v>45870</v>
      </c>
      <c r="K1550" s="41" t="n">
        <f aca="false">D1550*E1550</f>
        <v>26.5</v>
      </c>
      <c r="L1550" s="41" t="n">
        <f aca="false">D1550*I1550</f>
        <v>8</v>
      </c>
      <c r="M1550" s="41" t="n">
        <f aca="false">IFERROR(INDEX(Raw_Expenses!$C$5:$C$2979,MATCH(A1550,Raw_Expenses!$A$5:$A$2979,0)),0)</f>
        <v>2.06</v>
      </c>
      <c r="N1550" s="41" t="n">
        <f aca="false">L1550+M1550</f>
        <v>10.06</v>
      </c>
      <c r="O1550" s="41" t="n">
        <f aca="false">K1550-N1550</f>
        <v>16.44</v>
      </c>
      <c r="P1550" s="43" t="n">
        <f aca="false">IF(K1550=0,0,O1550/K1550)</f>
        <v>0.620377358490566</v>
      </c>
    </row>
    <row r="1551" customFormat="false" ht="15" hidden="false" customHeight="false" outlineLevel="0" collapsed="false">
      <c r="A1551" s="39" t="s">
        <v>1673</v>
      </c>
      <c r="B1551" s="40" t="n">
        <v>45878</v>
      </c>
      <c r="C1551" s="39" t="s">
        <v>107</v>
      </c>
      <c r="D1551" s="39" t="n">
        <v>4</v>
      </c>
      <c r="E1551" s="41" t="n">
        <v>32.49</v>
      </c>
      <c r="F1551" s="39" t="s">
        <v>115</v>
      </c>
      <c r="G1551" s="39" t="str">
        <f aca="false">VLOOKUP(C1551,Products!$A$5:$D$24,2,FALSE())</f>
        <v>USB-C Hub</v>
      </c>
      <c r="H1551" s="39" t="str">
        <f aca="false">VLOOKUP(C1551,Products!$A$5:$D$24,3,FALSE())</f>
        <v>Electronics</v>
      </c>
      <c r="I1551" s="41" t="n">
        <f aca="false">VLOOKUP(C1551,Products!$A$5:$D$24,4,FALSE())</f>
        <v>14</v>
      </c>
      <c r="J1551" s="42" t="n">
        <f aca="false">DATE(YEAR(B1551),MONTH(B1551),1)</f>
        <v>45870</v>
      </c>
      <c r="K1551" s="41" t="n">
        <f aca="false">D1551*E1551</f>
        <v>129.96</v>
      </c>
      <c r="L1551" s="41" t="n">
        <f aca="false">D1551*I1551</f>
        <v>56</v>
      </c>
      <c r="M1551" s="41" t="n">
        <f aca="false">IFERROR(INDEX(Raw_Expenses!$C$5:$C$2979,MATCH(A1551,Raw_Expenses!$A$5:$A$2979,0)),0)</f>
        <v>9.7</v>
      </c>
      <c r="N1551" s="41" t="n">
        <f aca="false">L1551+M1551</f>
        <v>65.7</v>
      </c>
      <c r="O1551" s="41" t="n">
        <f aca="false">K1551-N1551</f>
        <v>64.26</v>
      </c>
      <c r="P1551" s="43" t="n">
        <f aca="false">IF(K1551=0,0,O1551/K1551)</f>
        <v>0.494459833795014</v>
      </c>
    </row>
    <row r="1552" customFormat="false" ht="15" hidden="false" customHeight="false" outlineLevel="0" collapsed="false">
      <c r="A1552" s="39" t="s">
        <v>1674</v>
      </c>
      <c r="B1552" s="40" t="n">
        <v>45878</v>
      </c>
      <c r="C1552" s="39" t="s">
        <v>144</v>
      </c>
      <c r="D1552" s="39" t="n">
        <v>2</v>
      </c>
      <c r="E1552" s="41" t="n">
        <v>56.2</v>
      </c>
      <c r="F1552" s="39" t="s">
        <v>118</v>
      </c>
      <c r="G1552" s="39" t="str">
        <f aca="false">VLOOKUP(C1552,Products!$A$5:$D$24,2,FALSE())</f>
        <v>Whiteboard</v>
      </c>
      <c r="H1552" s="39" t="str">
        <f aca="false">VLOOKUP(C1552,Products!$A$5:$D$24,3,FALSE())</f>
        <v>Furniture</v>
      </c>
      <c r="I1552" s="41" t="n">
        <f aca="false">VLOOKUP(C1552,Products!$A$5:$D$24,4,FALSE())</f>
        <v>28</v>
      </c>
      <c r="J1552" s="42" t="n">
        <f aca="false">DATE(YEAR(B1552),MONTH(B1552),1)</f>
        <v>45870</v>
      </c>
      <c r="K1552" s="41" t="n">
        <f aca="false">D1552*E1552</f>
        <v>112.4</v>
      </c>
      <c r="L1552" s="41" t="n">
        <f aca="false">D1552*I1552</f>
        <v>56</v>
      </c>
      <c r="M1552" s="41" t="n">
        <f aca="false">IFERROR(INDEX(Raw_Expenses!$C$5:$C$2979,MATCH(A1552,Raw_Expenses!$A$5:$A$2979,0)),0)</f>
        <v>5.17</v>
      </c>
      <c r="N1552" s="41" t="n">
        <f aca="false">L1552+M1552</f>
        <v>61.17</v>
      </c>
      <c r="O1552" s="41" t="n">
        <f aca="false">K1552-N1552</f>
        <v>51.23</v>
      </c>
      <c r="P1552" s="43" t="n">
        <f aca="false">IF(K1552=0,0,O1552/K1552)</f>
        <v>0.455782918149466</v>
      </c>
    </row>
    <row r="1553" customFormat="false" ht="15" hidden="false" customHeight="false" outlineLevel="0" collapsed="false">
      <c r="A1553" s="39" t="s">
        <v>1675</v>
      </c>
      <c r="B1553" s="40" t="n">
        <v>45879</v>
      </c>
      <c r="C1553" s="39" t="s">
        <v>104</v>
      </c>
      <c r="D1553" s="39" t="n">
        <v>1</v>
      </c>
      <c r="E1553" s="41" t="n">
        <v>15.82</v>
      </c>
      <c r="F1553" s="39" t="s">
        <v>115</v>
      </c>
      <c r="G1553" s="39" t="str">
        <f aca="false">VLOOKUP(C1553,Products!$A$5:$D$24,2,FALSE())</f>
        <v>Water Bottle</v>
      </c>
      <c r="H1553" s="39" t="str">
        <f aca="false">VLOOKUP(C1553,Products!$A$5:$D$24,3,FALSE())</f>
        <v>Accessories</v>
      </c>
      <c r="I1553" s="41" t="n">
        <f aca="false">VLOOKUP(C1553,Products!$A$5:$D$24,4,FALSE())</f>
        <v>5</v>
      </c>
      <c r="J1553" s="42" t="n">
        <f aca="false">DATE(YEAR(B1553),MONTH(B1553),1)</f>
        <v>45870</v>
      </c>
      <c r="K1553" s="41" t="n">
        <f aca="false">D1553*E1553</f>
        <v>15.82</v>
      </c>
      <c r="L1553" s="41" t="n">
        <f aca="false">D1553*I1553</f>
        <v>5</v>
      </c>
      <c r="M1553" s="41" t="n">
        <f aca="false">IFERROR(INDEX(Raw_Expenses!$C$5:$C$2979,MATCH(A1553,Raw_Expenses!$A$5:$A$2979,0)),0)</f>
        <v>1.29</v>
      </c>
      <c r="N1553" s="41" t="n">
        <f aca="false">L1553+M1553</f>
        <v>6.29</v>
      </c>
      <c r="O1553" s="41" t="n">
        <f aca="false">K1553-N1553</f>
        <v>9.53</v>
      </c>
      <c r="P1553" s="43" t="n">
        <f aca="false">IF(K1553=0,0,O1553/K1553)</f>
        <v>0.602402022756005</v>
      </c>
    </row>
    <row r="1554" customFormat="false" ht="15" hidden="false" customHeight="false" outlineLevel="0" collapsed="false">
      <c r="A1554" s="39" t="s">
        <v>1676</v>
      </c>
      <c r="B1554" s="40" t="n">
        <v>45879</v>
      </c>
      <c r="C1554" s="39" t="s">
        <v>128</v>
      </c>
      <c r="D1554" s="39" t="n">
        <v>1</v>
      </c>
      <c r="E1554" s="41" t="n">
        <v>36.49</v>
      </c>
      <c r="F1554" s="39" t="s">
        <v>118</v>
      </c>
      <c r="G1554" s="39" t="str">
        <f aca="false">VLOOKUP(C1554,Products!$A$5:$D$24,2,FALSE())</f>
        <v>Ergonomic Footrest</v>
      </c>
      <c r="H1554" s="39" t="str">
        <f aca="false">VLOOKUP(C1554,Products!$A$5:$D$24,3,FALSE())</f>
        <v>Furniture</v>
      </c>
      <c r="I1554" s="41" t="n">
        <f aca="false">VLOOKUP(C1554,Products!$A$5:$D$24,4,FALSE())</f>
        <v>15</v>
      </c>
      <c r="J1554" s="42" t="n">
        <f aca="false">DATE(YEAR(B1554),MONTH(B1554),1)</f>
        <v>45870</v>
      </c>
      <c r="K1554" s="41" t="n">
        <f aca="false">D1554*E1554</f>
        <v>36.49</v>
      </c>
      <c r="L1554" s="41" t="n">
        <f aca="false">D1554*I1554</f>
        <v>15</v>
      </c>
      <c r="M1554" s="41" t="n">
        <f aca="false">IFERROR(INDEX(Raw_Expenses!$C$5:$C$2979,MATCH(A1554,Raw_Expenses!$A$5:$A$2979,0)),0)</f>
        <v>2.4</v>
      </c>
      <c r="N1554" s="41" t="n">
        <f aca="false">L1554+M1554</f>
        <v>17.4</v>
      </c>
      <c r="O1554" s="41" t="n">
        <f aca="false">K1554-N1554</f>
        <v>19.09</v>
      </c>
      <c r="P1554" s="43" t="n">
        <f aca="false">IF(K1554=0,0,O1554/K1554)</f>
        <v>0.523157029323102</v>
      </c>
    </row>
    <row r="1555" customFormat="false" ht="15" hidden="false" customHeight="false" outlineLevel="0" collapsed="false">
      <c r="A1555" s="39" t="s">
        <v>1677</v>
      </c>
      <c r="B1555" s="40" t="n">
        <v>45879</v>
      </c>
      <c r="C1555" s="39" t="s">
        <v>110</v>
      </c>
      <c r="D1555" s="39" t="n">
        <v>1</v>
      </c>
      <c r="E1555" s="41" t="n">
        <v>13.44</v>
      </c>
      <c r="F1555" s="39" t="s">
        <v>105</v>
      </c>
      <c r="G1555" s="39" t="str">
        <f aca="false">VLOOKUP(C1555,Products!$A$5:$D$24,2,FALSE())</f>
        <v>Phone Stand</v>
      </c>
      <c r="H1555" s="39" t="str">
        <f aca="false">VLOOKUP(C1555,Products!$A$5:$D$24,3,FALSE())</f>
        <v>Accessories</v>
      </c>
      <c r="I1555" s="41" t="n">
        <f aca="false">VLOOKUP(C1555,Products!$A$5:$D$24,4,FALSE())</f>
        <v>4</v>
      </c>
      <c r="J1555" s="42" t="n">
        <f aca="false">DATE(YEAR(B1555),MONTH(B1555),1)</f>
        <v>45870</v>
      </c>
      <c r="K1555" s="41" t="n">
        <f aca="false">D1555*E1555</f>
        <v>13.44</v>
      </c>
      <c r="L1555" s="41" t="n">
        <f aca="false">D1555*I1555</f>
        <v>4</v>
      </c>
      <c r="M1555" s="41" t="n">
        <f aca="false">IFERROR(INDEX(Raw_Expenses!$C$5:$C$2979,MATCH(A1555,Raw_Expenses!$A$5:$A$2979,0)),0)</f>
        <v>0.94</v>
      </c>
      <c r="N1555" s="41" t="n">
        <f aca="false">L1555+M1555</f>
        <v>4.94</v>
      </c>
      <c r="O1555" s="41" t="n">
        <f aca="false">K1555-N1555</f>
        <v>8.5</v>
      </c>
      <c r="P1555" s="43" t="n">
        <f aca="false">IF(K1555=0,0,O1555/K1555)</f>
        <v>0.632440476190476</v>
      </c>
    </row>
    <row r="1556" customFormat="false" ht="15" hidden="false" customHeight="false" outlineLevel="0" collapsed="false">
      <c r="A1556" s="39" t="s">
        <v>1678</v>
      </c>
      <c r="B1556" s="40" t="n">
        <v>45879</v>
      </c>
      <c r="C1556" s="39" t="s">
        <v>136</v>
      </c>
      <c r="D1556" s="39" t="n">
        <v>5</v>
      </c>
      <c r="E1556" s="41" t="n">
        <v>75.42</v>
      </c>
      <c r="F1556" s="39" t="s">
        <v>108</v>
      </c>
      <c r="G1556" s="39" t="str">
        <f aca="false">VLOOKUP(C1556,Products!$A$5:$D$24,2,FALSE())</f>
        <v>Mechanical Keyboard</v>
      </c>
      <c r="H1556" s="39" t="str">
        <f aca="false">VLOOKUP(C1556,Products!$A$5:$D$24,3,FALSE())</f>
        <v>Electronics</v>
      </c>
      <c r="I1556" s="41" t="n">
        <f aca="false">VLOOKUP(C1556,Products!$A$5:$D$24,4,FALSE())</f>
        <v>38</v>
      </c>
      <c r="J1556" s="42" t="n">
        <f aca="false">DATE(YEAR(B1556),MONTH(B1556),1)</f>
        <v>45870</v>
      </c>
      <c r="K1556" s="41" t="n">
        <f aca="false">D1556*E1556</f>
        <v>377.1</v>
      </c>
      <c r="L1556" s="41" t="n">
        <f aca="false">D1556*I1556</f>
        <v>190</v>
      </c>
      <c r="M1556" s="41" t="n">
        <f aca="false">IFERROR(INDEX(Raw_Expenses!$C$5:$C$2979,MATCH(A1556,Raw_Expenses!$A$5:$A$2979,0)),0)</f>
        <v>22.27</v>
      </c>
      <c r="N1556" s="41" t="n">
        <f aca="false">L1556+M1556</f>
        <v>212.27</v>
      </c>
      <c r="O1556" s="41" t="n">
        <f aca="false">K1556-N1556</f>
        <v>164.83</v>
      </c>
      <c r="P1556" s="43" t="n">
        <f aca="false">IF(K1556=0,0,O1556/K1556)</f>
        <v>0.437098912755237</v>
      </c>
    </row>
    <row r="1557" customFormat="false" ht="15" hidden="false" customHeight="false" outlineLevel="0" collapsed="false">
      <c r="A1557" s="39" t="s">
        <v>1679</v>
      </c>
      <c r="B1557" s="40" t="n">
        <v>45879</v>
      </c>
      <c r="C1557" s="39" t="s">
        <v>130</v>
      </c>
      <c r="D1557" s="39" t="n">
        <v>4</v>
      </c>
      <c r="E1557" s="41" t="n">
        <v>8.49</v>
      </c>
      <c r="F1557" s="39" t="s">
        <v>105</v>
      </c>
      <c r="G1557" s="39" t="str">
        <f aca="false">VLOOKUP(C1557,Products!$A$5:$D$24,2,FALSE())</f>
        <v>Notebook Set</v>
      </c>
      <c r="H1557" s="39" t="str">
        <f aca="false">VLOOKUP(C1557,Products!$A$5:$D$24,3,FALSE())</f>
        <v>Stationery</v>
      </c>
      <c r="I1557" s="41" t="n">
        <f aca="false">VLOOKUP(C1557,Products!$A$5:$D$24,4,FALSE())</f>
        <v>3</v>
      </c>
      <c r="J1557" s="42" t="n">
        <f aca="false">DATE(YEAR(B1557),MONTH(B1557),1)</f>
        <v>45870</v>
      </c>
      <c r="K1557" s="41" t="n">
        <f aca="false">D1557*E1557</f>
        <v>33.96</v>
      </c>
      <c r="L1557" s="41" t="n">
        <f aca="false">D1557*I1557</f>
        <v>12</v>
      </c>
      <c r="M1557" s="41" t="n">
        <f aca="false">IFERROR(INDEX(Raw_Expenses!$C$5:$C$2979,MATCH(A1557,Raw_Expenses!$A$5:$A$2979,0)),0)</f>
        <v>1.97</v>
      </c>
      <c r="N1557" s="41" t="n">
        <f aca="false">L1557+M1557</f>
        <v>13.97</v>
      </c>
      <c r="O1557" s="41" t="n">
        <f aca="false">K1557-N1557</f>
        <v>19.99</v>
      </c>
      <c r="P1557" s="43" t="n">
        <f aca="false">IF(K1557=0,0,O1557/K1557)</f>
        <v>0.588633686690224</v>
      </c>
    </row>
    <row r="1558" customFormat="false" ht="15" hidden="false" customHeight="false" outlineLevel="0" collapsed="false">
      <c r="A1558" s="39" t="s">
        <v>1680</v>
      </c>
      <c r="B1558" s="40" t="n">
        <v>45879</v>
      </c>
      <c r="C1558" s="39" t="s">
        <v>126</v>
      </c>
      <c r="D1558" s="39" t="n">
        <v>1</v>
      </c>
      <c r="E1558" s="41" t="n">
        <v>24.03</v>
      </c>
      <c r="F1558" s="39" t="s">
        <v>118</v>
      </c>
      <c r="G1558" s="39" t="str">
        <f aca="false">VLOOKUP(C1558,Products!$A$5:$D$24,2,FALSE())</f>
        <v>Wireless Mouse</v>
      </c>
      <c r="H1558" s="39" t="str">
        <f aca="false">VLOOKUP(C1558,Products!$A$5:$D$24,3,FALSE())</f>
        <v>Electronics</v>
      </c>
      <c r="I1558" s="41" t="n">
        <f aca="false">VLOOKUP(C1558,Products!$A$5:$D$24,4,FALSE())</f>
        <v>12</v>
      </c>
      <c r="J1558" s="42" t="n">
        <f aca="false">DATE(YEAR(B1558),MONTH(B1558),1)</f>
        <v>45870</v>
      </c>
      <c r="K1558" s="41" t="n">
        <f aca="false">D1558*E1558</f>
        <v>24.03</v>
      </c>
      <c r="L1558" s="41" t="n">
        <f aca="false">D1558*I1558</f>
        <v>12</v>
      </c>
      <c r="M1558" s="41" t="n">
        <f aca="false">IFERROR(INDEX(Raw_Expenses!$C$5:$C$2979,MATCH(A1558,Raw_Expenses!$A$5:$A$2979,0)),0)</f>
        <v>1.89</v>
      </c>
      <c r="N1558" s="41" t="n">
        <f aca="false">L1558+M1558</f>
        <v>13.89</v>
      </c>
      <c r="O1558" s="41" t="n">
        <f aca="false">K1558-N1558</f>
        <v>10.14</v>
      </c>
      <c r="P1558" s="43" t="n">
        <f aca="false">IF(K1558=0,0,O1558/K1558)</f>
        <v>0.421972534332085</v>
      </c>
    </row>
    <row r="1559" customFormat="false" ht="15" hidden="false" customHeight="false" outlineLevel="0" collapsed="false">
      <c r="A1559" s="39" t="s">
        <v>1681</v>
      </c>
      <c r="B1559" s="40" t="n">
        <v>45879</v>
      </c>
      <c r="C1559" s="39" t="s">
        <v>139</v>
      </c>
      <c r="D1559" s="39" t="n">
        <v>2</v>
      </c>
      <c r="E1559" s="41" t="n">
        <v>126.74</v>
      </c>
      <c r="F1559" s="39" t="s">
        <v>108</v>
      </c>
      <c r="G1559" s="39" t="str">
        <f aca="false">VLOOKUP(C1559,Products!$A$5:$D$24,2,FALSE())</f>
        <v>Noise-Cancelling Headphones</v>
      </c>
      <c r="H1559" s="39" t="str">
        <f aca="false">VLOOKUP(C1559,Products!$A$5:$D$24,3,FALSE())</f>
        <v>Electronics</v>
      </c>
      <c r="I1559" s="41" t="n">
        <f aca="false">VLOOKUP(C1559,Products!$A$5:$D$24,4,FALSE())</f>
        <v>55</v>
      </c>
      <c r="J1559" s="42" t="n">
        <f aca="false">DATE(YEAR(B1559),MONTH(B1559),1)</f>
        <v>45870</v>
      </c>
      <c r="K1559" s="41" t="n">
        <f aca="false">D1559*E1559</f>
        <v>253.48</v>
      </c>
      <c r="L1559" s="41" t="n">
        <f aca="false">D1559*I1559</f>
        <v>110</v>
      </c>
      <c r="M1559" s="41" t="n">
        <f aca="false">IFERROR(INDEX(Raw_Expenses!$C$5:$C$2979,MATCH(A1559,Raw_Expenses!$A$5:$A$2979,0)),0)</f>
        <v>18.55</v>
      </c>
      <c r="N1559" s="41" t="n">
        <f aca="false">L1559+M1559</f>
        <v>128.55</v>
      </c>
      <c r="O1559" s="41" t="n">
        <f aca="false">K1559-N1559</f>
        <v>124.93</v>
      </c>
      <c r="P1559" s="43" t="n">
        <f aca="false">IF(K1559=0,0,O1559/K1559)</f>
        <v>0.4928593971911</v>
      </c>
    </row>
    <row r="1560" customFormat="false" ht="15" hidden="false" customHeight="false" outlineLevel="0" collapsed="false">
      <c r="A1560" s="39" t="s">
        <v>1682</v>
      </c>
      <c r="B1560" s="40" t="n">
        <v>45879</v>
      </c>
      <c r="C1560" s="39" t="s">
        <v>121</v>
      </c>
      <c r="D1560" s="39" t="n">
        <v>3</v>
      </c>
      <c r="E1560" s="41" t="n">
        <v>114.1</v>
      </c>
      <c r="F1560" s="39" t="s">
        <v>108</v>
      </c>
      <c r="G1560" s="39" t="str">
        <f aca="false">VLOOKUP(C1560,Products!$A$5:$D$24,2,FALSE())</f>
        <v>External SSD 1TB</v>
      </c>
      <c r="H1560" s="39" t="str">
        <f aca="false">VLOOKUP(C1560,Products!$A$5:$D$24,3,FALSE())</f>
        <v>Electronics</v>
      </c>
      <c r="I1560" s="41" t="n">
        <f aca="false">VLOOKUP(C1560,Products!$A$5:$D$24,4,FALSE())</f>
        <v>62</v>
      </c>
      <c r="J1560" s="42" t="n">
        <f aca="false">DATE(YEAR(B1560),MONTH(B1560),1)</f>
        <v>45870</v>
      </c>
      <c r="K1560" s="41" t="n">
        <f aca="false">D1560*E1560</f>
        <v>342.3</v>
      </c>
      <c r="L1560" s="41" t="n">
        <f aca="false">D1560*I1560</f>
        <v>186</v>
      </c>
      <c r="M1560" s="41" t="n">
        <f aca="false">IFERROR(INDEX(Raw_Expenses!$C$5:$C$2979,MATCH(A1560,Raw_Expenses!$A$5:$A$2979,0)),0)</f>
        <v>14.1</v>
      </c>
      <c r="N1560" s="41" t="n">
        <f aca="false">L1560+M1560</f>
        <v>200.1</v>
      </c>
      <c r="O1560" s="41" t="n">
        <f aca="false">K1560-N1560</f>
        <v>142.2</v>
      </c>
      <c r="P1560" s="43" t="n">
        <f aca="false">IF(K1560=0,0,O1560/K1560)</f>
        <v>0.415425065731814</v>
      </c>
    </row>
    <row r="1561" customFormat="false" ht="15" hidden="false" customHeight="false" outlineLevel="0" collapsed="false">
      <c r="A1561" s="39" t="s">
        <v>1683</v>
      </c>
      <c r="B1561" s="40" t="n">
        <v>45879</v>
      </c>
      <c r="C1561" s="39" t="s">
        <v>114</v>
      </c>
      <c r="D1561" s="39" t="n">
        <v>1</v>
      </c>
      <c r="E1561" s="41" t="n">
        <v>5.8</v>
      </c>
      <c r="F1561" s="39" t="s">
        <v>108</v>
      </c>
      <c r="G1561" s="39" t="str">
        <f aca="false">VLOOKUP(C1561,Products!$A$5:$D$24,2,FALSE())</f>
        <v>Gel Pen Pack</v>
      </c>
      <c r="H1561" s="39" t="str">
        <f aca="false">VLOOKUP(C1561,Products!$A$5:$D$24,3,FALSE())</f>
        <v>Stationery</v>
      </c>
      <c r="I1561" s="41" t="n">
        <f aca="false">VLOOKUP(C1561,Products!$A$5:$D$24,4,FALSE())</f>
        <v>2</v>
      </c>
      <c r="J1561" s="42" t="n">
        <f aca="false">DATE(YEAR(B1561),MONTH(B1561),1)</f>
        <v>45870</v>
      </c>
      <c r="K1561" s="41" t="n">
        <f aca="false">D1561*E1561</f>
        <v>5.8</v>
      </c>
      <c r="L1561" s="41" t="n">
        <f aca="false">D1561*I1561</f>
        <v>2</v>
      </c>
      <c r="M1561" s="41" t="n">
        <f aca="false">IFERROR(INDEX(Raw_Expenses!$C$5:$C$2979,MATCH(A1561,Raw_Expenses!$A$5:$A$2979,0)),0)</f>
        <v>0.34</v>
      </c>
      <c r="N1561" s="41" t="n">
        <f aca="false">L1561+M1561</f>
        <v>2.34</v>
      </c>
      <c r="O1561" s="41" t="n">
        <f aca="false">K1561-N1561</f>
        <v>3.46</v>
      </c>
      <c r="P1561" s="43" t="n">
        <f aca="false">IF(K1561=0,0,O1561/K1561)</f>
        <v>0.596551724137931</v>
      </c>
    </row>
    <row r="1562" customFormat="false" ht="15" hidden="false" customHeight="false" outlineLevel="0" collapsed="false">
      <c r="A1562" s="39" t="s">
        <v>1684</v>
      </c>
      <c r="B1562" s="40" t="n">
        <v>45879</v>
      </c>
      <c r="C1562" s="39" t="s">
        <v>169</v>
      </c>
      <c r="D1562" s="39" t="n">
        <v>2</v>
      </c>
      <c r="E1562" s="41" t="n">
        <v>28.89</v>
      </c>
      <c r="F1562" s="39" t="s">
        <v>115</v>
      </c>
      <c r="G1562" s="39" t="str">
        <f aca="false">VLOOKUP(C1562,Products!$A$5:$D$24,2,FALSE())</f>
        <v>Laptop Stand</v>
      </c>
      <c r="H1562" s="39" t="str">
        <f aca="false">VLOOKUP(C1562,Products!$A$5:$D$24,3,FALSE())</f>
        <v>Accessories</v>
      </c>
      <c r="I1562" s="41" t="n">
        <f aca="false">VLOOKUP(C1562,Products!$A$5:$D$24,4,FALSE())</f>
        <v>11</v>
      </c>
      <c r="J1562" s="42" t="n">
        <f aca="false">DATE(YEAR(B1562),MONTH(B1562),1)</f>
        <v>45870</v>
      </c>
      <c r="K1562" s="41" t="n">
        <f aca="false">D1562*E1562</f>
        <v>57.78</v>
      </c>
      <c r="L1562" s="41" t="n">
        <f aca="false">D1562*I1562</f>
        <v>22</v>
      </c>
      <c r="M1562" s="41" t="n">
        <f aca="false">IFERROR(INDEX(Raw_Expenses!$C$5:$C$2979,MATCH(A1562,Raw_Expenses!$A$5:$A$2979,0)),0)</f>
        <v>3.51</v>
      </c>
      <c r="N1562" s="41" t="n">
        <f aca="false">L1562+M1562</f>
        <v>25.51</v>
      </c>
      <c r="O1562" s="41" t="n">
        <f aca="false">K1562-N1562</f>
        <v>32.27</v>
      </c>
      <c r="P1562" s="43" t="n">
        <f aca="false">IF(K1562=0,0,O1562/K1562)</f>
        <v>0.558497750086535</v>
      </c>
    </row>
    <row r="1563" customFormat="false" ht="15" hidden="false" customHeight="false" outlineLevel="0" collapsed="false">
      <c r="A1563" s="39" t="s">
        <v>1685</v>
      </c>
      <c r="B1563" s="40" t="n">
        <v>45879</v>
      </c>
      <c r="C1563" s="39" t="s">
        <v>177</v>
      </c>
      <c r="D1563" s="39" t="n">
        <v>2</v>
      </c>
      <c r="E1563" s="41" t="n">
        <v>43.69</v>
      </c>
      <c r="F1563" s="39" t="s">
        <v>108</v>
      </c>
      <c r="G1563" s="39" t="str">
        <f aca="false">VLOOKUP(C1563,Products!$A$5:$D$24,2,FALSE())</f>
        <v>Backpack</v>
      </c>
      <c r="H1563" s="39" t="str">
        <f aca="false">VLOOKUP(C1563,Products!$A$5:$D$24,3,FALSE())</f>
        <v>Accessories</v>
      </c>
      <c r="I1563" s="41" t="n">
        <f aca="false">VLOOKUP(C1563,Products!$A$5:$D$24,4,FALSE())</f>
        <v>17</v>
      </c>
      <c r="J1563" s="42" t="n">
        <f aca="false">DATE(YEAR(B1563),MONTH(B1563),1)</f>
        <v>45870</v>
      </c>
      <c r="K1563" s="41" t="n">
        <f aca="false">D1563*E1563</f>
        <v>87.38</v>
      </c>
      <c r="L1563" s="41" t="n">
        <f aca="false">D1563*I1563</f>
        <v>34</v>
      </c>
      <c r="M1563" s="41" t="n">
        <f aca="false">IFERROR(INDEX(Raw_Expenses!$C$5:$C$2979,MATCH(A1563,Raw_Expenses!$A$5:$A$2979,0)),0)</f>
        <v>7.6</v>
      </c>
      <c r="N1563" s="41" t="n">
        <f aca="false">L1563+M1563</f>
        <v>41.6</v>
      </c>
      <c r="O1563" s="41" t="n">
        <f aca="false">K1563-N1563</f>
        <v>45.78</v>
      </c>
      <c r="P1563" s="43" t="n">
        <f aca="false">IF(K1563=0,0,O1563/K1563)</f>
        <v>0.523918516823072</v>
      </c>
    </row>
    <row r="1564" customFormat="false" ht="15" hidden="false" customHeight="false" outlineLevel="0" collapsed="false">
      <c r="A1564" s="39" t="s">
        <v>1686</v>
      </c>
      <c r="B1564" s="40" t="n">
        <v>45879</v>
      </c>
      <c r="C1564" s="39" t="s">
        <v>104</v>
      </c>
      <c r="D1564" s="39" t="n">
        <v>8</v>
      </c>
      <c r="E1564" s="41" t="n">
        <v>14.83</v>
      </c>
      <c r="F1564" s="39" t="s">
        <v>118</v>
      </c>
      <c r="G1564" s="39" t="str">
        <f aca="false">VLOOKUP(C1564,Products!$A$5:$D$24,2,FALSE())</f>
        <v>Water Bottle</v>
      </c>
      <c r="H1564" s="39" t="str">
        <f aca="false">VLOOKUP(C1564,Products!$A$5:$D$24,3,FALSE())</f>
        <v>Accessories</v>
      </c>
      <c r="I1564" s="41" t="n">
        <f aca="false">VLOOKUP(C1564,Products!$A$5:$D$24,4,FALSE())</f>
        <v>5</v>
      </c>
      <c r="J1564" s="42" t="n">
        <f aca="false">DATE(YEAR(B1564),MONTH(B1564),1)</f>
        <v>45870</v>
      </c>
      <c r="K1564" s="41" t="n">
        <f aca="false">D1564*E1564</f>
        <v>118.64</v>
      </c>
      <c r="L1564" s="41" t="n">
        <f aca="false">D1564*I1564</f>
        <v>40</v>
      </c>
      <c r="M1564" s="41" t="n">
        <f aca="false">IFERROR(INDEX(Raw_Expenses!$C$5:$C$2979,MATCH(A1564,Raw_Expenses!$A$5:$A$2979,0)),0)</f>
        <v>6.62</v>
      </c>
      <c r="N1564" s="41" t="n">
        <f aca="false">L1564+M1564</f>
        <v>46.62</v>
      </c>
      <c r="O1564" s="41" t="n">
        <f aca="false">K1564-N1564</f>
        <v>72.02</v>
      </c>
      <c r="P1564" s="43" t="n">
        <f aca="false">IF(K1564=0,0,O1564/K1564)</f>
        <v>0.607046527309508</v>
      </c>
    </row>
    <row r="1565" customFormat="false" ht="15" hidden="false" customHeight="false" outlineLevel="0" collapsed="false">
      <c r="A1565" s="39" t="s">
        <v>1687</v>
      </c>
      <c r="B1565" s="40" t="n">
        <v>45880</v>
      </c>
      <c r="C1565" s="39" t="s">
        <v>112</v>
      </c>
      <c r="D1565" s="39" t="n">
        <v>1</v>
      </c>
      <c r="E1565" s="41" t="n">
        <v>51.27</v>
      </c>
      <c r="F1565" s="39" t="s">
        <v>115</v>
      </c>
      <c r="G1565" s="39" t="str">
        <f aca="false">VLOOKUP(C1565,Products!$A$5:$D$24,2,FALSE())</f>
        <v>HD Webcam</v>
      </c>
      <c r="H1565" s="39" t="str">
        <f aca="false">VLOOKUP(C1565,Products!$A$5:$D$24,3,FALSE())</f>
        <v>Electronics</v>
      </c>
      <c r="I1565" s="41" t="n">
        <f aca="false">VLOOKUP(C1565,Products!$A$5:$D$24,4,FALSE())</f>
        <v>22</v>
      </c>
      <c r="J1565" s="42" t="n">
        <f aca="false">DATE(YEAR(B1565),MONTH(B1565),1)</f>
        <v>45870</v>
      </c>
      <c r="K1565" s="41" t="n">
        <f aca="false">D1565*E1565</f>
        <v>51.27</v>
      </c>
      <c r="L1565" s="41" t="n">
        <f aca="false">D1565*I1565</f>
        <v>22</v>
      </c>
      <c r="M1565" s="41" t="n">
        <f aca="false">IFERROR(INDEX(Raw_Expenses!$C$5:$C$2979,MATCH(A1565,Raw_Expenses!$A$5:$A$2979,0)),0)</f>
        <v>2.79</v>
      </c>
      <c r="N1565" s="41" t="n">
        <f aca="false">L1565+M1565</f>
        <v>24.79</v>
      </c>
      <c r="O1565" s="41" t="n">
        <f aca="false">K1565-N1565</f>
        <v>26.48</v>
      </c>
      <c r="P1565" s="43" t="n">
        <f aca="false">IF(K1565=0,0,O1565/K1565)</f>
        <v>0.516481373122684</v>
      </c>
    </row>
    <row r="1566" customFormat="false" ht="15" hidden="false" customHeight="false" outlineLevel="0" collapsed="false">
      <c r="A1566" s="39" t="s">
        <v>1688</v>
      </c>
      <c r="B1566" s="40" t="n">
        <v>45880</v>
      </c>
      <c r="C1566" s="39" t="s">
        <v>133</v>
      </c>
      <c r="D1566" s="39" t="n">
        <v>4</v>
      </c>
      <c r="E1566" s="41" t="n">
        <v>8.59</v>
      </c>
      <c r="F1566" s="39" t="s">
        <v>105</v>
      </c>
      <c r="G1566" s="39" t="str">
        <f aca="false">VLOOKUP(C1566,Products!$A$5:$D$24,2,FALSE())</f>
        <v>Printer Paper Ream</v>
      </c>
      <c r="H1566" s="39" t="str">
        <f aca="false">VLOOKUP(C1566,Products!$A$5:$D$24,3,FALSE())</f>
        <v>Stationery</v>
      </c>
      <c r="I1566" s="41" t="n">
        <f aca="false">VLOOKUP(C1566,Products!$A$5:$D$24,4,FALSE())</f>
        <v>4</v>
      </c>
      <c r="J1566" s="42" t="n">
        <f aca="false">DATE(YEAR(B1566),MONTH(B1566),1)</f>
        <v>45870</v>
      </c>
      <c r="K1566" s="41" t="n">
        <f aca="false">D1566*E1566</f>
        <v>34.36</v>
      </c>
      <c r="L1566" s="41" t="n">
        <f aca="false">D1566*I1566</f>
        <v>16</v>
      </c>
      <c r="M1566" s="41" t="n">
        <f aca="false">IFERROR(INDEX(Raw_Expenses!$C$5:$C$2979,MATCH(A1566,Raw_Expenses!$A$5:$A$2979,0)),0)</f>
        <v>1.78</v>
      </c>
      <c r="N1566" s="41" t="n">
        <f aca="false">L1566+M1566</f>
        <v>17.78</v>
      </c>
      <c r="O1566" s="41" t="n">
        <f aca="false">K1566-N1566</f>
        <v>16.58</v>
      </c>
      <c r="P1566" s="43" t="n">
        <f aca="false">IF(K1566=0,0,O1566/K1566)</f>
        <v>0.482537834691502</v>
      </c>
    </row>
    <row r="1567" customFormat="false" ht="15" hidden="false" customHeight="false" outlineLevel="0" collapsed="false">
      <c r="A1567" s="39" t="s">
        <v>1689</v>
      </c>
      <c r="B1567" s="40" t="n">
        <v>45880</v>
      </c>
      <c r="C1567" s="39" t="s">
        <v>169</v>
      </c>
      <c r="D1567" s="39" t="n">
        <v>3</v>
      </c>
      <c r="E1567" s="41" t="n">
        <v>28.72</v>
      </c>
      <c r="F1567" s="39" t="s">
        <v>105</v>
      </c>
      <c r="G1567" s="39" t="str">
        <f aca="false">VLOOKUP(C1567,Products!$A$5:$D$24,2,FALSE())</f>
        <v>Laptop Stand</v>
      </c>
      <c r="H1567" s="39" t="str">
        <f aca="false">VLOOKUP(C1567,Products!$A$5:$D$24,3,FALSE())</f>
        <v>Accessories</v>
      </c>
      <c r="I1567" s="41" t="n">
        <f aca="false">VLOOKUP(C1567,Products!$A$5:$D$24,4,FALSE())</f>
        <v>11</v>
      </c>
      <c r="J1567" s="42" t="n">
        <f aca="false">DATE(YEAR(B1567),MONTH(B1567),1)</f>
        <v>45870</v>
      </c>
      <c r="K1567" s="41" t="n">
        <f aca="false">D1567*E1567</f>
        <v>86.16</v>
      </c>
      <c r="L1567" s="41" t="n">
        <f aca="false">D1567*I1567</f>
        <v>33</v>
      </c>
      <c r="M1567" s="41" t="n">
        <f aca="false">IFERROR(INDEX(Raw_Expenses!$C$5:$C$2979,MATCH(A1567,Raw_Expenses!$A$5:$A$2979,0)),0)</f>
        <v>6.33</v>
      </c>
      <c r="N1567" s="41" t="n">
        <f aca="false">L1567+M1567</f>
        <v>39.33</v>
      </c>
      <c r="O1567" s="41" t="n">
        <f aca="false">K1567-N1567</f>
        <v>46.83</v>
      </c>
      <c r="P1567" s="43" t="n">
        <f aca="false">IF(K1567=0,0,O1567/K1567)</f>
        <v>0.543523676880223</v>
      </c>
    </row>
    <row r="1568" customFormat="false" ht="15" hidden="false" customHeight="false" outlineLevel="0" collapsed="false">
      <c r="A1568" s="39" t="s">
        <v>1690</v>
      </c>
      <c r="B1568" s="40" t="n">
        <v>45880</v>
      </c>
      <c r="C1568" s="39" t="s">
        <v>162</v>
      </c>
      <c r="D1568" s="39" t="n">
        <v>5</v>
      </c>
      <c r="E1568" s="41" t="n">
        <v>65.34</v>
      </c>
      <c r="F1568" s="39" t="s">
        <v>118</v>
      </c>
      <c r="G1568" s="39" t="str">
        <f aca="false">VLOOKUP(C1568,Products!$A$5:$D$24,2,FALSE())</f>
        <v>Bluetooth Speaker</v>
      </c>
      <c r="H1568" s="39" t="str">
        <f aca="false">VLOOKUP(C1568,Products!$A$5:$D$24,3,FALSE())</f>
        <v>Electronics</v>
      </c>
      <c r="I1568" s="41" t="n">
        <f aca="false">VLOOKUP(C1568,Products!$A$5:$D$24,4,FALSE())</f>
        <v>28</v>
      </c>
      <c r="J1568" s="42" t="n">
        <f aca="false">DATE(YEAR(B1568),MONTH(B1568),1)</f>
        <v>45870</v>
      </c>
      <c r="K1568" s="41" t="n">
        <f aca="false">D1568*E1568</f>
        <v>326.7</v>
      </c>
      <c r="L1568" s="41" t="n">
        <f aca="false">D1568*I1568</f>
        <v>140</v>
      </c>
      <c r="M1568" s="41" t="n">
        <f aca="false">IFERROR(INDEX(Raw_Expenses!$C$5:$C$2979,MATCH(A1568,Raw_Expenses!$A$5:$A$2979,0)),0)</f>
        <v>23.69</v>
      </c>
      <c r="N1568" s="41" t="n">
        <f aca="false">L1568+M1568</f>
        <v>163.69</v>
      </c>
      <c r="O1568" s="41" t="n">
        <f aca="false">K1568-N1568</f>
        <v>163.01</v>
      </c>
      <c r="P1568" s="43" t="n">
        <f aca="false">IF(K1568=0,0,O1568/K1568)</f>
        <v>0.498959289868381</v>
      </c>
    </row>
    <row r="1569" customFormat="false" ht="15" hidden="false" customHeight="false" outlineLevel="0" collapsed="false">
      <c r="A1569" s="39" t="s">
        <v>1691</v>
      </c>
      <c r="B1569" s="40" t="n">
        <v>45880</v>
      </c>
      <c r="C1569" s="39" t="s">
        <v>104</v>
      </c>
      <c r="D1569" s="39" t="n">
        <v>3</v>
      </c>
      <c r="E1569" s="41" t="n">
        <v>15.12</v>
      </c>
      <c r="F1569" s="39" t="s">
        <v>108</v>
      </c>
      <c r="G1569" s="39" t="str">
        <f aca="false">VLOOKUP(C1569,Products!$A$5:$D$24,2,FALSE())</f>
        <v>Water Bottle</v>
      </c>
      <c r="H1569" s="39" t="str">
        <f aca="false">VLOOKUP(C1569,Products!$A$5:$D$24,3,FALSE())</f>
        <v>Accessories</v>
      </c>
      <c r="I1569" s="41" t="n">
        <f aca="false">VLOOKUP(C1569,Products!$A$5:$D$24,4,FALSE())</f>
        <v>5</v>
      </c>
      <c r="J1569" s="42" t="n">
        <f aca="false">DATE(YEAR(B1569),MONTH(B1569),1)</f>
        <v>45870</v>
      </c>
      <c r="K1569" s="41" t="n">
        <f aca="false">D1569*E1569</f>
        <v>45.36</v>
      </c>
      <c r="L1569" s="41" t="n">
        <f aca="false">D1569*I1569</f>
        <v>15</v>
      </c>
      <c r="M1569" s="41" t="n">
        <f aca="false">IFERROR(INDEX(Raw_Expenses!$C$5:$C$2979,MATCH(A1569,Raw_Expenses!$A$5:$A$2979,0)),0)</f>
        <v>3.01</v>
      </c>
      <c r="N1569" s="41" t="n">
        <f aca="false">L1569+M1569</f>
        <v>18.01</v>
      </c>
      <c r="O1569" s="41" t="n">
        <f aca="false">K1569-N1569</f>
        <v>27.35</v>
      </c>
      <c r="P1569" s="43" t="n">
        <f aca="false">IF(K1569=0,0,O1569/K1569)</f>
        <v>0.602954144620811</v>
      </c>
    </row>
    <row r="1570" customFormat="false" ht="15" hidden="false" customHeight="false" outlineLevel="0" collapsed="false">
      <c r="A1570" s="39" t="s">
        <v>1692</v>
      </c>
      <c r="B1570" s="40" t="n">
        <v>45880</v>
      </c>
      <c r="C1570" s="39" t="s">
        <v>104</v>
      </c>
      <c r="D1570" s="39" t="n">
        <v>1</v>
      </c>
      <c r="E1570" s="41" t="n">
        <v>15.96</v>
      </c>
      <c r="F1570" s="39" t="s">
        <v>108</v>
      </c>
      <c r="G1570" s="39" t="str">
        <f aca="false">VLOOKUP(C1570,Products!$A$5:$D$24,2,FALSE())</f>
        <v>Water Bottle</v>
      </c>
      <c r="H1570" s="39" t="str">
        <f aca="false">VLOOKUP(C1570,Products!$A$5:$D$24,3,FALSE())</f>
        <v>Accessories</v>
      </c>
      <c r="I1570" s="41" t="n">
        <f aca="false">VLOOKUP(C1570,Products!$A$5:$D$24,4,FALSE())</f>
        <v>5</v>
      </c>
      <c r="J1570" s="42" t="n">
        <f aca="false">DATE(YEAR(B1570),MONTH(B1570),1)</f>
        <v>45870</v>
      </c>
      <c r="K1570" s="41" t="n">
        <f aca="false">D1570*E1570</f>
        <v>15.96</v>
      </c>
      <c r="L1570" s="41" t="n">
        <f aca="false">D1570*I1570</f>
        <v>5</v>
      </c>
      <c r="M1570" s="41" t="n">
        <f aca="false">IFERROR(INDEX(Raw_Expenses!$C$5:$C$2979,MATCH(A1570,Raw_Expenses!$A$5:$A$2979,0)),0)</f>
        <v>0.71</v>
      </c>
      <c r="N1570" s="41" t="n">
        <f aca="false">L1570+M1570</f>
        <v>5.71</v>
      </c>
      <c r="O1570" s="41" t="n">
        <f aca="false">K1570-N1570</f>
        <v>10.25</v>
      </c>
      <c r="P1570" s="43" t="n">
        <f aca="false">IF(K1570=0,0,O1570/K1570)</f>
        <v>0.642230576441103</v>
      </c>
    </row>
    <row r="1571" customFormat="false" ht="15" hidden="false" customHeight="false" outlineLevel="0" collapsed="false">
      <c r="A1571" s="39" t="s">
        <v>1693</v>
      </c>
      <c r="B1571" s="40" t="n">
        <v>45880</v>
      </c>
      <c r="C1571" s="39" t="s">
        <v>153</v>
      </c>
      <c r="D1571" s="39" t="n">
        <v>3</v>
      </c>
      <c r="E1571" s="41" t="n">
        <v>172.52</v>
      </c>
      <c r="F1571" s="39" t="s">
        <v>108</v>
      </c>
      <c r="G1571" s="39" t="str">
        <f aca="false">VLOOKUP(C1571,Products!$A$5:$D$24,2,FALSE())</f>
        <v>24-inch Monitor</v>
      </c>
      <c r="H1571" s="39" t="str">
        <f aca="false">VLOOKUP(C1571,Products!$A$5:$D$24,3,FALSE())</f>
        <v>Electronics</v>
      </c>
      <c r="I1571" s="41" t="n">
        <f aca="false">VLOOKUP(C1571,Products!$A$5:$D$24,4,FALSE())</f>
        <v>90</v>
      </c>
      <c r="J1571" s="42" t="n">
        <f aca="false">DATE(YEAR(B1571),MONTH(B1571),1)</f>
        <v>45870</v>
      </c>
      <c r="K1571" s="41" t="n">
        <f aca="false">D1571*E1571</f>
        <v>517.56</v>
      </c>
      <c r="L1571" s="41" t="n">
        <f aca="false">D1571*I1571</f>
        <v>270</v>
      </c>
      <c r="M1571" s="41" t="n">
        <f aca="false">IFERROR(INDEX(Raw_Expenses!$C$5:$C$2979,MATCH(A1571,Raw_Expenses!$A$5:$A$2979,0)),0)</f>
        <v>32.1</v>
      </c>
      <c r="N1571" s="41" t="n">
        <f aca="false">L1571+M1571</f>
        <v>302.1</v>
      </c>
      <c r="O1571" s="41" t="n">
        <f aca="false">K1571-N1571</f>
        <v>215.46</v>
      </c>
      <c r="P1571" s="43" t="n">
        <f aca="false">IF(K1571=0,0,O1571/K1571)</f>
        <v>0.416299559471366</v>
      </c>
    </row>
    <row r="1572" customFormat="false" ht="15" hidden="false" customHeight="false" outlineLevel="0" collapsed="false">
      <c r="A1572" s="39" t="s">
        <v>1694</v>
      </c>
      <c r="B1572" s="40" t="n">
        <v>45880</v>
      </c>
      <c r="C1572" s="39" t="s">
        <v>114</v>
      </c>
      <c r="D1572" s="39" t="n">
        <v>3</v>
      </c>
      <c r="E1572" s="41" t="n">
        <v>5.58</v>
      </c>
      <c r="F1572" s="39" t="s">
        <v>108</v>
      </c>
      <c r="G1572" s="39" t="str">
        <f aca="false">VLOOKUP(C1572,Products!$A$5:$D$24,2,FALSE())</f>
        <v>Gel Pen Pack</v>
      </c>
      <c r="H1572" s="39" t="str">
        <f aca="false">VLOOKUP(C1572,Products!$A$5:$D$24,3,FALSE())</f>
        <v>Stationery</v>
      </c>
      <c r="I1572" s="41" t="n">
        <f aca="false">VLOOKUP(C1572,Products!$A$5:$D$24,4,FALSE())</f>
        <v>2</v>
      </c>
      <c r="J1572" s="42" t="n">
        <f aca="false">DATE(YEAR(B1572),MONTH(B1572),1)</f>
        <v>45870</v>
      </c>
      <c r="K1572" s="41" t="n">
        <f aca="false">D1572*E1572</f>
        <v>16.74</v>
      </c>
      <c r="L1572" s="41" t="n">
        <f aca="false">D1572*I1572</f>
        <v>6</v>
      </c>
      <c r="M1572" s="41" t="n">
        <f aca="false">IFERROR(INDEX(Raw_Expenses!$C$5:$C$2979,MATCH(A1572,Raw_Expenses!$A$5:$A$2979,0)),0)</f>
        <v>0.72</v>
      </c>
      <c r="N1572" s="41" t="n">
        <f aca="false">L1572+M1572</f>
        <v>6.72</v>
      </c>
      <c r="O1572" s="41" t="n">
        <f aca="false">K1572-N1572</f>
        <v>10.02</v>
      </c>
      <c r="P1572" s="43" t="n">
        <f aca="false">IF(K1572=0,0,O1572/K1572)</f>
        <v>0.598566308243728</v>
      </c>
    </row>
    <row r="1573" customFormat="false" ht="15" hidden="false" customHeight="false" outlineLevel="0" collapsed="false">
      <c r="A1573" s="39" t="s">
        <v>1695</v>
      </c>
      <c r="B1573" s="40" t="n">
        <v>45880</v>
      </c>
      <c r="C1573" s="39" t="s">
        <v>305</v>
      </c>
      <c r="D1573" s="39" t="n">
        <v>1</v>
      </c>
      <c r="E1573" s="41" t="n">
        <v>346.66</v>
      </c>
      <c r="F1573" s="39" t="s">
        <v>105</v>
      </c>
      <c r="G1573" s="39" t="str">
        <f aca="false">VLOOKUP(C1573,Products!$A$5:$D$24,2,FALSE())</f>
        <v>Standing Desk</v>
      </c>
      <c r="H1573" s="39" t="str">
        <f aca="false">VLOOKUP(C1573,Products!$A$5:$D$24,3,FALSE())</f>
        <v>Furniture</v>
      </c>
      <c r="I1573" s="41" t="n">
        <f aca="false">VLOOKUP(C1573,Products!$A$5:$D$24,4,FALSE())</f>
        <v>160</v>
      </c>
      <c r="J1573" s="42" t="n">
        <f aca="false">DATE(YEAR(B1573),MONTH(B1573),1)</f>
        <v>45870</v>
      </c>
      <c r="K1573" s="41" t="n">
        <f aca="false">D1573*E1573</f>
        <v>346.66</v>
      </c>
      <c r="L1573" s="41" t="n">
        <f aca="false">D1573*I1573</f>
        <v>160</v>
      </c>
      <c r="M1573" s="41" t="n">
        <f aca="false">IFERROR(INDEX(Raw_Expenses!$C$5:$C$2979,MATCH(A1573,Raw_Expenses!$A$5:$A$2979,0)),0)</f>
        <v>20.54</v>
      </c>
      <c r="N1573" s="41" t="n">
        <f aca="false">L1573+M1573</f>
        <v>180.54</v>
      </c>
      <c r="O1573" s="41" t="n">
        <f aca="false">K1573-N1573</f>
        <v>166.12</v>
      </c>
      <c r="P1573" s="43" t="n">
        <f aca="false">IF(K1573=0,0,O1573/K1573)</f>
        <v>0.479201523106214</v>
      </c>
    </row>
    <row r="1574" customFormat="false" ht="15" hidden="false" customHeight="false" outlineLevel="0" collapsed="false">
      <c r="A1574" s="39" t="s">
        <v>1696</v>
      </c>
      <c r="B1574" s="40" t="n">
        <v>45881</v>
      </c>
      <c r="C1574" s="39" t="s">
        <v>183</v>
      </c>
      <c r="D1574" s="39" t="n">
        <v>4</v>
      </c>
      <c r="E1574" s="41" t="n">
        <v>176.46</v>
      </c>
      <c r="F1574" s="39" t="s">
        <v>118</v>
      </c>
      <c r="G1574" s="39" t="str">
        <f aca="false">VLOOKUP(C1574,Products!$A$5:$D$24,2,FALSE())</f>
        <v>Office Chair</v>
      </c>
      <c r="H1574" s="39" t="str">
        <f aca="false">VLOOKUP(C1574,Products!$A$5:$D$24,3,FALSE())</f>
        <v>Furniture</v>
      </c>
      <c r="I1574" s="41" t="n">
        <f aca="false">VLOOKUP(C1574,Products!$A$5:$D$24,4,FALSE())</f>
        <v>85</v>
      </c>
      <c r="J1574" s="42" t="n">
        <f aca="false">DATE(YEAR(B1574),MONTH(B1574),1)</f>
        <v>45870</v>
      </c>
      <c r="K1574" s="41" t="n">
        <f aca="false">D1574*E1574</f>
        <v>705.84</v>
      </c>
      <c r="L1574" s="41" t="n">
        <f aca="false">D1574*I1574</f>
        <v>340</v>
      </c>
      <c r="M1574" s="41" t="n">
        <f aca="false">IFERROR(INDEX(Raw_Expenses!$C$5:$C$2979,MATCH(A1574,Raw_Expenses!$A$5:$A$2979,0)),0)</f>
        <v>44.96</v>
      </c>
      <c r="N1574" s="41" t="n">
        <f aca="false">L1574+M1574</f>
        <v>384.96</v>
      </c>
      <c r="O1574" s="41" t="n">
        <f aca="false">K1574-N1574</f>
        <v>320.88</v>
      </c>
      <c r="P1574" s="43" t="n">
        <f aca="false">IF(K1574=0,0,O1574/K1574)</f>
        <v>0.454607276436586</v>
      </c>
    </row>
    <row r="1575" customFormat="false" ht="15" hidden="false" customHeight="false" outlineLevel="0" collapsed="false">
      <c r="A1575" s="39" t="s">
        <v>1697</v>
      </c>
      <c r="B1575" s="40" t="n">
        <v>45881</v>
      </c>
      <c r="C1575" s="39" t="s">
        <v>153</v>
      </c>
      <c r="D1575" s="39" t="n">
        <v>2</v>
      </c>
      <c r="E1575" s="41" t="n">
        <v>171.96</v>
      </c>
      <c r="F1575" s="39" t="s">
        <v>115</v>
      </c>
      <c r="G1575" s="39" t="str">
        <f aca="false">VLOOKUP(C1575,Products!$A$5:$D$24,2,FALSE())</f>
        <v>24-inch Monitor</v>
      </c>
      <c r="H1575" s="39" t="str">
        <f aca="false">VLOOKUP(C1575,Products!$A$5:$D$24,3,FALSE())</f>
        <v>Electronics</v>
      </c>
      <c r="I1575" s="41" t="n">
        <f aca="false">VLOOKUP(C1575,Products!$A$5:$D$24,4,FALSE())</f>
        <v>90</v>
      </c>
      <c r="J1575" s="42" t="n">
        <f aca="false">DATE(YEAR(B1575),MONTH(B1575),1)</f>
        <v>45870</v>
      </c>
      <c r="K1575" s="41" t="n">
        <f aca="false">D1575*E1575</f>
        <v>343.92</v>
      </c>
      <c r="L1575" s="41" t="n">
        <f aca="false">D1575*I1575</f>
        <v>180</v>
      </c>
      <c r="M1575" s="41" t="n">
        <f aca="false">IFERROR(INDEX(Raw_Expenses!$C$5:$C$2979,MATCH(A1575,Raw_Expenses!$A$5:$A$2979,0)),0)</f>
        <v>24.17</v>
      </c>
      <c r="N1575" s="41" t="n">
        <f aca="false">L1575+M1575</f>
        <v>204.17</v>
      </c>
      <c r="O1575" s="41" t="n">
        <f aca="false">K1575-N1575</f>
        <v>139.75</v>
      </c>
      <c r="P1575" s="43" t="n">
        <f aca="false">IF(K1575=0,0,O1575/K1575)</f>
        <v>0.406344498720633</v>
      </c>
    </row>
    <row r="1576" customFormat="false" ht="15" hidden="false" customHeight="false" outlineLevel="0" collapsed="false">
      <c r="A1576" s="39" t="s">
        <v>1698</v>
      </c>
      <c r="B1576" s="40" t="n">
        <v>45881</v>
      </c>
      <c r="C1576" s="39" t="s">
        <v>162</v>
      </c>
      <c r="D1576" s="39" t="n">
        <v>4</v>
      </c>
      <c r="E1576" s="41" t="n">
        <v>64.39</v>
      </c>
      <c r="F1576" s="39" t="s">
        <v>118</v>
      </c>
      <c r="G1576" s="39" t="str">
        <f aca="false">VLOOKUP(C1576,Products!$A$5:$D$24,2,FALSE())</f>
        <v>Bluetooth Speaker</v>
      </c>
      <c r="H1576" s="39" t="str">
        <f aca="false">VLOOKUP(C1576,Products!$A$5:$D$24,3,FALSE())</f>
        <v>Electronics</v>
      </c>
      <c r="I1576" s="41" t="n">
        <f aca="false">VLOOKUP(C1576,Products!$A$5:$D$24,4,FALSE())</f>
        <v>28</v>
      </c>
      <c r="J1576" s="42" t="n">
        <f aca="false">DATE(YEAR(B1576),MONTH(B1576),1)</f>
        <v>45870</v>
      </c>
      <c r="K1576" s="41" t="n">
        <f aca="false">D1576*E1576</f>
        <v>257.56</v>
      </c>
      <c r="L1576" s="41" t="n">
        <f aca="false">D1576*I1576</f>
        <v>112</v>
      </c>
      <c r="M1576" s="41" t="n">
        <f aca="false">IFERROR(INDEX(Raw_Expenses!$C$5:$C$2979,MATCH(A1576,Raw_Expenses!$A$5:$A$2979,0)),0)</f>
        <v>20.56</v>
      </c>
      <c r="N1576" s="41" t="n">
        <f aca="false">L1576+M1576</f>
        <v>132.56</v>
      </c>
      <c r="O1576" s="41" t="n">
        <f aca="false">K1576-N1576</f>
        <v>125</v>
      </c>
      <c r="P1576" s="43" t="n">
        <f aca="false">IF(K1576=0,0,O1576/K1576)</f>
        <v>0.485323808044727</v>
      </c>
    </row>
    <row r="1577" customFormat="false" ht="15" hidden="false" customHeight="false" outlineLevel="0" collapsed="false">
      <c r="A1577" s="39" t="s">
        <v>1699</v>
      </c>
      <c r="B1577" s="40" t="n">
        <v>45881</v>
      </c>
      <c r="C1577" s="39" t="s">
        <v>133</v>
      </c>
      <c r="D1577" s="39" t="n">
        <v>1</v>
      </c>
      <c r="E1577" s="41" t="n">
        <v>8.62</v>
      </c>
      <c r="F1577" s="39" t="s">
        <v>105</v>
      </c>
      <c r="G1577" s="39" t="str">
        <f aca="false">VLOOKUP(C1577,Products!$A$5:$D$24,2,FALSE())</f>
        <v>Printer Paper Ream</v>
      </c>
      <c r="H1577" s="39" t="str">
        <f aca="false">VLOOKUP(C1577,Products!$A$5:$D$24,3,FALSE())</f>
        <v>Stationery</v>
      </c>
      <c r="I1577" s="41" t="n">
        <f aca="false">VLOOKUP(C1577,Products!$A$5:$D$24,4,FALSE())</f>
        <v>4</v>
      </c>
      <c r="J1577" s="42" t="n">
        <f aca="false">DATE(YEAR(B1577),MONTH(B1577),1)</f>
        <v>45870</v>
      </c>
      <c r="K1577" s="41" t="n">
        <f aca="false">D1577*E1577</f>
        <v>8.62</v>
      </c>
      <c r="L1577" s="41" t="n">
        <f aca="false">D1577*I1577</f>
        <v>4</v>
      </c>
      <c r="M1577" s="41" t="n">
        <f aca="false">IFERROR(INDEX(Raw_Expenses!$C$5:$C$2979,MATCH(A1577,Raw_Expenses!$A$5:$A$2979,0)),0)</f>
        <v>0.71</v>
      </c>
      <c r="N1577" s="41" t="n">
        <f aca="false">L1577+M1577</f>
        <v>4.71</v>
      </c>
      <c r="O1577" s="41" t="n">
        <f aca="false">K1577-N1577</f>
        <v>3.91</v>
      </c>
      <c r="P1577" s="43" t="n">
        <f aca="false">IF(K1577=0,0,O1577/K1577)</f>
        <v>0.453596287703016</v>
      </c>
    </row>
    <row r="1578" customFormat="false" ht="15" hidden="false" customHeight="false" outlineLevel="0" collapsed="false">
      <c r="A1578" s="39" t="s">
        <v>1700</v>
      </c>
      <c r="B1578" s="40" t="n">
        <v>45881</v>
      </c>
      <c r="C1578" s="39" t="s">
        <v>114</v>
      </c>
      <c r="D1578" s="39" t="n">
        <v>2</v>
      </c>
      <c r="E1578" s="41" t="n">
        <v>5.56</v>
      </c>
      <c r="F1578" s="39" t="s">
        <v>115</v>
      </c>
      <c r="G1578" s="39" t="str">
        <f aca="false">VLOOKUP(C1578,Products!$A$5:$D$24,2,FALSE())</f>
        <v>Gel Pen Pack</v>
      </c>
      <c r="H1578" s="39" t="str">
        <f aca="false">VLOOKUP(C1578,Products!$A$5:$D$24,3,FALSE())</f>
        <v>Stationery</v>
      </c>
      <c r="I1578" s="41" t="n">
        <f aca="false">VLOOKUP(C1578,Products!$A$5:$D$24,4,FALSE())</f>
        <v>2</v>
      </c>
      <c r="J1578" s="42" t="n">
        <f aca="false">DATE(YEAR(B1578),MONTH(B1578),1)</f>
        <v>45870</v>
      </c>
      <c r="K1578" s="41" t="n">
        <f aca="false">D1578*E1578</f>
        <v>11.12</v>
      </c>
      <c r="L1578" s="41" t="n">
        <f aca="false">D1578*I1578</f>
        <v>4</v>
      </c>
      <c r="M1578" s="41" t="n">
        <f aca="false">IFERROR(INDEX(Raw_Expenses!$C$5:$C$2979,MATCH(A1578,Raw_Expenses!$A$5:$A$2979,0)),0)</f>
        <v>0.67</v>
      </c>
      <c r="N1578" s="41" t="n">
        <f aca="false">L1578+M1578</f>
        <v>4.67</v>
      </c>
      <c r="O1578" s="41" t="n">
        <f aca="false">K1578-N1578</f>
        <v>6.45</v>
      </c>
      <c r="P1578" s="43" t="n">
        <f aca="false">IF(K1578=0,0,O1578/K1578)</f>
        <v>0.580035971223022</v>
      </c>
    </row>
    <row r="1579" customFormat="false" ht="15" hidden="false" customHeight="false" outlineLevel="0" collapsed="false">
      <c r="A1579" s="39" t="s">
        <v>1701</v>
      </c>
      <c r="B1579" s="40" t="n">
        <v>45881</v>
      </c>
      <c r="C1579" s="39" t="s">
        <v>177</v>
      </c>
      <c r="D1579" s="39" t="n">
        <v>4</v>
      </c>
      <c r="E1579" s="41" t="n">
        <v>42.53</v>
      </c>
      <c r="F1579" s="39" t="s">
        <v>118</v>
      </c>
      <c r="G1579" s="39" t="str">
        <f aca="false">VLOOKUP(C1579,Products!$A$5:$D$24,2,FALSE())</f>
        <v>Backpack</v>
      </c>
      <c r="H1579" s="39" t="str">
        <f aca="false">VLOOKUP(C1579,Products!$A$5:$D$24,3,FALSE())</f>
        <v>Accessories</v>
      </c>
      <c r="I1579" s="41" t="n">
        <f aca="false">VLOOKUP(C1579,Products!$A$5:$D$24,4,FALSE())</f>
        <v>17</v>
      </c>
      <c r="J1579" s="42" t="n">
        <f aca="false">DATE(YEAR(B1579),MONTH(B1579),1)</f>
        <v>45870</v>
      </c>
      <c r="K1579" s="41" t="n">
        <f aca="false">D1579*E1579</f>
        <v>170.12</v>
      </c>
      <c r="L1579" s="41" t="n">
        <f aca="false">D1579*I1579</f>
        <v>68</v>
      </c>
      <c r="M1579" s="41" t="n">
        <f aca="false">IFERROR(INDEX(Raw_Expenses!$C$5:$C$2979,MATCH(A1579,Raw_Expenses!$A$5:$A$2979,0)),0)</f>
        <v>13.37</v>
      </c>
      <c r="N1579" s="41" t="n">
        <f aca="false">L1579+M1579</f>
        <v>81.37</v>
      </c>
      <c r="O1579" s="41" t="n">
        <f aca="false">K1579-N1579</f>
        <v>88.75</v>
      </c>
      <c r="P1579" s="43" t="n">
        <f aca="false">IF(K1579=0,0,O1579/K1579)</f>
        <v>0.521690571361392</v>
      </c>
    </row>
    <row r="1580" customFormat="false" ht="15" hidden="false" customHeight="false" outlineLevel="0" collapsed="false">
      <c r="A1580" s="39" t="s">
        <v>1702</v>
      </c>
      <c r="B1580" s="40" t="n">
        <v>45881</v>
      </c>
      <c r="C1580" s="39" t="s">
        <v>112</v>
      </c>
      <c r="D1580" s="39" t="n">
        <v>3</v>
      </c>
      <c r="E1580" s="41" t="n">
        <v>53.45</v>
      </c>
      <c r="F1580" s="39" t="s">
        <v>118</v>
      </c>
      <c r="G1580" s="39" t="str">
        <f aca="false">VLOOKUP(C1580,Products!$A$5:$D$24,2,FALSE())</f>
        <v>HD Webcam</v>
      </c>
      <c r="H1580" s="39" t="str">
        <f aca="false">VLOOKUP(C1580,Products!$A$5:$D$24,3,FALSE())</f>
        <v>Electronics</v>
      </c>
      <c r="I1580" s="41" t="n">
        <f aca="false">VLOOKUP(C1580,Products!$A$5:$D$24,4,FALSE())</f>
        <v>22</v>
      </c>
      <c r="J1580" s="42" t="n">
        <f aca="false">DATE(YEAR(B1580),MONTH(B1580),1)</f>
        <v>45870</v>
      </c>
      <c r="K1580" s="41" t="n">
        <f aca="false">D1580*E1580</f>
        <v>160.35</v>
      </c>
      <c r="L1580" s="41" t="n">
        <f aca="false">D1580*I1580</f>
        <v>66</v>
      </c>
      <c r="M1580" s="41" t="n">
        <f aca="false">IFERROR(INDEX(Raw_Expenses!$C$5:$C$2979,MATCH(A1580,Raw_Expenses!$A$5:$A$2979,0)),0)</f>
        <v>7.36</v>
      </c>
      <c r="N1580" s="41" t="n">
        <f aca="false">L1580+M1580</f>
        <v>73.36</v>
      </c>
      <c r="O1580" s="41" t="n">
        <f aca="false">K1580-N1580</f>
        <v>86.99</v>
      </c>
      <c r="P1580" s="43" t="n">
        <f aca="false">IF(K1580=0,0,O1580/K1580)</f>
        <v>0.542500779544746</v>
      </c>
    </row>
    <row r="1581" customFormat="false" ht="15" hidden="false" customHeight="false" outlineLevel="0" collapsed="false">
      <c r="A1581" s="39" t="s">
        <v>1703</v>
      </c>
      <c r="B1581" s="40" t="n">
        <v>45881</v>
      </c>
      <c r="C1581" s="39" t="s">
        <v>107</v>
      </c>
      <c r="D1581" s="39" t="n">
        <v>6</v>
      </c>
      <c r="E1581" s="41" t="n">
        <v>34.86</v>
      </c>
      <c r="F1581" s="39" t="s">
        <v>108</v>
      </c>
      <c r="G1581" s="39" t="str">
        <f aca="false">VLOOKUP(C1581,Products!$A$5:$D$24,2,FALSE())</f>
        <v>USB-C Hub</v>
      </c>
      <c r="H1581" s="39" t="str">
        <f aca="false">VLOOKUP(C1581,Products!$A$5:$D$24,3,FALSE())</f>
        <v>Electronics</v>
      </c>
      <c r="I1581" s="41" t="n">
        <f aca="false">VLOOKUP(C1581,Products!$A$5:$D$24,4,FALSE())</f>
        <v>14</v>
      </c>
      <c r="J1581" s="42" t="n">
        <f aca="false">DATE(YEAR(B1581),MONTH(B1581),1)</f>
        <v>45870</v>
      </c>
      <c r="K1581" s="41" t="n">
        <f aca="false">D1581*E1581</f>
        <v>209.16</v>
      </c>
      <c r="L1581" s="41" t="n">
        <f aca="false">D1581*I1581</f>
        <v>84</v>
      </c>
      <c r="M1581" s="41" t="n">
        <f aca="false">IFERROR(INDEX(Raw_Expenses!$C$5:$C$2979,MATCH(A1581,Raw_Expenses!$A$5:$A$2979,0)),0)</f>
        <v>12.48</v>
      </c>
      <c r="N1581" s="41" t="n">
        <f aca="false">L1581+M1581</f>
        <v>96.48</v>
      </c>
      <c r="O1581" s="41" t="n">
        <f aca="false">K1581-N1581</f>
        <v>112.68</v>
      </c>
      <c r="P1581" s="43" t="n">
        <f aca="false">IF(K1581=0,0,O1581/K1581)</f>
        <v>0.538726333907057</v>
      </c>
    </row>
    <row r="1582" customFormat="false" ht="15" hidden="false" customHeight="false" outlineLevel="0" collapsed="false">
      <c r="A1582" s="39" t="s">
        <v>1704</v>
      </c>
      <c r="B1582" s="40" t="n">
        <v>45881</v>
      </c>
      <c r="C1582" s="39" t="s">
        <v>169</v>
      </c>
      <c r="D1582" s="39" t="n">
        <v>1</v>
      </c>
      <c r="E1582" s="41" t="n">
        <v>28.92</v>
      </c>
      <c r="F1582" s="39" t="s">
        <v>108</v>
      </c>
      <c r="G1582" s="39" t="str">
        <f aca="false">VLOOKUP(C1582,Products!$A$5:$D$24,2,FALSE())</f>
        <v>Laptop Stand</v>
      </c>
      <c r="H1582" s="39" t="str">
        <f aca="false">VLOOKUP(C1582,Products!$A$5:$D$24,3,FALSE())</f>
        <v>Accessories</v>
      </c>
      <c r="I1582" s="41" t="n">
        <f aca="false">VLOOKUP(C1582,Products!$A$5:$D$24,4,FALSE())</f>
        <v>11</v>
      </c>
      <c r="J1582" s="42" t="n">
        <f aca="false">DATE(YEAR(B1582),MONTH(B1582),1)</f>
        <v>45870</v>
      </c>
      <c r="K1582" s="41" t="n">
        <f aca="false">D1582*E1582</f>
        <v>28.92</v>
      </c>
      <c r="L1582" s="41" t="n">
        <f aca="false">D1582*I1582</f>
        <v>11</v>
      </c>
      <c r="M1582" s="41" t="n">
        <f aca="false">IFERROR(INDEX(Raw_Expenses!$C$5:$C$2979,MATCH(A1582,Raw_Expenses!$A$5:$A$2979,0)),0)</f>
        <v>1.59</v>
      </c>
      <c r="N1582" s="41" t="n">
        <f aca="false">L1582+M1582</f>
        <v>12.59</v>
      </c>
      <c r="O1582" s="41" t="n">
        <f aca="false">K1582-N1582</f>
        <v>16.33</v>
      </c>
      <c r="P1582" s="43" t="n">
        <f aca="false">IF(K1582=0,0,O1582/K1582)</f>
        <v>0.564661134163209</v>
      </c>
    </row>
    <row r="1583" customFormat="false" ht="15" hidden="false" customHeight="false" outlineLevel="0" collapsed="false">
      <c r="A1583" s="39" t="s">
        <v>1705</v>
      </c>
      <c r="B1583" s="40" t="n">
        <v>45882</v>
      </c>
      <c r="C1583" s="39" t="s">
        <v>110</v>
      </c>
      <c r="D1583" s="39" t="n">
        <v>1</v>
      </c>
      <c r="E1583" s="41" t="n">
        <v>13.46</v>
      </c>
      <c r="F1583" s="39" t="s">
        <v>105</v>
      </c>
      <c r="G1583" s="39" t="str">
        <f aca="false">VLOOKUP(C1583,Products!$A$5:$D$24,2,FALSE())</f>
        <v>Phone Stand</v>
      </c>
      <c r="H1583" s="39" t="str">
        <f aca="false">VLOOKUP(C1583,Products!$A$5:$D$24,3,FALSE())</f>
        <v>Accessories</v>
      </c>
      <c r="I1583" s="41" t="n">
        <f aca="false">VLOOKUP(C1583,Products!$A$5:$D$24,4,FALSE())</f>
        <v>4</v>
      </c>
      <c r="J1583" s="42" t="n">
        <f aca="false">DATE(YEAR(B1583),MONTH(B1583),1)</f>
        <v>45870</v>
      </c>
      <c r="K1583" s="41" t="n">
        <f aca="false">D1583*E1583</f>
        <v>13.46</v>
      </c>
      <c r="L1583" s="41" t="n">
        <f aca="false">D1583*I1583</f>
        <v>4</v>
      </c>
      <c r="M1583" s="41" t="n">
        <f aca="false">IFERROR(INDEX(Raw_Expenses!$C$5:$C$2979,MATCH(A1583,Raw_Expenses!$A$5:$A$2979,0)),0)</f>
        <v>0.86</v>
      </c>
      <c r="N1583" s="41" t="n">
        <f aca="false">L1583+M1583</f>
        <v>4.86</v>
      </c>
      <c r="O1583" s="41" t="n">
        <f aca="false">K1583-N1583</f>
        <v>8.6</v>
      </c>
      <c r="P1583" s="43" t="n">
        <f aca="false">IF(K1583=0,0,O1583/K1583)</f>
        <v>0.638930163447251</v>
      </c>
    </row>
    <row r="1584" customFormat="false" ht="15" hidden="false" customHeight="false" outlineLevel="0" collapsed="false">
      <c r="A1584" s="39" t="s">
        <v>1706</v>
      </c>
      <c r="B1584" s="40" t="n">
        <v>45882</v>
      </c>
      <c r="C1584" s="39" t="s">
        <v>110</v>
      </c>
      <c r="D1584" s="39" t="n">
        <v>6</v>
      </c>
      <c r="E1584" s="41" t="n">
        <v>13.78</v>
      </c>
      <c r="F1584" s="39" t="s">
        <v>115</v>
      </c>
      <c r="G1584" s="39" t="str">
        <f aca="false">VLOOKUP(C1584,Products!$A$5:$D$24,2,FALSE())</f>
        <v>Phone Stand</v>
      </c>
      <c r="H1584" s="39" t="str">
        <f aca="false">VLOOKUP(C1584,Products!$A$5:$D$24,3,FALSE())</f>
        <v>Accessories</v>
      </c>
      <c r="I1584" s="41" t="n">
        <f aca="false">VLOOKUP(C1584,Products!$A$5:$D$24,4,FALSE())</f>
        <v>4</v>
      </c>
      <c r="J1584" s="42" t="n">
        <f aca="false">DATE(YEAR(B1584),MONTH(B1584),1)</f>
        <v>45870</v>
      </c>
      <c r="K1584" s="41" t="n">
        <f aca="false">D1584*E1584</f>
        <v>82.68</v>
      </c>
      <c r="L1584" s="41" t="n">
        <f aca="false">D1584*I1584</f>
        <v>24</v>
      </c>
      <c r="M1584" s="41" t="n">
        <f aca="false">IFERROR(INDEX(Raw_Expenses!$C$5:$C$2979,MATCH(A1584,Raw_Expenses!$A$5:$A$2979,0)),0)</f>
        <v>6.67</v>
      </c>
      <c r="N1584" s="41" t="n">
        <f aca="false">L1584+M1584</f>
        <v>30.67</v>
      </c>
      <c r="O1584" s="41" t="n">
        <f aca="false">K1584-N1584</f>
        <v>52.01</v>
      </c>
      <c r="P1584" s="43" t="n">
        <f aca="false">IF(K1584=0,0,O1584/K1584)</f>
        <v>0.629051765844219</v>
      </c>
    </row>
    <row r="1585" customFormat="false" ht="15" hidden="false" customHeight="false" outlineLevel="0" collapsed="false">
      <c r="A1585" s="39" t="s">
        <v>1707</v>
      </c>
      <c r="B1585" s="40" t="n">
        <v>45882</v>
      </c>
      <c r="C1585" s="39" t="s">
        <v>183</v>
      </c>
      <c r="D1585" s="39" t="n">
        <v>2</v>
      </c>
      <c r="E1585" s="41" t="n">
        <v>180.06</v>
      </c>
      <c r="F1585" s="39" t="s">
        <v>105</v>
      </c>
      <c r="G1585" s="39" t="str">
        <f aca="false">VLOOKUP(C1585,Products!$A$5:$D$24,2,FALSE())</f>
        <v>Office Chair</v>
      </c>
      <c r="H1585" s="39" t="str">
        <f aca="false">VLOOKUP(C1585,Products!$A$5:$D$24,3,FALSE())</f>
        <v>Furniture</v>
      </c>
      <c r="I1585" s="41" t="n">
        <f aca="false">VLOOKUP(C1585,Products!$A$5:$D$24,4,FALSE())</f>
        <v>85</v>
      </c>
      <c r="J1585" s="42" t="n">
        <f aca="false">DATE(YEAR(B1585),MONTH(B1585),1)</f>
        <v>45870</v>
      </c>
      <c r="K1585" s="41" t="n">
        <f aca="false">D1585*E1585</f>
        <v>360.12</v>
      </c>
      <c r="L1585" s="41" t="n">
        <f aca="false">D1585*I1585</f>
        <v>170</v>
      </c>
      <c r="M1585" s="41" t="n">
        <f aca="false">IFERROR(INDEX(Raw_Expenses!$C$5:$C$2979,MATCH(A1585,Raw_Expenses!$A$5:$A$2979,0)),0)</f>
        <v>20.24</v>
      </c>
      <c r="N1585" s="41" t="n">
        <f aca="false">L1585+M1585</f>
        <v>190.24</v>
      </c>
      <c r="O1585" s="41" t="n">
        <f aca="false">K1585-N1585</f>
        <v>169.88</v>
      </c>
      <c r="P1585" s="43" t="n">
        <f aca="false">IF(K1585=0,0,O1585/K1585)</f>
        <v>0.47173164500722</v>
      </c>
    </row>
    <row r="1586" customFormat="false" ht="15" hidden="false" customHeight="false" outlineLevel="0" collapsed="false">
      <c r="A1586" s="39" t="s">
        <v>1708</v>
      </c>
      <c r="B1586" s="40" t="n">
        <v>45882</v>
      </c>
      <c r="C1586" s="39" t="s">
        <v>139</v>
      </c>
      <c r="D1586" s="39" t="n">
        <v>6</v>
      </c>
      <c r="E1586" s="41" t="n">
        <v>119.97</v>
      </c>
      <c r="F1586" s="39" t="s">
        <v>118</v>
      </c>
      <c r="G1586" s="39" t="str">
        <f aca="false">VLOOKUP(C1586,Products!$A$5:$D$24,2,FALSE())</f>
        <v>Noise-Cancelling Headphones</v>
      </c>
      <c r="H1586" s="39" t="str">
        <f aca="false">VLOOKUP(C1586,Products!$A$5:$D$24,3,FALSE())</f>
        <v>Electronics</v>
      </c>
      <c r="I1586" s="41" t="n">
        <f aca="false">VLOOKUP(C1586,Products!$A$5:$D$24,4,FALSE())</f>
        <v>55</v>
      </c>
      <c r="J1586" s="42" t="n">
        <f aca="false">DATE(YEAR(B1586),MONTH(B1586),1)</f>
        <v>45870</v>
      </c>
      <c r="K1586" s="41" t="n">
        <f aca="false">D1586*E1586</f>
        <v>719.82</v>
      </c>
      <c r="L1586" s="41" t="n">
        <f aca="false">D1586*I1586</f>
        <v>330</v>
      </c>
      <c r="M1586" s="41" t="n">
        <f aca="false">IFERROR(INDEX(Raw_Expenses!$C$5:$C$2979,MATCH(A1586,Raw_Expenses!$A$5:$A$2979,0)),0)</f>
        <v>63</v>
      </c>
      <c r="N1586" s="41" t="n">
        <f aca="false">L1586+M1586</f>
        <v>393</v>
      </c>
      <c r="O1586" s="41" t="n">
        <f aca="false">K1586-N1586</f>
        <v>326.82</v>
      </c>
      <c r="P1586" s="43" t="n">
        <f aca="false">IF(K1586=0,0,O1586/K1586)</f>
        <v>0.454030174210219</v>
      </c>
    </row>
    <row r="1587" customFormat="false" ht="15" hidden="false" customHeight="false" outlineLevel="0" collapsed="false">
      <c r="A1587" s="39" t="s">
        <v>1709</v>
      </c>
      <c r="B1587" s="40" t="n">
        <v>45882</v>
      </c>
      <c r="C1587" s="39" t="s">
        <v>162</v>
      </c>
      <c r="D1587" s="39" t="n">
        <v>2</v>
      </c>
      <c r="E1587" s="41" t="n">
        <v>63.7</v>
      </c>
      <c r="F1587" s="39" t="s">
        <v>105</v>
      </c>
      <c r="G1587" s="39" t="str">
        <f aca="false">VLOOKUP(C1587,Products!$A$5:$D$24,2,FALSE())</f>
        <v>Bluetooth Speaker</v>
      </c>
      <c r="H1587" s="39" t="str">
        <f aca="false">VLOOKUP(C1587,Products!$A$5:$D$24,3,FALSE())</f>
        <v>Electronics</v>
      </c>
      <c r="I1587" s="41" t="n">
        <f aca="false">VLOOKUP(C1587,Products!$A$5:$D$24,4,FALSE())</f>
        <v>28</v>
      </c>
      <c r="J1587" s="42" t="n">
        <f aca="false">DATE(YEAR(B1587),MONTH(B1587),1)</f>
        <v>45870</v>
      </c>
      <c r="K1587" s="41" t="n">
        <f aca="false">D1587*E1587</f>
        <v>127.4</v>
      </c>
      <c r="L1587" s="41" t="n">
        <f aca="false">D1587*I1587</f>
        <v>56</v>
      </c>
      <c r="M1587" s="41" t="n">
        <f aca="false">IFERROR(INDEX(Raw_Expenses!$C$5:$C$2979,MATCH(A1587,Raw_Expenses!$A$5:$A$2979,0)),0)</f>
        <v>6.1</v>
      </c>
      <c r="N1587" s="41" t="n">
        <f aca="false">L1587+M1587</f>
        <v>62.1</v>
      </c>
      <c r="O1587" s="41" t="n">
        <f aca="false">K1587-N1587</f>
        <v>65.3</v>
      </c>
      <c r="P1587" s="43" t="n">
        <f aca="false">IF(K1587=0,0,O1587/K1587)</f>
        <v>0.512558869701727</v>
      </c>
    </row>
    <row r="1588" customFormat="false" ht="15" hidden="false" customHeight="false" outlineLevel="0" collapsed="false">
      <c r="A1588" s="39" t="s">
        <v>1710</v>
      </c>
      <c r="B1588" s="40" t="n">
        <v>45882</v>
      </c>
      <c r="C1588" s="39" t="s">
        <v>128</v>
      </c>
      <c r="D1588" s="39" t="n">
        <v>2</v>
      </c>
      <c r="E1588" s="41" t="n">
        <v>37.98</v>
      </c>
      <c r="F1588" s="39" t="s">
        <v>115</v>
      </c>
      <c r="G1588" s="39" t="str">
        <f aca="false">VLOOKUP(C1588,Products!$A$5:$D$24,2,FALSE())</f>
        <v>Ergonomic Footrest</v>
      </c>
      <c r="H1588" s="39" t="str">
        <f aca="false">VLOOKUP(C1588,Products!$A$5:$D$24,3,FALSE())</f>
        <v>Furniture</v>
      </c>
      <c r="I1588" s="41" t="n">
        <f aca="false">VLOOKUP(C1588,Products!$A$5:$D$24,4,FALSE())</f>
        <v>15</v>
      </c>
      <c r="J1588" s="42" t="n">
        <f aca="false">DATE(YEAR(B1588),MONTH(B1588),1)</f>
        <v>45870</v>
      </c>
      <c r="K1588" s="41" t="n">
        <f aca="false">D1588*E1588</f>
        <v>75.96</v>
      </c>
      <c r="L1588" s="41" t="n">
        <f aca="false">D1588*I1588</f>
        <v>30</v>
      </c>
      <c r="M1588" s="41" t="n">
        <f aca="false">IFERROR(INDEX(Raw_Expenses!$C$5:$C$2979,MATCH(A1588,Raw_Expenses!$A$5:$A$2979,0)),0)</f>
        <v>4.34</v>
      </c>
      <c r="N1588" s="41" t="n">
        <f aca="false">L1588+M1588</f>
        <v>34.34</v>
      </c>
      <c r="O1588" s="41" t="n">
        <f aca="false">K1588-N1588</f>
        <v>41.62</v>
      </c>
      <c r="P1588" s="43" t="n">
        <f aca="false">IF(K1588=0,0,O1588/K1588)</f>
        <v>0.547919957872564</v>
      </c>
    </row>
    <row r="1589" customFormat="false" ht="15" hidden="false" customHeight="false" outlineLevel="0" collapsed="false">
      <c r="A1589" s="39" t="s">
        <v>1711</v>
      </c>
      <c r="B1589" s="40" t="n">
        <v>45882</v>
      </c>
      <c r="C1589" s="39" t="s">
        <v>133</v>
      </c>
      <c r="D1589" s="39" t="n">
        <v>1</v>
      </c>
      <c r="E1589" s="41" t="n">
        <v>8.29</v>
      </c>
      <c r="F1589" s="39" t="s">
        <v>115</v>
      </c>
      <c r="G1589" s="39" t="str">
        <f aca="false">VLOOKUP(C1589,Products!$A$5:$D$24,2,FALSE())</f>
        <v>Printer Paper Ream</v>
      </c>
      <c r="H1589" s="39" t="str">
        <f aca="false">VLOOKUP(C1589,Products!$A$5:$D$24,3,FALSE())</f>
        <v>Stationery</v>
      </c>
      <c r="I1589" s="41" t="n">
        <f aca="false">VLOOKUP(C1589,Products!$A$5:$D$24,4,FALSE())</f>
        <v>4</v>
      </c>
      <c r="J1589" s="42" t="n">
        <f aca="false">DATE(YEAR(B1589),MONTH(B1589),1)</f>
        <v>45870</v>
      </c>
      <c r="K1589" s="41" t="n">
        <f aca="false">D1589*E1589</f>
        <v>8.29</v>
      </c>
      <c r="L1589" s="41" t="n">
        <f aca="false">D1589*I1589</f>
        <v>4</v>
      </c>
      <c r="M1589" s="41" t="n">
        <f aca="false">IFERROR(INDEX(Raw_Expenses!$C$5:$C$2979,MATCH(A1589,Raw_Expenses!$A$5:$A$2979,0)),0)</f>
        <v>0.46</v>
      </c>
      <c r="N1589" s="41" t="n">
        <f aca="false">L1589+M1589</f>
        <v>4.46</v>
      </c>
      <c r="O1589" s="41" t="n">
        <f aca="false">K1589-N1589</f>
        <v>3.83</v>
      </c>
      <c r="P1589" s="43" t="n">
        <f aca="false">IF(K1589=0,0,O1589/K1589)</f>
        <v>0.462002412545235</v>
      </c>
    </row>
    <row r="1590" customFormat="false" ht="15" hidden="false" customHeight="false" outlineLevel="0" collapsed="false">
      <c r="A1590" s="39" t="s">
        <v>1712</v>
      </c>
      <c r="B1590" s="40" t="n">
        <v>45882</v>
      </c>
      <c r="C1590" s="39" t="s">
        <v>114</v>
      </c>
      <c r="D1590" s="39" t="n">
        <v>3</v>
      </c>
      <c r="E1590" s="41" t="n">
        <v>5.92</v>
      </c>
      <c r="F1590" s="39" t="s">
        <v>105</v>
      </c>
      <c r="G1590" s="39" t="str">
        <f aca="false">VLOOKUP(C1590,Products!$A$5:$D$24,2,FALSE())</f>
        <v>Gel Pen Pack</v>
      </c>
      <c r="H1590" s="39" t="str">
        <f aca="false">VLOOKUP(C1590,Products!$A$5:$D$24,3,FALSE())</f>
        <v>Stationery</v>
      </c>
      <c r="I1590" s="41" t="n">
        <f aca="false">VLOOKUP(C1590,Products!$A$5:$D$24,4,FALSE())</f>
        <v>2</v>
      </c>
      <c r="J1590" s="42" t="n">
        <f aca="false">DATE(YEAR(B1590),MONTH(B1590),1)</f>
        <v>45870</v>
      </c>
      <c r="K1590" s="41" t="n">
        <f aca="false">D1590*E1590</f>
        <v>17.76</v>
      </c>
      <c r="L1590" s="41" t="n">
        <f aca="false">D1590*I1590</f>
        <v>6</v>
      </c>
      <c r="M1590" s="41" t="n">
        <f aca="false">IFERROR(INDEX(Raw_Expenses!$C$5:$C$2979,MATCH(A1590,Raw_Expenses!$A$5:$A$2979,0)),0)</f>
        <v>1.45</v>
      </c>
      <c r="N1590" s="41" t="n">
        <f aca="false">L1590+M1590</f>
        <v>7.45</v>
      </c>
      <c r="O1590" s="41" t="n">
        <f aca="false">K1590-N1590</f>
        <v>10.31</v>
      </c>
      <c r="P1590" s="43" t="n">
        <f aca="false">IF(K1590=0,0,O1590/K1590)</f>
        <v>0.580518018018018</v>
      </c>
    </row>
    <row r="1591" customFormat="false" ht="15" hidden="false" customHeight="false" outlineLevel="0" collapsed="false">
      <c r="A1591" s="39" t="s">
        <v>1713</v>
      </c>
      <c r="B1591" s="40" t="n">
        <v>45882</v>
      </c>
      <c r="C1591" s="39" t="s">
        <v>104</v>
      </c>
      <c r="D1591" s="39" t="n">
        <v>1</v>
      </c>
      <c r="E1591" s="41" t="n">
        <v>14.95</v>
      </c>
      <c r="F1591" s="39" t="s">
        <v>108</v>
      </c>
      <c r="G1591" s="39" t="str">
        <f aca="false">VLOOKUP(C1591,Products!$A$5:$D$24,2,FALSE())</f>
        <v>Water Bottle</v>
      </c>
      <c r="H1591" s="39" t="str">
        <f aca="false">VLOOKUP(C1591,Products!$A$5:$D$24,3,FALSE())</f>
        <v>Accessories</v>
      </c>
      <c r="I1591" s="41" t="n">
        <f aca="false">VLOOKUP(C1591,Products!$A$5:$D$24,4,FALSE())</f>
        <v>5</v>
      </c>
      <c r="J1591" s="42" t="n">
        <f aca="false">DATE(YEAR(B1591),MONTH(B1591),1)</f>
        <v>45870</v>
      </c>
      <c r="K1591" s="41" t="n">
        <f aca="false">D1591*E1591</f>
        <v>14.95</v>
      </c>
      <c r="L1591" s="41" t="n">
        <f aca="false">D1591*I1591</f>
        <v>5</v>
      </c>
      <c r="M1591" s="41" t="n">
        <f aca="false">IFERROR(INDEX(Raw_Expenses!$C$5:$C$2979,MATCH(A1591,Raw_Expenses!$A$5:$A$2979,0)),0)</f>
        <v>0.99</v>
      </c>
      <c r="N1591" s="41" t="n">
        <f aca="false">L1591+M1591</f>
        <v>5.99</v>
      </c>
      <c r="O1591" s="41" t="n">
        <f aca="false">K1591-N1591</f>
        <v>8.96</v>
      </c>
      <c r="P1591" s="43" t="n">
        <f aca="false">IF(K1591=0,0,O1591/K1591)</f>
        <v>0.59933110367893</v>
      </c>
    </row>
    <row r="1592" customFormat="false" ht="15" hidden="false" customHeight="false" outlineLevel="0" collapsed="false">
      <c r="A1592" s="39" t="s">
        <v>1714</v>
      </c>
      <c r="B1592" s="40" t="n">
        <v>45882</v>
      </c>
      <c r="C1592" s="39" t="s">
        <v>114</v>
      </c>
      <c r="D1592" s="39" t="n">
        <v>1</v>
      </c>
      <c r="E1592" s="41" t="n">
        <v>5.75</v>
      </c>
      <c r="F1592" s="39" t="s">
        <v>118</v>
      </c>
      <c r="G1592" s="39" t="str">
        <f aca="false">VLOOKUP(C1592,Products!$A$5:$D$24,2,FALSE())</f>
        <v>Gel Pen Pack</v>
      </c>
      <c r="H1592" s="39" t="str">
        <f aca="false">VLOOKUP(C1592,Products!$A$5:$D$24,3,FALSE())</f>
        <v>Stationery</v>
      </c>
      <c r="I1592" s="41" t="n">
        <f aca="false">VLOOKUP(C1592,Products!$A$5:$D$24,4,FALSE())</f>
        <v>2</v>
      </c>
      <c r="J1592" s="42" t="n">
        <f aca="false">DATE(YEAR(B1592),MONTH(B1592),1)</f>
        <v>45870</v>
      </c>
      <c r="K1592" s="41" t="n">
        <f aca="false">D1592*E1592</f>
        <v>5.75</v>
      </c>
      <c r="L1592" s="41" t="n">
        <f aca="false">D1592*I1592</f>
        <v>2</v>
      </c>
      <c r="M1592" s="41" t="n">
        <f aca="false">IFERROR(INDEX(Raw_Expenses!$C$5:$C$2979,MATCH(A1592,Raw_Expenses!$A$5:$A$2979,0)),0)</f>
        <v>0.28</v>
      </c>
      <c r="N1592" s="41" t="n">
        <f aca="false">L1592+M1592</f>
        <v>2.28</v>
      </c>
      <c r="O1592" s="41" t="n">
        <f aca="false">K1592-N1592</f>
        <v>3.47</v>
      </c>
      <c r="P1592" s="43" t="n">
        <f aca="false">IF(K1592=0,0,O1592/K1592)</f>
        <v>0.603478260869565</v>
      </c>
    </row>
    <row r="1593" customFormat="false" ht="15" hidden="false" customHeight="false" outlineLevel="0" collapsed="false">
      <c r="A1593" s="39" t="s">
        <v>1715</v>
      </c>
      <c r="B1593" s="40" t="n">
        <v>45882</v>
      </c>
      <c r="C1593" s="39" t="s">
        <v>117</v>
      </c>
      <c r="D1593" s="39" t="n">
        <v>2</v>
      </c>
      <c r="E1593" s="41" t="n">
        <v>31.93</v>
      </c>
      <c r="F1593" s="39" t="s">
        <v>105</v>
      </c>
      <c r="G1593" s="39" t="str">
        <f aca="false">VLOOKUP(C1593,Products!$A$5:$D$24,2,FALSE())</f>
        <v>Desk Lamp</v>
      </c>
      <c r="H1593" s="39" t="str">
        <f aca="false">VLOOKUP(C1593,Products!$A$5:$D$24,3,FALSE())</f>
        <v>Furniture</v>
      </c>
      <c r="I1593" s="41" t="n">
        <f aca="false">VLOOKUP(C1593,Products!$A$5:$D$24,4,FALSE())</f>
        <v>13</v>
      </c>
      <c r="J1593" s="42" t="n">
        <f aca="false">DATE(YEAR(B1593),MONTH(B1593),1)</f>
        <v>45870</v>
      </c>
      <c r="K1593" s="41" t="n">
        <f aca="false">D1593*E1593</f>
        <v>63.86</v>
      </c>
      <c r="L1593" s="41" t="n">
        <f aca="false">D1593*I1593</f>
        <v>26</v>
      </c>
      <c r="M1593" s="41" t="n">
        <f aca="false">IFERROR(INDEX(Raw_Expenses!$C$5:$C$2979,MATCH(A1593,Raw_Expenses!$A$5:$A$2979,0)),0)</f>
        <v>3.16</v>
      </c>
      <c r="N1593" s="41" t="n">
        <f aca="false">L1593+M1593</f>
        <v>29.16</v>
      </c>
      <c r="O1593" s="41" t="n">
        <f aca="false">K1593-N1593</f>
        <v>34.7</v>
      </c>
      <c r="P1593" s="43" t="n">
        <f aca="false">IF(K1593=0,0,O1593/K1593)</f>
        <v>0.54337613529596</v>
      </c>
    </row>
    <row r="1594" customFormat="false" ht="15" hidden="false" customHeight="false" outlineLevel="0" collapsed="false">
      <c r="A1594" s="39" t="s">
        <v>1716</v>
      </c>
      <c r="B1594" s="40" t="n">
        <v>45882</v>
      </c>
      <c r="C1594" s="39" t="s">
        <v>130</v>
      </c>
      <c r="D1594" s="39" t="n">
        <v>2</v>
      </c>
      <c r="E1594" s="41" t="n">
        <v>8.83</v>
      </c>
      <c r="F1594" s="39" t="s">
        <v>105</v>
      </c>
      <c r="G1594" s="39" t="str">
        <f aca="false">VLOOKUP(C1594,Products!$A$5:$D$24,2,FALSE())</f>
        <v>Notebook Set</v>
      </c>
      <c r="H1594" s="39" t="str">
        <f aca="false">VLOOKUP(C1594,Products!$A$5:$D$24,3,FALSE())</f>
        <v>Stationery</v>
      </c>
      <c r="I1594" s="41" t="n">
        <f aca="false">VLOOKUP(C1594,Products!$A$5:$D$24,4,FALSE())</f>
        <v>3</v>
      </c>
      <c r="J1594" s="42" t="n">
        <f aca="false">DATE(YEAR(B1594),MONTH(B1594),1)</f>
        <v>45870</v>
      </c>
      <c r="K1594" s="41" t="n">
        <f aca="false">D1594*E1594</f>
        <v>17.66</v>
      </c>
      <c r="L1594" s="41" t="n">
        <f aca="false">D1594*I1594</f>
        <v>6</v>
      </c>
      <c r="M1594" s="41" t="n">
        <f aca="false">IFERROR(INDEX(Raw_Expenses!$C$5:$C$2979,MATCH(A1594,Raw_Expenses!$A$5:$A$2979,0)),0)</f>
        <v>0.91</v>
      </c>
      <c r="N1594" s="41" t="n">
        <f aca="false">L1594+M1594</f>
        <v>6.91</v>
      </c>
      <c r="O1594" s="41" t="n">
        <f aca="false">K1594-N1594</f>
        <v>10.75</v>
      </c>
      <c r="P1594" s="43" t="n">
        <f aca="false">IF(K1594=0,0,O1594/K1594)</f>
        <v>0.608720271800679</v>
      </c>
    </row>
    <row r="1595" customFormat="false" ht="15" hidden="false" customHeight="false" outlineLevel="0" collapsed="false">
      <c r="A1595" s="39" t="s">
        <v>1717</v>
      </c>
      <c r="B1595" s="40" t="n">
        <v>45882</v>
      </c>
      <c r="C1595" s="39" t="s">
        <v>104</v>
      </c>
      <c r="D1595" s="39" t="n">
        <v>1</v>
      </c>
      <c r="E1595" s="41" t="n">
        <v>14.87</v>
      </c>
      <c r="F1595" s="39" t="s">
        <v>118</v>
      </c>
      <c r="G1595" s="39" t="str">
        <f aca="false">VLOOKUP(C1595,Products!$A$5:$D$24,2,FALSE())</f>
        <v>Water Bottle</v>
      </c>
      <c r="H1595" s="39" t="str">
        <f aca="false">VLOOKUP(C1595,Products!$A$5:$D$24,3,FALSE())</f>
        <v>Accessories</v>
      </c>
      <c r="I1595" s="41" t="n">
        <f aca="false">VLOOKUP(C1595,Products!$A$5:$D$24,4,FALSE())</f>
        <v>5</v>
      </c>
      <c r="J1595" s="42" t="n">
        <f aca="false">DATE(YEAR(B1595),MONTH(B1595),1)</f>
        <v>45870</v>
      </c>
      <c r="K1595" s="41" t="n">
        <f aca="false">D1595*E1595</f>
        <v>14.87</v>
      </c>
      <c r="L1595" s="41" t="n">
        <f aca="false">D1595*I1595</f>
        <v>5</v>
      </c>
      <c r="M1595" s="41" t="n">
        <f aca="false">IFERROR(INDEX(Raw_Expenses!$C$5:$C$2979,MATCH(A1595,Raw_Expenses!$A$5:$A$2979,0)),0)</f>
        <v>0.64</v>
      </c>
      <c r="N1595" s="41" t="n">
        <f aca="false">L1595+M1595</f>
        <v>5.64</v>
      </c>
      <c r="O1595" s="41" t="n">
        <f aca="false">K1595-N1595</f>
        <v>9.23</v>
      </c>
      <c r="P1595" s="43" t="n">
        <f aca="false">IF(K1595=0,0,O1595/K1595)</f>
        <v>0.620712844653665</v>
      </c>
    </row>
    <row r="1596" customFormat="false" ht="15" hidden="false" customHeight="false" outlineLevel="0" collapsed="false">
      <c r="A1596" s="39" t="s">
        <v>1718</v>
      </c>
      <c r="B1596" s="40" t="n">
        <v>45882</v>
      </c>
      <c r="C1596" s="39" t="s">
        <v>133</v>
      </c>
      <c r="D1596" s="39" t="n">
        <v>1</v>
      </c>
      <c r="E1596" s="41" t="n">
        <v>8.31</v>
      </c>
      <c r="F1596" s="39" t="s">
        <v>105</v>
      </c>
      <c r="G1596" s="39" t="str">
        <f aca="false">VLOOKUP(C1596,Products!$A$5:$D$24,2,FALSE())</f>
        <v>Printer Paper Ream</v>
      </c>
      <c r="H1596" s="39" t="str">
        <f aca="false">VLOOKUP(C1596,Products!$A$5:$D$24,3,FALSE())</f>
        <v>Stationery</v>
      </c>
      <c r="I1596" s="41" t="n">
        <f aca="false">VLOOKUP(C1596,Products!$A$5:$D$24,4,FALSE())</f>
        <v>4</v>
      </c>
      <c r="J1596" s="42" t="n">
        <f aca="false">DATE(YEAR(B1596),MONTH(B1596),1)</f>
        <v>45870</v>
      </c>
      <c r="K1596" s="41" t="n">
        <f aca="false">D1596*E1596</f>
        <v>8.31</v>
      </c>
      <c r="L1596" s="41" t="n">
        <f aca="false">D1596*I1596</f>
        <v>4</v>
      </c>
      <c r="M1596" s="41" t="n">
        <f aca="false">IFERROR(INDEX(Raw_Expenses!$C$5:$C$2979,MATCH(A1596,Raw_Expenses!$A$5:$A$2979,0)),0)</f>
        <v>0.55</v>
      </c>
      <c r="N1596" s="41" t="n">
        <f aca="false">L1596+M1596</f>
        <v>4.55</v>
      </c>
      <c r="O1596" s="41" t="n">
        <f aca="false">K1596-N1596</f>
        <v>3.76</v>
      </c>
      <c r="P1596" s="43" t="n">
        <f aca="false">IF(K1596=0,0,O1596/K1596)</f>
        <v>0.452466907340554</v>
      </c>
    </row>
    <row r="1597" customFormat="false" ht="15" hidden="false" customHeight="false" outlineLevel="0" collapsed="false">
      <c r="A1597" s="39" t="s">
        <v>1719</v>
      </c>
      <c r="B1597" s="40" t="n">
        <v>45882</v>
      </c>
      <c r="C1597" s="39" t="s">
        <v>114</v>
      </c>
      <c r="D1597" s="39" t="n">
        <v>4</v>
      </c>
      <c r="E1597" s="41" t="n">
        <v>5.76</v>
      </c>
      <c r="F1597" s="39" t="s">
        <v>108</v>
      </c>
      <c r="G1597" s="39" t="str">
        <f aca="false">VLOOKUP(C1597,Products!$A$5:$D$24,2,FALSE())</f>
        <v>Gel Pen Pack</v>
      </c>
      <c r="H1597" s="39" t="str">
        <f aca="false">VLOOKUP(C1597,Products!$A$5:$D$24,3,FALSE())</f>
        <v>Stationery</v>
      </c>
      <c r="I1597" s="41" t="n">
        <f aca="false">VLOOKUP(C1597,Products!$A$5:$D$24,4,FALSE())</f>
        <v>2</v>
      </c>
      <c r="J1597" s="42" t="n">
        <f aca="false">DATE(YEAR(B1597),MONTH(B1597),1)</f>
        <v>45870</v>
      </c>
      <c r="K1597" s="41" t="n">
        <f aca="false">D1597*E1597</f>
        <v>23.04</v>
      </c>
      <c r="L1597" s="41" t="n">
        <f aca="false">D1597*I1597</f>
        <v>8</v>
      </c>
      <c r="M1597" s="41" t="n">
        <f aca="false">IFERROR(INDEX(Raw_Expenses!$C$5:$C$2979,MATCH(A1597,Raw_Expenses!$A$5:$A$2979,0)),0)</f>
        <v>1.92</v>
      </c>
      <c r="N1597" s="41" t="n">
        <f aca="false">L1597+M1597</f>
        <v>9.92</v>
      </c>
      <c r="O1597" s="41" t="n">
        <f aca="false">K1597-N1597</f>
        <v>13.12</v>
      </c>
      <c r="P1597" s="43" t="n">
        <f aca="false">IF(K1597=0,0,O1597/K1597)</f>
        <v>0.569444444444444</v>
      </c>
    </row>
    <row r="1598" customFormat="false" ht="15" hidden="false" customHeight="false" outlineLevel="0" collapsed="false">
      <c r="A1598" s="39" t="s">
        <v>1720</v>
      </c>
      <c r="B1598" s="40" t="n">
        <v>45882</v>
      </c>
      <c r="C1598" s="39" t="s">
        <v>114</v>
      </c>
      <c r="D1598" s="39" t="n">
        <v>1</v>
      </c>
      <c r="E1598" s="41" t="n">
        <v>5.6</v>
      </c>
      <c r="F1598" s="39" t="s">
        <v>115</v>
      </c>
      <c r="G1598" s="39" t="str">
        <f aca="false">VLOOKUP(C1598,Products!$A$5:$D$24,2,FALSE())</f>
        <v>Gel Pen Pack</v>
      </c>
      <c r="H1598" s="39" t="str">
        <f aca="false">VLOOKUP(C1598,Products!$A$5:$D$24,3,FALSE())</f>
        <v>Stationery</v>
      </c>
      <c r="I1598" s="41" t="n">
        <f aca="false">VLOOKUP(C1598,Products!$A$5:$D$24,4,FALSE())</f>
        <v>2</v>
      </c>
      <c r="J1598" s="42" t="n">
        <f aca="false">DATE(YEAR(B1598),MONTH(B1598),1)</f>
        <v>45870</v>
      </c>
      <c r="K1598" s="41" t="n">
        <f aca="false">D1598*E1598</f>
        <v>5.6</v>
      </c>
      <c r="L1598" s="41" t="n">
        <f aca="false">D1598*I1598</f>
        <v>2</v>
      </c>
      <c r="M1598" s="41" t="n">
        <f aca="false">IFERROR(INDEX(Raw_Expenses!$C$5:$C$2979,MATCH(A1598,Raw_Expenses!$A$5:$A$2979,0)),0)</f>
        <v>0.38</v>
      </c>
      <c r="N1598" s="41" t="n">
        <f aca="false">L1598+M1598</f>
        <v>2.38</v>
      </c>
      <c r="O1598" s="41" t="n">
        <f aca="false">K1598-N1598</f>
        <v>3.22</v>
      </c>
      <c r="P1598" s="43" t="n">
        <f aca="false">IF(K1598=0,0,O1598/K1598)</f>
        <v>0.575</v>
      </c>
    </row>
    <row r="1599" customFormat="false" ht="15" hidden="false" customHeight="false" outlineLevel="0" collapsed="false">
      <c r="A1599" s="39" t="s">
        <v>1721</v>
      </c>
      <c r="B1599" s="40" t="n">
        <v>45883</v>
      </c>
      <c r="C1599" s="39" t="s">
        <v>126</v>
      </c>
      <c r="D1599" s="39" t="n">
        <v>1</v>
      </c>
      <c r="E1599" s="41" t="n">
        <v>24.47</v>
      </c>
      <c r="F1599" s="39" t="s">
        <v>118</v>
      </c>
      <c r="G1599" s="39" t="str">
        <f aca="false">VLOOKUP(C1599,Products!$A$5:$D$24,2,FALSE())</f>
        <v>Wireless Mouse</v>
      </c>
      <c r="H1599" s="39" t="str">
        <f aca="false">VLOOKUP(C1599,Products!$A$5:$D$24,3,FALSE())</f>
        <v>Electronics</v>
      </c>
      <c r="I1599" s="41" t="n">
        <f aca="false">VLOOKUP(C1599,Products!$A$5:$D$24,4,FALSE())</f>
        <v>12</v>
      </c>
      <c r="J1599" s="42" t="n">
        <f aca="false">DATE(YEAR(B1599),MONTH(B1599),1)</f>
        <v>45870</v>
      </c>
      <c r="K1599" s="41" t="n">
        <f aca="false">D1599*E1599</f>
        <v>24.47</v>
      </c>
      <c r="L1599" s="41" t="n">
        <f aca="false">D1599*I1599</f>
        <v>12</v>
      </c>
      <c r="M1599" s="41" t="n">
        <f aca="false">IFERROR(INDEX(Raw_Expenses!$C$5:$C$2979,MATCH(A1599,Raw_Expenses!$A$5:$A$2979,0)),0)</f>
        <v>2.02</v>
      </c>
      <c r="N1599" s="41" t="n">
        <f aca="false">L1599+M1599</f>
        <v>14.02</v>
      </c>
      <c r="O1599" s="41" t="n">
        <f aca="false">K1599-N1599</f>
        <v>10.45</v>
      </c>
      <c r="P1599" s="43" t="n">
        <f aca="false">IF(K1599=0,0,O1599/K1599)</f>
        <v>0.427053534940744</v>
      </c>
    </row>
    <row r="1600" customFormat="false" ht="15" hidden="false" customHeight="false" outlineLevel="0" collapsed="false">
      <c r="A1600" s="39" t="s">
        <v>1722</v>
      </c>
      <c r="B1600" s="40" t="n">
        <v>45883</v>
      </c>
      <c r="C1600" s="39" t="s">
        <v>107</v>
      </c>
      <c r="D1600" s="39" t="n">
        <v>2</v>
      </c>
      <c r="E1600" s="41" t="n">
        <v>34.54</v>
      </c>
      <c r="F1600" s="39" t="s">
        <v>115</v>
      </c>
      <c r="G1600" s="39" t="str">
        <f aca="false">VLOOKUP(C1600,Products!$A$5:$D$24,2,FALSE())</f>
        <v>USB-C Hub</v>
      </c>
      <c r="H1600" s="39" t="str">
        <f aca="false">VLOOKUP(C1600,Products!$A$5:$D$24,3,FALSE())</f>
        <v>Electronics</v>
      </c>
      <c r="I1600" s="41" t="n">
        <f aca="false">VLOOKUP(C1600,Products!$A$5:$D$24,4,FALSE())</f>
        <v>14</v>
      </c>
      <c r="J1600" s="42" t="n">
        <f aca="false">DATE(YEAR(B1600),MONTH(B1600),1)</f>
        <v>45870</v>
      </c>
      <c r="K1600" s="41" t="n">
        <f aca="false">D1600*E1600</f>
        <v>69.08</v>
      </c>
      <c r="L1600" s="41" t="n">
        <f aca="false">D1600*I1600</f>
        <v>28</v>
      </c>
      <c r="M1600" s="41" t="n">
        <f aca="false">IFERROR(INDEX(Raw_Expenses!$C$5:$C$2979,MATCH(A1600,Raw_Expenses!$A$5:$A$2979,0)),0)</f>
        <v>5.9</v>
      </c>
      <c r="N1600" s="41" t="n">
        <f aca="false">L1600+M1600</f>
        <v>33.9</v>
      </c>
      <c r="O1600" s="41" t="n">
        <f aca="false">K1600-N1600</f>
        <v>35.18</v>
      </c>
      <c r="P1600" s="43" t="n">
        <f aca="false">IF(K1600=0,0,O1600/K1600)</f>
        <v>0.509264620729589</v>
      </c>
    </row>
    <row r="1601" customFormat="false" ht="15" hidden="false" customHeight="false" outlineLevel="0" collapsed="false">
      <c r="A1601" s="39" t="s">
        <v>1723</v>
      </c>
      <c r="B1601" s="40" t="n">
        <v>45883</v>
      </c>
      <c r="C1601" s="39" t="s">
        <v>117</v>
      </c>
      <c r="D1601" s="39" t="n">
        <v>6</v>
      </c>
      <c r="E1601" s="41" t="n">
        <v>31.59</v>
      </c>
      <c r="F1601" s="39" t="s">
        <v>105</v>
      </c>
      <c r="G1601" s="39" t="str">
        <f aca="false">VLOOKUP(C1601,Products!$A$5:$D$24,2,FALSE())</f>
        <v>Desk Lamp</v>
      </c>
      <c r="H1601" s="39" t="str">
        <f aca="false">VLOOKUP(C1601,Products!$A$5:$D$24,3,FALSE())</f>
        <v>Furniture</v>
      </c>
      <c r="I1601" s="41" t="n">
        <f aca="false">VLOOKUP(C1601,Products!$A$5:$D$24,4,FALSE())</f>
        <v>13</v>
      </c>
      <c r="J1601" s="42" t="n">
        <f aca="false">DATE(YEAR(B1601),MONTH(B1601),1)</f>
        <v>45870</v>
      </c>
      <c r="K1601" s="41" t="n">
        <f aca="false">D1601*E1601</f>
        <v>189.54</v>
      </c>
      <c r="L1601" s="41" t="n">
        <f aca="false">D1601*I1601</f>
        <v>78</v>
      </c>
      <c r="M1601" s="41" t="n">
        <f aca="false">IFERROR(INDEX(Raw_Expenses!$C$5:$C$2979,MATCH(A1601,Raw_Expenses!$A$5:$A$2979,0)),0)</f>
        <v>7.74</v>
      </c>
      <c r="N1601" s="41" t="n">
        <f aca="false">L1601+M1601</f>
        <v>85.74</v>
      </c>
      <c r="O1601" s="41" t="n">
        <f aca="false">K1601-N1601</f>
        <v>103.8</v>
      </c>
      <c r="P1601" s="43" t="n">
        <f aca="false">IF(K1601=0,0,O1601/K1601)</f>
        <v>0.54764165875277</v>
      </c>
    </row>
    <row r="1602" customFormat="false" ht="15" hidden="false" customHeight="false" outlineLevel="0" collapsed="false">
      <c r="A1602" s="39" t="s">
        <v>1724</v>
      </c>
      <c r="B1602" s="40" t="n">
        <v>45883</v>
      </c>
      <c r="C1602" s="39" t="s">
        <v>136</v>
      </c>
      <c r="D1602" s="39" t="n">
        <v>1</v>
      </c>
      <c r="E1602" s="41" t="n">
        <v>76.83</v>
      </c>
      <c r="F1602" s="39" t="s">
        <v>105</v>
      </c>
      <c r="G1602" s="39" t="str">
        <f aca="false">VLOOKUP(C1602,Products!$A$5:$D$24,2,FALSE())</f>
        <v>Mechanical Keyboard</v>
      </c>
      <c r="H1602" s="39" t="str">
        <f aca="false">VLOOKUP(C1602,Products!$A$5:$D$24,3,FALSE())</f>
        <v>Electronics</v>
      </c>
      <c r="I1602" s="41" t="n">
        <f aca="false">VLOOKUP(C1602,Products!$A$5:$D$24,4,FALSE())</f>
        <v>38</v>
      </c>
      <c r="J1602" s="42" t="n">
        <f aca="false">DATE(YEAR(B1602),MONTH(B1602),1)</f>
        <v>45870</v>
      </c>
      <c r="K1602" s="41" t="n">
        <f aca="false">D1602*E1602</f>
        <v>76.83</v>
      </c>
      <c r="L1602" s="41" t="n">
        <f aca="false">D1602*I1602</f>
        <v>38</v>
      </c>
      <c r="M1602" s="41" t="n">
        <f aca="false">IFERROR(INDEX(Raw_Expenses!$C$5:$C$2979,MATCH(A1602,Raw_Expenses!$A$5:$A$2979,0)),0)</f>
        <v>6.02</v>
      </c>
      <c r="N1602" s="41" t="n">
        <f aca="false">L1602+M1602</f>
        <v>44.02</v>
      </c>
      <c r="O1602" s="41" t="n">
        <f aca="false">K1602-N1602</f>
        <v>32.81</v>
      </c>
      <c r="P1602" s="43" t="n">
        <f aca="false">IF(K1602=0,0,O1602/K1602)</f>
        <v>0.427046726539112</v>
      </c>
    </row>
    <row r="1603" customFormat="false" ht="15" hidden="false" customHeight="false" outlineLevel="0" collapsed="false">
      <c r="A1603" s="39" t="s">
        <v>1725</v>
      </c>
      <c r="B1603" s="40" t="n">
        <v>45883</v>
      </c>
      <c r="C1603" s="39" t="s">
        <v>114</v>
      </c>
      <c r="D1603" s="39" t="n">
        <v>1</v>
      </c>
      <c r="E1603" s="41" t="n">
        <v>5.7</v>
      </c>
      <c r="F1603" s="39" t="s">
        <v>105</v>
      </c>
      <c r="G1603" s="39" t="str">
        <f aca="false">VLOOKUP(C1603,Products!$A$5:$D$24,2,FALSE())</f>
        <v>Gel Pen Pack</v>
      </c>
      <c r="H1603" s="39" t="str">
        <f aca="false">VLOOKUP(C1603,Products!$A$5:$D$24,3,FALSE())</f>
        <v>Stationery</v>
      </c>
      <c r="I1603" s="41" t="n">
        <f aca="false">VLOOKUP(C1603,Products!$A$5:$D$24,4,FALSE())</f>
        <v>2</v>
      </c>
      <c r="J1603" s="42" t="n">
        <f aca="false">DATE(YEAR(B1603),MONTH(B1603),1)</f>
        <v>45870</v>
      </c>
      <c r="K1603" s="41" t="n">
        <f aca="false">D1603*E1603</f>
        <v>5.7</v>
      </c>
      <c r="L1603" s="41" t="n">
        <f aca="false">D1603*I1603</f>
        <v>2</v>
      </c>
      <c r="M1603" s="41" t="n">
        <f aca="false">IFERROR(INDEX(Raw_Expenses!$C$5:$C$2979,MATCH(A1603,Raw_Expenses!$A$5:$A$2979,0)),0)</f>
        <v>0.3</v>
      </c>
      <c r="N1603" s="41" t="n">
        <f aca="false">L1603+M1603</f>
        <v>2.3</v>
      </c>
      <c r="O1603" s="41" t="n">
        <f aca="false">K1603-N1603</f>
        <v>3.4</v>
      </c>
      <c r="P1603" s="43" t="n">
        <f aca="false">IF(K1603=0,0,O1603/K1603)</f>
        <v>0.596491228070176</v>
      </c>
    </row>
    <row r="1604" customFormat="false" ht="15" hidden="false" customHeight="false" outlineLevel="0" collapsed="false">
      <c r="A1604" s="39" t="s">
        <v>1726</v>
      </c>
      <c r="B1604" s="40" t="n">
        <v>45883</v>
      </c>
      <c r="C1604" s="39" t="s">
        <v>126</v>
      </c>
      <c r="D1604" s="39" t="n">
        <v>3</v>
      </c>
      <c r="E1604" s="41" t="n">
        <v>24.7</v>
      </c>
      <c r="F1604" s="39" t="s">
        <v>115</v>
      </c>
      <c r="G1604" s="39" t="str">
        <f aca="false">VLOOKUP(C1604,Products!$A$5:$D$24,2,FALSE())</f>
        <v>Wireless Mouse</v>
      </c>
      <c r="H1604" s="39" t="str">
        <f aca="false">VLOOKUP(C1604,Products!$A$5:$D$24,3,FALSE())</f>
        <v>Electronics</v>
      </c>
      <c r="I1604" s="41" t="n">
        <f aca="false">VLOOKUP(C1604,Products!$A$5:$D$24,4,FALSE())</f>
        <v>12</v>
      </c>
      <c r="J1604" s="42" t="n">
        <f aca="false">DATE(YEAR(B1604),MONTH(B1604),1)</f>
        <v>45870</v>
      </c>
      <c r="K1604" s="41" t="n">
        <f aca="false">D1604*E1604</f>
        <v>74.1</v>
      </c>
      <c r="L1604" s="41" t="n">
        <f aca="false">D1604*I1604</f>
        <v>36</v>
      </c>
      <c r="M1604" s="41" t="n">
        <f aca="false">IFERROR(INDEX(Raw_Expenses!$C$5:$C$2979,MATCH(A1604,Raw_Expenses!$A$5:$A$2979,0)),0)</f>
        <v>5.69</v>
      </c>
      <c r="N1604" s="41" t="n">
        <f aca="false">L1604+M1604</f>
        <v>41.69</v>
      </c>
      <c r="O1604" s="41" t="n">
        <f aca="false">K1604-N1604</f>
        <v>32.41</v>
      </c>
      <c r="P1604" s="43" t="n">
        <f aca="false">IF(K1604=0,0,O1604/K1604)</f>
        <v>0.437381916329285</v>
      </c>
    </row>
    <row r="1605" customFormat="false" ht="15" hidden="false" customHeight="false" outlineLevel="0" collapsed="false">
      <c r="A1605" s="39" t="s">
        <v>1727</v>
      </c>
      <c r="B1605" s="40" t="n">
        <v>45883</v>
      </c>
      <c r="C1605" s="39" t="s">
        <v>130</v>
      </c>
      <c r="D1605" s="39" t="n">
        <v>3</v>
      </c>
      <c r="E1605" s="41" t="n">
        <v>8.78</v>
      </c>
      <c r="F1605" s="39" t="s">
        <v>118</v>
      </c>
      <c r="G1605" s="39" t="str">
        <f aca="false">VLOOKUP(C1605,Products!$A$5:$D$24,2,FALSE())</f>
        <v>Notebook Set</v>
      </c>
      <c r="H1605" s="39" t="str">
        <f aca="false">VLOOKUP(C1605,Products!$A$5:$D$24,3,FALSE())</f>
        <v>Stationery</v>
      </c>
      <c r="I1605" s="41" t="n">
        <f aca="false">VLOOKUP(C1605,Products!$A$5:$D$24,4,FALSE())</f>
        <v>3</v>
      </c>
      <c r="J1605" s="42" t="n">
        <f aca="false">DATE(YEAR(B1605),MONTH(B1605),1)</f>
        <v>45870</v>
      </c>
      <c r="K1605" s="41" t="n">
        <f aca="false">D1605*E1605</f>
        <v>26.34</v>
      </c>
      <c r="L1605" s="41" t="n">
        <f aca="false">D1605*I1605</f>
        <v>9</v>
      </c>
      <c r="M1605" s="41" t="n">
        <f aca="false">IFERROR(INDEX(Raw_Expenses!$C$5:$C$2979,MATCH(A1605,Raw_Expenses!$A$5:$A$2979,0)),0)</f>
        <v>1.5</v>
      </c>
      <c r="N1605" s="41" t="n">
        <f aca="false">L1605+M1605</f>
        <v>10.5</v>
      </c>
      <c r="O1605" s="41" t="n">
        <f aca="false">K1605-N1605</f>
        <v>15.84</v>
      </c>
      <c r="P1605" s="43" t="n">
        <f aca="false">IF(K1605=0,0,O1605/K1605)</f>
        <v>0.601366742596811</v>
      </c>
    </row>
    <row r="1606" customFormat="false" ht="15" hidden="false" customHeight="false" outlineLevel="0" collapsed="false">
      <c r="A1606" s="39" t="s">
        <v>1728</v>
      </c>
      <c r="B1606" s="40" t="n">
        <v>45883</v>
      </c>
      <c r="C1606" s="39" t="s">
        <v>107</v>
      </c>
      <c r="D1606" s="39" t="n">
        <v>2</v>
      </c>
      <c r="E1606" s="41" t="n">
        <v>33.55</v>
      </c>
      <c r="F1606" s="39" t="s">
        <v>108</v>
      </c>
      <c r="G1606" s="39" t="str">
        <f aca="false">VLOOKUP(C1606,Products!$A$5:$D$24,2,FALSE())</f>
        <v>USB-C Hub</v>
      </c>
      <c r="H1606" s="39" t="str">
        <f aca="false">VLOOKUP(C1606,Products!$A$5:$D$24,3,FALSE())</f>
        <v>Electronics</v>
      </c>
      <c r="I1606" s="41" t="n">
        <f aca="false">VLOOKUP(C1606,Products!$A$5:$D$24,4,FALSE())</f>
        <v>14</v>
      </c>
      <c r="J1606" s="42" t="n">
        <f aca="false">DATE(YEAR(B1606),MONTH(B1606),1)</f>
        <v>45870</v>
      </c>
      <c r="K1606" s="41" t="n">
        <f aca="false">D1606*E1606</f>
        <v>67.1</v>
      </c>
      <c r="L1606" s="41" t="n">
        <f aca="false">D1606*I1606</f>
        <v>28</v>
      </c>
      <c r="M1606" s="41" t="n">
        <f aca="false">IFERROR(INDEX(Raw_Expenses!$C$5:$C$2979,MATCH(A1606,Raw_Expenses!$A$5:$A$2979,0)),0)</f>
        <v>4.54</v>
      </c>
      <c r="N1606" s="41" t="n">
        <f aca="false">L1606+M1606</f>
        <v>32.54</v>
      </c>
      <c r="O1606" s="41" t="n">
        <f aca="false">K1606-N1606</f>
        <v>34.56</v>
      </c>
      <c r="P1606" s="43" t="n">
        <f aca="false">IF(K1606=0,0,O1606/K1606)</f>
        <v>0.5150521609538</v>
      </c>
    </row>
    <row r="1607" customFormat="false" ht="15" hidden="false" customHeight="false" outlineLevel="0" collapsed="false">
      <c r="A1607" s="39" t="s">
        <v>1729</v>
      </c>
      <c r="B1607" s="40" t="n">
        <v>45883</v>
      </c>
      <c r="C1607" s="39" t="s">
        <v>133</v>
      </c>
      <c r="D1607" s="39" t="n">
        <v>4</v>
      </c>
      <c r="E1607" s="41" t="n">
        <v>8.77</v>
      </c>
      <c r="F1607" s="39" t="s">
        <v>108</v>
      </c>
      <c r="G1607" s="39" t="str">
        <f aca="false">VLOOKUP(C1607,Products!$A$5:$D$24,2,FALSE())</f>
        <v>Printer Paper Ream</v>
      </c>
      <c r="H1607" s="39" t="str">
        <f aca="false">VLOOKUP(C1607,Products!$A$5:$D$24,3,FALSE())</f>
        <v>Stationery</v>
      </c>
      <c r="I1607" s="41" t="n">
        <f aca="false">VLOOKUP(C1607,Products!$A$5:$D$24,4,FALSE())</f>
        <v>4</v>
      </c>
      <c r="J1607" s="42" t="n">
        <f aca="false">DATE(YEAR(B1607),MONTH(B1607),1)</f>
        <v>45870</v>
      </c>
      <c r="K1607" s="41" t="n">
        <f aca="false">D1607*E1607</f>
        <v>35.08</v>
      </c>
      <c r="L1607" s="41" t="n">
        <f aca="false">D1607*I1607</f>
        <v>16</v>
      </c>
      <c r="M1607" s="41" t="n">
        <f aca="false">IFERROR(INDEX(Raw_Expenses!$C$5:$C$2979,MATCH(A1607,Raw_Expenses!$A$5:$A$2979,0)),0)</f>
        <v>2.94</v>
      </c>
      <c r="N1607" s="41" t="n">
        <f aca="false">L1607+M1607</f>
        <v>18.94</v>
      </c>
      <c r="O1607" s="41" t="n">
        <f aca="false">K1607-N1607</f>
        <v>16.14</v>
      </c>
      <c r="P1607" s="43" t="n">
        <f aca="false">IF(K1607=0,0,O1607/K1607)</f>
        <v>0.460091220068415</v>
      </c>
    </row>
    <row r="1608" customFormat="false" ht="15" hidden="false" customHeight="false" outlineLevel="0" collapsed="false">
      <c r="A1608" s="39" t="s">
        <v>1730</v>
      </c>
      <c r="B1608" s="40" t="n">
        <v>45883</v>
      </c>
      <c r="C1608" s="39" t="s">
        <v>305</v>
      </c>
      <c r="D1608" s="39" t="n">
        <v>3</v>
      </c>
      <c r="E1608" s="41" t="n">
        <v>345.34</v>
      </c>
      <c r="F1608" s="39" t="s">
        <v>118</v>
      </c>
      <c r="G1608" s="39" t="str">
        <f aca="false">VLOOKUP(C1608,Products!$A$5:$D$24,2,FALSE())</f>
        <v>Standing Desk</v>
      </c>
      <c r="H1608" s="39" t="str">
        <f aca="false">VLOOKUP(C1608,Products!$A$5:$D$24,3,FALSE())</f>
        <v>Furniture</v>
      </c>
      <c r="I1608" s="41" t="n">
        <f aca="false">VLOOKUP(C1608,Products!$A$5:$D$24,4,FALSE())</f>
        <v>160</v>
      </c>
      <c r="J1608" s="42" t="n">
        <f aca="false">DATE(YEAR(B1608),MONTH(B1608),1)</f>
        <v>45870</v>
      </c>
      <c r="K1608" s="41" t="n">
        <f aca="false">D1608*E1608</f>
        <v>1036.02</v>
      </c>
      <c r="L1608" s="41" t="n">
        <f aca="false">D1608*I1608</f>
        <v>480</v>
      </c>
      <c r="M1608" s="41" t="n">
        <f aca="false">IFERROR(INDEX(Raw_Expenses!$C$5:$C$2979,MATCH(A1608,Raw_Expenses!$A$5:$A$2979,0)),0)</f>
        <v>44.63</v>
      </c>
      <c r="N1608" s="41" t="n">
        <f aca="false">L1608+M1608</f>
        <v>524.63</v>
      </c>
      <c r="O1608" s="41" t="n">
        <f aca="false">K1608-N1608</f>
        <v>511.39</v>
      </c>
      <c r="P1608" s="43" t="n">
        <f aca="false">IF(K1608=0,0,O1608/K1608)</f>
        <v>0.493610161965985</v>
      </c>
    </row>
    <row r="1609" customFormat="false" ht="15" hidden="false" customHeight="false" outlineLevel="0" collapsed="false">
      <c r="A1609" s="39" t="s">
        <v>1731</v>
      </c>
      <c r="B1609" s="40" t="n">
        <v>45883</v>
      </c>
      <c r="C1609" s="39" t="s">
        <v>136</v>
      </c>
      <c r="D1609" s="39" t="n">
        <v>1</v>
      </c>
      <c r="E1609" s="41" t="n">
        <v>74.39</v>
      </c>
      <c r="F1609" s="39" t="s">
        <v>105</v>
      </c>
      <c r="G1609" s="39" t="str">
        <f aca="false">VLOOKUP(C1609,Products!$A$5:$D$24,2,FALSE())</f>
        <v>Mechanical Keyboard</v>
      </c>
      <c r="H1609" s="39" t="str">
        <f aca="false">VLOOKUP(C1609,Products!$A$5:$D$24,3,FALSE())</f>
        <v>Electronics</v>
      </c>
      <c r="I1609" s="41" t="n">
        <f aca="false">VLOOKUP(C1609,Products!$A$5:$D$24,4,FALSE())</f>
        <v>38</v>
      </c>
      <c r="J1609" s="42" t="n">
        <f aca="false">DATE(YEAR(B1609),MONTH(B1609),1)</f>
        <v>45870</v>
      </c>
      <c r="K1609" s="41" t="n">
        <f aca="false">D1609*E1609</f>
        <v>74.39</v>
      </c>
      <c r="L1609" s="41" t="n">
        <f aca="false">D1609*I1609</f>
        <v>38</v>
      </c>
      <c r="M1609" s="41" t="n">
        <f aca="false">IFERROR(INDEX(Raw_Expenses!$C$5:$C$2979,MATCH(A1609,Raw_Expenses!$A$5:$A$2979,0)),0)</f>
        <v>4.32</v>
      </c>
      <c r="N1609" s="41" t="n">
        <f aca="false">L1609+M1609</f>
        <v>42.32</v>
      </c>
      <c r="O1609" s="41" t="n">
        <f aca="false">K1609-N1609</f>
        <v>32.07</v>
      </c>
      <c r="P1609" s="43" t="n">
        <f aca="false">IF(K1609=0,0,O1609/K1609)</f>
        <v>0.431106331496169</v>
      </c>
    </row>
    <row r="1610" customFormat="false" ht="15" hidden="false" customHeight="false" outlineLevel="0" collapsed="false">
      <c r="A1610" s="39" t="s">
        <v>1732</v>
      </c>
      <c r="B1610" s="40" t="n">
        <v>45883</v>
      </c>
      <c r="C1610" s="39" t="s">
        <v>139</v>
      </c>
      <c r="D1610" s="39" t="n">
        <v>4</v>
      </c>
      <c r="E1610" s="41" t="n">
        <v>125.53</v>
      </c>
      <c r="F1610" s="39" t="s">
        <v>105</v>
      </c>
      <c r="G1610" s="39" t="str">
        <f aca="false">VLOOKUP(C1610,Products!$A$5:$D$24,2,FALSE())</f>
        <v>Noise-Cancelling Headphones</v>
      </c>
      <c r="H1610" s="39" t="str">
        <f aca="false">VLOOKUP(C1610,Products!$A$5:$D$24,3,FALSE())</f>
        <v>Electronics</v>
      </c>
      <c r="I1610" s="41" t="n">
        <f aca="false">VLOOKUP(C1610,Products!$A$5:$D$24,4,FALSE())</f>
        <v>55</v>
      </c>
      <c r="J1610" s="42" t="n">
        <f aca="false">DATE(YEAR(B1610),MONTH(B1610),1)</f>
        <v>45870</v>
      </c>
      <c r="K1610" s="41" t="n">
        <f aca="false">D1610*E1610</f>
        <v>502.12</v>
      </c>
      <c r="L1610" s="41" t="n">
        <f aca="false">D1610*I1610</f>
        <v>220</v>
      </c>
      <c r="M1610" s="41" t="n">
        <f aca="false">IFERROR(INDEX(Raw_Expenses!$C$5:$C$2979,MATCH(A1610,Raw_Expenses!$A$5:$A$2979,0)),0)</f>
        <v>30.48</v>
      </c>
      <c r="N1610" s="41" t="n">
        <f aca="false">L1610+M1610</f>
        <v>250.48</v>
      </c>
      <c r="O1610" s="41" t="n">
        <f aca="false">K1610-N1610</f>
        <v>251.64</v>
      </c>
      <c r="P1610" s="43" t="n">
        <f aca="false">IF(K1610=0,0,O1610/K1610)</f>
        <v>0.501155102365968</v>
      </c>
    </row>
    <row r="1611" customFormat="false" ht="15" hidden="false" customHeight="false" outlineLevel="0" collapsed="false">
      <c r="A1611" s="39" t="s">
        <v>1733</v>
      </c>
      <c r="B1611" s="40" t="n">
        <v>45883</v>
      </c>
      <c r="C1611" s="39" t="s">
        <v>133</v>
      </c>
      <c r="D1611" s="39" t="n">
        <v>1</v>
      </c>
      <c r="E1611" s="41" t="n">
        <v>8.61</v>
      </c>
      <c r="F1611" s="39" t="s">
        <v>105</v>
      </c>
      <c r="G1611" s="39" t="str">
        <f aca="false">VLOOKUP(C1611,Products!$A$5:$D$24,2,FALSE())</f>
        <v>Printer Paper Ream</v>
      </c>
      <c r="H1611" s="39" t="str">
        <f aca="false">VLOOKUP(C1611,Products!$A$5:$D$24,3,FALSE())</f>
        <v>Stationery</v>
      </c>
      <c r="I1611" s="41" t="n">
        <f aca="false">VLOOKUP(C1611,Products!$A$5:$D$24,4,FALSE())</f>
        <v>4</v>
      </c>
      <c r="J1611" s="42" t="n">
        <f aca="false">DATE(YEAR(B1611),MONTH(B1611),1)</f>
        <v>45870</v>
      </c>
      <c r="K1611" s="41" t="n">
        <f aca="false">D1611*E1611</f>
        <v>8.61</v>
      </c>
      <c r="L1611" s="41" t="n">
        <f aca="false">D1611*I1611</f>
        <v>4</v>
      </c>
      <c r="M1611" s="41" t="n">
        <f aca="false">IFERROR(INDEX(Raw_Expenses!$C$5:$C$2979,MATCH(A1611,Raw_Expenses!$A$5:$A$2979,0)),0)</f>
        <v>0.58</v>
      </c>
      <c r="N1611" s="41" t="n">
        <f aca="false">L1611+M1611</f>
        <v>4.58</v>
      </c>
      <c r="O1611" s="41" t="n">
        <f aca="false">K1611-N1611</f>
        <v>4.03</v>
      </c>
      <c r="P1611" s="43" t="n">
        <f aca="false">IF(K1611=0,0,O1611/K1611)</f>
        <v>0.468060394889663</v>
      </c>
    </row>
    <row r="1612" customFormat="false" ht="15" hidden="false" customHeight="false" outlineLevel="0" collapsed="false">
      <c r="A1612" s="39" t="s">
        <v>1734</v>
      </c>
      <c r="B1612" s="40" t="n">
        <v>45883</v>
      </c>
      <c r="C1612" s="39" t="s">
        <v>114</v>
      </c>
      <c r="D1612" s="39" t="n">
        <v>4</v>
      </c>
      <c r="E1612" s="41" t="n">
        <v>5.92</v>
      </c>
      <c r="F1612" s="39" t="s">
        <v>118</v>
      </c>
      <c r="G1612" s="39" t="str">
        <f aca="false">VLOOKUP(C1612,Products!$A$5:$D$24,2,FALSE())</f>
        <v>Gel Pen Pack</v>
      </c>
      <c r="H1612" s="39" t="str">
        <f aca="false">VLOOKUP(C1612,Products!$A$5:$D$24,3,FALSE())</f>
        <v>Stationery</v>
      </c>
      <c r="I1612" s="41" t="n">
        <f aca="false">VLOOKUP(C1612,Products!$A$5:$D$24,4,FALSE())</f>
        <v>2</v>
      </c>
      <c r="J1612" s="42" t="n">
        <f aca="false">DATE(YEAR(B1612),MONTH(B1612),1)</f>
        <v>45870</v>
      </c>
      <c r="K1612" s="41" t="n">
        <f aca="false">D1612*E1612</f>
        <v>23.68</v>
      </c>
      <c r="L1612" s="41" t="n">
        <f aca="false">D1612*I1612</f>
        <v>8</v>
      </c>
      <c r="M1612" s="41" t="n">
        <f aca="false">IFERROR(INDEX(Raw_Expenses!$C$5:$C$2979,MATCH(A1612,Raw_Expenses!$A$5:$A$2979,0)),0)</f>
        <v>1.47</v>
      </c>
      <c r="N1612" s="41" t="n">
        <f aca="false">L1612+M1612</f>
        <v>9.47</v>
      </c>
      <c r="O1612" s="41" t="n">
        <f aca="false">K1612-N1612</f>
        <v>14.21</v>
      </c>
      <c r="P1612" s="43" t="n">
        <f aca="false">IF(K1612=0,0,O1612/K1612)</f>
        <v>0.600084459459459</v>
      </c>
    </row>
    <row r="1613" customFormat="false" ht="15" hidden="false" customHeight="false" outlineLevel="0" collapsed="false">
      <c r="A1613" s="39" t="s">
        <v>1735</v>
      </c>
      <c r="B1613" s="40" t="n">
        <v>45884</v>
      </c>
      <c r="C1613" s="39" t="s">
        <v>133</v>
      </c>
      <c r="D1613" s="39" t="n">
        <v>1</v>
      </c>
      <c r="E1613" s="41" t="n">
        <v>8.87</v>
      </c>
      <c r="F1613" s="39" t="s">
        <v>108</v>
      </c>
      <c r="G1613" s="39" t="str">
        <f aca="false">VLOOKUP(C1613,Products!$A$5:$D$24,2,FALSE())</f>
        <v>Printer Paper Ream</v>
      </c>
      <c r="H1613" s="39" t="str">
        <f aca="false">VLOOKUP(C1613,Products!$A$5:$D$24,3,FALSE())</f>
        <v>Stationery</v>
      </c>
      <c r="I1613" s="41" t="n">
        <f aca="false">VLOOKUP(C1613,Products!$A$5:$D$24,4,FALSE())</f>
        <v>4</v>
      </c>
      <c r="J1613" s="42" t="n">
        <f aca="false">DATE(YEAR(B1613),MONTH(B1613),1)</f>
        <v>45870</v>
      </c>
      <c r="K1613" s="41" t="n">
        <f aca="false">D1613*E1613</f>
        <v>8.87</v>
      </c>
      <c r="L1613" s="41" t="n">
        <f aca="false">D1613*I1613</f>
        <v>4</v>
      </c>
      <c r="M1613" s="41" t="n">
        <f aca="false">IFERROR(INDEX(Raw_Expenses!$C$5:$C$2979,MATCH(A1613,Raw_Expenses!$A$5:$A$2979,0)),0)</f>
        <v>0.39</v>
      </c>
      <c r="N1613" s="41" t="n">
        <f aca="false">L1613+M1613</f>
        <v>4.39</v>
      </c>
      <c r="O1613" s="41" t="n">
        <f aca="false">K1613-N1613</f>
        <v>4.48</v>
      </c>
      <c r="P1613" s="43" t="n">
        <f aca="false">IF(K1613=0,0,O1613/K1613)</f>
        <v>0.505073280721533</v>
      </c>
    </row>
    <row r="1614" customFormat="false" ht="15" hidden="false" customHeight="false" outlineLevel="0" collapsed="false">
      <c r="A1614" s="39" t="s">
        <v>1736</v>
      </c>
      <c r="B1614" s="40" t="n">
        <v>45884</v>
      </c>
      <c r="C1614" s="39" t="s">
        <v>177</v>
      </c>
      <c r="D1614" s="39" t="n">
        <v>1</v>
      </c>
      <c r="E1614" s="41" t="n">
        <v>44.04</v>
      </c>
      <c r="F1614" s="39" t="s">
        <v>115</v>
      </c>
      <c r="G1614" s="39" t="str">
        <f aca="false">VLOOKUP(C1614,Products!$A$5:$D$24,2,FALSE())</f>
        <v>Backpack</v>
      </c>
      <c r="H1614" s="39" t="str">
        <f aca="false">VLOOKUP(C1614,Products!$A$5:$D$24,3,FALSE())</f>
        <v>Accessories</v>
      </c>
      <c r="I1614" s="41" t="n">
        <f aca="false">VLOOKUP(C1614,Products!$A$5:$D$24,4,FALSE())</f>
        <v>17</v>
      </c>
      <c r="J1614" s="42" t="n">
        <f aca="false">DATE(YEAR(B1614),MONTH(B1614),1)</f>
        <v>45870</v>
      </c>
      <c r="K1614" s="41" t="n">
        <f aca="false">D1614*E1614</f>
        <v>44.04</v>
      </c>
      <c r="L1614" s="41" t="n">
        <f aca="false">D1614*I1614</f>
        <v>17</v>
      </c>
      <c r="M1614" s="41" t="n">
        <f aca="false">IFERROR(INDEX(Raw_Expenses!$C$5:$C$2979,MATCH(A1614,Raw_Expenses!$A$5:$A$2979,0)),0)</f>
        <v>2.92</v>
      </c>
      <c r="N1614" s="41" t="n">
        <f aca="false">L1614+M1614</f>
        <v>19.92</v>
      </c>
      <c r="O1614" s="41" t="n">
        <f aca="false">K1614-N1614</f>
        <v>24.12</v>
      </c>
      <c r="P1614" s="43" t="n">
        <f aca="false">IF(K1614=0,0,O1614/K1614)</f>
        <v>0.547683923705722</v>
      </c>
    </row>
    <row r="1615" customFormat="false" ht="15" hidden="false" customHeight="false" outlineLevel="0" collapsed="false">
      <c r="A1615" s="39" t="s">
        <v>1737</v>
      </c>
      <c r="B1615" s="40" t="n">
        <v>45884</v>
      </c>
      <c r="C1615" s="39" t="s">
        <v>104</v>
      </c>
      <c r="D1615" s="39" t="n">
        <v>5</v>
      </c>
      <c r="E1615" s="41" t="n">
        <v>15.64</v>
      </c>
      <c r="F1615" s="39" t="s">
        <v>118</v>
      </c>
      <c r="G1615" s="39" t="str">
        <f aca="false">VLOOKUP(C1615,Products!$A$5:$D$24,2,FALSE())</f>
        <v>Water Bottle</v>
      </c>
      <c r="H1615" s="39" t="str">
        <f aca="false">VLOOKUP(C1615,Products!$A$5:$D$24,3,FALSE())</f>
        <v>Accessories</v>
      </c>
      <c r="I1615" s="41" t="n">
        <f aca="false">VLOOKUP(C1615,Products!$A$5:$D$24,4,FALSE())</f>
        <v>5</v>
      </c>
      <c r="J1615" s="42" t="n">
        <f aca="false">DATE(YEAR(B1615),MONTH(B1615),1)</f>
        <v>45870</v>
      </c>
      <c r="K1615" s="41" t="n">
        <f aca="false">D1615*E1615</f>
        <v>78.2</v>
      </c>
      <c r="L1615" s="41" t="n">
        <f aca="false">D1615*I1615</f>
        <v>25</v>
      </c>
      <c r="M1615" s="41" t="n">
        <f aca="false">IFERROR(INDEX(Raw_Expenses!$C$5:$C$2979,MATCH(A1615,Raw_Expenses!$A$5:$A$2979,0)),0)</f>
        <v>4.31</v>
      </c>
      <c r="N1615" s="41" t="n">
        <f aca="false">L1615+M1615</f>
        <v>29.31</v>
      </c>
      <c r="O1615" s="41" t="n">
        <f aca="false">K1615-N1615</f>
        <v>48.89</v>
      </c>
      <c r="P1615" s="43" t="n">
        <f aca="false">IF(K1615=0,0,O1615/K1615)</f>
        <v>0.625191815856778</v>
      </c>
    </row>
    <row r="1616" customFormat="false" ht="15" hidden="false" customHeight="false" outlineLevel="0" collapsed="false">
      <c r="A1616" s="39" t="s">
        <v>1738</v>
      </c>
      <c r="B1616" s="40" t="n">
        <v>45884</v>
      </c>
      <c r="C1616" s="39" t="s">
        <v>130</v>
      </c>
      <c r="D1616" s="39" t="n">
        <v>4</v>
      </c>
      <c r="E1616" s="41" t="n">
        <v>8.41</v>
      </c>
      <c r="F1616" s="39" t="s">
        <v>105</v>
      </c>
      <c r="G1616" s="39" t="str">
        <f aca="false">VLOOKUP(C1616,Products!$A$5:$D$24,2,FALSE())</f>
        <v>Notebook Set</v>
      </c>
      <c r="H1616" s="39" t="str">
        <f aca="false">VLOOKUP(C1616,Products!$A$5:$D$24,3,FALSE())</f>
        <v>Stationery</v>
      </c>
      <c r="I1616" s="41" t="n">
        <f aca="false">VLOOKUP(C1616,Products!$A$5:$D$24,4,FALSE())</f>
        <v>3</v>
      </c>
      <c r="J1616" s="42" t="n">
        <f aca="false">DATE(YEAR(B1616),MONTH(B1616),1)</f>
        <v>45870</v>
      </c>
      <c r="K1616" s="41" t="n">
        <f aca="false">D1616*E1616</f>
        <v>33.64</v>
      </c>
      <c r="L1616" s="41" t="n">
        <f aca="false">D1616*I1616</f>
        <v>12</v>
      </c>
      <c r="M1616" s="41" t="n">
        <f aca="false">IFERROR(INDEX(Raw_Expenses!$C$5:$C$2979,MATCH(A1616,Raw_Expenses!$A$5:$A$2979,0)),0)</f>
        <v>1.81</v>
      </c>
      <c r="N1616" s="41" t="n">
        <f aca="false">L1616+M1616</f>
        <v>13.81</v>
      </c>
      <c r="O1616" s="41" t="n">
        <f aca="false">K1616-N1616</f>
        <v>19.83</v>
      </c>
      <c r="P1616" s="43" t="n">
        <f aca="false">IF(K1616=0,0,O1616/K1616)</f>
        <v>0.589476813317479</v>
      </c>
    </row>
    <row r="1617" customFormat="false" ht="15" hidden="false" customHeight="false" outlineLevel="0" collapsed="false">
      <c r="A1617" s="39" t="s">
        <v>1739</v>
      </c>
      <c r="B1617" s="40" t="n">
        <v>45884</v>
      </c>
      <c r="C1617" s="39" t="s">
        <v>153</v>
      </c>
      <c r="D1617" s="39" t="n">
        <v>3</v>
      </c>
      <c r="E1617" s="41" t="n">
        <v>168.38</v>
      </c>
      <c r="F1617" s="39" t="s">
        <v>115</v>
      </c>
      <c r="G1617" s="39" t="str">
        <f aca="false">VLOOKUP(C1617,Products!$A$5:$D$24,2,FALSE())</f>
        <v>24-inch Monitor</v>
      </c>
      <c r="H1617" s="39" t="str">
        <f aca="false">VLOOKUP(C1617,Products!$A$5:$D$24,3,FALSE())</f>
        <v>Electronics</v>
      </c>
      <c r="I1617" s="41" t="n">
        <f aca="false">VLOOKUP(C1617,Products!$A$5:$D$24,4,FALSE())</f>
        <v>90</v>
      </c>
      <c r="J1617" s="42" t="n">
        <f aca="false">DATE(YEAR(B1617),MONTH(B1617),1)</f>
        <v>45870</v>
      </c>
      <c r="K1617" s="41" t="n">
        <f aca="false">D1617*E1617</f>
        <v>505.14</v>
      </c>
      <c r="L1617" s="41" t="n">
        <f aca="false">D1617*I1617</f>
        <v>270</v>
      </c>
      <c r="M1617" s="41" t="n">
        <f aca="false">IFERROR(INDEX(Raw_Expenses!$C$5:$C$2979,MATCH(A1617,Raw_Expenses!$A$5:$A$2979,0)),0)</f>
        <v>43.32</v>
      </c>
      <c r="N1617" s="41" t="n">
        <f aca="false">L1617+M1617</f>
        <v>313.32</v>
      </c>
      <c r="O1617" s="41" t="n">
        <f aca="false">K1617-N1617</f>
        <v>191.82</v>
      </c>
      <c r="P1617" s="43" t="n">
        <f aca="false">IF(K1617=0,0,O1617/K1617)</f>
        <v>0.379736310725739</v>
      </c>
    </row>
    <row r="1618" customFormat="false" ht="15" hidden="false" customHeight="false" outlineLevel="0" collapsed="false">
      <c r="A1618" s="39" t="s">
        <v>1740</v>
      </c>
      <c r="B1618" s="40" t="n">
        <v>45884</v>
      </c>
      <c r="C1618" s="39" t="s">
        <v>183</v>
      </c>
      <c r="D1618" s="39" t="n">
        <v>2</v>
      </c>
      <c r="E1618" s="41" t="n">
        <v>177.72</v>
      </c>
      <c r="F1618" s="39" t="s">
        <v>115</v>
      </c>
      <c r="G1618" s="39" t="str">
        <f aca="false">VLOOKUP(C1618,Products!$A$5:$D$24,2,FALSE())</f>
        <v>Office Chair</v>
      </c>
      <c r="H1618" s="39" t="str">
        <f aca="false">VLOOKUP(C1618,Products!$A$5:$D$24,3,FALSE())</f>
        <v>Furniture</v>
      </c>
      <c r="I1618" s="41" t="n">
        <f aca="false">VLOOKUP(C1618,Products!$A$5:$D$24,4,FALSE())</f>
        <v>85</v>
      </c>
      <c r="J1618" s="42" t="n">
        <f aca="false">DATE(YEAR(B1618),MONTH(B1618),1)</f>
        <v>45870</v>
      </c>
      <c r="K1618" s="41" t="n">
        <f aca="false">D1618*E1618</f>
        <v>355.44</v>
      </c>
      <c r="L1618" s="41" t="n">
        <f aca="false">D1618*I1618</f>
        <v>170</v>
      </c>
      <c r="M1618" s="41" t="n">
        <f aca="false">IFERROR(INDEX(Raw_Expenses!$C$5:$C$2979,MATCH(A1618,Raw_Expenses!$A$5:$A$2979,0)),0)</f>
        <v>15.23</v>
      </c>
      <c r="N1618" s="41" t="n">
        <f aca="false">L1618+M1618</f>
        <v>185.23</v>
      </c>
      <c r="O1618" s="41" t="n">
        <f aca="false">K1618-N1618</f>
        <v>170.21</v>
      </c>
      <c r="P1618" s="43" t="n">
        <f aca="false">IF(K1618=0,0,O1618/K1618)</f>
        <v>0.478871258158902</v>
      </c>
    </row>
    <row r="1619" customFormat="false" ht="15" hidden="false" customHeight="false" outlineLevel="0" collapsed="false">
      <c r="A1619" s="39" t="s">
        <v>1741</v>
      </c>
      <c r="B1619" s="40" t="n">
        <v>45885</v>
      </c>
      <c r="C1619" s="39" t="s">
        <v>130</v>
      </c>
      <c r="D1619" s="39" t="n">
        <v>3</v>
      </c>
      <c r="E1619" s="41" t="n">
        <v>8.69</v>
      </c>
      <c r="F1619" s="39" t="s">
        <v>115</v>
      </c>
      <c r="G1619" s="39" t="str">
        <f aca="false">VLOOKUP(C1619,Products!$A$5:$D$24,2,FALSE())</f>
        <v>Notebook Set</v>
      </c>
      <c r="H1619" s="39" t="str">
        <f aca="false">VLOOKUP(C1619,Products!$A$5:$D$24,3,FALSE())</f>
        <v>Stationery</v>
      </c>
      <c r="I1619" s="41" t="n">
        <f aca="false">VLOOKUP(C1619,Products!$A$5:$D$24,4,FALSE())</f>
        <v>3</v>
      </c>
      <c r="J1619" s="42" t="n">
        <f aca="false">DATE(YEAR(B1619),MONTH(B1619),1)</f>
        <v>45870</v>
      </c>
      <c r="K1619" s="41" t="n">
        <f aca="false">D1619*E1619</f>
        <v>26.07</v>
      </c>
      <c r="L1619" s="41" t="n">
        <f aca="false">D1619*I1619</f>
        <v>9</v>
      </c>
      <c r="M1619" s="41" t="n">
        <f aca="false">IFERROR(INDEX(Raw_Expenses!$C$5:$C$2979,MATCH(A1619,Raw_Expenses!$A$5:$A$2979,0)),0)</f>
        <v>1.4</v>
      </c>
      <c r="N1619" s="41" t="n">
        <f aca="false">L1619+M1619</f>
        <v>10.4</v>
      </c>
      <c r="O1619" s="41" t="n">
        <f aca="false">K1619-N1619</f>
        <v>15.67</v>
      </c>
      <c r="P1619" s="43" t="n">
        <f aca="false">IF(K1619=0,0,O1619/K1619)</f>
        <v>0.601074031453778</v>
      </c>
    </row>
    <row r="1620" customFormat="false" ht="15" hidden="false" customHeight="false" outlineLevel="0" collapsed="false">
      <c r="A1620" s="39" t="s">
        <v>1742</v>
      </c>
      <c r="B1620" s="40" t="n">
        <v>45885</v>
      </c>
      <c r="C1620" s="39" t="s">
        <v>128</v>
      </c>
      <c r="D1620" s="39" t="n">
        <v>5</v>
      </c>
      <c r="E1620" s="41" t="n">
        <v>38.88</v>
      </c>
      <c r="F1620" s="39" t="s">
        <v>118</v>
      </c>
      <c r="G1620" s="39" t="str">
        <f aca="false">VLOOKUP(C1620,Products!$A$5:$D$24,2,FALSE())</f>
        <v>Ergonomic Footrest</v>
      </c>
      <c r="H1620" s="39" t="str">
        <f aca="false">VLOOKUP(C1620,Products!$A$5:$D$24,3,FALSE())</f>
        <v>Furniture</v>
      </c>
      <c r="I1620" s="41" t="n">
        <f aca="false">VLOOKUP(C1620,Products!$A$5:$D$24,4,FALSE())</f>
        <v>15</v>
      </c>
      <c r="J1620" s="42" t="n">
        <f aca="false">DATE(YEAR(B1620),MONTH(B1620),1)</f>
        <v>45870</v>
      </c>
      <c r="K1620" s="41" t="n">
        <f aca="false">D1620*E1620</f>
        <v>194.4</v>
      </c>
      <c r="L1620" s="41" t="n">
        <f aca="false">D1620*I1620</f>
        <v>75</v>
      </c>
      <c r="M1620" s="41" t="n">
        <f aca="false">IFERROR(INDEX(Raw_Expenses!$C$5:$C$2979,MATCH(A1620,Raw_Expenses!$A$5:$A$2979,0)),0)</f>
        <v>14.39</v>
      </c>
      <c r="N1620" s="41" t="n">
        <f aca="false">L1620+M1620</f>
        <v>89.39</v>
      </c>
      <c r="O1620" s="41" t="n">
        <f aca="false">K1620-N1620</f>
        <v>105.01</v>
      </c>
      <c r="P1620" s="43" t="n">
        <f aca="false">IF(K1620=0,0,O1620/K1620)</f>
        <v>0.540174897119342</v>
      </c>
    </row>
    <row r="1621" customFormat="false" ht="15" hidden="false" customHeight="false" outlineLevel="0" collapsed="false">
      <c r="A1621" s="39" t="s">
        <v>1743</v>
      </c>
      <c r="B1621" s="40" t="n">
        <v>45885</v>
      </c>
      <c r="C1621" s="39" t="s">
        <v>114</v>
      </c>
      <c r="D1621" s="39" t="n">
        <v>3</v>
      </c>
      <c r="E1621" s="41" t="n">
        <v>5.54</v>
      </c>
      <c r="F1621" s="39" t="s">
        <v>108</v>
      </c>
      <c r="G1621" s="39" t="str">
        <f aca="false">VLOOKUP(C1621,Products!$A$5:$D$24,2,FALSE())</f>
        <v>Gel Pen Pack</v>
      </c>
      <c r="H1621" s="39" t="str">
        <f aca="false">VLOOKUP(C1621,Products!$A$5:$D$24,3,FALSE())</f>
        <v>Stationery</v>
      </c>
      <c r="I1621" s="41" t="n">
        <f aca="false">VLOOKUP(C1621,Products!$A$5:$D$24,4,FALSE())</f>
        <v>2</v>
      </c>
      <c r="J1621" s="42" t="n">
        <f aca="false">DATE(YEAR(B1621),MONTH(B1621),1)</f>
        <v>45870</v>
      </c>
      <c r="K1621" s="41" t="n">
        <f aca="false">D1621*E1621</f>
        <v>16.62</v>
      </c>
      <c r="L1621" s="41" t="n">
        <f aca="false">D1621*I1621</f>
        <v>6</v>
      </c>
      <c r="M1621" s="41" t="n">
        <f aca="false">IFERROR(INDEX(Raw_Expenses!$C$5:$C$2979,MATCH(A1621,Raw_Expenses!$A$5:$A$2979,0)),0)</f>
        <v>0.88</v>
      </c>
      <c r="N1621" s="41" t="n">
        <f aca="false">L1621+M1621</f>
        <v>6.88</v>
      </c>
      <c r="O1621" s="41" t="n">
        <f aca="false">K1621-N1621</f>
        <v>9.74</v>
      </c>
      <c r="P1621" s="43" t="n">
        <f aca="false">IF(K1621=0,0,O1621/K1621)</f>
        <v>0.58604091456077</v>
      </c>
    </row>
    <row r="1622" customFormat="false" ht="15" hidden="false" customHeight="false" outlineLevel="0" collapsed="false">
      <c r="A1622" s="39" t="s">
        <v>1744</v>
      </c>
      <c r="B1622" s="40" t="n">
        <v>45885</v>
      </c>
      <c r="C1622" s="39" t="s">
        <v>114</v>
      </c>
      <c r="D1622" s="39" t="n">
        <v>2</v>
      </c>
      <c r="E1622" s="41" t="n">
        <v>5.94</v>
      </c>
      <c r="F1622" s="39" t="s">
        <v>105</v>
      </c>
      <c r="G1622" s="39" t="str">
        <f aca="false">VLOOKUP(C1622,Products!$A$5:$D$24,2,FALSE())</f>
        <v>Gel Pen Pack</v>
      </c>
      <c r="H1622" s="39" t="str">
        <f aca="false">VLOOKUP(C1622,Products!$A$5:$D$24,3,FALSE())</f>
        <v>Stationery</v>
      </c>
      <c r="I1622" s="41" t="n">
        <f aca="false">VLOOKUP(C1622,Products!$A$5:$D$24,4,FALSE())</f>
        <v>2</v>
      </c>
      <c r="J1622" s="42" t="n">
        <f aca="false">DATE(YEAR(B1622),MONTH(B1622),1)</f>
        <v>45870</v>
      </c>
      <c r="K1622" s="41" t="n">
        <f aca="false">D1622*E1622</f>
        <v>11.88</v>
      </c>
      <c r="L1622" s="41" t="n">
        <f aca="false">D1622*I1622</f>
        <v>4</v>
      </c>
      <c r="M1622" s="41" t="n">
        <f aca="false">IFERROR(INDEX(Raw_Expenses!$C$5:$C$2979,MATCH(A1622,Raw_Expenses!$A$5:$A$2979,0)),0)</f>
        <v>0.8</v>
      </c>
      <c r="N1622" s="41" t="n">
        <f aca="false">L1622+M1622</f>
        <v>4.8</v>
      </c>
      <c r="O1622" s="41" t="n">
        <f aca="false">K1622-N1622</f>
        <v>7.08</v>
      </c>
      <c r="P1622" s="43" t="n">
        <f aca="false">IF(K1622=0,0,O1622/K1622)</f>
        <v>0.595959595959596</v>
      </c>
    </row>
    <row r="1623" customFormat="false" ht="15" hidden="false" customHeight="false" outlineLevel="0" collapsed="false">
      <c r="A1623" s="39" t="s">
        <v>1745</v>
      </c>
      <c r="B1623" s="40" t="n">
        <v>45885</v>
      </c>
      <c r="C1623" s="39" t="s">
        <v>126</v>
      </c>
      <c r="D1623" s="39" t="n">
        <v>3</v>
      </c>
      <c r="E1623" s="41" t="n">
        <v>23.67</v>
      </c>
      <c r="F1623" s="39" t="s">
        <v>105</v>
      </c>
      <c r="G1623" s="39" t="str">
        <f aca="false">VLOOKUP(C1623,Products!$A$5:$D$24,2,FALSE())</f>
        <v>Wireless Mouse</v>
      </c>
      <c r="H1623" s="39" t="str">
        <f aca="false">VLOOKUP(C1623,Products!$A$5:$D$24,3,FALSE())</f>
        <v>Electronics</v>
      </c>
      <c r="I1623" s="41" t="n">
        <f aca="false">VLOOKUP(C1623,Products!$A$5:$D$24,4,FALSE())</f>
        <v>12</v>
      </c>
      <c r="J1623" s="42" t="n">
        <f aca="false">DATE(YEAR(B1623),MONTH(B1623),1)</f>
        <v>45870</v>
      </c>
      <c r="K1623" s="41" t="n">
        <f aca="false">D1623*E1623</f>
        <v>71.01</v>
      </c>
      <c r="L1623" s="41" t="n">
        <f aca="false">D1623*I1623</f>
        <v>36</v>
      </c>
      <c r="M1623" s="41" t="n">
        <f aca="false">IFERROR(INDEX(Raw_Expenses!$C$5:$C$2979,MATCH(A1623,Raw_Expenses!$A$5:$A$2979,0)),0)</f>
        <v>3.67</v>
      </c>
      <c r="N1623" s="41" t="n">
        <f aca="false">L1623+M1623</f>
        <v>39.67</v>
      </c>
      <c r="O1623" s="41" t="n">
        <f aca="false">K1623-N1623</f>
        <v>31.34</v>
      </c>
      <c r="P1623" s="43" t="n">
        <f aca="false">IF(K1623=0,0,O1623/K1623)</f>
        <v>0.441346289255035</v>
      </c>
    </row>
    <row r="1624" customFormat="false" ht="15" hidden="false" customHeight="false" outlineLevel="0" collapsed="false">
      <c r="A1624" s="39" t="s">
        <v>1746</v>
      </c>
      <c r="B1624" s="40" t="n">
        <v>45885</v>
      </c>
      <c r="C1624" s="39" t="s">
        <v>177</v>
      </c>
      <c r="D1624" s="39" t="n">
        <v>4</v>
      </c>
      <c r="E1624" s="41" t="n">
        <v>43.41</v>
      </c>
      <c r="F1624" s="39" t="s">
        <v>105</v>
      </c>
      <c r="G1624" s="39" t="str">
        <f aca="false">VLOOKUP(C1624,Products!$A$5:$D$24,2,FALSE())</f>
        <v>Backpack</v>
      </c>
      <c r="H1624" s="39" t="str">
        <f aca="false">VLOOKUP(C1624,Products!$A$5:$D$24,3,FALSE())</f>
        <v>Accessories</v>
      </c>
      <c r="I1624" s="41" t="n">
        <f aca="false">VLOOKUP(C1624,Products!$A$5:$D$24,4,FALSE())</f>
        <v>17</v>
      </c>
      <c r="J1624" s="42" t="n">
        <f aca="false">DATE(YEAR(B1624),MONTH(B1624),1)</f>
        <v>45870</v>
      </c>
      <c r="K1624" s="41" t="n">
        <f aca="false">D1624*E1624</f>
        <v>173.64</v>
      </c>
      <c r="L1624" s="41" t="n">
        <f aca="false">D1624*I1624</f>
        <v>68</v>
      </c>
      <c r="M1624" s="41" t="n">
        <f aca="false">IFERROR(INDEX(Raw_Expenses!$C$5:$C$2979,MATCH(A1624,Raw_Expenses!$A$5:$A$2979,0)),0)</f>
        <v>7.8</v>
      </c>
      <c r="N1624" s="41" t="n">
        <f aca="false">L1624+M1624</f>
        <v>75.8</v>
      </c>
      <c r="O1624" s="41" t="n">
        <f aca="false">K1624-N1624</f>
        <v>97.84</v>
      </c>
      <c r="P1624" s="43" t="n">
        <f aca="false">IF(K1624=0,0,O1624/K1624)</f>
        <v>0.56346463948399</v>
      </c>
    </row>
    <row r="1625" customFormat="false" ht="15" hidden="false" customHeight="false" outlineLevel="0" collapsed="false">
      <c r="A1625" s="39" t="s">
        <v>1747</v>
      </c>
      <c r="B1625" s="40" t="n">
        <v>45885</v>
      </c>
      <c r="C1625" s="39" t="s">
        <v>110</v>
      </c>
      <c r="D1625" s="39" t="n">
        <v>4</v>
      </c>
      <c r="E1625" s="41" t="n">
        <v>13.22</v>
      </c>
      <c r="F1625" s="39" t="s">
        <v>118</v>
      </c>
      <c r="G1625" s="39" t="str">
        <f aca="false">VLOOKUP(C1625,Products!$A$5:$D$24,2,FALSE())</f>
        <v>Phone Stand</v>
      </c>
      <c r="H1625" s="39" t="str">
        <f aca="false">VLOOKUP(C1625,Products!$A$5:$D$24,3,FALSE())</f>
        <v>Accessories</v>
      </c>
      <c r="I1625" s="41" t="n">
        <f aca="false">VLOOKUP(C1625,Products!$A$5:$D$24,4,FALSE())</f>
        <v>4</v>
      </c>
      <c r="J1625" s="42" t="n">
        <f aca="false">DATE(YEAR(B1625),MONTH(B1625),1)</f>
        <v>45870</v>
      </c>
      <c r="K1625" s="41" t="n">
        <f aca="false">D1625*E1625</f>
        <v>52.88</v>
      </c>
      <c r="L1625" s="41" t="n">
        <f aca="false">D1625*I1625</f>
        <v>16</v>
      </c>
      <c r="M1625" s="41" t="n">
        <f aca="false">IFERROR(INDEX(Raw_Expenses!$C$5:$C$2979,MATCH(A1625,Raw_Expenses!$A$5:$A$2979,0)),0)</f>
        <v>2.82</v>
      </c>
      <c r="N1625" s="41" t="n">
        <f aca="false">L1625+M1625</f>
        <v>18.82</v>
      </c>
      <c r="O1625" s="41" t="n">
        <f aca="false">K1625-N1625</f>
        <v>34.06</v>
      </c>
      <c r="P1625" s="43" t="n">
        <f aca="false">IF(K1625=0,0,O1625/K1625)</f>
        <v>0.64409984871407</v>
      </c>
    </row>
    <row r="1626" customFormat="false" ht="15" hidden="false" customHeight="false" outlineLevel="0" collapsed="false">
      <c r="A1626" s="39" t="s">
        <v>1748</v>
      </c>
      <c r="B1626" s="40" t="n">
        <v>45885</v>
      </c>
      <c r="C1626" s="39" t="s">
        <v>107</v>
      </c>
      <c r="D1626" s="39" t="n">
        <v>1</v>
      </c>
      <c r="E1626" s="41" t="n">
        <v>34.05</v>
      </c>
      <c r="F1626" s="39" t="s">
        <v>108</v>
      </c>
      <c r="G1626" s="39" t="str">
        <f aca="false">VLOOKUP(C1626,Products!$A$5:$D$24,2,FALSE())</f>
        <v>USB-C Hub</v>
      </c>
      <c r="H1626" s="39" t="str">
        <f aca="false">VLOOKUP(C1626,Products!$A$5:$D$24,3,FALSE())</f>
        <v>Electronics</v>
      </c>
      <c r="I1626" s="41" t="n">
        <f aca="false">VLOOKUP(C1626,Products!$A$5:$D$24,4,FALSE())</f>
        <v>14</v>
      </c>
      <c r="J1626" s="42" t="n">
        <f aca="false">DATE(YEAR(B1626),MONTH(B1626),1)</f>
        <v>45870</v>
      </c>
      <c r="K1626" s="41" t="n">
        <f aca="false">D1626*E1626</f>
        <v>34.05</v>
      </c>
      <c r="L1626" s="41" t="n">
        <f aca="false">D1626*I1626</f>
        <v>14</v>
      </c>
      <c r="M1626" s="41" t="n">
        <f aca="false">IFERROR(INDEX(Raw_Expenses!$C$5:$C$2979,MATCH(A1626,Raw_Expenses!$A$5:$A$2979,0)),0)</f>
        <v>2.66</v>
      </c>
      <c r="N1626" s="41" t="n">
        <f aca="false">L1626+M1626</f>
        <v>16.66</v>
      </c>
      <c r="O1626" s="41" t="n">
        <f aca="false">K1626-N1626</f>
        <v>17.39</v>
      </c>
      <c r="P1626" s="43" t="n">
        <f aca="false">IF(K1626=0,0,O1626/K1626)</f>
        <v>0.51071953010279</v>
      </c>
    </row>
    <row r="1627" customFormat="false" ht="15" hidden="false" customHeight="false" outlineLevel="0" collapsed="false">
      <c r="A1627" s="39" t="s">
        <v>1749</v>
      </c>
      <c r="B1627" s="40" t="n">
        <v>45886</v>
      </c>
      <c r="C1627" s="39" t="s">
        <v>183</v>
      </c>
      <c r="D1627" s="39" t="n">
        <v>5</v>
      </c>
      <c r="E1627" s="41" t="n">
        <v>179.97</v>
      </c>
      <c r="F1627" s="39" t="s">
        <v>105</v>
      </c>
      <c r="G1627" s="39" t="str">
        <f aca="false">VLOOKUP(C1627,Products!$A$5:$D$24,2,FALSE())</f>
        <v>Office Chair</v>
      </c>
      <c r="H1627" s="39" t="str">
        <f aca="false">VLOOKUP(C1627,Products!$A$5:$D$24,3,FALSE())</f>
        <v>Furniture</v>
      </c>
      <c r="I1627" s="41" t="n">
        <f aca="false">VLOOKUP(C1627,Products!$A$5:$D$24,4,FALSE())</f>
        <v>85</v>
      </c>
      <c r="J1627" s="42" t="n">
        <f aca="false">DATE(YEAR(B1627),MONTH(B1627),1)</f>
        <v>45870</v>
      </c>
      <c r="K1627" s="41" t="n">
        <f aca="false">D1627*E1627</f>
        <v>899.85</v>
      </c>
      <c r="L1627" s="41" t="n">
        <f aca="false">D1627*I1627</f>
        <v>425</v>
      </c>
      <c r="M1627" s="41" t="n">
        <f aca="false">IFERROR(INDEX(Raw_Expenses!$C$5:$C$2979,MATCH(A1627,Raw_Expenses!$A$5:$A$2979,0)),0)</f>
        <v>65.17</v>
      </c>
      <c r="N1627" s="41" t="n">
        <f aca="false">L1627+M1627</f>
        <v>490.17</v>
      </c>
      <c r="O1627" s="41" t="n">
        <f aca="false">K1627-N1627</f>
        <v>409.68</v>
      </c>
      <c r="P1627" s="43" t="n">
        <f aca="false">IF(K1627=0,0,O1627/K1627)</f>
        <v>0.455275879313219</v>
      </c>
    </row>
    <row r="1628" customFormat="false" ht="15" hidden="false" customHeight="false" outlineLevel="0" collapsed="false">
      <c r="A1628" s="39" t="s">
        <v>1750</v>
      </c>
      <c r="B1628" s="40" t="n">
        <v>45886</v>
      </c>
      <c r="C1628" s="39" t="s">
        <v>107</v>
      </c>
      <c r="D1628" s="39" t="n">
        <v>5</v>
      </c>
      <c r="E1628" s="41" t="n">
        <v>34.05</v>
      </c>
      <c r="F1628" s="39" t="s">
        <v>115</v>
      </c>
      <c r="G1628" s="39" t="str">
        <f aca="false">VLOOKUP(C1628,Products!$A$5:$D$24,2,FALSE())</f>
        <v>USB-C Hub</v>
      </c>
      <c r="H1628" s="39" t="str">
        <f aca="false">VLOOKUP(C1628,Products!$A$5:$D$24,3,FALSE())</f>
        <v>Electronics</v>
      </c>
      <c r="I1628" s="41" t="n">
        <f aca="false">VLOOKUP(C1628,Products!$A$5:$D$24,4,FALSE())</f>
        <v>14</v>
      </c>
      <c r="J1628" s="42" t="n">
        <f aca="false">DATE(YEAR(B1628),MONTH(B1628),1)</f>
        <v>45870</v>
      </c>
      <c r="K1628" s="41" t="n">
        <f aca="false">D1628*E1628</f>
        <v>170.25</v>
      </c>
      <c r="L1628" s="41" t="n">
        <f aca="false">D1628*I1628</f>
        <v>70</v>
      </c>
      <c r="M1628" s="41" t="n">
        <f aca="false">IFERROR(INDEX(Raw_Expenses!$C$5:$C$2979,MATCH(A1628,Raw_Expenses!$A$5:$A$2979,0)),0)</f>
        <v>7.49</v>
      </c>
      <c r="N1628" s="41" t="n">
        <f aca="false">L1628+M1628</f>
        <v>77.49</v>
      </c>
      <c r="O1628" s="41" t="n">
        <f aca="false">K1628-N1628</f>
        <v>92.76</v>
      </c>
      <c r="P1628" s="43" t="n">
        <f aca="false">IF(K1628=0,0,O1628/K1628)</f>
        <v>0.544845814977974</v>
      </c>
    </row>
    <row r="1629" customFormat="false" ht="15" hidden="false" customHeight="false" outlineLevel="0" collapsed="false">
      <c r="A1629" s="39" t="s">
        <v>1751</v>
      </c>
      <c r="B1629" s="40" t="n">
        <v>45886</v>
      </c>
      <c r="C1629" s="39" t="s">
        <v>114</v>
      </c>
      <c r="D1629" s="39" t="n">
        <v>1</v>
      </c>
      <c r="E1629" s="41" t="n">
        <v>5.95</v>
      </c>
      <c r="F1629" s="39" t="s">
        <v>108</v>
      </c>
      <c r="G1629" s="39" t="str">
        <f aca="false">VLOOKUP(C1629,Products!$A$5:$D$24,2,FALSE())</f>
        <v>Gel Pen Pack</v>
      </c>
      <c r="H1629" s="39" t="str">
        <f aca="false">VLOOKUP(C1629,Products!$A$5:$D$24,3,FALSE())</f>
        <v>Stationery</v>
      </c>
      <c r="I1629" s="41" t="n">
        <f aca="false">VLOOKUP(C1629,Products!$A$5:$D$24,4,FALSE())</f>
        <v>2</v>
      </c>
      <c r="J1629" s="42" t="n">
        <f aca="false">DATE(YEAR(B1629),MONTH(B1629),1)</f>
        <v>45870</v>
      </c>
      <c r="K1629" s="41" t="n">
        <f aca="false">D1629*E1629</f>
        <v>5.95</v>
      </c>
      <c r="L1629" s="41" t="n">
        <f aca="false">D1629*I1629</f>
        <v>2</v>
      </c>
      <c r="M1629" s="41" t="n">
        <f aca="false">IFERROR(INDEX(Raw_Expenses!$C$5:$C$2979,MATCH(A1629,Raw_Expenses!$A$5:$A$2979,0)),0)</f>
        <v>0.5</v>
      </c>
      <c r="N1629" s="41" t="n">
        <f aca="false">L1629+M1629</f>
        <v>2.5</v>
      </c>
      <c r="O1629" s="41" t="n">
        <f aca="false">K1629-N1629</f>
        <v>3.45</v>
      </c>
      <c r="P1629" s="43" t="n">
        <f aca="false">IF(K1629=0,0,O1629/K1629)</f>
        <v>0.579831932773109</v>
      </c>
    </row>
    <row r="1630" customFormat="false" ht="15" hidden="false" customHeight="false" outlineLevel="0" collapsed="false">
      <c r="A1630" s="39" t="s">
        <v>1752</v>
      </c>
      <c r="B1630" s="40" t="n">
        <v>45886</v>
      </c>
      <c r="C1630" s="39" t="s">
        <v>153</v>
      </c>
      <c r="D1630" s="39" t="n">
        <v>2</v>
      </c>
      <c r="E1630" s="41" t="n">
        <v>170.47</v>
      </c>
      <c r="F1630" s="39" t="s">
        <v>108</v>
      </c>
      <c r="G1630" s="39" t="str">
        <f aca="false">VLOOKUP(C1630,Products!$A$5:$D$24,2,FALSE())</f>
        <v>24-inch Monitor</v>
      </c>
      <c r="H1630" s="39" t="str">
        <f aca="false">VLOOKUP(C1630,Products!$A$5:$D$24,3,FALSE())</f>
        <v>Electronics</v>
      </c>
      <c r="I1630" s="41" t="n">
        <f aca="false">VLOOKUP(C1630,Products!$A$5:$D$24,4,FALSE())</f>
        <v>90</v>
      </c>
      <c r="J1630" s="42" t="n">
        <f aca="false">DATE(YEAR(B1630),MONTH(B1630),1)</f>
        <v>45870</v>
      </c>
      <c r="K1630" s="41" t="n">
        <f aca="false">D1630*E1630</f>
        <v>340.94</v>
      </c>
      <c r="L1630" s="41" t="n">
        <f aca="false">D1630*I1630</f>
        <v>180</v>
      </c>
      <c r="M1630" s="41" t="n">
        <f aca="false">IFERROR(INDEX(Raw_Expenses!$C$5:$C$2979,MATCH(A1630,Raw_Expenses!$A$5:$A$2979,0)),0)</f>
        <v>28.93</v>
      </c>
      <c r="N1630" s="41" t="n">
        <f aca="false">L1630+M1630</f>
        <v>208.93</v>
      </c>
      <c r="O1630" s="41" t="n">
        <f aca="false">K1630-N1630</f>
        <v>132.01</v>
      </c>
      <c r="P1630" s="43" t="n">
        <f aca="false">IF(K1630=0,0,O1630/K1630)</f>
        <v>0.387194227723353</v>
      </c>
    </row>
    <row r="1631" customFormat="false" ht="15" hidden="false" customHeight="false" outlineLevel="0" collapsed="false">
      <c r="A1631" s="39" t="s">
        <v>1753</v>
      </c>
      <c r="B1631" s="40" t="n">
        <v>45886</v>
      </c>
      <c r="C1631" s="39" t="s">
        <v>153</v>
      </c>
      <c r="D1631" s="39" t="n">
        <v>3</v>
      </c>
      <c r="E1631" s="41" t="n">
        <v>174.91</v>
      </c>
      <c r="F1631" s="39" t="s">
        <v>108</v>
      </c>
      <c r="G1631" s="39" t="str">
        <f aca="false">VLOOKUP(C1631,Products!$A$5:$D$24,2,FALSE())</f>
        <v>24-inch Monitor</v>
      </c>
      <c r="H1631" s="39" t="str">
        <f aca="false">VLOOKUP(C1631,Products!$A$5:$D$24,3,FALSE())</f>
        <v>Electronics</v>
      </c>
      <c r="I1631" s="41" t="n">
        <f aca="false">VLOOKUP(C1631,Products!$A$5:$D$24,4,FALSE())</f>
        <v>90</v>
      </c>
      <c r="J1631" s="42" t="n">
        <f aca="false">DATE(YEAR(B1631),MONTH(B1631),1)</f>
        <v>45870</v>
      </c>
      <c r="K1631" s="41" t="n">
        <f aca="false">D1631*E1631</f>
        <v>524.73</v>
      </c>
      <c r="L1631" s="41" t="n">
        <f aca="false">D1631*I1631</f>
        <v>270</v>
      </c>
      <c r="M1631" s="41" t="n">
        <f aca="false">IFERROR(INDEX(Raw_Expenses!$C$5:$C$2979,MATCH(A1631,Raw_Expenses!$A$5:$A$2979,0)),0)</f>
        <v>29.18</v>
      </c>
      <c r="N1631" s="41" t="n">
        <f aca="false">L1631+M1631</f>
        <v>299.18</v>
      </c>
      <c r="O1631" s="41" t="n">
        <f aca="false">K1631-N1631</f>
        <v>225.55</v>
      </c>
      <c r="P1631" s="43" t="n">
        <f aca="false">IF(K1631=0,0,O1631/K1631)</f>
        <v>0.429840108246146</v>
      </c>
    </row>
    <row r="1632" customFormat="false" ht="15" hidden="false" customHeight="false" outlineLevel="0" collapsed="false">
      <c r="A1632" s="39" t="s">
        <v>1754</v>
      </c>
      <c r="B1632" s="40" t="n">
        <v>45886</v>
      </c>
      <c r="C1632" s="39" t="s">
        <v>114</v>
      </c>
      <c r="D1632" s="39" t="n">
        <v>1</v>
      </c>
      <c r="E1632" s="41" t="n">
        <v>5.56</v>
      </c>
      <c r="F1632" s="39" t="s">
        <v>105</v>
      </c>
      <c r="G1632" s="39" t="str">
        <f aca="false">VLOOKUP(C1632,Products!$A$5:$D$24,2,FALSE())</f>
        <v>Gel Pen Pack</v>
      </c>
      <c r="H1632" s="39" t="str">
        <f aca="false">VLOOKUP(C1632,Products!$A$5:$D$24,3,FALSE())</f>
        <v>Stationery</v>
      </c>
      <c r="I1632" s="41" t="n">
        <f aca="false">VLOOKUP(C1632,Products!$A$5:$D$24,4,FALSE())</f>
        <v>2</v>
      </c>
      <c r="J1632" s="42" t="n">
        <f aca="false">DATE(YEAR(B1632),MONTH(B1632),1)</f>
        <v>45870</v>
      </c>
      <c r="K1632" s="41" t="n">
        <f aca="false">D1632*E1632</f>
        <v>5.56</v>
      </c>
      <c r="L1632" s="41" t="n">
        <f aca="false">D1632*I1632</f>
        <v>2</v>
      </c>
      <c r="M1632" s="41" t="n">
        <f aca="false">IFERROR(INDEX(Raw_Expenses!$C$5:$C$2979,MATCH(A1632,Raw_Expenses!$A$5:$A$2979,0)),0)</f>
        <v>0.47</v>
      </c>
      <c r="N1632" s="41" t="n">
        <f aca="false">L1632+M1632</f>
        <v>2.47</v>
      </c>
      <c r="O1632" s="41" t="n">
        <f aca="false">K1632-N1632</f>
        <v>3.09</v>
      </c>
      <c r="P1632" s="43" t="n">
        <f aca="false">IF(K1632=0,0,O1632/K1632)</f>
        <v>0.555755395683453</v>
      </c>
    </row>
    <row r="1633" customFormat="false" ht="15" hidden="false" customHeight="false" outlineLevel="0" collapsed="false">
      <c r="A1633" s="39" t="s">
        <v>1755</v>
      </c>
      <c r="B1633" s="40" t="n">
        <v>45886</v>
      </c>
      <c r="C1633" s="39" t="s">
        <v>130</v>
      </c>
      <c r="D1633" s="39" t="n">
        <v>5</v>
      </c>
      <c r="E1633" s="41" t="n">
        <v>8.5</v>
      </c>
      <c r="F1633" s="39" t="s">
        <v>115</v>
      </c>
      <c r="G1633" s="39" t="str">
        <f aca="false">VLOOKUP(C1633,Products!$A$5:$D$24,2,FALSE())</f>
        <v>Notebook Set</v>
      </c>
      <c r="H1633" s="39" t="str">
        <f aca="false">VLOOKUP(C1633,Products!$A$5:$D$24,3,FALSE())</f>
        <v>Stationery</v>
      </c>
      <c r="I1633" s="41" t="n">
        <f aca="false">VLOOKUP(C1633,Products!$A$5:$D$24,4,FALSE())</f>
        <v>3</v>
      </c>
      <c r="J1633" s="42" t="n">
        <f aca="false">DATE(YEAR(B1633),MONTH(B1633),1)</f>
        <v>45870</v>
      </c>
      <c r="K1633" s="41" t="n">
        <f aca="false">D1633*E1633</f>
        <v>42.5</v>
      </c>
      <c r="L1633" s="41" t="n">
        <f aca="false">D1633*I1633</f>
        <v>15</v>
      </c>
      <c r="M1633" s="41" t="n">
        <f aca="false">IFERROR(INDEX(Raw_Expenses!$C$5:$C$2979,MATCH(A1633,Raw_Expenses!$A$5:$A$2979,0)),0)</f>
        <v>3.3</v>
      </c>
      <c r="N1633" s="41" t="n">
        <f aca="false">L1633+M1633</f>
        <v>18.3</v>
      </c>
      <c r="O1633" s="41" t="n">
        <f aca="false">K1633-N1633</f>
        <v>24.2</v>
      </c>
      <c r="P1633" s="43" t="n">
        <f aca="false">IF(K1633=0,0,O1633/K1633)</f>
        <v>0.569411764705882</v>
      </c>
    </row>
    <row r="1634" customFormat="false" ht="15" hidden="false" customHeight="false" outlineLevel="0" collapsed="false">
      <c r="A1634" s="39" t="s">
        <v>1756</v>
      </c>
      <c r="B1634" s="40" t="n">
        <v>45886</v>
      </c>
      <c r="C1634" s="39" t="s">
        <v>128</v>
      </c>
      <c r="D1634" s="39" t="n">
        <v>6</v>
      </c>
      <c r="E1634" s="41" t="n">
        <v>38.98</v>
      </c>
      <c r="F1634" s="39" t="s">
        <v>105</v>
      </c>
      <c r="G1634" s="39" t="str">
        <f aca="false">VLOOKUP(C1634,Products!$A$5:$D$24,2,FALSE())</f>
        <v>Ergonomic Footrest</v>
      </c>
      <c r="H1634" s="39" t="str">
        <f aca="false">VLOOKUP(C1634,Products!$A$5:$D$24,3,FALSE())</f>
        <v>Furniture</v>
      </c>
      <c r="I1634" s="41" t="n">
        <f aca="false">VLOOKUP(C1634,Products!$A$5:$D$24,4,FALSE())</f>
        <v>15</v>
      </c>
      <c r="J1634" s="42" t="n">
        <f aca="false">DATE(YEAR(B1634),MONTH(B1634),1)</f>
        <v>45870</v>
      </c>
      <c r="K1634" s="41" t="n">
        <f aca="false">D1634*E1634</f>
        <v>233.88</v>
      </c>
      <c r="L1634" s="41" t="n">
        <f aca="false">D1634*I1634</f>
        <v>90</v>
      </c>
      <c r="M1634" s="41" t="n">
        <f aca="false">IFERROR(INDEX(Raw_Expenses!$C$5:$C$2979,MATCH(A1634,Raw_Expenses!$A$5:$A$2979,0)),0)</f>
        <v>17.42</v>
      </c>
      <c r="N1634" s="41" t="n">
        <f aca="false">L1634+M1634</f>
        <v>107.42</v>
      </c>
      <c r="O1634" s="41" t="n">
        <f aca="false">K1634-N1634</f>
        <v>126.46</v>
      </c>
      <c r="P1634" s="43" t="n">
        <f aca="false">IF(K1634=0,0,O1634/K1634)</f>
        <v>0.540704634855482</v>
      </c>
    </row>
    <row r="1635" customFormat="false" ht="15" hidden="false" customHeight="false" outlineLevel="0" collapsed="false">
      <c r="A1635" s="39" t="s">
        <v>1757</v>
      </c>
      <c r="B1635" s="40" t="n">
        <v>45886</v>
      </c>
      <c r="C1635" s="39" t="s">
        <v>162</v>
      </c>
      <c r="D1635" s="39" t="n">
        <v>1</v>
      </c>
      <c r="E1635" s="41" t="n">
        <v>65.97</v>
      </c>
      <c r="F1635" s="39" t="s">
        <v>118</v>
      </c>
      <c r="G1635" s="39" t="str">
        <f aca="false">VLOOKUP(C1635,Products!$A$5:$D$24,2,FALSE())</f>
        <v>Bluetooth Speaker</v>
      </c>
      <c r="H1635" s="39" t="str">
        <f aca="false">VLOOKUP(C1635,Products!$A$5:$D$24,3,FALSE())</f>
        <v>Electronics</v>
      </c>
      <c r="I1635" s="41" t="n">
        <f aca="false">VLOOKUP(C1635,Products!$A$5:$D$24,4,FALSE())</f>
        <v>28</v>
      </c>
      <c r="J1635" s="42" t="n">
        <f aca="false">DATE(YEAR(B1635),MONTH(B1635),1)</f>
        <v>45870</v>
      </c>
      <c r="K1635" s="41" t="n">
        <f aca="false">D1635*E1635</f>
        <v>65.97</v>
      </c>
      <c r="L1635" s="41" t="n">
        <f aca="false">D1635*I1635</f>
        <v>28</v>
      </c>
      <c r="M1635" s="41" t="n">
        <f aca="false">IFERROR(INDEX(Raw_Expenses!$C$5:$C$2979,MATCH(A1635,Raw_Expenses!$A$5:$A$2979,0)),0)</f>
        <v>5.52</v>
      </c>
      <c r="N1635" s="41" t="n">
        <f aca="false">L1635+M1635</f>
        <v>33.52</v>
      </c>
      <c r="O1635" s="41" t="n">
        <f aca="false">K1635-N1635</f>
        <v>32.45</v>
      </c>
      <c r="P1635" s="43" t="n">
        <f aca="false">IF(K1635=0,0,O1635/K1635)</f>
        <v>0.491890253145369</v>
      </c>
    </row>
    <row r="1636" customFormat="false" ht="15" hidden="false" customHeight="false" outlineLevel="0" collapsed="false">
      <c r="A1636" s="39" t="s">
        <v>1758</v>
      </c>
      <c r="B1636" s="40" t="n">
        <v>45886</v>
      </c>
      <c r="C1636" s="39" t="s">
        <v>169</v>
      </c>
      <c r="D1636" s="39" t="n">
        <v>1</v>
      </c>
      <c r="E1636" s="41" t="n">
        <v>27.36</v>
      </c>
      <c r="F1636" s="39" t="s">
        <v>115</v>
      </c>
      <c r="G1636" s="39" t="str">
        <f aca="false">VLOOKUP(C1636,Products!$A$5:$D$24,2,FALSE())</f>
        <v>Laptop Stand</v>
      </c>
      <c r="H1636" s="39" t="str">
        <f aca="false">VLOOKUP(C1636,Products!$A$5:$D$24,3,FALSE())</f>
        <v>Accessories</v>
      </c>
      <c r="I1636" s="41" t="n">
        <f aca="false">VLOOKUP(C1636,Products!$A$5:$D$24,4,FALSE())</f>
        <v>11</v>
      </c>
      <c r="J1636" s="42" t="n">
        <f aca="false">DATE(YEAR(B1636),MONTH(B1636),1)</f>
        <v>45870</v>
      </c>
      <c r="K1636" s="41" t="n">
        <f aca="false">D1636*E1636</f>
        <v>27.36</v>
      </c>
      <c r="L1636" s="41" t="n">
        <f aca="false">D1636*I1636</f>
        <v>11</v>
      </c>
      <c r="M1636" s="41" t="n">
        <f aca="false">IFERROR(INDEX(Raw_Expenses!$C$5:$C$2979,MATCH(A1636,Raw_Expenses!$A$5:$A$2979,0)),0)</f>
        <v>1.7</v>
      </c>
      <c r="N1636" s="41" t="n">
        <f aca="false">L1636+M1636</f>
        <v>12.7</v>
      </c>
      <c r="O1636" s="41" t="n">
        <f aca="false">K1636-N1636</f>
        <v>14.66</v>
      </c>
      <c r="P1636" s="43" t="n">
        <f aca="false">IF(K1636=0,0,O1636/K1636)</f>
        <v>0.535818713450292</v>
      </c>
    </row>
    <row r="1637" customFormat="false" ht="15" hidden="false" customHeight="false" outlineLevel="0" collapsed="false">
      <c r="A1637" s="39" t="s">
        <v>1759</v>
      </c>
      <c r="B1637" s="40" t="n">
        <v>45886</v>
      </c>
      <c r="C1637" s="39" t="s">
        <v>139</v>
      </c>
      <c r="D1637" s="39" t="n">
        <v>2</v>
      </c>
      <c r="E1637" s="41" t="n">
        <v>122.97</v>
      </c>
      <c r="F1637" s="39" t="s">
        <v>115</v>
      </c>
      <c r="G1637" s="39" t="str">
        <f aca="false">VLOOKUP(C1637,Products!$A$5:$D$24,2,FALSE())</f>
        <v>Noise-Cancelling Headphones</v>
      </c>
      <c r="H1637" s="39" t="str">
        <f aca="false">VLOOKUP(C1637,Products!$A$5:$D$24,3,FALSE())</f>
        <v>Electronics</v>
      </c>
      <c r="I1637" s="41" t="n">
        <f aca="false">VLOOKUP(C1637,Products!$A$5:$D$24,4,FALSE())</f>
        <v>55</v>
      </c>
      <c r="J1637" s="42" t="n">
        <f aca="false">DATE(YEAR(B1637),MONTH(B1637),1)</f>
        <v>45870</v>
      </c>
      <c r="K1637" s="41" t="n">
        <f aca="false">D1637*E1637</f>
        <v>245.94</v>
      </c>
      <c r="L1637" s="41" t="n">
        <f aca="false">D1637*I1637</f>
        <v>110</v>
      </c>
      <c r="M1637" s="41" t="n">
        <f aca="false">IFERROR(INDEX(Raw_Expenses!$C$5:$C$2979,MATCH(A1637,Raw_Expenses!$A$5:$A$2979,0)),0)</f>
        <v>13.14</v>
      </c>
      <c r="N1637" s="41" t="n">
        <f aca="false">L1637+M1637</f>
        <v>123.14</v>
      </c>
      <c r="O1637" s="41" t="n">
        <f aca="false">K1637-N1637</f>
        <v>122.8</v>
      </c>
      <c r="P1637" s="43" t="n">
        <f aca="false">IF(K1637=0,0,O1637/K1637)</f>
        <v>0.499308774497845</v>
      </c>
    </row>
    <row r="1638" customFormat="false" ht="15" hidden="false" customHeight="false" outlineLevel="0" collapsed="false">
      <c r="A1638" s="39" t="s">
        <v>1760</v>
      </c>
      <c r="B1638" s="40" t="n">
        <v>45886</v>
      </c>
      <c r="C1638" s="39" t="s">
        <v>153</v>
      </c>
      <c r="D1638" s="39" t="n">
        <v>2</v>
      </c>
      <c r="E1638" s="41" t="n">
        <v>169.7</v>
      </c>
      <c r="F1638" s="39" t="s">
        <v>105</v>
      </c>
      <c r="G1638" s="39" t="str">
        <f aca="false">VLOOKUP(C1638,Products!$A$5:$D$24,2,FALSE())</f>
        <v>24-inch Monitor</v>
      </c>
      <c r="H1638" s="39" t="str">
        <f aca="false">VLOOKUP(C1638,Products!$A$5:$D$24,3,FALSE())</f>
        <v>Electronics</v>
      </c>
      <c r="I1638" s="41" t="n">
        <f aca="false">VLOOKUP(C1638,Products!$A$5:$D$24,4,FALSE())</f>
        <v>90</v>
      </c>
      <c r="J1638" s="42" t="n">
        <f aca="false">DATE(YEAR(B1638),MONTH(B1638),1)</f>
        <v>45870</v>
      </c>
      <c r="K1638" s="41" t="n">
        <f aca="false">D1638*E1638</f>
        <v>339.4</v>
      </c>
      <c r="L1638" s="41" t="n">
        <f aca="false">D1638*I1638</f>
        <v>180</v>
      </c>
      <c r="M1638" s="41" t="n">
        <f aca="false">IFERROR(INDEX(Raw_Expenses!$C$5:$C$2979,MATCH(A1638,Raw_Expenses!$A$5:$A$2979,0)),0)</f>
        <v>22.45</v>
      </c>
      <c r="N1638" s="41" t="n">
        <f aca="false">L1638+M1638</f>
        <v>202.45</v>
      </c>
      <c r="O1638" s="41" t="n">
        <f aca="false">K1638-N1638</f>
        <v>136.95</v>
      </c>
      <c r="P1638" s="43" t="n">
        <f aca="false">IF(K1638=0,0,O1638/K1638)</f>
        <v>0.403506187389511</v>
      </c>
    </row>
    <row r="1639" customFormat="false" ht="15" hidden="false" customHeight="false" outlineLevel="0" collapsed="false">
      <c r="A1639" s="39" t="s">
        <v>1761</v>
      </c>
      <c r="B1639" s="40" t="n">
        <v>45886</v>
      </c>
      <c r="C1639" s="39" t="s">
        <v>144</v>
      </c>
      <c r="D1639" s="39" t="n">
        <v>3</v>
      </c>
      <c r="E1639" s="41" t="n">
        <v>55.5</v>
      </c>
      <c r="F1639" s="39" t="s">
        <v>108</v>
      </c>
      <c r="G1639" s="39" t="str">
        <f aca="false">VLOOKUP(C1639,Products!$A$5:$D$24,2,FALSE())</f>
        <v>Whiteboard</v>
      </c>
      <c r="H1639" s="39" t="str">
        <f aca="false">VLOOKUP(C1639,Products!$A$5:$D$24,3,FALSE())</f>
        <v>Furniture</v>
      </c>
      <c r="I1639" s="41" t="n">
        <f aca="false">VLOOKUP(C1639,Products!$A$5:$D$24,4,FALSE())</f>
        <v>28</v>
      </c>
      <c r="J1639" s="42" t="n">
        <f aca="false">DATE(YEAR(B1639),MONTH(B1639),1)</f>
        <v>45870</v>
      </c>
      <c r="K1639" s="41" t="n">
        <f aca="false">D1639*E1639</f>
        <v>166.5</v>
      </c>
      <c r="L1639" s="41" t="n">
        <f aca="false">D1639*I1639</f>
        <v>84</v>
      </c>
      <c r="M1639" s="41" t="n">
        <f aca="false">IFERROR(INDEX(Raw_Expenses!$C$5:$C$2979,MATCH(A1639,Raw_Expenses!$A$5:$A$2979,0)),0)</f>
        <v>14.95</v>
      </c>
      <c r="N1639" s="41" t="n">
        <f aca="false">L1639+M1639</f>
        <v>98.95</v>
      </c>
      <c r="O1639" s="41" t="n">
        <f aca="false">K1639-N1639</f>
        <v>67.55</v>
      </c>
      <c r="P1639" s="43" t="n">
        <f aca="false">IF(K1639=0,0,O1639/K1639)</f>
        <v>0.405705705705706</v>
      </c>
    </row>
    <row r="1640" customFormat="false" ht="15" hidden="false" customHeight="false" outlineLevel="0" collapsed="false">
      <c r="A1640" s="39" t="s">
        <v>1762</v>
      </c>
      <c r="B1640" s="40" t="n">
        <v>45886</v>
      </c>
      <c r="C1640" s="39" t="s">
        <v>126</v>
      </c>
      <c r="D1640" s="39" t="n">
        <v>1</v>
      </c>
      <c r="E1640" s="41" t="n">
        <v>23.26</v>
      </c>
      <c r="F1640" s="39" t="s">
        <v>118</v>
      </c>
      <c r="G1640" s="39" t="str">
        <f aca="false">VLOOKUP(C1640,Products!$A$5:$D$24,2,FALSE())</f>
        <v>Wireless Mouse</v>
      </c>
      <c r="H1640" s="39" t="str">
        <f aca="false">VLOOKUP(C1640,Products!$A$5:$D$24,3,FALSE())</f>
        <v>Electronics</v>
      </c>
      <c r="I1640" s="41" t="n">
        <f aca="false">VLOOKUP(C1640,Products!$A$5:$D$24,4,FALSE())</f>
        <v>12</v>
      </c>
      <c r="J1640" s="42" t="n">
        <f aca="false">DATE(YEAR(B1640),MONTH(B1640),1)</f>
        <v>45870</v>
      </c>
      <c r="K1640" s="41" t="n">
        <f aca="false">D1640*E1640</f>
        <v>23.26</v>
      </c>
      <c r="L1640" s="41" t="n">
        <f aca="false">D1640*I1640</f>
        <v>12</v>
      </c>
      <c r="M1640" s="41" t="n">
        <f aca="false">IFERROR(INDEX(Raw_Expenses!$C$5:$C$2979,MATCH(A1640,Raw_Expenses!$A$5:$A$2979,0)),0)</f>
        <v>1.22</v>
      </c>
      <c r="N1640" s="41" t="n">
        <f aca="false">L1640+M1640</f>
        <v>13.22</v>
      </c>
      <c r="O1640" s="41" t="n">
        <f aca="false">K1640-N1640</f>
        <v>10.04</v>
      </c>
      <c r="P1640" s="43" t="n">
        <f aca="false">IF(K1640=0,0,O1640/K1640)</f>
        <v>0.431642304385211</v>
      </c>
    </row>
    <row r="1641" customFormat="false" ht="15" hidden="false" customHeight="false" outlineLevel="0" collapsed="false">
      <c r="A1641" s="39" t="s">
        <v>1763</v>
      </c>
      <c r="B1641" s="40" t="n">
        <v>45886</v>
      </c>
      <c r="C1641" s="39" t="s">
        <v>128</v>
      </c>
      <c r="D1641" s="39" t="n">
        <v>1</v>
      </c>
      <c r="E1641" s="41" t="n">
        <v>37.35</v>
      </c>
      <c r="F1641" s="39" t="s">
        <v>108</v>
      </c>
      <c r="G1641" s="39" t="str">
        <f aca="false">VLOOKUP(C1641,Products!$A$5:$D$24,2,FALSE())</f>
        <v>Ergonomic Footrest</v>
      </c>
      <c r="H1641" s="39" t="str">
        <f aca="false">VLOOKUP(C1641,Products!$A$5:$D$24,3,FALSE())</f>
        <v>Furniture</v>
      </c>
      <c r="I1641" s="41" t="n">
        <f aca="false">VLOOKUP(C1641,Products!$A$5:$D$24,4,FALSE())</f>
        <v>15</v>
      </c>
      <c r="J1641" s="42" t="n">
        <f aca="false">DATE(YEAR(B1641),MONTH(B1641),1)</f>
        <v>45870</v>
      </c>
      <c r="K1641" s="41" t="n">
        <f aca="false">D1641*E1641</f>
        <v>37.35</v>
      </c>
      <c r="L1641" s="41" t="n">
        <f aca="false">D1641*I1641</f>
        <v>15</v>
      </c>
      <c r="M1641" s="41" t="n">
        <f aca="false">IFERROR(INDEX(Raw_Expenses!$C$5:$C$2979,MATCH(A1641,Raw_Expenses!$A$5:$A$2979,0)),0)</f>
        <v>2.84</v>
      </c>
      <c r="N1641" s="41" t="n">
        <f aca="false">L1641+M1641</f>
        <v>17.84</v>
      </c>
      <c r="O1641" s="41" t="n">
        <f aca="false">K1641-N1641</f>
        <v>19.51</v>
      </c>
      <c r="P1641" s="43" t="n">
        <f aca="false">IF(K1641=0,0,O1641/K1641)</f>
        <v>0.52235609103079</v>
      </c>
    </row>
    <row r="1642" customFormat="false" ht="15" hidden="false" customHeight="false" outlineLevel="0" collapsed="false">
      <c r="A1642" s="39" t="s">
        <v>1764</v>
      </c>
      <c r="B1642" s="40" t="n">
        <v>45886</v>
      </c>
      <c r="C1642" s="39" t="s">
        <v>169</v>
      </c>
      <c r="D1642" s="39" t="n">
        <v>4</v>
      </c>
      <c r="E1642" s="41" t="n">
        <v>27.28</v>
      </c>
      <c r="F1642" s="39" t="s">
        <v>115</v>
      </c>
      <c r="G1642" s="39" t="str">
        <f aca="false">VLOOKUP(C1642,Products!$A$5:$D$24,2,FALSE())</f>
        <v>Laptop Stand</v>
      </c>
      <c r="H1642" s="39" t="str">
        <f aca="false">VLOOKUP(C1642,Products!$A$5:$D$24,3,FALSE())</f>
        <v>Accessories</v>
      </c>
      <c r="I1642" s="41" t="n">
        <f aca="false">VLOOKUP(C1642,Products!$A$5:$D$24,4,FALSE())</f>
        <v>11</v>
      </c>
      <c r="J1642" s="42" t="n">
        <f aca="false">DATE(YEAR(B1642),MONTH(B1642),1)</f>
        <v>45870</v>
      </c>
      <c r="K1642" s="41" t="n">
        <f aca="false">D1642*E1642</f>
        <v>109.12</v>
      </c>
      <c r="L1642" s="41" t="n">
        <f aca="false">D1642*I1642</f>
        <v>44</v>
      </c>
      <c r="M1642" s="41" t="n">
        <f aca="false">IFERROR(INDEX(Raw_Expenses!$C$5:$C$2979,MATCH(A1642,Raw_Expenses!$A$5:$A$2979,0)),0)</f>
        <v>5.14</v>
      </c>
      <c r="N1642" s="41" t="n">
        <f aca="false">L1642+M1642</f>
        <v>49.14</v>
      </c>
      <c r="O1642" s="41" t="n">
        <f aca="false">K1642-N1642</f>
        <v>59.98</v>
      </c>
      <c r="P1642" s="43" t="n">
        <f aca="false">IF(K1642=0,0,O1642/K1642)</f>
        <v>0.54967008797654</v>
      </c>
    </row>
    <row r="1643" customFormat="false" ht="15" hidden="false" customHeight="false" outlineLevel="0" collapsed="false">
      <c r="A1643" s="39" t="s">
        <v>1765</v>
      </c>
      <c r="B1643" s="40" t="n">
        <v>45887</v>
      </c>
      <c r="C1643" s="39" t="s">
        <v>110</v>
      </c>
      <c r="D1643" s="39" t="n">
        <v>2</v>
      </c>
      <c r="E1643" s="41" t="n">
        <v>13.01</v>
      </c>
      <c r="F1643" s="39" t="s">
        <v>108</v>
      </c>
      <c r="G1643" s="39" t="str">
        <f aca="false">VLOOKUP(C1643,Products!$A$5:$D$24,2,FALSE())</f>
        <v>Phone Stand</v>
      </c>
      <c r="H1643" s="39" t="str">
        <f aca="false">VLOOKUP(C1643,Products!$A$5:$D$24,3,FALSE())</f>
        <v>Accessories</v>
      </c>
      <c r="I1643" s="41" t="n">
        <f aca="false">VLOOKUP(C1643,Products!$A$5:$D$24,4,FALSE())</f>
        <v>4</v>
      </c>
      <c r="J1643" s="42" t="n">
        <f aca="false">DATE(YEAR(B1643),MONTH(B1643),1)</f>
        <v>45870</v>
      </c>
      <c r="K1643" s="41" t="n">
        <f aca="false">D1643*E1643</f>
        <v>26.02</v>
      </c>
      <c r="L1643" s="41" t="n">
        <f aca="false">D1643*I1643</f>
        <v>8</v>
      </c>
      <c r="M1643" s="41" t="n">
        <f aca="false">IFERROR(INDEX(Raw_Expenses!$C$5:$C$2979,MATCH(A1643,Raw_Expenses!$A$5:$A$2979,0)),0)</f>
        <v>1.79</v>
      </c>
      <c r="N1643" s="41" t="n">
        <f aca="false">L1643+M1643</f>
        <v>9.79</v>
      </c>
      <c r="O1643" s="41" t="n">
        <f aca="false">K1643-N1643</f>
        <v>16.23</v>
      </c>
      <c r="P1643" s="43" t="n">
        <f aca="false">IF(K1643=0,0,O1643/K1643)</f>
        <v>0.623750960799385</v>
      </c>
    </row>
    <row r="1644" customFormat="false" ht="15" hidden="false" customHeight="false" outlineLevel="0" collapsed="false">
      <c r="A1644" s="39" t="s">
        <v>1766</v>
      </c>
      <c r="B1644" s="40" t="n">
        <v>45887</v>
      </c>
      <c r="C1644" s="39" t="s">
        <v>114</v>
      </c>
      <c r="D1644" s="39" t="n">
        <v>2</v>
      </c>
      <c r="E1644" s="41" t="n">
        <v>5.76</v>
      </c>
      <c r="F1644" s="39" t="s">
        <v>105</v>
      </c>
      <c r="G1644" s="39" t="str">
        <f aca="false">VLOOKUP(C1644,Products!$A$5:$D$24,2,FALSE())</f>
        <v>Gel Pen Pack</v>
      </c>
      <c r="H1644" s="39" t="str">
        <f aca="false">VLOOKUP(C1644,Products!$A$5:$D$24,3,FALSE())</f>
        <v>Stationery</v>
      </c>
      <c r="I1644" s="41" t="n">
        <f aca="false">VLOOKUP(C1644,Products!$A$5:$D$24,4,FALSE())</f>
        <v>2</v>
      </c>
      <c r="J1644" s="42" t="n">
        <f aca="false">DATE(YEAR(B1644),MONTH(B1644),1)</f>
        <v>45870</v>
      </c>
      <c r="K1644" s="41" t="n">
        <f aca="false">D1644*E1644</f>
        <v>11.52</v>
      </c>
      <c r="L1644" s="41" t="n">
        <f aca="false">D1644*I1644</f>
        <v>4</v>
      </c>
      <c r="M1644" s="41" t="n">
        <f aca="false">IFERROR(INDEX(Raw_Expenses!$C$5:$C$2979,MATCH(A1644,Raw_Expenses!$A$5:$A$2979,0)),0)</f>
        <v>0.88</v>
      </c>
      <c r="N1644" s="41" t="n">
        <f aca="false">L1644+M1644</f>
        <v>4.88</v>
      </c>
      <c r="O1644" s="41" t="n">
        <f aca="false">K1644-N1644</f>
        <v>6.64</v>
      </c>
      <c r="P1644" s="43" t="n">
        <f aca="false">IF(K1644=0,0,O1644/K1644)</f>
        <v>0.576388888888889</v>
      </c>
    </row>
    <row r="1645" customFormat="false" ht="15" hidden="false" customHeight="false" outlineLevel="0" collapsed="false">
      <c r="A1645" s="39" t="s">
        <v>1767</v>
      </c>
      <c r="B1645" s="40" t="n">
        <v>45887</v>
      </c>
      <c r="C1645" s="39" t="s">
        <v>107</v>
      </c>
      <c r="D1645" s="39" t="n">
        <v>3</v>
      </c>
      <c r="E1645" s="41" t="n">
        <v>34.41</v>
      </c>
      <c r="F1645" s="39" t="s">
        <v>108</v>
      </c>
      <c r="G1645" s="39" t="str">
        <f aca="false">VLOOKUP(C1645,Products!$A$5:$D$24,2,FALSE())</f>
        <v>USB-C Hub</v>
      </c>
      <c r="H1645" s="39" t="str">
        <f aca="false">VLOOKUP(C1645,Products!$A$5:$D$24,3,FALSE())</f>
        <v>Electronics</v>
      </c>
      <c r="I1645" s="41" t="n">
        <f aca="false">VLOOKUP(C1645,Products!$A$5:$D$24,4,FALSE())</f>
        <v>14</v>
      </c>
      <c r="J1645" s="42" t="n">
        <f aca="false">DATE(YEAR(B1645),MONTH(B1645),1)</f>
        <v>45870</v>
      </c>
      <c r="K1645" s="41" t="n">
        <f aca="false">D1645*E1645</f>
        <v>103.23</v>
      </c>
      <c r="L1645" s="41" t="n">
        <f aca="false">D1645*I1645</f>
        <v>42</v>
      </c>
      <c r="M1645" s="41" t="n">
        <f aca="false">IFERROR(INDEX(Raw_Expenses!$C$5:$C$2979,MATCH(A1645,Raw_Expenses!$A$5:$A$2979,0)),0)</f>
        <v>5.25</v>
      </c>
      <c r="N1645" s="41" t="n">
        <f aca="false">L1645+M1645</f>
        <v>47.25</v>
      </c>
      <c r="O1645" s="41" t="n">
        <f aca="false">K1645-N1645</f>
        <v>55.98</v>
      </c>
      <c r="P1645" s="43" t="n">
        <f aca="false">IF(K1645=0,0,O1645/K1645)</f>
        <v>0.542284219703575</v>
      </c>
    </row>
    <row r="1646" customFormat="false" ht="15" hidden="false" customHeight="false" outlineLevel="0" collapsed="false">
      <c r="A1646" s="39" t="s">
        <v>1768</v>
      </c>
      <c r="B1646" s="40" t="n">
        <v>45887</v>
      </c>
      <c r="C1646" s="39" t="s">
        <v>133</v>
      </c>
      <c r="D1646" s="39" t="n">
        <v>1</v>
      </c>
      <c r="E1646" s="41" t="n">
        <v>8.7</v>
      </c>
      <c r="F1646" s="39" t="s">
        <v>118</v>
      </c>
      <c r="G1646" s="39" t="str">
        <f aca="false">VLOOKUP(C1646,Products!$A$5:$D$24,2,FALSE())</f>
        <v>Printer Paper Ream</v>
      </c>
      <c r="H1646" s="39" t="str">
        <f aca="false">VLOOKUP(C1646,Products!$A$5:$D$24,3,FALSE())</f>
        <v>Stationery</v>
      </c>
      <c r="I1646" s="41" t="n">
        <f aca="false">VLOOKUP(C1646,Products!$A$5:$D$24,4,FALSE())</f>
        <v>4</v>
      </c>
      <c r="J1646" s="42" t="n">
        <f aca="false">DATE(YEAR(B1646),MONTH(B1646),1)</f>
        <v>45870</v>
      </c>
      <c r="K1646" s="41" t="n">
        <f aca="false">D1646*E1646</f>
        <v>8.7</v>
      </c>
      <c r="L1646" s="41" t="n">
        <f aca="false">D1646*I1646</f>
        <v>4</v>
      </c>
      <c r="M1646" s="41" t="n">
        <f aca="false">IFERROR(INDEX(Raw_Expenses!$C$5:$C$2979,MATCH(A1646,Raw_Expenses!$A$5:$A$2979,0)),0)</f>
        <v>0.4</v>
      </c>
      <c r="N1646" s="41" t="n">
        <f aca="false">L1646+M1646</f>
        <v>4.4</v>
      </c>
      <c r="O1646" s="41" t="n">
        <f aca="false">K1646-N1646</f>
        <v>4.3</v>
      </c>
      <c r="P1646" s="43" t="n">
        <f aca="false">IF(K1646=0,0,O1646/K1646)</f>
        <v>0.494252873563218</v>
      </c>
    </row>
    <row r="1647" customFormat="false" ht="15" hidden="false" customHeight="false" outlineLevel="0" collapsed="false">
      <c r="A1647" s="39" t="s">
        <v>1769</v>
      </c>
      <c r="B1647" s="40" t="n">
        <v>45887</v>
      </c>
      <c r="C1647" s="39" t="s">
        <v>114</v>
      </c>
      <c r="D1647" s="39" t="n">
        <v>4</v>
      </c>
      <c r="E1647" s="41" t="n">
        <v>5.67</v>
      </c>
      <c r="F1647" s="39" t="s">
        <v>118</v>
      </c>
      <c r="G1647" s="39" t="str">
        <f aca="false">VLOOKUP(C1647,Products!$A$5:$D$24,2,FALSE())</f>
        <v>Gel Pen Pack</v>
      </c>
      <c r="H1647" s="39" t="str">
        <f aca="false">VLOOKUP(C1647,Products!$A$5:$D$24,3,FALSE())</f>
        <v>Stationery</v>
      </c>
      <c r="I1647" s="41" t="n">
        <f aca="false">VLOOKUP(C1647,Products!$A$5:$D$24,4,FALSE())</f>
        <v>2</v>
      </c>
      <c r="J1647" s="42" t="n">
        <f aca="false">DATE(YEAR(B1647),MONTH(B1647),1)</f>
        <v>45870</v>
      </c>
      <c r="K1647" s="41" t="n">
        <f aca="false">D1647*E1647</f>
        <v>22.68</v>
      </c>
      <c r="L1647" s="41" t="n">
        <f aca="false">D1647*I1647</f>
        <v>8</v>
      </c>
      <c r="M1647" s="41" t="n">
        <f aca="false">IFERROR(INDEX(Raw_Expenses!$C$5:$C$2979,MATCH(A1647,Raw_Expenses!$A$5:$A$2979,0)),0)</f>
        <v>1.94</v>
      </c>
      <c r="N1647" s="41" t="n">
        <f aca="false">L1647+M1647</f>
        <v>9.94</v>
      </c>
      <c r="O1647" s="41" t="n">
        <f aca="false">K1647-N1647</f>
        <v>12.74</v>
      </c>
      <c r="P1647" s="43" t="n">
        <f aca="false">IF(K1647=0,0,O1647/K1647)</f>
        <v>0.561728395061728</v>
      </c>
    </row>
    <row r="1648" customFormat="false" ht="15" hidden="false" customHeight="false" outlineLevel="0" collapsed="false">
      <c r="A1648" s="39" t="s">
        <v>1770</v>
      </c>
      <c r="B1648" s="40" t="n">
        <v>45887</v>
      </c>
      <c r="C1648" s="39" t="s">
        <v>117</v>
      </c>
      <c r="D1648" s="39" t="n">
        <v>4</v>
      </c>
      <c r="E1648" s="41" t="n">
        <v>31.67</v>
      </c>
      <c r="F1648" s="39" t="s">
        <v>115</v>
      </c>
      <c r="G1648" s="39" t="str">
        <f aca="false">VLOOKUP(C1648,Products!$A$5:$D$24,2,FALSE())</f>
        <v>Desk Lamp</v>
      </c>
      <c r="H1648" s="39" t="str">
        <f aca="false">VLOOKUP(C1648,Products!$A$5:$D$24,3,FALSE())</f>
        <v>Furniture</v>
      </c>
      <c r="I1648" s="41" t="n">
        <f aca="false">VLOOKUP(C1648,Products!$A$5:$D$24,4,FALSE())</f>
        <v>13</v>
      </c>
      <c r="J1648" s="42" t="n">
        <f aca="false">DATE(YEAR(B1648),MONTH(B1648),1)</f>
        <v>45870</v>
      </c>
      <c r="K1648" s="41" t="n">
        <f aca="false">D1648*E1648</f>
        <v>126.68</v>
      </c>
      <c r="L1648" s="41" t="n">
        <f aca="false">D1648*I1648</f>
        <v>52</v>
      </c>
      <c r="M1648" s="41" t="n">
        <f aca="false">IFERROR(INDEX(Raw_Expenses!$C$5:$C$2979,MATCH(A1648,Raw_Expenses!$A$5:$A$2979,0)),0)</f>
        <v>6.42</v>
      </c>
      <c r="N1648" s="41" t="n">
        <f aca="false">L1648+M1648</f>
        <v>58.42</v>
      </c>
      <c r="O1648" s="41" t="n">
        <f aca="false">K1648-N1648</f>
        <v>68.26</v>
      </c>
      <c r="P1648" s="43" t="n">
        <f aca="false">IF(K1648=0,0,O1648/K1648)</f>
        <v>0.538838017050837</v>
      </c>
    </row>
    <row r="1649" customFormat="false" ht="15" hidden="false" customHeight="false" outlineLevel="0" collapsed="false">
      <c r="A1649" s="39" t="s">
        <v>1771</v>
      </c>
      <c r="B1649" s="40" t="n">
        <v>45887</v>
      </c>
      <c r="C1649" s="39" t="s">
        <v>110</v>
      </c>
      <c r="D1649" s="39" t="n">
        <v>2</v>
      </c>
      <c r="E1649" s="41" t="n">
        <v>13.55</v>
      </c>
      <c r="F1649" s="39" t="s">
        <v>118</v>
      </c>
      <c r="G1649" s="39" t="str">
        <f aca="false">VLOOKUP(C1649,Products!$A$5:$D$24,2,FALSE())</f>
        <v>Phone Stand</v>
      </c>
      <c r="H1649" s="39" t="str">
        <f aca="false">VLOOKUP(C1649,Products!$A$5:$D$24,3,FALSE())</f>
        <v>Accessories</v>
      </c>
      <c r="I1649" s="41" t="n">
        <f aca="false">VLOOKUP(C1649,Products!$A$5:$D$24,4,FALSE())</f>
        <v>4</v>
      </c>
      <c r="J1649" s="42" t="n">
        <f aca="false">DATE(YEAR(B1649),MONTH(B1649),1)</f>
        <v>45870</v>
      </c>
      <c r="K1649" s="41" t="n">
        <f aca="false">D1649*E1649</f>
        <v>27.1</v>
      </c>
      <c r="L1649" s="41" t="n">
        <f aca="false">D1649*I1649</f>
        <v>8</v>
      </c>
      <c r="M1649" s="41" t="n">
        <f aca="false">IFERROR(INDEX(Raw_Expenses!$C$5:$C$2979,MATCH(A1649,Raw_Expenses!$A$5:$A$2979,0)),0)</f>
        <v>1.43</v>
      </c>
      <c r="N1649" s="41" t="n">
        <f aca="false">L1649+M1649</f>
        <v>9.43</v>
      </c>
      <c r="O1649" s="41" t="n">
        <f aca="false">K1649-N1649</f>
        <v>17.67</v>
      </c>
      <c r="P1649" s="43" t="n">
        <f aca="false">IF(K1649=0,0,O1649/K1649)</f>
        <v>0.652029520295203</v>
      </c>
    </row>
    <row r="1650" customFormat="false" ht="15" hidden="false" customHeight="false" outlineLevel="0" collapsed="false">
      <c r="A1650" s="39" t="s">
        <v>1772</v>
      </c>
      <c r="B1650" s="40" t="n">
        <v>45887</v>
      </c>
      <c r="C1650" s="39" t="s">
        <v>126</v>
      </c>
      <c r="D1650" s="39" t="n">
        <v>5</v>
      </c>
      <c r="E1650" s="41" t="n">
        <v>24.64</v>
      </c>
      <c r="F1650" s="39" t="s">
        <v>108</v>
      </c>
      <c r="G1650" s="39" t="str">
        <f aca="false">VLOOKUP(C1650,Products!$A$5:$D$24,2,FALSE())</f>
        <v>Wireless Mouse</v>
      </c>
      <c r="H1650" s="39" t="str">
        <f aca="false">VLOOKUP(C1650,Products!$A$5:$D$24,3,FALSE())</f>
        <v>Electronics</v>
      </c>
      <c r="I1650" s="41" t="n">
        <f aca="false">VLOOKUP(C1650,Products!$A$5:$D$24,4,FALSE())</f>
        <v>12</v>
      </c>
      <c r="J1650" s="42" t="n">
        <f aca="false">DATE(YEAR(B1650),MONTH(B1650),1)</f>
        <v>45870</v>
      </c>
      <c r="K1650" s="41" t="n">
        <f aca="false">D1650*E1650</f>
        <v>123.2</v>
      </c>
      <c r="L1650" s="41" t="n">
        <f aca="false">D1650*I1650</f>
        <v>60</v>
      </c>
      <c r="M1650" s="41" t="n">
        <f aca="false">IFERROR(INDEX(Raw_Expenses!$C$5:$C$2979,MATCH(A1650,Raw_Expenses!$A$5:$A$2979,0)),0)</f>
        <v>5.68</v>
      </c>
      <c r="N1650" s="41" t="n">
        <f aca="false">L1650+M1650</f>
        <v>65.68</v>
      </c>
      <c r="O1650" s="41" t="n">
        <f aca="false">K1650-N1650</f>
        <v>57.52</v>
      </c>
      <c r="P1650" s="43" t="n">
        <f aca="false">IF(K1650=0,0,O1650/K1650)</f>
        <v>0.466883116883117</v>
      </c>
    </row>
    <row r="1651" customFormat="false" ht="15" hidden="false" customHeight="false" outlineLevel="0" collapsed="false">
      <c r="A1651" s="39" t="s">
        <v>1773</v>
      </c>
      <c r="B1651" s="40" t="n">
        <v>45887</v>
      </c>
      <c r="C1651" s="39" t="s">
        <v>117</v>
      </c>
      <c r="D1651" s="39" t="n">
        <v>2</v>
      </c>
      <c r="E1651" s="41" t="n">
        <v>30.06</v>
      </c>
      <c r="F1651" s="39" t="s">
        <v>115</v>
      </c>
      <c r="G1651" s="39" t="str">
        <f aca="false">VLOOKUP(C1651,Products!$A$5:$D$24,2,FALSE())</f>
        <v>Desk Lamp</v>
      </c>
      <c r="H1651" s="39" t="str">
        <f aca="false">VLOOKUP(C1651,Products!$A$5:$D$24,3,FALSE())</f>
        <v>Furniture</v>
      </c>
      <c r="I1651" s="41" t="n">
        <f aca="false">VLOOKUP(C1651,Products!$A$5:$D$24,4,FALSE())</f>
        <v>13</v>
      </c>
      <c r="J1651" s="42" t="n">
        <f aca="false">DATE(YEAR(B1651),MONTH(B1651),1)</f>
        <v>45870</v>
      </c>
      <c r="K1651" s="41" t="n">
        <f aca="false">D1651*E1651</f>
        <v>60.12</v>
      </c>
      <c r="L1651" s="41" t="n">
        <f aca="false">D1651*I1651</f>
        <v>26</v>
      </c>
      <c r="M1651" s="41" t="n">
        <f aca="false">IFERROR(INDEX(Raw_Expenses!$C$5:$C$2979,MATCH(A1651,Raw_Expenses!$A$5:$A$2979,0)),0)</f>
        <v>5.06</v>
      </c>
      <c r="N1651" s="41" t="n">
        <f aca="false">L1651+M1651</f>
        <v>31.06</v>
      </c>
      <c r="O1651" s="41" t="n">
        <f aca="false">K1651-N1651</f>
        <v>29.06</v>
      </c>
      <c r="P1651" s="43" t="n">
        <f aca="false">IF(K1651=0,0,O1651/K1651)</f>
        <v>0.483366600133067</v>
      </c>
    </row>
    <row r="1652" customFormat="false" ht="15" hidden="false" customHeight="false" outlineLevel="0" collapsed="false">
      <c r="A1652" s="39" t="s">
        <v>1774</v>
      </c>
      <c r="B1652" s="40" t="n">
        <v>45887</v>
      </c>
      <c r="C1652" s="39" t="s">
        <v>139</v>
      </c>
      <c r="D1652" s="39" t="n">
        <v>5</v>
      </c>
      <c r="E1652" s="41" t="n">
        <v>125.59</v>
      </c>
      <c r="F1652" s="39" t="s">
        <v>108</v>
      </c>
      <c r="G1652" s="39" t="str">
        <f aca="false">VLOOKUP(C1652,Products!$A$5:$D$24,2,FALSE())</f>
        <v>Noise-Cancelling Headphones</v>
      </c>
      <c r="H1652" s="39" t="str">
        <f aca="false">VLOOKUP(C1652,Products!$A$5:$D$24,3,FALSE())</f>
        <v>Electronics</v>
      </c>
      <c r="I1652" s="41" t="n">
        <f aca="false">VLOOKUP(C1652,Products!$A$5:$D$24,4,FALSE())</f>
        <v>55</v>
      </c>
      <c r="J1652" s="42" t="n">
        <f aca="false">DATE(YEAR(B1652),MONTH(B1652),1)</f>
        <v>45870</v>
      </c>
      <c r="K1652" s="41" t="n">
        <f aca="false">D1652*E1652</f>
        <v>627.95</v>
      </c>
      <c r="L1652" s="41" t="n">
        <f aca="false">D1652*I1652</f>
        <v>275</v>
      </c>
      <c r="M1652" s="41" t="n">
        <f aca="false">IFERROR(INDEX(Raw_Expenses!$C$5:$C$2979,MATCH(A1652,Raw_Expenses!$A$5:$A$2979,0)),0)</f>
        <v>28.09</v>
      </c>
      <c r="N1652" s="41" t="n">
        <f aca="false">L1652+M1652</f>
        <v>303.09</v>
      </c>
      <c r="O1652" s="41" t="n">
        <f aca="false">K1652-N1652</f>
        <v>324.86</v>
      </c>
      <c r="P1652" s="43" t="n">
        <f aca="false">IF(K1652=0,0,O1652/K1652)</f>
        <v>0.517334182657855</v>
      </c>
    </row>
    <row r="1653" customFormat="false" ht="15" hidden="false" customHeight="false" outlineLevel="0" collapsed="false">
      <c r="A1653" s="39" t="s">
        <v>1775</v>
      </c>
      <c r="B1653" s="40" t="n">
        <v>45888</v>
      </c>
      <c r="C1653" s="39" t="s">
        <v>107</v>
      </c>
      <c r="D1653" s="39" t="n">
        <v>2</v>
      </c>
      <c r="E1653" s="41" t="n">
        <v>34.66</v>
      </c>
      <c r="F1653" s="39" t="s">
        <v>105</v>
      </c>
      <c r="G1653" s="39" t="str">
        <f aca="false">VLOOKUP(C1653,Products!$A$5:$D$24,2,FALSE())</f>
        <v>USB-C Hub</v>
      </c>
      <c r="H1653" s="39" t="str">
        <f aca="false">VLOOKUP(C1653,Products!$A$5:$D$24,3,FALSE())</f>
        <v>Electronics</v>
      </c>
      <c r="I1653" s="41" t="n">
        <f aca="false">VLOOKUP(C1653,Products!$A$5:$D$24,4,FALSE())</f>
        <v>14</v>
      </c>
      <c r="J1653" s="42" t="n">
        <f aca="false">DATE(YEAR(B1653),MONTH(B1653),1)</f>
        <v>45870</v>
      </c>
      <c r="K1653" s="41" t="n">
        <f aca="false">D1653*E1653</f>
        <v>69.32</v>
      </c>
      <c r="L1653" s="41" t="n">
        <f aca="false">D1653*I1653</f>
        <v>28</v>
      </c>
      <c r="M1653" s="41" t="n">
        <f aca="false">IFERROR(INDEX(Raw_Expenses!$C$5:$C$2979,MATCH(A1653,Raw_Expenses!$A$5:$A$2979,0)),0)</f>
        <v>4.57</v>
      </c>
      <c r="N1653" s="41" t="n">
        <f aca="false">L1653+M1653</f>
        <v>32.57</v>
      </c>
      <c r="O1653" s="41" t="n">
        <f aca="false">K1653-N1653</f>
        <v>36.75</v>
      </c>
      <c r="P1653" s="43" t="n">
        <f aca="false">IF(K1653=0,0,O1653/K1653)</f>
        <v>0.530150028851702</v>
      </c>
    </row>
    <row r="1654" customFormat="false" ht="15" hidden="false" customHeight="false" outlineLevel="0" collapsed="false">
      <c r="A1654" s="39" t="s">
        <v>1776</v>
      </c>
      <c r="B1654" s="40" t="n">
        <v>45888</v>
      </c>
      <c r="C1654" s="39" t="s">
        <v>126</v>
      </c>
      <c r="D1654" s="39" t="n">
        <v>1</v>
      </c>
      <c r="E1654" s="41" t="n">
        <v>23.77</v>
      </c>
      <c r="F1654" s="39" t="s">
        <v>115</v>
      </c>
      <c r="G1654" s="39" t="str">
        <f aca="false">VLOOKUP(C1654,Products!$A$5:$D$24,2,FALSE())</f>
        <v>Wireless Mouse</v>
      </c>
      <c r="H1654" s="39" t="str">
        <f aca="false">VLOOKUP(C1654,Products!$A$5:$D$24,3,FALSE())</f>
        <v>Electronics</v>
      </c>
      <c r="I1654" s="41" t="n">
        <f aca="false">VLOOKUP(C1654,Products!$A$5:$D$24,4,FALSE())</f>
        <v>12</v>
      </c>
      <c r="J1654" s="42" t="n">
        <f aca="false">DATE(YEAR(B1654),MONTH(B1654),1)</f>
        <v>45870</v>
      </c>
      <c r="K1654" s="41" t="n">
        <f aca="false">D1654*E1654</f>
        <v>23.77</v>
      </c>
      <c r="L1654" s="41" t="n">
        <f aca="false">D1654*I1654</f>
        <v>12</v>
      </c>
      <c r="M1654" s="41" t="n">
        <f aca="false">IFERROR(INDEX(Raw_Expenses!$C$5:$C$2979,MATCH(A1654,Raw_Expenses!$A$5:$A$2979,0)),0)</f>
        <v>1.39</v>
      </c>
      <c r="N1654" s="41" t="n">
        <f aca="false">L1654+M1654</f>
        <v>13.39</v>
      </c>
      <c r="O1654" s="41" t="n">
        <f aca="false">K1654-N1654</f>
        <v>10.38</v>
      </c>
      <c r="P1654" s="43" t="n">
        <f aca="false">IF(K1654=0,0,O1654/K1654)</f>
        <v>0.436684896928902</v>
      </c>
    </row>
    <row r="1655" customFormat="false" ht="15" hidden="false" customHeight="false" outlineLevel="0" collapsed="false">
      <c r="A1655" s="39" t="s">
        <v>1777</v>
      </c>
      <c r="B1655" s="40" t="n">
        <v>45888</v>
      </c>
      <c r="C1655" s="39" t="s">
        <v>110</v>
      </c>
      <c r="D1655" s="39" t="n">
        <v>4</v>
      </c>
      <c r="E1655" s="41" t="n">
        <v>13.46</v>
      </c>
      <c r="F1655" s="39" t="s">
        <v>105</v>
      </c>
      <c r="G1655" s="39" t="str">
        <f aca="false">VLOOKUP(C1655,Products!$A$5:$D$24,2,FALSE())</f>
        <v>Phone Stand</v>
      </c>
      <c r="H1655" s="39" t="str">
        <f aca="false">VLOOKUP(C1655,Products!$A$5:$D$24,3,FALSE())</f>
        <v>Accessories</v>
      </c>
      <c r="I1655" s="41" t="n">
        <f aca="false">VLOOKUP(C1655,Products!$A$5:$D$24,4,FALSE())</f>
        <v>4</v>
      </c>
      <c r="J1655" s="42" t="n">
        <f aca="false">DATE(YEAR(B1655),MONTH(B1655),1)</f>
        <v>45870</v>
      </c>
      <c r="K1655" s="41" t="n">
        <f aca="false">D1655*E1655</f>
        <v>53.84</v>
      </c>
      <c r="L1655" s="41" t="n">
        <f aca="false">D1655*I1655</f>
        <v>16</v>
      </c>
      <c r="M1655" s="41" t="n">
        <f aca="false">IFERROR(INDEX(Raw_Expenses!$C$5:$C$2979,MATCH(A1655,Raw_Expenses!$A$5:$A$2979,0)),0)</f>
        <v>2.93</v>
      </c>
      <c r="N1655" s="41" t="n">
        <f aca="false">L1655+M1655</f>
        <v>18.93</v>
      </c>
      <c r="O1655" s="41" t="n">
        <f aca="false">K1655-N1655</f>
        <v>34.91</v>
      </c>
      <c r="P1655" s="43" t="n">
        <f aca="false">IF(K1655=0,0,O1655/K1655)</f>
        <v>0.648402674591382</v>
      </c>
    </row>
    <row r="1656" customFormat="false" ht="15" hidden="false" customHeight="false" outlineLevel="0" collapsed="false">
      <c r="A1656" s="39" t="s">
        <v>1778</v>
      </c>
      <c r="B1656" s="40" t="n">
        <v>45888</v>
      </c>
      <c r="C1656" s="39" t="s">
        <v>305</v>
      </c>
      <c r="D1656" s="39" t="n">
        <v>2</v>
      </c>
      <c r="E1656" s="41" t="n">
        <v>341.47</v>
      </c>
      <c r="F1656" s="39" t="s">
        <v>108</v>
      </c>
      <c r="G1656" s="39" t="str">
        <f aca="false">VLOOKUP(C1656,Products!$A$5:$D$24,2,FALSE())</f>
        <v>Standing Desk</v>
      </c>
      <c r="H1656" s="39" t="str">
        <f aca="false">VLOOKUP(C1656,Products!$A$5:$D$24,3,FALSE())</f>
        <v>Furniture</v>
      </c>
      <c r="I1656" s="41" t="n">
        <f aca="false">VLOOKUP(C1656,Products!$A$5:$D$24,4,FALSE())</f>
        <v>160</v>
      </c>
      <c r="J1656" s="42" t="n">
        <f aca="false">DATE(YEAR(B1656),MONTH(B1656),1)</f>
        <v>45870</v>
      </c>
      <c r="K1656" s="41" t="n">
        <f aca="false">D1656*E1656</f>
        <v>682.94</v>
      </c>
      <c r="L1656" s="41" t="n">
        <f aca="false">D1656*I1656</f>
        <v>320</v>
      </c>
      <c r="M1656" s="41" t="n">
        <f aca="false">IFERROR(INDEX(Raw_Expenses!$C$5:$C$2979,MATCH(A1656,Raw_Expenses!$A$5:$A$2979,0)),0)</f>
        <v>45.53</v>
      </c>
      <c r="N1656" s="41" t="n">
        <f aca="false">L1656+M1656</f>
        <v>365.53</v>
      </c>
      <c r="O1656" s="41" t="n">
        <f aca="false">K1656-N1656</f>
        <v>317.41</v>
      </c>
      <c r="P1656" s="43" t="n">
        <f aca="false">IF(K1656=0,0,O1656/K1656)</f>
        <v>0.464769965150672</v>
      </c>
    </row>
    <row r="1657" customFormat="false" ht="15" hidden="false" customHeight="false" outlineLevel="0" collapsed="false">
      <c r="A1657" s="39" t="s">
        <v>1779</v>
      </c>
      <c r="B1657" s="40" t="n">
        <v>45888</v>
      </c>
      <c r="C1657" s="39" t="s">
        <v>117</v>
      </c>
      <c r="D1657" s="39" t="n">
        <v>2</v>
      </c>
      <c r="E1657" s="41" t="n">
        <v>31.62</v>
      </c>
      <c r="F1657" s="39" t="s">
        <v>108</v>
      </c>
      <c r="G1657" s="39" t="str">
        <f aca="false">VLOOKUP(C1657,Products!$A$5:$D$24,2,FALSE())</f>
        <v>Desk Lamp</v>
      </c>
      <c r="H1657" s="39" t="str">
        <f aca="false">VLOOKUP(C1657,Products!$A$5:$D$24,3,FALSE())</f>
        <v>Furniture</v>
      </c>
      <c r="I1657" s="41" t="n">
        <f aca="false">VLOOKUP(C1657,Products!$A$5:$D$24,4,FALSE())</f>
        <v>13</v>
      </c>
      <c r="J1657" s="42" t="n">
        <f aca="false">DATE(YEAR(B1657),MONTH(B1657),1)</f>
        <v>45870</v>
      </c>
      <c r="K1657" s="41" t="n">
        <f aca="false">D1657*E1657</f>
        <v>63.24</v>
      </c>
      <c r="L1657" s="41" t="n">
        <f aca="false">D1657*I1657</f>
        <v>26</v>
      </c>
      <c r="M1657" s="41" t="n">
        <f aca="false">IFERROR(INDEX(Raw_Expenses!$C$5:$C$2979,MATCH(A1657,Raw_Expenses!$A$5:$A$2979,0)),0)</f>
        <v>5.37</v>
      </c>
      <c r="N1657" s="41" t="n">
        <f aca="false">L1657+M1657</f>
        <v>31.37</v>
      </c>
      <c r="O1657" s="41" t="n">
        <f aca="false">K1657-N1657</f>
        <v>31.87</v>
      </c>
      <c r="P1657" s="43" t="n">
        <f aca="false">IF(K1657=0,0,O1657/K1657)</f>
        <v>0.503953194180898</v>
      </c>
    </row>
    <row r="1658" customFormat="false" ht="15" hidden="false" customHeight="false" outlineLevel="0" collapsed="false">
      <c r="A1658" s="39" t="s">
        <v>1780</v>
      </c>
      <c r="B1658" s="40" t="n">
        <v>45888</v>
      </c>
      <c r="C1658" s="39" t="s">
        <v>133</v>
      </c>
      <c r="D1658" s="39" t="n">
        <v>2</v>
      </c>
      <c r="E1658" s="41" t="n">
        <v>8.29</v>
      </c>
      <c r="F1658" s="39" t="s">
        <v>105</v>
      </c>
      <c r="G1658" s="39" t="str">
        <f aca="false">VLOOKUP(C1658,Products!$A$5:$D$24,2,FALSE())</f>
        <v>Printer Paper Ream</v>
      </c>
      <c r="H1658" s="39" t="str">
        <f aca="false">VLOOKUP(C1658,Products!$A$5:$D$24,3,FALSE())</f>
        <v>Stationery</v>
      </c>
      <c r="I1658" s="41" t="n">
        <f aca="false">VLOOKUP(C1658,Products!$A$5:$D$24,4,FALSE())</f>
        <v>4</v>
      </c>
      <c r="J1658" s="42" t="n">
        <f aca="false">DATE(YEAR(B1658),MONTH(B1658),1)</f>
        <v>45870</v>
      </c>
      <c r="K1658" s="41" t="n">
        <f aca="false">D1658*E1658</f>
        <v>16.58</v>
      </c>
      <c r="L1658" s="41" t="n">
        <f aca="false">D1658*I1658</f>
        <v>8</v>
      </c>
      <c r="M1658" s="41" t="n">
        <f aca="false">IFERROR(INDEX(Raw_Expenses!$C$5:$C$2979,MATCH(A1658,Raw_Expenses!$A$5:$A$2979,0)),0)</f>
        <v>0.82</v>
      </c>
      <c r="N1658" s="41" t="n">
        <f aca="false">L1658+M1658</f>
        <v>8.82</v>
      </c>
      <c r="O1658" s="41" t="n">
        <f aca="false">K1658-N1658</f>
        <v>7.76</v>
      </c>
      <c r="P1658" s="43" t="n">
        <f aca="false">IF(K1658=0,0,O1658/K1658)</f>
        <v>0.468033775633293</v>
      </c>
    </row>
    <row r="1659" customFormat="false" ht="15" hidden="false" customHeight="false" outlineLevel="0" collapsed="false">
      <c r="A1659" s="39" t="s">
        <v>1781</v>
      </c>
      <c r="B1659" s="40" t="n">
        <v>45888</v>
      </c>
      <c r="C1659" s="39" t="s">
        <v>162</v>
      </c>
      <c r="D1659" s="39" t="n">
        <v>3</v>
      </c>
      <c r="E1659" s="41" t="n">
        <v>65.48</v>
      </c>
      <c r="F1659" s="39" t="s">
        <v>118</v>
      </c>
      <c r="G1659" s="39" t="str">
        <f aca="false">VLOOKUP(C1659,Products!$A$5:$D$24,2,FALSE())</f>
        <v>Bluetooth Speaker</v>
      </c>
      <c r="H1659" s="39" t="str">
        <f aca="false">VLOOKUP(C1659,Products!$A$5:$D$24,3,FALSE())</f>
        <v>Electronics</v>
      </c>
      <c r="I1659" s="41" t="n">
        <f aca="false">VLOOKUP(C1659,Products!$A$5:$D$24,4,FALSE())</f>
        <v>28</v>
      </c>
      <c r="J1659" s="42" t="n">
        <f aca="false">DATE(YEAR(B1659),MONTH(B1659),1)</f>
        <v>45870</v>
      </c>
      <c r="K1659" s="41" t="n">
        <f aca="false">D1659*E1659</f>
        <v>196.44</v>
      </c>
      <c r="L1659" s="41" t="n">
        <f aca="false">D1659*I1659</f>
        <v>84</v>
      </c>
      <c r="M1659" s="41" t="n">
        <f aca="false">IFERROR(INDEX(Raw_Expenses!$C$5:$C$2979,MATCH(A1659,Raw_Expenses!$A$5:$A$2979,0)),0)</f>
        <v>13.28</v>
      </c>
      <c r="N1659" s="41" t="n">
        <f aca="false">L1659+M1659</f>
        <v>97.28</v>
      </c>
      <c r="O1659" s="41" t="n">
        <f aca="false">K1659-N1659</f>
        <v>99.16</v>
      </c>
      <c r="P1659" s="43" t="n">
        <f aca="false">IF(K1659=0,0,O1659/K1659)</f>
        <v>0.504785176135207</v>
      </c>
    </row>
    <row r="1660" customFormat="false" ht="15" hidden="false" customHeight="false" outlineLevel="0" collapsed="false">
      <c r="A1660" s="39" t="s">
        <v>1782</v>
      </c>
      <c r="B1660" s="40" t="n">
        <v>45888</v>
      </c>
      <c r="C1660" s="39" t="s">
        <v>144</v>
      </c>
      <c r="D1660" s="39" t="n">
        <v>5</v>
      </c>
      <c r="E1660" s="41" t="n">
        <v>57.52</v>
      </c>
      <c r="F1660" s="39" t="s">
        <v>105</v>
      </c>
      <c r="G1660" s="39" t="str">
        <f aca="false">VLOOKUP(C1660,Products!$A$5:$D$24,2,FALSE())</f>
        <v>Whiteboard</v>
      </c>
      <c r="H1660" s="39" t="str">
        <f aca="false">VLOOKUP(C1660,Products!$A$5:$D$24,3,FALSE())</f>
        <v>Furniture</v>
      </c>
      <c r="I1660" s="41" t="n">
        <f aca="false">VLOOKUP(C1660,Products!$A$5:$D$24,4,FALSE())</f>
        <v>28</v>
      </c>
      <c r="J1660" s="42" t="n">
        <f aca="false">DATE(YEAR(B1660),MONTH(B1660),1)</f>
        <v>45870</v>
      </c>
      <c r="K1660" s="41" t="n">
        <f aca="false">D1660*E1660</f>
        <v>287.6</v>
      </c>
      <c r="L1660" s="41" t="n">
        <f aca="false">D1660*I1660</f>
        <v>140</v>
      </c>
      <c r="M1660" s="41" t="n">
        <f aca="false">IFERROR(INDEX(Raw_Expenses!$C$5:$C$2979,MATCH(A1660,Raw_Expenses!$A$5:$A$2979,0)),0)</f>
        <v>17.04</v>
      </c>
      <c r="N1660" s="41" t="n">
        <f aca="false">L1660+M1660</f>
        <v>157.04</v>
      </c>
      <c r="O1660" s="41" t="n">
        <f aca="false">K1660-N1660</f>
        <v>130.56</v>
      </c>
      <c r="P1660" s="43" t="n">
        <f aca="false">IF(K1660=0,0,O1660/K1660)</f>
        <v>0.453963838664812</v>
      </c>
    </row>
    <row r="1661" customFormat="false" ht="15" hidden="false" customHeight="false" outlineLevel="0" collapsed="false">
      <c r="A1661" s="39" t="s">
        <v>1783</v>
      </c>
      <c r="B1661" s="40" t="n">
        <v>45889</v>
      </c>
      <c r="C1661" s="39" t="s">
        <v>144</v>
      </c>
      <c r="D1661" s="39" t="n">
        <v>4</v>
      </c>
      <c r="E1661" s="41" t="n">
        <v>55.67</v>
      </c>
      <c r="F1661" s="39" t="s">
        <v>115</v>
      </c>
      <c r="G1661" s="39" t="str">
        <f aca="false">VLOOKUP(C1661,Products!$A$5:$D$24,2,FALSE())</f>
        <v>Whiteboard</v>
      </c>
      <c r="H1661" s="39" t="str">
        <f aca="false">VLOOKUP(C1661,Products!$A$5:$D$24,3,FALSE())</f>
        <v>Furniture</v>
      </c>
      <c r="I1661" s="41" t="n">
        <f aca="false">VLOOKUP(C1661,Products!$A$5:$D$24,4,FALSE())</f>
        <v>28</v>
      </c>
      <c r="J1661" s="42" t="n">
        <f aca="false">DATE(YEAR(B1661),MONTH(B1661),1)</f>
        <v>45870</v>
      </c>
      <c r="K1661" s="41" t="n">
        <f aca="false">D1661*E1661</f>
        <v>222.68</v>
      </c>
      <c r="L1661" s="41" t="n">
        <f aca="false">D1661*I1661</f>
        <v>112</v>
      </c>
      <c r="M1661" s="41" t="n">
        <f aca="false">IFERROR(INDEX(Raw_Expenses!$C$5:$C$2979,MATCH(A1661,Raw_Expenses!$A$5:$A$2979,0)),0)</f>
        <v>11.74</v>
      </c>
      <c r="N1661" s="41" t="n">
        <f aca="false">L1661+M1661</f>
        <v>123.74</v>
      </c>
      <c r="O1661" s="41" t="n">
        <f aca="false">K1661-N1661</f>
        <v>98.94</v>
      </c>
      <c r="P1661" s="43" t="n">
        <f aca="false">IF(K1661=0,0,O1661/K1661)</f>
        <v>0.444314711693911</v>
      </c>
    </row>
    <row r="1662" customFormat="false" ht="15" hidden="false" customHeight="false" outlineLevel="0" collapsed="false">
      <c r="A1662" s="39" t="s">
        <v>1784</v>
      </c>
      <c r="B1662" s="40" t="n">
        <v>45889</v>
      </c>
      <c r="C1662" s="39" t="s">
        <v>114</v>
      </c>
      <c r="D1662" s="39" t="n">
        <v>1</v>
      </c>
      <c r="E1662" s="41" t="n">
        <v>5.66</v>
      </c>
      <c r="F1662" s="39" t="s">
        <v>115</v>
      </c>
      <c r="G1662" s="39" t="str">
        <f aca="false">VLOOKUP(C1662,Products!$A$5:$D$24,2,FALSE())</f>
        <v>Gel Pen Pack</v>
      </c>
      <c r="H1662" s="39" t="str">
        <f aca="false">VLOOKUP(C1662,Products!$A$5:$D$24,3,FALSE())</f>
        <v>Stationery</v>
      </c>
      <c r="I1662" s="41" t="n">
        <f aca="false">VLOOKUP(C1662,Products!$A$5:$D$24,4,FALSE())</f>
        <v>2</v>
      </c>
      <c r="J1662" s="42" t="n">
        <f aca="false">DATE(YEAR(B1662),MONTH(B1662),1)</f>
        <v>45870</v>
      </c>
      <c r="K1662" s="41" t="n">
        <f aca="false">D1662*E1662</f>
        <v>5.66</v>
      </c>
      <c r="L1662" s="41" t="n">
        <f aca="false">D1662*I1662</f>
        <v>2</v>
      </c>
      <c r="M1662" s="41" t="n">
        <f aca="false">IFERROR(INDEX(Raw_Expenses!$C$5:$C$2979,MATCH(A1662,Raw_Expenses!$A$5:$A$2979,0)),0)</f>
        <v>0.28</v>
      </c>
      <c r="N1662" s="41" t="n">
        <f aca="false">L1662+M1662</f>
        <v>2.28</v>
      </c>
      <c r="O1662" s="41" t="n">
        <f aca="false">K1662-N1662</f>
        <v>3.38</v>
      </c>
      <c r="P1662" s="43" t="n">
        <f aca="false">IF(K1662=0,0,O1662/K1662)</f>
        <v>0.597173144876325</v>
      </c>
    </row>
    <row r="1663" customFormat="false" ht="15" hidden="false" customHeight="false" outlineLevel="0" collapsed="false">
      <c r="A1663" s="39" t="s">
        <v>1785</v>
      </c>
      <c r="B1663" s="40" t="n">
        <v>45889</v>
      </c>
      <c r="C1663" s="39" t="s">
        <v>117</v>
      </c>
      <c r="D1663" s="39" t="n">
        <v>1</v>
      </c>
      <c r="E1663" s="41" t="n">
        <v>31.21</v>
      </c>
      <c r="F1663" s="39" t="s">
        <v>108</v>
      </c>
      <c r="G1663" s="39" t="str">
        <f aca="false">VLOOKUP(C1663,Products!$A$5:$D$24,2,FALSE())</f>
        <v>Desk Lamp</v>
      </c>
      <c r="H1663" s="39" t="str">
        <f aca="false">VLOOKUP(C1663,Products!$A$5:$D$24,3,FALSE())</f>
        <v>Furniture</v>
      </c>
      <c r="I1663" s="41" t="n">
        <f aca="false">VLOOKUP(C1663,Products!$A$5:$D$24,4,FALSE())</f>
        <v>13</v>
      </c>
      <c r="J1663" s="42" t="n">
        <f aca="false">DATE(YEAR(B1663),MONTH(B1663),1)</f>
        <v>45870</v>
      </c>
      <c r="K1663" s="41" t="n">
        <f aca="false">D1663*E1663</f>
        <v>31.21</v>
      </c>
      <c r="L1663" s="41" t="n">
        <f aca="false">D1663*I1663</f>
        <v>13</v>
      </c>
      <c r="M1663" s="41" t="n">
        <f aca="false">IFERROR(INDEX(Raw_Expenses!$C$5:$C$2979,MATCH(A1663,Raw_Expenses!$A$5:$A$2979,0)),0)</f>
        <v>0</v>
      </c>
      <c r="N1663" s="41" t="n">
        <f aca="false">L1663+M1663</f>
        <v>13</v>
      </c>
      <c r="O1663" s="41" t="n">
        <f aca="false">K1663-N1663</f>
        <v>18.21</v>
      </c>
      <c r="P1663" s="43" t="n">
        <f aca="false">IF(K1663=0,0,O1663/K1663)</f>
        <v>0.583466837552067</v>
      </c>
    </row>
    <row r="1664" customFormat="false" ht="15" hidden="false" customHeight="false" outlineLevel="0" collapsed="false">
      <c r="A1664" s="39" t="s">
        <v>1786</v>
      </c>
      <c r="B1664" s="40" t="n">
        <v>45889</v>
      </c>
      <c r="C1664" s="39" t="s">
        <v>305</v>
      </c>
      <c r="D1664" s="39" t="n">
        <v>3</v>
      </c>
      <c r="E1664" s="41" t="n">
        <v>321.65</v>
      </c>
      <c r="F1664" s="39" t="s">
        <v>105</v>
      </c>
      <c r="G1664" s="39" t="str">
        <f aca="false">VLOOKUP(C1664,Products!$A$5:$D$24,2,FALSE())</f>
        <v>Standing Desk</v>
      </c>
      <c r="H1664" s="39" t="str">
        <f aca="false">VLOOKUP(C1664,Products!$A$5:$D$24,3,FALSE())</f>
        <v>Furniture</v>
      </c>
      <c r="I1664" s="41" t="n">
        <f aca="false">VLOOKUP(C1664,Products!$A$5:$D$24,4,FALSE())</f>
        <v>160</v>
      </c>
      <c r="J1664" s="42" t="n">
        <f aca="false">DATE(YEAR(B1664),MONTH(B1664),1)</f>
        <v>45870</v>
      </c>
      <c r="K1664" s="41" t="n">
        <f aca="false">D1664*E1664</f>
        <v>964.95</v>
      </c>
      <c r="L1664" s="41" t="n">
        <f aca="false">D1664*I1664</f>
        <v>480</v>
      </c>
      <c r="M1664" s="41" t="n">
        <f aca="false">IFERROR(INDEX(Raw_Expenses!$C$5:$C$2979,MATCH(A1664,Raw_Expenses!$A$5:$A$2979,0)),0)</f>
        <v>61.33</v>
      </c>
      <c r="N1664" s="41" t="n">
        <f aca="false">L1664+M1664</f>
        <v>541.33</v>
      </c>
      <c r="O1664" s="41" t="n">
        <f aca="false">K1664-N1664</f>
        <v>423.62</v>
      </c>
      <c r="P1664" s="43" t="n">
        <f aca="false">IF(K1664=0,0,O1664/K1664)</f>
        <v>0.439007202445723</v>
      </c>
    </row>
    <row r="1665" customFormat="false" ht="15" hidden="false" customHeight="false" outlineLevel="0" collapsed="false">
      <c r="A1665" s="39" t="s">
        <v>1787</v>
      </c>
      <c r="B1665" s="40" t="n">
        <v>45889</v>
      </c>
      <c r="C1665" s="39" t="s">
        <v>112</v>
      </c>
      <c r="D1665" s="39" t="n">
        <v>2</v>
      </c>
      <c r="E1665" s="41" t="n">
        <v>54.27</v>
      </c>
      <c r="F1665" s="39" t="s">
        <v>105</v>
      </c>
      <c r="G1665" s="39" t="str">
        <f aca="false">VLOOKUP(C1665,Products!$A$5:$D$24,2,FALSE())</f>
        <v>HD Webcam</v>
      </c>
      <c r="H1665" s="39" t="str">
        <f aca="false">VLOOKUP(C1665,Products!$A$5:$D$24,3,FALSE())</f>
        <v>Electronics</v>
      </c>
      <c r="I1665" s="41" t="n">
        <f aca="false">VLOOKUP(C1665,Products!$A$5:$D$24,4,FALSE())</f>
        <v>22</v>
      </c>
      <c r="J1665" s="42" t="n">
        <f aca="false">DATE(YEAR(B1665),MONTH(B1665),1)</f>
        <v>45870</v>
      </c>
      <c r="K1665" s="41" t="n">
        <f aca="false">D1665*E1665</f>
        <v>108.54</v>
      </c>
      <c r="L1665" s="41" t="n">
        <f aca="false">D1665*I1665</f>
        <v>44</v>
      </c>
      <c r="M1665" s="41" t="n">
        <f aca="false">IFERROR(INDEX(Raw_Expenses!$C$5:$C$2979,MATCH(A1665,Raw_Expenses!$A$5:$A$2979,0)),0)</f>
        <v>8.88</v>
      </c>
      <c r="N1665" s="41" t="n">
        <f aca="false">L1665+M1665</f>
        <v>52.88</v>
      </c>
      <c r="O1665" s="41" t="n">
        <f aca="false">K1665-N1665</f>
        <v>55.66</v>
      </c>
      <c r="P1665" s="43" t="n">
        <f aca="false">IF(K1665=0,0,O1665/K1665)</f>
        <v>0.512806338676985</v>
      </c>
    </row>
    <row r="1666" customFormat="false" ht="15" hidden="false" customHeight="false" outlineLevel="0" collapsed="false">
      <c r="A1666" s="39" t="s">
        <v>1788</v>
      </c>
      <c r="B1666" s="40" t="n">
        <v>45889</v>
      </c>
      <c r="C1666" s="39" t="s">
        <v>114</v>
      </c>
      <c r="D1666" s="39" t="n">
        <v>2</v>
      </c>
      <c r="E1666" s="41" t="n">
        <v>5.79</v>
      </c>
      <c r="F1666" s="39" t="s">
        <v>108</v>
      </c>
      <c r="G1666" s="39" t="str">
        <f aca="false">VLOOKUP(C1666,Products!$A$5:$D$24,2,FALSE())</f>
        <v>Gel Pen Pack</v>
      </c>
      <c r="H1666" s="39" t="str">
        <f aca="false">VLOOKUP(C1666,Products!$A$5:$D$24,3,FALSE())</f>
        <v>Stationery</v>
      </c>
      <c r="I1666" s="41" t="n">
        <f aca="false">VLOOKUP(C1666,Products!$A$5:$D$24,4,FALSE())</f>
        <v>2</v>
      </c>
      <c r="J1666" s="42" t="n">
        <f aca="false">DATE(YEAR(B1666),MONTH(B1666),1)</f>
        <v>45870</v>
      </c>
      <c r="K1666" s="41" t="n">
        <f aca="false">D1666*E1666</f>
        <v>11.58</v>
      </c>
      <c r="L1666" s="41" t="n">
        <f aca="false">D1666*I1666</f>
        <v>4</v>
      </c>
      <c r="M1666" s="41" t="n">
        <f aca="false">IFERROR(INDEX(Raw_Expenses!$C$5:$C$2979,MATCH(A1666,Raw_Expenses!$A$5:$A$2979,0)),0)</f>
        <v>0.99</v>
      </c>
      <c r="N1666" s="41" t="n">
        <f aca="false">L1666+M1666</f>
        <v>4.99</v>
      </c>
      <c r="O1666" s="41" t="n">
        <f aca="false">K1666-N1666</f>
        <v>6.59</v>
      </c>
      <c r="P1666" s="43" t="n">
        <f aca="false">IF(K1666=0,0,O1666/K1666)</f>
        <v>0.569084628670121</v>
      </c>
    </row>
    <row r="1667" customFormat="false" ht="15" hidden="false" customHeight="false" outlineLevel="0" collapsed="false">
      <c r="A1667" s="39" t="s">
        <v>1789</v>
      </c>
      <c r="B1667" s="40" t="n">
        <v>45890</v>
      </c>
      <c r="C1667" s="39" t="s">
        <v>121</v>
      </c>
      <c r="D1667" s="39" t="n">
        <v>4</v>
      </c>
      <c r="E1667" s="41" t="n">
        <v>117.32</v>
      </c>
      <c r="F1667" s="39" t="s">
        <v>108</v>
      </c>
      <c r="G1667" s="39" t="str">
        <f aca="false">VLOOKUP(C1667,Products!$A$5:$D$24,2,FALSE())</f>
        <v>External SSD 1TB</v>
      </c>
      <c r="H1667" s="39" t="str">
        <f aca="false">VLOOKUP(C1667,Products!$A$5:$D$24,3,FALSE())</f>
        <v>Electronics</v>
      </c>
      <c r="I1667" s="41" t="n">
        <f aca="false">VLOOKUP(C1667,Products!$A$5:$D$24,4,FALSE())</f>
        <v>62</v>
      </c>
      <c r="J1667" s="42" t="n">
        <f aca="false">DATE(YEAR(B1667),MONTH(B1667),1)</f>
        <v>45870</v>
      </c>
      <c r="K1667" s="41" t="n">
        <f aca="false">D1667*E1667</f>
        <v>469.28</v>
      </c>
      <c r="L1667" s="41" t="n">
        <f aca="false">D1667*I1667</f>
        <v>248</v>
      </c>
      <c r="M1667" s="41" t="n">
        <f aca="false">IFERROR(INDEX(Raw_Expenses!$C$5:$C$2979,MATCH(A1667,Raw_Expenses!$A$5:$A$2979,0)),0)</f>
        <v>31.79</v>
      </c>
      <c r="N1667" s="41" t="n">
        <f aca="false">L1667+M1667</f>
        <v>279.79</v>
      </c>
      <c r="O1667" s="41" t="n">
        <f aca="false">K1667-N1667</f>
        <v>189.49</v>
      </c>
      <c r="P1667" s="43" t="n">
        <f aca="false">IF(K1667=0,0,O1667/K1667)</f>
        <v>0.403788782816229</v>
      </c>
    </row>
    <row r="1668" customFormat="false" ht="15" hidden="false" customHeight="false" outlineLevel="0" collapsed="false">
      <c r="A1668" s="39" t="s">
        <v>1790</v>
      </c>
      <c r="B1668" s="40" t="n">
        <v>45890</v>
      </c>
      <c r="C1668" s="39" t="s">
        <v>133</v>
      </c>
      <c r="D1668" s="39" t="n">
        <v>2</v>
      </c>
      <c r="E1668" s="41" t="n">
        <v>8.82</v>
      </c>
      <c r="F1668" s="39" t="s">
        <v>115</v>
      </c>
      <c r="G1668" s="39" t="str">
        <f aca="false">VLOOKUP(C1668,Products!$A$5:$D$24,2,FALSE())</f>
        <v>Printer Paper Ream</v>
      </c>
      <c r="H1668" s="39" t="str">
        <f aca="false">VLOOKUP(C1668,Products!$A$5:$D$24,3,FALSE())</f>
        <v>Stationery</v>
      </c>
      <c r="I1668" s="41" t="n">
        <f aca="false">VLOOKUP(C1668,Products!$A$5:$D$24,4,FALSE())</f>
        <v>4</v>
      </c>
      <c r="J1668" s="42" t="n">
        <f aca="false">DATE(YEAR(B1668),MONTH(B1668),1)</f>
        <v>45870</v>
      </c>
      <c r="K1668" s="41" t="n">
        <f aca="false">D1668*E1668</f>
        <v>17.64</v>
      </c>
      <c r="L1668" s="41" t="n">
        <f aca="false">D1668*I1668</f>
        <v>8</v>
      </c>
      <c r="M1668" s="41" t="n">
        <f aca="false">IFERROR(INDEX(Raw_Expenses!$C$5:$C$2979,MATCH(A1668,Raw_Expenses!$A$5:$A$2979,0)),0)</f>
        <v>1.29</v>
      </c>
      <c r="N1668" s="41" t="n">
        <f aca="false">L1668+M1668</f>
        <v>9.29</v>
      </c>
      <c r="O1668" s="41" t="n">
        <f aca="false">K1668-N1668</f>
        <v>8.35</v>
      </c>
      <c r="P1668" s="43" t="n">
        <f aca="false">IF(K1668=0,0,O1668/K1668)</f>
        <v>0.473356009070295</v>
      </c>
    </row>
    <row r="1669" customFormat="false" ht="15" hidden="false" customHeight="false" outlineLevel="0" collapsed="false">
      <c r="A1669" s="39" t="s">
        <v>1791</v>
      </c>
      <c r="B1669" s="40" t="n">
        <v>45890</v>
      </c>
      <c r="C1669" s="39" t="s">
        <v>130</v>
      </c>
      <c r="D1669" s="39" t="n">
        <v>1</v>
      </c>
      <c r="E1669" s="41" t="n">
        <v>8.66</v>
      </c>
      <c r="F1669" s="39" t="s">
        <v>105</v>
      </c>
      <c r="G1669" s="39" t="str">
        <f aca="false">VLOOKUP(C1669,Products!$A$5:$D$24,2,FALSE())</f>
        <v>Notebook Set</v>
      </c>
      <c r="H1669" s="39" t="str">
        <f aca="false">VLOOKUP(C1669,Products!$A$5:$D$24,3,FALSE())</f>
        <v>Stationery</v>
      </c>
      <c r="I1669" s="41" t="n">
        <f aca="false">VLOOKUP(C1669,Products!$A$5:$D$24,4,FALSE())</f>
        <v>3</v>
      </c>
      <c r="J1669" s="42" t="n">
        <f aca="false">DATE(YEAR(B1669),MONTH(B1669),1)</f>
        <v>45870</v>
      </c>
      <c r="K1669" s="41" t="n">
        <f aca="false">D1669*E1669</f>
        <v>8.66</v>
      </c>
      <c r="L1669" s="41" t="n">
        <f aca="false">D1669*I1669</f>
        <v>3</v>
      </c>
      <c r="M1669" s="41" t="n">
        <f aca="false">IFERROR(INDEX(Raw_Expenses!$C$5:$C$2979,MATCH(A1669,Raw_Expenses!$A$5:$A$2979,0)),0)</f>
        <v>0.53</v>
      </c>
      <c r="N1669" s="41" t="n">
        <f aca="false">L1669+M1669</f>
        <v>3.53</v>
      </c>
      <c r="O1669" s="41" t="n">
        <f aca="false">K1669-N1669</f>
        <v>5.13</v>
      </c>
      <c r="P1669" s="43" t="n">
        <f aca="false">IF(K1669=0,0,O1669/K1669)</f>
        <v>0.592378752886836</v>
      </c>
    </row>
    <row r="1670" customFormat="false" ht="15" hidden="false" customHeight="false" outlineLevel="0" collapsed="false">
      <c r="A1670" s="39" t="s">
        <v>1792</v>
      </c>
      <c r="B1670" s="40" t="n">
        <v>45890</v>
      </c>
      <c r="C1670" s="39" t="s">
        <v>114</v>
      </c>
      <c r="D1670" s="39" t="n">
        <v>3</v>
      </c>
      <c r="E1670" s="41" t="n">
        <v>5.76</v>
      </c>
      <c r="F1670" s="39" t="s">
        <v>118</v>
      </c>
      <c r="G1670" s="39" t="str">
        <f aca="false">VLOOKUP(C1670,Products!$A$5:$D$24,2,FALSE())</f>
        <v>Gel Pen Pack</v>
      </c>
      <c r="H1670" s="39" t="str">
        <f aca="false">VLOOKUP(C1670,Products!$A$5:$D$24,3,FALSE())</f>
        <v>Stationery</v>
      </c>
      <c r="I1670" s="41" t="n">
        <f aca="false">VLOOKUP(C1670,Products!$A$5:$D$24,4,FALSE())</f>
        <v>2</v>
      </c>
      <c r="J1670" s="42" t="n">
        <f aca="false">DATE(YEAR(B1670),MONTH(B1670),1)</f>
        <v>45870</v>
      </c>
      <c r="K1670" s="41" t="n">
        <f aca="false">D1670*E1670</f>
        <v>17.28</v>
      </c>
      <c r="L1670" s="41" t="n">
        <f aca="false">D1670*I1670</f>
        <v>6</v>
      </c>
      <c r="M1670" s="41" t="n">
        <f aca="false">IFERROR(INDEX(Raw_Expenses!$C$5:$C$2979,MATCH(A1670,Raw_Expenses!$A$5:$A$2979,0)),0)</f>
        <v>0.81</v>
      </c>
      <c r="N1670" s="41" t="n">
        <f aca="false">L1670+M1670</f>
        <v>6.81</v>
      </c>
      <c r="O1670" s="41" t="n">
        <f aca="false">K1670-N1670</f>
        <v>10.47</v>
      </c>
      <c r="P1670" s="43" t="n">
        <f aca="false">IF(K1670=0,0,O1670/K1670)</f>
        <v>0.605902777777778</v>
      </c>
    </row>
    <row r="1671" customFormat="false" ht="15" hidden="false" customHeight="false" outlineLevel="0" collapsed="false">
      <c r="A1671" s="39" t="s">
        <v>1793</v>
      </c>
      <c r="B1671" s="40" t="n">
        <v>45890</v>
      </c>
      <c r="C1671" s="39" t="s">
        <v>117</v>
      </c>
      <c r="D1671" s="39" t="n">
        <v>1</v>
      </c>
      <c r="E1671" s="41" t="n">
        <v>31.26</v>
      </c>
      <c r="F1671" s="39" t="s">
        <v>115</v>
      </c>
      <c r="G1671" s="39" t="str">
        <f aca="false">VLOOKUP(C1671,Products!$A$5:$D$24,2,FALSE())</f>
        <v>Desk Lamp</v>
      </c>
      <c r="H1671" s="39" t="str">
        <f aca="false">VLOOKUP(C1671,Products!$A$5:$D$24,3,FALSE())</f>
        <v>Furniture</v>
      </c>
      <c r="I1671" s="41" t="n">
        <f aca="false">VLOOKUP(C1671,Products!$A$5:$D$24,4,FALSE())</f>
        <v>13</v>
      </c>
      <c r="J1671" s="42" t="n">
        <f aca="false">DATE(YEAR(B1671),MONTH(B1671),1)</f>
        <v>45870</v>
      </c>
      <c r="K1671" s="41" t="n">
        <f aca="false">D1671*E1671</f>
        <v>31.26</v>
      </c>
      <c r="L1671" s="41" t="n">
        <f aca="false">D1671*I1671</f>
        <v>13</v>
      </c>
      <c r="M1671" s="41" t="n">
        <f aca="false">IFERROR(INDEX(Raw_Expenses!$C$5:$C$2979,MATCH(A1671,Raw_Expenses!$A$5:$A$2979,0)),0)</f>
        <v>1.95</v>
      </c>
      <c r="N1671" s="41" t="n">
        <f aca="false">L1671+M1671</f>
        <v>14.95</v>
      </c>
      <c r="O1671" s="41" t="n">
        <f aca="false">K1671-N1671</f>
        <v>16.31</v>
      </c>
      <c r="P1671" s="43" t="n">
        <f aca="false">IF(K1671=0,0,O1671/K1671)</f>
        <v>0.521753039027511</v>
      </c>
    </row>
    <row r="1672" customFormat="false" ht="15" hidden="false" customHeight="false" outlineLevel="0" collapsed="false">
      <c r="A1672" s="39" t="s">
        <v>1794</v>
      </c>
      <c r="B1672" s="40" t="n">
        <v>45891</v>
      </c>
      <c r="C1672" s="39" t="s">
        <v>121</v>
      </c>
      <c r="D1672" s="39" t="n">
        <v>2</v>
      </c>
      <c r="E1672" s="41" t="n">
        <v>110.71</v>
      </c>
      <c r="F1672" s="39" t="s">
        <v>118</v>
      </c>
      <c r="G1672" s="39" t="str">
        <f aca="false">VLOOKUP(C1672,Products!$A$5:$D$24,2,FALSE())</f>
        <v>External SSD 1TB</v>
      </c>
      <c r="H1672" s="39" t="str">
        <f aca="false">VLOOKUP(C1672,Products!$A$5:$D$24,3,FALSE())</f>
        <v>Electronics</v>
      </c>
      <c r="I1672" s="41" t="n">
        <f aca="false">VLOOKUP(C1672,Products!$A$5:$D$24,4,FALSE())</f>
        <v>62</v>
      </c>
      <c r="J1672" s="42" t="n">
        <f aca="false">DATE(YEAR(B1672),MONTH(B1672),1)</f>
        <v>45870</v>
      </c>
      <c r="K1672" s="41" t="n">
        <f aca="false">D1672*E1672</f>
        <v>221.42</v>
      </c>
      <c r="L1672" s="41" t="n">
        <f aca="false">D1672*I1672</f>
        <v>124</v>
      </c>
      <c r="M1672" s="41" t="n">
        <f aca="false">IFERROR(INDEX(Raw_Expenses!$C$5:$C$2979,MATCH(A1672,Raw_Expenses!$A$5:$A$2979,0)),0)</f>
        <v>15.79</v>
      </c>
      <c r="N1672" s="41" t="n">
        <f aca="false">L1672+M1672</f>
        <v>139.79</v>
      </c>
      <c r="O1672" s="41" t="n">
        <f aca="false">K1672-N1672</f>
        <v>81.63</v>
      </c>
      <c r="P1672" s="43" t="n">
        <f aca="false">IF(K1672=0,0,O1672/K1672)</f>
        <v>0.368665883840665</v>
      </c>
    </row>
    <row r="1673" customFormat="false" ht="15" hidden="false" customHeight="false" outlineLevel="0" collapsed="false">
      <c r="A1673" s="39" t="s">
        <v>1795</v>
      </c>
      <c r="B1673" s="40" t="n">
        <v>45891</v>
      </c>
      <c r="C1673" s="39" t="s">
        <v>114</v>
      </c>
      <c r="D1673" s="39" t="n">
        <v>1</v>
      </c>
      <c r="E1673" s="41" t="n">
        <v>5.57</v>
      </c>
      <c r="F1673" s="39" t="s">
        <v>115</v>
      </c>
      <c r="G1673" s="39" t="str">
        <f aca="false">VLOOKUP(C1673,Products!$A$5:$D$24,2,FALSE())</f>
        <v>Gel Pen Pack</v>
      </c>
      <c r="H1673" s="39" t="str">
        <f aca="false">VLOOKUP(C1673,Products!$A$5:$D$24,3,FALSE())</f>
        <v>Stationery</v>
      </c>
      <c r="I1673" s="41" t="n">
        <f aca="false">VLOOKUP(C1673,Products!$A$5:$D$24,4,FALSE())</f>
        <v>2</v>
      </c>
      <c r="J1673" s="42" t="n">
        <f aca="false">DATE(YEAR(B1673),MONTH(B1673),1)</f>
        <v>45870</v>
      </c>
      <c r="K1673" s="41" t="n">
        <f aca="false">D1673*E1673</f>
        <v>5.57</v>
      </c>
      <c r="L1673" s="41" t="n">
        <f aca="false">D1673*I1673</f>
        <v>2</v>
      </c>
      <c r="M1673" s="41" t="n">
        <f aca="false">IFERROR(INDEX(Raw_Expenses!$C$5:$C$2979,MATCH(A1673,Raw_Expenses!$A$5:$A$2979,0)),0)</f>
        <v>0.26</v>
      </c>
      <c r="N1673" s="41" t="n">
        <f aca="false">L1673+M1673</f>
        <v>2.26</v>
      </c>
      <c r="O1673" s="41" t="n">
        <f aca="false">K1673-N1673</f>
        <v>3.31</v>
      </c>
      <c r="P1673" s="43" t="n">
        <f aca="false">IF(K1673=0,0,O1673/K1673)</f>
        <v>0.594254937163375</v>
      </c>
    </row>
    <row r="1674" customFormat="false" ht="15" hidden="false" customHeight="false" outlineLevel="0" collapsed="false">
      <c r="A1674" s="39" t="s">
        <v>1796</v>
      </c>
      <c r="B1674" s="40" t="n">
        <v>45891</v>
      </c>
      <c r="C1674" s="39" t="s">
        <v>183</v>
      </c>
      <c r="D1674" s="39" t="n">
        <v>8</v>
      </c>
      <c r="E1674" s="41" t="n">
        <v>176.62</v>
      </c>
      <c r="F1674" s="39" t="s">
        <v>118</v>
      </c>
      <c r="G1674" s="39" t="str">
        <f aca="false">VLOOKUP(C1674,Products!$A$5:$D$24,2,FALSE())</f>
        <v>Office Chair</v>
      </c>
      <c r="H1674" s="39" t="str">
        <f aca="false">VLOOKUP(C1674,Products!$A$5:$D$24,3,FALSE())</f>
        <v>Furniture</v>
      </c>
      <c r="I1674" s="41" t="n">
        <f aca="false">VLOOKUP(C1674,Products!$A$5:$D$24,4,FALSE())</f>
        <v>85</v>
      </c>
      <c r="J1674" s="42" t="n">
        <f aca="false">DATE(YEAR(B1674),MONTH(B1674),1)</f>
        <v>45870</v>
      </c>
      <c r="K1674" s="41" t="n">
        <f aca="false">D1674*E1674</f>
        <v>1412.96</v>
      </c>
      <c r="L1674" s="41" t="n">
        <f aca="false">D1674*I1674</f>
        <v>680</v>
      </c>
      <c r="M1674" s="41" t="n">
        <f aca="false">IFERROR(INDEX(Raw_Expenses!$C$5:$C$2979,MATCH(A1674,Raw_Expenses!$A$5:$A$2979,0)),0)</f>
        <v>93.43</v>
      </c>
      <c r="N1674" s="41" t="n">
        <f aca="false">L1674+M1674</f>
        <v>773.43</v>
      </c>
      <c r="O1674" s="41" t="n">
        <f aca="false">K1674-N1674</f>
        <v>639.53</v>
      </c>
      <c r="P1674" s="43" t="n">
        <f aca="false">IF(K1674=0,0,O1674/K1674)</f>
        <v>0.452617200770015</v>
      </c>
    </row>
    <row r="1675" customFormat="false" ht="15" hidden="false" customHeight="false" outlineLevel="0" collapsed="false">
      <c r="A1675" s="39" t="s">
        <v>1797</v>
      </c>
      <c r="B1675" s="40" t="n">
        <v>45891</v>
      </c>
      <c r="C1675" s="39" t="s">
        <v>136</v>
      </c>
      <c r="D1675" s="39" t="n">
        <v>3</v>
      </c>
      <c r="E1675" s="41" t="n">
        <v>74.27</v>
      </c>
      <c r="F1675" s="39" t="s">
        <v>108</v>
      </c>
      <c r="G1675" s="39" t="str">
        <f aca="false">VLOOKUP(C1675,Products!$A$5:$D$24,2,FALSE())</f>
        <v>Mechanical Keyboard</v>
      </c>
      <c r="H1675" s="39" t="str">
        <f aca="false">VLOOKUP(C1675,Products!$A$5:$D$24,3,FALSE())</f>
        <v>Electronics</v>
      </c>
      <c r="I1675" s="41" t="n">
        <f aca="false">VLOOKUP(C1675,Products!$A$5:$D$24,4,FALSE())</f>
        <v>38</v>
      </c>
      <c r="J1675" s="42" t="n">
        <f aca="false">DATE(YEAR(B1675),MONTH(B1675),1)</f>
        <v>45870</v>
      </c>
      <c r="K1675" s="41" t="n">
        <f aca="false">D1675*E1675</f>
        <v>222.81</v>
      </c>
      <c r="L1675" s="41" t="n">
        <f aca="false">D1675*I1675</f>
        <v>114</v>
      </c>
      <c r="M1675" s="41" t="n">
        <f aca="false">IFERROR(INDEX(Raw_Expenses!$C$5:$C$2979,MATCH(A1675,Raw_Expenses!$A$5:$A$2979,0)),0)</f>
        <v>9.36</v>
      </c>
      <c r="N1675" s="41" t="n">
        <f aca="false">L1675+M1675</f>
        <v>123.36</v>
      </c>
      <c r="O1675" s="41" t="n">
        <f aca="false">K1675-N1675</f>
        <v>99.45</v>
      </c>
      <c r="P1675" s="43" t="n">
        <f aca="false">IF(K1675=0,0,O1675/K1675)</f>
        <v>0.446344419011714</v>
      </c>
    </row>
    <row r="1676" customFormat="false" ht="15" hidden="false" customHeight="false" outlineLevel="0" collapsed="false">
      <c r="A1676" s="39" t="s">
        <v>1798</v>
      </c>
      <c r="B1676" s="40" t="n">
        <v>45891</v>
      </c>
      <c r="C1676" s="39" t="s">
        <v>112</v>
      </c>
      <c r="D1676" s="39" t="n">
        <v>3</v>
      </c>
      <c r="E1676" s="41" t="n">
        <v>53.25</v>
      </c>
      <c r="F1676" s="39" t="s">
        <v>108</v>
      </c>
      <c r="G1676" s="39" t="str">
        <f aca="false">VLOOKUP(C1676,Products!$A$5:$D$24,2,FALSE())</f>
        <v>HD Webcam</v>
      </c>
      <c r="H1676" s="39" t="str">
        <f aca="false">VLOOKUP(C1676,Products!$A$5:$D$24,3,FALSE())</f>
        <v>Electronics</v>
      </c>
      <c r="I1676" s="41" t="n">
        <f aca="false">VLOOKUP(C1676,Products!$A$5:$D$24,4,FALSE())</f>
        <v>22</v>
      </c>
      <c r="J1676" s="42" t="n">
        <f aca="false">DATE(YEAR(B1676),MONTH(B1676),1)</f>
        <v>45870</v>
      </c>
      <c r="K1676" s="41" t="n">
        <f aca="false">D1676*E1676</f>
        <v>159.75</v>
      </c>
      <c r="L1676" s="41" t="n">
        <f aca="false">D1676*I1676</f>
        <v>66</v>
      </c>
      <c r="M1676" s="41" t="n">
        <f aca="false">IFERROR(INDEX(Raw_Expenses!$C$5:$C$2979,MATCH(A1676,Raw_Expenses!$A$5:$A$2979,0)),0)</f>
        <v>12.09</v>
      </c>
      <c r="N1676" s="41" t="n">
        <f aca="false">L1676+M1676</f>
        <v>78.09</v>
      </c>
      <c r="O1676" s="41" t="n">
        <f aca="false">K1676-N1676</f>
        <v>81.66</v>
      </c>
      <c r="P1676" s="43" t="n">
        <f aca="false">IF(K1676=0,0,O1676/K1676)</f>
        <v>0.511173708920188</v>
      </c>
    </row>
    <row r="1677" customFormat="false" ht="15" hidden="false" customHeight="false" outlineLevel="0" collapsed="false">
      <c r="A1677" s="39" t="s">
        <v>1799</v>
      </c>
      <c r="B1677" s="40" t="n">
        <v>45891</v>
      </c>
      <c r="C1677" s="39" t="s">
        <v>177</v>
      </c>
      <c r="D1677" s="39" t="n">
        <v>4</v>
      </c>
      <c r="E1677" s="41" t="n">
        <v>43.26</v>
      </c>
      <c r="F1677" s="39" t="s">
        <v>115</v>
      </c>
      <c r="G1677" s="39" t="str">
        <f aca="false">VLOOKUP(C1677,Products!$A$5:$D$24,2,FALSE())</f>
        <v>Backpack</v>
      </c>
      <c r="H1677" s="39" t="str">
        <f aca="false">VLOOKUP(C1677,Products!$A$5:$D$24,3,FALSE())</f>
        <v>Accessories</v>
      </c>
      <c r="I1677" s="41" t="n">
        <f aca="false">VLOOKUP(C1677,Products!$A$5:$D$24,4,FALSE())</f>
        <v>17</v>
      </c>
      <c r="J1677" s="42" t="n">
        <f aca="false">DATE(YEAR(B1677),MONTH(B1677),1)</f>
        <v>45870</v>
      </c>
      <c r="K1677" s="41" t="n">
        <f aca="false">D1677*E1677</f>
        <v>173.04</v>
      </c>
      <c r="L1677" s="41" t="n">
        <f aca="false">D1677*I1677</f>
        <v>68</v>
      </c>
      <c r="M1677" s="41" t="n">
        <f aca="false">IFERROR(INDEX(Raw_Expenses!$C$5:$C$2979,MATCH(A1677,Raw_Expenses!$A$5:$A$2979,0)),0)</f>
        <v>14.27</v>
      </c>
      <c r="N1677" s="41" t="n">
        <f aca="false">L1677+M1677</f>
        <v>82.27</v>
      </c>
      <c r="O1677" s="41" t="n">
        <f aca="false">K1677-N1677</f>
        <v>90.77</v>
      </c>
      <c r="P1677" s="43" t="n">
        <f aca="false">IF(K1677=0,0,O1677/K1677)</f>
        <v>0.524560795191863</v>
      </c>
    </row>
    <row r="1678" customFormat="false" ht="15" hidden="false" customHeight="false" outlineLevel="0" collapsed="false">
      <c r="A1678" s="39" t="s">
        <v>1800</v>
      </c>
      <c r="B1678" s="40" t="n">
        <v>45891</v>
      </c>
      <c r="C1678" s="39" t="s">
        <v>183</v>
      </c>
      <c r="D1678" s="39" t="n">
        <v>4</v>
      </c>
      <c r="E1678" s="41" t="n">
        <v>185.45</v>
      </c>
      <c r="F1678" s="39" t="s">
        <v>118</v>
      </c>
      <c r="G1678" s="39" t="str">
        <f aca="false">VLOOKUP(C1678,Products!$A$5:$D$24,2,FALSE())</f>
        <v>Office Chair</v>
      </c>
      <c r="H1678" s="39" t="str">
        <f aca="false">VLOOKUP(C1678,Products!$A$5:$D$24,3,FALSE())</f>
        <v>Furniture</v>
      </c>
      <c r="I1678" s="41" t="n">
        <f aca="false">VLOOKUP(C1678,Products!$A$5:$D$24,4,FALSE())</f>
        <v>85</v>
      </c>
      <c r="J1678" s="42" t="n">
        <f aca="false">DATE(YEAR(B1678),MONTH(B1678),1)</f>
        <v>45870</v>
      </c>
      <c r="K1678" s="41" t="n">
        <f aca="false">D1678*E1678</f>
        <v>741.8</v>
      </c>
      <c r="L1678" s="41" t="n">
        <f aca="false">D1678*I1678</f>
        <v>340</v>
      </c>
      <c r="M1678" s="41" t="n">
        <f aca="false">IFERROR(INDEX(Raw_Expenses!$C$5:$C$2979,MATCH(A1678,Raw_Expenses!$A$5:$A$2979,0)),0)</f>
        <v>32.47</v>
      </c>
      <c r="N1678" s="41" t="n">
        <f aca="false">L1678+M1678</f>
        <v>372.47</v>
      </c>
      <c r="O1678" s="41" t="n">
        <f aca="false">K1678-N1678</f>
        <v>369.33</v>
      </c>
      <c r="P1678" s="43" t="n">
        <f aca="false">IF(K1678=0,0,O1678/K1678)</f>
        <v>0.497883526557023</v>
      </c>
    </row>
    <row r="1679" customFormat="false" ht="15" hidden="false" customHeight="false" outlineLevel="0" collapsed="false">
      <c r="A1679" s="39" t="s">
        <v>1801</v>
      </c>
      <c r="B1679" s="40" t="n">
        <v>45891</v>
      </c>
      <c r="C1679" s="39" t="s">
        <v>121</v>
      </c>
      <c r="D1679" s="39" t="n">
        <v>3</v>
      </c>
      <c r="E1679" s="41" t="n">
        <v>111.83</v>
      </c>
      <c r="F1679" s="39" t="s">
        <v>105</v>
      </c>
      <c r="G1679" s="39" t="str">
        <f aca="false">VLOOKUP(C1679,Products!$A$5:$D$24,2,FALSE())</f>
        <v>External SSD 1TB</v>
      </c>
      <c r="H1679" s="39" t="str">
        <f aca="false">VLOOKUP(C1679,Products!$A$5:$D$24,3,FALSE())</f>
        <v>Electronics</v>
      </c>
      <c r="I1679" s="41" t="n">
        <f aca="false">VLOOKUP(C1679,Products!$A$5:$D$24,4,FALSE())</f>
        <v>62</v>
      </c>
      <c r="J1679" s="42" t="n">
        <f aca="false">DATE(YEAR(B1679),MONTH(B1679),1)</f>
        <v>45870</v>
      </c>
      <c r="K1679" s="41" t="n">
        <f aca="false">D1679*E1679</f>
        <v>335.49</v>
      </c>
      <c r="L1679" s="41" t="n">
        <f aca="false">D1679*I1679</f>
        <v>186</v>
      </c>
      <c r="M1679" s="41" t="n">
        <f aca="false">IFERROR(INDEX(Raw_Expenses!$C$5:$C$2979,MATCH(A1679,Raw_Expenses!$A$5:$A$2979,0)),0)</f>
        <v>15.03</v>
      </c>
      <c r="N1679" s="41" t="n">
        <f aca="false">L1679+M1679</f>
        <v>201.03</v>
      </c>
      <c r="O1679" s="41" t="n">
        <f aca="false">K1679-N1679</f>
        <v>134.46</v>
      </c>
      <c r="P1679" s="43" t="n">
        <f aca="false">IF(K1679=0,0,O1679/K1679)</f>
        <v>0.400786908700706</v>
      </c>
    </row>
    <row r="1680" customFormat="false" ht="15" hidden="false" customHeight="false" outlineLevel="0" collapsed="false">
      <c r="A1680" s="39" t="s">
        <v>1802</v>
      </c>
      <c r="B1680" s="40" t="n">
        <v>45891</v>
      </c>
      <c r="C1680" s="39" t="s">
        <v>177</v>
      </c>
      <c r="D1680" s="39" t="n">
        <v>4</v>
      </c>
      <c r="E1680" s="41" t="n">
        <v>41.95</v>
      </c>
      <c r="F1680" s="39" t="s">
        <v>105</v>
      </c>
      <c r="G1680" s="39" t="str">
        <f aca="false">VLOOKUP(C1680,Products!$A$5:$D$24,2,FALSE())</f>
        <v>Backpack</v>
      </c>
      <c r="H1680" s="39" t="str">
        <f aca="false">VLOOKUP(C1680,Products!$A$5:$D$24,3,FALSE())</f>
        <v>Accessories</v>
      </c>
      <c r="I1680" s="41" t="n">
        <f aca="false">VLOOKUP(C1680,Products!$A$5:$D$24,4,FALSE())</f>
        <v>17</v>
      </c>
      <c r="J1680" s="42" t="n">
        <f aca="false">DATE(YEAR(B1680),MONTH(B1680),1)</f>
        <v>45870</v>
      </c>
      <c r="K1680" s="41" t="n">
        <f aca="false">D1680*E1680</f>
        <v>167.8</v>
      </c>
      <c r="L1680" s="41" t="n">
        <f aca="false">D1680*I1680</f>
        <v>68</v>
      </c>
      <c r="M1680" s="41" t="n">
        <f aca="false">IFERROR(INDEX(Raw_Expenses!$C$5:$C$2979,MATCH(A1680,Raw_Expenses!$A$5:$A$2979,0)),0)</f>
        <v>10.14</v>
      </c>
      <c r="N1680" s="41" t="n">
        <f aca="false">L1680+M1680</f>
        <v>78.14</v>
      </c>
      <c r="O1680" s="41" t="n">
        <f aca="false">K1680-N1680</f>
        <v>89.66</v>
      </c>
      <c r="P1680" s="43" t="n">
        <f aca="false">IF(K1680=0,0,O1680/K1680)</f>
        <v>0.534326579261025</v>
      </c>
    </row>
    <row r="1681" customFormat="false" ht="15" hidden="false" customHeight="false" outlineLevel="0" collapsed="false">
      <c r="A1681" s="39" t="s">
        <v>1803</v>
      </c>
      <c r="B1681" s="40" t="n">
        <v>45891</v>
      </c>
      <c r="C1681" s="39" t="s">
        <v>139</v>
      </c>
      <c r="D1681" s="39" t="n">
        <v>1</v>
      </c>
      <c r="E1681" s="41" t="n">
        <v>126.6</v>
      </c>
      <c r="F1681" s="39" t="s">
        <v>105</v>
      </c>
      <c r="G1681" s="39" t="str">
        <f aca="false">VLOOKUP(C1681,Products!$A$5:$D$24,2,FALSE())</f>
        <v>Noise-Cancelling Headphones</v>
      </c>
      <c r="H1681" s="39" t="str">
        <f aca="false">VLOOKUP(C1681,Products!$A$5:$D$24,3,FALSE())</f>
        <v>Electronics</v>
      </c>
      <c r="I1681" s="41" t="n">
        <f aca="false">VLOOKUP(C1681,Products!$A$5:$D$24,4,FALSE())</f>
        <v>55</v>
      </c>
      <c r="J1681" s="42" t="n">
        <f aca="false">DATE(YEAR(B1681),MONTH(B1681),1)</f>
        <v>45870</v>
      </c>
      <c r="K1681" s="41" t="n">
        <f aca="false">D1681*E1681</f>
        <v>126.6</v>
      </c>
      <c r="L1681" s="41" t="n">
        <f aca="false">D1681*I1681</f>
        <v>55</v>
      </c>
      <c r="M1681" s="41" t="n">
        <f aca="false">IFERROR(INDEX(Raw_Expenses!$C$5:$C$2979,MATCH(A1681,Raw_Expenses!$A$5:$A$2979,0)),0)</f>
        <v>7.06</v>
      </c>
      <c r="N1681" s="41" t="n">
        <f aca="false">L1681+M1681</f>
        <v>62.06</v>
      </c>
      <c r="O1681" s="41" t="n">
        <f aca="false">K1681-N1681</f>
        <v>64.54</v>
      </c>
      <c r="P1681" s="43" t="n">
        <f aca="false">IF(K1681=0,0,O1681/K1681)</f>
        <v>0.509794628751975</v>
      </c>
    </row>
    <row r="1682" customFormat="false" ht="15" hidden="false" customHeight="false" outlineLevel="0" collapsed="false">
      <c r="A1682" s="39" t="s">
        <v>1804</v>
      </c>
      <c r="B1682" s="40" t="n">
        <v>45891</v>
      </c>
      <c r="C1682" s="39" t="s">
        <v>126</v>
      </c>
      <c r="D1682" s="39" t="n">
        <v>2</v>
      </c>
      <c r="E1682" s="41" t="n">
        <v>23.64</v>
      </c>
      <c r="F1682" s="39" t="s">
        <v>118</v>
      </c>
      <c r="G1682" s="39" t="str">
        <f aca="false">VLOOKUP(C1682,Products!$A$5:$D$24,2,FALSE())</f>
        <v>Wireless Mouse</v>
      </c>
      <c r="H1682" s="39" t="str">
        <f aca="false">VLOOKUP(C1682,Products!$A$5:$D$24,3,FALSE())</f>
        <v>Electronics</v>
      </c>
      <c r="I1682" s="41" t="n">
        <f aca="false">VLOOKUP(C1682,Products!$A$5:$D$24,4,FALSE())</f>
        <v>12</v>
      </c>
      <c r="J1682" s="42" t="n">
        <f aca="false">DATE(YEAR(B1682),MONTH(B1682),1)</f>
        <v>45870</v>
      </c>
      <c r="K1682" s="41" t="n">
        <f aca="false">D1682*E1682</f>
        <v>47.28</v>
      </c>
      <c r="L1682" s="41" t="n">
        <f aca="false">D1682*I1682</f>
        <v>24</v>
      </c>
      <c r="M1682" s="41" t="n">
        <f aca="false">IFERROR(INDEX(Raw_Expenses!$C$5:$C$2979,MATCH(A1682,Raw_Expenses!$A$5:$A$2979,0)),0)</f>
        <v>2.99</v>
      </c>
      <c r="N1682" s="41" t="n">
        <f aca="false">L1682+M1682</f>
        <v>26.99</v>
      </c>
      <c r="O1682" s="41" t="n">
        <f aca="false">K1682-N1682</f>
        <v>20.29</v>
      </c>
      <c r="P1682" s="43" t="n">
        <f aca="false">IF(K1682=0,0,O1682/K1682)</f>
        <v>0.42914551607445</v>
      </c>
    </row>
    <row r="1683" customFormat="false" ht="15" hidden="false" customHeight="false" outlineLevel="0" collapsed="false">
      <c r="A1683" s="39" t="s">
        <v>1805</v>
      </c>
      <c r="B1683" s="40" t="n">
        <v>45892</v>
      </c>
      <c r="C1683" s="39" t="s">
        <v>144</v>
      </c>
      <c r="D1683" s="39" t="n">
        <v>2</v>
      </c>
      <c r="E1683" s="41" t="n">
        <v>54.29</v>
      </c>
      <c r="F1683" s="39" t="s">
        <v>108</v>
      </c>
      <c r="G1683" s="39" t="str">
        <f aca="false">VLOOKUP(C1683,Products!$A$5:$D$24,2,FALSE())</f>
        <v>Whiteboard</v>
      </c>
      <c r="H1683" s="39" t="str">
        <f aca="false">VLOOKUP(C1683,Products!$A$5:$D$24,3,FALSE())</f>
        <v>Furniture</v>
      </c>
      <c r="I1683" s="41" t="n">
        <f aca="false">VLOOKUP(C1683,Products!$A$5:$D$24,4,FALSE())</f>
        <v>28</v>
      </c>
      <c r="J1683" s="42" t="n">
        <f aca="false">DATE(YEAR(B1683),MONTH(B1683),1)</f>
        <v>45870</v>
      </c>
      <c r="K1683" s="41" t="n">
        <f aca="false">D1683*E1683</f>
        <v>108.58</v>
      </c>
      <c r="L1683" s="41" t="n">
        <f aca="false">D1683*I1683</f>
        <v>56</v>
      </c>
      <c r="M1683" s="41" t="n">
        <f aca="false">IFERROR(INDEX(Raw_Expenses!$C$5:$C$2979,MATCH(A1683,Raw_Expenses!$A$5:$A$2979,0)),0)</f>
        <v>8.56</v>
      </c>
      <c r="N1683" s="41" t="n">
        <f aca="false">L1683+M1683</f>
        <v>64.56</v>
      </c>
      <c r="O1683" s="41" t="n">
        <f aca="false">K1683-N1683</f>
        <v>44.02</v>
      </c>
      <c r="P1683" s="43" t="n">
        <f aca="false">IF(K1683=0,0,O1683/K1683)</f>
        <v>0.40541536194511</v>
      </c>
    </row>
    <row r="1684" customFormat="false" ht="15" hidden="false" customHeight="false" outlineLevel="0" collapsed="false">
      <c r="A1684" s="39" t="s">
        <v>1806</v>
      </c>
      <c r="B1684" s="40" t="n">
        <v>45892</v>
      </c>
      <c r="C1684" s="39" t="s">
        <v>133</v>
      </c>
      <c r="D1684" s="39" t="n">
        <v>1</v>
      </c>
      <c r="E1684" s="41" t="n">
        <v>8.99</v>
      </c>
      <c r="F1684" s="39" t="s">
        <v>105</v>
      </c>
      <c r="G1684" s="39" t="str">
        <f aca="false">VLOOKUP(C1684,Products!$A$5:$D$24,2,FALSE())</f>
        <v>Printer Paper Ream</v>
      </c>
      <c r="H1684" s="39" t="str">
        <f aca="false">VLOOKUP(C1684,Products!$A$5:$D$24,3,FALSE())</f>
        <v>Stationery</v>
      </c>
      <c r="I1684" s="41" t="n">
        <f aca="false">VLOOKUP(C1684,Products!$A$5:$D$24,4,FALSE())</f>
        <v>4</v>
      </c>
      <c r="J1684" s="42" t="n">
        <f aca="false">DATE(YEAR(B1684),MONTH(B1684),1)</f>
        <v>45870</v>
      </c>
      <c r="K1684" s="41" t="n">
        <f aca="false">D1684*E1684</f>
        <v>8.99</v>
      </c>
      <c r="L1684" s="41" t="n">
        <f aca="false">D1684*I1684</f>
        <v>4</v>
      </c>
      <c r="M1684" s="41" t="n">
        <f aca="false">IFERROR(INDEX(Raw_Expenses!$C$5:$C$2979,MATCH(A1684,Raw_Expenses!$A$5:$A$2979,0)),0)</f>
        <v>0.61</v>
      </c>
      <c r="N1684" s="41" t="n">
        <f aca="false">L1684+M1684</f>
        <v>4.61</v>
      </c>
      <c r="O1684" s="41" t="n">
        <f aca="false">K1684-N1684</f>
        <v>4.38</v>
      </c>
      <c r="P1684" s="43" t="n">
        <f aca="false">IF(K1684=0,0,O1684/K1684)</f>
        <v>0.487208008898776</v>
      </c>
    </row>
    <row r="1685" customFormat="false" ht="15" hidden="false" customHeight="false" outlineLevel="0" collapsed="false">
      <c r="A1685" s="39" t="s">
        <v>1807</v>
      </c>
      <c r="B1685" s="40" t="n">
        <v>45892</v>
      </c>
      <c r="C1685" s="39" t="s">
        <v>133</v>
      </c>
      <c r="D1685" s="39" t="n">
        <v>6</v>
      </c>
      <c r="E1685" s="41" t="n">
        <v>8.85</v>
      </c>
      <c r="F1685" s="39" t="s">
        <v>108</v>
      </c>
      <c r="G1685" s="39" t="str">
        <f aca="false">VLOOKUP(C1685,Products!$A$5:$D$24,2,FALSE())</f>
        <v>Printer Paper Ream</v>
      </c>
      <c r="H1685" s="39" t="str">
        <f aca="false">VLOOKUP(C1685,Products!$A$5:$D$24,3,FALSE())</f>
        <v>Stationery</v>
      </c>
      <c r="I1685" s="41" t="n">
        <f aca="false">VLOOKUP(C1685,Products!$A$5:$D$24,4,FALSE())</f>
        <v>4</v>
      </c>
      <c r="J1685" s="42" t="n">
        <f aca="false">DATE(YEAR(B1685),MONTH(B1685),1)</f>
        <v>45870</v>
      </c>
      <c r="K1685" s="41" t="n">
        <f aca="false">D1685*E1685</f>
        <v>53.1</v>
      </c>
      <c r="L1685" s="41" t="n">
        <f aca="false">D1685*I1685</f>
        <v>24</v>
      </c>
      <c r="M1685" s="41" t="n">
        <f aca="false">IFERROR(INDEX(Raw_Expenses!$C$5:$C$2979,MATCH(A1685,Raw_Expenses!$A$5:$A$2979,0)),0)</f>
        <v>4.55</v>
      </c>
      <c r="N1685" s="41" t="n">
        <f aca="false">L1685+M1685</f>
        <v>28.55</v>
      </c>
      <c r="O1685" s="41" t="n">
        <f aca="false">K1685-N1685</f>
        <v>24.55</v>
      </c>
      <c r="P1685" s="43" t="n">
        <f aca="false">IF(K1685=0,0,O1685/K1685)</f>
        <v>0.462335216572505</v>
      </c>
    </row>
    <row r="1686" customFormat="false" ht="15" hidden="false" customHeight="false" outlineLevel="0" collapsed="false">
      <c r="A1686" s="39" t="s">
        <v>1808</v>
      </c>
      <c r="B1686" s="40" t="n">
        <v>45892</v>
      </c>
      <c r="C1686" s="39" t="s">
        <v>110</v>
      </c>
      <c r="D1686" s="39" t="n">
        <v>3</v>
      </c>
      <c r="E1686" s="41" t="n">
        <v>13.84</v>
      </c>
      <c r="F1686" s="39" t="s">
        <v>108</v>
      </c>
      <c r="G1686" s="39" t="str">
        <f aca="false">VLOOKUP(C1686,Products!$A$5:$D$24,2,FALSE())</f>
        <v>Phone Stand</v>
      </c>
      <c r="H1686" s="39" t="str">
        <f aca="false">VLOOKUP(C1686,Products!$A$5:$D$24,3,FALSE())</f>
        <v>Accessories</v>
      </c>
      <c r="I1686" s="41" t="n">
        <f aca="false">VLOOKUP(C1686,Products!$A$5:$D$24,4,FALSE())</f>
        <v>4</v>
      </c>
      <c r="J1686" s="42" t="n">
        <f aca="false">DATE(YEAR(B1686),MONTH(B1686),1)</f>
        <v>45870</v>
      </c>
      <c r="K1686" s="41" t="n">
        <f aca="false">D1686*E1686</f>
        <v>41.52</v>
      </c>
      <c r="L1686" s="41" t="n">
        <f aca="false">D1686*I1686</f>
        <v>12</v>
      </c>
      <c r="M1686" s="41" t="n">
        <f aca="false">IFERROR(INDEX(Raw_Expenses!$C$5:$C$2979,MATCH(A1686,Raw_Expenses!$A$5:$A$2979,0)),0)</f>
        <v>2.71</v>
      </c>
      <c r="N1686" s="41" t="n">
        <f aca="false">L1686+M1686</f>
        <v>14.71</v>
      </c>
      <c r="O1686" s="41" t="n">
        <f aca="false">K1686-N1686</f>
        <v>26.81</v>
      </c>
      <c r="P1686" s="43" t="n">
        <f aca="false">IF(K1686=0,0,O1686/K1686)</f>
        <v>0.645712909441233</v>
      </c>
    </row>
    <row r="1687" customFormat="false" ht="15" hidden="false" customHeight="false" outlineLevel="0" collapsed="false">
      <c r="A1687" s="39" t="s">
        <v>1809</v>
      </c>
      <c r="B1687" s="40" t="n">
        <v>45892</v>
      </c>
      <c r="C1687" s="39" t="s">
        <v>162</v>
      </c>
      <c r="D1687" s="39" t="n">
        <v>2</v>
      </c>
      <c r="E1687" s="41" t="n">
        <v>63.68</v>
      </c>
      <c r="F1687" s="39" t="s">
        <v>118</v>
      </c>
      <c r="G1687" s="39" t="str">
        <f aca="false">VLOOKUP(C1687,Products!$A$5:$D$24,2,FALSE())</f>
        <v>Bluetooth Speaker</v>
      </c>
      <c r="H1687" s="39" t="str">
        <f aca="false">VLOOKUP(C1687,Products!$A$5:$D$24,3,FALSE())</f>
        <v>Electronics</v>
      </c>
      <c r="I1687" s="41" t="n">
        <f aca="false">VLOOKUP(C1687,Products!$A$5:$D$24,4,FALSE())</f>
        <v>28</v>
      </c>
      <c r="J1687" s="42" t="n">
        <f aca="false">DATE(YEAR(B1687),MONTH(B1687),1)</f>
        <v>45870</v>
      </c>
      <c r="K1687" s="41" t="n">
        <f aca="false">D1687*E1687</f>
        <v>127.36</v>
      </c>
      <c r="L1687" s="41" t="n">
        <f aca="false">D1687*I1687</f>
        <v>56</v>
      </c>
      <c r="M1687" s="41" t="n">
        <f aca="false">IFERROR(INDEX(Raw_Expenses!$C$5:$C$2979,MATCH(A1687,Raw_Expenses!$A$5:$A$2979,0)),0)</f>
        <v>7.7</v>
      </c>
      <c r="N1687" s="41" t="n">
        <f aca="false">L1687+M1687</f>
        <v>63.7</v>
      </c>
      <c r="O1687" s="41" t="n">
        <f aca="false">K1687-N1687</f>
        <v>63.66</v>
      </c>
      <c r="P1687" s="43" t="n">
        <f aca="false">IF(K1687=0,0,O1687/K1687)</f>
        <v>0.499842964824121</v>
      </c>
    </row>
    <row r="1688" customFormat="false" ht="15" hidden="false" customHeight="false" outlineLevel="0" collapsed="false">
      <c r="A1688" s="39" t="s">
        <v>1810</v>
      </c>
      <c r="B1688" s="40" t="n">
        <v>45892</v>
      </c>
      <c r="C1688" s="39" t="s">
        <v>162</v>
      </c>
      <c r="D1688" s="39" t="n">
        <v>5</v>
      </c>
      <c r="E1688" s="41" t="n">
        <v>67.37</v>
      </c>
      <c r="F1688" s="39" t="s">
        <v>105</v>
      </c>
      <c r="G1688" s="39" t="str">
        <f aca="false">VLOOKUP(C1688,Products!$A$5:$D$24,2,FALSE())</f>
        <v>Bluetooth Speaker</v>
      </c>
      <c r="H1688" s="39" t="str">
        <f aca="false">VLOOKUP(C1688,Products!$A$5:$D$24,3,FALSE())</f>
        <v>Electronics</v>
      </c>
      <c r="I1688" s="41" t="n">
        <f aca="false">VLOOKUP(C1688,Products!$A$5:$D$24,4,FALSE())</f>
        <v>28</v>
      </c>
      <c r="J1688" s="42" t="n">
        <f aca="false">DATE(YEAR(B1688),MONTH(B1688),1)</f>
        <v>45870</v>
      </c>
      <c r="K1688" s="41" t="n">
        <f aca="false">D1688*E1688</f>
        <v>336.85</v>
      </c>
      <c r="L1688" s="41" t="n">
        <f aca="false">D1688*I1688</f>
        <v>140</v>
      </c>
      <c r="M1688" s="41" t="n">
        <f aca="false">IFERROR(INDEX(Raw_Expenses!$C$5:$C$2979,MATCH(A1688,Raw_Expenses!$A$5:$A$2979,0)),0)</f>
        <v>18</v>
      </c>
      <c r="N1688" s="41" t="n">
        <f aca="false">L1688+M1688</f>
        <v>158</v>
      </c>
      <c r="O1688" s="41" t="n">
        <f aca="false">K1688-N1688</f>
        <v>178.85</v>
      </c>
      <c r="P1688" s="43" t="n">
        <f aca="false">IF(K1688=0,0,O1688/K1688)</f>
        <v>0.530948493394686</v>
      </c>
    </row>
    <row r="1689" customFormat="false" ht="15" hidden="false" customHeight="false" outlineLevel="0" collapsed="false">
      <c r="A1689" s="39" t="s">
        <v>1811</v>
      </c>
      <c r="B1689" s="40" t="n">
        <v>45892</v>
      </c>
      <c r="C1689" s="39" t="s">
        <v>177</v>
      </c>
      <c r="D1689" s="39" t="n">
        <v>4</v>
      </c>
      <c r="E1689" s="41" t="n">
        <v>42.16</v>
      </c>
      <c r="F1689" s="39" t="s">
        <v>115</v>
      </c>
      <c r="G1689" s="39" t="str">
        <f aca="false">VLOOKUP(C1689,Products!$A$5:$D$24,2,FALSE())</f>
        <v>Backpack</v>
      </c>
      <c r="H1689" s="39" t="str">
        <f aca="false">VLOOKUP(C1689,Products!$A$5:$D$24,3,FALSE())</f>
        <v>Accessories</v>
      </c>
      <c r="I1689" s="41" t="n">
        <f aca="false">VLOOKUP(C1689,Products!$A$5:$D$24,4,FALSE())</f>
        <v>17</v>
      </c>
      <c r="J1689" s="42" t="n">
        <f aca="false">DATE(YEAR(B1689),MONTH(B1689),1)</f>
        <v>45870</v>
      </c>
      <c r="K1689" s="41" t="n">
        <f aca="false">D1689*E1689</f>
        <v>168.64</v>
      </c>
      <c r="L1689" s="41" t="n">
        <f aca="false">D1689*I1689</f>
        <v>68</v>
      </c>
      <c r="M1689" s="41" t="n">
        <f aca="false">IFERROR(INDEX(Raw_Expenses!$C$5:$C$2979,MATCH(A1689,Raw_Expenses!$A$5:$A$2979,0)),0)</f>
        <v>8.89</v>
      </c>
      <c r="N1689" s="41" t="n">
        <f aca="false">L1689+M1689</f>
        <v>76.89</v>
      </c>
      <c r="O1689" s="41" t="n">
        <f aca="false">K1689-N1689</f>
        <v>91.75</v>
      </c>
      <c r="P1689" s="43" t="n">
        <f aca="false">IF(K1689=0,0,O1689/K1689)</f>
        <v>0.54405834914611</v>
      </c>
    </row>
    <row r="1690" customFormat="false" ht="15" hidden="false" customHeight="false" outlineLevel="0" collapsed="false">
      <c r="A1690" s="39" t="s">
        <v>1812</v>
      </c>
      <c r="B1690" s="40" t="n">
        <v>45892</v>
      </c>
      <c r="C1690" s="39" t="s">
        <v>130</v>
      </c>
      <c r="D1690" s="39" t="n">
        <v>1</v>
      </c>
      <c r="E1690" s="41" t="n">
        <v>8.45</v>
      </c>
      <c r="F1690" s="39" t="s">
        <v>108</v>
      </c>
      <c r="G1690" s="39" t="str">
        <f aca="false">VLOOKUP(C1690,Products!$A$5:$D$24,2,FALSE())</f>
        <v>Notebook Set</v>
      </c>
      <c r="H1690" s="39" t="str">
        <f aca="false">VLOOKUP(C1690,Products!$A$5:$D$24,3,FALSE())</f>
        <v>Stationery</v>
      </c>
      <c r="I1690" s="41" t="n">
        <f aca="false">VLOOKUP(C1690,Products!$A$5:$D$24,4,FALSE())</f>
        <v>3</v>
      </c>
      <c r="J1690" s="42" t="n">
        <f aca="false">DATE(YEAR(B1690),MONTH(B1690),1)</f>
        <v>45870</v>
      </c>
      <c r="K1690" s="41" t="n">
        <f aca="false">D1690*E1690</f>
        <v>8.45</v>
      </c>
      <c r="L1690" s="41" t="n">
        <f aca="false">D1690*I1690</f>
        <v>3</v>
      </c>
      <c r="M1690" s="41" t="n">
        <f aca="false">IFERROR(INDEX(Raw_Expenses!$C$5:$C$2979,MATCH(A1690,Raw_Expenses!$A$5:$A$2979,0)),0)</f>
        <v>0.73</v>
      </c>
      <c r="N1690" s="41" t="n">
        <f aca="false">L1690+M1690</f>
        <v>3.73</v>
      </c>
      <c r="O1690" s="41" t="n">
        <f aca="false">K1690-N1690</f>
        <v>4.72</v>
      </c>
      <c r="P1690" s="43" t="n">
        <f aca="false">IF(K1690=0,0,O1690/K1690)</f>
        <v>0.558579881656805</v>
      </c>
    </row>
    <row r="1691" customFormat="false" ht="15" hidden="false" customHeight="false" outlineLevel="0" collapsed="false">
      <c r="A1691" s="39" t="s">
        <v>1813</v>
      </c>
      <c r="B1691" s="40" t="n">
        <v>45892</v>
      </c>
      <c r="C1691" s="39" t="s">
        <v>121</v>
      </c>
      <c r="D1691" s="39" t="n">
        <v>2</v>
      </c>
      <c r="E1691" s="41" t="n">
        <v>115.2</v>
      </c>
      <c r="F1691" s="39" t="s">
        <v>105</v>
      </c>
      <c r="G1691" s="39" t="str">
        <f aca="false">VLOOKUP(C1691,Products!$A$5:$D$24,2,FALSE())</f>
        <v>External SSD 1TB</v>
      </c>
      <c r="H1691" s="39" t="str">
        <f aca="false">VLOOKUP(C1691,Products!$A$5:$D$24,3,FALSE())</f>
        <v>Electronics</v>
      </c>
      <c r="I1691" s="41" t="n">
        <f aca="false">VLOOKUP(C1691,Products!$A$5:$D$24,4,FALSE())</f>
        <v>62</v>
      </c>
      <c r="J1691" s="42" t="n">
        <f aca="false">DATE(YEAR(B1691),MONTH(B1691),1)</f>
        <v>45870</v>
      </c>
      <c r="K1691" s="41" t="n">
        <f aca="false">D1691*E1691</f>
        <v>230.4</v>
      </c>
      <c r="L1691" s="41" t="n">
        <f aca="false">D1691*I1691</f>
        <v>124</v>
      </c>
      <c r="M1691" s="41" t="n">
        <f aca="false">IFERROR(INDEX(Raw_Expenses!$C$5:$C$2979,MATCH(A1691,Raw_Expenses!$A$5:$A$2979,0)),0)</f>
        <v>13.75</v>
      </c>
      <c r="N1691" s="41" t="n">
        <f aca="false">L1691+M1691</f>
        <v>137.75</v>
      </c>
      <c r="O1691" s="41" t="n">
        <f aca="false">K1691-N1691</f>
        <v>92.65</v>
      </c>
      <c r="P1691" s="43" t="n">
        <f aca="false">IF(K1691=0,0,O1691/K1691)</f>
        <v>0.402126736111111</v>
      </c>
    </row>
    <row r="1692" customFormat="false" ht="15" hidden="false" customHeight="false" outlineLevel="0" collapsed="false">
      <c r="A1692" s="39" t="s">
        <v>1814</v>
      </c>
      <c r="B1692" s="40" t="n">
        <v>45892</v>
      </c>
      <c r="C1692" s="39" t="s">
        <v>117</v>
      </c>
      <c r="D1692" s="39" t="n">
        <v>2</v>
      </c>
      <c r="E1692" s="41" t="n">
        <v>29.81</v>
      </c>
      <c r="F1692" s="39" t="s">
        <v>105</v>
      </c>
      <c r="G1692" s="39" t="str">
        <f aca="false">VLOOKUP(C1692,Products!$A$5:$D$24,2,FALSE())</f>
        <v>Desk Lamp</v>
      </c>
      <c r="H1692" s="39" t="str">
        <f aca="false">VLOOKUP(C1692,Products!$A$5:$D$24,3,FALSE())</f>
        <v>Furniture</v>
      </c>
      <c r="I1692" s="41" t="n">
        <f aca="false">VLOOKUP(C1692,Products!$A$5:$D$24,4,FALSE())</f>
        <v>13</v>
      </c>
      <c r="J1692" s="42" t="n">
        <f aca="false">DATE(YEAR(B1692),MONTH(B1692),1)</f>
        <v>45870</v>
      </c>
      <c r="K1692" s="41" t="n">
        <f aca="false">D1692*E1692</f>
        <v>59.62</v>
      </c>
      <c r="L1692" s="41" t="n">
        <f aca="false">D1692*I1692</f>
        <v>26</v>
      </c>
      <c r="M1692" s="41" t="n">
        <f aca="false">IFERROR(INDEX(Raw_Expenses!$C$5:$C$2979,MATCH(A1692,Raw_Expenses!$A$5:$A$2979,0)),0)</f>
        <v>4.59</v>
      </c>
      <c r="N1692" s="41" t="n">
        <f aca="false">L1692+M1692</f>
        <v>30.59</v>
      </c>
      <c r="O1692" s="41" t="n">
        <f aca="false">K1692-N1692</f>
        <v>29.03</v>
      </c>
      <c r="P1692" s="43" t="n">
        <f aca="false">IF(K1692=0,0,O1692/K1692)</f>
        <v>0.486917141898692</v>
      </c>
    </row>
    <row r="1693" customFormat="false" ht="15" hidden="false" customHeight="false" outlineLevel="0" collapsed="false">
      <c r="A1693" s="39" t="s">
        <v>1815</v>
      </c>
      <c r="B1693" s="40" t="n">
        <v>45892</v>
      </c>
      <c r="C1693" s="39" t="s">
        <v>136</v>
      </c>
      <c r="D1693" s="39" t="n">
        <v>6</v>
      </c>
      <c r="E1693" s="41" t="n">
        <v>76.18</v>
      </c>
      <c r="F1693" s="39" t="s">
        <v>108</v>
      </c>
      <c r="G1693" s="39" t="str">
        <f aca="false">VLOOKUP(C1693,Products!$A$5:$D$24,2,FALSE())</f>
        <v>Mechanical Keyboard</v>
      </c>
      <c r="H1693" s="39" t="str">
        <f aca="false">VLOOKUP(C1693,Products!$A$5:$D$24,3,FALSE())</f>
        <v>Electronics</v>
      </c>
      <c r="I1693" s="41" t="n">
        <f aca="false">VLOOKUP(C1693,Products!$A$5:$D$24,4,FALSE())</f>
        <v>38</v>
      </c>
      <c r="J1693" s="42" t="n">
        <f aca="false">DATE(YEAR(B1693),MONTH(B1693),1)</f>
        <v>45870</v>
      </c>
      <c r="K1693" s="41" t="n">
        <f aca="false">D1693*E1693</f>
        <v>457.08</v>
      </c>
      <c r="L1693" s="41" t="n">
        <f aca="false">D1693*I1693</f>
        <v>228</v>
      </c>
      <c r="M1693" s="41" t="n">
        <f aca="false">IFERROR(INDEX(Raw_Expenses!$C$5:$C$2979,MATCH(A1693,Raw_Expenses!$A$5:$A$2979,0)),0)</f>
        <v>28.41</v>
      </c>
      <c r="N1693" s="41" t="n">
        <f aca="false">L1693+M1693</f>
        <v>256.41</v>
      </c>
      <c r="O1693" s="41" t="n">
        <f aca="false">K1693-N1693</f>
        <v>200.67</v>
      </c>
      <c r="P1693" s="43" t="n">
        <f aca="false">IF(K1693=0,0,O1693/K1693)</f>
        <v>0.439025991073773</v>
      </c>
    </row>
    <row r="1694" customFormat="false" ht="15" hidden="false" customHeight="false" outlineLevel="0" collapsed="false">
      <c r="A1694" s="39" t="s">
        <v>1816</v>
      </c>
      <c r="B1694" s="40" t="n">
        <v>45892</v>
      </c>
      <c r="C1694" s="39" t="s">
        <v>169</v>
      </c>
      <c r="D1694" s="39" t="n">
        <v>2</v>
      </c>
      <c r="E1694" s="41" t="n">
        <v>28.3</v>
      </c>
      <c r="F1694" s="39" t="s">
        <v>115</v>
      </c>
      <c r="G1694" s="39" t="str">
        <f aca="false">VLOOKUP(C1694,Products!$A$5:$D$24,2,FALSE())</f>
        <v>Laptop Stand</v>
      </c>
      <c r="H1694" s="39" t="str">
        <f aca="false">VLOOKUP(C1694,Products!$A$5:$D$24,3,FALSE())</f>
        <v>Accessories</v>
      </c>
      <c r="I1694" s="41" t="n">
        <f aca="false">VLOOKUP(C1694,Products!$A$5:$D$24,4,FALSE())</f>
        <v>11</v>
      </c>
      <c r="J1694" s="42" t="n">
        <f aca="false">DATE(YEAR(B1694),MONTH(B1694),1)</f>
        <v>45870</v>
      </c>
      <c r="K1694" s="41" t="n">
        <f aca="false">D1694*E1694</f>
        <v>56.6</v>
      </c>
      <c r="L1694" s="41" t="n">
        <f aca="false">D1694*I1694</f>
        <v>22</v>
      </c>
      <c r="M1694" s="41" t="n">
        <f aca="false">IFERROR(INDEX(Raw_Expenses!$C$5:$C$2979,MATCH(A1694,Raw_Expenses!$A$5:$A$2979,0)),0)</f>
        <v>4.53</v>
      </c>
      <c r="N1694" s="41" t="n">
        <f aca="false">L1694+M1694</f>
        <v>26.53</v>
      </c>
      <c r="O1694" s="41" t="n">
        <f aca="false">K1694-N1694</f>
        <v>30.07</v>
      </c>
      <c r="P1694" s="43" t="n">
        <f aca="false">IF(K1694=0,0,O1694/K1694)</f>
        <v>0.531272084805654</v>
      </c>
    </row>
    <row r="1695" customFormat="false" ht="15" hidden="false" customHeight="false" outlineLevel="0" collapsed="false">
      <c r="A1695" s="39" t="s">
        <v>1817</v>
      </c>
      <c r="B1695" s="40" t="n">
        <v>45893</v>
      </c>
      <c r="C1695" s="39" t="s">
        <v>117</v>
      </c>
      <c r="D1695" s="39" t="n">
        <v>1</v>
      </c>
      <c r="E1695" s="41" t="n">
        <v>30</v>
      </c>
      <c r="F1695" s="39" t="s">
        <v>115</v>
      </c>
      <c r="G1695" s="39" t="str">
        <f aca="false">VLOOKUP(C1695,Products!$A$5:$D$24,2,FALSE())</f>
        <v>Desk Lamp</v>
      </c>
      <c r="H1695" s="39" t="str">
        <f aca="false">VLOOKUP(C1695,Products!$A$5:$D$24,3,FALSE())</f>
        <v>Furniture</v>
      </c>
      <c r="I1695" s="41" t="n">
        <f aca="false">VLOOKUP(C1695,Products!$A$5:$D$24,4,FALSE())</f>
        <v>13</v>
      </c>
      <c r="J1695" s="42" t="n">
        <f aca="false">DATE(YEAR(B1695),MONTH(B1695),1)</f>
        <v>45870</v>
      </c>
      <c r="K1695" s="41" t="n">
        <f aca="false">D1695*E1695</f>
        <v>30</v>
      </c>
      <c r="L1695" s="41" t="n">
        <f aca="false">D1695*I1695</f>
        <v>13</v>
      </c>
      <c r="M1695" s="41" t="n">
        <f aca="false">IFERROR(INDEX(Raw_Expenses!$C$5:$C$2979,MATCH(A1695,Raw_Expenses!$A$5:$A$2979,0)),0)</f>
        <v>2.18</v>
      </c>
      <c r="N1695" s="41" t="n">
        <f aca="false">L1695+M1695</f>
        <v>15.18</v>
      </c>
      <c r="O1695" s="41" t="n">
        <f aca="false">K1695-N1695</f>
        <v>14.82</v>
      </c>
      <c r="P1695" s="43" t="n">
        <f aca="false">IF(K1695=0,0,O1695/K1695)</f>
        <v>0.494</v>
      </c>
    </row>
    <row r="1696" customFormat="false" ht="15" hidden="false" customHeight="false" outlineLevel="0" collapsed="false">
      <c r="A1696" s="39" t="s">
        <v>1818</v>
      </c>
      <c r="B1696" s="40" t="n">
        <v>45893</v>
      </c>
      <c r="C1696" s="39" t="s">
        <v>139</v>
      </c>
      <c r="D1696" s="39" t="n">
        <v>1</v>
      </c>
      <c r="E1696" s="41" t="n">
        <v>120.84</v>
      </c>
      <c r="F1696" s="39" t="s">
        <v>118</v>
      </c>
      <c r="G1696" s="39" t="str">
        <f aca="false">VLOOKUP(C1696,Products!$A$5:$D$24,2,FALSE())</f>
        <v>Noise-Cancelling Headphones</v>
      </c>
      <c r="H1696" s="39" t="str">
        <f aca="false">VLOOKUP(C1696,Products!$A$5:$D$24,3,FALSE())</f>
        <v>Electronics</v>
      </c>
      <c r="I1696" s="41" t="n">
        <f aca="false">VLOOKUP(C1696,Products!$A$5:$D$24,4,FALSE())</f>
        <v>55</v>
      </c>
      <c r="J1696" s="42" t="n">
        <f aca="false">DATE(YEAR(B1696),MONTH(B1696),1)</f>
        <v>45870</v>
      </c>
      <c r="K1696" s="41" t="n">
        <f aca="false">D1696*E1696</f>
        <v>120.84</v>
      </c>
      <c r="L1696" s="41" t="n">
        <f aca="false">D1696*I1696</f>
        <v>55</v>
      </c>
      <c r="M1696" s="41" t="n">
        <f aca="false">IFERROR(INDEX(Raw_Expenses!$C$5:$C$2979,MATCH(A1696,Raw_Expenses!$A$5:$A$2979,0)),0)</f>
        <v>9.87</v>
      </c>
      <c r="N1696" s="41" t="n">
        <f aca="false">L1696+M1696</f>
        <v>64.87</v>
      </c>
      <c r="O1696" s="41" t="n">
        <f aca="false">K1696-N1696</f>
        <v>55.97</v>
      </c>
      <c r="P1696" s="43" t="n">
        <f aca="false">IF(K1696=0,0,O1696/K1696)</f>
        <v>0.463174445547832</v>
      </c>
    </row>
    <row r="1697" customFormat="false" ht="15" hidden="false" customHeight="false" outlineLevel="0" collapsed="false">
      <c r="A1697" s="39" t="s">
        <v>1819</v>
      </c>
      <c r="B1697" s="40" t="n">
        <v>45893</v>
      </c>
      <c r="C1697" s="39" t="s">
        <v>112</v>
      </c>
      <c r="D1697" s="39" t="n">
        <v>3</v>
      </c>
      <c r="E1697" s="41" t="n">
        <v>50.92</v>
      </c>
      <c r="F1697" s="39" t="s">
        <v>108</v>
      </c>
      <c r="G1697" s="39" t="str">
        <f aca="false">VLOOKUP(C1697,Products!$A$5:$D$24,2,FALSE())</f>
        <v>HD Webcam</v>
      </c>
      <c r="H1697" s="39" t="str">
        <f aca="false">VLOOKUP(C1697,Products!$A$5:$D$24,3,FALSE())</f>
        <v>Electronics</v>
      </c>
      <c r="I1697" s="41" t="n">
        <f aca="false">VLOOKUP(C1697,Products!$A$5:$D$24,4,FALSE())</f>
        <v>22</v>
      </c>
      <c r="J1697" s="42" t="n">
        <f aca="false">DATE(YEAR(B1697),MONTH(B1697),1)</f>
        <v>45870</v>
      </c>
      <c r="K1697" s="41" t="n">
        <f aca="false">D1697*E1697</f>
        <v>152.76</v>
      </c>
      <c r="L1697" s="41" t="n">
        <f aca="false">D1697*I1697</f>
        <v>66</v>
      </c>
      <c r="M1697" s="41" t="n">
        <f aca="false">IFERROR(INDEX(Raw_Expenses!$C$5:$C$2979,MATCH(A1697,Raw_Expenses!$A$5:$A$2979,0)),0)</f>
        <v>11.32</v>
      </c>
      <c r="N1697" s="41" t="n">
        <f aca="false">L1697+M1697</f>
        <v>77.32</v>
      </c>
      <c r="O1697" s="41" t="n">
        <f aca="false">K1697-N1697</f>
        <v>75.44</v>
      </c>
      <c r="P1697" s="43" t="n">
        <f aca="false">IF(K1697=0,0,O1697/K1697)</f>
        <v>0.493846556690233</v>
      </c>
    </row>
    <row r="1698" customFormat="false" ht="15" hidden="false" customHeight="false" outlineLevel="0" collapsed="false">
      <c r="A1698" s="39" t="s">
        <v>1820</v>
      </c>
      <c r="B1698" s="40" t="n">
        <v>45893</v>
      </c>
      <c r="C1698" s="39" t="s">
        <v>130</v>
      </c>
      <c r="D1698" s="39" t="n">
        <v>3</v>
      </c>
      <c r="E1698" s="41" t="n">
        <v>8.96</v>
      </c>
      <c r="F1698" s="39" t="s">
        <v>105</v>
      </c>
      <c r="G1698" s="39" t="str">
        <f aca="false">VLOOKUP(C1698,Products!$A$5:$D$24,2,FALSE())</f>
        <v>Notebook Set</v>
      </c>
      <c r="H1698" s="39" t="str">
        <f aca="false">VLOOKUP(C1698,Products!$A$5:$D$24,3,FALSE())</f>
        <v>Stationery</v>
      </c>
      <c r="I1698" s="41" t="n">
        <f aca="false">VLOOKUP(C1698,Products!$A$5:$D$24,4,FALSE())</f>
        <v>3</v>
      </c>
      <c r="J1698" s="42" t="n">
        <f aca="false">DATE(YEAR(B1698),MONTH(B1698),1)</f>
        <v>45870</v>
      </c>
      <c r="K1698" s="41" t="n">
        <f aca="false">D1698*E1698</f>
        <v>26.88</v>
      </c>
      <c r="L1698" s="41" t="n">
        <f aca="false">D1698*I1698</f>
        <v>9</v>
      </c>
      <c r="M1698" s="41" t="n">
        <f aca="false">IFERROR(INDEX(Raw_Expenses!$C$5:$C$2979,MATCH(A1698,Raw_Expenses!$A$5:$A$2979,0)),0)</f>
        <v>2.24</v>
      </c>
      <c r="N1698" s="41" t="n">
        <f aca="false">L1698+M1698</f>
        <v>11.24</v>
      </c>
      <c r="O1698" s="41" t="n">
        <f aca="false">K1698-N1698</f>
        <v>15.64</v>
      </c>
      <c r="P1698" s="43" t="n">
        <f aca="false">IF(K1698=0,0,O1698/K1698)</f>
        <v>0.581845238095238</v>
      </c>
    </row>
    <row r="1699" customFormat="false" ht="15" hidden="false" customHeight="false" outlineLevel="0" collapsed="false">
      <c r="A1699" s="39" t="s">
        <v>1821</v>
      </c>
      <c r="B1699" s="40" t="n">
        <v>45893</v>
      </c>
      <c r="C1699" s="39" t="s">
        <v>133</v>
      </c>
      <c r="D1699" s="39" t="n">
        <v>5</v>
      </c>
      <c r="E1699" s="41" t="n">
        <v>8.43</v>
      </c>
      <c r="F1699" s="39" t="s">
        <v>105</v>
      </c>
      <c r="G1699" s="39" t="str">
        <f aca="false">VLOOKUP(C1699,Products!$A$5:$D$24,2,FALSE())</f>
        <v>Printer Paper Ream</v>
      </c>
      <c r="H1699" s="39" t="str">
        <f aca="false">VLOOKUP(C1699,Products!$A$5:$D$24,3,FALSE())</f>
        <v>Stationery</v>
      </c>
      <c r="I1699" s="41" t="n">
        <f aca="false">VLOOKUP(C1699,Products!$A$5:$D$24,4,FALSE())</f>
        <v>4</v>
      </c>
      <c r="J1699" s="42" t="n">
        <f aca="false">DATE(YEAR(B1699),MONTH(B1699),1)</f>
        <v>45870</v>
      </c>
      <c r="K1699" s="41" t="n">
        <f aca="false">D1699*E1699</f>
        <v>42.15</v>
      </c>
      <c r="L1699" s="41" t="n">
        <f aca="false">D1699*I1699</f>
        <v>20</v>
      </c>
      <c r="M1699" s="41" t="n">
        <f aca="false">IFERROR(INDEX(Raw_Expenses!$C$5:$C$2979,MATCH(A1699,Raw_Expenses!$A$5:$A$2979,0)),0)</f>
        <v>2.07</v>
      </c>
      <c r="N1699" s="41" t="n">
        <f aca="false">L1699+M1699</f>
        <v>22.07</v>
      </c>
      <c r="O1699" s="41" t="n">
        <f aca="false">K1699-N1699</f>
        <v>20.08</v>
      </c>
      <c r="P1699" s="43" t="n">
        <f aca="false">IF(K1699=0,0,O1699/K1699)</f>
        <v>0.476393831553974</v>
      </c>
    </row>
    <row r="1700" customFormat="false" ht="15" hidden="false" customHeight="false" outlineLevel="0" collapsed="false">
      <c r="A1700" s="39" t="s">
        <v>1822</v>
      </c>
      <c r="B1700" s="40" t="n">
        <v>45894</v>
      </c>
      <c r="C1700" s="39" t="s">
        <v>126</v>
      </c>
      <c r="D1700" s="39" t="n">
        <v>2</v>
      </c>
      <c r="E1700" s="41" t="n">
        <v>24.89</v>
      </c>
      <c r="F1700" s="39" t="s">
        <v>105</v>
      </c>
      <c r="G1700" s="39" t="str">
        <f aca="false">VLOOKUP(C1700,Products!$A$5:$D$24,2,FALSE())</f>
        <v>Wireless Mouse</v>
      </c>
      <c r="H1700" s="39" t="str">
        <f aca="false">VLOOKUP(C1700,Products!$A$5:$D$24,3,FALSE())</f>
        <v>Electronics</v>
      </c>
      <c r="I1700" s="41" t="n">
        <f aca="false">VLOOKUP(C1700,Products!$A$5:$D$24,4,FALSE())</f>
        <v>12</v>
      </c>
      <c r="J1700" s="42" t="n">
        <f aca="false">DATE(YEAR(B1700),MONTH(B1700),1)</f>
        <v>45870</v>
      </c>
      <c r="K1700" s="41" t="n">
        <f aca="false">D1700*E1700</f>
        <v>49.78</v>
      </c>
      <c r="L1700" s="41" t="n">
        <f aca="false">D1700*I1700</f>
        <v>24</v>
      </c>
      <c r="M1700" s="41" t="n">
        <f aca="false">IFERROR(INDEX(Raw_Expenses!$C$5:$C$2979,MATCH(A1700,Raw_Expenses!$A$5:$A$2979,0)),0)</f>
        <v>3.7</v>
      </c>
      <c r="N1700" s="41" t="n">
        <f aca="false">L1700+M1700</f>
        <v>27.7</v>
      </c>
      <c r="O1700" s="41" t="n">
        <f aca="false">K1700-N1700</f>
        <v>22.08</v>
      </c>
      <c r="P1700" s="43" t="n">
        <f aca="false">IF(K1700=0,0,O1700/K1700)</f>
        <v>0.443551627159502</v>
      </c>
    </row>
    <row r="1701" customFormat="false" ht="15" hidden="false" customHeight="false" outlineLevel="0" collapsed="false">
      <c r="A1701" s="39" t="s">
        <v>1823</v>
      </c>
      <c r="B1701" s="40" t="n">
        <v>45894</v>
      </c>
      <c r="C1701" s="39" t="s">
        <v>112</v>
      </c>
      <c r="D1701" s="39" t="n">
        <v>2</v>
      </c>
      <c r="E1701" s="41" t="n">
        <v>51.38</v>
      </c>
      <c r="F1701" s="39" t="s">
        <v>105</v>
      </c>
      <c r="G1701" s="39" t="str">
        <f aca="false">VLOOKUP(C1701,Products!$A$5:$D$24,2,FALSE())</f>
        <v>HD Webcam</v>
      </c>
      <c r="H1701" s="39" t="str">
        <f aca="false">VLOOKUP(C1701,Products!$A$5:$D$24,3,FALSE())</f>
        <v>Electronics</v>
      </c>
      <c r="I1701" s="41" t="n">
        <f aca="false">VLOOKUP(C1701,Products!$A$5:$D$24,4,FALSE())</f>
        <v>22</v>
      </c>
      <c r="J1701" s="42" t="n">
        <f aca="false">DATE(YEAR(B1701),MONTH(B1701),1)</f>
        <v>45870</v>
      </c>
      <c r="K1701" s="41" t="n">
        <f aca="false">D1701*E1701</f>
        <v>102.76</v>
      </c>
      <c r="L1701" s="41" t="n">
        <f aca="false">D1701*I1701</f>
        <v>44</v>
      </c>
      <c r="M1701" s="41" t="n">
        <f aca="false">IFERROR(INDEX(Raw_Expenses!$C$5:$C$2979,MATCH(A1701,Raw_Expenses!$A$5:$A$2979,0)),0)</f>
        <v>5.3</v>
      </c>
      <c r="N1701" s="41" t="n">
        <f aca="false">L1701+M1701</f>
        <v>49.3</v>
      </c>
      <c r="O1701" s="41" t="n">
        <f aca="false">K1701-N1701</f>
        <v>53.46</v>
      </c>
      <c r="P1701" s="43" t="n">
        <f aca="false">IF(K1701=0,0,O1701/K1701)</f>
        <v>0.520241339042429</v>
      </c>
    </row>
    <row r="1702" customFormat="false" ht="15" hidden="false" customHeight="false" outlineLevel="0" collapsed="false">
      <c r="A1702" s="39" t="s">
        <v>1824</v>
      </c>
      <c r="B1702" s="40" t="n">
        <v>45894</v>
      </c>
      <c r="C1702" s="39" t="s">
        <v>169</v>
      </c>
      <c r="D1702" s="39" t="n">
        <v>1</v>
      </c>
      <c r="E1702" s="41" t="n">
        <v>26.97</v>
      </c>
      <c r="F1702" s="39" t="s">
        <v>105</v>
      </c>
      <c r="G1702" s="39" t="str">
        <f aca="false">VLOOKUP(C1702,Products!$A$5:$D$24,2,FALSE())</f>
        <v>Laptop Stand</v>
      </c>
      <c r="H1702" s="39" t="str">
        <f aca="false">VLOOKUP(C1702,Products!$A$5:$D$24,3,FALSE())</f>
        <v>Accessories</v>
      </c>
      <c r="I1702" s="41" t="n">
        <f aca="false">VLOOKUP(C1702,Products!$A$5:$D$24,4,FALSE())</f>
        <v>11</v>
      </c>
      <c r="J1702" s="42" t="n">
        <f aca="false">DATE(YEAR(B1702),MONTH(B1702),1)</f>
        <v>45870</v>
      </c>
      <c r="K1702" s="41" t="n">
        <f aca="false">D1702*E1702</f>
        <v>26.97</v>
      </c>
      <c r="L1702" s="41" t="n">
        <f aca="false">D1702*I1702</f>
        <v>11</v>
      </c>
      <c r="M1702" s="41" t="n">
        <f aca="false">IFERROR(INDEX(Raw_Expenses!$C$5:$C$2979,MATCH(A1702,Raw_Expenses!$A$5:$A$2979,0)),0)</f>
        <v>1.23</v>
      </c>
      <c r="N1702" s="41" t="n">
        <f aca="false">L1702+M1702</f>
        <v>12.23</v>
      </c>
      <c r="O1702" s="41" t="n">
        <f aca="false">K1702-N1702</f>
        <v>14.74</v>
      </c>
      <c r="P1702" s="43" t="n">
        <f aca="false">IF(K1702=0,0,O1702/K1702)</f>
        <v>0.546533185020393</v>
      </c>
    </row>
    <row r="1703" customFormat="false" ht="15" hidden="false" customHeight="false" outlineLevel="0" collapsed="false">
      <c r="A1703" s="39" t="s">
        <v>1825</v>
      </c>
      <c r="B1703" s="40" t="n">
        <v>45894</v>
      </c>
      <c r="C1703" s="39" t="s">
        <v>139</v>
      </c>
      <c r="D1703" s="39" t="n">
        <v>3</v>
      </c>
      <c r="E1703" s="41" t="n">
        <v>121.22</v>
      </c>
      <c r="F1703" s="39" t="s">
        <v>115</v>
      </c>
      <c r="G1703" s="39" t="str">
        <f aca="false">VLOOKUP(C1703,Products!$A$5:$D$24,2,FALSE())</f>
        <v>Noise-Cancelling Headphones</v>
      </c>
      <c r="H1703" s="39" t="str">
        <f aca="false">VLOOKUP(C1703,Products!$A$5:$D$24,3,FALSE())</f>
        <v>Electronics</v>
      </c>
      <c r="I1703" s="41" t="n">
        <f aca="false">VLOOKUP(C1703,Products!$A$5:$D$24,4,FALSE())</f>
        <v>55</v>
      </c>
      <c r="J1703" s="42" t="n">
        <f aca="false">DATE(YEAR(B1703),MONTH(B1703),1)</f>
        <v>45870</v>
      </c>
      <c r="K1703" s="41" t="n">
        <f aca="false">D1703*E1703</f>
        <v>363.66</v>
      </c>
      <c r="L1703" s="41" t="n">
        <f aca="false">D1703*I1703</f>
        <v>165</v>
      </c>
      <c r="M1703" s="41" t="n">
        <f aca="false">IFERROR(INDEX(Raw_Expenses!$C$5:$C$2979,MATCH(A1703,Raw_Expenses!$A$5:$A$2979,0)),0)</f>
        <v>17.11</v>
      </c>
      <c r="N1703" s="41" t="n">
        <f aca="false">L1703+M1703</f>
        <v>182.11</v>
      </c>
      <c r="O1703" s="41" t="n">
        <f aca="false">K1703-N1703</f>
        <v>181.55</v>
      </c>
      <c r="P1703" s="43" t="n">
        <f aca="false">IF(K1703=0,0,O1703/K1703)</f>
        <v>0.499230050046747</v>
      </c>
    </row>
    <row r="1704" customFormat="false" ht="15" hidden="false" customHeight="false" outlineLevel="0" collapsed="false">
      <c r="A1704" s="39" t="s">
        <v>1826</v>
      </c>
      <c r="B1704" s="40" t="n">
        <v>45894</v>
      </c>
      <c r="C1704" s="39" t="s">
        <v>112</v>
      </c>
      <c r="D1704" s="39" t="n">
        <v>5</v>
      </c>
      <c r="E1704" s="41" t="n">
        <v>51.45</v>
      </c>
      <c r="F1704" s="39" t="s">
        <v>118</v>
      </c>
      <c r="G1704" s="39" t="str">
        <f aca="false">VLOOKUP(C1704,Products!$A$5:$D$24,2,FALSE())</f>
        <v>HD Webcam</v>
      </c>
      <c r="H1704" s="39" t="str">
        <f aca="false">VLOOKUP(C1704,Products!$A$5:$D$24,3,FALSE())</f>
        <v>Electronics</v>
      </c>
      <c r="I1704" s="41" t="n">
        <f aca="false">VLOOKUP(C1704,Products!$A$5:$D$24,4,FALSE())</f>
        <v>22</v>
      </c>
      <c r="J1704" s="42" t="n">
        <f aca="false">DATE(YEAR(B1704),MONTH(B1704),1)</f>
        <v>45870</v>
      </c>
      <c r="K1704" s="41" t="n">
        <f aca="false">D1704*E1704</f>
        <v>257.25</v>
      </c>
      <c r="L1704" s="41" t="n">
        <f aca="false">D1704*I1704</f>
        <v>110</v>
      </c>
      <c r="M1704" s="41" t="n">
        <f aca="false">IFERROR(INDEX(Raw_Expenses!$C$5:$C$2979,MATCH(A1704,Raw_Expenses!$A$5:$A$2979,0)),0)</f>
        <v>16.13</v>
      </c>
      <c r="N1704" s="41" t="n">
        <f aca="false">L1704+M1704</f>
        <v>126.13</v>
      </c>
      <c r="O1704" s="41" t="n">
        <f aca="false">K1704-N1704</f>
        <v>131.12</v>
      </c>
      <c r="P1704" s="43" t="n">
        <f aca="false">IF(K1704=0,0,O1704/K1704)</f>
        <v>0.509698736637512</v>
      </c>
    </row>
    <row r="1705" customFormat="false" ht="15" hidden="false" customHeight="false" outlineLevel="0" collapsed="false">
      <c r="A1705" s="39" t="s">
        <v>1827</v>
      </c>
      <c r="B1705" s="40" t="n">
        <v>45894</v>
      </c>
      <c r="C1705" s="39" t="s">
        <v>126</v>
      </c>
      <c r="D1705" s="39" t="n">
        <v>1</v>
      </c>
      <c r="E1705" s="41" t="n">
        <v>24.29</v>
      </c>
      <c r="F1705" s="39" t="s">
        <v>105</v>
      </c>
      <c r="G1705" s="39" t="str">
        <f aca="false">VLOOKUP(C1705,Products!$A$5:$D$24,2,FALSE())</f>
        <v>Wireless Mouse</v>
      </c>
      <c r="H1705" s="39" t="str">
        <f aca="false">VLOOKUP(C1705,Products!$A$5:$D$24,3,FALSE())</f>
        <v>Electronics</v>
      </c>
      <c r="I1705" s="41" t="n">
        <f aca="false">VLOOKUP(C1705,Products!$A$5:$D$24,4,FALSE())</f>
        <v>12</v>
      </c>
      <c r="J1705" s="42" t="n">
        <f aca="false">DATE(YEAR(B1705),MONTH(B1705),1)</f>
        <v>45870</v>
      </c>
      <c r="K1705" s="41" t="n">
        <f aca="false">D1705*E1705</f>
        <v>24.29</v>
      </c>
      <c r="L1705" s="41" t="n">
        <f aca="false">D1705*I1705</f>
        <v>12</v>
      </c>
      <c r="M1705" s="41" t="n">
        <f aca="false">IFERROR(INDEX(Raw_Expenses!$C$5:$C$2979,MATCH(A1705,Raw_Expenses!$A$5:$A$2979,0)),0)</f>
        <v>1.19</v>
      </c>
      <c r="N1705" s="41" t="n">
        <f aca="false">L1705+M1705</f>
        <v>13.19</v>
      </c>
      <c r="O1705" s="41" t="n">
        <f aca="false">K1705-N1705</f>
        <v>11.1</v>
      </c>
      <c r="P1705" s="43" t="n">
        <f aca="false">IF(K1705=0,0,O1705/K1705)</f>
        <v>0.45697818032112</v>
      </c>
    </row>
    <row r="1706" customFormat="false" ht="15" hidden="false" customHeight="false" outlineLevel="0" collapsed="false">
      <c r="A1706" s="39" t="s">
        <v>1828</v>
      </c>
      <c r="B1706" s="40" t="n">
        <v>45894</v>
      </c>
      <c r="C1706" s="39" t="s">
        <v>126</v>
      </c>
      <c r="D1706" s="39" t="n">
        <v>1</v>
      </c>
      <c r="E1706" s="41" t="n">
        <v>24.98</v>
      </c>
      <c r="F1706" s="39" t="s">
        <v>105</v>
      </c>
      <c r="G1706" s="39" t="str">
        <f aca="false">VLOOKUP(C1706,Products!$A$5:$D$24,2,FALSE())</f>
        <v>Wireless Mouse</v>
      </c>
      <c r="H1706" s="39" t="str">
        <f aca="false">VLOOKUP(C1706,Products!$A$5:$D$24,3,FALSE())</f>
        <v>Electronics</v>
      </c>
      <c r="I1706" s="41" t="n">
        <f aca="false">VLOOKUP(C1706,Products!$A$5:$D$24,4,FALSE())</f>
        <v>12</v>
      </c>
      <c r="J1706" s="42" t="n">
        <f aca="false">DATE(YEAR(B1706),MONTH(B1706),1)</f>
        <v>45870</v>
      </c>
      <c r="K1706" s="41" t="n">
        <f aca="false">D1706*E1706</f>
        <v>24.98</v>
      </c>
      <c r="L1706" s="41" t="n">
        <f aca="false">D1706*I1706</f>
        <v>12</v>
      </c>
      <c r="M1706" s="41" t="n">
        <f aca="false">IFERROR(INDEX(Raw_Expenses!$C$5:$C$2979,MATCH(A1706,Raw_Expenses!$A$5:$A$2979,0)),0)</f>
        <v>1.07</v>
      </c>
      <c r="N1706" s="41" t="n">
        <f aca="false">L1706+M1706</f>
        <v>13.07</v>
      </c>
      <c r="O1706" s="41" t="n">
        <f aca="false">K1706-N1706</f>
        <v>11.91</v>
      </c>
      <c r="P1706" s="43" t="n">
        <f aca="false">IF(K1706=0,0,O1706/K1706)</f>
        <v>0.476781425140112</v>
      </c>
    </row>
    <row r="1707" customFormat="false" ht="15" hidden="false" customHeight="false" outlineLevel="0" collapsed="false">
      <c r="A1707" s="39" t="s">
        <v>1829</v>
      </c>
      <c r="B1707" s="40" t="n">
        <v>45895</v>
      </c>
      <c r="C1707" s="39" t="s">
        <v>126</v>
      </c>
      <c r="D1707" s="39" t="n">
        <v>1</v>
      </c>
      <c r="E1707" s="41" t="n">
        <v>23.45</v>
      </c>
      <c r="F1707" s="39" t="s">
        <v>105</v>
      </c>
      <c r="G1707" s="39" t="str">
        <f aca="false">VLOOKUP(C1707,Products!$A$5:$D$24,2,FALSE())</f>
        <v>Wireless Mouse</v>
      </c>
      <c r="H1707" s="39" t="str">
        <f aca="false">VLOOKUP(C1707,Products!$A$5:$D$24,3,FALSE())</f>
        <v>Electronics</v>
      </c>
      <c r="I1707" s="41" t="n">
        <f aca="false">VLOOKUP(C1707,Products!$A$5:$D$24,4,FALSE())</f>
        <v>12</v>
      </c>
      <c r="J1707" s="42" t="n">
        <f aca="false">DATE(YEAR(B1707),MONTH(B1707),1)</f>
        <v>45870</v>
      </c>
      <c r="K1707" s="41" t="n">
        <f aca="false">D1707*E1707</f>
        <v>23.45</v>
      </c>
      <c r="L1707" s="41" t="n">
        <f aca="false">D1707*I1707</f>
        <v>12</v>
      </c>
      <c r="M1707" s="41" t="n">
        <f aca="false">IFERROR(INDEX(Raw_Expenses!$C$5:$C$2979,MATCH(A1707,Raw_Expenses!$A$5:$A$2979,0)),0)</f>
        <v>0.95</v>
      </c>
      <c r="N1707" s="41" t="n">
        <f aca="false">L1707+M1707</f>
        <v>12.95</v>
      </c>
      <c r="O1707" s="41" t="n">
        <f aca="false">K1707-N1707</f>
        <v>10.5</v>
      </c>
      <c r="P1707" s="43" t="n">
        <f aca="false">IF(K1707=0,0,O1707/K1707)</f>
        <v>0.447761194029851</v>
      </c>
    </row>
    <row r="1708" customFormat="false" ht="15" hidden="false" customHeight="false" outlineLevel="0" collapsed="false">
      <c r="A1708" s="39" t="s">
        <v>1830</v>
      </c>
      <c r="B1708" s="40" t="n">
        <v>45895</v>
      </c>
      <c r="C1708" s="39" t="s">
        <v>169</v>
      </c>
      <c r="D1708" s="39" t="n">
        <v>1</v>
      </c>
      <c r="E1708" s="41" t="n">
        <v>26.86</v>
      </c>
      <c r="F1708" s="39" t="s">
        <v>115</v>
      </c>
      <c r="G1708" s="39" t="str">
        <f aca="false">VLOOKUP(C1708,Products!$A$5:$D$24,2,FALSE())</f>
        <v>Laptop Stand</v>
      </c>
      <c r="H1708" s="39" t="str">
        <f aca="false">VLOOKUP(C1708,Products!$A$5:$D$24,3,FALSE())</f>
        <v>Accessories</v>
      </c>
      <c r="I1708" s="41" t="n">
        <f aca="false">VLOOKUP(C1708,Products!$A$5:$D$24,4,FALSE())</f>
        <v>11</v>
      </c>
      <c r="J1708" s="42" t="n">
        <f aca="false">DATE(YEAR(B1708),MONTH(B1708),1)</f>
        <v>45870</v>
      </c>
      <c r="K1708" s="41" t="n">
        <f aca="false">D1708*E1708</f>
        <v>26.86</v>
      </c>
      <c r="L1708" s="41" t="n">
        <f aca="false">D1708*I1708</f>
        <v>11</v>
      </c>
      <c r="M1708" s="41" t="n">
        <f aca="false">IFERROR(INDEX(Raw_Expenses!$C$5:$C$2979,MATCH(A1708,Raw_Expenses!$A$5:$A$2979,0)),0)</f>
        <v>1.42</v>
      </c>
      <c r="N1708" s="41" t="n">
        <f aca="false">L1708+M1708</f>
        <v>12.42</v>
      </c>
      <c r="O1708" s="41" t="n">
        <f aca="false">K1708-N1708</f>
        <v>14.44</v>
      </c>
      <c r="P1708" s="43" t="n">
        <f aca="false">IF(K1708=0,0,O1708/K1708)</f>
        <v>0.537602382725242</v>
      </c>
    </row>
    <row r="1709" customFormat="false" ht="15" hidden="false" customHeight="false" outlineLevel="0" collapsed="false">
      <c r="A1709" s="39" t="s">
        <v>1831</v>
      </c>
      <c r="B1709" s="40" t="n">
        <v>45895</v>
      </c>
      <c r="C1709" s="39" t="s">
        <v>153</v>
      </c>
      <c r="D1709" s="39" t="n">
        <v>1</v>
      </c>
      <c r="E1709" s="41" t="n">
        <v>170.15</v>
      </c>
      <c r="F1709" s="39" t="s">
        <v>118</v>
      </c>
      <c r="G1709" s="39" t="str">
        <f aca="false">VLOOKUP(C1709,Products!$A$5:$D$24,2,FALSE())</f>
        <v>24-inch Monitor</v>
      </c>
      <c r="H1709" s="39" t="str">
        <f aca="false">VLOOKUP(C1709,Products!$A$5:$D$24,3,FALSE())</f>
        <v>Electronics</v>
      </c>
      <c r="I1709" s="41" t="n">
        <f aca="false">VLOOKUP(C1709,Products!$A$5:$D$24,4,FALSE())</f>
        <v>90</v>
      </c>
      <c r="J1709" s="42" t="n">
        <f aca="false">DATE(YEAR(B1709),MONTH(B1709),1)</f>
        <v>45870</v>
      </c>
      <c r="K1709" s="41" t="n">
        <f aca="false">D1709*E1709</f>
        <v>170.15</v>
      </c>
      <c r="L1709" s="41" t="n">
        <f aca="false">D1709*I1709</f>
        <v>90</v>
      </c>
      <c r="M1709" s="41" t="n">
        <f aca="false">IFERROR(INDEX(Raw_Expenses!$C$5:$C$2979,MATCH(A1709,Raw_Expenses!$A$5:$A$2979,0)),0)</f>
        <v>12.97</v>
      </c>
      <c r="N1709" s="41" t="n">
        <f aca="false">L1709+M1709</f>
        <v>102.97</v>
      </c>
      <c r="O1709" s="41" t="n">
        <f aca="false">K1709-N1709</f>
        <v>67.18</v>
      </c>
      <c r="P1709" s="43" t="n">
        <f aca="false">IF(K1709=0,0,O1709/K1709)</f>
        <v>0.394828092859242</v>
      </c>
    </row>
    <row r="1710" customFormat="false" ht="15" hidden="false" customHeight="false" outlineLevel="0" collapsed="false">
      <c r="A1710" s="39" t="s">
        <v>1832</v>
      </c>
      <c r="B1710" s="40" t="n">
        <v>45895</v>
      </c>
      <c r="C1710" s="39" t="s">
        <v>110</v>
      </c>
      <c r="D1710" s="39" t="n">
        <v>1</v>
      </c>
      <c r="E1710" s="41" t="n">
        <v>13.31</v>
      </c>
      <c r="F1710" s="39" t="s">
        <v>115</v>
      </c>
      <c r="G1710" s="39" t="str">
        <f aca="false">VLOOKUP(C1710,Products!$A$5:$D$24,2,FALSE())</f>
        <v>Phone Stand</v>
      </c>
      <c r="H1710" s="39" t="str">
        <f aca="false">VLOOKUP(C1710,Products!$A$5:$D$24,3,FALSE())</f>
        <v>Accessories</v>
      </c>
      <c r="I1710" s="41" t="n">
        <f aca="false">VLOOKUP(C1710,Products!$A$5:$D$24,4,FALSE())</f>
        <v>4</v>
      </c>
      <c r="J1710" s="42" t="n">
        <f aca="false">DATE(YEAR(B1710),MONTH(B1710),1)</f>
        <v>45870</v>
      </c>
      <c r="K1710" s="41" t="n">
        <f aca="false">D1710*E1710</f>
        <v>13.31</v>
      </c>
      <c r="L1710" s="41" t="n">
        <f aca="false">D1710*I1710</f>
        <v>4</v>
      </c>
      <c r="M1710" s="41" t="n">
        <f aca="false">IFERROR(INDEX(Raw_Expenses!$C$5:$C$2979,MATCH(A1710,Raw_Expenses!$A$5:$A$2979,0)),0)</f>
        <v>0.71</v>
      </c>
      <c r="N1710" s="41" t="n">
        <f aca="false">L1710+M1710</f>
        <v>4.71</v>
      </c>
      <c r="O1710" s="41" t="n">
        <f aca="false">K1710-N1710</f>
        <v>8.6</v>
      </c>
      <c r="P1710" s="43" t="n">
        <f aca="false">IF(K1710=0,0,O1710/K1710)</f>
        <v>0.646130728775357</v>
      </c>
    </row>
    <row r="1711" customFormat="false" ht="15" hidden="false" customHeight="false" outlineLevel="0" collapsed="false">
      <c r="A1711" s="39" t="s">
        <v>1833</v>
      </c>
      <c r="B1711" s="40" t="n">
        <v>45895</v>
      </c>
      <c r="C1711" s="39" t="s">
        <v>104</v>
      </c>
      <c r="D1711" s="39" t="n">
        <v>1</v>
      </c>
      <c r="E1711" s="41" t="n">
        <v>15.92</v>
      </c>
      <c r="F1711" s="39" t="s">
        <v>115</v>
      </c>
      <c r="G1711" s="39" t="str">
        <f aca="false">VLOOKUP(C1711,Products!$A$5:$D$24,2,FALSE())</f>
        <v>Water Bottle</v>
      </c>
      <c r="H1711" s="39" t="str">
        <f aca="false">VLOOKUP(C1711,Products!$A$5:$D$24,3,FALSE())</f>
        <v>Accessories</v>
      </c>
      <c r="I1711" s="41" t="n">
        <f aca="false">VLOOKUP(C1711,Products!$A$5:$D$24,4,FALSE())</f>
        <v>5</v>
      </c>
      <c r="J1711" s="42" t="n">
        <f aca="false">DATE(YEAR(B1711),MONTH(B1711),1)</f>
        <v>45870</v>
      </c>
      <c r="K1711" s="41" t="n">
        <f aca="false">D1711*E1711</f>
        <v>15.92</v>
      </c>
      <c r="L1711" s="41" t="n">
        <f aca="false">D1711*I1711</f>
        <v>5</v>
      </c>
      <c r="M1711" s="41" t="n">
        <f aca="false">IFERROR(INDEX(Raw_Expenses!$C$5:$C$2979,MATCH(A1711,Raw_Expenses!$A$5:$A$2979,0)),0)</f>
        <v>1.39</v>
      </c>
      <c r="N1711" s="41" t="n">
        <f aca="false">L1711+M1711</f>
        <v>6.39</v>
      </c>
      <c r="O1711" s="41" t="n">
        <f aca="false">K1711-N1711</f>
        <v>9.53</v>
      </c>
      <c r="P1711" s="43" t="n">
        <f aca="false">IF(K1711=0,0,O1711/K1711)</f>
        <v>0.598618090452261</v>
      </c>
    </row>
    <row r="1712" customFormat="false" ht="15" hidden="false" customHeight="false" outlineLevel="0" collapsed="false">
      <c r="A1712" s="39" t="s">
        <v>1834</v>
      </c>
      <c r="B1712" s="40" t="n">
        <v>45895</v>
      </c>
      <c r="C1712" s="39" t="s">
        <v>126</v>
      </c>
      <c r="D1712" s="39" t="n">
        <v>2</v>
      </c>
      <c r="E1712" s="41" t="n">
        <v>23.4</v>
      </c>
      <c r="F1712" s="39" t="s">
        <v>108</v>
      </c>
      <c r="G1712" s="39" t="str">
        <f aca="false">VLOOKUP(C1712,Products!$A$5:$D$24,2,FALSE())</f>
        <v>Wireless Mouse</v>
      </c>
      <c r="H1712" s="39" t="str">
        <f aca="false">VLOOKUP(C1712,Products!$A$5:$D$24,3,FALSE())</f>
        <v>Electronics</v>
      </c>
      <c r="I1712" s="41" t="n">
        <f aca="false">VLOOKUP(C1712,Products!$A$5:$D$24,4,FALSE())</f>
        <v>12</v>
      </c>
      <c r="J1712" s="42" t="n">
        <f aca="false">DATE(YEAR(B1712),MONTH(B1712),1)</f>
        <v>45870</v>
      </c>
      <c r="K1712" s="41" t="n">
        <f aca="false">D1712*E1712</f>
        <v>46.8</v>
      </c>
      <c r="L1712" s="41" t="n">
        <f aca="false">D1712*I1712</f>
        <v>24</v>
      </c>
      <c r="M1712" s="41" t="n">
        <f aca="false">IFERROR(INDEX(Raw_Expenses!$C$5:$C$2979,MATCH(A1712,Raw_Expenses!$A$5:$A$2979,0)),0)</f>
        <v>2.42</v>
      </c>
      <c r="N1712" s="41" t="n">
        <f aca="false">L1712+M1712</f>
        <v>26.42</v>
      </c>
      <c r="O1712" s="41" t="n">
        <f aca="false">K1712-N1712</f>
        <v>20.38</v>
      </c>
      <c r="P1712" s="43" t="n">
        <f aca="false">IF(K1712=0,0,O1712/K1712)</f>
        <v>0.435470085470085</v>
      </c>
    </row>
    <row r="1713" customFormat="false" ht="15" hidden="false" customHeight="false" outlineLevel="0" collapsed="false">
      <c r="A1713" s="39" t="s">
        <v>1835</v>
      </c>
      <c r="B1713" s="40" t="n">
        <v>45895</v>
      </c>
      <c r="C1713" s="39" t="s">
        <v>104</v>
      </c>
      <c r="D1713" s="39" t="n">
        <v>4</v>
      </c>
      <c r="E1713" s="41" t="n">
        <v>15.23</v>
      </c>
      <c r="F1713" s="39" t="s">
        <v>108</v>
      </c>
      <c r="G1713" s="39" t="str">
        <f aca="false">VLOOKUP(C1713,Products!$A$5:$D$24,2,FALSE())</f>
        <v>Water Bottle</v>
      </c>
      <c r="H1713" s="39" t="str">
        <f aca="false">VLOOKUP(C1713,Products!$A$5:$D$24,3,FALSE())</f>
        <v>Accessories</v>
      </c>
      <c r="I1713" s="41" t="n">
        <f aca="false">VLOOKUP(C1713,Products!$A$5:$D$24,4,FALSE())</f>
        <v>5</v>
      </c>
      <c r="J1713" s="42" t="n">
        <f aca="false">DATE(YEAR(B1713),MONTH(B1713),1)</f>
        <v>45870</v>
      </c>
      <c r="K1713" s="41" t="n">
        <f aca="false">D1713*E1713</f>
        <v>60.92</v>
      </c>
      <c r="L1713" s="41" t="n">
        <f aca="false">D1713*I1713</f>
        <v>20</v>
      </c>
      <c r="M1713" s="41" t="n">
        <f aca="false">IFERROR(INDEX(Raw_Expenses!$C$5:$C$2979,MATCH(A1713,Raw_Expenses!$A$5:$A$2979,0)),0)</f>
        <v>3.69</v>
      </c>
      <c r="N1713" s="41" t="n">
        <f aca="false">L1713+M1713</f>
        <v>23.69</v>
      </c>
      <c r="O1713" s="41" t="n">
        <f aca="false">K1713-N1713</f>
        <v>37.23</v>
      </c>
      <c r="P1713" s="43" t="n">
        <f aca="false">IF(K1713=0,0,O1713/K1713)</f>
        <v>0.61112934996717</v>
      </c>
    </row>
    <row r="1714" customFormat="false" ht="15" hidden="false" customHeight="false" outlineLevel="0" collapsed="false">
      <c r="A1714" s="39" t="s">
        <v>1836</v>
      </c>
      <c r="B1714" s="40" t="n">
        <v>45895</v>
      </c>
      <c r="C1714" s="39" t="s">
        <v>128</v>
      </c>
      <c r="D1714" s="39" t="n">
        <v>2</v>
      </c>
      <c r="E1714" s="41" t="n">
        <v>35.97</v>
      </c>
      <c r="F1714" s="39" t="s">
        <v>108</v>
      </c>
      <c r="G1714" s="39" t="str">
        <f aca="false">VLOOKUP(C1714,Products!$A$5:$D$24,2,FALSE())</f>
        <v>Ergonomic Footrest</v>
      </c>
      <c r="H1714" s="39" t="str">
        <f aca="false">VLOOKUP(C1714,Products!$A$5:$D$24,3,FALSE())</f>
        <v>Furniture</v>
      </c>
      <c r="I1714" s="41" t="n">
        <f aca="false">VLOOKUP(C1714,Products!$A$5:$D$24,4,FALSE())</f>
        <v>15</v>
      </c>
      <c r="J1714" s="42" t="n">
        <f aca="false">DATE(YEAR(B1714),MONTH(B1714),1)</f>
        <v>45870</v>
      </c>
      <c r="K1714" s="41" t="n">
        <f aca="false">D1714*E1714</f>
        <v>71.94</v>
      </c>
      <c r="L1714" s="41" t="n">
        <f aca="false">D1714*I1714</f>
        <v>30</v>
      </c>
      <c r="M1714" s="41" t="n">
        <f aca="false">IFERROR(INDEX(Raw_Expenses!$C$5:$C$2979,MATCH(A1714,Raw_Expenses!$A$5:$A$2979,0)),0)</f>
        <v>5.05</v>
      </c>
      <c r="N1714" s="41" t="n">
        <f aca="false">L1714+M1714</f>
        <v>35.05</v>
      </c>
      <c r="O1714" s="41" t="n">
        <f aca="false">K1714-N1714</f>
        <v>36.89</v>
      </c>
      <c r="P1714" s="43" t="n">
        <f aca="false">IF(K1714=0,0,O1714/K1714)</f>
        <v>0.512788434806784</v>
      </c>
    </row>
    <row r="1715" customFormat="false" ht="15" hidden="false" customHeight="false" outlineLevel="0" collapsed="false">
      <c r="A1715" s="39" t="s">
        <v>1837</v>
      </c>
      <c r="B1715" s="40" t="n">
        <v>45895</v>
      </c>
      <c r="C1715" s="39" t="s">
        <v>110</v>
      </c>
      <c r="D1715" s="39" t="n">
        <v>3</v>
      </c>
      <c r="E1715" s="41" t="n">
        <v>13.34</v>
      </c>
      <c r="F1715" s="39" t="s">
        <v>108</v>
      </c>
      <c r="G1715" s="39" t="str">
        <f aca="false">VLOOKUP(C1715,Products!$A$5:$D$24,2,FALSE())</f>
        <v>Phone Stand</v>
      </c>
      <c r="H1715" s="39" t="str">
        <f aca="false">VLOOKUP(C1715,Products!$A$5:$D$24,3,FALSE())</f>
        <v>Accessories</v>
      </c>
      <c r="I1715" s="41" t="n">
        <f aca="false">VLOOKUP(C1715,Products!$A$5:$D$24,4,FALSE())</f>
        <v>4</v>
      </c>
      <c r="J1715" s="42" t="n">
        <f aca="false">DATE(YEAR(B1715),MONTH(B1715),1)</f>
        <v>45870</v>
      </c>
      <c r="K1715" s="41" t="n">
        <f aca="false">D1715*E1715</f>
        <v>40.02</v>
      </c>
      <c r="L1715" s="41" t="n">
        <f aca="false">D1715*I1715</f>
        <v>12</v>
      </c>
      <c r="M1715" s="41" t="n">
        <f aca="false">IFERROR(INDEX(Raw_Expenses!$C$5:$C$2979,MATCH(A1715,Raw_Expenses!$A$5:$A$2979,0)),0)</f>
        <v>2.95</v>
      </c>
      <c r="N1715" s="41" t="n">
        <f aca="false">L1715+M1715</f>
        <v>14.95</v>
      </c>
      <c r="O1715" s="41" t="n">
        <f aca="false">K1715-N1715</f>
        <v>25.07</v>
      </c>
      <c r="P1715" s="43" t="n">
        <f aca="false">IF(K1715=0,0,O1715/K1715)</f>
        <v>0.626436781609195</v>
      </c>
    </row>
    <row r="1716" customFormat="false" ht="15" hidden="false" customHeight="false" outlineLevel="0" collapsed="false">
      <c r="A1716" s="39" t="s">
        <v>1838</v>
      </c>
      <c r="B1716" s="40" t="n">
        <v>45895</v>
      </c>
      <c r="C1716" s="39" t="s">
        <v>117</v>
      </c>
      <c r="D1716" s="39" t="n">
        <v>3</v>
      </c>
      <c r="E1716" s="41" t="n">
        <v>29.55</v>
      </c>
      <c r="F1716" s="39" t="s">
        <v>105</v>
      </c>
      <c r="G1716" s="39" t="str">
        <f aca="false">VLOOKUP(C1716,Products!$A$5:$D$24,2,FALSE())</f>
        <v>Desk Lamp</v>
      </c>
      <c r="H1716" s="39" t="str">
        <f aca="false">VLOOKUP(C1716,Products!$A$5:$D$24,3,FALSE())</f>
        <v>Furniture</v>
      </c>
      <c r="I1716" s="41" t="n">
        <f aca="false">VLOOKUP(C1716,Products!$A$5:$D$24,4,FALSE())</f>
        <v>13</v>
      </c>
      <c r="J1716" s="42" t="n">
        <f aca="false">DATE(YEAR(B1716),MONTH(B1716),1)</f>
        <v>45870</v>
      </c>
      <c r="K1716" s="41" t="n">
        <f aca="false">D1716*E1716</f>
        <v>88.65</v>
      </c>
      <c r="L1716" s="41" t="n">
        <f aca="false">D1716*I1716</f>
        <v>39</v>
      </c>
      <c r="M1716" s="41" t="n">
        <f aca="false">IFERROR(INDEX(Raw_Expenses!$C$5:$C$2979,MATCH(A1716,Raw_Expenses!$A$5:$A$2979,0)),0)</f>
        <v>6.12</v>
      </c>
      <c r="N1716" s="41" t="n">
        <f aca="false">L1716+M1716</f>
        <v>45.12</v>
      </c>
      <c r="O1716" s="41" t="n">
        <f aca="false">K1716-N1716</f>
        <v>43.53</v>
      </c>
      <c r="P1716" s="43" t="n">
        <f aca="false">IF(K1716=0,0,O1716/K1716)</f>
        <v>0.491032148900169</v>
      </c>
    </row>
    <row r="1717" customFormat="false" ht="15" hidden="false" customHeight="false" outlineLevel="0" collapsed="false">
      <c r="A1717" s="39" t="s">
        <v>1839</v>
      </c>
      <c r="B1717" s="40" t="n">
        <v>45896</v>
      </c>
      <c r="C1717" s="39" t="s">
        <v>107</v>
      </c>
      <c r="D1717" s="39" t="n">
        <v>5</v>
      </c>
      <c r="E1717" s="41" t="n">
        <v>33.56</v>
      </c>
      <c r="F1717" s="39" t="s">
        <v>115</v>
      </c>
      <c r="G1717" s="39" t="str">
        <f aca="false">VLOOKUP(C1717,Products!$A$5:$D$24,2,FALSE())</f>
        <v>USB-C Hub</v>
      </c>
      <c r="H1717" s="39" t="str">
        <f aca="false">VLOOKUP(C1717,Products!$A$5:$D$24,3,FALSE())</f>
        <v>Electronics</v>
      </c>
      <c r="I1717" s="41" t="n">
        <f aca="false">VLOOKUP(C1717,Products!$A$5:$D$24,4,FALSE())</f>
        <v>14</v>
      </c>
      <c r="J1717" s="42" t="n">
        <f aca="false">DATE(YEAR(B1717),MONTH(B1717),1)</f>
        <v>45870</v>
      </c>
      <c r="K1717" s="41" t="n">
        <f aca="false">D1717*E1717</f>
        <v>167.8</v>
      </c>
      <c r="L1717" s="41" t="n">
        <f aca="false">D1717*I1717</f>
        <v>70</v>
      </c>
      <c r="M1717" s="41" t="n">
        <f aca="false">IFERROR(INDEX(Raw_Expenses!$C$5:$C$2979,MATCH(A1717,Raw_Expenses!$A$5:$A$2979,0)),0)</f>
        <v>7.05</v>
      </c>
      <c r="N1717" s="41" t="n">
        <f aca="false">L1717+M1717</f>
        <v>77.05</v>
      </c>
      <c r="O1717" s="41" t="n">
        <f aca="false">K1717-N1717</f>
        <v>90.75</v>
      </c>
      <c r="P1717" s="43" t="n">
        <f aca="false">IF(K1717=0,0,O1717/K1717)</f>
        <v>0.540822407628129</v>
      </c>
    </row>
    <row r="1718" customFormat="false" ht="15" hidden="false" customHeight="false" outlineLevel="0" collapsed="false">
      <c r="A1718" s="39" t="s">
        <v>1840</v>
      </c>
      <c r="B1718" s="40" t="n">
        <v>45896</v>
      </c>
      <c r="C1718" s="39" t="s">
        <v>169</v>
      </c>
      <c r="D1718" s="39" t="n">
        <v>3</v>
      </c>
      <c r="E1718" s="41" t="n">
        <v>27.76</v>
      </c>
      <c r="F1718" s="39" t="s">
        <v>105</v>
      </c>
      <c r="G1718" s="39" t="str">
        <f aca="false">VLOOKUP(C1718,Products!$A$5:$D$24,2,FALSE())</f>
        <v>Laptop Stand</v>
      </c>
      <c r="H1718" s="39" t="str">
        <f aca="false">VLOOKUP(C1718,Products!$A$5:$D$24,3,FALSE())</f>
        <v>Accessories</v>
      </c>
      <c r="I1718" s="41" t="n">
        <f aca="false">VLOOKUP(C1718,Products!$A$5:$D$24,4,FALSE())</f>
        <v>11</v>
      </c>
      <c r="J1718" s="42" t="n">
        <f aca="false">DATE(YEAR(B1718),MONTH(B1718),1)</f>
        <v>45870</v>
      </c>
      <c r="K1718" s="41" t="n">
        <f aca="false">D1718*E1718</f>
        <v>83.28</v>
      </c>
      <c r="L1718" s="41" t="n">
        <f aca="false">D1718*I1718</f>
        <v>33</v>
      </c>
      <c r="M1718" s="41" t="n">
        <f aca="false">IFERROR(INDEX(Raw_Expenses!$C$5:$C$2979,MATCH(A1718,Raw_Expenses!$A$5:$A$2979,0)),0)</f>
        <v>5.24</v>
      </c>
      <c r="N1718" s="41" t="n">
        <f aca="false">L1718+M1718</f>
        <v>38.24</v>
      </c>
      <c r="O1718" s="41" t="n">
        <f aca="false">K1718-N1718</f>
        <v>45.04</v>
      </c>
      <c r="P1718" s="43" t="n">
        <f aca="false">IF(K1718=0,0,O1718/K1718)</f>
        <v>0.540826128722382</v>
      </c>
    </row>
    <row r="1719" customFormat="false" ht="15" hidden="false" customHeight="false" outlineLevel="0" collapsed="false">
      <c r="A1719" s="39" t="s">
        <v>1841</v>
      </c>
      <c r="B1719" s="40" t="n">
        <v>45896</v>
      </c>
      <c r="C1719" s="39" t="s">
        <v>130</v>
      </c>
      <c r="D1719" s="39" t="n">
        <v>5</v>
      </c>
      <c r="E1719" s="41" t="n">
        <v>8.72</v>
      </c>
      <c r="F1719" s="39" t="s">
        <v>118</v>
      </c>
      <c r="G1719" s="39" t="str">
        <f aca="false">VLOOKUP(C1719,Products!$A$5:$D$24,2,FALSE())</f>
        <v>Notebook Set</v>
      </c>
      <c r="H1719" s="39" t="str">
        <f aca="false">VLOOKUP(C1719,Products!$A$5:$D$24,3,FALSE())</f>
        <v>Stationery</v>
      </c>
      <c r="I1719" s="41" t="n">
        <f aca="false">VLOOKUP(C1719,Products!$A$5:$D$24,4,FALSE())</f>
        <v>3</v>
      </c>
      <c r="J1719" s="42" t="n">
        <f aca="false">DATE(YEAR(B1719),MONTH(B1719),1)</f>
        <v>45870</v>
      </c>
      <c r="K1719" s="41" t="n">
        <f aca="false">D1719*E1719</f>
        <v>43.6</v>
      </c>
      <c r="L1719" s="41" t="n">
        <f aca="false">D1719*I1719</f>
        <v>15</v>
      </c>
      <c r="M1719" s="41" t="n">
        <f aca="false">IFERROR(INDEX(Raw_Expenses!$C$5:$C$2979,MATCH(A1719,Raw_Expenses!$A$5:$A$2979,0)),0)</f>
        <v>2.6</v>
      </c>
      <c r="N1719" s="41" t="n">
        <f aca="false">L1719+M1719</f>
        <v>17.6</v>
      </c>
      <c r="O1719" s="41" t="n">
        <f aca="false">K1719-N1719</f>
        <v>26</v>
      </c>
      <c r="P1719" s="43" t="n">
        <f aca="false">IF(K1719=0,0,O1719/K1719)</f>
        <v>0.596330275229358</v>
      </c>
    </row>
    <row r="1720" customFormat="false" ht="15" hidden="false" customHeight="false" outlineLevel="0" collapsed="false">
      <c r="A1720" s="39" t="s">
        <v>1842</v>
      </c>
      <c r="B1720" s="40" t="n">
        <v>45896</v>
      </c>
      <c r="C1720" s="39" t="s">
        <v>128</v>
      </c>
      <c r="D1720" s="39" t="n">
        <v>6</v>
      </c>
      <c r="E1720" s="41" t="n">
        <v>38.49</v>
      </c>
      <c r="F1720" s="39" t="s">
        <v>115</v>
      </c>
      <c r="G1720" s="39" t="str">
        <f aca="false">VLOOKUP(C1720,Products!$A$5:$D$24,2,FALSE())</f>
        <v>Ergonomic Footrest</v>
      </c>
      <c r="H1720" s="39" t="str">
        <f aca="false">VLOOKUP(C1720,Products!$A$5:$D$24,3,FALSE())</f>
        <v>Furniture</v>
      </c>
      <c r="I1720" s="41" t="n">
        <f aca="false">VLOOKUP(C1720,Products!$A$5:$D$24,4,FALSE())</f>
        <v>15</v>
      </c>
      <c r="J1720" s="42" t="n">
        <f aca="false">DATE(YEAR(B1720),MONTH(B1720),1)</f>
        <v>45870</v>
      </c>
      <c r="K1720" s="41" t="n">
        <f aca="false">D1720*E1720</f>
        <v>230.94</v>
      </c>
      <c r="L1720" s="41" t="n">
        <f aca="false">D1720*I1720</f>
        <v>90</v>
      </c>
      <c r="M1720" s="41" t="n">
        <f aca="false">IFERROR(INDEX(Raw_Expenses!$C$5:$C$2979,MATCH(A1720,Raw_Expenses!$A$5:$A$2979,0)),0)</f>
        <v>12.73</v>
      </c>
      <c r="N1720" s="41" t="n">
        <f aca="false">L1720+M1720</f>
        <v>102.73</v>
      </c>
      <c r="O1720" s="41" t="n">
        <f aca="false">K1720-N1720</f>
        <v>128.21</v>
      </c>
      <c r="P1720" s="43" t="n">
        <f aca="false">IF(K1720=0,0,O1720/K1720)</f>
        <v>0.555165843942149</v>
      </c>
    </row>
    <row r="1721" customFormat="false" ht="15" hidden="false" customHeight="false" outlineLevel="0" collapsed="false">
      <c r="A1721" s="39" t="s">
        <v>1843</v>
      </c>
      <c r="B1721" s="40" t="n">
        <v>45896</v>
      </c>
      <c r="C1721" s="39" t="s">
        <v>114</v>
      </c>
      <c r="D1721" s="39" t="n">
        <v>3</v>
      </c>
      <c r="E1721" s="41" t="n">
        <v>5.91</v>
      </c>
      <c r="F1721" s="39" t="s">
        <v>115</v>
      </c>
      <c r="G1721" s="39" t="str">
        <f aca="false">VLOOKUP(C1721,Products!$A$5:$D$24,2,FALSE())</f>
        <v>Gel Pen Pack</v>
      </c>
      <c r="H1721" s="39" t="str">
        <f aca="false">VLOOKUP(C1721,Products!$A$5:$D$24,3,FALSE())</f>
        <v>Stationery</v>
      </c>
      <c r="I1721" s="41" t="n">
        <f aca="false">VLOOKUP(C1721,Products!$A$5:$D$24,4,FALSE())</f>
        <v>2</v>
      </c>
      <c r="J1721" s="42" t="n">
        <f aca="false">DATE(YEAR(B1721),MONTH(B1721),1)</f>
        <v>45870</v>
      </c>
      <c r="K1721" s="41" t="n">
        <f aca="false">D1721*E1721</f>
        <v>17.73</v>
      </c>
      <c r="L1721" s="41" t="n">
        <f aca="false">D1721*I1721</f>
        <v>6</v>
      </c>
      <c r="M1721" s="41" t="n">
        <f aca="false">IFERROR(INDEX(Raw_Expenses!$C$5:$C$2979,MATCH(A1721,Raw_Expenses!$A$5:$A$2979,0)),0)</f>
        <v>1.03</v>
      </c>
      <c r="N1721" s="41" t="n">
        <f aca="false">L1721+M1721</f>
        <v>7.03</v>
      </c>
      <c r="O1721" s="41" t="n">
        <f aca="false">K1721-N1721</f>
        <v>10.7</v>
      </c>
      <c r="P1721" s="43" t="n">
        <f aca="false">IF(K1721=0,0,O1721/K1721)</f>
        <v>0.603496897913142</v>
      </c>
    </row>
    <row r="1722" customFormat="false" ht="15" hidden="false" customHeight="false" outlineLevel="0" collapsed="false">
      <c r="A1722" s="39" t="s">
        <v>1844</v>
      </c>
      <c r="B1722" s="40" t="n">
        <v>45896</v>
      </c>
      <c r="C1722" s="39" t="s">
        <v>126</v>
      </c>
      <c r="D1722" s="39" t="n">
        <v>4</v>
      </c>
      <c r="E1722" s="41" t="n">
        <v>23.31</v>
      </c>
      <c r="F1722" s="39" t="s">
        <v>108</v>
      </c>
      <c r="G1722" s="39" t="str">
        <f aca="false">VLOOKUP(C1722,Products!$A$5:$D$24,2,FALSE())</f>
        <v>Wireless Mouse</v>
      </c>
      <c r="H1722" s="39" t="str">
        <f aca="false">VLOOKUP(C1722,Products!$A$5:$D$24,3,FALSE())</f>
        <v>Electronics</v>
      </c>
      <c r="I1722" s="41" t="n">
        <f aca="false">VLOOKUP(C1722,Products!$A$5:$D$24,4,FALSE())</f>
        <v>12</v>
      </c>
      <c r="J1722" s="42" t="n">
        <f aca="false">DATE(YEAR(B1722),MONTH(B1722),1)</f>
        <v>45870</v>
      </c>
      <c r="K1722" s="41" t="n">
        <f aca="false">D1722*E1722</f>
        <v>93.24</v>
      </c>
      <c r="L1722" s="41" t="n">
        <f aca="false">D1722*I1722</f>
        <v>48</v>
      </c>
      <c r="M1722" s="41" t="n">
        <f aca="false">IFERROR(INDEX(Raw_Expenses!$C$5:$C$2979,MATCH(A1722,Raw_Expenses!$A$5:$A$2979,0)),0)</f>
        <v>7.56</v>
      </c>
      <c r="N1722" s="41" t="n">
        <f aca="false">L1722+M1722</f>
        <v>55.56</v>
      </c>
      <c r="O1722" s="41" t="n">
        <f aca="false">K1722-N1722</f>
        <v>37.68</v>
      </c>
      <c r="P1722" s="43" t="n">
        <f aca="false">IF(K1722=0,0,O1722/K1722)</f>
        <v>0.404118404118404</v>
      </c>
    </row>
    <row r="1723" customFormat="false" ht="15" hidden="false" customHeight="false" outlineLevel="0" collapsed="false">
      <c r="A1723" s="39" t="s">
        <v>1845</v>
      </c>
      <c r="B1723" s="40" t="n">
        <v>45896</v>
      </c>
      <c r="C1723" s="39" t="s">
        <v>114</v>
      </c>
      <c r="D1723" s="39" t="n">
        <v>3</v>
      </c>
      <c r="E1723" s="41" t="n">
        <v>5.88</v>
      </c>
      <c r="F1723" s="39" t="s">
        <v>105</v>
      </c>
      <c r="G1723" s="39" t="str">
        <f aca="false">VLOOKUP(C1723,Products!$A$5:$D$24,2,FALSE())</f>
        <v>Gel Pen Pack</v>
      </c>
      <c r="H1723" s="39" t="str">
        <f aca="false">VLOOKUP(C1723,Products!$A$5:$D$24,3,FALSE())</f>
        <v>Stationery</v>
      </c>
      <c r="I1723" s="41" t="n">
        <f aca="false">VLOOKUP(C1723,Products!$A$5:$D$24,4,FALSE())</f>
        <v>2</v>
      </c>
      <c r="J1723" s="42" t="n">
        <f aca="false">DATE(YEAR(B1723),MONTH(B1723),1)</f>
        <v>45870</v>
      </c>
      <c r="K1723" s="41" t="n">
        <f aca="false">D1723*E1723</f>
        <v>17.64</v>
      </c>
      <c r="L1723" s="41" t="n">
        <f aca="false">D1723*I1723</f>
        <v>6</v>
      </c>
      <c r="M1723" s="41" t="n">
        <f aca="false">IFERROR(INDEX(Raw_Expenses!$C$5:$C$2979,MATCH(A1723,Raw_Expenses!$A$5:$A$2979,0)),0)</f>
        <v>1.12</v>
      </c>
      <c r="N1723" s="41" t="n">
        <f aca="false">L1723+M1723</f>
        <v>7.12</v>
      </c>
      <c r="O1723" s="41" t="n">
        <f aca="false">K1723-N1723</f>
        <v>10.52</v>
      </c>
      <c r="P1723" s="43" t="n">
        <f aca="false">IF(K1723=0,0,O1723/K1723)</f>
        <v>0.596371882086168</v>
      </c>
    </row>
    <row r="1724" customFormat="false" ht="15" hidden="false" customHeight="false" outlineLevel="0" collapsed="false">
      <c r="A1724" s="39" t="s">
        <v>1846</v>
      </c>
      <c r="B1724" s="40" t="n">
        <v>45897</v>
      </c>
      <c r="C1724" s="39" t="s">
        <v>162</v>
      </c>
      <c r="D1724" s="39" t="n">
        <v>1</v>
      </c>
      <c r="E1724" s="41" t="n">
        <v>63.88</v>
      </c>
      <c r="F1724" s="39" t="s">
        <v>108</v>
      </c>
      <c r="G1724" s="39" t="str">
        <f aca="false">VLOOKUP(C1724,Products!$A$5:$D$24,2,FALSE())</f>
        <v>Bluetooth Speaker</v>
      </c>
      <c r="H1724" s="39" t="str">
        <f aca="false">VLOOKUP(C1724,Products!$A$5:$D$24,3,FALSE())</f>
        <v>Electronics</v>
      </c>
      <c r="I1724" s="41" t="n">
        <f aca="false">VLOOKUP(C1724,Products!$A$5:$D$24,4,FALSE())</f>
        <v>28</v>
      </c>
      <c r="J1724" s="42" t="n">
        <f aca="false">DATE(YEAR(B1724),MONTH(B1724),1)</f>
        <v>45870</v>
      </c>
      <c r="K1724" s="41" t="n">
        <f aca="false">D1724*E1724</f>
        <v>63.88</v>
      </c>
      <c r="L1724" s="41" t="n">
        <f aca="false">D1724*I1724</f>
        <v>28</v>
      </c>
      <c r="M1724" s="41" t="n">
        <f aca="false">IFERROR(INDEX(Raw_Expenses!$C$5:$C$2979,MATCH(A1724,Raw_Expenses!$A$5:$A$2979,0)),0)</f>
        <v>5.22</v>
      </c>
      <c r="N1724" s="41" t="n">
        <f aca="false">L1724+M1724</f>
        <v>33.22</v>
      </c>
      <c r="O1724" s="41" t="n">
        <f aca="false">K1724-N1724</f>
        <v>30.66</v>
      </c>
      <c r="P1724" s="43" t="n">
        <f aca="false">IF(K1724=0,0,O1724/K1724)</f>
        <v>0.479962429555416</v>
      </c>
    </row>
    <row r="1725" customFormat="false" ht="15" hidden="false" customHeight="false" outlineLevel="0" collapsed="false">
      <c r="A1725" s="39" t="s">
        <v>1847</v>
      </c>
      <c r="B1725" s="40" t="n">
        <v>45897</v>
      </c>
      <c r="C1725" s="39" t="s">
        <v>169</v>
      </c>
      <c r="D1725" s="39" t="n">
        <v>1</v>
      </c>
      <c r="E1725" s="41" t="n">
        <v>27.3</v>
      </c>
      <c r="F1725" s="39" t="s">
        <v>118</v>
      </c>
      <c r="G1725" s="39" t="str">
        <f aca="false">VLOOKUP(C1725,Products!$A$5:$D$24,2,FALSE())</f>
        <v>Laptop Stand</v>
      </c>
      <c r="H1725" s="39" t="str">
        <f aca="false">VLOOKUP(C1725,Products!$A$5:$D$24,3,FALSE())</f>
        <v>Accessories</v>
      </c>
      <c r="I1725" s="41" t="n">
        <f aca="false">VLOOKUP(C1725,Products!$A$5:$D$24,4,FALSE())</f>
        <v>11</v>
      </c>
      <c r="J1725" s="42" t="n">
        <f aca="false">DATE(YEAR(B1725),MONTH(B1725),1)</f>
        <v>45870</v>
      </c>
      <c r="K1725" s="41" t="n">
        <f aca="false">D1725*E1725</f>
        <v>27.3</v>
      </c>
      <c r="L1725" s="41" t="n">
        <f aca="false">D1725*I1725</f>
        <v>11</v>
      </c>
      <c r="M1725" s="41" t="n">
        <f aca="false">IFERROR(INDEX(Raw_Expenses!$C$5:$C$2979,MATCH(A1725,Raw_Expenses!$A$5:$A$2979,0)),0)</f>
        <v>1.92</v>
      </c>
      <c r="N1725" s="41" t="n">
        <f aca="false">L1725+M1725</f>
        <v>12.92</v>
      </c>
      <c r="O1725" s="41" t="n">
        <f aca="false">K1725-N1725</f>
        <v>14.38</v>
      </c>
      <c r="P1725" s="43" t="n">
        <f aca="false">IF(K1725=0,0,O1725/K1725)</f>
        <v>0.526739926739927</v>
      </c>
    </row>
    <row r="1726" customFormat="false" ht="15" hidden="false" customHeight="false" outlineLevel="0" collapsed="false">
      <c r="A1726" s="39" t="s">
        <v>1848</v>
      </c>
      <c r="B1726" s="40" t="n">
        <v>45897</v>
      </c>
      <c r="C1726" s="39" t="s">
        <v>130</v>
      </c>
      <c r="D1726" s="39" t="n">
        <v>5</v>
      </c>
      <c r="E1726" s="41" t="n">
        <v>8.3</v>
      </c>
      <c r="F1726" s="39" t="s">
        <v>108</v>
      </c>
      <c r="G1726" s="39" t="str">
        <f aca="false">VLOOKUP(C1726,Products!$A$5:$D$24,2,FALSE())</f>
        <v>Notebook Set</v>
      </c>
      <c r="H1726" s="39" t="str">
        <f aca="false">VLOOKUP(C1726,Products!$A$5:$D$24,3,FALSE())</f>
        <v>Stationery</v>
      </c>
      <c r="I1726" s="41" t="n">
        <f aca="false">VLOOKUP(C1726,Products!$A$5:$D$24,4,FALSE())</f>
        <v>3</v>
      </c>
      <c r="J1726" s="42" t="n">
        <f aca="false">DATE(YEAR(B1726),MONTH(B1726),1)</f>
        <v>45870</v>
      </c>
      <c r="K1726" s="41" t="n">
        <f aca="false">D1726*E1726</f>
        <v>41.5</v>
      </c>
      <c r="L1726" s="41" t="n">
        <f aca="false">D1726*I1726</f>
        <v>15</v>
      </c>
      <c r="M1726" s="41" t="n">
        <f aca="false">IFERROR(INDEX(Raw_Expenses!$C$5:$C$2979,MATCH(A1726,Raw_Expenses!$A$5:$A$2979,0)),0)</f>
        <v>1.98</v>
      </c>
      <c r="N1726" s="41" t="n">
        <f aca="false">L1726+M1726</f>
        <v>16.98</v>
      </c>
      <c r="O1726" s="41" t="n">
        <f aca="false">K1726-N1726</f>
        <v>24.52</v>
      </c>
      <c r="P1726" s="43" t="n">
        <f aca="false">IF(K1726=0,0,O1726/K1726)</f>
        <v>0.590843373493976</v>
      </c>
    </row>
    <row r="1727" customFormat="false" ht="15" hidden="false" customHeight="false" outlineLevel="0" collapsed="false">
      <c r="A1727" s="39" t="s">
        <v>1849</v>
      </c>
      <c r="B1727" s="40" t="n">
        <v>45897</v>
      </c>
      <c r="C1727" s="39" t="s">
        <v>169</v>
      </c>
      <c r="D1727" s="39" t="n">
        <v>2</v>
      </c>
      <c r="E1727" s="41" t="n">
        <v>27.94</v>
      </c>
      <c r="F1727" s="39" t="s">
        <v>108</v>
      </c>
      <c r="G1727" s="39" t="str">
        <f aca="false">VLOOKUP(C1727,Products!$A$5:$D$24,2,FALSE())</f>
        <v>Laptop Stand</v>
      </c>
      <c r="H1727" s="39" t="str">
        <f aca="false">VLOOKUP(C1727,Products!$A$5:$D$24,3,FALSE())</f>
        <v>Accessories</v>
      </c>
      <c r="I1727" s="41" t="n">
        <f aca="false">VLOOKUP(C1727,Products!$A$5:$D$24,4,FALSE())</f>
        <v>11</v>
      </c>
      <c r="J1727" s="42" t="n">
        <f aca="false">DATE(YEAR(B1727),MONTH(B1727),1)</f>
        <v>45870</v>
      </c>
      <c r="K1727" s="41" t="n">
        <f aca="false">D1727*E1727</f>
        <v>55.88</v>
      </c>
      <c r="L1727" s="41" t="n">
        <f aca="false">D1727*I1727</f>
        <v>22</v>
      </c>
      <c r="M1727" s="41" t="n">
        <f aca="false">IFERROR(INDEX(Raw_Expenses!$C$5:$C$2979,MATCH(A1727,Raw_Expenses!$A$5:$A$2979,0)),0)</f>
        <v>4.69</v>
      </c>
      <c r="N1727" s="41" t="n">
        <f aca="false">L1727+M1727</f>
        <v>26.69</v>
      </c>
      <c r="O1727" s="41" t="n">
        <f aca="false">K1727-N1727</f>
        <v>29.19</v>
      </c>
      <c r="P1727" s="43" t="n">
        <f aca="false">IF(K1727=0,0,O1727/K1727)</f>
        <v>0.522369362920544</v>
      </c>
    </row>
    <row r="1728" customFormat="false" ht="15" hidden="false" customHeight="false" outlineLevel="0" collapsed="false">
      <c r="A1728" s="39" t="s">
        <v>1850</v>
      </c>
      <c r="B1728" s="40" t="n">
        <v>45897</v>
      </c>
      <c r="C1728" s="39" t="s">
        <v>112</v>
      </c>
      <c r="D1728" s="39" t="n">
        <v>4</v>
      </c>
      <c r="E1728" s="41" t="n">
        <v>53.4</v>
      </c>
      <c r="F1728" s="39" t="s">
        <v>105</v>
      </c>
      <c r="G1728" s="39" t="str">
        <f aca="false">VLOOKUP(C1728,Products!$A$5:$D$24,2,FALSE())</f>
        <v>HD Webcam</v>
      </c>
      <c r="H1728" s="39" t="str">
        <f aca="false">VLOOKUP(C1728,Products!$A$5:$D$24,3,FALSE())</f>
        <v>Electronics</v>
      </c>
      <c r="I1728" s="41" t="n">
        <f aca="false">VLOOKUP(C1728,Products!$A$5:$D$24,4,FALSE())</f>
        <v>22</v>
      </c>
      <c r="J1728" s="42" t="n">
        <f aca="false">DATE(YEAR(B1728),MONTH(B1728),1)</f>
        <v>45870</v>
      </c>
      <c r="K1728" s="41" t="n">
        <f aca="false">D1728*E1728</f>
        <v>213.6</v>
      </c>
      <c r="L1728" s="41" t="n">
        <f aca="false">D1728*I1728</f>
        <v>88</v>
      </c>
      <c r="M1728" s="41" t="n">
        <f aca="false">IFERROR(INDEX(Raw_Expenses!$C$5:$C$2979,MATCH(A1728,Raw_Expenses!$A$5:$A$2979,0)),0)</f>
        <v>17.84</v>
      </c>
      <c r="N1728" s="41" t="n">
        <f aca="false">L1728+M1728</f>
        <v>105.84</v>
      </c>
      <c r="O1728" s="41" t="n">
        <f aca="false">K1728-N1728</f>
        <v>107.76</v>
      </c>
      <c r="P1728" s="43" t="n">
        <f aca="false">IF(K1728=0,0,O1728/K1728)</f>
        <v>0.504494382022472</v>
      </c>
    </row>
    <row r="1729" customFormat="false" ht="15" hidden="false" customHeight="false" outlineLevel="0" collapsed="false">
      <c r="A1729" s="39" t="s">
        <v>1851</v>
      </c>
      <c r="B1729" s="40" t="n">
        <v>45897</v>
      </c>
      <c r="C1729" s="39" t="s">
        <v>117</v>
      </c>
      <c r="D1729" s="39" t="n">
        <v>2</v>
      </c>
      <c r="E1729" s="41" t="n">
        <v>30.84</v>
      </c>
      <c r="F1729" s="39" t="s">
        <v>115</v>
      </c>
      <c r="G1729" s="39" t="str">
        <f aca="false">VLOOKUP(C1729,Products!$A$5:$D$24,2,FALSE())</f>
        <v>Desk Lamp</v>
      </c>
      <c r="H1729" s="39" t="str">
        <f aca="false">VLOOKUP(C1729,Products!$A$5:$D$24,3,FALSE())</f>
        <v>Furniture</v>
      </c>
      <c r="I1729" s="41" t="n">
        <f aca="false">VLOOKUP(C1729,Products!$A$5:$D$24,4,FALSE())</f>
        <v>13</v>
      </c>
      <c r="J1729" s="42" t="n">
        <f aca="false">DATE(YEAR(B1729),MONTH(B1729),1)</f>
        <v>45870</v>
      </c>
      <c r="K1729" s="41" t="n">
        <f aca="false">D1729*E1729</f>
        <v>61.68</v>
      </c>
      <c r="L1729" s="41" t="n">
        <f aca="false">D1729*I1729</f>
        <v>26</v>
      </c>
      <c r="M1729" s="41" t="n">
        <f aca="false">IFERROR(INDEX(Raw_Expenses!$C$5:$C$2979,MATCH(A1729,Raw_Expenses!$A$5:$A$2979,0)),0)</f>
        <v>5.55</v>
      </c>
      <c r="N1729" s="41" t="n">
        <f aca="false">L1729+M1729</f>
        <v>31.55</v>
      </c>
      <c r="O1729" s="41" t="n">
        <f aca="false">K1729-N1729</f>
        <v>30.13</v>
      </c>
      <c r="P1729" s="43" t="n">
        <f aca="false">IF(K1729=0,0,O1729/K1729)</f>
        <v>0.48848897535668</v>
      </c>
    </row>
    <row r="1730" customFormat="false" ht="15" hidden="false" customHeight="false" outlineLevel="0" collapsed="false">
      <c r="A1730" s="39" t="s">
        <v>1852</v>
      </c>
      <c r="B1730" s="40" t="n">
        <v>45897</v>
      </c>
      <c r="C1730" s="39" t="s">
        <v>117</v>
      </c>
      <c r="D1730" s="39" t="n">
        <v>1</v>
      </c>
      <c r="E1730" s="41" t="n">
        <v>30.11</v>
      </c>
      <c r="F1730" s="39" t="s">
        <v>115</v>
      </c>
      <c r="G1730" s="39" t="str">
        <f aca="false">VLOOKUP(C1730,Products!$A$5:$D$24,2,FALSE())</f>
        <v>Desk Lamp</v>
      </c>
      <c r="H1730" s="39" t="str">
        <f aca="false">VLOOKUP(C1730,Products!$A$5:$D$24,3,FALSE())</f>
        <v>Furniture</v>
      </c>
      <c r="I1730" s="41" t="n">
        <f aca="false">VLOOKUP(C1730,Products!$A$5:$D$24,4,FALSE())</f>
        <v>13</v>
      </c>
      <c r="J1730" s="42" t="n">
        <f aca="false">DATE(YEAR(B1730),MONTH(B1730),1)</f>
        <v>45870</v>
      </c>
      <c r="K1730" s="41" t="n">
        <f aca="false">D1730*E1730</f>
        <v>30.11</v>
      </c>
      <c r="L1730" s="41" t="n">
        <f aca="false">D1730*I1730</f>
        <v>13</v>
      </c>
      <c r="M1730" s="41" t="n">
        <f aca="false">IFERROR(INDEX(Raw_Expenses!$C$5:$C$2979,MATCH(A1730,Raw_Expenses!$A$5:$A$2979,0)),0)</f>
        <v>2.23</v>
      </c>
      <c r="N1730" s="41" t="n">
        <f aca="false">L1730+M1730</f>
        <v>15.23</v>
      </c>
      <c r="O1730" s="41" t="n">
        <f aca="false">K1730-N1730</f>
        <v>14.88</v>
      </c>
      <c r="P1730" s="43" t="n">
        <f aca="false">IF(K1730=0,0,O1730/K1730)</f>
        <v>0.494187977416141</v>
      </c>
    </row>
    <row r="1731" customFormat="false" ht="15" hidden="false" customHeight="false" outlineLevel="0" collapsed="false">
      <c r="A1731" s="39" t="s">
        <v>1853</v>
      </c>
      <c r="B1731" s="40" t="n">
        <v>45897</v>
      </c>
      <c r="C1731" s="39" t="s">
        <v>117</v>
      </c>
      <c r="D1731" s="39" t="n">
        <v>3</v>
      </c>
      <c r="E1731" s="41" t="n">
        <v>31.32</v>
      </c>
      <c r="F1731" s="39" t="s">
        <v>108</v>
      </c>
      <c r="G1731" s="39" t="str">
        <f aca="false">VLOOKUP(C1731,Products!$A$5:$D$24,2,FALSE())</f>
        <v>Desk Lamp</v>
      </c>
      <c r="H1731" s="39" t="str">
        <f aca="false">VLOOKUP(C1731,Products!$A$5:$D$24,3,FALSE())</f>
        <v>Furniture</v>
      </c>
      <c r="I1731" s="41" t="n">
        <f aca="false">VLOOKUP(C1731,Products!$A$5:$D$24,4,FALSE())</f>
        <v>13</v>
      </c>
      <c r="J1731" s="42" t="n">
        <f aca="false">DATE(YEAR(B1731),MONTH(B1731),1)</f>
        <v>45870</v>
      </c>
      <c r="K1731" s="41" t="n">
        <f aca="false">D1731*E1731</f>
        <v>93.96</v>
      </c>
      <c r="L1731" s="41" t="n">
        <f aca="false">D1731*I1731</f>
        <v>39</v>
      </c>
      <c r="M1731" s="41" t="n">
        <f aca="false">IFERROR(INDEX(Raw_Expenses!$C$5:$C$2979,MATCH(A1731,Raw_Expenses!$A$5:$A$2979,0)),0)</f>
        <v>7.95</v>
      </c>
      <c r="N1731" s="41" t="n">
        <f aca="false">L1731+M1731</f>
        <v>46.95</v>
      </c>
      <c r="O1731" s="41" t="n">
        <f aca="false">K1731-N1731</f>
        <v>47.01</v>
      </c>
      <c r="P1731" s="43" t="n">
        <f aca="false">IF(K1731=0,0,O1731/K1731)</f>
        <v>0.500319284802044</v>
      </c>
    </row>
    <row r="1732" customFormat="false" ht="15" hidden="false" customHeight="false" outlineLevel="0" collapsed="false">
      <c r="A1732" s="39" t="s">
        <v>1854</v>
      </c>
      <c r="B1732" s="40" t="n">
        <v>45897</v>
      </c>
      <c r="C1732" s="39" t="s">
        <v>169</v>
      </c>
      <c r="D1732" s="39" t="n">
        <v>1</v>
      </c>
      <c r="E1732" s="41" t="n">
        <v>26.9</v>
      </c>
      <c r="F1732" s="39" t="s">
        <v>108</v>
      </c>
      <c r="G1732" s="39" t="str">
        <f aca="false">VLOOKUP(C1732,Products!$A$5:$D$24,2,FALSE())</f>
        <v>Laptop Stand</v>
      </c>
      <c r="H1732" s="39" t="str">
        <f aca="false">VLOOKUP(C1732,Products!$A$5:$D$24,3,FALSE())</f>
        <v>Accessories</v>
      </c>
      <c r="I1732" s="41" t="n">
        <f aca="false">VLOOKUP(C1732,Products!$A$5:$D$24,4,FALSE())</f>
        <v>11</v>
      </c>
      <c r="J1732" s="42" t="n">
        <f aca="false">DATE(YEAR(B1732),MONTH(B1732),1)</f>
        <v>45870</v>
      </c>
      <c r="K1732" s="41" t="n">
        <f aca="false">D1732*E1732</f>
        <v>26.9</v>
      </c>
      <c r="L1732" s="41" t="n">
        <f aca="false">D1732*I1732</f>
        <v>11</v>
      </c>
      <c r="M1732" s="41" t="n">
        <f aca="false">IFERROR(INDEX(Raw_Expenses!$C$5:$C$2979,MATCH(A1732,Raw_Expenses!$A$5:$A$2979,0)),0)</f>
        <v>1.09</v>
      </c>
      <c r="N1732" s="41" t="n">
        <f aca="false">L1732+M1732</f>
        <v>12.09</v>
      </c>
      <c r="O1732" s="41" t="n">
        <f aca="false">K1732-N1732</f>
        <v>14.81</v>
      </c>
      <c r="P1732" s="43" t="n">
        <f aca="false">IF(K1732=0,0,O1732/K1732)</f>
        <v>0.550557620817844</v>
      </c>
    </row>
    <row r="1733" customFormat="false" ht="15" hidden="false" customHeight="false" outlineLevel="0" collapsed="false">
      <c r="A1733" s="39" t="s">
        <v>1855</v>
      </c>
      <c r="B1733" s="40" t="n">
        <v>45897</v>
      </c>
      <c r="C1733" s="39" t="s">
        <v>114</v>
      </c>
      <c r="D1733" s="39" t="n">
        <v>2</v>
      </c>
      <c r="E1733" s="41" t="n">
        <v>5.75</v>
      </c>
      <c r="F1733" s="39" t="s">
        <v>108</v>
      </c>
      <c r="G1733" s="39" t="str">
        <f aca="false">VLOOKUP(C1733,Products!$A$5:$D$24,2,FALSE())</f>
        <v>Gel Pen Pack</v>
      </c>
      <c r="H1733" s="39" t="str">
        <f aca="false">VLOOKUP(C1733,Products!$A$5:$D$24,3,FALSE())</f>
        <v>Stationery</v>
      </c>
      <c r="I1733" s="41" t="n">
        <f aca="false">VLOOKUP(C1733,Products!$A$5:$D$24,4,FALSE())</f>
        <v>2</v>
      </c>
      <c r="J1733" s="42" t="n">
        <f aca="false">DATE(YEAR(B1733),MONTH(B1733),1)</f>
        <v>45870</v>
      </c>
      <c r="K1733" s="41" t="n">
        <f aca="false">D1733*E1733</f>
        <v>11.5</v>
      </c>
      <c r="L1733" s="41" t="n">
        <f aca="false">D1733*I1733</f>
        <v>4</v>
      </c>
      <c r="M1733" s="41" t="n">
        <f aca="false">IFERROR(INDEX(Raw_Expenses!$C$5:$C$2979,MATCH(A1733,Raw_Expenses!$A$5:$A$2979,0)),0)</f>
        <v>0.92</v>
      </c>
      <c r="N1733" s="41" t="n">
        <f aca="false">L1733+M1733</f>
        <v>4.92</v>
      </c>
      <c r="O1733" s="41" t="n">
        <f aca="false">K1733-N1733</f>
        <v>6.58</v>
      </c>
      <c r="P1733" s="43" t="n">
        <f aca="false">IF(K1733=0,0,O1733/K1733)</f>
        <v>0.572173913043478</v>
      </c>
    </row>
    <row r="1734" customFormat="false" ht="15" hidden="false" customHeight="false" outlineLevel="0" collapsed="false">
      <c r="A1734" s="39" t="s">
        <v>1856</v>
      </c>
      <c r="B1734" s="40" t="n">
        <v>45897</v>
      </c>
      <c r="C1734" s="39" t="s">
        <v>110</v>
      </c>
      <c r="D1734" s="39" t="n">
        <v>1</v>
      </c>
      <c r="E1734" s="41" t="n">
        <v>13.46</v>
      </c>
      <c r="F1734" s="39" t="s">
        <v>105</v>
      </c>
      <c r="G1734" s="39" t="str">
        <f aca="false">VLOOKUP(C1734,Products!$A$5:$D$24,2,FALSE())</f>
        <v>Phone Stand</v>
      </c>
      <c r="H1734" s="39" t="str">
        <f aca="false">VLOOKUP(C1734,Products!$A$5:$D$24,3,FALSE())</f>
        <v>Accessories</v>
      </c>
      <c r="I1734" s="41" t="n">
        <f aca="false">VLOOKUP(C1734,Products!$A$5:$D$24,4,FALSE())</f>
        <v>4</v>
      </c>
      <c r="J1734" s="42" t="n">
        <f aca="false">DATE(YEAR(B1734),MONTH(B1734),1)</f>
        <v>45870</v>
      </c>
      <c r="K1734" s="41" t="n">
        <f aca="false">D1734*E1734</f>
        <v>13.46</v>
      </c>
      <c r="L1734" s="41" t="n">
        <f aca="false">D1734*I1734</f>
        <v>4</v>
      </c>
      <c r="M1734" s="41" t="n">
        <f aca="false">IFERROR(INDEX(Raw_Expenses!$C$5:$C$2979,MATCH(A1734,Raw_Expenses!$A$5:$A$2979,0)),0)</f>
        <v>0.59</v>
      </c>
      <c r="N1734" s="41" t="n">
        <f aca="false">L1734+M1734</f>
        <v>4.59</v>
      </c>
      <c r="O1734" s="41" t="n">
        <f aca="false">K1734-N1734</f>
        <v>8.87</v>
      </c>
      <c r="P1734" s="43" t="n">
        <f aca="false">IF(K1734=0,0,O1734/K1734)</f>
        <v>0.658989598811293</v>
      </c>
    </row>
    <row r="1735" customFormat="false" ht="15" hidden="false" customHeight="false" outlineLevel="0" collapsed="false">
      <c r="A1735" s="39" t="s">
        <v>1857</v>
      </c>
      <c r="B1735" s="40" t="n">
        <v>45901</v>
      </c>
      <c r="C1735" s="39" t="s">
        <v>114</v>
      </c>
      <c r="D1735" s="39" t="n">
        <v>2</v>
      </c>
      <c r="E1735" s="41" t="n">
        <v>5.82</v>
      </c>
      <c r="F1735" s="39" t="s">
        <v>108</v>
      </c>
      <c r="G1735" s="39" t="str">
        <f aca="false">VLOOKUP(C1735,Products!$A$5:$D$24,2,FALSE())</f>
        <v>Gel Pen Pack</v>
      </c>
      <c r="H1735" s="39" t="str">
        <f aca="false">VLOOKUP(C1735,Products!$A$5:$D$24,3,FALSE())</f>
        <v>Stationery</v>
      </c>
      <c r="I1735" s="41" t="n">
        <f aca="false">VLOOKUP(C1735,Products!$A$5:$D$24,4,FALSE())</f>
        <v>2</v>
      </c>
      <c r="J1735" s="42" t="n">
        <f aca="false">DATE(YEAR(B1735),MONTH(B1735),1)</f>
        <v>45901</v>
      </c>
      <c r="K1735" s="41" t="n">
        <f aca="false">D1735*E1735</f>
        <v>11.64</v>
      </c>
      <c r="L1735" s="41" t="n">
        <f aca="false">D1735*I1735</f>
        <v>4</v>
      </c>
      <c r="M1735" s="41" t="n">
        <f aca="false">IFERROR(INDEX(Raw_Expenses!$C$5:$C$2979,MATCH(A1735,Raw_Expenses!$A$5:$A$2979,0)),0)</f>
        <v>0.73</v>
      </c>
      <c r="N1735" s="41" t="n">
        <f aca="false">L1735+M1735</f>
        <v>4.73</v>
      </c>
      <c r="O1735" s="41" t="n">
        <f aca="false">K1735-N1735</f>
        <v>6.91</v>
      </c>
      <c r="P1735" s="43" t="n">
        <f aca="false">IF(K1735=0,0,O1735/K1735)</f>
        <v>0.593642611683849</v>
      </c>
    </row>
    <row r="1736" customFormat="false" ht="15" hidden="false" customHeight="false" outlineLevel="0" collapsed="false">
      <c r="A1736" s="39" t="s">
        <v>1858</v>
      </c>
      <c r="B1736" s="40" t="n">
        <v>45901</v>
      </c>
      <c r="C1736" s="39" t="s">
        <v>126</v>
      </c>
      <c r="D1736" s="39" t="n">
        <v>4</v>
      </c>
      <c r="E1736" s="41" t="n">
        <v>23.06</v>
      </c>
      <c r="F1736" s="39" t="s">
        <v>108</v>
      </c>
      <c r="G1736" s="39" t="str">
        <f aca="false">VLOOKUP(C1736,Products!$A$5:$D$24,2,FALSE())</f>
        <v>Wireless Mouse</v>
      </c>
      <c r="H1736" s="39" t="str">
        <f aca="false">VLOOKUP(C1736,Products!$A$5:$D$24,3,FALSE())</f>
        <v>Electronics</v>
      </c>
      <c r="I1736" s="41" t="n">
        <f aca="false">VLOOKUP(C1736,Products!$A$5:$D$24,4,FALSE())</f>
        <v>12</v>
      </c>
      <c r="J1736" s="42" t="n">
        <f aca="false">DATE(YEAR(B1736),MONTH(B1736),1)</f>
        <v>45901</v>
      </c>
      <c r="K1736" s="41" t="n">
        <f aca="false">D1736*E1736</f>
        <v>92.24</v>
      </c>
      <c r="L1736" s="41" t="n">
        <f aca="false">D1736*I1736</f>
        <v>48</v>
      </c>
      <c r="M1736" s="41" t="n">
        <f aca="false">IFERROR(INDEX(Raw_Expenses!$C$5:$C$2979,MATCH(A1736,Raw_Expenses!$A$5:$A$2979,0)),0)</f>
        <v>6.67</v>
      </c>
      <c r="N1736" s="41" t="n">
        <f aca="false">L1736+M1736</f>
        <v>54.67</v>
      </c>
      <c r="O1736" s="41" t="n">
        <f aca="false">K1736-N1736</f>
        <v>37.57</v>
      </c>
      <c r="P1736" s="43" t="n">
        <f aca="false">IF(K1736=0,0,O1736/K1736)</f>
        <v>0.407307025151778</v>
      </c>
    </row>
    <row r="1737" customFormat="false" ht="15" hidden="false" customHeight="false" outlineLevel="0" collapsed="false">
      <c r="A1737" s="39" t="s">
        <v>1859</v>
      </c>
      <c r="B1737" s="40" t="n">
        <v>45901</v>
      </c>
      <c r="C1737" s="39" t="s">
        <v>114</v>
      </c>
      <c r="D1737" s="39" t="n">
        <v>2</v>
      </c>
      <c r="E1737" s="41" t="n">
        <v>5.75</v>
      </c>
      <c r="F1737" s="39" t="s">
        <v>108</v>
      </c>
      <c r="G1737" s="39" t="str">
        <f aca="false">VLOOKUP(C1737,Products!$A$5:$D$24,2,FALSE())</f>
        <v>Gel Pen Pack</v>
      </c>
      <c r="H1737" s="39" t="str">
        <f aca="false">VLOOKUP(C1737,Products!$A$5:$D$24,3,FALSE())</f>
        <v>Stationery</v>
      </c>
      <c r="I1737" s="41" t="n">
        <f aca="false">VLOOKUP(C1737,Products!$A$5:$D$24,4,FALSE())</f>
        <v>2</v>
      </c>
      <c r="J1737" s="42" t="n">
        <f aca="false">DATE(YEAR(B1737),MONTH(B1737),1)</f>
        <v>45901</v>
      </c>
      <c r="K1737" s="41" t="n">
        <f aca="false">D1737*E1737</f>
        <v>11.5</v>
      </c>
      <c r="L1737" s="41" t="n">
        <f aca="false">D1737*I1737</f>
        <v>4</v>
      </c>
      <c r="M1737" s="41" t="n">
        <f aca="false">IFERROR(INDEX(Raw_Expenses!$C$5:$C$2979,MATCH(A1737,Raw_Expenses!$A$5:$A$2979,0)),0)</f>
        <v>0.62</v>
      </c>
      <c r="N1737" s="41" t="n">
        <f aca="false">L1737+M1737</f>
        <v>4.62</v>
      </c>
      <c r="O1737" s="41" t="n">
        <f aca="false">K1737-N1737</f>
        <v>6.88</v>
      </c>
      <c r="P1737" s="43" t="n">
        <f aca="false">IF(K1737=0,0,O1737/K1737)</f>
        <v>0.598260869565217</v>
      </c>
    </row>
    <row r="1738" customFormat="false" ht="15" hidden="false" customHeight="false" outlineLevel="0" collapsed="false">
      <c r="A1738" s="39" t="s">
        <v>1860</v>
      </c>
      <c r="B1738" s="40" t="n">
        <v>45901</v>
      </c>
      <c r="C1738" s="39" t="s">
        <v>121</v>
      </c>
      <c r="D1738" s="39" t="n">
        <v>1</v>
      </c>
      <c r="E1738" s="41" t="n">
        <v>116.28</v>
      </c>
      <c r="F1738" s="39" t="s">
        <v>108</v>
      </c>
      <c r="G1738" s="39" t="str">
        <f aca="false">VLOOKUP(C1738,Products!$A$5:$D$24,2,FALSE())</f>
        <v>External SSD 1TB</v>
      </c>
      <c r="H1738" s="39" t="str">
        <f aca="false">VLOOKUP(C1738,Products!$A$5:$D$24,3,FALSE())</f>
        <v>Electronics</v>
      </c>
      <c r="I1738" s="41" t="n">
        <f aca="false">VLOOKUP(C1738,Products!$A$5:$D$24,4,FALSE())</f>
        <v>62</v>
      </c>
      <c r="J1738" s="42" t="n">
        <f aca="false">DATE(YEAR(B1738),MONTH(B1738),1)</f>
        <v>45901</v>
      </c>
      <c r="K1738" s="41" t="n">
        <f aca="false">D1738*E1738</f>
        <v>116.28</v>
      </c>
      <c r="L1738" s="41" t="n">
        <f aca="false">D1738*I1738</f>
        <v>62</v>
      </c>
      <c r="M1738" s="41" t="n">
        <f aca="false">IFERROR(INDEX(Raw_Expenses!$C$5:$C$2979,MATCH(A1738,Raw_Expenses!$A$5:$A$2979,0)),0)</f>
        <v>6.49</v>
      </c>
      <c r="N1738" s="41" t="n">
        <f aca="false">L1738+M1738</f>
        <v>68.49</v>
      </c>
      <c r="O1738" s="41" t="n">
        <f aca="false">K1738-N1738</f>
        <v>47.79</v>
      </c>
      <c r="P1738" s="43" t="n">
        <f aca="false">IF(K1738=0,0,O1738/K1738)</f>
        <v>0.410990712074303</v>
      </c>
    </row>
    <row r="1739" customFormat="false" ht="15" hidden="false" customHeight="false" outlineLevel="0" collapsed="false">
      <c r="A1739" s="39" t="s">
        <v>1861</v>
      </c>
      <c r="B1739" s="40" t="n">
        <v>45901</v>
      </c>
      <c r="C1739" s="39" t="s">
        <v>139</v>
      </c>
      <c r="D1739" s="39" t="n">
        <v>1</v>
      </c>
      <c r="E1739" s="41" t="n">
        <v>123.44</v>
      </c>
      <c r="F1739" s="39" t="s">
        <v>108</v>
      </c>
      <c r="G1739" s="39" t="str">
        <f aca="false">VLOOKUP(C1739,Products!$A$5:$D$24,2,FALSE())</f>
        <v>Noise-Cancelling Headphones</v>
      </c>
      <c r="H1739" s="39" t="str">
        <f aca="false">VLOOKUP(C1739,Products!$A$5:$D$24,3,FALSE())</f>
        <v>Electronics</v>
      </c>
      <c r="I1739" s="41" t="n">
        <f aca="false">VLOOKUP(C1739,Products!$A$5:$D$24,4,FALSE())</f>
        <v>55</v>
      </c>
      <c r="J1739" s="42" t="n">
        <f aca="false">DATE(YEAR(B1739),MONTH(B1739),1)</f>
        <v>45901</v>
      </c>
      <c r="K1739" s="41" t="n">
        <f aca="false">D1739*E1739</f>
        <v>123.44</v>
      </c>
      <c r="L1739" s="41" t="n">
        <f aca="false">D1739*I1739</f>
        <v>55</v>
      </c>
      <c r="M1739" s="41" t="n">
        <f aca="false">IFERROR(INDEX(Raw_Expenses!$C$5:$C$2979,MATCH(A1739,Raw_Expenses!$A$5:$A$2979,0)),0)</f>
        <v>7.71</v>
      </c>
      <c r="N1739" s="41" t="n">
        <f aca="false">L1739+M1739</f>
        <v>62.71</v>
      </c>
      <c r="O1739" s="41" t="n">
        <f aca="false">K1739-N1739</f>
        <v>60.73</v>
      </c>
      <c r="P1739" s="43" t="n">
        <f aca="false">IF(K1739=0,0,O1739/K1739)</f>
        <v>0.49197990926766</v>
      </c>
    </row>
    <row r="1740" customFormat="false" ht="15" hidden="false" customHeight="false" outlineLevel="0" collapsed="false">
      <c r="A1740" s="39" t="s">
        <v>1862</v>
      </c>
      <c r="B1740" s="40" t="n">
        <v>45901</v>
      </c>
      <c r="C1740" s="39" t="s">
        <v>126</v>
      </c>
      <c r="D1740" s="39" t="n">
        <v>1</v>
      </c>
      <c r="E1740" s="41" t="n">
        <v>23.25</v>
      </c>
      <c r="F1740" s="39" t="s">
        <v>108</v>
      </c>
      <c r="G1740" s="39" t="str">
        <f aca="false">VLOOKUP(C1740,Products!$A$5:$D$24,2,FALSE())</f>
        <v>Wireless Mouse</v>
      </c>
      <c r="H1740" s="39" t="str">
        <f aca="false">VLOOKUP(C1740,Products!$A$5:$D$24,3,FALSE())</f>
        <v>Electronics</v>
      </c>
      <c r="I1740" s="41" t="n">
        <f aca="false">VLOOKUP(C1740,Products!$A$5:$D$24,4,FALSE())</f>
        <v>12</v>
      </c>
      <c r="J1740" s="42" t="n">
        <f aca="false">DATE(YEAR(B1740),MONTH(B1740),1)</f>
        <v>45901</v>
      </c>
      <c r="K1740" s="41" t="n">
        <f aca="false">D1740*E1740</f>
        <v>23.25</v>
      </c>
      <c r="L1740" s="41" t="n">
        <f aca="false">D1740*I1740</f>
        <v>12</v>
      </c>
      <c r="M1740" s="41" t="n">
        <f aca="false">IFERROR(INDEX(Raw_Expenses!$C$5:$C$2979,MATCH(A1740,Raw_Expenses!$A$5:$A$2979,0)),0)</f>
        <v>2.05</v>
      </c>
      <c r="N1740" s="41" t="n">
        <f aca="false">L1740+M1740</f>
        <v>14.05</v>
      </c>
      <c r="O1740" s="41" t="n">
        <f aca="false">K1740-N1740</f>
        <v>9.2</v>
      </c>
      <c r="P1740" s="43" t="n">
        <f aca="false">IF(K1740=0,0,O1740/K1740)</f>
        <v>0.395698924731183</v>
      </c>
    </row>
    <row r="1741" customFormat="false" ht="15" hidden="false" customHeight="false" outlineLevel="0" collapsed="false">
      <c r="A1741" s="39" t="s">
        <v>1863</v>
      </c>
      <c r="B1741" s="40" t="n">
        <v>45902</v>
      </c>
      <c r="C1741" s="39" t="s">
        <v>130</v>
      </c>
      <c r="D1741" s="39" t="n">
        <v>2</v>
      </c>
      <c r="E1741" s="41" t="n">
        <v>8.9</v>
      </c>
      <c r="F1741" s="39" t="s">
        <v>105</v>
      </c>
      <c r="G1741" s="39" t="str">
        <f aca="false">VLOOKUP(C1741,Products!$A$5:$D$24,2,FALSE())</f>
        <v>Notebook Set</v>
      </c>
      <c r="H1741" s="39" t="str">
        <f aca="false">VLOOKUP(C1741,Products!$A$5:$D$24,3,FALSE())</f>
        <v>Stationery</v>
      </c>
      <c r="I1741" s="41" t="n">
        <f aca="false">VLOOKUP(C1741,Products!$A$5:$D$24,4,FALSE())</f>
        <v>3</v>
      </c>
      <c r="J1741" s="42" t="n">
        <f aca="false">DATE(YEAR(B1741),MONTH(B1741),1)</f>
        <v>45901</v>
      </c>
      <c r="K1741" s="41" t="n">
        <f aca="false">D1741*E1741</f>
        <v>17.8</v>
      </c>
      <c r="L1741" s="41" t="n">
        <f aca="false">D1741*I1741</f>
        <v>6</v>
      </c>
      <c r="M1741" s="41" t="n">
        <f aca="false">IFERROR(INDEX(Raw_Expenses!$C$5:$C$2979,MATCH(A1741,Raw_Expenses!$A$5:$A$2979,0)),0)</f>
        <v>1.29</v>
      </c>
      <c r="N1741" s="41" t="n">
        <f aca="false">L1741+M1741</f>
        <v>7.29</v>
      </c>
      <c r="O1741" s="41" t="n">
        <f aca="false">K1741-N1741</f>
        <v>10.51</v>
      </c>
      <c r="P1741" s="43" t="n">
        <f aca="false">IF(K1741=0,0,O1741/K1741)</f>
        <v>0.590449438202247</v>
      </c>
    </row>
    <row r="1742" customFormat="false" ht="15" hidden="false" customHeight="false" outlineLevel="0" collapsed="false">
      <c r="A1742" s="39" t="s">
        <v>1864</v>
      </c>
      <c r="B1742" s="40" t="n">
        <v>45902</v>
      </c>
      <c r="C1742" s="39" t="s">
        <v>177</v>
      </c>
      <c r="D1742" s="39" t="n">
        <v>1</v>
      </c>
      <c r="E1742" s="41" t="n">
        <v>43.69</v>
      </c>
      <c r="F1742" s="39" t="s">
        <v>105</v>
      </c>
      <c r="G1742" s="39" t="str">
        <f aca="false">VLOOKUP(C1742,Products!$A$5:$D$24,2,FALSE())</f>
        <v>Backpack</v>
      </c>
      <c r="H1742" s="39" t="str">
        <f aca="false">VLOOKUP(C1742,Products!$A$5:$D$24,3,FALSE())</f>
        <v>Accessories</v>
      </c>
      <c r="I1742" s="41" t="n">
        <f aca="false">VLOOKUP(C1742,Products!$A$5:$D$24,4,FALSE())</f>
        <v>17</v>
      </c>
      <c r="J1742" s="42" t="n">
        <f aca="false">DATE(YEAR(B1742),MONTH(B1742),1)</f>
        <v>45901</v>
      </c>
      <c r="K1742" s="41" t="n">
        <f aca="false">D1742*E1742</f>
        <v>43.69</v>
      </c>
      <c r="L1742" s="41" t="n">
        <f aca="false">D1742*I1742</f>
        <v>17</v>
      </c>
      <c r="M1742" s="41" t="n">
        <f aca="false">IFERROR(INDEX(Raw_Expenses!$C$5:$C$2979,MATCH(A1742,Raw_Expenses!$A$5:$A$2979,0)),0)</f>
        <v>3.76</v>
      </c>
      <c r="N1742" s="41" t="n">
        <f aca="false">L1742+M1742</f>
        <v>20.76</v>
      </c>
      <c r="O1742" s="41" t="n">
        <f aca="false">K1742-N1742</f>
        <v>22.93</v>
      </c>
      <c r="P1742" s="43" t="n">
        <f aca="false">IF(K1742=0,0,O1742/K1742)</f>
        <v>0.524834058136873</v>
      </c>
    </row>
    <row r="1743" customFormat="false" ht="15" hidden="false" customHeight="false" outlineLevel="0" collapsed="false">
      <c r="A1743" s="39" t="s">
        <v>1865</v>
      </c>
      <c r="B1743" s="40" t="n">
        <v>45902</v>
      </c>
      <c r="C1743" s="39" t="s">
        <v>133</v>
      </c>
      <c r="D1743" s="39" t="n">
        <v>5</v>
      </c>
      <c r="E1743" s="41" t="n">
        <v>8.79</v>
      </c>
      <c r="F1743" s="39" t="s">
        <v>105</v>
      </c>
      <c r="G1743" s="39" t="str">
        <f aca="false">VLOOKUP(C1743,Products!$A$5:$D$24,2,FALSE())</f>
        <v>Printer Paper Ream</v>
      </c>
      <c r="H1743" s="39" t="str">
        <f aca="false">VLOOKUP(C1743,Products!$A$5:$D$24,3,FALSE())</f>
        <v>Stationery</v>
      </c>
      <c r="I1743" s="41" t="n">
        <f aca="false">VLOOKUP(C1743,Products!$A$5:$D$24,4,FALSE())</f>
        <v>4</v>
      </c>
      <c r="J1743" s="42" t="n">
        <f aca="false">DATE(YEAR(B1743),MONTH(B1743),1)</f>
        <v>45901</v>
      </c>
      <c r="K1743" s="41" t="n">
        <f aca="false">D1743*E1743</f>
        <v>43.95</v>
      </c>
      <c r="L1743" s="41" t="n">
        <f aca="false">D1743*I1743</f>
        <v>20</v>
      </c>
      <c r="M1743" s="41" t="n">
        <f aca="false">IFERROR(INDEX(Raw_Expenses!$C$5:$C$2979,MATCH(A1743,Raw_Expenses!$A$5:$A$2979,0)),0)</f>
        <v>3.48</v>
      </c>
      <c r="N1743" s="41" t="n">
        <f aca="false">L1743+M1743</f>
        <v>23.48</v>
      </c>
      <c r="O1743" s="41" t="n">
        <f aca="false">K1743-N1743</f>
        <v>20.47</v>
      </c>
      <c r="P1743" s="43" t="n">
        <f aca="false">IF(K1743=0,0,O1743/K1743)</f>
        <v>0.46575654152446</v>
      </c>
    </row>
    <row r="1744" customFormat="false" ht="15" hidden="false" customHeight="false" outlineLevel="0" collapsed="false">
      <c r="A1744" s="39" t="s">
        <v>1866</v>
      </c>
      <c r="B1744" s="40" t="n">
        <v>45902</v>
      </c>
      <c r="C1744" s="39" t="s">
        <v>117</v>
      </c>
      <c r="D1744" s="39" t="n">
        <v>2</v>
      </c>
      <c r="E1744" s="41" t="n">
        <v>30.98</v>
      </c>
      <c r="F1744" s="39" t="s">
        <v>115</v>
      </c>
      <c r="G1744" s="39" t="str">
        <f aca="false">VLOOKUP(C1744,Products!$A$5:$D$24,2,FALSE())</f>
        <v>Desk Lamp</v>
      </c>
      <c r="H1744" s="39" t="str">
        <f aca="false">VLOOKUP(C1744,Products!$A$5:$D$24,3,FALSE())</f>
        <v>Furniture</v>
      </c>
      <c r="I1744" s="41" t="n">
        <f aca="false">VLOOKUP(C1744,Products!$A$5:$D$24,4,FALSE())</f>
        <v>13</v>
      </c>
      <c r="J1744" s="42" t="n">
        <f aca="false">DATE(YEAR(B1744),MONTH(B1744),1)</f>
        <v>45901</v>
      </c>
      <c r="K1744" s="41" t="n">
        <f aca="false">D1744*E1744</f>
        <v>61.96</v>
      </c>
      <c r="L1744" s="41" t="n">
        <f aca="false">D1744*I1744</f>
        <v>26</v>
      </c>
      <c r="M1744" s="41" t="n">
        <f aca="false">IFERROR(INDEX(Raw_Expenses!$C$5:$C$2979,MATCH(A1744,Raw_Expenses!$A$5:$A$2979,0)),0)</f>
        <v>5.21</v>
      </c>
      <c r="N1744" s="41" t="n">
        <f aca="false">L1744+M1744</f>
        <v>31.21</v>
      </c>
      <c r="O1744" s="41" t="n">
        <f aca="false">K1744-N1744</f>
        <v>30.75</v>
      </c>
      <c r="P1744" s="43" t="n">
        <f aca="false">IF(K1744=0,0,O1744/K1744)</f>
        <v>0.496287927695287</v>
      </c>
    </row>
    <row r="1745" customFormat="false" ht="15" hidden="false" customHeight="false" outlineLevel="0" collapsed="false">
      <c r="A1745" s="39" t="s">
        <v>1867</v>
      </c>
      <c r="B1745" s="40" t="n">
        <v>45902</v>
      </c>
      <c r="C1745" s="39" t="s">
        <v>169</v>
      </c>
      <c r="D1745" s="39" t="n">
        <v>4</v>
      </c>
      <c r="E1745" s="41" t="n">
        <v>27.08</v>
      </c>
      <c r="F1745" s="39" t="s">
        <v>108</v>
      </c>
      <c r="G1745" s="39" t="str">
        <f aca="false">VLOOKUP(C1745,Products!$A$5:$D$24,2,FALSE())</f>
        <v>Laptop Stand</v>
      </c>
      <c r="H1745" s="39" t="str">
        <f aca="false">VLOOKUP(C1745,Products!$A$5:$D$24,3,FALSE())</f>
        <v>Accessories</v>
      </c>
      <c r="I1745" s="41" t="n">
        <f aca="false">VLOOKUP(C1745,Products!$A$5:$D$24,4,FALSE())</f>
        <v>11</v>
      </c>
      <c r="J1745" s="42" t="n">
        <f aca="false">DATE(YEAR(B1745),MONTH(B1745),1)</f>
        <v>45901</v>
      </c>
      <c r="K1745" s="41" t="n">
        <f aca="false">D1745*E1745</f>
        <v>108.32</v>
      </c>
      <c r="L1745" s="41" t="n">
        <f aca="false">D1745*I1745</f>
        <v>44</v>
      </c>
      <c r="M1745" s="41" t="n">
        <f aca="false">IFERROR(INDEX(Raw_Expenses!$C$5:$C$2979,MATCH(A1745,Raw_Expenses!$A$5:$A$2979,0)),0)</f>
        <v>6.51</v>
      </c>
      <c r="N1745" s="41" t="n">
        <f aca="false">L1745+M1745</f>
        <v>50.51</v>
      </c>
      <c r="O1745" s="41" t="n">
        <f aca="false">K1745-N1745</f>
        <v>57.81</v>
      </c>
      <c r="P1745" s="43" t="n">
        <f aca="false">IF(K1745=0,0,O1745/K1745)</f>
        <v>0.533696454948301</v>
      </c>
    </row>
    <row r="1746" customFormat="false" ht="15" hidden="false" customHeight="false" outlineLevel="0" collapsed="false">
      <c r="A1746" s="39" t="s">
        <v>1868</v>
      </c>
      <c r="B1746" s="40" t="n">
        <v>45902</v>
      </c>
      <c r="C1746" s="39" t="s">
        <v>114</v>
      </c>
      <c r="D1746" s="39" t="n">
        <v>1</v>
      </c>
      <c r="E1746" s="41" t="n">
        <v>5.72</v>
      </c>
      <c r="F1746" s="39" t="s">
        <v>118</v>
      </c>
      <c r="G1746" s="39" t="str">
        <f aca="false">VLOOKUP(C1746,Products!$A$5:$D$24,2,FALSE())</f>
        <v>Gel Pen Pack</v>
      </c>
      <c r="H1746" s="39" t="str">
        <f aca="false">VLOOKUP(C1746,Products!$A$5:$D$24,3,FALSE())</f>
        <v>Stationery</v>
      </c>
      <c r="I1746" s="41" t="n">
        <f aca="false">VLOOKUP(C1746,Products!$A$5:$D$24,4,FALSE())</f>
        <v>2</v>
      </c>
      <c r="J1746" s="42" t="n">
        <f aca="false">DATE(YEAR(B1746),MONTH(B1746),1)</f>
        <v>45901</v>
      </c>
      <c r="K1746" s="41" t="n">
        <f aca="false">D1746*E1746</f>
        <v>5.72</v>
      </c>
      <c r="L1746" s="41" t="n">
        <f aca="false">D1746*I1746</f>
        <v>2</v>
      </c>
      <c r="M1746" s="41" t="n">
        <f aca="false">IFERROR(INDEX(Raw_Expenses!$C$5:$C$2979,MATCH(A1746,Raw_Expenses!$A$5:$A$2979,0)),0)</f>
        <v>0.34</v>
      </c>
      <c r="N1746" s="41" t="n">
        <f aca="false">L1746+M1746</f>
        <v>2.34</v>
      </c>
      <c r="O1746" s="41" t="n">
        <f aca="false">K1746-N1746</f>
        <v>3.38</v>
      </c>
      <c r="P1746" s="43" t="n">
        <f aca="false">IF(K1746=0,0,O1746/K1746)</f>
        <v>0.590909090909091</v>
      </c>
    </row>
    <row r="1747" customFormat="false" ht="15" hidden="false" customHeight="false" outlineLevel="0" collapsed="false">
      <c r="A1747" s="39" t="s">
        <v>1869</v>
      </c>
      <c r="B1747" s="40" t="n">
        <v>45902</v>
      </c>
      <c r="C1747" s="39" t="s">
        <v>110</v>
      </c>
      <c r="D1747" s="39" t="n">
        <v>1</v>
      </c>
      <c r="E1747" s="41" t="n">
        <v>13.6</v>
      </c>
      <c r="F1747" s="39" t="s">
        <v>115</v>
      </c>
      <c r="G1747" s="39" t="str">
        <f aca="false">VLOOKUP(C1747,Products!$A$5:$D$24,2,FALSE())</f>
        <v>Phone Stand</v>
      </c>
      <c r="H1747" s="39" t="str">
        <f aca="false">VLOOKUP(C1747,Products!$A$5:$D$24,3,FALSE())</f>
        <v>Accessories</v>
      </c>
      <c r="I1747" s="41" t="n">
        <f aca="false">VLOOKUP(C1747,Products!$A$5:$D$24,4,FALSE())</f>
        <v>4</v>
      </c>
      <c r="J1747" s="42" t="n">
        <f aca="false">DATE(YEAR(B1747),MONTH(B1747),1)</f>
        <v>45901</v>
      </c>
      <c r="K1747" s="41" t="n">
        <f aca="false">D1747*E1747</f>
        <v>13.6</v>
      </c>
      <c r="L1747" s="41" t="n">
        <f aca="false">D1747*I1747</f>
        <v>4</v>
      </c>
      <c r="M1747" s="41" t="n">
        <f aca="false">IFERROR(INDEX(Raw_Expenses!$C$5:$C$2979,MATCH(A1747,Raw_Expenses!$A$5:$A$2979,0)),0)</f>
        <v>0.75</v>
      </c>
      <c r="N1747" s="41" t="n">
        <f aca="false">L1747+M1747</f>
        <v>4.75</v>
      </c>
      <c r="O1747" s="41" t="n">
        <f aca="false">K1747-N1747</f>
        <v>8.85</v>
      </c>
      <c r="P1747" s="43" t="n">
        <f aca="false">IF(K1747=0,0,O1747/K1747)</f>
        <v>0.650735294117647</v>
      </c>
    </row>
    <row r="1748" customFormat="false" ht="15" hidden="false" customHeight="false" outlineLevel="0" collapsed="false">
      <c r="A1748" s="39" t="s">
        <v>1870</v>
      </c>
      <c r="B1748" s="40" t="n">
        <v>45902</v>
      </c>
      <c r="C1748" s="39" t="s">
        <v>126</v>
      </c>
      <c r="D1748" s="39" t="n">
        <v>5</v>
      </c>
      <c r="E1748" s="41" t="n">
        <v>23.69</v>
      </c>
      <c r="F1748" s="39" t="s">
        <v>108</v>
      </c>
      <c r="G1748" s="39" t="str">
        <f aca="false">VLOOKUP(C1748,Products!$A$5:$D$24,2,FALSE())</f>
        <v>Wireless Mouse</v>
      </c>
      <c r="H1748" s="39" t="str">
        <f aca="false">VLOOKUP(C1748,Products!$A$5:$D$24,3,FALSE())</f>
        <v>Electronics</v>
      </c>
      <c r="I1748" s="41" t="n">
        <f aca="false">VLOOKUP(C1748,Products!$A$5:$D$24,4,FALSE())</f>
        <v>12</v>
      </c>
      <c r="J1748" s="42" t="n">
        <f aca="false">DATE(YEAR(B1748),MONTH(B1748),1)</f>
        <v>45901</v>
      </c>
      <c r="K1748" s="41" t="n">
        <f aca="false">D1748*E1748</f>
        <v>118.45</v>
      </c>
      <c r="L1748" s="41" t="n">
        <f aca="false">D1748*I1748</f>
        <v>60</v>
      </c>
      <c r="M1748" s="41" t="n">
        <f aca="false">IFERROR(INDEX(Raw_Expenses!$C$5:$C$2979,MATCH(A1748,Raw_Expenses!$A$5:$A$2979,0)),0)</f>
        <v>5.83</v>
      </c>
      <c r="N1748" s="41" t="n">
        <f aca="false">L1748+M1748</f>
        <v>65.83</v>
      </c>
      <c r="O1748" s="41" t="n">
        <f aca="false">K1748-N1748</f>
        <v>52.62</v>
      </c>
      <c r="P1748" s="43" t="n">
        <f aca="false">IF(K1748=0,0,O1748/K1748)</f>
        <v>0.444238075137189</v>
      </c>
    </row>
    <row r="1749" customFormat="false" ht="15" hidden="false" customHeight="false" outlineLevel="0" collapsed="false">
      <c r="A1749" s="39" t="s">
        <v>1871</v>
      </c>
      <c r="B1749" s="40" t="n">
        <v>45902</v>
      </c>
      <c r="C1749" s="39" t="s">
        <v>121</v>
      </c>
      <c r="D1749" s="39" t="n">
        <v>1</v>
      </c>
      <c r="E1749" s="41" t="n">
        <v>113.13</v>
      </c>
      <c r="F1749" s="39" t="s">
        <v>118</v>
      </c>
      <c r="G1749" s="39" t="str">
        <f aca="false">VLOOKUP(C1749,Products!$A$5:$D$24,2,FALSE())</f>
        <v>External SSD 1TB</v>
      </c>
      <c r="H1749" s="39" t="str">
        <f aca="false">VLOOKUP(C1749,Products!$A$5:$D$24,3,FALSE())</f>
        <v>Electronics</v>
      </c>
      <c r="I1749" s="41" t="n">
        <f aca="false">VLOOKUP(C1749,Products!$A$5:$D$24,4,FALSE())</f>
        <v>62</v>
      </c>
      <c r="J1749" s="42" t="n">
        <f aca="false">DATE(YEAR(B1749),MONTH(B1749),1)</f>
        <v>45901</v>
      </c>
      <c r="K1749" s="41" t="n">
        <f aca="false">D1749*E1749</f>
        <v>113.13</v>
      </c>
      <c r="L1749" s="41" t="n">
        <f aca="false">D1749*I1749</f>
        <v>62</v>
      </c>
      <c r="M1749" s="41" t="n">
        <f aca="false">IFERROR(INDEX(Raw_Expenses!$C$5:$C$2979,MATCH(A1749,Raw_Expenses!$A$5:$A$2979,0)),0)</f>
        <v>4.94</v>
      </c>
      <c r="N1749" s="41" t="n">
        <f aca="false">L1749+M1749</f>
        <v>66.94</v>
      </c>
      <c r="O1749" s="41" t="n">
        <f aca="false">K1749-N1749</f>
        <v>46.19</v>
      </c>
      <c r="P1749" s="43" t="n">
        <f aca="false">IF(K1749=0,0,O1749/K1749)</f>
        <v>0.40829134623884</v>
      </c>
    </row>
    <row r="1750" customFormat="false" ht="15" hidden="false" customHeight="false" outlineLevel="0" collapsed="false">
      <c r="A1750" s="39" t="s">
        <v>1872</v>
      </c>
      <c r="B1750" s="40" t="n">
        <v>45902</v>
      </c>
      <c r="C1750" s="39" t="s">
        <v>104</v>
      </c>
      <c r="D1750" s="39" t="n">
        <v>1</v>
      </c>
      <c r="E1750" s="41" t="n">
        <v>14.99</v>
      </c>
      <c r="F1750" s="39" t="s">
        <v>118</v>
      </c>
      <c r="G1750" s="39" t="str">
        <f aca="false">VLOOKUP(C1750,Products!$A$5:$D$24,2,FALSE())</f>
        <v>Water Bottle</v>
      </c>
      <c r="H1750" s="39" t="str">
        <f aca="false">VLOOKUP(C1750,Products!$A$5:$D$24,3,FALSE())</f>
        <v>Accessories</v>
      </c>
      <c r="I1750" s="41" t="n">
        <f aca="false">VLOOKUP(C1750,Products!$A$5:$D$24,4,FALSE())</f>
        <v>5</v>
      </c>
      <c r="J1750" s="42" t="n">
        <f aca="false">DATE(YEAR(B1750),MONTH(B1750),1)</f>
        <v>45901</v>
      </c>
      <c r="K1750" s="41" t="n">
        <f aca="false">D1750*E1750</f>
        <v>14.99</v>
      </c>
      <c r="L1750" s="41" t="n">
        <f aca="false">D1750*I1750</f>
        <v>5</v>
      </c>
      <c r="M1750" s="41" t="n">
        <f aca="false">IFERROR(INDEX(Raw_Expenses!$C$5:$C$2979,MATCH(A1750,Raw_Expenses!$A$5:$A$2979,0)),0)</f>
        <v>0.65</v>
      </c>
      <c r="N1750" s="41" t="n">
        <f aca="false">L1750+M1750</f>
        <v>5.65</v>
      </c>
      <c r="O1750" s="41" t="n">
        <f aca="false">K1750-N1750</f>
        <v>9.34</v>
      </c>
      <c r="P1750" s="43" t="n">
        <f aca="false">IF(K1750=0,0,O1750/K1750)</f>
        <v>0.623082054703135</v>
      </c>
    </row>
    <row r="1751" customFormat="false" ht="15" hidden="false" customHeight="false" outlineLevel="0" collapsed="false">
      <c r="A1751" s="39" t="s">
        <v>1873</v>
      </c>
      <c r="B1751" s="40" t="n">
        <v>45902</v>
      </c>
      <c r="C1751" s="39" t="s">
        <v>126</v>
      </c>
      <c r="D1751" s="39" t="n">
        <v>1</v>
      </c>
      <c r="E1751" s="41" t="n">
        <v>23.56</v>
      </c>
      <c r="F1751" s="39" t="s">
        <v>118</v>
      </c>
      <c r="G1751" s="39" t="str">
        <f aca="false">VLOOKUP(C1751,Products!$A$5:$D$24,2,FALSE())</f>
        <v>Wireless Mouse</v>
      </c>
      <c r="H1751" s="39" t="str">
        <f aca="false">VLOOKUP(C1751,Products!$A$5:$D$24,3,FALSE())</f>
        <v>Electronics</v>
      </c>
      <c r="I1751" s="41" t="n">
        <f aca="false">VLOOKUP(C1751,Products!$A$5:$D$24,4,FALSE())</f>
        <v>12</v>
      </c>
      <c r="J1751" s="42" t="n">
        <f aca="false">DATE(YEAR(B1751),MONTH(B1751),1)</f>
        <v>45901</v>
      </c>
      <c r="K1751" s="41" t="n">
        <f aca="false">D1751*E1751</f>
        <v>23.56</v>
      </c>
      <c r="L1751" s="41" t="n">
        <f aca="false">D1751*I1751</f>
        <v>12</v>
      </c>
      <c r="M1751" s="41" t="n">
        <f aca="false">IFERROR(INDEX(Raw_Expenses!$C$5:$C$2979,MATCH(A1751,Raw_Expenses!$A$5:$A$2979,0)),0)</f>
        <v>2.04</v>
      </c>
      <c r="N1751" s="41" t="n">
        <f aca="false">L1751+M1751</f>
        <v>14.04</v>
      </c>
      <c r="O1751" s="41" t="n">
        <f aca="false">K1751-N1751</f>
        <v>9.52</v>
      </c>
      <c r="P1751" s="43" t="n">
        <f aca="false">IF(K1751=0,0,O1751/K1751)</f>
        <v>0.404074702886248</v>
      </c>
    </row>
    <row r="1752" customFormat="false" ht="15" hidden="false" customHeight="false" outlineLevel="0" collapsed="false">
      <c r="A1752" s="39" t="s">
        <v>1874</v>
      </c>
      <c r="B1752" s="40" t="n">
        <v>45902</v>
      </c>
      <c r="C1752" s="39" t="s">
        <v>114</v>
      </c>
      <c r="D1752" s="39" t="n">
        <v>4</v>
      </c>
      <c r="E1752" s="41" t="n">
        <v>5.55</v>
      </c>
      <c r="F1752" s="39" t="s">
        <v>108</v>
      </c>
      <c r="G1752" s="39" t="str">
        <f aca="false">VLOOKUP(C1752,Products!$A$5:$D$24,2,FALSE())</f>
        <v>Gel Pen Pack</v>
      </c>
      <c r="H1752" s="39" t="str">
        <f aca="false">VLOOKUP(C1752,Products!$A$5:$D$24,3,FALSE())</f>
        <v>Stationery</v>
      </c>
      <c r="I1752" s="41" t="n">
        <f aca="false">VLOOKUP(C1752,Products!$A$5:$D$24,4,FALSE())</f>
        <v>2</v>
      </c>
      <c r="J1752" s="42" t="n">
        <f aca="false">DATE(YEAR(B1752),MONTH(B1752),1)</f>
        <v>45901</v>
      </c>
      <c r="K1752" s="41" t="n">
        <f aca="false">D1752*E1752</f>
        <v>22.2</v>
      </c>
      <c r="L1752" s="41" t="n">
        <f aca="false">D1752*I1752</f>
        <v>8</v>
      </c>
      <c r="M1752" s="41" t="n">
        <f aca="false">IFERROR(INDEX(Raw_Expenses!$C$5:$C$2979,MATCH(A1752,Raw_Expenses!$A$5:$A$2979,0)),0)</f>
        <v>1.65</v>
      </c>
      <c r="N1752" s="41" t="n">
        <f aca="false">L1752+M1752</f>
        <v>9.65</v>
      </c>
      <c r="O1752" s="41" t="n">
        <f aca="false">K1752-N1752</f>
        <v>12.55</v>
      </c>
      <c r="P1752" s="43" t="n">
        <f aca="false">IF(K1752=0,0,O1752/K1752)</f>
        <v>0.565315315315315</v>
      </c>
    </row>
    <row r="1753" customFormat="false" ht="15" hidden="false" customHeight="false" outlineLevel="0" collapsed="false">
      <c r="A1753" s="39" t="s">
        <v>1875</v>
      </c>
      <c r="B1753" s="40" t="n">
        <v>45902</v>
      </c>
      <c r="C1753" s="39" t="s">
        <v>162</v>
      </c>
      <c r="D1753" s="39" t="n">
        <v>1</v>
      </c>
      <c r="E1753" s="41" t="n">
        <v>65.66</v>
      </c>
      <c r="F1753" s="39" t="s">
        <v>115</v>
      </c>
      <c r="G1753" s="39" t="str">
        <f aca="false">VLOOKUP(C1753,Products!$A$5:$D$24,2,FALSE())</f>
        <v>Bluetooth Speaker</v>
      </c>
      <c r="H1753" s="39" t="str">
        <f aca="false">VLOOKUP(C1753,Products!$A$5:$D$24,3,FALSE())</f>
        <v>Electronics</v>
      </c>
      <c r="I1753" s="41" t="n">
        <f aca="false">VLOOKUP(C1753,Products!$A$5:$D$24,4,FALSE())</f>
        <v>28</v>
      </c>
      <c r="J1753" s="42" t="n">
        <f aca="false">DATE(YEAR(B1753),MONTH(B1753),1)</f>
        <v>45901</v>
      </c>
      <c r="K1753" s="41" t="n">
        <f aca="false">D1753*E1753</f>
        <v>65.66</v>
      </c>
      <c r="L1753" s="41" t="n">
        <f aca="false">D1753*I1753</f>
        <v>28</v>
      </c>
      <c r="M1753" s="41" t="n">
        <f aca="false">IFERROR(INDEX(Raw_Expenses!$C$5:$C$2979,MATCH(A1753,Raw_Expenses!$A$5:$A$2979,0)),0)</f>
        <v>4.41</v>
      </c>
      <c r="N1753" s="41" t="n">
        <f aca="false">L1753+M1753</f>
        <v>32.41</v>
      </c>
      <c r="O1753" s="41" t="n">
        <f aca="false">K1753-N1753</f>
        <v>33.25</v>
      </c>
      <c r="P1753" s="43" t="n">
        <f aca="false">IF(K1753=0,0,O1753/K1753)</f>
        <v>0.506396588486141</v>
      </c>
    </row>
    <row r="1754" customFormat="false" ht="15" hidden="false" customHeight="false" outlineLevel="0" collapsed="false">
      <c r="A1754" s="39" t="s">
        <v>1876</v>
      </c>
      <c r="B1754" s="40" t="n">
        <v>45903</v>
      </c>
      <c r="C1754" s="39" t="s">
        <v>110</v>
      </c>
      <c r="D1754" s="39" t="n">
        <v>4</v>
      </c>
      <c r="E1754" s="41" t="n">
        <v>13.41</v>
      </c>
      <c r="F1754" s="39" t="s">
        <v>105</v>
      </c>
      <c r="G1754" s="39" t="str">
        <f aca="false">VLOOKUP(C1754,Products!$A$5:$D$24,2,FALSE())</f>
        <v>Phone Stand</v>
      </c>
      <c r="H1754" s="39" t="str">
        <f aca="false">VLOOKUP(C1754,Products!$A$5:$D$24,3,FALSE())</f>
        <v>Accessories</v>
      </c>
      <c r="I1754" s="41" t="n">
        <f aca="false">VLOOKUP(C1754,Products!$A$5:$D$24,4,FALSE())</f>
        <v>4</v>
      </c>
      <c r="J1754" s="42" t="n">
        <f aca="false">DATE(YEAR(B1754),MONTH(B1754),1)</f>
        <v>45901</v>
      </c>
      <c r="K1754" s="41" t="n">
        <f aca="false">D1754*E1754</f>
        <v>53.64</v>
      </c>
      <c r="L1754" s="41" t="n">
        <f aca="false">D1754*I1754</f>
        <v>16</v>
      </c>
      <c r="M1754" s="41" t="n">
        <f aca="false">IFERROR(INDEX(Raw_Expenses!$C$5:$C$2979,MATCH(A1754,Raw_Expenses!$A$5:$A$2979,0)),0)</f>
        <v>2.64</v>
      </c>
      <c r="N1754" s="41" t="n">
        <f aca="false">L1754+M1754</f>
        <v>18.64</v>
      </c>
      <c r="O1754" s="41" t="n">
        <f aca="false">K1754-N1754</f>
        <v>35</v>
      </c>
      <c r="P1754" s="43" t="n">
        <f aca="false">IF(K1754=0,0,O1754/K1754)</f>
        <v>0.652498135719612</v>
      </c>
    </row>
    <row r="1755" customFormat="false" ht="15" hidden="false" customHeight="false" outlineLevel="0" collapsed="false">
      <c r="A1755" s="39" t="s">
        <v>1877</v>
      </c>
      <c r="B1755" s="40" t="n">
        <v>45903</v>
      </c>
      <c r="C1755" s="39" t="s">
        <v>126</v>
      </c>
      <c r="D1755" s="39" t="n">
        <v>1</v>
      </c>
      <c r="E1755" s="41" t="n">
        <v>24.46</v>
      </c>
      <c r="F1755" s="39" t="s">
        <v>108</v>
      </c>
      <c r="G1755" s="39" t="str">
        <f aca="false">VLOOKUP(C1755,Products!$A$5:$D$24,2,FALSE())</f>
        <v>Wireless Mouse</v>
      </c>
      <c r="H1755" s="39" t="str">
        <f aca="false">VLOOKUP(C1755,Products!$A$5:$D$24,3,FALSE())</f>
        <v>Electronics</v>
      </c>
      <c r="I1755" s="41" t="n">
        <f aca="false">VLOOKUP(C1755,Products!$A$5:$D$24,4,FALSE())</f>
        <v>12</v>
      </c>
      <c r="J1755" s="42" t="n">
        <f aca="false">DATE(YEAR(B1755),MONTH(B1755),1)</f>
        <v>45901</v>
      </c>
      <c r="K1755" s="41" t="n">
        <f aca="false">D1755*E1755</f>
        <v>24.46</v>
      </c>
      <c r="L1755" s="41" t="n">
        <f aca="false">D1755*I1755</f>
        <v>12</v>
      </c>
      <c r="M1755" s="41" t="n">
        <f aca="false">IFERROR(INDEX(Raw_Expenses!$C$5:$C$2979,MATCH(A1755,Raw_Expenses!$A$5:$A$2979,0)),0)</f>
        <v>1.47</v>
      </c>
      <c r="N1755" s="41" t="n">
        <f aca="false">L1755+M1755</f>
        <v>13.47</v>
      </c>
      <c r="O1755" s="41" t="n">
        <f aca="false">K1755-N1755</f>
        <v>10.99</v>
      </c>
      <c r="P1755" s="43" t="n">
        <f aca="false">IF(K1755=0,0,O1755/K1755)</f>
        <v>0.449304987735078</v>
      </c>
    </row>
    <row r="1756" customFormat="false" ht="15" hidden="false" customHeight="false" outlineLevel="0" collapsed="false">
      <c r="A1756" s="39" t="s">
        <v>1878</v>
      </c>
      <c r="B1756" s="40" t="n">
        <v>45903</v>
      </c>
      <c r="C1756" s="39" t="s">
        <v>104</v>
      </c>
      <c r="D1756" s="39" t="n">
        <v>3</v>
      </c>
      <c r="E1756" s="41" t="n">
        <v>15.6</v>
      </c>
      <c r="F1756" s="39" t="s">
        <v>118</v>
      </c>
      <c r="G1756" s="39" t="str">
        <f aca="false">VLOOKUP(C1756,Products!$A$5:$D$24,2,FALSE())</f>
        <v>Water Bottle</v>
      </c>
      <c r="H1756" s="39" t="str">
        <f aca="false">VLOOKUP(C1756,Products!$A$5:$D$24,3,FALSE())</f>
        <v>Accessories</v>
      </c>
      <c r="I1756" s="41" t="n">
        <f aca="false">VLOOKUP(C1756,Products!$A$5:$D$24,4,FALSE())</f>
        <v>5</v>
      </c>
      <c r="J1756" s="42" t="n">
        <f aca="false">DATE(YEAR(B1756),MONTH(B1756),1)</f>
        <v>45901</v>
      </c>
      <c r="K1756" s="41" t="n">
        <f aca="false">D1756*E1756</f>
        <v>46.8</v>
      </c>
      <c r="L1756" s="41" t="n">
        <f aca="false">D1756*I1756</f>
        <v>15</v>
      </c>
      <c r="M1756" s="41" t="n">
        <f aca="false">IFERROR(INDEX(Raw_Expenses!$C$5:$C$2979,MATCH(A1756,Raw_Expenses!$A$5:$A$2979,0)),0)</f>
        <v>3.45</v>
      </c>
      <c r="N1756" s="41" t="n">
        <f aca="false">L1756+M1756</f>
        <v>18.45</v>
      </c>
      <c r="O1756" s="41" t="n">
        <f aca="false">K1756-N1756</f>
        <v>28.35</v>
      </c>
      <c r="P1756" s="43" t="n">
        <f aca="false">IF(K1756=0,0,O1756/K1756)</f>
        <v>0.605769230769231</v>
      </c>
    </row>
    <row r="1757" customFormat="false" ht="15" hidden="false" customHeight="false" outlineLevel="0" collapsed="false">
      <c r="A1757" s="39" t="s">
        <v>1879</v>
      </c>
      <c r="B1757" s="40" t="n">
        <v>45903</v>
      </c>
      <c r="C1757" s="39" t="s">
        <v>128</v>
      </c>
      <c r="D1757" s="39" t="n">
        <v>8</v>
      </c>
      <c r="E1757" s="41" t="n">
        <v>36.96</v>
      </c>
      <c r="F1757" s="39" t="s">
        <v>118</v>
      </c>
      <c r="G1757" s="39" t="str">
        <f aca="false">VLOOKUP(C1757,Products!$A$5:$D$24,2,FALSE())</f>
        <v>Ergonomic Footrest</v>
      </c>
      <c r="H1757" s="39" t="str">
        <f aca="false">VLOOKUP(C1757,Products!$A$5:$D$24,3,FALSE())</f>
        <v>Furniture</v>
      </c>
      <c r="I1757" s="41" t="n">
        <f aca="false">VLOOKUP(C1757,Products!$A$5:$D$24,4,FALSE())</f>
        <v>15</v>
      </c>
      <c r="J1757" s="42" t="n">
        <f aca="false">DATE(YEAR(B1757),MONTH(B1757),1)</f>
        <v>45901</v>
      </c>
      <c r="K1757" s="41" t="n">
        <f aca="false">D1757*E1757</f>
        <v>295.68</v>
      </c>
      <c r="L1757" s="41" t="n">
        <f aca="false">D1757*I1757</f>
        <v>120</v>
      </c>
      <c r="M1757" s="41" t="n">
        <f aca="false">IFERROR(INDEX(Raw_Expenses!$C$5:$C$2979,MATCH(A1757,Raw_Expenses!$A$5:$A$2979,0)),0)</f>
        <v>12.11</v>
      </c>
      <c r="N1757" s="41" t="n">
        <f aca="false">L1757+M1757</f>
        <v>132.11</v>
      </c>
      <c r="O1757" s="41" t="n">
        <f aca="false">K1757-N1757</f>
        <v>163.57</v>
      </c>
      <c r="P1757" s="43" t="n">
        <f aca="false">IF(K1757=0,0,O1757/K1757)</f>
        <v>0.553199404761905</v>
      </c>
    </row>
    <row r="1758" customFormat="false" ht="15" hidden="false" customHeight="false" outlineLevel="0" collapsed="false">
      <c r="A1758" s="39" t="s">
        <v>1880</v>
      </c>
      <c r="B1758" s="40" t="n">
        <v>45903</v>
      </c>
      <c r="C1758" s="39" t="s">
        <v>130</v>
      </c>
      <c r="D1758" s="39" t="n">
        <v>2</v>
      </c>
      <c r="E1758" s="41" t="n">
        <v>8.29</v>
      </c>
      <c r="F1758" s="39" t="s">
        <v>115</v>
      </c>
      <c r="G1758" s="39" t="str">
        <f aca="false">VLOOKUP(C1758,Products!$A$5:$D$24,2,FALSE())</f>
        <v>Notebook Set</v>
      </c>
      <c r="H1758" s="39" t="str">
        <f aca="false">VLOOKUP(C1758,Products!$A$5:$D$24,3,FALSE())</f>
        <v>Stationery</v>
      </c>
      <c r="I1758" s="41" t="n">
        <f aca="false">VLOOKUP(C1758,Products!$A$5:$D$24,4,FALSE())</f>
        <v>3</v>
      </c>
      <c r="J1758" s="42" t="n">
        <f aca="false">DATE(YEAR(B1758),MONTH(B1758),1)</f>
        <v>45901</v>
      </c>
      <c r="K1758" s="41" t="n">
        <f aca="false">D1758*E1758</f>
        <v>16.58</v>
      </c>
      <c r="L1758" s="41" t="n">
        <f aca="false">D1758*I1758</f>
        <v>6</v>
      </c>
      <c r="M1758" s="41" t="n">
        <f aca="false">IFERROR(INDEX(Raw_Expenses!$C$5:$C$2979,MATCH(A1758,Raw_Expenses!$A$5:$A$2979,0)),0)</f>
        <v>1.05</v>
      </c>
      <c r="N1758" s="41" t="n">
        <f aca="false">L1758+M1758</f>
        <v>7.05</v>
      </c>
      <c r="O1758" s="41" t="n">
        <f aca="false">K1758-N1758</f>
        <v>9.53</v>
      </c>
      <c r="P1758" s="43" t="n">
        <f aca="false">IF(K1758=0,0,O1758/K1758)</f>
        <v>0.574788902291918</v>
      </c>
    </row>
    <row r="1759" customFormat="false" ht="15" hidden="false" customHeight="false" outlineLevel="0" collapsed="false">
      <c r="A1759" s="39" t="s">
        <v>1881</v>
      </c>
      <c r="B1759" s="40" t="n">
        <v>45903</v>
      </c>
      <c r="C1759" s="39" t="s">
        <v>117</v>
      </c>
      <c r="D1759" s="39" t="n">
        <v>1</v>
      </c>
      <c r="E1759" s="41" t="n">
        <v>31.64</v>
      </c>
      <c r="F1759" s="39" t="s">
        <v>115</v>
      </c>
      <c r="G1759" s="39" t="str">
        <f aca="false">VLOOKUP(C1759,Products!$A$5:$D$24,2,FALSE())</f>
        <v>Desk Lamp</v>
      </c>
      <c r="H1759" s="39" t="str">
        <f aca="false">VLOOKUP(C1759,Products!$A$5:$D$24,3,FALSE())</f>
        <v>Furniture</v>
      </c>
      <c r="I1759" s="41" t="n">
        <f aca="false">VLOOKUP(C1759,Products!$A$5:$D$24,4,FALSE())</f>
        <v>13</v>
      </c>
      <c r="J1759" s="42" t="n">
        <f aca="false">DATE(YEAR(B1759),MONTH(B1759),1)</f>
        <v>45901</v>
      </c>
      <c r="K1759" s="41" t="n">
        <f aca="false">D1759*E1759</f>
        <v>31.64</v>
      </c>
      <c r="L1759" s="41" t="n">
        <f aca="false">D1759*I1759</f>
        <v>13</v>
      </c>
      <c r="M1759" s="41" t="n">
        <f aca="false">IFERROR(INDEX(Raw_Expenses!$C$5:$C$2979,MATCH(A1759,Raw_Expenses!$A$5:$A$2979,0)),0)</f>
        <v>2.27</v>
      </c>
      <c r="N1759" s="41" t="n">
        <f aca="false">L1759+M1759</f>
        <v>15.27</v>
      </c>
      <c r="O1759" s="41" t="n">
        <f aca="false">K1759-N1759</f>
        <v>16.37</v>
      </c>
      <c r="P1759" s="43" t="n">
        <f aca="false">IF(K1759=0,0,O1759/K1759)</f>
        <v>0.517383059418458</v>
      </c>
    </row>
    <row r="1760" customFormat="false" ht="15" hidden="false" customHeight="false" outlineLevel="0" collapsed="false">
      <c r="A1760" s="39" t="s">
        <v>1882</v>
      </c>
      <c r="B1760" s="40" t="n">
        <v>45903</v>
      </c>
      <c r="C1760" s="39" t="s">
        <v>133</v>
      </c>
      <c r="D1760" s="39" t="n">
        <v>3</v>
      </c>
      <c r="E1760" s="41" t="n">
        <v>8.73</v>
      </c>
      <c r="F1760" s="39" t="s">
        <v>105</v>
      </c>
      <c r="G1760" s="39" t="str">
        <f aca="false">VLOOKUP(C1760,Products!$A$5:$D$24,2,FALSE())</f>
        <v>Printer Paper Ream</v>
      </c>
      <c r="H1760" s="39" t="str">
        <f aca="false">VLOOKUP(C1760,Products!$A$5:$D$24,3,FALSE())</f>
        <v>Stationery</v>
      </c>
      <c r="I1760" s="41" t="n">
        <f aca="false">VLOOKUP(C1760,Products!$A$5:$D$24,4,FALSE())</f>
        <v>4</v>
      </c>
      <c r="J1760" s="42" t="n">
        <f aca="false">DATE(YEAR(B1760),MONTH(B1760),1)</f>
        <v>45901</v>
      </c>
      <c r="K1760" s="41" t="n">
        <f aca="false">D1760*E1760</f>
        <v>26.19</v>
      </c>
      <c r="L1760" s="41" t="n">
        <f aca="false">D1760*I1760</f>
        <v>12</v>
      </c>
      <c r="M1760" s="41" t="n">
        <f aca="false">IFERROR(INDEX(Raw_Expenses!$C$5:$C$2979,MATCH(A1760,Raw_Expenses!$A$5:$A$2979,0)),0)</f>
        <v>1.05</v>
      </c>
      <c r="N1760" s="41" t="n">
        <f aca="false">L1760+M1760</f>
        <v>13.05</v>
      </c>
      <c r="O1760" s="41" t="n">
        <f aca="false">K1760-N1760</f>
        <v>13.14</v>
      </c>
      <c r="P1760" s="43" t="n">
        <f aca="false">IF(K1760=0,0,O1760/K1760)</f>
        <v>0.501718213058419</v>
      </c>
    </row>
    <row r="1761" customFormat="false" ht="15" hidden="false" customHeight="false" outlineLevel="0" collapsed="false">
      <c r="A1761" s="39" t="s">
        <v>1883</v>
      </c>
      <c r="B1761" s="40" t="n">
        <v>45903</v>
      </c>
      <c r="C1761" s="39" t="s">
        <v>126</v>
      </c>
      <c r="D1761" s="39" t="n">
        <v>3</v>
      </c>
      <c r="E1761" s="41" t="n">
        <v>24.72</v>
      </c>
      <c r="F1761" s="39" t="s">
        <v>115</v>
      </c>
      <c r="G1761" s="39" t="str">
        <f aca="false">VLOOKUP(C1761,Products!$A$5:$D$24,2,FALSE())</f>
        <v>Wireless Mouse</v>
      </c>
      <c r="H1761" s="39" t="str">
        <f aca="false">VLOOKUP(C1761,Products!$A$5:$D$24,3,FALSE())</f>
        <v>Electronics</v>
      </c>
      <c r="I1761" s="41" t="n">
        <f aca="false">VLOOKUP(C1761,Products!$A$5:$D$24,4,FALSE())</f>
        <v>12</v>
      </c>
      <c r="J1761" s="42" t="n">
        <f aca="false">DATE(YEAR(B1761),MONTH(B1761),1)</f>
        <v>45901</v>
      </c>
      <c r="K1761" s="41" t="n">
        <f aca="false">D1761*E1761</f>
        <v>74.16</v>
      </c>
      <c r="L1761" s="41" t="n">
        <f aca="false">D1761*I1761</f>
        <v>36</v>
      </c>
      <c r="M1761" s="41" t="n">
        <f aca="false">IFERROR(INDEX(Raw_Expenses!$C$5:$C$2979,MATCH(A1761,Raw_Expenses!$A$5:$A$2979,0)),0)</f>
        <v>4.54</v>
      </c>
      <c r="N1761" s="41" t="n">
        <f aca="false">L1761+M1761</f>
        <v>40.54</v>
      </c>
      <c r="O1761" s="41" t="n">
        <f aca="false">K1761-N1761</f>
        <v>33.62</v>
      </c>
      <c r="P1761" s="43" t="n">
        <f aca="false">IF(K1761=0,0,O1761/K1761)</f>
        <v>0.453344120819849</v>
      </c>
    </row>
    <row r="1762" customFormat="false" ht="15" hidden="false" customHeight="false" outlineLevel="0" collapsed="false">
      <c r="A1762" s="39" t="s">
        <v>1884</v>
      </c>
      <c r="B1762" s="40" t="n">
        <v>45903</v>
      </c>
      <c r="C1762" s="39" t="s">
        <v>177</v>
      </c>
      <c r="D1762" s="39" t="n">
        <v>3</v>
      </c>
      <c r="E1762" s="41" t="n">
        <v>44.59</v>
      </c>
      <c r="F1762" s="39" t="s">
        <v>118</v>
      </c>
      <c r="G1762" s="39" t="str">
        <f aca="false">VLOOKUP(C1762,Products!$A$5:$D$24,2,FALSE())</f>
        <v>Backpack</v>
      </c>
      <c r="H1762" s="39" t="str">
        <f aca="false">VLOOKUP(C1762,Products!$A$5:$D$24,3,FALSE())</f>
        <v>Accessories</v>
      </c>
      <c r="I1762" s="41" t="n">
        <f aca="false">VLOOKUP(C1762,Products!$A$5:$D$24,4,FALSE())</f>
        <v>17</v>
      </c>
      <c r="J1762" s="42" t="n">
        <f aca="false">DATE(YEAR(B1762),MONTH(B1762),1)</f>
        <v>45901</v>
      </c>
      <c r="K1762" s="41" t="n">
        <f aca="false">D1762*E1762</f>
        <v>133.77</v>
      </c>
      <c r="L1762" s="41" t="n">
        <f aca="false">D1762*I1762</f>
        <v>51</v>
      </c>
      <c r="M1762" s="41" t="n">
        <f aca="false">IFERROR(INDEX(Raw_Expenses!$C$5:$C$2979,MATCH(A1762,Raw_Expenses!$A$5:$A$2979,0)),0)</f>
        <v>8.8</v>
      </c>
      <c r="N1762" s="41" t="n">
        <f aca="false">L1762+M1762</f>
        <v>59.8</v>
      </c>
      <c r="O1762" s="41" t="n">
        <f aca="false">K1762-N1762</f>
        <v>73.97</v>
      </c>
      <c r="P1762" s="43" t="n">
        <f aca="false">IF(K1762=0,0,O1762/K1762)</f>
        <v>0.552964042759961</v>
      </c>
    </row>
    <row r="1763" customFormat="false" ht="15" hidden="false" customHeight="false" outlineLevel="0" collapsed="false">
      <c r="A1763" s="39" t="s">
        <v>1885</v>
      </c>
      <c r="B1763" s="40" t="n">
        <v>45903</v>
      </c>
      <c r="C1763" s="39" t="s">
        <v>110</v>
      </c>
      <c r="D1763" s="39" t="n">
        <v>1</v>
      </c>
      <c r="E1763" s="41" t="n">
        <v>13</v>
      </c>
      <c r="F1763" s="39" t="s">
        <v>115</v>
      </c>
      <c r="G1763" s="39" t="str">
        <f aca="false">VLOOKUP(C1763,Products!$A$5:$D$24,2,FALSE())</f>
        <v>Phone Stand</v>
      </c>
      <c r="H1763" s="39" t="str">
        <f aca="false">VLOOKUP(C1763,Products!$A$5:$D$24,3,FALSE())</f>
        <v>Accessories</v>
      </c>
      <c r="I1763" s="41" t="n">
        <f aca="false">VLOOKUP(C1763,Products!$A$5:$D$24,4,FALSE())</f>
        <v>4</v>
      </c>
      <c r="J1763" s="42" t="n">
        <f aca="false">DATE(YEAR(B1763),MONTH(B1763),1)</f>
        <v>45901</v>
      </c>
      <c r="K1763" s="41" t="n">
        <f aca="false">D1763*E1763</f>
        <v>13</v>
      </c>
      <c r="L1763" s="41" t="n">
        <f aca="false">D1763*I1763</f>
        <v>4</v>
      </c>
      <c r="M1763" s="41" t="n">
        <f aca="false">IFERROR(INDEX(Raw_Expenses!$C$5:$C$2979,MATCH(A1763,Raw_Expenses!$A$5:$A$2979,0)),0)</f>
        <v>1.07</v>
      </c>
      <c r="N1763" s="41" t="n">
        <f aca="false">L1763+M1763</f>
        <v>5.07</v>
      </c>
      <c r="O1763" s="41" t="n">
        <f aca="false">K1763-N1763</f>
        <v>7.93</v>
      </c>
      <c r="P1763" s="43" t="n">
        <f aca="false">IF(K1763=0,0,O1763/K1763)</f>
        <v>0.61</v>
      </c>
    </row>
    <row r="1764" customFormat="false" ht="15" hidden="false" customHeight="false" outlineLevel="0" collapsed="false">
      <c r="A1764" s="39" t="s">
        <v>1886</v>
      </c>
      <c r="B1764" s="40" t="n">
        <v>45903</v>
      </c>
      <c r="C1764" s="39" t="s">
        <v>104</v>
      </c>
      <c r="D1764" s="39" t="n">
        <v>1</v>
      </c>
      <c r="E1764" s="41" t="n">
        <v>14.83</v>
      </c>
      <c r="F1764" s="39" t="s">
        <v>108</v>
      </c>
      <c r="G1764" s="39" t="str">
        <f aca="false">VLOOKUP(C1764,Products!$A$5:$D$24,2,FALSE())</f>
        <v>Water Bottle</v>
      </c>
      <c r="H1764" s="39" t="str">
        <f aca="false">VLOOKUP(C1764,Products!$A$5:$D$24,3,FALSE())</f>
        <v>Accessories</v>
      </c>
      <c r="I1764" s="41" t="n">
        <f aca="false">VLOOKUP(C1764,Products!$A$5:$D$24,4,FALSE())</f>
        <v>5</v>
      </c>
      <c r="J1764" s="42" t="n">
        <f aca="false">DATE(YEAR(B1764),MONTH(B1764),1)</f>
        <v>45901</v>
      </c>
      <c r="K1764" s="41" t="n">
        <f aca="false">D1764*E1764</f>
        <v>14.83</v>
      </c>
      <c r="L1764" s="41" t="n">
        <f aca="false">D1764*I1764</f>
        <v>5</v>
      </c>
      <c r="M1764" s="41" t="n">
        <f aca="false">IFERROR(INDEX(Raw_Expenses!$C$5:$C$2979,MATCH(A1764,Raw_Expenses!$A$5:$A$2979,0)),0)</f>
        <v>1.33</v>
      </c>
      <c r="N1764" s="41" t="n">
        <f aca="false">L1764+M1764</f>
        <v>6.33</v>
      </c>
      <c r="O1764" s="41" t="n">
        <f aca="false">K1764-N1764</f>
        <v>8.5</v>
      </c>
      <c r="P1764" s="43" t="n">
        <f aca="false">IF(K1764=0,0,O1764/K1764)</f>
        <v>0.57316250842886</v>
      </c>
    </row>
    <row r="1765" customFormat="false" ht="15" hidden="false" customHeight="false" outlineLevel="0" collapsed="false">
      <c r="A1765" s="39" t="s">
        <v>1887</v>
      </c>
      <c r="B1765" s="40" t="n">
        <v>45903</v>
      </c>
      <c r="C1765" s="39" t="s">
        <v>117</v>
      </c>
      <c r="D1765" s="39" t="n">
        <v>3</v>
      </c>
      <c r="E1765" s="41" t="n">
        <v>31.21</v>
      </c>
      <c r="F1765" s="39" t="s">
        <v>118</v>
      </c>
      <c r="G1765" s="39" t="str">
        <f aca="false">VLOOKUP(C1765,Products!$A$5:$D$24,2,FALSE())</f>
        <v>Desk Lamp</v>
      </c>
      <c r="H1765" s="39" t="str">
        <f aca="false">VLOOKUP(C1765,Products!$A$5:$D$24,3,FALSE())</f>
        <v>Furniture</v>
      </c>
      <c r="I1765" s="41" t="n">
        <f aca="false">VLOOKUP(C1765,Products!$A$5:$D$24,4,FALSE())</f>
        <v>13</v>
      </c>
      <c r="J1765" s="42" t="n">
        <f aca="false">DATE(YEAR(B1765),MONTH(B1765),1)</f>
        <v>45901</v>
      </c>
      <c r="K1765" s="41" t="n">
        <f aca="false">D1765*E1765</f>
        <v>93.63</v>
      </c>
      <c r="L1765" s="41" t="n">
        <f aca="false">D1765*I1765</f>
        <v>39</v>
      </c>
      <c r="M1765" s="41" t="n">
        <f aca="false">IFERROR(INDEX(Raw_Expenses!$C$5:$C$2979,MATCH(A1765,Raw_Expenses!$A$5:$A$2979,0)),0)</f>
        <v>5.22</v>
      </c>
      <c r="N1765" s="41" t="n">
        <f aca="false">L1765+M1765</f>
        <v>44.22</v>
      </c>
      <c r="O1765" s="41" t="n">
        <f aca="false">K1765-N1765</f>
        <v>49.41</v>
      </c>
      <c r="P1765" s="43" t="n">
        <f aca="false">IF(K1765=0,0,O1765/K1765)</f>
        <v>0.527715475809036</v>
      </c>
    </row>
    <row r="1766" customFormat="false" ht="15" hidden="false" customHeight="false" outlineLevel="0" collapsed="false">
      <c r="A1766" s="39" t="s">
        <v>1888</v>
      </c>
      <c r="B1766" s="40" t="n">
        <v>45903</v>
      </c>
      <c r="C1766" s="39" t="s">
        <v>107</v>
      </c>
      <c r="D1766" s="39" t="n">
        <v>1</v>
      </c>
      <c r="E1766" s="41" t="n">
        <v>32.61</v>
      </c>
      <c r="F1766" s="39" t="s">
        <v>118</v>
      </c>
      <c r="G1766" s="39" t="str">
        <f aca="false">VLOOKUP(C1766,Products!$A$5:$D$24,2,FALSE())</f>
        <v>USB-C Hub</v>
      </c>
      <c r="H1766" s="39" t="str">
        <f aca="false">VLOOKUP(C1766,Products!$A$5:$D$24,3,FALSE())</f>
        <v>Electronics</v>
      </c>
      <c r="I1766" s="41" t="n">
        <f aca="false">VLOOKUP(C1766,Products!$A$5:$D$24,4,FALSE())</f>
        <v>14</v>
      </c>
      <c r="J1766" s="42" t="n">
        <f aca="false">DATE(YEAR(B1766),MONTH(B1766),1)</f>
        <v>45901</v>
      </c>
      <c r="K1766" s="41" t="n">
        <f aca="false">D1766*E1766</f>
        <v>32.61</v>
      </c>
      <c r="L1766" s="41" t="n">
        <f aca="false">D1766*I1766</f>
        <v>14</v>
      </c>
      <c r="M1766" s="41" t="n">
        <f aca="false">IFERROR(INDEX(Raw_Expenses!$C$5:$C$2979,MATCH(A1766,Raw_Expenses!$A$5:$A$2979,0)),0)</f>
        <v>2.79</v>
      </c>
      <c r="N1766" s="41" t="n">
        <f aca="false">L1766+M1766</f>
        <v>16.79</v>
      </c>
      <c r="O1766" s="41" t="n">
        <f aca="false">K1766-N1766</f>
        <v>15.82</v>
      </c>
      <c r="P1766" s="43" t="n">
        <f aca="false">IF(K1766=0,0,O1766/K1766)</f>
        <v>0.485127261576204</v>
      </c>
    </row>
    <row r="1767" customFormat="false" ht="15" hidden="false" customHeight="false" outlineLevel="0" collapsed="false">
      <c r="A1767" s="39" t="s">
        <v>1889</v>
      </c>
      <c r="B1767" s="40" t="n">
        <v>45903</v>
      </c>
      <c r="C1767" s="39" t="s">
        <v>126</v>
      </c>
      <c r="D1767" s="39" t="n">
        <v>2</v>
      </c>
      <c r="E1767" s="41" t="n">
        <v>23.39</v>
      </c>
      <c r="F1767" s="39" t="s">
        <v>115</v>
      </c>
      <c r="G1767" s="39" t="str">
        <f aca="false">VLOOKUP(C1767,Products!$A$5:$D$24,2,FALSE())</f>
        <v>Wireless Mouse</v>
      </c>
      <c r="H1767" s="39" t="str">
        <f aca="false">VLOOKUP(C1767,Products!$A$5:$D$24,3,FALSE())</f>
        <v>Electronics</v>
      </c>
      <c r="I1767" s="41" t="n">
        <f aca="false">VLOOKUP(C1767,Products!$A$5:$D$24,4,FALSE())</f>
        <v>12</v>
      </c>
      <c r="J1767" s="42" t="n">
        <f aca="false">DATE(YEAR(B1767),MONTH(B1767),1)</f>
        <v>45901</v>
      </c>
      <c r="K1767" s="41" t="n">
        <f aca="false">D1767*E1767</f>
        <v>46.78</v>
      </c>
      <c r="L1767" s="41" t="n">
        <f aca="false">D1767*I1767</f>
        <v>24</v>
      </c>
      <c r="M1767" s="41" t="n">
        <f aca="false">IFERROR(INDEX(Raw_Expenses!$C$5:$C$2979,MATCH(A1767,Raw_Expenses!$A$5:$A$2979,0)),0)</f>
        <v>2.67</v>
      </c>
      <c r="N1767" s="41" t="n">
        <f aca="false">L1767+M1767</f>
        <v>26.67</v>
      </c>
      <c r="O1767" s="41" t="n">
        <f aca="false">K1767-N1767</f>
        <v>20.11</v>
      </c>
      <c r="P1767" s="43" t="n">
        <f aca="false">IF(K1767=0,0,O1767/K1767)</f>
        <v>0.429884566053869</v>
      </c>
    </row>
    <row r="1768" customFormat="false" ht="15" hidden="false" customHeight="false" outlineLevel="0" collapsed="false">
      <c r="A1768" s="39" t="s">
        <v>1890</v>
      </c>
      <c r="B1768" s="40" t="n">
        <v>45904</v>
      </c>
      <c r="C1768" s="39" t="s">
        <v>117</v>
      </c>
      <c r="D1768" s="39" t="n">
        <v>4</v>
      </c>
      <c r="E1768" s="41" t="n">
        <v>29.47</v>
      </c>
      <c r="F1768" s="39" t="s">
        <v>118</v>
      </c>
      <c r="G1768" s="39" t="str">
        <f aca="false">VLOOKUP(C1768,Products!$A$5:$D$24,2,FALSE())</f>
        <v>Desk Lamp</v>
      </c>
      <c r="H1768" s="39" t="str">
        <f aca="false">VLOOKUP(C1768,Products!$A$5:$D$24,3,FALSE())</f>
        <v>Furniture</v>
      </c>
      <c r="I1768" s="41" t="n">
        <f aca="false">VLOOKUP(C1768,Products!$A$5:$D$24,4,FALSE())</f>
        <v>13</v>
      </c>
      <c r="J1768" s="42" t="n">
        <f aca="false">DATE(YEAR(B1768),MONTH(B1768),1)</f>
        <v>45901</v>
      </c>
      <c r="K1768" s="41" t="n">
        <f aca="false">D1768*E1768</f>
        <v>117.88</v>
      </c>
      <c r="L1768" s="41" t="n">
        <f aca="false">D1768*I1768</f>
        <v>52</v>
      </c>
      <c r="M1768" s="41" t="n">
        <f aca="false">IFERROR(INDEX(Raw_Expenses!$C$5:$C$2979,MATCH(A1768,Raw_Expenses!$A$5:$A$2979,0)),0)</f>
        <v>6.43</v>
      </c>
      <c r="N1768" s="41" t="n">
        <f aca="false">L1768+M1768</f>
        <v>58.43</v>
      </c>
      <c r="O1768" s="41" t="n">
        <f aca="false">K1768-N1768</f>
        <v>59.45</v>
      </c>
      <c r="P1768" s="43" t="n">
        <f aca="false">IF(K1768=0,0,O1768/K1768)</f>
        <v>0.504326433661351</v>
      </c>
    </row>
    <row r="1769" customFormat="false" ht="15" hidden="false" customHeight="false" outlineLevel="0" collapsed="false">
      <c r="A1769" s="39" t="s">
        <v>1891</v>
      </c>
      <c r="B1769" s="40" t="n">
        <v>45904</v>
      </c>
      <c r="C1769" s="39" t="s">
        <v>104</v>
      </c>
      <c r="D1769" s="39" t="n">
        <v>5</v>
      </c>
      <c r="E1769" s="41" t="n">
        <v>14.86</v>
      </c>
      <c r="F1769" s="39" t="s">
        <v>105</v>
      </c>
      <c r="G1769" s="39" t="str">
        <f aca="false">VLOOKUP(C1769,Products!$A$5:$D$24,2,FALSE())</f>
        <v>Water Bottle</v>
      </c>
      <c r="H1769" s="39" t="str">
        <f aca="false">VLOOKUP(C1769,Products!$A$5:$D$24,3,FALSE())</f>
        <v>Accessories</v>
      </c>
      <c r="I1769" s="41" t="n">
        <f aca="false">VLOOKUP(C1769,Products!$A$5:$D$24,4,FALSE())</f>
        <v>5</v>
      </c>
      <c r="J1769" s="42" t="n">
        <f aca="false">DATE(YEAR(B1769),MONTH(B1769),1)</f>
        <v>45901</v>
      </c>
      <c r="K1769" s="41" t="n">
        <f aca="false">D1769*E1769</f>
        <v>74.3</v>
      </c>
      <c r="L1769" s="41" t="n">
        <f aca="false">D1769*I1769</f>
        <v>25</v>
      </c>
      <c r="M1769" s="41" t="n">
        <f aca="false">IFERROR(INDEX(Raw_Expenses!$C$5:$C$2979,MATCH(A1769,Raw_Expenses!$A$5:$A$2979,0)),0)</f>
        <v>5.93</v>
      </c>
      <c r="N1769" s="41" t="n">
        <f aca="false">L1769+M1769</f>
        <v>30.93</v>
      </c>
      <c r="O1769" s="41" t="n">
        <f aca="false">K1769-N1769</f>
        <v>43.37</v>
      </c>
      <c r="P1769" s="43" t="n">
        <f aca="false">IF(K1769=0,0,O1769/K1769)</f>
        <v>0.58371467025572</v>
      </c>
    </row>
    <row r="1770" customFormat="false" ht="15" hidden="false" customHeight="false" outlineLevel="0" collapsed="false">
      <c r="A1770" s="39" t="s">
        <v>1892</v>
      </c>
      <c r="B1770" s="40" t="n">
        <v>45904</v>
      </c>
      <c r="C1770" s="39" t="s">
        <v>126</v>
      </c>
      <c r="D1770" s="39" t="n">
        <v>1</v>
      </c>
      <c r="E1770" s="41" t="n">
        <v>23.78</v>
      </c>
      <c r="F1770" s="39" t="s">
        <v>118</v>
      </c>
      <c r="G1770" s="39" t="str">
        <f aca="false">VLOOKUP(C1770,Products!$A$5:$D$24,2,FALSE())</f>
        <v>Wireless Mouse</v>
      </c>
      <c r="H1770" s="39" t="str">
        <f aca="false">VLOOKUP(C1770,Products!$A$5:$D$24,3,FALSE())</f>
        <v>Electronics</v>
      </c>
      <c r="I1770" s="41" t="n">
        <f aca="false">VLOOKUP(C1770,Products!$A$5:$D$24,4,FALSE())</f>
        <v>12</v>
      </c>
      <c r="J1770" s="42" t="n">
        <f aca="false">DATE(YEAR(B1770),MONTH(B1770),1)</f>
        <v>45901</v>
      </c>
      <c r="K1770" s="41" t="n">
        <f aca="false">D1770*E1770</f>
        <v>23.78</v>
      </c>
      <c r="L1770" s="41" t="n">
        <f aca="false">D1770*I1770</f>
        <v>12</v>
      </c>
      <c r="M1770" s="41" t="n">
        <f aca="false">IFERROR(INDEX(Raw_Expenses!$C$5:$C$2979,MATCH(A1770,Raw_Expenses!$A$5:$A$2979,0)),0)</f>
        <v>1.11</v>
      </c>
      <c r="N1770" s="41" t="n">
        <f aca="false">L1770+M1770</f>
        <v>13.11</v>
      </c>
      <c r="O1770" s="41" t="n">
        <f aca="false">K1770-N1770</f>
        <v>10.67</v>
      </c>
      <c r="P1770" s="43" t="n">
        <f aca="false">IF(K1770=0,0,O1770/K1770)</f>
        <v>0.448696383515559</v>
      </c>
    </row>
    <row r="1771" customFormat="false" ht="15" hidden="false" customHeight="false" outlineLevel="0" collapsed="false">
      <c r="A1771" s="39" t="s">
        <v>1893</v>
      </c>
      <c r="B1771" s="40" t="n">
        <v>45904</v>
      </c>
      <c r="C1771" s="39" t="s">
        <v>130</v>
      </c>
      <c r="D1771" s="39" t="n">
        <v>3</v>
      </c>
      <c r="E1771" s="41" t="n">
        <v>8.71</v>
      </c>
      <c r="F1771" s="39" t="s">
        <v>118</v>
      </c>
      <c r="G1771" s="39" t="str">
        <f aca="false">VLOOKUP(C1771,Products!$A$5:$D$24,2,FALSE())</f>
        <v>Notebook Set</v>
      </c>
      <c r="H1771" s="39" t="str">
        <f aca="false">VLOOKUP(C1771,Products!$A$5:$D$24,3,FALSE())</f>
        <v>Stationery</v>
      </c>
      <c r="I1771" s="41" t="n">
        <f aca="false">VLOOKUP(C1771,Products!$A$5:$D$24,4,FALSE())</f>
        <v>3</v>
      </c>
      <c r="J1771" s="42" t="n">
        <f aca="false">DATE(YEAR(B1771),MONTH(B1771),1)</f>
        <v>45901</v>
      </c>
      <c r="K1771" s="41" t="n">
        <f aca="false">D1771*E1771</f>
        <v>26.13</v>
      </c>
      <c r="L1771" s="41" t="n">
        <f aca="false">D1771*I1771</f>
        <v>9</v>
      </c>
      <c r="M1771" s="41" t="n">
        <f aca="false">IFERROR(INDEX(Raw_Expenses!$C$5:$C$2979,MATCH(A1771,Raw_Expenses!$A$5:$A$2979,0)),0)</f>
        <v>2.09</v>
      </c>
      <c r="N1771" s="41" t="n">
        <f aca="false">L1771+M1771</f>
        <v>11.09</v>
      </c>
      <c r="O1771" s="41" t="n">
        <f aca="false">K1771-N1771</f>
        <v>15.04</v>
      </c>
      <c r="P1771" s="43" t="n">
        <f aca="false">IF(K1771=0,0,O1771/K1771)</f>
        <v>0.57558362035974</v>
      </c>
    </row>
    <row r="1772" customFormat="false" ht="15" hidden="false" customHeight="false" outlineLevel="0" collapsed="false">
      <c r="A1772" s="39" t="s">
        <v>1894</v>
      </c>
      <c r="B1772" s="40" t="n">
        <v>45904</v>
      </c>
      <c r="C1772" s="39" t="s">
        <v>114</v>
      </c>
      <c r="D1772" s="39" t="n">
        <v>1</v>
      </c>
      <c r="E1772" s="41" t="n">
        <v>5.81</v>
      </c>
      <c r="F1772" s="39" t="s">
        <v>108</v>
      </c>
      <c r="G1772" s="39" t="str">
        <f aca="false">VLOOKUP(C1772,Products!$A$5:$D$24,2,FALSE())</f>
        <v>Gel Pen Pack</v>
      </c>
      <c r="H1772" s="39" t="str">
        <f aca="false">VLOOKUP(C1772,Products!$A$5:$D$24,3,FALSE())</f>
        <v>Stationery</v>
      </c>
      <c r="I1772" s="41" t="n">
        <f aca="false">VLOOKUP(C1772,Products!$A$5:$D$24,4,FALSE())</f>
        <v>2</v>
      </c>
      <c r="J1772" s="42" t="n">
        <f aca="false">DATE(YEAR(B1772),MONTH(B1772),1)</f>
        <v>45901</v>
      </c>
      <c r="K1772" s="41" t="n">
        <f aca="false">D1772*E1772</f>
        <v>5.81</v>
      </c>
      <c r="L1772" s="41" t="n">
        <f aca="false">D1772*I1772</f>
        <v>2</v>
      </c>
      <c r="M1772" s="41" t="n">
        <f aca="false">IFERROR(INDEX(Raw_Expenses!$C$5:$C$2979,MATCH(A1772,Raw_Expenses!$A$5:$A$2979,0)),0)</f>
        <v>0.23</v>
      </c>
      <c r="N1772" s="41" t="n">
        <f aca="false">L1772+M1772</f>
        <v>2.23</v>
      </c>
      <c r="O1772" s="41" t="n">
        <f aca="false">K1772-N1772</f>
        <v>3.58</v>
      </c>
      <c r="P1772" s="43" t="n">
        <f aca="false">IF(K1772=0,0,O1772/K1772)</f>
        <v>0.61617900172117</v>
      </c>
    </row>
    <row r="1773" customFormat="false" ht="15" hidden="false" customHeight="false" outlineLevel="0" collapsed="false">
      <c r="A1773" s="39" t="s">
        <v>1895</v>
      </c>
      <c r="B1773" s="40" t="n">
        <v>45904</v>
      </c>
      <c r="C1773" s="39" t="s">
        <v>117</v>
      </c>
      <c r="D1773" s="39" t="n">
        <v>3</v>
      </c>
      <c r="E1773" s="41" t="n">
        <v>30.39</v>
      </c>
      <c r="F1773" s="39" t="s">
        <v>115</v>
      </c>
      <c r="G1773" s="39" t="str">
        <f aca="false">VLOOKUP(C1773,Products!$A$5:$D$24,2,FALSE())</f>
        <v>Desk Lamp</v>
      </c>
      <c r="H1773" s="39" t="str">
        <f aca="false">VLOOKUP(C1773,Products!$A$5:$D$24,3,FALSE())</f>
        <v>Furniture</v>
      </c>
      <c r="I1773" s="41" t="n">
        <f aca="false">VLOOKUP(C1773,Products!$A$5:$D$24,4,FALSE())</f>
        <v>13</v>
      </c>
      <c r="J1773" s="42" t="n">
        <f aca="false">DATE(YEAR(B1773),MONTH(B1773),1)</f>
        <v>45901</v>
      </c>
      <c r="K1773" s="41" t="n">
        <f aca="false">D1773*E1773</f>
        <v>91.17</v>
      </c>
      <c r="L1773" s="41" t="n">
        <f aca="false">D1773*I1773</f>
        <v>39</v>
      </c>
      <c r="M1773" s="41" t="n">
        <f aca="false">IFERROR(INDEX(Raw_Expenses!$C$5:$C$2979,MATCH(A1773,Raw_Expenses!$A$5:$A$2979,0)),0)</f>
        <v>6.51</v>
      </c>
      <c r="N1773" s="41" t="n">
        <f aca="false">L1773+M1773</f>
        <v>45.51</v>
      </c>
      <c r="O1773" s="41" t="n">
        <f aca="false">K1773-N1773</f>
        <v>45.66</v>
      </c>
      <c r="P1773" s="43" t="n">
        <f aca="false">IF(K1773=0,0,O1773/K1773)</f>
        <v>0.500822639025995</v>
      </c>
    </row>
    <row r="1774" customFormat="false" ht="15" hidden="false" customHeight="false" outlineLevel="0" collapsed="false">
      <c r="A1774" s="39" t="s">
        <v>1896</v>
      </c>
      <c r="B1774" s="40" t="n">
        <v>45904</v>
      </c>
      <c r="C1774" s="39" t="s">
        <v>114</v>
      </c>
      <c r="D1774" s="39" t="n">
        <v>4</v>
      </c>
      <c r="E1774" s="41" t="n">
        <v>5.69</v>
      </c>
      <c r="F1774" s="39" t="s">
        <v>105</v>
      </c>
      <c r="G1774" s="39" t="str">
        <f aca="false">VLOOKUP(C1774,Products!$A$5:$D$24,2,FALSE())</f>
        <v>Gel Pen Pack</v>
      </c>
      <c r="H1774" s="39" t="str">
        <f aca="false">VLOOKUP(C1774,Products!$A$5:$D$24,3,FALSE())</f>
        <v>Stationery</v>
      </c>
      <c r="I1774" s="41" t="n">
        <f aca="false">VLOOKUP(C1774,Products!$A$5:$D$24,4,FALSE())</f>
        <v>2</v>
      </c>
      <c r="J1774" s="42" t="n">
        <f aca="false">DATE(YEAR(B1774),MONTH(B1774),1)</f>
        <v>45901</v>
      </c>
      <c r="K1774" s="41" t="n">
        <f aca="false">D1774*E1774</f>
        <v>22.76</v>
      </c>
      <c r="L1774" s="41" t="n">
        <f aca="false">D1774*I1774</f>
        <v>8</v>
      </c>
      <c r="M1774" s="41" t="n">
        <f aca="false">IFERROR(INDEX(Raw_Expenses!$C$5:$C$2979,MATCH(A1774,Raw_Expenses!$A$5:$A$2979,0)),0)</f>
        <v>1.05</v>
      </c>
      <c r="N1774" s="41" t="n">
        <f aca="false">L1774+M1774</f>
        <v>9.05</v>
      </c>
      <c r="O1774" s="41" t="n">
        <f aca="false">K1774-N1774</f>
        <v>13.71</v>
      </c>
      <c r="P1774" s="43" t="n">
        <f aca="false">IF(K1774=0,0,O1774/K1774)</f>
        <v>0.602372583479789</v>
      </c>
    </row>
    <row r="1775" customFormat="false" ht="15" hidden="false" customHeight="false" outlineLevel="0" collapsed="false">
      <c r="A1775" s="39" t="s">
        <v>1897</v>
      </c>
      <c r="B1775" s="40" t="n">
        <v>45904</v>
      </c>
      <c r="C1775" s="39" t="s">
        <v>162</v>
      </c>
      <c r="D1775" s="39" t="n">
        <v>3</v>
      </c>
      <c r="E1775" s="41" t="n">
        <v>65.84</v>
      </c>
      <c r="F1775" s="39" t="s">
        <v>108</v>
      </c>
      <c r="G1775" s="39" t="str">
        <f aca="false">VLOOKUP(C1775,Products!$A$5:$D$24,2,FALSE())</f>
        <v>Bluetooth Speaker</v>
      </c>
      <c r="H1775" s="39" t="str">
        <f aca="false">VLOOKUP(C1775,Products!$A$5:$D$24,3,FALSE())</f>
        <v>Electronics</v>
      </c>
      <c r="I1775" s="41" t="n">
        <f aca="false">VLOOKUP(C1775,Products!$A$5:$D$24,4,FALSE())</f>
        <v>28</v>
      </c>
      <c r="J1775" s="42" t="n">
        <f aca="false">DATE(YEAR(B1775),MONTH(B1775),1)</f>
        <v>45901</v>
      </c>
      <c r="K1775" s="41" t="n">
        <f aca="false">D1775*E1775</f>
        <v>197.52</v>
      </c>
      <c r="L1775" s="41" t="n">
        <f aca="false">D1775*I1775</f>
        <v>84</v>
      </c>
      <c r="M1775" s="41" t="n">
        <f aca="false">IFERROR(INDEX(Raw_Expenses!$C$5:$C$2979,MATCH(A1775,Raw_Expenses!$A$5:$A$2979,0)),0)</f>
        <v>14.34</v>
      </c>
      <c r="N1775" s="41" t="n">
        <f aca="false">L1775+M1775</f>
        <v>98.34</v>
      </c>
      <c r="O1775" s="41" t="n">
        <f aca="false">K1775-N1775</f>
        <v>99.18</v>
      </c>
      <c r="P1775" s="43" t="n">
        <f aca="false">IF(K1775=0,0,O1775/K1775)</f>
        <v>0.502126366950182</v>
      </c>
    </row>
    <row r="1776" customFormat="false" ht="15" hidden="false" customHeight="false" outlineLevel="0" collapsed="false">
      <c r="A1776" s="39" t="s">
        <v>1898</v>
      </c>
      <c r="B1776" s="40" t="n">
        <v>45904</v>
      </c>
      <c r="C1776" s="39" t="s">
        <v>104</v>
      </c>
      <c r="D1776" s="39" t="n">
        <v>2</v>
      </c>
      <c r="E1776" s="41" t="n">
        <v>15.19</v>
      </c>
      <c r="F1776" s="39" t="s">
        <v>115</v>
      </c>
      <c r="G1776" s="39" t="str">
        <f aca="false">VLOOKUP(C1776,Products!$A$5:$D$24,2,FALSE())</f>
        <v>Water Bottle</v>
      </c>
      <c r="H1776" s="39" t="str">
        <f aca="false">VLOOKUP(C1776,Products!$A$5:$D$24,3,FALSE())</f>
        <v>Accessories</v>
      </c>
      <c r="I1776" s="41" t="n">
        <f aca="false">VLOOKUP(C1776,Products!$A$5:$D$24,4,FALSE())</f>
        <v>5</v>
      </c>
      <c r="J1776" s="42" t="n">
        <f aca="false">DATE(YEAR(B1776),MONTH(B1776),1)</f>
        <v>45901</v>
      </c>
      <c r="K1776" s="41" t="n">
        <f aca="false">D1776*E1776</f>
        <v>30.38</v>
      </c>
      <c r="L1776" s="41" t="n">
        <f aca="false">D1776*I1776</f>
        <v>10</v>
      </c>
      <c r="M1776" s="41" t="n">
        <f aca="false">IFERROR(INDEX(Raw_Expenses!$C$5:$C$2979,MATCH(A1776,Raw_Expenses!$A$5:$A$2979,0)),0)</f>
        <v>2.71</v>
      </c>
      <c r="N1776" s="41" t="n">
        <f aca="false">L1776+M1776</f>
        <v>12.71</v>
      </c>
      <c r="O1776" s="41" t="n">
        <f aca="false">K1776-N1776</f>
        <v>17.67</v>
      </c>
      <c r="P1776" s="43" t="n">
        <f aca="false">IF(K1776=0,0,O1776/K1776)</f>
        <v>0.581632653061225</v>
      </c>
    </row>
    <row r="1777" customFormat="false" ht="15" hidden="false" customHeight="false" outlineLevel="0" collapsed="false">
      <c r="A1777" s="39" t="s">
        <v>1899</v>
      </c>
      <c r="B1777" s="40" t="n">
        <v>45905</v>
      </c>
      <c r="C1777" s="39" t="s">
        <v>110</v>
      </c>
      <c r="D1777" s="39" t="n">
        <v>4</v>
      </c>
      <c r="E1777" s="41" t="n">
        <v>13.2</v>
      </c>
      <c r="F1777" s="39" t="s">
        <v>118</v>
      </c>
      <c r="G1777" s="39" t="str">
        <f aca="false">VLOOKUP(C1777,Products!$A$5:$D$24,2,FALSE())</f>
        <v>Phone Stand</v>
      </c>
      <c r="H1777" s="39" t="str">
        <f aca="false">VLOOKUP(C1777,Products!$A$5:$D$24,3,FALSE())</f>
        <v>Accessories</v>
      </c>
      <c r="I1777" s="41" t="n">
        <f aca="false">VLOOKUP(C1777,Products!$A$5:$D$24,4,FALSE())</f>
        <v>4</v>
      </c>
      <c r="J1777" s="42" t="n">
        <f aca="false">DATE(YEAR(B1777),MONTH(B1777),1)</f>
        <v>45901</v>
      </c>
      <c r="K1777" s="41" t="n">
        <f aca="false">D1777*E1777</f>
        <v>52.8</v>
      </c>
      <c r="L1777" s="41" t="n">
        <f aca="false">D1777*I1777</f>
        <v>16</v>
      </c>
      <c r="M1777" s="41" t="n">
        <f aca="false">IFERROR(INDEX(Raw_Expenses!$C$5:$C$2979,MATCH(A1777,Raw_Expenses!$A$5:$A$2979,0)),0)</f>
        <v>3.82</v>
      </c>
      <c r="N1777" s="41" t="n">
        <f aca="false">L1777+M1777</f>
        <v>19.82</v>
      </c>
      <c r="O1777" s="41" t="n">
        <f aca="false">K1777-N1777</f>
        <v>32.98</v>
      </c>
      <c r="P1777" s="43" t="n">
        <f aca="false">IF(K1777=0,0,O1777/K1777)</f>
        <v>0.624621212121212</v>
      </c>
    </row>
    <row r="1778" customFormat="false" ht="15" hidden="false" customHeight="false" outlineLevel="0" collapsed="false">
      <c r="A1778" s="39" t="s">
        <v>1900</v>
      </c>
      <c r="B1778" s="40" t="n">
        <v>45905</v>
      </c>
      <c r="C1778" s="39" t="s">
        <v>139</v>
      </c>
      <c r="D1778" s="39" t="n">
        <v>3</v>
      </c>
      <c r="E1778" s="41" t="n">
        <v>127.09</v>
      </c>
      <c r="F1778" s="39" t="s">
        <v>108</v>
      </c>
      <c r="G1778" s="39" t="str">
        <f aca="false">VLOOKUP(C1778,Products!$A$5:$D$24,2,FALSE())</f>
        <v>Noise-Cancelling Headphones</v>
      </c>
      <c r="H1778" s="39" t="str">
        <f aca="false">VLOOKUP(C1778,Products!$A$5:$D$24,3,FALSE())</f>
        <v>Electronics</v>
      </c>
      <c r="I1778" s="41" t="n">
        <f aca="false">VLOOKUP(C1778,Products!$A$5:$D$24,4,FALSE())</f>
        <v>55</v>
      </c>
      <c r="J1778" s="42" t="n">
        <f aca="false">DATE(YEAR(B1778),MONTH(B1778),1)</f>
        <v>45901</v>
      </c>
      <c r="K1778" s="41" t="n">
        <f aca="false">D1778*E1778</f>
        <v>381.27</v>
      </c>
      <c r="L1778" s="41" t="n">
        <f aca="false">D1778*I1778</f>
        <v>165</v>
      </c>
      <c r="M1778" s="41" t="n">
        <f aca="false">IFERROR(INDEX(Raw_Expenses!$C$5:$C$2979,MATCH(A1778,Raw_Expenses!$A$5:$A$2979,0)),0)</f>
        <v>18.15</v>
      </c>
      <c r="N1778" s="41" t="n">
        <f aca="false">L1778+M1778</f>
        <v>183.15</v>
      </c>
      <c r="O1778" s="41" t="n">
        <f aca="false">K1778-N1778</f>
        <v>198.12</v>
      </c>
      <c r="P1778" s="43" t="n">
        <f aca="false">IF(K1778=0,0,O1778/K1778)</f>
        <v>0.519631757022582</v>
      </c>
    </row>
    <row r="1779" customFormat="false" ht="15" hidden="false" customHeight="false" outlineLevel="0" collapsed="false">
      <c r="A1779" s="39" t="s">
        <v>1901</v>
      </c>
      <c r="B1779" s="40" t="n">
        <v>45905</v>
      </c>
      <c r="C1779" s="39" t="s">
        <v>133</v>
      </c>
      <c r="D1779" s="39" t="n">
        <v>3</v>
      </c>
      <c r="E1779" s="41" t="n">
        <v>8.52</v>
      </c>
      <c r="F1779" s="39" t="s">
        <v>115</v>
      </c>
      <c r="G1779" s="39" t="str">
        <f aca="false">VLOOKUP(C1779,Products!$A$5:$D$24,2,FALSE())</f>
        <v>Printer Paper Ream</v>
      </c>
      <c r="H1779" s="39" t="str">
        <f aca="false">VLOOKUP(C1779,Products!$A$5:$D$24,3,FALSE())</f>
        <v>Stationery</v>
      </c>
      <c r="I1779" s="41" t="n">
        <f aca="false">VLOOKUP(C1779,Products!$A$5:$D$24,4,FALSE())</f>
        <v>4</v>
      </c>
      <c r="J1779" s="42" t="n">
        <f aca="false">DATE(YEAR(B1779),MONTH(B1779),1)</f>
        <v>45901</v>
      </c>
      <c r="K1779" s="41" t="n">
        <f aca="false">D1779*E1779</f>
        <v>25.56</v>
      </c>
      <c r="L1779" s="41" t="n">
        <f aca="false">D1779*I1779</f>
        <v>12</v>
      </c>
      <c r="M1779" s="41" t="n">
        <f aca="false">IFERROR(INDEX(Raw_Expenses!$C$5:$C$2979,MATCH(A1779,Raw_Expenses!$A$5:$A$2979,0)),0)</f>
        <v>1.26</v>
      </c>
      <c r="N1779" s="41" t="n">
        <f aca="false">L1779+M1779</f>
        <v>13.26</v>
      </c>
      <c r="O1779" s="41" t="n">
        <f aca="false">K1779-N1779</f>
        <v>12.3</v>
      </c>
      <c r="P1779" s="43" t="n">
        <f aca="false">IF(K1779=0,0,O1779/K1779)</f>
        <v>0.481220657276995</v>
      </c>
    </row>
    <row r="1780" customFormat="false" ht="15" hidden="false" customHeight="false" outlineLevel="0" collapsed="false">
      <c r="A1780" s="39" t="s">
        <v>1902</v>
      </c>
      <c r="B1780" s="40" t="n">
        <v>45905</v>
      </c>
      <c r="C1780" s="39" t="s">
        <v>112</v>
      </c>
      <c r="D1780" s="39" t="n">
        <v>2</v>
      </c>
      <c r="E1780" s="41" t="n">
        <v>53.62</v>
      </c>
      <c r="F1780" s="39" t="s">
        <v>115</v>
      </c>
      <c r="G1780" s="39" t="str">
        <f aca="false">VLOOKUP(C1780,Products!$A$5:$D$24,2,FALSE())</f>
        <v>HD Webcam</v>
      </c>
      <c r="H1780" s="39" t="str">
        <f aca="false">VLOOKUP(C1780,Products!$A$5:$D$24,3,FALSE())</f>
        <v>Electronics</v>
      </c>
      <c r="I1780" s="41" t="n">
        <f aca="false">VLOOKUP(C1780,Products!$A$5:$D$24,4,FALSE())</f>
        <v>22</v>
      </c>
      <c r="J1780" s="42" t="n">
        <f aca="false">DATE(YEAR(B1780),MONTH(B1780),1)</f>
        <v>45901</v>
      </c>
      <c r="K1780" s="41" t="n">
        <f aca="false">D1780*E1780</f>
        <v>107.24</v>
      </c>
      <c r="L1780" s="41" t="n">
        <f aca="false">D1780*I1780</f>
        <v>44</v>
      </c>
      <c r="M1780" s="41" t="n">
        <f aca="false">IFERROR(INDEX(Raw_Expenses!$C$5:$C$2979,MATCH(A1780,Raw_Expenses!$A$5:$A$2979,0)),0)</f>
        <v>4.6</v>
      </c>
      <c r="N1780" s="41" t="n">
        <f aca="false">L1780+M1780</f>
        <v>48.6</v>
      </c>
      <c r="O1780" s="41" t="n">
        <f aca="false">K1780-N1780</f>
        <v>58.64</v>
      </c>
      <c r="P1780" s="43" t="n">
        <f aca="false">IF(K1780=0,0,O1780/K1780)</f>
        <v>0.546810891458411</v>
      </c>
    </row>
    <row r="1781" customFormat="false" ht="15" hidden="false" customHeight="false" outlineLevel="0" collapsed="false">
      <c r="A1781" s="39" t="s">
        <v>1903</v>
      </c>
      <c r="B1781" s="40" t="n">
        <v>45905</v>
      </c>
      <c r="C1781" s="39" t="s">
        <v>114</v>
      </c>
      <c r="D1781" s="39" t="n">
        <v>4</v>
      </c>
      <c r="E1781" s="41" t="n">
        <v>5.7</v>
      </c>
      <c r="F1781" s="39" t="s">
        <v>115</v>
      </c>
      <c r="G1781" s="39" t="str">
        <f aca="false">VLOOKUP(C1781,Products!$A$5:$D$24,2,FALSE())</f>
        <v>Gel Pen Pack</v>
      </c>
      <c r="H1781" s="39" t="str">
        <f aca="false">VLOOKUP(C1781,Products!$A$5:$D$24,3,FALSE())</f>
        <v>Stationery</v>
      </c>
      <c r="I1781" s="41" t="n">
        <f aca="false">VLOOKUP(C1781,Products!$A$5:$D$24,4,FALSE())</f>
        <v>2</v>
      </c>
      <c r="J1781" s="42" t="n">
        <f aca="false">DATE(YEAR(B1781),MONTH(B1781),1)</f>
        <v>45901</v>
      </c>
      <c r="K1781" s="41" t="n">
        <f aca="false">D1781*E1781</f>
        <v>22.8</v>
      </c>
      <c r="L1781" s="41" t="n">
        <f aca="false">D1781*I1781</f>
        <v>8</v>
      </c>
      <c r="M1781" s="41" t="n">
        <f aca="false">IFERROR(INDEX(Raw_Expenses!$C$5:$C$2979,MATCH(A1781,Raw_Expenses!$A$5:$A$2979,0)),0)</f>
        <v>1.31</v>
      </c>
      <c r="N1781" s="41" t="n">
        <f aca="false">L1781+M1781</f>
        <v>9.31</v>
      </c>
      <c r="O1781" s="41" t="n">
        <f aca="false">K1781-N1781</f>
        <v>13.49</v>
      </c>
      <c r="P1781" s="43" t="n">
        <f aca="false">IF(K1781=0,0,O1781/K1781)</f>
        <v>0.591666666666667</v>
      </c>
    </row>
    <row r="1782" customFormat="false" ht="15" hidden="false" customHeight="false" outlineLevel="0" collapsed="false">
      <c r="A1782" s="39" t="s">
        <v>1904</v>
      </c>
      <c r="B1782" s="40" t="n">
        <v>45905</v>
      </c>
      <c r="C1782" s="39" t="s">
        <v>126</v>
      </c>
      <c r="D1782" s="39" t="n">
        <v>3</v>
      </c>
      <c r="E1782" s="41" t="n">
        <v>23.37</v>
      </c>
      <c r="F1782" s="39" t="s">
        <v>118</v>
      </c>
      <c r="G1782" s="39" t="str">
        <f aca="false">VLOOKUP(C1782,Products!$A$5:$D$24,2,FALSE())</f>
        <v>Wireless Mouse</v>
      </c>
      <c r="H1782" s="39" t="str">
        <f aca="false">VLOOKUP(C1782,Products!$A$5:$D$24,3,FALSE())</f>
        <v>Electronics</v>
      </c>
      <c r="I1782" s="41" t="n">
        <f aca="false">VLOOKUP(C1782,Products!$A$5:$D$24,4,FALSE())</f>
        <v>12</v>
      </c>
      <c r="J1782" s="42" t="n">
        <f aca="false">DATE(YEAR(B1782),MONTH(B1782),1)</f>
        <v>45901</v>
      </c>
      <c r="K1782" s="41" t="n">
        <f aca="false">D1782*E1782</f>
        <v>70.11</v>
      </c>
      <c r="L1782" s="41" t="n">
        <f aca="false">D1782*I1782</f>
        <v>36</v>
      </c>
      <c r="M1782" s="41" t="n">
        <f aca="false">IFERROR(INDEX(Raw_Expenses!$C$5:$C$2979,MATCH(A1782,Raw_Expenses!$A$5:$A$2979,0)),0)</f>
        <v>3.6</v>
      </c>
      <c r="N1782" s="41" t="n">
        <f aca="false">L1782+M1782</f>
        <v>39.6</v>
      </c>
      <c r="O1782" s="41" t="n">
        <f aca="false">K1782-N1782</f>
        <v>30.51</v>
      </c>
      <c r="P1782" s="43" t="n">
        <f aca="false">IF(K1782=0,0,O1782/K1782)</f>
        <v>0.435173299101412</v>
      </c>
    </row>
    <row r="1783" customFormat="false" ht="15" hidden="false" customHeight="false" outlineLevel="0" collapsed="false">
      <c r="A1783" s="39" t="s">
        <v>1905</v>
      </c>
      <c r="B1783" s="40" t="n">
        <v>45905</v>
      </c>
      <c r="C1783" s="39" t="s">
        <v>139</v>
      </c>
      <c r="D1783" s="39" t="n">
        <v>3</v>
      </c>
      <c r="E1783" s="41" t="n">
        <v>127.81</v>
      </c>
      <c r="F1783" s="39" t="s">
        <v>105</v>
      </c>
      <c r="G1783" s="39" t="str">
        <f aca="false">VLOOKUP(C1783,Products!$A$5:$D$24,2,FALSE())</f>
        <v>Noise-Cancelling Headphones</v>
      </c>
      <c r="H1783" s="39" t="str">
        <f aca="false">VLOOKUP(C1783,Products!$A$5:$D$24,3,FALSE())</f>
        <v>Electronics</v>
      </c>
      <c r="I1783" s="41" t="n">
        <f aca="false">VLOOKUP(C1783,Products!$A$5:$D$24,4,FALSE())</f>
        <v>55</v>
      </c>
      <c r="J1783" s="42" t="n">
        <f aca="false">DATE(YEAR(B1783),MONTH(B1783),1)</f>
        <v>45901</v>
      </c>
      <c r="K1783" s="41" t="n">
        <f aca="false">D1783*E1783</f>
        <v>383.43</v>
      </c>
      <c r="L1783" s="41" t="n">
        <f aca="false">D1783*I1783</f>
        <v>165</v>
      </c>
      <c r="M1783" s="41" t="n">
        <f aca="false">IFERROR(INDEX(Raw_Expenses!$C$5:$C$2979,MATCH(A1783,Raw_Expenses!$A$5:$A$2979,0)),0)</f>
        <v>19.43</v>
      </c>
      <c r="N1783" s="41" t="n">
        <f aca="false">L1783+M1783</f>
        <v>184.43</v>
      </c>
      <c r="O1783" s="41" t="n">
        <f aca="false">K1783-N1783</f>
        <v>199</v>
      </c>
      <c r="P1783" s="43" t="n">
        <f aca="false">IF(K1783=0,0,O1783/K1783)</f>
        <v>0.518999556633545</v>
      </c>
    </row>
    <row r="1784" customFormat="false" ht="15" hidden="false" customHeight="false" outlineLevel="0" collapsed="false">
      <c r="A1784" s="39" t="s">
        <v>1906</v>
      </c>
      <c r="B1784" s="40" t="n">
        <v>45905</v>
      </c>
      <c r="C1784" s="39" t="s">
        <v>104</v>
      </c>
      <c r="D1784" s="39" t="n">
        <v>8</v>
      </c>
      <c r="E1784" s="41" t="n">
        <v>15.49</v>
      </c>
      <c r="F1784" s="39" t="s">
        <v>105</v>
      </c>
      <c r="G1784" s="39" t="str">
        <f aca="false">VLOOKUP(C1784,Products!$A$5:$D$24,2,FALSE())</f>
        <v>Water Bottle</v>
      </c>
      <c r="H1784" s="39" t="str">
        <f aca="false">VLOOKUP(C1784,Products!$A$5:$D$24,3,FALSE())</f>
        <v>Accessories</v>
      </c>
      <c r="I1784" s="41" t="n">
        <f aca="false">VLOOKUP(C1784,Products!$A$5:$D$24,4,FALSE())</f>
        <v>5</v>
      </c>
      <c r="J1784" s="42" t="n">
        <f aca="false">DATE(YEAR(B1784),MONTH(B1784),1)</f>
        <v>45901</v>
      </c>
      <c r="K1784" s="41" t="n">
        <f aca="false">D1784*E1784</f>
        <v>123.92</v>
      </c>
      <c r="L1784" s="41" t="n">
        <f aca="false">D1784*I1784</f>
        <v>40</v>
      </c>
      <c r="M1784" s="41" t="n">
        <f aca="false">IFERROR(INDEX(Raw_Expenses!$C$5:$C$2979,MATCH(A1784,Raw_Expenses!$A$5:$A$2979,0)),0)</f>
        <v>6.6</v>
      </c>
      <c r="N1784" s="41" t="n">
        <f aca="false">L1784+M1784</f>
        <v>46.6</v>
      </c>
      <c r="O1784" s="41" t="n">
        <f aca="false">K1784-N1784</f>
        <v>77.32</v>
      </c>
      <c r="P1784" s="43" t="n">
        <f aca="false">IF(K1784=0,0,O1784/K1784)</f>
        <v>0.623950936087799</v>
      </c>
    </row>
    <row r="1785" customFormat="false" ht="15" hidden="false" customHeight="false" outlineLevel="0" collapsed="false">
      <c r="A1785" s="39" t="s">
        <v>1907</v>
      </c>
      <c r="B1785" s="40" t="n">
        <v>45905</v>
      </c>
      <c r="C1785" s="39" t="s">
        <v>139</v>
      </c>
      <c r="D1785" s="39" t="n">
        <v>1</v>
      </c>
      <c r="E1785" s="41" t="n">
        <v>118.75</v>
      </c>
      <c r="F1785" s="39" t="s">
        <v>115</v>
      </c>
      <c r="G1785" s="39" t="str">
        <f aca="false">VLOOKUP(C1785,Products!$A$5:$D$24,2,FALSE())</f>
        <v>Noise-Cancelling Headphones</v>
      </c>
      <c r="H1785" s="39" t="str">
        <f aca="false">VLOOKUP(C1785,Products!$A$5:$D$24,3,FALSE())</f>
        <v>Electronics</v>
      </c>
      <c r="I1785" s="41" t="n">
        <f aca="false">VLOOKUP(C1785,Products!$A$5:$D$24,4,FALSE())</f>
        <v>55</v>
      </c>
      <c r="J1785" s="42" t="n">
        <f aca="false">DATE(YEAR(B1785),MONTH(B1785),1)</f>
        <v>45901</v>
      </c>
      <c r="K1785" s="41" t="n">
        <f aca="false">D1785*E1785</f>
        <v>118.75</v>
      </c>
      <c r="L1785" s="41" t="n">
        <f aca="false">D1785*I1785</f>
        <v>55</v>
      </c>
      <c r="M1785" s="41" t="n">
        <f aca="false">IFERROR(INDEX(Raw_Expenses!$C$5:$C$2979,MATCH(A1785,Raw_Expenses!$A$5:$A$2979,0)),0)</f>
        <v>8.6</v>
      </c>
      <c r="N1785" s="41" t="n">
        <f aca="false">L1785+M1785</f>
        <v>63.6</v>
      </c>
      <c r="O1785" s="41" t="n">
        <f aca="false">K1785-N1785</f>
        <v>55.15</v>
      </c>
      <c r="P1785" s="43" t="n">
        <f aca="false">IF(K1785=0,0,O1785/K1785)</f>
        <v>0.464421052631579</v>
      </c>
    </row>
    <row r="1786" customFormat="false" ht="15" hidden="false" customHeight="false" outlineLevel="0" collapsed="false">
      <c r="A1786" s="39" t="s">
        <v>1908</v>
      </c>
      <c r="B1786" s="40" t="n">
        <v>45906</v>
      </c>
      <c r="C1786" s="39" t="s">
        <v>136</v>
      </c>
      <c r="D1786" s="39" t="n">
        <v>2</v>
      </c>
      <c r="E1786" s="41" t="n">
        <v>76.02</v>
      </c>
      <c r="F1786" s="39" t="s">
        <v>105</v>
      </c>
      <c r="G1786" s="39" t="str">
        <f aca="false">VLOOKUP(C1786,Products!$A$5:$D$24,2,FALSE())</f>
        <v>Mechanical Keyboard</v>
      </c>
      <c r="H1786" s="39" t="str">
        <f aca="false">VLOOKUP(C1786,Products!$A$5:$D$24,3,FALSE())</f>
        <v>Electronics</v>
      </c>
      <c r="I1786" s="41" t="n">
        <f aca="false">VLOOKUP(C1786,Products!$A$5:$D$24,4,FALSE())</f>
        <v>38</v>
      </c>
      <c r="J1786" s="42" t="n">
        <f aca="false">DATE(YEAR(B1786),MONTH(B1786),1)</f>
        <v>45901</v>
      </c>
      <c r="K1786" s="41" t="n">
        <f aca="false">D1786*E1786</f>
        <v>152.04</v>
      </c>
      <c r="L1786" s="41" t="n">
        <f aca="false">D1786*I1786</f>
        <v>76</v>
      </c>
      <c r="M1786" s="41" t="n">
        <f aca="false">IFERROR(INDEX(Raw_Expenses!$C$5:$C$2979,MATCH(A1786,Raw_Expenses!$A$5:$A$2979,0)),0)</f>
        <v>10.16</v>
      </c>
      <c r="N1786" s="41" t="n">
        <f aca="false">L1786+M1786</f>
        <v>86.16</v>
      </c>
      <c r="O1786" s="41" t="n">
        <f aca="false">K1786-N1786</f>
        <v>65.88</v>
      </c>
      <c r="P1786" s="43" t="n">
        <f aca="false">IF(K1786=0,0,O1786/K1786)</f>
        <v>0.433307024467245</v>
      </c>
    </row>
    <row r="1787" customFormat="false" ht="15" hidden="false" customHeight="false" outlineLevel="0" collapsed="false">
      <c r="A1787" s="39" t="s">
        <v>1909</v>
      </c>
      <c r="B1787" s="40" t="n">
        <v>45906</v>
      </c>
      <c r="C1787" s="39" t="s">
        <v>114</v>
      </c>
      <c r="D1787" s="39" t="n">
        <v>3</v>
      </c>
      <c r="E1787" s="41" t="n">
        <v>5.73</v>
      </c>
      <c r="F1787" s="39" t="s">
        <v>115</v>
      </c>
      <c r="G1787" s="39" t="str">
        <f aca="false">VLOOKUP(C1787,Products!$A$5:$D$24,2,FALSE())</f>
        <v>Gel Pen Pack</v>
      </c>
      <c r="H1787" s="39" t="str">
        <f aca="false">VLOOKUP(C1787,Products!$A$5:$D$24,3,FALSE())</f>
        <v>Stationery</v>
      </c>
      <c r="I1787" s="41" t="n">
        <f aca="false">VLOOKUP(C1787,Products!$A$5:$D$24,4,FALSE())</f>
        <v>2</v>
      </c>
      <c r="J1787" s="42" t="n">
        <f aca="false">DATE(YEAR(B1787),MONTH(B1787),1)</f>
        <v>45901</v>
      </c>
      <c r="K1787" s="41" t="n">
        <f aca="false">D1787*E1787</f>
        <v>17.19</v>
      </c>
      <c r="L1787" s="41" t="n">
        <f aca="false">D1787*I1787</f>
        <v>6</v>
      </c>
      <c r="M1787" s="41" t="n">
        <f aca="false">IFERROR(INDEX(Raw_Expenses!$C$5:$C$2979,MATCH(A1787,Raw_Expenses!$A$5:$A$2979,0)),0)</f>
        <v>1.28</v>
      </c>
      <c r="N1787" s="41" t="n">
        <f aca="false">L1787+M1787</f>
        <v>7.28</v>
      </c>
      <c r="O1787" s="41" t="n">
        <f aca="false">K1787-N1787</f>
        <v>9.91</v>
      </c>
      <c r="P1787" s="43" t="n">
        <f aca="false">IF(K1787=0,0,O1787/K1787)</f>
        <v>0.576497963932519</v>
      </c>
    </row>
    <row r="1788" customFormat="false" ht="15" hidden="false" customHeight="false" outlineLevel="0" collapsed="false">
      <c r="A1788" s="39" t="s">
        <v>1910</v>
      </c>
      <c r="B1788" s="40" t="n">
        <v>45906</v>
      </c>
      <c r="C1788" s="39" t="s">
        <v>169</v>
      </c>
      <c r="D1788" s="39" t="n">
        <v>3</v>
      </c>
      <c r="E1788" s="41" t="n">
        <v>28.11</v>
      </c>
      <c r="F1788" s="39" t="s">
        <v>118</v>
      </c>
      <c r="G1788" s="39" t="str">
        <f aca="false">VLOOKUP(C1788,Products!$A$5:$D$24,2,FALSE())</f>
        <v>Laptop Stand</v>
      </c>
      <c r="H1788" s="39" t="str">
        <f aca="false">VLOOKUP(C1788,Products!$A$5:$D$24,3,FALSE())</f>
        <v>Accessories</v>
      </c>
      <c r="I1788" s="41" t="n">
        <f aca="false">VLOOKUP(C1788,Products!$A$5:$D$24,4,FALSE())</f>
        <v>11</v>
      </c>
      <c r="J1788" s="42" t="n">
        <f aca="false">DATE(YEAR(B1788),MONTH(B1788),1)</f>
        <v>45901</v>
      </c>
      <c r="K1788" s="41" t="n">
        <f aca="false">D1788*E1788</f>
        <v>84.33</v>
      </c>
      <c r="L1788" s="41" t="n">
        <f aca="false">D1788*I1788</f>
        <v>33</v>
      </c>
      <c r="M1788" s="41" t="n">
        <f aca="false">IFERROR(INDEX(Raw_Expenses!$C$5:$C$2979,MATCH(A1788,Raw_Expenses!$A$5:$A$2979,0)),0)</f>
        <v>6.38</v>
      </c>
      <c r="N1788" s="41" t="n">
        <f aca="false">L1788+M1788</f>
        <v>39.38</v>
      </c>
      <c r="O1788" s="41" t="n">
        <f aca="false">K1788-N1788</f>
        <v>44.95</v>
      </c>
      <c r="P1788" s="43" t="n">
        <f aca="false">IF(K1788=0,0,O1788/K1788)</f>
        <v>0.533025020751808</v>
      </c>
    </row>
    <row r="1789" customFormat="false" ht="15" hidden="false" customHeight="false" outlineLevel="0" collapsed="false">
      <c r="A1789" s="39" t="s">
        <v>1911</v>
      </c>
      <c r="B1789" s="40" t="n">
        <v>45906</v>
      </c>
      <c r="C1789" s="39" t="s">
        <v>177</v>
      </c>
      <c r="D1789" s="39" t="n">
        <v>2</v>
      </c>
      <c r="E1789" s="41" t="n">
        <v>42.85</v>
      </c>
      <c r="F1789" s="39" t="s">
        <v>118</v>
      </c>
      <c r="G1789" s="39" t="str">
        <f aca="false">VLOOKUP(C1789,Products!$A$5:$D$24,2,FALSE())</f>
        <v>Backpack</v>
      </c>
      <c r="H1789" s="39" t="str">
        <f aca="false">VLOOKUP(C1789,Products!$A$5:$D$24,3,FALSE())</f>
        <v>Accessories</v>
      </c>
      <c r="I1789" s="41" t="n">
        <f aca="false">VLOOKUP(C1789,Products!$A$5:$D$24,4,FALSE())</f>
        <v>17</v>
      </c>
      <c r="J1789" s="42" t="n">
        <f aca="false">DATE(YEAR(B1789),MONTH(B1789),1)</f>
        <v>45901</v>
      </c>
      <c r="K1789" s="41" t="n">
        <f aca="false">D1789*E1789</f>
        <v>85.7</v>
      </c>
      <c r="L1789" s="41" t="n">
        <f aca="false">D1789*I1789</f>
        <v>34</v>
      </c>
      <c r="M1789" s="41" t="n">
        <f aca="false">IFERROR(INDEX(Raw_Expenses!$C$5:$C$2979,MATCH(A1789,Raw_Expenses!$A$5:$A$2979,0)),0)</f>
        <v>5.42</v>
      </c>
      <c r="N1789" s="41" t="n">
        <f aca="false">L1789+M1789</f>
        <v>39.42</v>
      </c>
      <c r="O1789" s="41" t="n">
        <f aca="false">K1789-N1789</f>
        <v>46.28</v>
      </c>
      <c r="P1789" s="43" t="n">
        <f aca="false">IF(K1789=0,0,O1789/K1789)</f>
        <v>0.54002333722287</v>
      </c>
    </row>
    <row r="1790" customFormat="false" ht="15" hidden="false" customHeight="false" outlineLevel="0" collapsed="false">
      <c r="A1790" s="39" t="s">
        <v>1912</v>
      </c>
      <c r="B1790" s="40" t="n">
        <v>45906</v>
      </c>
      <c r="C1790" s="39" t="s">
        <v>133</v>
      </c>
      <c r="D1790" s="39" t="n">
        <v>1</v>
      </c>
      <c r="E1790" s="41" t="n">
        <v>8.91</v>
      </c>
      <c r="F1790" s="39" t="s">
        <v>105</v>
      </c>
      <c r="G1790" s="39" t="str">
        <f aca="false">VLOOKUP(C1790,Products!$A$5:$D$24,2,FALSE())</f>
        <v>Printer Paper Ream</v>
      </c>
      <c r="H1790" s="39" t="str">
        <f aca="false">VLOOKUP(C1790,Products!$A$5:$D$24,3,FALSE())</f>
        <v>Stationery</v>
      </c>
      <c r="I1790" s="41" t="n">
        <f aca="false">VLOOKUP(C1790,Products!$A$5:$D$24,4,FALSE())</f>
        <v>4</v>
      </c>
      <c r="J1790" s="42" t="n">
        <f aca="false">DATE(YEAR(B1790),MONTH(B1790),1)</f>
        <v>45901</v>
      </c>
      <c r="K1790" s="41" t="n">
        <f aca="false">D1790*E1790</f>
        <v>8.91</v>
      </c>
      <c r="L1790" s="41" t="n">
        <f aca="false">D1790*I1790</f>
        <v>4</v>
      </c>
      <c r="M1790" s="41" t="n">
        <f aca="false">IFERROR(INDEX(Raw_Expenses!$C$5:$C$2979,MATCH(A1790,Raw_Expenses!$A$5:$A$2979,0)),0)</f>
        <v>0.57</v>
      </c>
      <c r="N1790" s="41" t="n">
        <f aca="false">L1790+M1790</f>
        <v>4.57</v>
      </c>
      <c r="O1790" s="41" t="n">
        <f aca="false">K1790-N1790</f>
        <v>4.34</v>
      </c>
      <c r="P1790" s="43" t="n">
        <f aca="false">IF(K1790=0,0,O1790/K1790)</f>
        <v>0.48709315375982</v>
      </c>
    </row>
    <row r="1791" customFormat="false" ht="15" hidden="false" customHeight="false" outlineLevel="0" collapsed="false">
      <c r="A1791" s="39" t="s">
        <v>1913</v>
      </c>
      <c r="B1791" s="40" t="n">
        <v>45906</v>
      </c>
      <c r="C1791" s="39" t="s">
        <v>112</v>
      </c>
      <c r="D1791" s="39" t="n">
        <v>3</v>
      </c>
      <c r="E1791" s="41" t="n">
        <v>52.45</v>
      </c>
      <c r="F1791" s="39" t="s">
        <v>105</v>
      </c>
      <c r="G1791" s="39" t="str">
        <f aca="false">VLOOKUP(C1791,Products!$A$5:$D$24,2,FALSE())</f>
        <v>HD Webcam</v>
      </c>
      <c r="H1791" s="39" t="str">
        <f aca="false">VLOOKUP(C1791,Products!$A$5:$D$24,3,FALSE())</f>
        <v>Electronics</v>
      </c>
      <c r="I1791" s="41" t="n">
        <f aca="false">VLOOKUP(C1791,Products!$A$5:$D$24,4,FALSE())</f>
        <v>22</v>
      </c>
      <c r="J1791" s="42" t="n">
        <f aca="false">DATE(YEAR(B1791),MONTH(B1791),1)</f>
        <v>45901</v>
      </c>
      <c r="K1791" s="41" t="n">
        <f aca="false">D1791*E1791</f>
        <v>157.35</v>
      </c>
      <c r="L1791" s="41" t="n">
        <f aca="false">D1791*I1791</f>
        <v>66</v>
      </c>
      <c r="M1791" s="41" t="n">
        <f aca="false">IFERROR(INDEX(Raw_Expenses!$C$5:$C$2979,MATCH(A1791,Raw_Expenses!$A$5:$A$2979,0)),0)</f>
        <v>11.37</v>
      </c>
      <c r="N1791" s="41" t="n">
        <f aca="false">L1791+M1791</f>
        <v>77.37</v>
      </c>
      <c r="O1791" s="41" t="n">
        <f aca="false">K1791-N1791</f>
        <v>79.98</v>
      </c>
      <c r="P1791" s="43" t="n">
        <f aca="false">IF(K1791=0,0,O1791/K1791)</f>
        <v>0.508293612964728</v>
      </c>
    </row>
    <row r="1792" customFormat="false" ht="15" hidden="false" customHeight="false" outlineLevel="0" collapsed="false">
      <c r="A1792" s="39" t="s">
        <v>1914</v>
      </c>
      <c r="B1792" s="40" t="n">
        <v>45906</v>
      </c>
      <c r="C1792" s="39" t="s">
        <v>133</v>
      </c>
      <c r="D1792" s="39" t="n">
        <v>1</v>
      </c>
      <c r="E1792" s="41" t="n">
        <v>8.29</v>
      </c>
      <c r="F1792" s="39" t="s">
        <v>105</v>
      </c>
      <c r="G1792" s="39" t="str">
        <f aca="false">VLOOKUP(C1792,Products!$A$5:$D$24,2,FALSE())</f>
        <v>Printer Paper Ream</v>
      </c>
      <c r="H1792" s="39" t="str">
        <f aca="false">VLOOKUP(C1792,Products!$A$5:$D$24,3,FALSE())</f>
        <v>Stationery</v>
      </c>
      <c r="I1792" s="41" t="n">
        <f aca="false">VLOOKUP(C1792,Products!$A$5:$D$24,4,FALSE())</f>
        <v>4</v>
      </c>
      <c r="J1792" s="42" t="n">
        <f aca="false">DATE(YEAR(B1792),MONTH(B1792),1)</f>
        <v>45901</v>
      </c>
      <c r="K1792" s="41" t="n">
        <f aca="false">D1792*E1792</f>
        <v>8.29</v>
      </c>
      <c r="L1792" s="41" t="n">
        <f aca="false">D1792*I1792</f>
        <v>4</v>
      </c>
      <c r="M1792" s="41" t="n">
        <f aca="false">IFERROR(INDEX(Raw_Expenses!$C$5:$C$2979,MATCH(A1792,Raw_Expenses!$A$5:$A$2979,0)),0)</f>
        <v>0.38</v>
      </c>
      <c r="N1792" s="41" t="n">
        <f aca="false">L1792+M1792</f>
        <v>4.38</v>
      </c>
      <c r="O1792" s="41" t="n">
        <f aca="false">K1792-N1792</f>
        <v>3.91</v>
      </c>
      <c r="P1792" s="43" t="n">
        <f aca="false">IF(K1792=0,0,O1792/K1792)</f>
        <v>0.471652593486128</v>
      </c>
    </row>
    <row r="1793" customFormat="false" ht="15" hidden="false" customHeight="false" outlineLevel="0" collapsed="false">
      <c r="A1793" s="39" t="s">
        <v>1915</v>
      </c>
      <c r="B1793" s="40" t="n">
        <v>45906</v>
      </c>
      <c r="C1793" s="39" t="s">
        <v>121</v>
      </c>
      <c r="D1793" s="39" t="n">
        <v>3</v>
      </c>
      <c r="E1793" s="41" t="n">
        <v>117.79</v>
      </c>
      <c r="F1793" s="39" t="s">
        <v>108</v>
      </c>
      <c r="G1793" s="39" t="str">
        <f aca="false">VLOOKUP(C1793,Products!$A$5:$D$24,2,FALSE())</f>
        <v>External SSD 1TB</v>
      </c>
      <c r="H1793" s="39" t="str">
        <f aca="false">VLOOKUP(C1793,Products!$A$5:$D$24,3,FALSE())</f>
        <v>Electronics</v>
      </c>
      <c r="I1793" s="41" t="n">
        <f aca="false">VLOOKUP(C1793,Products!$A$5:$D$24,4,FALSE())</f>
        <v>62</v>
      </c>
      <c r="J1793" s="42" t="n">
        <f aca="false">DATE(YEAR(B1793),MONTH(B1793),1)</f>
        <v>45901</v>
      </c>
      <c r="K1793" s="41" t="n">
        <f aca="false">D1793*E1793</f>
        <v>353.37</v>
      </c>
      <c r="L1793" s="41" t="n">
        <f aca="false">D1793*I1793</f>
        <v>186</v>
      </c>
      <c r="M1793" s="41" t="n">
        <f aca="false">IFERROR(INDEX(Raw_Expenses!$C$5:$C$2979,MATCH(A1793,Raw_Expenses!$A$5:$A$2979,0)),0)</f>
        <v>20.59</v>
      </c>
      <c r="N1793" s="41" t="n">
        <f aca="false">L1793+M1793</f>
        <v>206.59</v>
      </c>
      <c r="O1793" s="41" t="n">
        <f aca="false">K1793-N1793</f>
        <v>146.78</v>
      </c>
      <c r="P1793" s="43" t="n">
        <f aca="false">IF(K1793=0,0,O1793/K1793)</f>
        <v>0.415371989699182</v>
      </c>
    </row>
    <row r="1794" customFormat="false" ht="15" hidden="false" customHeight="false" outlineLevel="0" collapsed="false">
      <c r="A1794" s="39" t="s">
        <v>1916</v>
      </c>
      <c r="B1794" s="40" t="n">
        <v>45907</v>
      </c>
      <c r="C1794" s="39" t="s">
        <v>112</v>
      </c>
      <c r="D1794" s="39" t="n">
        <v>4</v>
      </c>
      <c r="E1794" s="41" t="n">
        <v>53.33</v>
      </c>
      <c r="F1794" s="39" t="s">
        <v>108</v>
      </c>
      <c r="G1794" s="39" t="str">
        <f aca="false">VLOOKUP(C1794,Products!$A$5:$D$24,2,FALSE())</f>
        <v>HD Webcam</v>
      </c>
      <c r="H1794" s="39" t="str">
        <f aca="false">VLOOKUP(C1794,Products!$A$5:$D$24,3,FALSE())</f>
        <v>Electronics</v>
      </c>
      <c r="I1794" s="41" t="n">
        <f aca="false">VLOOKUP(C1794,Products!$A$5:$D$24,4,FALSE())</f>
        <v>22</v>
      </c>
      <c r="J1794" s="42" t="n">
        <f aca="false">DATE(YEAR(B1794),MONTH(B1794),1)</f>
        <v>45901</v>
      </c>
      <c r="K1794" s="41" t="n">
        <f aca="false">D1794*E1794</f>
        <v>213.32</v>
      </c>
      <c r="L1794" s="41" t="n">
        <f aca="false">D1794*I1794</f>
        <v>88</v>
      </c>
      <c r="M1794" s="41" t="n">
        <f aca="false">IFERROR(INDEX(Raw_Expenses!$C$5:$C$2979,MATCH(A1794,Raw_Expenses!$A$5:$A$2979,0)),0)</f>
        <v>19.03</v>
      </c>
      <c r="N1794" s="41" t="n">
        <f aca="false">L1794+M1794</f>
        <v>107.03</v>
      </c>
      <c r="O1794" s="41" t="n">
        <f aca="false">K1794-N1794</f>
        <v>106.29</v>
      </c>
      <c r="P1794" s="43" t="n">
        <f aca="false">IF(K1794=0,0,O1794/K1794)</f>
        <v>0.498265516594787</v>
      </c>
    </row>
    <row r="1795" customFormat="false" ht="15" hidden="false" customHeight="false" outlineLevel="0" collapsed="false">
      <c r="A1795" s="39" t="s">
        <v>1917</v>
      </c>
      <c r="B1795" s="40" t="n">
        <v>45907</v>
      </c>
      <c r="C1795" s="39" t="s">
        <v>133</v>
      </c>
      <c r="D1795" s="39" t="n">
        <v>3</v>
      </c>
      <c r="E1795" s="41" t="n">
        <v>8.8</v>
      </c>
      <c r="F1795" s="39" t="s">
        <v>115</v>
      </c>
      <c r="G1795" s="39" t="str">
        <f aca="false">VLOOKUP(C1795,Products!$A$5:$D$24,2,FALSE())</f>
        <v>Printer Paper Ream</v>
      </c>
      <c r="H1795" s="39" t="str">
        <f aca="false">VLOOKUP(C1795,Products!$A$5:$D$24,3,FALSE())</f>
        <v>Stationery</v>
      </c>
      <c r="I1795" s="41" t="n">
        <f aca="false">VLOOKUP(C1795,Products!$A$5:$D$24,4,FALSE())</f>
        <v>4</v>
      </c>
      <c r="J1795" s="42" t="n">
        <f aca="false">DATE(YEAR(B1795),MONTH(B1795),1)</f>
        <v>45901</v>
      </c>
      <c r="K1795" s="41" t="n">
        <f aca="false">D1795*E1795</f>
        <v>26.4</v>
      </c>
      <c r="L1795" s="41" t="n">
        <f aca="false">D1795*I1795</f>
        <v>12</v>
      </c>
      <c r="M1795" s="41" t="n">
        <f aca="false">IFERROR(INDEX(Raw_Expenses!$C$5:$C$2979,MATCH(A1795,Raw_Expenses!$A$5:$A$2979,0)),0)</f>
        <v>1.63</v>
      </c>
      <c r="N1795" s="41" t="n">
        <f aca="false">L1795+M1795</f>
        <v>13.63</v>
      </c>
      <c r="O1795" s="41" t="n">
        <f aca="false">K1795-N1795</f>
        <v>12.77</v>
      </c>
      <c r="P1795" s="43" t="n">
        <f aca="false">IF(K1795=0,0,O1795/K1795)</f>
        <v>0.483712121212121</v>
      </c>
    </row>
    <row r="1796" customFormat="false" ht="15" hidden="false" customHeight="false" outlineLevel="0" collapsed="false">
      <c r="A1796" s="39" t="s">
        <v>1918</v>
      </c>
      <c r="B1796" s="40" t="n">
        <v>45907</v>
      </c>
      <c r="C1796" s="39" t="s">
        <v>136</v>
      </c>
      <c r="D1796" s="39" t="n">
        <v>5</v>
      </c>
      <c r="E1796" s="41" t="n">
        <v>77.68</v>
      </c>
      <c r="F1796" s="39" t="s">
        <v>115</v>
      </c>
      <c r="G1796" s="39" t="str">
        <f aca="false">VLOOKUP(C1796,Products!$A$5:$D$24,2,FALSE())</f>
        <v>Mechanical Keyboard</v>
      </c>
      <c r="H1796" s="39" t="str">
        <f aca="false">VLOOKUP(C1796,Products!$A$5:$D$24,3,FALSE())</f>
        <v>Electronics</v>
      </c>
      <c r="I1796" s="41" t="n">
        <f aca="false">VLOOKUP(C1796,Products!$A$5:$D$24,4,FALSE())</f>
        <v>38</v>
      </c>
      <c r="J1796" s="42" t="n">
        <f aca="false">DATE(YEAR(B1796),MONTH(B1796),1)</f>
        <v>45901</v>
      </c>
      <c r="K1796" s="41" t="n">
        <f aca="false">D1796*E1796</f>
        <v>388.4</v>
      </c>
      <c r="L1796" s="41" t="n">
        <f aca="false">D1796*I1796</f>
        <v>190</v>
      </c>
      <c r="M1796" s="41" t="n">
        <f aca="false">IFERROR(INDEX(Raw_Expenses!$C$5:$C$2979,MATCH(A1796,Raw_Expenses!$A$5:$A$2979,0)),0)</f>
        <v>15.88</v>
      </c>
      <c r="N1796" s="41" t="n">
        <f aca="false">L1796+M1796</f>
        <v>205.88</v>
      </c>
      <c r="O1796" s="41" t="n">
        <f aca="false">K1796-N1796</f>
        <v>182.52</v>
      </c>
      <c r="P1796" s="43" t="n">
        <f aca="false">IF(K1796=0,0,O1796/K1796)</f>
        <v>0.469927909371782</v>
      </c>
    </row>
    <row r="1797" customFormat="false" ht="15" hidden="false" customHeight="false" outlineLevel="0" collapsed="false">
      <c r="A1797" s="39" t="s">
        <v>1919</v>
      </c>
      <c r="B1797" s="40" t="n">
        <v>45907</v>
      </c>
      <c r="C1797" s="39" t="s">
        <v>117</v>
      </c>
      <c r="D1797" s="39" t="n">
        <v>1</v>
      </c>
      <c r="E1797" s="41" t="n">
        <v>30.85</v>
      </c>
      <c r="F1797" s="39" t="s">
        <v>118</v>
      </c>
      <c r="G1797" s="39" t="str">
        <f aca="false">VLOOKUP(C1797,Products!$A$5:$D$24,2,FALSE())</f>
        <v>Desk Lamp</v>
      </c>
      <c r="H1797" s="39" t="str">
        <f aca="false">VLOOKUP(C1797,Products!$A$5:$D$24,3,FALSE())</f>
        <v>Furniture</v>
      </c>
      <c r="I1797" s="41" t="n">
        <f aca="false">VLOOKUP(C1797,Products!$A$5:$D$24,4,FALSE())</f>
        <v>13</v>
      </c>
      <c r="J1797" s="42" t="n">
        <f aca="false">DATE(YEAR(B1797),MONTH(B1797),1)</f>
        <v>45901</v>
      </c>
      <c r="K1797" s="41" t="n">
        <f aca="false">D1797*E1797</f>
        <v>30.85</v>
      </c>
      <c r="L1797" s="41" t="n">
        <f aca="false">D1797*I1797</f>
        <v>13</v>
      </c>
      <c r="M1797" s="41" t="n">
        <f aca="false">IFERROR(INDEX(Raw_Expenses!$C$5:$C$2979,MATCH(A1797,Raw_Expenses!$A$5:$A$2979,0)),0)</f>
        <v>2.33</v>
      </c>
      <c r="N1797" s="41" t="n">
        <f aca="false">L1797+M1797</f>
        <v>15.33</v>
      </c>
      <c r="O1797" s="41" t="n">
        <f aca="false">K1797-N1797</f>
        <v>15.52</v>
      </c>
      <c r="P1797" s="43" t="n">
        <f aca="false">IF(K1797=0,0,O1797/K1797)</f>
        <v>0.503079416531605</v>
      </c>
    </row>
    <row r="1798" customFormat="false" ht="15" hidden="false" customHeight="false" outlineLevel="0" collapsed="false">
      <c r="A1798" s="39" t="s">
        <v>1920</v>
      </c>
      <c r="B1798" s="40" t="n">
        <v>45907</v>
      </c>
      <c r="C1798" s="39" t="s">
        <v>153</v>
      </c>
      <c r="D1798" s="39" t="n">
        <v>2</v>
      </c>
      <c r="E1798" s="41" t="n">
        <v>178.32</v>
      </c>
      <c r="F1798" s="39" t="s">
        <v>115</v>
      </c>
      <c r="G1798" s="39" t="str">
        <f aca="false">VLOOKUP(C1798,Products!$A$5:$D$24,2,FALSE())</f>
        <v>24-inch Monitor</v>
      </c>
      <c r="H1798" s="39" t="str">
        <f aca="false">VLOOKUP(C1798,Products!$A$5:$D$24,3,FALSE())</f>
        <v>Electronics</v>
      </c>
      <c r="I1798" s="41" t="n">
        <f aca="false">VLOOKUP(C1798,Products!$A$5:$D$24,4,FALSE())</f>
        <v>90</v>
      </c>
      <c r="J1798" s="42" t="n">
        <f aca="false">DATE(YEAR(B1798),MONTH(B1798),1)</f>
        <v>45901</v>
      </c>
      <c r="K1798" s="41" t="n">
        <f aca="false">D1798*E1798</f>
        <v>356.64</v>
      </c>
      <c r="L1798" s="41" t="n">
        <f aca="false">D1798*I1798</f>
        <v>180</v>
      </c>
      <c r="M1798" s="41" t="n">
        <f aca="false">IFERROR(INDEX(Raw_Expenses!$C$5:$C$2979,MATCH(A1798,Raw_Expenses!$A$5:$A$2979,0)),0)</f>
        <v>21.37</v>
      </c>
      <c r="N1798" s="41" t="n">
        <f aca="false">L1798+M1798</f>
        <v>201.37</v>
      </c>
      <c r="O1798" s="41" t="n">
        <f aca="false">K1798-N1798</f>
        <v>155.27</v>
      </c>
      <c r="P1798" s="43" t="n">
        <f aca="false">IF(K1798=0,0,O1798/K1798)</f>
        <v>0.435368999551368</v>
      </c>
    </row>
    <row r="1799" customFormat="false" ht="15" hidden="false" customHeight="false" outlineLevel="0" collapsed="false">
      <c r="A1799" s="39" t="s">
        <v>1921</v>
      </c>
      <c r="B1799" s="40" t="n">
        <v>45907</v>
      </c>
      <c r="C1799" s="39" t="s">
        <v>177</v>
      </c>
      <c r="D1799" s="39" t="n">
        <v>4</v>
      </c>
      <c r="E1799" s="41" t="n">
        <v>41.63</v>
      </c>
      <c r="F1799" s="39" t="s">
        <v>118</v>
      </c>
      <c r="G1799" s="39" t="str">
        <f aca="false">VLOOKUP(C1799,Products!$A$5:$D$24,2,FALSE())</f>
        <v>Backpack</v>
      </c>
      <c r="H1799" s="39" t="str">
        <f aca="false">VLOOKUP(C1799,Products!$A$5:$D$24,3,FALSE())</f>
        <v>Accessories</v>
      </c>
      <c r="I1799" s="41" t="n">
        <f aca="false">VLOOKUP(C1799,Products!$A$5:$D$24,4,FALSE())</f>
        <v>17</v>
      </c>
      <c r="J1799" s="42" t="n">
        <f aca="false">DATE(YEAR(B1799),MONTH(B1799),1)</f>
        <v>45901</v>
      </c>
      <c r="K1799" s="41" t="n">
        <f aca="false">D1799*E1799</f>
        <v>166.52</v>
      </c>
      <c r="L1799" s="41" t="n">
        <f aca="false">D1799*I1799</f>
        <v>68</v>
      </c>
      <c r="M1799" s="41" t="n">
        <f aca="false">IFERROR(INDEX(Raw_Expenses!$C$5:$C$2979,MATCH(A1799,Raw_Expenses!$A$5:$A$2979,0)),0)</f>
        <v>14.36</v>
      </c>
      <c r="N1799" s="41" t="n">
        <f aca="false">L1799+M1799</f>
        <v>82.36</v>
      </c>
      <c r="O1799" s="41" t="n">
        <f aca="false">K1799-N1799</f>
        <v>84.16</v>
      </c>
      <c r="P1799" s="43" t="n">
        <f aca="false">IF(K1799=0,0,O1799/K1799)</f>
        <v>0.505404756185443</v>
      </c>
    </row>
    <row r="1800" customFormat="false" ht="15" hidden="false" customHeight="false" outlineLevel="0" collapsed="false">
      <c r="A1800" s="39" t="s">
        <v>1922</v>
      </c>
      <c r="B1800" s="40" t="n">
        <v>45907</v>
      </c>
      <c r="C1800" s="39" t="s">
        <v>114</v>
      </c>
      <c r="D1800" s="39" t="n">
        <v>5</v>
      </c>
      <c r="E1800" s="41" t="n">
        <v>5.64</v>
      </c>
      <c r="F1800" s="39" t="s">
        <v>108</v>
      </c>
      <c r="G1800" s="39" t="str">
        <f aca="false">VLOOKUP(C1800,Products!$A$5:$D$24,2,FALSE())</f>
        <v>Gel Pen Pack</v>
      </c>
      <c r="H1800" s="39" t="str">
        <f aca="false">VLOOKUP(C1800,Products!$A$5:$D$24,3,FALSE())</f>
        <v>Stationery</v>
      </c>
      <c r="I1800" s="41" t="n">
        <f aca="false">VLOOKUP(C1800,Products!$A$5:$D$24,4,FALSE())</f>
        <v>2</v>
      </c>
      <c r="J1800" s="42" t="n">
        <f aca="false">DATE(YEAR(B1800),MONTH(B1800),1)</f>
        <v>45901</v>
      </c>
      <c r="K1800" s="41" t="n">
        <f aca="false">D1800*E1800</f>
        <v>28.2</v>
      </c>
      <c r="L1800" s="41" t="n">
        <f aca="false">D1800*I1800</f>
        <v>10</v>
      </c>
      <c r="M1800" s="41" t="n">
        <f aca="false">IFERROR(INDEX(Raw_Expenses!$C$5:$C$2979,MATCH(A1800,Raw_Expenses!$A$5:$A$2979,0)),0)</f>
        <v>1.83</v>
      </c>
      <c r="N1800" s="41" t="n">
        <f aca="false">L1800+M1800</f>
        <v>11.83</v>
      </c>
      <c r="O1800" s="41" t="n">
        <f aca="false">K1800-N1800</f>
        <v>16.37</v>
      </c>
      <c r="P1800" s="43" t="n">
        <f aca="false">IF(K1800=0,0,O1800/K1800)</f>
        <v>0.580496453900709</v>
      </c>
    </row>
    <row r="1801" customFormat="false" ht="15" hidden="false" customHeight="false" outlineLevel="0" collapsed="false">
      <c r="A1801" s="39" t="s">
        <v>1923</v>
      </c>
      <c r="B1801" s="40" t="n">
        <v>45907</v>
      </c>
      <c r="C1801" s="39" t="s">
        <v>183</v>
      </c>
      <c r="D1801" s="39" t="n">
        <v>4</v>
      </c>
      <c r="E1801" s="41" t="n">
        <v>178.52</v>
      </c>
      <c r="F1801" s="39" t="s">
        <v>115</v>
      </c>
      <c r="G1801" s="39" t="str">
        <f aca="false">VLOOKUP(C1801,Products!$A$5:$D$24,2,FALSE())</f>
        <v>Office Chair</v>
      </c>
      <c r="H1801" s="39" t="str">
        <f aca="false">VLOOKUP(C1801,Products!$A$5:$D$24,3,FALSE())</f>
        <v>Furniture</v>
      </c>
      <c r="I1801" s="41" t="n">
        <f aca="false">VLOOKUP(C1801,Products!$A$5:$D$24,4,FALSE())</f>
        <v>85</v>
      </c>
      <c r="J1801" s="42" t="n">
        <f aca="false">DATE(YEAR(B1801),MONTH(B1801),1)</f>
        <v>45901</v>
      </c>
      <c r="K1801" s="41" t="n">
        <f aca="false">D1801*E1801</f>
        <v>714.08</v>
      </c>
      <c r="L1801" s="41" t="n">
        <f aca="false">D1801*I1801</f>
        <v>340</v>
      </c>
      <c r="M1801" s="41" t="n">
        <f aca="false">IFERROR(INDEX(Raw_Expenses!$C$5:$C$2979,MATCH(A1801,Raw_Expenses!$A$5:$A$2979,0)),0)</f>
        <v>46.37</v>
      </c>
      <c r="N1801" s="41" t="n">
        <f aca="false">L1801+M1801</f>
        <v>386.37</v>
      </c>
      <c r="O1801" s="41" t="n">
        <f aca="false">K1801-N1801</f>
        <v>327.71</v>
      </c>
      <c r="P1801" s="43" t="n">
        <f aca="false">IF(K1801=0,0,O1801/K1801)</f>
        <v>0.458926170737172</v>
      </c>
    </row>
    <row r="1802" customFormat="false" ht="15" hidden="false" customHeight="false" outlineLevel="0" collapsed="false">
      <c r="A1802" s="39" t="s">
        <v>1924</v>
      </c>
      <c r="B1802" s="40" t="n">
        <v>45907</v>
      </c>
      <c r="C1802" s="39" t="s">
        <v>144</v>
      </c>
      <c r="D1802" s="39" t="n">
        <v>1</v>
      </c>
      <c r="E1802" s="41" t="n">
        <v>55.27</v>
      </c>
      <c r="F1802" s="39" t="s">
        <v>108</v>
      </c>
      <c r="G1802" s="39" t="str">
        <f aca="false">VLOOKUP(C1802,Products!$A$5:$D$24,2,FALSE())</f>
        <v>Whiteboard</v>
      </c>
      <c r="H1802" s="39" t="str">
        <f aca="false">VLOOKUP(C1802,Products!$A$5:$D$24,3,FALSE())</f>
        <v>Furniture</v>
      </c>
      <c r="I1802" s="41" t="n">
        <f aca="false">VLOOKUP(C1802,Products!$A$5:$D$24,4,FALSE())</f>
        <v>28</v>
      </c>
      <c r="J1802" s="42" t="n">
        <f aca="false">DATE(YEAR(B1802),MONTH(B1802),1)</f>
        <v>45901</v>
      </c>
      <c r="K1802" s="41" t="n">
        <f aca="false">D1802*E1802</f>
        <v>55.27</v>
      </c>
      <c r="L1802" s="41" t="n">
        <f aca="false">D1802*I1802</f>
        <v>28</v>
      </c>
      <c r="M1802" s="41" t="n">
        <f aca="false">IFERROR(INDEX(Raw_Expenses!$C$5:$C$2979,MATCH(A1802,Raw_Expenses!$A$5:$A$2979,0)),0)</f>
        <v>4.78</v>
      </c>
      <c r="N1802" s="41" t="n">
        <f aca="false">L1802+M1802</f>
        <v>32.78</v>
      </c>
      <c r="O1802" s="41" t="n">
        <f aca="false">K1802-N1802</f>
        <v>22.49</v>
      </c>
      <c r="P1802" s="43" t="n">
        <f aca="false">IF(K1802=0,0,O1802/K1802)</f>
        <v>0.406911525239732</v>
      </c>
    </row>
    <row r="1803" customFormat="false" ht="15" hidden="false" customHeight="false" outlineLevel="0" collapsed="false">
      <c r="A1803" s="39" t="s">
        <v>1925</v>
      </c>
      <c r="B1803" s="40" t="n">
        <v>45907</v>
      </c>
      <c r="C1803" s="39" t="s">
        <v>110</v>
      </c>
      <c r="D1803" s="39" t="n">
        <v>6</v>
      </c>
      <c r="E1803" s="41" t="n">
        <v>13.41</v>
      </c>
      <c r="F1803" s="39" t="s">
        <v>108</v>
      </c>
      <c r="G1803" s="39" t="str">
        <f aca="false">VLOOKUP(C1803,Products!$A$5:$D$24,2,FALSE())</f>
        <v>Phone Stand</v>
      </c>
      <c r="H1803" s="39" t="str">
        <f aca="false">VLOOKUP(C1803,Products!$A$5:$D$24,3,FALSE())</f>
        <v>Accessories</v>
      </c>
      <c r="I1803" s="41" t="n">
        <f aca="false">VLOOKUP(C1803,Products!$A$5:$D$24,4,FALSE())</f>
        <v>4</v>
      </c>
      <c r="J1803" s="42" t="n">
        <f aca="false">DATE(YEAR(B1803),MONTH(B1803),1)</f>
        <v>45901</v>
      </c>
      <c r="K1803" s="41" t="n">
        <f aca="false">D1803*E1803</f>
        <v>80.46</v>
      </c>
      <c r="L1803" s="41" t="n">
        <f aca="false">D1803*I1803</f>
        <v>24</v>
      </c>
      <c r="M1803" s="41" t="n">
        <f aca="false">IFERROR(INDEX(Raw_Expenses!$C$5:$C$2979,MATCH(A1803,Raw_Expenses!$A$5:$A$2979,0)),0)</f>
        <v>5.52</v>
      </c>
      <c r="N1803" s="41" t="n">
        <f aca="false">L1803+M1803</f>
        <v>29.52</v>
      </c>
      <c r="O1803" s="41" t="n">
        <f aca="false">K1803-N1803</f>
        <v>50.94</v>
      </c>
      <c r="P1803" s="43" t="n">
        <f aca="false">IF(K1803=0,0,O1803/K1803)</f>
        <v>0.633109619686801</v>
      </c>
    </row>
    <row r="1804" customFormat="false" ht="15" hidden="false" customHeight="false" outlineLevel="0" collapsed="false">
      <c r="A1804" s="39" t="s">
        <v>1926</v>
      </c>
      <c r="B1804" s="40" t="n">
        <v>45907</v>
      </c>
      <c r="C1804" s="39" t="s">
        <v>177</v>
      </c>
      <c r="D1804" s="39" t="n">
        <v>5</v>
      </c>
      <c r="E1804" s="41" t="n">
        <v>44.77</v>
      </c>
      <c r="F1804" s="39" t="s">
        <v>108</v>
      </c>
      <c r="G1804" s="39" t="str">
        <f aca="false">VLOOKUP(C1804,Products!$A$5:$D$24,2,FALSE())</f>
        <v>Backpack</v>
      </c>
      <c r="H1804" s="39" t="str">
        <f aca="false">VLOOKUP(C1804,Products!$A$5:$D$24,3,FALSE())</f>
        <v>Accessories</v>
      </c>
      <c r="I1804" s="41" t="n">
        <f aca="false">VLOOKUP(C1804,Products!$A$5:$D$24,4,FALSE())</f>
        <v>17</v>
      </c>
      <c r="J1804" s="42" t="n">
        <f aca="false">DATE(YEAR(B1804),MONTH(B1804),1)</f>
        <v>45901</v>
      </c>
      <c r="K1804" s="41" t="n">
        <f aca="false">D1804*E1804</f>
        <v>223.85</v>
      </c>
      <c r="L1804" s="41" t="n">
        <f aca="false">D1804*I1804</f>
        <v>85</v>
      </c>
      <c r="M1804" s="41" t="n">
        <f aca="false">IFERROR(INDEX(Raw_Expenses!$C$5:$C$2979,MATCH(A1804,Raw_Expenses!$A$5:$A$2979,0)),0)</f>
        <v>14.41</v>
      </c>
      <c r="N1804" s="41" t="n">
        <f aca="false">L1804+M1804</f>
        <v>99.41</v>
      </c>
      <c r="O1804" s="41" t="n">
        <f aca="false">K1804-N1804</f>
        <v>124.44</v>
      </c>
      <c r="P1804" s="43" t="n">
        <f aca="false">IF(K1804=0,0,O1804/K1804)</f>
        <v>0.555907974089792</v>
      </c>
    </row>
    <row r="1805" customFormat="false" ht="15" hidden="false" customHeight="false" outlineLevel="0" collapsed="false">
      <c r="A1805" s="39" t="s">
        <v>1927</v>
      </c>
      <c r="B1805" s="40" t="n">
        <v>45908</v>
      </c>
      <c r="C1805" s="39" t="s">
        <v>136</v>
      </c>
      <c r="D1805" s="39" t="n">
        <v>6</v>
      </c>
      <c r="E1805" s="41" t="n">
        <v>78.23</v>
      </c>
      <c r="F1805" s="39" t="s">
        <v>118</v>
      </c>
      <c r="G1805" s="39" t="str">
        <f aca="false">VLOOKUP(C1805,Products!$A$5:$D$24,2,FALSE())</f>
        <v>Mechanical Keyboard</v>
      </c>
      <c r="H1805" s="39" t="str">
        <f aca="false">VLOOKUP(C1805,Products!$A$5:$D$24,3,FALSE())</f>
        <v>Electronics</v>
      </c>
      <c r="I1805" s="41" t="n">
        <f aca="false">VLOOKUP(C1805,Products!$A$5:$D$24,4,FALSE())</f>
        <v>38</v>
      </c>
      <c r="J1805" s="42" t="n">
        <f aca="false">DATE(YEAR(B1805),MONTH(B1805),1)</f>
        <v>45901</v>
      </c>
      <c r="K1805" s="41" t="n">
        <f aca="false">D1805*E1805</f>
        <v>469.38</v>
      </c>
      <c r="L1805" s="41" t="n">
        <f aca="false">D1805*I1805</f>
        <v>228</v>
      </c>
      <c r="M1805" s="41" t="n">
        <f aca="false">IFERROR(INDEX(Raw_Expenses!$C$5:$C$2979,MATCH(A1805,Raw_Expenses!$A$5:$A$2979,0)),0)</f>
        <v>22.13</v>
      </c>
      <c r="N1805" s="41" t="n">
        <f aca="false">L1805+M1805</f>
        <v>250.13</v>
      </c>
      <c r="O1805" s="41" t="n">
        <f aca="false">K1805-N1805</f>
        <v>219.25</v>
      </c>
      <c r="P1805" s="43" t="n">
        <f aca="false">IF(K1805=0,0,O1805/K1805)</f>
        <v>0.467105543482892</v>
      </c>
    </row>
    <row r="1806" customFormat="false" ht="15" hidden="false" customHeight="false" outlineLevel="0" collapsed="false">
      <c r="A1806" s="39" t="s">
        <v>1928</v>
      </c>
      <c r="B1806" s="40" t="n">
        <v>45908</v>
      </c>
      <c r="C1806" s="39" t="s">
        <v>104</v>
      </c>
      <c r="D1806" s="39" t="n">
        <v>3</v>
      </c>
      <c r="E1806" s="41" t="n">
        <v>15.99</v>
      </c>
      <c r="F1806" s="39" t="s">
        <v>105</v>
      </c>
      <c r="G1806" s="39" t="str">
        <f aca="false">VLOOKUP(C1806,Products!$A$5:$D$24,2,FALSE())</f>
        <v>Water Bottle</v>
      </c>
      <c r="H1806" s="39" t="str">
        <f aca="false">VLOOKUP(C1806,Products!$A$5:$D$24,3,FALSE())</f>
        <v>Accessories</v>
      </c>
      <c r="I1806" s="41" t="n">
        <f aca="false">VLOOKUP(C1806,Products!$A$5:$D$24,4,FALSE())</f>
        <v>5</v>
      </c>
      <c r="J1806" s="42" t="n">
        <f aca="false">DATE(YEAR(B1806),MONTH(B1806),1)</f>
        <v>45901</v>
      </c>
      <c r="K1806" s="41" t="n">
        <f aca="false">D1806*E1806</f>
        <v>47.97</v>
      </c>
      <c r="L1806" s="41" t="n">
        <f aca="false">D1806*I1806</f>
        <v>15</v>
      </c>
      <c r="M1806" s="41" t="n">
        <f aca="false">IFERROR(INDEX(Raw_Expenses!$C$5:$C$2979,MATCH(A1806,Raw_Expenses!$A$5:$A$2979,0)),0)</f>
        <v>4.13</v>
      </c>
      <c r="N1806" s="41" t="n">
        <f aca="false">L1806+M1806</f>
        <v>19.13</v>
      </c>
      <c r="O1806" s="41" t="n">
        <f aca="false">K1806-N1806</f>
        <v>28.84</v>
      </c>
      <c r="P1806" s="43" t="n">
        <f aca="false">IF(K1806=0,0,O1806/K1806)</f>
        <v>0.601209089013967</v>
      </c>
    </row>
    <row r="1807" customFormat="false" ht="15" hidden="false" customHeight="false" outlineLevel="0" collapsed="false">
      <c r="A1807" s="39" t="s">
        <v>1929</v>
      </c>
      <c r="B1807" s="40" t="n">
        <v>45908</v>
      </c>
      <c r="C1807" s="39" t="s">
        <v>104</v>
      </c>
      <c r="D1807" s="39" t="n">
        <v>5</v>
      </c>
      <c r="E1807" s="41" t="n">
        <v>14.83</v>
      </c>
      <c r="F1807" s="39" t="s">
        <v>115</v>
      </c>
      <c r="G1807" s="39" t="str">
        <f aca="false">VLOOKUP(C1807,Products!$A$5:$D$24,2,FALSE())</f>
        <v>Water Bottle</v>
      </c>
      <c r="H1807" s="39" t="str">
        <f aca="false">VLOOKUP(C1807,Products!$A$5:$D$24,3,FALSE())</f>
        <v>Accessories</v>
      </c>
      <c r="I1807" s="41" t="n">
        <f aca="false">VLOOKUP(C1807,Products!$A$5:$D$24,4,FALSE())</f>
        <v>5</v>
      </c>
      <c r="J1807" s="42" t="n">
        <f aca="false">DATE(YEAR(B1807),MONTH(B1807),1)</f>
        <v>45901</v>
      </c>
      <c r="K1807" s="41" t="n">
        <f aca="false">D1807*E1807</f>
        <v>74.15</v>
      </c>
      <c r="L1807" s="41" t="n">
        <f aca="false">D1807*I1807</f>
        <v>25</v>
      </c>
      <c r="M1807" s="41" t="n">
        <f aca="false">IFERROR(INDEX(Raw_Expenses!$C$5:$C$2979,MATCH(A1807,Raw_Expenses!$A$5:$A$2979,0)),0)</f>
        <v>6.55</v>
      </c>
      <c r="N1807" s="41" t="n">
        <f aca="false">L1807+M1807</f>
        <v>31.55</v>
      </c>
      <c r="O1807" s="41" t="n">
        <f aca="false">K1807-N1807</f>
        <v>42.6</v>
      </c>
      <c r="P1807" s="43" t="n">
        <f aca="false">IF(K1807=0,0,O1807/K1807)</f>
        <v>0.574511126095752</v>
      </c>
    </row>
    <row r="1808" customFormat="false" ht="15" hidden="false" customHeight="false" outlineLevel="0" collapsed="false">
      <c r="A1808" s="39" t="s">
        <v>1930</v>
      </c>
      <c r="B1808" s="40" t="n">
        <v>45908</v>
      </c>
      <c r="C1808" s="39" t="s">
        <v>183</v>
      </c>
      <c r="D1808" s="39" t="n">
        <v>1</v>
      </c>
      <c r="E1808" s="41" t="n">
        <v>184.03</v>
      </c>
      <c r="F1808" s="39" t="s">
        <v>115</v>
      </c>
      <c r="G1808" s="39" t="str">
        <f aca="false">VLOOKUP(C1808,Products!$A$5:$D$24,2,FALSE())</f>
        <v>Office Chair</v>
      </c>
      <c r="H1808" s="39" t="str">
        <f aca="false">VLOOKUP(C1808,Products!$A$5:$D$24,3,FALSE())</f>
        <v>Furniture</v>
      </c>
      <c r="I1808" s="41" t="n">
        <f aca="false">VLOOKUP(C1808,Products!$A$5:$D$24,4,FALSE())</f>
        <v>85</v>
      </c>
      <c r="J1808" s="42" t="n">
        <f aca="false">DATE(YEAR(B1808),MONTH(B1808),1)</f>
        <v>45901</v>
      </c>
      <c r="K1808" s="41" t="n">
        <f aca="false">D1808*E1808</f>
        <v>184.03</v>
      </c>
      <c r="L1808" s="41" t="n">
        <f aca="false">D1808*I1808</f>
        <v>85</v>
      </c>
      <c r="M1808" s="41" t="n">
        <f aca="false">IFERROR(INDEX(Raw_Expenses!$C$5:$C$2979,MATCH(A1808,Raw_Expenses!$A$5:$A$2979,0)),0)</f>
        <v>15.66</v>
      </c>
      <c r="N1808" s="41" t="n">
        <f aca="false">L1808+M1808</f>
        <v>100.66</v>
      </c>
      <c r="O1808" s="41" t="n">
        <f aca="false">K1808-N1808</f>
        <v>83.37</v>
      </c>
      <c r="P1808" s="43" t="n">
        <f aca="false">IF(K1808=0,0,O1808/K1808)</f>
        <v>0.453023963484215</v>
      </c>
    </row>
    <row r="1809" customFormat="false" ht="15" hidden="false" customHeight="false" outlineLevel="0" collapsed="false">
      <c r="A1809" s="39" t="s">
        <v>1931</v>
      </c>
      <c r="B1809" s="40" t="n">
        <v>45908</v>
      </c>
      <c r="C1809" s="39" t="s">
        <v>162</v>
      </c>
      <c r="D1809" s="39" t="n">
        <v>3</v>
      </c>
      <c r="E1809" s="41" t="n">
        <v>68.98</v>
      </c>
      <c r="F1809" s="39" t="s">
        <v>108</v>
      </c>
      <c r="G1809" s="39" t="str">
        <f aca="false">VLOOKUP(C1809,Products!$A$5:$D$24,2,FALSE())</f>
        <v>Bluetooth Speaker</v>
      </c>
      <c r="H1809" s="39" t="str">
        <f aca="false">VLOOKUP(C1809,Products!$A$5:$D$24,3,FALSE())</f>
        <v>Electronics</v>
      </c>
      <c r="I1809" s="41" t="n">
        <f aca="false">VLOOKUP(C1809,Products!$A$5:$D$24,4,FALSE())</f>
        <v>28</v>
      </c>
      <c r="J1809" s="42" t="n">
        <f aca="false">DATE(YEAR(B1809),MONTH(B1809),1)</f>
        <v>45901</v>
      </c>
      <c r="K1809" s="41" t="n">
        <f aca="false">D1809*E1809</f>
        <v>206.94</v>
      </c>
      <c r="L1809" s="41" t="n">
        <f aca="false">D1809*I1809</f>
        <v>84</v>
      </c>
      <c r="M1809" s="41" t="n">
        <f aca="false">IFERROR(INDEX(Raw_Expenses!$C$5:$C$2979,MATCH(A1809,Raw_Expenses!$A$5:$A$2979,0)),0)</f>
        <v>10.28</v>
      </c>
      <c r="N1809" s="41" t="n">
        <f aca="false">L1809+M1809</f>
        <v>94.28</v>
      </c>
      <c r="O1809" s="41" t="n">
        <f aca="false">K1809-N1809</f>
        <v>112.66</v>
      </c>
      <c r="P1809" s="43" t="n">
        <f aca="false">IF(K1809=0,0,O1809/K1809)</f>
        <v>0.544409007441771</v>
      </c>
    </row>
    <row r="1810" customFormat="false" ht="15" hidden="false" customHeight="false" outlineLevel="0" collapsed="false">
      <c r="A1810" s="39" t="s">
        <v>1932</v>
      </c>
      <c r="B1810" s="40" t="n">
        <v>45908</v>
      </c>
      <c r="C1810" s="39" t="s">
        <v>126</v>
      </c>
      <c r="D1810" s="39" t="n">
        <v>1</v>
      </c>
      <c r="E1810" s="41" t="n">
        <v>24.38</v>
      </c>
      <c r="F1810" s="39" t="s">
        <v>108</v>
      </c>
      <c r="G1810" s="39" t="str">
        <f aca="false">VLOOKUP(C1810,Products!$A$5:$D$24,2,FALSE())</f>
        <v>Wireless Mouse</v>
      </c>
      <c r="H1810" s="39" t="str">
        <f aca="false">VLOOKUP(C1810,Products!$A$5:$D$24,3,FALSE())</f>
        <v>Electronics</v>
      </c>
      <c r="I1810" s="41" t="n">
        <f aca="false">VLOOKUP(C1810,Products!$A$5:$D$24,4,FALSE())</f>
        <v>12</v>
      </c>
      <c r="J1810" s="42" t="n">
        <f aca="false">DATE(YEAR(B1810),MONTH(B1810),1)</f>
        <v>45901</v>
      </c>
      <c r="K1810" s="41" t="n">
        <f aca="false">D1810*E1810</f>
        <v>24.38</v>
      </c>
      <c r="L1810" s="41" t="n">
        <f aca="false">D1810*I1810</f>
        <v>12</v>
      </c>
      <c r="M1810" s="41" t="n">
        <f aca="false">IFERROR(INDEX(Raw_Expenses!$C$5:$C$2979,MATCH(A1810,Raw_Expenses!$A$5:$A$2979,0)),0)</f>
        <v>1.09</v>
      </c>
      <c r="N1810" s="41" t="n">
        <f aca="false">L1810+M1810</f>
        <v>13.09</v>
      </c>
      <c r="O1810" s="41" t="n">
        <f aca="false">K1810-N1810</f>
        <v>11.29</v>
      </c>
      <c r="P1810" s="43" t="n">
        <f aca="false">IF(K1810=0,0,O1810/K1810)</f>
        <v>0.463084495488105</v>
      </c>
    </row>
    <row r="1811" customFormat="false" ht="15" hidden="false" customHeight="false" outlineLevel="0" collapsed="false">
      <c r="A1811" s="39" t="s">
        <v>1933</v>
      </c>
      <c r="B1811" s="40" t="n">
        <v>45908</v>
      </c>
      <c r="C1811" s="39" t="s">
        <v>144</v>
      </c>
      <c r="D1811" s="39" t="n">
        <v>2</v>
      </c>
      <c r="E1811" s="41" t="n">
        <v>57.2</v>
      </c>
      <c r="F1811" s="39" t="s">
        <v>115</v>
      </c>
      <c r="G1811" s="39" t="str">
        <f aca="false">VLOOKUP(C1811,Products!$A$5:$D$24,2,FALSE())</f>
        <v>Whiteboard</v>
      </c>
      <c r="H1811" s="39" t="str">
        <f aca="false">VLOOKUP(C1811,Products!$A$5:$D$24,3,FALSE())</f>
        <v>Furniture</v>
      </c>
      <c r="I1811" s="41" t="n">
        <f aca="false">VLOOKUP(C1811,Products!$A$5:$D$24,4,FALSE())</f>
        <v>28</v>
      </c>
      <c r="J1811" s="42" t="n">
        <f aca="false">DATE(YEAR(B1811),MONTH(B1811),1)</f>
        <v>45901</v>
      </c>
      <c r="K1811" s="41" t="n">
        <f aca="false">D1811*E1811</f>
        <v>114.4</v>
      </c>
      <c r="L1811" s="41" t="n">
        <f aca="false">D1811*I1811</f>
        <v>56</v>
      </c>
      <c r="M1811" s="41" t="n">
        <f aca="false">IFERROR(INDEX(Raw_Expenses!$C$5:$C$2979,MATCH(A1811,Raw_Expenses!$A$5:$A$2979,0)),0)</f>
        <v>5.25</v>
      </c>
      <c r="N1811" s="41" t="n">
        <f aca="false">L1811+M1811</f>
        <v>61.25</v>
      </c>
      <c r="O1811" s="41" t="n">
        <f aca="false">K1811-N1811</f>
        <v>53.15</v>
      </c>
      <c r="P1811" s="43" t="n">
        <f aca="false">IF(K1811=0,0,O1811/K1811)</f>
        <v>0.464597902097902</v>
      </c>
    </row>
    <row r="1812" customFormat="false" ht="15" hidden="false" customHeight="false" outlineLevel="0" collapsed="false">
      <c r="A1812" s="39" t="s">
        <v>1934</v>
      </c>
      <c r="B1812" s="40" t="n">
        <v>45908</v>
      </c>
      <c r="C1812" s="39" t="s">
        <v>104</v>
      </c>
      <c r="D1812" s="39" t="n">
        <v>6</v>
      </c>
      <c r="E1812" s="41" t="n">
        <v>15.52</v>
      </c>
      <c r="F1812" s="39" t="s">
        <v>118</v>
      </c>
      <c r="G1812" s="39" t="str">
        <f aca="false">VLOOKUP(C1812,Products!$A$5:$D$24,2,FALSE())</f>
        <v>Water Bottle</v>
      </c>
      <c r="H1812" s="39" t="str">
        <f aca="false">VLOOKUP(C1812,Products!$A$5:$D$24,3,FALSE())</f>
        <v>Accessories</v>
      </c>
      <c r="I1812" s="41" t="n">
        <f aca="false">VLOOKUP(C1812,Products!$A$5:$D$24,4,FALSE())</f>
        <v>5</v>
      </c>
      <c r="J1812" s="42" t="n">
        <f aca="false">DATE(YEAR(B1812),MONTH(B1812),1)</f>
        <v>45901</v>
      </c>
      <c r="K1812" s="41" t="n">
        <f aca="false">D1812*E1812</f>
        <v>93.12</v>
      </c>
      <c r="L1812" s="41" t="n">
        <f aca="false">D1812*I1812</f>
        <v>30</v>
      </c>
      <c r="M1812" s="41" t="n">
        <f aca="false">IFERROR(INDEX(Raw_Expenses!$C$5:$C$2979,MATCH(A1812,Raw_Expenses!$A$5:$A$2979,0)),0)</f>
        <v>7.08</v>
      </c>
      <c r="N1812" s="41" t="n">
        <f aca="false">L1812+M1812</f>
        <v>37.08</v>
      </c>
      <c r="O1812" s="41" t="n">
        <f aca="false">K1812-N1812</f>
        <v>56.04</v>
      </c>
      <c r="P1812" s="43" t="n">
        <f aca="false">IF(K1812=0,0,O1812/K1812)</f>
        <v>0.60180412371134</v>
      </c>
    </row>
    <row r="1813" customFormat="false" ht="15" hidden="false" customHeight="false" outlineLevel="0" collapsed="false">
      <c r="A1813" s="39" t="s">
        <v>1935</v>
      </c>
      <c r="B1813" s="40" t="n">
        <v>45909</v>
      </c>
      <c r="C1813" s="39" t="s">
        <v>162</v>
      </c>
      <c r="D1813" s="39" t="n">
        <v>2</v>
      </c>
      <c r="E1813" s="41" t="n">
        <v>67.77</v>
      </c>
      <c r="F1813" s="39" t="s">
        <v>105</v>
      </c>
      <c r="G1813" s="39" t="str">
        <f aca="false">VLOOKUP(C1813,Products!$A$5:$D$24,2,FALSE())</f>
        <v>Bluetooth Speaker</v>
      </c>
      <c r="H1813" s="39" t="str">
        <f aca="false">VLOOKUP(C1813,Products!$A$5:$D$24,3,FALSE())</f>
        <v>Electronics</v>
      </c>
      <c r="I1813" s="41" t="n">
        <f aca="false">VLOOKUP(C1813,Products!$A$5:$D$24,4,FALSE())</f>
        <v>28</v>
      </c>
      <c r="J1813" s="42" t="n">
        <f aca="false">DATE(YEAR(B1813),MONTH(B1813),1)</f>
        <v>45901</v>
      </c>
      <c r="K1813" s="41" t="n">
        <f aca="false">D1813*E1813</f>
        <v>135.54</v>
      </c>
      <c r="L1813" s="41" t="n">
        <f aca="false">D1813*I1813</f>
        <v>56</v>
      </c>
      <c r="M1813" s="41" t="n">
        <f aca="false">IFERROR(INDEX(Raw_Expenses!$C$5:$C$2979,MATCH(A1813,Raw_Expenses!$A$5:$A$2979,0)),0)</f>
        <v>6.24</v>
      </c>
      <c r="N1813" s="41" t="n">
        <f aca="false">L1813+M1813</f>
        <v>62.24</v>
      </c>
      <c r="O1813" s="41" t="n">
        <f aca="false">K1813-N1813</f>
        <v>73.3</v>
      </c>
      <c r="P1813" s="43" t="n">
        <f aca="false">IF(K1813=0,0,O1813/K1813)</f>
        <v>0.540799763907334</v>
      </c>
    </row>
    <row r="1814" customFormat="false" ht="15" hidden="false" customHeight="false" outlineLevel="0" collapsed="false">
      <c r="A1814" s="39" t="s">
        <v>1936</v>
      </c>
      <c r="B1814" s="40" t="n">
        <v>45909</v>
      </c>
      <c r="C1814" s="39" t="s">
        <v>110</v>
      </c>
      <c r="D1814" s="39" t="n">
        <v>8</v>
      </c>
      <c r="E1814" s="41" t="n">
        <v>13.78</v>
      </c>
      <c r="F1814" s="39" t="s">
        <v>108</v>
      </c>
      <c r="G1814" s="39" t="str">
        <f aca="false">VLOOKUP(C1814,Products!$A$5:$D$24,2,FALSE())</f>
        <v>Phone Stand</v>
      </c>
      <c r="H1814" s="39" t="str">
        <f aca="false">VLOOKUP(C1814,Products!$A$5:$D$24,3,FALSE())</f>
        <v>Accessories</v>
      </c>
      <c r="I1814" s="41" t="n">
        <f aca="false">VLOOKUP(C1814,Products!$A$5:$D$24,4,FALSE())</f>
        <v>4</v>
      </c>
      <c r="J1814" s="42" t="n">
        <f aca="false">DATE(YEAR(B1814),MONTH(B1814),1)</f>
        <v>45901</v>
      </c>
      <c r="K1814" s="41" t="n">
        <f aca="false">D1814*E1814</f>
        <v>110.24</v>
      </c>
      <c r="L1814" s="41" t="n">
        <f aca="false">D1814*I1814</f>
        <v>32</v>
      </c>
      <c r="M1814" s="41" t="n">
        <f aca="false">IFERROR(INDEX(Raw_Expenses!$C$5:$C$2979,MATCH(A1814,Raw_Expenses!$A$5:$A$2979,0)),0)</f>
        <v>7.82</v>
      </c>
      <c r="N1814" s="41" t="n">
        <f aca="false">L1814+M1814</f>
        <v>39.82</v>
      </c>
      <c r="O1814" s="41" t="n">
        <f aca="false">K1814-N1814</f>
        <v>70.42</v>
      </c>
      <c r="P1814" s="43" t="n">
        <f aca="false">IF(K1814=0,0,O1814/K1814)</f>
        <v>0.638788098693759</v>
      </c>
    </row>
    <row r="1815" customFormat="false" ht="15" hidden="false" customHeight="false" outlineLevel="0" collapsed="false">
      <c r="A1815" s="39" t="s">
        <v>1937</v>
      </c>
      <c r="B1815" s="40" t="n">
        <v>45909</v>
      </c>
      <c r="C1815" s="39" t="s">
        <v>136</v>
      </c>
      <c r="D1815" s="39" t="n">
        <v>1</v>
      </c>
      <c r="E1815" s="41" t="n">
        <v>76.11</v>
      </c>
      <c r="F1815" s="39" t="s">
        <v>115</v>
      </c>
      <c r="G1815" s="39" t="str">
        <f aca="false">VLOOKUP(C1815,Products!$A$5:$D$24,2,FALSE())</f>
        <v>Mechanical Keyboard</v>
      </c>
      <c r="H1815" s="39" t="str">
        <f aca="false">VLOOKUP(C1815,Products!$A$5:$D$24,3,FALSE())</f>
        <v>Electronics</v>
      </c>
      <c r="I1815" s="41" t="n">
        <f aca="false">VLOOKUP(C1815,Products!$A$5:$D$24,4,FALSE())</f>
        <v>38</v>
      </c>
      <c r="J1815" s="42" t="n">
        <f aca="false">DATE(YEAR(B1815),MONTH(B1815),1)</f>
        <v>45901</v>
      </c>
      <c r="K1815" s="41" t="n">
        <f aca="false">D1815*E1815</f>
        <v>76.11</v>
      </c>
      <c r="L1815" s="41" t="n">
        <f aca="false">D1815*I1815</f>
        <v>38</v>
      </c>
      <c r="M1815" s="41" t="n">
        <f aca="false">IFERROR(INDEX(Raw_Expenses!$C$5:$C$2979,MATCH(A1815,Raw_Expenses!$A$5:$A$2979,0)),0)</f>
        <v>5.14</v>
      </c>
      <c r="N1815" s="41" t="n">
        <f aca="false">L1815+M1815</f>
        <v>43.14</v>
      </c>
      <c r="O1815" s="41" t="n">
        <f aca="false">K1815-N1815</f>
        <v>32.97</v>
      </c>
      <c r="P1815" s="43" t="n">
        <f aca="false">IF(K1815=0,0,O1815/K1815)</f>
        <v>0.433188805675995</v>
      </c>
    </row>
    <row r="1816" customFormat="false" ht="15" hidden="false" customHeight="false" outlineLevel="0" collapsed="false">
      <c r="A1816" s="39" t="s">
        <v>1938</v>
      </c>
      <c r="B1816" s="40" t="n">
        <v>45909</v>
      </c>
      <c r="C1816" s="39" t="s">
        <v>117</v>
      </c>
      <c r="D1816" s="39" t="n">
        <v>1</v>
      </c>
      <c r="E1816" s="41" t="n">
        <v>29.73</v>
      </c>
      <c r="F1816" s="39" t="s">
        <v>108</v>
      </c>
      <c r="G1816" s="39" t="str">
        <f aca="false">VLOOKUP(C1816,Products!$A$5:$D$24,2,FALSE())</f>
        <v>Desk Lamp</v>
      </c>
      <c r="H1816" s="39" t="str">
        <f aca="false">VLOOKUP(C1816,Products!$A$5:$D$24,3,FALSE())</f>
        <v>Furniture</v>
      </c>
      <c r="I1816" s="41" t="n">
        <f aca="false">VLOOKUP(C1816,Products!$A$5:$D$24,4,FALSE())</f>
        <v>13</v>
      </c>
      <c r="J1816" s="42" t="n">
        <f aca="false">DATE(YEAR(B1816),MONTH(B1816),1)</f>
        <v>45901</v>
      </c>
      <c r="K1816" s="41" t="n">
        <f aca="false">D1816*E1816</f>
        <v>29.73</v>
      </c>
      <c r="L1816" s="41" t="n">
        <f aca="false">D1816*I1816</f>
        <v>13</v>
      </c>
      <c r="M1816" s="41" t="n">
        <f aca="false">IFERROR(INDEX(Raw_Expenses!$C$5:$C$2979,MATCH(A1816,Raw_Expenses!$A$5:$A$2979,0)),0)</f>
        <v>1.73</v>
      </c>
      <c r="N1816" s="41" t="n">
        <f aca="false">L1816+M1816</f>
        <v>14.73</v>
      </c>
      <c r="O1816" s="41" t="n">
        <f aca="false">K1816-N1816</f>
        <v>15</v>
      </c>
      <c r="P1816" s="43" t="n">
        <f aca="false">IF(K1816=0,0,O1816/K1816)</f>
        <v>0.504540867810293</v>
      </c>
    </row>
    <row r="1817" customFormat="false" ht="15" hidden="false" customHeight="false" outlineLevel="0" collapsed="false">
      <c r="A1817" s="39" t="s">
        <v>1939</v>
      </c>
      <c r="B1817" s="40" t="n">
        <v>45909</v>
      </c>
      <c r="C1817" s="39" t="s">
        <v>130</v>
      </c>
      <c r="D1817" s="39" t="n">
        <v>1</v>
      </c>
      <c r="E1817" s="41" t="n">
        <v>8.36</v>
      </c>
      <c r="F1817" s="39" t="s">
        <v>118</v>
      </c>
      <c r="G1817" s="39" t="str">
        <f aca="false">VLOOKUP(C1817,Products!$A$5:$D$24,2,FALSE())</f>
        <v>Notebook Set</v>
      </c>
      <c r="H1817" s="39" t="str">
        <f aca="false">VLOOKUP(C1817,Products!$A$5:$D$24,3,FALSE())</f>
        <v>Stationery</v>
      </c>
      <c r="I1817" s="41" t="n">
        <f aca="false">VLOOKUP(C1817,Products!$A$5:$D$24,4,FALSE())</f>
        <v>3</v>
      </c>
      <c r="J1817" s="42" t="n">
        <f aca="false">DATE(YEAR(B1817),MONTH(B1817),1)</f>
        <v>45901</v>
      </c>
      <c r="K1817" s="41" t="n">
        <f aca="false">D1817*E1817</f>
        <v>8.36</v>
      </c>
      <c r="L1817" s="41" t="n">
        <f aca="false">D1817*I1817</f>
        <v>3</v>
      </c>
      <c r="M1817" s="41" t="n">
        <f aca="false">IFERROR(INDEX(Raw_Expenses!$C$5:$C$2979,MATCH(A1817,Raw_Expenses!$A$5:$A$2979,0)),0)</f>
        <v>0.63</v>
      </c>
      <c r="N1817" s="41" t="n">
        <f aca="false">L1817+M1817</f>
        <v>3.63</v>
      </c>
      <c r="O1817" s="41" t="n">
        <f aca="false">K1817-N1817</f>
        <v>4.73</v>
      </c>
      <c r="P1817" s="43" t="n">
        <f aca="false">IF(K1817=0,0,O1817/K1817)</f>
        <v>0.565789473684211</v>
      </c>
    </row>
    <row r="1818" customFormat="false" ht="15" hidden="false" customHeight="false" outlineLevel="0" collapsed="false">
      <c r="A1818" s="39" t="s">
        <v>1940</v>
      </c>
      <c r="B1818" s="40" t="n">
        <v>45909</v>
      </c>
      <c r="C1818" s="39" t="s">
        <v>162</v>
      </c>
      <c r="D1818" s="39" t="n">
        <v>1</v>
      </c>
      <c r="E1818" s="41" t="n">
        <v>64.24</v>
      </c>
      <c r="F1818" s="39" t="s">
        <v>108</v>
      </c>
      <c r="G1818" s="39" t="str">
        <f aca="false">VLOOKUP(C1818,Products!$A$5:$D$24,2,FALSE())</f>
        <v>Bluetooth Speaker</v>
      </c>
      <c r="H1818" s="39" t="str">
        <f aca="false">VLOOKUP(C1818,Products!$A$5:$D$24,3,FALSE())</f>
        <v>Electronics</v>
      </c>
      <c r="I1818" s="41" t="n">
        <f aca="false">VLOOKUP(C1818,Products!$A$5:$D$24,4,FALSE())</f>
        <v>28</v>
      </c>
      <c r="J1818" s="42" t="n">
        <f aca="false">DATE(YEAR(B1818),MONTH(B1818),1)</f>
        <v>45901</v>
      </c>
      <c r="K1818" s="41" t="n">
        <f aca="false">D1818*E1818</f>
        <v>64.24</v>
      </c>
      <c r="L1818" s="41" t="n">
        <f aca="false">D1818*I1818</f>
        <v>28</v>
      </c>
      <c r="M1818" s="41" t="n">
        <f aca="false">IFERROR(INDEX(Raw_Expenses!$C$5:$C$2979,MATCH(A1818,Raw_Expenses!$A$5:$A$2979,0)),0)</f>
        <v>4.88</v>
      </c>
      <c r="N1818" s="41" t="n">
        <f aca="false">L1818+M1818</f>
        <v>32.88</v>
      </c>
      <c r="O1818" s="41" t="n">
        <f aca="false">K1818-N1818</f>
        <v>31.36</v>
      </c>
      <c r="P1818" s="43" t="n">
        <f aca="false">IF(K1818=0,0,O1818/K1818)</f>
        <v>0.488169364881694</v>
      </c>
    </row>
    <row r="1819" customFormat="false" ht="15" hidden="false" customHeight="false" outlineLevel="0" collapsed="false">
      <c r="A1819" s="39" t="s">
        <v>1941</v>
      </c>
      <c r="B1819" s="40" t="n">
        <v>45909</v>
      </c>
      <c r="C1819" s="39" t="s">
        <v>183</v>
      </c>
      <c r="D1819" s="39" t="n">
        <v>4</v>
      </c>
      <c r="E1819" s="41" t="n">
        <v>188.06</v>
      </c>
      <c r="F1819" s="39" t="s">
        <v>108</v>
      </c>
      <c r="G1819" s="39" t="str">
        <f aca="false">VLOOKUP(C1819,Products!$A$5:$D$24,2,FALSE())</f>
        <v>Office Chair</v>
      </c>
      <c r="H1819" s="39" t="str">
        <f aca="false">VLOOKUP(C1819,Products!$A$5:$D$24,3,FALSE())</f>
        <v>Furniture</v>
      </c>
      <c r="I1819" s="41" t="n">
        <f aca="false">VLOOKUP(C1819,Products!$A$5:$D$24,4,FALSE())</f>
        <v>85</v>
      </c>
      <c r="J1819" s="42" t="n">
        <f aca="false">DATE(YEAR(B1819),MONTH(B1819),1)</f>
        <v>45901</v>
      </c>
      <c r="K1819" s="41" t="n">
        <f aca="false">D1819*E1819</f>
        <v>752.24</v>
      </c>
      <c r="L1819" s="41" t="n">
        <f aca="false">D1819*I1819</f>
        <v>340</v>
      </c>
      <c r="M1819" s="41" t="n">
        <f aca="false">IFERROR(INDEX(Raw_Expenses!$C$5:$C$2979,MATCH(A1819,Raw_Expenses!$A$5:$A$2979,0)),0)</f>
        <v>39.49</v>
      </c>
      <c r="N1819" s="41" t="n">
        <f aca="false">L1819+M1819</f>
        <v>379.49</v>
      </c>
      <c r="O1819" s="41" t="n">
        <f aca="false">K1819-N1819</f>
        <v>372.75</v>
      </c>
      <c r="P1819" s="43" t="n">
        <f aca="false">IF(K1819=0,0,O1819/K1819)</f>
        <v>0.495520046793577</v>
      </c>
    </row>
    <row r="1820" customFormat="false" ht="15" hidden="false" customHeight="false" outlineLevel="0" collapsed="false">
      <c r="A1820" s="39" t="s">
        <v>1942</v>
      </c>
      <c r="B1820" s="40" t="n">
        <v>45909</v>
      </c>
      <c r="C1820" s="39" t="s">
        <v>133</v>
      </c>
      <c r="D1820" s="39" t="n">
        <v>2</v>
      </c>
      <c r="E1820" s="41" t="n">
        <v>8.89</v>
      </c>
      <c r="F1820" s="39" t="s">
        <v>108</v>
      </c>
      <c r="G1820" s="39" t="str">
        <f aca="false">VLOOKUP(C1820,Products!$A$5:$D$24,2,FALSE())</f>
        <v>Printer Paper Ream</v>
      </c>
      <c r="H1820" s="39" t="str">
        <f aca="false">VLOOKUP(C1820,Products!$A$5:$D$24,3,FALSE())</f>
        <v>Stationery</v>
      </c>
      <c r="I1820" s="41" t="n">
        <f aca="false">VLOOKUP(C1820,Products!$A$5:$D$24,4,FALSE())</f>
        <v>4</v>
      </c>
      <c r="J1820" s="42" t="n">
        <f aca="false">DATE(YEAR(B1820),MONTH(B1820),1)</f>
        <v>45901</v>
      </c>
      <c r="K1820" s="41" t="n">
        <f aca="false">D1820*E1820</f>
        <v>17.78</v>
      </c>
      <c r="L1820" s="41" t="n">
        <f aca="false">D1820*I1820</f>
        <v>8</v>
      </c>
      <c r="M1820" s="41" t="n">
        <f aca="false">IFERROR(INDEX(Raw_Expenses!$C$5:$C$2979,MATCH(A1820,Raw_Expenses!$A$5:$A$2979,0)),0)</f>
        <v>0.94</v>
      </c>
      <c r="N1820" s="41" t="n">
        <f aca="false">L1820+M1820</f>
        <v>8.94</v>
      </c>
      <c r="O1820" s="41" t="n">
        <f aca="false">K1820-N1820</f>
        <v>8.84</v>
      </c>
      <c r="P1820" s="43" t="n">
        <f aca="false">IF(K1820=0,0,O1820/K1820)</f>
        <v>0.49718785151856</v>
      </c>
    </row>
    <row r="1821" customFormat="false" ht="15" hidden="false" customHeight="false" outlineLevel="0" collapsed="false">
      <c r="A1821" s="39" t="s">
        <v>1943</v>
      </c>
      <c r="B1821" s="40" t="n">
        <v>45909</v>
      </c>
      <c r="C1821" s="39" t="s">
        <v>110</v>
      </c>
      <c r="D1821" s="39" t="n">
        <v>5</v>
      </c>
      <c r="E1821" s="41" t="n">
        <v>13.53</v>
      </c>
      <c r="F1821" s="39" t="s">
        <v>108</v>
      </c>
      <c r="G1821" s="39" t="str">
        <f aca="false">VLOOKUP(C1821,Products!$A$5:$D$24,2,FALSE())</f>
        <v>Phone Stand</v>
      </c>
      <c r="H1821" s="39" t="str">
        <f aca="false">VLOOKUP(C1821,Products!$A$5:$D$24,3,FALSE())</f>
        <v>Accessories</v>
      </c>
      <c r="I1821" s="41" t="n">
        <f aca="false">VLOOKUP(C1821,Products!$A$5:$D$24,4,FALSE())</f>
        <v>4</v>
      </c>
      <c r="J1821" s="42" t="n">
        <f aca="false">DATE(YEAR(B1821),MONTH(B1821),1)</f>
        <v>45901</v>
      </c>
      <c r="K1821" s="41" t="n">
        <f aca="false">D1821*E1821</f>
        <v>67.65</v>
      </c>
      <c r="L1821" s="41" t="n">
        <f aca="false">D1821*I1821</f>
        <v>20</v>
      </c>
      <c r="M1821" s="41" t="n">
        <f aca="false">IFERROR(INDEX(Raw_Expenses!$C$5:$C$2979,MATCH(A1821,Raw_Expenses!$A$5:$A$2979,0)),0)</f>
        <v>5.16</v>
      </c>
      <c r="N1821" s="41" t="n">
        <f aca="false">L1821+M1821</f>
        <v>25.16</v>
      </c>
      <c r="O1821" s="41" t="n">
        <f aca="false">K1821-N1821</f>
        <v>42.49</v>
      </c>
      <c r="P1821" s="43" t="n">
        <f aca="false">IF(K1821=0,0,O1821/K1821)</f>
        <v>0.628085735402809</v>
      </c>
    </row>
    <row r="1822" customFormat="false" ht="15" hidden="false" customHeight="false" outlineLevel="0" collapsed="false">
      <c r="A1822" s="39" t="s">
        <v>1944</v>
      </c>
      <c r="B1822" s="40" t="n">
        <v>45910</v>
      </c>
      <c r="C1822" s="39" t="s">
        <v>107</v>
      </c>
      <c r="D1822" s="39" t="n">
        <v>1</v>
      </c>
      <c r="E1822" s="41" t="n">
        <v>34.83</v>
      </c>
      <c r="F1822" s="39" t="s">
        <v>108</v>
      </c>
      <c r="G1822" s="39" t="str">
        <f aca="false">VLOOKUP(C1822,Products!$A$5:$D$24,2,FALSE())</f>
        <v>USB-C Hub</v>
      </c>
      <c r="H1822" s="39" t="str">
        <f aca="false">VLOOKUP(C1822,Products!$A$5:$D$24,3,FALSE())</f>
        <v>Electronics</v>
      </c>
      <c r="I1822" s="41" t="n">
        <f aca="false">VLOOKUP(C1822,Products!$A$5:$D$24,4,FALSE())</f>
        <v>14</v>
      </c>
      <c r="J1822" s="42" t="n">
        <f aca="false">DATE(YEAR(B1822),MONTH(B1822),1)</f>
        <v>45901</v>
      </c>
      <c r="K1822" s="41" t="n">
        <f aca="false">D1822*E1822</f>
        <v>34.83</v>
      </c>
      <c r="L1822" s="41" t="n">
        <f aca="false">D1822*I1822</f>
        <v>14</v>
      </c>
      <c r="M1822" s="41" t="n">
        <f aca="false">IFERROR(INDEX(Raw_Expenses!$C$5:$C$2979,MATCH(A1822,Raw_Expenses!$A$5:$A$2979,0)),0)</f>
        <v>1.56</v>
      </c>
      <c r="N1822" s="41" t="n">
        <f aca="false">L1822+M1822</f>
        <v>15.56</v>
      </c>
      <c r="O1822" s="41" t="n">
        <f aca="false">K1822-N1822</f>
        <v>19.27</v>
      </c>
      <c r="P1822" s="43" t="n">
        <f aca="false">IF(K1822=0,0,O1822/K1822)</f>
        <v>0.553258685041631</v>
      </c>
    </row>
    <row r="1823" customFormat="false" ht="15" hidden="false" customHeight="false" outlineLevel="0" collapsed="false">
      <c r="A1823" s="39" t="s">
        <v>1945</v>
      </c>
      <c r="B1823" s="40" t="n">
        <v>45910</v>
      </c>
      <c r="C1823" s="39" t="s">
        <v>110</v>
      </c>
      <c r="D1823" s="39" t="n">
        <v>1</v>
      </c>
      <c r="E1823" s="41" t="n">
        <v>13.77</v>
      </c>
      <c r="F1823" s="39" t="s">
        <v>108</v>
      </c>
      <c r="G1823" s="39" t="str">
        <f aca="false">VLOOKUP(C1823,Products!$A$5:$D$24,2,FALSE())</f>
        <v>Phone Stand</v>
      </c>
      <c r="H1823" s="39" t="str">
        <f aca="false">VLOOKUP(C1823,Products!$A$5:$D$24,3,FALSE())</f>
        <v>Accessories</v>
      </c>
      <c r="I1823" s="41" t="n">
        <f aca="false">VLOOKUP(C1823,Products!$A$5:$D$24,4,FALSE())</f>
        <v>4</v>
      </c>
      <c r="J1823" s="42" t="n">
        <f aca="false">DATE(YEAR(B1823),MONTH(B1823),1)</f>
        <v>45901</v>
      </c>
      <c r="K1823" s="41" t="n">
        <f aca="false">D1823*E1823</f>
        <v>13.77</v>
      </c>
      <c r="L1823" s="41" t="n">
        <f aca="false">D1823*I1823</f>
        <v>4</v>
      </c>
      <c r="M1823" s="41" t="n">
        <f aca="false">IFERROR(INDEX(Raw_Expenses!$C$5:$C$2979,MATCH(A1823,Raw_Expenses!$A$5:$A$2979,0)),0)</f>
        <v>1.07</v>
      </c>
      <c r="N1823" s="41" t="n">
        <f aca="false">L1823+M1823</f>
        <v>5.07</v>
      </c>
      <c r="O1823" s="41" t="n">
        <f aca="false">K1823-N1823</f>
        <v>8.7</v>
      </c>
      <c r="P1823" s="43" t="n">
        <f aca="false">IF(K1823=0,0,O1823/K1823)</f>
        <v>0.631808278867102</v>
      </c>
    </row>
    <row r="1824" customFormat="false" ht="15" hidden="false" customHeight="false" outlineLevel="0" collapsed="false">
      <c r="A1824" s="39" t="s">
        <v>1946</v>
      </c>
      <c r="B1824" s="40" t="n">
        <v>45910</v>
      </c>
      <c r="C1824" s="39" t="s">
        <v>112</v>
      </c>
      <c r="D1824" s="39" t="n">
        <v>4</v>
      </c>
      <c r="E1824" s="41" t="n">
        <v>54.04</v>
      </c>
      <c r="F1824" s="39" t="s">
        <v>115</v>
      </c>
      <c r="G1824" s="39" t="str">
        <f aca="false">VLOOKUP(C1824,Products!$A$5:$D$24,2,FALSE())</f>
        <v>HD Webcam</v>
      </c>
      <c r="H1824" s="39" t="str">
        <f aca="false">VLOOKUP(C1824,Products!$A$5:$D$24,3,FALSE())</f>
        <v>Electronics</v>
      </c>
      <c r="I1824" s="41" t="n">
        <f aca="false">VLOOKUP(C1824,Products!$A$5:$D$24,4,FALSE())</f>
        <v>22</v>
      </c>
      <c r="J1824" s="42" t="n">
        <f aca="false">DATE(YEAR(B1824),MONTH(B1824),1)</f>
        <v>45901</v>
      </c>
      <c r="K1824" s="41" t="n">
        <f aca="false">D1824*E1824</f>
        <v>216.16</v>
      </c>
      <c r="L1824" s="41" t="n">
        <f aca="false">D1824*I1824</f>
        <v>88</v>
      </c>
      <c r="M1824" s="41" t="n">
        <f aca="false">IFERROR(INDEX(Raw_Expenses!$C$5:$C$2979,MATCH(A1824,Raw_Expenses!$A$5:$A$2979,0)),0)</f>
        <v>8.75</v>
      </c>
      <c r="N1824" s="41" t="n">
        <f aca="false">L1824+M1824</f>
        <v>96.75</v>
      </c>
      <c r="O1824" s="41" t="n">
        <f aca="false">K1824-N1824</f>
        <v>119.41</v>
      </c>
      <c r="P1824" s="43" t="n">
        <f aca="false">IF(K1824=0,0,O1824/K1824)</f>
        <v>0.552414877868246</v>
      </c>
    </row>
    <row r="1825" customFormat="false" ht="15" hidden="false" customHeight="false" outlineLevel="0" collapsed="false">
      <c r="A1825" s="39" t="s">
        <v>1947</v>
      </c>
      <c r="B1825" s="40" t="n">
        <v>45910</v>
      </c>
      <c r="C1825" s="39" t="s">
        <v>126</v>
      </c>
      <c r="D1825" s="39" t="n">
        <v>5</v>
      </c>
      <c r="E1825" s="41" t="n">
        <v>24.6</v>
      </c>
      <c r="F1825" s="39" t="s">
        <v>115</v>
      </c>
      <c r="G1825" s="39" t="str">
        <f aca="false">VLOOKUP(C1825,Products!$A$5:$D$24,2,FALSE())</f>
        <v>Wireless Mouse</v>
      </c>
      <c r="H1825" s="39" t="str">
        <f aca="false">VLOOKUP(C1825,Products!$A$5:$D$24,3,FALSE())</f>
        <v>Electronics</v>
      </c>
      <c r="I1825" s="41" t="n">
        <f aca="false">VLOOKUP(C1825,Products!$A$5:$D$24,4,FALSE())</f>
        <v>12</v>
      </c>
      <c r="J1825" s="42" t="n">
        <f aca="false">DATE(YEAR(B1825),MONTH(B1825),1)</f>
        <v>45901</v>
      </c>
      <c r="K1825" s="41" t="n">
        <f aca="false">D1825*E1825</f>
        <v>123</v>
      </c>
      <c r="L1825" s="41" t="n">
        <f aca="false">D1825*I1825</f>
        <v>60</v>
      </c>
      <c r="M1825" s="41" t="n">
        <f aca="false">IFERROR(INDEX(Raw_Expenses!$C$5:$C$2979,MATCH(A1825,Raw_Expenses!$A$5:$A$2979,0)),0)</f>
        <v>8.65</v>
      </c>
      <c r="N1825" s="41" t="n">
        <f aca="false">L1825+M1825</f>
        <v>68.65</v>
      </c>
      <c r="O1825" s="41" t="n">
        <f aca="false">K1825-N1825</f>
        <v>54.35</v>
      </c>
      <c r="P1825" s="43" t="n">
        <f aca="false">IF(K1825=0,0,O1825/K1825)</f>
        <v>0.441869918699187</v>
      </c>
    </row>
    <row r="1826" customFormat="false" ht="15" hidden="false" customHeight="false" outlineLevel="0" collapsed="false">
      <c r="A1826" s="39" t="s">
        <v>1948</v>
      </c>
      <c r="B1826" s="40" t="n">
        <v>45910</v>
      </c>
      <c r="C1826" s="39" t="s">
        <v>130</v>
      </c>
      <c r="D1826" s="39" t="n">
        <v>4</v>
      </c>
      <c r="E1826" s="41" t="n">
        <v>8.39</v>
      </c>
      <c r="F1826" s="39" t="s">
        <v>118</v>
      </c>
      <c r="G1826" s="39" t="str">
        <f aca="false">VLOOKUP(C1826,Products!$A$5:$D$24,2,FALSE())</f>
        <v>Notebook Set</v>
      </c>
      <c r="H1826" s="39" t="str">
        <f aca="false">VLOOKUP(C1826,Products!$A$5:$D$24,3,FALSE())</f>
        <v>Stationery</v>
      </c>
      <c r="I1826" s="41" t="n">
        <f aca="false">VLOOKUP(C1826,Products!$A$5:$D$24,4,FALSE())</f>
        <v>3</v>
      </c>
      <c r="J1826" s="42" t="n">
        <f aca="false">DATE(YEAR(B1826),MONTH(B1826),1)</f>
        <v>45901</v>
      </c>
      <c r="K1826" s="41" t="n">
        <f aca="false">D1826*E1826</f>
        <v>33.56</v>
      </c>
      <c r="L1826" s="41" t="n">
        <f aca="false">D1826*I1826</f>
        <v>12</v>
      </c>
      <c r="M1826" s="41" t="n">
        <f aca="false">IFERROR(INDEX(Raw_Expenses!$C$5:$C$2979,MATCH(A1826,Raw_Expenses!$A$5:$A$2979,0)),0)</f>
        <v>2.29</v>
      </c>
      <c r="N1826" s="41" t="n">
        <f aca="false">L1826+M1826</f>
        <v>14.29</v>
      </c>
      <c r="O1826" s="41" t="n">
        <f aca="false">K1826-N1826</f>
        <v>19.27</v>
      </c>
      <c r="P1826" s="43" t="n">
        <f aca="false">IF(K1826=0,0,O1826/K1826)</f>
        <v>0.57419547079857</v>
      </c>
    </row>
    <row r="1827" customFormat="false" ht="15" hidden="false" customHeight="false" outlineLevel="0" collapsed="false">
      <c r="A1827" s="39" t="s">
        <v>1949</v>
      </c>
      <c r="B1827" s="40" t="n">
        <v>45910</v>
      </c>
      <c r="C1827" s="39" t="s">
        <v>114</v>
      </c>
      <c r="D1827" s="39" t="n">
        <v>5</v>
      </c>
      <c r="E1827" s="41" t="n">
        <v>5.85</v>
      </c>
      <c r="F1827" s="39" t="s">
        <v>105</v>
      </c>
      <c r="G1827" s="39" t="str">
        <f aca="false">VLOOKUP(C1827,Products!$A$5:$D$24,2,FALSE())</f>
        <v>Gel Pen Pack</v>
      </c>
      <c r="H1827" s="39" t="str">
        <f aca="false">VLOOKUP(C1827,Products!$A$5:$D$24,3,FALSE())</f>
        <v>Stationery</v>
      </c>
      <c r="I1827" s="41" t="n">
        <f aca="false">VLOOKUP(C1827,Products!$A$5:$D$24,4,FALSE())</f>
        <v>2</v>
      </c>
      <c r="J1827" s="42" t="n">
        <f aca="false">DATE(YEAR(B1827),MONTH(B1827),1)</f>
        <v>45901</v>
      </c>
      <c r="K1827" s="41" t="n">
        <f aca="false">D1827*E1827</f>
        <v>29.25</v>
      </c>
      <c r="L1827" s="41" t="n">
        <f aca="false">D1827*I1827</f>
        <v>10</v>
      </c>
      <c r="M1827" s="41" t="n">
        <f aca="false">IFERROR(INDEX(Raw_Expenses!$C$5:$C$2979,MATCH(A1827,Raw_Expenses!$A$5:$A$2979,0)),0)</f>
        <v>1.69</v>
      </c>
      <c r="N1827" s="41" t="n">
        <f aca="false">L1827+M1827</f>
        <v>11.69</v>
      </c>
      <c r="O1827" s="41" t="n">
        <f aca="false">K1827-N1827</f>
        <v>17.56</v>
      </c>
      <c r="P1827" s="43" t="n">
        <f aca="false">IF(K1827=0,0,O1827/K1827)</f>
        <v>0.60034188034188</v>
      </c>
    </row>
    <row r="1828" customFormat="false" ht="15" hidden="false" customHeight="false" outlineLevel="0" collapsed="false">
      <c r="A1828" s="39" t="s">
        <v>1950</v>
      </c>
      <c r="B1828" s="40" t="n">
        <v>45910</v>
      </c>
      <c r="C1828" s="39" t="s">
        <v>126</v>
      </c>
      <c r="D1828" s="39" t="n">
        <v>6</v>
      </c>
      <c r="E1828" s="41" t="n">
        <v>23.94</v>
      </c>
      <c r="F1828" s="39" t="s">
        <v>108</v>
      </c>
      <c r="G1828" s="39" t="str">
        <f aca="false">VLOOKUP(C1828,Products!$A$5:$D$24,2,FALSE())</f>
        <v>Wireless Mouse</v>
      </c>
      <c r="H1828" s="39" t="str">
        <f aca="false">VLOOKUP(C1828,Products!$A$5:$D$24,3,FALSE())</f>
        <v>Electronics</v>
      </c>
      <c r="I1828" s="41" t="n">
        <f aca="false">VLOOKUP(C1828,Products!$A$5:$D$24,4,FALSE())</f>
        <v>12</v>
      </c>
      <c r="J1828" s="42" t="n">
        <f aca="false">DATE(YEAR(B1828),MONTH(B1828),1)</f>
        <v>45901</v>
      </c>
      <c r="K1828" s="41" t="n">
        <f aca="false">D1828*E1828</f>
        <v>143.64</v>
      </c>
      <c r="L1828" s="41" t="n">
        <f aca="false">D1828*I1828</f>
        <v>72</v>
      </c>
      <c r="M1828" s="41" t="n">
        <f aca="false">IFERROR(INDEX(Raw_Expenses!$C$5:$C$2979,MATCH(A1828,Raw_Expenses!$A$5:$A$2979,0)),0)</f>
        <v>10.97</v>
      </c>
      <c r="N1828" s="41" t="n">
        <f aca="false">L1828+M1828</f>
        <v>82.97</v>
      </c>
      <c r="O1828" s="41" t="n">
        <f aca="false">K1828-N1828</f>
        <v>60.67</v>
      </c>
      <c r="P1828" s="43" t="n">
        <f aca="false">IF(K1828=0,0,O1828/K1828)</f>
        <v>0.422375382901699</v>
      </c>
    </row>
    <row r="1829" customFormat="false" ht="15" hidden="false" customHeight="false" outlineLevel="0" collapsed="false">
      <c r="A1829" s="39" t="s">
        <v>1951</v>
      </c>
      <c r="B1829" s="40" t="n">
        <v>45910</v>
      </c>
      <c r="C1829" s="39" t="s">
        <v>110</v>
      </c>
      <c r="D1829" s="39" t="n">
        <v>2</v>
      </c>
      <c r="E1829" s="41" t="n">
        <v>12.96</v>
      </c>
      <c r="F1829" s="39" t="s">
        <v>118</v>
      </c>
      <c r="G1829" s="39" t="str">
        <f aca="false">VLOOKUP(C1829,Products!$A$5:$D$24,2,FALSE())</f>
        <v>Phone Stand</v>
      </c>
      <c r="H1829" s="39" t="str">
        <f aca="false">VLOOKUP(C1829,Products!$A$5:$D$24,3,FALSE())</f>
        <v>Accessories</v>
      </c>
      <c r="I1829" s="41" t="n">
        <f aca="false">VLOOKUP(C1829,Products!$A$5:$D$24,4,FALSE())</f>
        <v>4</v>
      </c>
      <c r="J1829" s="42" t="n">
        <f aca="false">DATE(YEAR(B1829),MONTH(B1829),1)</f>
        <v>45901</v>
      </c>
      <c r="K1829" s="41" t="n">
        <f aca="false">D1829*E1829</f>
        <v>25.92</v>
      </c>
      <c r="L1829" s="41" t="n">
        <f aca="false">D1829*I1829</f>
        <v>8</v>
      </c>
      <c r="M1829" s="41" t="n">
        <f aca="false">IFERROR(INDEX(Raw_Expenses!$C$5:$C$2979,MATCH(A1829,Raw_Expenses!$A$5:$A$2979,0)),0)</f>
        <v>1.56</v>
      </c>
      <c r="N1829" s="41" t="n">
        <f aca="false">L1829+M1829</f>
        <v>9.56</v>
      </c>
      <c r="O1829" s="41" t="n">
        <f aca="false">K1829-N1829</f>
        <v>16.36</v>
      </c>
      <c r="P1829" s="43" t="n">
        <f aca="false">IF(K1829=0,0,O1829/K1829)</f>
        <v>0.631172839506173</v>
      </c>
    </row>
    <row r="1830" customFormat="false" ht="15" hidden="false" customHeight="false" outlineLevel="0" collapsed="false">
      <c r="A1830" s="39" t="s">
        <v>1952</v>
      </c>
      <c r="B1830" s="40" t="n">
        <v>45910</v>
      </c>
      <c r="C1830" s="39" t="s">
        <v>183</v>
      </c>
      <c r="D1830" s="39" t="n">
        <v>2</v>
      </c>
      <c r="E1830" s="41" t="n">
        <v>184.04</v>
      </c>
      <c r="F1830" s="39" t="s">
        <v>108</v>
      </c>
      <c r="G1830" s="39" t="str">
        <f aca="false">VLOOKUP(C1830,Products!$A$5:$D$24,2,FALSE())</f>
        <v>Office Chair</v>
      </c>
      <c r="H1830" s="39" t="str">
        <f aca="false">VLOOKUP(C1830,Products!$A$5:$D$24,3,FALSE())</f>
        <v>Furniture</v>
      </c>
      <c r="I1830" s="41" t="n">
        <f aca="false">VLOOKUP(C1830,Products!$A$5:$D$24,4,FALSE())</f>
        <v>85</v>
      </c>
      <c r="J1830" s="42" t="n">
        <f aca="false">DATE(YEAR(B1830),MONTH(B1830),1)</f>
        <v>45901</v>
      </c>
      <c r="K1830" s="41" t="n">
        <f aca="false">D1830*E1830</f>
        <v>368.08</v>
      </c>
      <c r="L1830" s="41" t="n">
        <f aca="false">D1830*I1830</f>
        <v>170</v>
      </c>
      <c r="M1830" s="41" t="n">
        <f aca="false">IFERROR(INDEX(Raw_Expenses!$C$5:$C$2979,MATCH(A1830,Raw_Expenses!$A$5:$A$2979,0)),0)</f>
        <v>32.04</v>
      </c>
      <c r="N1830" s="41" t="n">
        <f aca="false">L1830+M1830</f>
        <v>202.04</v>
      </c>
      <c r="O1830" s="41" t="n">
        <f aca="false">K1830-N1830</f>
        <v>166.04</v>
      </c>
      <c r="P1830" s="43" t="n">
        <f aca="false">IF(K1830=0,0,O1830/K1830)</f>
        <v>0.451097587480982</v>
      </c>
    </row>
    <row r="1831" customFormat="false" ht="15" hidden="false" customHeight="false" outlineLevel="0" collapsed="false">
      <c r="A1831" s="39" t="s">
        <v>1953</v>
      </c>
      <c r="B1831" s="40" t="n">
        <v>45910</v>
      </c>
      <c r="C1831" s="39" t="s">
        <v>153</v>
      </c>
      <c r="D1831" s="39" t="n">
        <v>6</v>
      </c>
      <c r="E1831" s="41" t="n">
        <v>166.87</v>
      </c>
      <c r="F1831" s="39" t="s">
        <v>108</v>
      </c>
      <c r="G1831" s="39" t="str">
        <f aca="false">VLOOKUP(C1831,Products!$A$5:$D$24,2,FALSE())</f>
        <v>24-inch Monitor</v>
      </c>
      <c r="H1831" s="39" t="str">
        <f aca="false">VLOOKUP(C1831,Products!$A$5:$D$24,3,FALSE())</f>
        <v>Electronics</v>
      </c>
      <c r="I1831" s="41" t="n">
        <f aca="false">VLOOKUP(C1831,Products!$A$5:$D$24,4,FALSE())</f>
        <v>90</v>
      </c>
      <c r="J1831" s="42" t="n">
        <f aca="false">DATE(YEAR(B1831),MONTH(B1831),1)</f>
        <v>45901</v>
      </c>
      <c r="K1831" s="41" t="n">
        <f aca="false">D1831*E1831</f>
        <v>1001.22</v>
      </c>
      <c r="L1831" s="41" t="n">
        <f aca="false">D1831*I1831</f>
        <v>540</v>
      </c>
      <c r="M1831" s="41" t="n">
        <f aca="false">IFERROR(INDEX(Raw_Expenses!$C$5:$C$2979,MATCH(A1831,Raw_Expenses!$A$5:$A$2979,0)),0)</f>
        <v>52.21</v>
      </c>
      <c r="N1831" s="41" t="n">
        <f aca="false">L1831+M1831</f>
        <v>592.21</v>
      </c>
      <c r="O1831" s="41" t="n">
        <f aca="false">K1831-N1831</f>
        <v>409.01</v>
      </c>
      <c r="P1831" s="43" t="n">
        <f aca="false">IF(K1831=0,0,O1831/K1831)</f>
        <v>0.408511615828689</v>
      </c>
    </row>
    <row r="1832" customFormat="false" ht="15" hidden="false" customHeight="false" outlineLevel="0" collapsed="false">
      <c r="A1832" s="39" t="s">
        <v>1954</v>
      </c>
      <c r="B1832" s="40" t="n">
        <v>45911</v>
      </c>
      <c r="C1832" s="39" t="s">
        <v>169</v>
      </c>
      <c r="D1832" s="39" t="n">
        <v>2</v>
      </c>
      <c r="E1832" s="41" t="n">
        <v>27.19</v>
      </c>
      <c r="F1832" s="39" t="s">
        <v>115</v>
      </c>
      <c r="G1832" s="39" t="str">
        <f aca="false">VLOOKUP(C1832,Products!$A$5:$D$24,2,FALSE())</f>
        <v>Laptop Stand</v>
      </c>
      <c r="H1832" s="39" t="str">
        <f aca="false">VLOOKUP(C1832,Products!$A$5:$D$24,3,FALSE())</f>
        <v>Accessories</v>
      </c>
      <c r="I1832" s="41" t="n">
        <f aca="false">VLOOKUP(C1832,Products!$A$5:$D$24,4,FALSE())</f>
        <v>11</v>
      </c>
      <c r="J1832" s="42" t="n">
        <f aca="false">DATE(YEAR(B1832),MONTH(B1832),1)</f>
        <v>45901</v>
      </c>
      <c r="K1832" s="41" t="n">
        <f aca="false">D1832*E1832</f>
        <v>54.38</v>
      </c>
      <c r="L1832" s="41" t="n">
        <f aca="false">D1832*I1832</f>
        <v>22</v>
      </c>
      <c r="M1832" s="41" t="n">
        <f aca="false">IFERROR(INDEX(Raw_Expenses!$C$5:$C$2979,MATCH(A1832,Raw_Expenses!$A$5:$A$2979,0)),0)</f>
        <v>2.61</v>
      </c>
      <c r="N1832" s="41" t="n">
        <f aca="false">L1832+M1832</f>
        <v>24.61</v>
      </c>
      <c r="O1832" s="41" t="n">
        <f aca="false">K1832-N1832</f>
        <v>29.77</v>
      </c>
      <c r="P1832" s="43" t="n">
        <f aca="false">IF(K1832=0,0,O1832/K1832)</f>
        <v>0.547443913203384</v>
      </c>
    </row>
    <row r="1833" customFormat="false" ht="15" hidden="false" customHeight="false" outlineLevel="0" collapsed="false">
      <c r="A1833" s="39" t="s">
        <v>1955</v>
      </c>
      <c r="B1833" s="40" t="n">
        <v>45911</v>
      </c>
      <c r="C1833" s="39" t="s">
        <v>117</v>
      </c>
      <c r="D1833" s="39" t="n">
        <v>6</v>
      </c>
      <c r="E1833" s="41" t="n">
        <v>30.02</v>
      </c>
      <c r="F1833" s="39" t="s">
        <v>118</v>
      </c>
      <c r="G1833" s="39" t="str">
        <f aca="false">VLOOKUP(C1833,Products!$A$5:$D$24,2,FALSE())</f>
        <v>Desk Lamp</v>
      </c>
      <c r="H1833" s="39" t="str">
        <f aca="false">VLOOKUP(C1833,Products!$A$5:$D$24,3,FALSE())</f>
        <v>Furniture</v>
      </c>
      <c r="I1833" s="41" t="n">
        <f aca="false">VLOOKUP(C1833,Products!$A$5:$D$24,4,FALSE())</f>
        <v>13</v>
      </c>
      <c r="J1833" s="42" t="n">
        <f aca="false">DATE(YEAR(B1833),MONTH(B1833),1)</f>
        <v>45901</v>
      </c>
      <c r="K1833" s="41" t="n">
        <f aca="false">D1833*E1833</f>
        <v>180.12</v>
      </c>
      <c r="L1833" s="41" t="n">
        <f aca="false">D1833*I1833</f>
        <v>78</v>
      </c>
      <c r="M1833" s="41" t="n">
        <f aca="false">IFERROR(INDEX(Raw_Expenses!$C$5:$C$2979,MATCH(A1833,Raw_Expenses!$A$5:$A$2979,0)),0)</f>
        <v>13.33</v>
      </c>
      <c r="N1833" s="41" t="n">
        <f aca="false">L1833+M1833</f>
        <v>91.33</v>
      </c>
      <c r="O1833" s="41" t="n">
        <f aca="false">K1833-N1833</f>
        <v>88.79</v>
      </c>
      <c r="P1833" s="43" t="n">
        <f aca="false">IF(K1833=0,0,O1833/K1833)</f>
        <v>0.492949145014435</v>
      </c>
    </row>
    <row r="1834" customFormat="false" ht="15" hidden="false" customHeight="false" outlineLevel="0" collapsed="false">
      <c r="A1834" s="39" t="s">
        <v>1956</v>
      </c>
      <c r="B1834" s="40" t="n">
        <v>45911</v>
      </c>
      <c r="C1834" s="39" t="s">
        <v>130</v>
      </c>
      <c r="D1834" s="39" t="n">
        <v>3</v>
      </c>
      <c r="E1834" s="41" t="n">
        <v>8.6</v>
      </c>
      <c r="F1834" s="39" t="s">
        <v>105</v>
      </c>
      <c r="G1834" s="39" t="str">
        <f aca="false">VLOOKUP(C1834,Products!$A$5:$D$24,2,FALSE())</f>
        <v>Notebook Set</v>
      </c>
      <c r="H1834" s="39" t="str">
        <f aca="false">VLOOKUP(C1834,Products!$A$5:$D$24,3,FALSE())</f>
        <v>Stationery</v>
      </c>
      <c r="I1834" s="41" t="n">
        <f aca="false">VLOOKUP(C1834,Products!$A$5:$D$24,4,FALSE())</f>
        <v>3</v>
      </c>
      <c r="J1834" s="42" t="n">
        <f aca="false">DATE(YEAR(B1834),MONTH(B1834),1)</f>
        <v>45901</v>
      </c>
      <c r="K1834" s="41" t="n">
        <f aca="false">D1834*E1834</f>
        <v>25.8</v>
      </c>
      <c r="L1834" s="41" t="n">
        <f aca="false">D1834*I1834</f>
        <v>9</v>
      </c>
      <c r="M1834" s="41" t="n">
        <f aca="false">IFERROR(INDEX(Raw_Expenses!$C$5:$C$2979,MATCH(A1834,Raw_Expenses!$A$5:$A$2979,0)),0)</f>
        <v>2.09</v>
      </c>
      <c r="N1834" s="41" t="n">
        <f aca="false">L1834+M1834</f>
        <v>11.09</v>
      </c>
      <c r="O1834" s="41" t="n">
        <f aca="false">K1834-N1834</f>
        <v>14.71</v>
      </c>
      <c r="P1834" s="43" t="n">
        <f aca="false">IF(K1834=0,0,O1834/K1834)</f>
        <v>0.57015503875969</v>
      </c>
    </row>
    <row r="1835" customFormat="false" ht="15" hidden="false" customHeight="false" outlineLevel="0" collapsed="false">
      <c r="A1835" s="39" t="s">
        <v>1957</v>
      </c>
      <c r="B1835" s="40" t="n">
        <v>45911</v>
      </c>
      <c r="C1835" s="39" t="s">
        <v>107</v>
      </c>
      <c r="D1835" s="39" t="n">
        <v>1</v>
      </c>
      <c r="E1835" s="41" t="n">
        <v>33.15</v>
      </c>
      <c r="F1835" s="39" t="s">
        <v>115</v>
      </c>
      <c r="G1835" s="39" t="str">
        <f aca="false">VLOOKUP(C1835,Products!$A$5:$D$24,2,FALSE())</f>
        <v>USB-C Hub</v>
      </c>
      <c r="H1835" s="39" t="str">
        <f aca="false">VLOOKUP(C1835,Products!$A$5:$D$24,3,FALSE())</f>
        <v>Electronics</v>
      </c>
      <c r="I1835" s="41" t="n">
        <f aca="false">VLOOKUP(C1835,Products!$A$5:$D$24,4,FALSE())</f>
        <v>14</v>
      </c>
      <c r="J1835" s="42" t="n">
        <f aca="false">DATE(YEAR(B1835),MONTH(B1835),1)</f>
        <v>45901</v>
      </c>
      <c r="K1835" s="41" t="n">
        <f aca="false">D1835*E1835</f>
        <v>33.15</v>
      </c>
      <c r="L1835" s="41" t="n">
        <f aca="false">D1835*I1835</f>
        <v>14</v>
      </c>
      <c r="M1835" s="41" t="n">
        <f aca="false">IFERROR(INDEX(Raw_Expenses!$C$5:$C$2979,MATCH(A1835,Raw_Expenses!$A$5:$A$2979,0)),0)</f>
        <v>1.99</v>
      </c>
      <c r="N1835" s="41" t="n">
        <f aca="false">L1835+M1835</f>
        <v>15.99</v>
      </c>
      <c r="O1835" s="41" t="n">
        <f aca="false">K1835-N1835</f>
        <v>17.16</v>
      </c>
      <c r="P1835" s="43" t="n">
        <f aca="false">IF(K1835=0,0,O1835/K1835)</f>
        <v>0.517647058823529</v>
      </c>
    </row>
    <row r="1836" customFormat="false" ht="15" hidden="false" customHeight="false" outlineLevel="0" collapsed="false">
      <c r="A1836" s="39" t="s">
        <v>1958</v>
      </c>
      <c r="B1836" s="40" t="n">
        <v>45911</v>
      </c>
      <c r="C1836" s="39" t="s">
        <v>130</v>
      </c>
      <c r="D1836" s="39" t="n">
        <v>1</v>
      </c>
      <c r="E1836" s="41" t="n">
        <v>8.36</v>
      </c>
      <c r="F1836" s="39" t="s">
        <v>115</v>
      </c>
      <c r="G1836" s="39" t="str">
        <f aca="false">VLOOKUP(C1836,Products!$A$5:$D$24,2,FALSE())</f>
        <v>Notebook Set</v>
      </c>
      <c r="H1836" s="39" t="str">
        <f aca="false">VLOOKUP(C1836,Products!$A$5:$D$24,3,FALSE())</f>
        <v>Stationery</v>
      </c>
      <c r="I1836" s="41" t="n">
        <f aca="false">VLOOKUP(C1836,Products!$A$5:$D$24,4,FALSE())</f>
        <v>3</v>
      </c>
      <c r="J1836" s="42" t="n">
        <f aca="false">DATE(YEAR(B1836),MONTH(B1836),1)</f>
        <v>45901</v>
      </c>
      <c r="K1836" s="41" t="n">
        <f aca="false">D1836*E1836</f>
        <v>8.36</v>
      </c>
      <c r="L1836" s="41" t="n">
        <f aca="false">D1836*I1836</f>
        <v>3</v>
      </c>
      <c r="M1836" s="41" t="n">
        <f aca="false">IFERROR(INDEX(Raw_Expenses!$C$5:$C$2979,MATCH(A1836,Raw_Expenses!$A$5:$A$2979,0)),0)</f>
        <v>0.4</v>
      </c>
      <c r="N1836" s="41" t="n">
        <f aca="false">L1836+M1836</f>
        <v>3.4</v>
      </c>
      <c r="O1836" s="41" t="n">
        <f aca="false">K1836-N1836</f>
        <v>4.96</v>
      </c>
      <c r="P1836" s="43" t="n">
        <f aca="false">IF(K1836=0,0,O1836/K1836)</f>
        <v>0.593301435406698</v>
      </c>
    </row>
    <row r="1837" customFormat="false" ht="15" hidden="false" customHeight="false" outlineLevel="0" collapsed="false">
      <c r="A1837" s="39" t="s">
        <v>1959</v>
      </c>
      <c r="B1837" s="40" t="n">
        <v>45911</v>
      </c>
      <c r="C1837" s="39" t="s">
        <v>104</v>
      </c>
      <c r="D1837" s="39" t="n">
        <v>1</v>
      </c>
      <c r="E1837" s="41" t="n">
        <v>15.02</v>
      </c>
      <c r="F1837" s="39" t="s">
        <v>108</v>
      </c>
      <c r="G1837" s="39" t="str">
        <f aca="false">VLOOKUP(C1837,Products!$A$5:$D$24,2,FALSE())</f>
        <v>Water Bottle</v>
      </c>
      <c r="H1837" s="39" t="str">
        <f aca="false">VLOOKUP(C1837,Products!$A$5:$D$24,3,FALSE())</f>
        <v>Accessories</v>
      </c>
      <c r="I1837" s="41" t="n">
        <f aca="false">VLOOKUP(C1837,Products!$A$5:$D$24,4,FALSE())</f>
        <v>5</v>
      </c>
      <c r="J1837" s="42" t="n">
        <f aca="false">DATE(YEAR(B1837),MONTH(B1837),1)</f>
        <v>45901</v>
      </c>
      <c r="K1837" s="41" t="n">
        <f aca="false">D1837*E1837</f>
        <v>15.02</v>
      </c>
      <c r="L1837" s="41" t="n">
        <f aca="false">D1837*I1837</f>
        <v>5</v>
      </c>
      <c r="M1837" s="41" t="n">
        <f aca="false">IFERROR(INDEX(Raw_Expenses!$C$5:$C$2979,MATCH(A1837,Raw_Expenses!$A$5:$A$2979,0)),0)</f>
        <v>0.91</v>
      </c>
      <c r="N1837" s="41" t="n">
        <f aca="false">L1837+M1837</f>
        <v>5.91</v>
      </c>
      <c r="O1837" s="41" t="n">
        <f aca="false">K1837-N1837</f>
        <v>9.11</v>
      </c>
      <c r="P1837" s="43" t="n">
        <f aca="false">IF(K1837=0,0,O1837/K1837)</f>
        <v>0.606524633821571</v>
      </c>
    </row>
    <row r="1838" customFormat="false" ht="15" hidden="false" customHeight="false" outlineLevel="0" collapsed="false">
      <c r="A1838" s="39" t="s">
        <v>1960</v>
      </c>
      <c r="B1838" s="40" t="n">
        <v>45911</v>
      </c>
      <c r="C1838" s="39" t="s">
        <v>169</v>
      </c>
      <c r="D1838" s="39" t="n">
        <v>4</v>
      </c>
      <c r="E1838" s="41" t="n">
        <v>28.02</v>
      </c>
      <c r="F1838" s="39" t="s">
        <v>105</v>
      </c>
      <c r="G1838" s="39" t="str">
        <f aca="false">VLOOKUP(C1838,Products!$A$5:$D$24,2,FALSE())</f>
        <v>Laptop Stand</v>
      </c>
      <c r="H1838" s="39" t="str">
        <f aca="false">VLOOKUP(C1838,Products!$A$5:$D$24,3,FALSE())</f>
        <v>Accessories</v>
      </c>
      <c r="I1838" s="41" t="n">
        <f aca="false">VLOOKUP(C1838,Products!$A$5:$D$24,4,FALSE())</f>
        <v>11</v>
      </c>
      <c r="J1838" s="42" t="n">
        <f aca="false">DATE(YEAR(B1838),MONTH(B1838),1)</f>
        <v>45901</v>
      </c>
      <c r="K1838" s="41" t="n">
        <f aca="false">D1838*E1838</f>
        <v>112.08</v>
      </c>
      <c r="L1838" s="41" t="n">
        <f aca="false">D1838*I1838</f>
        <v>44</v>
      </c>
      <c r="M1838" s="41" t="n">
        <f aca="false">IFERROR(INDEX(Raw_Expenses!$C$5:$C$2979,MATCH(A1838,Raw_Expenses!$A$5:$A$2979,0)),0)</f>
        <v>7.1</v>
      </c>
      <c r="N1838" s="41" t="n">
        <f aca="false">L1838+M1838</f>
        <v>51.1</v>
      </c>
      <c r="O1838" s="41" t="n">
        <f aca="false">K1838-N1838</f>
        <v>60.98</v>
      </c>
      <c r="P1838" s="43" t="n">
        <f aca="false">IF(K1838=0,0,O1838/K1838)</f>
        <v>0.544075660242684</v>
      </c>
    </row>
    <row r="1839" customFormat="false" ht="15" hidden="false" customHeight="false" outlineLevel="0" collapsed="false">
      <c r="A1839" s="39" t="s">
        <v>1961</v>
      </c>
      <c r="B1839" s="40" t="n">
        <v>45911</v>
      </c>
      <c r="C1839" s="39" t="s">
        <v>183</v>
      </c>
      <c r="D1839" s="39" t="n">
        <v>1</v>
      </c>
      <c r="E1839" s="41" t="n">
        <v>174.62</v>
      </c>
      <c r="F1839" s="39" t="s">
        <v>105</v>
      </c>
      <c r="G1839" s="39" t="str">
        <f aca="false">VLOOKUP(C1839,Products!$A$5:$D$24,2,FALSE())</f>
        <v>Office Chair</v>
      </c>
      <c r="H1839" s="39" t="str">
        <f aca="false">VLOOKUP(C1839,Products!$A$5:$D$24,3,FALSE())</f>
        <v>Furniture</v>
      </c>
      <c r="I1839" s="41" t="n">
        <f aca="false">VLOOKUP(C1839,Products!$A$5:$D$24,4,FALSE())</f>
        <v>85</v>
      </c>
      <c r="J1839" s="42" t="n">
        <f aca="false">DATE(YEAR(B1839),MONTH(B1839),1)</f>
        <v>45901</v>
      </c>
      <c r="K1839" s="41" t="n">
        <f aca="false">D1839*E1839</f>
        <v>174.62</v>
      </c>
      <c r="L1839" s="41" t="n">
        <f aca="false">D1839*I1839</f>
        <v>85</v>
      </c>
      <c r="M1839" s="41" t="n">
        <f aca="false">IFERROR(INDEX(Raw_Expenses!$C$5:$C$2979,MATCH(A1839,Raw_Expenses!$A$5:$A$2979,0)),0)</f>
        <v>13.97</v>
      </c>
      <c r="N1839" s="41" t="n">
        <f aca="false">L1839+M1839</f>
        <v>98.97</v>
      </c>
      <c r="O1839" s="41" t="n">
        <f aca="false">K1839-N1839</f>
        <v>75.65</v>
      </c>
      <c r="P1839" s="43" t="n">
        <f aca="false">IF(K1839=0,0,O1839/K1839)</f>
        <v>0.43322643454358</v>
      </c>
    </row>
    <row r="1840" customFormat="false" ht="15" hidden="false" customHeight="false" outlineLevel="0" collapsed="false">
      <c r="A1840" s="39" t="s">
        <v>1962</v>
      </c>
      <c r="B1840" s="40" t="n">
        <v>45911</v>
      </c>
      <c r="C1840" s="39" t="s">
        <v>126</v>
      </c>
      <c r="D1840" s="39" t="n">
        <v>6</v>
      </c>
      <c r="E1840" s="41" t="n">
        <v>24.25</v>
      </c>
      <c r="F1840" s="39" t="s">
        <v>105</v>
      </c>
      <c r="G1840" s="39" t="str">
        <f aca="false">VLOOKUP(C1840,Products!$A$5:$D$24,2,FALSE())</f>
        <v>Wireless Mouse</v>
      </c>
      <c r="H1840" s="39" t="str">
        <f aca="false">VLOOKUP(C1840,Products!$A$5:$D$24,3,FALSE())</f>
        <v>Electronics</v>
      </c>
      <c r="I1840" s="41" t="n">
        <f aca="false">VLOOKUP(C1840,Products!$A$5:$D$24,4,FALSE())</f>
        <v>12</v>
      </c>
      <c r="J1840" s="42" t="n">
        <f aca="false">DATE(YEAR(B1840),MONTH(B1840),1)</f>
        <v>45901</v>
      </c>
      <c r="K1840" s="41" t="n">
        <f aca="false">D1840*E1840</f>
        <v>145.5</v>
      </c>
      <c r="L1840" s="41" t="n">
        <f aca="false">D1840*I1840</f>
        <v>72</v>
      </c>
      <c r="M1840" s="41" t="n">
        <f aca="false">IFERROR(INDEX(Raw_Expenses!$C$5:$C$2979,MATCH(A1840,Raw_Expenses!$A$5:$A$2979,0)),0)</f>
        <v>9.17</v>
      </c>
      <c r="N1840" s="41" t="n">
        <f aca="false">L1840+M1840</f>
        <v>81.17</v>
      </c>
      <c r="O1840" s="41" t="n">
        <f aca="false">K1840-N1840</f>
        <v>64.33</v>
      </c>
      <c r="P1840" s="43" t="n">
        <f aca="false">IF(K1840=0,0,O1840/K1840)</f>
        <v>0.44213058419244</v>
      </c>
    </row>
    <row r="1841" customFormat="false" ht="15" hidden="false" customHeight="false" outlineLevel="0" collapsed="false">
      <c r="A1841" s="39" t="s">
        <v>1963</v>
      </c>
      <c r="B1841" s="40" t="n">
        <v>45911</v>
      </c>
      <c r="C1841" s="39" t="s">
        <v>104</v>
      </c>
      <c r="D1841" s="39" t="n">
        <v>3</v>
      </c>
      <c r="E1841" s="41" t="n">
        <v>14.75</v>
      </c>
      <c r="F1841" s="39" t="s">
        <v>108</v>
      </c>
      <c r="G1841" s="39" t="str">
        <f aca="false">VLOOKUP(C1841,Products!$A$5:$D$24,2,FALSE())</f>
        <v>Water Bottle</v>
      </c>
      <c r="H1841" s="39" t="str">
        <f aca="false">VLOOKUP(C1841,Products!$A$5:$D$24,3,FALSE())</f>
        <v>Accessories</v>
      </c>
      <c r="I1841" s="41" t="n">
        <f aca="false">VLOOKUP(C1841,Products!$A$5:$D$24,4,FALSE())</f>
        <v>5</v>
      </c>
      <c r="J1841" s="42" t="n">
        <f aca="false">DATE(YEAR(B1841),MONTH(B1841),1)</f>
        <v>45901</v>
      </c>
      <c r="K1841" s="41" t="n">
        <f aca="false">D1841*E1841</f>
        <v>44.25</v>
      </c>
      <c r="L1841" s="41" t="n">
        <f aca="false">D1841*I1841</f>
        <v>15</v>
      </c>
      <c r="M1841" s="41" t="n">
        <f aca="false">IFERROR(INDEX(Raw_Expenses!$C$5:$C$2979,MATCH(A1841,Raw_Expenses!$A$5:$A$2979,0)),0)</f>
        <v>2.27</v>
      </c>
      <c r="N1841" s="41" t="n">
        <f aca="false">L1841+M1841</f>
        <v>17.27</v>
      </c>
      <c r="O1841" s="41" t="n">
        <f aca="false">K1841-N1841</f>
        <v>26.98</v>
      </c>
      <c r="P1841" s="43" t="n">
        <f aca="false">IF(K1841=0,0,O1841/K1841)</f>
        <v>0.609717514124294</v>
      </c>
    </row>
    <row r="1842" customFormat="false" ht="15" hidden="false" customHeight="false" outlineLevel="0" collapsed="false">
      <c r="A1842" s="39" t="s">
        <v>1964</v>
      </c>
      <c r="B1842" s="40" t="n">
        <v>45911</v>
      </c>
      <c r="C1842" s="39" t="s">
        <v>110</v>
      </c>
      <c r="D1842" s="39" t="n">
        <v>3</v>
      </c>
      <c r="E1842" s="41" t="n">
        <v>13.95</v>
      </c>
      <c r="F1842" s="39" t="s">
        <v>105</v>
      </c>
      <c r="G1842" s="39" t="str">
        <f aca="false">VLOOKUP(C1842,Products!$A$5:$D$24,2,FALSE())</f>
        <v>Phone Stand</v>
      </c>
      <c r="H1842" s="39" t="str">
        <f aca="false">VLOOKUP(C1842,Products!$A$5:$D$24,3,FALSE())</f>
        <v>Accessories</v>
      </c>
      <c r="I1842" s="41" t="n">
        <f aca="false">VLOOKUP(C1842,Products!$A$5:$D$24,4,FALSE())</f>
        <v>4</v>
      </c>
      <c r="J1842" s="42" t="n">
        <f aca="false">DATE(YEAR(B1842),MONTH(B1842),1)</f>
        <v>45901</v>
      </c>
      <c r="K1842" s="41" t="n">
        <f aca="false">D1842*E1842</f>
        <v>41.85</v>
      </c>
      <c r="L1842" s="41" t="n">
        <f aca="false">D1842*I1842</f>
        <v>12</v>
      </c>
      <c r="M1842" s="41" t="n">
        <f aca="false">IFERROR(INDEX(Raw_Expenses!$C$5:$C$2979,MATCH(A1842,Raw_Expenses!$A$5:$A$2979,0)),0)</f>
        <v>3.47</v>
      </c>
      <c r="N1842" s="41" t="n">
        <f aca="false">L1842+M1842</f>
        <v>15.47</v>
      </c>
      <c r="O1842" s="41" t="n">
        <f aca="false">K1842-N1842</f>
        <v>26.38</v>
      </c>
      <c r="P1842" s="43" t="n">
        <f aca="false">IF(K1842=0,0,O1842/K1842)</f>
        <v>0.630346475507766</v>
      </c>
    </row>
    <row r="1843" customFormat="false" ht="15" hidden="false" customHeight="false" outlineLevel="0" collapsed="false">
      <c r="A1843" s="39" t="s">
        <v>1965</v>
      </c>
      <c r="B1843" s="40" t="n">
        <v>45911</v>
      </c>
      <c r="C1843" s="39" t="s">
        <v>128</v>
      </c>
      <c r="D1843" s="39" t="n">
        <v>2</v>
      </c>
      <c r="E1843" s="41" t="n">
        <v>36.25</v>
      </c>
      <c r="F1843" s="39" t="s">
        <v>118</v>
      </c>
      <c r="G1843" s="39" t="str">
        <f aca="false">VLOOKUP(C1843,Products!$A$5:$D$24,2,FALSE())</f>
        <v>Ergonomic Footrest</v>
      </c>
      <c r="H1843" s="39" t="str">
        <f aca="false">VLOOKUP(C1843,Products!$A$5:$D$24,3,FALSE())</f>
        <v>Furniture</v>
      </c>
      <c r="I1843" s="41" t="n">
        <f aca="false">VLOOKUP(C1843,Products!$A$5:$D$24,4,FALSE())</f>
        <v>15</v>
      </c>
      <c r="J1843" s="42" t="n">
        <f aca="false">DATE(YEAR(B1843),MONTH(B1843),1)</f>
        <v>45901</v>
      </c>
      <c r="K1843" s="41" t="n">
        <f aca="false">D1843*E1843</f>
        <v>72.5</v>
      </c>
      <c r="L1843" s="41" t="n">
        <f aca="false">D1843*I1843</f>
        <v>30</v>
      </c>
      <c r="M1843" s="41" t="n">
        <f aca="false">IFERROR(INDEX(Raw_Expenses!$C$5:$C$2979,MATCH(A1843,Raw_Expenses!$A$5:$A$2979,0)),0)</f>
        <v>6.4</v>
      </c>
      <c r="N1843" s="41" t="n">
        <f aca="false">L1843+M1843</f>
        <v>36.4</v>
      </c>
      <c r="O1843" s="41" t="n">
        <f aca="false">K1843-N1843</f>
        <v>36.1</v>
      </c>
      <c r="P1843" s="43" t="n">
        <f aca="false">IF(K1843=0,0,O1843/K1843)</f>
        <v>0.497931034482759</v>
      </c>
    </row>
    <row r="1844" customFormat="false" ht="15" hidden="false" customHeight="false" outlineLevel="0" collapsed="false">
      <c r="A1844" s="39" t="s">
        <v>1966</v>
      </c>
      <c r="B1844" s="40" t="n">
        <v>45911</v>
      </c>
      <c r="C1844" s="39" t="s">
        <v>136</v>
      </c>
      <c r="D1844" s="39" t="n">
        <v>3</v>
      </c>
      <c r="E1844" s="41" t="n">
        <v>75.29</v>
      </c>
      <c r="F1844" s="39" t="s">
        <v>108</v>
      </c>
      <c r="G1844" s="39" t="str">
        <f aca="false">VLOOKUP(C1844,Products!$A$5:$D$24,2,FALSE())</f>
        <v>Mechanical Keyboard</v>
      </c>
      <c r="H1844" s="39" t="str">
        <f aca="false">VLOOKUP(C1844,Products!$A$5:$D$24,3,FALSE())</f>
        <v>Electronics</v>
      </c>
      <c r="I1844" s="41" t="n">
        <f aca="false">VLOOKUP(C1844,Products!$A$5:$D$24,4,FALSE())</f>
        <v>38</v>
      </c>
      <c r="J1844" s="42" t="n">
        <f aca="false">DATE(YEAR(B1844),MONTH(B1844),1)</f>
        <v>45901</v>
      </c>
      <c r="K1844" s="41" t="n">
        <f aca="false">D1844*E1844</f>
        <v>225.87</v>
      </c>
      <c r="L1844" s="41" t="n">
        <f aca="false">D1844*I1844</f>
        <v>114</v>
      </c>
      <c r="M1844" s="41" t="n">
        <f aca="false">IFERROR(INDEX(Raw_Expenses!$C$5:$C$2979,MATCH(A1844,Raw_Expenses!$A$5:$A$2979,0)),0)</f>
        <v>10.81</v>
      </c>
      <c r="N1844" s="41" t="n">
        <f aca="false">L1844+M1844</f>
        <v>124.81</v>
      </c>
      <c r="O1844" s="41" t="n">
        <f aca="false">K1844-N1844</f>
        <v>101.06</v>
      </c>
      <c r="P1844" s="43" t="n">
        <f aca="false">IF(K1844=0,0,O1844/K1844)</f>
        <v>0.447425510249258</v>
      </c>
    </row>
    <row r="1845" customFormat="false" ht="15" hidden="false" customHeight="false" outlineLevel="0" collapsed="false">
      <c r="A1845" s="39" t="s">
        <v>1967</v>
      </c>
      <c r="B1845" s="40" t="n">
        <v>45912</v>
      </c>
      <c r="C1845" s="39" t="s">
        <v>130</v>
      </c>
      <c r="D1845" s="39" t="n">
        <v>3</v>
      </c>
      <c r="E1845" s="41" t="n">
        <v>8.64</v>
      </c>
      <c r="F1845" s="39" t="s">
        <v>118</v>
      </c>
      <c r="G1845" s="39" t="str">
        <f aca="false">VLOOKUP(C1845,Products!$A$5:$D$24,2,FALSE())</f>
        <v>Notebook Set</v>
      </c>
      <c r="H1845" s="39" t="str">
        <f aca="false">VLOOKUP(C1845,Products!$A$5:$D$24,3,FALSE())</f>
        <v>Stationery</v>
      </c>
      <c r="I1845" s="41" t="n">
        <f aca="false">VLOOKUP(C1845,Products!$A$5:$D$24,4,FALSE())</f>
        <v>3</v>
      </c>
      <c r="J1845" s="42" t="n">
        <f aca="false">DATE(YEAR(B1845),MONTH(B1845),1)</f>
        <v>45901</v>
      </c>
      <c r="K1845" s="41" t="n">
        <f aca="false">D1845*E1845</f>
        <v>25.92</v>
      </c>
      <c r="L1845" s="41" t="n">
        <f aca="false">D1845*I1845</f>
        <v>9</v>
      </c>
      <c r="M1845" s="41" t="n">
        <f aca="false">IFERROR(INDEX(Raw_Expenses!$C$5:$C$2979,MATCH(A1845,Raw_Expenses!$A$5:$A$2979,0)),0)</f>
        <v>1.62</v>
      </c>
      <c r="N1845" s="41" t="n">
        <f aca="false">L1845+M1845</f>
        <v>10.62</v>
      </c>
      <c r="O1845" s="41" t="n">
        <f aca="false">K1845-N1845</f>
        <v>15.3</v>
      </c>
      <c r="P1845" s="43" t="n">
        <f aca="false">IF(K1845=0,0,O1845/K1845)</f>
        <v>0.590277777777778</v>
      </c>
    </row>
    <row r="1846" customFormat="false" ht="15" hidden="false" customHeight="false" outlineLevel="0" collapsed="false">
      <c r="A1846" s="39" t="s">
        <v>1968</v>
      </c>
      <c r="B1846" s="40" t="n">
        <v>45912</v>
      </c>
      <c r="C1846" s="39" t="s">
        <v>126</v>
      </c>
      <c r="D1846" s="39" t="n">
        <v>4</v>
      </c>
      <c r="E1846" s="41" t="n">
        <v>23.71</v>
      </c>
      <c r="F1846" s="39" t="s">
        <v>108</v>
      </c>
      <c r="G1846" s="39" t="str">
        <f aca="false">VLOOKUP(C1846,Products!$A$5:$D$24,2,FALSE())</f>
        <v>Wireless Mouse</v>
      </c>
      <c r="H1846" s="39" t="str">
        <f aca="false">VLOOKUP(C1846,Products!$A$5:$D$24,3,FALSE())</f>
        <v>Electronics</v>
      </c>
      <c r="I1846" s="41" t="n">
        <f aca="false">VLOOKUP(C1846,Products!$A$5:$D$24,4,FALSE())</f>
        <v>12</v>
      </c>
      <c r="J1846" s="42" t="n">
        <f aca="false">DATE(YEAR(B1846),MONTH(B1846),1)</f>
        <v>45901</v>
      </c>
      <c r="K1846" s="41" t="n">
        <f aca="false">D1846*E1846</f>
        <v>94.84</v>
      </c>
      <c r="L1846" s="41" t="n">
        <f aca="false">D1846*I1846</f>
        <v>48</v>
      </c>
      <c r="M1846" s="41" t="n">
        <f aca="false">IFERROR(INDEX(Raw_Expenses!$C$5:$C$2979,MATCH(A1846,Raw_Expenses!$A$5:$A$2979,0)),0)</f>
        <v>7.9</v>
      </c>
      <c r="N1846" s="41" t="n">
        <f aca="false">L1846+M1846</f>
        <v>55.9</v>
      </c>
      <c r="O1846" s="41" t="n">
        <f aca="false">K1846-N1846</f>
        <v>38.94</v>
      </c>
      <c r="P1846" s="43" t="n">
        <f aca="false">IF(K1846=0,0,O1846/K1846)</f>
        <v>0.410586250527204</v>
      </c>
    </row>
    <row r="1847" customFormat="false" ht="15" hidden="false" customHeight="false" outlineLevel="0" collapsed="false">
      <c r="A1847" s="39" t="s">
        <v>1969</v>
      </c>
      <c r="B1847" s="40" t="n">
        <v>45912</v>
      </c>
      <c r="C1847" s="39" t="s">
        <v>305</v>
      </c>
      <c r="D1847" s="39" t="n">
        <v>1</v>
      </c>
      <c r="E1847" s="41" t="n">
        <v>347.51</v>
      </c>
      <c r="F1847" s="39" t="s">
        <v>115</v>
      </c>
      <c r="G1847" s="39" t="str">
        <f aca="false">VLOOKUP(C1847,Products!$A$5:$D$24,2,FALSE())</f>
        <v>Standing Desk</v>
      </c>
      <c r="H1847" s="39" t="str">
        <f aca="false">VLOOKUP(C1847,Products!$A$5:$D$24,3,FALSE())</f>
        <v>Furniture</v>
      </c>
      <c r="I1847" s="41" t="n">
        <f aca="false">VLOOKUP(C1847,Products!$A$5:$D$24,4,FALSE())</f>
        <v>160</v>
      </c>
      <c r="J1847" s="42" t="n">
        <f aca="false">DATE(YEAR(B1847),MONTH(B1847),1)</f>
        <v>45901</v>
      </c>
      <c r="K1847" s="41" t="n">
        <f aca="false">D1847*E1847</f>
        <v>347.51</v>
      </c>
      <c r="L1847" s="41" t="n">
        <f aca="false">D1847*I1847</f>
        <v>160</v>
      </c>
      <c r="M1847" s="41" t="n">
        <f aca="false">IFERROR(INDEX(Raw_Expenses!$C$5:$C$2979,MATCH(A1847,Raw_Expenses!$A$5:$A$2979,0)),0)</f>
        <v>22.36</v>
      </c>
      <c r="N1847" s="41" t="n">
        <f aca="false">L1847+M1847</f>
        <v>182.36</v>
      </c>
      <c r="O1847" s="41" t="n">
        <f aca="false">K1847-N1847</f>
        <v>165.15</v>
      </c>
      <c r="P1847" s="43" t="n">
        <f aca="false">IF(K1847=0,0,O1847/K1847)</f>
        <v>0.475238122643953</v>
      </c>
    </row>
    <row r="1848" customFormat="false" ht="15" hidden="false" customHeight="false" outlineLevel="0" collapsed="false">
      <c r="A1848" s="39" t="s">
        <v>1970</v>
      </c>
      <c r="B1848" s="40" t="n">
        <v>45912</v>
      </c>
      <c r="C1848" s="39" t="s">
        <v>169</v>
      </c>
      <c r="D1848" s="39" t="n">
        <v>1</v>
      </c>
      <c r="E1848" s="41" t="n">
        <v>27.98</v>
      </c>
      <c r="F1848" s="39" t="s">
        <v>115</v>
      </c>
      <c r="G1848" s="39" t="str">
        <f aca="false">VLOOKUP(C1848,Products!$A$5:$D$24,2,FALSE())</f>
        <v>Laptop Stand</v>
      </c>
      <c r="H1848" s="39" t="str">
        <f aca="false">VLOOKUP(C1848,Products!$A$5:$D$24,3,FALSE())</f>
        <v>Accessories</v>
      </c>
      <c r="I1848" s="41" t="n">
        <f aca="false">VLOOKUP(C1848,Products!$A$5:$D$24,4,FALSE())</f>
        <v>11</v>
      </c>
      <c r="J1848" s="42" t="n">
        <f aca="false">DATE(YEAR(B1848),MONTH(B1848),1)</f>
        <v>45901</v>
      </c>
      <c r="K1848" s="41" t="n">
        <f aca="false">D1848*E1848</f>
        <v>27.98</v>
      </c>
      <c r="L1848" s="41" t="n">
        <f aca="false">D1848*I1848</f>
        <v>11</v>
      </c>
      <c r="M1848" s="41" t="n">
        <f aca="false">IFERROR(INDEX(Raw_Expenses!$C$5:$C$2979,MATCH(A1848,Raw_Expenses!$A$5:$A$2979,0)),0)</f>
        <v>2.48</v>
      </c>
      <c r="N1848" s="41" t="n">
        <f aca="false">L1848+M1848</f>
        <v>13.48</v>
      </c>
      <c r="O1848" s="41" t="n">
        <f aca="false">K1848-N1848</f>
        <v>14.5</v>
      </c>
      <c r="P1848" s="43" t="n">
        <f aca="false">IF(K1848=0,0,O1848/K1848)</f>
        <v>0.518227305218013</v>
      </c>
    </row>
    <row r="1849" customFormat="false" ht="15" hidden="false" customHeight="false" outlineLevel="0" collapsed="false">
      <c r="A1849" s="39" t="s">
        <v>1971</v>
      </c>
      <c r="B1849" s="40" t="n">
        <v>45912</v>
      </c>
      <c r="C1849" s="39" t="s">
        <v>104</v>
      </c>
      <c r="D1849" s="39" t="n">
        <v>1</v>
      </c>
      <c r="E1849" s="41" t="n">
        <v>15.86</v>
      </c>
      <c r="F1849" s="39" t="s">
        <v>118</v>
      </c>
      <c r="G1849" s="39" t="str">
        <f aca="false">VLOOKUP(C1849,Products!$A$5:$D$24,2,FALSE())</f>
        <v>Water Bottle</v>
      </c>
      <c r="H1849" s="39" t="str">
        <f aca="false">VLOOKUP(C1849,Products!$A$5:$D$24,3,FALSE())</f>
        <v>Accessories</v>
      </c>
      <c r="I1849" s="41" t="n">
        <f aca="false">VLOOKUP(C1849,Products!$A$5:$D$24,4,FALSE())</f>
        <v>5</v>
      </c>
      <c r="J1849" s="42" t="n">
        <f aca="false">DATE(YEAR(B1849),MONTH(B1849),1)</f>
        <v>45901</v>
      </c>
      <c r="K1849" s="41" t="n">
        <f aca="false">D1849*E1849</f>
        <v>15.86</v>
      </c>
      <c r="L1849" s="41" t="n">
        <f aca="false">D1849*I1849</f>
        <v>5</v>
      </c>
      <c r="M1849" s="41" t="n">
        <f aca="false">IFERROR(INDEX(Raw_Expenses!$C$5:$C$2979,MATCH(A1849,Raw_Expenses!$A$5:$A$2979,0)),0)</f>
        <v>1.42</v>
      </c>
      <c r="N1849" s="41" t="n">
        <f aca="false">L1849+M1849</f>
        <v>6.42</v>
      </c>
      <c r="O1849" s="41" t="n">
        <f aca="false">K1849-N1849</f>
        <v>9.44</v>
      </c>
      <c r="P1849" s="43" t="n">
        <f aca="false">IF(K1849=0,0,O1849/K1849)</f>
        <v>0.595208070617907</v>
      </c>
    </row>
    <row r="1850" customFormat="false" ht="15" hidden="false" customHeight="false" outlineLevel="0" collapsed="false">
      <c r="A1850" s="39" t="s">
        <v>1972</v>
      </c>
      <c r="B1850" s="40" t="n">
        <v>45912</v>
      </c>
      <c r="C1850" s="39" t="s">
        <v>139</v>
      </c>
      <c r="D1850" s="39" t="n">
        <v>6</v>
      </c>
      <c r="E1850" s="41" t="n">
        <v>124.24</v>
      </c>
      <c r="F1850" s="39" t="s">
        <v>115</v>
      </c>
      <c r="G1850" s="39" t="str">
        <f aca="false">VLOOKUP(C1850,Products!$A$5:$D$24,2,FALSE())</f>
        <v>Noise-Cancelling Headphones</v>
      </c>
      <c r="H1850" s="39" t="str">
        <f aca="false">VLOOKUP(C1850,Products!$A$5:$D$24,3,FALSE())</f>
        <v>Electronics</v>
      </c>
      <c r="I1850" s="41" t="n">
        <f aca="false">VLOOKUP(C1850,Products!$A$5:$D$24,4,FALSE())</f>
        <v>55</v>
      </c>
      <c r="J1850" s="42" t="n">
        <f aca="false">DATE(YEAR(B1850),MONTH(B1850),1)</f>
        <v>45901</v>
      </c>
      <c r="K1850" s="41" t="n">
        <f aca="false">D1850*E1850</f>
        <v>745.44</v>
      </c>
      <c r="L1850" s="41" t="n">
        <f aca="false">D1850*I1850</f>
        <v>330</v>
      </c>
      <c r="M1850" s="41" t="n">
        <f aca="false">IFERROR(INDEX(Raw_Expenses!$C$5:$C$2979,MATCH(A1850,Raw_Expenses!$A$5:$A$2979,0)),0)</f>
        <v>52.58</v>
      </c>
      <c r="N1850" s="41" t="n">
        <f aca="false">L1850+M1850</f>
        <v>382.58</v>
      </c>
      <c r="O1850" s="41" t="n">
        <f aca="false">K1850-N1850</f>
        <v>362.86</v>
      </c>
      <c r="P1850" s="43" t="n">
        <f aca="false">IF(K1850=0,0,O1850/K1850)</f>
        <v>0.486772912642198</v>
      </c>
    </row>
    <row r="1851" customFormat="false" ht="15" hidden="false" customHeight="false" outlineLevel="0" collapsed="false">
      <c r="A1851" s="39" t="s">
        <v>1973</v>
      </c>
      <c r="B1851" s="40" t="n">
        <v>45912</v>
      </c>
      <c r="C1851" s="39" t="s">
        <v>121</v>
      </c>
      <c r="D1851" s="39" t="n">
        <v>1</v>
      </c>
      <c r="E1851" s="41" t="n">
        <v>113.12</v>
      </c>
      <c r="F1851" s="39" t="s">
        <v>115</v>
      </c>
      <c r="G1851" s="39" t="str">
        <f aca="false">VLOOKUP(C1851,Products!$A$5:$D$24,2,FALSE())</f>
        <v>External SSD 1TB</v>
      </c>
      <c r="H1851" s="39" t="str">
        <f aca="false">VLOOKUP(C1851,Products!$A$5:$D$24,3,FALSE())</f>
        <v>Electronics</v>
      </c>
      <c r="I1851" s="41" t="n">
        <f aca="false">VLOOKUP(C1851,Products!$A$5:$D$24,4,FALSE())</f>
        <v>62</v>
      </c>
      <c r="J1851" s="42" t="n">
        <f aca="false">DATE(YEAR(B1851),MONTH(B1851),1)</f>
        <v>45901</v>
      </c>
      <c r="K1851" s="41" t="n">
        <f aca="false">D1851*E1851</f>
        <v>113.12</v>
      </c>
      <c r="L1851" s="41" t="n">
        <f aca="false">D1851*I1851</f>
        <v>62</v>
      </c>
      <c r="M1851" s="41" t="n">
        <f aca="false">IFERROR(INDEX(Raw_Expenses!$C$5:$C$2979,MATCH(A1851,Raw_Expenses!$A$5:$A$2979,0)),0)</f>
        <v>8.01</v>
      </c>
      <c r="N1851" s="41" t="n">
        <f aca="false">L1851+M1851</f>
        <v>70.01</v>
      </c>
      <c r="O1851" s="41" t="n">
        <f aca="false">K1851-N1851</f>
        <v>43.11</v>
      </c>
      <c r="P1851" s="43" t="n">
        <f aca="false">IF(K1851=0,0,O1851/K1851)</f>
        <v>0.381099717114569</v>
      </c>
    </row>
    <row r="1852" customFormat="false" ht="15" hidden="false" customHeight="false" outlineLevel="0" collapsed="false">
      <c r="A1852" s="39" t="s">
        <v>1974</v>
      </c>
      <c r="B1852" s="40" t="n">
        <v>45912</v>
      </c>
      <c r="C1852" s="39" t="s">
        <v>114</v>
      </c>
      <c r="D1852" s="39" t="n">
        <v>2</v>
      </c>
      <c r="E1852" s="41" t="n">
        <v>5.7</v>
      </c>
      <c r="F1852" s="39" t="s">
        <v>108</v>
      </c>
      <c r="G1852" s="39" t="str">
        <f aca="false">VLOOKUP(C1852,Products!$A$5:$D$24,2,FALSE())</f>
        <v>Gel Pen Pack</v>
      </c>
      <c r="H1852" s="39" t="str">
        <f aca="false">VLOOKUP(C1852,Products!$A$5:$D$24,3,FALSE())</f>
        <v>Stationery</v>
      </c>
      <c r="I1852" s="41" t="n">
        <f aca="false">VLOOKUP(C1852,Products!$A$5:$D$24,4,FALSE())</f>
        <v>2</v>
      </c>
      <c r="J1852" s="42" t="n">
        <f aca="false">DATE(YEAR(B1852),MONTH(B1852),1)</f>
        <v>45901</v>
      </c>
      <c r="K1852" s="41" t="n">
        <f aca="false">D1852*E1852</f>
        <v>11.4</v>
      </c>
      <c r="L1852" s="41" t="n">
        <f aca="false">D1852*I1852</f>
        <v>4</v>
      </c>
      <c r="M1852" s="41" t="n">
        <f aca="false">IFERROR(INDEX(Raw_Expenses!$C$5:$C$2979,MATCH(A1852,Raw_Expenses!$A$5:$A$2979,0)),0)</f>
        <v>0.86</v>
      </c>
      <c r="N1852" s="41" t="n">
        <f aca="false">L1852+M1852</f>
        <v>4.86</v>
      </c>
      <c r="O1852" s="41" t="n">
        <f aca="false">K1852-N1852</f>
        <v>6.54</v>
      </c>
      <c r="P1852" s="43" t="n">
        <f aca="false">IF(K1852=0,0,O1852/K1852)</f>
        <v>0.573684210526316</v>
      </c>
    </row>
    <row r="1853" customFormat="false" ht="15" hidden="false" customHeight="false" outlineLevel="0" collapsed="false">
      <c r="A1853" s="39" t="s">
        <v>1975</v>
      </c>
      <c r="B1853" s="40" t="n">
        <v>45912</v>
      </c>
      <c r="C1853" s="39" t="s">
        <v>112</v>
      </c>
      <c r="D1853" s="39" t="n">
        <v>1</v>
      </c>
      <c r="E1853" s="41" t="n">
        <v>52.86</v>
      </c>
      <c r="F1853" s="39" t="s">
        <v>105</v>
      </c>
      <c r="G1853" s="39" t="str">
        <f aca="false">VLOOKUP(C1853,Products!$A$5:$D$24,2,FALSE())</f>
        <v>HD Webcam</v>
      </c>
      <c r="H1853" s="39" t="str">
        <f aca="false">VLOOKUP(C1853,Products!$A$5:$D$24,3,FALSE())</f>
        <v>Electronics</v>
      </c>
      <c r="I1853" s="41" t="n">
        <f aca="false">VLOOKUP(C1853,Products!$A$5:$D$24,4,FALSE())</f>
        <v>22</v>
      </c>
      <c r="J1853" s="42" t="n">
        <f aca="false">DATE(YEAR(B1853),MONTH(B1853),1)</f>
        <v>45901</v>
      </c>
      <c r="K1853" s="41" t="n">
        <f aca="false">D1853*E1853</f>
        <v>52.86</v>
      </c>
      <c r="L1853" s="41" t="n">
        <f aca="false">D1853*I1853</f>
        <v>22</v>
      </c>
      <c r="M1853" s="41" t="n">
        <f aca="false">IFERROR(INDEX(Raw_Expenses!$C$5:$C$2979,MATCH(A1853,Raw_Expenses!$A$5:$A$2979,0)),0)</f>
        <v>2.79</v>
      </c>
      <c r="N1853" s="41" t="n">
        <f aca="false">L1853+M1853</f>
        <v>24.79</v>
      </c>
      <c r="O1853" s="41" t="n">
        <f aca="false">K1853-N1853</f>
        <v>28.07</v>
      </c>
      <c r="P1853" s="43" t="n">
        <f aca="false">IF(K1853=0,0,O1853/K1853)</f>
        <v>0.531025349981082</v>
      </c>
    </row>
    <row r="1854" customFormat="false" ht="15" hidden="false" customHeight="false" outlineLevel="0" collapsed="false">
      <c r="A1854" s="39" t="s">
        <v>1976</v>
      </c>
      <c r="B1854" s="40" t="n">
        <v>45912</v>
      </c>
      <c r="C1854" s="39" t="s">
        <v>183</v>
      </c>
      <c r="D1854" s="39" t="n">
        <v>1</v>
      </c>
      <c r="E1854" s="41" t="n">
        <v>176.32</v>
      </c>
      <c r="F1854" s="39" t="s">
        <v>105</v>
      </c>
      <c r="G1854" s="39" t="str">
        <f aca="false">VLOOKUP(C1854,Products!$A$5:$D$24,2,FALSE())</f>
        <v>Office Chair</v>
      </c>
      <c r="H1854" s="39" t="str">
        <f aca="false">VLOOKUP(C1854,Products!$A$5:$D$24,3,FALSE())</f>
        <v>Furniture</v>
      </c>
      <c r="I1854" s="41" t="n">
        <f aca="false">VLOOKUP(C1854,Products!$A$5:$D$24,4,FALSE())</f>
        <v>85</v>
      </c>
      <c r="J1854" s="42" t="n">
        <f aca="false">DATE(YEAR(B1854),MONTH(B1854),1)</f>
        <v>45901</v>
      </c>
      <c r="K1854" s="41" t="n">
        <f aca="false">D1854*E1854</f>
        <v>176.32</v>
      </c>
      <c r="L1854" s="41" t="n">
        <f aca="false">D1854*I1854</f>
        <v>85</v>
      </c>
      <c r="M1854" s="41" t="n">
        <f aca="false">IFERROR(INDEX(Raw_Expenses!$C$5:$C$2979,MATCH(A1854,Raw_Expenses!$A$5:$A$2979,0)),0)</f>
        <v>9.25</v>
      </c>
      <c r="N1854" s="41" t="n">
        <f aca="false">L1854+M1854</f>
        <v>94.25</v>
      </c>
      <c r="O1854" s="41" t="n">
        <f aca="false">K1854-N1854</f>
        <v>82.07</v>
      </c>
      <c r="P1854" s="43" t="n">
        <f aca="false">IF(K1854=0,0,O1854/K1854)</f>
        <v>0.465460526315789</v>
      </c>
    </row>
    <row r="1855" customFormat="false" ht="15" hidden="false" customHeight="false" outlineLevel="0" collapsed="false">
      <c r="A1855" s="39" t="s">
        <v>1977</v>
      </c>
      <c r="B1855" s="40" t="n">
        <v>45913</v>
      </c>
      <c r="C1855" s="39" t="s">
        <v>117</v>
      </c>
      <c r="D1855" s="39" t="n">
        <v>2</v>
      </c>
      <c r="E1855" s="41" t="n">
        <v>31.91</v>
      </c>
      <c r="F1855" s="39" t="s">
        <v>118</v>
      </c>
      <c r="G1855" s="39" t="str">
        <f aca="false">VLOOKUP(C1855,Products!$A$5:$D$24,2,FALSE())</f>
        <v>Desk Lamp</v>
      </c>
      <c r="H1855" s="39" t="str">
        <f aca="false">VLOOKUP(C1855,Products!$A$5:$D$24,3,FALSE())</f>
        <v>Furniture</v>
      </c>
      <c r="I1855" s="41" t="n">
        <f aca="false">VLOOKUP(C1855,Products!$A$5:$D$24,4,FALSE())</f>
        <v>13</v>
      </c>
      <c r="J1855" s="42" t="n">
        <f aca="false">DATE(YEAR(B1855),MONTH(B1855),1)</f>
        <v>45901</v>
      </c>
      <c r="K1855" s="41" t="n">
        <f aca="false">D1855*E1855</f>
        <v>63.82</v>
      </c>
      <c r="L1855" s="41" t="n">
        <f aca="false">D1855*I1855</f>
        <v>26</v>
      </c>
      <c r="M1855" s="41" t="n">
        <f aca="false">IFERROR(INDEX(Raw_Expenses!$C$5:$C$2979,MATCH(A1855,Raw_Expenses!$A$5:$A$2979,0)),0)</f>
        <v>2.79</v>
      </c>
      <c r="N1855" s="41" t="n">
        <f aca="false">L1855+M1855</f>
        <v>28.79</v>
      </c>
      <c r="O1855" s="41" t="n">
        <f aca="false">K1855-N1855</f>
        <v>35.03</v>
      </c>
      <c r="P1855" s="43" t="n">
        <f aca="false">IF(K1855=0,0,O1855/K1855)</f>
        <v>0.548887496082733</v>
      </c>
    </row>
    <row r="1856" customFormat="false" ht="15" hidden="false" customHeight="false" outlineLevel="0" collapsed="false">
      <c r="A1856" s="39" t="s">
        <v>1978</v>
      </c>
      <c r="B1856" s="40" t="n">
        <v>45913</v>
      </c>
      <c r="C1856" s="39" t="s">
        <v>126</v>
      </c>
      <c r="D1856" s="39" t="n">
        <v>3</v>
      </c>
      <c r="E1856" s="41" t="n">
        <v>24.43</v>
      </c>
      <c r="F1856" s="39" t="s">
        <v>108</v>
      </c>
      <c r="G1856" s="39" t="str">
        <f aca="false">VLOOKUP(C1856,Products!$A$5:$D$24,2,FALSE())</f>
        <v>Wireless Mouse</v>
      </c>
      <c r="H1856" s="39" t="str">
        <f aca="false">VLOOKUP(C1856,Products!$A$5:$D$24,3,FALSE())</f>
        <v>Electronics</v>
      </c>
      <c r="I1856" s="41" t="n">
        <f aca="false">VLOOKUP(C1856,Products!$A$5:$D$24,4,FALSE())</f>
        <v>12</v>
      </c>
      <c r="J1856" s="42" t="n">
        <f aca="false">DATE(YEAR(B1856),MONTH(B1856),1)</f>
        <v>45901</v>
      </c>
      <c r="K1856" s="41" t="n">
        <f aca="false">D1856*E1856</f>
        <v>73.29</v>
      </c>
      <c r="L1856" s="41" t="n">
        <f aca="false">D1856*I1856</f>
        <v>36</v>
      </c>
      <c r="M1856" s="41" t="n">
        <f aca="false">IFERROR(INDEX(Raw_Expenses!$C$5:$C$2979,MATCH(A1856,Raw_Expenses!$A$5:$A$2979,0)),0)</f>
        <v>6.52</v>
      </c>
      <c r="N1856" s="41" t="n">
        <f aca="false">L1856+M1856</f>
        <v>42.52</v>
      </c>
      <c r="O1856" s="41" t="n">
        <f aca="false">K1856-N1856</f>
        <v>30.77</v>
      </c>
      <c r="P1856" s="43" t="n">
        <f aca="false">IF(K1856=0,0,O1856/K1856)</f>
        <v>0.419838995770228</v>
      </c>
    </row>
    <row r="1857" customFormat="false" ht="15" hidden="false" customHeight="false" outlineLevel="0" collapsed="false">
      <c r="A1857" s="39" t="s">
        <v>1979</v>
      </c>
      <c r="B1857" s="40" t="n">
        <v>45913</v>
      </c>
      <c r="C1857" s="39" t="s">
        <v>169</v>
      </c>
      <c r="D1857" s="39" t="n">
        <v>6</v>
      </c>
      <c r="E1857" s="41" t="n">
        <v>28.61</v>
      </c>
      <c r="F1857" s="39" t="s">
        <v>118</v>
      </c>
      <c r="G1857" s="39" t="str">
        <f aca="false">VLOOKUP(C1857,Products!$A$5:$D$24,2,FALSE())</f>
        <v>Laptop Stand</v>
      </c>
      <c r="H1857" s="39" t="str">
        <f aca="false">VLOOKUP(C1857,Products!$A$5:$D$24,3,FALSE())</f>
        <v>Accessories</v>
      </c>
      <c r="I1857" s="41" t="n">
        <f aca="false">VLOOKUP(C1857,Products!$A$5:$D$24,4,FALSE())</f>
        <v>11</v>
      </c>
      <c r="J1857" s="42" t="n">
        <f aca="false">DATE(YEAR(B1857),MONTH(B1857),1)</f>
        <v>45901</v>
      </c>
      <c r="K1857" s="41" t="n">
        <f aca="false">D1857*E1857</f>
        <v>171.66</v>
      </c>
      <c r="L1857" s="41" t="n">
        <f aca="false">D1857*I1857</f>
        <v>66</v>
      </c>
      <c r="M1857" s="41" t="n">
        <f aca="false">IFERROR(INDEX(Raw_Expenses!$C$5:$C$2979,MATCH(A1857,Raw_Expenses!$A$5:$A$2979,0)),0)</f>
        <v>9</v>
      </c>
      <c r="N1857" s="41" t="n">
        <f aca="false">L1857+M1857</f>
        <v>75</v>
      </c>
      <c r="O1857" s="41" t="n">
        <f aca="false">K1857-N1857</f>
        <v>96.66</v>
      </c>
      <c r="P1857" s="43" t="n">
        <f aca="false">IF(K1857=0,0,O1857/K1857)</f>
        <v>0.563089828731213</v>
      </c>
    </row>
    <row r="1858" customFormat="false" ht="15" hidden="false" customHeight="false" outlineLevel="0" collapsed="false">
      <c r="A1858" s="39" t="s">
        <v>1980</v>
      </c>
      <c r="B1858" s="40" t="n">
        <v>45913</v>
      </c>
      <c r="C1858" s="39" t="s">
        <v>177</v>
      </c>
      <c r="D1858" s="39" t="n">
        <v>4</v>
      </c>
      <c r="E1858" s="41" t="n">
        <v>42.49</v>
      </c>
      <c r="F1858" s="39" t="s">
        <v>115</v>
      </c>
      <c r="G1858" s="39" t="str">
        <f aca="false">VLOOKUP(C1858,Products!$A$5:$D$24,2,FALSE())</f>
        <v>Backpack</v>
      </c>
      <c r="H1858" s="39" t="str">
        <f aca="false">VLOOKUP(C1858,Products!$A$5:$D$24,3,FALSE())</f>
        <v>Accessories</v>
      </c>
      <c r="I1858" s="41" t="n">
        <f aca="false">VLOOKUP(C1858,Products!$A$5:$D$24,4,FALSE())</f>
        <v>17</v>
      </c>
      <c r="J1858" s="42" t="n">
        <f aca="false">DATE(YEAR(B1858),MONTH(B1858),1)</f>
        <v>45901</v>
      </c>
      <c r="K1858" s="41" t="n">
        <f aca="false">D1858*E1858</f>
        <v>169.96</v>
      </c>
      <c r="L1858" s="41" t="n">
        <f aca="false">D1858*I1858</f>
        <v>68</v>
      </c>
      <c r="M1858" s="41" t="n">
        <f aca="false">IFERROR(INDEX(Raw_Expenses!$C$5:$C$2979,MATCH(A1858,Raw_Expenses!$A$5:$A$2979,0)),0)</f>
        <v>6.98</v>
      </c>
      <c r="N1858" s="41" t="n">
        <f aca="false">L1858+M1858</f>
        <v>74.98</v>
      </c>
      <c r="O1858" s="41" t="n">
        <f aca="false">K1858-N1858</f>
        <v>94.98</v>
      </c>
      <c r="P1858" s="43" t="n">
        <f aca="false">IF(K1858=0,0,O1858/K1858)</f>
        <v>0.558837373499647</v>
      </c>
    </row>
    <row r="1859" customFormat="false" ht="15" hidden="false" customHeight="false" outlineLevel="0" collapsed="false">
      <c r="A1859" s="39" t="s">
        <v>1981</v>
      </c>
      <c r="B1859" s="40" t="n">
        <v>45913</v>
      </c>
      <c r="C1859" s="39" t="s">
        <v>110</v>
      </c>
      <c r="D1859" s="39" t="n">
        <v>3</v>
      </c>
      <c r="E1859" s="41" t="n">
        <v>13.13</v>
      </c>
      <c r="F1859" s="39" t="s">
        <v>105</v>
      </c>
      <c r="G1859" s="39" t="str">
        <f aca="false">VLOOKUP(C1859,Products!$A$5:$D$24,2,FALSE())</f>
        <v>Phone Stand</v>
      </c>
      <c r="H1859" s="39" t="str">
        <f aca="false">VLOOKUP(C1859,Products!$A$5:$D$24,3,FALSE())</f>
        <v>Accessories</v>
      </c>
      <c r="I1859" s="41" t="n">
        <f aca="false">VLOOKUP(C1859,Products!$A$5:$D$24,4,FALSE())</f>
        <v>4</v>
      </c>
      <c r="J1859" s="42" t="n">
        <f aca="false">DATE(YEAR(B1859),MONTH(B1859),1)</f>
        <v>45901</v>
      </c>
      <c r="K1859" s="41" t="n">
        <f aca="false">D1859*E1859</f>
        <v>39.39</v>
      </c>
      <c r="L1859" s="41" t="n">
        <f aca="false">D1859*I1859</f>
        <v>12</v>
      </c>
      <c r="M1859" s="41" t="n">
        <f aca="false">IFERROR(INDEX(Raw_Expenses!$C$5:$C$2979,MATCH(A1859,Raw_Expenses!$A$5:$A$2979,0)),0)</f>
        <v>1.63</v>
      </c>
      <c r="N1859" s="41" t="n">
        <f aca="false">L1859+M1859</f>
        <v>13.63</v>
      </c>
      <c r="O1859" s="41" t="n">
        <f aca="false">K1859-N1859</f>
        <v>25.76</v>
      </c>
      <c r="P1859" s="43" t="n">
        <f aca="false">IF(K1859=0,0,O1859/K1859)</f>
        <v>0.653973089616654</v>
      </c>
    </row>
    <row r="1860" customFormat="false" ht="15" hidden="false" customHeight="false" outlineLevel="0" collapsed="false">
      <c r="A1860" s="39" t="s">
        <v>1982</v>
      </c>
      <c r="B1860" s="40" t="n">
        <v>45913</v>
      </c>
      <c r="C1860" s="39" t="s">
        <v>104</v>
      </c>
      <c r="D1860" s="39" t="n">
        <v>1</v>
      </c>
      <c r="E1860" s="41" t="n">
        <v>15.03</v>
      </c>
      <c r="F1860" s="39" t="s">
        <v>105</v>
      </c>
      <c r="G1860" s="39" t="str">
        <f aca="false">VLOOKUP(C1860,Products!$A$5:$D$24,2,FALSE())</f>
        <v>Water Bottle</v>
      </c>
      <c r="H1860" s="39" t="str">
        <f aca="false">VLOOKUP(C1860,Products!$A$5:$D$24,3,FALSE())</f>
        <v>Accessories</v>
      </c>
      <c r="I1860" s="41" t="n">
        <f aca="false">VLOOKUP(C1860,Products!$A$5:$D$24,4,FALSE())</f>
        <v>5</v>
      </c>
      <c r="J1860" s="42" t="n">
        <f aca="false">DATE(YEAR(B1860),MONTH(B1860),1)</f>
        <v>45901</v>
      </c>
      <c r="K1860" s="41" t="n">
        <f aca="false">D1860*E1860</f>
        <v>15.03</v>
      </c>
      <c r="L1860" s="41" t="n">
        <f aca="false">D1860*I1860</f>
        <v>5</v>
      </c>
      <c r="M1860" s="41" t="n">
        <f aca="false">IFERROR(INDEX(Raw_Expenses!$C$5:$C$2979,MATCH(A1860,Raw_Expenses!$A$5:$A$2979,0)),0)</f>
        <v>0.93</v>
      </c>
      <c r="N1860" s="41" t="n">
        <f aca="false">L1860+M1860</f>
        <v>5.93</v>
      </c>
      <c r="O1860" s="41" t="n">
        <f aca="false">K1860-N1860</f>
        <v>9.1</v>
      </c>
      <c r="P1860" s="43" t="n">
        <f aca="false">IF(K1860=0,0,O1860/K1860)</f>
        <v>0.605455755156354</v>
      </c>
    </row>
    <row r="1861" customFormat="false" ht="15" hidden="false" customHeight="false" outlineLevel="0" collapsed="false">
      <c r="A1861" s="39" t="s">
        <v>1983</v>
      </c>
      <c r="B1861" s="40" t="n">
        <v>45913</v>
      </c>
      <c r="C1861" s="39" t="s">
        <v>117</v>
      </c>
      <c r="D1861" s="39" t="n">
        <v>3</v>
      </c>
      <c r="E1861" s="41" t="n">
        <v>31.5</v>
      </c>
      <c r="F1861" s="39" t="s">
        <v>115</v>
      </c>
      <c r="G1861" s="39" t="str">
        <f aca="false">VLOOKUP(C1861,Products!$A$5:$D$24,2,FALSE())</f>
        <v>Desk Lamp</v>
      </c>
      <c r="H1861" s="39" t="str">
        <f aca="false">VLOOKUP(C1861,Products!$A$5:$D$24,3,FALSE())</f>
        <v>Furniture</v>
      </c>
      <c r="I1861" s="41" t="n">
        <f aca="false">VLOOKUP(C1861,Products!$A$5:$D$24,4,FALSE())</f>
        <v>13</v>
      </c>
      <c r="J1861" s="42" t="n">
        <f aca="false">DATE(YEAR(B1861),MONTH(B1861),1)</f>
        <v>45901</v>
      </c>
      <c r="K1861" s="41" t="n">
        <f aca="false">D1861*E1861</f>
        <v>94.5</v>
      </c>
      <c r="L1861" s="41" t="n">
        <f aca="false">D1861*I1861</f>
        <v>39</v>
      </c>
      <c r="M1861" s="41" t="n">
        <f aca="false">IFERROR(INDEX(Raw_Expenses!$C$5:$C$2979,MATCH(A1861,Raw_Expenses!$A$5:$A$2979,0)),0)</f>
        <v>5.42</v>
      </c>
      <c r="N1861" s="41" t="n">
        <f aca="false">L1861+M1861</f>
        <v>44.42</v>
      </c>
      <c r="O1861" s="41" t="n">
        <f aca="false">K1861-N1861</f>
        <v>50.08</v>
      </c>
      <c r="P1861" s="43" t="n">
        <f aca="false">IF(K1861=0,0,O1861/K1861)</f>
        <v>0.52994708994709</v>
      </c>
    </row>
    <row r="1862" customFormat="false" ht="15" hidden="false" customHeight="false" outlineLevel="0" collapsed="false">
      <c r="A1862" s="39" t="s">
        <v>1984</v>
      </c>
      <c r="B1862" s="40" t="n">
        <v>45913</v>
      </c>
      <c r="C1862" s="39" t="s">
        <v>121</v>
      </c>
      <c r="D1862" s="39" t="n">
        <v>2</v>
      </c>
      <c r="E1862" s="41" t="n">
        <v>109.51</v>
      </c>
      <c r="F1862" s="39" t="s">
        <v>118</v>
      </c>
      <c r="G1862" s="39" t="str">
        <f aca="false">VLOOKUP(C1862,Products!$A$5:$D$24,2,FALSE())</f>
        <v>External SSD 1TB</v>
      </c>
      <c r="H1862" s="39" t="str">
        <f aca="false">VLOOKUP(C1862,Products!$A$5:$D$24,3,FALSE())</f>
        <v>Electronics</v>
      </c>
      <c r="I1862" s="41" t="n">
        <f aca="false">VLOOKUP(C1862,Products!$A$5:$D$24,4,FALSE())</f>
        <v>62</v>
      </c>
      <c r="J1862" s="42" t="n">
        <f aca="false">DATE(YEAR(B1862),MONTH(B1862),1)</f>
        <v>45901</v>
      </c>
      <c r="K1862" s="41" t="n">
        <f aca="false">D1862*E1862</f>
        <v>219.02</v>
      </c>
      <c r="L1862" s="41" t="n">
        <f aca="false">D1862*I1862</f>
        <v>124</v>
      </c>
      <c r="M1862" s="41" t="n">
        <f aca="false">IFERROR(INDEX(Raw_Expenses!$C$5:$C$2979,MATCH(A1862,Raw_Expenses!$A$5:$A$2979,0)),0)</f>
        <v>11.21</v>
      </c>
      <c r="N1862" s="41" t="n">
        <f aca="false">L1862+M1862</f>
        <v>135.21</v>
      </c>
      <c r="O1862" s="41" t="n">
        <f aca="false">K1862-N1862</f>
        <v>83.81</v>
      </c>
      <c r="P1862" s="43" t="n">
        <f aca="false">IF(K1862=0,0,O1862/K1862)</f>
        <v>0.382659117888777</v>
      </c>
    </row>
    <row r="1863" customFormat="false" ht="15" hidden="false" customHeight="false" outlineLevel="0" collapsed="false">
      <c r="A1863" s="39" t="s">
        <v>1985</v>
      </c>
      <c r="B1863" s="40" t="n">
        <v>45913</v>
      </c>
      <c r="C1863" s="39" t="s">
        <v>153</v>
      </c>
      <c r="D1863" s="39" t="n">
        <v>2</v>
      </c>
      <c r="E1863" s="41" t="n">
        <v>170.74</v>
      </c>
      <c r="F1863" s="39" t="s">
        <v>115</v>
      </c>
      <c r="G1863" s="39" t="str">
        <f aca="false">VLOOKUP(C1863,Products!$A$5:$D$24,2,FALSE())</f>
        <v>24-inch Monitor</v>
      </c>
      <c r="H1863" s="39" t="str">
        <f aca="false">VLOOKUP(C1863,Products!$A$5:$D$24,3,FALSE())</f>
        <v>Electronics</v>
      </c>
      <c r="I1863" s="41" t="n">
        <f aca="false">VLOOKUP(C1863,Products!$A$5:$D$24,4,FALSE())</f>
        <v>90</v>
      </c>
      <c r="J1863" s="42" t="n">
        <f aca="false">DATE(YEAR(B1863),MONTH(B1863),1)</f>
        <v>45901</v>
      </c>
      <c r="K1863" s="41" t="n">
        <f aca="false">D1863*E1863</f>
        <v>341.48</v>
      </c>
      <c r="L1863" s="41" t="n">
        <f aca="false">D1863*I1863</f>
        <v>180</v>
      </c>
      <c r="M1863" s="41" t="n">
        <f aca="false">IFERROR(INDEX(Raw_Expenses!$C$5:$C$2979,MATCH(A1863,Raw_Expenses!$A$5:$A$2979,0)),0)</f>
        <v>16.73</v>
      </c>
      <c r="N1863" s="41" t="n">
        <f aca="false">L1863+M1863</f>
        <v>196.73</v>
      </c>
      <c r="O1863" s="41" t="n">
        <f aca="false">K1863-N1863</f>
        <v>144.75</v>
      </c>
      <c r="P1863" s="43" t="n">
        <f aca="false">IF(K1863=0,0,O1863/K1863)</f>
        <v>0.423890125336769</v>
      </c>
    </row>
    <row r="1864" customFormat="false" ht="15" hidden="false" customHeight="false" outlineLevel="0" collapsed="false">
      <c r="A1864" s="39" t="s">
        <v>1986</v>
      </c>
      <c r="B1864" s="40" t="n">
        <v>45913</v>
      </c>
      <c r="C1864" s="39" t="s">
        <v>169</v>
      </c>
      <c r="D1864" s="39" t="n">
        <v>3</v>
      </c>
      <c r="E1864" s="41" t="n">
        <v>27.59</v>
      </c>
      <c r="F1864" s="39" t="s">
        <v>118</v>
      </c>
      <c r="G1864" s="39" t="str">
        <f aca="false">VLOOKUP(C1864,Products!$A$5:$D$24,2,FALSE())</f>
        <v>Laptop Stand</v>
      </c>
      <c r="H1864" s="39" t="str">
        <f aca="false">VLOOKUP(C1864,Products!$A$5:$D$24,3,FALSE())</f>
        <v>Accessories</v>
      </c>
      <c r="I1864" s="41" t="n">
        <f aca="false">VLOOKUP(C1864,Products!$A$5:$D$24,4,FALSE())</f>
        <v>11</v>
      </c>
      <c r="J1864" s="42" t="n">
        <f aca="false">DATE(YEAR(B1864),MONTH(B1864),1)</f>
        <v>45901</v>
      </c>
      <c r="K1864" s="41" t="n">
        <f aca="false">D1864*E1864</f>
        <v>82.77</v>
      </c>
      <c r="L1864" s="41" t="n">
        <f aca="false">D1864*I1864</f>
        <v>33</v>
      </c>
      <c r="M1864" s="41" t="n">
        <f aca="false">IFERROR(INDEX(Raw_Expenses!$C$5:$C$2979,MATCH(A1864,Raw_Expenses!$A$5:$A$2979,0)),0)</f>
        <v>4.35</v>
      </c>
      <c r="N1864" s="41" t="n">
        <f aca="false">L1864+M1864</f>
        <v>37.35</v>
      </c>
      <c r="O1864" s="41" t="n">
        <f aca="false">K1864-N1864</f>
        <v>45.42</v>
      </c>
      <c r="P1864" s="43" t="n">
        <f aca="false">IF(K1864=0,0,O1864/K1864)</f>
        <v>0.548749546937296</v>
      </c>
    </row>
    <row r="1865" customFormat="false" ht="15" hidden="false" customHeight="false" outlineLevel="0" collapsed="false">
      <c r="A1865" s="39" t="s">
        <v>1987</v>
      </c>
      <c r="B1865" s="40" t="n">
        <v>45913</v>
      </c>
      <c r="C1865" s="39" t="s">
        <v>104</v>
      </c>
      <c r="D1865" s="39" t="n">
        <v>4</v>
      </c>
      <c r="E1865" s="41" t="n">
        <v>15.92</v>
      </c>
      <c r="F1865" s="39" t="s">
        <v>118</v>
      </c>
      <c r="G1865" s="39" t="str">
        <f aca="false">VLOOKUP(C1865,Products!$A$5:$D$24,2,FALSE())</f>
        <v>Water Bottle</v>
      </c>
      <c r="H1865" s="39" t="str">
        <f aca="false">VLOOKUP(C1865,Products!$A$5:$D$24,3,FALSE())</f>
        <v>Accessories</v>
      </c>
      <c r="I1865" s="41" t="n">
        <f aca="false">VLOOKUP(C1865,Products!$A$5:$D$24,4,FALSE())</f>
        <v>5</v>
      </c>
      <c r="J1865" s="42" t="n">
        <f aca="false">DATE(YEAR(B1865),MONTH(B1865),1)</f>
        <v>45901</v>
      </c>
      <c r="K1865" s="41" t="n">
        <f aca="false">D1865*E1865</f>
        <v>63.68</v>
      </c>
      <c r="L1865" s="41" t="n">
        <f aca="false">D1865*I1865</f>
        <v>20</v>
      </c>
      <c r="M1865" s="41" t="n">
        <f aca="false">IFERROR(INDEX(Raw_Expenses!$C$5:$C$2979,MATCH(A1865,Raw_Expenses!$A$5:$A$2979,0)),0)</f>
        <v>3.15</v>
      </c>
      <c r="N1865" s="41" t="n">
        <f aca="false">L1865+M1865</f>
        <v>23.15</v>
      </c>
      <c r="O1865" s="41" t="n">
        <f aca="false">K1865-N1865</f>
        <v>40.53</v>
      </c>
      <c r="P1865" s="43" t="n">
        <f aca="false">IF(K1865=0,0,O1865/K1865)</f>
        <v>0.636463567839196</v>
      </c>
    </row>
    <row r="1866" customFormat="false" ht="15" hidden="false" customHeight="false" outlineLevel="0" collapsed="false">
      <c r="A1866" s="39" t="s">
        <v>1988</v>
      </c>
      <c r="B1866" s="40" t="n">
        <v>45913</v>
      </c>
      <c r="C1866" s="39" t="s">
        <v>183</v>
      </c>
      <c r="D1866" s="39" t="n">
        <v>1</v>
      </c>
      <c r="E1866" s="41" t="n">
        <v>184.43</v>
      </c>
      <c r="F1866" s="39" t="s">
        <v>105</v>
      </c>
      <c r="G1866" s="39" t="str">
        <f aca="false">VLOOKUP(C1866,Products!$A$5:$D$24,2,FALSE())</f>
        <v>Office Chair</v>
      </c>
      <c r="H1866" s="39" t="str">
        <f aca="false">VLOOKUP(C1866,Products!$A$5:$D$24,3,FALSE())</f>
        <v>Furniture</v>
      </c>
      <c r="I1866" s="41" t="n">
        <f aca="false">VLOOKUP(C1866,Products!$A$5:$D$24,4,FALSE())</f>
        <v>85</v>
      </c>
      <c r="J1866" s="42" t="n">
        <f aca="false">DATE(YEAR(B1866),MONTH(B1866),1)</f>
        <v>45901</v>
      </c>
      <c r="K1866" s="41" t="n">
        <f aca="false">D1866*E1866</f>
        <v>184.43</v>
      </c>
      <c r="L1866" s="41" t="n">
        <f aca="false">D1866*I1866</f>
        <v>85</v>
      </c>
      <c r="M1866" s="41" t="n">
        <f aca="false">IFERROR(INDEX(Raw_Expenses!$C$5:$C$2979,MATCH(A1866,Raw_Expenses!$A$5:$A$2979,0)),0)</f>
        <v>15.2</v>
      </c>
      <c r="N1866" s="41" t="n">
        <f aca="false">L1866+M1866</f>
        <v>100.2</v>
      </c>
      <c r="O1866" s="41" t="n">
        <f aca="false">K1866-N1866</f>
        <v>84.23</v>
      </c>
      <c r="P1866" s="43" t="n">
        <f aca="false">IF(K1866=0,0,O1866/K1866)</f>
        <v>0.456704440709212</v>
      </c>
    </row>
    <row r="1867" customFormat="false" ht="15" hidden="false" customHeight="false" outlineLevel="0" collapsed="false">
      <c r="A1867" s="39" t="s">
        <v>1989</v>
      </c>
      <c r="B1867" s="40" t="n">
        <v>45914</v>
      </c>
      <c r="C1867" s="39" t="s">
        <v>114</v>
      </c>
      <c r="D1867" s="39" t="n">
        <v>4</v>
      </c>
      <c r="E1867" s="41" t="n">
        <v>5.92</v>
      </c>
      <c r="F1867" s="39" t="s">
        <v>118</v>
      </c>
      <c r="G1867" s="39" t="str">
        <f aca="false">VLOOKUP(C1867,Products!$A$5:$D$24,2,FALSE())</f>
        <v>Gel Pen Pack</v>
      </c>
      <c r="H1867" s="39" t="str">
        <f aca="false">VLOOKUP(C1867,Products!$A$5:$D$24,3,FALSE())</f>
        <v>Stationery</v>
      </c>
      <c r="I1867" s="41" t="n">
        <f aca="false">VLOOKUP(C1867,Products!$A$5:$D$24,4,FALSE())</f>
        <v>2</v>
      </c>
      <c r="J1867" s="42" t="n">
        <f aca="false">DATE(YEAR(B1867),MONTH(B1867),1)</f>
        <v>45901</v>
      </c>
      <c r="K1867" s="41" t="n">
        <f aca="false">D1867*E1867</f>
        <v>23.68</v>
      </c>
      <c r="L1867" s="41" t="n">
        <f aca="false">D1867*I1867</f>
        <v>8</v>
      </c>
      <c r="M1867" s="41" t="n">
        <f aca="false">IFERROR(INDEX(Raw_Expenses!$C$5:$C$2979,MATCH(A1867,Raw_Expenses!$A$5:$A$2979,0)),0)</f>
        <v>1.77</v>
      </c>
      <c r="N1867" s="41" t="n">
        <f aca="false">L1867+M1867</f>
        <v>9.77</v>
      </c>
      <c r="O1867" s="41" t="n">
        <f aca="false">K1867-N1867</f>
        <v>13.91</v>
      </c>
      <c r="P1867" s="43" t="n">
        <f aca="false">IF(K1867=0,0,O1867/K1867)</f>
        <v>0.587415540540541</v>
      </c>
    </row>
    <row r="1868" customFormat="false" ht="15" hidden="false" customHeight="false" outlineLevel="0" collapsed="false">
      <c r="A1868" s="39" t="s">
        <v>1990</v>
      </c>
      <c r="B1868" s="40" t="n">
        <v>45914</v>
      </c>
      <c r="C1868" s="39" t="s">
        <v>128</v>
      </c>
      <c r="D1868" s="39" t="n">
        <v>3</v>
      </c>
      <c r="E1868" s="41" t="n">
        <v>38.62</v>
      </c>
      <c r="F1868" s="39" t="s">
        <v>108</v>
      </c>
      <c r="G1868" s="39" t="str">
        <f aca="false">VLOOKUP(C1868,Products!$A$5:$D$24,2,FALSE())</f>
        <v>Ergonomic Footrest</v>
      </c>
      <c r="H1868" s="39" t="str">
        <f aca="false">VLOOKUP(C1868,Products!$A$5:$D$24,3,FALSE())</f>
        <v>Furniture</v>
      </c>
      <c r="I1868" s="41" t="n">
        <f aca="false">VLOOKUP(C1868,Products!$A$5:$D$24,4,FALSE())</f>
        <v>15</v>
      </c>
      <c r="J1868" s="42" t="n">
        <f aca="false">DATE(YEAR(B1868),MONTH(B1868),1)</f>
        <v>45901</v>
      </c>
      <c r="K1868" s="41" t="n">
        <f aca="false">D1868*E1868</f>
        <v>115.86</v>
      </c>
      <c r="L1868" s="41" t="n">
        <f aca="false">D1868*I1868</f>
        <v>45</v>
      </c>
      <c r="M1868" s="41" t="n">
        <f aca="false">IFERROR(INDEX(Raw_Expenses!$C$5:$C$2979,MATCH(A1868,Raw_Expenses!$A$5:$A$2979,0)),0)</f>
        <v>8.57</v>
      </c>
      <c r="N1868" s="41" t="n">
        <f aca="false">L1868+M1868</f>
        <v>53.57</v>
      </c>
      <c r="O1868" s="41" t="n">
        <f aca="false">K1868-N1868</f>
        <v>62.29</v>
      </c>
      <c r="P1868" s="43" t="n">
        <f aca="false">IF(K1868=0,0,O1868/K1868)</f>
        <v>0.537631624374245</v>
      </c>
    </row>
    <row r="1869" customFormat="false" ht="15" hidden="false" customHeight="false" outlineLevel="0" collapsed="false">
      <c r="A1869" s="39" t="s">
        <v>1991</v>
      </c>
      <c r="B1869" s="40" t="n">
        <v>45914</v>
      </c>
      <c r="C1869" s="39" t="s">
        <v>121</v>
      </c>
      <c r="D1869" s="39" t="n">
        <v>3</v>
      </c>
      <c r="E1869" s="41" t="n">
        <v>115.59</v>
      </c>
      <c r="F1869" s="39" t="s">
        <v>108</v>
      </c>
      <c r="G1869" s="39" t="str">
        <f aca="false">VLOOKUP(C1869,Products!$A$5:$D$24,2,FALSE())</f>
        <v>External SSD 1TB</v>
      </c>
      <c r="H1869" s="39" t="str">
        <f aca="false">VLOOKUP(C1869,Products!$A$5:$D$24,3,FALSE())</f>
        <v>Electronics</v>
      </c>
      <c r="I1869" s="41" t="n">
        <f aca="false">VLOOKUP(C1869,Products!$A$5:$D$24,4,FALSE())</f>
        <v>62</v>
      </c>
      <c r="J1869" s="42" t="n">
        <f aca="false">DATE(YEAR(B1869),MONTH(B1869),1)</f>
        <v>45901</v>
      </c>
      <c r="K1869" s="41" t="n">
        <f aca="false">D1869*E1869</f>
        <v>346.77</v>
      </c>
      <c r="L1869" s="41" t="n">
        <f aca="false">D1869*I1869</f>
        <v>186</v>
      </c>
      <c r="M1869" s="41" t="n">
        <f aca="false">IFERROR(INDEX(Raw_Expenses!$C$5:$C$2979,MATCH(A1869,Raw_Expenses!$A$5:$A$2979,0)),0)</f>
        <v>29.58</v>
      </c>
      <c r="N1869" s="41" t="n">
        <f aca="false">L1869+M1869</f>
        <v>215.58</v>
      </c>
      <c r="O1869" s="41" t="n">
        <f aca="false">K1869-N1869</f>
        <v>131.19</v>
      </c>
      <c r="P1869" s="43" t="n">
        <f aca="false">IF(K1869=0,0,O1869/K1869)</f>
        <v>0.378319923868847</v>
      </c>
    </row>
    <row r="1870" customFormat="false" ht="15" hidden="false" customHeight="false" outlineLevel="0" collapsed="false">
      <c r="A1870" s="39" t="s">
        <v>1992</v>
      </c>
      <c r="B1870" s="40" t="n">
        <v>45914</v>
      </c>
      <c r="C1870" s="39" t="s">
        <v>133</v>
      </c>
      <c r="D1870" s="39" t="n">
        <v>1</v>
      </c>
      <c r="E1870" s="41" t="n">
        <v>8.94</v>
      </c>
      <c r="F1870" s="39" t="s">
        <v>108</v>
      </c>
      <c r="G1870" s="39" t="str">
        <f aca="false">VLOOKUP(C1870,Products!$A$5:$D$24,2,FALSE())</f>
        <v>Printer Paper Ream</v>
      </c>
      <c r="H1870" s="39" t="str">
        <f aca="false">VLOOKUP(C1870,Products!$A$5:$D$24,3,FALSE())</f>
        <v>Stationery</v>
      </c>
      <c r="I1870" s="41" t="n">
        <f aca="false">VLOOKUP(C1870,Products!$A$5:$D$24,4,FALSE())</f>
        <v>4</v>
      </c>
      <c r="J1870" s="42" t="n">
        <f aca="false">DATE(YEAR(B1870),MONTH(B1870),1)</f>
        <v>45901</v>
      </c>
      <c r="K1870" s="41" t="n">
        <f aca="false">D1870*E1870</f>
        <v>8.94</v>
      </c>
      <c r="L1870" s="41" t="n">
        <f aca="false">D1870*I1870</f>
        <v>4</v>
      </c>
      <c r="M1870" s="41" t="n">
        <f aca="false">IFERROR(INDEX(Raw_Expenses!$C$5:$C$2979,MATCH(A1870,Raw_Expenses!$A$5:$A$2979,0)),0)</f>
        <v>0.54</v>
      </c>
      <c r="N1870" s="41" t="n">
        <f aca="false">L1870+M1870</f>
        <v>4.54</v>
      </c>
      <c r="O1870" s="41" t="n">
        <f aca="false">K1870-N1870</f>
        <v>4.4</v>
      </c>
      <c r="P1870" s="43" t="n">
        <f aca="false">IF(K1870=0,0,O1870/K1870)</f>
        <v>0.492170022371365</v>
      </c>
    </row>
    <row r="1871" customFormat="false" ht="15" hidden="false" customHeight="false" outlineLevel="0" collapsed="false">
      <c r="A1871" s="39" t="s">
        <v>1993</v>
      </c>
      <c r="B1871" s="40" t="n">
        <v>45914</v>
      </c>
      <c r="C1871" s="39" t="s">
        <v>144</v>
      </c>
      <c r="D1871" s="39" t="n">
        <v>2</v>
      </c>
      <c r="E1871" s="41" t="n">
        <v>57.39</v>
      </c>
      <c r="F1871" s="39" t="s">
        <v>105</v>
      </c>
      <c r="G1871" s="39" t="str">
        <f aca="false">VLOOKUP(C1871,Products!$A$5:$D$24,2,FALSE())</f>
        <v>Whiteboard</v>
      </c>
      <c r="H1871" s="39" t="str">
        <f aca="false">VLOOKUP(C1871,Products!$A$5:$D$24,3,FALSE())</f>
        <v>Furniture</v>
      </c>
      <c r="I1871" s="41" t="n">
        <f aca="false">VLOOKUP(C1871,Products!$A$5:$D$24,4,FALSE())</f>
        <v>28</v>
      </c>
      <c r="J1871" s="42" t="n">
        <f aca="false">DATE(YEAR(B1871),MONTH(B1871),1)</f>
        <v>45901</v>
      </c>
      <c r="K1871" s="41" t="n">
        <f aca="false">D1871*E1871</f>
        <v>114.78</v>
      </c>
      <c r="L1871" s="41" t="n">
        <f aca="false">D1871*I1871</f>
        <v>56</v>
      </c>
      <c r="M1871" s="41" t="n">
        <f aca="false">IFERROR(INDEX(Raw_Expenses!$C$5:$C$2979,MATCH(A1871,Raw_Expenses!$A$5:$A$2979,0)),0)</f>
        <v>7.5</v>
      </c>
      <c r="N1871" s="41" t="n">
        <f aca="false">L1871+M1871</f>
        <v>63.5</v>
      </c>
      <c r="O1871" s="41" t="n">
        <f aca="false">K1871-N1871</f>
        <v>51.28</v>
      </c>
      <c r="P1871" s="43" t="n">
        <f aca="false">IF(K1871=0,0,O1871/K1871)</f>
        <v>0.446767729569611</v>
      </c>
    </row>
    <row r="1872" customFormat="false" ht="15" hidden="false" customHeight="false" outlineLevel="0" collapsed="false">
      <c r="A1872" s="39" t="s">
        <v>1994</v>
      </c>
      <c r="B1872" s="40" t="n">
        <v>45914</v>
      </c>
      <c r="C1872" s="39" t="s">
        <v>133</v>
      </c>
      <c r="D1872" s="39" t="n">
        <v>2</v>
      </c>
      <c r="E1872" s="41" t="n">
        <v>8.85</v>
      </c>
      <c r="F1872" s="39" t="s">
        <v>118</v>
      </c>
      <c r="G1872" s="39" t="str">
        <f aca="false">VLOOKUP(C1872,Products!$A$5:$D$24,2,FALSE())</f>
        <v>Printer Paper Ream</v>
      </c>
      <c r="H1872" s="39" t="str">
        <f aca="false">VLOOKUP(C1872,Products!$A$5:$D$24,3,FALSE())</f>
        <v>Stationery</v>
      </c>
      <c r="I1872" s="41" t="n">
        <f aca="false">VLOOKUP(C1872,Products!$A$5:$D$24,4,FALSE())</f>
        <v>4</v>
      </c>
      <c r="J1872" s="42" t="n">
        <f aca="false">DATE(YEAR(B1872),MONTH(B1872),1)</f>
        <v>45901</v>
      </c>
      <c r="K1872" s="41" t="n">
        <f aca="false">D1872*E1872</f>
        <v>17.7</v>
      </c>
      <c r="L1872" s="41" t="n">
        <f aca="false">D1872*I1872</f>
        <v>8</v>
      </c>
      <c r="M1872" s="41" t="n">
        <f aca="false">IFERROR(INDEX(Raw_Expenses!$C$5:$C$2979,MATCH(A1872,Raw_Expenses!$A$5:$A$2979,0)),0)</f>
        <v>0.74</v>
      </c>
      <c r="N1872" s="41" t="n">
        <f aca="false">L1872+M1872</f>
        <v>8.74</v>
      </c>
      <c r="O1872" s="41" t="n">
        <f aca="false">K1872-N1872</f>
        <v>8.96</v>
      </c>
      <c r="P1872" s="43" t="n">
        <f aca="false">IF(K1872=0,0,O1872/K1872)</f>
        <v>0.506214689265537</v>
      </c>
    </row>
    <row r="1873" customFormat="false" ht="15" hidden="false" customHeight="false" outlineLevel="0" collapsed="false">
      <c r="A1873" s="39" t="s">
        <v>1995</v>
      </c>
      <c r="B1873" s="40" t="n">
        <v>45914</v>
      </c>
      <c r="C1873" s="39" t="s">
        <v>183</v>
      </c>
      <c r="D1873" s="39" t="n">
        <v>1</v>
      </c>
      <c r="E1873" s="41" t="n">
        <v>186.41</v>
      </c>
      <c r="F1873" s="39" t="s">
        <v>105</v>
      </c>
      <c r="G1873" s="39" t="str">
        <f aca="false">VLOOKUP(C1873,Products!$A$5:$D$24,2,FALSE())</f>
        <v>Office Chair</v>
      </c>
      <c r="H1873" s="39" t="str">
        <f aca="false">VLOOKUP(C1873,Products!$A$5:$D$24,3,FALSE())</f>
        <v>Furniture</v>
      </c>
      <c r="I1873" s="41" t="n">
        <f aca="false">VLOOKUP(C1873,Products!$A$5:$D$24,4,FALSE())</f>
        <v>85</v>
      </c>
      <c r="J1873" s="42" t="n">
        <f aca="false">DATE(YEAR(B1873),MONTH(B1873),1)</f>
        <v>45901</v>
      </c>
      <c r="K1873" s="41" t="n">
        <f aca="false">D1873*E1873</f>
        <v>186.41</v>
      </c>
      <c r="L1873" s="41" t="n">
        <f aca="false">D1873*I1873</f>
        <v>85</v>
      </c>
      <c r="M1873" s="41" t="n">
        <f aca="false">IFERROR(INDEX(Raw_Expenses!$C$5:$C$2979,MATCH(A1873,Raw_Expenses!$A$5:$A$2979,0)),0)</f>
        <v>14.86</v>
      </c>
      <c r="N1873" s="41" t="n">
        <f aca="false">L1873+M1873</f>
        <v>99.86</v>
      </c>
      <c r="O1873" s="41" t="n">
        <f aca="false">K1873-N1873</f>
        <v>86.55</v>
      </c>
      <c r="P1873" s="43" t="n">
        <f aca="false">IF(K1873=0,0,O1873/K1873)</f>
        <v>0.464299125583391</v>
      </c>
    </row>
    <row r="1874" customFormat="false" ht="15" hidden="false" customHeight="false" outlineLevel="0" collapsed="false">
      <c r="A1874" s="39" t="s">
        <v>1996</v>
      </c>
      <c r="B1874" s="40" t="n">
        <v>45914</v>
      </c>
      <c r="C1874" s="39" t="s">
        <v>114</v>
      </c>
      <c r="D1874" s="39" t="n">
        <v>3</v>
      </c>
      <c r="E1874" s="41" t="n">
        <v>5.65</v>
      </c>
      <c r="F1874" s="39" t="s">
        <v>108</v>
      </c>
      <c r="G1874" s="39" t="str">
        <f aca="false">VLOOKUP(C1874,Products!$A$5:$D$24,2,FALSE())</f>
        <v>Gel Pen Pack</v>
      </c>
      <c r="H1874" s="39" t="str">
        <f aca="false">VLOOKUP(C1874,Products!$A$5:$D$24,3,FALSE())</f>
        <v>Stationery</v>
      </c>
      <c r="I1874" s="41" t="n">
        <f aca="false">VLOOKUP(C1874,Products!$A$5:$D$24,4,FALSE())</f>
        <v>2</v>
      </c>
      <c r="J1874" s="42" t="n">
        <f aca="false">DATE(YEAR(B1874),MONTH(B1874),1)</f>
        <v>45901</v>
      </c>
      <c r="K1874" s="41" t="n">
        <f aca="false">D1874*E1874</f>
        <v>16.95</v>
      </c>
      <c r="L1874" s="41" t="n">
        <f aca="false">D1874*I1874</f>
        <v>6</v>
      </c>
      <c r="M1874" s="41" t="n">
        <f aca="false">IFERROR(INDEX(Raw_Expenses!$C$5:$C$2979,MATCH(A1874,Raw_Expenses!$A$5:$A$2979,0)),0)</f>
        <v>1.21</v>
      </c>
      <c r="N1874" s="41" t="n">
        <f aca="false">L1874+M1874</f>
        <v>7.21</v>
      </c>
      <c r="O1874" s="41" t="n">
        <f aca="false">K1874-N1874</f>
        <v>9.74</v>
      </c>
      <c r="P1874" s="43" t="n">
        <f aca="false">IF(K1874=0,0,O1874/K1874)</f>
        <v>0.574631268436578</v>
      </c>
    </row>
    <row r="1875" customFormat="false" ht="15" hidden="false" customHeight="false" outlineLevel="0" collapsed="false">
      <c r="A1875" s="39" t="s">
        <v>1997</v>
      </c>
      <c r="B1875" s="40" t="n">
        <v>45914</v>
      </c>
      <c r="C1875" s="39" t="s">
        <v>121</v>
      </c>
      <c r="D1875" s="39" t="n">
        <v>3</v>
      </c>
      <c r="E1875" s="41" t="n">
        <v>115.96</v>
      </c>
      <c r="F1875" s="39" t="s">
        <v>105</v>
      </c>
      <c r="G1875" s="39" t="str">
        <f aca="false">VLOOKUP(C1875,Products!$A$5:$D$24,2,FALSE())</f>
        <v>External SSD 1TB</v>
      </c>
      <c r="H1875" s="39" t="str">
        <f aca="false">VLOOKUP(C1875,Products!$A$5:$D$24,3,FALSE())</f>
        <v>Electronics</v>
      </c>
      <c r="I1875" s="41" t="n">
        <f aca="false">VLOOKUP(C1875,Products!$A$5:$D$24,4,FALSE())</f>
        <v>62</v>
      </c>
      <c r="J1875" s="42" t="n">
        <f aca="false">DATE(YEAR(B1875),MONTH(B1875),1)</f>
        <v>45901</v>
      </c>
      <c r="K1875" s="41" t="n">
        <f aca="false">D1875*E1875</f>
        <v>347.88</v>
      </c>
      <c r="L1875" s="41" t="n">
        <f aca="false">D1875*I1875</f>
        <v>186</v>
      </c>
      <c r="M1875" s="41" t="n">
        <f aca="false">IFERROR(INDEX(Raw_Expenses!$C$5:$C$2979,MATCH(A1875,Raw_Expenses!$A$5:$A$2979,0)),0)</f>
        <v>16.17</v>
      </c>
      <c r="N1875" s="41" t="n">
        <f aca="false">L1875+M1875</f>
        <v>202.17</v>
      </c>
      <c r="O1875" s="41" t="n">
        <f aca="false">K1875-N1875</f>
        <v>145.71</v>
      </c>
      <c r="P1875" s="43" t="n">
        <f aca="false">IF(K1875=0,0,O1875/K1875)</f>
        <v>0.418851328044153</v>
      </c>
    </row>
    <row r="1876" customFormat="false" ht="15" hidden="false" customHeight="false" outlineLevel="0" collapsed="false">
      <c r="A1876" s="39" t="s">
        <v>1998</v>
      </c>
      <c r="B1876" s="40" t="n">
        <v>45915</v>
      </c>
      <c r="C1876" s="39" t="s">
        <v>107</v>
      </c>
      <c r="D1876" s="39" t="n">
        <v>2</v>
      </c>
      <c r="E1876" s="41" t="n">
        <v>32.52</v>
      </c>
      <c r="F1876" s="39" t="s">
        <v>115</v>
      </c>
      <c r="G1876" s="39" t="str">
        <f aca="false">VLOOKUP(C1876,Products!$A$5:$D$24,2,FALSE())</f>
        <v>USB-C Hub</v>
      </c>
      <c r="H1876" s="39" t="str">
        <f aca="false">VLOOKUP(C1876,Products!$A$5:$D$24,3,FALSE())</f>
        <v>Electronics</v>
      </c>
      <c r="I1876" s="41" t="n">
        <f aca="false">VLOOKUP(C1876,Products!$A$5:$D$24,4,FALSE())</f>
        <v>14</v>
      </c>
      <c r="J1876" s="42" t="n">
        <f aca="false">DATE(YEAR(B1876),MONTH(B1876),1)</f>
        <v>45901</v>
      </c>
      <c r="K1876" s="41" t="n">
        <f aca="false">D1876*E1876</f>
        <v>65.04</v>
      </c>
      <c r="L1876" s="41" t="n">
        <f aca="false">D1876*I1876</f>
        <v>28</v>
      </c>
      <c r="M1876" s="41" t="n">
        <f aca="false">IFERROR(INDEX(Raw_Expenses!$C$5:$C$2979,MATCH(A1876,Raw_Expenses!$A$5:$A$2979,0)),0)</f>
        <v>2.76</v>
      </c>
      <c r="N1876" s="41" t="n">
        <f aca="false">L1876+M1876</f>
        <v>30.76</v>
      </c>
      <c r="O1876" s="41" t="n">
        <f aca="false">K1876-N1876</f>
        <v>34.28</v>
      </c>
      <c r="P1876" s="43" t="n">
        <f aca="false">IF(K1876=0,0,O1876/K1876)</f>
        <v>0.527060270602706</v>
      </c>
    </row>
    <row r="1877" customFormat="false" ht="15" hidden="false" customHeight="false" outlineLevel="0" collapsed="false">
      <c r="A1877" s="39" t="s">
        <v>1999</v>
      </c>
      <c r="B1877" s="40" t="n">
        <v>45915</v>
      </c>
      <c r="C1877" s="39" t="s">
        <v>114</v>
      </c>
      <c r="D1877" s="39" t="n">
        <v>1</v>
      </c>
      <c r="E1877" s="41" t="n">
        <v>5.72</v>
      </c>
      <c r="F1877" s="39" t="s">
        <v>118</v>
      </c>
      <c r="G1877" s="39" t="str">
        <f aca="false">VLOOKUP(C1877,Products!$A$5:$D$24,2,FALSE())</f>
        <v>Gel Pen Pack</v>
      </c>
      <c r="H1877" s="39" t="str">
        <f aca="false">VLOOKUP(C1877,Products!$A$5:$D$24,3,FALSE())</f>
        <v>Stationery</v>
      </c>
      <c r="I1877" s="41" t="n">
        <f aca="false">VLOOKUP(C1877,Products!$A$5:$D$24,4,FALSE())</f>
        <v>2</v>
      </c>
      <c r="J1877" s="42" t="n">
        <f aca="false">DATE(YEAR(B1877),MONTH(B1877),1)</f>
        <v>45901</v>
      </c>
      <c r="K1877" s="41" t="n">
        <f aca="false">D1877*E1877</f>
        <v>5.72</v>
      </c>
      <c r="L1877" s="41" t="n">
        <f aca="false">D1877*I1877</f>
        <v>2</v>
      </c>
      <c r="M1877" s="41" t="n">
        <f aca="false">IFERROR(INDEX(Raw_Expenses!$C$5:$C$2979,MATCH(A1877,Raw_Expenses!$A$5:$A$2979,0)),0)</f>
        <v>0.33</v>
      </c>
      <c r="N1877" s="41" t="n">
        <f aca="false">L1877+M1877</f>
        <v>2.33</v>
      </c>
      <c r="O1877" s="41" t="n">
        <f aca="false">K1877-N1877</f>
        <v>3.39</v>
      </c>
      <c r="P1877" s="43" t="n">
        <f aca="false">IF(K1877=0,0,O1877/K1877)</f>
        <v>0.592657342657343</v>
      </c>
    </row>
    <row r="1878" customFormat="false" ht="15" hidden="false" customHeight="false" outlineLevel="0" collapsed="false">
      <c r="A1878" s="39" t="s">
        <v>2000</v>
      </c>
      <c r="B1878" s="40" t="n">
        <v>45915</v>
      </c>
      <c r="C1878" s="39" t="s">
        <v>139</v>
      </c>
      <c r="D1878" s="39" t="n">
        <v>2</v>
      </c>
      <c r="E1878" s="41" t="n">
        <v>122.59</v>
      </c>
      <c r="F1878" s="39" t="s">
        <v>115</v>
      </c>
      <c r="G1878" s="39" t="str">
        <f aca="false">VLOOKUP(C1878,Products!$A$5:$D$24,2,FALSE())</f>
        <v>Noise-Cancelling Headphones</v>
      </c>
      <c r="H1878" s="39" t="str">
        <f aca="false">VLOOKUP(C1878,Products!$A$5:$D$24,3,FALSE())</f>
        <v>Electronics</v>
      </c>
      <c r="I1878" s="41" t="n">
        <f aca="false">VLOOKUP(C1878,Products!$A$5:$D$24,4,FALSE())</f>
        <v>55</v>
      </c>
      <c r="J1878" s="42" t="n">
        <f aca="false">DATE(YEAR(B1878),MONTH(B1878),1)</f>
        <v>45901</v>
      </c>
      <c r="K1878" s="41" t="n">
        <f aca="false">D1878*E1878</f>
        <v>245.18</v>
      </c>
      <c r="L1878" s="41" t="n">
        <f aca="false">D1878*I1878</f>
        <v>110</v>
      </c>
      <c r="M1878" s="41" t="n">
        <f aca="false">IFERROR(INDEX(Raw_Expenses!$C$5:$C$2979,MATCH(A1878,Raw_Expenses!$A$5:$A$2979,0)),0)</f>
        <v>14.59</v>
      </c>
      <c r="N1878" s="41" t="n">
        <f aca="false">L1878+M1878</f>
        <v>124.59</v>
      </c>
      <c r="O1878" s="41" t="n">
        <f aca="false">K1878-N1878</f>
        <v>120.59</v>
      </c>
      <c r="P1878" s="43" t="n">
        <f aca="false">IF(K1878=0,0,O1878/K1878)</f>
        <v>0.491842727791826</v>
      </c>
    </row>
    <row r="1879" customFormat="false" ht="15" hidden="false" customHeight="false" outlineLevel="0" collapsed="false">
      <c r="A1879" s="39" t="s">
        <v>2001</v>
      </c>
      <c r="B1879" s="40" t="n">
        <v>45915</v>
      </c>
      <c r="C1879" s="39" t="s">
        <v>110</v>
      </c>
      <c r="D1879" s="39" t="n">
        <v>1</v>
      </c>
      <c r="E1879" s="41" t="n">
        <v>13.68</v>
      </c>
      <c r="F1879" s="39" t="s">
        <v>105</v>
      </c>
      <c r="G1879" s="39" t="str">
        <f aca="false">VLOOKUP(C1879,Products!$A$5:$D$24,2,FALSE())</f>
        <v>Phone Stand</v>
      </c>
      <c r="H1879" s="39" t="str">
        <f aca="false">VLOOKUP(C1879,Products!$A$5:$D$24,3,FALSE())</f>
        <v>Accessories</v>
      </c>
      <c r="I1879" s="41" t="n">
        <f aca="false">VLOOKUP(C1879,Products!$A$5:$D$24,4,FALSE())</f>
        <v>4</v>
      </c>
      <c r="J1879" s="42" t="n">
        <f aca="false">DATE(YEAR(B1879),MONTH(B1879),1)</f>
        <v>45901</v>
      </c>
      <c r="K1879" s="41" t="n">
        <f aca="false">D1879*E1879</f>
        <v>13.68</v>
      </c>
      <c r="L1879" s="41" t="n">
        <f aca="false">D1879*I1879</f>
        <v>4</v>
      </c>
      <c r="M1879" s="41" t="n">
        <f aca="false">IFERROR(INDEX(Raw_Expenses!$C$5:$C$2979,MATCH(A1879,Raw_Expenses!$A$5:$A$2979,0)),0)</f>
        <v>1.17</v>
      </c>
      <c r="N1879" s="41" t="n">
        <f aca="false">L1879+M1879</f>
        <v>5.17</v>
      </c>
      <c r="O1879" s="41" t="n">
        <f aca="false">K1879-N1879</f>
        <v>8.51</v>
      </c>
      <c r="P1879" s="43" t="n">
        <f aca="false">IF(K1879=0,0,O1879/K1879)</f>
        <v>0.622076023391813</v>
      </c>
    </row>
    <row r="1880" customFormat="false" ht="15" hidden="false" customHeight="false" outlineLevel="0" collapsed="false">
      <c r="A1880" s="39" t="s">
        <v>2002</v>
      </c>
      <c r="B1880" s="40" t="n">
        <v>45915</v>
      </c>
      <c r="C1880" s="39" t="s">
        <v>117</v>
      </c>
      <c r="D1880" s="39" t="n">
        <v>1</v>
      </c>
      <c r="E1880" s="41" t="n">
        <v>30.06</v>
      </c>
      <c r="F1880" s="39" t="s">
        <v>108</v>
      </c>
      <c r="G1880" s="39" t="str">
        <f aca="false">VLOOKUP(C1880,Products!$A$5:$D$24,2,FALSE())</f>
        <v>Desk Lamp</v>
      </c>
      <c r="H1880" s="39" t="str">
        <f aca="false">VLOOKUP(C1880,Products!$A$5:$D$24,3,FALSE())</f>
        <v>Furniture</v>
      </c>
      <c r="I1880" s="41" t="n">
        <f aca="false">VLOOKUP(C1880,Products!$A$5:$D$24,4,FALSE())</f>
        <v>13</v>
      </c>
      <c r="J1880" s="42" t="n">
        <f aca="false">DATE(YEAR(B1880),MONTH(B1880),1)</f>
        <v>45901</v>
      </c>
      <c r="K1880" s="41" t="n">
        <f aca="false">D1880*E1880</f>
        <v>30.06</v>
      </c>
      <c r="L1880" s="41" t="n">
        <f aca="false">D1880*I1880</f>
        <v>13</v>
      </c>
      <c r="M1880" s="41" t="n">
        <f aca="false">IFERROR(INDEX(Raw_Expenses!$C$5:$C$2979,MATCH(A1880,Raw_Expenses!$A$5:$A$2979,0)),0)</f>
        <v>1.53</v>
      </c>
      <c r="N1880" s="41" t="n">
        <f aca="false">L1880+M1880</f>
        <v>14.53</v>
      </c>
      <c r="O1880" s="41" t="n">
        <f aca="false">K1880-N1880</f>
        <v>15.53</v>
      </c>
      <c r="P1880" s="43" t="n">
        <f aca="false">IF(K1880=0,0,O1880/K1880)</f>
        <v>0.516633399866933</v>
      </c>
    </row>
    <row r="1881" customFormat="false" ht="15" hidden="false" customHeight="false" outlineLevel="0" collapsed="false">
      <c r="A1881" s="39" t="s">
        <v>2003</v>
      </c>
      <c r="B1881" s="40" t="n">
        <v>45915</v>
      </c>
      <c r="C1881" s="39" t="s">
        <v>139</v>
      </c>
      <c r="D1881" s="39" t="n">
        <v>5</v>
      </c>
      <c r="E1881" s="41" t="n">
        <v>125.41</v>
      </c>
      <c r="F1881" s="39" t="s">
        <v>118</v>
      </c>
      <c r="G1881" s="39" t="str">
        <f aca="false">VLOOKUP(C1881,Products!$A$5:$D$24,2,FALSE())</f>
        <v>Noise-Cancelling Headphones</v>
      </c>
      <c r="H1881" s="39" t="str">
        <f aca="false">VLOOKUP(C1881,Products!$A$5:$D$24,3,FALSE())</f>
        <v>Electronics</v>
      </c>
      <c r="I1881" s="41" t="n">
        <f aca="false">VLOOKUP(C1881,Products!$A$5:$D$24,4,FALSE())</f>
        <v>55</v>
      </c>
      <c r="J1881" s="42" t="n">
        <f aca="false">DATE(YEAR(B1881),MONTH(B1881),1)</f>
        <v>45901</v>
      </c>
      <c r="K1881" s="41" t="n">
        <f aca="false">D1881*E1881</f>
        <v>627.05</v>
      </c>
      <c r="L1881" s="41" t="n">
        <f aca="false">D1881*I1881</f>
        <v>275</v>
      </c>
      <c r="M1881" s="41" t="n">
        <f aca="false">IFERROR(INDEX(Raw_Expenses!$C$5:$C$2979,MATCH(A1881,Raw_Expenses!$A$5:$A$2979,0)),0)</f>
        <v>54.94</v>
      </c>
      <c r="N1881" s="41" t="n">
        <f aca="false">L1881+M1881</f>
        <v>329.94</v>
      </c>
      <c r="O1881" s="41" t="n">
        <f aca="false">K1881-N1881</f>
        <v>297.11</v>
      </c>
      <c r="P1881" s="43" t="n">
        <f aca="false">IF(K1881=0,0,O1881/K1881)</f>
        <v>0.473821864285145</v>
      </c>
    </row>
    <row r="1882" customFormat="false" ht="15" hidden="false" customHeight="false" outlineLevel="0" collapsed="false">
      <c r="A1882" s="39" t="s">
        <v>2004</v>
      </c>
      <c r="B1882" s="40" t="n">
        <v>45915</v>
      </c>
      <c r="C1882" s="39" t="s">
        <v>183</v>
      </c>
      <c r="D1882" s="39" t="n">
        <v>1</v>
      </c>
      <c r="E1882" s="41" t="n">
        <v>180.01</v>
      </c>
      <c r="F1882" s="39" t="s">
        <v>108</v>
      </c>
      <c r="G1882" s="39" t="str">
        <f aca="false">VLOOKUP(C1882,Products!$A$5:$D$24,2,FALSE())</f>
        <v>Office Chair</v>
      </c>
      <c r="H1882" s="39" t="str">
        <f aca="false">VLOOKUP(C1882,Products!$A$5:$D$24,3,FALSE())</f>
        <v>Furniture</v>
      </c>
      <c r="I1882" s="41" t="n">
        <f aca="false">VLOOKUP(C1882,Products!$A$5:$D$24,4,FALSE())</f>
        <v>85</v>
      </c>
      <c r="J1882" s="42" t="n">
        <f aca="false">DATE(YEAR(B1882),MONTH(B1882),1)</f>
        <v>45901</v>
      </c>
      <c r="K1882" s="41" t="n">
        <f aca="false">D1882*E1882</f>
        <v>180.01</v>
      </c>
      <c r="L1882" s="41" t="n">
        <f aca="false">D1882*I1882</f>
        <v>85</v>
      </c>
      <c r="M1882" s="41" t="n">
        <f aca="false">IFERROR(INDEX(Raw_Expenses!$C$5:$C$2979,MATCH(A1882,Raw_Expenses!$A$5:$A$2979,0)),0)</f>
        <v>0</v>
      </c>
      <c r="N1882" s="41" t="n">
        <f aca="false">L1882+M1882</f>
        <v>85</v>
      </c>
      <c r="O1882" s="41" t="n">
        <f aca="false">K1882-N1882</f>
        <v>95.01</v>
      </c>
      <c r="P1882" s="43" t="n">
        <f aca="false">IF(K1882=0,0,O1882/K1882)</f>
        <v>0.527804010888284</v>
      </c>
    </row>
    <row r="1883" customFormat="false" ht="15" hidden="false" customHeight="false" outlineLevel="0" collapsed="false">
      <c r="A1883" s="39" t="s">
        <v>2005</v>
      </c>
      <c r="B1883" s="40" t="n">
        <v>45915</v>
      </c>
      <c r="C1883" s="39" t="s">
        <v>107</v>
      </c>
      <c r="D1883" s="39" t="n">
        <v>1</v>
      </c>
      <c r="E1883" s="41" t="n">
        <v>34.2</v>
      </c>
      <c r="F1883" s="39" t="s">
        <v>105</v>
      </c>
      <c r="G1883" s="39" t="str">
        <f aca="false">VLOOKUP(C1883,Products!$A$5:$D$24,2,FALSE())</f>
        <v>USB-C Hub</v>
      </c>
      <c r="H1883" s="39" t="str">
        <f aca="false">VLOOKUP(C1883,Products!$A$5:$D$24,3,FALSE())</f>
        <v>Electronics</v>
      </c>
      <c r="I1883" s="41" t="n">
        <f aca="false">VLOOKUP(C1883,Products!$A$5:$D$24,4,FALSE())</f>
        <v>14</v>
      </c>
      <c r="J1883" s="42" t="n">
        <f aca="false">DATE(YEAR(B1883),MONTH(B1883),1)</f>
        <v>45901</v>
      </c>
      <c r="K1883" s="41" t="n">
        <f aca="false">D1883*E1883</f>
        <v>34.2</v>
      </c>
      <c r="L1883" s="41" t="n">
        <f aca="false">D1883*I1883</f>
        <v>14</v>
      </c>
      <c r="M1883" s="41" t="n">
        <f aca="false">IFERROR(INDEX(Raw_Expenses!$C$5:$C$2979,MATCH(A1883,Raw_Expenses!$A$5:$A$2979,0)),0)</f>
        <v>2.16</v>
      </c>
      <c r="N1883" s="41" t="n">
        <f aca="false">L1883+M1883</f>
        <v>16.16</v>
      </c>
      <c r="O1883" s="41" t="n">
        <f aca="false">K1883-N1883</f>
        <v>18.04</v>
      </c>
      <c r="P1883" s="43" t="n">
        <f aca="false">IF(K1883=0,0,O1883/K1883)</f>
        <v>0.527485380116959</v>
      </c>
    </row>
    <row r="1884" customFormat="false" ht="15" hidden="false" customHeight="false" outlineLevel="0" collapsed="false">
      <c r="A1884" s="39" t="s">
        <v>2006</v>
      </c>
      <c r="B1884" s="40" t="n">
        <v>45915</v>
      </c>
      <c r="C1884" s="39" t="s">
        <v>110</v>
      </c>
      <c r="D1884" s="39" t="n">
        <v>3</v>
      </c>
      <c r="E1884" s="41" t="n">
        <v>13.19</v>
      </c>
      <c r="F1884" s="39" t="s">
        <v>105</v>
      </c>
      <c r="G1884" s="39" t="str">
        <f aca="false">VLOOKUP(C1884,Products!$A$5:$D$24,2,FALSE())</f>
        <v>Phone Stand</v>
      </c>
      <c r="H1884" s="39" t="str">
        <f aca="false">VLOOKUP(C1884,Products!$A$5:$D$24,3,FALSE())</f>
        <v>Accessories</v>
      </c>
      <c r="I1884" s="41" t="n">
        <f aca="false">VLOOKUP(C1884,Products!$A$5:$D$24,4,FALSE())</f>
        <v>4</v>
      </c>
      <c r="J1884" s="42" t="n">
        <f aca="false">DATE(YEAR(B1884),MONTH(B1884),1)</f>
        <v>45901</v>
      </c>
      <c r="K1884" s="41" t="n">
        <f aca="false">D1884*E1884</f>
        <v>39.57</v>
      </c>
      <c r="L1884" s="41" t="n">
        <f aca="false">D1884*I1884</f>
        <v>12</v>
      </c>
      <c r="M1884" s="41" t="n">
        <f aca="false">IFERROR(INDEX(Raw_Expenses!$C$5:$C$2979,MATCH(A1884,Raw_Expenses!$A$5:$A$2979,0)),0)</f>
        <v>2</v>
      </c>
      <c r="N1884" s="41" t="n">
        <f aca="false">L1884+M1884</f>
        <v>14</v>
      </c>
      <c r="O1884" s="41" t="n">
        <f aca="false">K1884-N1884</f>
        <v>25.57</v>
      </c>
      <c r="P1884" s="43" t="n">
        <f aca="false">IF(K1884=0,0,O1884/K1884)</f>
        <v>0.646196613596159</v>
      </c>
    </row>
    <row r="1885" customFormat="false" ht="15" hidden="false" customHeight="false" outlineLevel="0" collapsed="false">
      <c r="A1885" s="39" t="s">
        <v>2007</v>
      </c>
      <c r="B1885" s="40" t="n">
        <v>45915</v>
      </c>
      <c r="C1885" s="39" t="s">
        <v>107</v>
      </c>
      <c r="D1885" s="39" t="n">
        <v>2</v>
      </c>
      <c r="E1885" s="41" t="n">
        <v>33.64</v>
      </c>
      <c r="F1885" s="39" t="s">
        <v>108</v>
      </c>
      <c r="G1885" s="39" t="str">
        <f aca="false">VLOOKUP(C1885,Products!$A$5:$D$24,2,FALSE())</f>
        <v>USB-C Hub</v>
      </c>
      <c r="H1885" s="39" t="str">
        <f aca="false">VLOOKUP(C1885,Products!$A$5:$D$24,3,FALSE())</f>
        <v>Electronics</v>
      </c>
      <c r="I1885" s="41" t="n">
        <f aca="false">VLOOKUP(C1885,Products!$A$5:$D$24,4,FALSE())</f>
        <v>14</v>
      </c>
      <c r="J1885" s="42" t="n">
        <f aca="false">DATE(YEAR(B1885),MONTH(B1885),1)</f>
        <v>45901</v>
      </c>
      <c r="K1885" s="41" t="n">
        <f aca="false">D1885*E1885</f>
        <v>67.28</v>
      </c>
      <c r="L1885" s="41" t="n">
        <f aca="false">D1885*I1885</f>
        <v>28</v>
      </c>
      <c r="M1885" s="41" t="n">
        <f aca="false">IFERROR(INDEX(Raw_Expenses!$C$5:$C$2979,MATCH(A1885,Raw_Expenses!$A$5:$A$2979,0)),0)</f>
        <v>3.02</v>
      </c>
      <c r="N1885" s="41" t="n">
        <f aca="false">L1885+M1885</f>
        <v>31.02</v>
      </c>
      <c r="O1885" s="41" t="n">
        <f aca="false">K1885-N1885</f>
        <v>36.26</v>
      </c>
      <c r="P1885" s="43" t="n">
        <f aca="false">IF(K1885=0,0,O1885/K1885)</f>
        <v>0.538941736028538</v>
      </c>
    </row>
    <row r="1886" customFormat="false" ht="15" hidden="false" customHeight="false" outlineLevel="0" collapsed="false">
      <c r="A1886" s="39" t="s">
        <v>2008</v>
      </c>
      <c r="B1886" s="40" t="n">
        <v>45915</v>
      </c>
      <c r="C1886" s="39" t="s">
        <v>117</v>
      </c>
      <c r="D1886" s="39" t="n">
        <v>2</v>
      </c>
      <c r="E1886" s="41" t="n">
        <v>30.66</v>
      </c>
      <c r="F1886" s="39" t="s">
        <v>118</v>
      </c>
      <c r="G1886" s="39" t="str">
        <f aca="false">VLOOKUP(C1886,Products!$A$5:$D$24,2,FALSE())</f>
        <v>Desk Lamp</v>
      </c>
      <c r="H1886" s="39" t="str">
        <f aca="false">VLOOKUP(C1886,Products!$A$5:$D$24,3,FALSE())</f>
        <v>Furniture</v>
      </c>
      <c r="I1886" s="41" t="n">
        <f aca="false">VLOOKUP(C1886,Products!$A$5:$D$24,4,FALSE())</f>
        <v>13</v>
      </c>
      <c r="J1886" s="42" t="n">
        <f aca="false">DATE(YEAR(B1886),MONTH(B1886),1)</f>
        <v>45901</v>
      </c>
      <c r="K1886" s="41" t="n">
        <f aca="false">D1886*E1886</f>
        <v>61.32</v>
      </c>
      <c r="L1886" s="41" t="n">
        <f aca="false">D1886*I1886</f>
        <v>26</v>
      </c>
      <c r="M1886" s="41" t="n">
        <f aca="false">IFERROR(INDEX(Raw_Expenses!$C$5:$C$2979,MATCH(A1886,Raw_Expenses!$A$5:$A$2979,0)),0)</f>
        <v>4.01</v>
      </c>
      <c r="N1886" s="41" t="n">
        <f aca="false">L1886+M1886</f>
        <v>30.01</v>
      </c>
      <c r="O1886" s="41" t="n">
        <f aca="false">K1886-N1886</f>
        <v>31.31</v>
      </c>
      <c r="P1886" s="43" t="n">
        <f aca="false">IF(K1886=0,0,O1886/K1886)</f>
        <v>0.510600130463144</v>
      </c>
    </row>
    <row r="1887" customFormat="false" ht="15" hidden="false" customHeight="false" outlineLevel="0" collapsed="false">
      <c r="A1887" s="39" t="s">
        <v>2009</v>
      </c>
      <c r="B1887" s="40" t="n">
        <v>45915</v>
      </c>
      <c r="C1887" s="39" t="s">
        <v>126</v>
      </c>
      <c r="D1887" s="39" t="n">
        <v>4</v>
      </c>
      <c r="E1887" s="41" t="n">
        <v>24.58</v>
      </c>
      <c r="F1887" s="39" t="s">
        <v>115</v>
      </c>
      <c r="G1887" s="39" t="str">
        <f aca="false">VLOOKUP(C1887,Products!$A$5:$D$24,2,FALSE())</f>
        <v>Wireless Mouse</v>
      </c>
      <c r="H1887" s="39" t="str">
        <f aca="false">VLOOKUP(C1887,Products!$A$5:$D$24,3,FALSE())</f>
        <v>Electronics</v>
      </c>
      <c r="I1887" s="41" t="n">
        <f aca="false">VLOOKUP(C1887,Products!$A$5:$D$24,4,FALSE())</f>
        <v>12</v>
      </c>
      <c r="J1887" s="42" t="n">
        <f aca="false">DATE(YEAR(B1887),MONTH(B1887),1)</f>
        <v>45901</v>
      </c>
      <c r="K1887" s="41" t="n">
        <f aca="false">D1887*E1887</f>
        <v>98.32</v>
      </c>
      <c r="L1887" s="41" t="n">
        <f aca="false">D1887*I1887</f>
        <v>48</v>
      </c>
      <c r="M1887" s="41" t="n">
        <f aca="false">IFERROR(INDEX(Raw_Expenses!$C$5:$C$2979,MATCH(A1887,Raw_Expenses!$A$5:$A$2979,0)),0)</f>
        <v>4.8</v>
      </c>
      <c r="N1887" s="41" t="n">
        <f aca="false">L1887+M1887</f>
        <v>52.8</v>
      </c>
      <c r="O1887" s="41" t="n">
        <f aca="false">K1887-N1887</f>
        <v>45.52</v>
      </c>
      <c r="P1887" s="43" t="n">
        <f aca="false">IF(K1887=0,0,O1887/K1887)</f>
        <v>0.462978030919447</v>
      </c>
    </row>
    <row r="1888" customFormat="false" ht="15" hidden="false" customHeight="false" outlineLevel="0" collapsed="false">
      <c r="A1888" s="39" t="s">
        <v>2010</v>
      </c>
      <c r="B1888" s="40" t="n">
        <v>45916</v>
      </c>
      <c r="C1888" s="39" t="s">
        <v>305</v>
      </c>
      <c r="D1888" s="39" t="n">
        <v>5</v>
      </c>
      <c r="E1888" s="41" t="n">
        <v>326.51</v>
      </c>
      <c r="F1888" s="39" t="s">
        <v>118</v>
      </c>
      <c r="G1888" s="39" t="str">
        <f aca="false">VLOOKUP(C1888,Products!$A$5:$D$24,2,FALSE())</f>
        <v>Standing Desk</v>
      </c>
      <c r="H1888" s="39" t="str">
        <f aca="false">VLOOKUP(C1888,Products!$A$5:$D$24,3,FALSE())</f>
        <v>Furniture</v>
      </c>
      <c r="I1888" s="41" t="n">
        <f aca="false">VLOOKUP(C1888,Products!$A$5:$D$24,4,FALSE())</f>
        <v>160</v>
      </c>
      <c r="J1888" s="42" t="n">
        <f aca="false">DATE(YEAR(B1888),MONTH(B1888),1)</f>
        <v>45901</v>
      </c>
      <c r="K1888" s="41" t="n">
        <f aca="false">D1888*E1888</f>
        <v>1632.55</v>
      </c>
      <c r="L1888" s="41" t="n">
        <f aca="false">D1888*I1888</f>
        <v>800</v>
      </c>
      <c r="M1888" s="41" t="n">
        <f aca="false">IFERROR(INDEX(Raw_Expenses!$C$5:$C$2979,MATCH(A1888,Raw_Expenses!$A$5:$A$2979,0)),0)</f>
        <v>74.04</v>
      </c>
      <c r="N1888" s="41" t="n">
        <f aca="false">L1888+M1888</f>
        <v>874.04</v>
      </c>
      <c r="O1888" s="41" t="n">
        <f aca="false">K1888-N1888</f>
        <v>758.51</v>
      </c>
      <c r="P1888" s="43" t="n">
        <f aca="false">IF(K1888=0,0,O1888/K1888)</f>
        <v>0.464616703929436</v>
      </c>
    </row>
    <row r="1889" customFormat="false" ht="15" hidden="false" customHeight="false" outlineLevel="0" collapsed="false">
      <c r="A1889" s="39" t="s">
        <v>2011</v>
      </c>
      <c r="B1889" s="40" t="n">
        <v>45916</v>
      </c>
      <c r="C1889" s="39" t="s">
        <v>126</v>
      </c>
      <c r="D1889" s="39" t="n">
        <v>3</v>
      </c>
      <c r="E1889" s="41" t="n">
        <v>23.18</v>
      </c>
      <c r="F1889" s="39" t="s">
        <v>108</v>
      </c>
      <c r="G1889" s="39" t="str">
        <f aca="false">VLOOKUP(C1889,Products!$A$5:$D$24,2,FALSE())</f>
        <v>Wireless Mouse</v>
      </c>
      <c r="H1889" s="39" t="str">
        <f aca="false">VLOOKUP(C1889,Products!$A$5:$D$24,3,FALSE())</f>
        <v>Electronics</v>
      </c>
      <c r="I1889" s="41" t="n">
        <f aca="false">VLOOKUP(C1889,Products!$A$5:$D$24,4,FALSE())</f>
        <v>12</v>
      </c>
      <c r="J1889" s="42" t="n">
        <f aca="false">DATE(YEAR(B1889),MONTH(B1889),1)</f>
        <v>45901</v>
      </c>
      <c r="K1889" s="41" t="n">
        <f aca="false">D1889*E1889</f>
        <v>69.54</v>
      </c>
      <c r="L1889" s="41" t="n">
        <f aca="false">D1889*I1889</f>
        <v>36</v>
      </c>
      <c r="M1889" s="41" t="n">
        <f aca="false">IFERROR(INDEX(Raw_Expenses!$C$5:$C$2979,MATCH(A1889,Raw_Expenses!$A$5:$A$2979,0)),0)</f>
        <v>5.41</v>
      </c>
      <c r="N1889" s="41" t="n">
        <f aca="false">L1889+M1889</f>
        <v>41.41</v>
      </c>
      <c r="O1889" s="41" t="n">
        <f aca="false">K1889-N1889</f>
        <v>28.13</v>
      </c>
      <c r="P1889" s="43" t="n">
        <f aca="false">IF(K1889=0,0,O1889/K1889)</f>
        <v>0.404515386827725</v>
      </c>
    </row>
    <row r="1890" customFormat="false" ht="15" hidden="false" customHeight="false" outlineLevel="0" collapsed="false">
      <c r="A1890" s="39" t="s">
        <v>2012</v>
      </c>
      <c r="B1890" s="40" t="n">
        <v>45916</v>
      </c>
      <c r="C1890" s="39" t="s">
        <v>136</v>
      </c>
      <c r="D1890" s="39" t="n">
        <v>4</v>
      </c>
      <c r="E1890" s="41" t="n">
        <v>78.92</v>
      </c>
      <c r="F1890" s="39" t="s">
        <v>118</v>
      </c>
      <c r="G1890" s="39" t="str">
        <f aca="false">VLOOKUP(C1890,Products!$A$5:$D$24,2,FALSE())</f>
        <v>Mechanical Keyboard</v>
      </c>
      <c r="H1890" s="39" t="str">
        <f aca="false">VLOOKUP(C1890,Products!$A$5:$D$24,3,FALSE())</f>
        <v>Electronics</v>
      </c>
      <c r="I1890" s="41" t="n">
        <f aca="false">VLOOKUP(C1890,Products!$A$5:$D$24,4,FALSE())</f>
        <v>38</v>
      </c>
      <c r="J1890" s="42" t="n">
        <f aca="false">DATE(YEAR(B1890),MONTH(B1890),1)</f>
        <v>45901</v>
      </c>
      <c r="K1890" s="41" t="n">
        <f aca="false">D1890*E1890</f>
        <v>315.68</v>
      </c>
      <c r="L1890" s="41" t="n">
        <f aca="false">D1890*I1890</f>
        <v>152</v>
      </c>
      <c r="M1890" s="41" t="n">
        <f aca="false">IFERROR(INDEX(Raw_Expenses!$C$5:$C$2979,MATCH(A1890,Raw_Expenses!$A$5:$A$2979,0)),0)</f>
        <v>18.33</v>
      </c>
      <c r="N1890" s="41" t="n">
        <f aca="false">L1890+M1890</f>
        <v>170.33</v>
      </c>
      <c r="O1890" s="41" t="n">
        <f aca="false">K1890-N1890</f>
        <v>145.35</v>
      </c>
      <c r="P1890" s="43" t="n">
        <f aca="false">IF(K1890=0,0,O1890/K1890)</f>
        <v>0.460434617334009</v>
      </c>
    </row>
    <row r="1891" customFormat="false" ht="15" hidden="false" customHeight="false" outlineLevel="0" collapsed="false">
      <c r="A1891" s="39" t="s">
        <v>2013</v>
      </c>
      <c r="B1891" s="40" t="n">
        <v>45916</v>
      </c>
      <c r="C1891" s="39" t="s">
        <v>126</v>
      </c>
      <c r="D1891" s="39" t="n">
        <v>2</v>
      </c>
      <c r="E1891" s="41" t="n">
        <v>24.64</v>
      </c>
      <c r="F1891" s="39" t="s">
        <v>108</v>
      </c>
      <c r="G1891" s="39" t="str">
        <f aca="false">VLOOKUP(C1891,Products!$A$5:$D$24,2,FALSE())</f>
        <v>Wireless Mouse</v>
      </c>
      <c r="H1891" s="39" t="str">
        <f aca="false">VLOOKUP(C1891,Products!$A$5:$D$24,3,FALSE())</f>
        <v>Electronics</v>
      </c>
      <c r="I1891" s="41" t="n">
        <f aca="false">VLOOKUP(C1891,Products!$A$5:$D$24,4,FALSE())</f>
        <v>12</v>
      </c>
      <c r="J1891" s="42" t="n">
        <f aca="false">DATE(YEAR(B1891),MONTH(B1891),1)</f>
        <v>45901</v>
      </c>
      <c r="K1891" s="41" t="n">
        <f aca="false">D1891*E1891</f>
        <v>49.28</v>
      </c>
      <c r="L1891" s="41" t="n">
        <f aca="false">D1891*I1891</f>
        <v>24</v>
      </c>
      <c r="M1891" s="41" t="n">
        <f aca="false">IFERROR(INDEX(Raw_Expenses!$C$5:$C$2979,MATCH(A1891,Raw_Expenses!$A$5:$A$2979,0)),0)</f>
        <v>3.13</v>
      </c>
      <c r="N1891" s="41" t="n">
        <f aca="false">L1891+M1891</f>
        <v>27.13</v>
      </c>
      <c r="O1891" s="41" t="n">
        <f aca="false">K1891-N1891</f>
        <v>22.15</v>
      </c>
      <c r="P1891" s="43" t="n">
        <f aca="false">IF(K1891=0,0,O1891/K1891)</f>
        <v>0.449472402597403</v>
      </c>
    </row>
    <row r="1892" customFormat="false" ht="15" hidden="false" customHeight="false" outlineLevel="0" collapsed="false">
      <c r="A1892" s="39" t="s">
        <v>2014</v>
      </c>
      <c r="B1892" s="40" t="n">
        <v>45916</v>
      </c>
      <c r="C1892" s="39" t="s">
        <v>114</v>
      </c>
      <c r="D1892" s="39" t="n">
        <v>1</v>
      </c>
      <c r="E1892" s="41" t="n">
        <v>5.56</v>
      </c>
      <c r="F1892" s="39" t="s">
        <v>108</v>
      </c>
      <c r="G1892" s="39" t="str">
        <f aca="false">VLOOKUP(C1892,Products!$A$5:$D$24,2,FALSE())</f>
        <v>Gel Pen Pack</v>
      </c>
      <c r="H1892" s="39" t="str">
        <f aca="false">VLOOKUP(C1892,Products!$A$5:$D$24,3,FALSE())</f>
        <v>Stationery</v>
      </c>
      <c r="I1892" s="41" t="n">
        <f aca="false">VLOOKUP(C1892,Products!$A$5:$D$24,4,FALSE())</f>
        <v>2</v>
      </c>
      <c r="J1892" s="42" t="n">
        <f aca="false">DATE(YEAR(B1892),MONTH(B1892),1)</f>
        <v>45901</v>
      </c>
      <c r="K1892" s="41" t="n">
        <f aca="false">D1892*E1892</f>
        <v>5.56</v>
      </c>
      <c r="L1892" s="41" t="n">
        <f aca="false">D1892*I1892</f>
        <v>2</v>
      </c>
      <c r="M1892" s="41" t="n">
        <f aca="false">IFERROR(INDEX(Raw_Expenses!$C$5:$C$2979,MATCH(A1892,Raw_Expenses!$A$5:$A$2979,0)),0)</f>
        <v>0.34</v>
      </c>
      <c r="N1892" s="41" t="n">
        <f aca="false">L1892+M1892</f>
        <v>2.34</v>
      </c>
      <c r="O1892" s="41" t="n">
        <f aca="false">K1892-N1892</f>
        <v>3.22</v>
      </c>
      <c r="P1892" s="43" t="n">
        <f aca="false">IF(K1892=0,0,O1892/K1892)</f>
        <v>0.579136690647482</v>
      </c>
    </row>
    <row r="1893" customFormat="false" ht="15" hidden="false" customHeight="false" outlineLevel="0" collapsed="false">
      <c r="A1893" s="39" t="s">
        <v>2015</v>
      </c>
      <c r="B1893" s="40" t="n">
        <v>45916</v>
      </c>
      <c r="C1893" s="39" t="s">
        <v>130</v>
      </c>
      <c r="D1893" s="39" t="n">
        <v>3</v>
      </c>
      <c r="E1893" s="41" t="n">
        <v>8.93</v>
      </c>
      <c r="F1893" s="39" t="s">
        <v>115</v>
      </c>
      <c r="G1893" s="39" t="str">
        <f aca="false">VLOOKUP(C1893,Products!$A$5:$D$24,2,FALSE())</f>
        <v>Notebook Set</v>
      </c>
      <c r="H1893" s="39" t="str">
        <f aca="false">VLOOKUP(C1893,Products!$A$5:$D$24,3,FALSE())</f>
        <v>Stationery</v>
      </c>
      <c r="I1893" s="41" t="n">
        <f aca="false">VLOOKUP(C1893,Products!$A$5:$D$24,4,FALSE())</f>
        <v>3</v>
      </c>
      <c r="J1893" s="42" t="n">
        <f aca="false">DATE(YEAR(B1893),MONTH(B1893),1)</f>
        <v>45901</v>
      </c>
      <c r="K1893" s="41" t="n">
        <f aca="false">D1893*E1893</f>
        <v>26.79</v>
      </c>
      <c r="L1893" s="41" t="n">
        <f aca="false">D1893*I1893</f>
        <v>9</v>
      </c>
      <c r="M1893" s="41" t="n">
        <f aca="false">IFERROR(INDEX(Raw_Expenses!$C$5:$C$2979,MATCH(A1893,Raw_Expenses!$A$5:$A$2979,0)),0)</f>
        <v>2.14</v>
      </c>
      <c r="N1893" s="41" t="n">
        <f aca="false">L1893+M1893</f>
        <v>11.14</v>
      </c>
      <c r="O1893" s="41" t="n">
        <f aca="false">K1893-N1893</f>
        <v>15.65</v>
      </c>
      <c r="P1893" s="43" t="n">
        <f aca="false">IF(K1893=0,0,O1893/K1893)</f>
        <v>0.584173198954834</v>
      </c>
    </row>
    <row r="1894" customFormat="false" ht="15" hidden="false" customHeight="false" outlineLevel="0" collapsed="false">
      <c r="A1894" s="39" t="s">
        <v>2016</v>
      </c>
      <c r="B1894" s="40" t="n">
        <v>45916</v>
      </c>
      <c r="C1894" s="39" t="s">
        <v>112</v>
      </c>
      <c r="D1894" s="39" t="n">
        <v>2</v>
      </c>
      <c r="E1894" s="41" t="n">
        <v>52.01</v>
      </c>
      <c r="F1894" s="39" t="s">
        <v>115</v>
      </c>
      <c r="G1894" s="39" t="str">
        <f aca="false">VLOOKUP(C1894,Products!$A$5:$D$24,2,FALSE())</f>
        <v>HD Webcam</v>
      </c>
      <c r="H1894" s="39" t="str">
        <f aca="false">VLOOKUP(C1894,Products!$A$5:$D$24,3,FALSE())</f>
        <v>Electronics</v>
      </c>
      <c r="I1894" s="41" t="n">
        <f aca="false">VLOOKUP(C1894,Products!$A$5:$D$24,4,FALSE())</f>
        <v>22</v>
      </c>
      <c r="J1894" s="42" t="n">
        <f aca="false">DATE(YEAR(B1894),MONTH(B1894),1)</f>
        <v>45901</v>
      </c>
      <c r="K1894" s="41" t="n">
        <f aca="false">D1894*E1894</f>
        <v>104.02</v>
      </c>
      <c r="L1894" s="41" t="n">
        <f aca="false">D1894*I1894</f>
        <v>44</v>
      </c>
      <c r="M1894" s="41" t="n">
        <f aca="false">IFERROR(INDEX(Raw_Expenses!$C$5:$C$2979,MATCH(A1894,Raw_Expenses!$A$5:$A$2979,0)),0)</f>
        <v>9.34</v>
      </c>
      <c r="N1894" s="41" t="n">
        <f aca="false">L1894+M1894</f>
        <v>53.34</v>
      </c>
      <c r="O1894" s="41" t="n">
        <f aca="false">K1894-N1894</f>
        <v>50.68</v>
      </c>
      <c r="P1894" s="43" t="n">
        <f aca="false">IF(K1894=0,0,O1894/K1894)</f>
        <v>0.48721399730821</v>
      </c>
    </row>
    <row r="1895" customFormat="false" ht="15" hidden="false" customHeight="false" outlineLevel="0" collapsed="false">
      <c r="A1895" s="39" t="s">
        <v>2017</v>
      </c>
      <c r="B1895" s="40" t="n">
        <v>45916</v>
      </c>
      <c r="C1895" s="39" t="s">
        <v>128</v>
      </c>
      <c r="D1895" s="39" t="n">
        <v>1</v>
      </c>
      <c r="E1895" s="41" t="n">
        <v>36.72</v>
      </c>
      <c r="F1895" s="39" t="s">
        <v>105</v>
      </c>
      <c r="G1895" s="39" t="str">
        <f aca="false">VLOOKUP(C1895,Products!$A$5:$D$24,2,FALSE())</f>
        <v>Ergonomic Footrest</v>
      </c>
      <c r="H1895" s="39" t="str">
        <f aca="false">VLOOKUP(C1895,Products!$A$5:$D$24,3,FALSE())</f>
        <v>Furniture</v>
      </c>
      <c r="I1895" s="41" t="n">
        <f aca="false">VLOOKUP(C1895,Products!$A$5:$D$24,4,FALSE())</f>
        <v>15</v>
      </c>
      <c r="J1895" s="42" t="n">
        <f aca="false">DATE(YEAR(B1895),MONTH(B1895),1)</f>
        <v>45901</v>
      </c>
      <c r="K1895" s="41" t="n">
        <f aca="false">D1895*E1895</f>
        <v>36.72</v>
      </c>
      <c r="L1895" s="41" t="n">
        <f aca="false">D1895*I1895</f>
        <v>15</v>
      </c>
      <c r="M1895" s="41" t="n">
        <f aca="false">IFERROR(INDEX(Raw_Expenses!$C$5:$C$2979,MATCH(A1895,Raw_Expenses!$A$5:$A$2979,0)),0)</f>
        <v>1.62</v>
      </c>
      <c r="N1895" s="41" t="n">
        <f aca="false">L1895+M1895</f>
        <v>16.62</v>
      </c>
      <c r="O1895" s="41" t="n">
        <f aca="false">K1895-N1895</f>
        <v>20.1</v>
      </c>
      <c r="P1895" s="43" t="n">
        <f aca="false">IF(K1895=0,0,O1895/K1895)</f>
        <v>0.547385620915033</v>
      </c>
    </row>
    <row r="1896" customFormat="false" ht="15" hidden="false" customHeight="false" outlineLevel="0" collapsed="false">
      <c r="A1896" s="39" t="s">
        <v>2018</v>
      </c>
      <c r="B1896" s="40" t="n">
        <v>45916</v>
      </c>
      <c r="C1896" s="39" t="s">
        <v>117</v>
      </c>
      <c r="D1896" s="39" t="n">
        <v>1</v>
      </c>
      <c r="E1896" s="41" t="n">
        <v>30.35</v>
      </c>
      <c r="F1896" s="39" t="s">
        <v>115</v>
      </c>
      <c r="G1896" s="39" t="str">
        <f aca="false">VLOOKUP(C1896,Products!$A$5:$D$24,2,FALSE())</f>
        <v>Desk Lamp</v>
      </c>
      <c r="H1896" s="39" t="str">
        <f aca="false">VLOOKUP(C1896,Products!$A$5:$D$24,3,FALSE())</f>
        <v>Furniture</v>
      </c>
      <c r="I1896" s="41" t="n">
        <f aca="false">VLOOKUP(C1896,Products!$A$5:$D$24,4,FALSE())</f>
        <v>13</v>
      </c>
      <c r="J1896" s="42" t="n">
        <f aca="false">DATE(YEAR(B1896),MONTH(B1896),1)</f>
        <v>45901</v>
      </c>
      <c r="K1896" s="41" t="n">
        <f aca="false">D1896*E1896</f>
        <v>30.35</v>
      </c>
      <c r="L1896" s="41" t="n">
        <f aca="false">D1896*I1896</f>
        <v>13</v>
      </c>
      <c r="M1896" s="41" t="n">
        <f aca="false">IFERROR(INDEX(Raw_Expenses!$C$5:$C$2979,MATCH(A1896,Raw_Expenses!$A$5:$A$2979,0)),0)</f>
        <v>0</v>
      </c>
      <c r="N1896" s="41" t="n">
        <f aca="false">L1896+M1896</f>
        <v>13</v>
      </c>
      <c r="O1896" s="41" t="n">
        <f aca="false">K1896-N1896</f>
        <v>17.35</v>
      </c>
      <c r="P1896" s="43" t="n">
        <f aca="false">IF(K1896=0,0,O1896/K1896)</f>
        <v>0.57166392092257</v>
      </c>
    </row>
    <row r="1897" customFormat="false" ht="15" hidden="false" customHeight="false" outlineLevel="0" collapsed="false">
      <c r="A1897" s="39" t="s">
        <v>2019</v>
      </c>
      <c r="B1897" s="40" t="n">
        <v>45916</v>
      </c>
      <c r="C1897" s="39" t="s">
        <v>126</v>
      </c>
      <c r="D1897" s="39" t="n">
        <v>2</v>
      </c>
      <c r="E1897" s="41" t="n">
        <v>23.41</v>
      </c>
      <c r="F1897" s="39" t="s">
        <v>115</v>
      </c>
      <c r="G1897" s="39" t="str">
        <f aca="false">VLOOKUP(C1897,Products!$A$5:$D$24,2,FALSE())</f>
        <v>Wireless Mouse</v>
      </c>
      <c r="H1897" s="39" t="str">
        <f aca="false">VLOOKUP(C1897,Products!$A$5:$D$24,3,FALSE())</f>
        <v>Electronics</v>
      </c>
      <c r="I1897" s="41" t="n">
        <f aca="false">VLOOKUP(C1897,Products!$A$5:$D$24,4,FALSE())</f>
        <v>12</v>
      </c>
      <c r="J1897" s="42" t="n">
        <f aca="false">DATE(YEAR(B1897),MONTH(B1897),1)</f>
        <v>45901</v>
      </c>
      <c r="K1897" s="41" t="n">
        <f aca="false">D1897*E1897</f>
        <v>46.82</v>
      </c>
      <c r="L1897" s="41" t="n">
        <f aca="false">D1897*I1897</f>
        <v>24</v>
      </c>
      <c r="M1897" s="41" t="n">
        <f aca="false">IFERROR(INDEX(Raw_Expenses!$C$5:$C$2979,MATCH(A1897,Raw_Expenses!$A$5:$A$2979,0)),0)</f>
        <v>3.74</v>
      </c>
      <c r="N1897" s="41" t="n">
        <f aca="false">L1897+M1897</f>
        <v>27.74</v>
      </c>
      <c r="O1897" s="41" t="n">
        <f aca="false">K1897-N1897</f>
        <v>19.08</v>
      </c>
      <c r="P1897" s="43" t="n">
        <f aca="false">IF(K1897=0,0,O1897/K1897)</f>
        <v>0.407518154634771</v>
      </c>
    </row>
    <row r="1898" customFormat="false" ht="15" hidden="false" customHeight="false" outlineLevel="0" collapsed="false">
      <c r="A1898" s="39" t="s">
        <v>2020</v>
      </c>
      <c r="B1898" s="40" t="n">
        <v>45916</v>
      </c>
      <c r="C1898" s="39" t="s">
        <v>177</v>
      </c>
      <c r="D1898" s="39" t="n">
        <v>8</v>
      </c>
      <c r="E1898" s="41" t="n">
        <v>42.19</v>
      </c>
      <c r="F1898" s="39" t="s">
        <v>108</v>
      </c>
      <c r="G1898" s="39" t="str">
        <f aca="false">VLOOKUP(C1898,Products!$A$5:$D$24,2,FALSE())</f>
        <v>Backpack</v>
      </c>
      <c r="H1898" s="39" t="str">
        <f aca="false">VLOOKUP(C1898,Products!$A$5:$D$24,3,FALSE())</f>
        <v>Accessories</v>
      </c>
      <c r="I1898" s="41" t="n">
        <f aca="false">VLOOKUP(C1898,Products!$A$5:$D$24,4,FALSE())</f>
        <v>17</v>
      </c>
      <c r="J1898" s="42" t="n">
        <f aca="false">DATE(YEAR(B1898),MONTH(B1898),1)</f>
        <v>45901</v>
      </c>
      <c r="K1898" s="41" t="n">
        <f aca="false">D1898*E1898</f>
        <v>337.52</v>
      </c>
      <c r="L1898" s="41" t="n">
        <f aca="false">D1898*I1898</f>
        <v>136</v>
      </c>
      <c r="M1898" s="41" t="n">
        <f aca="false">IFERROR(INDEX(Raw_Expenses!$C$5:$C$2979,MATCH(A1898,Raw_Expenses!$A$5:$A$2979,0)),0)</f>
        <v>25.21</v>
      </c>
      <c r="N1898" s="41" t="n">
        <f aca="false">L1898+M1898</f>
        <v>161.21</v>
      </c>
      <c r="O1898" s="41" t="n">
        <f aca="false">K1898-N1898</f>
        <v>176.31</v>
      </c>
      <c r="P1898" s="43" t="n">
        <f aca="false">IF(K1898=0,0,O1898/K1898)</f>
        <v>0.522369044797345</v>
      </c>
    </row>
    <row r="1899" customFormat="false" ht="15" hidden="false" customHeight="false" outlineLevel="0" collapsed="false">
      <c r="A1899" s="39" t="s">
        <v>2021</v>
      </c>
      <c r="B1899" s="40" t="n">
        <v>45916</v>
      </c>
      <c r="C1899" s="39" t="s">
        <v>133</v>
      </c>
      <c r="D1899" s="39" t="n">
        <v>1</v>
      </c>
      <c r="E1899" s="41" t="n">
        <v>8.49</v>
      </c>
      <c r="F1899" s="39" t="s">
        <v>115</v>
      </c>
      <c r="G1899" s="39" t="str">
        <f aca="false">VLOOKUP(C1899,Products!$A$5:$D$24,2,FALSE())</f>
        <v>Printer Paper Ream</v>
      </c>
      <c r="H1899" s="39" t="str">
        <f aca="false">VLOOKUP(C1899,Products!$A$5:$D$24,3,FALSE())</f>
        <v>Stationery</v>
      </c>
      <c r="I1899" s="41" t="n">
        <f aca="false">VLOOKUP(C1899,Products!$A$5:$D$24,4,FALSE())</f>
        <v>4</v>
      </c>
      <c r="J1899" s="42" t="n">
        <f aca="false">DATE(YEAR(B1899),MONTH(B1899),1)</f>
        <v>45901</v>
      </c>
      <c r="K1899" s="41" t="n">
        <f aca="false">D1899*E1899</f>
        <v>8.49</v>
      </c>
      <c r="L1899" s="41" t="n">
        <f aca="false">D1899*I1899</f>
        <v>4</v>
      </c>
      <c r="M1899" s="41" t="n">
        <f aca="false">IFERROR(INDEX(Raw_Expenses!$C$5:$C$2979,MATCH(A1899,Raw_Expenses!$A$5:$A$2979,0)),0)</f>
        <v>0.52</v>
      </c>
      <c r="N1899" s="41" t="n">
        <f aca="false">L1899+M1899</f>
        <v>4.52</v>
      </c>
      <c r="O1899" s="41" t="n">
        <f aca="false">K1899-N1899</f>
        <v>3.97</v>
      </c>
      <c r="P1899" s="43" t="n">
        <f aca="false">IF(K1899=0,0,O1899/K1899)</f>
        <v>0.467608951707892</v>
      </c>
    </row>
    <row r="1900" customFormat="false" ht="15" hidden="false" customHeight="false" outlineLevel="0" collapsed="false">
      <c r="A1900" s="39" t="s">
        <v>2022</v>
      </c>
      <c r="B1900" s="40" t="n">
        <v>45916</v>
      </c>
      <c r="C1900" s="39" t="s">
        <v>117</v>
      </c>
      <c r="D1900" s="39" t="n">
        <v>1</v>
      </c>
      <c r="E1900" s="41" t="n">
        <v>31.45</v>
      </c>
      <c r="F1900" s="39" t="s">
        <v>105</v>
      </c>
      <c r="G1900" s="39" t="str">
        <f aca="false">VLOOKUP(C1900,Products!$A$5:$D$24,2,FALSE())</f>
        <v>Desk Lamp</v>
      </c>
      <c r="H1900" s="39" t="str">
        <f aca="false">VLOOKUP(C1900,Products!$A$5:$D$24,3,FALSE())</f>
        <v>Furniture</v>
      </c>
      <c r="I1900" s="41" t="n">
        <f aca="false">VLOOKUP(C1900,Products!$A$5:$D$24,4,FALSE())</f>
        <v>13</v>
      </c>
      <c r="J1900" s="42" t="n">
        <f aca="false">DATE(YEAR(B1900),MONTH(B1900),1)</f>
        <v>45901</v>
      </c>
      <c r="K1900" s="41" t="n">
        <f aca="false">D1900*E1900</f>
        <v>31.45</v>
      </c>
      <c r="L1900" s="41" t="n">
        <f aca="false">D1900*I1900</f>
        <v>13</v>
      </c>
      <c r="M1900" s="41" t="n">
        <f aca="false">IFERROR(INDEX(Raw_Expenses!$C$5:$C$2979,MATCH(A1900,Raw_Expenses!$A$5:$A$2979,0)),0)</f>
        <v>1.37</v>
      </c>
      <c r="N1900" s="41" t="n">
        <f aca="false">L1900+M1900</f>
        <v>14.37</v>
      </c>
      <c r="O1900" s="41" t="n">
        <f aca="false">K1900-N1900</f>
        <v>17.08</v>
      </c>
      <c r="P1900" s="43" t="n">
        <f aca="false">IF(K1900=0,0,O1900/K1900)</f>
        <v>0.54308426073132</v>
      </c>
    </row>
    <row r="1901" customFormat="false" ht="15" hidden="false" customHeight="false" outlineLevel="0" collapsed="false">
      <c r="A1901" s="39" t="s">
        <v>2023</v>
      </c>
      <c r="B1901" s="40" t="n">
        <v>45916</v>
      </c>
      <c r="C1901" s="39" t="s">
        <v>177</v>
      </c>
      <c r="D1901" s="39" t="n">
        <v>2</v>
      </c>
      <c r="E1901" s="41" t="n">
        <v>41.63</v>
      </c>
      <c r="F1901" s="39" t="s">
        <v>118</v>
      </c>
      <c r="G1901" s="39" t="str">
        <f aca="false">VLOOKUP(C1901,Products!$A$5:$D$24,2,FALSE())</f>
        <v>Backpack</v>
      </c>
      <c r="H1901" s="39" t="str">
        <f aca="false">VLOOKUP(C1901,Products!$A$5:$D$24,3,FALSE())</f>
        <v>Accessories</v>
      </c>
      <c r="I1901" s="41" t="n">
        <f aca="false">VLOOKUP(C1901,Products!$A$5:$D$24,4,FALSE())</f>
        <v>17</v>
      </c>
      <c r="J1901" s="42" t="n">
        <f aca="false">DATE(YEAR(B1901),MONTH(B1901),1)</f>
        <v>45901</v>
      </c>
      <c r="K1901" s="41" t="n">
        <f aca="false">D1901*E1901</f>
        <v>83.26</v>
      </c>
      <c r="L1901" s="41" t="n">
        <f aca="false">D1901*I1901</f>
        <v>34</v>
      </c>
      <c r="M1901" s="41" t="n">
        <f aca="false">IFERROR(INDEX(Raw_Expenses!$C$5:$C$2979,MATCH(A1901,Raw_Expenses!$A$5:$A$2979,0)),0)</f>
        <v>4.81</v>
      </c>
      <c r="N1901" s="41" t="n">
        <f aca="false">L1901+M1901</f>
        <v>38.81</v>
      </c>
      <c r="O1901" s="41" t="n">
        <f aca="false">K1901-N1901</f>
        <v>44.45</v>
      </c>
      <c r="P1901" s="43" t="n">
        <f aca="false">IF(K1901=0,0,O1901/K1901)</f>
        <v>0.533869805428777</v>
      </c>
    </row>
    <row r="1902" customFormat="false" ht="15" hidden="false" customHeight="false" outlineLevel="0" collapsed="false">
      <c r="A1902" s="39" t="s">
        <v>2024</v>
      </c>
      <c r="B1902" s="40" t="n">
        <v>45916</v>
      </c>
      <c r="C1902" s="39" t="s">
        <v>139</v>
      </c>
      <c r="D1902" s="39" t="n">
        <v>1</v>
      </c>
      <c r="E1902" s="41" t="n">
        <v>125.25</v>
      </c>
      <c r="F1902" s="39" t="s">
        <v>108</v>
      </c>
      <c r="G1902" s="39" t="str">
        <f aca="false">VLOOKUP(C1902,Products!$A$5:$D$24,2,FALSE())</f>
        <v>Noise-Cancelling Headphones</v>
      </c>
      <c r="H1902" s="39" t="str">
        <f aca="false">VLOOKUP(C1902,Products!$A$5:$D$24,3,FALSE())</f>
        <v>Electronics</v>
      </c>
      <c r="I1902" s="41" t="n">
        <f aca="false">VLOOKUP(C1902,Products!$A$5:$D$24,4,FALSE())</f>
        <v>55</v>
      </c>
      <c r="J1902" s="42" t="n">
        <f aca="false">DATE(YEAR(B1902),MONTH(B1902),1)</f>
        <v>45901</v>
      </c>
      <c r="K1902" s="41" t="n">
        <f aca="false">D1902*E1902</f>
        <v>125.25</v>
      </c>
      <c r="L1902" s="41" t="n">
        <f aca="false">D1902*I1902</f>
        <v>55</v>
      </c>
      <c r="M1902" s="41" t="n">
        <f aca="false">IFERROR(INDEX(Raw_Expenses!$C$5:$C$2979,MATCH(A1902,Raw_Expenses!$A$5:$A$2979,0)),0)</f>
        <v>6.45</v>
      </c>
      <c r="N1902" s="41" t="n">
        <f aca="false">L1902+M1902</f>
        <v>61.45</v>
      </c>
      <c r="O1902" s="41" t="n">
        <f aca="false">K1902-N1902</f>
        <v>63.8</v>
      </c>
      <c r="P1902" s="43" t="n">
        <f aca="false">IF(K1902=0,0,O1902/K1902)</f>
        <v>0.50938123752495</v>
      </c>
    </row>
    <row r="1903" customFormat="false" ht="15" hidden="false" customHeight="false" outlineLevel="0" collapsed="false">
      <c r="A1903" s="39" t="s">
        <v>2025</v>
      </c>
      <c r="B1903" s="40" t="n">
        <v>45916</v>
      </c>
      <c r="C1903" s="39" t="s">
        <v>114</v>
      </c>
      <c r="D1903" s="39" t="n">
        <v>6</v>
      </c>
      <c r="E1903" s="41" t="n">
        <v>5.67</v>
      </c>
      <c r="F1903" s="39" t="s">
        <v>115</v>
      </c>
      <c r="G1903" s="39" t="str">
        <f aca="false">VLOOKUP(C1903,Products!$A$5:$D$24,2,FALSE())</f>
        <v>Gel Pen Pack</v>
      </c>
      <c r="H1903" s="39" t="str">
        <f aca="false">VLOOKUP(C1903,Products!$A$5:$D$24,3,FALSE())</f>
        <v>Stationery</v>
      </c>
      <c r="I1903" s="41" t="n">
        <f aca="false">VLOOKUP(C1903,Products!$A$5:$D$24,4,FALSE())</f>
        <v>2</v>
      </c>
      <c r="J1903" s="42" t="n">
        <f aca="false">DATE(YEAR(B1903),MONTH(B1903),1)</f>
        <v>45901</v>
      </c>
      <c r="K1903" s="41" t="n">
        <f aca="false">D1903*E1903</f>
        <v>34.02</v>
      </c>
      <c r="L1903" s="41" t="n">
        <f aca="false">D1903*I1903</f>
        <v>12</v>
      </c>
      <c r="M1903" s="41" t="n">
        <f aca="false">IFERROR(INDEX(Raw_Expenses!$C$5:$C$2979,MATCH(A1903,Raw_Expenses!$A$5:$A$2979,0)),0)</f>
        <v>2.33</v>
      </c>
      <c r="N1903" s="41" t="n">
        <f aca="false">L1903+M1903</f>
        <v>14.33</v>
      </c>
      <c r="O1903" s="41" t="n">
        <f aca="false">K1903-N1903</f>
        <v>19.69</v>
      </c>
      <c r="P1903" s="43" t="n">
        <f aca="false">IF(K1903=0,0,O1903/K1903)</f>
        <v>0.578777189888301</v>
      </c>
    </row>
    <row r="1904" customFormat="false" ht="15" hidden="false" customHeight="false" outlineLevel="0" collapsed="false">
      <c r="A1904" s="39" t="s">
        <v>2026</v>
      </c>
      <c r="B1904" s="40" t="n">
        <v>45916</v>
      </c>
      <c r="C1904" s="39" t="s">
        <v>177</v>
      </c>
      <c r="D1904" s="39" t="n">
        <v>2</v>
      </c>
      <c r="E1904" s="41" t="n">
        <v>41.66</v>
      </c>
      <c r="F1904" s="39" t="s">
        <v>105</v>
      </c>
      <c r="G1904" s="39" t="str">
        <f aca="false">VLOOKUP(C1904,Products!$A$5:$D$24,2,FALSE())</f>
        <v>Backpack</v>
      </c>
      <c r="H1904" s="39" t="str">
        <f aca="false">VLOOKUP(C1904,Products!$A$5:$D$24,3,FALSE())</f>
        <v>Accessories</v>
      </c>
      <c r="I1904" s="41" t="n">
        <f aca="false">VLOOKUP(C1904,Products!$A$5:$D$24,4,FALSE())</f>
        <v>17</v>
      </c>
      <c r="J1904" s="42" t="n">
        <f aca="false">DATE(YEAR(B1904),MONTH(B1904),1)</f>
        <v>45901</v>
      </c>
      <c r="K1904" s="41" t="n">
        <f aca="false">D1904*E1904</f>
        <v>83.32</v>
      </c>
      <c r="L1904" s="41" t="n">
        <f aca="false">D1904*I1904</f>
        <v>34</v>
      </c>
      <c r="M1904" s="41" t="n">
        <f aca="false">IFERROR(INDEX(Raw_Expenses!$C$5:$C$2979,MATCH(A1904,Raw_Expenses!$A$5:$A$2979,0)),0)</f>
        <v>6.41</v>
      </c>
      <c r="N1904" s="41" t="n">
        <f aca="false">L1904+M1904</f>
        <v>40.41</v>
      </c>
      <c r="O1904" s="41" t="n">
        <f aca="false">K1904-N1904</f>
        <v>42.91</v>
      </c>
      <c r="P1904" s="43" t="n">
        <f aca="false">IF(K1904=0,0,O1904/K1904)</f>
        <v>0.515002400384061</v>
      </c>
    </row>
    <row r="1905" customFormat="false" ht="15" hidden="false" customHeight="false" outlineLevel="0" collapsed="false">
      <c r="A1905" s="39" t="s">
        <v>2027</v>
      </c>
      <c r="B1905" s="40" t="n">
        <v>45916</v>
      </c>
      <c r="C1905" s="39" t="s">
        <v>177</v>
      </c>
      <c r="D1905" s="39" t="n">
        <v>1</v>
      </c>
      <c r="E1905" s="41" t="n">
        <v>43.95</v>
      </c>
      <c r="F1905" s="39" t="s">
        <v>115</v>
      </c>
      <c r="G1905" s="39" t="str">
        <f aca="false">VLOOKUP(C1905,Products!$A$5:$D$24,2,FALSE())</f>
        <v>Backpack</v>
      </c>
      <c r="H1905" s="39" t="str">
        <f aca="false">VLOOKUP(C1905,Products!$A$5:$D$24,3,FALSE())</f>
        <v>Accessories</v>
      </c>
      <c r="I1905" s="41" t="n">
        <f aca="false">VLOOKUP(C1905,Products!$A$5:$D$24,4,FALSE())</f>
        <v>17</v>
      </c>
      <c r="J1905" s="42" t="n">
        <f aca="false">DATE(YEAR(B1905),MONTH(B1905),1)</f>
        <v>45901</v>
      </c>
      <c r="K1905" s="41" t="n">
        <f aca="false">D1905*E1905</f>
        <v>43.95</v>
      </c>
      <c r="L1905" s="41" t="n">
        <f aca="false">D1905*I1905</f>
        <v>17</v>
      </c>
      <c r="M1905" s="41" t="n">
        <f aca="false">IFERROR(INDEX(Raw_Expenses!$C$5:$C$2979,MATCH(A1905,Raw_Expenses!$A$5:$A$2979,0)),0)</f>
        <v>2.81</v>
      </c>
      <c r="N1905" s="41" t="n">
        <f aca="false">L1905+M1905</f>
        <v>19.81</v>
      </c>
      <c r="O1905" s="41" t="n">
        <f aca="false">K1905-N1905</f>
        <v>24.14</v>
      </c>
      <c r="P1905" s="43" t="n">
        <f aca="false">IF(K1905=0,0,O1905/K1905)</f>
        <v>0.549260523321957</v>
      </c>
    </row>
    <row r="1906" customFormat="false" ht="15" hidden="false" customHeight="false" outlineLevel="0" collapsed="false">
      <c r="A1906" s="39" t="s">
        <v>2028</v>
      </c>
      <c r="B1906" s="40" t="n">
        <v>45916</v>
      </c>
      <c r="C1906" s="39" t="s">
        <v>139</v>
      </c>
      <c r="D1906" s="39" t="n">
        <v>4</v>
      </c>
      <c r="E1906" s="41" t="n">
        <v>123.02</v>
      </c>
      <c r="F1906" s="39" t="s">
        <v>115</v>
      </c>
      <c r="G1906" s="39" t="str">
        <f aca="false">VLOOKUP(C1906,Products!$A$5:$D$24,2,FALSE())</f>
        <v>Noise-Cancelling Headphones</v>
      </c>
      <c r="H1906" s="39" t="str">
        <f aca="false">VLOOKUP(C1906,Products!$A$5:$D$24,3,FALSE())</f>
        <v>Electronics</v>
      </c>
      <c r="I1906" s="41" t="n">
        <f aca="false">VLOOKUP(C1906,Products!$A$5:$D$24,4,FALSE())</f>
        <v>55</v>
      </c>
      <c r="J1906" s="42" t="n">
        <f aca="false">DATE(YEAR(B1906),MONTH(B1906),1)</f>
        <v>45901</v>
      </c>
      <c r="K1906" s="41" t="n">
        <f aca="false">D1906*E1906</f>
        <v>492.08</v>
      </c>
      <c r="L1906" s="41" t="n">
        <f aca="false">D1906*I1906</f>
        <v>220</v>
      </c>
      <c r="M1906" s="41" t="n">
        <f aca="false">IFERROR(INDEX(Raw_Expenses!$C$5:$C$2979,MATCH(A1906,Raw_Expenses!$A$5:$A$2979,0)),0)</f>
        <v>21.44</v>
      </c>
      <c r="N1906" s="41" t="n">
        <f aca="false">L1906+M1906</f>
        <v>241.44</v>
      </c>
      <c r="O1906" s="41" t="n">
        <f aca="false">K1906-N1906</f>
        <v>250.64</v>
      </c>
      <c r="P1906" s="43" t="n">
        <f aca="false">IF(K1906=0,0,O1906/K1906)</f>
        <v>0.509348073483986</v>
      </c>
    </row>
    <row r="1907" customFormat="false" ht="15" hidden="false" customHeight="false" outlineLevel="0" collapsed="false">
      <c r="A1907" s="39" t="s">
        <v>2029</v>
      </c>
      <c r="B1907" s="40" t="n">
        <v>45916</v>
      </c>
      <c r="C1907" s="39" t="s">
        <v>104</v>
      </c>
      <c r="D1907" s="39" t="n">
        <v>1</v>
      </c>
      <c r="E1907" s="41" t="n">
        <v>15.07</v>
      </c>
      <c r="F1907" s="39" t="s">
        <v>118</v>
      </c>
      <c r="G1907" s="39" t="str">
        <f aca="false">VLOOKUP(C1907,Products!$A$5:$D$24,2,FALSE())</f>
        <v>Water Bottle</v>
      </c>
      <c r="H1907" s="39" t="str">
        <f aca="false">VLOOKUP(C1907,Products!$A$5:$D$24,3,FALSE())</f>
        <v>Accessories</v>
      </c>
      <c r="I1907" s="41" t="n">
        <f aca="false">VLOOKUP(C1907,Products!$A$5:$D$24,4,FALSE())</f>
        <v>5</v>
      </c>
      <c r="J1907" s="42" t="n">
        <f aca="false">DATE(YEAR(B1907),MONTH(B1907),1)</f>
        <v>45901</v>
      </c>
      <c r="K1907" s="41" t="n">
        <f aca="false">D1907*E1907</f>
        <v>15.07</v>
      </c>
      <c r="L1907" s="41" t="n">
        <f aca="false">D1907*I1907</f>
        <v>5</v>
      </c>
      <c r="M1907" s="41" t="n">
        <f aca="false">IFERROR(INDEX(Raw_Expenses!$C$5:$C$2979,MATCH(A1907,Raw_Expenses!$A$5:$A$2979,0)),0)</f>
        <v>0.69</v>
      </c>
      <c r="N1907" s="41" t="n">
        <f aca="false">L1907+M1907</f>
        <v>5.69</v>
      </c>
      <c r="O1907" s="41" t="n">
        <f aca="false">K1907-N1907</f>
        <v>9.38</v>
      </c>
      <c r="P1907" s="43" t="n">
        <f aca="false">IF(K1907=0,0,O1907/K1907)</f>
        <v>0.622428666224287</v>
      </c>
    </row>
    <row r="1908" customFormat="false" ht="15" hidden="false" customHeight="false" outlineLevel="0" collapsed="false">
      <c r="A1908" s="39" t="s">
        <v>2030</v>
      </c>
      <c r="B1908" s="40" t="n">
        <v>45917</v>
      </c>
      <c r="C1908" s="39" t="s">
        <v>133</v>
      </c>
      <c r="D1908" s="39" t="n">
        <v>1</v>
      </c>
      <c r="E1908" s="41" t="n">
        <v>8.62</v>
      </c>
      <c r="F1908" s="39" t="s">
        <v>105</v>
      </c>
      <c r="G1908" s="39" t="str">
        <f aca="false">VLOOKUP(C1908,Products!$A$5:$D$24,2,FALSE())</f>
        <v>Printer Paper Ream</v>
      </c>
      <c r="H1908" s="39" t="str">
        <f aca="false">VLOOKUP(C1908,Products!$A$5:$D$24,3,FALSE())</f>
        <v>Stationery</v>
      </c>
      <c r="I1908" s="41" t="n">
        <f aca="false">VLOOKUP(C1908,Products!$A$5:$D$24,4,FALSE())</f>
        <v>4</v>
      </c>
      <c r="J1908" s="42" t="n">
        <f aca="false">DATE(YEAR(B1908),MONTH(B1908),1)</f>
        <v>45901</v>
      </c>
      <c r="K1908" s="41" t="n">
        <f aca="false">D1908*E1908</f>
        <v>8.62</v>
      </c>
      <c r="L1908" s="41" t="n">
        <f aca="false">D1908*I1908</f>
        <v>4</v>
      </c>
      <c r="M1908" s="41" t="n">
        <f aca="false">IFERROR(INDEX(Raw_Expenses!$C$5:$C$2979,MATCH(A1908,Raw_Expenses!$A$5:$A$2979,0)),0)</f>
        <v>0.56</v>
      </c>
      <c r="N1908" s="41" t="n">
        <f aca="false">L1908+M1908</f>
        <v>4.56</v>
      </c>
      <c r="O1908" s="41" t="n">
        <f aca="false">K1908-N1908</f>
        <v>4.06</v>
      </c>
      <c r="P1908" s="43" t="n">
        <f aca="false">IF(K1908=0,0,O1908/K1908)</f>
        <v>0.470997679814385</v>
      </c>
    </row>
    <row r="1909" customFormat="false" ht="15" hidden="false" customHeight="false" outlineLevel="0" collapsed="false">
      <c r="A1909" s="39" t="s">
        <v>2031</v>
      </c>
      <c r="B1909" s="40" t="n">
        <v>45917</v>
      </c>
      <c r="C1909" s="39" t="s">
        <v>133</v>
      </c>
      <c r="D1909" s="39" t="n">
        <v>2</v>
      </c>
      <c r="E1909" s="41" t="n">
        <v>8.55</v>
      </c>
      <c r="F1909" s="39" t="s">
        <v>105</v>
      </c>
      <c r="G1909" s="39" t="str">
        <f aca="false">VLOOKUP(C1909,Products!$A$5:$D$24,2,FALSE())</f>
        <v>Printer Paper Ream</v>
      </c>
      <c r="H1909" s="39" t="str">
        <f aca="false">VLOOKUP(C1909,Products!$A$5:$D$24,3,FALSE())</f>
        <v>Stationery</v>
      </c>
      <c r="I1909" s="41" t="n">
        <f aca="false">VLOOKUP(C1909,Products!$A$5:$D$24,4,FALSE())</f>
        <v>4</v>
      </c>
      <c r="J1909" s="42" t="n">
        <f aca="false">DATE(YEAR(B1909),MONTH(B1909),1)</f>
        <v>45901</v>
      </c>
      <c r="K1909" s="41" t="n">
        <f aca="false">D1909*E1909</f>
        <v>17.1</v>
      </c>
      <c r="L1909" s="41" t="n">
        <f aca="false">D1909*I1909</f>
        <v>8</v>
      </c>
      <c r="M1909" s="41" t="n">
        <f aca="false">IFERROR(INDEX(Raw_Expenses!$C$5:$C$2979,MATCH(A1909,Raw_Expenses!$A$5:$A$2979,0)),0)</f>
        <v>0.98</v>
      </c>
      <c r="N1909" s="41" t="n">
        <f aca="false">L1909+M1909</f>
        <v>8.98</v>
      </c>
      <c r="O1909" s="41" t="n">
        <f aca="false">K1909-N1909</f>
        <v>8.12</v>
      </c>
      <c r="P1909" s="43" t="n">
        <f aca="false">IF(K1909=0,0,O1909/K1909)</f>
        <v>0.474853801169591</v>
      </c>
    </row>
    <row r="1910" customFormat="false" ht="15" hidden="false" customHeight="false" outlineLevel="0" collapsed="false">
      <c r="A1910" s="39" t="s">
        <v>2032</v>
      </c>
      <c r="B1910" s="40" t="n">
        <v>45917</v>
      </c>
      <c r="C1910" s="39" t="s">
        <v>130</v>
      </c>
      <c r="D1910" s="39" t="n">
        <v>1</v>
      </c>
      <c r="E1910" s="41" t="n">
        <v>8.69</v>
      </c>
      <c r="F1910" s="39" t="s">
        <v>108</v>
      </c>
      <c r="G1910" s="39" t="str">
        <f aca="false">VLOOKUP(C1910,Products!$A$5:$D$24,2,FALSE())</f>
        <v>Notebook Set</v>
      </c>
      <c r="H1910" s="39" t="str">
        <f aca="false">VLOOKUP(C1910,Products!$A$5:$D$24,3,FALSE())</f>
        <v>Stationery</v>
      </c>
      <c r="I1910" s="41" t="n">
        <f aca="false">VLOOKUP(C1910,Products!$A$5:$D$24,4,FALSE())</f>
        <v>3</v>
      </c>
      <c r="J1910" s="42" t="n">
        <f aca="false">DATE(YEAR(B1910),MONTH(B1910),1)</f>
        <v>45901</v>
      </c>
      <c r="K1910" s="41" t="n">
        <f aca="false">D1910*E1910</f>
        <v>8.69</v>
      </c>
      <c r="L1910" s="41" t="n">
        <f aca="false">D1910*I1910</f>
        <v>3</v>
      </c>
      <c r="M1910" s="41" t="n">
        <f aca="false">IFERROR(INDEX(Raw_Expenses!$C$5:$C$2979,MATCH(A1910,Raw_Expenses!$A$5:$A$2979,0)),0)</f>
        <v>0.36</v>
      </c>
      <c r="N1910" s="41" t="n">
        <f aca="false">L1910+M1910</f>
        <v>3.36</v>
      </c>
      <c r="O1910" s="41" t="n">
        <f aca="false">K1910-N1910</f>
        <v>5.33</v>
      </c>
      <c r="P1910" s="43" t="n">
        <f aca="false">IF(K1910=0,0,O1910/K1910)</f>
        <v>0.613348676639816</v>
      </c>
    </row>
    <row r="1911" customFormat="false" ht="15" hidden="false" customHeight="false" outlineLevel="0" collapsed="false">
      <c r="A1911" s="39" t="s">
        <v>2033</v>
      </c>
      <c r="B1911" s="40" t="n">
        <v>45917</v>
      </c>
      <c r="C1911" s="39" t="s">
        <v>117</v>
      </c>
      <c r="D1911" s="39" t="n">
        <v>3</v>
      </c>
      <c r="E1911" s="41" t="n">
        <v>30.3</v>
      </c>
      <c r="F1911" s="39" t="s">
        <v>115</v>
      </c>
      <c r="G1911" s="39" t="str">
        <f aca="false">VLOOKUP(C1911,Products!$A$5:$D$24,2,FALSE())</f>
        <v>Desk Lamp</v>
      </c>
      <c r="H1911" s="39" t="str">
        <f aca="false">VLOOKUP(C1911,Products!$A$5:$D$24,3,FALSE())</f>
        <v>Furniture</v>
      </c>
      <c r="I1911" s="41" t="n">
        <f aca="false">VLOOKUP(C1911,Products!$A$5:$D$24,4,FALSE())</f>
        <v>13</v>
      </c>
      <c r="J1911" s="42" t="n">
        <f aca="false">DATE(YEAR(B1911),MONTH(B1911),1)</f>
        <v>45901</v>
      </c>
      <c r="K1911" s="41" t="n">
        <f aca="false">D1911*E1911</f>
        <v>90.9</v>
      </c>
      <c r="L1911" s="41" t="n">
        <f aca="false">D1911*I1911</f>
        <v>39</v>
      </c>
      <c r="M1911" s="41" t="n">
        <f aca="false">IFERROR(INDEX(Raw_Expenses!$C$5:$C$2979,MATCH(A1911,Raw_Expenses!$A$5:$A$2979,0)),0)</f>
        <v>3.79</v>
      </c>
      <c r="N1911" s="41" t="n">
        <f aca="false">L1911+M1911</f>
        <v>42.79</v>
      </c>
      <c r="O1911" s="41" t="n">
        <f aca="false">K1911-N1911</f>
        <v>48.11</v>
      </c>
      <c r="P1911" s="43" t="n">
        <f aca="false">IF(K1911=0,0,O1911/K1911)</f>
        <v>0.529262926292629</v>
      </c>
    </row>
    <row r="1912" customFormat="false" ht="15" hidden="false" customHeight="false" outlineLevel="0" collapsed="false">
      <c r="A1912" s="39" t="s">
        <v>2034</v>
      </c>
      <c r="B1912" s="40" t="n">
        <v>45917</v>
      </c>
      <c r="C1912" s="39" t="s">
        <v>104</v>
      </c>
      <c r="D1912" s="39" t="n">
        <v>4</v>
      </c>
      <c r="E1912" s="41" t="n">
        <v>15.48</v>
      </c>
      <c r="F1912" s="39" t="s">
        <v>105</v>
      </c>
      <c r="G1912" s="39" t="str">
        <f aca="false">VLOOKUP(C1912,Products!$A$5:$D$24,2,FALSE())</f>
        <v>Water Bottle</v>
      </c>
      <c r="H1912" s="39" t="str">
        <f aca="false">VLOOKUP(C1912,Products!$A$5:$D$24,3,FALSE())</f>
        <v>Accessories</v>
      </c>
      <c r="I1912" s="41" t="n">
        <f aca="false">VLOOKUP(C1912,Products!$A$5:$D$24,4,FALSE())</f>
        <v>5</v>
      </c>
      <c r="J1912" s="42" t="n">
        <f aca="false">DATE(YEAR(B1912),MONTH(B1912),1)</f>
        <v>45901</v>
      </c>
      <c r="K1912" s="41" t="n">
        <f aca="false">D1912*E1912</f>
        <v>61.92</v>
      </c>
      <c r="L1912" s="41" t="n">
        <f aca="false">D1912*I1912</f>
        <v>20</v>
      </c>
      <c r="M1912" s="41" t="n">
        <f aca="false">IFERROR(INDEX(Raw_Expenses!$C$5:$C$2979,MATCH(A1912,Raw_Expenses!$A$5:$A$2979,0)),0)</f>
        <v>2.65</v>
      </c>
      <c r="N1912" s="41" t="n">
        <f aca="false">L1912+M1912</f>
        <v>22.65</v>
      </c>
      <c r="O1912" s="41" t="n">
        <f aca="false">K1912-N1912</f>
        <v>39.27</v>
      </c>
      <c r="P1912" s="43" t="n">
        <f aca="false">IF(K1912=0,0,O1912/K1912)</f>
        <v>0.634205426356589</v>
      </c>
    </row>
    <row r="1913" customFormat="false" ht="15" hidden="false" customHeight="false" outlineLevel="0" collapsed="false">
      <c r="A1913" s="39" t="s">
        <v>2035</v>
      </c>
      <c r="B1913" s="40" t="n">
        <v>45917</v>
      </c>
      <c r="C1913" s="39" t="s">
        <v>110</v>
      </c>
      <c r="D1913" s="39" t="n">
        <v>1</v>
      </c>
      <c r="E1913" s="41" t="n">
        <v>13.82</v>
      </c>
      <c r="F1913" s="39" t="s">
        <v>105</v>
      </c>
      <c r="G1913" s="39" t="str">
        <f aca="false">VLOOKUP(C1913,Products!$A$5:$D$24,2,FALSE())</f>
        <v>Phone Stand</v>
      </c>
      <c r="H1913" s="39" t="str">
        <f aca="false">VLOOKUP(C1913,Products!$A$5:$D$24,3,FALSE())</f>
        <v>Accessories</v>
      </c>
      <c r="I1913" s="41" t="n">
        <f aca="false">VLOOKUP(C1913,Products!$A$5:$D$24,4,FALSE())</f>
        <v>4</v>
      </c>
      <c r="J1913" s="42" t="n">
        <f aca="false">DATE(YEAR(B1913),MONTH(B1913),1)</f>
        <v>45901</v>
      </c>
      <c r="K1913" s="41" t="n">
        <f aca="false">D1913*E1913</f>
        <v>13.82</v>
      </c>
      <c r="L1913" s="41" t="n">
        <f aca="false">D1913*I1913</f>
        <v>4</v>
      </c>
      <c r="M1913" s="41" t="n">
        <f aca="false">IFERROR(INDEX(Raw_Expenses!$C$5:$C$2979,MATCH(A1913,Raw_Expenses!$A$5:$A$2979,0)),0)</f>
        <v>0.91</v>
      </c>
      <c r="N1913" s="41" t="n">
        <f aca="false">L1913+M1913</f>
        <v>4.91</v>
      </c>
      <c r="O1913" s="41" t="n">
        <f aca="false">K1913-N1913</f>
        <v>8.91</v>
      </c>
      <c r="P1913" s="43" t="n">
        <f aca="false">IF(K1913=0,0,O1913/K1913)</f>
        <v>0.644717800289436</v>
      </c>
    </row>
    <row r="1914" customFormat="false" ht="15" hidden="false" customHeight="false" outlineLevel="0" collapsed="false">
      <c r="A1914" s="39" t="s">
        <v>2036</v>
      </c>
      <c r="B1914" s="40" t="n">
        <v>45918</v>
      </c>
      <c r="C1914" s="39" t="s">
        <v>136</v>
      </c>
      <c r="D1914" s="39" t="n">
        <v>4</v>
      </c>
      <c r="E1914" s="41" t="n">
        <v>72.97</v>
      </c>
      <c r="F1914" s="39" t="s">
        <v>115</v>
      </c>
      <c r="G1914" s="39" t="str">
        <f aca="false">VLOOKUP(C1914,Products!$A$5:$D$24,2,FALSE())</f>
        <v>Mechanical Keyboard</v>
      </c>
      <c r="H1914" s="39" t="str">
        <f aca="false">VLOOKUP(C1914,Products!$A$5:$D$24,3,FALSE())</f>
        <v>Electronics</v>
      </c>
      <c r="I1914" s="41" t="n">
        <f aca="false">VLOOKUP(C1914,Products!$A$5:$D$24,4,FALSE())</f>
        <v>38</v>
      </c>
      <c r="J1914" s="42" t="n">
        <f aca="false">DATE(YEAR(B1914),MONTH(B1914),1)</f>
        <v>45901</v>
      </c>
      <c r="K1914" s="41" t="n">
        <f aca="false">D1914*E1914</f>
        <v>291.88</v>
      </c>
      <c r="L1914" s="41" t="n">
        <f aca="false">D1914*I1914</f>
        <v>152</v>
      </c>
      <c r="M1914" s="41" t="n">
        <f aca="false">IFERROR(INDEX(Raw_Expenses!$C$5:$C$2979,MATCH(A1914,Raw_Expenses!$A$5:$A$2979,0)),0)</f>
        <v>17.54</v>
      </c>
      <c r="N1914" s="41" t="n">
        <f aca="false">L1914+M1914</f>
        <v>169.54</v>
      </c>
      <c r="O1914" s="41" t="n">
        <f aca="false">K1914-N1914</f>
        <v>122.34</v>
      </c>
      <c r="P1914" s="43" t="n">
        <f aca="false">IF(K1914=0,0,O1914/K1914)</f>
        <v>0.419144854049609</v>
      </c>
    </row>
    <row r="1915" customFormat="false" ht="15" hidden="false" customHeight="false" outlineLevel="0" collapsed="false">
      <c r="A1915" s="39" t="s">
        <v>2037</v>
      </c>
      <c r="B1915" s="40" t="n">
        <v>45918</v>
      </c>
      <c r="C1915" s="39" t="s">
        <v>110</v>
      </c>
      <c r="D1915" s="39" t="n">
        <v>4</v>
      </c>
      <c r="E1915" s="41" t="n">
        <v>13.68</v>
      </c>
      <c r="F1915" s="39" t="s">
        <v>115</v>
      </c>
      <c r="G1915" s="39" t="str">
        <f aca="false">VLOOKUP(C1915,Products!$A$5:$D$24,2,FALSE())</f>
        <v>Phone Stand</v>
      </c>
      <c r="H1915" s="39" t="str">
        <f aca="false">VLOOKUP(C1915,Products!$A$5:$D$24,3,FALSE())</f>
        <v>Accessories</v>
      </c>
      <c r="I1915" s="41" t="n">
        <f aca="false">VLOOKUP(C1915,Products!$A$5:$D$24,4,FALSE())</f>
        <v>4</v>
      </c>
      <c r="J1915" s="42" t="n">
        <f aca="false">DATE(YEAR(B1915),MONTH(B1915),1)</f>
        <v>45901</v>
      </c>
      <c r="K1915" s="41" t="n">
        <f aca="false">D1915*E1915</f>
        <v>54.72</v>
      </c>
      <c r="L1915" s="41" t="n">
        <f aca="false">D1915*I1915</f>
        <v>16</v>
      </c>
      <c r="M1915" s="41" t="n">
        <f aca="false">IFERROR(INDEX(Raw_Expenses!$C$5:$C$2979,MATCH(A1915,Raw_Expenses!$A$5:$A$2979,0)),0)</f>
        <v>3.68</v>
      </c>
      <c r="N1915" s="41" t="n">
        <f aca="false">L1915+M1915</f>
        <v>19.68</v>
      </c>
      <c r="O1915" s="41" t="n">
        <f aca="false">K1915-N1915</f>
        <v>35.04</v>
      </c>
      <c r="P1915" s="43" t="n">
        <f aca="false">IF(K1915=0,0,O1915/K1915)</f>
        <v>0.640350877192982</v>
      </c>
    </row>
    <row r="1916" customFormat="false" ht="15" hidden="false" customHeight="false" outlineLevel="0" collapsed="false">
      <c r="A1916" s="39" t="s">
        <v>2038</v>
      </c>
      <c r="B1916" s="40" t="n">
        <v>45918</v>
      </c>
      <c r="C1916" s="39" t="s">
        <v>110</v>
      </c>
      <c r="D1916" s="39" t="n">
        <v>8</v>
      </c>
      <c r="E1916" s="41" t="n">
        <v>13.92</v>
      </c>
      <c r="F1916" s="39" t="s">
        <v>108</v>
      </c>
      <c r="G1916" s="39" t="str">
        <f aca="false">VLOOKUP(C1916,Products!$A$5:$D$24,2,FALSE())</f>
        <v>Phone Stand</v>
      </c>
      <c r="H1916" s="39" t="str">
        <f aca="false">VLOOKUP(C1916,Products!$A$5:$D$24,3,FALSE())</f>
        <v>Accessories</v>
      </c>
      <c r="I1916" s="41" t="n">
        <f aca="false">VLOOKUP(C1916,Products!$A$5:$D$24,4,FALSE())</f>
        <v>4</v>
      </c>
      <c r="J1916" s="42" t="n">
        <f aca="false">DATE(YEAR(B1916),MONTH(B1916),1)</f>
        <v>45901</v>
      </c>
      <c r="K1916" s="41" t="n">
        <f aca="false">D1916*E1916</f>
        <v>111.36</v>
      </c>
      <c r="L1916" s="41" t="n">
        <f aca="false">D1916*I1916</f>
        <v>32</v>
      </c>
      <c r="M1916" s="41" t="n">
        <f aca="false">IFERROR(INDEX(Raw_Expenses!$C$5:$C$2979,MATCH(A1916,Raw_Expenses!$A$5:$A$2979,0)),0)</f>
        <v>8.29</v>
      </c>
      <c r="N1916" s="41" t="n">
        <f aca="false">L1916+M1916</f>
        <v>40.29</v>
      </c>
      <c r="O1916" s="41" t="n">
        <f aca="false">K1916-N1916</f>
        <v>71.07</v>
      </c>
      <c r="P1916" s="43" t="n">
        <f aca="false">IF(K1916=0,0,O1916/K1916)</f>
        <v>0.638200431034483</v>
      </c>
    </row>
    <row r="1917" customFormat="false" ht="15" hidden="false" customHeight="false" outlineLevel="0" collapsed="false">
      <c r="A1917" s="39" t="s">
        <v>2039</v>
      </c>
      <c r="B1917" s="40" t="n">
        <v>45918</v>
      </c>
      <c r="C1917" s="39" t="s">
        <v>177</v>
      </c>
      <c r="D1917" s="39" t="n">
        <v>4</v>
      </c>
      <c r="E1917" s="41" t="n">
        <v>44.14</v>
      </c>
      <c r="F1917" s="39" t="s">
        <v>105</v>
      </c>
      <c r="G1917" s="39" t="str">
        <f aca="false">VLOOKUP(C1917,Products!$A$5:$D$24,2,FALSE())</f>
        <v>Backpack</v>
      </c>
      <c r="H1917" s="39" t="str">
        <f aca="false">VLOOKUP(C1917,Products!$A$5:$D$24,3,FALSE())</f>
        <v>Accessories</v>
      </c>
      <c r="I1917" s="41" t="n">
        <f aca="false">VLOOKUP(C1917,Products!$A$5:$D$24,4,FALSE())</f>
        <v>17</v>
      </c>
      <c r="J1917" s="42" t="n">
        <f aca="false">DATE(YEAR(B1917),MONTH(B1917),1)</f>
        <v>45901</v>
      </c>
      <c r="K1917" s="41" t="n">
        <f aca="false">D1917*E1917</f>
        <v>176.56</v>
      </c>
      <c r="L1917" s="41" t="n">
        <f aca="false">D1917*I1917</f>
        <v>68</v>
      </c>
      <c r="M1917" s="41" t="n">
        <f aca="false">IFERROR(INDEX(Raw_Expenses!$C$5:$C$2979,MATCH(A1917,Raw_Expenses!$A$5:$A$2979,0)),0)</f>
        <v>13.49</v>
      </c>
      <c r="N1917" s="41" t="n">
        <f aca="false">L1917+M1917</f>
        <v>81.49</v>
      </c>
      <c r="O1917" s="41" t="n">
        <f aca="false">K1917-N1917</f>
        <v>95.07</v>
      </c>
      <c r="P1917" s="43" t="n">
        <f aca="false">IF(K1917=0,0,O1917/K1917)</f>
        <v>0.538457181694608</v>
      </c>
    </row>
    <row r="1918" customFormat="false" ht="15" hidden="false" customHeight="false" outlineLevel="0" collapsed="false">
      <c r="A1918" s="39" t="s">
        <v>2040</v>
      </c>
      <c r="B1918" s="40" t="n">
        <v>45918</v>
      </c>
      <c r="C1918" s="39" t="s">
        <v>126</v>
      </c>
      <c r="D1918" s="39" t="n">
        <v>1</v>
      </c>
      <c r="E1918" s="41" t="n">
        <v>23.28</v>
      </c>
      <c r="F1918" s="39" t="s">
        <v>118</v>
      </c>
      <c r="G1918" s="39" t="str">
        <f aca="false">VLOOKUP(C1918,Products!$A$5:$D$24,2,FALSE())</f>
        <v>Wireless Mouse</v>
      </c>
      <c r="H1918" s="39" t="str">
        <f aca="false">VLOOKUP(C1918,Products!$A$5:$D$24,3,FALSE())</f>
        <v>Electronics</v>
      </c>
      <c r="I1918" s="41" t="n">
        <f aca="false">VLOOKUP(C1918,Products!$A$5:$D$24,4,FALSE())</f>
        <v>12</v>
      </c>
      <c r="J1918" s="42" t="n">
        <f aca="false">DATE(YEAR(B1918),MONTH(B1918),1)</f>
        <v>45901</v>
      </c>
      <c r="K1918" s="41" t="n">
        <f aca="false">D1918*E1918</f>
        <v>23.28</v>
      </c>
      <c r="L1918" s="41" t="n">
        <f aca="false">D1918*I1918</f>
        <v>12</v>
      </c>
      <c r="M1918" s="41" t="n">
        <f aca="false">IFERROR(INDEX(Raw_Expenses!$C$5:$C$2979,MATCH(A1918,Raw_Expenses!$A$5:$A$2979,0)),0)</f>
        <v>1.84</v>
      </c>
      <c r="N1918" s="41" t="n">
        <f aca="false">L1918+M1918</f>
        <v>13.84</v>
      </c>
      <c r="O1918" s="41" t="n">
        <f aca="false">K1918-N1918</f>
        <v>9.44</v>
      </c>
      <c r="P1918" s="43" t="n">
        <f aca="false">IF(K1918=0,0,O1918/K1918)</f>
        <v>0.405498281786942</v>
      </c>
    </row>
    <row r="1919" customFormat="false" ht="15" hidden="false" customHeight="false" outlineLevel="0" collapsed="false">
      <c r="A1919" s="39" t="s">
        <v>2041</v>
      </c>
      <c r="B1919" s="40" t="n">
        <v>45918</v>
      </c>
      <c r="C1919" s="39" t="s">
        <v>107</v>
      </c>
      <c r="D1919" s="39" t="n">
        <v>8</v>
      </c>
      <c r="E1919" s="41" t="n">
        <v>34.63</v>
      </c>
      <c r="F1919" s="39" t="s">
        <v>108</v>
      </c>
      <c r="G1919" s="39" t="str">
        <f aca="false">VLOOKUP(C1919,Products!$A$5:$D$24,2,FALSE())</f>
        <v>USB-C Hub</v>
      </c>
      <c r="H1919" s="39" t="str">
        <f aca="false">VLOOKUP(C1919,Products!$A$5:$D$24,3,FALSE())</f>
        <v>Electronics</v>
      </c>
      <c r="I1919" s="41" t="n">
        <f aca="false">VLOOKUP(C1919,Products!$A$5:$D$24,4,FALSE())</f>
        <v>14</v>
      </c>
      <c r="J1919" s="42" t="n">
        <f aca="false">DATE(YEAR(B1919),MONTH(B1919),1)</f>
        <v>45901</v>
      </c>
      <c r="K1919" s="41" t="n">
        <f aca="false">D1919*E1919</f>
        <v>277.04</v>
      </c>
      <c r="L1919" s="41" t="n">
        <f aca="false">D1919*I1919</f>
        <v>112</v>
      </c>
      <c r="M1919" s="41" t="n">
        <f aca="false">IFERROR(INDEX(Raw_Expenses!$C$5:$C$2979,MATCH(A1919,Raw_Expenses!$A$5:$A$2979,0)),0)</f>
        <v>23.44</v>
      </c>
      <c r="N1919" s="41" t="n">
        <f aca="false">L1919+M1919</f>
        <v>135.44</v>
      </c>
      <c r="O1919" s="41" t="n">
        <f aca="false">K1919-N1919</f>
        <v>141.6</v>
      </c>
      <c r="P1919" s="43" t="n">
        <f aca="false">IF(K1919=0,0,O1919/K1919)</f>
        <v>0.511117528154779</v>
      </c>
    </row>
    <row r="1920" customFormat="false" ht="15" hidden="false" customHeight="false" outlineLevel="0" collapsed="false">
      <c r="A1920" s="39" t="s">
        <v>2042</v>
      </c>
      <c r="B1920" s="40" t="n">
        <v>45918</v>
      </c>
      <c r="C1920" s="39" t="s">
        <v>104</v>
      </c>
      <c r="D1920" s="39" t="n">
        <v>1</v>
      </c>
      <c r="E1920" s="41" t="n">
        <v>15.77</v>
      </c>
      <c r="F1920" s="39" t="s">
        <v>108</v>
      </c>
      <c r="G1920" s="39" t="str">
        <f aca="false">VLOOKUP(C1920,Products!$A$5:$D$24,2,FALSE())</f>
        <v>Water Bottle</v>
      </c>
      <c r="H1920" s="39" t="str">
        <f aca="false">VLOOKUP(C1920,Products!$A$5:$D$24,3,FALSE())</f>
        <v>Accessories</v>
      </c>
      <c r="I1920" s="41" t="n">
        <f aca="false">VLOOKUP(C1920,Products!$A$5:$D$24,4,FALSE())</f>
        <v>5</v>
      </c>
      <c r="J1920" s="42" t="n">
        <f aca="false">DATE(YEAR(B1920),MONTH(B1920),1)</f>
        <v>45901</v>
      </c>
      <c r="K1920" s="41" t="n">
        <f aca="false">D1920*E1920</f>
        <v>15.77</v>
      </c>
      <c r="L1920" s="41" t="n">
        <f aca="false">D1920*I1920</f>
        <v>5</v>
      </c>
      <c r="M1920" s="41" t="n">
        <f aca="false">IFERROR(INDEX(Raw_Expenses!$C$5:$C$2979,MATCH(A1920,Raw_Expenses!$A$5:$A$2979,0)),0)</f>
        <v>1.1</v>
      </c>
      <c r="N1920" s="41" t="n">
        <f aca="false">L1920+M1920</f>
        <v>6.1</v>
      </c>
      <c r="O1920" s="41" t="n">
        <f aca="false">K1920-N1920</f>
        <v>9.67</v>
      </c>
      <c r="P1920" s="43" t="n">
        <f aca="false">IF(K1920=0,0,O1920/K1920)</f>
        <v>0.613189600507292</v>
      </c>
    </row>
    <row r="1921" customFormat="false" ht="15" hidden="false" customHeight="false" outlineLevel="0" collapsed="false">
      <c r="A1921" s="39" t="s">
        <v>2043</v>
      </c>
      <c r="B1921" s="40" t="n">
        <v>45918</v>
      </c>
      <c r="C1921" s="39" t="s">
        <v>183</v>
      </c>
      <c r="D1921" s="39" t="n">
        <v>2</v>
      </c>
      <c r="E1921" s="41" t="n">
        <v>187.37</v>
      </c>
      <c r="F1921" s="39" t="s">
        <v>108</v>
      </c>
      <c r="G1921" s="39" t="str">
        <f aca="false">VLOOKUP(C1921,Products!$A$5:$D$24,2,FALSE())</f>
        <v>Office Chair</v>
      </c>
      <c r="H1921" s="39" t="str">
        <f aca="false">VLOOKUP(C1921,Products!$A$5:$D$24,3,FALSE())</f>
        <v>Furniture</v>
      </c>
      <c r="I1921" s="41" t="n">
        <f aca="false">VLOOKUP(C1921,Products!$A$5:$D$24,4,FALSE())</f>
        <v>85</v>
      </c>
      <c r="J1921" s="42" t="n">
        <f aca="false">DATE(YEAR(B1921),MONTH(B1921),1)</f>
        <v>45901</v>
      </c>
      <c r="K1921" s="41" t="n">
        <f aca="false">D1921*E1921</f>
        <v>374.74</v>
      </c>
      <c r="L1921" s="41" t="n">
        <f aca="false">D1921*I1921</f>
        <v>170</v>
      </c>
      <c r="M1921" s="41" t="n">
        <f aca="false">IFERROR(INDEX(Raw_Expenses!$C$5:$C$2979,MATCH(A1921,Raw_Expenses!$A$5:$A$2979,0)),0)</f>
        <v>16.13</v>
      </c>
      <c r="N1921" s="41" t="n">
        <f aca="false">L1921+M1921</f>
        <v>186.13</v>
      </c>
      <c r="O1921" s="41" t="n">
        <f aca="false">K1921-N1921</f>
        <v>188.61</v>
      </c>
      <c r="P1921" s="43" t="n">
        <f aca="false">IF(K1921=0,0,O1921/K1921)</f>
        <v>0.503308960879543</v>
      </c>
    </row>
    <row r="1922" customFormat="false" ht="15" hidden="false" customHeight="false" outlineLevel="0" collapsed="false">
      <c r="A1922" s="39" t="s">
        <v>2044</v>
      </c>
      <c r="B1922" s="40" t="n">
        <v>45918</v>
      </c>
      <c r="C1922" s="39" t="s">
        <v>169</v>
      </c>
      <c r="D1922" s="39" t="n">
        <v>3</v>
      </c>
      <c r="E1922" s="41" t="n">
        <v>27.91</v>
      </c>
      <c r="F1922" s="39" t="s">
        <v>118</v>
      </c>
      <c r="G1922" s="39" t="str">
        <f aca="false">VLOOKUP(C1922,Products!$A$5:$D$24,2,FALSE())</f>
        <v>Laptop Stand</v>
      </c>
      <c r="H1922" s="39" t="str">
        <f aca="false">VLOOKUP(C1922,Products!$A$5:$D$24,3,FALSE())</f>
        <v>Accessories</v>
      </c>
      <c r="I1922" s="41" t="n">
        <f aca="false">VLOOKUP(C1922,Products!$A$5:$D$24,4,FALSE())</f>
        <v>11</v>
      </c>
      <c r="J1922" s="42" t="n">
        <f aca="false">DATE(YEAR(B1922),MONTH(B1922),1)</f>
        <v>45901</v>
      </c>
      <c r="K1922" s="41" t="n">
        <f aca="false">D1922*E1922</f>
        <v>83.73</v>
      </c>
      <c r="L1922" s="41" t="n">
        <f aca="false">D1922*I1922</f>
        <v>33</v>
      </c>
      <c r="M1922" s="41" t="n">
        <f aca="false">IFERROR(INDEX(Raw_Expenses!$C$5:$C$2979,MATCH(A1922,Raw_Expenses!$A$5:$A$2979,0)),0)</f>
        <v>3.58</v>
      </c>
      <c r="N1922" s="41" t="n">
        <f aca="false">L1922+M1922</f>
        <v>36.58</v>
      </c>
      <c r="O1922" s="41" t="n">
        <f aca="false">K1922-N1922</f>
        <v>47.15</v>
      </c>
      <c r="P1922" s="43" t="n">
        <f aca="false">IF(K1922=0,0,O1922/K1922)</f>
        <v>0.563119550937537</v>
      </c>
    </row>
    <row r="1923" customFormat="false" ht="15" hidden="false" customHeight="false" outlineLevel="0" collapsed="false">
      <c r="A1923" s="39" t="s">
        <v>2045</v>
      </c>
      <c r="B1923" s="40" t="n">
        <v>45918</v>
      </c>
      <c r="C1923" s="39" t="s">
        <v>130</v>
      </c>
      <c r="D1923" s="39" t="n">
        <v>1</v>
      </c>
      <c r="E1923" s="41" t="n">
        <v>8.77</v>
      </c>
      <c r="F1923" s="39" t="s">
        <v>118</v>
      </c>
      <c r="G1923" s="39" t="str">
        <f aca="false">VLOOKUP(C1923,Products!$A$5:$D$24,2,FALSE())</f>
        <v>Notebook Set</v>
      </c>
      <c r="H1923" s="39" t="str">
        <f aca="false">VLOOKUP(C1923,Products!$A$5:$D$24,3,FALSE())</f>
        <v>Stationery</v>
      </c>
      <c r="I1923" s="41" t="n">
        <f aca="false">VLOOKUP(C1923,Products!$A$5:$D$24,4,FALSE())</f>
        <v>3</v>
      </c>
      <c r="J1923" s="42" t="n">
        <f aca="false">DATE(YEAR(B1923),MONTH(B1923),1)</f>
        <v>45901</v>
      </c>
      <c r="K1923" s="41" t="n">
        <f aca="false">D1923*E1923</f>
        <v>8.77</v>
      </c>
      <c r="L1923" s="41" t="n">
        <f aca="false">D1923*I1923</f>
        <v>3</v>
      </c>
      <c r="M1923" s="41" t="n">
        <f aca="false">IFERROR(INDEX(Raw_Expenses!$C$5:$C$2979,MATCH(A1923,Raw_Expenses!$A$5:$A$2979,0)),0)</f>
        <v>0.77</v>
      </c>
      <c r="N1923" s="41" t="n">
        <f aca="false">L1923+M1923</f>
        <v>3.77</v>
      </c>
      <c r="O1923" s="41" t="n">
        <f aca="false">K1923-N1923</f>
        <v>5</v>
      </c>
      <c r="P1923" s="43" t="n">
        <f aca="false">IF(K1923=0,0,O1923/K1923)</f>
        <v>0.570125427594071</v>
      </c>
    </row>
    <row r="1924" customFormat="false" ht="15" hidden="false" customHeight="false" outlineLevel="0" collapsed="false">
      <c r="A1924" s="39" t="s">
        <v>2046</v>
      </c>
      <c r="B1924" s="40" t="n">
        <v>45918</v>
      </c>
      <c r="C1924" s="39" t="s">
        <v>183</v>
      </c>
      <c r="D1924" s="39" t="n">
        <v>4</v>
      </c>
      <c r="E1924" s="41" t="n">
        <v>176.63</v>
      </c>
      <c r="F1924" s="39" t="s">
        <v>108</v>
      </c>
      <c r="G1924" s="39" t="str">
        <f aca="false">VLOOKUP(C1924,Products!$A$5:$D$24,2,FALSE())</f>
        <v>Office Chair</v>
      </c>
      <c r="H1924" s="39" t="str">
        <f aca="false">VLOOKUP(C1924,Products!$A$5:$D$24,3,FALSE())</f>
        <v>Furniture</v>
      </c>
      <c r="I1924" s="41" t="n">
        <f aca="false">VLOOKUP(C1924,Products!$A$5:$D$24,4,FALSE())</f>
        <v>85</v>
      </c>
      <c r="J1924" s="42" t="n">
        <f aca="false">DATE(YEAR(B1924),MONTH(B1924),1)</f>
        <v>45901</v>
      </c>
      <c r="K1924" s="41" t="n">
        <f aca="false">D1924*E1924</f>
        <v>706.52</v>
      </c>
      <c r="L1924" s="41" t="n">
        <f aca="false">D1924*I1924</f>
        <v>340</v>
      </c>
      <c r="M1924" s="41" t="n">
        <f aca="false">IFERROR(INDEX(Raw_Expenses!$C$5:$C$2979,MATCH(A1924,Raw_Expenses!$A$5:$A$2979,0)),0)</f>
        <v>60.18</v>
      </c>
      <c r="N1924" s="41" t="n">
        <f aca="false">L1924+M1924</f>
        <v>400.18</v>
      </c>
      <c r="O1924" s="41" t="n">
        <f aca="false">K1924-N1924</f>
        <v>306.34</v>
      </c>
      <c r="P1924" s="43" t="n">
        <f aca="false">IF(K1924=0,0,O1924/K1924)</f>
        <v>0.433589990375361</v>
      </c>
    </row>
    <row r="1925" customFormat="false" ht="15" hidden="false" customHeight="false" outlineLevel="0" collapsed="false">
      <c r="A1925" s="39" t="s">
        <v>2047</v>
      </c>
      <c r="B1925" s="40" t="n">
        <v>45919</v>
      </c>
      <c r="C1925" s="39" t="s">
        <v>107</v>
      </c>
      <c r="D1925" s="39" t="n">
        <v>4</v>
      </c>
      <c r="E1925" s="41" t="n">
        <v>33.91</v>
      </c>
      <c r="F1925" s="39" t="s">
        <v>118</v>
      </c>
      <c r="G1925" s="39" t="str">
        <f aca="false">VLOOKUP(C1925,Products!$A$5:$D$24,2,FALSE())</f>
        <v>USB-C Hub</v>
      </c>
      <c r="H1925" s="39" t="str">
        <f aca="false">VLOOKUP(C1925,Products!$A$5:$D$24,3,FALSE())</f>
        <v>Electronics</v>
      </c>
      <c r="I1925" s="41" t="n">
        <f aca="false">VLOOKUP(C1925,Products!$A$5:$D$24,4,FALSE())</f>
        <v>14</v>
      </c>
      <c r="J1925" s="42" t="n">
        <f aca="false">DATE(YEAR(B1925),MONTH(B1925),1)</f>
        <v>45901</v>
      </c>
      <c r="K1925" s="41" t="n">
        <f aca="false">D1925*E1925</f>
        <v>135.64</v>
      </c>
      <c r="L1925" s="41" t="n">
        <f aca="false">D1925*I1925</f>
        <v>56</v>
      </c>
      <c r="M1925" s="41" t="n">
        <f aca="false">IFERROR(INDEX(Raw_Expenses!$C$5:$C$2979,MATCH(A1925,Raw_Expenses!$A$5:$A$2979,0)),0)</f>
        <v>6.42</v>
      </c>
      <c r="N1925" s="41" t="n">
        <f aca="false">L1925+M1925</f>
        <v>62.42</v>
      </c>
      <c r="O1925" s="41" t="n">
        <f aca="false">K1925-N1925</f>
        <v>73.22</v>
      </c>
      <c r="P1925" s="43" t="n">
        <f aca="false">IF(K1925=0,0,O1925/K1925)</f>
        <v>0.539811265113536</v>
      </c>
    </row>
    <row r="1926" customFormat="false" ht="15" hidden="false" customHeight="false" outlineLevel="0" collapsed="false">
      <c r="A1926" s="39" t="s">
        <v>2048</v>
      </c>
      <c r="B1926" s="40" t="n">
        <v>45919</v>
      </c>
      <c r="C1926" s="39" t="s">
        <v>144</v>
      </c>
      <c r="D1926" s="39" t="n">
        <v>5</v>
      </c>
      <c r="E1926" s="41" t="n">
        <v>54.44</v>
      </c>
      <c r="F1926" s="39" t="s">
        <v>105</v>
      </c>
      <c r="G1926" s="39" t="str">
        <f aca="false">VLOOKUP(C1926,Products!$A$5:$D$24,2,FALSE())</f>
        <v>Whiteboard</v>
      </c>
      <c r="H1926" s="39" t="str">
        <f aca="false">VLOOKUP(C1926,Products!$A$5:$D$24,3,FALSE())</f>
        <v>Furniture</v>
      </c>
      <c r="I1926" s="41" t="n">
        <f aca="false">VLOOKUP(C1926,Products!$A$5:$D$24,4,FALSE())</f>
        <v>28</v>
      </c>
      <c r="J1926" s="42" t="n">
        <f aca="false">DATE(YEAR(B1926),MONTH(B1926),1)</f>
        <v>45901</v>
      </c>
      <c r="K1926" s="41" t="n">
        <f aca="false">D1926*E1926</f>
        <v>272.2</v>
      </c>
      <c r="L1926" s="41" t="n">
        <f aca="false">D1926*I1926</f>
        <v>140</v>
      </c>
      <c r="M1926" s="41" t="n">
        <f aca="false">IFERROR(INDEX(Raw_Expenses!$C$5:$C$2979,MATCH(A1926,Raw_Expenses!$A$5:$A$2979,0)),0)</f>
        <v>13.45</v>
      </c>
      <c r="N1926" s="41" t="n">
        <f aca="false">L1926+M1926</f>
        <v>153.45</v>
      </c>
      <c r="O1926" s="41" t="n">
        <f aca="false">K1926-N1926</f>
        <v>118.75</v>
      </c>
      <c r="P1926" s="43" t="n">
        <f aca="false">IF(K1926=0,0,O1926/K1926)</f>
        <v>0.43626010286554</v>
      </c>
    </row>
    <row r="1927" customFormat="false" ht="15" hidden="false" customHeight="false" outlineLevel="0" collapsed="false">
      <c r="A1927" s="39" t="s">
        <v>2049</v>
      </c>
      <c r="B1927" s="40" t="n">
        <v>45919</v>
      </c>
      <c r="C1927" s="39" t="s">
        <v>130</v>
      </c>
      <c r="D1927" s="39" t="n">
        <v>3</v>
      </c>
      <c r="E1927" s="41" t="n">
        <v>8.59</v>
      </c>
      <c r="F1927" s="39" t="s">
        <v>108</v>
      </c>
      <c r="G1927" s="39" t="str">
        <f aca="false">VLOOKUP(C1927,Products!$A$5:$D$24,2,FALSE())</f>
        <v>Notebook Set</v>
      </c>
      <c r="H1927" s="39" t="str">
        <f aca="false">VLOOKUP(C1927,Products!$A$5:$D$24,3,FALSE())</f>
        <v>Stationery</v>
      </c>
      <c r="I1927" s="41" t="n">
        <f aca="false">VLOOKUP(C1927,Products!$A$5:$D$24,4,FALSE())</f>
        <v>3</v>
      </c>
      <c r="J1927" s="42" t="n">
        <f aca="false">DATE(YEAR(B1927),MONTH(B1927),1)</f>
        <v>45901</v>
      </c>
      <c r="K1927" s="41" t="n">
        <f aca="false">D1927*E1927</f>
        <v>25.77</v>
      </c>
      <c r="L1927" s="41" t="n">
        <f aca="false">D1927*I1927</f>
        <v>9</v>
      </c>
      <c r="M1927" s="41" t="n">
        <f aca="false">IFERROR(INDEX(Raw_Expenses!$C$5:$C$2979,MATCH(A1927,Raw_Expenses!$A$5:$A$2979,0)),0)</f>
        <v>1.46</v>
      </c>
      <c r="N1927" s="41" t="n">
        <f aca="false">L1927+M1927</f>
        <v>10.46</v>
      </c>
      <c r="O1927" s="41" t="n">
        <f aca="false">K1927-N1927</f>
        <v>15.31</v>
      </c>
      <c r="P1927" s="43" t="n">
        <f aca="false">IF(K1927=0,0,O1927/K1927)</f>
        <v>0.594101668606907</v>
      </c>
    </row>
    <row r="1928" customFormat="false" ht="15" hidden="false" customHeight="false" outlineLevel="0" collapsed="false">
      <c r="A1928" s="39" t="s">
        <v>2050</v>
      </c>
      <c r="B1928" s="40" t="n">
        <v>45919</v>
      </c>
      <c r="C1928" s="39" t="s">
        <v>107</v>
      </c>
      <c r="D1928" s="39" t="n">
        <v>3</v>
      </c>
      <c r="E1928" s="41" t="n">
        <v>34.46</v>
      </c>
      <c r="F1928" s="39" t="s">
        <v>118</v>
      </c>
      <c r="G1928" s="39" t="str">
        <f aca="false">VLOOKUP(C1928,Products!$A$5:$D$24,2,FALSE())</f>
        <v>USB-C Hub</v>
      </c>
      <c r="H1928" s="39" t="str">
        <f aca="false">VLOOKUP(C1928,Products!$A$5:$D$24,3,FALSE())</f>
        <v>Electronics</v>
      </c>
      <c r="I1928" s="41" t="n">
        <f aca="false">VLOOKUP(C1928,Products!$A$5:$D$24,4,FALSE())</f>
        <v>14</v>
      </c>
      <c r="J1928" s="42" t="n">
        <f aca="false">DATE(YEAR(B1928),MONTH(B1928),1)</f>
        <v>45901</v>
      </c>
      <c r="K1928" s="41" t="n">
        <f aca="false">D1928*E1928</f>
        <v>103.38</v>
      </c>
      <c r="L1928" s="41" t="n">
        <f aca="false">D1928*I1928</f>
        <v>42</v>
      </c>
      <c r="M1928" s="41" t="n">
        <f aca="false">IFERROR(INDEX(Raw_Expenses!$C$5:$C$2979,MATCH(A1928,Raw_Expenses!$A$5:$A$2979,0)),0)</f>
        <v>8.38</v>
      </c>
      <c r="N1928" s="41" t="n">
        <f aca="false">L1928+M1928</f>
        <v>50.38</v>
      </c>
      <c r="O1928" s="41" t="n">
        <f aca="false">K1928-N1928</f>
        <v>53</v>
      </c>
      <c r="P1928" s="43" t="n">
        <f aca="false">IF(K1928=0,0,O1928/K1928)</f>
        <v>0.512671696653124</v>
      </c>
    </row>
    <row r="1929" customFormat="false" ht="15" hidden="false" customHeight="false" outlineLevel="0" collapsed="false">
      <c r="A1929" s="39" t="s">
        <v>2051</v>
      </c>
      <c r="B1929" s="40" t="n">
        <v>45919</v>
      </c>
      <c r="C1929" s="39" t="s">
        <v>114</v>
      </c>
      <c r="D1929" s="39" t="n">
        <v>5</v>
      </c>
      <c r="E1929" s="41" t="n">
        <v>5.55</v>
      </c>
      <c r="F1929" s="39" t="s">
        <v>108</v>
      </c>
      <c r="G1929" s="39" t="str">
        <f aca="false">VLOOKUP(C1929,Products!$A$5:$D$24,2,FALSE())</f>
        <v>Gel Pen Pack</v>
      </c>
      <c r="H1929" s="39" t="str">
        <f aca="false">VLOOKUP(C1929,Products!$A$5:$D$24,3,FALSE())</f>
        <v>Stationery</v>
      </c>
      <c r="I1929" s="41" t="n">
        <f aca="false">VLOOKUP(C1929,Products!$A$5:$D$24,4,FALSE())</f>
        <v>2</v>
      </c>
      <c r="J1929" s="42" t="n">
        <f aca="false">DATE(YEAR(B1929),MONTH(B1929),1)</f>
        <v>45901</v>
      </c>
      <c r="K1929" s="41" t="n">
        <f aca="false">D1929*E1929</f>
        <v>27.75</v>
      </c>
      <c r="L1929" s="41" t="n">
        <f aca="false">D1929*I1929</f>
        <v>10</v>
      </c>
      <c r="M1929" s="41" t="n">
        <f aca="false">IFERROR(INDEX(Raw_Expenses!$C$5:$C$2979,MATCH(A1929,Raw_Expenses!$A$5:$A$2979,0)),0)</f>
        <v>1.85</v>
      </c>
      <c r="N1929" s="41" t="n">
        <f aca="false">L1929+M1929</f>
        <v>11.85</v>
      </c>
      <c r="O1929" s="41" t="n">
        <f aca="false">K1929-N1929</f>
        <v>15.9</v>
      </c>
      <c r="P1929" s="43" t="n">
        <f aca="false">IF(K1929=0,0,O1929/K1929)</f>
        <v>0.572972972972973</v>
      </c>
    </row>
    <row r="1930" customFormat="false" ht="15" hidden="false" customHeight="false" outlineLevel="0" collapsed="false">
      <c r="A1930" s="39" t="s">
        <v>2052</v>
      </c>
      <c r="B1930" s="40" t="n">
        <v>45919</v>
      </c>
      <c r="C1930" s="39" t="s">
        <v>110</v>
      </c>
      <c r="D1930" s="39" t="n">
        <v>8</v>
      </c>
      <c r="E1930" s="41" t="n">
        <v>12.89</v>
      </c>
      <c r="F1930" s="39" t="s">
        <v>118</v>
      </c>
      <c r="G1930" s="39" t="str">
        <f aca="false">VLOOKUP(C1930,Products!$A$5:$D$24,2,FALSE())</f>
        <v>Phone Stand</v>
      </c>
      <c r="H1930" s="39" t="str">
        <f aca="false">VLOOKUP(C1930,Products!$A$5:$D$24,3,FALSE())</f>
        <v>Accessories</v>
      </c>
      <c r="I1930" s="41" t="n">
        <f aca="false">VLOOKUP(C1930,Products!$A$5:$D$24,4,FALSE())</f>
        <v>4</v>
      </c>
      <c r="J1930" s="42" t="n">
        <f aca="false">DATE(YEAR(B1930),MONTH(B1930),1)</f>
        <v>45901</v>
      </c>
      <c r="K1930" s="41" t="n">
        <f aca="false">D1930*E1930</f>
        <v>103.12</v>
      </c>
      <c r="L1930" s="41" t="n">
        <f aca="false">D1930*I1930</f>
        <v>32</v>
      </c>
      <c r="M1930" s="41" t="n">
        <f aca="false">IFERROR(INDEX(Raw_Expenses!$C$5:$C$2979,MATCH(A1930,Raw_Expenses!$A$5:$A$2979,0)),0)</f>
        <v>5.69</v>
      </c>
      <c r="N1930" s="41" t="n">
        <f aca="false">L1930+M1930</f>
        <v>37.69</v>
      </c>
      <c r="O1930" s="41" t="n">
        <f aca="false">K1930-N1930</f>
        <v>65.43</v>
      </c>
      <c r="P1930" s="43" t="n">
        <f aca="false">IF(K1930=0,0,O1930/K1930)</f>
        <v>0.634503491078355</v>
      </c>
    </row>
    <row r="1931" customFormat="false" ht="15" hidden="false" customHeight="false" outlineLevel="0" collapsed="false">
      <c r="A1931" s="39" t="s">
        <v>2053</v>
      </c>
      <c r="B1931" s="40" t="n">
        <v>45919</v>
      </c>
      <c r="C1931" s="39" t="s">
        <v>169</v>
      </c>
      <c r="D1931" s="39" t="n">
        <v>5</v>
      </c>
      <c r="E1931" s="41" t="n">
        <v>28.49</v>
      </c>
      <c r="F1931" s="39" t="s">
        <v>115</v>
      </c>
      <c r="G1931" s="39" t="str">
        <f aca="false">VLOOKUP(C1931,Products!$A$5:$D$24,2,FALSE())</f>
        <v>Laptop Stand</v>
      </c>
      <c r="H1931" s="39" t="str">
        <f aca="false">VLOOKUP(C1931,Products!$A$5:$D$24,3,FALSE())</f>
        <v>Accessories</v>
      </c>
      <c r="I1931" s="41" t="n">
        <f aca="false">VLOOKUP(C1931,Products!$A$5:$D$24,4,FALSE())</f>
        <v>11</v>
      </c>
      <c r="J1931" s="42" t="n">
        <f aca="false">DATE(YEAR(B1931),MONTH(B1931),1)</f>
        <v>45901</v>
      </c>
      <c r="K1931" s="41" t="n">
        <f aca="false">D1931*E1931</f>
        <v>142.45</v>
      </c>
      <c r="L1931" s="41" t="n">
        <f aca="false">D1931*I1931</f>
        <v>55</v>
      </c>
      <c r="M1931" s="41" t="n">
        <f aca="false">IFERROR(INDEX(Raw_Expenses!$C$5:$C$2979,MATCH(A1931,Raw_Expenses!$A$5:$A$2979,0)),0)</f>
        <v>11.17</v>
      </c>
      <c r="N1931" s="41" t="n">
        <f aca="false">L1931+M1931</f>
        <v>66.17</v>
      </c>
      <c r="O1931" s="41" t="n">
        <f aca="false">K1931-N1931</f>
        <v>76.28</v>
      </c>
      <c r="P1931" s="43" t="n">
        <f aca="false">IF(K1931=0,0,O1931/K1931)</f>
        <v>0.535486135486135</v>
      </c>
    </row>
    <row r="1932" customFormat="false" ht="15" hidden="false" customHeight="false" outlineLevel="0" collapsed="false">
      <c r="A1932" s="39" t="s">
        <v>2054</v>
      </c>
      <c r="B1932" s="40" t="n">
        <v>45919</v>
      </c>
      <c r="C1932" s="39" t="s">
        <v>128</v>
      </c>
      <c r="D1932" s="39" t="n">
        <v>2</v>
      </c>
      <c r="E1932" s="41" t="n">
        <v>38.56</v>
      </c>
      <c r="F1932" s="39" t="s">
        <v>118</v>
      </c>
      <c r="G1932" s="39" t="str">
        <f aca="false">VLOOKUP(C1932,Products!$A$5:$D$24,2,FALSE())</f>
        <v>Ergonomic Footrest</v>
      </c>
      <c r="H1932" s="39" t="str">
        <f aca="false">VLOOKUP(C1932,Products!$A$5:$D$24,3,FALSE())</f>
        <v>Furniture</v>
      </c>
      <c r="I1932" s="41" t="n">
        <f aca="false">VLOOKUP(C1932,Products!$A$5:$D$24,4,FALSE())</f>
        <v>15</v>
      </c>
      <c r="J1932" s="42" t="n">
        <f aca="false">DATE(YEAR(B1932),MONTH(B1932),1)</f>
        <v>45901</v>
      </c>
      <c r="K1932" s="41" t="n">
        <f aca="false">D1932*E1932</f>
        <v>77.12</v>
      </c>
      <c r="L1932" s="41" t="n">
        <f aca="false">D1932*I1932</f>
        <v>30</v>
      </c>
      <c r="M1932" s="41" t="n">
        <f aca="false">IFERROR(INDEX(Raw_Expenses!$C$5:$C$2979,MATCH(A1932,Raw_Expenses!$A$5:$A$2979,0)),0)</f>
        <v>5.07</v>
      </c>
      <c r="N1932" s="41" t="n">
        <f aca="false">L1932+M1932</f>
        <v>35.07</v>
      </c>
      <c r="O1932" s="41" t="n">
        <f aca="false">K1932-N1932</f>
        <v>42.05</v>
      </c>
      <c r="P1932" s="43" t="n">
        <f aca="false">IF(K1932=0,0,O1932/K1932)</f>
        <v>0.545254149377593</v>
      </c>
    </row>
    <row r="1933" customFormat="false" ht="15" hidden="false" customHeight="false" outlineLevel="0" collapsed="false">
      <c r="A1933" s="39" t="s">
        <v>2055</v>
      </c>
      <c r="B1933" s="40" t="n">
        <v>45919</v>
      </c>
      <c r="C1933" s="39" t="s">
        <v>126</v>
      </c>
      <c r="D1933" s="39" t="n">
        <v>2</v>
      </c>
      <c r="E1933" s="41" t="n">
        <v>24.93</v>
      </c>
      <c r="F1933" s="39" t="s">
        <v>118</v>
      </c>
      <c r="G1933" s="39" t="str">
        <f aca="false">VLOOKUP(C1933,Products!$A$5:$D$24,2,FALSE())</f>
        <v>Wireless Mouse</v>
      </c>
      <c r="H1933" s="39" t="str">
        <f aca="false">VLOOKUP(C1933,Products!$A$5:$D$24,3,FALSE())</f>
        <v>Electronics</v>
      </c>
      <c r="I1933" s="41" t="n">
        <f aca="false">VLOOKUP(C1933,Products!$A$5:$D$24,4,FALSE())</f>
        <v>12</v>
      </c>
      <c r="J1933" s="42" t="n">
        <f aca="false">DATE(YEAR(B1933),MONTH(B1933),1)</f>
        <v>45901</v>
      </c>
      <c r="K1933" s="41" t="n">
        <f aca="false">D1933*E1933</f>
        <v>49.86</v>
      </c>
      <c r="L1933" s="41" t="n">
        <f aca="false">D1933*I1933</f>
        <v>24</v>
      </c>
      <c r="M1933" s="41" t="n">
        <f aca="false">IFERROR(INDEX(Raw_Expenses!$C$5:$C$2979,MATCH(A1933,Raw_Expenses!$A$5:$A$2979,0)),0)</f>
        <v>3.96</v>
      </c>
      <c r="N1933" s="41" t="n">
        <f aca="false">L1933+M1933</f>
        <v>27.96</v>
      </c>
      <c r="O1933" s="41" t="n">
        <f aca="false">K1933-N1933</f>
        <v>21.9</v>
      </c>
      <c r="P1933" s="43" t="n">
        <f aca="false">IF(K1933=0,0,O1933/K1933)</f>
        <v>0.439229843561974</v>
      </c>
    </row>
    <row r="1934" customFormat="false" ht="15" hidden="false" customHeight="false" outlineLevel="0" collapsed="false">
      <c r="A1934" s="39" t="s">
        <v>2056</v>
      </c>
      <c r="B1934" s="40" t="n">
        <v>45919</v>
      </c>
      <c r="C1934" s="39" t="s">
        <v>128</v>
      </c>
      <c r="D1934" s="39" t="n">
        <v>1</v>
      </c>
      <c r="E1934" s="41" t="n">
        <v>36.09</v>
      </c>
      <c r="F1934" s="39" t="s">
        <v>115</v>
      </c>
      <c r="G1934" s="39" t="str">
        <f aca="false">VLOOKUP(C1934,Products!$A$5:$D$24,2,FALSE())</f>
        <v>Ergonomic Footrest</v>
      </c>
      <c r="H1934" s="39" t="str">
        <f aca="false">VLOOKUP(C1934,Products!$A$5:$D$24,3,FALSE())</f>
        <v>Furniture</v>
      </c>
      <c r="I1934" s="41" t="n">
        <f aca="false">VLOOKUP(C1934,Products!$A$5:$D$24,4,FALSE())</f>
        <v>15</v>
      </c>
      <c r="J1934" s="42" t="n">
        <f aca="false">DATE(YEAR(B1934),MONTH(B1934),1)</f>
        <v>45901</v>
      </c>
      <c r="K1934" s="41" t="n">
        <f aca="false">D1934*E1934</f>
        <v>36.09</v>
      </c>
      <c r="L1934" s="41" t="n">
        <f aca="false">D1934*I1934</f>
        <v>15</v>
      </c>
      <c r="M1934" s="41" t="n">
        <f aca="false">IFERROR(INDEX(Raw_Expenses!$C$5:$C$2979,MATCH(A1934,Raw_Expenses!$A$5:$A$2979,0)),0)</f>
        <v>1.94</v>
      </c>
      <c r="N1934" s="41" t="n">
        <f aca="false">L1934+M1934</f>
        <v>16.94</v>
      </c>
      <c r="O1934" s="41" t="n">
        <f aca="false">K1934-N1934</f>
        <v>19.15</v>
      </c>
      <c r="P1934" s="43" t="n">
        <f aca="false">IF(K1934=0,0,O1934/K1934)</f>
        <v>0.530617899695207</v>
      </c>
    </row>
    <row r="1935" customFormat="false" ht="15" hidden="false" customHeight="false" outlineLevel="0" collapsed="false">
      <c r="A1935" s="39" t="s">
        <v>2057</v>
      </c>
      <c r="B1935" s="40" t="n">
        <v>45919</v>
      </c>
      <c r="C1935" s="39" t="s">
        <v>114</v>
      </c>
      <c r="D1935" s="39" t="n">
        <v>1</v>
      </c>
      <c r="E1935" s="41" t="n">
        <v>5.83</v>
      </c>
      <c r="F1935" s="39" t="s">
        <v>108</v>
      </c>
      <c r="G1935" s="39" t="str">
        <f aca="false">VLOOKUP(C1935,Products!$A$5:$D$24,2,FALSE())</f>
        <v>Gel Pen Pack</v>
      </c>
      <c r="H1935" s="39" t="str">
        <f aca="false">VLOOKUP(C1935,Products!$A$5:$D$24,3,FALSE())</f>
        <v>Stationery</v>
      </c>
      <c r="I1935" s="41" t="n">
        <f aca="false">VLOOKUP(C1935,Products!$A$5:$D$24,4,FALSE())</f>
        <v>2</v>
      </c>
      <c r="J1935" s="42" t="n">
        <f aca="false">DATE(YEAR(B1935),MONTH(B1935),1)</f>
        <v>45901</v>
      </c>
      <c r="K1935" s="41" t="n">
        <f aca="false">D1935*E1935</f>
        <v>5.83</v>
      </c>
      <c r="L1935" s="41" t="n">
        <f aca="false">D1935*I1935</f>
        <v>2</v>
      </c>
      <c r="M1935" s="41" t="n">
        <f aca="false">IFERROR(INDEX(Raw_Expenses!$C$5:$C$2979,MATCH(A1935,Raw_Expenses!$A$5:$A$2979,0)),0)</f>
        <v>0.48</v>
      </c>
      <c r="N1935" s="41" t="n">
        <f aca="false">L1935+M1935</f>
        <v>2.48</v>
      </c>
      <c r="O1935" s="41" t="n">
        <f aca="false">K1935-N1935</f>
        <v>3.35</v>
      </c>
      <c r="P1935" s="43" t="n">
        <f aca="false">IF(K1935=0,0,O1935/K1935)</f>
        <v>0.574614065180103</v>
      </c>
    </row>
    <row r="1936" customFormat="false" ht="15" hidden="false" customHeight="false" outlineLevel="0" collapsed="false">
      <c r="A1936" s="39" t="s">
        <v>2058</v>
      </c>
      <c r="B1936" s="40" t="n">
        <v>45919</v>
      </c>
      <c r="C1936" s="39" t="s">
        <v>162</v>
      </c>
      <c r="D1936" s="39" t="n">
        <v>1</v>
      </c>
      <c r="E1936" s="41" t="n">
        <v>67.43</v>
      </c>
      <c r="F1936" s="39" t="s">
        <v>108</v>
      </c>
      <c r="G1936" s="39" t="str">
        <f aca="false">VLOOKUP(C1936,Products!$A$5:$D$24,2,FALSE())</f>
        <v>Bluetooth Speaker</v>
      </c>
      <c r="H1936" s="39" t="str">
        <f aca="false">VLOOKUP(C1936,Products!$A$5:$D$24,3,FALSE())</f>
        <v>Electronics</v>
      </c>
      <c r="I1936" s="41" t="n">
        <f aca="false">VLOOKUP(C1936,Products!$A$5:$D$24,4,FALSE())</f>
        <v>28</v>
      </c>
      <c r="J1936" s="42" t="n">
        <f aca="false">DATE(YEAR(B1936),MONTH(B1936),1)</f>
        <v>45901</v>
      </c>
      <c r="K1936" s="41" t="n">
        <f aca="false">D1936*E1936</f>
        <v>67.43</v>
      </c>
      <c r="L1936" s="41" t="n">
        <f aca="false">D1936*I1936</f>
        <v>28</v>
      </c>
      <c r="M1936" s="41" t="n">
        <f aca="false">IFERROR(INDEX(Raw_Expenses!$C$5:$C$2979,MATCH(A1936,Raw_Expenses!$A$5:$A$2979,0)),0)</f>
        <v>3.01</v>
      </c>
      <c r="N1936" s="41" t="n">
        <f aca="false">L1936+M1936</f>
        <v>31.01</v>
      </c>
      <c r="O1936" s="41" t="n">
        <f aca="false">K1936-N1936</f>
        <v>36.42</v>
      </c>
      <c r="P1936" s="43" t="n">
        <f aca="false">IF(K1936=0,0,O1936/K1936)</f>
        <v>0.540115675515349</v>
      </c>
    </row>
    <row r="1937" customFormat="false" ht="15" hidden="false" customHeight="false" outlineLevel="0" collapsed="false">
      <c r="A1937" s="39" t="s">
        <v>2059</v>
      </c>
      <c r="B1937" s="40" t="n">
        <v>45920</v>
      </c>
      <c r="C1937" s="39" t="s">
        <v>183</v>
      </c>
      <c r="D1937" s="39" t="n">
        <v>4</v>
      </c>
      <c r="E1937" s="41" t="n">
        <v>174.69</v>
      </c>
      <c r="F1937" s="39" t="s">
        <v>108</v>
      </c>
      <c r="G1937" s="39" t="str">
        <f aca="false">VLOOKUP(C1937,Products!$A$5:$D$24,2,FALSE())</f>
        <v>Office Chair</v>
      </c>
      <c r="H1937" s="39" t="str">
        <f aca="false">VLOOKUP(C1937,Products!$A$5:$D$24,3,FALSE())</f>
        <v>Furniture</v>
      </c>
      <c r="I1937" s="41" t="n">
        <f aca="false">VLOOKUP(C1937,Products!$A$5:$D$24,4,FALSE())</f>
        <v>85</v>
      </c>
      <c r="J1937" s="42" t="n">
        <f aca="false">DATE(YEAR(B1937),MONTH(B1937),1)</f>
        <v>45901</v>
      </c>
      <c r="K1937" s="41" t="n">
        <f aca="false">D1937*E1937</f>
        <v>698.76</v>
      </c>
      <c r="L1937" s="41" t="n">
        <f aca="false">D1937*I1937</f>
        <v>340</v>
      </c>
      <c r="M1937" s="41" t="n">
        <f aca="false">IFERROR(INDEX(Raw_Expenses!$C$5:$C$2979,MATCH(A1937,Raw_Expenses!$A$5:$A$2979,0)),0)</f>
        <v>59.65</v>
      </c>
      <c r="N1937" s="41" t="n">
        <f aca="false">L1937+M1937</f>
        <v>399.65</v>
      </c>
      <c r="O1937" s="41" t="n">
        <f aca="false">K1937-N1937</f>
        <v>299.11</v>
      </c>
      <c r="P1937" s="43" t="n">
        <f aca="false">IF(K1937=0,0,O1937/K1937)</f>
        <v>0.428058274657966</v>
      </c>
    </row>
    <row r="1938" customFormat="false" ht="15" hidden="false" customHeight="false" outlineLevel="0" collapsed="false">
      <c r="A1938" s="39" t="s">
        <v>2060</v>
      </c>
      <c r="B1938" s="40" t="n">
        <v>45920</v>
      </c>
      <c r="C1938" s="39" t="s">
        <v>144</v>
      </c>
      <c r="D1938" s="39" t="n">
        <v>2</v>
      </c>
      <c r="E1938" s="41" t="n">
        <v>55.96</v>
      </c>
      <c r="F1938" s="39" t="s">
        <v>108</v>
      </c>
      <c r="G1938" s="39" t="str">
        <f aca="false">VLOOKUP(C1938,Products!$A$5:$D$24,2,FALSE())</f>
        <v>Whiteboard</v>
      </c>
      <c r="H1938" s="39" t="str">
        <f aca="false">VLOOKUP(C1938,Products!$A$5:$D$24,3,FALSE())</f>
        <v>Furniture</v>
      </c>
      <c r="I1938" s="41" t="n">
        <f aca="false">VLOOKUP(C1938,Products!$A$5:$D$24,4,FALSE())</f>
        <v>28</v>
      </c>
      <c r="J1938" s="42" t="n">
        <f aca="false">DATE(YEAR(B1938),MONTH(B1938),1)</f>
        <v>45901</v>
      </c>
      <c r="K1938" s="41" t="n">
        <f aca="false">D1938*E1938</f>
        <v>111.92</v>
      </c>
      <c r="L1938" s="41" t="n">
        <f aca="false">D1938*I1938</f>
        <v>56</v>
      </c>
      <c r="M1938" s="41" t="n">
        <f aca="false">IFERROR(INDEX(Raw_Expenses!$C$5:$C$2979,MATCH(A1938,Raw_Expenses!$A$5:$A$2979,0)),0)</f>
        <v>5.42</v>
      </c>
      <c r="N1938" s="41" t="n">
        <f aca="false">L1938+M1938</f>
        <v>61.42</v>
      </c>
      <c r="O1938" s="41" t="n">
        <f aca="false">K1938-N1938</f>
        <v>50.5</v>
      </c>
      <c r="P1938" s="43" t="n">
        <f aca="false">IF(K1938=0,0,O1938/K1938)</f>
        <v>0.451215153681201</v>
      </c>
    </row>
    <row r="1939" customFormat="false" ht="15" hidden="false" customHeight="false" outlineLevel="0" collapsed="false">
      <c r="A1939" s="39" t="s">
        <v>2061</v>
      </c>
      <c r="B1939" s="40" t="n">
        <v>45920</v>
      </c>
      <c r="C1939" s="39" t="s">
        <v>169</v>
      </c>
      <c r="D1939" s="39" t="n">
        <v>6</v>
      </c>
      <c r="E1939" s="41" t="n">
        <v>28.52</v>
      </c>
      <c r="F1939" s="39" t="s">
        <v>105</v>
      </c>
      <c r="G1939" s="39" t="str">
        <f aca="false">VLOOKUP(C1939,Products!$A$5:$D$24,2,FALSE())</f>
        <v>Laptop Stand</v>
      </c>
      <c r="H1939" s="39" t="str">
        <f aca="false">VLOOKUP(C1939,Products!$A$5:$D$24,3,FALSE())</f>
        <v>Accessories</v>
      </c>
      <c r="I1939" s="41" t="n">
        <f aca="false">VLOOKUP(C1939,Products!$A$5:$D$24,4,FALSE())</f>
        <v>11</v>
      </c>
      <c r="J1939" s="42" t="n">
        <f aca="false">DATE(YEAR(B1939),MONTH(B1939),1)</f>
        <v>45901</v>
      </c>
      <c r="K1939" s="41" t="n">
        <f aca="false">D1939*E1939</f>
        <v>171.12</v>
      </c>
      <c r="L1939" s="41" t="n">
        <f aca="false">D1939*I1939</f>
        <v>66</v>
      </c>
      <c r="M1939" s="41" t="n">
        <f aca="false">IFERROR(INDEX(Raw_Expenses!$C$5:$C$2979,MATCH(A1939,Raw_Expenses!$A$5:$A$2979,0)),0)</f>
        <v>11.88</v>
      </c>
      <c r="N1939" s="41" t="n">
        <f aca="false">L1939+M1939</f>
        <v>77.88</v>
      </c>
      <c r="O1939" s="41" t="n">
        <f aca="false">K1939-N1939</f>
        <v>93.24</v>
      </c>
      <c r="P1939" s="43" t="n">
        <f aca="false">IF(K1939=0,0,O1939/K1939)</f>
        <v>0.544880785413745</v>
      </c>
    </row>
    <row r="1940" customFormat="false" ht="15" hidden="false" customHeight="false" outlineLevel="0" collapsed="false">
      <c r="A1940" s="39" t="s">
        <v>2062</v>
      </c>
      <c r="B1940" s="40" t="n">
        <v>45920</v>
      </c>
      <c r="C1940" s="39" t="s">
        <v>114</v>
      </c>
      <c r="D1940" s="39" t="n">
        <v>2</v>
      </c>
      <c r="E1940" s="41" t="n">
        <v>5.53</v>
      </c>
      <c r="F1940" s="39" t="s">
        <v>108</v>
      </c>
      <c r="G1940" s="39" t="str">
        <f aca="false">VLOOKUP(C1940,Products!$A$5:$D$24,2,FALSE())</f>
        <v>Gel Pen Pack</v>
      </c>
      <c r="H1940" s="39" t="str">
        <f aca="false">VLOOKUP(C1940,Products!$A$5:$D$24,3,FALSE())</f>
        <v>Stationery</v>
      </c>
      <c r="I1940" s="41" t="n">
        <f aca="false">VLOOKUP(C1940,Products!$A$5:$D$24,4,FALSE())</f>
        <v>2</v>
      </c>
      <c r="J1940" s="42" t="n">
        <f aca="false">DATE(YEAR(B1940),MONTH(B1940),1)</f>
        <v>45901</v>
      </c>
      <c r="K1940" s="41" t="n">
        <f aca="false">D1940*E1940</f>
        <v>11.06</v>
      </c>
      <c r="L1940" s="41" t="n">
        <f aca="false">D1940*I1940</f>
        <v>4</v>
      </c>
      <c r="M1940" s="41" t="n">
        <f aca="false">IFERROR(INDEX(Raw_Expenses!$C$5:$C$2979,MATCH(A1940,Raw_Expenses!$A$5:$A$2979,0)),0)</f>
        <v>0.65</v>
      </c>
      <c r="N1940" s="41" t="n">
        <f aca="false">L1940+M1940</f>
        <v>4.65</v>
      </c>
      <c r="O1940" s="41" t="n">
        <f aca="false">K1940-N1940</f>
        <v>6.41</v>
      </c>
      <c r="P1940" s="43" t="n">
        <f aca="false">IF(K1940=0,0,O1940/K1940)</f>
        <v>0.579566003616637</v>
      </c>
    </row>
    <row r="1941" customFormat="false" ht="15" hidden="false" customHeight="false" outlineLevel="0" collapsed="false">
      <c r="A1941" s="39" t="s">
        <v>2063</v>
      </c>
      <c r="B1941" s="40" t="n">
        <v>45920</v>
      </c>
      <c r="C1941" s="39" t="s">
        <v>162</v>
      </c>
      <c r="D1941" s="39" t="n">
        <v>3</v>
      </c>
      <c r="E1941" s="41" t="n">
        <v>68.72</v>
      </c>
      <c r="F1941" s="39" t="s">
        <v>118</v>
      </c>
      <c r="G1941" s="39" t="str">
        <f aca="false">VLOOKUP(C1941,Products!$A$5:$D$24,2,FALSE())</f>
        <v>Bluetooth Speaker</v>
      </c>
      <c r="H1941" s="39" t="str">
        <f aca="false">VLOOKUP(C1941,Products!$A$5:$D$24,3,FALSE())</f>
        <v>Electronics</v>
      </c>
      <c r="I1941" s="41" t="n">
        <f aca="false">VLOOKUP(C1941,Products!$A$5:$D$24,4,FALSE())</f>
        <v>28</v>
      </c>
      <c r="J1941" s="42" t="n">
        <f aca="false">DATE(YEAR(B1941),MONTH(B1941),1)</f>
        <v>45901</v>
      </c>
      <c r="K1941" s="41" t="n">
        <f aca="false">D1941*E1941</f>
        <v>206.16</v>
      </c>
      <c r="L1941" s="41" t="n">
        <f aca="false">D1941*I1941</f>
        <v>84</v>
      </c>
      <c r="M1941" s="41" t="n">
        <f aca="false">IFERROR(INDEX(Raw_Expenses!$C$5:$C$2979,MATCH(A1941,Raw_Expenses!$A$5:$A$2979,0)),0)</f>
        <v>15.12</v>
      </c>
      <c r="N1941" s="41" t="n">
        <f aca="false">L1941+M1941</f>
        <v>99.12</v>
      </c>
      <c r="O1941" s="41" t="n">
        <f aca="false">K1941-N1941</f>
        <v>107.04</v>
      </c>
      <c r="P1941" s="43" t="n">
        <f aca="false">IF(K1941=0,0,O1941/K1941)</f>
        <v>0.519208381839348</v>
      </c>
    </row>
    <row r="1942" customFormat="false" ht="15" hidden="false" customHeight="false" outlineLevel="0" collapsed="false">
      <c r="A1942" s="39" t="s">
        <v>2064</v>
      </c>
      <c r="B1942" s="40" t="n">
        <v>45920</v>
      </c>
      <c r="C1942" s="39" t="s">
        <v>126</v>
      </c>
      <c r="D1942" s="39" t="n">
        <v>2</v>
      </c>
      <c r="E1942" s="41" t="n">
        <v>24.13</v>
      </c>
      <c r="F1942" s="39" t="s">
        <v>118</v>
      </c>
      <c r="G1942" s="39" t="str">
        <f aca="false">VLOOKUP(C1942,Products!$A$5:$D$24,2,FALSE())</f>
        <v>Wireless Mouse</v>
      </c>
      <c r="H1942" s="39" t="str">
        <f aca="false">VLOOKUP(C1942,Products!$A$5:$D$24,3,FALSE())</f>
        <v>Electronics</v>
      </c>
      <c r="I1942" s="41" t="n">
        <f aca="false">VLOOKUP(C1942,Products!$A$5:$D$24,4,FALSE())</f>
        <v>12</v>
      </c>
      <c r="J1942" s="42" t="n">
        <f aca="false">DATE(YEAR(B1942),MONTH(B1942),1)</f>
        <v>45901</v>
      </c>
      <c r="K1942" s="41" t="n">
        <f aca="false">D1942*E1942</f>
        <v>48.26</v>
      </c>
      <c r="L1942" s="41" t="n">
        <f aca="false">D1942*I1942</f>
        <v>24</v>
      </c>
      <c r="M1942" s="41" t="n">
        <f aca="false">IFERROR(INDEX(Raw_Expenses!$C$5:$C$2979,MATCH(A1942,Raw_Expenses!$A$5:$A$2979,0)),0)</f>
        <v>3.48</v>
      </c>
      <c r="N1942" s="41" t="n">
        <f aca="false">L1942+M1942</f>
        <v>27.48</v>
      </c>
      <c r="O1942" s="41" t="n">
        <f aca="false">K1942-N1942</f>
        <v>20.78</v>
      </c>
      <c r="P1942" s="43" t="n">
        <f aca="false">IF(K1942=0,0,O1942/K1942)</f>
        <v>0.43058433485288</v>
      </c>
    </row>
    <row r="1943" customFormat="false" ht="15" hidden="false" customHeight="false" outlineLevel="0" collapsed="false">
      <c r="A1943" s="39" t="s">
        <v>2065</v>
      </c>
      <c r="B1943" s="40" t="n">
        <v>45920</v>
      </c>
      <c r="C1943" s="39" t="s">
        <v>153</v>
      </c>
      <c r="D1943" s="39" t="n">
        <v>2</v>
      </c>
      <c r="E1943" s="41" t="n">
        <v>170.22</v>
      </c>
      <c r="F1943" s="39" t="s">
        <v>108</v>
      </c>
      <c r="G1943" s="39" t="str">
        <f aca="false">VLOOKUP(C1943,Products!$A$5:$D$24,2,FALSE())</f>
        <v>24-inch Monitor</v>
      </c>
      <c r="H1943" s="39" t="str">
        <f aca="false">VLOOKUP(C1943,Products!$A$5:$D$24,3,FALSE())</f>
        <v>Electronics</v>
      </c>
      <c r="I1943" s="41" t="n">
        <f aca="false">VLOOKUP(C1943,Products!$A$5:$D$24,4,FALSE())</f>
        <v>90</v>
      </c>
      <c r="J1943" s="42" t="n">
        <f aca="false">DATE(YEAR(B1943),MONTH(B1943),1)</f>
        <v>45901</v>
      </c>
      <c r="K1943" s="41" t="n">
        <f aca="false">D1943*E1943</f>
        <v>340.44</v>
      </c>
      <c r="L1943" s="41" t="n">
        <f aca="false">D1943*I1943</f>
        <v>180</v>
      </c>
      <c r="M1943" s="41" t="n">
        <f aca="false">IFERROR(INDEX(Raw_Expenses!$C$5:$C$2979,MATCH(A1943,Raw_Expenses!$A$5:$A$2979,0)),0)</f>
        <v>0</v>
      </c>
      <c r="N1943" s="41" t="n">
        <f aca="false">L1943+M1943</f>
        <v>180</v>
      </c>
      <c r="O1943" s="41" t="n">
        <f aca="false">K1943-N1943</f>
        <v>160.44</v>
      </c>
      <c r="P1943" s="43" t="n">
        <f aca="false">IF(K1943=0,0,O1943/K1943)</f>
        <v>0.471272470919986</v>
      </c>
    </row>
    <row r="1944" customFormat="false" ht="15" hidden="false" customHeight="false" outlineLevel="0" collapsed="false">
      <c r="A1944" s="39" t="s">
        <v>2066</v>
      </c>
      <c r="B1944" s="40" t="n">
        <v>45920</v>
      </c>
      <c r="C1944" s="39" t="s">
        <v>183</v>
      </c>
      <c r="D1944" s="39" t="n">
        <v>3</v>
      </c>
      <c r="E1944" s="41" t="n">
        <v>186.78</v>
      </c>
      <c r="F1944" s="39" t="s">
        <v>115</v>
      </c>
      <c r="G1944" s="39" t="str">
        <f aca="false">VLOOKUP(C1944,Products!$A$5:$D$24,2,FALSE())</f>
        <v>Office Chair</v>
      </c>
      <c r="H1944" s="39" t="str">
        <f aca="false">VLOOKUP(C1944,Products!$A$5:$D$24,3,FALSE())</f>
        <v>Furniture</v>
      </c>
      <c r="I1944" s="41" t="n">
        <f aca="false">VLOOKUP(C1944,Products!$A$5:$D$24,4,FALSE())</f>
        <v>85</v>
      </c>
      <c r="J1944" s="42" t="n">
        <f aca="false">DATE(YEAR(B1944),MONTH(B1944),1)</f>
        <v>45901</v>
      </c>
      <c r="K1944" s="41" t="n">
        <f aca="false">D1944*E1944</f>
        <v>560.34</v>
      </c>
      <c r="L1944" s="41" t="n">
        <f aca="false">D1944*I1944</f>
        <v>255</v>
      </c>
      <c r="M1944" s="41" t="n">
        <f aca="false">IFERROR(INDEX(Raw_Expenses!$C$5:$C$2979,MATCH(A1944,Raw_Expenses!$A$5:$A$2979,0)),0)</f>
        <v>38.24</v>
      </c>
      <c r="N1944" s="41" t="n">
        <f aca="false">L1944+M1944</f>
        <v>293.24</v>
      </c>
      <c r="O1944" s="41" t="n">
        <f aca="false">K1944-N1944</f>
        <v>267.1</v>
      </c>
      <c r="P1944" s="43" t="n">
        <f aca="false">IF(K1944=0,0,O1944/K1944)</f>
        <v>0.476674875968162</v>
      </c>
    </row>
    <row r="1945" customFormat="false" ht="15" hidden="false" customHeight="false" outlineLevel="0" collapsed="false">
      <c r="A1945" s="39" t="s">
        <v>2067</v>
      </c>
      <c r="B1945" s="40" t="n">
        <v>45920</v>
      </c>
      <c r="C1945" s="39" t="s">
        <v>104</v>
      </c>
      <c r="D1945" s="39" t="n">
        <v>1</v>
      </c>
      <c r="E1945" s="41" t="n">
        <v>15.6</v>
      </c>
      <c r="F1945" s="39" t="s">
        <v>105</v>
      </c>
      <c r="G1945" s="39" t="str">
        <f aca="false">VLOOKUP(C1945,Products!$A$5:$D$24,2,FALSE())</f>
        <v>Water Bottle</v>
      </c>
      <c r="H1945" s="39" t="str">
        <f aca="false">VLOOKUP(C1945,Products!$A$5:$D$24,3,FALSE())</f>
        <v>Accessories</v>
      </c>
      <c r="I1945" s="41" t="n">
        <f aca="false">VLOOKUP(C1945,Products!$A$5:$D$24,4,FALSE())</f>
        <v>5</v>
      </c>
      <c r="J1945" s="42" t="n">
        <f aca="false">DATE(YEAR(B1945),MONTH(B1945),1)</f>
        <v>45901</v>
      </c>
      <c r="K1945" s="41" t="n">
        <f aca="false">D1945*E1945</f>
        <v>15.6</v>
      </c>
      <c r="L1945" s="41" t="n">
        <f aca="false">D1945*I1945</f>
        <v>5</v>
      </c>
      <c r="M1945" s="41" t="n">
        <f aca="false">IFERROR(INDEX(Raw_Expenses!$C$5:$C$2979,MATCH(A1945,Raw_Expenses!$A$5:$A$2979,0)),0)</f>
        <v>1.23</v>
      </c>
      <c r="N1945" s="41" t="n">
        <f aca="false">L1945+M1945</f>
        <v>6.23</v>
      </c>
      <c r="O1945" s="41" t="n">
        <f aca="false">K1945-N1945</f>
        <v>9.37</v>
      </c>
      <c r="P1945" s="43" t="n">
        <f aca="false">IF(K1945=0,0,O1945/K1945)</f>
        <v>0.600641025641026</v>
      </c>
    </row>
    <row r="1946" customFormat="false" ht="15" hidden="false" customHeight="false" outlineLevel="0" collapsed="false">
      <c r="A1946" s="39" t="s">
        <v>2068</v>
      </c>
      <c r="B1946" s="40" t="n">
        <v>45920</v>
      </c>
      <c r="C1946" s="39" t="s">
        <v>117</v>
      </c>
      <c r="D1946" s="39" t="n">
        <v>4</v>
      </c>
      <c r="E1946" s="41" t="n">
        <v>30.62</v>
      </c>
      <c r="F1946" s="39" t="s">
        <v>108</v>
      </c>
      <c r="G1946" s="39" t="str">
        <f aca="false">VLOOKUP(C1946,Products!$A$5:$D$24,2,FALSE())</f>
        <v>Desk Lamp</v>
      </c>
      <c r="H1946" s="39" t="str">
        <f aca="false">VLOOKUP(C1946,Products!$A$5:$D$24,3,FALSE())</f>
        <v>Furniture</v>
      </c>
      <c r="I1946" s="41" t="n">
        <f aca="false">VLOOKUP(C1946,Products!$A$5:$D$24,4,FALSE())</f>
        <v>13</v>
      </c>
      <c r="J1946" s="42" t="n">
        <f aca="false">DATE(YEAR(B1946),MONTH(B1946),1)</f>
        <v>45901</v>
      </c>
      <c r="K1946" s="41" t="n">
        <f aca="false">D1946*E1946</f>
        <v>122.48</v>
      </c>
      <c r="L1946" s="41" t="n">
        <f aca="false">D1946*I1946</f>
        <v>52</v>
      </c>
      <c r="M1946" s="41" t="n">
        <f aca="false">IFERROR(INDEX(Raw_Expenses!$C$5:$C$2979,MATCH(A1946,Raw_Expenses!$A$5:$A$2979,0)),0)</f>
        <v>6.31</v>
      </c>
      <c r="N1946" s="41" t="n">
        <f aca="false">L1946+M1946</f>
        <v>58.31</v>
      </c>
      <c r="O1946" s="41" t="n">
        <f aca="false">K1946-N1946</f>
        <v>64.17</v>
      </c>
      <c r="P1946" s="43" t="n">
        <f aca="false">IF(K1946=0,0,O1946/K1946)</f>
        <v>0.523922273024167</v>
      </c>
    </row>
    <row r="1947" customFormat="false" ht="15" hidden="false" customHeight="false" outlineLevel="0" collapsed="false">
      <c r="A1947" s="39" t="s">
        <v>2069</v>
      </c>
      <c r="B1947" s="40" t="n">
        <v>45920</v>
      </c>
      <c r="C1947" s="39" t="s">
        <v>117</v>
      </c>
      <c r="D1947" s="39" t="n">
        <v>2</v>
      </c>
      <c r="E1947" s="41" t="n">
        <v>31.9</v>
      </c>
      <c r="F1947" s="39" t="s">
        <v>115</v>
      </c>
      <c r="G1947" s="39" t="str">
        <f aca="false">VLOOKUP(C1947,Products!$A$5:$D$24,2,FALSE())</f>
        <v>Desk Lamp</v>
      </c>
      <c r="H1947" s="39" t="str">
        <f aca="false">VLOOKUP(C1947,Products!$A$5:$D$24,3,FALSE())</f>
        <v>Furniture</v>
      </c>
      <c r="I1947" s="41" t="n">
        <f aca="false">VLOOKUP(C1947,Products!$A$5:$D$24,4,FALSE())</f>
        <v>13</v>
      </c>
      <c r="J1947" s="42" t="n">
        <f aca="false">DATE(YEAR(B1947),MONTH(B1947),1)</f>
        <v>45901</v>
      </c>
      <c r="K1947" s="41" t="n">
        <f aca="false">D1947*E1947</f>
        <v>63.8</v>
      </c>
      <c r="L1947" s="41" t="n">
        <f aca="false">D1947*I1947</f>
        <v>26</v>
      </c>
      <c r="M1947" s="41" t="n">
        <f aca="false">IFERROR(INDEX(Raw_Expenses!$C$5:$C$2979,MATCH(A1947,Raw_Expenses!$A$5:$A$2979,0)),0)</f>
        <v>4.75</v>
      </c>
      <c r="N1947" s="41" t="n">
        <f aca="false">L1947+M1947</f>
        <v>30.75</v>
      </c>
      <c r="O1947" s="41" t="n">
        <f aca="false">K1947-N1947</f>
        <v>33.05</v>
      </c>
      <c r="P1947" s="43" t="n">
        <f aca="false">IF(K1947=0,0,O1947/K1947)</f>
        <v>0.518025078369906</v>
      </c>
    </row>
    <row r="1948" customFormat="false" ht="15" hidden="false" customHeight="false" outlineLevel="0" collapsed="false">
      <c r="A1948" s="39" t="s">
        <v>2070</v>
      </c>
      <c r="B1948" s="40" t="n">
        <v>45920</v>
      </c>
      <c r="C1948" s="39" t="s">
        <v>133</v>
      </c>
      <c r="D1948" s="39" t="n">
        <v>1</v>
      </c>
      <c r="E1948" s="41" t="n">
        <v>8.63</v>
      </c>
      <c r="F1948" s="39" t="s">
        <v>118</v>
      </c>
      <c r="G1948" s="39" t="str">
        <f aca="false">VLOOKUP(C1948,Products!$A$5:$D$24,2,FALSE())</f>
        <v>Printer Paper Ream</v>
      </c>
      <c r="H1948" s="39" t="str">
        <f aca="false">VLOOKUP(C1948,Products!$A$5:$D$24,3,FALSE())</f>
        <v>Stationery</v>
      </c>
      <c r="I1948" s="41" t="n">
        <f aca="false">VLOOKUP(C1948,Products!$A$5:$D$24,4,FALSE())</f>
        <v>4</v>
      </c>
      <c r="J1948" s="42" t="n">
        <f aca="false">DATE(YEAR(B1948),MONTH(B1948),1)</f>
        <v>45901</v>
      </c>
      <c r="K1948" s="41" t="n">
        <f aca="false">D1948*E1948</f>
        <v>8.63</v>
      </c>
      <c r="L1948" s="41" t="n">
        <f aca="false">D1948*I1948</f>
        <v>4</v>
      </c>
      <c r="M1948" s="41" t="n">
        <f aca="false">IFERROR(INDEX(Raw_Expenses!$C$5:$C$2979,MATCH(A1948,Raw_Expenses!$A$5:$A$2979,0)),0)</f>
        <v>0.77</v>
      </c>
      <c r="N1948" s="41" t="n">
        <f aca="false">L1948+M1948</f>
        <v>4.77</v>
      </c>
      <c r="O1948" s="41" t="n">
        <f aca="false">K1948-N1948</f>
        <v>3.86</v>
      </c>
      <c r="P1948" s="43" t="n">
        <f aca="false">IF(K1948=0,0,O1948/K1948)</f>
        <v>0.447276940903824</v>
      </c>
    </row>
    <row r="1949" customFormat="false" ht="15" hidden="false" customHeight="false" outlineLevel="0" collapsed="false">
      <c r="A1949" s="39" t="s">
        <v>2071</v>
      </c>
      <c r="B1949" s="40" t="n">
        <v>45920</v>
      </c>
      <c r="C1949" s="39" t="s">
        <v>117</v>
      </c>
      <c r="D1949" s="39" t="n">
        <v>3</v>
      </c>
      <c r="E1949" s="41" t="n">
        <v>31.24</v>
      </c>
      <c r="F1949" s="39" t="s">
        <v>115</v>
      </c>
      <c r="G1949" s="39" t="str">
        <f aca="false">VLOOKUP(C1949,Products!$A$5:$D$24,2,FALSE())</f>
        <v>Desk Lamp</v>
      </c>
      <c r="H1949" s="39" t="str">
        <f aca="false">VLOOKUP(C1949,Products!$A$5:$D$24,3,FALSE())</f>
        <v>Furniture</v>
      </c>
      <c r="I1949" s="41" t="n">
        <f aca="false">VLOOKUP(C1949,Products!$A$5:$D$24,4,FALSE())</f>
        <v>13</v>
      </c>
      <c r="J1949" s="42" t="n">
        <f aca="false">DATE(YEAR(B1949),MONTH(B1949),1)</f>
        <v>45901</v>
      </c>
      <c r="K1949" s="41" t="n">
        <f aca="false">D1949*E1949</f>
        <v>93.72</v>
      </c>
      <c r="L1949" s="41" t="n">
        <f aca="false">D1949*I1949</f>
        <v>39</v>
      </c>
      <c r="M1949" s="41" t="n">
        <f aca="false">IFERROR(INDEX(Raw_Expenses!$C$5:$C$2979,MATCH(A1949,Raw_Expenses!$A$5:$A$2979,0)),0)</f>
        <v>6.04</v>
      </c>
      <c r="N1949" s="41" t="n">
        <f aca="false">L1949+M1949</f>
        <v>45.04</v>
      </c>
      <c r="O1949" s="41" t="n">
        <f aca="false">K1949-N1949</f>
        <v>48.68</v>
      </c>
      <c r="P1949" s="43" t="n">
        <f aca="false">IF(K1949=0,0,O1949/K1949)</f>
        <v>0.519419547588562</v>
      </c>
    </row>
    <row r="1950" customFormat="false" ht="15" hidden="false" customHeight="false" outlineLevel="0" collapsed="false">
      <c r="A1950" s="39" t="s">
        <v>2072</v>
      </c>
      <c r="B1950" s="40" t="n">
        <v>45920</v>
      </c>
      <c r="C1950" s="39" t="s">
        <v>153</v>
      </c>
      <c r="D1950" s="39" t="n">
        <v>4</v>
      </c>
      <c r="E1950" s="41" t="n">
        <v>177.99</v>
      </c>
      <c r="F1950" s="39" t="s">
        <v>115</v>
      </c>
      <c r="G1950" s="39" t="str">
        <f aca="false">VLOOKUP(C1950,Products!$A$5:$D$24,2,FALSE())</f>
        <v>24-inch Monitor</v>
      </c>
      <c r="H1950" s="39" t="str">
        <f aca="false">VLOOKUP(C1950,Products!$A$5:$D$24,3,FALSE())</f>
        <v>Electronics</v>
      </c>
      <c r="I1950" s="41" t="n">
        <f aca="false">VLOOKUP(C1950,Products!$A$5:$D$24,4,FALSE())</f>
        <v>90</v>
      </c>
      <c r="J1950" s="42" t="n">
        <f aca="false">DATE(YEAR(B1950),MONTH(B1950),1)</f>
        <v>45901</v>
      </c>
      <c r="K1950" s="41" t="n">
        <f aca="false">D1950*E1950</f>
        <v>711.96</v>
      </c>
      <c r="L1950" s="41" t="n">
        <f aca="false">D1950*I1950</f>
        <v>360</v>
      </c>
      <c r="M1950" s="41" t="n">
        <f aca="false">IFERROR(INDEX(Raw_Expenses!$C$5:$C$2979,MATCH(A1950,Raw_Expenses!$A$5:$A$2979,0)),0)</f>
        <v>48.74</v>
      </c>
      <c r="N1950" s="41" t="n">
        <f aca="false">L1950+M1950</f>
        <v>408.74</v>
      </c>
      <c r="O1950" s="41" t="n">
        <f aca="false">K1950-N1950</f>
        <v>303.22</v>
      </c>
      <c r="P1950" s="43" t="n">
        <f aca="false">IF(K1950=0,0,O1950/K1950)</f>
        <v>0.425894713186134</v>
      </c>
    </row>
    <row r="1951" customFormat="false" ht="15" hidden="false" customHeight="false" outlineLevel="0" collapsed="false">
      <c r="A1951" s="39" t="s">
        <v>2073</v>
      </c>
      <c r="B1951" s="40" t="n">
        <v>45920</v>
      </c>
      <c r="C1951" s="39" t="s">
        <v>162</v>
      </c>
      <c r="D1951" s="39" t="n">
        <v>1</v>
      </c>
      <c r="E1951" s="41" t="n">
        <v>65.3</v>
      </c>
      <c r="F1951" s="39" t="s">
        <v>105</v>
      </c>
      <c r="G1951" s="39" t="str">
        <f aca="false">VLOOKUP(C1951,Products!$A$5:$D$24,2,FALSE())</f>
        <v>Bluetooth Speaker</v>
      </c>
      <c r="H1951" s="39" t="str">
        <f aca="false">VLOOKUP(C1951,Products!$A$5:$D$24,3,FALSE())</f>
        <v>Electronics</v>
      </c>
      <c r="I1951" s="41" t="n">
        <f aca="false">VLOOKUP(C1951,Products!$A$5:$D$24,4,FALSE())</f>
        <v>28</v>
      </c>
      <c r="J1951" s="42" t="n">
        <f aca="false">DATE(YEAR(B1951),MONTH(B1951),1)</f>
        <v>45901</v>
      </c>
      <c r="K1951" s="41" t="n">
        <f aca="false">D1951*E1951</f>
        <v>65.3</v>
      </c>
      <c r="L1951" s="41" t="n">
        <f aca="false">D1951*I1951</f>
        <v>28</v>
      </c>
      <c r="M1951" s="41" t="n">
        <f aca="false">IFERROR(INDEX(Raw_Expenses!$C$5:$C$2979,MATCH(A1951,Raw_Expenses!$A$5:$A$2979,0)),0)</f>
        <v>5.27</v>
      </c>
      <c r="N1951" s="41" t="n">
        <f aca="false">L1951+M1951</f>
        <v>33.27</v>
      </c>
      <c r="O1951" s="41" t="n">
        <f aca="false">K1951-N1951</f>
        <v>32.03</v>
      </c>
      <c r="P1951" s="43" t="n">
        <f aca="false">IF(K1951=0,0,O1951/K1951)</f>
        <v>0.490505359877489</v>
      </c>
    </row>
    <row r="1952" customFormat="false" ht="15" hidden="false" customHeight="false" outlineLevel="0" collapsed="false">
      <c r="A1952" s="39" t="s">
        <v>2074</v>
      </c>
      <c r="B1952" s="40" t="n">
        <v>45920</v>
      </c>
      <c r="C1952" s="39" t="s">
        <v>133</v>
      </c>
      <c r="D1952" s="39" t="n">
        <v>1</v>
      </c>
      <c r="E1952" s="41" t="n">
        <v>8.67</v>
      </c>
      <c r="F1952" s="39" t="s">
        <v>105</v>
      </c>
      <c r="G1952" s="39" t="str">
        <f aca="false">VLOOKUP(C1952,Products!$A$5:$D$24,2,FALSE())</f>
        <v>Printer Paper Ream</v>
      </c>
      <c r="H1952" s="39" t="str">
        <f aca="false">VLOOKUP(C1952,Products!$A$5:$D$24,3,FALSE())</f>
        <v>Stationery</v>
      </c>
      <c r="I1952" s="41" t="n">
        <f aca="false">VLOOKUP(C1952,Products!$A$5:$D$24,4,FALSE())</f>
        <v>4</v>
      </c>
      <c r="J1952" s="42" t="n">
        <f aca="false">DATE(YEAR(B1952),MONTH(B1952),1)</f>
        <v>45901</v>
      </c>
      <c r="K1952" s="41" t="n">
        <f aca="false">D1952*E1952</f>
        <v>8.67</v>
      </c>
      <c r="L1952" s="41" t="n">
        <f aca="false">D1952*I1952</f>
        <v>4</v>
      </c>
      <c r="M1952" s="41" t="n">
        <f aca="false">IFERROR(INDEX(Raw_Expenses!$C$5:$C$2979,MATCH(A1952,Raw_Expenses!$A$5:$A$2979,0)),0)</f>
        <v>0.71</v>
      </c>
      <c r="N1952" s="41" t="n">
        <f aca="false">L1952+M1952</f>
        <v>4.71</v>
      </c>
      <c r="O1952" s="41" t="n">
        <f aca="false">K1952-N1952</f>
        <v>3.96</v>
      </c>
      <c r="P1952" s="43" t="n">
        <f aca="false">IF(K1952=0,0,O1952/K1952)</f>
        <v>0.456747404844291</v>
      </c>
    </row>
    <row r="1953" customFormat="false" ht="15" hidden="false" customHeight="false" outlineLevel="0" collapsed="false">
      <c r="A1953" s="39" t="s">
        <v>2075</v>
      </c>
      <c r="B1953" s="40" t="n">
        <v>45921</v>
      </c>
      <c r="C1953" s="39" t="s">
        <v>104</v>
      </c>
      <c r="D1953" s="39" t="n">
        <v>2</v>
      </c>
      <c r="E1953" s="41" t="n">
        <v>14.77</v>
      </c>
      <c r="F1953" s="39" t="s">
        <v>118</v>
      </c>
      <c r="G1953" s="39" t="str">
        <f aca="false">VLOOKUP(C1953,Products!$A$5:$D$24,2,FALSE())</f>
        <v>Water Bottle</v>
      </c>
      <c r="H1953" s="39" t="str">
        <f aca="false">VLOOKUP(C1953,Products!$A$5:$D$24,3,FALSE())</f>
        <v>Accessories</v>
      </c>
      <c r="I1953" s="41" t="n">
        <f aca="false">VLOOKUP(C1953,Products!$A$5:$D$24,4,FALSE())</f>
        <v>5</v>
      </c>
      <c r="J1953" s="42" t="n">
        <f aca="false">DATE(YEAR(B1953),MONTH(B1953),1)</f>
        <v>45901</v>
      </c>
      <c r="K1953" s="41" t="n">
        <f aca="false">D1953*E1953</f>
        <v>29.54</v>
      </c>
      <c r="L1953" s="41" t="n">
        <f aca="false">D1953*I1953</f>
        <v>10</v>
      </c>
      <c r="M1953" s="41" t="n">
        <f aca="false">IFERROR(INDEX(Raw_Expenses!$C$5:$C$2979,MATCH(A1953,Raw_Expenses!$A$5:$A$2979,0)),0)</f>
        <v>1.44</v>
      </c>
      <c r="N1953" s="41" t="n">
        <f aca="false">L1953+M1953</f>
        <v>11.44</v>
      </c>
      <c r="O1953" s="41" t="n">
        <f aca="false">K1953-N1953</f>
        <v>18.1</v>
      </c>
      <c r="P1953" s="43" t="n">
        <f aca="false">IF(K1953=0,0,O1953/K1953)</f>
        <v>0.612728503723764</v>
      </c>
    </row>
    <row r="1954" customFormat="false" ht="15" hidden="false" customHeight="false" outlineLevel="0" collapsed="false">
      <c r="A1954" s="39" t="s">
        <v>2076</v>
      </c>
      <c r="B1954" s="40" t="n">
        <v>45921</v>
      </c>
      <c r="C1954" s="39" t="s">
        <v>114</v>
      </c>
      <c r="D1954" s="39" t="n">
        <v>2</v>
      </c>
      <c r="E1954" s="41" t="n">
        <v>5.62</v>
      </c>
      <c r="F1954" s="39" t="s">
        <v>115</v>
      </c>
      <c r="G1954" s="39" t="str">
        <f aca="false">VLOOKUP(C1954,Products!$A$5:$D$24,2,FALSE())</f>
        <v>Gel Pen Pack</v>
      </c>
      <c r="H1954" s="39" t="str">
        <f aca="false">VLOOKUP(C1954,Products!$A$5:$D$24,3,FALSE())</f>
        <v>Stationery</v>
      </c>
      <c r="I1954" s="41" t="n">
        <f aca="false">VLOOKUP(C1954,Products!$A$5:$D$24,4,FALSE())</f>
        <v>2</v>
      </c>
      <c r="J1954" s="42" t="n">
        <f aca="false">DATE(YEAR(B1954),MONTH(B1954),1)</f>
        <v>45901</v>
      </c>
      <c r="K1954" s="41" t="n">
        <f aca="false">D1954*E1954</f>
        <v>11.24</v>
      </c>
      <c r="L1954" s="41" t="n">
        <f aca="false">D1954*I1954</f>
        <v>4</v>
      </c>
      <c r="M1954" s="41" t="n">
        <f aca="false">IFERROR(INDEX(Raw_Expenses!$C$5:$C$2979,MATCH(A1954,Raw_Expenses!$A$5:$A$2979,0)),0)</f>
        <v>0.55</v>
      </c>
      <c r="N1954" s="41" t="n">
        <f aca="false">L1954+M1954</f>
        <v>4.55</v>
      </c>
      <c r="O1954" s="41" t="n">
        <f aca="false">K1954-N1954</f>
        <v>6.69</v>
      </c>
      <c r="P1954" s="43" t="n">
        <f aca="false">IF(K1954=0,0,O1954/K1954)</f>
        <v>0.595195729537367</v>
      </c>
    </row>
    <row r="1955" customFormat="false" ht="15" hidden="false" customHeight="false" outlineLevel="0" collapsed="false">
      <c r="A1955" s="39" t="s">
        <v>2077</v>
      </c>
      <c r="B1955" s="40" t="n">
        <v>45921</v>
      </c>
      <c r="C1955" s="39" t="s">
        <v>169</v>
      </c>
      <c r="D1955" s="39" t="n">
        <v>2</v>
      </c>
      <c r="E1955" s="41" t="n">
        <v>26.76</v>
      </c>
      <c r="F1955" s="39" t="s">
        <v>115</v>
      </c>
      <c r="G1955" s="39" t="str">
        <f aca="false">VLOOKUP(C1955,Products!$A$5:$D$24,2,FALSE())</f>
        <v>Laptop Stand</v>
      </c>
      <c r="H1955" s="39" t="str">
        <f aca="false">VLOOKUP(C1955,Products!$A$5:$D$24,3,FALSE())</f>
        <v>Accessories</v>
      </c>
      <c r="I1955" s="41" t="n">
        <f aca="false">VLOOKUP(C1955,Products!$A$5:$D$24,4,FALSE())</f>
        <v>11</v>
      </c>
      <c r="J1955" s="42" t="n">
        <f aca="false">DATE(YEAR(B1955),MONTH(B1955),1)</f>
        <v>45901</v>
      </c>
      <c r="K1955" s="41" t="n">
        <f aca="false">D1955*E1955</f>
        <v>53.52</v>
      </c>
      <c r="L1955" s="41" t="n">
        <f aca="false">D1955*I1955</f>
        <v>22</v>
      </c>
      <c r="M1955" s="41" t="n">
        <f aca="false">IFERROR(INDEX(Raw_Expenses!$C$5:$C$2979,MATCH(A1955,Raw_Expenses!$A$5:$A$2979,0)),0)</f>
        <v>2.51</v>
      </c>
      <c r="N1955" s="41" t="n">
        <f aca="false">L1955+M1955</f>
        <v>24.51</v>
      </c>
      <c r="O1955" s="41" t="n">
        <f aca="false">K1955-N1955</f>
        <v>29.01</v>
      </c>
      <c r="P1955" s="43" t="n">
        <f aca="false">IF(K1955=0,0,O1955/K1955)</f>
        <v>0.542040358744395</v>
      </c>
    </row>
    <row r="1956" customFormat="false" ht="15" hidden="false" customHeight="false" outlineLevel="0" collapsed="false">
      <c r="A1956" s="39" t="s">
        <v>2078</v>
      </c>
      <c r="B1956" s="40" t="n">
        <v>45921</v>
      </c>
      <c r="C1956" s="39" t="s">
        <v>126</v>
      </c>
      <c r="D1956" s="39" t="n">
        <v>1</v>
      </c>
      <c r="E1956" s="41" t="n">
        <v>23.27</v>
      </c>
      <c r="F1956" s="39" t="s">
        <v>115</v>
      </c>
      <c r="G1956" s="39" t="str">
        <f aca="false">VLOOKUP(C1956,Products!$A$5:$D$24,2,FALSE())</f>
        <v>Wireless Mouse</v>
      </c>
      <c r="H1956" s="39" t="str">
        <f aca="false">VLOOKUP(C1956,Products!$A$5:$D$24,3,FALSE())</f>
        <v>Electronics</v>
      </c>
      <c r="I1956" s="41" t="n">
        <f aca="false">VLOOKUP(C1956,Products!$A$5:$D$24,4,FALSE())</f>
        <v>12</v>
      </c>
      <c r="J1956" s="42" t="n">
        <f aca="false">DATE(YEAR(B1956),MONTH(B1956),1)</f>
        <v>45901</v>
      </c>
      <c r="K1956" s="41" t="n">
        <f aca="false">D1956*E1956</f>
        <v>23.27</v>
      </c>
      <c r="L1956" s="41" t="n">
        <f aca="false">D1956*I1956</f>
        <v>12</v>
      </c>
      <c r="M1956" s="41" t="n">
        <f aca="false">IFERROR(INDEX(Raw_Expenses!$C$5:$C$2979,MATCH(A1956,Raw_Expenses!$A$5:$A$2979,0)),0)</f>
        <v>1.79</v>
      </c>
      <c r="N1956" s="41" t="n">
        <f aca="false">L1956+M1956</f>
        <v>13.79</v>
      </c>
      <c r="O1956" s="41" t="n">
        <f aca="false">K1956-N1956</f>
        <v>9.48</v>
      </c>
      <c r="P1956" s="43" t="n">
        <f aca="false">IF(K1956=0,0,O1956/K1956)</f>
        <v>0.407391491190374</v>
      </c>
    </row>
    <row r="1957" customFormat="false" ht="15" hidden="false" customHeight="false" outlineLevel="0" collapsed="false">
      <c r="A1957" s="39" t="s">
        <v>2079</v>
      </c>
      <c r="B1957" s="40" t="n">
        <v>45921</v>
      </c>
      <c r="C1957" s="39" t="s">
        <v>126</v>
      </c>
      <c r="D1957" s="39" t="n">
        <v>2</v>
      </c>
      <c r="E1957" s="41" t="n">
        <v>23.56</v>
      </c>
      <c r="F1957" s="39" t="s">
        <v>105</v>
      </c>
      <c r="G1957" s="39" t="str">
        <f aca="false">VLOOKUP(C1957,Products!$A$5:$D$24,2,FALSE())</f>
        <v>Wireless Mouse</v>
      </c>
      <c r="H1957" s="39" t="str">
        <f aca="false">VLOOKUP(C1957,Products!$A$5:$D$24,3,FALSE())</f>
        <v>Electronics</v>
      </c>
      <c r="I1957" s="41" t="n">
        <f aca="false">VLOOKUP(C1957,Products!$A$5:$D$24,4,FALSE())</f>
        <v>12</v>
      </c>
      <c r="J1957" s="42" t="n">
        <f aca="false">DATE(YEAR(B1957),MONTH(B1957),1)</f>
        <v>45901</v>
      </c>
      <c r="K1957" s="41" t="n">
        <f aca="false">D1957*E1957</f>
        <v>47.12</v>
      </c>
      <c r="L1957" s="41" t="n">
        <f aca="false">D1957*I1957</f>
        <v>24</v>
      </c>
      <c r="M1957" s="41" t="n">
        <f aca="false">IFERROR(INDEX(Raw_Expenses!$C$5:$C$2979,MATCH(A1957,Raw_Expenses!$A$5:$A$2979,0)),0)</f>
        <v>3.98</v>
      </c>
      <c r="N1957" s="41" t="n">
        <f aca="false">L1957+M1957</f>
        <v>27.98</v>
      </c>
      <c r="O1957" s="41" t="n">
        <f aca="false">K1957-N1957</f>
        <v>19.14</v>
      </c>
      <c r="P1957" s="43" t="n">
        <f aca="false">IF(K1957=0,0,O1957/K1957)</f>
        <v>0.406196943972835</v>
      </c>
    </row>
    <row r="1958" customFormat="false" ht="15" hidden="false" customHeight="false" outlineLevel="0" collapsed="false">
      <c r="A1958" s="39" t="s">
        <v>2080</v>
      </c>
      <c r="B1958" s="40" t="n">
        <v>45921</v>
      </c>
      <c r="C1958" s="39" t="s">
        <v>169</v>
      </c>
      <c r="D1958" s="39" t="n">
        <v>1</v>
      </c>
      <c r="E1958" s="41" t="n">
        <v>27.92</v>
      </c>
      <c r="F1958" s="39" t="s">
        <v>105</v>
      </c>
      <c r="G1958" s="39" t="str">
        <f aca="false">VLOOKUP(C1958,Products!$A$5:$D$24,2,FALSE())</f>
        <v>Laptop Stand</v>
      </c>
      <c r="H1958" s="39" t="str">
        <f aca="false">VLOOKUP(C1958,Products!$A$5:$D$24,3,FALSE())</f>
        <v>Accessories</v>
      </c>
      <c r="I1958" s="41" t="n">
        <f aca="false">VLOOKUP(C1958,Products!$A$5:$D$24,4,FALSE())</f>
        <v>11</v>
      </c>
      <c r="J1958" s="42" t="n">
        <f aca="false">DATE(YEAR(B1958),MONTH(B1958),1)</f>
        <v>45901</v>
      </c>
      <c r="K1958" s="41" t="n">
        <f aca="false">D1958*E1958</f>
        <v>27.92</v>
      </c>
      <c r="L1958" s="41" t="n">
        <f aca="false">D1958*I1958</f>
        <v>11</v>
      </c>
      <c r="M1958" s="41" t="n">
        <f aca="false">IFERROR(INDEX(Raw_Expenses!$C$5:$C$2979,MATCH(A1958,Raw_Expenses!$A$5:$A$2979,0)),0)</f>
        <v>2.15</v>
      </c>
      <c r="N1958" s="41" t="n">
        <f aca="false">L1958+M1958</f>
        <v>13.15</v>
      </c>
      <c r="O1958" s="41" t="n">
        <f aca="false">K1958-N1958</f>
        <v>14.77</v>
      </c>
      <c r="P1958" s="43" t="n">
        <f aca="false">IF(K1958=0,0,O1958/K1958)</f>
        <v>0.529011461318052</v>
      </c>
    </row>
    <row r="1959" customFormat="false" ht="15" hidden="false" customHeight="false" outlineLevel="0" collapsed="false">
      <c r="A1959" s="39" t="s">
        <v>2081</v>
      </c>
      <c r="B1959" s="40" t="n">
        <v>45921</v>
      </c>
      <c r="C1959" s="39" t="s">
        <v>139</v>
      </c>
      <c r="D1959" s="39" t="n">
        <v>1</v>
      </c>
      <c r="E1959" s="41" t="n">
        <v>120</v>
      </c>
      <c r="F1959" s="39" t="s">
        <v>118</v>
      </c>
      <c r="G1959" s="39" t="str">
        <f aca="false">VLOOKUP(C1959,Products!$A$5:$D$24,2,FALSE())</f>
        <v>Noise-Cancelling Headphones</v>
      </c>
      <c r="H1959" s="39" t="str">
        <f aca="false">VLOOKUP(C1959,Products!$A$5:$D$24,3,FALSE())</f>
        <v>Electronics</v>
      </c>
      <c r="I1959" s="41" t="n">
        <f aca="false">VLOOKUP(C1959,Products!$A$5:$D$24,4,FALSE())</f>
        <v>55</v>
      </c>
      <c r="J1959" s="42" t="n">
        <f aca="false">DATE(YEAR(B1959),MONTH(B1959),1)</f>
        <v>45901</v>
      </c>
      <c r="K1959" s="41" t="n">
        <f aca="false">D1959*E1959</f>
        <v>120</v>
      </c>
      <c r="L1959" s="41" t="n">
        <f aca="false">D1959*I1959</f>
        <v>55</v>
      </c>
      <c r="M1959" s="41" t="n">
        <f aca="false">IFERROR(INDEX(Raw_Expenses!$C$5:$C$2979,MATCH(A1959,Raw_Expenses!$A$5:$A$2979,0)),0)</f>
        <v>7.65</v>
      </c>
      <c r="N1959" s="41" t="n">
        <f aca="false">L1959+M1959</f>
        <v>62.65</v>
      </c>
      <c r="O1959" s="41" t="n">
        <f aca="false">K1959-N1959</f>
        <v>57.35</v>
      </c>
      <c r="P1959" s="43" t="n">
        <f aca="false">IF(K1959=0,0,O1959/K1959)</f>
        <v>0.477916666666667</v>
      </c>
    </row>
    <row r="1960" customFormat="false" ht="15" hidden="false" customHeight="false" outlineLevel="0" collapsed="false">
      <c r="A1960" s="39" t="s">
        <v>2082</v>
      </c>
      <c r="B1960" s="40" t="n">
        <v>45921</v>
      </c>
      <c r="C1960" s="39" t="s">
        <v>136</v>
      </c>
      <c r="D1960" s="39" t="n">
        <v>1</v>
      </c>
      <c r="E1960" s="41" t="n">
        <v>76.38</v>
      </c>
      <c r="F1960" s="39" t="s">
        <v>108</v>
      </c>
      <c r="G1960" s="39" t="str">
        <f aca="false">VLOOKUP(C1960,Products!$A$5:$D$24,2,FALSE())</f>
        <v>Mechanical Keyboard</v>
      </c>
      <c r="H1960" s="39" t="str">
        <f aca="false">VLOOKUP(C1960,Products!$A$5:$D$24,3,FALSE())</f>
        <v>Electronics</v>
      </c>
      <c r="I1960" s="41" t="n">
        <f aca="false">VLOOKUP(C1960,Products!$A$5:$D$24,4,FALSE())</f>
        <v>38</v>
      </c>
      <c r="J1960" s="42" t="n">
        <f aca="false">DATE(YEAR(B1960),MONTH(B1960),1)</f>
        <v>45901</v>
      </c>
      <c r="K1960" s="41" t="n">
        <f aca="false">D1960*E1960</f>
        <v>76.38</v>
      </c>
      <c r="L1960" s="41" t="n">
        <f aca="false">D1960*I1960</f>
        <v>38</v>
      </c>
      <c r="M1960" s="41" t="n">
        <f aca="false">IFERROR(INDEX(Raw_Expenses!$C$5:$C$2979,MATCH(A1960,Raw_Expenses!$A$5:$A$2979,0)),0)</f>
        <v>6.51</v>
      </c>
      <c r="N1960" s="41" t="n">
        <f aca="false">L1960+M1960</f>
        <v>44.51</v>
      </c>
      <c r="O1960" s="41" t="n">
        <f aca="false">K1960-N1960</f>
        <v>31.87</v>
      </c>
      <c r="P1960" s="43" t="n">
        <f aca="false">IF(K1960=0,0,O1960/K1960)</f>
        <v>0.417255826132495</v>
      </c>
    </row>
    <row r="1961" customFormat="false" ht="15" hidden="false" customHeight="false" outlineLevel="0" collapsed="false">
      <c r="A1961" s="39" t="s">
        <v>2083</v>
      </c>
      <c r="B1961" s="40" t="n">
        <v>45922</v>
      </c>
      <c r="C1961" s="39" t="s">
        <v>110</v>
      </c>
      <c r="D1961" s="39" t="n">
        <v>2</v>
      </c>
      <c r="E1961" s="41" t="n">
        <v>13.04</v>
      </c>
      <c r="F1961" s="39" t="s">
        <v>108</v>
      </c>
      <c r="G1961" s="39" t="str">
        <f aca="false">VLOOKUP(C1961,Products!$A$5:$D$24,2,FALSE())</f>
        <v>Phone Stand</v>
      </c>
      <c r="H1961" s="39" t="str">
        <f aca="false">VLOOKUP(C1961,Products!$A$5:$D$24,3,FALSE())</f>
        <v>Accessories</v>
      </c>
      <c r="I1961" s="41" t="n">
        <f aca="false">VLOOKUP(C1961,Products!$A$5:$D$24,4,FALSE())</f>
        <v>4</v>
      </c>
      <c r="J1961" s="42" t="n">
        <f aca="false">DATE(YEAR(B1961),MONTH(B1961),1)</f>
        <v>45901</v>
      </c>
      <c r="K1961" s="41" t="n">
        <f aca="false">D1961*E1961</f>
        <v>26.08</v>
      </c>
      <c r="L1961" s="41" t="n">
        <f aca="false">D1961*I1961</f>
        <v>8</v>
      </c>
      <c r="M1961" s="41" t="n">
        <f aca="false">IFERROR(INDEX(Raw_Expenses!$C$5:$C$2979,MATCH(A1961,Raw_Expenses!$A$5:$A$2979,0)),0)</f>
        <v>1.14</v>
      </c>
      <c r="N1961" s="41" t="n">
        <f aca="false">L1961+M1961</f>
        <v>9.14</v>
      </c>
      <c r="O1961" s="41" t="n">
        <f aca="false">K1961-N1961</f>
        <v>16.94</v>
      </c>
      <c r="P1961" s="43" t="n">
        <f aca="false">IF(K1961=0,0,O1961/K1961)</f>
        <v>0.649539877300614</v>
      </c>
    </row>
    <row r="1962" customFormat="false" ht="15" hidden="false" customHeight="false" outlineLevel="0" collapsed="false">
      <c r="A1962" s="39" t="s">
        <v>2084</v>
      </c>
      <c r="B1962" s="40" t="n">
        <v>45922</v>
      </c>
      <c r="C1962" s="39" t="s">
        <v>133</v>
      </c>
      <c r="D1962" s="39" t="n">
        <v>1</v>
      </c>
      <c r="E1962" s="41" t="n">
        <v>8.84</v>
      </c>
      <c r="F1962" s="39" t="s">
        <v>115</v>
      </c>
      <c r="G1962" s="39" t="str">
        <f aca="false">VLOOKUP(C1962,Products!$A$5:$D$24,2,FALSE())</f>
        <v>Printer Paper Ream</v>
      </c>
      <c r="H1962" s="39" t="str">
        <f aca="false">VLOOKUP(C1962,Products!$A$5:$D$24,3,FALSE())</f>
        <v>Stationery</v>
      </c>
      <c r="I1962" s="41" t="n">
        <f aca="false">VLOOKUP(C1962,Products!$A$5:$D$24,4,FALSE())</f>
        <v>4</v>
      </c>
      <c r="J1962" s="42" t="n">
        <f aca="false">DATE(YEAR(B1962),MONTH(B1962),1)</f>
        <v>45901</v>
      </c>
      <c r="K1962" s="41" t="n">
        <f aca="false">D1962*E1962</f>
        <v>8.84</v>
      </c>
      <c r="L1962" s="41" t="n">
        <f aca="false">D1962*I1962</f>
        <v>4</v>
      </c>
      <c r="M1962" s="41" t="n">
        <f aca="false">IFERROR(INDEX(Raw_Expenses!$C$5:$C$2979,MATCH(A1962,Raw_Expenses!$A$5:$A$2979,0)),0)</f>
        <v>0.77</v>
      </c>
      <c r="N1962" s="41" t="n">
        <f aca="false">L1962+M1962</f>
        <v>4.77</v>
      </c>
      <c r="O1962" s="41" t="n">
        <f aca="false">K1962-N1962</f>
        <v>4.07</v>
      </c>
      <c r="P1962" s="43" t="n">
        <f aca="false">IF(K1962=0,0,O1962/K1962)</f>
        <v>0.460407239819005</v>
      </c>
    </row>
    <row r="1963" customFormat="false" ht="15" hidden="false" customHeight="false" outlineLevel="0" collapsed="false">
      <c r="A1963" s="39" t="s">
        <v>2085</v>
      </c>
      <c r="B1963" s="40" t="n">
        <v>45922</v>
      </c>
      <c r="C1963" s="39" t="s">
        <v>128</v>
      </c>
      <c r="D1963" s="39" t="n">
        <v>4</v>
      </c>
      <c r="E1963" s="41" t="n">
        <v>36.2</v>
      </c>
      <c r="F1963" s="39" t="s">
        <v>115</v>
      </c>
      <c r="G1963" s="39" t="str">
        <f aca="false">VLOOKUP(C1963,Products!$A$5:$D$24,2,FALSE())</f>
        <v>Ergonomic Footrest</v>
      </c>
      <c r="H1963" s="39" t="str">
        <f aca="false">VLOOKUP(C1963,Products!$A$5:$D$24,3,FALSE())</f>
        <v>Furniture</v>
      </c>
      <c r="I1963" s="41" t="n">
        <f aca="false">VLOOKUP(C1963,Products!$A$5:$D$24,4,FALSE())</f>
        <v>15</v>
      </c>
      <c r="J1963" s="42" t="n">
        <f aca="false">DATE(YEAR(B1963),MONTH(B1963),1)</f>
        <v>45901</v>
      </c>
      <c r="K1963" s="41" t="n">
        <f aca="false">D1963*E1963</f>
        <v>144.8</v>
      </c>
      <c r="L1963" s="41" t="n">
        <f aca="false">D1963*I1963</f>
        <v>60</v>
      </c>
      <c r="M1963" s="41" t="n">
        <f aca="false">IFERROR(INDEX(Raw_Expenses!$C$5:$C$2979,MATCH(A1963,Raw_Expenses!$A$5:$A$2979,0)),0)</f>
        <v>7.26</v>
      </c>
      <c r="N1963" s="41" t="n">
        <f aca="false">L1963+M1963</f>
        <v>67.26</v>
      </c>
      <c r="O1963" s="41" t="n">
        <f aca="false">K1963-N1963</f>
        <v>77.54</v>
      </c>
      <c r="P1963" s="43" t="n">
        <f aca="false">IF(K1963=0,0,O1963/K1963)</f>
        <v>0.535497237569061</v>
      </c>
    </row>
    <row r="1964" customFormat="false" ht="15" hidden="false" customHeight="false" outlineLevel="0" collapsed="false">
      <c r="A1964" s="39" t="s">
        <v>2086</v>
      </c>
      <c r="B1964" s="40" t="n">
        <v>45923</v>
      </c>
      <c r="C1964" s="39" t="s">
        <v>130</v>
      </c>
      <c r="D1964" s="39" t="n">
        <v>1</v>
      </c>
      <c r="E1964" s="41" t="n">
        <v>8.7</v>
      </c>
      <c r="F1964" s="39" t="s">
        <v>105</v>
      </c>
      <c r="G1964" s="39" t="str">
        <f aca="false">VLOOKUP(C1964,Products!$A$5:$D$24,2,FALSE())</f>
        <v>Notebook Set</v>
      </c>
      <c r="H1964" s="39" t="str">
        <f aca="false">VLOOKUP(C1964,Products!$A$5:$D$24,3,FALSE())</f>
        <v>Stationery</v>
      </c>
      <c r="I1964" s="41" t="n">
        <f aca="false">VLOOKUP(C1964,Products!$A$5:$D$24,4,FALSE())</f>
        <v>3</v>
      </c>
      <c r="J1964" s="42" t="n">
        <f aca="false">DATE(YEAR(B1964),MONTH(B1964),1)</f>
        <v>45901</v>
      </c>
      <c r="K1964" s="41" t="n">
        <f aca="false">D1964*E1964</f>
        <v>8.7</v>
      </c>
      <c r="L1964" s="41" t="n">
        <f aca="false">D1964*I1964</f>
        <v>3</v>
      </c>
      <c r="M1964" s="41" t="n">
        <f aca="false">IFERROR(INDEX(Raw_Expenses!$C$5:$C$2979,MATCH(A1964,Raw_Expenses!$A$5:$A$2979,0)),0)</f>
        <v>0.48</v>
      </c>
      <c r="N1964" s="41" t="n">
        <f aca="false">L1964+M1964</f>
        <v>3.48</v>
      </c>
      <c r="O1964" s="41" t="n">
        <f aca="false">K1964-N1964</f>
        <v>5.22</v>
      </c>
      <c r="P1964" s="43" t="n">
        <f aca="false">IF(K1964=0,0,O1964/K1964)</f>
        <v>0.6</v>
      </c>
    </row>
    <row r="1965" customFormat="false" ht="15" hidden="false" customHeight="false" outlineLevel="0" collapsed="false">
      <c r="A1965" s="39" t="s">
        <v>2087</v>
      </c>
      <c r="B1965" s="40" t="n">
        <v>45923</v>
      </c>
      <c r="C1965" s="39" t="s">
        <v>128</v>
      </c>
      <c r="D1965" s="39" t="n">
        <v>1</v>
      </c>
      <c r="E1965" s="41" t="n">
        <v>38.15</v>
      </c>
      <c r="F1965" s="39" t="s">
        <v>105</v>
      </c>
      <c r="G1965" s="39" t="str">
        <f aca="false">VLOOKUP(C1965,Products!$A$5:$D$24,2,FALSE())</f>
        <v>Ergonomic Footrest</v>
      </c>
      <c r="H1965" s="39" t="str">
        <f aca="false">VLOOKUP(C1965,Products!$A$5:$D$24,3,FALSE())</f>
        <v>Furniture</v>
      </c>
      <c r="I1965" s="41" t="n">
        <f aca="false">VLOOKUP(C1965,Products!$A$5:$D$24,4,FALSE())</f>
        <v>15</v>
      </c>
      <c r="J1965" s="42" t="n">
        <f aca="false">DATE(YEAR(B1965),MONTH(B1965),1)</f>
        <v>45901</v>
      </c>
      <c r="K1965" s="41" t="n">
        <f aca="false">D1965*E1965</f>
        <v>38.15</v>
      </c>
      <c r="L1965" s="41" t="n">
        <f aca="false">D1965*I1965</f>
        <v>15</v>
      </c>
      <c r="M1965" s="41" t="n">
        <f aca="false">IFERROR(INDEX(Raw_Expenses!$C$5:$C$2979,MATCH(A1965,Raw_Expenses!$A$5:$A$2979,0)),0)</f>
        <v>2.69</v>
      </c>
      <c r="N1965" s="41" t="n">
        <f aca="false">L1965+M1965</f>
        <v>17.69</v>
      </c>
      <c r="O1965" s="41" t="n">
        <f aca="false">K1965-N1965</f>
        <v>20.46</v>
      </c>
      <c r="P1965" s="43" t="n">
        <f aca="false">IF(K1965=0,0,O1965/K1965)</f>
        <v>0.536304062909567</v>
      </c>
    </row>
    <row r="1966" customFormat="false" ht="15" hidden="false" customHeight="false" outlineLevel="0" collapsed="false">
      <c r="A1966" s="39" t="s">
        <v>2088</v>
      </c>
      <c r="B1966" s="40" t="n">
        <v>45923</v>
      </c>
      <c r="C1966" s="39" t="s">
        <v>110</v>
      </c>
      <c r="D1966" s="39" t="n">
        <v>3</v>
      </c>
      <c r="E1966" s="41" t="n">
        <v>13.63</v>
      </c>
      <c r="F1966" s="39" t="s">
        <v>108</v>
      </c>
      <c r="G1966" s="39" t="str">
        <f aca="false">VLOOKUP(C1966,Products!$A$5:$D$24,2,FALSE())</f>
        <v>Phone Stand</v>
      </c>
      <c r="H1966" s="39" t="str">
        <f aca="false">VLOOKUP(C1966,Products!$A$5:$D$24,3,FALSE())</f>
        <v>Accessories</v>
      </c>
      <c r="I1966" s="41" t="n">
        <f aca="false">VLOOKUP(C1966,Products!$A$5:$D$24,4,FALSE())</f>
        <v>4</v>
      </c>
      <c r="J1966" s="42" t="n">
        <f aca="false">DATE(YEAR(B1966),MONTH(B1966),1)</f>
        <v>45901</v>
      </c>
      <c r="K1966" s="41" t="n">
        <f aca="false">D1966*E1966</f>
        <v>40.89</v>
      </c>
      <c r="L1966" s="41" t="n">
        <f aca="false">D1966*I1966</f>
        <v>12</v>
      </c>
      <c r="M1966" s="41" t="n">
        <f aca="false">IFERROR(INDEX(Raw_Expenses!$C$5:$C$2979,MATCH(A1966,Raw_Expenses!$A$5:$A$2979,0)),0)</f>
        <v>3.56</v>
      </c>
      <c r="N1966" s="41" t="n">
        <f aca="false">L1966+M1966</f>
        <v>15.56</v>
      </c>
      <c r="O1966" s="41" t="n">
        <f aca="false">K1966-N1966</f>
        <v>25.33</v>
      </c>
      <c r="P1966" s="43" t="n">
        <f aca="false">IF(K1966=0,0,O1966/K1966)</f>
        <v>0.619466862313524</v>
      </c>
    </row>
    <row r="1967" customFormat="false" ht="15" hidden="false" customHeight="false" outlineLevel="0" collapsed="false">
      <c r="A1967" s="39" t="s">
        <v>2089</v>
      </c>
      <c r="B1967" s="40" t="n">
        <v>45923</v>
      </c>
      <c r="C1967" s="39" t="s">
        <v>117</v>
      </c>
      <c r="D1967" s="39" t="n">
        <v>6</v>
      </c>
      <c r="E1967" s="41" t="n">
        <v>29.56</v>
      </c>
      <c r="F1967" s="39" t="s">
        <v>115</v>
      </c>
      <c r="G1967" s="39" t="str">
        <f aca="false">VLOOKUP(C1967,Products!$A$5:$D$24,2,FALSE())</f>
        <v>Desk Lamp</v>
      </c>
      <c r="H1967" s="39" t="str">
        <f aca="false">VLOOKUP(C1967,Products!$A$5:$D$24,3,FALSE())</f>
        <v>Furniture</v>
      </c>
      <c r="I1967" s="41" t="n">
        <f aca="false">VLOOKUP(C1967,Products!$A$5:$D$24,4,FALSE())</f>
        <v>13</v>
      </c>
      <c r="J1967" s="42" t="n">
        <f aca="false">DATE(YEAR(B1967),MONTH(B1967),1)</f>
        <v>45901</v>
      </c>
      <c r="K1967" s="41" t="n">
        <f aca="false">D1967*E1967</f>
        <v>177.36</v>
      </c>
      <c r="L1967" s="41" t="n">
        <f aca="false">D1967*I1967</f>
        <v>78</v>
      </c>
      <c r="M1967" s="41" t="n">
        <f aca="false">IFERROR(INDEX(Raw_Expenses!$C$5:$C$2979,MATCH(A1967,Raw_Expenses!$A$5:$A$2979,0)),0)</f>
        <v>14.49</v>
      </c>
      <c r="N1967" s="41" t="n">
        <f aca="false">L1967+M1967</f>
        <v>92.49</v>
      </c>
      <c r="O1967" s="41" t="n">
        <f aca="false">K1967-N1967</f>
        <v>84.87</v>
      </c>
      <c r="P1967" s="43" t="n">
        <f aca="false">IF(K1967=0,0,O1967/K1967)</f>
        <v>0.478518267929635</v>
      </c>
    </row>
    <row r="1968" customFormat="false" ht="15" hidden="false" customHeight="false" outlineLevel="0" collapsed="false">
      <c r="A1968" s="39" t="s">
        <v>2090</v>
      </c>
      <c r="B1968" s="40" t="n">
        <v>45923</v>
      </c>
      <c r="C1968" s="39" t="s">
        <v>305</v>
      </c>
      <c r="D1968" s="39" t="n">
        <v>2</v>
      </c>
      <c r="E1968" s="41" t="n">
        <v>329.29</v>
      </c>
      <c r="F1968" s="39" t="s">
        <v>118</v>
      </c>
      <c r="G1968" s="39" t="str">
        <f aca="false">VLOOKUP(C1968,Products!$A$5:$D$24,2,FALSE())</f>
        <v>Standing Desk</v>
      </c>
      <c r="H1968" s="39" t="str">
        <f aca="false">VLOOKUP(C1968,Products!$A$5:$D$24,3,FALSE())</f>
        <v>Furniture</v>
      </c>
      <c r="I1968" s="41" t="n">
        <f aca="false">VLOOKUP(C1968,Products!$A$5:$D$24,4,FALSE())</f>
        <v>160</v>
      </c>
      <c r="J1968" s="42" t="n">
        <f aca="false">DATE(YEAR(B1968),MONTH(B1968),1)</f>
        <v>45901</v>
      </c>
      <c r="K1968" s="41" t="n">
        <f aca="false">D1968*E1968</f>
        <v>658.58</v>
      </c>
      <c r="L1968" s="41" t="n">
        <f aca="false">D1968*I1968</f>
        <v>320</v>
      </c>
      <c r="M1968" s="41" t="n">
        <f aca="false">IFERROR(INDEX(Raw_Expenses!$C$5:$C$2979,MATCH(A1968,Raw_Expenses!$A$5:$A$2979,0)),0)</f>
        <v>55.12</v>
      </c>
      <c r="N1968" s="41" t="n">
        <f aca="false">L1968+M1968</f>
        <v>375.12</v>
      </c>
      <c r="O1968" s="41" t="n">
        <f aca="false">K1968-N1968</f>
        <v>283.46</v>
      </c>
      <c r="P1968" s="43" t="n">
        <f aca="false">IF(K1968=0,0,O1968/K1968)</f>
        <v>0.430410884023201</v>
      </c>
    </row>
    <row r="1969" customFormat="false" ht="15" hidden="false" customHeight="false" outlineLevel="0" collapsed="false">
      <c r="A1969" s="39" t="s">
        <v>2091</v>
      </c>
      <c r="B1969" s="40" t="n">
        <v>45923</v>
      </c>
      <c r="C1969" s="39" t="s">
        <v>117</v>
      </c>
      <c r="D1969" s="39" t="n">
        <v>3</v>
      </c>
      <c r="E1969" s="41" t="n">
        <v>30.1</v>
      </c>
      <c r="F1969" s="39" t="s">
        <v>105</v>
      </c>
      <c r="G1969" s="39" t="str">
        <f aca="false">VLOOKUP(C1969,Products!$A$5:$D$24,2,FALSE())</f>
        <v>Desk Lamp</v>
      </c>
      <c r="H1969" s="39" t="str">
        <f aca="false">VLOOKUP(C1969,Products!$A$5:$D$24,3,FALSE())</f>
        <v>Furniture</v>
      </c>
      <c r="I1969" s="41" t="n">
        <f aca="false">VLOOKUP(C1969,Products!$A$5:$D$24,4,FALSE())</f>
        <v>13</v>
      </c>
      <c r="J1969" s="42" t="n">
        <f aca="false">DATE(YEAR(B1969),MONTH(B1969),1)</f>
        <v>45901</v>
      </c>
      <c r="K1969" s="41" t="n">
        <f aca="false">D1969*E1969</f>
        <v>90.3</v>
      </c>
      <c r="L1969" s="41" t="n">
        <f aca="false">D1969*I1969</f>
        <v>39</v>
      </c>
      <c r="M1969" s="41" t="n">
        <f aca="false">IFERROR(INDEX(Raw_Expenses!$C$5:$C$2979,MATCH(A1969,Raw_Expenses!$A$5:$A$2979,0)),0)</f>
        <v>4.62</v>
      </c>
      <c r="N1969" s="41" t="n">
        <f aca="false">L1969+M1969</f>
        <v>43.62</v>
      </c>
      <c r="O1969" s="41" t="n">
        <f aca="false">K1969-N1969</f>
        <v>46.68</v>
      </c>
      <c r="P1969" s="43" t="n">
        <f aca="false">IF(K1969=0,0,O1969/K1969)</f>
        <v>0.516943521594685</v>
      </c>
    </row>
    <row r="1970" customFormat="false" ht="15" hidden="false" customHeight="false" outlineLevel="0" collapsed="false">
      <c r="A1970" s="39" t="s">
        <v>2092</v>
      </c>
      <c r="B1970" s="40" t="n">
        <v>45923</v>
      </c>
      <c r="C1970" s="39" t="s">
        <v>153</v>
      </c>
      <c r="D1970" s="39" t="n">
        <v>1</v>
      </c>
      <c r="E1970" s="41" t="n">
        <v>165.63</v>
      </c>
      <c r="F1970" s="39" t="s">
        <v>105</v>
      </c>
      <c r="G1970" s="39" t="str">
        <f aca="false">VLOOKUP(C1970,Products!$A$5:$D$24,2,FALSE())</f>
        <v>24-inch Monitor</v>
      </c>
      <c r="H1970" s="39" t="str">
        <f aca="false">VLOOKUP(C1970,Products!$A$5:$D$24,3,FALSE())</f>
        <v>Electronics</v>
      </c>
      <c r="I1970" s="41" t="n">
        <f aca="false">VLOOKUP(C1970,Products!$A$5:$D$24,4,FALSE())</f>
        <v>90</v>
      </c>
      <c r="J1970" s="42" t="n">
        <f aca="false">DATE(YEAR(B1970),MONTH(B1970),1)</f>
        <v>45901</v>
      </c>
      <c r="K1970" s="41" t="n">
        <f aca="false">D1970*E1970</f>
        <v>165.63</v>
      </c>
      <c r="L1970" s="41" t="n">
        <f aca="false">D1970*I1970</f>
        <v>90</v>
      </c>
      <c r="M1970" s="41" t="n">
        <f aca="false">IFERROR(INDEX(Raw_Expenses!$C$5:$C$2979,MATCH(A1970,Raw_Expenses!$A$5:$A$2979,0)),0)</f>
        <v>14.4</v>
      </c>
      <c r="N1970" s="41" t="n">
        <f aca="false">L1970+M1970</f>
        <v>104.4</v>
      </c>
      <c r="O1970" s="41" t="n">
        <f aca="false">K1970-N1970</f>
        <v>61.23</v>
      </c>
      <c r="P1970" s="43" t="n">
        <f aca="false">IF(K1970=0,0,O1970/K1970)</f>
        <v>0.369679405904727</v>
      </c>
    </row>
    <row r="1971" customFormat="false" ht="15" hidden="false" customHeight="false" outlineLevel="0" collapsed="false">
      <c r="A1971" s="39" t="s">
        <v>2093</v>
      </c>
      <c r="B1971" s="40" t="n">
        <v>45923</v>
      </c>
      <c r="C1971" s="39" t="s">
        <v>133</v>
      </c>
      <c r="D1971" s="39" t="n">
        <v>1</v>
      </c>
      <c r="E1971" s="41" t="n">
        <v>8.52</v>
      </c>
      <c r="F1971" s="39" t="s">
        <v>115</v>
      </c>
      <c r="G1971" s="39" t="str">
        <f aca="false">VLOOKUP(C1971,Products!$A$5:$D$24,2,FALSE())</f>
        <v>Printer Paper Ream</v>
      </c>
      <c r="H1971" s="39" t="str">
        <f aca="false">VLOOKUP(C1971,Products!$A$5:$D$24,3,FALSE())</f>
        <v>Stationery</v>
      </c>
      <c r="I1971" s="41" t="n">
        <f aca="false">VLOOKUP(C1971,Products!$A$5:$D$24,4,FALSE())</f>
        <v>4</v>
      </c>
      <c r="J1971" s="42" t="n">
        <f aca="false">DATE(YEAR(B1971),MONTH(B1971),1)</f>
        <v>45901</v>
      </c>
      <c r="K1971" s="41" t="n">
        <f aca="false">D1971*E1971</f>
        <v>8.52</v>
      </c>
      <c r="L1971" s="41" t="n">
        <f aca="false">D1971*I1971</f>
        <v>4</v>
      </c>
      <c r="M1971" s="41" t="n">
        <f aca="false">IFERROR(INDEX(Raw_Expenses!$C$5:$C$2979,MATCH(A1971,Raw_Expenses!$A$5:$A$2979,0)),0)</f>
        <v>0.47</v>
      </c>
      <c r="N1971" s="41" t="n">
        <f aca="false">L1971+M1971</f>
        <v>4.47</v>
      </c>
      <c r="O1971" s="41" t="n">
        <f aca="false">K1971-N1971</f>
        <v>4.05</v>
      </c>
      <c r="P1971" s="43" t="n">
        <f aca="false">IF(K1971=0,0,O1971/K1971)</f>
        <v>0.475352112676056</v>
      </c>
    </row>
    <row r="1972" customFormat="false" ht="15" hidden="false" customHeight="false" outlineLevel="0" collapsed="false">
      <c r="A1972" s="39" t="s">
        <v>2094</v>
      </c>
      <c r="B1972" s="40" t="n">
        <v>45923</v>
      </c>
      <c r="C1972" s="39" t="s">
        <v>139</v>
      </c>
      <c r="D1972" s="39" t="n">
        <v>2</v>
      </c>
      <c r="E1972" s="41" t="n">
        <v>128.94</v>
      </c>
      <c r="F1972" s="39" t="s">
        <v>118</v>
      </c>
      <c r="G1972" s="39" t="str">
        <f aca="false">VLOOKUP(C1972,Products!$A$5:$D$24,2,FALSE())</f>
        <v>Noise-Cancelling Headphones</v>
      </c>
      <c r="H1972" s="39" t="str">
        <f aca="false">VLOOKUP(C1972,Products!$A$5:$D$24,3,FALSE())</f>
        <v>Electronics</v>
      </c>
      <c r="I1972" s="41" t="n">
        <f aca="false">VLOOKUP(C1972,Products!$A$5:$D$24,4,FALSE())</f>
        <v>55</v>
      </c>
      <c r="J1972" s="42" t="n">
        <f aca="false">DATE(YEAR(B1972),MONTH(B1972),1)</f>
        <v>45901</v>
      </c>
      <c r="K1972" s="41" t="n">
        <f aca="false">D1972*E1972</f>
        <v>257.88</v>
      </c>
      <c r="L1972" s="41" t="n">
        <f aca="false">D1972*I1972</f>
        <v>110</v>
      </c>
      <c r="M1972" s="41" t="n">
        <f aca="false">IFERROR(INDEX(Raw_Expenses!$C$5:$C$2979,MATCH(A1972,Raw_Expenses!$A$5:$A$2979,0)),0)</f>
        <v>17.76</v>
      </c>
      <c r="N1972" s="41" t="n">
        <f aca="false">L1972+M1972</f>
        <v>127.76</v>
      </c>
      <c r="O1972" s="41" t="n">
        <f aca="false">K1972-N1972</f>
        <v>130.12</v>
      </c>
      <c r="P1972" s="43" t="n">
        <f aca="false">IF(K1972=0,0,O1972/K1972)</f>
        <v>0.504575771676749</v>
      </c>
    </row>
    <row r="1973" customFormat="false" ht="15" hidden="false" customHeight="false" outlineLevel="0" collapsed="false">
      <c r="A1973" s="39" t="s">
        <v>2095</v>
      </c>
      <c r="B1973" s="40" t="n">
        <v>45923</v>
      </c>
      <c r="C1973" s="39" t="s">
        <v>114</v>
      </c>
      <c r="D1973" s="39" t="n">
        <v>5</v>
      </c>
      <c r="E1973" s="41" t="n">
        <v>5.77</v>
      </c>
      <c r="F1973" s="39" t="s">
        <v>118</v>
      </c>
      <c r="G1973" s="39" t="str">
        <f aca="false">VLOOKUP(C1973,Products!$A$5:$D$24,2,FALSE())</f>
        <v>Gel Pen Pack</v>
      </c>
      <c r="H1973" s="39" t="str">
        <f aca="false">VLOOKUP(C1973,Products!$A$5:$D$24,3,FALSE())</f>
        <v>Stationery</v>
      </c>
      <c r="I1973" s="41" t="n">
        <f aca="false">VLOOKUP(C1973,Products!$A$5:$D$24,4,FALSE())</f>
        <v>2</v>
      </c>
      <c r="J1973" s="42" t="n">
        <f aca="false">DATE(YEAR(B1973),MONTH(B1973),1)</f>
        <v>45901</v>
      </c>
      <c r="K1973" s="41" t="n">
        <f aca="false">D1973*E1973</f>
        <v>28.85</v>
      </c>
      <c r="L1973" s="41" t="n">
        <f aca="false">D1973*I1973</f>
        <v>10</v>
      </c>
      <c r="M1973" s="41" t="n">
        <f aca="false">IFERROR(INDEX(Raw_Expenses!$C$5:$C$2979,MATCH(A1973,Raw_Expenses!$A$5:$A$2979,0)),0)</f>
        <v>1.65</v>
      </c>
      <c r="N1973" s="41" t="n">
        <f aca="false">L1973+M1973</f>
        <v>11.65</v>
      </c>
      <c r="O1973" s="41" t="n">
        <f aca="false">K1973-N1973</f>
        <v>17.2</v>
      </c>
      <c r="P1973" s="43" t="n">
        <f aca="false">IF(K1973=0,0,O1973/K1973)</f>
        <v>0.596187175043327</v>
      </c>
    </row>
    <row r="1974" customFormat="false" ht="15" hidden="false" customHeight="false" outlineLevel="0" collapsed="false">
      <c r="A1974" s="39" t="s">
        <v>2096</v>
      </c>
      <c r="B1974" s="40" t="n">
        <v>45923</v>
      </c>
      <c r="C1974" s="39" t="s">
        <v>130</v>
      </c>
      <c r="D1974" s="39" t="n">
        <v>2</v>
      </c>
      <c r="E1974" s="41" t="n">
        <v>8.34</v>
      </c>
      <c r="F1974" s="39" t="s">
        <v>118</v>
      </c>
      <c r="G1974" s="39" t="str">
        <f aca="false">VLOOKUP(C1974,Products!$A$5:$D$24,2,FALSE())</f>
        <v>Notebook Set</v>
      </c>
      <c r="H1974" s="39" t="str">
        <f aca="false">VLOOKUP(C1974,Products!$A$5:$D$24,3,FALSE())</f>
        <v>Stationery</v>
      </c>
      <c r="I1974" s="41" t="n">
        <f aca="false">VLOOKUP(C1974,Products!$A$5:$D$24,4,FALSE())</f>
        <v>3</v>
      </c>
      <c r="J1974" s="42" t="n">
        <f aca="false">DATE(YEAR(B1974),MONTH(B1974),1)</f>
        <v>45901</v>
      </c>
      <c r="K1974" s="41" t="n">
        <f aca="false">D1974*E1974</f>
        <v>16.68</v>
      </c>
      <c r="L1974" s="41" t="n">
        <f aca="false">D1974*I1974</f>
        <v>6</v>
      </c>
      <c r="M1974" s="41" t="n">
        <f aca="false">IFERROR(INDEX(Raw_Expenses!$C$5:$C$2979,MATCH(A1974,Raw_Expenses!$A$5:$A$2979,0)),0)</f>
        <v>1</v>
      </c>
      <c r="N1974" s="41" t="n">
        <f aca="false">L1974+M1974</f>
        <v>7</v>
      </c>
      <c r="O1974" s="41" t="n">
        <f aca="false">K1974-N1974</f>
        <v>9.68</v>
      </c>
      <c r="P1974" s="43" t="n">
        <f aca="false">IF(K1974=0,0,O1974/K1974)</f>
        <v>0.580335731414868</v>
      </c>
    </row>
    <row r="1975" customFormat="false" ht="15" hidden="false" customHeight="false" outlineLevel="0" collapsed="false">
      <c r="A1975" s="39" t="s">
        <v>2097</v>
      </c>
      <c r="B1975" s="40" t="n">
        <v>45924</v>
      </c>
      <c r="C1975" s="39" t="s">
        <v>114</v>
      </c>
      <c r="D1975" s="39" t="n">
        <v>2</v>
      </c>
      <c r="E1975" s="41" t="n">
        <v>5.66</v>
      </c>
      <c r="F1975" s="39" t="s">
        <v>105</v>
      </c>
      <c r="G1975" s="39" t="str">
        <f aca="false">VLOOKUP(C1975,Products!$A$5:$D$24,2,FALSE())</f>
        <v>Gel Pen Pack</v>
      </c>
      <c r="H1975" s="39" t="str">
        <f aca="false">VLOOKUP(C1975,Products!$A$5:$D$24,3,FALSE())</f>
        <v>Stationery</v>
      </c>
      <c r="I1975" s="41" t="n">
        <f aca="false">VLOOKUP(C1975,Products!$A$5:$D$24,4,FALSE())</f>
        <v>2</v>
      </c>
      <c r="J1975" s="42" t="n">
        <f aca="false">DATE(YEAR(B1975),MONTH(B1975),1)</f>
        <v>45901</v>
      </c>
      <c r="K1975" s="41" t="n">
        <f aca="false">D1975*E1975</f>
        <v>11.32</v>
      </c>
      <c r="L1975" s="41" t="n">
        <f aca="false">D1975*I1975</f>
        <v>4</v>
      </c>
      <c r="M1975" s="41" t="n">
        <f aca="false">IFERROR(INDEX(Raw_Expenses!$C$5:$C$2979,MATCH(A1975,Raw_Expenses!$A$5:$A$2979,0)),0)</f>
        <v>0.87</v>
      </c>
      <c r="N1975" s="41" t="n">
        <f aca="false">L1975+M1975</f>
        <v>4.87</v>
      </c>
      <c r="O1975" s="41" t="n">
        <f aca="false">K1975-N1975</f>
        <v>6.45</v>
      </c>
      <c r="P1975" s="43" t="n">
        <f aca="false">IF(K1975=0,0,O1975/K1975)</f>
        <v>0.569787985865724</v>
      </c>
    </row>
    <row r="1976" customFormat="false" ht="15" hidden="false" customHeight="false" outlineLevel="0" collapsed="false">
      <c r="A1976" s="39" t="s">
        <v>2098</v>
      </c>
      <c r="B1976" s="40" t="n">
        <v>45924</v>
      </c>
      <c r="C1976" s="39" t="s">
        <v>121</v>
      </c>
      <c r="D1976" s="39" t="n">
        <v>1</v>
      </c>
      <c r="E1976" s="41" t="n">
        <v>110.88</v>
      </c>
      <c r="F1976" s="39" t="s">
        <v>108</v>
      </c>
      <c r="G1976" s="39" t="str">
        <f aca="false">VLOOKUP(C1976,Products!$A$5:$D$24,2,FALSE())</f>
        <v>External SSD 1TB</v>
      </c>
      <c r="H1976" s="39" t="str">
        <f aca="false">VLOOKUP(C1976,Products!$A$5:$D$24,3,FALSE())</f>
        <v>Electronics</v>
      </c>
      <c r="I1976" s="41" t="n">
        <f aca="false">VLOOKUP(C1976,Products!$A$5:$D$24,4,FALSE())</f>
        <v>62</v>
      </c>
      <c r="J1976" s="42" t="n">
        <f aca="false">DATE(YEAR(B1976),MONTH(B1976),1)</f>
        <v>45901</v>
      </c>
      <c r="K1976" s="41" t="n">
        <f aca="false">D1976*E1976</f>
        <v>110.88</v>
      </c>
      <c r="L1976" s="41" t="n">
        <f aca="false">D1976*I1976</f>
        <v>62</v>
      </c>
      <c r="M1976" s="41" t="n">
        <f aca="false">IFERROR(INDEX(Raw_Expenses!$C$5:$C$2979,MATCH(A1976,Raw_Expenses!$A$5:$A$2979,0)),0)</f>
        <v>9.8</v>
      </c>
      <c r="N1976" s="41" t="n">
        <f aca="false">L1976+M1976</f>
        <v>71.8</v>
      </c>
      <c r="O1976" s="41" t="n">
        <f aca="false">K1976-N1976</f>
        <v>39.08</v>
      </c>
      <c r="P1976" s="43" t="n">
        <f aca="false">IF(K1976=0,0,O1976/K1976)</f>
        <v>0.352453102453102</v>
      </c>
    </row>
    <row r="1977" customFormat="false" ht="15" hidden="false" customHeight="false" outlineLevel="0" collapsed="false">
      <c r="A1977" s="39" t="s">
        <v>2099</v>
      </c>
      <c r="B1977" s="40" t="n">
        <v>45924</v>
      </c>
      <c r="C1977" s="39" t="s">
        <v>112</v>
      </c>
      <c r="D1977" s="39" t="n">
        <v>2</v>
      </c>
      <c r="E1977" s="41" t="n">
        <v>52.24</v>
      </c>
      <c r="F1977" s="39" t="s">
        <v>115</v>
      </c>
      <c r="G1977" s="39" t="str">
        <f aca="false">VLOOKUP(C1977,Products!$A$5:$D$24,2,FALSE())</f>
        <v>HD Webcam</v>
      </c>
      <c r="H1977" s="39" t="str">
        <f aca="false">VLOOKUP(C1977,Products!$A$5:$D$24,3,FALSE())</f>
        <v>Electronics</v>
      </c>
      <c r="I1977" s="41" t="n">
        <f aca="false">VLOOKUP(C1977,Products!$A$5:$D$24,4,FALSE())</f>
        <v>22</v>
      </c>
      <c r="J1977" s="42" t="n">
        <f aca="false">DATE(YEAR(B1977),MONTH(B1977),1)</f>
        <v>45901</v>
      </c>
      <c r="K1977" s="41" t="n">
        <f aca="false">D1977*E1977</f>
        <v>104.48</v>
      </c>
      <c r="L1977" s="41" t="n">
        <f aca="false">D1977*I1977</f>
        <v>44</v>
      </c>
      <c r="M1977" s="41" t="n">
        <f aca="false">IFERROR(INDEX(Raw_Expenses!$C$5:$C$2979,MATCH(A1977,Raw_Expenses!$A$5:$A$2979,0)),0)</f>
        <v>5.16</v>
      </c>
      <c r="N1977" s="41" t="n">
        <f aca="false">L1977+M1977</f>
        <v>49.16</v>
      </c>
      <c r="O1977" s="41" t="n">
        <f aca="false">K1977-N1977</f>
        <v>55.32</v>
      </c>
      <c r="P1977" s="43" t="n">
        <f aca="false">IF(K1977=0,0,O1977/K1977)</f>
        <v>0.52947932618683</v>
      </c>
    </row>
    <row r="1978" customFormat="false" ht="15" hidden="false" customHeight="false" outlineLevel="0" collapsed="false">
      <c r="A1978" s="39" t="s">
        <v>2100</v>
      </c>
      <c r="B1978" s="40" t="n">
        <v>45925</v>
      </c>
      <c r="C1978" s="39" t="s">
        <v>104</v>
      </c>
      <c r="D1978" s="39" t="n">
        <v>4</v>
      </c>
      <c r="E1978" s="41" t="n">
        <v>14.79</v>
      </c>
      <c r="F1978" s="39" t="s">
        <v>118</v>
      </c>
      <c r="G1978" s="39" t="str">
        <f aca="false">VLOOKUP(C1978,Products!$A$5:$D$24,2,FALSE())</f>
        <v>Water Bottle</v>
      </c>
      <c r="H1978" s="39" t="str">
        <f aca="false">VLOOKUP(C1978,Products!$A$5:$D$24,3,FALSE())</f>
        <v>Accessories</v>
      </c>
      <c r="I1978" s="41" t="n">
        <f aca="false">VLOOKUP(C1978,Products!$A$5:$D$24,4,FALSE())</f>
        <v>5</v>
      </c>
      <c r="J1978" s="42" t="n">
        <f aca="false">DATE(YEAR(B1978),MONTH(B1978),1)</f>
        <v>45901</v>
      </c>
      <c r="K1978" s="41" t="n">
        <f aca="false">D1978*E1978</f>
        <v>59.16</v>
      </c>
      <c r="L1978" s="41" t="n">
        <f aca="false">D1978*I1978</f>
        <v>20</v>
      </c>
      <c r="M1978" s="41" t="n">
        <f aca="false">IFERROR(INDEX(Raw_Expenses!$C$5:$C$2979,MATCH(A1978,Raw_Expenses!$A$5:$A$2979,0)),0)</f>
        <v>2.53</v>
      </c>
      <c r="N1978" s="41" t="n">
        <f aca="false">L1978+M1978</f>
        <v>22.53</v>
      </c>
      <c r="O1978" s="41" t="n">
        <f aca="false">K1978-N1978</f>
        <v>36.63</v>
      </c>
      <c r="P1978" s="43" t="n">
        <f aca="false">IF(K1978=0,0,O1978/K1978)</f>
        <v>0.619168356997972</v>
      </c>
    </row>
    <row r="1979" customFormat="false" ht="15" hidden="false" customHeight="false" outlineLevel="0" collapsed="false">
      <c r="A1979" s="39" t="s">
        <v>2101</v>
      </c>
      <c r="B1979" s="40" t="n">
        <v>45925</v>
      </c>
      <c r="C1979" s="39" t="s">
        <v>110</v>
      </c>
      <c r="D1979" s="39" t="n">
        <v>6</v>
      </c>
      <c r="E1979" s="41" t="n">
        <v>13.37</v>
      </c>
      <c r="F1979" s="39" t="s">
        <v>105</v>
      </c>
      <c r="G1979" s="39" t="str">
        <f aca="false">VLOOKUP(C1979,Products!$A$5:$D$24,2,FALSE())</f>
        <v>Phone Stand</v>
      </c>
      <c r="H1979" s="39" t="str">
        <f aca="false">VLOOKUP(C1979,Products!$A$5:$D$24,3,FALSE())</f>
        <v>Accessories</v>
      </c>
      <c r="I1979" s="41" t="n">
        <f aca="false">VLOOKUP(C1979,Products!$A$5:$D$24,4,FALSE())</f>
        <v>4</v>
      </c>
      <c r="J1979" s="42" t="n">
        <f aca="false">DATE(YEAR(B1979),MONTH(B1979),1)</f>
        <v>45901</v>
      </c>
      <c r="K1979" s="41" t="n">
        <f aca="false">D1979*E1979</f>
        <v>80.22</v>
      </c>
      <c r="L1979" s="41" t="n">
        <f aca="false">D1979*I1979</f>
        <v>24</v>
      </c>
      <c r="M1979" s="41" t="n">
        <f aca="false">IFERROR(INDEX(Raw_Expenses!$C$5:$C$2979,MATCH(A1979,Raw_Expenses!$A$5:$A$2979,0)),0)</f>
        <v>5.7</v>
      </c>
      <c r="N1979" s="41" t="n">
        <f aca="false">L1979+M1979</f>
        <v>29.7</v>
      </c>
      <c r="O1979" s="41" t="n">
        <f aca="false">K1979-N1979</f>
        <v>50.52</v>
      </c>
      <c r="P1979" s="43" t="n">
        <f aca="false">IF(K1979=0,0,O1979/K1979)</f>
        <v>0.629768137621541</v>
      </c>
    </row>
    <row r="1980" customFormat="false" ht="15" hidden="false" customHeight="false" outlineLevel="0" collapsed="false">
      <c r="A1980" s="39" t="s">
        <v>2102</v>
      </c>
      <c r="B1980" s="40" t="n">
        <v>45925</v>
      </c>
      <c r="C1980" s="39" t="s">
        <v>114</v>
      </c>
      <c r="D1980" s="39" t="n">
        <v>1</v>
      </c>
      <c r="E1980" s="41" t="n">
        <v>5.59</v>
      </c>
      <c r="F1980" s="39" t="s">
        <v>115</v>
      </c>
      <c r="G1980" s="39" t="str">
        <f aca="false">VLOOKUP(C1980,Products!$A$5:$D$24,2,FALSE())</f>
        <v>Gel Pen Pack</v>
      </c>
      <c r="H1980" s="39" t="str">
        <f aca="false">VLOOKUP(C1980,Products!$A$5:$D$24,3,FALSE())</f>
        <v>Stationery</v>
      </c>
      <c r="I1980" s="41" t="n">
        <f aca="false">VLOOKUP(C1980,Products!$A$5:$D$24,4,FALSE())</f>
        <v>2</v>
      </c>
      <c r="J1980" s="42" t="n">
        <f aca="false">DATE(YEAR(B1980),MONTH(B1980),1)</f>
        <v>45901</v>
      </c>
      <c r="K1980" s="41" t="n">
        <f aca="false">D1980*E1980</f>
        <v>5.59</v>
      </c>
      <c r="L1980" s="41" t="n">
        <f aca="false">D1980*I1980</f>
        <v>2</v>
      </c>
      <c r="M1980" s="41" t="n">
        <f aca="false">IFERROR(INDEX(Raw_Expenses!$C$5:$C$2979,MATCH(A1980,Raw_Expenses!$A$5:$A$2979,0)),0)</f>
        <v>0.48</v>
      </c>
      <c r="N1980" s="41" t="n">
        <f aca="false">L1980+M1980</f>
        <v>2.48</v>
      </c>
      <c r="O1980" s="41" t="n">
        <f aca="false">K1980-N1980</f>
        <v>3.11</v>
      </c>
      <c r="P1980" s="43" t="n">
        <f aca="false">IF(K1980=0,0,O1980/K1980)</f>
        <v>0.556350626118068</v>
      </c>
    </row>
    <row r="1981" customFormat="false" ht="15" hidden="false" customHeight="false" outlineLevel="0" collapsed="false">
      <c r="A1981" s="39" t="s">
        <v>2103</v>
      </c>
      <c r="B1981" s="40" t="n">
        <v>45925</v>
      </c>
      <c r="C1981" s="39" t="s">
        <v>126</v>
      </c>
      <c r="D1981" s="39" t="n">
        <v>1</v>
      </c>
      <c r="E1981" s="41" t="n">
        <v>23.16</v>
      </c>
      <c r="F1981" s="39" t="s">
        <v>118</v>
      </c>
      <c r="G1981" s="39" t="str">
        <f aca="false">VLOOKUP(C1981,Products!$A$5:$D$24,2,FALSE())</f>
        <v>Wireless Mouse</v>
      </c>
      <c r="H1981" s="39" t="str">
        <f aca="false">VLOOKUP(C1981,Products!$A$5:$D$24,3,FALSE())</f>
        <v>Electronics</v>
      </c>
      <c r="I1981" s="41" t="n">
        <f aca="false">VLOOKUP(C1981,Products!$A$5:$D$24,4,FALSE())</f>
        <v>12</v>
      </c>
      <c r="J1981" s="42" t="n">
        <f aca="false">DATE(YEAR(B1981),MONTH(B1981),1)</f>
        <v>45901</v>
      </c>
      <c r="K1981" s="41" t="n">
        <f aca="false">D1981*E1981</f>
        <v>23.16</v>
      </c>
      <c r="L1981" s="41" t="n">
        <f aca="false">D1981*I1981</f>
        <v>12</v>
      </c>
      <c r="M1981" s="41" t="n">
        <f aca="false">IFERROR(INDEX(Raw_Expenses!$C$5:$C$2979,MATCH(A1981,Raw_Expenses!$A$5:$A$2979,0)),0)</f>
        <v>1.32</v>
      </c>
      <c r="N1981" s="41" t="n">
        <f aca="false">L1981+M1981</f>
        <v>13.32</v>
      </c>
      <c r="O1981" s="41" t="n">
        <f aca="false">K1981-N1981</f>
        <v>9.84</v>
      </c>
      <c r="P1981" s="43" t="n">
        <f aca="false">IF(K1981=0,0,O1981/K1981)</f>
        <v>0.424870466321244</v>
      </c>
    </row>
    <row r="1982" customFormat="false" ht="15" hidden="false" customHeight="false" outlineLevel="0" collapsed="false">
      <c r="A1982" s="39" t="s">
        <v>2104</v>
      </c>
      <c r="B1982" s="40" t="n">
        <v>45925</v>
      </c>
      <c r="C1982" s="39" t="s">
        <v>136</v>
      </c>
      <c r="D1982" s="39" t="n">
        <v>4</v>
      </c>
      <c r="E1982" s="41" t="n">
        <v>76.05</v>
      </c>
      <c r="F1982" s="39" t="s">
        <v>115</v>
      </c>
      <c r="G1982" s="39" t="str">
        <f aca="false">VLOOKUP(C1982,Products!$A$5:$D$24,2,FALSE())</f>
        <v>Mechanical Keyboard</v>
      </c>
      <c r="H1982" s="39" t="str">
        <f aca="false">VLOOKUP(C1982,Products!$A$5:$D$24,3,FALSE())</f>
        <v>Electronics</v>
      </c>
      <c r="I1982" s="41" t="n">
        <f aca="false">VLOOKUP(C1982,Products!$A$5:$D$24,4,FALSE())</f>
        <v>38</v>
      </c>
      <c r="J1982" s="42" t="n">
        <f aca="false">DATE(YEAR(B1982),MONTH(B1982),1)</f>
        <v>45901</v>
      </c>
      <c r="K1982" s="41" t="n">
        <f aca="false">D1982*E1982</f>
        <v>304.2</v>
      </c>
      <c r="L1982" s="41" t="n">
        <f aca="false">D1982*I1982</f>
        <v>152</v>
      </c>
      <c r="M1982" s="41" t="n">
        <f aca="false">IFERROR(INDEX(Raw_Expenses!$C$5:$C$2979,MATCH(A1982,Raw_Expenses!$A$5:$A$2979,0)),0)</f>
        <v>15.11</v>
      </c>
      <c r="N1982" s="41" t="n">
        <f aca="false">L1982+M1982</f>
        <v>167.11</v>
      </c>
      <c r="O1982" s="41" t="n">
        <f aca="false">K1982-N1982</f>
        <v>137.09</v>
      </c>
      <c r="P1982" s="43" t="n">
        <f aca="false">IF(K1982=0,0,O1982/K1982)</f>
        <v>0.450657462195924</v>
      </c>
    </row>
    <row r="1983" customFormat="false" ht="15" hidden="false" customHeight="false" outlineLevel="0" collapsed="false">
      <c r="A1983" s="39" t="s">
        <v>2105</v>
      </c>
      <c r="B1983" s="40" t="n">
        <v>45925</v>
      </c>
      <c r="C1983" s="39" t="s">
        <v>107</v>
      </c>
      <c r="D1983" s="39" t="n">
        <v>3</v>
      </c>
      <c r="E1983" s="41" t="n">
        <v>34.1</v>
      </c>
      <c r="F1983" s="39" t="s">
        <v>105</v>
      </c>
      <c r="G1983" s="39" t="str">
        <f aca="false">VLOOKUP(C1983,Products!$A$5:$D$24,2,FALSE())</f>
        <v>USB-C Hub</v>
      </c>
      <c r="H1983" s="39" t="str">
        <f aca="false">VLOOKUP(C1983,Products!$A$5:$D$24,3,FALSE())</f>
        <v>Electronics</v>
      </c>
      <c r="I1983" s="41" t="n">
        <f aca="false">VLOOKUP(C1983,Products!$A$5:$D$24,4,FALSE())</f>
        <v>14</v>
      </c>
      <c r="J1983" s="42" t="n">
        <f aca="false">DATE(YEAR(B1983),MONTH(B1983),1)</f>
        <v>45901</v>
      </c>
      <c r="K1983" s="41" t="n">
        <f aca="false">D1983*E1983</f>
        <v>102.3</v>
      </c>
      <c r="L1983" s="41" t="n">
        <f aca="false">D1983*I1983</f>
        <v>42</v>
      </c>
      <c r="M1983" s="41" t="n">
        <f aca="false">IFERROR(INDEX(Raw_Expenses!$C$5:$C$2979,MATCH(A1983,Raw_Expenses!$A$5:$A$2979,0)),0)</f>
        <v>4.35</v>
      </c>
      <c r="N1983" s="41" t="n">
        <f aca="false">L1983+M1983</f>
        <v>46.35</v>
      </c>
      <c r="O1983" s="41" t="n">
        <f aca="false">K1983-N1983</f>
        <v>55.95</v>
      </c>
      <c r="P1983" s="43" t="n">
        <f aca="false">IF(K1983=0,0,O1983/K1983)</f>
        <v>0.54692082111437</v>
      </c>
    </row>
    <row r="1984" customFormat="false" ht="15" hidden="false" customHeight="false" outlineLevel="0" collapsed="false">
      <c r="A1984" s="39" t="s">
        <v>2106</v>
      </c>
      <c r="B1984" s="40" t="n">
        <v>45925</v>
      </c>
      <c r="C1984" s="39" t="s">
        <v>112</v>
      </c>
      <c r="D1984" s="39" t="n">
        <v>4</v>
      </c>
      <c r="E1984" s="41" t="n">
        <v>53.36</v>
      </c>
      <c r="F1984" s="39" t="s">
        <v>108</v>
      </c>
      <c r="G1984" s="39" t="str">
        <f aca="false">VLOOKUP(C1984,Products!$A$5:$D$24,2,FALSE())</f>
        <v>HD Webcam</v>
      </c>
      <c r="H1984" s="39" t="str">
        <f aca="false">VLOOKUP(C1984,Products!$A$5:$D$24,3,FALSE())</f>
        <v>Electronics</v>
      </c>
      <c r="I1984" s="41" t="n">
        <f aca="false">VLOOKUP(C1984,Products!$A$5:$D$24,4,FALSE())</f>
        <v>22</v>
      </c>
      <c r="J1984" s="42" t="n">
        <f aca="false">DATE(YEAR(B1984),MONTH(B1984),1)</f>
        <v>45901</v>
      </c>
      <c r="K1984" s="41" t="n">
        <f aca="false">D1984*E1984</f>
        <v>213.44</v>
      </c>
      <c r="L1984" s="41" t="n">
        <f aca="false">D1984*I1984</f>
        <v>88</v>
      </c>
      <c r="M1984" s="41" t="n">
        <f aca="false">IFERROR(INDEX(Raw_Expenses!$C$5:$C$2979,MATCH(A1984,Raw_Expenses!$A$5:$A$2979,0)),0)</f>
        <v>13.9</v>
      </c>
      <c r="N1984" s="41" t="n">
        <f aca="false">L1984+M1984</f>
        <v>101.9</v>
      </c>
      <c r="O1984" s="41" t="n">
        <f aca="false">K1984-N1984</f>
        <v>111.54</v>
      </c>
      <c r="P1984" s="43" t="n">
        <f aca="false">IF(K1984=0,0,O1984/K1984)</f>
        <v>0.522582458770615</v>
      </c>
    </row>
    <row r="1985" customFormat="false" ht="15" hidden="false" customHeight="false" outlineLevel="0" collapsed="false">
      <c r="A1985" s="39" t="s">
        <v>2107</v>
      </c>
      <c r="B1985" s="40" t="n">
        <v>45925</v>
      </c>
      <c r="C1985" s="39" t="s">
        <v>126</v>
      </c>
      <c r="D1985" s="39" t="n">
        <v>6</v>
      </c>
      <c r="E1985" s="41" t="n">
        <v>24.17</v>
      </c>
      <c r="F1985" s="39" t="s">
        <v>108</v>
      </c>
      <c r="G1985" s="39" t="str">
        <f aca="false">VLOOKUP(C1985,Products!$A$5:$D$24,2,FALSE())</f>
        <v>Wireless Mouse</v>
      </c>
      <c r="H1985" s="39" t="str">
        <f aca="false">VLOOKUP(C1985,Products!$A$5:$D$24,3,FALSE())</f>
        <v>Electronics</v>
      </c>
      <c r="I1985" s="41" t="n">
        <f aca="false">VLOOKUP(C1985,Products!$A$5:$D$24,4,FALSE())</f>
        <v>12</v>
      </c>
      <c r="J1985" s="42" t="n">
        <f aca="false">DATE(YEAR(B1985),MONTH(B1985),1)</f>
        <v>45901</v>
      </c>
      <c r="K1985" s="41" t="n">
        <f aca="false">D1985*E1985</f>
        <v>145.02</v>
      </c>
      <c r="L1985" s="41" t="n">
        <f aca="false">D1985*I1985</f>
        <v>72</v>
      </c>
      <c r="M1985" s="41" t="n">
        <f aca="false">IFERROR(INDEX(Raw_Expenses!$C$5:$C$2979,MATCH(A1985,Raw_Expenses!$A$5:$A$2979,0)),0)</f>
        <v>7.98</v>
      </c>
      <c r="N1985" s="41" t="n">
        <f aca="false">L1985+M1985</f>
        <v>79.98</v>
      </c>
      <c r="O1985" s="41" t="n">
        <f aca="false">K1985-N1985</f>
        <v>65.04</v>
      </c>
      <c r="P1985" s="43" t="n">
        <f aca="false">IF(K1985=0,0,O1985/K1985)</f>
        <v>0.448489863467108</v>
      </c>
    </row>
    <row r="1986" customFormat="false" ht="15" hidden="false" customHeight="false" outlineLevel="0" collapsed="false">
      <c r="A1986" s="39" t="s">
        <v>2108</v>
      </c>
      <c r="B1986" s="40" t="n">
        <v>45925</v>
      </c>
      <c r="C1986" s="39" t="s">
        <v>139</v>
      </c>
      <c r="D1986" s="39" t="n">
        <v>8</v>
      </c>
      <c r="E1986" s="41" t="n">
        <v>126.07</v>
      </c>
      <c r="F1986" s="39" t="s">
        <v>115</v>
      </c>
      <c r="G1986" s="39" t="str">
        <f aca="false">VLOOKUP(C1986,Products!$A$5:$D$24,2,FALSE())</f>
        <v>Noise-Cancelling Headphones</v>
      </c>
      <c r="H1986" s="39" t="str">
        <f aca="false">VLOOKUP(C1986,Products!$A$5:$D$24,3,FALSE())</f>
        <v>Electronics</v>
      </c>
      <c r="I1986" s="41" t="n">
        <f aca="false">VLOOKUP(C1986,Products!$A$5:$D$24,4,FALSE())</f>
        <v>55</v>
      </c>
      <c r="J1986" s="42" t="n">
        <f aca="false">DATE(YEAR(B1986),MONTH(B1986),1)</f>
        <v>45901</v>
      </c>
      <c r="K1986" s="41" t="n">
        <f aca="false">D1986*E1986</f>
        <v>1008.56</v>
      </c>
      <c r="L1986" s="41" t="n">
        <f aca="false">D1986*I1986</f>
        <v>440</v>
      </c>
      <c r="M1986" s="41" t="n">
        <f aca="false">IFERROR(INDEX(Raw_Expenses!$C$5:$C$2979,MATCH(A1986,Raw_Expenses!$A$5:$A$2979,0)),0)</f>
        <v>50.15</v>
      </c>
      <c r="N1986" s="41" t="n">
        <f aca="false">L1986+M1986</f>
        <v>490.15</v>
      </c>
      <c r="O1986" s="41" t="n">
        <f aca="false">K1986-N1986</f>
        <v>518.41</v>
      </c>
      <c r="P1986" s="43" t="n">
        <f aca="false">IF(K1986=0,0,O1986/K1986)</f>
        <v>0.514010073768541</v>
      </c>
    </row>
    <row r="1987" customFormat="false" ht="15" hidden="false" customHeight="false" outlineLevel="0" collapsed="false">
      <c r="A1987" s="39" t="s">
        <v>2109</v>
      </c>
      <c r="B1987" s="40" t="n">
        <v>45925</v>
      </c>
      <c r="C1987" s="39" t="s">
        <v>104</v>
      </c>
      <c r="D1987" s="39" t="n">
        <v>3</v>
      </c>
      <c r="E1987" s="41" t="n">
        <v>15.18</v>
      </c>
      <c r="F1987" s="39" t="s">
        <v>105</v>
      </c>
      <c r="G1987" s="39" t="str">
        <f aca="false">VLOOKUP(C1987,Products!$A$5:$D$24,2,FALSE())</f>
        <v>Water Bottle</v>
      </c>
      <c r="H1987" s="39" t="str">
        <f aca="false">VLOOKUP(C1987,Products!$A$5:$D$24,3,FALSE())</f>
        <v>Accessories</v>
      </c>
      <c r="I1987" s="41" t="n">
        <f aca="false">VLOOKUP(C1987,Products!$A$5:$D$24,4,FALSE())</f>
        <v>5</v>
      </c>
      <c r="J1987" s="42" t="n">
        <f aca="false">DATE(YEAR(B1987),MONTH(B1987),1)</f>
        <v>45901</v>
      </c>
      <c r="K1987" s="41" t="n">
        <f aca="false">D1987*E1987</f>
        <v>45.54</v>
      </c>
      <c r="L1987" s="41" t="n">
        <f aca="false">D1987*I1987</f>
        <v>15</v>
      </c>
      <c r="M1987" s="41" t="n">
        <f aca="false">IFERROR(INDEX(Raw_Expenses!$C$5:$C$2979,MATCH(A1987,Raw_Expenses!$A$5:$A$2979,0)),0)</f>
        <v>2.39</v>
      </c>
      <c r="N1987" s="41" t="n">
        <f aca="false">L1987+M1987</f>
        <v>17.39</v>
      </c>
      <c r="O1987" s="41" t="n">
        <f aca="false">K1987-N1987</f>
        <v>28.15</v>
      </c>
      <c r="P1987" s="43" t="n">
        <f aca="false">IF(K1987=0,0,O1987/K1987)</f>
        <v>0.618137900746596</v>
      </c>
    </row>
    <row r="1988" customFormat="false" ht="15" hidden="false" customHeight="false" outlineLevel="0" collapsed="false">
      <c r="A1988" s="39" t="s">
        <v>2110</v>
      </c>
      <c r="B1988" s="40" t="n">
        <v>45926</v>
      </c>
      <c r="C1988" s="39" t="s">
        <v>133</v>
      </c>
      <c r="D1988" s="39" t="n">
        <v>3</v>
      </c>
      <c r="E1988" s="41" t="n">
        <v>8.75</v>
      </c>
      <c r="F1988" s="39" t="s">
        <v>118</v>
      </c>
      <c r="G1988" s="39" t="str">
        <f aca="false">VLOOKUP(C1988,Products!$A$5:$D$24,2,FALSE())</f>
        <v>Printer Paper Ream</v>
      </c>
      <c r="H1988" s="39" t="str">
        <f aca="false">VLOOKUP(C1988,Products!$A$5:$D$24,3,FALSE())</f>
        <v>Stationery</v>
      </c>
      <c r="I1988" s="41" t="n">
        <f aca="false">VLOOKUP(C1988,Products!$A$5:$D$24,4,FALSE())</f>
        <v>4</v>
      </c>
      <c r="J1988" s="42" t="n">
        <f aca="false">DATE(YEAR(B1988),MONTH(B1988),1)</f>
        <v>45901</v>
      </c>
      <c r="K1988" s="41" t="n">
        <f aca="false">D1988*E1988</f>
        <v>26.25</v>
      </c>
      <c r="L1988" s="41" t="n">
        <f aca="false">D1988*I1988</f>
        <v>12</v>
      </c>
      <c r="M1988" s="41" t="n">
        <f aca="false">IFERROR(INDEX(Raw_Expenses!$C$5:$C$2979,MATCH(A1988,Raw_Expenses!$A$5:$A$2979,0)),0)</f>
        <v>0</v>
      </c>
      <c r="N1988" s="41" t="n">
        <f aca="false">L1988+M1988</f>
        <v>12</v>
      </c>
      <c r="O1988" s="41" t="n">
        <f aca="false">K1988-N1988</f>
        <v>14.25</v>
      </c>
      <c r="P1988" s="43" t="n">
        <f aca="false">IF(K1988=0,0,O1988/K1988)</f>
        <v>0.542857142857143</v>
      </c>
    </row>
    <row r="1989" customFormat="false" ht="15" hidden="false" customHeight="false" outlineLevel="0" collapsed="false">
      <c r="A1989" s="39" t="s">
        <v>2111</v>
      </c>
      <c r="B1989" s="40" t="n">
        <v>45926</v>
      </c>
      <c r="C1989" s="39" t="s">
        <v>144</v>
      </c>
      <c r="D1989" s="39" t="n">
        <v>1</v>
      </c>
      <c r="E1989" s="41" t="n">
        <v>56.78</v>
      </c>
      <c r="F1989" s="39" t="s">
        <v>115</v>
      </c>
      <c r="G1989" s="39" t="str">
        <f aca="false">VLOOKUP(C1989,Products!$A$5:$D$24,2,FALSE())</f>
        <v>Whiteboard</v>
      </c>
      <c r="H1989" s="39" t="str">
        <f aca="false">VLOOKUP(C1989,Products!$A$5:$D$24,3,FALSE())</f>
        <v>Furniture</v>
      </c>
      <c r="I1989" s="41" t="n">
        <f aca="false">VLOOKUP(C1989,Products!$A$5:$D$24,4,FALSE())</f>
        <v>28</v>
      </c>
      <c r="J1989" s="42" t="n">
        <f aca="false">DATE(YEAR(B1989),MONTH(B1989),1)</f>
        <v>45901</v>
      </c>
      <c r="K1989" s="41" t="n">
        <f aca="false">D1989*E1989</f>
        <v>56.78</v>
      </c>
      <c r="L1989" s="41" t="n">
        <f aca="false">D1989*I1989</f>
        <v>28</v>
      </c>
      <c r="M1989" s="41" t="n">
        <f aca="false">IFERROR(INDEX(Raw_Expenses!$C$5:$C$2979,MATCH(A1989,Raw_Expenses!$A$5:$A$2979,0)),0)</f>
        <v>3.42</v>
      </c>
      <c r="N1989" s="41" t="n">
        <f aca="false">L1989+M1989</f>
        <v>31.42</v>
      </c>
      <c r="O1989" s="41" t="n">
        <f aca="false">K1989-N1989</f>
        <v>25.36</v>
      </c>
      <c r="P1989" s="43" t="n">
        <f aca="false">IF(K1989=0,0,O1989/K1989)</f>
        <v>0.446636139485734</v>
      </c>
    </row>
    <row r="1990" customFormat="false" ht="15" hidden="false" customHeight="false" outlineLevel="0" collapsed="false">
      <c r="A1990" s="39" t="s">
        <v>2112</v>
      </c>
      <c r="B1990" s="40" t="n">
        <v>45926</v>
      </c>
      <c r="C1990" s="39" t="s">
        <v>130</v>
      </c>
      <c r="D1990" s="39" t="n">
        <v>5</v>
      </c>
      <c r="E1990" s="41" t="n">
        <v>8.66</v>
      </c>
      <c r="F1990" s="39" t="s">
        <v>108</v>
      </c>
      <c r="G1990" s="39" t="str">
        <f aca="false">VLOOKUP(C1990,Products!$A$5:$D$24,2,FALSE())</f>
        <v>Notebook Set</v>
      </c>
      <c r="H1990" s="39" t="str">
        <f aca="false">VLOOKUP(C1990,Products!$A$5:$D$24,3,FALSE())</f>
        <v>Stationery</v>
      </c>
      <c r="I1990" s="41" t="n">
        <f aca="false">VLOOKUP(C1990,Products!$A$5:$D$24,4,FALSE())</f>
        <v>3</v>
      </c>
      <c r="J1990" s="42" t="n">
        <f aca="false">DATE(YEAR(B1990),MONTH(B1990),1)</f>
        <v>45901</v>
      </c>
      <c r="K1990" s="41" t="n">
        <f aca="false">D1990*E1990</f>
        <v>43.3</v>
      </c>
      <c r="L1990" s="41" t="n">
        <f aca="false">D1990*I1990</f>
        <v>15</v>
      </c>
      <c r="M1990" s="41" t="n">
        <f aca="false">IFERROR(INDEX(Raw_Expenses!$C$5:$C$2979,MATCH(A1990,Raw_Expenses!$A$5:$A$2979,0)),0)</f>
        <v>2.83</v>
      </c>
      <c r="N1990" s="41" t="n">
        <f aca="false">L1990+M1990</f>
        <v>17.83</v>
      </c>
      <c r="O1990" s="41" t="n">
        <f aca="false">K1990-N1990</f>
        <v>25.47</v>
      </c>
      <c r="P1990" s="43" t="n">
        <f aca="false">IF(K1990=0,0,O1990/K1990)</f>
        <v>0.588221709006928</v>
      </c>
    </row>
    <row r="1991" customFormat="false" ht="15" hidden="false" customHeight="false" outlineLevel="0" collapsed="false">
      <c r="A1991" s="39" t="s">
        <v>2113</v>
      </c>
      <c r="B1991" s="40" t="n">
        <v>45926</v>
      </c>
      <c r="C1991" s="39" t="s">
        <v>133</v>
      </c>
      <c r="D1991" s="39" t="n">
        <v>3</v>
      </c>
      <c r="E1991" s="41" t="n">
        <v>8.32</v>
      </c>
      <c r="F1991" s="39" t="s">
        <v>118</v>
      </c>
      <c r="G1991" s="39" t="str">
        <f aca="false">VLOOKUP(C1991,Products!$A$5:$D$24,2,FALSE())</f>
        <v>Printer Paper Ream</v>
      </c>
      <c r="H1991" s="39" t="str">
        <f aca="false">VLOOKUP(C1991,Products!$A$5:$D$24,3,FALSE())</f>
        <v>Stationery</v>
      </c>
      <c r="I1991" s="41" t="n">
        <f aca="false">VLOOKUP(C1991,Products!$A$5:$D$24,4,FALSE())</f>
        <v>4</v>
      </c>
      <c r="J1991" s="42" t="n">
        <f aca="false">DATE(YEAR(B1991),MONTH(B1991),1)</f>
        <v>45901</v>
      </c>
      <c r="K1991" s="41" t="n">
        <f aca="false">D1991*E1991</f>
        <v>24.96</v>
      </c>
      <c r="L1991" s="41" t="n">
        <f aca="false">D1991*I1991</f>
        <v>12</v>
      </c>
      <c r="M1991" s="41" t="n">
        <f aca="false">IFERROR(INDEX(Raw_Expenses!$C$5:$C$2979,MATCH(A1991,Raw_Expenses!$A$5:$A$2979,0)),0)</f>
        <v>1.52</v>
      </c>
      <c r="N1991" s="41" t="n">
        <f aca="false">L1991+M1991</f>
        <v>13.52</v>
      </c>
      <c r="O1991" s="41" t="n">
        <f aca="false">K1991-N1991</f>
        <v>11.44</v>
      </c>
      <c r="P1991" s="43" t="n">
        <f aca="false">IF(K1991=0,0,O1991/K1991)</f>
        <v>0.458333333333333</v>
      </c>
    </row>
    <row r="1992" customFormat="false" ht="15" hidden="false" customHeight="false" outlineLevel="0" collapsed="false">
      <c r="A1992" s="39" t="s">
        <v>2114</v>
      </c>
      <c r="B1992" s="40" t="n">
        <v>45926</v>
      </c>
      <c r="C1992" s="39" t="s">
        <v>144</v>
      </c>
      <c r="D1992" s="39" t="n">
        <v>1</v>
      </c>
      <c r="E1992" s="41" t="n">
        <v>54.34</v>
      </c>
      <c r="F1992" s="39" t="s">
        <v>118</v>
      </c>
      <c r="G1992" s="39" t="str">
        <f aca="false">VLOOKUP(C1992,Products!$A$5:$D$24,2,FALSE())</f>
        <v>Whiteboard</v>
      </c>
      <c r="H1992" s="39" t="str">
        <f aca="false">VLOOKUP(C1992,Products!$A$5:$D$24,3,FALSE())</f>
        <v>Furniture</v>
      </c>
      <c r="I1992" s="41" t="n">
        <f aca="false">VLOOKUP(C1992,Products!$A$5:$D$24,4,FALSE())</f>
        <v>28</v>
      </c>
      <c r="J1992" s="42" t="n">
        <f aca="false">DATE(YEAR(B1992),MONTH(B1992),1)</f>
        <v>45901</v>
      </c>
      <c r="K1992" s="41" t="n">
        <f aca="false">D1992*E1992</f>
        <v>54.34</v>
      </c>
      <c r="L1992" s="41" t="n">
        <f aca="false">D1992*I1992</f>
        <v>28</v>
      </c>
      <c r="M1992" s="41" t="n">
        <f aca="false">IFERROR(INDEX(Raw_Expenses!$C$5:$C$2979,MATCH(A1992,Raw_Expenses!$A$5:$A$2979,0)),0)</f>
        <v>4.69</v>
      </c>
      <c r="N1992" s="41" t="n">
        <f aca="false">L1992+M1992</f>
        <v>32.69</v>
      </c>
      <c r="O1992" s="41" t="n">
        <f aca="false">K1992-N1992</f>
        <v>21.65</v>
      </c>
      <c r="P1992" s="43" t="n">
        <f aca="false">IF(K1992=0,0,O1992/K1992)</f>
        <v>0.398417372101583</v>
      </c>
    </row>
    <row r="1993" customFormat="false" ht="15" hidden="false" customHeight="false" outlineLevel="0" collapsed="false">
      <c r="A1993" s="39" t="s">
        <v>2115</v>
      </c>
      <c r="B1993" s="40" t="n">
        <v>45926</v>
      </c>
      <c r="C1993" s="39" t="s">
        <v>126</v>
      </c>
      <c r="D1993" s="39" t="n">
        <v>3</v>
      </c>
      <c r="E1993" s="41" t="n">
        <v>24.21</v>
      </c>
      <c r="F1993" s="39" t="s">
        <v>115</v>
      </c>
      <c r="G1993" s="39" t="str">
        <f aca="false">VLOOKUP(C1993,Products!$A$5:$D$24,2,FALSE())</f>
        <v>Wireless Mouse</v>
      </c>
      <c r="H1993" s="39" t="str">
        <f aca="false">VLOOKUP(C1993,Products!$A$5:$D$24,3,FALSE())</f>
        <v>Electronics</v>
      </c>
      <c r="I1993" s="41" t="n">
        <f aca="false">VLOOKUP(C1993,Products!$A$5:$D$24,4,FALSE())</f>
        <v>12</v>
      </c>
      <c r="J1993" s="42" t="n">
        <f aca="false">DATE(YEAR(B1993),MONTH(B1993),1)</f>
        <v>45901</v>
      </c>
      <c r="K1993" s="41" t="n">
        <f aca="false">D1993*E1993</f>
        <v>72.63</v>
      </c>
      <c r="L1993" s="41" t="n">
        <f aca="false">D1993*I1993</f>
        <v>36</v>
      </c>
      <c r="M1993" s="41" t="n">
        <f aca="false">IFERROR(INDEX(Raw_Expenses!$C$5:$C$2979,MATCH(A1993,Raw_Expenses!$A$5:$A$2979,0)),0)</f>
        <v>4.72</v>
      </c>
      <c r="N1993" s="41" t="n">
        <f aca="false">L1993+M1993</f>
        <v>40.72</v>
      </c>
      <c r="O1993" s="41" t="n">
        <f aca="false">K1993-N1993</f>
        <v>31.91</v>
      </c>
      <c r="P1993" s="43" t="n">
        <f aca="false">IF(K1993=0,0,O1993/K1993)</f>
        <v>0.439350130799945</v>
      </c>
    </row>
    <row r="1994" customFormat="false" ht="15" hidden="false" customHeight="false" outlineLevel="0" collapsed="false">
      <c r="A1994" s="39" t="s">
        <v>2116</v>
      </c>
      <c r="B1994" s="40" t="n">
        <v>45926</v>
      </c>
      <c r="C1994" s="39" t="s">
        <v>130</v>
      </c>
      <c r="D1994" s="39" t="n">
        <v>3</v>
      </c>
      <c r="E1994" s="41" t="n">
        <v>8.84</v>
      </c>
      <c r="F1994" s="39" t="s">
        <v>115</v>
      </c>
      <c r="G1994" s="39" t="str">
        <f aca="false">VLOOKUP(C1994,Products!$A$5:$D$24,2,FALSE())</f>
        <v>Notebook Set</v>
      </c>
      <c r="H1994" s="39" t="str">
        <f aca="false">VLOOKUP(C1994,Products!$A$5:$D$24,3,FALSE())</f>
        <v>Stationery</v>
      </c>
      <c r="I1994" s="41" t="n">
        <f aca="false">VLOOKUP(C1994,Products!$A$5:$D$24,4,FALSE())</f>
        <v>3</v>
      </c>
      <c r="J1994" s="42" t="n">
        <f aca="false">DATE(YEAR(B1994),MONTH(B1994),1)</f>
        <v>45901</v>
      </c>
      <c r="K1994" s="41" t="n">
        <f aca="false">D1994*E1994</f>
        <v>26.52</v>
      </c>
      <c r="L1994" s="41" t="n">
        <f aca="false">D1994*I1994</f>
        <v>9</v>
      </c>
      <c r="M1994" s="41" t="n">
        <f aca="false">IFERROR(INDEX(Raw_Expenses!$C$5:$C$2979,MATCH(A1994,Raw_Expenses!$A$5:$A$2979,0)),0)</f>
        <v>2.25</v>
      </c>
      <c r="N1994" s="41" t="n">
        <f aca="false">L1994+M1994</f>
        <v>11.25</v>
      </c>
      <c r="O1994" s="41" t="n">
        <f aca="false">K1994-N1994</f>
        <v>15.27</v>
      </c>
      <c r="P1994" s="43" t="n">
        <f aca="false">IF(K1994=0,0,O1994/K1994)</f>
        <v>0.57579185520362</v>
      </c>
    </row>
    <row r="1995" customFormat="false" ht="15" hidden="false" customHeight="false" outlineLevel="0" collapsed="false">
      <c r="A1995" s="39" t="s">
        <v>2117</v>
      </c>
      <c r="B1995" s="40" t="n">
        <v>45927</v>
      </c>
      <c r="C1995" s="39" t="s">
        <v>144</v>
      </c>
      <c r="D1995" s="39" t="n">
        <v>3</v>
      </c>
      <c r="E1995" s="41" t="n">
        <v>57.6</v>
      </c>
      <c r="F1995" s="39" t="s">
        <v>105</v>
      </c>
      <c r="G1995" s="39" t="str">
        <f aca="false">VLOOKUP(C1995,Products!$A$5:$D$24,2,FALSE())</f>
        <v>Whiteboard</v>
      </c>
      <c r="H1995" s="39" t="str">
        <f aca="false">VLOOKUP(C1995,Products!$A$5:$D$24,3,FALSE())</f>
        <v>Furniture</v>
      </c>
      <c r="I1995" s="41" t="n">
        <f aca="false">VLOOKUP(C1995,Products!$A$5:$D$24,4,FALSE())</f>
        <v>28</v>
      </c>
      <c r="J1995" s="42" t="n">
        <f aca="false">DATE(YEAR(B1995),MONTH(B1995),1)</f>
        <v>45901</v>
      </c>
      <c r="K1995" s="41" t="n">
        <f aca="false">D1995*E1995</f>
        <v>172.8</v>
      </c>
      <c r="L1995" s="41" t="n">
        <f aca="false">D1995*I1995</f>
        <v>84</v>
      </c>
      <c r="M1995" s="41" t="n">
        <f aca="false">IFERROR(INDEX(Raw_Expenses!$C$5:$C$2979,MATCH(A1995,Raw_Expenses!$A$5:$A$2979,0)),0)</f>
        <v>7.92</v>
      </c>
      <c r="N1995" s="41" t="n">
        <f aca="false">L1995+M1995</f>
        <v>91.92</v>
      </c>
      <c r="O1995" s="41" t="n">
        <f aca="false">K1995-N1995</f>
        <v>80.88</v>
      </c>
      <c r="P1995" s="43" t="n">
        <f aca="false">IF(K1995=0,0,O1995/K1995)</f>
        <v>0.468055555555556</v>
      </c>
    </row>
    <row r="1996" customFormat="false" ht="15" hidden="false" customHeight="false" outlineLevel="0" collapsed="false">
      <c r="A1996" s="39" t="s">
        <v>2118</v>
      </c>
      <c r="B1996" s="40" t="n">
        <v>45927</v>
      </c>
      <c r="C1996" s="39" t="s">
        <v>177</v>
      </c>
      <c r="D1996" s="39" t="n">
        <v>1</v>
      </c>
      <c r="E1996" s="41" t="n">
        <v>41.94</v>
      </c>
      <c r="F1996" s="39" t="s">
        <v>118</v>
      </c>
      <c r="G1996" s="39" t="str">
        <f aca="false">VLOOKUP(C1996,Products!$A$5:$D$24,2,FALSE())</f>
        <v>Backpack</v>
      </c>
      <c r="H1996" s="39" t="str">
        <f aca="false">VLOOKUP(C1996,Products!$A$5:$D$24,3,FALSE())</f>
        <v>Accessories</v>
      </c>
      <c r="I1996" s="41" t="n">
        <f aca="false">VLOOKUP(C1996,Products!$A$5:$D$24,4,FALSE())</f>
        <v>17</v>
      </c>
      <c r="J1996" s="42" t="n">
        <f aca="false">DATE(YEAR(B1996),MONTH(B1996),1)</f>
        <v>45901</v>
      </c>
      <c r="K1996" s="41" t="n">
        <f aca="false">D1996*E1996</f>
        <v>41.94</v>
      </c>
      <c r="L1996" s="41" t="n">
        <f aca="false">D1996*I1996</f>
        <v>17</v>
      </c>
      <c r="M1996" s="41" t="n">
        <f aca="false">IFERROR(INDEX(Raw_Expenses!$C$5:$C$2979,MATCH(A1996,Raw_Expenses!$A$5:$A$2979,0)),0)</f>
        <v>1.99</v>
      </c>
      <c r="N1996" s="41" t="n">
        <f aca="false">L1996+M1996</f>
        <v>18.99</v>
      </c>
      <c r="O1996" s="41" t="n">
        <f aca="false">K1996-N1996</f>
        <v>22.95</v>
      </c>
      <c r="P1996" s="43" t="n">
        <f aca="false">IF(K1996=0,0,O1996/K1996)</f>
        <v>0.547210300429185</v>
      </c>
    </row>
    <row r="1997" customFormat="false" ht="15" hidden="false" customHeight="false" outlineLevel="0" collapsed="false">
      <c r="A1997" s="39" t="s">
        <v>2119</v>
      </c>
      <c r="B1997" s="40" t="n">
        <v>45927</v>
      </c>
      <c r="C1997" s="39" t="s">
        <v>114</v>
      </c>
      <c r="D1997" s="39" t="n">
        <v>2</v>
      </c>
      <c r="E1997" s="41" t="n">
        <v>5.94</v>
      </c>
      <c r="F1997" s="39" t="s">
        <v>108</v>
      </c>
      <c r="G1997" s="39" t="str">
        <f aca="false">VLOOKUP(C1997,Products!$A$5:$D$24,2,FALSE())</f>
        <v>Gel Pen Pack</v>
      </c>
      <c r="H1997" s="39" t="str">
        <f aca="false">VLOOKUP(C1997,Products!$A$5:$D$24,3,FALSE())</f>
        <v>Stationery</v>
      </c>
      <c r="I1997" s="41" t="n">
        <f aca="false">VLOOKUP(C1997,Products!$A$5:$D$24,4,FALSE())</f>
        <v>2</v>
      </c>
      <c r="J1997" s="42" t="n">
        <f aca="false">DATE(YEAR(B1997),MONTH(B1997),1)</f>
        <v>45901</v>
      </c>
      <c r="K1997" s="41" t="n">
        <f aca="false">D1997*E1997</f>
        <v>11.88</v>
      </c>
      <c r="L1997" s="41" t="n">
        <f aca="false">D1997*I1997</f>
        <v>4</v>
      </c>
      <c r="M1997" s="41" t="n">
        <f aca="false">IFERROR(INDEX(Raw_Expenses!$C$5:$C$2979,MATCH(A1997,Raw_Expenses!$A$5:$A$2979,0)),0)</f>
        <v>0.87</v>
      </c>
      <c r="N1997" s="41" t="n">
        <f aca="false">L1997+M1997</f>
        <v>4.87</v>
      </c>
      <c r="O1997" s="41" t="n">
        <f aca="false">K1997-N1997</f>
        <v>7.01</v>
      </c>
      <c r="P1997" s="43" t="n">
        <f aca="false">IF(K1997=0,0,O1997/K1997)</f>
        <v>0.59006734006734</v>
      </c>
    </row>
    <row r="1998" customFormat="false" ht="15" hidden="false" customHeight="false" outlineLevel="0" collapsed="false">
      <c r="A1998" s="39" t="s">
        <v>2120</v>
      </c>
      <c r="B1998" s="40" t="n">
        <v>45927</v>
      </c>
      <c r="C1998" s="39" t="s">
        <v>162</v>
      </c>
      <c r="D1998" s="39" t="n">
        <v>2</v>
      </c>
      <c r="E1998" s="41" t="n">
        <v>65.11</v>
      </c>
      <c r="F1998" s="39" t="s">
        <v>108</v>
      </c>
      <c r="G1998" s="39" t="str">
        <f aca="false">VLOOKUP(C1998,Products!$A$5:$D$24,2,FALSE())</f>
        <v>Bluetooth Speaker</v>
      </c>
      <c r="H1998" s="39" t="str">
        <f aca="false">VLOOKUP(C1998,Products!$A$5:$D$24,3,FALSE())</f>
        <v>Electronics</v>
      </c>
      <c r="I1998" s="41" t="n">
        <f aca="false">VLOOKUP(C1998,Products!$A$5:$D$24,4,FALSE())</f>
        <v>28</v>
      </c>
      <c r="J1998" s="42" t="n">
        <f aca="false">DATE(YEAR(B1998),MONTH(B1998),1)</f>
        <v>45901</v>
      </c>
      <c r="K1998" s="41" t="n">
        <f aca="false">D1998*E1998</f>
        <v>130.22</v>
      </c>
      <c r="L1998" s="41" t="n">
        <f aca="false">D1998*I1998</f>
        <v>56</v>
      </c>
      <c r="M1998" s="41" t="n">
        <f aca="false">IFERROR(INDEX(Raw_Expenses!$C$5:$C$2979,MATCH(A1998,Raw_Expenses!$A$5:$A$2979,0)),0)</f>
        <v>6.24</v>
      </c>
      <c r="N1998" s="41" t="n">
        <f aca="false">L1998+M1998</f>
        <v>62.24</v>
      </c>
      <c r="O1998" s="41" t="n">
        <f aca="false">K1998-N1998</f>
        <v>67.98</v>
      </c>
      <c r="P1998" s="43" t="n">
        <f aca="false">IF(K1998=0,0,O1998/K1998)</f>
        <v>0.522039625249578</v>
      </c>
    </row>
    <row r="1999" customFormat="false" ht="15" hidden="false" customHeight="false" outlineLevel="0" collapsed="false">
      <c r="A1999" s="39" t="s">
        <v>2121</v>
      </c>
      <c r="B1999" s="40" t="n">
        <v>45927</v>
      </c>
      <c r="C1999" s="39" t="s">
        <v>114</v>
      </c>
      <c r="D1999" s="39" t="n">
        <v>3</v>
      </c>
      <c r="E1999" s="41" t="n">
        <v>5.76</v>
      </c>
      <c r="F1999" s="39" t="s">
        <v>108</v>
      </c>
      <c r="G1999" s="39" t="str">
        <f aca="false">VLOOKUP(C1999,Products!$A$5:$D$24,2,FALSE())</f>
        <v>Gel Pen Pack</v>
      </c>
      <c r="H1999" s="39" t="str">
        <f aca="false">VLOOKUP(C1999,Products!$A$5:$D$24,3,FALSE())</f>
        <v>Stationery</v>
      </c>
      <c r="I1999" s="41" t="n">
        <f aca="false">VLOOKUP(C1999,Products!$A$5:$D$24,4,FALSE())</f>
        <v>2</v>
      </c>
      <c r="J1999" s="42" t="n">
        <f aca="false">DATE(YEAR(B1999),MONTH(B1999),1)</f>
        <v>45901</v>
      </c>
      <c r="K1999" s="41" t="n">
        <f aca="false">D1999*E1999</f>
        <v>17.28</v>
      </c>
      <c r="L1999" s="41" t="n">
        <f aca="false">D1999*I1999</f>
        <v>6</v>
      </c>
      <c r="M1999" s="41" t="n">
        <f aca="false">IFERROR(INDEX(Raw_Expenses!$C$5:$C$2979,MATCH(A1999,Raw_Expenses!$A$5:$A$2979,0)),0)</f>
        <v>1.45</v>
      </c>
      <c r="N1999" s="41" t="n">
        <f aca="false">L1999+M1999</f>
        <v>7.45</v>
      </c>
      <c r="O1999" s="41" t="n">
        <f aca="false">K1999-N1999</f>
        <v>9.83</v>
      </c>
      <c r="P1999" s="43" t="n">
        <f aca="false">IF(K1999=0,0,O1999/K1999)</f>
        <v>0.568865740740741</v>
      </c>
    </row>
    <row r="2000" customFormat="false" ht="15" hidden="false" customHeight="false" outlineLevel="0" collapsed="false">
      <c r="A2000" s="39" t="s">
        <v>2122</v>
      </c>
      <c r="B2000" s="40" t="n">
        <v>45927</v>
      </c>
      <c r="C2000" s="39" t="s">
        <v>114</v>
      </c>
      <c r="D2000" s="39" t="n">
        <v>1</v>
      </c>
      <c r="E2000" s="41" t="n">
        <v>5.69</v>
      </c>
      <c r="F2000" s="39" t="s">
        <v>118</v>
      </c>
      <c r="G2000" s="39" t="str">
        <f aca="false">VLOOKUP(C2000,Products!$A$5:$D$24,2,FALSE())</f>
        <v>Gel Pen Pack</v>
      </c>
      <c r="H2000" s="39" t="str">
        <f aca="false">VLOOKUP(C2000,Products!$A$5:$D$24,3,FALSE())</f>
        <v>Stationery</v>
      </c>
      <c r="I2000" s="41" t="n">
        <f aca="false">VLOOKUP(C2000,Products!$A$5:$D$24,4,FALSE())</f>
        <v>2</v>
      </c>
      <c r="J2000" s="42" t="n">
        <f aca="false">DATE(YEAR(B2000),MONTH(B2000),1)</f>
        <v>45901</v>
      </c>
      <c r="K2000" s="41" t="n">
        <f aca="false">D2000*E2000</f>
        <v>5.69</v>
      </c>
      <c r="L2000" s="41" t="n">
        <f aca="false">D2000*I2000</f>
        <v>2</v>
      </c>
      <c r="M2000" s="41" t="n">
        <f aca="false">IFERROR(INDEX(Raw_Expenses!$C$5:$C$2979,MATCH(A2000,Raw_Expenses!$A$5:$A$2979,0)),0)</f>
        <v>0.41</v>
      </c>
      <c r="N2000" s="41" t="n">
        <f aca="false">L2000+M2000</f>
        <v>2.41</v>
      </c>
      <c r="O2000" s="41" t="n">
        <f aca="false">K2000-N2000</f>
        <v>3.28</v>
      </c>
      <c r="P2000" s="43" t="n">
        <f aca="false">IF(K2000=0,0,O2000/K2000)</f>
        <v>0.576449912126538</v>
      </c>
    </row>
    <row r="2001" customFormat="false" ht="15" hidden="false" customHeight="false" outlineLevel="0" collapsed="false">
      <c r="A2001" s="39" t="s">
        <v>2123</v>
      </c>
      <c r="B2001" s="40" t="n">
        <v>45927</v>
      </c>
      <c r="C2001" s="39" t="s">
        <v>136</v>
      </c>
      <c r="D2001" s="39" t="n">
        <v>3</v>
      </c>
      <c r="E2001" s="41" t="n">
        <v>76.47</v>
      </c>
      <c r="F2001" s="39" t="s">
        <v>115</v>
      </c>
      <c r="G2001" s="39" t="str">
        <f aca="false">VLOOKUP(C2001,Products!$A$5:$D$24,2,FALSE())</f>
        <v>Mechanical Keyboard</v>
      </c>
      <c r="H2001" s="39" t="str">
        <f aca="false">VLOOKUP(C2001,Products!$A$5:$D$24,3,FALSE())</f>
        <v>Electronics</v>
      </c>
      <c r="I2001" s="41" t="n">
        <f aca="false">VLOOKUP(C2001,Products!$A$5:$D$24,4,FALSE())</f>
        <v>38</v>
      </c>
      <c r="J2001" s="42" t="n">
        <f aca="false">DATE(YEAR(B2001),MONTH(B2001),1)</f>
        <v>45901</v>
      </c>
      <c r="K2001" s="41" t="n">
        <f aca="false">D2001*E2001</f>
        <v>229.41</v>
      </c>
      <c r="L2001" s="41" t="n">
        <f aca="false">D2001*I2001</f>
        <v>114</v>
      </c>
      <c r="M2001" s="41" t="n">
        <f aca="false">IFERROR(INDEX(Raw_Expenses!$C$5:$C$2979,MATCH(A2001,Raw_Expenses!$A$5:$A$2979,0)),0)</f>
        <v>20.04</v>
      </c>
      <c r="N2001" s="41" t="n">
        <f aca="false">L2001+M2001</f>
        <v>134.04</v>
      </c>
      <c r="O2001" s="41" t="n">
        <f aca="false">K2001-N2001</f>
        <v>95.37</v>
      </c>
      <c r="P2001" s="43" t="n">
        <f aca="false">IF(K2001=0,0,O2001/K2001)</f>
        <v>0.415718582450634</v>
      </c>
    </row>
    <row r="2002" customFormat="false" ht="15" hidden="false" customHeight="false" outlineLevel="0" collapsed="false">
      <c r="A2002" s="39" t="s">
        <v>2124</v>
      </c>
      <c r="B2002" s="40" t="n">
        <v>45927</v>
      </c>
      <c r="C2002" s="39" t="s">
        <v>114</v>
      </c>
      <c r="D2002" s="39" t="n">
        <v>1</v>
      </c>
      <c r="E2002" s="41" t="n">
        <v>5.55</v>
      </c>
      <c r="F2002" s="39" t="s">
        <v>118</v>
      </c>
      <c r="G2002" s="39" t="str">
        <f aca="false">VLOOKUP(C2002,Products!$A$5:$D$24,2,FALSE())</f>
        <v>Gel Pen Pack</v>
      </c>
      <c r="H2002" s="39" t="str">
        <f aca="false">VLOOKUP(C2002,Products!$A$5:$D$24,3,FALSE())</f>
        <v>Stationery</v>
      </c>
      <c r="I2002" s="41" t="n">
        <f aca="false">VLOOKUP(C2002,Products!$A$5:$D$24,4,FALSE())</f>
        <v>2</v>
      </c>
      <c r="J2002" s="42" t="n">
        <f aca="false">DATE(YEAR(B2002),MONTH(B2002),1)</f>
        <v>45901</v>
      </c>
      <c r="K2002" s="41" t="n">
        <f aca="false">D2002*E2002</f>
        <v>5.55</v>
      </c>
      <c r="L2002" s="41" t="n">
        <f aca="false">D2002*I2002</f>
        <v>2</v>
      </c>
      <c r="M2002" s="41" t="n">
        <f aca="false">IFERROR(INDEX(Raw_Expenses!$C$5:$C$2979,MATCH(A2002,Raw_Expenses!$A$5:$A$2979,0)),0)</f>
        <v>0.25</v>
      </c>
      <c r="N2002" s="41" t="n">
        <f aca="false">L2002+M2002</f>
        <v>2.25</v>
      </c>
      <c r="O2002" s="41" t="n">
        <f aca="false">K2002-N2002</f>
        <v>3.3</v>
      </c>
      <c r="P2002" s="43" t="n">
        <f aca="false">IF(K2002=0,0,O2002/K2002)</f>
        <v>0.594594594594595</v>
      </c>
    </row>
    <row r="2003" customFormat="false" ht="15" hidden="false" customHeight="false" outlineLevel="0" collapsed="false">
      <c r="A2003" s="39" t="s">
        <v>2125</v>
      </c>
      <c r="B2003" s="40" t="n">
        <v>45927</v>
      </c>
      <c r="C2003" s="39" t="s">
        <v>183</v>
      </c>
      <c r="D2003" s="39" t="n">
        <v>1</v>
      </c>
      <c r="E2003" s="41" t="n">
        <v>179.34</v>
      </c>
      <c r="F2003" s="39" t="s">
        <v>115</v>
      </c>
      <c r="G2003" s="39" t="str">
        <f aca="false">VLOOKUP(C2003,Products!$A$5:$D$24,2,FALSE())</f>
        <v>Office Chair</v>
      </c>
      <c r="H2003" s="39" t="str">
        <f aca="false">VLOOKUP(C2003,Products!$A$5:$D$24,3,FALSE())</f>
        <v>Furniture</v>
      </c>
      <c r="I2003" s="41" t="n">
        <f aca="false">VLOOKUP(C2003,Products!$A$5:$D$24,4,FALSE())</f>
        <v>85</v>
      </c>
      <c r="J2003" s="42" t="n">
        <f aca="false">DATE(YEAR(B2003),MONTH(B2003),1)</f>
        <v>45901</v>
      </c>
      <c r="K2003" s="41" t="n">
        <f aca="false">D2003*E2003</f>
        <v>179.34</v>
      </c>
      <c r="L2003" s="41" t="n">
        <f aca="false">D2003*I2003</f>
        <v>85</v>
      </c>
      <c r="M2003" s="41" t="n">
        <f aca="false">IFERROR(INDEX(Raw_Expenses!$C$5:$C$2979,MATCH(A2003,Raw_Expenses!$A$5:$A$2979,0)),0)</f>
        <v>8.39</v>
      </c>
      <c r="N2003" s="41" t="n">
        <f aca="false">L2003+M2003</f>
        <v>93.39</v>
      </c>
      <c r="O2003" s="41" t="n">
        <f aca="false">K2003-N2003</f>
        <v>85.95</v>
      </c>
      <c r="P2003" s="43" t="n">
        <f aca="false">IF(K2003=0,0,O2003/K2003)</f>
        <v>0.479257276681164</v>
      </c>
    </row>
    <row r="2004" customFormat="false" ht="15" hidden="false" customHeight="false" outlineLevel="0" collapsed="false">
      <c r="A2004" s="39" t="s">
        <v>2126</v>
      </c>
      <c r="B2004" s="40" t="n">
        <v>45928</v>
      </c>
      <c r="C2004" s="39" t="s">
        <v>169</v>
      </c>
      <c r="D2004" s="39" t="n">
        <v>5</v>
      </c>
      <c r="E2004" s="41" t="n">
        <v>27.27</v>
      </c>
      <c r="F2004" s="39" t="s">
        <v>118</v>
      </c>
      <c r="G2004" s="39" t="str">
        <f aca="false">VLOOKUP(C2004,Products!$A$5:$D$24,2,FALSE())</f>
        <v>Laptop Stand</v>
      </c>
      <c r="H2004" s="39" t="str">
        <f aca="false">VLOOKUP(C2004,Products!$A$5:$D$24,3,FALSE())</f>
        <v>Accessories</v>
      </c>
      <c r="I2004" s="41" t="n">
        <f aca="false">VLOOKUP(C2004,Products!$A$5:$D$24,4,FALSE())</f>
        <v>11</v>
      </c>
      <c r="J2004" s="42" t="n">
        <f aca="false">DATE(YEAR(B2004),MONTH(B2004),1)</f>
        <v>45901</v>
      </c>
      <c r="K2004" s="41" t="n">
        <f aca="false">D2004*E2004</f>
        <v>136.35</v>
      </c>
      <c r="L2004" s="41" t="n">
        <f aca="false">D2004*I2004</f>
        <v>55</v>
      </c>
      <c r="M2004" s="41" t="n">
        <f aca="false">IFERROR(INDEX(Raw_Expenses!$C$5:$C$2979,MATCH(A2004,Raw_Expenses!$A$5:$A$2979,0)),0)</f>
        <v>8.14</v>
      </c>
      <c r="N2004" s="41" t="n">
        <f aca="false">L2004+M2004</f>
        <v>63.14</v>
      </c>
      <c r="O2004" s="41" t="n">
        <f aca="false">K2004-N2004</f>
        <v>73.21</v>
      </c>
      <c r="P2004" s="43" t="n">
        <f aca="false">IF(K2004=0,0,O2004/K2004)</f>
        <v>0.536927026035937</v>
      </c>
    </row>
    <row r="2005" customFormat="false" ht="15" hidden="false" customHeight="false" outlineLevel="0" collapsed="false">
      <c r="A2005" s="39" t="s">
        <v>2127</v>
      </c>
      <c r="B2005" s="40" t="n">
        <v>45928</v>
      </c>
      <c r="C2005" s="39" t="s">
        <v>133</v>
      </c>
      <c r="D2005" s="39" t="n">
        <v>5</v>
      </c>
      <c r="E2005" s="41" t="n">
        <v>8.28</v>
      </c>
      <c r="F2005" s="39" t="s">
        <v>118</v>
      </c>
      <c r="G2005" s="39" t="str">
        <f aca="false">VLOOKUP(C2005,Products!$A$5:$D$24,2,FALSE())</f>
        <v>Printer Paper Ream</v>
      </c>
      <c r="H2005" s="39" t="str">
        <f aca="false">VLOOKUP(C2005,Products!$A$5:$D$24,3,FALSE())</f>
        <v>Stationery</v>
      </c>
      <c r="I2005" s="41" t="n">
        <f aca="false">VLOOKUP(C2005,Products!$A$5:$D$24,4,FALSE())</f>
        <v>4</v>
      </c>
      <c r="J2005" s="42" t="n">
        <f aca="false">DATE(YEAR(B2005),MONTH(B2005),1)</f>
        <v>45901</v>
      </c>
      <c r="K2005" s="41" t="n">
        <f aca="false">D2005*E2005</f>
        <v>41.4</v>
      </c>
      <c r="L2005" s="41" t="n">
        <f aca="false">D2005*I2005</f>
        <v>20</v>
      </c>
      <c r="M2005" s="41" t="n">
        <f aca="false">IFERROR(INDEX(Raw_Expenses!$C$5:$C$2979,MATCH(A2005,Raw_Expenses!$A$5:$A$2979,0)),0)</f>
        <v>1.73</v>
      </c>
      <c r="N2005" s="41" t="n">
        <f aca="false">L2005+M2005</f>
        <v>21.73</v>
      </c>
      <c r="O2005" s="41" t="n">
        <f aca="false">K2005-N2005</f>
        <v>19.67</v>
      </c>
      <c r="P2005" s="43" t="n">
        <f aca="false">IF(K2005=0,0,O2005/K2005)</f>
        <v>0.47512077294686</v>
      </c>
    </row>
    <row r="2006" customFormat="false" ht="15" hidden="false" customHeight="false" outlineLevel="0" collapsed="false">
      <c r="A2006" s="39" t="s">
        <v>2128</v>
      </c>
      <c r="B2006" s="40" t="n">
        <v>45928</v>
      </c>
      <c r="C2006" s="39" t="s">
        <v>126</v>
      </c>
      <c r="D2006" s="39" t="n">
        <v>1</v>
      </c>
      <c r="E2006" s="41" t="n">
        <v>23.1</v>
      </c>
      <c r="F2006" s="39" t="s">
        <v>118</v>
      </c>
      <c r="G2006" s="39" t="str">
        <f aca="false">VLOOKUP(C2006,Products!$A$5:$D$24,2,FALSE())</f>
        <v>Wireless Mouse</v>
      </c>
      <c r="H2006" s="39" t="str">
        <f aca="false">VLOOKUP(C2006,Products!$A$5:$D$24,3,FALSE())</f>
        <v>Electronics</v>
      </c>
      <c r="I2006" s="41" t="n">
        <f aca="false">VLOOKUP(C2006,Products!$A$5:$D$24,4,FALSE())</f>
        <v>12</v>
      </c>
      <c r="J2006" s="42" t="n">
        <f aca="false">DATE(YEAR(B2006),MONTH(B2006),1)</f>
        <v>45901</v>
      </c>
      <c r="K2006" s="41" t="n">
        <f aca="false">D2006*E2006</f>
        <v>23.1</v>
      </c>
      <c r="L2006" s="41" t="n">
        <f aca="false">D2006*I2006</f>
        <v>12</v>
      </c>
      <c r="M2006" s="41" t="n">
        <f aca="false">IFERROR(INDEX(Raw_Expenses!$C$5:$C$2979,MATCH(A2006,Raw_Expenses!$A$5:$A$2979,0)),0)</f>
        <v>2.02</v>
      </c>
      <c r="N2006" s="41" t="n">
        <f aca="false">L2006+M2006</f>
        <v>14.02</v>
      </c>
      <c r="O2006" s="41" t="n">
        <f aca="false">K2006-N2006</f>
        <v>9.08</v>
      </c>
      <c r="P2006" s="43" t="n">
        <f aca="false">IF(K2006=0,0,O2006/K2006)</f>
        <v>0.393073593073593</v>
      </c>
    </row>
    <row r="2007" customFormat="false" ht="15" hidden="false" customHeight="false" outlineLevel="0" collapsed="false">
      <c r="A2007" s="39" t="s">
        <v>2129</v>
      </c>
      <c r="B2007" s="40" t="n">
        <v>45928</v>
      </c>
      <c r="C2007" s="39" t="s">
        <v>136</v>
      </c>
      <c r="D2007" s="39" t="n">
        <v>3</v>
      </c>
      <c r="E2007" s="41" t="n">
        <v>78.99</v>
      </c>
      <c r="F2007" s="39" t="s">
        <v>105</v>
      </c>
      <c r="G2007" s="39" t="str">
        <f aca="false">VLOOKUP(C2007,Products!$A$5:$D$24,2,FALSE())</f>
        <v>Mechanical Keyboard</v>
      </c>
      <c r="H2007" s="39" t="str">
        <f aca="false">VLOOKUP(C2007,Products!$A$5:$D$24,3,FALSE())</f>
        <v>Electronics</v>
      </c>
      <c r="I2007" s="41" t="n">
        <f aca="false">VLOOKUP(C2007,Products!$A$5:$D$24,4,FALSE())</f>
        <v>38</v>
      </c>
      <c r="J2007" s="42" t="n">
        <f aca="false">DATE(YEAR(B2007),MONTH(B2007),1)</f>
        <v>45901</v>
      </c>
      <c r="K2007" s="41" t="n">
        <f aca="false">D2007*E2007</f>
        <v>236.97</v>
      </c>
      <c r="L2007" s="41" t="n">
        <f aca="false">D2007*I2007</f>
        <v>114</v>
      </c>
      <c r="M2007" s="41" t="n">
        <f aca="false">IFERROR(INDEX(Raw_Expenses!$C$5:$C$2979,MATCH(A2007,Raw_Expenses!$A$5:$A$2979,0)),0)</f>
        <v>16.15</v>
      </c>
      <c r="N2007" s="41" t="n">
        <f aca="false">L2007+M2007</f>
        <v>130.15</v>
      </c>
      <c r="O2007" s="41" t="n">
        <f aca="false">K2007-N2007</f>
        <v>106.82</v>
      </c>
      <c r="P2007" s="43" t="n">
        <f aca="false">IF(K2007=0,0,O2007/K2007)</f>
        <v>0.450774359623581</v>
      </c>
    </row>
    <row r="2008" customFormat="false" ht="15" hidden="false" customHeight="false" outlineLevel="0" collapsed="false">
      <c r="A2008" s="39" t="s">
        <v>2130</v>
      </c>
      <c r="B2008" s="40" t="n">
        <v>45928</v>
      </c>
      <c r="C2008" s="39" t="s">
        <v>169</v>
      </c>
      <c r="D2008" s="39" t="n">
        <v>3</v>
      </c>
      <c r="E2008" s="41" t="n">
        <v>28.08</v>
      </c>
      <c r="F2008" s="39" t="s">
        <v>118</v>
      </c>
      <c r="G2008" s="39" t="str">
        <f aca="false">VLOOKUP(C2008,Products!$A$5:$D$24,2,FALSE())</f>
        <v>Laptop Stand</v>
      </c>
      <c r="H2008" s="39" t="str">
        <f aca="false">VLOOKUP(C2008,Products!$A$5:$D$24,3,FALSE())</f>
        <v>Accessories</v>
      </c>
      <c r="I2008" s="41" t="n">
        <f aca="false">VLOOKUP(C2008,Products!$A$5:$D$24,4,FALSE())</f>
        <v>11</v>
      </c>
      <c r="J2008" s="42" t="n">
        <f aca="false">DATE(YEAR(B2008),MONTH(B2008),1)</f>
        <v>45901</v>
      </c>
      <c r="K2008" s="41" t="n">
        <f aca="false">D2008*E2008</f>
        <v>84.24</v>
      </c>
      <c r="L2008" s="41" t="n">
        <f aca="false">D2008*I2008</f>
        <v>33</v>
      </c>
      <c r="M2008" s="41" t="n">
        <f aca="false">IFERROR(INDEX(Raw_Expenses!$C$5:$C$2979,MATCH(A2008,Raw_Expenses!$A$5:$A$2979,0)),0)</f>
        <v>4.04</v>
      </c>
      <c r="N2008" s="41" t="n">
        <f aca="false">L2008+M2008</f>
        <v>37.04</v>
      </c>
      <c r="O2008" s="41" t="n">
        <f aca="false">K2008-N2008</f>
        <v>47.2</v>
      </c>
      <c r="P2008" s="43" t="n">
        <f aca="false">IF(K2008=0,0,O2008/K2008)</f>
        <v>0.560303893637227</v>
      </c>
    </row>
    <row r="2009" customFormat="false" ht="15" hidden="false" customHeight="false" outlineLevel="0" collapsed="false">
      <c r="A2009" s="39" t="s">
        <v>2131</v>
      </c>
      <c r="B2009" s="40" t="n">
        <v>45928</v>
      </c>
      <c r="C2009" s="39" t="s">
        <v>114</v>
      </c>
      <c r="D2009" s="39" t="n">
        <v>2</v>
      </c>
      <c r="E2009" s="41" t="n">
        <v>5.73</v>
      </c>
      <c r="F2009" s="39" t="s">
        <v>118</v>
      </c>
      <c r="G2009" s="39" t="str">
        <f aca="false">VLOOKUP(C2009,Products!$A$5:$D$24,2,FALSE())</f>
        <v>Gel Pen Pack</v>
      </c>
      <c r="H2009" s="39" t="str">
        <f aca="false">VLOOKUP(C2009,Products!$A$5:$D$24,3,FALSE())</f>
        <v>Stationery</v>
      </c>
      <c r="I2009" s="41" t="n">
        <f aca="false">VLOOKUP(C2009,Products!$A$5:$D$24,4,FALSE())</f>
        <v>2</v>
      </c>
      <c r="J2009" s="42" t="n">
        <f aca="false">DATE(YEAR(B2009),MONTH(B2009),1)</f>
        <v>45901</v>
      </c>
      <c r="K2009" s="41" t="n">
        <f aca="false">D2009*E2009</f>
        <v>11.46</v>
      </c>
      <c r="L2009" s="41" t="n">
        <f aca="false">D2009*I2009</f>
        <v>4</v>
      </c>
      <c r="M2009" s="41" t="n">
        <f aca="false">IFERROR(INDEX(Raw_Expenses!$C$5:$C$2979,MATCH(A2009,Raw_Expenses!$A$5:$A$2979,0)),0)</f>
        <v>0.66</v>
      </c>
      <c r="N2009" s="41" t="n">
        <f aca="false">L2009+M2009</f>
        <v>4.66</v>
      </c>
      <c r="O2009" s="41" t="n">
        <f aca="false">K2009-N2009</f>
        <v>6.8</v>
      </c>
      <c r="P2009" s="43" t="n">
        <f aca="false">IF(K2009=0,0,O2009/K2009)</f>
        <v>0.593368237347295</v>
      </c>
    </row>
    <row r="2010" customFormat="false" ht="15" hidden="false" customHeight="false" outlineLevel="0" collapsed="false">
      <c r="A2010" s="39" t="s">
        <v>2132</v>
      </c>
      <c r="B2010" s="40" t="n">
        <v>45931</v>
      </c>
      <c r="C2010" s="39" t="s">
        <v>107</v>
      </c>
      <c r="D2010" s="39" t="n">
        <v>1</v>
      </c>
      <c r="E2010" s="41" t="n">
        <v>33.71</v>
      </c>
      <c r="F2010" s="39" t="s">
        <v>105</v>
      </c>
      <c r="G2010" s="39" t="str">
        <f aca="false">VLOOKUP(C2010,Products!$A$5:$D$24,2,FALSE())</f>
        <v>USB-C Hub</v>
      </c>
      <c r="H2010" s="39" t="str">
        <f aca="false">VLOOKUP(C2010,Products!$A$5:$D$24,3,FALSE())</f>
        <v>Electronics</v>
      </c>
      <c r="I2010" s="41" t="n">
        <f aca="false">VLOOKUP(C2010,Products!$A$5:$D$24,4,FALSE())</f>
        <v>14</v>
      </c>
      <c r="J2010" s="42" t="n">
        <f aca="false">DATE(YEAR(B2010),MONTH(B2010),1)</f>
        <v>45931</v>
      </c>
      <c r="K2010" s="41" t="n">
        <f aca="false">D2010*E2010</f>
        <v>33.71</v>
      </c>
      <c r="L2010" s="41" t="n">
        <f aca="false">D2010*I2010</f>
        <v>14</v>
      </c>
      <c r="M2010" s="41" t="n">
        <f aca="false">IFERROR(INDEX(Raw_Expenses!$C$5:$C$2979,MATCH(A2010,Raw_Expenses!$A$5:$A$2979,0)),0)</f>
        <v>2.43</v>
      </c>
      <c r="N2010" s="41" t="n">
        <f aca="false">L2010+M2010</f>
        <v>16.43</v>
      </c>
      <c r="O2010" s="41" t="n">
        <f aca="false">K2010-N2010</f>
        <v>17.28</v>
      </c>
      <c r="P2010" s="43" t="n">
        <f aca="false">IF(K2010=0,0,O2010/K2010)</f>
        <v>0.512607534856126</v>
      </c>
    </row>
    <row r="2011" customFormat="false" ht="15" hidden="false" customHeight="false" outlineLevel="0" collapsed="false">
      <c r="A2011" s="39" t="s">
        <v>2133</v>
      </c>
      <c r="B2011" s="40" t="n">
        <v>45931</v>
      </c>
      <c r="C2011" s="39" t="s">
        <v>107</v>
      </c>
      <c r="D2011" s="39" t="n">
        <v>1</v>
      </c>
      <c r="E2011" s="41" t="n">
        <v>33.63</v>
      </c>
      <c r="F2011" s="39" t="s">
        <v>105</v>
      </c>
      <c r="G2011" s="39" t="str">
        <f aca="false">VLOOKUP(C2011,Products!$A$5:$D$24,2,FALSE())</f>
        <v>USB-C Hub</v>
      </c>
      <c r="H2011" s="39" t="str">
        <f aca="false">VLOOKUP(C2011,Products!$A$5:$D$24,3,FALSE())</f>
        <v>Electronics</v>
      </c>
      <c r="I2011" s="41" t="n">
        <f aca="false">VLOOKUP(C2011,Products!$A$5:$D$24,4,FALSE())</f>
        <v>14</v>
      </c>
      <c r="J2011" s="42" t="n">
        <f aca="false">DATE(YEAR(B2011),MONTH(B2011),1)</f>
        <v>45931</v>
      </c>
      <c r="K2011" s="41" t="n">
        <f aca="false">D2011*E2011</f>
        <v>33.63</v>
      </c>
      <c r="L2011" s="41" t="n">
        <f aca="false">D2011*I2011</f>
        <v>14</v>
      </c>
      <c r="M2011" s="41" t="n">
        <f aca="false">IFERROR(INDEX(Raw_Expenses!$C$5:$C$2979,MATCH(A2011,Raw_Expenses!$A$5:$A$2979,0)),0)</f>
        <v>2.8</v>
      </c>
      <c r="N2011" s="41" t="n">
        <f aca="false">L2011+M2011</f>
        <v>16.8</v>
      </c>
      <c r="O2011" s="41" t="n">
        <f aca="false">K2011-N2011</f>
        <v>16.83</v>
      </c>
      <c r="P2011" s="43" t="n">
        <f aca="false">IF(K2011=0,0,O2011/K2011)</f>
        <v>0.500446030330062</v>
      </c>
    </row>
    <row r="2012" customFormat="false" ht="15" hidden="false" customHeight="false" outlineLevel="0" collapsed="false">
      <c r="A2012" s="39" t="s">
        <v>2134</v>
      </c>
      <c r="B2012" s="40" t="n">
        <v>45931</v>
      </c>
      <c r="C2012" s="39" t="s">
        <v>128</v>
      </c>
      <c r="D2012" s="39" t="n">
        <v>3</v>
      </c>
      <c r="E2012" s="41" t="n">
        <v>36.08</v>
      </c>
      <c r="F2012" s="39" t="s">
        <v>105</v>
      </c>
      <c r="G2012" s="39" t="str">
        <f aca="false">VLOOKUP(C2012,Products!$A$5:$D$24,2,FALSE())</f>
        <v>Ergonomic Footrest</v>
      </c>
      <c r="H2012" s="39" t="str">
        <f aca="false">VLOOKUP(C2012,Products!$A$5:$D$24,3,FALSE())</f>
        <v>Furniture</v>
      </c>
      <c r="I2012" s="41" t="n">
        <f aca="false">VLOOKUP(C2012,Products!$A$5:$D$24,4,FALSE())</f>
        <v>15</v>
      </c>
      <c r="J2012" s="42" t="n">
        <f aca="false">DATE(YEAR(B2012),MONTH(B2012),1)</f>
        <v>45931</v>
      </c>
      <c r="K2012" s="41" t="n">
        <f aca="false">D2012*E2012</f>
        <v>108.24</v>
      </c>
      <c r="L2012" s="41" t="n">
        <f aca="false">D2012*I2012</f>
        <v>45</v>
      </c>
      <c r="M2012" s="41" t="n">
        <f aca="false">IFERROR(INDEX(Raw_Expenses!$C$5:$C$2979,MATCH(A2012,Raw_Expenses!$A$5:$A$2979,0)),0)</f>
        <v>5.01</v>
      </c>
      <c r="N2012" s="41" t="n">
        <f aca="false">L2012+M2012</f>
        <v>50.01</v>
      </c>
      <c r="O2012" s="41" t="n">
        <f aca="false">K2012-N2012</f>
        <v>58.23</v>
      </c>
      <c r="P2012" s="43" t="n">
        <f aca="false">IF(K2012=0,0,O2012/K2012)</f>
        <v>0.537971175166297</v>
      </c>
    </row>
    <row r="2013" customFormat="false" ht="15" hidden="false" customHeight="false" outlineLevel="0" collapsed="false">
      <c r="A2013" s="39" t="s">
        <v>2135</v>
      </c>
      <c r="B2013" s="40" t="n">
        <v>45931</v>
      </c>
      <c r="C2013" s="39" t="s">
        <v>133</v>
      </c>
      <c r="D2013" s="39" t="n">
        <v>4</v>
      </c>
      <c r="E2013" s="41" t="n">
        <v>8.59</v>
      </c>
      <c r="F2013" s="39" t="s">
        <v>105</v>
      </c>
      <c r="G2013" s="39" t="str">
        <f aca="false">VLOOKUP(C2013,Products!$A$5:$D$24,2,FALSE())</f>
        <v>Printer Paper Ream</v>
      </c>
      <c r="H2013" s="39" t="str">
        <f aca="false">VLOOKUP(C2013,Products!$A$5:$D$24,3,FALSE())</f>
        <v>Stationery</v>
      </c>
      <c r="I2013" s="41" t="n">
        <f aca="false">VLOOKUP(C2013,Products!$A$5:$D$24,4,FALSE())</f>
        <v>4</v>
      </c>
      <c r="J2013" s="42" t="n">
        <f aca="false">DATE(YEAR(B2013),MONTH(B2013),1)</f>
        <v>45931</v>
      </c>
      <c r="K2013" s="41" t="n">
        <f aca="false">D2013*E2013</f>
        <v>34.36</v>
      </c>
      <c r="L2013" s="41" t="n">
        <f aca="false">D2013*I2013</f>
        <v>16</v>
      </c>
      <c r="M2013" s="41" t="n">
        <f aca="false">IFERROR(INDEX(Raw_Expenses!$C$5:$C$2979,MATCH(A2013,Raw_Expenses!$A$5:$A$2979,0)),0)</f>
        <v>3.02</v>
      </c>
      <c r="N2013" s="41" t="n">
        <f aca="false">L2013+M2013</f>
        <v>19.02</v>
      </c>
      <c r="O2013" s="41" t="n">
        <f aca="false">K2013-N2013</f>
        <v>15.34</v>
      </c>
      <c r="P2013" s="43" t="n">
        <f aca="false">IF(K2013=0,0,O2013/K2013)</f>
        <v>0.446449359720605</v>
      </c>
    </row>
    <row r="2014" customFormat="false" ht="15" hidden="false" customHeight="false" outlineLevel="0" collapsed="false">
      <c r="A2014" s="39" t="s">
        <v>2136</v>
      </c>
      <c r="B2014" s="40" t="n">
        <v>45931</v>
      </c>
      <c r="C2014" s="39" t="s">
        <v>114</v>
      </c>
      <c r="D2014" s="39" t="n">
        <v>4</v>
      </c>
      <c r="E2014" s="41" t="n">
        <v>5.86</v>
      </c>
      <c r="F2014" s="39" t="s">
        <v>115</v>
      </c>
      <c r="G2014" s="39" t="str">
        <f aca="false">VLOOKUP(C2014,Products!$A$5:$D$24,2,FALSE())</f>
        <v>Gel Pen Pack</v>
      </c>
      <c r="H2014" s="39" t="str">
        <f aca="false">VLOOKUP(C2014,Products!$A$5:$D$24,3,FALSE())</f>
        <v>Stationery</v>
      </c>
      <c r="I2014" s="41" t="n">
        <f aca="false">VLOOKUP(C2014,Products!$A$5:$D$24,4,FALSE())</f>
        <v>2</v>
      </c>
      <c r="J2014" s="42" t="n">
        <f aca="false">DATE(YEAR(B2014),MONTH(B2014),1)</f>
        <v>45931</v>
      </c>
      <c r="K2014" s="41" t="n">
        <f aca="false">D2014*E2014</f>
        <v>23.44</v>
      </c>
      <c r="L2014" s="41" t="n">
        <f aca="false">D2014*I2014</f>
        <v>8</v>
      </c>
      <c r="M2014" s="41" t="n">
        <f aca="false">IFERROR(INDEX(Raw_Expenses!$C$5:$C$2979,MATCH(A2014,Raw_Expenses!$A$5:$A$2979,0)),0)</f>
        <v>1.93</v>
      </c>
      <c r="N2014" s="41" t="n">
        <f aca="false">L2014+M2014</f>
        <v>9.93</v>
      </c>
      <c r="O2014" s="41" t="n">
        <f aca="false">K2014-N2014</f>
        <v>13.51</v>
      </c>
      <c r="P2014" s="43" t="n">
        <f aca="false">IF(K2014=0,0,O2014/K2014)</f>
        <v>0.576365187713311</v>
      </c>
    </row>
    <row r="2015" customFormat="false" ht="15" hidden="false" customHeight="false" outlineLevel="0" collapsed="false">
      <c r="A2015" s="39" t="s">
        <v>2137</v>
      </c>
      <c r="B2015" s="40" t="n">
        <v>45931</v>
      </c>
      <c r="C2015" s="39" t="s">
        <v>169</v>
      </c>
      <c r="D2015" s="39" t="n">
        <v>4</v>
      </c>
      <c r="E2015" s="41" t="n">
        <v>28.13</v>
      </c>
      <c r="F2015" s="39" t="s">
        <v>115</v>
      </c>
      <c r="G2015" s="39" t="str">
        <f aca="false">VLOOKUP(C2015,Products!$A$5:$D$24,2,FALSE())</f>
        <v>Laptop Stand</v>
      </c>
      <c r="H2015" s="39" t="str">
        <f aca="false">VLOOKUP(C2015,Products!$A$5:$D$24,3,FALSE())</f>
        <v>Accessories</v>
      </c>
      <c r="I2015" s="41" t="n">
        <f aca="false">VLOOKUP(C2015,Products!$A$5:$D$24,4,FALSE())</f>
        <v>11</v>
      </c>
      <c r="J2015" s="42" t="n">
        <f aca="false">DATE(YEAR(B2015),MONTH(B2015),1)</f>
        <v>45931</v>
      </c>
      <c r="K2015" s="41" t="n">
        <f aca="false">D2015*E2015</f>
        <v>112.52</v>
      </c>
      <c r="L2015" s="41" t="n">
        <f aca="false">D2015*I2015</f>
        <v>44</v>
      </c>
      <c r="M2015" s="41" t="n">
        <f aca="false">IFERROR(INDEX(Raw_Expenses!$C$5:$C$2979,MATCH(A2015,Raw_Expenses!$A$5:$A$2979,0)),0)</f>
        <v>8.47</v>
      </c>
      <c r="N2015" s="41" t="n">
        <f aca="false">L2015+M2015</f>
        <v>52.47</v>
      </c>
      <c r="O2015" s="41" t="n">
        <f aca="false">K2015-N2015</f>
        <v>60.05</v>
      </c>
      <c r="P2015" s="43" t="n">
        <f aca="false">IF(K2015=0,0,O2015/K2015)</f>
        <v>0.533682900817632</v>
      </c>
    </row>
    <row r="2016" customFormat="false" ht="15" hidden="false" customHeight="false" outlineLevel="0" collapsed="false">
      <c r="A2016" s="39" t="s">
        <v>2138</v>
      </c>
      <c r="B2016" s="40" t="n">
        <v>45932</v>
      </c>
      <c r="C2016" s="39" t="s">
        <v>114</v>
      </c>
      <c r="D2016" s="39" t="n">
        <v>2</v>
      </c>
      <c r="E2016" s="41" t="n">
        <v>5.68</v>
      </c>
      <c r="F2016" s="39" t="s">
        <v>108</v>
      </c>
      <c r="G2016" s="39" t="str">
        <f aca="false">VLOOKUP(C2016,Products!$A$5:$D$24,2,FALSE())</f>
        <v>Gel Pen Pack</v>
      </c>
      <c r="H2016" s="39" t="str">
        <f aca="false">VLOOKUP(C2016,Products!$A$5:$D$24,3,FALSE())</f>
        <v>Stationery</v>
      </c>
      <c r="I2016" s="41" t="n">
        <f aca="false">VLOOKUP(C2016,Products!$A$5:$D$24,4,FALSE())</f>
        <v>2</v>
      </c>
      <c r="J2016" s="42" t="n">
        <f aca="false">DATE(YEAR(B2016),MONTH(B2016),1)</f>
        <v>45931</v>
      </c>
      <c r="K2016" s="41" t="n">
        <f aca="false">D2016*E2016</f>
        <v>11.36</v>
      </c>
      <c r="L2016" s="41" t="n">
        <f aca="false">D2016*I2016</f>
        <v>4</v>
      </c>
      <c r="M2016" s="41" t="n">
        <f aca="false">IFERROR(INDEX(Raw_Expenses!$C$5:$C$2979,MATCH(A2016,Raw_Expenses!$A$5:$A$2979,0)),0)</f>
        <v>0.79</v>
      </c>
      <c r="N2016" s="41" t="n">
        <f aca="false">L2016+M2016</f>
        <v>4.79</v>
      </c>
      <c r="O2016" s="41" t="n">
        <f aca="false">K2016-N2016</f>
        <v>6.57</v>
      </c>
      <c r="P2016" s="43" t="n">
        <f aca="false">IF(K2016=0,0,O2016/K2016)</f>
        <v>0.578345070422535</v>
      </c>
    </row>
    <row r="2017" customFormat="false" ht="15" hidden="false" customHeight="false" outlineLevel="0" collapsed="false">
      <c r="A2017" s="39" t="s">
        <v>2139</v>
      </c>
      <c r="B2017" s="40" t="n">
        <v>45932</v>
      </c>
      <c r="C2017" s="39" t="s">
        <v>139</v>
      </c>
      <c r="D2017" s="39" t="n">
        <v>4</v>
      </c>
      <c r="E2017" s="41" t="n">
        <v>119.17</v>
      </c>
      <c r="F2017" s="39" t="s">
        <v>115</v>
      </c>
      <c r="G2017" s="39" t="str">
        <f aca="false">VLOOKUP(C2017,Products!$A$5:$D$24,2,FALSE())</f>
        <v>Noise-Cancelling Headphones</v>
      </c>
      <c r="H2017" s="39" t="str">
        <f aca="false">VLOOKUP(C2017,Products!$A$5:$D$24,3,FALSE())</f>
        <v>Electronics</v>
      </c>
      <c r="I2017" s="41" t="n">
        <f aca="false">VLOOKUP(C2017,Products!$A$5:$D$24,4,FALSE())</f>
        <v>55</v>
      </c>
      <c r="J2017" s="42" t="n">
        <f aca="false">DATE(YEAR(B2017),MONTH(B2017),1)</f>
        <v>45931</v>
      </c>
      <c r="K2017" s="41" t="n">
        <f aca="false">D2017*E2017</f>
        <v>476.68</v>
      </c>
      <c r="L2017" s="41" t="n">
        <f aca="false">D2017*I2017</f>
        <v>220</v>
      </c>
      <c r="M2017" s="41" t="n">
        <f aca="false">IFERROR(INDEX(Raw_Expenses!$C$5:$C$2979,MATCH(A2017,Raw_Expenses!$A$5:$A$2979,0)),0)</f>
        <v>24.68</v>
      </c>
      <c r="N2017" s="41" t="n">
        <f aca="false">L2017+M2017</f>
        <v>244.68</v>
      </c>
      <c r="O2017" s="41" t="n">
        <f aca="false">K2017-N2017</f>
        <v>232</v>
      </c>
      <c r="P2017" s="43" t="n">
        <f aca="false">IF(K2017=0,0,O2017/K2017)</f>
        <v>0.486699672736427</v>
      </c>
    </row>
    <row r="2018" customFormat="false" ht="15" hidden="false" customHeight="false" outlineLevel="0" collapsed="false">
      <c r="A2018" s="39" t="s">
        <v>2140</v>
      </c>
      <c r="B2018" s="40" t="n">
        <v>45932</v>
      </c>
      <c r="C2018" s="39" t="s">
        <v>183</v>
      </c>
      <c r="D2018" s="39" t="n">
        <v>2</v>
      </c>
      <c r="E2018" s="41" t="n">
        <v>187.65</v>
      </c>
      <c r="F2018" s="39" t="s">
        <v>115</v>
      </c>
      <c r="G2018" s="39" t="str">
        <f aca="false">VLOOKUP(C2018,Products!$A$5:$D$24,2,FALSE())</f>
        <v>Office Chair</v>
      </c>
      <c r="H2018" s="39" t="str">
        <f aca="false">VLOOKUP(C2018,Products!$A$5:$D$24,3,FALSE())</f>
        <v>Furniture</v>
      </c>
      <c r="I2018" s="41" t="n">
        <f aca="false">VLOOKUP(C2018,Products!$A$5:$D$24,4,FALSE())</f>
        <v>85</v>
      </c>
      <c r="J2018" s="42" t="n">
        <f aca="false">DATE(YEAR(B2018),MONTH(B2018),1)</f>
        <v>45931</v>
      </c>
      <c r="K2018" s="41" t="n">
        <f aca="false">D2018*E2018</f>
        <v>375.3</v>
      </c>
      <c r="L2018" s="41" t="n">
        <f aca="false">D2018*I2018</f>
        <v>170</v>
      </c>
      <c r="M2018" s="41" t="n">
        <f aca="false">IFERROR(INDEX(Raw_Expenses!$C$5:$C$2979,MATCH(A2018,Raw_Expenses!$A$5:$A$2979,0)),0)</f>
        <v>31.81</v>
      </c>
      <c r="N2018" s="41" t="n">
        <f aca="false">L2018+M2018</f>
        <v>201.81</v>
      </c>
      <c r="O2018" s="41" t="n">
        <f aca="false">K2018-N2018</f>
        <v>173.49</v>
      </c>
      <c r="P2018" s="43" t="n">
        <f aca="false">IF(K2018=0,0,O2018/K2018)</f>
        <v>0.462270183852918</v>
      </c>
    </row>
    <row r="2019" customFormat="false" ht="15" hidden="false" customHeight="false" outlineLevel="0" collapsed="false">
      <c r="A2019" s="39" t="s">
        <v>2141</v>
      </c>
      <c r="B2019" s="40" t="n">
        <v>45932</v>
      </c>
      <c r="C2019" s="39" t="s">
        <v>117</v>
      </c>
      <c r="D2019" s="39" t="n">
        <v>5</v>
      </c>
      <c r="E2019" s="41" t="n">
        <v>29.75</v>
      </c>
      <c r="F2019" s="39" t="s">
        <v>108</v>
      </c>
      <c r="G2019" s="39" t="str">
        <f aca="false">VLOOKUP(C2019,Products!$A$5:$D$24,2,FALSE())</f>
        <v>Desk Lamp</v>
      </c>
      <c r="H2019" s="39" t="str">
        <f aca="false">VLOOKUP(C2019,Products!$A$5:$D$24,3,FALSE())</f>
        <v>Furniture</v>
      </c>
      <c r="I2019" s="41" t="n">
        <f aca="false">VLOOKUP(C2019,Products!$A$5:$D$24,4,FALSE())</f>
        <v>13</v>
      </c>
      <c r="J2019" s="42" t="n">
        <f aca="false">DATE(YEAR(B2019),MONTH(B2019),1)</f>
        <v>45931</v>
      </c>
      <c r="K2019" s="41" t="n">
        <f aca="false">D2019*E2019</f>
        <v>148.75</v>
      </c>
      <c r="L2019" s="41" t="n">
        <f aca="false">D2019*I2019</f>
        <v>65</v>
      </c>
      <c r="M2019" s="41" t="n">
        <f aca="false">IFERROR(INDEX(Raw_Expenses!$C$5:$C$2979,MATCH(A2019,Raw_Expenses!$A$5:$A$2979,0)),0)</f>
        <v>7.98</v>
      </c>
      <c r="N2019" s="41" t="n">
        <f aca="false">L2019+M2019</f>
        <v>72.98</v>
      </c>
      <c r="O2019" s="41" t="n">
        <f aca="false">K2019-N2019</f>
        <v>75.77</v>
      </c>
      <c r="P2019" s="43" t="n">
        <f aca="false">IF(K2019=0,0,O2019/K2019)</f>
        <v>0.509378151260504</v>
      </c>
    </row>
    <row r="2020" customFormat="false" ht="15" hidden="false" customHeight="false" outlineLevel="0" collapsed="false">
      <c r="A2020" s="39" t="s">
        <v>2142</v>
      </c>
      <c r="B2020" s="40" t="n">
        <v>45932</v>
      </c>
      <c r="C2020" s="39" t="s">
        <v>110</v>
      </c>
      <c r="D2020" s="39" t="n">
        <v>1</v>
      </c>
      <c r="E2020" s="41" t="n">
        <v>13.2</v>
      </c>
      <c r="F2020" s="39" t="s">
        <v>115</v>
      </c>
      <c r="G2020" s="39" t="str">
        <f aca="false">VLOOKUP(C2020,Products!$A$5:$D$24,2,FALSE())</f>
        <v>Phone Stand</v>
      </c>
      <c r="H2020" s="39" t="str">
        <f aca="false">VLOOKUP(C2020,Products!$A$5:$D$24,3,FALSE())</f>
        <v>Accessories</v>
      </c>
      <c r="I2020" s="41" t="n">
        <f aca="false">VLOOKUP(C2020,Products!$A$5:$D$24,4,FALSE())</f>
        <v>4</v>
      </c>
      <c r="J2020" s="42" t="n">
        <f aca="false">DATE(YEAR(B2020),MONTH(B2020),1)</f>
        <v>45931</v>
      </c>
      <c r="K2020" s="41" t="n">
        <f aca="false">D2020*E2020</f>
        <v>13.2</v>
      </c>
      <c r="L2020" s="41" t="n">
        <f aca="false">D2020*I2020</f>
        <v>4</v>
      </c>
      <c r="M2020" s="41" t="n">
        <f aca="false">IFERROR(INDEX(Raw_Expenses!$C$5:$C$2979,MATCH(A2020,Raw_Expenses!$A$5:$A$2979,0)),0)</f>
        <v>0.54</v>
      </c>
      <c r="N2020" s="41" t="n">
        <f aca="false">L2020+M2020</f>
        <v>4.54</v>
      </c>
      <c r="O2020" s="41" t="n">
        <f aca="false">K2020-N2020</f>
        <v>8.66</v>
      </c>
      <c r="P2020" s="43" t="n">
        <f aca="false">IF(K2020=0,0,O2020/K2020)</f>
        <v>0.656060606060606</v>
      </c>
    </row>
    <row r="2021" customFormat="false" ht="15" hidden="false" customHeight="false" outlineLevel="0" collapsed="false">
      <c r="A2021" s="39" t="s">
        <v>2143</v>
      </c>
      <c r="B2021" s="40" t="n">
        <v>45932</v>
      </c>
      <c r="C2021" s="39" t="s">
        <v>128</v>
      </c>
      <c r="D2021" s="39" t="n">
        <v>1</v>
      </c>
      <c r="E2021" s="41" t="n">
        <v>36.63</v>
      </c>
      <c r="F2021" s="39" t="s">
        <v>108</v>
      </c>
      <c r="G2021" s="39" t="str">
        <f aca="false">VLOOKUP(C2021,Products!$A$5:$D$24,2,FALSE())</f>
        <v>Ergonomic Footrest</v>
      </c>
      <c r="H2021" s="39" t="str">
        <f aca="false">VLOOKUP(C2021,Products!$A$5:$D$24,3,FALSE())</f>
        <v>Furniture</v>
      </c>
      <c r="I2021" s="41" t="n">
        <f aca="false">VLOOKUP(C2021,Products!$A$5:$D$24,4,FALSE())</f>
        <v>15</v>
      </c>
      <c r="J2021" s="42" t="n">
        <f aca="false">DATE(YEAR(B2021),MONTH(B2021),1)</f>
        <v>45931</v>
      </c>
      <c r="K2021" s="41" t="n">
        <f aca="false">D2021*E2021</f>
        <v>36.63</v>
      </c>
      <c r="L2021" s="41" t="n">
        <f aca="false">D2021*I2021</f>
        <v>15</v>
      </c>
      <c r="M2021" s="41" t="n">
        <f aca="false">IFERROR(INDEX(Raw_Expenses!$C$5:$C$2979,MATCH(A2021,Raw_Expenses!$A$5:$A$2979,0)),0)</f>
        <v>1.76</v>
      </c>
      <c r="N2021" s="41" t="n">
        <f aca="false">L2021+M2021</f>
        <v>16.76</v>
      </c>
      <c r="O2021" s="41" t="n">
        <f aca="false">K2021-N2021</f>
        <v>19.87</v>
      </c>
      <c r="P2021" s="43" t="n">
        <f aca="false">IF(K2021=0,0,O2021/K2021)</f>
        <v>0.542451542451543</v>
      </c>
    </row>
    <row r="2022" customFormat="false" ht="15" hidden="false" customHeight="false" outlineLevel="0" collapsed="false">
      <c r="A2022" s="39" t="s">
        <v>2144</v>
      </c>
      <c r="B2022" s="40" t="n">
        <v>45932</v>
      </c>
      <c r="C2022" s="39" t="s">
        <v>114</v>
      </c>
      <c r="D2022" s="39" t="n">
        <v>1</v>
      </c>
      <c r="E2022" s="41" t="n">
        <v>5.68</v>
      </c>
      <c r="F2022" s="39" t="s">
        <v>118</v>
      </c>
      <c r="G2022" s="39" t="str">
        <f aca="false">VLOOKUP(C2022,Products!$A$5:$D$24,2,FALSE())</f>
        <v>Gel Pen Pack</v>
      </c>
      <c r="H2022" s="39" t="str">
        <f aca="false">VLOOKUP(C2022,Products!$A$5:$D$24,3,FALSE())</f>
        <v>Stationery</v>
      </c>
      <c r="I2022" s="41" t="n">
        <f aca="false">VLOOKUP(C2022,Products!$A$5:$D$24,4,FALSE())</f>
        <v>2</v>
      </c>
      <c r="J2022" s="42" t="n">
        <f aca="false">DATE(YEAR(B2022),MONTH(B2022),1)</f>
        <v>45931</v>
      </c>
      <c r="K2022" s="41" t="n">
        <f aca="false">D2022*E2022</f>
        <v>5.68</v>
      </c>
      <c r="L2022" s="41" t="n">
        <f aca="false">D2022*I2022</f>
        <v>2</v>
      </c>
      <c r="M2022" s="41" t="n">
        <f aca="false">IFERROR(INDEX(Raw_Expenses!$C$5:$C$2979,MATCH(A2022,Raw_Expenses!$A$5:$A$2979,0)),0)</f>
        <v>0.43</v>
      </c>
      <c r="N2022" s="41" t="n">
        <f aca="false">L2022+M2022</f>
        <v>2.43</v>
      </c>
      <c r="O2022" s="41" t="n">
        <f aca="false">K2022-N2022</f>
        <v>3.25</v>
      </c>
      <c r="P2022" s="43" t="n">
        <f aca="false">IF(K2022=0,0,O2022/K2022)</f>
        <v>0.572183098591549</v>
      </c>
    </row>
    <row r="2023" customFormat="false" ht="15" hidden="false" customHeight="false" outlineLevel="0" collapsed="false">
      <c r="A2023" s="39" t="s">
        <v>2145</v>
      </c>
      <c r="B2023" s="40" t="n">
        <v>45932</v>
      </c>
      <c r="C2023" s="39" t="s">
        <v>139</v>
      </c>
      <c r="D2023" s="39" t="n">
        <v>2</v>
      </c>
      <c r="E2023" s="41" t="n">
        <v>119.18</v>
      </c>
      <c r="F2023" s="39" t="s">
        <v>108</v>
      </c>
      <c r="G2023" s="39" t="str">
        <f aca="false">VLOOKUP(C2023,Products!$A$5:$D$24,2,FALSE())</f>
        <v>Noise-Cancelling Headphones</v>
      </c>
      <c r="H2023" s="39" t="str">
        <f aca="false">VLOOKUP(C2023,Products!$A$5:$D$24,3,FALSE())</f>
        <v>Electronics</v>
      </c>
      <c r="I2023" s="41" t="n">
        <f aca="false">VLOOKUP(C2023,Products!$A$5:$D$24,4,FALSE())</f>
        <v>55</v>
      </c>
      <c r="J2023" s="42" t="n">
        <f aca="false">DATE(YEAR(B2023),MONTH(B2023),1)</f>
        <v>45931</v>
      </c>
      <c r="K2023" s="41" t="n">
        <f aca="false">D2023*E2023</f>
        <v>238.36</v>
      </c>
      <c r="L2023" s="41" t="n">
        <f aca="false">D2023*I2023</f>
        <v>110</v>
      </c>
      <c r="M2023" s="41" t="n">
        <f aca="false">IFERROR(INDEX(Raw_Expenses!$C$5:$C$2979,MATCH(A2023,Raw_Expenses!$A$5:$A$2979,0)),0)</f>
        <v>17.51</v>
      </c>
      <c r="N2023" s="41" t="n">
        <f aca="false">L2023+M2023</f>
        <v>127.51</v>
      </c>
      <c r="O2023" s="41" t="n">
        <f aca="false">K2023-N2023</f>
        <v>110.85</v>
      </c>
      <c r="P2023" s="43" t="n">
        <f aca="false">IF(K2023=0,0,O2023/K2023)</f>
        <v>0.465052861218325</v>
      </c>
    </row>
    <row r="2024" customFormat="false" ht="15" hidden="false" customHeight="false" outlineLevel="0" collapsed="false">
      <c r="A2024" s="39" t="s">
        <v>2146</v>
      </c>
      <c r="B2024" s="40" t="n">
        <v>45933</v>
      </c>
      <c r="C2024" s="39" t="s">
        <v>114</v>
      </c>
      <c r="D2024" s="39" t="n">
        <v>3</v>
      </c>
      <c r="E2024" s="41" t="n">
        <v>5.54</v>
      </c>
      <c r="F2024" s="39" t="s">
        <v>118</v>
      </c>
      <c r="G2024" s="39" t="str">
        <f aca="false">VLOOKUP(C2024,Products!$A$5:$D$24,2,FALSE())</f>
        <v>Gel Pen Pack</v>
      </c>
      <c r="H2024" s="39" t="str">
        <f aca="false">VLOOKUP(C2024,Products!$A$5:$D$24,3,FALSE())</f>
        <v>Stationery</v>
      </c>
      <c r="I2024" s="41" t="n">
        <f aca="false">VLOOKUP(C2024,Products!$A$5:$D$24,4,FALSE())</f>
        <v>2</v>
      </c>
      <c r="J2024" s="42" t="n">
        <f aca="false">DATE(YEAR(B2024),MONTH(B2024),1)</f>
        <v>45931</v>
      </c>
      <c r="K2024" s="41" t="n">
        <f aca="false">D2024*E2024</f>
        <v>16.62</v>
      </c>
      <c r="L2024" s="41" t="n">
        <f aca="false">D2024*I2024</f>
        <v>6</v>
      </c>
      <c r="M2024" s="41" t="n">
        <f aca="false">IFERROR(INDEX(Raw_Expenses!$C$5:$C$2979,MATCH(A2024,Raw_Expenses!$A$5:$A$2979,0)),0)</f>
        <v>0.88</v>
      </c>
      <c r="N2024" s="41" t="n">
        <f aca="false">L2024+M2024</f>
        <v>6.88</v>
      </c>
      <c r="O2024" s="41" t="n">
        <f aca="false">K2024-N2024</f>
        <v>9.74</v>
      </c>
      <c r="P2024" s="43" t="n">
        <f aca="false">IF(K2024=0,0,O2024/K2024)</f>
        <v>0.58604091456077</v>
      </c>
    </row>
    <row r="2025" customFormat="false" ht="15" hidden="false" customHeight="false" outlineLevel="0" collapsed="false">
      <c r="A2025" s="39" t="s">
        <v>2147</v>
      </c>
      <c r="B2025" s="40" t="n">
        <v>45933</v>
      </c>
      <c r="C2025" s="39" t="s">
        <v>153</v>
      </c>
      <c r="D2025" s="39" t="n">
        <v>4</v>
      </c>
      <c r="E2025" s="41" t="n">
        <v>172.9</v>
      </c>
      <c r="F2025" s="39" t="s">
        <v>115</v>
      </c>
      <c r="G2025" s="39" t="str">
        <f aca="false">VLOOKUP(C2025,Products!$A$5:$D$24,2,FALSE())</f>
        <v>24-inch Monitor</v>
      </c>
      <c r="H2025" s="39" t="str">
        <f aca="false">VLOOKUP(C2025,Products!$A$5:$D$24,3,FALSE())</f>
        <v>Electronics</v>
      </c>
      <c r="I2025" s="41" t="n">
        <f aca="false">VLOOKUP(C2025,Products!$A$5:$D$24,4,FALSE())</f>
        <v>90</v>
      </c>
      <c r="J2025" s="42" t="n">
        <f aca="false">DATE(YEAR(B2025),MONTH(B2025),1)</f>
        <v>45931</v>
      </c>
      <c r="K2025" s="41" t="n">
        <f aca="false">D2025*E2025</f>
        <v>691.6</v>
      </c>
      <c r="L2025" s="41" t="n">
        <f aca="false">D2025*I2025</f>
        <v>360</v>
      </c>
      <c r="M2025" s="41" t="n">
        <f aca="false">IFERROR(INDEX(Raw_Expenses!$C$5:$C$2979,MATCH(A2025,Raw_Expenses!$A$5:$A$2979,0)),0)</f>
        <v>40.16</v>
      </c>
      <c r="N2025" s="41" t="n">
        <f aca="false">L2025+M2025</f>
        <v>400.16</v>
      </c>
      <c r="O2025" s="41" t="n">
        <f aca="false">K2025-N2025</f>
        <v>291.44</v>
      </c>
      <c r="P2025" s="43" t="n">
        <f aca="false">IF(K2025=0,0,O2025/K2025)</f>
        <v>0.4213996529786</v>
      </c>
    </row>
    <row r="2026" customFormat="false" ht="15" hidden="false" customHeight="false" outlineLevel="0" collapsed="false">
      <c r="A2026" s="39" t="s">
        <v>2148</v>
      </c>
      <c r="B2026" s="40" t="n">
        <v>45933</v>
      </c>
      <c r="C2026" s="39" t="s">
        <v>162</v>
      </c>
      <c r="D2026" s="39" t="n">
        <v>1</v>
      </c>
      <c r="E2026" s="41" t="n">
        <v>65.55</v>
      </c>
      <c r="F2026" s="39" t="s">
        <v>105</v>
      </c>
      <c r="G2026" s="39" t="str">
        <f aca="false">VLOOKUP(C2026,Products!$A$5:$D$24,2,FALSE())</f>
        <v>Bluetooth Speaker</v>
      </c>
      <c r="H2026" s="39" t="str">
        <f aca="false">VLOOKUP(C2026,Products!$A$5:$D$24,3,FALSE())</f>
        <v>Electronics</v>
      </c>
      <c r="I2026" s="41" t="n">
        <f aca="false">VLOOKUP(C2026,Products!$A$5:$D$24,4,FALSE())</f>
        <v>28</v>
      </c>
      <c r="J2026" s="42" t="n">
        <f aca="false">DATE(YEAR(B2026),MONTH(B2026),1)</f>
        <v>45931</v>
      </c>
      <c r="K2026" s="41" t="n">
        <f aca="false">D2026*E2026</f>
        <v>65.55</v>
      </c>
      <c r="L2026" s="41" t="n">
        <f aca="false">D2026*I2026</f>
        <v>28</v>
      </c>
      <c r="M2026" s="41" t="n">
        <f aca="false">IFERROR(INDEX(Raw_Expenses!$C$5:$C$2979,MATCH(A2026,Raw_Expenses!$A$5:$A$2979,0)),0)</f>
        <v>5.21</v>
      </c>
      <c r="N2026" s="41" t="n">
        <f aca="false">L2026+M2026</f>
        <v>33.21</v>
      </c>
      <c r="O2026" s="41" t="n">
        <f aca="false">K2026-N2026</f>
        <v>32.34</v>
      </c>
      <c r="P2026" s="43" t="n">
        <f aca="false">IF(K2026=0,0,O2026/K2026)</f>
        <v>0.493363844393593</v>
      </c>
    </row>
    <row r="2027" customFormat="false" ht="15" hidden="false" customHeight="false" outlineLevel="0" collapsed="false">
      <c r="A2027" s="39" t="s">
        <v>2149</v>
      </c>
      <c r="B2027" s="40" t="n">
        <v>45933</v>
      </c>
      <c r="C2027" s="39" t="s">
        <v>133</v>
      </c>
      <c r="D2027" s="39" t="n">
        <v>6</v>
      </c>
      <c r="E2027" s="41" t="n">
        <v>8.98</v>
      </c>
      <c r="F2027" s="39" t="s">
        <v>115</v>
      </c>
      <c r="G2027" s="39" t="str">
        <f aca="false">VLOOKUP(C2027,Products!$A$5:$D$24,2,FALSE())</f>
        <v>Printer Paper Ream</v>
      </c>
      <c r="H2027" s="39" t="str">
        <f aca="false">VLOOKUP(C2027,Products!$A$5:$D$24,3,FALSE())</f>
        <v>Stationery</v>
      </c>
      <c r="I2027" s="41" t="n">
        <f aca="false">VLOOKUP(C2027,Products!$A$5:$D$24,4,FALSE())</f>
        <v>4</v>
      </c>
      <c r="J2027" s="42" t="n">
        <f aca="false">DATE(YEAR(B2027),MONTH(B2027),1)</f>
        <v>45931</v>
      </c>
      <c r="K2027" s="41" t="n">
        <f aca="false">D2027*E2027</f>
        <v>53.88</v>
      </c>
      <c r="L2027" s="41" t="n">
        <f aca="false">D2027*I2027</f>
        <v>24</v>
      </c>
      <c r="M2027" s="41" t="n">
        <f aca="false">IFERROR(INDEX(Raw_Expenses!$C$5:$C$2979,MATCH(A2027,Raw_Expenses!$A$5:$A$2979,0)),0)</f>
        <v>3.88</v>
      </c>
      <c r="N2027" s="41" t="n">
        <f aca="false">L2027+M2027</f>
        <v>27.88</v>
      </c>
      <c r="O2027" s="41" t="n">
        <f aca="false">K2027-N2027</f>
        <v>26</v>
      </c>
      <c r="P2027" s="43" t="n">
        <f aca="false">IF(K2027=0,0,O2027/K2027)</f>
        <v>0.482553823311062</v>
      </c>
    </row>
    <row r="2028" customFormat="false" ht="15" hidden="false" customHeight="false" outlineLevel="0" collapsed="false">
      <c r="A2028" s="39" t="s">
        <v>2150</v>
      </c>
      <c r="B2028" s="40" t="n">
        <v>45933</v>
      </c>
      <c r="C2028" s="39" t="s">
        <v>183</v>
      </c>
      <c r="D2028" s="39" t="n">
        <v>3</v>
      </c>
      <c r="E2028" s="41" t="n">
        <v>176.71</v>
      </c>
      <c r="F2028" s="39" t="s">
        <v>115</v>
      </c>
      <c r="G2028" s="39" t="str">
        <f aca="false">VLOOKUP(C2028,Products!$A$5:$D$24,2,FALSE())</f>
        <v>Office Chair</v>
      </c>
      <c r="H2028" s="39" t="str">
        <f aca="false">VLOOKUP(C2028,Products!$A$5:$D$24,3,FALSE())</f>
        <v>Furniture</v>
      </c>
      <c r="I2028" s="41" t="n">
        <f aca="false">VLOOKUP(C2028,Products!$A$5:$D$24,4,FALSE())</f>
        <v>85</v>
      </c>
      <c r="J2028" s="42" t="n">
        <f aca="false">DATE(YEAR(B2028),MONTH(B2028),1)</f>
        <v>45931</v>
      </c>
      <c r="K2028" s="41" t="n">
        <f aca="false">D2028*E2028</f>
        <v>530.13</v>
      </c>
      <c r="L2028" s="41" t="n">
        <f aca="false">D2028*I2028</f>
        <v>255</v>
      </c>
      <c r="M2028" s="41" t="n">
        <f aca="false">IFERROR(INDEX(Raw_Expenses!$C$5:$C$2979,MATCH(A2028,Raw_Expenses!$A$5:$A$2979,0)),0)</f>
        <v>41.4</v>
      </c>
      <c r="N2028" s="41" t="n">
        <f aca="false">L2028+M2028</f>
        <v>296.4</v>
      </c>
      <c r="O2028" s="41" t="n">
        <f aca="false">K2028-N2028</f>
        <v>233.73</v>
      </c>
      <c r="P2028" s="43" t="n">
        <f aca="false">IF(K2028=0,0,O2028/K2028)</f>
        <v>0.440891856714391</v>
      </c>
    </row>
    <row r="2029" customFormat="false" ht="15" hidden="false" customHeight="false" outlineLevel="0" collapsed="false">
      <c r="A2029" s="39" t="s">
        <v>2151</v>
      </c>
      <c r="B2029" s="40" t="n">
        <v>45933</v>
      </c>
      <c r="C2029" s="39" t="s">
        <v>128</v>
      </c>
      <c r="D2029" s="39" t="n">
        <v>5</v>
      </c>
      <c r="E2029" s="41" t="n">
        <v>36.94</v>
      </c>
      <c r="F2029" s="39" t="s">
        <v>118</v>
      </c>
      <c r="G2029" s="39" t="str">
        <f aca="false">VLOOKUP(C2029,Products!$A$5:$D$24,2,FALSE())</f>
        <v>Ergonomic Footrest</v>
      </c>
      <c r="H2029" s="39" t="str">
        <f aca="false">VLOOKUP(C2029,Products!$A$5:$D$24,3,FALSE())</f>
        <v>Furniture</v>
      </c>
      <c r="I2029" s="41" t="n">
        <f aca="false">VLOOKUP(C2029,Products!$A$5:$D$24,4,FALSE())</f>
        <v>15</v>
      </c>
      <c r="J2029" s="42" t="n">
        <f aca="false">DATE(YEAR(B2029),MONTH(B2029),1)</f>
        <v>45931</v>
      </c>
      <c r="K2029" s="41" t="n">
        <f aca="false">D2029*E2029</f>
        <v>184.7</v>
      </c>
      <c r="L2029" s="41" t="n">
        <f aca="false">D2029*I2029</f>
        <v>75</v>
      </c>
      <c r="M2029" s="41" t="n">
        <f aca="false">IFERROR(INDEX(Raw_Expenses!$C$5:$C$2979,MATCH(A2029,Raw_Expenses!$A$5:$A$2979,0)),0)</f>
        <v>15.1</v>
      </c>
      <c r="N2029" s="41" t="n">
        <f aca="false">L2029+M2029</f>
        <v>90.1</v>
      </c>
      <c r="O2029" s="41" t="n">
        <f aca="false">K2029-N2029</f>
        <v>94.6</v>
      </c>
      <c r="P2029" s="43" t="n">
        <f aca="false">IF(K2029=0,0,O2029/K2029)</f>
        <v>0.512181916621548</v>
      </c>
    </row>
    <row r="2030" customFormat="false" ht="15" hidden="false" customHeight="false" outlineLevel="0" collapsed="false">
      <c r="A2030" s="39" t="s">
        <v>2152</v>
      </c>
      <c r="B2030" s="40" t="n">
        <v>45933</v>
      </c>
      <c r="C2030" s="39" t="s">
        <v>114</v>
      </c>
      <c r="D2030" s="39" t="n">
        <v>1</v>
      </c>
      <c r="E2030" s="41" t="n">
        <v>5.64</v>
      </c>
      <c r="F2030" s="39" t="s">
        <v>118</v>
      </c>
      <c r="G2030" s="39" t="str">
        <f aca="false">VLOOKUP(C2030,Products!$A$5:$D$24,2,FALSE())</f>
        <v>Gel Pen Pack</v>
      </c>
      <c r="H2030" s="39" t="str">
        <f aca="false">VLOOKUP(C2030,Products!$A$5:$D$24,3,FALSE())</f>
        <v>Stationery</v>
      </c>
      <c r="I2030" s="41" t="n">
        <f aca="false">VLOOKUP(C2030,Products!$A$5:$D$24,4,FALSE())</f>
        <v>2</v>
      </c>
      <c r="J2030" s="42" t="n">
        <f aca="false">DATE(YEAR(B2030),MONTH(B2030),1)</f>
        <v>45931</v>
      </c>
      <c r="K2030" s="41" t="n">
        <f aca="false">D2030*E2030</f>
        <v>5.64</v>
      </c>
      <c r="L2030" s="41" t="n">
        <f aca="false">D2030*I2030</f>
        <v>2</v>
      </c>
      <c r="M2030" s="41" t="n">
        <f aca="false">IFERROR(INDEX(Raw_Expenses!$C$5:$C$2979,MATCH(A2030,Raw_Expenses!$A$5:$A$2979,0)),0)</f>
        <v>0.28</v>
      </c>
      <c r="N2030" s="41" t="n">
        <f aca="false">L2030+M2030</f>
        <v>2.28</v>
      </c>
      <c r="O2030" s="41" t="n">
        <f aca="false">K2030-N2030</f>
        <v>3.36</v>
      </c>
      <c r="P2030" s="43" t="n">
        <f aca="false">IF(K2030=0,0,O2030/K2030)</f>
        <v>0.595744680851064</v>
      </c>
    </row>
    <row r="2031" customFormat="false" ht="15" hidden="false" customHeight="false" outlineLevel="0" collapsed="false">
      <c r="A2031" s="39" t="s">
        <v>2153</v>
      </c>
      <c r="B2031" s="40" t="n">
        <v>45933</v>
      </c>
      <c r="C2031" s="39" t="s">
        <v>110</v>
      </c>
      <c r="D2031" s="39" t="n">
        <v>2</v>
      </c>
      <c r="E2031" s="41" t="n">
        <v>13.41</v>
      </c>
      <c r="F2031" s="39" t="s">
        <v>115</v>
      </c>
      <c r="G2031" s="39" t="str">
        <f aca="false">VLOOKUP(C2031,Products!$A$5:$D$24,2,FALSE())</f>
        <v>Phone Stand</v>
      </c>
      <c r="H2031" s="39" t="str">
        <f aca="false">VLOOKUP(C2031,Products!$A$5:$D$24,3,FALSE())</f>
        <v>Accessories</v>
      </c>
      <c r="I2031" s="41" t="n">
        <f aca="false">VLOOKUP(C2031,Products!$A$5:$D$24,4,FALSE())</f>
        <v>4</v>
      </c>
      <c r="J2031" s="42" t="n">
        <f aca="false">DATE(YEAR(B2031),MONTH(B2031),1)</f>
        <v>45931</v>
      </c>
      <c r="K2031" s="41" t="n">
        <f aca="false">D2031*E2031</f>
        <v>26.82</v>
      </c>
      <c r="L2031" s="41" t="n">
        <f aca="false">D2031*I2031</f>
        <v>8</v>
      </c>
      <c r="M2031" s="41" t="n">
        <f aca="false">IFERROR(INDEX(Raw_Expenses!$C$5:$C$2979,MATCH(A2031,Raw_Expenses!$A$5:$A$2979,0)),0)</f>
        <v>2.26</v>
      </c>
      <c r="N2031" s="41" t="n">
        <f aca="false">L2031+M2031</f>
        <v>10.26</v>
      </c>
      <c r="O2031" s="41" t="n">
        <f aca="false">K2031-N2031</f>
        <v>16.56</v>
      </c>
      <c r="P2031" s="43" t="n">
        <f aca="false">IF(K2031=0,0,O2031/K2031)</f>
        <v>0.61744966442953</v>
      </c>
    </row>
    <row r="2032" customFormat="false" ht="15" hidden="false" customHeight="false" outlineLevel="0" collapsed="false">
      <c r="A2032" s="39" t="s">
        <v>2154</v>
      </c>
      <c r="B2032" s="40" t="n">
        <v>45934</v>
      </c>
      <c r="C2032" s="39" t="s">
        <v>114</v>
      </c>
      <c r="D2032" s="39" t="n">
        <v>1</v>
      </c>
      <c r="E2032" s="41" t="n">
        <v>5.82</v>
      </c>
      <c r="F2032" s="39" t="s">
        <v>118</v>
      </c>
      <c r="G2032" s="39" t="str">
        <f aca="false">VLOOKUP(C2032,Products!$A$5:$D$24,2,FALSE())</f>
        <v>Gel Pen Pack</v>
      </c>
      <c r="H2032" s="39" t="str">
        <f aca="false">VLOOKUP(C2032,Products!$A$5:$D$24,3,FALSE())</f>
        <v>Stationery</v>
      </c>
      <c r="I2032" s="41" t="n">
        <f aca="false">VLOOKUP(C2032,Products!$A$5:$D$24,4,FALSE())</f>
        <v>2</v>
      </c>
      <c r="J2032" s="42" t="n">
        <f aca="false">DATE(YEAR(B2032),MONTH(B2032),1)</f>
        <v>45931</v>
      </c>
      <c r="K2032" s="41" t="n">
        <f aca="false">D2032*E2032</f>
        <v>5.82</v>
      </c>
      <c r="L2032" s="41" t="n">
        <f aca="false">D2032*I2032</f>
        <v>2</v>
      </c>
      <c r="M2032" s="41" t="n">
        <f aca="false">IFERROR(INDEX(Raw_Expenses!$C$5:$C$2979,MATCH(A2032,Raw_Expenses!$A$5:$A$2979,0)),0)</f>
        <v>0.3</v>
      </c>
      <c r="N2032" s="41" t="n">
        <f aca="false">L2032+M2032</f>
        <v>2.3</v>
      </c>
      <c r="O2032" s="41" t="n">
        <f aca="false">K2032-N2032</f>
        <v>3.52</v>
      </c>
      <c r="P2032" s="43" t="n">
        <f aca="false">IF(K2032=0,0,O2032/K2032)</f>
        <v>0.604810996563574</v>
      </c>
    </row>
    <row r="2033" customFormat="false" ht="15" hidden="false" customHeight="false" outlineLevel="0" collapsed="false">
      <c r="A2033" s="39" t="s">
        <v>2155</v>
      </c>
      <c r="B2033" s="40" t="n">
        <v>45934</v>
      </c>
      <c r="C2033" s="39" t="s">
        <v>153</v>
      </c>
      <c r="D2033" s="39" t="n">
        <v>1</v>
      </c>
      <c r="E2033" s="41" t="n">
        <v>173.11</v>
      </c>
      <c r="F2033" s="39" t="s">
        <v>105</v>
      </c>
      <c r="G2033" s="39" t="str">
        <f aca="false">VLOOKUP(C2033,Products!$A$5:$D$24,2,FALSE())</f>
        <v>24-inch Monitor</v>
      </c>
      <c r="H2033" s="39" t="str">
        <f aca="false">VLOOKUP(C2033,Products!$A$5:$D$24,3,FALSE())</f>
        <v>Electronics</v>
      </c>
      <c r="I2033" s="41" t="n">
        <f aca="false">VLOOKUP(C2033,Products!$A$5:$D$24,4,FALSE())</f>
        <v>90</v>
      </c>
      <c r="J2033" s="42" t="n">
        <f aca="false">DATE(YEAR(B2033),MONTH(B2033),1)</f>
        <v>45931</v>
      </c>
      <c r="K2033" s="41" t="n">
        <f aca="false">D2033*E2033</f>
        <v>173.11</v>
      </c>
      <c r="L2033" s="41" t="n">
        <f aca="false">D2033*I2033</f>
        <v>90</v>
      </c>
      <c r="M2033" s="41" t="n">
        <f aca="false">IFERROR(INDEX(Raw_Expenses!$C$5:$C$2979,MATCH(A2033,Raw_Expenses!$A$5:$A$2979,0)),0)</f>
        <v>13.61</v>
      </c>
      <c r="N2033" s="41" t="n">
        <f aca="false">L2033+M2033</f>
        <v>103.61</v>
      </c>
      <c r="O2033" s="41" t="n">
        <f aca="false">K2033-N2033</f>
        <v>69.5</v>
      </c>
      <c r="P2033" s="43" t="n">
        <f aca="false">IF(K2033=0,0,O2033/K2033)</f>
        <v>0.401478828490555</v>
      </c>
    </row>
    <row r="2034" customFormat="false" ht="15" hidden="false" customHeight="false" outlineLevel="0" collapsed="false">
      <c r="A2034" s="39" t="s">
        <v>2156</v>
      </c>
      <c r="B2034" s="40" t="n">
        <v>45934</v>
      </c>
      <c r="C2034" s="39" t="s">
        <v>128</v>
      </c>
      <c r="D2034" s="39" t="n">
        <v>1</v>
      </c>
      <c r="E2034" s="41" t="n">
        <v>37.13</v>
      </c>
      <c r="F2034" s="39" t="s">
        <v>118</v>
      </c>
      <c r="G2034" s="39" t="str">
        <f aca="false">VLOOKUP(C2034,Products!$A$5:$D$24,2,FALSE())</f>
        <v>Ergonomic Footrest</v>
      </c>
      <c r="H2034" s="39" t="str">
        <f aca="false">VLOOKUP(C2034,Products!$A$5:$D$24,3,FALSE())</f>
        <v>Furniture</v>
      </c>
      <c r="I2034" s="41" t="n">
        <f aca="false">VLOOKUP(C2034,Products!$A$5:$D$24,4,FALSE())</f>
        <v>15</v>
      </c>
      <c r="J2034" s="42" t="n">
        <f aca="false">DATE(YEAR(B2034),MONTH(B2034),1)</f>
        <v>45931</v>
      </c>
      <c r="K2034" s="41" t="n">
        <f aca="false">D2034*E2034</f>
        <v>37.13</v>
      </c>
      <c r="L2034" s="41" t="n">
        <f aca="false">D2034*I2034</f>
        <v>15</v>
      </c>
      <c r="M2034" s="41" t="n">
        <f aca="false">IFERROR(INDEX(Raw_Expenses!$C$5:$C$2979,MATCH(A2034,Raw_Expenses!$A$5:$A$2979,0)),0)</f>
        <v>2.71</v>
      </c>
      <c r="N2034" s="41" t="n">
        <f aca="false">L2034+M2034</f>
        <v>17.71</v>
      </c>
      <c r="O2034" s="41" t="n">
        <f aca="false">K2034-N2034</f>
        <v>19.42</v>
      </c>
      <c r="P2034" s="43" t="n">
        <f aca="false">IF(K2034=0,0,O2034/K2034)</f>
        <v>0.523027201723674</v>
      </c>
    </row>
    <row r="2035" customFormat="false" ht="15" hidden="false" customHeight="false" outlineLevel="0" collapsed="false">
      <c r="A2035" s="39" t="s">
        <v>2157</v>
      </c>
      <c r="B2035" s="40" t="n">
        <v>45934</v>
      </c>
      <c r="C2035" s="39" t="s">
        <v>183</v>
      </c>
      <c r="D2035" s="39" t="n">
        <v>2</v>
      </c>
      <c r="E2035" s="41" t="n">
        <v>188.88</v>
      </c>
      <c r="F2035" s="39" t="s">
        <v>105</v>
      </c>
      <c r="G2035" s="39" t="str">
        <f aca="false">VLOOKUP(C2035,Products!$A$5:$D$24,2,FALSE())</f>
        <v>Office Chair</v>
      </c>
      <c r="H2035" s="39" t="str">
        <f aca="false">VLOOKUP(C2035,Products!$A$5:$D$24,3,FALSE())</f>
        <v>Furniture</v>
      </c>
      <c r="I2035" s="41" t="n">
        <f aca="false">VLOOKUP(C2035,Products!$A$5:$D$24,4,FALSE())</f>
        <v>85</v>
      </c>
      <c r="J2035" s="42" t="n">
        <f aca="false">DATE(YEAR(B2035),MONTH(B2035),1)</f>
        <v>45931</v>
      </c>
      <c r="K2035" s="41" t="n">
        <f aca="false">D2035*E2035</f>
        <v>377.76</v>
      </c>
      <c r="L2035" s="41" t="n">
        <f aca="false">D2035*I2035</f>
        <v>170</v>
      </c>
      <c r="M2035" s="41" t="n">
        <f aca="false">IFERROR(INDEX(Raw_Expenses!$C$5:$C$2979,MATCH(A2035,Raw_Expenses!$A$5:$A$2979,0)),0)</f>
        <v>20.26</v>
      </c>
      <c r="N2035" s="41" t="n">
        <f aca="false">L2035+M2035</f>
        <v>190.26</v>
      </c>
      <c r="O2035" s="41" t="n">
        <f aca="false">K2035-N2035</f>
        <v>187.5</v>
      </c>
      <c r="P2035" s="43" t="n">
        <f aca="false">IF(K2035=0,0,O2035/K2035)</f>
        <v>0.496346886912325</v>
      </c>
    </row>
    <row r="2036" customFormat="false" ht="15" hidden="false" customHeight="false" outlineLevel="0" collapsed="false">
      <c r="A2036" s="39" t="s">
        <v>2158</v>
      </c>
      <c r="B2036" s="40" t="n">
        <v>45934</v>
      </c>
      <c r="C2036" s="39" t="s">
        <v>114</v>
      </c>
      <c r="D2036" s="39" t="n">
        <v>1</v>
      </c>
      <c r="E2036" s="41" t="n">
        <v>5.99</v>
      </c>
      <c r="F2036" s="39" t="s">
        <v>105</v>
      </c>
      <c r="G2036" s="39" t="str">
        <f aca="false">VLOOKUP(C2036,Products!$A$5:$D$24,2,FALSE())</f>
        <v>Gel Pen Pack</v>
      </c>
      <c r="H2036" s="39" t="str">
        <f aca="false">VLOOKUP(C2036,Products!$A$5:$D$24,3,FALSE())</f>
        <v>Stationery</v>
      </c>
      <c r="I2036" s="41" t="n">
        <f aca="false">VLOOKUP(C2036,Products!$A$5:$D$24,4,FALSE())</f>
        <v>2</v>
      </c>
      <c r="J2036" s="42" t="n">
        <f aca="false">DATE(YEAR(B2036),MONTH(B2036),1)</f>
        <v>45931</v>
      </c>
      <c r="K2036" s="41" t="n">
        <f aca="false">D2036*E2036</f>
        <v>5.99</v>
      </c>
      <c r="L2036" s="41" t="n">
        <f aca="false">D2036*I2036</f>
        <v>2</v>
      </c>
      <c r="M2036" s="41" t="n">
        <f aca="false">IFERROR(INDEX(Raw_Expenses!$C$5:$C$2979,MATCH(A2036,Raw_Expenses!$A$5:$A$2979,0)),0)</f>
        <v>0.28</v>
      </c>
      <c r="N2036" s="41" t="n">
        <f aca="false">L2036+M2036</f>
        <v>2.28</v>
      </c>
      <c r="O2036" s="41" t="n">
        <f aca="false">K2036-N2036</f>
        <v>3.71</v>
      </c>
      <c r="P2036" s="43" t="n">
        <f aca="false">IF(K2036=0,0,O2036/K2036)</f>
        <v>0.619365609348915</v>
      </c>
    </row>
    <row r="2037" customFormat="false" ht="15" hidden="false" customHeight="false" outlineLevel="0" collapsed="false">
      <c r="A2037" s="39" t="s">
        <v>2159</v>
      </c>
      <c r="B2037" s="40" t="n">
        <v>45935</v>
      </c>
      <c r="C2037" s="39" t="s">
        <v>114</v>
      </c>
      <c r="D2037" s="39" t="n">
        <v>1</v>
      </c>
      <c r="E2037" s="41" t="n">
        <v>5.75</v>
      </c>
      <c r="F2037" s="39" t="s">
        <v>108</v>
      </c>
      <c r="G2037" s="39" t="str">
        <f aca="false">VLOOKUP(C2037,Products!$A$5:$D$24,2,FALSE())</f>
        <v>Gel Pen Pack</v>
      </c>
      <c r="H2037" s="39" t="str">
        <f aca="false">VLOOKUP(C2037,Products!$A$5:$D$24,3,FALSE())</f>
        <v>Stationery</v>
      </c>
      <c r="I2037" s="41" t="n">
        <f aca="false">VLOOKUP(C2037,Products!$A$5:$D$24,4,FALSE())</f>
        <v>2</v>
      </c>
      <c r="J2037" s="42" t="n">
        <f aca="false">DATE(YEAR(B2037),MONTH(B2037),1)</f>
        <v>45931</v>
      </c>
      <c r="K2037" s="41" t="n">
        <f aca="false">D2037*E2037</f>
        <v>5.75</v>
      </c>
      <c r="L2037" s="41" t="n">
        <f aca="false">D2037*I2037</f>
        <v>2</v>
      </c>
      <c r="M2037" s="41" t="n">
        <f aca="false">IFERROR(INDEX(Raw_Expenses!$C$5:$C$2979,MATCH(A2037,Raw_Expenses!$A$5:$A$2979,0)),0)</f>
        <v>0.34</v>
      </c>
      <c r="N2037" s="41" t="n">
        <f aca="false">L2037+M2037</f>
        <v>2.34</v>
      </c>
      <c r="O2037" s="41" t="n">
        <f aca="false">K2037-N2037</f>
        <v>3.41</v>
      </c>
      <c r="P2037" s="43" t="n">
        <f aca="false">IF(K2037=0,0,O2037/K2037)</f>
        <v>0.59304347826087</v>
      </c>
    </row>
    <row r="2038" customFormat="false" ht="15" hidden="false" customHeight="false" outlineLevel="0" collapsed="false">
      <c r="A2038" s="39" t="s">
        <v>2160</v>
      </c>
      <c r="B2038" s="40" t="n">
        <v>45935</v>
      </c>
      <c r="C2038" s="39" t="s">
        <v>107</v>
      </c>
      <c r="D2038" s="39" t="n">
        <v>1</v>
      </c>
      <c r="E2038" s="41" t="n">
        <v>34.86</v>
      </c>
      <c r="F2038" s="39" t="s">
        <v>108</v>
      </c>
      <c r="G2038" s="39" t="str">
        <f aca="false">VLOOKUP(C2038,Products!$A$5:$D$24,2,FALSE())</f>
        <v>USB-C Hub</v>
      </c>
      <c r="H2038" s="39" t="str">
        <f aca="false">VLOOKUP(C2038,Products!$A$5:$D$24,3,FALSE())</f>
        <v>Electronics</v>
      </c>
      <c r="I2038" s="41" t="n">
        <f aca="false">VLOOKUP(C2038,Products!$A$5:$D$24,4,FALSE())</f>
        <v>14</v>
      </c>
      <c r="J2038" s="42" t="n">
        <f aca="false">DATE(YEAR(B2038),MONTH(B2038),1)</f>
        <v>45931</v>
      </c>
      <c r="K2038" s="41" t="n">
        <f aca="false">D2038*E2038</f>
        <v>34.86</v>
      </c>
      <c r="L2038" s="41" t="n">
        <f aca="false">D2038*I2038</f>
        <v>14</v>
      </c>
      <c r="M2038" s="41" t="n">
        <f aca="false">IFERROR(INDEX(Raw_Expenses!$C$5:$C$2979,MATCH(A2038,Raw_Expenses!$A$5:$A$2979,0)),0)</f>
        <v>2.19</v>
      </c>
      <c r="N2038" s="41" t="n">
        <f aca="false">L2038+M2038</f>
        <v>16.19</v>
      </c>
      <c r="O2038" s="41" t="n">
        <f aca="false">K2038-N2038</f>
        <v>18.67</v>
      </c>
      <c r="P2038" s="43" t="n">
        <f aca="false">IF(K2038=0,0,O2038/K2038)</f>
        <v>0.535570854847963</v>
      </c>
    </row>
    <row r="2039" customFormat="false" ht="15" hidden="false" customHeight="false" outlineLevel="0" collapsed="false">
      <c r="A2039" s="39" t="s">
        <v>2161</v>
      </c>
      <c r="B2039" s="40" t="n">
        <v>45935</v>
      </c>
      <c r="C2039" s="39" t="s">
        <v>107</v>
      </c>
      <c r="D2039" s="39" t="n">
        <v>2</v>
      </c>
      <c r="E2039" s="41" t="n">
        <v>34.95</v>
      </c>
      <c r="F2039" s="39" t="s">
        <v>105</v>
      </c>
      <c r="G2039" s="39" t="str">
        <f aca="false">VLOOKUP(C2039,Products!$A$5:$D$24,2,FALSE())</f>
        <v>USB-C Hub</v>
      </c>
      <c r="H2039" s="39" t="str">
        <f aca="false">VLOOKUP(C2039,Products!$A$5:$D$24,3,FALSE())</f>
        <v>Electronics</v>
      </c>
      <c r="I2039" s="41" t="n">
        <f aca="false">VLOOKUP(C2039,Products!$A$5:$D$24,4,FALSE())</f>
        <v>14</v>
      </c>
      <c r="J2039" s="42" t="n">
        <f aca="false">DATE(YEAR(B2039),MONTH(B2039),1)</f>
        <v>45931</v>
      </c>
      <c r="K2039" s="41" t="n">
        <f aca="false">D2039*E2039</f>
        <v>69.9</v>
      </c>
      <c r="L2039" s="41" t="n">
        <f aca="false">D2039*I2039</f>
        <v>28</v>
      </c>
      <c r="M2039" s="41" t="n">
        <f aca="false">IFERROR(INDEX(Raw_Expenses!$C$5:$C$2979,MATCH(A2039,Raw_Expenses!$A$5:$A$2979,0)),0)</f>
        <v>5.83</v>
      </c>
      <c r="N2039" s="41" t="n">
        <f aca="false">L2039+M2039</f>
        <v>33.83</v>
      </c>
      <c r="O2039" s="41" t="n">
        <f aca="false">K2039-N2039</f>
        <v>36.07</v>
      </c>
      <c r="P2039" s="43" t="n">
        <f aca="false">IF(K2039=0,0,O2039/K2039)</f>
        <v>0.516022889842632</v>
      </c>
    </row>
    <row r="2040" customFormat="false" ht="15" hidden="false" customHeight="false" outlineLevel="0" collapsed="false">
      <c r="A2040" s="39" t="s">
        <v>2162</v>
      </c>
      <c r="B2040" s="40" t="n">
        <v>45935</v>
      </c>
      <c r="C2040" s="39" t="s">
        <v>136</v>
      </c>
      <c r="D2040" s="39" t="n">
        <v>2</v>
      </c>
      <c r="E2040" s="41" t="n">
        <v>78.64</v>
      </c>
      <c r="F2040" s="39" t="s">
        <v>118</v>
      </c>
      <c r="G2040" s="39" t="str">
        <f aca="false">VLOOKUP(C2040,Products!$A$5:$D$24,2,FALSE())</f>
        <v>Mechanical Keyboard</v>
      </c>
      <c r="H2040" s="39" t="str">
        <f aca="false">VLOOKUP(C2040,Products!$A$5:$D$24,3,FALSE())</f>
        <v>Electronics</v>
      </c>
      <c r="I2040" s="41" t="n">
        <f aca="false">VLOOKUP(C2040,Products!$A$5:$D$24,4,FALSE())</f>
        <v>38</v>
      </c>
      <c r="J2040" s="42" t="n">
        <f aca="false">DATE(YEAR(B2040),MONTH(B2040),1)</f>
        <v>45931</v>
      </c>
      <c r="K2040" s="41" t="n">
        <f aca="false">D2040*E2040</f>
        <v>157.28</v>
      </c>
      <c r="L2040" s="41" t="n">
        <f aca="false">D2040*I2040</f>
        <v>76</v>
      </c>
      <c r="M2040" s="41" t="n">
        <f aca="false">IFERROR(INDEX(Raw_Expenses!$C$5:$C$2979,MATCH(A2040,Raw_Expenses!$A$5:$A$2979,0)),0)</f>
        <v>14.07</v>
      </c>
      <c r="N2040" s="41" t="n">
        <f aca="false">L2040+M2040</f>
        <v>90.07</v>
      </c>
      <c r="O2040" s="41" t="n">
        <f aca="false">K2040-N2040</f>
        <v>67.21</v>
      </c>
      <c r="P2040" s="43" t="n">
        <f aca="false">IF(K2040=0,0,O2040/K2040)</f>
        <v>0.427327060020346</v>
      </c>
    </row>
    <row r="2041" customFormat="false" ht="15" hidden="false" customHeight="false" outlineLevel="0" collapsed="false">
      <c r="A2041" s="39" t="s">
        <v>2163</v>
      </c>
      <c r="B2041" s="40" t="n">
        <v>45935</v>
      </c>
      <c r="C2041" s="39" t="s">
        <v>112</v>
      </c>
      <c r="D2041" s="39" t="n">
        <v>1</v>
      </c>
      <c r="E2041" s="41" t="n">
        <v>50.98</v>
      </c>
      <c r="F2041" s="39" t="s">
        <v>108</v>
      </c>
      <c r="G2041" s="39" t="str">
        <f aca="false">VLOOKUP(C2041,Products!$A$5:$D$24,2,FALSE())</f>
        <v>HD Webcam</v>
      </c>
      <c r="H2041" s="39" t="str">
        <f aca="false">VLOOKUP(C2041,Products!$A$5:$D$24,3,FALSE())</f>
        <v>Electronics</v>
      </c>
      <c r="I2041" s="41" t="n">
        <f aca="false">VLOOKUP(C2041,Products!$A$5:$D$24,4,FALSE())</f>
        <v>22</v>
      </c>
      <c r="J2041" s="42" t="n">
        <f aca="false">DATE(YEAR(B2041),MONTH(B2041),1)</f>
        <v>45931</v>
      </c>
      <c r="K2041" s="41" t="n">
        <f aca="false">D2041*E2041</f>
        <v>50.98</v>
      </c>
      <c r="L2041" s="41" t="n">
        <f aca="false">D2041*I2041</f>
        <v>22</v>
      </c>
      <c r="M2041" s="41" t="n">
        <f aca="false">IFERROR(INDEX(Raw_Expenses!$C$5:$C$2979,MATCH(A2041,Raw_Expenses!$A$5:$A$2979,0)),0)</f>
        <v>3.21</v>
      </c>
      <c r="N2041" s="41" t="n">
        <f aca="false">L2041+M2041</f>
        <v>25.21</v>
      </c>
      <c r="O2041" s="41" t="n">
        <f aca="false">K2041-N2041</f>
        <v>25.77</v>
      </c>
      <c r="P2041" s="43" t="n">
        <f aca="false">IF(K2041=0,0,O2041/K2041)</f>
        <v>0.505492349941153</v>
      </c>
    </row>
    <row r="2042" customFormat="false" ht="15" hidden="false" customHeight="false" outlineLevel="0" collapsed="false">
      <c r="A2042" s="39" t="s">
        <v>2164</v>
      </c>
      <c r="B2042" s="40" t="n">
        <v>45935</v>
      </c>
      <c r="C2042" s="39" t="s">
        <v>104</v>
      </c>
      <c r="D2042" s="39" t="n">
        <v>3</v>
      </c>
      <c r="E2042" s="41" t="n">
        <v>15.18</v>
      </c>
      <c r="F2042" s="39" t="s">
        <v>115</v>
      </c>
      <c r="G2042" s="39" t="str">
        <f aca="false">VLOOKUP(C2042,Products!$A$5:$D$24,2,FALSE())</f>
        <v>Water Bottle</v>
      </c>
      <c r="H2042" s="39" t="str">
        <f aca="false">VLOOKUP(C2042,Products!$A$5:$D$24,3,FALSE())</f>
        <v>Accessories</v>
      </c>
      <c r="I2042" s="41" t="n">
        <f aca="false">VLOOKUP(C2042,Products!$A$5:$D$24,4,FALSE())</f>
        <v>5</v>
      </c>
      <c r="J2042" s="42" t="n">
        <f aca="false">DATE(YEAR(B2042),MONTH(B2042),1)</f>
        <v>45931</v>
      </c>
      <c r="K2042" s="41" t="n">
        <f aca="false">D2042*E2042</f>
        <v>45.54</v>
      </c>
      <c r="L2042" s="41" t="n">
        <f aca="false">D2042*I2042</f>
        <v>15</v>
      </c>
      <c r="M2042" s="41" t="n">
        <f aca="false">IFERROR(INDEX(Raw_Expenses!$C$5:$C$2979,MATCH(A2042,Raw_Expenses!$A$5:$A$2979,0)),0)</f>
        <v>3.53</v>
      </c>
      <c r="N2042" s="41" t="n">
        <f aca="false">L2042+M2042</f>
        <v>18.53</v>
      </c>
      <c r="O2042" s="41" t="n">
        <f aca="false">K2042-N2042</f>
        <v>27.01</v>
      </c>
      <c r="P2042" s="43" t="n">
        <f aca="false">IF(K2042=0,0,O2042/K2042)</f>
        <v>0.59310496267018</v>
      </c>
    </row>
    <row r="2043" customFormat="false" ht="15" hidden="false" customHeight="false" outlineLevel="0" collapsed="false">
      <c r="A2043" s="39" t="s">
        <v>2165</v>
      </c>
      <c r="B2043" s="40" t="n">
        <v>45935</v>
      </c>
      <c r="C2043" s="39" t="s">
        <v>114</v>
      </c>
      <c r="D2043" s="39" t="n">
        <v>3</v>
      </c>
      <c r="E2043" s="41" t="n">
        <v>5.93</v>
      </c>
      <c r="F2043" s="39" t="s">
        <v>108</v>
      </c>
      <c r="G2043" s="39" t="str">
        <f aca="false">VLOOKUP(C2043,Products!$A$5:$D$24,2,FALSE())</f>
        <v>Gel Pen Pack</v>
      </c>
      <c r="H2043" s="39" t="str">
        <f aca="false">VLOOKUP(C2043,Products!$A$5:$D$24,3,FALSE())</f>
        <v>Stationery</v>
      </c>
      <c r="I2043" s="41" t="n">
        <f aca="false">VLOOKUP(C2043,Products!$A$5:$D$24,4,FALSE())</f>
        <v>2</v>
      </c>
      <c r="J2043" s="42" t="n">
        <f aca="false">DATE(YEAR(B2043),MONTH(B2043),1)</f>
        <v>45931</v>
      </c>
      <c r="K2043" s="41" t="n">
        <f aca="false">D2043*E2043</f>
        <v>17.79</v>
      </c>
      <c r="L2043" s="41" t="n">
        <f aca="false">D2043*I2043</f>
        <v>6</v>
      </c>
      <c r="M2043" s="41" t="n">
        <f aca="false">IFERROR(INDEX(Raw_Expenses!$C$5:$C$2979,MATCH(A2043,Raw_Expenses!$A$5:$A$2979,0)),0)</f>
        <v>0.78</v>
      </c>
      <c r="N2043" s="41" t="n">
        <f aca="false">L2043+M2043</f>
        <v>6.78</v>
      </c>
      <c r="O2043" s="41" t="n">
        <f aca="false">K2043-N2043</f>
        <v>11.01</v>
      </c>
      <c r="P2043" s="43" t="n">
        <f aca="false">IF(K2043=0,0,O2043/K2043)</f>
        <v>0.618887015177066</v>
      </c>
    </row>
    <row r="2044" customFormat="false" ht="15" hidden="false" customHeight="false" outlineLevel="0" collapsed="false">
      <c r="A2044" s="39" t="s">
        <v>2166</v>
      </c>
      <c r="B2044" s="40" t="n">
        <v>45935</v>
      </c>
      <c r="C2044" s="39" t="s">
        <v>126</v>
      </c>
      <c r="D2044" s="39" t="n">
        <v>6</v>
      </c>
      <c r="E2044" s="41" t="n">
        <v>23.67</v>
      </c>
      <c r="F2044" s="39" t="s">
        <v>105</v>
      </c>
      <c r="G2044" s="39" t="str">
        <f aca="false">VLOOKUP(C2044,Products!$A$5:$D$24,2,FALSE())</f>
        <v>Wireless Mouse</v>
      </c>
      <c r="H2044" s="39" t="str">
        <f aca="false">VLOOKUP(C2044,Products!$A$5:$D$24,3,FALSE())</f>
        <v>Electronics</v>
      </c>
      <c r="I2044" s="41" t="n">
        <f aca="false">VLOOKUP(C2044,Products!$A$5:$D$24,4,FALSE())</f>
        <v>12</v>
      </c>
      <c r="J2044" s="42" t="n">
        <f aca="false">DATE(YEAR(B2044),MONTH(B2044),1)</f>
        <v>45931</v>
      </c>
      <c r="K2044" s="41" t="n">
        <f aca="false">D2044*E2044</f>
        <v>142.02</v>
      </c>
      <c r="L2044" s="41" t="n">
        <f aca="false">D2044*I2044</f>
        <v>72</v>
      </c>
      <c r="M2044" s="41" t="n">
        <f aca="false">IFERROR(INDEX(Raw_Expenses!$C$5:$C$2979,MATCH(A2044,Raw_Expenses!$A$5:$A$2979,0)),0)</f>
        <v>9.47</v>
      </c>
      <c r="N2044" s="41" t="n">
        <f aca="false">L2044+M2044</f>
        <v>81.47</v>
      </c>
      <c r="O2044" s="41" t="n">
        <f aca="false">K2044-N2044</f>
        <v>60.55</v>
      </c>
      <c r="P2044" s="43" t="n">
        <f aca="false">IF(K2044=0,0,O2044/K2044)</f>
        <v>0.426348401633573</v>
      </c>
    </row>
    <row r="2045" customFormat="false" ht="15" hidden="false" customHeight="false" outlineLevel="0" collapsed="false">
      <c r="A2045" s="39" t="s">
        <v>2167</v>
      </c>
      <c r="B2045" s="40" t="n">
        <v>45935</v>
      </c>
      <c r="C2045" s="39" t="s">
        <v>112</v>
      </c>
      <c r="D2045" s="39" t="n">
        <v>2</v>
      </c>
      <c r="E2045" s="41" t="n">
        <v>51.04</v>
      </c>
      <c r="F2045" s="39" t="s">
        <v>105</v>
      </c>
      <c r="G2045" s="39" t="str">
        <f aca="false">VLOOKUP(C2045,Products!$A$5:$D$24,2,FALSE())</f>
        <v>HD Webcam</v>
      </c>
      <c r="H2045" s="39" t="str">
        <f aca="false">VLOOKUP(C2045,Products!$A$5:$D$24,3,FALSE())</f>
        <v>Electronics</v>
      </c>
      <c r="I2045" s="41" t="n">
        <f aca="false">VLOOKUP(C2045,Products!$A$5:$D$24,4,FALSE())</f>
        <v>22</v>
      </c>
      <c r="J2045" s="42" t="n">
        <f aca="false">DATE(YEAR(B2045),MONTH(B2045),1)</f>
        <v>45931</v>
      </c>
      <c r="K2045" s="41" t="n">
        <f aca="false">D2045*E2045</f>
        <v>102.08</v>
      </c>
      <c r="L2045" s="41" t="n">
        <f aca="false">D2045*I2045</f>
        <v>44</v>
      </c>
      <c r="M2045" s="41" t="n">
        <f aca="false">IFERROR(INDEX(Raw_Expenses!$C$5:$C$2979,MATCH(A2045,Raw_Expenses!$A$5:$A$2979,0)),0)</f>
        <v>6.13</v>
      </c>
      <c r="N2045" s="41" t="n">
        <f aca="false">L2045+M2045</f>
        <v>50.13</v>
      </c>
      <c r="O2045" s="41" t="n">
        <f aca="false">K2045-N2045</f>
        <v>51.95</v>
      </c>
      <c r="P2045" s="43" t="n">
        <f aca="false">IF(K2045=0,0,O2045/K2045)</f>
        <v>0.508914576802508</v>
      </c>
    </row>
    <row r="2046" customFormat="false" ht="15" hidden="false" customHeight="false" outlineLevel="0" collapsed="false">
      <c r="A2046" s="39" t="s">
        <v>2168</v>
      </c>
      <c r="B2046" s="40" t="n">
        <v>45935</v>
      </c>
      <c r="C2046" s="39" t="s">
        <v>128</v>
      </c>
      <c r="D2046" s="39" t="n">
        <v>5</v>
      </c>
      <c r="E2046" s="41" t="n">
        <v>38.39</v>
      </c>
      <c r="F2046" s="39" t="s">
        <v>105</v>
      </c>
      <c r="G2046" s="39" t="str">
        <f aca="false">VLOOKUP(C2046,Products!$A$5:$D$24,2,FALSE())</f>
        <v>Ergonomic Footrest</v>
      </c>
      <c r="H2046" s="39" t="str">
        <f aca="false">VLOOKUP(C2046,Products!$A$5:$D$24,3,FALSE())</f>
        <v>Furniture</v>
      </c>
      <c r="I2046" s="41" t="n">
        <f aca="false">VLOOKUP(C2046,Products!$A$5:$D$24,4,FALSE())</f>
        <v>15</v>
      </c>
      <c r="J2046" s="42" t="n">
        <f aca="false">DATE(YEAR(B2046),MONTH(B2046),1)</f>
        <v>45931</v>
      </c>
      <c r="K2046" s="41" t="n">
        <f aca="false">D2046*E2046</f>
        <v>191.95</v>
      </c>
      <c r="L2046" s="41" t="n">
        <f aca="false">D2046*I2046</f>
        <v>75</v>
      </c>
      <c r="M2046" s="41" t="n">
        <f aca="false">IFERROR(INDEX(Raw_Expenses!$C$5:$C$2979,MATCH(A2046,Raw_Expenses!$A$5:$A$2979,0)),0)</f>
        <v>14</v>
      </c>
      <c r="N2046" s="41" t="n">
        <f aca="false">L2046+M2046</f>
        <v>89</v>
      </c>
      <c r="O2046" s="41" t="n">
        <f aca="false">K2046-N2046</f>
        <v>102.95</v>
      </c>
      <c r="P2046" s="43" t="n">
        <f aca="false">IF(K2046=0,0,O2046/K2046)</f>
        <v>0.536337587913519</v>
      </c>
    </row>
    <row r="2047" customFormat="false" ht="15" hidden="false" customHeight="false" outlineLevel="0" collapsed="false">
      <c r="A2047" s="39" t="s">
        <v>2169</v>
      </c>
      <c r="B2047" s="40" t="n">
        <v>45936</v>
      </c>
      <c r="C2047" s="39" t="s">
        <v>177</v>
      </c>
      <c r="D2047" s="39" t="n">
        <v>4</v>
      </c>
      <c r="E2047" s="41" t="n">
        <v>41.6</v>
      </c>
      <c r="F2047" s="39" t="s">
        <v>115</v>
      </c>
      <c r="G2047" s="39" t="str">
        <f aca="false">VLOOKUP(C2047,Products!$A$5:$D$24,2,FALSE())</f>
        <v>Backpack</v>
      </c>
      <c r="H2047" s="39" t="str">
        <f aca="false">VLOOKUP(C2047,Products!$A$5:$D$24,3,FALSE())</f>
        <v>Accessories</v>
      </c>
      <c r="I2047" s="41" t="n">
        <f aca="false">VLOOKUP(C2047,Products!$A$5:$D$24,4,FALSE())</f>
        <v>17</v>
      </c>
      <c r="J2047" s="42" t="n">
        <f aca="false">DATE(YEAR(B2047),MONTH(B2047),1)</f>
        <v>45931</v>
      </c>
      <c r="K2047" s="41" t="n">
        <f aca="false">D2047*E2047</f>
        <v>166.4</v>
      </c>
      <c r="L2047" s="41" t="n">
        <f aca="false">D2047*I2047</f>
        <v>68</v>
      </c>
      <c r="M2047" s="41" t="n">
        <f aca="false">IFERROR(INDEX(Raw_Expenses!$C$5:$C$2979,MATCH(A2047,Raw_Expenses!$A$5:$A$2979,0)),0)</f>
        <v>12.09</v>
      </c>
      <c r="N2047" s="41" t="n">
        <f aca="false">L2047+M2047</f>
        <v>80.09</v>
      </c>
      <c r="O2047" s="41" t="n">
        <f aca="false">K2047-N2047</f>
        <v>86.31</v>
      </c>
      <c r="P2047" s="43" t="n">
        <f aca="false">IF(K2047=0,0,O2047/K2047)</f>
        <v>0.518689903846154</v>
      </c>
    </row>
    <row r="2048" customFormat="false" ht="15" hidden="false" customHeight="false" outlineLevel="0" collapsed="false">
      <c r="A2048" s="39" t="s">
        <v>2170</v>
      </c>
      <c r="B2048" s="40" t="n">
        <v>45936</v>
      </c>
      <c r="C2048" s="39" t="s">
        <v>130</v>
      </c>
      <c r="D2048" s="39" t="n">
        <v>8</v>
      </c>
      <c r="E2048" s="41" t="n">
        <v>8.62</v>
      </c>
      <c r="F2048" s="39" t="s">
        <v>105</v>
      </c>
      <c r="G2048" s="39" t="str">
        <f aca="false">VLOOKUP(C2048,Products!$A$5:$D$24,2,FALSE())</f>
        <v>Notebook Set</v>
      </c>
      <c r="H2048" s="39" t="str">
        <f aca="false">VLOOKUP(C2048,Products!$A$5:$D$24,3,FALSE())</f>
        <v>Stationery</v>
      </c>
      <c r="I2048" s="41" t="n">
        <f aca="false">VLOOKUP(C2048,Products!$A$5:$D$24,4,FALSE())</f>
        <v>3</v>
      </c>
      <c r="J2048" s="42" t="n">
        <f aca="false">DATE(YEAR(B2048),MONTH(B2048),1)</f>
        <v>45931</v>
      </c>
      <c r="K2048" s="41" t="n">
        <f aca="false">D2048*E2048</f>
        <v>68.96</v>
      </c>
      <c r="L2048" s="41" t="n">
        <f aca="false">D2048*I2048</f>
        <v>24</v>
      </c>
      <c r="M2048" s="41" t="n">
        <f aca="false">IFERROR(INDEX(Raw_Expenses!$C$5:$C$2979,MATCH(A2048,Raw_Expenses!$A$5:$A$2979,0)),0)</f>
        <v>3.92</v>
      </c>
      <c r="N2048" s="41" t="n">
        <f aca="false">L2048+M2048</f>
        <v>27.92</v>
      </c>
      <c r="O2048" s="41" t="n">
        <f aca="false">K2048-N2048</f>
        <v>41.04</v>
      </c>
      <c r="P2048" s="43" t="n">
        <f aca="false">IF(K2048=0,0,O2048/K2048)</f>
        <v>0.595127610208817</v>
      </c>
    </row>
    <row r="2049" customFormat="false" ht="15" hidden="false" customHeight="false" outlineLevel="0" collapsed="false">
      <c r="A2049" s="39" t="s">
        <v>2171</v>
      </c>
      <c r="B2049" s="40" t="n">
        <v>45936</v>
      </c>
      <c r="C2049" s="39" t="s">
        <v>104</v>
      </c>
      <c r="D2049" s="39" t="n">
        <v>2</v>
      </c>
      <c r="E2049" s="41" t="n">
        <v>15.29</v>
      </c>
      <c r="F2049" s="39" t="s">
        <v>108</v>
      </c>
      <c r="G2049" s="39" t="str">
        <f aca="false">VLOOKUP(C2049,Products!$A$5:$D$24,2,FALSE())</f>
        <v>Water Bottle</v>
      </c>
      <c r="H2049" s="39" t="str">
        <f aca="false">VLOOKUP(C2049,Products!$A$5:$D$24,3,FALSE())</f>
        <v>Accessories</v>
      </c>
      <c r="I2049" s="41" t="n">
        <f aca="false">VLOOKUP(C2049,Products!$A$5:$D$24,4,FALSE())</f>
        <v>5</v>
      </c>
      <c r="J2049" s="42" t="n">
        <f aca="false">DATE(YEAR(B2049),MONTH(B2049),1)</f>
        <v>45931</v>
      </c>
      <c r="K2049" s="41" t="n">
        <f aca="false">D2049*E2049</f>
        <v>30.58</v>
      </c>
      <c r="L2049" s="41" t="n">
        <f aca="false">D2049*I2049</f>
        <v>10</v>
      </c>
      <c r="M2049" s="41" t="n">
        <f aca="false">IFERROR(INDEX(Raw_Expenses!$C$5:$C$2979,MATCH(A2049,Raw_Expenses!$A$5:$A$2979,0)),0)</f>
        <v>2.54</v>
      </c>
      <c r="N2049" s="41" t="n">
        <f aca="false">L2049+M2049</f>
        <v>12.54</v>
      </c>
      <c r="O2049" s="41" t="n">
        <f aca="false">K2049-N2049</f>
        <v>18.04</v>
      </c>
      <c r="P2049" s="43" t="n">
        <f aca="false">IF(K2049=0,0,O2049/K2049)</f>
        <v>0.589928057553957</v>
      </c>
    </row>
    <row r="2050" customFormat="false" ht="15" hidden="false" customHeight="false" outlineLevel="0" collapsed="false">
      <c r="A2050" s="39" t="s">
        <v>2172</v>
      </c>
      <c r="B2050" s="40" t="n">
        <v>45936</v>
      </c>
      <c r="C2050" s="39" t="s">
        <v>121</v>
      </c>
      <c r="D2050" s="39" t="n">
        <v>5</v>
      </c>
      <c r="E2050" s="41" t="n">
        <v>115.46</v>
      </c>
      <c r="F2050" s="39" t="s">
        <v>118</v>
      </c>
      <c r="G2050" s="39" t="str">
        <f aca="false">VLOOKUP(C2050,Products!$A$5:$D$24,2,FALSE())</f>
        <v>External SSD 1TB</v>
      </c>
      <c r="H2050" s="39" t="str">
        <f aca="false">VLOOKUP(C2050,Products!$A$5:$D$24,3,FALSE())</f>
        <v>Electronics</v>
      </c>
      <c r="I2050" s="41" t="n">
        <f aca="false">VLOOKUP(C2050,Products!$A$5:$D$24,4,FALSE())</f>
        <v>62</v>
      </c>
      <c r="J2050" s="42" t="n">
        <f aca="false">DATE(YEAR(B2050),MONTH(B2050),1)</f>
        <v>45931</v>
      </c>
      <c r="K2050" s="41" t="n">
        <f aca="false">D2050*E2050</f>
        <v>577.3</v>
      </c>
      <c r="L2050" s="41" t="n">
        <f aca="false">D2050*I2050</f>
        <v>310</v>
      </c>
      <c r="M2050" s="41" t="n">
        <f aca="false">IFERROR(INDEX(Raw_Expenses!$C$5:$C$2979,MATCH(A2050,Raw_Expenses!$A$5:$A$2979,0)),0)</f>
        <v>34.58</v>
      </c>
      <c r="N2050" s="41" t="n">
        <f aca="false">L2050+M2050</f>
        <v>344.58</v>
      </c>
      <c r="O2050" s="41" t="n">
        <f aca="false">K2050-N2050</f>
        <v>232.72</v>
      </c>
      <c r="P2050" s="43" t="n">
        <f aca="false">IF(K2050=0,0,O2050/K2050)</f>
        <v>0.403117962930885</v>
      </c>
    </row>
    <row r="2051" customFormat="false" ht="15" hidden="false" customHeight="false" outlineLevel="0" collapsed="false">
      <c r="A2051" s="39" t="s">
        <v>2173</v>
      </c>
      <c r="B2051" s="40" t="n">
        <v>45936</v>
      </c>
      <c r="C2051" s="39" t="s">
        <v>112</v>
      </c>
      <c r="D2051" s="39" t="n">
        <v>1</v>
      </c>
      <c r="E2051" s="41" t="n">
        <v>52.4</v>
      </c>
      <c r="F2051" s="39" t="s">
        <v>105</v>
      </c>
      <c r="G2051" s="39" t="str">
        <f aca="false">VLOOKUP(C2051,Products!$A$5:$D$24,2,FALSE())</f>
        <v>HD Webcam</v>
      </c>
      <c r="H2051" s="39" t="str">
        <f aca="false">VLOOKUP(C2051,Products!$A$5:$D$24,3,FALSE())</f>
        <v>Electronics</v>
      </c>
      <c r="I2051" s="41" t="n">
        <f aca="false">VLOOKUP(C2051,Products!$A$5:$D$24,4,FALSE())</f>
        <v>22</v>
      </c>
      <c r="J2051" s="42" t="n">
        <f aca="false">DATE(YEAR(B2051),MONTH(B2051),1)</f>
        <v>45931</v>
      </c>
      <c r="K2051" s="41" t="n">
        <f aca="false">D2051*E2051</f>
        <v>52.4</v>
      </c>
      <c r="L2051" s="41" t="n">
        <f aca="false">D2051*I2051</f>
        <v>22</v>
      </c>
      <c r="M2051" s="41" t="n">
        <f aca="false">IFERROR(INDEX(Raw_Expenses!$C$5:$C$2979,MATCH(A2051,Raw_Expenses!$A$5:$A$2979,0)),0)</f>
        <v>4.02</v>
      </c>
      <c r="N2051" s="41" t="n">
        <f aca="false">L2051+M2051</f>
        <v>26.02</v>
      </c>
      <c r="O2051" s="41" t="n">
        <f aca="false">K2051-N2051</f>
        <v>26.38</v>
      </c>
      <c r="P2051" s="43" t="n">
        <f aca="false">IF(K2051=0,0,O2051/K2051)</f>
        <v>0.503435114503817</v>
      </c>
    </row>
    <row r="2052" customFormat="false" ht="15" hidden="false" customHeight="false" outlineLevel="0" collapsed="false">
      <c r="A2052" s="39" t="s">
        <v>2174</v>
      </c>
      <c r="B2052" s="40" t="n">
        <v>45936</v>
      </c>
      <c r="C2052" s="39" t="s">
        <v>162</v>
      </c>
      <c r="D2052" s="39" t="n">
        <v>4</v>
      </c>
      <c r="E2052" s="41" t="n">
        <v>67.7</v>
      </c>
      <c r="F2052" s="39" t="s">
        <v>105</v>
      </c>
      <c r="G2052" s="39" t="str">
        <f aca="false">VLOOKUP(C2052,Products!$A$5:$D$24,2,FALSE())</f>
        <v>Bluetooth Speaker</v>
      </c>
      <c r="H2052" s="39" t="str">
        <f aca="false">VLOOKUP(C2052,Products!$A$5:$D$24,3,FALSE())</f>
        <v>Electronics</v>
      </c>
      <c r="I2052" s="41" t="n">
        <f aca="false">VLOOKUP(C2052,Products!$A$5:$D$24,4,FALSE())</f>
        <v>28</v>
      </c>
      <c r="J2052" s="42" t="n">
        <f aca="false">DATE(YEAR(B2052),MONTH(B2052),1)</f>
        <v>45931</v>
      </c>
      <c r="K2052" s="41" t="n">
        <f aca="false">D2052*E2052</f>
        <v>270.8</v>
      </c>
      <c r="L2052" s="41" t="n">
        <f aca="false">D2052*I2052</f>
        <v>112</v>
      </c>
      <c r="M2052" s="41" t="n">
        <f aca="false">IFERROR(INDEX(Raw_Expenses!$C$5:$C$2979,MATCH(A2052,Raw_Expenses!$A$5:$A$2979,0)),0)</f>
        <v>16.94</v>
      </c>
      <c r="N2052" s="41" t="n">
        <f aca="false">L2052+M2052</f>
        <v>128.94</v>
      </c>
      <c r="O2052" s="41" t="n">
        <f aca="false">K2052-N2052</f>
        <v>141.86</v>
      </c>
      <c r="P2052" s="43" t="n">
        <f aca="false">IF(K2052=0,0,O2052/K2052)</f>
        <v>0.523855243722304</v>
      </c>
    </row>
    <row r="2053" customFormat="false" ht="15" hidden="false" customHeight="false" outlineLevel="0" collapsed="false">
      <c r="A2053" s="39" t="s">
        <v>2175</v>
      </c>
      <c r="B2053" s="40" t="n">
        <v>45936</v>
      </c>
      <c r="C2053" s="39" t="s">
        <v>162</v>
      </c>
      <c r="D2053" s="39" t="n">
        <v>2</v>
      </c>
      <c r="E2053" s="41" t="n">
        <v>67.83</v>
      </c>
      <c r="F2053" s="39" t="s">
        <v>118</v>
      </c>
      <c r="G2053" s="39" t="str">
        <f aca="false">VLOOKUP(C2053,Products!$A$5:$D$24,2,FALSE())</f>
        <v>Bluetooth Speaker</v>
      </c>
      <c r="H2053" s="39" t="str">
        <f aca="false">VLOOKUP(C2053,Products!$A$5:$D$24,3,FALSE())</f>
        <v>Electronics</v>
      </c>
      <c r="I2053" s="41" t="n">
        <f aca="false">VLOOKUP(C2053,Products!$A$5:$D$24,4,FALSE())</f>
        <v>28</v>
      </c>
      <c r="J2053" s="42" t="n">
        <f aca="false">DATE(YEAR(B2053),MONTH(B2053),1)</f>
        <v>45931</v>
      </c>
      <c r="K2053" s="41" t="n">
        <f aca="false">D2053*E2053</f>
        <v>135.66</v>
      </c>
      <c r="L2053" s="41" t="n">
        <f aca="false">D2053*I2053</f>
        <v>56</v>
      </c>
      <c r="M2053" s="41" t="n">
        <f aca="false">IFERROR(INDEX(Raw_Expenses!$C$5:$C$2979,MATCH(A2053,Raw_Expenses!$A$5:$A$2979,0)),0)</f>
        <v>6.99</v>
      </c>
      <c r="N2053" s="41" t="n">
        <f aca="false">L2053+M2053</f>
        <v>62.99</v>
      </c>
      <c r="O2053" s="41" t="n">
        <f aca="false">K2053-N2053</f>
        <v>72.67</v>
      </c>
      <c r="P2053" s="43" t="n">
        <f aca="false">IF(K2053=0,0,O2053/K2053)</f>
        <v>0.535677428866283</v>
      </c>
    </row>
    <row r="2054" customFormat="false" ht="15" hidden="false" customHeight="false" outlineLevel="0" collapsed="false">
      <c r="A2054" s="39" t="s">
        <v>2176</v>
      </c>
      <c r="B2054" s="40" t="n">
        <v>45936</v>
      </c>
      <c r="C2054" s="39" t="s">
        <v>126</v>
      </c>
      <c r="D2054" s="39" t="n">
        <v>4</v>
      </c>
      <c r="E2054" s="41" t="n">
        <v>23.61</v>
      </c>
      <c r="F2054" s="39" t="s">
        <v>115</v>
      </c>
      <c r="G2054" s="39" t="str">
        <f aca="false">VLOOKUP(C2054,Products!$A$5:$D$24,2,FALSE())</f>
        <v>Wireless Mouse</v>
      </c>
      <c r="H2054" s="39" t="str">
        <f aca="false">VLOOKUP(C2054,Products!$A$5:$D$24,3,FALSE())</f>
        <v>Electronics</v>
      </c>
      <c r="I2054" s="41" t="n">
        <f aca="false">VLOOKUP(C2054,Products!$A$5:$D$24,4,FALSE())</f>
        <v>12</v>
      </c>
      <c r="J2054" s="42" t="n">
        <f aca="false">DATE(YEAR(B2054),MONTH(B2054),1)</f>
        <v>45931</v>
      </c>
      <c r="K2054" s="41" t="n">
        <f aca="false">D2054*E2054</f>
        <v>94.44</v>
      </c>
      <c r="L2054" s="41" t="n">
        <f aca="false">D2054*I2054</f>
        <v>48</v>
      </c>
      <c r="M2054" s="41" t="n">
        <f aca="false">IFERROR(INDEX(Raw_Expenses!$C$5:$C$2979,MATCH(A2054,Raw_Expenses!$A$5:$A$2979,0)),0)</f>
        <v>7.54</v>
      </c>
      <c r="N2054" s="41" t="n">
        <f aca="false">L2054+M2054</f>
        <v>55.54</v>
      </c>
      <c r="O2054" s="41" t="n">
        <f aca="false">K2054-N2054</f>
        <v>38.9</v>
      </c>
      <c r="P2054" s="43" t="n">
        <f aca="false">IF(K2054=0,0,O2054/K2054)</f>
        <v>0.411901736552308</v>
      </c>
    </row>
    <row r="2055" customFormat="false" ht="15" hidden="false" customHeight="false" outlineLevel="0" collapsed="false">
      <c r="A2055" s="39" t="s">
        <v>2177</v>
      </c>
      <c r="B2055" s="40" t="n">
        <v>45936</v>
      </c>
      <c r="C2055" s="39" t="s">
        <v>104</v>
      </c>
      <c r="D2055" s="39" t="n">
        <v>3</v>
      </c>
      <c r="E2055" s="41" t="n">
        <v>15.58</v>
      </c>
      <c r="F2055" s="39" t="s">
        <v>118</v>
      </c>
      <c r="G2055" s="39" t="str">
        <f aca="false">VLOOKUP(C2055,Products!$A$5:$D$24,2,FALSE())</f>
        <v>Water Bottle</v>
      </c>
      <c r="H2055" s="39" t="str">
        <f aca="false">VLOOKUP(C2055,Products!$A$5:$D$24,3,FALSE())</f>
        <v>Accessories</v>
      </c>
      <c r="I2055" s="41" t="n">
        <f aca="false">VLOOKUP(C2055,Products!$A$5:$D$24,4,FALSE())</f>
        <v>5</v>
      </c>
      <c r="J2055" s="42" t="n">
        <f aca="false">DATE(YEAR(B2055),MONTH(B2055),1)</f>
        <v>45931</v>
      </c>
      <c r="K2055" s="41" t="n">
        <f aca="false">D2055*E2055</f>
        <v>46.74</v>
      </c>
      <c r="L2055" s="41" t="n">
        <f aca="false">D2055*I2055</f>
        <v>15</v>
      </c>
      <c r="M2055" s="41" t="n">
        <f aca="false">IFERROR(INDEX(Raw_Expenses!$C$5:$C$2979,MATCH(A2055,Raw_Expenses!$A$5:$A$2979,0)),0)</f>
        <v>3.3</v>
      </c>
      <c r="N2055" s="41" t="n">
        <f aca="false">L2055+M2055</f>
        <v>18.3</v>
      </c>
      <c r="O2055" s="41" t="n">
        <f aca="false">K2055-N2055</f>
        <v>28.44</v>
      </c>
      <c r="P2055" s="43" t="n">
        <f aca="false">IF(K2055=0,0,O2055/K2055)</f>
        <v>0.608472400513479</v>
      </c>
    </row>
    <row r="2056" customFormat="false" ht="15" hidden="false" customHeight="false" outlineLevel="0" collapsed="false">
      <c r="A2056" s="39" t="s">
        <v>2178</v>
      </c>
      <c r="B2056" s="40" t="n">
        <v>45936</v>
      </c>
      <c r="C2056" s="39" t="s">
        <v>136</v>
      </c>
      <c r="D2056" s="39" t="n">
        <v>5</v>
      </c>
      <c r="E2056" s="41" t="n">
        <v>74.87</v>
      </c>
      <c r="F2056" s="39" t="s">
        <v>115</v>
      </c>
      <c r="G2056" s="39" t="str">
        <f aca="false">VLOOKUP(C2056,Products!$A$5:$D$24,2,FALSE())</f>
        <v>Mechanical Keyboard</v>
      </c>
      <c r="H2056" s="39" t="str">
        <f aca="false">VLOOKUP(C2056,Products!$A$5:$D$24,3,FALSE())</f>
        <v>Electronics</v>
      </c>
      <c r="I2056" s="41" t="n">
        <f aca="false">VLOOKUP(C2056,Products!$A$5:$D$24,4,FALSE())</f>
        <v>38</v>
      </c>
      <c r="J2056" s="42" t="n">
        <f aca="false">DATE(YEAR(B2056),MONTH(B2056),1)</f>
        <v>45931</v>
      </c>
      <c r="K2056" s="41" t="n">
        <f aca="false">D2056*E2056</f>
        <v>374.35</v>
      </c>
      <c r="L2056" s="41" t="n">
        <f aca="false">D2056*I2056</f>
        <v>190</v>
      </c>
      <c r="M2056" s="41" t="n">
        <f aca="false">IFERROR(INDEX(Raw_Expenses!$C$5:$C$2979,MATCH(A2056,Raw_Expenses!$A$5:$A$2979,0)),0)</f>
        <v>16.8</v>
      </c>
      <c r="N2056" s="41" t="n">
        <f aca="false">L2056+M2056</f>
        <v>206.8</v>
      </c>
      <c r="O2056" s="41" t="n">
        <f aca="false">K2056-N2056</f>
        <v>167.55</v>
      </c>
      <c r="P2056" s="43" t="n">
        <f aca="false">IF(K2056=0,0,O2056/K2056)</f>
        <v>0.447575798049953</v>
      </c>
    </row>
    <row r="2057" customFormat="false" ht="15" hidden="false" customHeight="false" outlineLevel="0" collapsed="false">
      <c r="A2057" s="39" t="s">
        <v>2179</v>
      </c>
      <c r="B2057" s="40" t="n">
        <v>45936</v>
      </c>
      <c r="C2057" s="39" t="s">
        <v>169</v>
      </c>
      <c r="D2057" s="39" t="n">
        <v>3</v>
      </c>
      <c r="E2057" s="41" t="n">
        <v>28.13</v>
      </c>
      <c r="F2057" s="39" t="s">
        <v>108</v>
      </c>
      <c r="G2057" s="39" t="str">
        <f aca="false">VLOOKUP(C2057,Products!$A$5:$D$24,2,FALSE())</f>
        <v>Laptop Stand</v>
      </c>
      <c r="H2057" s="39" t="str">
        <f aca="false">VLOOKUP(C2057,Products!$A$5:$D$24,3,FALSE())</f>
        <v>Accessories</v>
      </c>
      <c r="I2057" s="41" t="n">
        <f aca="false">VLOOKUP(C2057,Products!$A$5:$D$24,4,FALSE())</f>
        <v>11</v>
      </c>
      <c r="J2057" s="42" t="n">
        <f aca="false">DATE(YEAR(B2057),MONTH(B2057),1)</f>
        <v>45931</v>
      </c>
      <c r="K2057" s="41" t="n">
        <f aca="false">D2057*E2057</f>
        <v>84.39</v>
      </c>
      <c r="L2057" s="41" t="n">
        <f aca="false">D2057*I2057</f>
        <v>33</v>
      </c>
      <c r="M2057" s="41" t="n">
        <f aca="false">IFERROR(INDEX(Raw_Expenses!$C$5:$C$2979,MATCH(A2057,Raw_Expenses!$A$5:$A$2979,0)),0)</f>
        <v>6.89</v>
      </c>
      <c r="N2057" s="41" t="n">
        <f aca="false">L2057+M2057</f>
        <v>39.89</v>
      </c>
      <c r="O2057" s="41" t="n">
        <f aca="false">K2057-N2057</f>
        <v>44.5</v>
      </c>
      <c r="P2057" s="43" t="n">
        <f aca="false">IF(K2057=0,0,O2057/K2057)</f>
        <v>0.527313662756251</v>
      </c>
    </row>
    <row r="2058" customFormat="false" ht="15" hidden="false" customHeight="false" outlineLevel="0" collapsed="false">
      <c r="A2058" s="39" t="s">
        <v>2180</v>
      </c>
      <c r="B2058" s="40" t="n">
        <v>45936</v>
      </c>
      <c r="C2058" s="39" t="s">
        <v>130</v>
      </c>
      <c r="D2058" s="39" t="n">
        <v>1</v>
      </c>
      <c r="E2058" s="41" t="n">
        <v>8.95</v>
      </c>
      <c r="F2058" s="39" t="s">
        <v>108</v>
      </c>
      <c r="G2058" s="39" t="str">
        <f aca="false">VLOOKUP(C2058,Products!$A$5:$D$24,2,FALSE())</f>
        <v>Notebook Set</v>
      </c>
      <c r="H2058" s="39" t="str">
        <f aca="false">VLOOKUP(C2058,Products!$A$5:$D$24,3,FALSE())</f>
        <v>Stationery</v>
      </c>
      <c r="I2058" s="41" t="n">
        <f aca="false">VLOOKUP(C2058,Products!$A$5:$D$24,4,FALSE())</f>
        <v>3</v>
      </c>
      <c r="J2058" s="42" t="n">
        <f aca="false">DATE(YEAR(B2058),MONTH(B2058),1)</f>
        <v>45931</v>
      </c>
      <c r="K2058" s="41" t="n">
        <f aca="false">D2058*E2058</f>
        <v>8.95</v>
      </c>
      <c r="L2058" s="41" t="n">
        <f aca="false">D2058*I2058</f>
        <v>3</v>
      </c>
      <c r="M2058" s="41" t="n">
        <f aca="false">IFERROR(INDEX(Raw_Expenses!$C$5:$C$2979,MATCH(A2058,Raw_Expenses!$A$5:$A$2979,0)),0)</f>
        <v>0.73</v>
      </c>
      <c r="N2058" s="41" t="n">
        <f aca="false">L2058+M2058</f>
        <v>3.73</v>
      </c>
      <c r="O2058" s="41" t="n">
        <f aca="false">K2058-N2058</f>
        <v>5.22</v>
      </c>
      <c r="P2058" s="43" t="n">
        <f aca="false">IF(K2058=0,0,O2058/K2058)</f>
        <v>0.583240223463687</v>
      </c>
    </row>
    <row r="2059" customFormat="false" ht="15" hidden="false" customHeight="false" outlineLevel="0" collapsed="false">
      <c r="A2059" s="39" t="s">
        <v>2181</v>
      </c>
      <c r="B2059" s="40" t="n">
        <v>45937</v>
      </c>
      <c r="C2059" s="39" t="s">
        <v>183</v>
      </c>
      <c r="D2059" s="39" t="n">
        <v>2</v>
      </c>
      <c r="E2059" s="41" t="n">
        <v>174.83</v>
      </c>
      <c r="F2059" s="39" t="s">
        <v>105</v>
      </c>
      <c r="G2059" s="39" t="str">
        <f aca="false">VLOOKUP(C2059,Products!$A$5:$D$24,2,FALSE())</f>
        <v>Office Chair</v>
      </c>
      <c r="H2059" s="39" t="str">
        <f aca="false">VLOOKUP(C2059,Products!$A$5:$D$24,3,FALSE())</f>
        <v>Furniture</v>
      </c>
      <c r="I2059" s="41" t="n">
        <f aca="false">VLOOKUP(C2059,Products!$A$5:$D$24,4,FALSE())</f>
        <v>85</v>
      </c>
      <c r="J2059" s="42" t="n">
        <f aca="false">DATE(YEAR(B2059),MONTH(B2059),1)</f>
        <v>45931</v>
      </c>
      <c r="K2059" s="41" t="n">
        <f aca="false">D2059*E2059</f>
        <v>349.66</v>
      </c>
      <c r="L2059" s="41" t="n">
        <f aca="false">D2059*I2059</f>
        <v>170</v>
      </c>
      <c r="M2059" s="41" t="n">
        <f aca="false">IFERROR(INDEX(Raw_Expenses!$C$5:$C$2979,MATCH(A2059,Raw_Expenses!$A$5:$A$2979,0)),0)</f>
        <v>30.75</v>
      </c>
      <c r="N2059" s="41" t="n">
        <f aca="false">L2059+M2059</f>
        <v>200.75</v>
      </c>
      <c r="O2059" s="41" t="n">
        <f aca="false">K2059-N2059</f>
        <v>148.91</v>
      </c>
      <c r="P2059" s="43" t="n">
        <f aca="false">IF(K2059=0,0,O2059/K2059)</f>
        <v>0.425870845964651</v>
      </c>
    </row>
    <row r="2060" customFormat="false" ht="15" hidden="false" customHeight="false" outlineLevel="0" collapsed="false">
      <c r="A2060" s="39" t="s">
        <v>2182</v>
      </c>
      <c r="B2060" s="40" t="n">
        <v>45937</v>
      </c>
      <c r="C2060" s="39" t="s">
        <v>117</v>
      </c>
      <c r="D2060" s="39" t="n">
        <v>3</v>
      </c>
      <c r="E2060" s="41" t="n">
        <v>31.47</v>
      </c>
      <c r="F2060" s="39" t="s">
        <v>105</v>
      </c>
      <c r="G2060" s="39" t="str">
        <f aca="false">VLOOKUP(C2060,Products!$A$5:$D$24,2,FALSE())</f>
        <v>Desk Lamp</v>
      </c>
      <c r="H2060" s="39" t="str">
        <f aca="false">VLOOKUP(C2060,Products!$A$5:$D$24,3,FALSE())</f>
        <v>Furniture</v>
      </c>
      <c r="I2060" s="41" t="n">
        <f aca="false">VLOOKUP(C2060,Products!$A$5:$D$24,4,FALSE())</f>
        <v>13</v>
      </c>
      <c r="J2060" s="42" t="n">
        <f aca="false">DATE(YEAR(B2060),MONTH(B2060),1)</f>
        <v>45931</v>
      </c>
      <c r="K2060" s="41" t="n">
        <f aca="false">D2060*E2060</f>
        <v>94.41</v>
      </c>
      <c r="L2060" s="41" t="n">
        <f aca="false">D2060*I2060</f>
        <v>39</v>
      </c>
      <c r="M2060" s="41" t="n">
        <f aca="false">IFERROR(INDEX(Raw_Expenses!$C$5:$C$2979,MATCH(A2060,Raw_Expenses!$A$5:$A$2979,0)),0)</f>
        <v>6.24</v>
      </c>
      <c r="N2060" s="41" t="n">
        <f aca="false">L2060+M2060</f>
        <v>45.24</v>
      </c>
      <c r="O2060" s="41" t="n">
        <f aca="false">K2060-N2060</f>
        <v>49.17</v>
      </c>
      <c r="P2060" s="43" t="n">
        <f aca="false">IF(K2060=0,0,O2060/K2060)</f>
        <v>0.520813473149031</v>
      </c>
    </row>
    <row r="2061" customFormat="false" ht="15" hidden="false" customHeight="false" outlineLevel="0" collapsed="false">
      <c r="A2061" s="39" t="s">
        <v>2183</v>
      </c>
      <c r="B2061" s="40" t="n">
        <v>45937</v>
      </c>
      <c r="C2061" s="39" t="s">
        <v>136</v>
      </c>
      <c r="D2061" s="39" t="n">
        <v>2</v>
      </c>
      <c r="E2061" s="41" t="n">
        <v>76.96</v>
      </c>
      <c r="F2061" s="39" t="s">
        <v>118</v>
      </c>
      <c r="G2061" s="39" t="str">
        <f aca="false">VLOOKUP(C2061,Products!$A$5:$D$24,2,FALSE())</f>
        <v>Mechanical Keyboard</v>
      </c>
      <c r="H2061" s="39" t="str">
        <f aca="false">VLOOKUP(C2061,Products!$A$5:$D$24,3,FALSE())</f>
        <v>Electronics</v>
      </c>
      <c r="I2061" s="41" t="n">
        <f aca="false">VLOOKUP(C2061,Products!$A$5:$D$24,4,FALSE())</f>
        <v>38</v>
      </c>
      <c r="J2061" s="42" t="n">
        <f aca="false">DATE(YEAR(B2061),MONTH(B2061),1)</f>
        <v>45931</v>
      </c>
      <c r="K2061" s="41" t="n">
        <f aca="false">D2061*E2061</f>
        <v>153.92</v>
      </c>
      <c r="L2061" s="41" t="n">
        <f aca="false">D2061*I2061</f>
        <v>76</v>
      </c>
      <c r="M2061" s="41" t="n">
        <f aca="false">IFERROR(INDEX(Raw_Expenses!$C$5:$C$2979,MATCH(A2061,Raw_Expenses!$A$5:$A$2979,0)),0)</f>
        <v>12.99</v>
      </c>
      <c r="N2061" s="41" t="n">
        <f aca="false">L2061+M2061</f>
        <v>88.99</v>
      </c>
      <c r="O2061" s="41" t="n">
        <f aca="false">K2061-N2061</f>
        <v>64.93</v>
      </c>
      <c r="P2061" s="43" t="n">
        <f aca="false">IF(K2061=0,0,O2061/K2061)</f>
        <v>0.421842515592516</v>
      </c>
    </row>
    <row r="2062" customFormat="false" ht="15" hidden="false" customHeight="false" outlineLevel="0" collapsed="false">
      <c r="A2062" s="39" t="s">
        <v>2184</v>
      </c>
      <c r="B2062" s="40" t="n">
        <v>45937</v>
      </c>
      <c r="C2062" s="39" t="s">
        <v>126</v>
      </c>
      <c r="D2062" s="39" t="n">
        <v>4</v>
      </c>
      <c r="E2062" s="41" t="n">
        <v>23.55</v>
      </c>
      <c r="F2062" s="39" t="s">
        <v>115</v>
      </c>
      <c r="G2062" s="39" t="str">
        <f aca="false">VLOOKUP(C2062,Products!$A$5:$D$24,2,FALSE())</f>
        <v>Wireless Mouse</v>
      </c>
      <c r="H2062" s="39" t="str">
        <f aca="false">VLOOKUP(C2062,Products!$A$5:$D$24,3,FALSE())</f>
        <v>Electronics</v>
      </c>
      <c r="I2062" s="41" t="n">
        <f aca="false">VLOOKUP(C2062,Products!$A$5:$D$24,4,FALSE())</f>
        <v>12</v>
      </c>
      <c r="J2062" s="42" t="n">
        <f aca="false">DATE(YEAR(B2062),MONTH(B2062),1)</f>
        <v>45931</v>
      </c>
      <c r="K2062" s="41" t="n">
        <f aca="false">D2062*E2062</f>
        <v>94.2</v>
      </c>
      <c r="L2062" s="41" t="n">
        <f aca="false">D2062*I2062</f>
        <v>48</v>
      </c>
      <c r="M2062" s="41" t="n">
        <f aca="false">IFERROR(INDEX(Raw_Expenses!$C$5:$C$2979,MATCH(A2062,Raw_Expenses!$A$5:$A$2979,0)),0)</f>
        <v>7.87</v>
      </c>
      <c r="N2062" s="41" t="n">
        <f aca="false">L2062+M2062</f>
        <v>55.87</v>
      </c>
      <c r="O2062" s="41" t="n">
        <f aca="false">K2062-N2062</f>
        <v>38.33</v>
      </c>
      <c r="P2062" s="43" t="n">
        <f aca="false">IF(K2062=0,0,O2062/K2062)</f>
        <v>0.406900212314225</v>
      </c>
    </row>
    <row r="2063" customFormat="false" ht="15" hidden="false" customHeight="false" outlineLevel="0" collapsed="false">
      <c r="A2063" s="39" t="s">
        <v>2185</v>
      </c>
      <c r="B2063" s="40" t="n">
        <v>45937</v>
      </c>
      <c r="C2063" s="39" t="s">
        <v>128</v>
      </c>
      <c r="D2063" s="39" t="n">
        <v>1</v>
      </c>
      <c r="E2063" s="41" t="n">
        <v>38.27</v>
      </c>
      <c r="F2063" s="39" t="s">
        <v>105</v>
      </c>
      <c r="G2063" s="39" t="str">
        <f aca="false">VLOOKUP(C2063,Products!$A$5:$D$24,2,FALSE())</f>
        <v>Ergonomic Footrest</v>
      </c>
      <c r="H2063" s="39" t="str">
        <f aca="false">VLOOKUP(C2063,Products!$A$5:$D$24,3,FALSE())</f>
        <v>Furniture</v>
      </c>
      <c r="I2063" s="41" t="n">
        <f aca="false">VLOOKUP(C2063,Products!$A$5:$D$24,4,FALSE())</f>
        <v>15</v>
      </c>
      <c r="J2063" s="42" t="n">
        <f aca="false">DATE(YEAR(B2063),MONTH(B2063),1)</f>
        <v>45931</v>
      </c>
      <c r="K2063" s="41" t="n">
        <f aca="false">D2063*E2063</f>
        <v>38.27</v>
      </c>
      <c r="L2063" s="41" t="n">
        <f aca="false">D2063*I2063</f>
        <v>15</v>
      </c>
      <c r="M2063" s="41" t="n">
        <f aca="false">IFERROR(INDEX(Raw_Expenses!$C$5:$C$2979,MATCH(A2063,Raw_Expenses!$A$5:$A$2979,0)),0)</f>
        <v>2.56</v>
      </c>
      <c r="N2063" s="41" t="n">
        <f aca="false">L2063+M2063</f>
        <v>17.56</v>
      </c>
      <c r="O2063" s="41" t="n">
        <f aca="false">K2063-N2063</f>
        <v>20.71</v>
      </c>
      <c r="P2063" s="43" t="n">
        <f aca="false">IF(K2063=0,0,O2063/K2063)</f>
        <v>0.541154951659263</v>
      </c>
    </row>
    <row r="2064" customFormat="false" ht="15" hidden="false" customHeight="false" outlineLevel="0" collapsed="false">
      <c r="A2064" s="39" t="s">
        <v>2186</v>
      </c>
      <c r="B2064" s="40" t="n">
        <v>45937</v>
      </c>
      <c r="C2064" s="39" t="s">
        <v>153</v>
      </c>
      <c r="D2064" s="39" t="n">
        <v>1</v>
      </c>
      <c r="E2064" s="41" t="n">
        <v>177.31</v>
      </c>
      <c r="F2064" s="39" t="s">
        <v>115</v>
      </c>
      <c r="G2064" s="39" t="str">
        <f aca="false">VLOOKUP(C2064,Products!$A$5:$D$24,2,FALSE())</f>
        <v>24-inch Monitor</v>
      </c>
      <c r="H2064" s="39" t="str">
        <f aca="false">VLOOKUP(C2064,Products!$A$5:$D$24,3,FALSE())</f>
        <v>Electronics</v>
      </c>
      <c r="I2064" s="41" t="n">
        <f aca="false">VLOOKUP(C2064,Products!$A$5:$D$24,4,FALSE())</f>
        <v>90</v>
      </c>
      <c r="J2064" s="42" t="n">
        <f aca="false">DATE(YEAR(B2064),MONTH(B2064),1)</f>
        <v>45931</v>
      </c>
      <c r="K2064" s="41" t="n">
        <f aca="false">D2064*E2064</f>
        <v>177.31</v>
      </c>
      <c r="L2064" s="41" t="n">
        <f aca="false">D2064*I2064</f>
        <v>90</v>
      </c>
      <c r="M2064" s="41" t="n">
        <f aca="false">IFERROR(INDEX(Raw_Expenses!$C$5:$C$2979,MATCH(A2064,Raw_Expenses!$A$5:$A$2979,0)),0)</f>
        <v>11.02</v>
      </c>
      <c r="N2064" s="41" t="n">
        <f aca="false">L2064+M2064</f>
        <v>101.02</v>
      </c>
      <c r="O2064" s="41" t="n">
        <f aca="false">K2064-N2064</f>
        <v>76.29</v>
      </c>
      <c r="P2064" s="43" t="n">
        <f aca="false">IF(K2064=0,0,O2064/K2064)</f>
        <v>0.430263380519993</v>
      </c>
    </row>
    <row r="2065" customFormat="false" ht="15" hidden="false" customHeight="false" outlineLevel="0" collapsed="false">
      <c r="A2065" s="39" t="s">
        <v>2187</v>
      </c>
      <c r="B2065" s="40" t="n">
        <v>45937</v>
      </c>
      <c r="C2065" s="39" t="s">
        <v>136</v>
      </c>
      <c r="D2065" s="39" t="n">
        <v>8</v>
      </c>
      <c r="E2065" s="41" t="n">
        <v>72.96</v>
      </c>
      <c r="F2065" s="39" t="s">
        <v>108</v>
      </c>
      <c r="G2065" s="39" t="str">
        <f aca="false">VLOOKUP(C2065,Products!$A$5:$D$24,2,FALSE())</f>
        <v>Mechanical Keyboard</v>
      </c>
      <c r="H2065" s="39" t="str">
        <f aca="false">VLOOKUP(C2065,Products!$A$5:$D$24,3,FALSE())</f>
        <v>Electronics</v>
      </c>
      <c r="I2065" s="41" t="n">
        <f aca="false">VLOOKUP(C2065,Products!$A$5:$D$24,4,FALSE())</f>
        <v>38</v>
      </c>
      <c r="J2065" s="42" t="n">
        <f aca="false">DATE(YEAR(B2065),MONTH(B2065),1)</f>
        <v>45931</v>
      </c>
      <c r="K2065" s="41" t="n">
        <f aca="false">D2065*E2065</f>
        <v>583.68</v>
      </c>
      <c r="L2065" s="41" t="n">
        <f aca="false">D2065*I2065</f>
        <v>304</v>
      </c>
      <c r="M2065" s="41" t="n">
        <f aca="false">IFERROR(INDEX(Raw_Expenses!$C$5:$C$2979,MATCH(A2065,Raw_Expenses!$A$5:$A$2979,0)),0)</f>
        <v>46.52</v>
      </c>
      <c r="N2065" s="41" t="n">
        <f aca="false">L2065+M2065</f>
        <v>350.52</v>
      </c>
      <c r="O2065" s="41" t="n">
        <f aca="false">K2065-N2065</f>
        <v>233.16</v>
      </c>
      <c r="P2065" s="43" t="n">
        <f aca="false">IF(K2065=0,0,O2065/K2065)</f>
        <v>0.399465460526316</v>
      </c>
    </row>
    <row r="2066" customFormat="false" ht="15" hidden="false" customHeight="false" outlineLevel="0" collapsed="false">
      <c r="A2066" s="39" t="s">
        <v>2188</v>
      </c>
      <c r="B2066" s="40" t="n">
        <v>45937</v>
      </c>
      <c r="C2066" s="39" t="s">
        <v>107</v>
      </c>
      <c r="D2066" s="39" t="n">
        <v>4</v>
      </c>
      <c r="E2066" s="41" t="n">
        <v>33.74</v>
      </c>
      <c r="F2066" s="39" t="s">
        <v>118</v>
      </c>
      <c r="G2066" s="39" t="str">
        <f aca="false">VLOOKUP(C2066,Products!$A$5:$D$24,2,FALSE())</f>
        <v>USB-C Hub</v>
      </c>
      <c r="H2066" s="39" t="str">
        <f aca="false">VLOOKUP(C2066,Products!$A$5:$D$24,3,FALSE())</f>
        <v>Electronics</v>
      </c>
      <c r="I2066" s="41" t="n">
        <f aca="false">VLOOKUP(C2066,Products!$A$5:$D$24,4,FALSE())</f>
        <v>14</v>
      </c>
      <c r="J2066" s="42" t="n">
        <f aca="false">DATE(YEAR(B2066),MONTH(B2066),1)</f>
        <v>45931</v>
      </c>
      <c r="K2066" s="41" t="n">
        <f aca="false">D2066*E2066</f>
        <v>134.96</v>
      </c>
      <c r="L2066" s="41" t="n">
        <f aca="false">D2066*I2066</f>
        <v>56</v>
      </c>
      <c r="M2066" s="41" t="n">
        <f aca="false">IFERROR(INDEX(Raw_Expenses!$C$5:$C$2979,MATCH(A2066,Raw_Expenses!$A$5:$A$2979,0)),0)</f>
        <v>7.71</v>
      </c>
      <c r="N2066" s="41" t="n">
        <f aca="false">L2066+M2066</f>
        <v>63.71</v>
      </c>
      <c r="O2066" s="41" t="n">
        <f aca="false">K2066-N2066</f>
        <v>71.25</v>
      </c>
      <c r="P2066" s="43" t="n">
        <f aca="false">IF(K2066=0,0,O2066/K2066)</f>
        <v>0.527934202726734</v>
      </c>
    </row>
    <row r="2067" customFormat="false" ht="15" hidden="false" customHeight="false" outlineLevel="0" collapsed="false">
      <c r="A2067" s="39" t="s">
        <v>2189</v>
      </c>
      <c r="B2067" s="40" t="n">
        <v>45938</v>
      </c>
      <c r="C2067" s="39" t="s">
        <v>126</v>
      </c>
      <c r="D2067" s="39" t="n">
        <v>5</v>
      </c>
      <c r="E2067" s="41" t="n">
        <v>24.22</v>
      </c>
      <c r="F2067" s="39" t="s">
        <v>108</v>
      </c>
      <c r="G2067" s="39" t="str">
        <f aca="false">VLOOKUP(C2067,Products!$A$5:$D$24,2,FALSE())</f>
        <v>Wireless Mouse</v>
      </c>
      <c r="H2067" s="39" t="str">
        <f aca="false">VLOOKUP(C2067,Products!$A$5:$D$24,3,FALSE())</f>
        <v>Electronics</v>
      </c>
      <c r="I2067" s="41" t="n">
        <f aca="false">VLOOKUP(C2067,Products!$A$5:$D$24,4,FALSE())</f>
        <v>12</v>
      </c>
      <c r="J2067" s="42" t="n">
        <f aca="false">DATE(YEAR(B2067),MONTH(B2067),1)</f>
        <v>45931</v>
      </c>
      <c r="K2067" s="41" t="n">
        <f aca="false">D2067*E2067</f>
        <v>121.1</v>
      </c>
      <c r="L2067" s="41" t="n">
        <f aca="false">D2067*I2067</f>
        <v>60</v>
      </c>
      <c r="M2067" s="41" t="n">
        <f aca="false">IFERROR(INDEX(Raw_Expenses!$C$5:$C$2979,MATCH(A2067,Raw_Expenses!$A$5:$A$2979,0)),0)</f>
        <v>6.68</v>
      </c>
      <c r="N2067" s="41" t="n">
        <f aca="false">L2067+M2067</f>
        <v>66.68</v>
      </c>
      <c r="O2067" s="41" t="n">
        <f aca="false">K2067-N2067</f>
        <v>54.42</v>
      </c>
      <c r="P2067" s="43" t="n">
        <f aca="false">IF(K2067=0,0,O2067/K2067)</f>
        <v>0.449380677126342</v>
      </c>
    </row>
    <row r="2068" customFormat="false" ht="15" hidden="false" customHeight="false" outlineLevel="0" collapsed="false">
      <c r="A2068" s="39" t="s">
        <v>2190</v>
      </c>
      <c r="B2068" s="40" t="n">
        <v>45938</v>
      </c>
      <c r="C2068" s="39" t="s">
        <v>130</v>
      </c>
      <c r="D2068" s="39" t="n">
        <v>1</v>
      </c>
      <c r="E2068" s="41" t="n">
        <v>8.8</v>
      </c>
      <c r="F2068" s="39" t="s">
        <v>118</v>
      </c>
      <c r="G2068" s="39" t="str">
        <f aca="false">VLOOKUP(C2068,Products!$A$5:$D$24,2,FALSE())</f>
        <v>Notebook Set</v>
      </c>
      <c r="H2068" s="39" t="str">
        <f aca="false">VLOOKUP(C2068,Products!$A$5:$D$24,3,FALSE())</f>
        <v>Stationery</v>
      </c>
      <c r="I2068" s="41" t="n">
        <f aca="false">VLOOKUP(C2068,Products!$A$5:$D$24,4,FALSE())</f>
        <v>3</v>
      </c>
      <c r="J2068" s="42" t="n">
        <f aca="false">DATE(YEAR(B2068),MONTH(B2068),1)</f>
        <v>45931</v>
      </c>
      <c r="K2068" s="41" t="n">
        <f aca="false">D2068*E2068</f>
        <v>8.8</v>
      </c>
      <c r="L2068" s="41" t="n">
        <f aca="false">D2068*I2068</f>
        <v>3</v>
      </c>
      <c r="M2068" s="41" t="n">
        <f aca="false">IFERROR(INDEX(Raw_Expenses!$C$5:$C$2979,MATCH(A2068,Raw_Expenses!$A$5:$A$2979,0)),0)</f>
        <v>0.66</v>
      </c>
      <c r="N2068" s="41" t="n">
        <f aca="false">L2068+M2068</f>
        <v>3.66</v>
      </c>
      <c r="O2068" s="41" t="n">
        <f aca="false">K2068-N2068</f>
        <v>5.14</v>
      </c>
      <c r="P2068" s="43" t="n">
        <f aca="false">IF(K2068=0,0,O2068/K2068)</f>
        <v>0.584090909090909</v>
      </c>
    </row>
    <row r="2069" customFormat="false" ht="15" hidden="false" customHeight="false" outlineLevel="0" collapsed="false">
      <c r="A2069" s="39" t="s">
        <v>2191</v>
      </c>
      <c r="B2069" s="40" t="n">
        <v>45938</v>
      </c>
      <c r="C2069" s="39" t="s">
        <v>136</v>
      </c>
      <c r="D2069" s="39" t="n">
        <v>2</v>
      </c>
      <c r="E2069" s="41" t="n">
        <v>76.18</v>
      </c>
      <c r="F2069" s="39" t="s">
        <v>108</v>
      </c>
      <c r="G2069" s="39" t="str">
        <f aca="false">VLOOKUP(C2069,Products!$A$5:$D$24,2,FALSE())</f>
        <v>Mechanical Keyboard</v>
      </c>
      <c r="H2069" s="39" t="str">
        <f aca="false">VLOOKUP(C2069,Products!$A$5:$D$24,3,FALSE())</f>
        <v>Electronics</v>
      </c>
      <c r="I2069" s="41" t="n">
        <f aca="false">VLOOKUP(C2069,Products!$A$5:$D$24,4,FALSE())</f>
        <v>38</v>
      </c>
      <c r="J2069" s="42" t="n">
        <f aca="false">DATE(YEAR(B2069),MONTH(B2069),1)</f>
        <v>45931</v>
      </c>
      <c r="K2069" s="41" t="n">
        <f aca="false">D2069*E2069</f>
        <v>152.36</v>
      </c>
      <c r="L2069" s="41" t="n">
        <f aca="false">D2069*I2069</f>
        <v>76</v>
      </c>
      <c r="M2069" s="41" t="n">
        <f aca="false">IFERROR(INDEX(Raw_Expenses!$C$5:$C$2979,MATCH(A2069,Raw_Expenses!$A$5:$A$2979,0)),0)</f>
        <v>8.07</v>
      </c>
      <c r="N2069" s="41" t="n">
        <f aca="false">L2069+M2069</f>
        <v>84.07</v>
      </c>
      <c r="O2069" s="41" t="n">
        <f aca="false">K2069-N2069</f>
        <v>68.29</v>
      </c>
      <c r="P2069" s="43" t="n">
        <f aca="false">IF(K2069=0,0,O2069/K2069)</f>
        <v>0.448214754528748</v>
      </c>
    </row>
    <row r="2070" customFormat="false" ht="15" hidden="false" customHeight="false" outlineLevel="0" collapsed="false">
      <c r="A2070" s="39" t="s">
        <v>2192</v>
      </c>
      <c r="B2070" s="40" t="n">
        <v>45938</v>
      </c>
      <c r="C2070" s="39" t="s">
        <v>169</v>
      </c>
      <c r="D2070" s="39" t="n">
        <v>1</v>
      </c>
      <c r="E2070" s="41" t="n">
        <v>27.48</v>
      </c>
      <c r="F2070" s="39" t="s">
        <v>115</v>
      </c>
      <c r="G2070" s="39" t="str">
        <f aca="false">VLOOKUP(C2070,Products!$A$5:$D$24,2,FALSE())</f>
        <v>Laptop Stand</v>
      </c>
      <c r="H2070" s="39" t="str">
        <f aca="false">VLOOKUP(C2070,Products!$A$5:$D$24,3,FALSE())</f>
        <v>Accessories</v>
      </c>
      <c r="I2070" s="41" t="n">
        <f aca="false">VLOOKUP(C2070,Products!$A$5:$D$24,4,FALSE())</f>
        <v>11</v>
      </c>
      <c r="J2070" s="42" t="n">
        <f aca="false">DATE(YEAR(B2070),MONTH(B2070),1)</f>
        <v>45931</v>
      </c>
      <c r="K2070" s="41" t="n">
        <f aca="false">D2070*E2070</f>
        <v>27.48</v>
      </c>
      <c r="L2070" s="41" t="n">
        <f aca="false">D2070*I2070</f>
        <v>11</v>
      </c>
      <c r="M2070" s="41" t="n">
        <f aca="false">IFERROR(INDEX(Raw_Expenses!$C$5:$C$2979,MATCH(A2070,Raw_Expenses!$A$5:$A$2979,0)),0)</f>
        <v>2.2</v>
      </c>
      <c r="N2070" s="41" t="n">
        <f aca="false">L2070+M2070</f>
        <v>13.2</v>
      </c>
      <c r="O2070" s="41" t="n">
        <f aca="false">K2070-N2070</f>
        <v>14.28</v>
      </c>
      <c r="P2070" s="43" t="n">
        <f aca="false">IF(K2070=0,0,O2070/K2070)</f>
        <v>0.519650655021834</v>
      </c>
    </row>
    <row r="2071" customFormat="false" ht="15" hidden="false" customHeight="false" outlineLevel="0" collapsed="false">
      <c r="A2071" s="39" t="s">
        <v>2193</v>
      </c>
      <c r="B2071" s="40" t="n">
        <v>45938</v>
      </c>
      <c r="C2071" s="39" t="s">
        <v>162</v>
      </c>
      <c r="D2071" s="39" t="n">
        <v>6</v>
      </c>
      <c r="E2071" s="41" t="n">
        <v>67.03</v>
      </c>
      <c r="F2071" s="39" t="s">
        <v>118</v>
      </c>
      <c r="G2071" s="39" t="str">
        <f aca="false">VLOOKUP(C2071,Products!$A$5:$D$24,2,FALSE())</f>
        <v>Bluetooth Speaker</v>
      </c>
      <c r="H2071" s="39" t="str">
        <f aca="false">VLOOKUP(C2071,Products!$A$5:$D$24,3,FALSE())</f>
        <v>Electronics</v>
      </c>
      <c r="I2071" s="41" t="n">
        <f aca="false">VLOOKUP(C2071,Products!$A$5:$D$24,4,FALSE())</f>
        <v>28</v>
      </c>
      <c r="J2071" s="42" t="n">
        <f aca="false">DATE(YEAR(B2071),MONTH(B2071),1)</f>
        <v>45931</v>
      </c>
      <c r="K2071" s="41" t="n">
        <f aca="false">D2071*E2071</f>
        <v>402.18</v>
      </c>
      <c r="L2071" s="41" t="n">
        <f aca="false">D2071*I2071</f>
        <v>168</v>
      </c>
      <c r="M2071" s="41" t="n">
        <f aca="false">IFERROR(INDEX(Raw_Expenses!$C$5:$C$2979,MATCH(A2071,Raw_Expenses!$A$5:$A$2979,0)),0)</f>
        <v>25.64</v>
      </c>
      <c r="N2071" s="41" t="n">
        <f aca="false">L2071+M2071</f>
        <v>193.64</v>
      </c>
      <c r="O2071" s="41" t="n">
        <f aca="false">K2071-N2071</f>
        <v>208.54</v>
      </c>
      <c r="P2071" s="43" t="n">
        <f aca="false">IF(K2071=0,0,O2071/K2071)</f>
        <v>0.518524043960416</v>
      </c>
    </row>
    <row r="2072" customFormat="false" ht="15" hidden="false" customHeight="false" outlineLevel="0" collapsed="false">
      <c r="A2072" s="39" t="s">
        <v>2194</v>
      </c>
      <c r="B2072" s="40" t="n">
        <v>45938</v>
      </c>
      <c r="C2072" s="39" t="s">
        <v>114</v>
      </c>
      <c r="D2072" s="39" t="n">
        <v>1</v>
      </c>
      <c r="E2072" s="41" t="n">
        <v>5.57</v>
      </c>
      <c r="F2072" s="39" t="s">
        <v>108</v>
      </c>
      <c r="G2072" s="39" t="str">
        <f aca="false">VLOOKUP(C2072,Products!$A$5:$D$24,2,FALSE())</f>
        <v>Gel Pen Pack</v>
      </c>
      <c r="H2072" s="39" t="str">
        <f aca="false">VLOOKUP(C2072,Products!$A$5:$D$24,3,FALSE())</f>
        <v>Stationery</v>
      </c>
      <c r="I2072" s="41" t="n">
        <f aca="false">VLOOKUP(C2072,Products!$A$5:$D$24,4,FALSE())</f>
        <v>2</v>
      </c>
      <c r="J2072" s="42" t="n">
        <f aca="false">DATE(YEAR(B2072),MONTH(B2072),1)</f>
        <v>45931</v>
      </c>
      <c r="K2072" s="41" t="n">
        <f aca="false">D2072*E2072</f>
        <v>5.57</v>
      </c>
      <c r="L2072" s="41" t="n">
        <f aca="false">D2072*I2072</f>
        <v>2</v>
      </c>
      <c r="M2072" s="41" t="n">
        <f aca="false">IFERROR(INDEX(Raw_Expenses!$C$5:$C$2979,MATCH(A2072,Raw_Expenses!$A$5:$A$2979,0)),0)</f>
        <v>0.25</v>
      </c>
      <c r="N2072" s="41" t="n">
        <f aca="false">L2072+M2072</f>
        <v>2.25</v>
      </c>
      <c r="O2072" s="41" t="n">
        <f aca="false">K2072-N2072</f>
        <v>3.32</v>
      </c>
      <c r="P2072" s="43" t="n">
        <f aca="false">IF(K2072=0,0,O2072/K2072)</f>
        <v>0.596050269299821</v>
      </c>
    </row>
    <row r="2073" customFormat="false" ht="15" hidden="false" customHeight="false" outlineLevel="0" collapsed="false">
      <c r="A2073" s="39" t="s">
        <v>2195</v>
      </c>
      <c r="B2073" s="40" t="n">
        <v>45938</v>
      </c>
      <c r="C2073" s="39" t="s">
        <v>114</v>
      </c>
      <c r="D2073" s="39" t="n">
        <v>5</v>
      </c>
      <c r="E2073" s="41" t="n">
        <v>5.66</v>
      </c>
      <c r="F2073" s="39" t="s">
        <v>115</v>
      </c>
      <c r="G2073" s="39" t="str">
        <f aca="false">VLOOKUP(C2073,Products!$A$5:$D$24,2,FALSE())</f>
        <v>Gel Pen Pack</v>
      </c>
      <c r="H2073" s="39" t="str">
        <f aca="false">VLOOKUP(C2073,Products!$A$5:$D$24,3,FALSE())</f>
        <v>Stationery</v>
      </c>
      <c r="I2073" s="41" t="n">
        <f aca="false">VLOOKUP(C2073,Products!$A$5:$D$24,4,FALSE())</f>
        <v>2</v>
      </c>
      <c r="J2073" s="42" t="n">
        <f aca="false">DATE(YEAR(B2073),MONTH(B2073),1)</f>
        <v>45931</v>
      </c>
      <c r="K2073" s="41" t="n">
        <f aca="false">D2073*E2073</f>
        <v>28.3</v>
      </c>
      <c r="L2073" s="41" t="n">
        <f aca="false">D2073*I2073</f>
        <v>10</v>
      </c>
      <c r="M2073" s="41" t="n">
        <f aca="false">IFERROR(INDEX(Raw_Expenses!$C$5:$C$2979,MATCH(A2073,Raw_Expenses!$A$5:$A$2979,0)),0)</f>
        <v>1.87</v>
      </c>
      <c r="N2073" s="41" t="n">
        <f aca="false">L2073+M2073</f>
        <v>11.87</v>
      </c>
      <c r="O2073" s="41" t="n">
        <f aca="false">K2073-N2073</f>
        <v>16.43</v>
      </c>
      <c r="P2073" s="43" t="n">
        <f aca="false">IF(K2073=0,0,O2073/K2073)</f>
        <v>0.580565371024735</v>
      </c>
    </row>
    <row r="2074" customFormat="false" ht="15" hidden="false" customHeight="false" outlineLevel="0" collapsed="false">
      <c r="A2074" s="39" t="s">
        <v>2196</v>
      </c>
      <c r="B2074" s="40" t="n">
        <v>45938</v>
      </c>
      <c r="C2074" s="39" t="s">
        <v>136</v>
      </c>
      <c r="D2074" s="39" t="n">
        <v>1</v>
      </c>
      <c r="E2074" s="41" t="n">
        <v>75.31</v>
      </c>
      <c r="F2074" s="39" t="s">
        <v>105</v>
      </c>
      <c r="G2074" s="39" t="str">
        <f aca="false">VLOOKUP(C2074,Products!$A$5:$D$24,2,FALSE())</f>
        <v>Mechanical Keyboard</v>
      </c>
      <c r="H2074" s="39" t="str">
        <f aca="false">VLOOKUP(C2074,Products!$A$5:$D$24,3,FALSE())</f>
        <v>Electronics</v>
      </c>
      <c r="I2074" s="41" t="n">
        <f aca="false">VLOOKUP(C2074,Products!$A$5:$D$24,4,FALSE())</f>
        <v>38</v>
      </c>
      <c r="J2074" s="42" t="n">
        <f aca="false">DATE(YEAR(B2074),MONTH(B2074),1)</f>
        <v>45931</v>
      </c>
      <c r="K2074" s="41" t="n">
        <f aca="false">D2074*E2074</f>
        <v>75.31</v>
      </c>
      <c r="L2074" s="41" t="n">
        <f aca="false">D2074*I2074</f>
        <v>38</v>
      </c>
      <c r="M2074" s="41" t="n">
        <f aca="false">IFERROR(INDEX(Raw_Expenses!$C$5:$C$2979,MATCH(A2074,Raw_Expenses!$A$5:$A$2979,0)),0)</f>
        <v>5.99</v>
      </c>
      <c r="N2074" s="41" t="n">
        <f aca="false">L2074+M2074</f>
        <v>43.99</v>
      </c>
      <c r="O2074" s="41" t="n">
        <f aca="false">K2074-N2074</f>
        <v>31.32</v>
      </c>
      <c r="P2074" s="43" t="n">
        <f aca="false">IF(K2074=0,0,O2074/K2074)</f>
        <v>0.415881025096269</v>
      </c>
    </row>
    <row r="2075" customFormat="false" ht="15" hidden="false" customHeight="false" outlineLevel="0" collapsed="false">
      <c r="A2075" s="39" t="s">
        <v>2197</v>
      </c>
      <c r="B2075" s="40" t="n">
        <v>45938</v>
      </c>
      <c r="C2075" s="39" t="s">
        <v>133</v>
      </c>
      <c r="D2075" s="39" t="n">
        <v>6</v>
      </c>
      <c r="E2075" s="41" t="n">
        <v>8.55</v>
      </c>
      <c r="F2075" s="39" t="s">
        <v>118</v>
      </c>
      <c r="G2075" s="39" t="str">
        <f aca="false">VLOOKUP(C2075,Products!$A$5:$D$24,2,FALSE())</f>
        <v>Printer Paper Ream</v>
      </c>
      <c r="H2075" s="39" t="str">
        <f aca="false">VLOOKUP(C2075,Products!$A$5:$D$24,3,FALSE())</f>
        <v>Stationery</v>
      </c>
      <c r="I2075" s="41" t="n">
        <f aca="false">VLOOKUP(C2075,Products!$A$5:$D$24,4,FALSE())</f>
        <v>4</v>
      </c>
      <c r="J2075" s="42" t="n">
        <f aca="false">DATE(YEAR(B2075),MONTH(B2075),1)</f>
        <v>45931</v>
      </c>
      <c r="K2075" s="41" t="n">
        <f aca="false">D2075*E2075</f>
        <v>51.3</v>
      </c>
      <c r="L2075" s="41" t="n">
        <f aca="false">D2075*I2075</f>
        <v>24</v>
      </c>
      <c r="M2075" s="41" t="n">
        <f aca="false">IFERROR(INDEX(Raw_Expenses!$C$5:$C$2979,MATCH(A2075,Raw_Expenses!$A$5:$A$2979,0)),0)</f>
        <v>3.39</v>
      </c>
      <c r="N2075" s="41" t="n">
        <f aca="false">L2075+M2075</f>
        <v>27.39</v>
      </c>
      <c r="O2075" s="41" t="n">
        <f aca="false">K2075-N2075</f>
        <v>23.91</v>
      </c>
      <c r="P2075" s="43" t="n">
        <f aca="false">IF(K2075=0,0,O2075/K2075)</f>
        <v>0.466081871345029</v>
      </c>
    </row>
    <row r="2076" customFormat="false" ht="15" hidden="false" customHeight="false" outlineLevel="0" collapsed="false">
      <c r="A2076" s="39" t="s">
        <v>2198</v>
      </c>
      <c r="B2076" s="40" t="n">
        <v>45938</v>
      </c>
      <c r="C2076" s="39" t="s">
        <v>183</v>
      </c>
      <c r="D2076" s="39" t="n">
        <v>2</v>
      </c>
      <c r="E2076" s="41" t="n">
        <v>174.31</v>
      </c>
      <c r="F2076" s="39" t="s">
        <v>105</v>
      </c>
      <c r="G2076" s="39" t="str">
        <f aca="false">VLOOKUP(C2076,Products!$A$5:$D$24,2,FALSE())</f>
        <v>Office Chair</v>
      </c>
      <c r="H2076" s="39" t="str">
        <f aca="false">VLOOKUP(C2076,Products!$A$5:$D$24,3,FALSE())</f>
        <v>Furniture</v>
      </c>
      <c r="I2076" s="41" t="n">
        <f aca="false">VLOOKUP(C2076,Products!$A$5:$D$24,4,FALSE())</f>
        <v>85</v>
      </c>
      <c r="J2076" s="42" t="n">
        <f aca="false">DATE(YEAR(B2076),MONTH(B2076),1)</f>
        <v>45931</v>
      </c>
      <c r="K2076" s="41" t="n">
        <f aca="false">D2076*E2076</f>
        <v>348.62</v>
      </c>
      <c r="L2076" s="41" t="n">
        <f aca="false">D2076*I2076</f>
        <v>170</v>
      </c>
      <c r="M2076" s="41" t="n">
        <f aca="false">IFERROR(INDEX(Raw_Expenses!$C$5:$C$2979,MATCH(A2076,Raw_Expenses!$A$5:$A$2979,0)),0)</f>
        <v>24.02</v>
      </c>
      <c r="N2076" s="41" t="n">
        <f aca="false">L2076+M2076</f>
        <v>194.02</v>
      </c>
      <c r="O2076" s="41" t="n">
        <f aca="false">K2076-N2076</f>
        <v>154.6</v>
      </c>
      <c r="P2076" s="43" t="n">
        <f aca="false">IF(K2076=0,0,O2076/K2076)</f>
        <v>0.443462796167747</v>
      </c>
    </row>
    <row r="2077" customFormat="false" ht="15" hidden="false" customHeight="false" outlineLevel="0" collapsed="false">
      <c r="A2077" s="39" t="s">
        <v>2199</v>
      </c>
      <c r="B2077" s="40" t="n">
        <v>45938</v>
      </c>
      <c r="C2077" s="39" t="s">
        <v>183</v>
      </c>
      <c r="D2077" s="39" t="n">
        <v>1</v>
      </c>
      <c r="E2077" s="41" t="n">
        <v>181.27</v>
      </c>
      <c r="F2077" s="39" t="s">
        <v>105</v>
      </c>
      <c r="G2077" s="39" t="str">
        <f aca="false">VLOOKUP(C2077,Products!$A$5:$D$24,2,FALSE())</f>
        <v>Office Chair</v>
      </c>
      <c r="H2077" s="39" t="str">
        <f aca="false">VLOOKUP(C2077,Products!$A$5:$D$24,3,FALSE())</f>
        <v>Furniture</v>
      </c>
      <c r="I2077" s="41" t="n">
        <f aca="false">VLOOKUP(C2077,Products!$A$5:$D$24,4,FALSE())</f>
        <v>85</v>
      </c>
      <c r="J2077" s="42" t="n">
        <f aca="false">DATE(YEAR(B2077),MONTH(B2077),1)</f>
        <v>45931</v>
      </c>
      <c r="K2077" s="41" t="n">
        <f aca="false">D2077*E2077</f>
        <v>181.27</v>
      </c>
      <c r="L2077" s="41" t="n">
        <f aca="false">D2077*I2077</f>
        <v>85</v>
      </c>
      <c r="M2077" s="41" t="n">
        <f aca="false">IFERROR(INDEX(Raw_Expenses!$C$5:$C$2979,MATCH(A2077,Raw_Expenses!$A$5:$A$2979,0)),0)</f>
        <v>11.77</v>
      </c>
      <c r="N2077" s="41" t="n">
        <f aca="false">L2077+M2077</f>
        <v>96.77</v>
      </c>
      <c r="O2077" s="41" t="n">
        <f aca="false">K2077-N2077</f>
        <v>84.5</v>
      </c>
      <c r="P2077" s="43" t="n">
        <f aca="false">IF(K2077=0,0,O2077/K2077)</f>
        <v>0.466155458708005</v>
      </c>
    </row>
    <row r="2078" customFormat="false" ht="15" hidden="false" customHeight="false" outlineLevel="0" collapsed="false">
      <c r="A2078" s="39" t="s">
        <v>2200</v>
      </c>
      <c r="B2078" s="40" t="n">
        <v>45939</v>
      </c>
      <c r="C2078" s="39" t="s">
        <v>136</v>
      </c>
      <c r="D2078" s="39" t="n">
        <v>5</v>
      </c>
      <c r="E2078" s="41" t="n">
        <v>73.03</v>
      </c>
      <c r="F2078" s="39" t="s">
        <v>118</v>
      </c>
      <c r="G2078" s="39" t="str">
        <f aca="false">VLOOKUP(C2078,Products!$A$5:$D$24,2,FALSE())</f>
        <v>Mechanical Keyboard</v>
      </c>
      <c r="H2078" s="39" t="str">
        <f aca="false">VLOOKUP(C2078,Products!$A$5:$D$24,3,FALSE())</f>
        <v>Electronics</v>
      </c>
      <c r="I2078" s="41" t="n">
        <f aca="false">VLOOKUP(C2078,Products!$A$5:$D$24,4,FALSE())</f>
        <v>38</v>
      </c>
      <c r="J2078" s="42" t="n">
        <f aca="false">DATE(YEAR(B2078),MONTH(B2078),1)</f>
        <v>45931</v>
      </c>
      <c r="K2078" s="41" t="n">
        <f aca="false">D2078*E2078</f>
        <v>365.15</v>
      </c>
      <c r="L2078" s="41" t="n">
        <f aca="false">D2078*I2078</f>
        <v>190</v>
      </c>
      <c r="M2078" s="41" t="n">
        <f aca="false">IFERROR(INDEX(Raw_Expenses!$C$5:$C$2979,MATCH(A2078,Raw_Expenses!$A$5:$A$2979,0)),0)</f>
        <v>21.64</v>
      </c>
      <c r="N2078" s="41" t="n">
        <f aca="false">L2078+M2078</f>
        <v>211.64</v>
      </c>
      <c r="O2078" s="41" t="n">
        <f aca="false">K2078-N2078</f>
        <v>153.51</v>
      </c>
      <c r="P2078" s="43" t="n">
        <f aca="false">IF(K2078=0,0,O2078/K2078)</f>
        <v>0.420402574284541</v>
      </c>
    </row>
    <row r="2079" customFormat="false" ht="15" hidden="false" customHeight="false" outlineLevel="0" collapsed="false">
      <c r="A2079" s="39" t="s">
        <v>2201</v>
      </c>
      <c r="B2079" s="40" t="n">
        <v>45939</v>
      </c>
      <c r="C2079" s="39" t="s">
        <v>136</v>
      </c>
      <c r="D2079" s="39" t="n">
        <v>1</v>
      </c>
      <c r="E2079" s="41" t="n">
        <v>72.97</v>
      </c>
      <c r="F2079" s="39" t="s">
        <v>108</v>
      </c>
      <c r="G2079" s="39" t="str">
        <f aca="false">VLOOKUP(C2079,Products!$A$5:$D$24,2,FALSE())</f>
        <v>Mechanical Keyboard</v>
      </c>
      <c r="H2079" s="39" t="str">
        <f aca="false">VLOOKUP(C2079,Products!$A$5:$D$24,3,FALSE())</f>
        <v>Electronics</v>
      </c>
      <c r="I2079" s="41" t="n">
        <f aca="false">VLOOKUP(C2079,Products!$A$5:$D$24,4,FALSE())</f>
        <v>38</v>
      </c>
      <c r="J2079" s="42" t="n">
        <f aca="false">DATE(YEAR(B2079),MONTH(B2079),1)</f>
        <v>45931</v>
      </c>
      <c r="K2079" s="41" t="n">
        <f aca="false">D2079*E2079</f>
        <v>72.97</v>
      </c>
      <c r="L2079" s="41" t="n">
        <f aca="false">D2079*I2079</f>
        <v>38</v>
      </c>
      <c r="M2079" s="41" t="n">
        <f aca="false">IFERROR(INDEX(Raw_Expenses!$C$5:$C$2979,MATCH(A2079,Raw_Expenses!$A$5:$A$2979,0)),0)</f>
        <v>5.97</v>
      </c>
      <c r="N2079" s="41" t="n">
        <f aca="false">L2079+M2079</f>
        <v>43.97</v>
      </c>
      <c r="O2079" s="41" t="n">
        <f aca="false">K2079-N2079</f>
        <v>29</v>
      </c>
      <c r="P2079" s="43" t="n">
        <f aca="false">IF(K2079=0,0,O2079/K2079)</f>
        <v>0.397423598739208</v>
      </c>
    </row>
    <row r="2080" customFormat="false" ht="15" hidden="false" customHeight="false" outlineLevel="0" collapsed="false">
      <c r="A2080" s="39" t="s">
        <v>2202</v>
      </c>
      <c r="B2080" s="40" t="n">
        <v>45939</v>
      </c>
      <c r="C2080" s="39" t="s">
        <v>126</v>
      </c>
      <c r="D2080" s="39" t="n">
        <v>1</v>
      </c>
      <c r="E2080" s="41" t="n">
        <v>24.46</v>
      </c>
      <c r="F2080" s="39" t="s">
        <v>118</v>
      </c>
      <c r="G2080" s="39" t="str">
        <f aca="false">VLOOKUP(C2080,Products!$A$5:$D$24,2,FALSE())</f>
        <v>Wireless Mouse</v>
      </c>
      <c r="H2080" s="39" t="str">
        <f aca="false">VLOOKUP(C2080,Products!$A$5:$D$24,3,FALSE())</f>
        <v>Electronics</v>
      </c>
      <c r="I2080" s="41" t="n">
        <f aca="false">VLOOKUP(C2080,Products!$A$5:$D$24,4,FALSE())</f>
        <v>12</v>
      </c>
      <c r="J2080" s="42" t="n">
        <f aca="false">DATE(YEAR(B2080),MONTH(B2080),1)</f>
        <v>45931</v>
      </c>
      <c r="K2080" s="41" t="n">
        <f aca="false">D2080*E2080</f>
        <v>24.46</v>
      </c>
      <c r="L2080" s="41" t="n">
        <f aca="false">D2080*I2080</f>
        <v>12</v>
      </c>
      <c r="M2080" s="41" t="n">
        <f aca="false">IFERROR(INDEX(Raw_Expenses!$C$5:$C$2979,MATCH(A2080,Raw_Expenses!$A$5:$A$2979,0)),0)</f>
        <v>1.31</v>
      </c>
      <c r="N2080" s="41" t="n">
        <f aca="false">L2080+M2080</f>
        <v>13.31</v>
      </c>
      <c r="O2080" s="41" t="n">
        <f aca="false">K2080-N2080</f>
        <v>11.15</v>
      </c>
      <c r="P2080" s="43" t="n">
        <f aca="false">IF(K2080=0,0,O2080/K2080)</f>
        <v>0.455846279640229</v>
      </c>
    </row>
    <row r="2081" customFormat="false" ht="15" hidden="false" customHeight="false" outlineLevel="0" collapsed="false">
      <c r="A2081" s="39" t="s">
        <v>2203</v>
      </c>
      <c r="B2081" s="40" t="n">
        <v>45939</v>
      </c>
      <c r="C2081" s="39" t="s">
        <v>121</v>
      </c>
      <c r="D2081" s="39" t="n">
        <v>4</v>
      </c>
      <c r="E2081" s="41" t="n">
        <v>113.49</v>
      </c>
      <c r="F2081" s="39" t="s">
        <v>118</v>
      </c>
      <c r="G2081" s="39" t="str">
        <f aca="false">VLOOKUP(C2081,Products!$A$5:$D$24,2,FALSE())</f>
        <v>External SSD 1TB</v>
      </c>
      <c r="H2081" s="39" t="str">
        <f aca="false">VLOOKUP(C2081,Products!$A$5:$D$24,3,FALSE())</f>
        <v>Electronics</v>
      </c>
      <c r="I2081" s="41" t="n">
        <f aca="false">VLOOKUP(C2081,Products!$A$5:$D$24,4,FALSE())</f>
        <v>62</v>
      </c>
      <c r="J2081" s="42" t="n">
        <f aca="false">DATE(YEAR(B2081),MONTH(B2081),1)</f>
        <v>45931</v>
      </c>
      <c r="K2081" s="41" t="n">
        <f aca="false">D2081*E2081</f>
        <v>453.96</v>
      </c>
      <c r="L2081" s="41" t="n">
        <f aca="false">D2081*I2081</f>
        <v>248</v>
      </c>
      <c r="M2081" s="41" t="n">
        <f aca="false">IFERROR(INDEX(Raw_Expenses!$C$5:$C$2979,MATCH(A2081,Raw_Expenses!$A$5:$A$2979,0)),0)</f>
        <v>29.63</v>
      </c>
      <c r="N2081" s="41" t="n">
        <f aca="false">L2081+M2081</f>
        <v>277.63</v>
      </c>
      <c r="O2081" s="41" t="n">
        <f aca="false">K2081-N2081</f>
        <v>176.33</v>
      </c>
      <c r="P2081" s="43" t="n">
        <f aca="false">IF(K2081=0,0,O2081/K2081)</f>
        <v>0.388426293065468</v>
      </c>
    </row>
    <row r="2082" customFormat="false" ht="15" hidden="false" customHeight="false" outlineLevel="0" collapsed="false">
      <c r="A2082" s="39" t="s">
        <v>2204</v>
      </c>
      <c r="B2082" s="40" t="n">
        <v>45939</v>
      </c>
      <c r="C2082" s="39" t="s">
        <v>130</v>
      </c>
      <c r="D2082" s="39" t="n">
        <v>1</v>
      </c>
      <c r="E2082" s="41" t="n">
        <v>8.97</v>
      </c>
      <c r="F2082" s="39" t="s">
        <v>108</v>
      </c>
      <c r="G2082" s="39" t="str">
        <f aca="false">VLOOKUP(C2082,Products!$A$5:$D$24,2,FALSE())</f>
        <v>Notebook Set</v>
      </c>
      <c r="H2082" s="39" t="str">
        <f aca="false">VLOOKUP(C2082,Products!$A$5:$D$24,3,FALSE())</f>
        <v>Stationery</v>
      </c>
      <c r="I2082" s="41" t="n">
        <f aca="false">VLOOKUP(C2082,Products!$A$5:$D$24,4,FALSE())</f>
        <v>3</v>
      </c>
      <c r="J2082" s="42" t="n">
        <f aca="false">DATE(YEAR(B2082),MONTH(B2082),1)</f>
        <v>45931</v>
      </c>
      <c r="K2082" s="41" t="n">
        <f aca="false">D2082*E2082</f>
        <v>8.97</v>
      </c>
      <c r="L2082" s="41" t="n">
        <f aca="false">D2082*I2082</f>
        <v>3</v>
      </c>
      <c r="M2082" s="41" t="n">
        <f aca="false">IFERROR(INDEX(Raw_Expenses!$C$5:$C$2979,MATCH(A2082,Raw_Expenses!$A$5:$A$2979,0)),0)</f>
        <v>0.5</v>
      </c>
      <c r="N2082" s="41" t="n">
        <f aca="false">L2082+M2082</f>
        <v>3.5</v>
      </c>
      <c r="O2082" s="41" t="n">
        <f aca="false">K2082-N2082</f>
        <v>5.47</v>
      </c>
      <c r="P2082" s="43" t="n">
        <f aca="false">IF(K2082=0,0,O2082/K2082)</f>
        <v>0.609810479375697</v>
      </c>
    </row>
    <row r="2083" customFormat="false" ht="15" hidden="false" customHeight="false" outlineLevel="0" collapsed="false">
      <c r="A2083" s="39" t="s">
        <v>2205</v>
      </c>
      <c r="B2083" s="40" t="n">
        <v>45939</v>
      </c>
      <c r="C2083" s="39" t="s">
        <v>133</v>
      </c>
      <c r="D2083" s="39" t="n">
        <v>1</v>
      </c>
      <c r="E2083" s="41" t="n">
        <v>8.94</v>
      </c>
      <c r="F2083" s="39" t="s">
        <v>118</v>
      </c>
      <c r="G2083" s="39" t="str">
        <f aca="false">VLOOKUP(C2083,Products!$A$5:$D$24,2,FALSE())</f>
        <v>Printer Paper Ream</v>
      </c>
      <c r="H2083" s="39" t="str">
        <f aca="false">VLOOKUP(C2083,Products!$A$5:$D$24,3,FALSE())</f>
        <v>Stationery</v>
      </c>
      <c r="I2083" s="41" t="n">
        <f aca="false">VLOOKUP(C2083,Products!$A$5:$D$24,4,FALSE())</f>
        <v>4</v>
      </c>
      <c r="J2083" s="42" t="n">
        <f aca="false">DATE(YEAR(B2083),MONTH(B2083),1)</f>
        <v>45931</v>
      </c>
      <c r="K2083" s="41" t="n">
        <f aca="false">D2083*E2083</f>
        <v>8.94</v>
      </c>
      <c r="L2083" s="41" t="n">
        <f aca="false">D2083*I2083</f>
        <v>4</v>
      </c>
      <c r="M2083" s="41" t="n">
        <f aca="false">IFERROR(INDEX(Raw_Expenses!$C$5:$C$2979,MATCH(A2083,Raw_Expenses!$A$5:$A$2979,0)),0)</f>
        <v>0.53</v>
      </c>
      <c r="N2083" s="41" t="n">
        <f aca="false">L2083+M2083</f>
        <v>4.53</v>
      </c>
      <c r="O2083" s="41" t="n">
        <f aca="false">K2083-N2083</f>
        <v>4.41</v>
      </c>
      <c r="P2083" s="43" t="n">
        <f aca="false">IF(K2083=0,0,O2083/K2083)</f>
        <v>0.493288590604027</v>
      </c>
    </row>
    <row r="2084" customFormat="false" ht="15" hidden="false" customHeight="false" outlineLevel="0" collapsed="false">
      <c r="A2084" s="39" t="s">
        <v>2206</v>
      </c>
      <c r="B2084" s="40" t="n">
        <v>45940</v>
      </c>
      <c r="C2084" s="39" t="s">
        <v>114</v>
      </c>
      <c r="D2084" s="39" t="n">
        <v>6</v>
      </c>
      <c r="E2084" s="41" t="n">
        <v>5.73</v>
      </c>
      <c r="F2084" s="39" t="s">
        <v>115</v>
      </c>
      <c r="G2084" s="39" t="str">
        <f aca="false">VLOOKUP(C2084,Products!$A$5:$D$24,2,FALSE())</f>
        <v>Gel Pen Pack</v>
      </c>
      <c r="H2084" s="39" t="str">
        <f aca="false">VLOOKUP(C2084,Products!$A$5:$D$24,3,FALSE())</f>
        <v>Stationery</v>
      </c>
      <c r="I2084" s="41" t="n">
        <f aca="false">VLOOKUP(C2084,Products!$A$5:$D$24,4,FALSE())</f>
        <v>2</v>
      </c>
      <c r="J2084" s="42" t="n">
        <f aca="false">DATE(YEAR(B2084),MONTH(B2084),1)</f>
        <v>45931</v>
      </c>
      <c r="K2084" s="41" t="n">
        <f aca="false">D2084*E2084</f>
        <v>34.38</v>
      </c>
      <c r="L2084" s="41" t="n">
        <f aca="false">D2084*I2084</f>
        <v>12</v>
      </c>
      <c r="M2084" s="41" t="n">
        <f aca="false">IFERROR(INDEX(Raw_Expenses!$C$5:$C$2979,MATCH(A2084,Raw_Expenses!$A$5:$A$2979,0)),0)</f>
        <v>1.85</v>
      </c>
      <c r="N2084" s="41" t="n">
        <f aca="false">L2084+M2084</f>
        <v>13.85</v>
      </c>
      <c r="O2084" s="41" t="n">
        <f aca="false">K2084-N2084</f>
        <v>20.53</v>
      </c>
      <c r="P2084" s="43" t="n">
        <f aca="false">IF(K2084=0,0,O2084/K2084)</f>
        <v>0.597149505526469</v>
      </c>
    </row>
    <row r="2085" customFormat="false" ht="15" hidden="false" customHeight="false" outlineLevel="0" collapsed="false">
      <c r="A2085" s="39" t="s">
        <v>2207</v>
      </c>
      <c r="B2085" s="40" t="n">
        <v>45940</v>
      </c>
      <c r="C2085" s="39" t="s">
        <v>133</v>
      </c>
      <c r="D2085" s="39" t="n">
        <v>1</v>
      </c>
      <c r="E2085" s="41" t="n">
        <v>8.5</v>
      </c>
      <c r="F2085" s="39" t="s">
        <v>105</v>
      </c>
      <c r="G2085" s="39" t="str">
        <f aca="false">VLOOKUP(C2085,Products!$A$5:$D$24,2,FALSE())</f>
        <v>Printer Paper Ream</v>
      </c>
      <c r="H2085" s="39" t="str">
        <f aca="false">VLOOKUP(C2085,Products!$A$5:$D$24,3,FALSE())</f>
        <v>Stationery</v>
      </c>
      <c r="I2085" s="41" t="n">
        <f aca="false">VLOOKUP(C2085,Products!$A$5:$D$24,4,FALSE())</f>
        <v>4</v>
      </c>
      <c r="J2085" s="42" t="n">
        <f aca="false">DATE(YEAR(B2085),MONTH(B2085),1)</f>
        <v>45931</v>
      </c>
      <c r="K2085" s="41" t="n">
        <f aca="false">D2085*E2085</f>
        <v>8.5</v>
      </c>
      <c r="L2085" s="41" t="n">
        <f aca="false">D2085*I2085</f>
        <v>4</v>
      </c>
      <c r="M2085" s="41" t="n">
        <f aca="false">IFERROR(INDEX(Raw_Expenses!$C$5:$C$2979,MATCH(A2085,Raw_Expenses!$A$5:$A$2979,0)),0)</f>
        <v>0.51</v>
      </c>
      <c r="N2085" s="41" t="n">
        <f aca="false">L2085+M2085</f>
        <v>4.51</v>
      </c>
      <c r="O2085" s="41" t="n">
        <f aca="false">K2085-N2085</f>
        <v>3.99</v>
      </c>
      <c r="P2085" s="43" t="n">
        <f aca="false">IF(K2085=0,0,O2085/K2085)</f>
        <v>0.469411764705882</v>
      </c>
    </row>
    <row r="2086" customFormat="false" ht="15" hidden="false" customHeight="false" outlineLevel="0" collapsed="false">
      <c r="A2086" s="39" t="s">
        <v>2208</v>
      </c>
      <c r="B2086" s="40" t="n">
        <v>45940</v>
      </c>
      <c r="C2086" s="39" t="s">
        <v>183</v>
      </c>
      <c r="D2086" s="39" t="n">
        <v>1</v>
      </c>
      <c r="E2086" s="41" t="n">
        <v>182.72</v>
      </c>
      <c r="F2086" s="39" t="s">
        <v>115</v>
      </c>
      <c r="G2086" s="39" t="str">
        <f aca="false">VLOOKUP(C2086,Products!$A$5:$D$24,2,FALSE())</f>
        <v>Office Chair</v>
      </c>
      <c r="H2086" s="39" t="str">
        <f aca="false">VLOOKUP(C2086,Products!$A$5:$D$24,3,FALSE())</f>
        <v>Furniture</v>
      </c>
      <c r="I2086" s="41" t="n">
        <f aca="false">VLOOKUP(C2086,Products!$A$5:$D$24,4,FALSE())</f>
        <v>85</v>
      </c>
      <c r="J2086" s="42" t="n">
        <f aca="false">DATE(YEAR(B2086),MONTH(B2086),1)</f>
        <v>45931</v>
      </c>
      <c r="K2086" s="41" t="n">
        <f aca="false">D2086*E2086</f>
        <v>182.72</v>
      </c>
      <c r="L2086" s="41" t="n">
        <f aca="false">D2086*I2086</f>
        <v>85</v>
      </c>
      <c r="M2086" s="41" t="n">
        <f aca="false">IFERROR(INDEX(Raw_Expenses!$C$5:$C$2979,MATCH(A2086,Raw_Expenses!$A$5:$A$2979,0)),0)</f>
        <v>10.68</v>
      </c>
      <c r="N2086" s="41" t="n">
        <f aca="false">L2086+M2086</f>
        <v>95.68</v>
      </c>
      <c r="O2086" s="41" t="n">
        <f aca="false">K2086-N2086</f>
        <v>87.04</v>
      </c>
      <c r="P2086" s="43" t="n">
        <f aca="false">IF(K2086=0,0,O2086/K2086)</f>
        <v>0.476357267950963</v>
      </c>
    </row>
    <row r="2087" customFormat="false" ht="15" hidden="false" customHeight="false" outlineLevel="0" collapsed="false">
      <c r="A2087" s="39" t="s">
        <v>2209</v>
      </c>
      <c r="B2087" s="40" t="n">
        <v>45940</v>
      </c>
      <c r="C2087" s="39" t="s">
        <v>130</v>
      </c>
      <c r="D2087" s="39" t="n">
        <v>1</v>
      </c>
      <c r="E2087" s="41" t="n">
        <v>8.51</v>
      </c>
      <c r="F2087" s="39" t="s">
        <v>108</v>
      </c>
      <c r="G2087" s="39" t="str">
        <f aca="false">VLOOKUP(C2087,Products!$A$5:$D$24,2,FALSE())</f>
        <v>Notebook Set</v>
      </c>
      <c r="H2087" s="39" t="str">
        <f aca="false">VLOOKUP(C2087,Products!$A$5:$D$24,3,FALSE())</f>
        <v>Stationery</v>
      </c>
      <c r="I2087" s="41" t="n">
        <f aca="false">VLOOKUP(C2087,Products!$A$5:$D$24,4,FALSE())</f>
        <v>3</v>
      </c>
      <c r="J2087" s="42" t="n">
        <f aca="false">DATE(YEAR(B2087),MONTH(B2087),1)</f>
        <v>45931</v>
      </c>
      <c r="K2087" s="41" t="n">
        <f aca="false">D2087*E2087</f>
        <v>8.51</v>
      </c>
      <c r="L2087" s="41" t="n">
        <f aca="false">D2087*I2087</f>
        <v>3</v>
      </c>
      <c r="M2087" s="41" t="n">
        <f aca="false">IFERROR(INDEX(Raw_Expenses!$C$5:$C$2979,MATCH(A2087,Raw_Expenses!$A$5:$A$2979,0)),0)</f>
        <v>0.67</v>
      </c>
      <c r="N2087" s="41" t="n">
        <f aca="false">L2087+M2087</f>
        <v>3.67</v>
      </c>
      <c r="O2087" s="41" t="n">
        <f aca="false">K2087-N2087</f>
        <v>4.84</v>
      </c>
      <c r="P2087" s="43" t="n">
        <f aca="false">IF(K2087=0,0,O2087/K2087)</f>
        <v>0.568742655699178</v>
      </c>
    </row>
    <row r="2088" customFormat="false" ht="15" hidden="false" customHeight="false" outlineLevel="0" collapsed="false">
      <c r="A2088" s="39" t="s">
        <v>2210</v>
      </c>
      <c r="B2088" s="40" t="n">
        <v>45940</v>
      </c>
      <c r="C2088" s="39" t="s">
        <v>144</v>
      </c>
      <c r="D2088" s="39" t="n">
        <v>3</v>
      </c>
      <c r="E2088" s="41" t="n">
        <v>58.4</v>
      </c>
      <c r="F2088" s="39" t="s">
        <v>115</v>
      </c>
      <c r="G2088" s="39" t="str">
        <f aca="false">VLOOKUP(C2088,Products!$A$5:$D$24,2,FALSE())</f>
        <v>Whiteboard</v>
      </c>
      <c r="H2088" s="39" t="str">
        <f aca="false">VLOOKUP(C2088,Products!$A$5:$D$24,3,FALSE())</f>
        <v>Furniture</v>
      </c>
      <c r="I2088" s="41" t="n">
        <f aca="false">VLOOKUP(C2088,Products!$A$5:$D$24,4,FALSE())</f>
        <v>28</v>
      </c>
      <c r="J2088" s="42" t="n">
        <f aca="false">DATE(YEAR(B2088),MONTH(B2088),1)</f>
        <v>45931</v>
      </c>
      <c r="K2088" s="41" t="n">
        <f aca="false">D2088*E2088</f>
        <v>175.2</v>
      </c>
      <c r="L2088" s="41" t="n">
        <f aca="false">D2088*I2088</f>
        <v>84</v>
      </c>
      <c r="M2088" s="41" t="n">
        <f aca="false">IFERROR(INDEX(Raw_Expenses!$C$5:$C$2979,MATCH(A2088,Raw_Expenses!$A$5:$A$2979,0)),0)</f>
        <v>13.78</v>
      </c>
      <c r="N2088" s="41" t="n">
        <f aca="false">L2088+M2088</f>
        <v>97.78</v>
      </c>
      <c r="O2088" s="41" t="n">
        <f aca="false">K2088-N2088</f>
        <v>77.42</v>
      </c>
      <c r="P2088" s="43" t="n">
        <f aca="false">IF(K2088=0,0,O2088/K2088)</f>
        <v>0.44189497716895</v>
      </c>
    </row>
    <row r="2089" customFormat="false" ht="15" hidden="false" customHeight="false" outlineLevel="0" collapsed="false">
      <c r="A2089" s="39" t="s">
        <v>2211</v>
      </c>
      <c r="B2089" s="40" t="n">
        <v>45940</v>
      </c>
      <c r="C2089" s="39" t="s">
        <v>104</v>
      </c>
      <c r="D2089" s="39" t="n">
        <v>1</v>
      </c>
      <c r="E2089" s="41" t="n">
        <v>14.76</v>
      </c>
      <c r="F2089" s="39" t="s">
        <v>108</v>
      </c>
      <c r="G2089" s="39" t="str">
        <f aca="false">VLOOKUP(C2089,Products!$A$5:$D$24,2,FALSE())</f>
        <v>Water Bottle</v>
      </c>
      <c r="H2089" s="39" t="str">
        <f aca="false">VLOOKUP(C2089,Products!$A$5:$D$24,3,FALSE())</f>
        <v>Accessories</v>
      </c>
      <c r="I2089" s="41" t="n">
        <f aca="false">VLOOKUP(C2089,Products!$A$5:$D$24,4,FALSE())</f>
        <v>5</v>
      </c>
      <c r="J2089" s="42" t="n">
        <f aca="false">DATE(YEAR(B2089),MONTH(B2089),1)</f>
        <v>45931</v>
      </c>
      <c r="K2089" s="41" t="n">
        <f aca="false">D2089*E2089</f>
        <v>14.76</v>
      </c>
      <c r="L2089" s="41" t="n">
        <f aca="false">D2089*I2089</f>
        <v>5</v>
      </c>
      <c r="M2089" s="41" t="n">
        <f aca="false">IFERROR(INDEX(Raw_Expenses!$C$5:$C$2979,MATCH(A2089,Raw_Expenses!$A$5:$A$2979,0)),0)</f>
        <v>0.85</v>
      </c>
      <c r="N2089" s="41" t="n">
        <f aca="false">L2089+M2089</f>
        <v>5.85</v>
      </c>
      <c r="O2089" s="41" t="n">
        <f aca="false">K2089-N2089</f>
        <v>8.91</v>
      </c>
      <c r="P2089" s="43" t="n">
        <f aca="false">IF(K2089=0,0,O2089/K2089)</f>
        <v>0.603658536585366</v>
      </c>
    </row>
    <row r="2090" customFormat="false" ht="15" hidden="false" customHeight="false" outlineLevel="0" collapsed="false">
      <c r="A2090" s="39" t="s">
        <v>2212</v>
      </c>
      <c r="B2090" s="40" t="n">
        <v>45941</v>
      </c>
      <c r="C2090" s="39" t="s">
        <v>130</v>
      </c>
      <c r="D2090" s="39" t="n">
        <v>4</v>
      </c>
      <c r="E2090" s="41" t="n">
        <v>8.54</v>
      </c>
      <c r="F2090" s="39" t="s">
        <v>105</v>
      </c>
      <c r="G2090" s="39" t="str">
        <f aca="false">VLOOKUP(C2090,Products!$A$5:$D$24,2,FALSE())</f>
        <v>Notebook Set</v>
      </c>
      <c r="H2090" s="39" t="str">
        <f aca="false">VLOOKUP(C2090,Products!$A$5:$D$24,3,FALSE())</f>
        <v>Stationery</v>
      </c>
      <c r="I2090" s="41" t="n">
        <f aca="false">VLOOKUP(C2090,Products!$A$5:$D$24,4,FALSE())</f>
        <v>3</v>
      </c>
      <c r="J2090" s="42" t="n">
        <f aca="false">DATE(YEAR(B2090),MONTH(B2090),1)</f>
        <v>45931</v>
      </c>
      <c r="K2090" s="41" t="n">
        <f aca="false">D2090*E2090</f>
        <v>34.16</v>
      </c>
      <c r="L2090" s="41" t="n">
        <f aca="false">D2090*I2090</f>
        <v>12</v>
      </c>
      <c r="M2090" s="41" t="n">
        <f aca="false">IFERROR(INDEX(Raw_Expenses!$C$5:$C$2979,MATCH(A2090,Raw_Expenses!$A$5:$A$2979,0)),0)</f>
        <v>3.07</v>
      </c>
      <c r="N2090" s="41" t="n">
        <f aca="false">L2090+M2090</f>
        <v>15.07</v>
      </c>
      <c r="O2090" s="41" t="n">
        <f aca="false">K2090-N2090</f>
        <v>19.09</v>
      </c>
      <c r="P2090" s="43" t="n">
        <f aca="false">IF(K2090=0,0,O2090/K2090)</f>
        <v>0.55884074941452</v>
      </c>
    </row>
    <row r="2091" customFormat="false" ht="15" hidden="false" customHeight="false" outlineLevel="0" collapsed="false">
      <c r="A2091" s="39" t="s">
        <v>2213</v>
      </c>
      <c r="B2091" s="40" t="n">
        <v>45941</v>
      </c>
      <c r="C2091" s="39" t="s">
        <v>162</v>
      </c>
      <c r="D2091" s="39" t="n">
        <v>4</v>
      </c>
      <c r="E2091" s="41" t="n">
        <v>68.89</v>
      </c>
      <c r="F2091" s="39" t="s">
        <v>108</v>
      </c>
      <c r="G2091" s="39" t="str">
        <f aca="false">VLOOKUP(C2091,Products!$A$5:$D$24,2,FALSE())</f>
        <v>Bluetooth Speaker</v>
      </c>
      <c r="H2091" s="39" t="str">
        <f aca="false">VLOOKUP(C2091,Products!$A$5:$D$24,3,FALSE())</f>
        <v>Electronics</v>
      </c>
      <c r="I2091" s="41" t="n">
        <f aca="false">VLOOKUP(C2091,Products!$A$5:$D$24,4,FALSE())</f>
        <v>28</v>
      </c>
      <c r="J2091" s="42" t="n">
        <f aca="false">DATE(YEAR(B2091),MONTH(B2091),1)</f>
        <v>45931</v>
      </c>
      <c r="K2091" s="41" t="n">
        <f aca="false">D2091*E2091</f>
        <v>275.56</v>
      </c>
      <c r="L2091" s="41" t="n">
        <f aca="false">D2091*I2091</f>
        <v>112</v>
      </c>
      <c r="M2091" s="41" t="n">
        <f aca="false">IFERROR(INDEX(Raw_Expenses!$C$5:$C$2979,MATCH(A2091,Raw_Expenses!$A$5:$A$2979,0)),0)</f>
        <v>20.16</v>
      </c>
      <c r="N2091" s="41" t="n">
        <f aca="false">L2091+M2091</f>
        <v>132.16</v>
      </c>
      <c r="O2091" s="41" t="n">
        <f aca="false">K2091-N2091</f>
        <v>143.4</v>
      </c>
      <c r="P2091" s="43" t="n">
        <f aca="false">IF(K2091=0,0,O2091/K2091)</f>
        <v>0.520394832341414</v>
      </c>
    </row>
    <row r="2092" customFormat="false" ht="15" hidden="false" customHeight="false" outlineLevel="0" collapsed="false">
      <c r="A2092" s="39" t="s">
        <v>2214</v>
      </c>
      <c r="B2092" s="40" t="n">
        <v>45941</v>
      </c>
      <c r="C2092" s="39" t="s">
        <v>136</v>
      </c>
      <c r="D2092" s="39" t="n">
        <v>4</v>
      </c>
      <c r="E2092" s="41" t="n">
        <v>74.77</v>
      </c>
      <c r="F2092" s="39" t="s">
        <v>115</v>
      </c>
      <c r="G2092" s="39" t="str">
        <f aca="false">VLOOKUP(C2092,Products!$A$5:$D$24,2,FALSE())</f>
        <v>Mechanical Keyboard</v>
      </c>
      <c r="H2092" s="39" t="str">
        <f aca="false">VLOOKUP(C2092,Products!$A$5:$D$24,3,FALSE())</f>
        <v>Electronics</v>
      </c>
      <c r="I2092" s="41" t="n">
        <f aca="false">VLOOKUP(C2092,Products!$A$5:$D$24,4,FALSE())</f>
        <v>38</v>
      </c>
      <c r="J2092" s="42" t="n">
        <f aca="false">DATE(YEAR(B2092),MONTH(B2092),1)</f>
        <v>45931</v>
      </c>
      <c r="K2092" s="41" t="n">
        <f aca="false">D2092*E2092</f>
        <v>299.08</v>
      </c>
      <c r="L2092" s="41" t="n">
        <f aca="false">D2092*I2092</f>
        <v>152</v>
      </c>
      <c r="M2092" s="41" t="n">
        <f aca="false">IFERROR(INDEX(Raw_Expenses!$C$5:$C$2979,MATCH(A2092,Raw_Expenses!$A$5:$A$2979,0)),0)</f>
        <v>23.48</v>
      </c>
      <c r="N2092" s="41" t="n">
        <f aca="false">L2092+M2092</f>
        <v>175.48</v>
      </c>
      <c r="O2092" s="41" t="n">
        <f aca="false">K2092-N2092</f>
        <v>123.6</v>
      </c>
      <c r="P2092" s="43" t="n">
        <f aca="false">IF(K2092=0,0,O2092/K2092)</f>
        <v>0.413267353216531</v>
      </c>
    </row>
    <row r="2093" customFormat="false" ht="15" hidden="false" customHeight="false" outlineLevel="0" collapsed="false">
      <c r="A2093" s="39" t="s">
        <v>2215</v>
      </c>
      <c r="B2093" s="40" t="n">
        <v>45941</v>
      </c>
      <c r="C2093" s="39" t="s">
        <v>126</v>
      </c>
      <c r="D2093" s="39" t="n">
        <v>6</v>
      </c>
      <c r="E2093" s="41" t="n">
        <v>24.97</v>
      </c>
      <c r="F2093" s="39" t="s">
        <v>118</v>
      </c>
      <c r="G2093" s="39" t="str">
        <f aca="false">VLOOKUP(C2093,Products!$A$5:$D$24,2,FALSE())</f>
        <v>Wireless Mouse</v>
      </c>
      <c r="H2093" s="39" t="str">
        <f aca="false">VLOOKUP(C2093,Products!$A$5:$D$24,3,FALSE())</f>
        <v>Electronics</v>
      </c>
      <c r="I2093" s="41" t="n">
        <f aca="false">VLOOKUP(C2093,Products!$A$5:$D$24,4,FALSE())</f>
        <v>12</v>
      </c>
      <c r="J2093" s="42" t="n">
        <f aca="false">DATE(YEAR(B2093),MONTH(B2093),1)</f>
        <v>45931</v>
      </c>
      <c r="K2093" s="41" t="n">
        <f aca="false">D2093*E2093</f>
        <v>149.82</v>
      </c>
      <c r="L2093" s="41" t="n">
        <f aca="false">D2093*I2093</f>
        <v>72</v>
      </c>
      <c r="M2093" s="41" t="n">
        <f aca="false">IFERROR(INDEX(Raw_Expenses!$C$5:$C$2979,MATCH(A2093,Raw_Expenses!$A$5:$A$2979,0)),0)</f>
        <v>11.88</v>
      </c>
      <c r="N2093" s="41" t="n">
        <f aca="false">L2093+M2093</f>
        <v>83.88</v>
      </c>
      <c r="O2093" s="41" t="n">
        <f aca="false">K2093-N2093</f>
        <v>65.94</v>
      </c>
      <c r="P2093" s="43" t="n">
        <f aca="false">IF(K2093=0,0,O2093/K2093)</f>
        <v>0.440128153784541</v>
      </c>
    </row>
    <row r="2094" customFormat="false" ht="15" hidden="false" customHeight="false" outlineLevel="0" collapsed="false">
      <c r="A2094" s="39" t="s">
        <v>2216</v>
      </c>
      <c r="B2094" s="40" t="n">
        <v>45941</v>
      </c>
      <c r="C2094" s="39" t="s">
        <v>110</v>
      </c>
      <c r="D2094" s="39" t="n">
        <v>1</v>
      </c>
      <c r="E2094" s="41" t="n">
        <v>13.54</v>
      </c>
      <c r="F2094" s="39" t="s">
        <v>118</v>
      </c>
      <c r="G2094" s="39" t="str">
        <f aca="false">VLOOKUP(C2094,Products!$A$5:$D$24,2,FALSE())</f>
        <v>Phone Stand</v>
      </c>
      <c r="H2094" s="39" t="str">
        <f aca="false">VLOOKUP(C2094,Products!$A$5:$D$24,3,FALSE())</f>
        <v>Accessories</v>
      </c>
      <c r="I2094" s="41" t="n">
        <f aca="false">VLOOKUP(C2094,Products!$A$5:$D$24,4,FALSE())</f>
        <v>4</v>
      </c>
      <c r="J2094" s="42" t="n">
        <f aca="false">DATE(YEAR(B2094),MONTH(B2094),1)</f>
        <v>45931</v>
      </c>
      <c r="K2094" s="41" t="n">
        <f aca="false">D2094*E2094</f>
        <v>13.54</v>
      </c>
      <c r="L2094" s="41" t="n">
        <f aca="false">D2094*I2094</f>
        <v>4</v>
      </c>
      <c r="M2094" s="41" t="n">
        <f aca="false">IFERROR(INDEX(Raw_Expenses!$C$5:$C$2979,MATCH(A2094,Raw_Expenses!$A$5:$A$2979,0)),0)</f>
        <v>0.98</v>
      </c>
      <c r="N2094" s="41" t="n">
        <f aca="false">L2094+M2094</f>
        <v>4.98</v>
      </c>
      <c r="O2094" s="41" t="n">
        <f aca="false">K2094-N2094</f>
        <v>8.56</v>
      </c>
      <c r="P2094" s="43" t="n">
        <f aca="false">IF(K2094=0,0,O2094/K2094)</f>
        <v>0.632200886262925</v>
      </c>
    </row>
    <row r="2095" customFormat="false" ht="15" hidden="false" customHeight="false" outlineLevel="0" collapsed="false">
      <c r="A2095" s="39" t="s">
        <v>2217</v>
      </c>
      <c r="B2095" s="40" t="n">
        <v>45941</v>
      </c>
      <c r="C2095" s="39" t="s">
        <v>139</v>
      </c>
      <c r="D2095" s="39" t="n">
        <v>1</v>
      </c>
      <c r="E2095" s="41" t="n">
        <v>122.32</v>
      </c>
      <c r="F2095" s="39" t="s">
        <v>115</v>
      </c>
      <c r="G2095" s="39" t="str">
        <f aca="false">VLOOKUP(C2095,Products!$A$5:$D$24,2,FALSE())</f>
        <v>Noise-Cancelling Headphones</v>
      </c>
      <c r="H2095" s="39" t="str">
        <f aca="false">VLOOKUP(C2095,Products!$A$5:$D$24,3,FALSE())</f>
        <v>Electronics</v>
      </c>
      <c r="I2095" s="41" t="n">
        <f aca="false">VLOOKUP(C2095,Products!$A$5:$D$24,4,FALSE())</f>
        <v>55</v>
      </c>
      <c r="J2095" s="42" t="n">
        <f aca="false">DATE(YEAR(B2095),MONTH(B2095),1)</f>
        <v>45931</v>
      </c>
      <c r="K2095" s="41" t="n">
        <f aca="false">D2095*E2095</f>
        <v>122.32</v>
      </c>
      <c r="L2095" s="41" t="n">
        <f aca="false">D2095*I2095</f>
        <v>55</v>
      </c>
      <c r="M2095" s="41" t="n">
        <f aca="false">IFERROR(INDEX(Raw_Expenses!$C$5:$C$2979,MATCH(A2095,Raw_Expenses!$A$5:$A$2979,0)),0)</f>
        <v>8.48</v>
      </c>
      <c r="N2095" s="41" t="n">
        <f aca="false">L2095+M2095</f>
        <v>63.48</v>
      </c>
      <c r="O2095" s="41" t="n">
        <f aca="false">K2095-N2095</f>
        <v>58.84</v>
      </c>
      <c r="P2095" s="43" t="n">
        <f aca="false">IF(K2095=0,0,O2095/K2095)</f>
        <v>0.481033355134074</v>
      </c>
    </row>
    <row r="2096" customFormat="false" ht="15" hidden="false" customHeight="false" outlineLevel="0" collapsed="false">
      <c r="A2096" s="39" t="s">
        <v>2218</v>
      </c>
      <c r="B2096" s="40" t="n">
        <v>45941</v>
      </c>
      <c r="C2096" s="39" t="s">
        <v>177</v>
      </c>
      <c r="D2096" s="39" t="n">
        <v>1</v>
      </c>
      <c r="E2096" s="41" t="n">
        <v>41.71</v>
      </c>
      <c r="F2096" s="39" t="s">
        <v>118</v>
      </c>
      <c r="G2096" s="39" t="str">
        <f aca="false">VLOOKUP(C2096,Products!$A$5:$D$24,2,FALSE())</f>
        <v>Backpack</v>
      </c>
      <c r="H2096" s="39" t="str">
        <f aca="false">VLOOKUP(C2096,Products!$A$5:$D$24,3,FALSE())</f>
        <v>Accessories</v>
      </c>
      <c r="I2096" s="41" t="n">
        <f aca="false">VLOOKUP(C2096,Products!$A$5:$D$24,4,FALSE())</f>
        <v>17</v>
      </c>
      <c r="J2096" s="42" t="n">
        <f aca="false">DATE(YEAR(B2096),MONTH(B2096),1)</f>
        <v>45931</v>
      </c>
      <c r="K2096" s="41" t="n">
        <f aca="false">D2096*E2096</f>
        <v>41.71</v>
      </c>
      <c r="L2096" s="41" t="n">
        <f aca="false">D2096*I2096</f>
        <v>17</v>
      </c>
      <c r="M2096" s="41" t="n">
        <f aca="false">IFERROR(INDEX(Raw_Expenses!$C$5:$C$2979,MATCH(A2096,Raw_Expenses!$A$5:$A$2979,0)),0)</f>
        <v>1.89</v>
      </c>
      <c r="N2096" s="41" t="n">
        <f aca="false">L2096+M2096</f>
        <v>18.89</v>
      </c>
      <c r="O2096" s="41" t="n">
        <f aca="false">K2096-N2096</f>
        <v>22.82</v>
      </c>
      <c r="P2096" s="43" t="n">
        <f aca="false">IF(K2096=0,0,O2096/K2096)</f>
        <v>0.547111004555263</v>
      </c>
    </row>
    <row r="2097" customFormat="false" ht="15" hidden="false" customHeight="false" outlineLevel="0" collapsed="false">
      <c r="A2097" s="39" t="s">
        <v>2219</v>
      </c>
      <c r="B2097" s="40" t="n">
        <v>45941</v>
      </c>
      <c r="C2097" s="39" t="s">
        <v>121</v>
      </c>
      <c r="D2097" s="39" t="n">
        <v>1</v>
      </c>
      <c r="E2097" s="41" t="n">
        <v>109.63</v>
      </c>
      <c r="F2097" s="39" t="s">
        <v>118</v>
      </c>
      <c r="G2097" s="39" t="str">
        <f aca="false">VLOOKUP(C2097,Products!$A$5:$D$24,2,FALSE())</f>
        <v>External SSD 1TB</v>
      </c>
      <c r="H2097" s="39" t="str">
        <f aca="false">VLOOKUP(C2097,Products!$A$5:$D$24,3,FALSE())</f>
        <v>Electronics</v>
      </c>
      <c r="I2097" s="41" t="n">
        <f aca="false">VLOOKUP(C2097,Products!$A$5:$D$24,4,FALSE())</f>
        <v>62</v>
      </c>
      <c r="J2097" s="42" t="n">
        <f aca="false">DATE(YEAR(B2097),MONTH(B2097),1)</f>
        <v>45931</v>
      </c>
      <c r="K2097" s="41" t="n">
        <f aca="false">D2097*E2097</f>
        <v>109.63</v>
      </c>
      <c r="L2097" s="41" t="n">
        <f aca="false">D2097*I2097</f>
        <v>62</v>
      </c>
      <c r="M2097" s="41" t="n">
        <f aca="false">IFERROR(INDEX(Raw_Expenses!$C$5:$C$2979,MATCH(A2097,Raw_Expenses!$A$5:$A$2979,0)),0)</f>
        <v>5.71</v>
      </c>
      <c r="N2097" s="41" t="n">
        <f aca="false">L2097+M2097</f>
        <v>67.71</v>
      </c>
      <c r="O2097" s="41" t="n">
        <f aca="false">K2097-N2097</f>
        <v>41.92</v>
      </c>
      <c r="P2097" s="43" t="n">
        <f aca="false">IF(K2097=0,0,O2097/K2097)</f>
        <v>0.382377086563897</v>
      </c>
    </row>
    <row r="2098" customFormat="false" ht="15" hidden="false" customHeight="false" outlineLevel="0" collapsed="false">
      <c r="A2098" s="39" t="s">
        <v>2220</v>
      </c>
      <c r="B2098" s="40" t="n">
        <v>45942</v>
      </c>
      <c r="C2098" s="39" t="s">
        <v>133</v>
      </c>
      <c r="D2098" s="39" t="n">
        <v>4</v>
      </c>
      <c r="E2098" s="41" t="n">
        <v>8.45</v>
      </c>
      <c r="F2098" s="39" t="s">
        <v>108</v>
      </c>
      <c r="G2098" s="39" t="str">
        <f aca="false">VLOOKUP(C2098,Products!$A$5:$D$24,2,FALSE())</f>
        <v>Printer Paper Ream</v>
      </c>
      <c r="H2098" s="39" t="str">
        <f aca="false">VLOOKUP(C2098,Products!$A$5:$D$24,3,FALSE())</f>
        <v>Stationery</v>
      </c>
      <c r="I2098" s="41" t="n">
        <f aca="false">VLOOKUP(C2098,Products!$A$5:$D$24,4,FALSE())</f>
        <v>4</v>
      </c>
      <c r="J2098" s="42" t="n">
        <f aca="false">DATE(YEAR(B2098),MONTH(B2098),1)</f>
        <v>45931</v>
      </c>
      <c r="K2098" s="41" t="n">
        <f aca="false">D2098*E2098</f>
        <v>33.8</v>
      </c>
      <c r="L2098" s="41" t="n">
        <f aca="false">D2098*I2098</f>
        <v>16</v>
      </c>
      <c r="M2098" s="41" t="n">
        <f aca="false">IFERROR(INDEX(Raw_Expenses!$C$5:$C$2979,MATCH(A2098,Raw_Expenses!$A$5:$A$2979,0)),0)</f>
        <v>1.4</v>
      </c>
      <c r="N2098" s="41" t="n">
        <f aca="false">L2098+M2098</f>
        <v>17.4</v>
      </c>
      <c r="O2098" s="41" t="n">
        <f aca="false">K2098-N2098</f>
        <v>16.4</v>
      </c>
      <c r="P2098" s="43" t="n">
        <f aca="false">IF(K2098=0,0,O2098/K2098)</f>
        <v>0.485207100591716</v>
      </c>
    </row>
    <row r="2099" customFormat="false" ht="15" hidden="false" customHeight="false" outlineLevel="0" collapsed="false">
      <c r="A2099" s="39" t="s">
        <v>2221</v>
      </c>
      <c r="B2099" s="40" t="n">
        <v>45942</v>
      </c>
      <c r="C2099" s="39" t="s">
        <v>121</v>
      </c>
      <c r="D2099" s="39" t="n">
        <v>1</v>
      </c>
      <c r="E2099" s="41" t="n">
        <v>113.78</v>
      </c>
      <c r="F2099" s="39" t="s">
        <v>108</v>
      </c>
      <c r="G2099" s="39" t="str">
        <f aca="false">VLOOKUP(C2099,Products!$A$5:$D$24,2,FALSE())</f>
        <v>External SSD 1TB</v>
      </c>
      <c r="H2099" s="39" t="str">
        <f aca="false">VLOOKUP(C2099,Products!$A$5:$D$24,3,FALSE())</f>
        <v>Electronics</v>
      </c>
      <c r="I2099" s="41" t="n">
        <f aca="false">VLOOKUP(C2099,Products!$A$5:$D$24,4,FALSE())</f>
        <v>62</v>
      </c>
      <c r="J2099" s="42" t="n">
        <f aca="false">DATE(YEAR(B2099),MONTH(B2099),1)</f>
        <v>45931</v>
      </c>
      <c r="K2099" s="41" t="n">
        <f aca="false">D2099*E2099</f>
        <v>113.78</v>
      </c>
      <c r="L2099" s="41" t="n">
        <f aca="false">D2099*I2099</f>
        <v>62</v>
      </c>
      <c r="M2099" s="41" t="n">
        <f aca="false">IFERROR(INDEX(Raw_Expenses!$C$5:$C$2979,MATCH(A2099,Raw_Expenses!$A$5:$A$2979,0)),0)</f>
        <v>7.71</v>
      </c>
      <c r="N2099" s="41" t="n">
        <f aca="false">L2099+M2099</f>
        <v>69.71</v>
      </c>
      <c r="O2099" s="41" t="n">
        <f aca="false">K2099-N2099</f>
        <v>44.07</v>
      </c>
      <c r="P2099" s="43" t="n">
        <f aca="false">IF(K2099=0,0,O2099/K2099)</f>
        <v>0.387326419405871</v>
      </c>
    </row>
    <row r="2100" customFormat="false" ht="15" hidden="false" customHeight="false" outlineLevel="0" collapsed="false">
      <c r="A2100" s="39" t="s">
        <v>2222</v>
      </c>
      <c r="B2100" s="40" t="n">
        <v>45942</v>
      </c>
      <c r="C2100" s="39" t="s">
        <v>305</v>
      </c>
      <c r="D2100" s="39" t="n">
        <v>5</v>
      </c>
      <c r="E2100" s="41" t="n">
        <v>344.81</v>
      </c>
      <c r="F2100" s="39" t="s">
        <v>118</v>
      </c>
      <c r="G2100" s="39" t="str">
        <f aca="false">VLOOKUP(C2100,Products!$A$5:$D$24,2,FALSE())</f>
        <v>Standing Desk</v>
      </c>
      <c r="H2100" s="39" t="str">
        <f aca="false">VLOOKUP(C2100,Products!$A$5:$D$24,3,FALSE())</f>
        <v>Furniture</v>
      </c>
      <c r="I2100" s="41" t="n">
        <f aca="false">VLOOKUP(C2100,Products!$A$5:$D$24,4,FALSE())</f>
        <v>160</v>
      </c>
      <c r="J2100" s="42" t="n">
        <f aca="false">DATE(YEAR(B2100),MONTH(B2100),1)</f>
        <v>45931</v>
      </c>
      <c r="K2100" s="41" t="n">
        <f aca="false">D2100*E2100</f>
        <v>1724.05</v>
      </c>
      <c r="L2100" s="41" t="n">
        <f aca="false">D2100*I2100</f>
        <v>800</v>
      </c>
      <c r="M2100" s="41" t="n">
        <f aca="false">IFERROR(INDEX(Raw_Expenses!$C$5:$C$2979,MATCH(A2100,Raw_Expenses!$A$5:$A$2979,0)),0)</f>
        <v>80.67</v>
      </c>
      <c r="N2100" s="41" t="n">
        <f aca="false">L2100+M2100</f>
        <v>880.67</v>
      </c>
      <c r="O2100" s="41" t="n">
        <f aca="false">K2100-N2100</f>
        <v>843.38</v>
      </c>
      <c r="P2100" s="43" t="n">
        <f aca="false">IF(K2100=0,0,O2100/K2100)</f>
        <v>0.489185348452771</v>
      </c>
    </row>
    <row r="2101" customFormat="false" ht="15" hidden="false" customHeight="false" outlineLevel="0" collapsed="false">
      <c r="A2101" s="39" t="s">
        <v>2223</v>
      </c>
      <c r="B2101" s="40" t="n">
        <v>45942</v>
      </c>
      <c r="C2101" s="39" t="s">
        <v>130</v>
      </c>
      <c r="D2101" s="39" t="n">
        <v>1</v>
      </c>
      <c r="E2101" s="41" t="n">
        <v>8.34</v>
      </c>
      <c r="F2101" s="39" t="s">
        <v>115</v>
      </c>
      <c r="G2101" s="39" t="str">
        <f aca="false">VLOOKUP(C2101,Products!$A$5:$D$24,2,FALSE())</f>
        <v>Notebook Set</v>
      </c>
      <c r="H2101" s="39" t="str">
        <f aca="false">VLOOKUP(C2101,Products!$A$5:$D$24,3,FALSE())</f>
        <v>Stationery</v>
      </c>
      <c r="I2101" s="41" t="n">
        <f aca="false">VLOOKUP(C2101,Products!$A$5:$D$24,4,FALSE())</f>
        <v>3</v>
      </c>
      <c r="J2101" s="42" t="n">
        <f aca="false">DATE(YEAR(B2101),MONTH(B2101),1)</f>
        <v>45931</v>
      </c>
      <c r="K2101" s="41" t="n">
        <f aca="false">D2101*E2101</f>
        <v>8.34</v>
      </c>
      <c r="L2101" s="41" t="n">
        <f aca="false">D2101*I2101</f>
        <v>3</v>
      </c>
      <c r="M2101" s="41" t="n">
        <f aca="false">IFERROR(INDEX(Raw_Expenses!$C$5:$C$2979,MATCH(A2101,Raw_Expenses!$A$5:$A$2979,0)),0)</f>
        <v>0.45</v>
      </c>
      <c r="N2101" s="41" t="n">
        <f aca="false">L2101+M2101</f>
        <v>3.45</v>
      </c>
      <c r="O2101" s="41" t="n">
        <f aca="false">K2101-N2101</f>
        <v>4.89</v>
      </c>
      <c r="P2101" s="43" t="n">
        <f aca="false">IF(K2101=0,0,O2101/K2101)</f>
        <v>0.586330935251799</v>
      </c>
    </row>
    <row r="2102" customFormat="false" ht="15" hidden="false" customHeight="false" outlineLevel="0" collapsed="false">
      <c r="A2102" s="39" t="s">
        <v>2224</v>
      </c>
      <c r="B2102" s="40" t="n">
        <v>45942</v>
      </c>
      <c r="C2102" s="39" t="s">
        <v>177</v>
      </c>
      <c r="D2102" s="39" t="n">
        <v>6</v>
      </c>
      <c r="E2102" s="41" t="n">
        <v>44.3</v>
      </c>
      <c r="F2102" s="39" t="s">
        <v>105</v>
      </c>
      <c r="G2102" s="39" t="str">
        <f aca="false">VLOOKUP(C2102,Products!$A$5:$D$24,2,FALSE())</f>
        <v>Backpack</v>
      </c>
      <c r="H2102" s="39" t="str">
        <f aca="false">VLOOKUP(C2102,Products!$A$5:$D$24,3,FALSE())</f>
        <v>Accessories</v>
      </c>
      <c r="I2102" s="41" t="n">
        <f aca="false">VLOOKUP(C2102,Products!$A$5:$D$24,4,FALSE())</f>
        <v>17</v>
      </c>
      <c r="J2102" s="42" t="n">
        <f aca="false">DATE(YEAR(B2102),MONTH(B2102),1)</f>
        <v>45931</v>
      </c>
      <c r="K2102" s="41" t="n">
        <f aca="false">D2102*E2102</f>
        <v>265.8</v>
      </c>
      <c r="L2102" s="41" t="n">
        <f aca="false">D2102*I2102</f>
        <v>102</v>
      </c>
      <c r="M2102" s="41" t="n">
        <f aca="false">IFERROR(INDEX(Raw_Expenses!$C$5:$C$2979,MATCH(A2102,Raw_Expenses!$A$5:$A$2979,0)),0)</f>
        <v>12.54</v>
      </c>
      <c r="N2102" s="41" t="n">
        <f aca="false">L2102+M2102</f>
        <v>114.54</v>
      </c>
      <c r="O2102" s="41" t="n">
        <f aca="false">K2102-N2102</f>
        <v>151.26</v>
      </c>
      <c r="P2102" s="43" t="n">
        <f aca="false">IF(K2102=0,0,O2102/K2102)</f>
        <v>0.569074492099323</v>
      </c>
    </row>
    <row r="2103" customFormat="false" ht="15" hidden="false" customHeight="false" outlineLevel="0" collapsed="false">
      <c r="A2103" s="39" t="s">
        <v>2225</v>
      </c>
      <c r="B2103" s="40" t="n">
        <v>45942</v>
      </c>
      <c r="C2103" s="39" t="s">
        <v>183</v>
      </c>
      <c r="D2103" s="39" t="n">
        <v>6</v>
      </c>
      <c r="E2103" s="41" t="n">
        <v>178.76</v>
      </c>
      <c r="F2103" s="39" t="s">
        <v>115</v>
      </c>
      <c r="G2103" s="39" t="str">
        <f aca="false">VLOOKUP(C2103,Products!$A$5:$D$24,2,FALSE())</f>
        <v>Office Chair</v>
      </c>
      <c r="H2103" s="39" t="str">
        <f aca="false">VLOOKUP(C2103,Products!$A$5:$D$24,3,FALSE())</f>
        <v>Furniture</v>
      </c>
      <c r="I2103" s="41" t="n">
        <f aca="false">VLOOKUP(C2103,Products!$A$5:$D$24,4,FALSE())</f>
        <v>85</v>
      </c>
      <c r="J2103" s="42" t="n">
        <f aca="false">DATE(YEAR(B2103),MONTH(B2103),1)</f>
        <v>45931</v>
      </c>
      <c r="K2103" s="41" t="n">
        <f aca="false">D2103*E2103</f>
        <v>1072.56</v>
      </c>
      <c r="L2103" s="41" t="n">
        <f aca="false">D2103*I2103</f>
        <v>510</v>
      </c>
      <c r="M2103" s="41" t="n">
        <f aca="false">IFERROR(INDEX(Raw_Expenses!$C$5:$C$2979,MATCH(A2103,Raw_Expenses!$A$5:$A$2979,0)),0)</f>
        <v>58.11</v>
      </c>
      <c r="N2103" s="41" t="n">
        <f aca="false">L2103+M2103</f>
        <v>568.11</v>
      </c>
      <c r="O2103" s="41" t="n">
        <f aca="false">K2103-N2103</f>
        <v>504.45</v>
      </c>
      <c r="P2103" s="43" t="n">
        <f aca="false">IF(K2103=0,0,O2103/K2103)</f>
        <v>0.470323338554486</v>
      </c>
    </row>
    <row r="2104" customFormat="false" ht="15" hidden="false" customHeight="false" outlineLevel="0" collapsed="false">
      <c r="A2104" s="39" t="s">
        <v>2226</v>
      </c>
      <c r="B2104" s="40" t="n">
        <v>45942</v>
      </c>
      <c r="C2104" s="39" t="s">
        <v>139</v>
      </c>
      <c r="D2104" s="39" t="n">
        <v>1</v>
      </c>
      <c r="E2104" s="41" t="n">
        <v>121.95</v>
      </c>
      <c r="F2104" s="39" t="s">
        <v>105</v>
      </c>
      <c r="G2104" s="39" t="str">
        <f aca="false">VLOOKUP(C2104,Products!$A$5:$D$24,2,FALSE())</f>
        <v>Noise-Cancelling Headphones</v>
      </c>
      <c r="H2104" s="39" t="str">
        <f aca="false">VLOOKUP(C2104,Products!$A$5:$D$24,3,FALSE())</f>
        <v>Electronics</v>
      </c>
      <c r="I2104" s="41" t="n">
        <f aca="false">VLOOKUP(C2104,Products!$A$5:$D$24,4,FALSE())</f>
        <v>55</v>
      </c>
      <c r="J2104" s="42" t="n">
        <f aca="false">DATE(YEAR(B2104),MONTH(B2104),1)</f>
        <v>45931</v>
      </c>
      <c r="K2104" s="41" t="n">
        <f aca="false">D2104*E2104</f>
        <v>121.95</v>
      </c>
      <c r="L2104" s="41" t="n">
        <f aca="false">D2104*I2104</f>
        <v>55</v>
      </c>
      <c r="M2104" s="41" t="n">
        <f aca="false">IFERROR(INDEX(Raw_Expenses!$C$5:$C$2979,MATCH(A2104,Raw_Expenses!$A$5:$A$2979,0)),0)</f>
        <v>5.82</v>
      </c>
      <c r="N2104" s="41" t="n">
        <f aca="false">L2104+M2104</f>
        <v>60.82</v>
      </c>
      <c r="O2104" s="41" t="n">
        <f aca="false">K2104-N2104</f>
        <v>61.13</v>
      </c>
      <c r="P2104" s="43" t="n">
        <f aca="false">IF(K2104=0,0,O2104/K2104)</f>
        <v>0.501271012710127</v>
      </c>
    </row>
    <row r="2105" customFormat="false" ht="15" hidden="false" customHeight="false" outlineLevel="0" collapsed="false">
      <c r="A2105" s="39" t="s">
        <v>2227</v>
      </c>
      <c r="B2105" s="40" t="n">
        <v>45942</v>
      </c>
      <c r="C2105" s="39" t="s">
        <v>177</v>
      </c>
      <c r="D2105" s="39" t="n">
        <v>2</v>
      </c>
      <c r="E2105" s="41" t="n">
        <v>42.37</v>
      </c>
      <c r="F2105" s="39" t="s">
        <v>105</v>
      </c>
      <c r="G2105" s="39" t="str">
        <f aca="false">VLOOKUP(C2105,Products!$A$5:$D$24,2,FALSE())</f>
        <v>Backpack</v>
      </c>
      <c r="H2105" s="39" t="str">
        <f aca="false">VLOOKUP(C2105,Products!$A$5:$D$24,3,FALSE())</f>
        <v>Accessories</v>
      </c>
      <c r="I2105" s="41" t="n">
        <f aca="false">VLOOKUP(C2105,Products!$A$5:$D$24,4,FALSE())</f>
        <v>17</v>
      </c>
      <c r="J2105" s="42" t="n">
        <f aca="false">DATE(YEAR(B2105),MONTH(B2105),1)</f>
        <v>45931</v>
      </c>
      <c r="K2105" s="41" t="n">
        <f aca="false">D2105*E2105</f>
        <v>84.74</v>
      </c>
      <c r="L2105" s="41" t="n">
        <f aca="false">D2105*I2105</f>
        <v>34</v>
      </c>
      <c r="M2105" s="41" t="n">
        <f aca="false">IFERROR(INDEX(Raw_Expenses!$C$5:$C$2979,MATCH(A2105,Raw_Expenses!$A$5:$A$2979,0)),0)</f>
        <v>5.09</v>
      </c>
      <c r="N2105" s="41" t="n">
        <f aca="false">L2105+M2105</f>
        <v>39.09</v>
      </c>
      <c r="O2105" s="41" t="n">
        <f aca="false">K2105-N2105</f>
        <v>45.65</v>
      </c>
      <c r="P2105" s="43" t="n">
        <f aca="false">IF(K2105=0,0,O2105/K2105)</f>
        <v>0.538706632050979</v>
      </c>
    </row>
    <row r="2106" customFormat="false" ht="15" hidden="false" customHeight="false" outlineLevel="0" collapsed="false">
      <c r="A2106" s="39" t="s">
        <v>2228</v>
      </c>
      <c r="B2106" s="40" t="n">
        <v>45942</v>
      </c>
      <c r="C2106" s="39" t="s">
        <v>130</v>
      </c>
      <c r="D2106" s="39" t="n">
        <v>1</v>
      </c>
      <c r="E2106" s="41" t="n">
        <v>8.88</v>
      </c>
      <c r="F2106" s="39" t="s">
        <v>108</v>
      </c>
      <c r="G2106" s="39" t="str">
        <f aca="false">VLOOKUP(C2106,Products!$A$5:$D$24,2,FALSE())</f>
        <v>Notebook Set</v>
      </c>
      <c r="H2106" s="39" t="str">
        <f aca="false">VLOOKUP(C2106,Products!$A$5:$D$24,3,FALSE())</f>
        <v>Stationery</v>
      </c>
      <c r="I2106" s="41" t="n">
        <f aca="false">VLOOKUP(C2106,Products!$A$5:$D$24,4,FALSE())</f>
        <v>3</v>
      </c>
      <c r="J2106" s="42" t="n">
        <f aca="false">DATE(YEAR(B2106),MONTH(B2106),1)</f>
        <v>45931</v>
      </c>
      <c r="K2106" s="41" t="n">
        <f aca="false">D2106*E2106</f>
        <v>8.88</v>
      </c>
      <c r="L2106" s="41" t="n">
        <f aca="false">D2106*I2106</f>
        <v>3</v>
      </c>
      <c r="M2106" s="41" t="n">
        <f aca="false">IFERROR(INDEX(Raw_Expenses!$C$5:$C$2979,MATCH(A2106,Raw_Expenses!$A$5:$A$2979,0)),0)</f>
        <v>0.68</v>
      </c>
      <c r="N2106" s="41" t="n">
        <f aca="false">L2106+M2106</f>
        <v>3.68</v>
      </c>
      <c r="O2106" s="41" t="n">
        <f aca="false">K2106-N2106</f>
        <v>5.2</v>
      </c>
      <c r="P2106" s="43" t="n">
        <f aca="false">IF(K2106=0,0,O2106/K2106)</f>
        <v>0.585585585585586</v>
      </c>
    </row>
    <row r="2107" customFormat="false" ht="15" hidden="false" customHeight="false" outlineLevel="0" collapsed="false">
      <c r="A2107" s="39" t="s">
        <v>2229</v>
      </c>
      <c r="B2107" s="40" t="n">
        <v>45942</v>
      </c>
      <c r="C2107" s="39" t="s">
        <v>169</v>
      </c>
      <c r="D2107" s="39" t="n">
        <v>5</v>
      </c>
      <c r="E2107" s="41" t="n">
        <v>28.73</v>
      </c>
      <c r="F2107" s="39" t="s">
        <v>108</v>
      </c>
      <c r="G2107" s="39" t="str">
        <f aca="false">VLOOKUP(C2107,Products!$A$5:$D$24,2,FALSE())</f>
        <v>Laptop Stand</v>
      </c>
      <c r="H2107" s="39" t="str">
        <f aca="false">VLOOKUP(C2107,Products!$A$5:$D$24,3,FALSE())</f>
        <v>Accessories</v>
      </c>
      <c r="I2107" s="41" t="n">
        <f aca="false">VLOOKUP(C2107,Products!$A$5:$D$24,4,FALSE())</f>
        <v>11</v>
      </c>
      <c r="J2107" s="42" t="n">
        <f aca="false">DATE(YEAR(B2107),MONTH(B2107),1)</f>
        <v>45931</v>
      </c>
      <c r="K2107" s="41" t="n">
        <f aca="false">D2107*E2107</f>
        <v>143.65</v>
      </c>
      <c r="L2107" s="41" t="n">
        <f aca="false">D2107*I2107</f>
        <v>55</v>
      </c>
      <c r="M2107" s="41" t="n">
        <f aca="false">IFERROR(INDEX(Raw_Expenses!$C$5:$C$2979,MATCH(A2107,Raw_Expenses!$A$5:$A$2979,0)),0)</f>
        <v>9.65</v>
      </c>
      <c r="N2107" s="41" t="n">
        <f aca="false">L2107+M2107</f>
        <v>64.65</v>
      </c>
      <c r="O2107" s="41" t="n">
        <f aca="false">K2107-N2107</f>
        <v>79</v>
      </c>
      <c r="P2107" s="43" t="n">
        <f aca="false">IF(K2107=0,0,O2107/K2107)</f>
        <v>0.549947789766794</v>
      </c>
    </row>
    <row r="2108" customFormat="false" ht="15" hidden="false" customHeight="false" outlineLevel="0" collapsed="false">
      <c r="A2108" s="39" t="s">
        <v>2230</v>
      </c>
      <c r="B2108" s="40" t="n">
        <v>45942</v>
      </c>
      <c r="C2108" s="39" t="s">
        <v>139</v>
      </c>
      <c r="D2108" s="39" t="n">
        <v>6</v>
      </c>
      <c r="E2108" s="41" t="n">
        <v>120.74</v>
      </c>
      <c r="F2108" s="39" t="s">
        <v>115</v>
      </c>
      <c r="G2108" s="39" t="str">
        <f aca="false">VLOOKUP(C2108,Products!$A$5:$D$24,2,FALSE())</f>
        <v>Noise-Cancelling Headphones</v>
      </c>
      <c r="H2108" s="39" t="str">
        <f aca="false">VLOOKUP(C2108,Products!$A$5:$D$24,3,FALSE())</f>
        <v>Electronics</v>
      </c>
      <c r="I2108" s="41" t="n">
        <f aca="false">VLOOKUP(C2108,Products!$A$5:$D$24,4,FALSE())</f>
        <v>55</v>
      </c>
      <c r="J2108" s="42" t="n">
        <f aca="false">DATE(YEAR(B2108),MONTH(B2108),1)</f>
        <v>45931</v>
      </c>
      <c r="K2108" s="41" t="n">
        <f aca="false">D2108*E2108</f>
        <v>724.44</v>
      </c>
      <c r="L2108" s="41" t="n">
        <f aca="false">D2108*I2108</f>
        <v>330</v>
      </c>
      <c r="M2108" s="41" t="n">
        <f aca="false">IFERROR(INDEX(Raw_Expenses!$C$5:$C$2979,MATCH(A2108,Raw_Expenses!$A$5:$A$2979,0)),0)</f>
        <v>50.53</v>
      </c>
      <c r="N2108" s="41" t="n">
        <f aca="false">L2108+M2108</f>
        <v>380.53</v>
      </c>
      <c r="O2108" s="41" t="n">
        <f aca="false">K2108-N2108</f>
        <v>343.91</v>
      </c>
      <c r="P2108" s="43" t="n">
        <f aca="false">IF(K2108=0,0,O2108/K2108)</f>
        <v>0.474725305063221</v>
      </c>
    </row>
    <row r="2109" customFormat="false" ht="15" hidden="false" customHeight="false" outlineLevel="0" collapsed="false">
      <c r="A2109" s="39" t="s">
        <v>2231</v>
      </c>
      <c r="B2109" s="40" t="n">
        <v>45943</v>
      </c>
      <c r="C2109" s="39" t="s">
        <v>126</v>
      </c>
      <c r="D2109" s="39" t="n">
        <v>5</v>
      </c>
      <c r="E2109" s="41" t="n">
        <v>24.04</v>
      </c>
      <c r="F2109" s="39" t="s">
        <v>108</v>
      </c>
      <c r="G2109" s="39" t="str">
        <f aca="false">VLOOKUP(C2109,Products!$A$5:$D$24,2,FALSE())</f>
        <v>Wireless Mouse</v>
      </c>
      <c r="H2109" s="39" t="str">
        <f aca="false">VLOOKUP(C2109,Products!$A$5:$D$24,3,FALSE())</f>
        <v>Electronics</v>
      </c>
      <c r="I2109" s="41" t="n">
        <f aca="false">VLOOKUP(C2109,Products!$A$5:$D$24,4,FALSE())</f>
        <v>12</v>
      </c>
      <c r="J2109" s="42" t="n">
        <f aca="false">DATE(YEAR(B2109),MONTH(B2109),1)</f>
        <v>45931</v>
      </c>
      <c r="K2109" s="41" t="n">
        <f aca="false">D2109*E2109</f>
        <v>120.2</v>
      </c>
      <c r="L2109" s="41" t="n">
        <f aca="false">D2109*I2109</f>
        <v>60</v>
      </c>
      <c r="M2109" s="41" t="n">
        <f aca="false">IFERROR(INDEX(Raw_Expenses!$C$5:$C$2979,MATCH(A2109,Raw_Expenses!$A$5:$A$2979,0)),0)</f>
        <v>6.94</v>
      </c>
      <c r="N2109" s="41" t="n">
        <f aca="false">L2109+M2109</f>
        <v>66.94</v>
      </c>
      <c r="O2109" s="41" t="n">
        <f aca="false">K2109-N2109</f>
        <v>53.26</v>
      </c>
      <c r="P2109" s="43" t="n">
        <f aca="false">IF(K2109=0,0,O2109/K2109)</f>
        <v>0.443094841930116</v>
      </c>
    </row>
    <row r="2110" customFormat="false" ht="15" hidden="false" customHeight="false" outlineLevel="0" collapsed="false">
      <c r="A2110" s="39" t="s">
        <v>2232</v>
      </c>
      <c r="B2110" s="40" t="n">
        <v>45943</v>
      </c>
      <c r="C2110" s="39" t="s">
        <v>144</v>
      </c>
      <c r="D2110" s="39" t="n">
        <v>3</v>
      </c>
      <c r="E2110" s="41" t="n">
        <v>57.17</v>
      </c>
      <c r="F2110" s="39" t="s">
        <v>105</v>
      </c>
      <c r="G2110" s="39" t="str">
        <f aca="false">VLOOKUP(C2110,Products!$A$5:$D$24,2,FALSE())</f>
        <v>Whiteboard</v>
      </c>
      <c r="H2110" s="39" t="str">
        <f aca="false">VLOOKUP(C2110,Products!$A$5:$D$24,3,FALSE())</f>
        <v>Furniture</v>
      </c>
      <c r="I2110" s="41" t="n">
        <f aca="false">VLOOKUP(C2110,Products!$A$5:$D$24,4,FALSE())</f>
        <v>28</v>
      </c>
      <c r="J2110" s="42" t="n">
        <f aca="false">DATE(YEAR(B2110),MONTH(B2110),1)</f>
        <v>45931</v>
      </c>
      <c r="K2110" s="41" t="n">
        <f aca="false">D2110*E2110</f>
        <v>171.51</v>
      </c>
      <c r="L2110" s="41" t="n">
        <f aca="false">D2110*I2110</f>
        <v>84</v>
      </c>
      <c r="M2110" s="41" t="n">
        <f aca="false">IFERROR(INDEX(Raw_Expenses!$C$5:$C$2979,MATCH(A2110,Raw_Expenses!$A$5:$A$2979,0)),0)</f>
        <v>7.21</v>
      </c>
      <c r="N2110" s="41" t="n">
        <f aca="false">L2110+M2110</f>
        <v>91.21</v>
      </c>
      <c r="O2110" s="41" t="n">
        <f aca="false">K2110-N2110</f>
        <v>80.3</v>
      </c>
      <c r="P2110" s="43" t="n">
        <f aca="false">IF(K2110=0,0,O2110/K2110)</f>
        <v>0.468194274386333</v>
      </c>
    </row>
    <row r="2111" customFormat="false" ht="15" hidden="false" customHeight="false" outlineLevel="0" collapsed="false">
      <c r="A2111" s="39" t="s">
        <v>2233</v>
      </c>
      <c r="B2111" s="40" t="n">
        <v>45943</v>
      </c>
      <c r="C2111" s="39" t="s">
        <v>139</v>
      </c>
      <c r="D2111" s="39" t="n">
        <v>1</v>
      </c>
      <c r="E2111" s="41" t="n">
        <v>120.44</v>
      </c>
      <c r="F2111" s="39" t="s">
        <v>105</v>
      </c>
      <c r="G2111" s="39" t="str">
        <f aca="false">VLOOKUP(C2111,Products!$A$5:$D$24,2,FALSE())</f>
        <v>Noise-Cancelling Headphones</v>
      </c>
      <c r="H2111" s="39" t="str">
        <f aca="false">VLOOKUP(C2111,Products!$A$5:$D$24,3,FALSE())</f>
        <v>Electronics</v>
      </c>
      <c r="I2111" s="41" t="n">
        <f aca="false">VLOOKUP(C2111,Products!$A$5:$D$24,4,FALSE())</f>
        <v>55</v>
      </c>
      <c r="J2111" s="42" t="n">
        <f aca="false">DATE(YEAR(B2111),MONTH(B2111),1)</f>
        <v>45931</v>
      </c>
      <c r="K2111" s="41" t="n">
        <f aca="false">D2111*E2111</f>
        <v>120.44</v>
      </c>
      <c r="L2111" s="41" t="n">
        <f aca="false">D2111*I2111</f>
        <v>55</v>
      </c>
      <c r="M2111" s="41" t="n">
        <f aca="false">IFERROR(INDEX(Raw_Expenses!$C$5:$C$2979,MATCH(A2111,Raw_Expenses!$A$5:$A$2979,0)),0)</f>
        <v>10.05</v>
      </c>
      <c r="N2111" s="41" t="n">
        <f aca="false">L2111+M2111</f>
        <v>65.05</v>
      </c>
      <c r="O2111" s="41" t="n">
        <f aca="false">K2111-N2111</f>
        <v>55.39</v>
      </c>
      <c r="P2111" s="43" t="n">
        <f aca="false">IF(K2111=0,0,O2111/K2111)</f>
        <v>0.459897044171372</v>
      </c>
    </row>
    <row r="2112" customFormat="false" ht="15" hidden="false" customHeight="false" outlineLevel="0" collapsed="false">
      <c r="A2112" s="39" t="s">
        <v>2234</v>
      </c>
      <c r="B2112" s="40" t="n">
        <v>45943</v>
      </c>
      <c r="C2112" s="39" t="s">
        <v>183</v>
      </c>
      <c r="D2112" s="39" t="n">
        <v>3</v>
      </c>
      <c r="E2112" s="41" t="n">
        <v>177.75</v>
      </c>
      <c r="F2112" s="39" t="s">
        <v>118</v>
      </c>
      <c r="G2112" s="39" t="str">
        <f aca="false">VLOOKUP(C2112,Products!$A$5:$D$24,2,FALSE())</f>
        <v>Office Chair</v>
      </c>
      <c r="H2112" s="39" t="str">
        <f aca="false">VLOOKUP(C2112,Products!$A$5:$D$24,3,FALSE())</f>
        <v>Furniture</v>
      </c>
      <c r="I2112" s="41" t="n">
        <f aca="false">VLOOKUP(C2112,Products!$A$5:$D$24,4,FALSE())</f>
        <v>85</v>
      </c>
      <c r="J2112" s="42" t="n">
        <f aca="false">DATE(YEAR(B2112),MONTH(B2112),1)</f>
        <v>45931</v>
      </c>
      <c r="K2112" s="41" t="n">
        <f aca="false">D2112*E2112</f>
        <v>533.25</v>
      </c>
      <c r="L2112" s="41" t="n">
        <f aca="false">D2112*I2112</f>
        <v>255</v>
      </c>
      <c r="M2112" s="41" t="n">
        <f aca="false">IFERROR(INDEX(Raw_Expenses!$C$5:$C$2979,MATCH(A2112,Raw_Expenses!$A$5:$A$2979,0)),0)</f>
        <v>27.6</v>
      </c>
      <c r="N2112" s="41" t="n">
        <f aca="false">L2112+M2112</f>
        <v>282.6</v>
      </c>
      <c r="O2112" s="41" t="n">
        <f aca="false">K2112-N2112</f>
        <v>250.65</v>
      </c>
      <c r="P2112" s="43" t="n">
        <f aca="false">IF(K2112=0,0,O2112/K2112)</f>
        <v>0.470042194092827</v>
      </c>
    </row>
    <row r="2113" customFormat="false" ht="15" hidden="false" customHeight="false" outlineLevel="0" collapsed="false">
      <c r="A2113" s="39" t="s">
        <v>2235</v>
      </c>
      <c r="B2113" s="40" t="n">
        <v>45943</v>
      </c>
      <c r="C2113" s="39" t="s">
        <v>162</v>
      </c>
      <c r="D2113" s="39" t="n">
        <v>4</v>
      </c>
      <c r="E2113" s="41" t="n">
        <v>67.14</v>
      </c>
      <c r="F2113" s="39" t="s">
        <v>118</v>
      </c>
      <c r="G2113" s="39" t="str">
        <f aca="false">VLOOKUP(C2113,Products!$A$5:$D$24,2,FALSE())</f>
        <v>Bluetooth Speaker</v>
      </c>
      <c r="H2113" s="39" t="str">
        <f aca="false">VLOOKUP(C2113,Products!$A$5:$D$24,3,FALSE())</f>
        <v>Electronics</v>
      </c>
      <c r="I2113" s="41" t="n">
        <f aca="false">VLOOKUP(C2113,Products!$A$5:$D$24,4,FALSE())</f>
        <v>28</v>
      </c>
      <c r="J2113" s="42" t="n">
        <f aca="false">DATE(YEAR(B2113),MONTH(B2113),1)</f>
        <v>45931</v>
      </c>
      <c r="K2113" s="41" t="n">
        <f aca="false">D2113*E2113</f>
        <v>268.56</v>
      </c>
      <c r="L2113" s="41" t="n">
        <f aca="false">D2113*I2113</f>
        <v>112</v>
      </c>
      <c r="M2113" s="41" t="n">
        <f aca="false">IFERROR(INDEX(Raw_Expenses!$C$5:$C$2979,MATCH(A2113,Raw_Expenses!$A$5:$A$2979,0)),0)</f>
        <v>24.04</v>
      </c>
      <c r="N2113" s="41" t="n">
        <f aca="false">L2113+M2113</f>
        <v>136.04</v>
      </c>
      <c r="O2113" s="41" t="n">
        <f aca="false">K2113-N2113</f>
        <v>132.52</v>
      </c>
      <c r="P2113" s="43" t="n">
        <f aca="false">IF(K2113=0,0,O2113/K2113)</f>
        <v>0.493446529639559</v>
      </c>
    </row>
    <row r="2114" customFormat="false" ht="15" hidden="false" customHeight="false" outlineLevel="0" collapsed="false">
      <c r="A2114" s="39" t="s">
        <v>2236</v>
      </c>
      <c r="B2114" s="40" t="n">
        <v>45943</v>
      </c>
      <c r="C2114" s="39" t="s">
        <v>162</v>
      </c>
      <c r="D2114" s="39" t="n">
        <v>4</v>
      </c>
      <c r="E2114" s="41" t="n">
        <v>66.48</v>
      </c>
      <c r="F2114" s="39" t="s">
        <v>108</v>
      </c>
      <c r="G2114" s="39" t="str">
        <f aca="false">VLOOKUP(C2114,Products!$A$5:$D$24,2,FALSE())</f>
        <v>Bluetooth Speaker</v>
      </c>
      <c r="H2114" s="39" t="str">
        <f aca="false">VLOOKUP(C2114,Products!$A$5:$D$24,3,FALSE())</f>
        <v>Electronics</v>
      </c>
      <c r="I2114" s="41" t="n">
        <f aca="false">VLOOKUP(C2114,Products!$A$5:$D$24,4,FALSE())</f>
        <v>28</v>
      </c>
      <c r="J2114" s="42" t="n">
        <f aca="false">DATE(YEAR(B2114),MONTH(B2114),1)</f>
        <v>45931</v>
      </c>
      <c r="K2114" s="41" t="n">
        <f aca="false">D2114*E2114</f>
        <v>265.92</v>
      </c>
      <c r="L2114" s="41" t="n">
        <f aca="false">D2114*I2114</f>
        <v>112</v>
      </c>
      <c r="M2114" s="41" t="n">
        <f aca="false">IFERROR(INDEX(Raw_Expenses!$C$5:$C$2979,MATCH(A2114,Raw_Expenses!$A$5:$A$2979,0)),0)</f>
        <v>14.23</v>
      </c>
      <c r="N2114" s="41" t="n">
        <f aca="false">L2114+M2114</f>
        <v>126.23</v>
      </c>
      <c r="O2114" s="41" t="n">
        <f aca="false">K2114-N2114</f>
        <v>139.69</v>
      </c>
      <c r="P2114" s="43" t="n">
        <f aca="false">IF(K2114=0,0,O2114/K2114)</f>
        <v>0.525308363417569</v>
      </c>
    </row>
    <row r="2115" customFormat="false" ht="15" hidden="false" customHeight="false" outlineLevel="0" collapsed="false">
      <c r="A2115" s="39" t="s">
        <v>2237</v>
      </c>
      <c r="B2115" s="40" t="n">
        <v>45943</v>
      </c>
      <c r="C2115" s="39" t="s">
        <v>104</v>
      </c>
      <c r="D2115" s="39" t="n">
        <v>6</v>
      </c>
      <c r="E2115" s="41" t="n">
        <v>15.62</v>
      </c>
      <c r="F2115" s="39" t="s">
        <v>118</v>
      </c>
      <c r="G2115" s="39" t="str">
        <f aca="false">VLOOKUP(C2115,Products!$A$5:$D$24,2,FALSE())</f>
        <v>Water Bottle</v>
      </c>
      <c r="H2115" s="39" t="str">
        <f aca="false">VLOOKUP(C2115,Products!$A$5:$D$24,3,FALSE())</f>
        <v>Accessories</v>
      </c>
      <c r="I2115" s="41" t="n">
        <f aca="false">VLOOKUP(C2115,Products!$A$5:$D$24,4,FALSE())</f>
        <v>5</v>
      </c>
      <c r="J2115" s="42" t="n">
        <f aca="false">DATE(YEAR(B2115),MONTH(B2115),1)</f>
        <v>45931</v>
      </c>
      <c r="K2115" s="41" t="n">
        <f aca="false">D2115*E2115</f>
        <v>93.72</v>
      </c>
      <c r="L2115" s="41" t="n">
        <f aca="false">D2115*I2115</f>
        <v>30</v>
      </c>
      <c r="M2115" s="41" t="n">
        <f aca="false">IFERROR(INDEX(Raw_Expenses!$C$5:$C$2979,MATCH(A2115,Raw_Expenses!$A$5:$A$2979,0)),0)</f>
        <v>5.84</v>
      </c>
      <c r="N2115" s="41" t="n">
        <f aca="false">L2115+M2115</f>
        <v>35.84</v>
      </c>
      <c r="O2115" s="41" t="n">
        <f aca="false">K2115-N2115</f>
        <v>57.88</v>
      </c>
      <c r="P2115" s="43" t="n">
        <f aca="false">IF(K2115=0,0,O2115/K2115)</f>
        <v>0.617584293640632</v>
      </c>
    </row>
    <row r="2116" customFormat="false" ht="15" hidden="false" customHeight="false" outlineLevel="0" collapsed="false">
      <c r="A2116" s="39" t="s">
        <v>2238</v>
      </c>
      <c r="B2116" s="40" t="n">
        <v>45943</v>
      </c>
      <c r="C2116" s="39" t="s">
        <v>114</v>
      </c>
      <c r="D2116" s="39" t="n">
        <v>1</v>
      </c>
      <c r="E2116" s="41" t="n">
        <v>5.86</v>
      </c>
      <c r="F2116" s="39" t="s">
        <v>118</v>
      </c>
      <c r="G2116" s="39" t="str">
        <f aca="false">VLOOKUP(C2116,Products!$A$5:$D$24,2,FALSE())</f>
        <v>Gel Pen Pack</v>
      </c>
      <c r="H2116" s="39" t="str">
        <f aca="false">VLOOKUP(C2116,Products!$A$5:$D$24,3,FALSE())</f>
        <v>Stationery</v>
      </c>
      <c r="I2116" s="41" t="n">
        <f aca="false">VLOOKUP(C2116,Products!$A$5:$D$24,4,FALSE())</f>
        <v>2</v>
      </c>
      <c r="J2116" s="42" t="n">
        <f aca="false">DATE(YEAR(B2116),MONTH(B2116),1)</f>
        <v>45931</v>
      </c>
      <c r="K2116" s="41" t="n">
        <f aca="false">D2116*E2116</f>
        <v>5.86</v>
      </c>
      <c r="L2116" s="41" t="n">
        <f aca="false">D2116*I2116</f>
        <v>2</v>
      </c>
      <c r="M2116" s="41" t="n">
        <f aca="false">IFERROR(INDEX(Raw_Expenses!$C$5:$C$2979,MATCH(A2116,Raw_Expenses!$A$5:$A$2979,0)),0)</f>
        <v>0.27</v>
      </c>
      <c r="N2116" s="41" t="n">
        <f aca="false">L2116+M2116</f>
        <v>2.27</v>
      </c>
      <c r="O2116" s="41" t="n">
        <f aca="false">K2116-N2116</f>
        <v>3.59</v>
      </c>
      <c r="P2116" s="43" t="n">
        <f aca="false">IF(K2116=0,0,O2116/K2116)</f>
        <v>0.612627986348123</v>
      </c>
    </row>
    <row r="2117" customFormat="false" ht="15" hidden="false" customHeight="false" outlineLevel="0" collapsed="false">
      <c r="A2117" s="39" t="s">
        <v>2239</v>
      </c>
      <c r="B2117" s="40" t="n">
        <v>45943</v>
      </c>
      <c r="C2117" s="39" t="s">
        <v>112</v>
      </c>
      <c r="D2117" s="39" t="n">
        <v>2</v>
      </c>
      <c r="E2117" s="41" t="n">
        <v>53.84</v>
      </c>
      <c r="F2117" s="39" t="s">
        <v>115</v>
      </c>
      <c r="G2117" s="39" t="str">
        <f aca="false">VLOOKUP(C2117,Products!$A$5:$D$24,2,FALSE())</f>
        <v>HD Webcam</v>
      </c>
      <c r="H2117" s="39" t="str">
        <f aca="false">VLOOKUP(C2117,Products!$A$5:$D$24,3,FALSE())</f>
        <v>Electronics</v>
      </c>
      <c r="I2117" s="41" t="n">
        <f aca="false">VLOOKUP(C2117,Products!$A$5:$D$24,4,FALSE())</f>
        <v>22</v>
      </c>
      <c r="J2117" s="42" t="n">
        <f aca="false">DATE(YEAR(B2117),MONTH(B2117),1)</f>
        <v>45931</v>
      </c>
      <c r="K2117" s="41" t="n">
        <f aca="false">D2117*E2117</f>
        <v>107.68</v>
      </c>
      <c r="L2117" s="41" t="n">
        <f aca="false">D2117*I2117</f>
        <v>44</v>
      </c>
      <c r="M2117" s="41" t="n">
        <f aca="false">IFERROR(INDEX(Raw_Expenses!$C$5:$C$2979,MATCH(A2117,Raw_Expenses!$A$5:$A$2979,0)),0)</f>
        <v>6.55</v>
      </c>
      <c r="N2117" s="41" t="n">
        <f aca="false">L2117+M2117</f>
        <v>50.55</v>
      </c>
      <c r="O2117" s="41" t="n">
        <f aca="false">K2117-N2117</f>
        <v>57.13</v>
      </c>
      <c r="P2117" s="43" t="n">
        <f aca="false">IF(K2117=0,0,O2117/K2117)</f>
        <v>0.530553491827637</v>
      </c>
    </row>
    <row r="2118" customFormat="false" ht="15" hidden="false" customHeight="false" outlineLevel="0" collapsed="false">
      <c r="A2118" s="39" t="s">
        <v>2240</v>
      </c>
      <c r="B2118" s="40" t="n">
        <v>45943</v>
      </c>
      <c r="C2118" s="39" t="s">
        <v>117</v>
      </c>
      <c r="D2118" s="39" t="n">
        <v>1</v>
      </c>
      <c r="E2118" s="41" t="n">
        <v>30.18</v>
      </c>
      <c r="F2118" s="39" t="s">
        <v>105</v>
      </c>
      <c r="G2118" s="39" t="str">
        <f aca="false">VLOOKUP(C2118,Products!$A$5:$D$24,2,FALSE())</f>
        <v>Desk Lamp</v>
      </c>
      <c r="H2118" s="39" t="str">
        <f aca="false">VLOOKUP(C2118,Products!$A$5:$D$24,3,FALSE())</f>
        <v>Furniture</v>
      </c>
      <c r="I2118" s="41" t="n">
        <f aca="false">VLOOKUP(C2118,Products!$A$5:$D$24,4,FALSE())</f>
        <v>13</v>
      </c>
      <c r="J2118" s="42" t="n">
        <f aca="false">DATE(YEAR(B2118),MONTH(B2118),1)</f>
        <v>45931</v>
      </c>
      <c r="K2118" s="41" t="n">
        <f aca="false">D2118*E2118</f>
        <v>30.18</v>
      </c>
      <c r="L2118" s="41" t="n">
        <f aca="false">D2118*I2118</f>
        <v>13</v>
      </c>
      <c r="M2118" s="41" t="n">
        <f aca="false">IFERROR(INDEX(Raw_Expenses!$C$5:$C$2979,MATCH(A2118,Raw_Expenses!$A$5:$A$2979,0)),0)</f>
        <v>1.25</v>
      </c>
      <c r="N2118" s="41" t="n">
        <f aca="false">L2118+M2118</f>
        <v>14.25</v>
      </c>
      <c r="O2118" s="41" t="n">
        <f aca="false">K2118-N2118</f>
        <v>15.93</v>
      </c>
      <c r="P2118" s="43" t="n">
        <f aca="false">IF(K2118=0,0,O2118/K2118)</f>
        <v>0.527833001988072</v>
      </c>
    </row>
    <row r="2119" customFormat="false" ht="15" hidden="false" customHeight="false" outlineLevel="0" collapsed="false">
      <c r="A2119" s="39" t="s">
        <v>2241</v>
      </c>
      <c r="B2119" s="40" t="n">
        <v>45943</v>
      </c>
      <c r="C2119" s="39" t="s">
        <v>177</v>
      </c>
      <c r="D2119" s="39" t="n">
        <v>1</v>
      </c>
      <c r="E2119" s="41" t="n">
        <v>43.91</v>
      </c>
      <c r="F2119" s="39" t="s">
        <v>115</v>
      </c>
      <c r="G2119" s="39" t="str">
        <f aca="false">VLOOKUP(C2119,Products!$A$5:$D$24,2,FALSE())</f>
        <v>Backpack</v>
      </c>
      <c r="H2119" s="39" t="str">
        <f aca="false">VLOOKUP(C2119,Products!$A$5:$D$24,3,FALSE())</f>
        <v>Accessories</v>
      </c>
      <c r="I2119" s="41" t="n">
        <f aca="false">VLOOKUP(C2119,Products!$A$5:$D$24,4,FALSE())</f>
        <v>17</v>
      </c>
      <c r="J2119" s="42" t="n">
        <f aca="false">DATE(YEAR(B2119),MONTH(B2119),1)</f>
        <v>45931</v>
      </c>
      <c r="K2119" s="41" t="n">
        <f aca="false">D2119*E2119</f>
        <v>43.91</v>
      </c>
      <c r="L2119" s="41" t="n">
        <f aca="false">D2119*I2119</f>
        <v>17</v>
      </c>
      <c r="M2119" s="41" t="n">
        <f aca="false">IFERROR(INDEX(Raw_Expenses!$C$5:$C$2979,MATCH(A2119,Raw_Expenses!$A$5:$A$2979,0)),0)</f>
        <v>2.68</v>
      </c>
      <c r="N2119" s="41" t="n">
        <f aca="false">L2119+M2119</f>
        <v>19.68</v>
      </c>
      <c r="O2119" s="41" t="n">
        <f aca="false">K2119-N2119</f>
        <v>24.23</v>
      </c>
      <c r="P2119" s="43" t="n">
        <f aca="false">IF(K2119=0,0,O2119/K2119)</f>
        <v>0.551810521521294</v>
      </c>
    </row>
    <row r="2120" customFormat="false" ht="15" hidden="false" customHeight="false" outlineLevel="0" collapsed="false">
      <c r="A2120" s="39" t="s">
        <v>2242</v>
      </c>
      <c r="B2120" s="40" t="n">
        <v>45944</v>
      </c>
      <c r="C2120" s="39" t="s">
        <v>162</v>
      </c>
      <c r="D2120" s="39" t="n">
        <v>5</v>
      </c>
      <c r="E2120" s="41" t="n">
        <v>68.42</v>
      </c>
      <c r="F2120" s="39" t="s">
        <v>118</v>
      </c>
      <c r="G2120" s="39" t="str">
        <f aca="false">VLOOKUP(C2120,Products!$A$5:$D$24,2,FALSE())</f>
        <v>Bluetooth Speaker</v>
      </c>
      <c r="H2120" s="39" t="str">
        <f aca="false">VLOOKUP(C2120,Products!$A$5:$D$24,3,FALSE())</f>
        <v>Electronics</v>
      </c>
      <c r="I2120" s="41" t="n">
        <f aca="false">VLOOKUP(C2120,Products!$A$5:$D$24,4,FALSE())</f>
        <v>28</v>
      </c>
      <c r="J2120" s="42" t="n">
        <f aca="false">DATE(YEAR(B2120),MONTH(B2120),1)</f>
        <v>45931</v>
      </c>
      <c r="K2120" s="41" t="n">
        <f aca="false">D2120*E2120</f>
        <v>342.1</v>
      </c>
      <c r="L2120" s="41" t="n">
        <f aca="false">D2120*I2120</f>
        <v>140</v>
      </c>
      <c r="M2120" s="41" t="n">
        <f aca="false">IFERROR(INDEX(Raw_Expenses!$C$5:$C$2979,MATCH(A2120,Raw_Expenses!$A$5:$A$2979,0)),0)</f>
        <v>20.97</v>
      </c>
      <c r="N2120" s="41" t="n">
        <f aca="false">L2120+M2120</f>
        <v>160.97</v>
      </c>
      <c r="O2120" s="41" t="n">
        <f aca="false">K2120-N2120</f>
        <v>181.13</v>
      </c>
      <c r="P2120" s="43" t="n">
        <f aca="false">IF(K2120=0,0,O2120/K2120)</f>
        <v>0.529465068693365</v>
      </c>
    </row>
    <row r="2121" customFormat="false" ht="15" hidden="false" customHeight="false" outlineLevel="0" collapsed="false">
      <c r="A2121" s="39" t="s">
        <v>2243</v>
      </c>
      <c r="B2121" s="40" t="n">
        <v>45944</v>
      </c>
      <c r="C2121" s="39" t="s">
        <v>130</v>
      </c>
      <c r="D2121" s="39" t="n">
        <v>2</v>
      </c>
      <c r="E2121" s="41" t="n">
        <v>8.53</v>
      </c>
      <c r="F2121" s="39" t="s">
        <v>115</v>
      </c>
      <c r="G2121" s="39" t="str">
        <f aca="false">VLOOKUP(C2121,Products!$A$5:$D$24,2,FALSE())</f>
        <v>Notebook Set</v>
      </c>
      <c r="H2121" s="39" t="str">
        <f aca="false">VLOOKUP(C2121,Products!$A$5:$D$24,3,FALSE())</f>
        <v>Stationery</v>
      </c>
      <c r="I2121" s="41" t="n">
        <f aca="false">VLOOKUP(C2121,Products!$A$5:$D$24,4,FALSE())</f>
        <v>3</v>
      </c>
      <c r="J2121" s="42" t="n">
        <f aca="false">DATE(YEAR(B2121),MONTH(B2121),1)</f>
        <v>45931</v>
      </c>
      <c r="K2121" s="41" t="n">
        <f aca="false">D2121*E2121</f>
        <v>17.06</v>
      </c>
      <c r="L2121" s="41" t="n">
        <f aca="false">D2121*I2121</f>
        <v>6</v>
      </c>
      <c r="M2121" s="41" t="n">
        <f aca="false">IFERROR(INDEX(Raw_Expenses!$C$5:$C$2979,MATCH(A2121,Raw_Expenses!$A$5:$A$2979,0)),0)</f>
        <v>1.53</v>
      </c>
      <c r="N2121" s="41" t="n">
        <f aca="false">L2121+M2121</f>
        <v>7.53</v>
      </c>
      <c r="O2121" s="41" t="n">
        <f aca="false">K2121-N2121</f>
        <v>9.53</v>
      </c>
      <c r="P2121" s="43" t="n">
        <f aca="false">IF(K2121=0,0,O2121/K2121)</f>
        <v>0.558616647127784</v>
      </c>
    </row>
    <row r="2122" customFormat="false" ht="15" hidden="false" customHeight="false" outlineLevel="0" collapsed="false">
      <c r="A2122" s="39" t="s">
        <v>2244</v>
      </c>
      <c r="B2122" s="40" t="n">
        <v>45944</v>
      </c>
      <c r="C2122" s="39" t="s">
        <v>112</v>
      </c>
      <c r="D2122" s="39" t="n">
        <v>3</v>
      </c>
      <c r="E2122" s="41" t="n">
        <v>52.56</v>
      </c>
      <c r="F2122" s="39" t="s">
        <v>105</v>
      </c>
      <c r="G2122" s="39" t="str">
        <f aca="false">VLOOKUP(C2122,Products!$A$5:$D$24,2,FALSE())</f>
        <v>HD Webcam</v>
      </c>
      <c r="H2122" s="39" t="str">
        <f aca="false">VLOOKUP(C2122,Products!$A$5:$D$24,3,FALSE())</f>
        <v>Electronics</v>
      </c>
      <c r="I2122" s="41" t="n">
        <f aca="false">VLOOKUP(C2122,Products!$A$5:$D$24,4,FALSE())</f>
        <v>22</v>
      </c>
      <c r="J2122" s="42" t="n">
        <f aca="false">DATE(YEAR(B2122),MONTH(B2122),1)</f>
        <v>45931</v>
      </c>
      <c r="K2122" s="41" t="n">
        <f aca="false">D2122*E2122</f>
        <v>157.68</v>
      </c>
      <c r="L2122" s="41" t="n">
        <f aca="false">D2122*I2122</f>
        <v>66</v>
      </c>
      <c r="M2122" s="41" t="n">
        <f aca="false">IFERROR(INDEX(Raw_Expenses!$C$5:$C$2979,MATCH(A2122,Raw_Expenses!$A$5:$A$2979,0)),0)</f>
        <v>6.73</v>
      </c>
      <c r="N2122" s="41" t="n">
        <f aca="false">L2122+M2122</f>
        <v>72.73</v>
      </c>
      <c r="O2122" s="41" t="n">
        <f aca="false">K2122-N2122</f>
        <v>84.95</v>
      </c>
      <c r="P2122" s="43" t="n">
        <f aca="false">IF(K2122=0,0,O2122/K2122)</f>
        <v>0.53874936580416</v>
      </c>
    </row>
    <row r="2123" customFormat="false" ht="15" hidden="false" customHeight="false" outlineLevel="0" collapsed="false">
      <c r="A2123" s="39" t="s">
        <v>2245</v>
      </c>
      <c r="B2123" s="40" t="n">
        <v>45944</v>
      </c>
      <c r="C2123" s="39" t="s">
        <v>133</v>
      </c>
      <c r="D2123" s="39" t="n">
        <v>3</v>
      </c>
      <c r="E2123" s="41" t="n">
        <v>8.5</v>
      </c>
      <c r="F2123" s="39" t="s">
        <v>115</v>
      </c>
      <c r="G2123" s="39" t="str">
        <f aca="false">VLOOKUP(C2123,Products!$A$5:$D$24,2,FALSE())</f>
        <v>Printer Paper Ream</v>
      </c>
      <c r="H2123" s="39" t="str">
        <f aca="false">VLOOKUP(C2123,Products!$A$5:$D$24,3,FALSE())</f>
        <v>Stationery</v>
      </c>
      <c r="I2123" s="41" t="n">
        <f aca="false">VLOOKUP(C2123,Products!$A$5:$D$24,4,FALSE())</f>
        <v>4</v>
      </c>
      <c r="J2123" s="42" t="n">
        <f aca="false">DATE(YEAR(B2123),MONTH(B2123),1)</f>
        <v>45931</v>
      </c>
      <c r="K2123" s="41" t="n">
        <f aca="false">D2123*E2123</f>
        <v>25.5</v>
      </c>
      <c r="L2123" s="41" t="n">
        <f aca="false">D2123*I2123</f>
        <v>12</v>
      </c>
      <c r="M2123" s="41" t="n">
        <f aca="false">IFERROR(INDEX(Raw_Expenses!$C$5:$C$2979,MATCH(A2123,Raw_Expenses!$A$5:$A$2979,0)),0)</f>
        <v>1.2</v>
      </c>
      <c r="N2123" s="41" t="n">
        <f aca="false">L2123+M2123</f>
        <v>13.2</v>
      </c>
      <c r="O2123" s="41" t="n">
        <f aca="false">K2123-N2123</f>
        <v>12.3</v>
      </c>
      <c r="P2123" s="43" t="n">
        <f aca="false">IF(K2123=0,0,O2123/K2123)</f>
        <v>0.482352941176471</v>
      </c>
    </row>
    <row r="2124" customFormat="false" ht="15" hidden="false" customHeight="false" outlineLevel="0" collapsed="false">
      <c r="A2124" s="39" t="s">
        <v>2246</v>
      </c>
      <c r="B2124" s="40" t="n">
        <v>45944</v>
      </c>
      <c r="C2124" s="39" t="s">
        <v>114</v>
      </c>
      <c r="D2124" s="39" t="n">
        <v>5</v>
      </c>
      <c r="E2124" s="41" t="n">
        <v>5.57</v>
      </c>
      <c r="F2124" s="39" t="s">
        <v>105</v>
      </c>
      <c r="G2124" s="39" t="str">
        <f aca="false">VLOOKUP(C2124,Products!$A$5:$D$24,2,FALSE())</f>
        <v>Gel Pen Pack</v>
      </c>
      <c r="H2124" s="39" t="str">
        <f aca="false">VLOOKUP(C2124,Products!$A$5:$D$24,3,FALSE())</f>
        <v>Stationery</v>
      </c>
      <c r="I2124" s="41" t="n">
        <f aca="false">VLOOKUP(C2124,Products!$A$5:$D$24,4,FALSE())</f>
        <v>2</v>
      </c>
      <c r="J2124" s="42" t="n">
        <f aca="false">DATE(YEAR(B2124),MONTH(B2124),1)</f>
        <v>45931</v>
      </c>
      <c r="K2124" s="41" t="n">
        <f aca="false">D2124*E2124</f>
        <v>27.85</v>
      </c>
      <c r="L2124" s="41" t="n">
        <f aca="false">D2124*I2124</f>
        <v>10</v>
      </c>
      <c r="M2124" s="41" t="n">
        <f aca="false">IFERROR(INDEX(Raw_Expenses!$C$5:$C$2979,MATCH(A2124,Raw_Expenses!$A$5:$A$2979,0)),0)</f>
        <v>2.36</v>
      </c>
      <c r="N2124" s="41" t="n">
        <f aca="false">L2124+M2124</f>
        <v>12.36</v>
      </c>
      <c r="O2124" s="41" t="n">
        <f aca="false">K2124-N2124</f>
        <v>15.49</v>
      </c>
      <c r="P2124" s="43" t="n">
        <f aca="false">IF(K2124=0,0,O2124/K2124)</f>
        <v>0.556193895870736</v>
      </c>
    </row>
    <row r="2125" customFormat="false" ht="15" hidden="false" customHeight="false" outlineLevel="0" collapsed="false">
      <c r="A2125" s="39" t="s">
        <v>2247</v>
      </c>
      <c r="B2125" s="40" t="n">
        <v>45944</v>
      </c>
      <c r="C2125" s="39" t="s">
        <v>104</v>
      </c>
      <c r="D2125" s="39" t="n">
        <v>1</v>
      </c>
      <c r="E2125" s="41" t="n">
        <v>15.61</v>
      </c>
      <c r="F2125" s="39" t="s">
        <v>108</v>
      </c>
      <c r="G2125" s="39" t="str">
        <f aca="false">VLOOKUP(C2125,Products!$A$5:$D$24,2,FALSE())</f>
        <v>Water Bottle</v>
      </c>
      <c r="H2125" s="39" t="str">
        <f aca="false">VLOOKUP(C2125,Products!$A$5:$D$24,3,FALSE())</f>
        <v>Accessories</v>
      </c>
      <c r="I2125" s="41" t="n">
        <f aca="false">VLOOKUP(C2125,Products!$A$5:$D$24,4,FALSE())</f>
        <v>5</v>
      </c>
      <c r="J2125" s="42" t="n">
        <f aca="false">DATE(YEAR(B2125),MONTH(B2125),1)</f>
        <v>45931</v>
      </c>
      <c r="K2125" s="41" t="n">
        <f aca="false">D2125*E2125</f>
        <v>15.61</v>
      </c>
      <c r="L2125" s="41" t="n">
        <f aca="false">D2125*I2125</f>
        <v>5</v>
      </c>
      <c r="M2125" s="41" t="n">
        <f aca="false">IFERROR(INDEX(Raw_Expenses!$C$5:$C$2979,MATCH(A2125,Raw_Expenses!$A$5:$A$2979,0)),0)</f>
        <v>1.08</v>
      </c>
      <c r="N2125" s="41" t="n">
        <f aca="false">L2125+M2125</f>
        <v>6.08</v>
      </c>
      <c r="O2125" s="41" t="n">
        <f aca="false">K2125-N2125</f>
        <v>9.53</v>
      </c>
      <c r="P2125" s="43" t="n">
        <f aca="false">IF(K2125=0,0,O2125/K2125)</f>
        <v>0.610506085842409</v>
      </c>
    </row>
    <row r="2126" customFormat="false" ht="15" hidden="false" customHeight="false" outlineLevel="0" collapsed="false">
      <c r="A2126" s="39" t="s">
        <v>2248</v>
      </c>
      <c r="B2126" s="40" t="n">
        <v>45944</v>
      </c>
      <c r="C2126" s="39" t="s">
        <v>305</v>
      </c>
      <c r="D2126" s="39" t="n">
        <v>2</v>
      </c>
      <c r="E2126" s="41" t="n">
        <v>343.78</v>
      </c>
      <c r="F2126" s="39" t="s">
        <v>108</v>
      </c>
      <c r="G2126" s="39" t="str">
        <f aca="false">VLOOKUP(C2126,Products!$A$5:$D$24,2,FALSE())</f>
        <v>Standing Desk</v>
      </c>
      <c r="H2126" s="39" t="str">
        <f aca="false">VLOOKUP(C2126,Products!$A$5:$D$24,3,FALSE())</f>
        <v>Furniture</v>
      </c>
      <c r="I2126" s="41" t="n">
        <f aca="false">VLOOKUP(C2126,Products!$A$5:$D$24,4,FALSE())</f>
        <v>160</v>
      </c>
      <c r="J2126" s="42" t="n">
        <f aca="false">DATE(YEAR(B2126),MONTH(B2126),1)</f>
        <v>45931</v>
      </c>
      <c r="K2126" s="41" t="n">
        <f aca="false">D2126*E2126</f>
        <v>687.56</v>
      </c>
      <c r="L2126" s="41" t="n">
        <f aca="false">D2126*I2126</f>
        <v>320</v>
      </c>
      <c r="M2126" s="41" t="n">
        <f aca="false">IFERROR(INDEX(Raw_Expenses!$C$5:$C$2979,MATCH(A2126,Raw_Expenses!$A$5:$A$2979,0)),0)</f>
        <v>58.6</v>
      </c>
      <c r="N2126" s="41" t="n">
        <f aca="false">L2126+M2126</f>
        <v>378.6</v>
      </c>
      <c r="O2126" s="41" t="n">
        <f aca="false">K2126-N2126</f>
        <v>308.96</v>
      </c>
      <c r="P2126" s="43" t="n">
        <f aca="false">IF(K2126=0,0,O2126/K2126)</f>
        <v>0.449357147012624</v>
      </c>
    </row>
    <row r="2127" customFormat="false" ht="15" hidden="false" customHeight="false" outlineLevel="0" collapsed="false">
      <c r="A2127" s="39" t="s">
        <v>2249</v>
      </c>
      <c r="B2127" s="40" t="n">
        <v>45945</v>
      </c>
      <c r="C2127" s="39" t="s">
        <v>114</v>
      </c>
      <c r="D2127" s="39" t="n">
        <v>1</v>
      </c>
      <c r="E2127" s="41" t="n">
        <v>5.57</v>
      </c>
      <c r="F2127" s="39" t="s">
        <v>118</v>
      </c>
      <c r="G2127" s="39" t="str">
        <f aca="false">VLOOKUP(C2127,Products!$A$5:$D$24,2,FALSE())</f>
        <v>Gel Pen Pack</v>
      </c>
      <c r="H2127" s="39" t="str">
        <f aca="false">VLOOKUP(C2127,Products!$A$5:$D$24,3,FALSE())</f>
        <v>Stationery</v>
      </c>
      <c r="I2127" s="41" t="n">
        <f aca="false">VLOOKUP(C2127,Products!$A$5:$D$24,4,FALSE())</f>
        <v>2</v>
      </c>
      <c r="J2127" s="42" t="n">
        <f aca="false">DATE(YEAR(B2127),MONTH(B2127),1)</f>
        <v>45931</v>
      </c>
      <c r="K2127" s="41" t="n">
        <f aca="false">D2127*E2127</f>
        <v>5.57</v>
      </c>
      <c r="L2127" s="41" t="n">
        <f aca="false">D2127*I2127</f>
        <v>2</v>
      </c>
      <c r="M2127" s="41" t="n">
        <f aca="false">IFERROR(INDEX(Raw_Expenses!$C$5:$C$2979,MATCH(A2127,Raw_Expenses!$A$5:$A$2979,0)),0)</f>
        <v>0.37</v>
      </c>
      <c r="N2127" s="41" t="n">
        <f aca="false">L2127+M2127</f>
        <v>2.37</v>
      </c>
      <c r="O2127" s="41" t="n">
        <f aca="false">K2127-N2127</f>
        <v>3.2</v>
      </c>
      <c r="P2127" s="43" t="n">
        <f aca="false">IF(K2127=0,0,O2127/K2127)</f>
        <v>0.574506283662478</v>
      </c>
    </row>
    <row r="2128" customFormat="false" ht="15" hidden="false" customHeight="false" outlineLevel="0" collapsed="false">
      <c r="A2128" s="39" t="s">
        <v>2250</v>
      </c>
      <c r="B2128" s="40" t="n">
        <v>45945</v>
      </c>
      <c r="C2128" s="39" t="s">
        <v>130</v>
      </c>
      <c r="D2128" s="39" t="n">
        <v>5</v>
      </c>
      <c r="E2128" s="41" t="n">
        <v>8.53</v>
      </c>
      <c r="F2128" s="39" t="s">
        <v>105</v>
      </c>
      <c r="G2128" s="39" t="str">
        <f aca="false">VLOOKUP(C2128,Products!$A$5:$D$24,2,FALSE())</f>
        <v>Notebook Set</v>
      </c>
      <c r="H2128" s="39" t="str">
        <f aca="false">VLOOKUP(C2128,Products!$A$5:$D$24,3,FALSE())</f>
        <v>Stationery</v>
      </c>
      <c r="I2128" s="41" t="n">
        <f aca="false">VLOOKUP(C2128,Products!$A$5:$D$24,4,FALSE())</f>
        <v>3</v>
      </c>
      <c r="J2128" s="42" t="n">
        <f aca="false">DATE(YEAR(B2128),MONTH(B2128),1)</f>
        <v>45931</v>
      </c>
      <c r="K2128" s="41" t="n">
        <f aca="false">D2128*E2128</f>
        <v>42.65</v>
      </c>
      <c r="L2128" s="41" t="n">
        <f aca="false">D2128*I2128</f>
        <v>15</v>
      </c>
      <c r="M2128" s="41" t="n">
        <f aca="false">IFERROR(INDEX(Raw_Expenses!$C$5:$C$2979,MATCH(A2128,Raw_Expenses!$A$5:$A$2979,0)),0)</f>
        <v>3.29</v>
      </c>
      <c r="N2128" s="41" t="n">
        <f aca="false">L2128+M2128</f>
        <v>18.29</v>
      </c>
      <c r="O2128" s="41" t="n">
        <f aca="false">K2128-N2128</f>
        <v>24.36</v>
      </c>
      <c r="P2128" s="43" t="n">
        <f aca="false">IF(K2128=0,0,O2128/K2128)</f>
        <v>0.57116060961313</v>
      </c>
    </row>
    <row r="2129" customFormat="false" ht="15" hidden="false" customHeight="false" outlineLevel="0" collapsed="false">
      <c r="A2129" s="39" t="s">
        <v>2251</v>
      </c>
      <c r="B2129" s="40" t="n">
        <v>45945</v>
      </c>
      <c r="C2129" s="39" t="s">
        <v>126</v>
      </c>
      <c r="D2129" s="39" t="n">
        <v>5</v>
      </c>
      <c r="E2129" s="41" t="n">
        <v>23.05</v>
      </c>
      <c r="F2129" s="39" t="s">
        <v>105</v>
      </c>
      <c r="G2129" s="39" t="str">
        <f aca="false">VLOOKUP(C2129,Products!$A$5:$D$24,2,FALSE())</f>
        <v>Wireless Mouse</v>
      </c>
      <c r="H2129" s="39" t="str">
        <f aca="false">VLOOKUP(C2129,Products!$A$5:$D$24,3,FALSE())</f>
        <v>Electronics</v>
      </c>
      <c r="I2129" s="41" t="n">
        <f aca="false">VLOOKUP(C2129,Products!$A$5:$D$24,4,FALSE())</f>
        <v>12</v>
      </c>
      <c r="J2129" s="42" t="n">
        <f aca="false">DATE(YEAR(B2129),MONTH(B2129),1)</f>
        <v>45931</v>
      </c>
      <c r="K2129" s="41" t="n">
        <f aca="false">D2129*E2129</f>
        <v>115.25</v>
      </c>
      <c r="L2129" s="41" t="n">
        <f aca="false">D2129*I2129</f>
        <v>60</v>
      </c>
      <c r="M2129" s="41" t="n">
        <f aca="false">IFERROR(INDEX(Raw_Expenses!$C$5:$C$2979,MATCH(A2129,Raw_Expenses!$A$5:$A$2979,0)),0)</f>
        <v>7.87</v>
      </c>
      <c r="N2129" s="41" t="n">
        <f aca="false">L2129+M2129</f>
        <v>67.87</v>
      </c>
      <c r="O2129" s="41" t="n">
        <f aca="false">K2129-N2129</f>
        <v>47.38</v>
      </c>
      <c r="P2129" s="43" t="n">
        <f aca="false">IF(K2129=0,0,O2129/K2129)</f>
        <v>0.411106290672451</v>
      </c>
    </row>
    <row r="2130" customFormat="false" ht="15" hidden="false" customHeight="false" outlineLevel="0" collapsed="false">
      <c r="A2130" s="39" t="s">
        <v>2252</v>
      </c>
      <c r="B2130" s="40" t="n">
        <v>45945</v>
      </c>
      <c r="C2130" s="39" t="s">
        <v>177</v>
      </c>
      <c r="D2130" s="39" t="n">
        <v>1</v>
      </c>
      <c r="E2130" s="41" t="n">
        <v>44.05</v>
      </c>
      <c r="F2130" s="39" t="s">
        <v>105</v>
      </c>
      <c r="G2130" s="39" t="str">
        <f aca="false">VLOOKUP(C2130,Products!$A$5:$D$24,2,FALSE())</f>
        <v>Backpack</v>
      </c>
      <c r="H2130" s="39" t="str">
        <f aca="false">VLOOKUP(C2130,Products!$A$5:$D$24,3,FALSE())</f>
        <v>Accessories</v>
      </c>
      <c r="I2130" s="41" t="n">
        <f aca="false">VLOOKUP(C2130,Products!$A$5:$D$24,4,FALSE())</f>
        <v>17</v>
      </c>
      <c r="J2130" s="42" t="n">
        <f aca="false">DATE(YEAR(B2130),MONTH(B2130),1)</f>
        <v>45931</v>
      </c>
      <c r="K2130" s="41" t="n">
        <f aca="false">D2130*E2130</f>
        <v>44.05</v>
      </c>
      <c r="L2130" s="41" t="n">
        <f aca="false">D2130*I2130</f>
        <v>17</v>
      </c>
      <c r="M2130" s="41" t="n">
        <f aca="false">IFERROR(INDEX(Raw_Expenses!$C$5:$C$2979,MATCH(A2130,Raw_Expenses!$A$5:$A$2979,0)),0)</f>
        <v>3.11</v>
      </c>
      <c r="N2130" s="41" t="n">
        <f aca="false">L2130+M2130</f>
        <v>20.11</v>
      </c>
      <c r="O2130" s="41" t="n">
        <f aca="false">K2130-N2130</f>
        <v>23.94</v>
      </c>
      <c r="P2130" s="43" t="n">
        <f aca="false">IF(K2130=0,0,O2130/K2130)</f>
        <v>0.543473325766175</v>
      </c>
    </row>
    <row r="2131" customFormat="false" ht="15" hidden="false" customHeight="false" outlineLevel="0" collapsed="false">
      <c r="A2131" s="39" t="s">
        <v>2253</v>
      </c>
      <c r="B2131" s="40" t="n">
        <v>45945</v>
      </c>
      <c r="C2131" s="39" t="s">
        <v>177</v>
      </c>
      <c r="D2131" s="39" t="n">
        <v>5</v>
      </c>
      <c r="E2131" s="41" t="n">
        <v>42.91</v>
      </c>
      <c r="F2131" s="39" t="s">
        <v>105</v>
      </c>
      <c r="G2131" s="39" t="str">
        <f aca="false">VLOOKUP(C2131,Products!$A$5:$D$24,2,FALSE())</f>
        <v>Backpack</v>
      </c>
      <c r="H2131" s="39" t="str">
        <f aca="false">VLOOKUP(C2131,Products!$A$5:$D$24,3,FALSE())</f>
        <v>Accessories</v>
      </c>
      <c r="I2131" s="41" t="n">
        <f aca="false">VLOOKUP(C2131,Products!$A$5:$D$24,4,FALSE())</f>
        <v>17</v>
      </c>
      <c r="J2131" s="42" t="n">
        <f aca="false">DATE(YEAR(B2131),MONTH(B2131),1)</f>
        <v>45931</v>
      </c>
      <c r="K2131" s="41" t="n">
        <f aca="false">D2131*E2131</f>
        <v>214.55</v>
      </c>
      <c r="L2131" s="41" t="n">
        <f aca="false">D2131*I2131</f>
        <v>85</v>
      </c>
      <c r="M2131" s="41" t="n">
        <f aca="false">IFERROR(INDEX(Raw_Expenses!$C$5:$C$2979,MATCH(A2131,Raw_Expenses!$A$5:$A$2979,0)),0)</f>
        <v>16.2</v>
      </c>
      <c r="N2131" s="41" t="n">
        <f aca="false">L2131+M2131</f>
        <v>101.2</v>
      </c>
      <c r="O2131" s="41" t="n">
        <f aca="false">K2131-N2131</f>
        <v>113.35</v>
      </c>
      <c r="P2131" s="43" t="n">
        <f aca="false">IF(K2131=0,0,O2131/K2131)</f>
        <v>0.52831507807038</v>
      </c>
    </row>
    <row r="2132" customFormat="false" ht="15" hidden="false" customHeight="false" outlineLevel="0" collapsed="false">
      <c r="A2132" s="39" t="s">
        <v>2254</v>
      </c>
      <c r="B2132" s="40" t="n">
        <v>45945</v>
      </c>
      <c r="C2132" s="39" t="s">
        <v>121</v>
      </c>
      <c r="D2132" s="39" t="n">
        <v>1</v>
      </c>
      <c r="E2132" s="41" t="n">
        <v>114.15</v>
      </c>
      <c r="F2132" s="39" t="s">
        <v>118</v>
      </c>
      <c r="G2132" s="39" t="str">
        <f aca="false">VLOOKUP(C2132,Products!$A$5:$D$24,2,FALSE())</f>
        <v>External SSD 1TB</v>
      </c>
      <c r="H2132" s="39" t="str">
        <f aca="false">VLOOKUP(C2132,Products!$A$5:$D$24,3,FALSE())</f>
        <v>Electronics</v>
      </c>
      <c r="I2132" s="41" t="n">
        <f aca="false">VLOOKUP(C2132,Products!$A$5:$D$24,4,FALSE())</f>
        <v>62</v>
      </c>
      <c r="J2132" s="42" t="n">
        <f aca="false">DATE(YEAR(B2132),MONTH(B2132),1)</f>
        <v>45931</v>
      </c>
      <c r="K2132" s="41" t="n">
        <f aca="false">D2132*E2132</f>
        <v>114.15</v>
      </c>
      <c r="L2132" s="41" t="n">
        <f aca="false">D2132*I2132</f>
        <v>62</v>
      </c>
      <c r="M2132" s="41" t="n">
        <f aca="false">IFERROR(INDEX(Raw_Expenses!$C$5:$C$2979,MATCH(A2132,Raw_Expenses!$A$5:$A$2979,0)),0)</f>
        <v>5.81</v>
      </c>
      <c r="N2132" s="41" t="n">
        <f aca="false">L2132+M2132</f>
        <v>67.81</v>
      </c>
      <c r="O2132" s="41" t="n">
        <f aca="false">K2132-N2132</f>
        <v>46.34</v>
      </c>
      <c r="P2132" s="43" t="n">
        <f aca="false">IF(K2132=0,0,O2132/K2132)</f>
        <v>0.405957074025405</v>
      </c>
    </row>
    <row r="2133" customFormat="false" ht="15" hidden="false" customHeight="false" outlineLevel="0" collapsed="false">
      <c r="A2133" s="39" t="s">
        <v>2255</v>
      </c>
      <c r="B2133" s="40" t="n">
        <v>45945</v>
      </c>
      <c r="C2133" s="39" t="s">
        <v>162</v>
      </c>
      <c r="D2133" s="39" t="n">
        <v>2</v>
      </c>
      <c r="E2133" s="41" t="n">
        <v>65.88</v>
      </c>
      <c r="F2133" s="39" t="s">
        <v>105</v>
      </c>
      <c r="G2133" s="39" t="str">
        <f aca="false">VLOOKUP(C2133,Products!$A$5:$D$24,2,FALSE())</f>
        <v>Bluetooth Speaker</v>
      </c>
      <c r="H2133" s="39" t="str">
        <f aca="false">VLOOKUP(C2133,Products!$A$5:$D$24,3,FALSE())</f>
        <v>Electronics</v>
      </c>
      <c r="I2133" s="41" t="n">
        <f aca="false">VLOOKUP(C2133,Products!$A$5:$D$24,4,FALSE())</f>
        <v>28</v>
      </c>
      <c r="J2133" s="42" t="n">
        <f aca="false">DATE(YEAR(B2133),MONTH(B2133),1)</f>
        <v>45931</v>
      </c>
      <c r="K2133" s="41" t="n">
        <f aca="false">D2133*E2133</f>
        <v>131.76</v>
      </c>
      <c r="L2133" s="41" t="n">
        <f aca="false">D2133*I2133</f>
        <v>56</v>
      </c>
      <c r="M2133" s="41" t="n">
        <f aca="false">IFERROR(INDEX(Raw_Expenses!$C$5:$C$2979,MATCH(A2133,Raw_Expenses!$A$5:$A$2979,0)),0)</f>
        <v>7.16</v>
      </c>
      <c r="N2133" s="41" t="n">
        <f aca="false">L2133+M2133</f>
        <v>63.16</v>
      </c>
      <c r="O2133" s="41" t="n">
        <f aca="false">K2133-N2133</f>
        <v>68.6</v>
      </c>
      <c r="P2133" s="43" t="n">
        <f aca="false">IF(K2133=0,0,O2133/K2133)</f>
        <v>0.520643594414086</v>
      </c>
    </row>
    <row r="2134" customFormat="false" ht="15" hidden="false" customHeight="false" outlineLevel="0" collapsed="false">
      <c r="A2134" s="39" t="s">
        <v>2256</v>
      </c>
      <c r="B2134" s="40" t="n">
        <v>45945</v>
      </c>
      <c r="C2134" s="39" t="s">
        <v>130</v>
      </c>
      <c r="D2134" s="39" t="n">
        <v>2</v>
      </c>
      <c r="E2134" s="41" t="n">
        <v>8.32</v>
      </c>
      <c r="F2134" s="39" t="s">
        <v>115</v>
      </c>
      <c r="G2134" s="39" t="str">
        <f aca="false">VLOOKUP(C2134,Products!$A$5:$D$24,2,FALSE())</f>
        <v>Notebook Set</v>
      </c>
      <c r="H2134" s="39" t="str">
        <f aca="false">VLOOKUP(C2134,Products!$A$5:$D$24,3,FALSE())</f>
        <v>Stationery</v>
      </c>
      <c r="I2134" s="41" t="n">
        <f aca="false">VLOOKUP(C2134,Products!$A$5:$D$24,4,FALSE())</f>
        <v>3</v>
      </c>
      <c r="J2134" s="42" t="n">
        <f aca="false">DATE(YEAR(B2134),MONTH(B2134),1)</f>
        <v>45931</v>
      </c>
      <c r="K2134" s="41" t="n">
        <f aca="false">D2134*E2134</f>
        <v>16.64</v>
      </c>
      <c r="L2134" s="41" t="n">
        <f aca="false">D2134*I2134</f>
        <v>6</v>
      </c>
      <c r="M2134" s="41" t="n">
        <f aca="false">IFERROR(INDEX(Raw_Expenses!$C$5:$C$2979,MATCH(A2134,Raw_Expenses!$A$5:$A$2979,0)),0)</f>
        <v>1.17</v>
      </c>
      <c r="N2134" s="41" t="n">
        <f aca="false">L2134+M2134</f>
        <v>7.17</v>
      </c>
      <c r="O2134" s="41" t="n">
        <f aca="false">K2134-N2134</f>
        <v>9.47</v>
      </c>
      <c r="P2134" s="43" t="n">
        <f aca="false">IF(K2134=0,0,O2134/K2134)</f>
        <v>0.569110576923077</v>
      </c>
    </row>
    <row r="2135" customFormat="false" ht="15" hidden="false" customHeight="false" outlineLevel="0" collapsed="false">
      <c r="A2135" s="39" t="s">
        <v>2257</v>
      </c>
      <c r="B2135" s="40" t="n">
        <v>45945</v>
      </c>
      <c r="C2135" s="39" t="s">
        <v>114</v>
      </c>
      <c r="D2135" s="39" t="n">
        <v>5</v>
      </c>
      <c r="E2135" s="41" t="n">
        <v>5.98</v>
      </c>
      <c r="F2135" s="39" t="s">
        <v>108</v>
      </c>
      <c r="G2135" s="39" t="str">
        <f aca="false">VLOOKUP(C2135,Products!$A$5:$D$24,2,FALSE())</f>
        <v>Gel Pen Pack</v>
      </c>
      <c r="H2135" s="39" t="str">
        <f aca="false">VLOOKUP(C2135,Products!$A$5:$D$24,3,FALSE())</f>
        <v>Stationery</v>
      </c>
      <c r="I2135" s="41" t="n">
        <f aca="false">VLOOKUP(C2135,Products!$A$5:$D$24,4,FALSE())</f>
        <v>2</v>
      </c>
      <c r="J2135" s="42" t="n">
        <f aca="false">DATE(YEAR(B2135),MONTH(B2135),1)</f>
        <v>45931</v>
      </c>
      <c r="K2135" s="41" t="n">
        <f aca="false">D2135*E2135</f>
        <v>29.9</v>
      </c>
      <c r="L2135" s="41" t="n">
        <f aca="false">D2135*I2135</f>
        <v>10</v>
      </c>
      <c r="M2135" s="41" t="n">
        <f aca="false">IFERROR(INDEX(Raw_Expenses!$C$5:$C$2979,MATCH(A2135,Raw_Expenses!$A$5:$A$2979,0)),0)</f>
        <v>1.64</v>
      </c>
      <c r="N2135" s="41" t="n">
        <f aca="false">L2135+M2135</f>
        <v>11.64</v>
      </c>
      <c r="O2135" s="41" t="n">
        <f aca="false">K2135-N2135</f>
        <v>18.26</v>
      </c>
      <c r="P2135" s="43" t="n">
        <f aca="false">IF(K2135=0,0,O2135/K2135)</f>
        <v>0.610702341137124</v>
      </c>
    </row>
    <row r="2136" customFormat="false" ht="15" hidden="false" customHeight="false" outlineLevel="0" collapsed="false">
      <c r="A2136" s="39" t="s">
        <v>2258</v>
      </c>
      <c r="B2136" s="40" t="n">
        <v>45946</v>
      </c>
      <c r="C2136" s="39" t="s">
        <v>136</v>
      </c>
      <c r="D2136" s="39" t="n">
        <v>5</v>
      </c>
      <c r="E2136" s="41" t="n">
        <v>76.88</v>
      </c>
      <c r="F2136" s="39" t="s">
        <v>118</v>
      </c>
      <c r="G2136" s="39" t="str">
        <f aca="false">VLOOKUP(C2136,Products!$A$5:$D$24,2,FALSE())</f>
        <v>Mechanical Keyboard</v>
      </c>
      <c r="H2136" s="39" t="str">
        <f aca="false">VLOOKUP(C2136,Products!$A$5:$D$24,3,FALSE())</f>
        <v>Electronics</v>
      </c>
      <c r="I2136" s="41" t="n">
        <f aca="false">VLOOKUP(C2136,Products!$A$5:$D$24,4,FALSE())</f>
        <v>38</v>
      </c>
      <c r="J2136" s="42" t="n">
        <f aca="false">DATE(YEAR(B2136),MONTH(B2136),1)</f>
        <v>45931</v>
      </c>
      <c r="K2136" s="41" t="n">
        <f aca="false">D2136*E2136</f>
        <v>384.4</v>
      </c>
      <c r="L2136" s="41" t="n">
        <f aca="false">D2136*I2136</f>
        <v>190</v>
      </c>
      <c r="M2136" s="41" t="n">
        <f aca="false">IFERROR(INDEX(Raw_Expenses!$C$5:$C$2979,MATCH(A2136,Raw_Expenses!$A$5:$A$2979,0)),0)</f>
        <v>22.98</v>
      </c>
      <c r="N2136" s="41" t="n">
        <f aca="false">L2136+M2136</f>
        <v>212.98</v>
      </c>
      <c r="O2136" s="41" t="n">
        <f aca="false">K2136-N2136</f>
        <v>171.42</v>
      </c>
      <c r="P2136" s="43" t="n">
        <f aca="false">IF(K2136=0,0,O2136/K2136)</f>
        <v>0.445941727367326</v>
      </c>
    </row>
    <row r="2137" customFormat="false" ht="15" hidden="false" customHeight="false" outlineLevel="0" collapsed="false">
      <c r="A2137" s="39" t="s">
        <v>2259</v>
      </c>
      <c r="B2137" s="40" t="n">
        <v>45946</v>
      </c>
      <c r="C2137" s="39" t="s">
        <v>130</v>
      </c>
      <c r="D2137" s="39" t="n">
        <v>2</v>
      </c>
      <c r="E2137" s="41" t="n">
        <v>8.36</v>
      </c>
      <c r="F2137" s="39" t="s">
        <v>108</v>
      </c>
      <c r="G2137" s="39" t="str">
        <f aca="false">VLOOKUP(C2137,Products!$A$5:$D$24,2,FALSE())</f>
        <v>Notebook Set</v>
      </c>
      <c r="H2137" s="39" t="str">
        <f aca="false">VLOOKUP(C2137,Products!$A$5:$D$24,3,FALSE())</f>
        <v>Stationery</v>
      </c>
      <c r="I2137" s="41" t="n">
        <f aca="false">VLOOKUP(C2137,Products!$A$5:$D$24,4,FALSE())</f>
        <v>3</v>
      </c>
      <c r="J2137" s="42" t="n">
        <f aca="false">DATE(YEAR(B2137),MONTH(B2137),1)</f>
        <v>45931</v>
      </c>
      <c r="K2137" s="41" t="n">
        <f aca="false">D2137*E2137</f>
        <v>16.72</v>
      </c>
      <c r="L2137" s="41" t="n">
        <f aca="false">D2137*I2137</f>
        <v>6</v>
      </c>
      <c r="M2137" s="41" t="n">
        <f aca="false">IFERROR(INDEX(Raw_Expenses!$C$5:$C$2979,MATCH(A2137,Raw_Expenses!$A$5:$A$2979,0)),0)</f>
        <v>1.2</v>
      </c>
      <c r="N2137" s="41" t="n">
        <f aca="false">L2137+M2137</f>
        <v>7.2</v>
      </c>
      <c r="O2137" s="41" t="n">
        <f aca="false">K2137-N2137</f>
        <v>9.52</v>
      </c>
      <c r="P2137" s="43" t="n">
        <f aca="false">IF(K2137=0,0,O2137/K2137)</f>
        <v>0.569377990430622</v>
      </c>
    </row>
    <row r="2138" customFormat="false" ht="15" hidden="false" customHeight="false" outlineLevel="0" collapsed="false">
      <c r="A2138" s="39" t="s">
        <v>2260</v>
      </c>
      <c r="B2138" s="40" t="n">
        <v>45946</v>
      </c>
      <c r="C2138" s="39" t="s">
        <v>107</v>
      </c>
      <c r="D2138" s="39" t="n">
        <v>2</v>
      </c>
      <c r="E2138" s="41" t="n">
        <v>33.11</v>
      </c>
      <c r="F2138" s="39" t="s">
        <v>105</v>
      </c>
      <c r="G2138" s="39" t="str">
        <f aca="false">VLOOKUP(C2138,Products!$A$5:$D$24,2,FALSE())</f>
        <v>USB-C Hub</v>
      </c>
      <c r="H2138" s="39" t="str">
        <f aca="false">VLOOKUP(C2138,Products!$A$5:$D$24,3,FALSE())</f>
        <v>Electronics</v>
      </c>
      <c r="I2138" s="41" t="n">
        <f aca="false">VLOOKUP(C2138,Products!$A$5:$D$24,4,FALSE())</f>
        <v>14</v>
      </c>
      <c r="J2138" s="42" t="n">
        <f aca="false">DATE(YEAR(B2138),MONTH(B2138),1)</f>
        <v>45931</v>
      </c>
      <c r="K2138" s="41" t="n">
        <f aca="false">D2138*E2138</f>
        <v>66.22</v>
      </c>
      <c r="L2138" s="41" t="n">
        <f aca="false">D2138*I2138</f>
        <v>28</v>
      </c>
      <c r="M2138" s="41" t="n">
        <f aca="false">IFERROR(INDEX(Raw_Expenses!$C$5:$C$2979,MATCH(A2138,Raw_Expenses!$A$5:$A$2979,0)),0)</f>
        <v>2.8</v>
      </c>
      <c r="N2138" s="41" t="n">
        <f aca="false">L2138+M2138</f>
        <v>30.8</v>
      </c>
      <c r="O2138" s="41" t="n">
        <f aca="false">K2138-N2138</f>
        <v>35.42</v>
      </c>
      <c r="P2138" s="43" t="n">
        <f aca="false">IF(K2138=0,0,O2138/K2138)</f>
        <v>0.534883720930233</v>
      </c>
    </row>
    <row r="2139" customFormat="false" ht="15" hidden="false" customHeight="false" outlineLevel="0" collapsed="false">
      <c r="A2139" s="39" t="s">
        <v>2261</v>
      </c>
      <c r="B2139" s="40" t="n">
        <v>45946</v>
      </c>
      <c r="C2139" s="39" t="s">
        <v>126</v>
      </c>
      <c r="D2139" s="39" t="n">
        <v>1</v>
      </c>
      <c r="E2139" s="41" t="n">
        <v>23.61</v>
      </c>
      <c r="F2139" s="39" t="s">
        <v>105</v>
      </c>
      <c r="G2139" s="39" t="str">
        <f aca="false">VLOOKUP(C2139,Products!$A$5:$D$24,2,FALSE())</f>
        <v>Wireless Mouse</v>
      </c>
      <c r="H2139" s="39" t="str">
        <f aca="false">VLOOKUP(C2139,Products!$A$5:$D$24,3,FALSE())</f>
        <v>Electronics</v>
      </c>
      <c r="I2139" s="41" t="n">
        <f aca="false">VLOOKUP(C2139,Products!$A$5:$D$24,4,FALSE())</f>
        <v>12</v>
      </c>
      <c r="J2139" s="42" t="n">
        <f aca="false">DATE(YEAR(B2139),MONTH(B2139),1)</f>
        <v>45931</v>
      </c>
      <c r="K2139" s="41" t="n">
        <f aca="false">D2139*E2139</f>
        <v>23.61</v>
      </c>
      <c r="L2139" s="41" t="n">
        <f aca="false">D2139*I2139</f>
        <v>12</v>
      </c>
      <c r="M2139" s="41" t="n">
        <f aca="false">IFERROR(INDEX(Raw_Expenses!$C$5:$C$2979,MATCH(A2139,Raw_Expenses!$A$5:$A$2979,0)),0)</f>
        <v>1.86</v>
      </c>
      <c r="N2139" s="41" t="n">
        <f aca="false">L2139+M2139</f>
        <v>13.86</v>
      </c>
      <c r="O2139" s="41" t="n">
        <f aca="false">K2139-N2139</f>
        <v>9.75</v>
      </c>
      <c r="P2139" s="43" t="n">
        <f aca="false">IF(K2139=0,0,O2139/K2139)</f>
        <v>0.412960609911055</v>
      </c>
    </row>
    <row r="2140" customFormat="false" ht="15" hidden="false" customHeight="false" outlineLevel="0" collapsed="false">
      <c r="A2140" s="39" t="s">
        <v>2262</v>
      </c>
      <c r="B2140" s="40" t="n">
        <v>45946</v>
      </c>
      <c r="C2140" s="39" t="s">
        <v>133</v>
      </c>
      <c r="D2140" s="39" t="n">
        <v>3</v>
      </c>
      <c r="E2140" s="41" t="n">
        <v>8.97</v>
      </c>
      <c r="F2140" s="39" t="s">
        <v>118</v>
      </c>
      <c r="G2140" s="39" t="str">
        <f aca="false">VLOOKUP(C2140,Products!$A$5:$D$24,2,FALSE())</f>
        <v>Printer Paper Ream</v>
      </c>
      <c r="H2140" s="39" t="str">
        <f aca="false">VLOOKUP(C2140,Products!$A$5:$D$24,3,FALSE())</f>
        <v>Stationery</v>
      </c>
      <c r="I2140" s="41" t="n">
        <f aca="false">VLOOKUP(C2140,Products!$A$5:$D$24,4,FALSE())</f>
        <v>4</v>
      </c>
      <c r="J2140" s="42" t="n">
        <f aca="false">DATE(YEAR(B2140),MONTH(B2140),1)</f>
        <v>45931</v>
      </c>
      <c r="K2140" s="41" t="n">
        <f aca="false">D2140*E2140</f>
        <v>26.91</v>
      </c>
      <c r="L2140" s="41" t="n">
        <f aca="false">D2140*I2140</f>
        <v>12</v>
      </c>
      <c r="M2140" s="41" t="n">
        <f aca="false">IFERROR(INDEX(Raw_Expenses!$C$5:$C$2979,MATCH(A2140,Raw_Expenses!$A$5:$A$2979,0)),0)</f>
        <v>1.52</v>
      </c>
      <c r="N2140" s="41" t="n">
        <f aca="false">L2140+M2140</f>
        <v>13.52</v>
      </c>
      <c r="O2140" s="41" t="n">
        <f aca="false">K2140-N2140</f>
        <v>13.39</v>
      </c>
      <c r="P2140" s="43" t="n">
        <f aca="false">IF(K2140=0,0,O2140/K2140)</f>
        <v>0.497584541062802</v>
      </c>
    </row>
    <row r="2141" customFormat="false" ht="15" hidden="false" customHeight="false" outlineLevel="0" collapsed="false">
      <c r="A2141" s="39" t="s">
        <v>2263</v>
      </c>
      <c r="B2141" s="40" t="n">
        <v>45946</v>
      </c>
      <c r="C2141" s="39" t="s">
        <v>114</v>
      </c>
      <c r="D2141" s="39" t="n">
        <v>4</v>
      </c>
      <c r="E2141" s="41" t="n">
        <v>5.96</v>
      </c>
      <c r="F2141" s="39" t="s">
        <v>118</v>
      </c>
      <c r="G2141" s="39" t="str">
        <f aca="false">VLOOKUP(C2141,Products!$A$5:$D$24,2,FALSE())</f>
        <v>Gel Pen Pack</v>
      </c>
      <c r="H2141" s="39" t="str">
        <f aca="false">VLOOKUP(C2141,Products!$A$5:$D$24,3,FALSE())</f>
        <v>Stationery</v>
      </c>
      <c r="I2141" s="41" t="n">
        <f aca="false">VLOOKUP(C2141,Products!$A$5:$D$24,4,FALSE())</f>
        <v>2</v>
      </c>
      <c r="J2141" s="42" t="n">
        <f aca="false">DATE(YEAR(B2141),MONTH(B2141),1)</f>
        <v>45931</v>
      </c>
      <c r="K2141" s="41" t="n">
        <f aca="false">D2141*E2141</f>
        <v>23.84</v>
      </c>
      <c r="L2141" s="41" t="n">
        <f aca="false">D2141*I2141</f>
        <v>8</v>
      </c>
      <c r="M2141" s="41" t="n">
        <f aca="false">IFERROR(INDEX(Raw_Expenses!$C$5:$C$2979,MATCH(A2141,Raw_Expenses!$A$5:$A$2979,0)),0)</f>
        <v>1.54</v>
      </c>
      <c r="N2141" s="41" t="n">
        <f aca="false">L2141+M2141</f>
        <v>9.54</v>
      </c>
      <c r="O2141" s="41" t="n">
        <f aca="false">K2141-N2141</f>
        <v>14.3</v>
      </c>
      <c r="P2141" s="43" t="n">
        <f aca="false">IF(K2141=0,0,O2141/K2141)</f>
        <v>0.599832214765101</v>
      </c>
    </row>
    <row r="2142" customFormat="false" ht="15" hidden="false" customHeight="false" outlineLevel="0" collapsed="false">
      <c r="A2142" s="39" t="s">
        <v>2264</v>
      </c>
      <c r="B2142" s="40" t="n">
        <v>45946</v>
      </c>
      <c r="C2142" s="39" t="s">
        <v>177</v>
      </c>
      <c r="D2142" s="39" t="n">
        <v>1</v>
      </c>
      <c r="E2142" s="41" t="n">
        <v>41.59</v>
      </c>
      <c r="F2142" s="39" t="s">
        <v>108</v>
      </c>
      <c r="G2142" s="39" t="str">
        <f aca="false">VLOOKUP(C2142,Products!$A$5:$D$24,2,FALSE())</f>
        <v>Backpack</v>
      </c>
      <c r="H2142" s="39" t="str">
        <f aca="false">VLOOKUP(C2142,Products!$A$5:$D$24,3,FALSE())</f>
        <v>Accessories</v>
      </c>
      <c r="I2142" s="41" t="n">
        <f aca="false">VLOOKUP(C2142,Products!$A$5:$D$24,4,FALSE())</f>
        <v>17</v>
      </c>
      <c r="J2142" s="42" t="n">
        <f aca="false">DATE(YEAR(B2142),MONTH(B2142),1)</f>
        <v>45931</v>
      </c>
      <c r="K2142" s="41" t="n">
        <f aca="false">D2142*E2142</f>
        <v>41.59</v>
      </c>
      <c r="L2142" s="41" t="n">
        <f aca="false">D2142*I2142</f>
        <v>17</v>
      </c>
      <c r="M2142" s="41" t="n">
        <f aca="false">IFERROR(INDEX(Raw_Expenses!$C$5:$C$2979,MATCH(A2142,Raw_Expenses!$A$5:$A$2979,0)),0)</f>
        <v>3.62</v>
      </c>
      <c r="N2142" s="41" t="n">
        <f aca="false">L2142+M2142</f>
        <v>20.62</v>
      </c>
      <c r="O2142" s="41" t="n">
        <f aca="false">K2142-N2142</f>
        <v>20.97</v>
      </c>
      <c r="P2142" s="43" t="n">
        <f aca="false">IF(K2142=0,0,O2142/K2142)</f>
        <v>0.504207742245732</v>
      </c>
    </row>
    <row r="2143" customFormat="false" ht="15" hidden="false" customHeight="false" outlineLevel="0" collapsed="false">
      <c r="A2143" s="39" t="s">
        <v>2265</v>
      </c>
      <c r="B2143" s="40" t="n">
        <v>45946</v>
      </c>
      <c r="C2143" s="39" t="s">
        <v>139</v>
      </c>
      <c r="D2143" s="39" t="n">
        <v>2</v>
      </c>
      <c r="E2143" s="41" t="n">
        <v>125.13</v>
      </c>
      <c r="F2143" s="39" t="s">
        <v>105</v>
      </c>
      <c r="G2143" s="39" t="str">
        <f aca="false">VLOOKUP(C2143,Products!$A$5:$D$24,2,FALSE())</f>
        <v>Noise-Cancelling Headphones</v>
      </c>
      <c r="H2143" s="39" t="str">
        <f aca="false">VLOOKUP(C2143,Products!$A$5:$D$24,3,FALSE())</f>
        <v>Electronics</v>
      </c>
      <c r="I2143" s="41" t="n">
        <f aca="false">VLOOKUP(C2143,Products!$A$5:$D$24,4,FALSE())</f>
        <v>55</v>
      </c>
      <c r="J2143" s="42" t="n">
        <f aca="false">DATE(YEAR(B2143),MONTH(B2143),1)</f>
        <v>45931</v>
      </c>
      <c r="K2143" s="41" t="n">
        <f aca="false">D2143*E2143</f>
        <v>250.26</v>
      </c>
      <c r="L2143" s="41" t="n">
        <f aca="false">D2143*I2143</f>
        <v>110</v>
      </c>
      <c r="M2143" s="41" t="n">
        <f aca="false">IFERROR(INDEX(Raw_Expenses!$C$5:$C$2979,MATCH(A2143,Raw_Expenses!$A$5:$A$2979,0)),0)</f>
        <v>17.71</v>
      </c>
      <c r="N2143" s="41" t="n">
        <f aca="false">L2143+M2143</f>
        <v>127.71</v>
      </c>
      <c r="O2143" s="41" t="n">
        <f aca="false">K2143-N2143</f>
        <v>122.55</v>
      </c>
      <c r="P2143" s="43" t="n">
        <f aca="false">IF(K2143=0,0,O2143/K2143)</f>
        <v>0.489690721649484</v>
      </c>
    </row>
    <row r="2144" customFormat="false" ht="15" hidden="false" customHeight="false" outlineLevel="0" collapsed="false">
      <c r="A2144" s="39" t="s">
        <v>2266</v>
      </c>
      <c r="B2144" s="40" t="n">
        <v>45946</v>
      </c>
      <c r="C2144" s="39" t="s">
        <v>112</v>
      </c>
      <c r="D2144" s="39" t="n">
        <v>2</v>
      </c>
      <c r="E2144" s="41" t="n">
        <v>54.59</v>
      </c>
      <c r="F2144" s="39" t="s">
        <v>105</v>
      </c>
      <c r="G2144" s="39" t="str">
        <f aca="false">VLOOKUP(C2144,Products!$A$5:$D$24,2,FALSE())</f>
        <v>HD Webcam</v>
      </c>
      <c r="H2144" s="39" t="str">
        <f aca="false">VLOOKUP(C2144,Products!$A$5:$D$24,3,FALSE())</f>
        <v>Electronics</v>
      </c>
      <c r="I2144" s="41" t="n">
        <f aca="false">VLOOKUP(C2144,Products!$A$5:$D$24,4,FALSE())</f>
        <v>22</v>
      </c>
      <c r="J2144" s="42" t="n">
        <f aca="false">DATE(YEAR(B2144),MONTH(B2144),1)</f>
        <v>45931</v>
      </c>
      <c r="K2144" s="41" t="n">
        <f aca="false">D2144*E2144</f>
        <v>109.18</v>
      </c>
      <c r="L2144" s="41" t="n">
        <f aca="false">D2144*I2144</f>
        <v>44</v>
      </c>
      <c r="M2144" s="41" t="n">
        <f aca="false">IFERROR(INDEX(Raw_Expenses!$C$5:$C$2979,MATCH(A2144,Raw_Expenses!$A$5:$A$2979,0)),0)</f>
        <v>7.01</v>
      </c>
      <c r="N2144" s="41" t="n">
        <f aca="false">L2144+M2144</f>
        <v>51.01</v>
      </c>
      <c r="O2144" s="41" t="n">
        <f aca="false">K2144-N2144</f>
        <v>58.17</v>
      </c>
      <c r="P2144" s="43" t="n">
        <f aca="false">IF(K2144=0,0,O2144/K2144)</f>
        <v>0.532789888257923</v>
      </c>
    </row>
    <row r="2145" customFormat="false" ht="15" hidden="false" customHeight="false" outlineLevel="0" collapsed="false">
      <c r="A2145" s="39" t="s">
        <v>2267</v>
      </c>
      <c r="B2145" s="40" t="n">
        <v>45947</v>
      </c>
      <c r="C2145" s="39" t="s">
        <v>153</v>
      </c>
      <c r="D2145" s="39" t="n">
        <v>4</v>
      </c>
      <c r="E2145" s="41" t="n">
        <v>167.71</v>
      </c>
      <c r="F2145" s="39" t="s">
        <v>108</v>
      </c>
      <c r="G2145" s="39" t="str">
        <f aca="false">VLOOKUP(C2145,Products!$A$5:$D$24,2,FALSE())</f>
        <v>24-inch Monitor</v>
      </c>
      <c r="H2145" s="39" t="str">
        <f aca="false">VLOOKUP(C2145,Products!$A$5:$D$24,3,FALSE())</f>
        <v>Electronics</v>
      </c>
      <c r="I2145" s="41" t="n">
        <f aca="false">VLOOKUP(C2145,Products!$A$5:$D$24,4,FALSE())</f>
        <v>90</v>
      </c>
      <c r="J2145" s="42" t="n">
        <f aca="false">DATE(YEAR(B2145),MONTH(B2145),1)</f>
        <v>45931</v>
      </c>
      <c r="K2145" s="41" t="n">
        <f aca="false">D2145*E2145</f>
        <v>670.84</v>
      </c>
      <c r="L2145" s="41" t="n">
        <f aca="false">D2145*I2145</f>
        <v>360</v>
      </c>
      <c r="M2145" s="41" t="n">
        <f aca="false">IFERROR(INDEX(Raw_Expenses!$C$5:$C$2979,MATCH(A2145,Raw_Expenses!$A$5:$A$2979,0)),0)</f>
        <v>51.08</v>
      </c>
      <c r="N2145" s="41" t="n">
        <f aca="false">L2145+M2145</f>
        <v>411.08</v>
      </c>
      <c r="O2145" s="41" t="n">
        <f aca="false">K2145-N2145</f>
        <v>259.76</v>
      </c>
      <c r="P2145" s="43" t="n">
        <f aca="false">IF(K2145=0,0,O2145/K2145)</f>
        <v>0.387216027666806</v>
      </c>
    </row>
    <row r="2146" customFormat="false" ht="15" hidden="false" customHeight="false" outlineLevel="0" collapsed="false">
      <c r="A2146" s="39" t="s">
        <v>2268</v>
      </c>
      <c r="B2146" s="40" t="n">
        <v>45947</v>
      </c>
      <c r="C2146" s="39" t="s">
        <v>139</v>
      </c>
      <c r="D2146" s="39" t="n">
        <v>2</v>
      </c>
      <c r="E2146" s="41" t="n">
        <v>121.79</v>
      </c>
      <c r="F2146" s="39" t="s">
        <v>115</v>
      </c>
      <c r="G2146" s="39" t="str">
        <f aca="false">VLOOKUP(C2146,Products!$A$5:$D$24,2,FALSE())</f>
        <v>Noise-Cancelling Headphones</v>
      </c>
      <c r="H2146" s="39" t="str">
        <f aca="false">VLOOKUP(C2146,Products!$A$5:$D$24,3,FALSE())</f>
        <v>Electronics</v>
      </c>
      <c r="I2146" s="41" t="n">
        <f aca="false">VLOOKUP(C2146,Products!$A$5:$D$24,4,FALSE())</f>
        <v>55</v>
      </c>
      <c r="J2146" s="42" t="n">
        <f aca="false">DATE(YEAR(B2146),MONTH(B2146),1)</f>
        <v>45931</v>
      </c>
      <c r="K2146" s="41" t="n">
        <f aca="false">D2146*E2146</f>
        <v>243.58</v>
      </c>
      <c r="L2146" s="41" t="n">
        <f aca="false">D2146*I2146</f>
        <v>110</v>
      </c>
      <c r="M2146" s="41" t="n">
        <f aca="false">IFERROR(INDEX(Raw_Expenses!$C$5:$C$2979,MATCH(A2146,Raw_Expenses!$A$5:$A$2979,0)),0)</f>
        <v>16.56</v>
      </c>
      <c r="N2146" s="41" t="n">
        <f aca="false">L2146+M2146</f>
        <v>126.56</v>
      </c>
      <c r="O2146" s="41" t="n">
        <f aca="false">K2146-N2146</f>
        <v>117.02</v>
      </c>
      <c r="P2146" s="43" t="n">
        <f aca="false">IF(K2146=0,0,O2146/K2146)</f>
        <v>0.480417111421299</v>
      </c>
    </row>
    <row r="2147" customFormat="false" ht="15" hidden="false" customHeight="false" outlineLevel="0" collapsed="false">
      <c r="A2147" s="39" t="s">
        <v>2269</v>
      </c>
      <c r="B2147" s="40" t="n">
        <v>45947</v>
      </c>
      <c r="C2147" s="39" t="s">
        <v>177</v>
      </c>
      <c r="D2147" s="39" t="n">
        <v>1</v>
      </c>
      <c r="E2147" s="41" t="n">
        <v>41.92</v>
      </c>
      <c r="F2147" s="39" t="s">
        <v>108</v>
      </c>
      <c r="G2147" s="39" t="str">
        <f aca="false">VLOOKUP(C2147,Products!$A$5:$D$24,2,FALSE())</f>
        <v>Backpack</v>
      </c>
      <c r="H2147" s="39" t="str">
        <f aca="false">VLOOKUP(C2147,Products!$A$5:$D$24,3,FALSE())</f>
        <v>Accessories</v>
      </c>
      <c r="I2147" s="41" t="n">
        <f aca="false">VLOOKUP(C2147,Products!$A$5:$D$24,4,FALSE())</f>
        <v>17</v>
      </c>
      <c r="J2147" s="42" t="n">
        <f aca="false">DATE(YEAR(B2147),MONTH(B2147),1)</f>
        <v>45931</v>
      </c>
      <c r="K2147" s="41" t="n">
        <f aca="false">D2147*E2147</f>
        <v>41.92</v>
      </c>
      <c r="L2147" s="41" t="n">
        <f aca="false">D2147*I2147</f>
        <v>17</v>
      </c>
      <c r="M2147" s="41" t="n">
        <f aca="false">IFERROR(INDEX(Raw_Expenses!$C$5:$C$2979,MATCH(A2147,Raw_Expenses!$A$5:$A$2979,0)),0)</f>
        <v>1.9</v>
      </c>
      <c r="N2147" s="41" t="n">
        <f aca="false">L2147+M2147</f>
        <v>18.9</v>
      </c>
      <c r="O2147" s="41" t="n">
        <f aca="false">K2147-N2147</f>
        <v>23.02</v>
      </c>
      <c r="P2147" s="43" t="n">
        <f aca="false">IF(K2147=0,0,O2147/K2147)</f>
        <v>0.549141221374046</v>
      </c>
    </row>
    <row r="2148" customFormat="false" ht="15" hidden="false" customHeight="false" outlineLevel="0" collapsed="false">
      <c r="A2148" s="39" t="s">
        <v>2270</v>
      </c>
      <c r="B2148" s="40" t="n">
        <v>45947</v>
      </c>
      <c r="C2148" s="39" t="s">
        <v>153</v>
      </c>
      <c r="D2148" s="39" t="n">
        <v>2</v>
      </c>
      <c r="E2148" s="41" t="n">
        <v>173.23</v>
      </c>
      <c r="F2148" s="39" t="s">
        <v>115</v>
      </c>
      <c r="G2148" s="39" t="str">
        <f aca="false">VLOOKUP(C2148,Products!$A$5:$D$24,2,FALSE())</f>
        <v>24-inch Monitor</v>
      </c>
      <c r="H2148" s="39" t="str">
        <f aca="false">VLOOKUP(C2148,Products!$A$5:$D$24,3,FALSE())</f>
        <v>Electronics</v>
      </c>
      <c r="I2148" s="41" t="n">
        <f aca="false">VLOOKUP(C2148,Products!$A$5:$D$24,4,FALSE())</f>
        <v>90</v>
      </c>
      <c r="J2148" s="42" t="n">
        <f aca="false">DATE(YEAR(B2148),MONTH(B2148),1)</f>
        <v>45931</v>
      </c>
      <c r="K2148" s="41" t="n">
        <f aca="false">D2148*E2148</f>
        <v>346.46</v>
      </c>
      <c r="L2148" s="41" t="n">
        <f aca="false">D2148*I2148</f>
        <v>180</v>
      </c>
      <c r="M2148" s="41" t="n">
        <f aca="false">IFERROR(INDEX(Raw_Expenses!$C$5:$C$2979,MATCH(A2148,Raw_Expenses!$A$5:$A$2979,0)),0)</f>
        <v>22.47</v>
      </c>
      <c r="N2148" s="41" t="n">
        <f aca="false">L2148+M2148</f>
        <v>202.47</v>
      </c>
      <c r="O2148" s="41" t="n">
        <f aca="false">K2148-N2148</f>
        <v>143.99</v>
      </c>
      <c r="P2148" s="43" t="n">
        <f aca="false">IF(K2148=0,0,O2148/K2148)</f>
        <v>0.415603532875368</v>
      </c>
    </row>
    <row r="2149" customFormat="false" ht="15" hidden="false" customHeight="false" outlineLevel="0" collapsed="false">
      <c r="A2149" s="39" t="s">
        <v>2271</v>
      </c>
      <c r="B2149" s="40" t="n">
        <v>45947</v>
      </c>
      <c r="C2149" s="39" t="s">
        <v>107</v>
      </c>
      <c r="D2149" s="39" t="n">
        <v>3</v>
      </c>
      <c r="E2149" s="41" t="n">
        <v>32.53</v>
      </c>
      <c r="F2149" s="39" t="s">
        <v>105</v>
      </c>
      <c r="G2149" s="39" t="str">
        <f aca="false">VLOOKUP(C2149,Products!$A$5:$D$24,2,FALSE())</f>
        <v>USB-C Hub</v>
      </c>
      <c r="H2149" s="39" t="str">
        <f aca="false">VLOOKUP(C2149,Products!$A$5:$D$24,3,FALSE())</f>
        <v>Electronics</v>
      </c>
      <c r="I2149" s="41" t="n">
        <f aca="false">VLOOKUP(C2149,Products!$A$5:$D$24,4,FALSE())</f>
        <v>14</v>
      </c>
      <c r="J2149" s="42" t="n">
        <f aca="false">DATE(YEAR(B2149),MONTH(B2149),1)</f>
        <v>45931</v>
      </c>
      <c r="K2149" s="41" t="n">
        <f aca="false">D2149*E2149</f>
        <v>97.59</v>
      </c>
      <c r="L2149" s="41" t="n">
        <f aca="false">D2149*I2149</f>
        <v>42</v>
      </c>
      <c r="M2149" s="41" t="n">
        <f aca="false">IFERROR(INDEX(Raw_Expenses!$C$5:$C$2979,MATCH(A2149,Raw_Expenses!$A$5:$A$2979,0)),0)</f>
        <v>7.54</v>
      </c>
      <c r="N2149" s="41" t="n">
        <f aca="false">L2149+M2149</f>
        <v>49.54</v>
      </c>
      <c r="O2149" s="41" t="n">
        <f aca="false">K2149-N2149</f>
        <v>48.05</v>
      </c>
      <c r="P2149" s="43" t="n">
        <f aca="false">IF(K2149=0,0,O2149/K2149)</f>
        <v>0.49236602110872</v>
      </c>
    </row>
    <row r="2150" customFormat="false" ht="15" hidden="false" customHeight="false" outlineLevel="0" collapsed="false">
      <c r="A2150" s="39" t="s">
        <v>2272</v>
      </c>
      <c r="B2150" s="40" t="n">
        <v>45948</v>
      </c>
      <c r="C2150" s="39" t="s">
        <v>112</v>
      </c>
      <c r="D2150" s="39" t="n">
        <v>8</v>
      </c>
      <c r="E2150" s="41" t="n">
        <v>52.37</v>
      </c>
      <c r="F2150" s="39" t="s">
        <v>115</v>
      </c>
      <c r="G2150" s="39" t="str">
        <f aca="false">VLOOKUP(C2150,Products!$A$5:$D$24,2,FALSE())</f>
        <v>HD Webcam</v>
      </c>
      <c r="H2150" s="39" t="str">
        <f aca="false">VLOOKUP(C2150,Products!$A$5:$D$24,3,FALSE())</f>
        <v>Electronics</v>
      </c>
      <c r="I2150" s="41" t="n">
        <f aca="false">VLOOKUP(C2150,Products!$A$5:$D$24,4,FALSE())</f>
        <v>22</v>
      </c>
      <c r="J2150" s="42" t="n">
        <f aca="false">DATE(YEAR(B2150),MONTH(B2150),1)</f>
        <v>45931</v>
      </c>
      <c r="K2150" s="41" t="n">
        <f aca="false">D2150*E2150</f>
        <v>418.96</v>
      </c>
      <c r="L2150" s="41" t="n">
        <f aca="false">D2150*I2150</f>
        <v>176</v>
      </c>
      <c r="M2150" s="41" t="n">
        <f aca="false">IFERROR(INDEX(Raw_Expenses!$C$5:$C$2979,MATCH(A2150,Raw_Expenses!$A$5:$A$2979,0)),0)</f>
        <v>30.73</v>
      </c>
      <c r="N2150" s="41" t="n">
        <f aca="false">L2150+M2150</f>
        <v>206.73</v>
      </c>
      <c r="O2150" s="41" t="n">
        <f aca="false">K2150-N2150</f>
        <v>212.23</v>
      </c>
      <c r="P2150" s="43" t="n">
        <f aca="false">IF(K2150=0,0,O2150/K2150)</f>
        <v>0.506563872446057</v>
      </c>
    </row>
    <row r="2151" customFormat="false" ht="15" hidden="false" customHeight="false" outlineLevel="0" collapsed="false">
      <c r="A2151" s="39" t="s">
        <v>2273</v>
      </c>
      <c r="B2151" s="40" t="n">
        <v>45948</v>
      </c>
      <c r="C2151" s="39" t="s">
        <v>162</v>
      </c>
      <c r="D2151" s="39" t="n">
        <v>2</v>
      </c>
      <c r="E2151" s="41" t="n">
        <v>63.76</v>
      </c>
      <c r="F2151" s="39" t="s">
        <v>115</v>
      </c>
      <c r="G2151" s="39" t="str">
        <f aca="false">VLOOKUP(C2151,Products!$A$5:$D$24,2,FALSE())</f>
        <v>Bluetooth Speaker</v>
      </c>
      <c r="H2151" s="39" t="str">
        <f aca="false">VLOOKUP(C2151,Products!$A$5:$D$24,3,FALSE())</f>
        <v>Electronics</v>
      </c>
      <c r="I2151" s="41" t="n">
        <f aca="false">VLOOKUP(C2151,Products!$A$5:$D$24,4,FALSE())</f>
        <v>28</v>
      </c>
      <c r="J2151" s="42" t="n">
        <f aca="false">DATE(YEAR(B2151),MONTH(B2151),1)</f>
        <v>45931</v>
      </c>
      <c r="K2151" s="41" t="n">
        <f aca="false">D2151*E2151</f>
        <v>127.52</v>
      </c>
      <c r="L2151" s="41" t="n">
        <f aca="false">D2151*I2151</f>
        <v>56</v>
      </c>
      <c r="M2151" s="41" t="n">
        <f aca="false">IFERROR(INDEX(Raw_Expenses!$C$5:$C$2979,MATCH(A2151,Raw_Expenses!$A$5:$A$2979,0)),0)</f>
        <v>9.53</v>
      </c>
      <c r="N2151" s="41" t="n">
        <f aca="false">L2151+M2151</f>
        <v>65.53</v>
      </c>
      <c r="O2151" s="41" t="n">
        <f aca="false">K2151-N2151</f>
        <v>61.99</v>
      </c>
      <c r="P2151" s="43" t="n">
        <f aca="false">IF(K2151=0,0,O2151/K2151)</f>
        <v>0.48611982434128</v>
      </c>
    </row>
    <row r="2152" customFormat="false" ht="15" hidden="false" customHeight="false" outlineLevel="0" collapsed="false">
      <c r="A2152" s="39" t="s">
        <v>2274</v>
      </c>
      <c r="B2152" s="40" t="n">
        <v>45948</v>
      </c>
      <c r="C2152" s="39" t="s">
        <v>114</v>
      </c>
      <c r="D2152" s="39" t="n">
        <v>3</v>
      </c>
      <c r="E2152" s="41" t="n">
        <v>5.63</v>
      </c>
      <c r="F2152" s="39" t="s">
        <v>118</v>
      </c>
      <c r="G2152" s="39" t="str">
        <f aca="false">VLOOKUP(C2152,Products!$A$5:$D$24,2,FALSE())</f>
        <v>Gel Pen Pack</v>
      </c>
      <c r="H2152" s="39" t="str">
        <f aca="false">VLOOKUP(C2152,Products!$A$5:$D$24,3,FALSE())</f>
        <v>Stationery</v>
      </c>
      <c r="I2152" s="41" t="n">
        <f aca="false">VLOOKUP(C2152,Products!$A$5:$D$24,4,FALSE())</f>
        <v>2</v>
      </c>
      <c r="J2152" s="42" t="n">
        <f aca="false">DATE(YEAR(B2152),MONTH(B2152),1)</f>
        <v>45931</v>
      </c>
      <c r="K2152" s="41" t="n">
        <f aca="false">D2152*E2152</f>
        <v>16.89</v>
      </c>
      <c r="L2152" s="41" t="n">
        <f aca="false">D2152*I2152</f>
        <v>6</v>
      </c>
      <c r="M2152" s="41" t="n">
        <f aca="false">IFERROR(INDEX(Raw_Expenses!$C$5:$C$2979,MATCH(A2152,Raw_Expenses!$A$5:$A$2979,0)),0)</f>
        <v>0.97</v>
      </c>
      <c r="N2152" s="41" t="n">
        <f aca="false">L2152+M2152</f>
        <v>6.97</v>
      </c>
      <c r="O2152" s="41" t="n">
        <f aca="false">K2152-N2152</f>
        <v>9.92</v>
      </c>
      <c r="P2152" s="43" t="n">
        <f aca="false">IF(K2152=0,0,O2152/K2152)</f>
        <v>0.587329780935465</v>
      </c>
    </row>
    <row r="2153" customFormat="false" ht="15" hidden="false" customHeight="false" outlineLevel="0" collapsed="false">
      <c r="A2153" s="39" t="s">
        <v>2275</v>
      </c>
      <c r="B2153" s="40" t="n">
        <v>45948</v>
      </c>
      <c r="C2153" s="39" t="s">
        <v>144</v>
      </c>
      <c r="D2153" s="39" t="n">
        <v>1</v>
      </c>
      <c r="E2153" s="41" t="n">
        <v>57.33</v>
      </c>
      <c r="F2153" s="39" t="s">
        <v>115</v>
      </c>
      <c r="G2153" s="39" t="str">
        <f aca="false">VLOOKUP(C2153,Products!$A$5:$D$24,2,FALSE())</f>
        <v>Whiteboard</v>
      </c>
      <c r="H2153" s="39" t="str">
        <f aca="false">VLOOKUP(C2153,Products!$A$5:$D$24,3,FALSE())</f>
        <v>Furniture</v>
      </c>
      <c r="I2153" s="41" t="n">
        <f aca="false">VLOOKUP(C2153,Products!$A$5:$D$24,4,FALSE())</f>
        <v>28</v>
      </c>
      <c r="J2153" s="42" t="n">
        <f aca="false">DATE(YEAR(B2153),MONTH(B2153),1)</f>
        <v>45931</v>
      </c>
      <c r="K2153" s="41" t="n">
        <f aca="false">D2153*E2153</f>
        <v>57.33</v>
      </c>
      <c r="L2153" s="41" t="n">
        <f aca="false">D2153*I2153</f>
        <v>28</v>
      </c>
      <c r="M2153" s="41" t="n">
        <f aca="false">IFERROR(INDEX(Raw_Expenses!$C$5:$C$2979,MATCH(A2153,Raw_Expenses!$A$5:$A$2979,0)),0)</f>
        <v>2.46</v>
      </c>
      <c r="N2153" s="41" t="n">
        <f aca="false">L2153+M2153</f>
        <v>30.46</v>
      </c>
      <c r="O2153" s="41" t="n">
        <f aca="false">K2153-N2153</f>
        <v>26.87</v>
      </c>
      <c r="P2153" s="43" t="n">
        <f aca="false">IF(K2153=0,0,O2153/K2153)</f>
        <v>0.468690040118612</v>
      </c>
    </row>
    <row r="2154" customFormat="false" ht="15" hidden="false" customHeight="false" outlineLevel="0" collapsed="false">
      <c r="A2154" s="39" t="s">
        <v>2276</v>
      </c>
      <c r="B2154" s="40" t="n">
        <v>45948</v>
      </c>
      <c r="C2154" s="39" t="s">
        <v>133</v>
      </c>
      <c r="D2154" s="39" t="n">
        <v>1</v>
      </c>
      <c r="E2154" s="41" t="n">
        <v>8.93</v>
      </c>
      <c r="F2154" s="39" t="s">
        <v>118</v>
      </c>
      <c r="G2154" s="39" t="str">
        <f aca="false">VLOOKUP(C2154,Products!$A$5:$D$24,2,FALSE())</f>
        <v>Printer Paper Ream</v>
      </c>
      <c r="H2154" s="39" t="str">
        <f aca="false">VLOOKUP(C2154,Products!$A$5:$D$24,3,FALSE())</f>
        <v>Stationery</v>
      </c>
      <c r="I2154" s="41" t="n">
        <f aca="false">VLOOKUP(C2154,Products!$A$5:$D$24,4,FALSE())</f>
        <v>4</v>
      </c>
      <c r="J2154" s="42" t="n">
        <f aca="false">DATE(YEAR(B2154),MONTH(B2154),1)</f>
        <v>45931</v>
      </c>
      <c r="K2154" s="41" t="n">
        <f aca="false">D2154*E2154</f>
        <v>8.93</v>
      </c>
      <c r="L2154" s="41" t="n">
        <f aca="false">D2154*I2154</f>
        <v>4</v>
      </c>
      <c r="M2154" s="41" t="n">
        <f aca="false">IFERROR(INDEX(Raw_Expenses!$C$5:$C$2979,MATCH(A2154,Raw_Expenses!$A$5:$A$2979,0)),0)</f>
        <v>0.73</v>
      </c>
      <c r="N2154" s="41" t="n">
        <f aca="false">L2154+M2154</f>
        <v>4.73</v>
      </c>
      <c r="O2154" s="41" t="n">
        <f aca="false">K2154-N2154</f>
        <v>4.2</v>
      </c>
      <c r="P2154" s="43" t="n">
        <f aca="false">IF(K2154=0,0,O2154/K2154)</f>
        <v>0.470324748040314</v>
      </c>
    </row>
    <row r="2155" customFormat="false" ht="15" hidden="false" customHeight="false" outlineLevel="0" collapsed="false">
      <c r="A2155" s="39" t="s">
        <v>2277</v>
      </c>
      <c r="B2155" s="40" t="n">
        <v>45948</v>
      </c>
      <c r="C2155" s="39" t="s">
        <v>114</v>
      </c>
      <c r="D2155" s="39" t="n">
        <v>4</v>
      </c>
      <c r="E2155" s="41" t="n">
        <v>5.86</v>
      </c>
      <c r="F2155" s="39" t="s">
        <v>105</v>
      </c>
      <c r="G2155" s="39" t="str">
        <f aca="false">VLOOKUP(C2155,Products!$A$5:$D$24,2,FALSE())</f>
        <v>Gel Pen Pack</v>
      </c>
      <c r="H2155" s="39" t="str">
        <f aca="false">VLOOKUP(C2155,Products!$A$5:$D$24,3,FALSE())</f>
        <v>Stationery</v>
      </c>
      <c r="I2155" s="41" t="n">
        <f aca="false">VLOOKUP(C2155,Products!$A$5:$D$24,4,FALSE())</f>
        <v>2</v>
      </c>
      <c r="J2155" s="42" t="n">
        <f aca="false">DATE(YEAR(B2155),MONTH(B2155),1)</f>
        <v>45931</v>
      </c>
      <c r="K2155" s="41" t="n">
        <f aca="false">D2155*E2155</f>
        <v>23.44</v>
      </c>
      <c r="L2155" s="41" t="n">
        <f aca="false">D2155*I2155</f>
        <v>8</v>
      </c>
      <c r="M2155" s="41" t="n">
        <f aca="false">IFERROR(INDEX(Raw_Expenses!$C$5:$C$2979,MATCH(A2155,Raw_Expenses!$A$5:$A$2979,0)),0)</f>
        <v>1.8</v>
      </c>
      <c r="N2155" s="41" t="n">
        <f aca="false">L2155+M2155</f>
        <v>9.8</v>
      </c>
      <c r="O2155" s="41" t="n">
        <f aca="false">K2155-N2155</f>
        <v>13.64</v>
      </c>
      <c r="P2155" s="43" t="n">
        <f aca="false">IF(K2155=0,0,O2155/K2155)</f>
        <v>0.581911262798635</v>
      </c>
    </row>
    <row r="2156" customFormat="false" ht="15" hidden="false" customHeight="false" outlineLevel="0" collapsed="false">
      <c r="A2156" s="39" t="s">
        <v>2278</v>
      </c>
      <c r="B2156" s="40" t="n">
        <v>45948</v>
      </c>
      <c r="C2156" s="39" t="s">
        <v>177</v>
      </c>
      <c r="D2156" s="39" t="n">
        <v>1</v>
      </c>
      <c r="E2156" s="41" t="n">
        <v>43.04</v>
      </c>
      <c r="F2156" s="39" t="s">
        <v>108</v>
      </c>
      <c r="G2156" s="39" t="str">
        <f aca="false">VLOOKUP(C2156,Products!$A$5:$D$24,2,FALSE())</f>
        <v>Backpack</v>
      </c>
      <c r="H2156" s="39" t="str">
        <f aca="false">VLOOKUP(C2156,Products!$A$5:$D$24,3,FALSE())</f>
        <v>Accessories</v>
      </c>
      <c r="I2156" s="41" t="n">
        <f aca="false">VLOOKUP(C2156,Products!$A$5:$D$24,4,FALSE())</f>
        <v>17</v>
      </c>
      <c r="J2156" s="42" t="n">
        <f aca="false">DATE(YEAR(B2156),MONTH(B2156),1)</f>
        <v>45931</v>
      </c>
      <c r="K2156" s="41" t="n">
        <f aca="false">D2156*E2156</f>
        <v>43.04</v>
      </c>
      <c r="L2156" s="41" t="n">
        <f aca="false">D2156*I2156</f>
        <v>17</v>
      </c>
      <c r="M2156" s="41" t="n">
        <f aca="false">IFERROR(INDEX(Raw_Expenses!$C$5:$C$2979,MATCH(A2156,Raw_Expenses!$A$5:$A$2979,0)),0)</f>
        <v>2.43</v>
      </c>
      <c r="N2156" s="41" t="n">
        <f aca="false">L2156+M2156</f>
        <v>19.43</v>
      </c>
      <c r="O2156" s="41" t="n">
        <f aca="false">K2156-N2156</f>
        <v>23.61</v>
      </c>
      <c r="P2156" s="43" t="n">
        <f aca="false">IF(K2156=0,0,O2156/K2156)</f>
        <v>0.548559479553903</v>
      </c>
    </row>
    <row r="2157" customFormat="false" ht="15" hidden="false" customHeight="false" outlineLevel="0" collapsed="false">
      <c r="A2157" s="39" t="s">
        <v>2279</v>
      </c>
      <c r="B2157" s="40" t="n">
        <v>45948</v>
      </c>
      <c r="C2157" s="39" t="s">
        <v>153</v>
      </c>
      <c r="D2157" s="39" t="n">
        <v>3</v>
      </c>
      <c r="E2157" s="41" t="n">
        <v>176.9</v>
      </c>
      <c r="F2157" s="39" t="s">
        <v>108</v>
      </c>
      <c r="G2157" s="39" t="str">
        <f aca="false">VLOOKUP(C2157,Products!$A$5:$D$24,2,FALSE())</f>
        <v>24-inch Monitor</v>
      </c>
      <c r="H2157" s="39" t="str">
        <f aca="false">VLOOKUP(C2157,Products!$A$5:$D$24,3,FALSE())</f>
        <v>Electronics</v>
      </c>
      <c r="I2157" s="41" t="n">
        <f aca="false">VLOOKUP(C2157,Products!$A$5:$D$24,4,FALSE())</f>
        <v>90</v>
      </c>
      <c r="J2157" s="42" t="n">
        <f aca="false">DATE(YEAR(B2157),MONTH(B2157),1)</f>
        <v>45931</v>
      </c>
      <c r="K2157" s="41" t="n">
        <f aca="false">D2157*E2157</f>
        <v>530.7</v>
      </c>
      <c r="L2157" s="41" t="n">
        <f aca="false">D2157*I2157</f>
        <v>270</v>
      </c>
      <c r="M2157" s="41" t="n">
        <f aca="false">IFERROR(INDEX(Raw_Expenses!$C$5:$C$2979,MATCH(A2157,Raw_Expenses!$A$5:$A$2979,0)),0)</f>
        <v>29.74</v>
      </c>
      <c r="N2157" s="41" t="n">
        <f aca="false">L2157+M2157</f>
        <v>299.74</v>
      </c>
      <c r="O2157" s="41" t="n">
        <f aca="false">K2157-N2157</f>
        <v>230.96</v>
      </c>
      <c r="P2157" s="43" t="n">
        <f aca="false">IF(K2157=0,0,O2157/K2157)</f>
        <v>0.4351987940456</v>
      </c>
    </row>
    <row r="2158" customFormat="false" ht="15" hidden="false" customHeight="false" outlineLevel="0" collapsed="false">
      <c r="A2158" s="39" t="s">
        <v>2280</v>
      </c>
      <c r="B2158" s="40" t="n">
        <v>45948</v>
      </c>
      <c r="C2158" s="39" t="s">
        <v>104</v>
      </c>
      <c r="D2158" s="39" t="n">
        <v>2</v>
      </c>
      <c r="E2158" s="41" t="n">
        <v>15.56</v>
      </c>
      <c r="F2158" s="39" t="s">
        <v>108</v>
      </c>
      <c r="G2158" s="39" t="str">
        <f aca="false">VLOOKUP(C2158,Products!$A$5:$D$24,2,FALSE())</f>
        <v>Water Bottle</v>
      </c>
      <c r="H2158" s="39" t="str">
        <f aca="false">VLOOKUP(C2158,Products!$A$5:$D$24,3,FALSE())</f>
        <v>Accessories</v>
      </c>
      <c r="I2158" s="41" t="n">
        <f aca="false">VLOOKUP(C2158,Products!$A$5:$D$24,4,FALSE())</f>
        <v>5</v>
      </c>
      <c r="J2158" s="42" t="n">
        <f aca="false">DATE(YEAR(B2158),MONTH(B2158),1)</f>
        <v>45931</v>
      </c>
      <c r="K2158" s="41" t="n">
        <f aca="false">D2158*E2158</f>
        <v>31.12</v>
      </c>
      <c r="L2158" s="41" t="n">
        <f aca="false">D2158*I2158</f>
        <v>10</v>
      </c>
      <c r="M2158" s="41" t="n">
        <f aca="false">IFERROR(INDEX(Raw_Expenses!$C$5:$C$2979,MATCH(A2158,Raw_Expenses!$A$5:$A$2979,0)),0)</f>
        <v>1.65</v>
      </c>
      <c r="N2158" s="41" t="n">
        <f aca="false">L2158+M2158</f>
        <v>11.65</v>
      </c>
      <c r="O2158" s="41" t="n">
        <f aca="false">K2158-N2158</f>
        <v>19.47</v>
      </c>
      <c r="P2158" s="43" t="n">
        <f aca="false">IF(K2158=0,0,O2158/K2158)</f>
        <v>0.625642673521851</v>
      </c>
    </row>
    <row r="2159" customFormat="false" ht="15" hidden="false" customHeight="false" outlineLevel="0" collapsed="false">
      <c r="A2159" s="39" t="s">
        <v>2281</v>
      </c>
      <c r="B2159" s="40" t="n">
        <v>45948</v>
      </c>
      <c r="C2159" s="39" t="s">
        <v>107</v>
      </c>
      <c r="D2159" s="39" t="n">
        <v>1</v>
      </c>
      <c r="E2159" s="41" t="n">
        <v>34.98</v>
      </c>
      <c r="F2159" s="39" t="s">
        <v>108</v>
      </c>
      <c r="G2159" s="39" t="str">
        <f aca="false">VLOOKUP(C2159,Products!$A$5:$D$24,2,FALSE())</f>
        <v>USB-C Hub</v>
      </c>
      <c r="H2159" s="39" t="str">
        <f aca="false">VLOOKUP(C2159,Products!$A$5:$D$24,3,FALSE())</f>
        <v>Electronics</v>
      </c>
      <c r="I2159" s="41" t="n">
        <f aca="false">VLOOKUP(C2159,Products!$A$5:$D$24,4,FALSE())</f>
        <v>14</v>
      </c>
      <c r="J2159" s="42" t="n">
        <f aca="false">DATE(YEAR(B2159),MONTH(B2159),1)</f>
        <v>45931</v>
      </c>
      <c r="K2159" s="41" t="n">
        <f aca="false">D2159*E2159</f>
        <v>34.98</v>
      </c>
      <c r="L2159" s="41" t="n">
        <f aca="false">D2159*I2159</f>
        <v>14</v>
      </c>
      <c r="M2159" s="41" t="n">
        <f aca="false">IFERROR(INDEX(Raw_Expenses!$C$5:$C$2979,MATCH(A2159,Raw_Expenses!$A$5:$A$2979,0)),0)</f>
        <v>2.59</v>
      </c>
      <c r="N2159" s="41" t="n">
        <f aca="false">L2159+M2159</f>
        <v>16.59</v>
      </c>
      <c r="O2159" s="41" t="n">
        <f aca="false">K2159-N2159</f>
        <v>18.39</v>
      </c>
      <c r="P2159" s="43" t="n">
        <f aca="false">IF(K2159=0,0,O2159/K2159)</f>
        <v>0.525728987993139</v>
      </c>
    </row>
    <row r="2160" customFormat="false" ht="15" hidden="false" customHeight="false" outlineLevel="0" collapsed="false">
      <c r="A2160" s="39" t="s">
        <v>2282</v>
      </c>
      <c r="B2160" s="40" t="n">
        <v>45948</v>
      </c>
      <c r="C2160" s="39" t="s">
        <v>110</v>
      </c>
      <c r="D2160" s="39" t="n">
        <v>2</v>
      </c>
      <c r="E2160" s="41" t="n">
        <v>13.37</v>
      </c>
      <c r="F2160" s="39" t="s">
        <v>115</v>
      </c>
      <c r="G2160" s="39" t="str">
        <f aca="false">VLOOKUP(C2160,Products!$A$5:$D$24,2,FALSE())</f>
        <v>Phone Stand</v>
      </c>
      <c r="H2160" s="39" t="str">
        <f aca="false">VLOOKUP(C2160,Products!$A$5:$D$24,3,FALSE())</f>
        <v>Accessories</v>
      </c>
      <c r="I2160" s="41" t="n">
        <f aca="false">VLOOKUP(C2160,Products!$A$5:$D$24,4,FALSE())</f>
        <v>4</v>
      </c>
      <c r="J2160" s="42" t="n">
        <f aca="false">DATE(YEAR(B2160),MONTH(B2160),1)</f>
        <v>45931</v>
      </c>
      <c r="K2160" s="41" t="n">
        <f aca="false">D2160*E2160</f>
        <v>26.74</v>
      </c>
      <c r="L2160" s="41" t="n">
        <f aca="false">D2160*I2160</f>
        <v>8</v>
      </c>
      <c r="M2160" s="41" t="n">
        <f aca="false">IFERROR(INDEX(Raw_Expenses!$C$5:$C$2979,MATCH(A2160,Raw_Expenses!$A$5:$A$2979,0)),0)</f>
        <v>1.28</v>
      </c>
      <c r="N2160" s="41" t="n">
        <f aca="false">L2160+M2160</f>
        <v>9.28</v>
      </c>
      <c r="O2160" s="41" t="n">
        <f aca="false">K2160-N2160</f>
        <v>17.46</v>
      </c>
      <c r="P2160" s="43" t="n">
        <f aca="false">IF(K2160=0,0,O2160/K2160)</f>
        <v>0.652954375467465</v>
      </c>
    </row>
    <row r="2161" customFormat="false" ht="15" hidden="false" customHeight="false" outlineLevel="0" collapsed="false">
      <c r="A2161" s="39" t="s">
        <v>2283</v>
      </c>
      <c r="B2161" s="40" t="n">
        <v>45948</v>
      </c>
      <c r="C2161" s="39" t="s">
        <v>107</v>
      </c>
      <c r="D2161" s="39" t="n">
        <v>8</v>
      </c>
      <c r="E2161" s="41" t="n">
        <v>33.2</v>
      </c>
      <c r="F2161" s="39" t="s">
        <v>108</v>
      </c>
      <c r="G2161" s="39" t="str">
        <f aca="false">VLOOKUP(C2161,Products!$A$5:$D$24,2,FALSE())</f>
        <v>USB-C Hub</v>
      </c>
      <c r="H2161" s="39" t="str">
        <f aca="false">VLOOKUP(C2161,Products!$A$5:$D$24,3,FALSE())</f>
        <v>Electronics</v>
      </c>
      <c r="I2161" s="41" t="n">
        <f aca="false">VLOOKUP(C2161,Products!$A$5:$D$24,4,FALSE())</f>
        <v>14</v>
      </c>
      <c r="J2161" s="42" t="n">
        <f aca="false">DATE(YEAR(B2161),MONTH(B2161),1)</f>
        <v>45931</v>
      </c>
      <c r="K2161" s="41" t="n">
        <f aca="false">D2161*E2161</f>
        <v>265.6</v>
      </c>
      <c r="L2161" s="41" t="n">
        <f aca="false">D2161*I2161</f>
        <v>112</v>
      </c>
      <c r="M2161" s="41" t="n">
        <f aca="false">IFERROR(INDEX(Raw_Expenses!$C$5:$C$2979,MATCH(A2161,Raw_Expenses!$A$5:$A$2979,0)),0)</f>
        <v>15.34</v>
      </c>
      <c r="N2161" s="41" t="n">
        <f aca="false">L2161+M2161</f>
        <v>127.34</v>
      </c>
      <c r="O2161" s="41" t="n">
        <f aca="false">K2161-N2161</f>
        <v>138.26</v>
      </c>
      <c r="P2161" s="43" t="n">
        <f aca="false">IF(K2161=0,0,O2161/K2161)</f>
        <v>0.520557228915663</v>
      </c>
    </row>
    <row r="2162" customFormat="false" ht="15" hidden="false" customHeight="false" outlineLevel="0" collapsed="false">
      <c r="A2162" s="39" t="s">
        <v>2284</v>
      </c>
      <c r="B2162" s="40" t="n">
        <v>45948</v>
      </c>
      <c r="C2162" s="39" t="s">
        <v>305</v>
      </c>
      <c r="D2162" s="39" t="n">
        <v>1</v>
      </c>
      <c r="E2162" s="41" t="n">
        <v>347.3</v>
      </c>
      <c r="F2162" s="39" t="s">
        <v>105</v>
      </c>
      <c r="G2162" s="39" t="str">
        <f aca="false">VLOOKUP(C2162,Products!$A$5:$D$24,2,FALSE())</f>
        <v>Standing Desk</v>
      </c>
      <c r="H2162" s="39" t="str">
        <f aca="false">VLOOKUP(C2162,Products!$A$5:$D$24,3,FALSE())</f>
        <v>Furniture</v>
      </c>
      <c r="I2162" s="41" t="n">
        <f aca="false">VLOOKUP(C2162,Products!$A$5:$D$24,4,FALSE())</f>
        <v>160</v>
      </c>
      <c r="J2162" s="42" t="n">
        <f aca="false">DATE(YEAR(B2162),MONTH(B2162),1)</f>
        <v>45931</v>
      </c>
      <c r="K2162" s="41" t="n">
        <f aca="false">D2162*E2162</f>
        <v>347.3</v>
      </c>
      <c r="L2162" s="41" t="n">
        <f aca="false">D2162*I2162</f>
        <v>160</v>
      </c>
      <c r="M2162" s="41" t="n">
        <f aca="false">IFERROR(INDEX(Raw_Expenses!$C$5:$C$2979,MATCH(A2162,Raw_Expenses!$A$5:$A$2979,0)),0)</f>
        <v>21.49</v>
      </c>
      <c r="N2162" s="41" t="n">
        <f aca="false">L2162+M2162</f>
        <v>181.49</v>
      </c>
      <c r="O2162" s="41" t="n">
        <f aca="false">K2162-N2162</f>
        <v>165.81</v>
      </c>
      <c r="P2162" s="43" t="n">
        <f aca="false">IF(K2162=0,0,O2162/K2162)</f>
        <v>0.47742585660812</v>
      </c>
    </row>
    <row r="2163" customFormat="false" ht="15" hidden="false" customHeight="false" outlineLevel="0" collapsed="false">
      <c r="A2163" s="39" t="s">
        <v>2285</v>
      </c>
      <c r="B2163" s="40" t="n">
        <v>45949</v>
      </c>
      <c r="C2163" s="39" t="s">
        <v>128</v>
      </c>
      <c r="D2163" s="39" t="n">
        <v>2</v>
      </c>
      <c r="E2163" s="41" t="n">
        <v>38.56</v>
      </c>
      <c r="F2163" s="39" t="s">
        <v>115</v>
      </c>
      <c r="G2163" s="39" t="str">
        <f aca="false">VLOOKUP(C2163,Products!$A$5:$D$24,2,FALSE())</f>
        <v>Ergonomic Footrest</v>
      </c>
      <c r="H2163" s="39" t="str">
        <f aca="false">VLOOKUP(C2163,Products!$A$5:$D$24,3,FALSE())</f>
        <v>Furniture</v>
      </c>
      <c r="I2163" s="41" t="n">
        <f aca="false">VLOOKUP(C2163,Products!$A$5:$D$24,4,FALSE())</f>
        <v>15</v>
      </c>
      <c r="J2163" s="42" t="n">
        <f aca="false">DATE(YEAR(B2163),MONTH(B2163),1)</f>
        <v>45931</v>
      </c>
      <c r="K2163" s="41" t="n">
        <f aca="false">D2163*E2163</f>
        <v>77.12</v>
      </c>
      <c r="L2163" s="41" t="n">
        <f aca="false">D2163*I2163</f>
        <v>30</v>
      </c>
      <c r="M2163" s="41" t="n">
        <f aca="false">IFERROR(INDEX(Raw_Expenses!$C$5:$C$2979,MATCH(A2163,Raw_Expenses!$A$5:$A$2979,0)),0)</f>
        <v>4.44</v>
      </c>
      <c r="N2163" s="41" t="n">
        <f aca="false">L2163+M2163</f>
        <v>34.44</v>
      </c>
      <c r="O2163" s="41" t="n">
        <f aca="false">K2163-N2163</f>
        <v>42.68</v>
      </c>
      <c r="P2163" s="43" t="n">
        <f aca="false">IF(K2163=0,0,O2163/K2163)</f>
        <v>0.553423236514523</v>
      </c>
    </row>
    <row r="2164" customFormat="false" ht="15" hidden="false" customHeight="false" outlineLevel="0" collapsed="false">
      <c r="A2164" s="39" t="s">
        <v>2286</v>
      </c>
      <c r="B2164" s="40" t="n">
        <v>45949</v>
      </c>
      <c r="C2164" s="39" t="s">
        <v>136</v>
      </c>
      <c r="D2164" s="39" t="n">
        <v>4</v>
      </c>
      <c r="E2164" s="41" t="n">
        <v>76.88</v>
      </c>
      <c r="F2164" s="39" t="s">
        <v>118</v>
      </c>
      <c r="G2164" s="39" t="str">
        <f aca="false">VLOOKUP(C2164,Products!$A$5:$D$24,2,FALSE())</f>
        <v>Mechanical Keyboard</v>
      </c>
      <c r="H2164" s="39" t="str">
        <f aca="false">VLOOKUP(C2164,Products!$A$5:$D$24,3,FALSE())</f>
        <v>Electronics</v>
      </c>
      <c r="I2164" s="41" t="n">
        <f aca="false">VLOOKUP(C2164,Products!$A$5:$D$24,4,FALSE())</f>
        <v>38</v>
      </c>
      <c r="J2164" s="42" t="n">
        <f aca="false">DATE(YEAR(B2164),MONTH(B2164),1)</f>
        <v>45931</v>
      </c>
      <c r="K2164" s="41" t="n">
        <f aca="false">D2164*E2164</f>
        <v>307.52</v>
      </c>
      <c r="L2164" s="41" t="n">
        <f aca="false">D2164*I2164</f>
        <v>152</v>
      </c>
      <c r="M2164" s="41" t="n">
        <f aca="false">IFERROR(INDEX(Raw_Expenses!$C$5:$C$2979,MATCH(A2164,Raw_Expenses!$A$5:$A$2979,0)),0)</f>
        <v>22.85</v>
      </c>
      <c r="N2164" s="41" t="n">
        <f aca="false">L2164+M2164</f>
        <v>174.85</v>
      </c>
      <c r="O2164" s="41" t="n">
        <f aca="false">K2164-N2164</f>
        <v>132.67</v>
      </c>
      <c r="P2164" s="43" t="n">
        <f aca="false">IF(K2164=0,0,O2164/K2164)</f>
        <v>0.431419094693028</v>
      </c>
    </row>
    <row r="2165" customFormat="false" ht="15" hidden="false" customHeight="false" outlineLevel="0" collapsed="false">
      <c r="A2165" s="39" t="s">
        <v>2287</v>
      </c>
      <c r="B2165" s="40" t="n">
        <v>45949</v>
      </c>
      <c r="C2165" s="39" t="s">
        <v>169</v>
      </c>
      <c r="D2165" s="39" t="n">
        <v>3</v>
      </c>
      <c r="E2165" s="41" t="n">
        <v>28.68</v>
      </c>
      <c r="F2165" s="39" t="s">
        <v>118</v>
      </c>
      <c r="G2165" s="39" t="str">
        <f aca="false">VLOOKUP(C2165,Products!$A$5:$D$24,2,FALSE())</f>
        <v>Laptop Stand</v>
      </c>
      <c r="H2165" s="39" t="str">
        <f aca="false">VLOOKUP(C2165,Products!$A$5:$D$24,3,FALSE())</f>
        <v>Accessories</v>
      </c>
      <c r="I2165" s="41" t="n">
        <f aca="false">VLOOKUP(C2165,Products!$A$5:$D$24,4,FALSE())</f>
        <v>11</v>
      </c>
      <c r="J2165" s="42" t="n">
        <f aca="false">DATE(YEAR(B2165),MONTH(B2165),1)</f>
        <v>45931</v>
      </c>
      <c r="K2165" s="41" t="n">
        <f aca="false">D2165*E2165</f>
        <v>86.04</v>
      </c>
      <c r="L2165" s="41" t="n">
        <f aca="false">D2165*I2165</f>
        <v>33</v>
      </c>
      <c r="M2165" s="41" t="n">
        <f aca="false">IFERROR(INDEX(Raw_Expenses!$C$5:$C$2979,MATCH(A2165,Raw_Expenses!$A$5:$A$2979,0)),0)</f>
        <v>4.25</v>
      </c>
      <c r="N2165" s="41" t="n">
        <f aca="false">L2165+M2165</f>
        <v>37.25</v>
      </c>
      <c r="O2165" s="41" t="n">
        <f aca="false">K2165-N2165</f>
        <v>48.79</v>
      </c>
      <c r="P2165" s="43" t="n">
        <f aca="false">IF(K2165=0,0,O2165/K2165)</f>
        <v>0.567061831706183</v>
      </c>
    </row>
    <row r="2166" customFormat="false" ht="15" hidden="false" customHeight="false" outlineLevel="0" collapsed="false">
      <c r="A2166" s="39" t="s">
        <v>2288</v>
      </c>
      <c r="B2166" s="40" t="n">
        <v>45949</v>
      </c>
      <c r="C2166" s="39" t="s">
        <v>130</v>
      </c>
      <c r="D2166" s="39" t="n">
        <v>3</v>
      </c>
      <c r="E2166" s="41" t="n">
        <v>8.72</v>
      </c>
      <c r="F2166" s="39" t="s">
        <v>105</v>
      </c>
      <c r="G2166" s="39" t="str">
        <f aca="false">VLOOKUP(C2166,Products!$A$5:$D$24,2,FALSE())</f>
        <v>Notebook Set</v>
      </c>
      <c r="H2166" s="39" t="str">
        <f aca="false">VLOOKUP(C2166,Products!$A$5:$D$24,3,FALSE())</f>
        <v>Stationery</v>
      </c>
      <c r="I2166" s="41" t="n">
        <f aca="false">VLOOKUP(C2166,Products!$A$5:$D$24,4,FALSE())</f>
        <v>3</v>
      </c>
      <c r="J2166" s="42" t="n">
        <f aca="false">DATE(YEAR(B2166),MONTH(B2166),1)</f>
        <v>45931</v>
      </c>
      <c r="K2166" s="41" t="n">
        <f aca="false">D2166*E2166</f>
        <v>26.16</v>
      </c>
      <c r="L2166" s="41" t="n">
        <f aca="false">D2166*I2166</f>
        <v>9</v>
      </c>
      <c r="M2166" s="41" t="n">
        <f aca="false">IFERROR(INDEX(Raw_Expenses!$C$5:$C$2979,MATCH(A2166,Raw_Expenses!$A$5:$A$2979,0)),0)</f>
        <v>2.33</v>
      </c>
      <c r="N2166" s="41" t="n">
        <f aca="false">L2166+M2166</f>
        <v>11.33</v>
      </c>
      <c r="O2166" s="41" t="n">
        <f aca="false">K2166-N2166</f>
        <v>14.83</v>
      </c>
      <c r="P2166" s="43" t="n">
        <f aca="false">IF(K2166=0,0,O2166/K2166)</f>
        <v>0.566896024464832</v>
      </c>
    </row>
    <row r="2167" customFormat="false" ht="15" hidden="false" customHeight="false" outlineLevel="0" collapsed="false">
      <c r="A2167" s="39" t="s">
        <v>2289</v>
      </c>
      <c r="B2167" s="40" t="n">
        <v>45949</v>
      </c>
      <c r="C2167" s="39" t="s">
        <v>133</v>
      </c>
      <c r="D2167" s="39" t="n">
        <v>4</v>
      </c>
      <c r="E2167" s="41" t="n">
        <v>8.38</v>
      </c>
      <c r="F2167" s="39" t="s">
        <v>105</v>
      </c>
      <c r="G2167" s="39" t="str">
        <f aca="false">VLOOKUP(C2167,Products!$A$5:$D$24,2,FALSE())</f>
        <v>Printer Paper Ream</v>
      </c>
      <c r="H2167" s="39" t="str">
        <f aca="false">VLOOKUP(C2167,Products!$A$5:$D$24,3,FALSE())</f>
        <v>Stationery</v>
      </c>
      <c r="I2167" s="41" t="n">
        <f aca="false">VLOOKUP(C2167,Products!$A$5:$D$24,4,FALSE())</f>
        <v>4</v>
      </c>
      <c r="J2167" s="42" t="n">
        <f aca="false">DATE(YEAR(B2167),MONTH(B2167),1)</f>
        <v>45931</v>
      </c>
      <c r="K2167" s="41" t="n">
        <f aca="false">D2167*E2167</f>
        <v>33.52</v>
      </c>
      <c r="L2167" s="41" t="n">
        <f aca="false">D2167*I2167</f>
        <v>16</v>
      </c>
      <c r="M2167" s="41" t="n">
        <f aca="false">IFERROR(INDEX(Raw_Expenses!$C$5:$C$2979,MATCH(A2167,Raw_Expenses!$A$5:$A$2979,0)),0)</f>
        <v>2.58</v>
      </c>
      <c r="N2167" s="41" t="n">
        <f aca="false">L2167+M2167</f>
        <v>18.58</v>
      </c>
      <c r="O2167" s="41" t="n">
        <f aca="false">K2167-N2167</f>
        <v>14.94</v>
      </c>
      <c r="P2167" s="43" t="n">
        <f aca="false">IF(K2167=0,0,O2167/K2167)</f>
        <v>0.445704057279236</v>
      </c>
    </row>
    <row r="2168" customFormat="false" ht="15" hidden="false" customHeight="false" outlineLevel="0" collapsed="false">
      <c r="A2168" s="39" t="s">
        <v>2290</v>
      </c>
      <c r="B2168" s="40" t="n">
        <v>45949</v>
      </c>
      <c r="C2168" s="39" t="s">
        <v>107</v>
      </c>
      <c r="D2168" s="39" t="n">
        <v>1</v>
      </c>
      <c r="E2168" s="41" t="n">
        <v>32.96</v>
      </c>
      <c r="F2168" s="39" t="s">
        <v>105</v>
      </c>
      <c r="G2168" s="39" t="str">
        <f aca="false">VLOOKUP(C2168,Products!$A$5:$D$24,2,FALSE())</f>
        <v>USB-C Hub</v>
      </c>
      <c r="H2168" s="39" t="str">
        <f aca="false">VLOOKUP(C2168,Products!$A$5:$D$24,3,FALSE())</f>
        <v>Electronics</v>
      </c>
      <c r="I2168" s="41" t="n">
        <f aca="false">VLOOKUP(C2168,Products!$A$5:$D$24,4,FALSE())</f>
        <v>14</v>
      </c>
      <c r="J2168" s="42" t="n">
        <f aca="false">DATE(YEAR(B2168),MONTH(B2168),1)</f>
        <v>45931</v>
      </c>
      <c r="K2168" s="41" t="n">
        <f aca="false">D2168*E2168</f>
        <v>32.96</v>
      </c>
      <c r="L2168" s="41" t="n">
        <f aca="false">D2168*I2168</f>
        <v>14</v>
      </c>
      <c r="M2168" s="41" t="n">
        <f aca="false">IFERROR(INDEX(Raw_Expenses!$C$5:$C$2979,MATCH(A2168,Raw_Expenses!$A$5:$A$2979,0)),0)</f>
        <v>2.94</v>
      </c>
      <c r="N2168" s="41" t="n">
        <f aca="false">L2168+M2168</f>
        <v>16.94</v>
      </c>
      <c r="O2168" s="41" t="n">
        <f aca="false">K2168-N2168</f>
        <v>16.02</v>
      </c>
      <c r="P2168" s="43" t="n">
        <f aca="false">IF(K2168=0,0,O2168/K2168)</f>
        <v>0.486043689320388</v>
      </c>
    </row>
    <row r="2169" customFormat="false" ht="15" hidden="false" customHeight="false" outlineLevel="0" collapsed="false">
      <c r="A2169" s="39" t="s">
        <v>2291</v>
      </c>
      <c r="B2169" s="40" t="n">
        <v>45949</v>
      </c>
      <c r="C2169" s="39" t="s">
        <v>114</v>
      </c>
      <c r="D2169" s="39" t="n">
        <v>1</v>
      </c>
      <c r="E2169" s="41" t="n">
        <v>5.6</v>
      </c>
      <c r="F2169" s="39" t="s">
        <v>115</v>
      </c>
      <c r="G2169" s="39" t="str">
        <f aca="false">VLOOKUP(C2169,Products!$A$5:$D$24,2,FALSE())</f>
        <v>Gel Pen Pack</v>
      </c>
      <c r="H2169" s="39" t="str">
        <f aca="false">VLOOKUP(C2169,Products!$A$5:$D$24,3,FALSE())</f>
        <v>Stationery</v>
      </c>
      <c r="I2169" s="41" t="n">
        <f aca="false">VLOOKUP(C2169,Products!$A$5:$D$24,4,FALSE())</f>
        <v>2</v>
      </c>
      <c r="J2169" s="42" t="n">
        <f aca="false">DATE(YEAR(B2169),MONTH(B2169),1)</f>
        <v>45931</v>
      </c>
      <c r="K2169" s="41" t="n">
        <f aca="false">D2169*E2169</f>
        <v>5.6</v>
      </c>
      <c r="L2169" s="41" t="n">
        <f aca="false">D2169*I2169</f>
        <v>2</v>
      </c>
      <c r="M2169" s="41" t="n">
        <f aca="false">IFERROR(INDEX(Raw_Expenses!$C$5:$C$2979,MATCH(A2169,Raw_Expenses!$A$5:$A$2979,0)),0)</f>
        <v>0.41</v>
      </c>
      <c r="N2169" s="41" t="n">
        <f aca="false">L2169+M2169</f>
        <v>2.41</v>
      </c>
      <c r="O2169" s="41" t="n">
        <f aca="false">K2169-N2169</f>
        <v>3.19</v>
      </c>
      <c r="P2169" s="43" t="n">
        <f aca="false">IF(K2169=0,0,O2169/K2169)</f>
        <v>0.569642857142857</v>
      </c>
    </row>
    <row r="2170" customFormat="false" ht="15" hidden="false" customHeight="false" outlineLevel="0" collapsed="false">
      <c r="A2170" s="39" t="s">
        <v>2292</v>
      </c>
      <c r="B2170" s="40" t="n">
        <v>45949</v>
      </c>
      <c r="C2170" s="39" t="s">
        <v>104</v>
      </c>
      <c r="D2170" s="39" t="n">
        <v>3</v>
      </c>
      <c r="E2170" s="41" t="n">
        <v>15.74</v>
      </c>
      <c r="F2170" s="39" t="s">
        <v>115</v>
      </c>
      <c r="G2170" s="39" t="str">
        <f aca="false">VLOOKUP(C2170,Products!$A$5:$D$24,2,FALSE())</f>
        <v>Water Bottle</v>
      </c>
      <c r="H2170" s="39" t="str">
        <f aca="false">VLOOKUP(C2170,Products!$A$5:$D$24,3,FALSE())</f>
        <v>Accessories</v>
      </c>
      <c r="I2170" s="41" t="n">
        <f aca="false">VLOOKUP(C2170,Products!$A$5:$D$24,4,FALSE())</f>
        <v>5</v>
      </c>
      <c r="J2170" s="42" t="n">
        <f aca="false">DATE(YEAR(B2170),MONTH(B2170),1)</f>
        <v>45931</v>
      </c>
      <c r="K2170" s="41" t="n">
        <f aca="false">D2170*E2170</f>
        <v>47.22</v>
      </c>
      <c r="L2170" s="41" t="n">
        <f aca="false">D2170*I2170</f>
        <v>15</v>
      </c>
      <c r="M2170" s="41" t="n">
        <f aca="false">IFERROR(INDEX(Raw_Expenses!$C$5:$C$2979,MATCH(A2170,Raw_Expenses!$A$5:$A$2979,0)),0)</f>
        <v>2.96</v>
      </c>
      <c r="N2170" s="41" t="n">
        <f aca="false">L2170+M2170</f>
        <v>17.96</v>
      </c>
      <c r="O2170" s="41" t="n">
        <f aca="false">K2170-N2170</f>
        <v>29.26</v>
      </c>
      <c r="P2170" s="43" t="n">
        <f aca="false">IF(K2170=0,0,O2170/K2170)</f>
        <v>0.619652689538331</v>
      </c>
    </row>
    <row r="2171" customFormat="false" ht="15" hidden="false" customHeight="false" outlineLevel="0" collapsed="false">
      <c r="A2171" s="39" t="s">
        <v>2293</v>
      </c>
      <c r="B2171" s="40" t="n">
        <v>45949</v>
      </c>
      <c r="C2171" s="39" t="s">
        <v>133</v>
      </c>
      <c r="D2171" s="39" t="n">
        <v>3</v>
      </c>
      <c r="E2171" s="41" t="n">
        <v>8.45</v>
      </c>
      <c r="F2171" s="39" t="s">
        <v>118</v>
      </c>
      <c r="G2171" s="39" t="str">
        <f aca="false">VLOOKUP(C2171,Products!$A$5:$D$24,2,FALSE())</f>
        <v>Printer Paper Ream</v>
      </c>
      <c r="H2171" s="39" t="str">
        <f aca="false">VLOOKUP(C2171,Products!$A$5:$D$24,3,FALSE())</f>
        <v>Stationery</v>
      </c>
      <c r="I2171" s="41" t="n">
        <f aca="false">VLOOKUP(C2171,Products!$A$5:$D$24,4,FALSE())</f>
        <v>4</v>
      </c>
      <c r="J2171" s="42" t="n">
        <f aca="false">DATE(YEAR(B2171),MONTH(B2171),1)</f>
        <v>45931</v>
      </c>
      <c r="K2171" s="41" t="n">
        <f aca="false">D2171*E2171</f>
        <v>25.35</v>
      </c>
      <c r="L2171" s="41" t="n">
        <f aca="false">D2171*I2171</f>
        <v>12</v>
      </c>
      <c r="M2171" s="41" t="n">
        <f aca="false">IFERROR(INDEX(Raw_Expenses!$C$5:$C$2979,MATCH(A2171,Raw_Expenses!$A$5:$A$2979,0)),0)</f>
        <v>1.94</v>
      </c>
      <c r="N2171" s="41" t="n">
        <f aca="false">L2171+M2171</f>
        <v>13.94</v>
      </c>
      <c r="O2171" s="41" t="n">
        <f aca="false">K2171-N2171</f>
        <v>11.41</v>
      </c>
      <c r="P2171" s="43" t="n">
        <f aca="false">IF(K2171=0,0,O2171/K2171)</f>
        <v>0.450098619329389</v>
      </c>
    </row>
    <row r="2172" customFormat="false" ht="15" hidden="false" customHeight="false" outlineLevel="0" collapsed="false">
      <c r="A2172" s="39" t="s">
        <v>2294</v>
      </c>
      <c r="B2172" s="40" t="n">
        <v>45950</v>
      </c>
      <c r="C2172" s="39" t="s">
        <v>114</v>
      </c>
      <c r="D2172" s="39" t="n">
        <v>2</v>
      </c>
      <c r="E2172" s="41" t="n">
        <v>5.77</v>
      </c>
      <c r="F2172" s="39" t="s">
        <v>118</v>
      </c>
      <c r="G2172" s="39" t="str">
        <f aca="false">VLOOKUP(C2172,Products!$A$5:$D$24,2,FALSE())</f>
        <v>Gel Pen Pack</v>
      </c>
      <c r="H2172" s="39" t="str">
        <f aca="false">VLOOKUP(C2172,Products!$A$5:$D$24,3,FALSE())</f>
        <v>Stationery</v>
      </c>
      <c r="I2172" s="41" t="n">
        <f aca="false">VLOOKUP(C2172,Products!$A$5:$D$24,4,FALSE())</f>
        <v>2</v>
      </c>
      <c r="J2172" s="42" t="n">
        <f aca="false">DATE(YEAR(B2172),MONTH(B2172),1)</f>
        <v>45931</v>
      </c>
      <c r="K2172" s="41" t="n">
        <f aca="false">D2172*E2172</f>
        <v>11.54</v>
      </c>
      <c r="L2172" s="41" t="n">
        <f aca="false">D2172*I2172</f>
        <v>4</v>
      </c>
      <c r="M2172" s="41" t="n">
        <f aca="false">IFERROR(INDEX(Raw_Expenses!$C$5:$C$2979,MATCH(A2172,Raw_Expenses!$A$5:$A$2979,0)),0)</f>
        <v>0.47</v>
      </c>
      <c r="N2172" s="41" t="n">
        <f aca="false">L2172+M2172</f>
        <v>4.47</v>
      </c>
      <c r="O2172" s="41" t="n">
        <f aca="false">K2172-N2172</f>
        <v>7.07</v>
      </c>
      <c r="P2172" s="43" t="n">
        <f aca="false">IF(K2172=0,0,O2172/K2172)</f>
        <v>0.61265164644714</v>
      </c>
    </row>
    <row r="2173" customFormat="false" ht="15" hidden="false" customHeight="false" outlineLevel="0" collapsed="false">
      <c r="A2173" s="39" t="s">
        <v>2295</v>
      </c>
      <c r="B2173" s="40" t="n">
        <v>45950</v>
      </c>
      <c r="C2173" s="39" t="s">
        <v>305</v>
      </c>
      <c r="D2173" s="39" t="n">
        <v>4</v>
      </c>
      <c r="E2173" s="41" t="n">
        <v>347.58</v>
      </c>
      <c r="F2173" s="39" t="s">
        <v>115</v>
      </c>
      <c r="G2173" s="39" t="str">
        <f aca="false">VLOOKUP(C2173,Products!$A$5:$D$24,2,FALSE())</f>
        <v>Standing Desk</v>
      </c>
      <c r="H2173" s="39" t="str">
        <f aca="false">VLOOKUP(C2173,Products!$A$5:$D$24,3,FALSE())</f>
        <v>Furniture</v>
      </c>
      <c r="I2173" s="41" t="n">
        <f aca="false">VLOOKUP(C2173,Products!$A$5:$D$24,4,FALSE())</f>
        <v>160</v>
      </c>
      <c r="J2173" s="42" t="n">
        <f aca="false">DATE(YEAR(B2173),MONTH(B2173),1)</f>
        <v>45931</v>
      </c>
      <c r="K2173" s="41" t="n">
        <f aca="false">D2173*E2173</f>
        <v>1390.32</v>
      </c>
      <c r="L2173" s="41" t="n">
        <f aca="false">D2173*I2173</f>
        <v>640</v>
      </c>
      <c r="M2173" s="41" t="n">
        <f aca="false">IFERROR(INDEX(Raw_Expenses!$C$5:$C$2979,MATCH(A2173,Raw_Expenses!$A$5:$A$2979,0)),0)</f>
        <v>87.66</v>
      </c>
      <c r="N2173" s="41" t="n">
        <f aca="false">L2173+M2173</f>
        <v>727.66</v>
      </c>
      <c r="O2173" s="41" t="n">
        <f aca="false">K2173-N2173</f>
        <v>662.66</v>
      </c>
      <c r="P2173" s="43" t="n">
        <f aca="false">IF(K2173=0,0,O2173/K2173)</f>
        <v>0.476624086541228</v>
      </c>
    </row>
    <row r="2174" customFormat="false" ht="15" hidden="false" customHeight="false" outlineLevel="0" collapsed="false">
      <c r="A2174" s="39" t="s">
        <v>2296</v>
      </c>
      <c r="B2174" s="40" t="n">
        <v>45950</v>
      </c>
      <c r="C2174" s="39" t="s">
        <v>139</v>
      </c>
      <c r="D2174" s="39" t="n">
        <v>3</v>
      </c>
      <c r="E2174" s="41" t="n">
        <v>123.84</v>
      </c>
      <c r="F2174" s="39" t="s">
        <v>108</v>
      </c>
      <c r="G2174" s="39" t="str">
        <f aca="false">VLOOKUP(C2174,Products!$A$5:$D$24,2,FALSE())</f>
        <v>Noise-Cancelling Headphones</v>
      </c>
      <c r="H2174" s="39" t="str">
        <f aca="false">VLOOKUP(C2174,Products!$A$5:$D$24,3,FALSE())</f>
        <v>Electronics</v>
      </c>
      <c r="I2174" s="41" t="n">
        <f aca="false">VLOOKUP(C2174,Products!$A$5:$D$24,4,FALSE())</f>
        <v>55</v>
      </c>
      <c r="J2174" s="42" t="n">
        <f aca="false">DATE(YEAR(B2174),MONTH(B2174),1)</f>
        <v>45931</v>
      </c>
      <c r="K2174" s="41" t="n">
        <f aca="false">D2174*E2174</f>
        <v>371.52</v>
      </c>
      <c r="L2174" s="41" t="n">
        <f aca="false">D2174*I2174</f>
        <v>165</v>
      </c>
      <c r="M2174" s="41" t="n">
        <f aca="false">IFERROR(INDEX(Raw_Expenses!$C$5:$C$2979,MATCH(A2174,Raw_Expenses!$A$5:$A$2979,0)),0)</f>
        <v>18.2</v>
      </c>
      <c r="N2174" s="41" t="n">
        <f aca="false">L2174+M2174</f>
        <v>183.2</v>
      </c>
      <c r="O2174" s="41" t="n">
        <f aca="false">K2174-N2174</f>
        <v>188.32</v>
      </c>
      <c r="P2174" s="43" t="n">
        <f aca="false">IF(K2174=0,0,O2174/K2174)</f>
        <v>0.506890611541774</v>
      </c>
    </row>
    <row r="2175" customFormat="false" ht="15" hidden="false" customHeight="false" outlineLevel="0" collapsed="false">
      <c r="A2175" s="39" t="s">
        <v>2297</v>
      </c>
      <c r="B2175" s="40" t="n">
        <v>45950</v>
      </c>
      <c r="C2175" s="39" t="s">
        <v>107</v>
      </c>
      <c r="D2175" s="39" t="n">
        <v>1</v>
      </c>
      <c r="E2175" s="41" t="n">
        <v>32.96</v>
      </c>
      <c r="F2175" s="39" t="s">
        <v>108</v>
      </c>
      <c r="G2175" s="39" t="str">
        <f aca="false">VLOOKUP(C2175,Products!$A$5:$D$24,2,FALSE())</f>
        <v>USB-C Hub</v>
      </c>
      <c r="H2175" s="39" t="str">
        <f aca="false">VLOOKUP(C2175,Products!$A$5:$D$24,3,FALSE())</f>
        <v>Electronics</v>
      </c>
      <c r="I2175" s="41" t="n">
        <f aca="false">VLOOKUP(C2175,Products!$A$5:$D$24,4,FALSE())</f>
        <v>14</v>
      </c>
      <c r="J2175" s="42" t="n">
        <f aca="false">DATE(YEAR(B2175),MONTH(B2175),1)</f>
        <v>45931</v>
      </c>
      <c r="K2175" s="41" t="n">
        <f aca="false">D2175*E2175</f>
        <v>32.96</v>
      </c>
      <c r="L2175" s="41" t="n">
        <f aca="false">D2175*I2175</f>
        <v>14</v>
      </c>
      <c r="M2175" s="41" t="n">
        <f aca="false">IFERROR(INDEX(Raw_Expenses!$C$5:$C$2979,MATCH(A2175,Raw_Expenses!$A$5:$A$2979,0)),0)</f>
        <v>1.43</v>
      </c>
      <c r="N2175" s="41" t="n">
        <f aca="false">L2175+M2175</f>
        <v>15.43</v>
      </c>
      <c r="O2175" s="41" t="n">
        <f aca="false">K2175-N2175</f>
        <v>17.53</v>
      </c>
      <c r="P2175" s="43" t="n">
        <f aca="false">IF(K2175=0,0,O2175/K2175)</f>
        <v>0.531856796116505</v>
      </c>
    </row>
    <row r="2176" customFormat="false" ht="15" hidden="false" customHeight="false" outlineLevel="0" collapsed="false">
      <c r="A2176" s="39" t="s">
        <v>2298</v>
      </c>
      <c r="B2176" s="40" t="n">
        <v>45950</v>
      </c>
      <c r="C2176" s="39" t="s">
        <v>117</v>
      </c>
      <c r="D2176" s="39" t="n">
        <v>4</v>
      </c>
      <c r="E2176" s="41" t="n">
        <v>31.09</v>
      </c>
      <c r="F2176" s="39" t="s">
        <v>118</v>
      </c>
      <c r="G2176" s="39" t="str">
        <f aca="false">VLOOKUP(C2176,Products!$A$5:$D$24,2,FALSE())</f>
        <v>Desk Lamp</v>
      </c>
      <c r="H2176" s="39" t="str">
        <f aca="false">VLOOKUP(C2176,Products!$A$5:$D$24,3,FALSE())</f>
        <v>Furniture</v>
      </c>
      <c r="I2176" s="41" t="n">
        <f aca="false">VLOOKUP(C2176,Products!$A$5:$D$24,4,FALSE())</f>
        <v>13</v>
      </c>
      <c r="J2176" s="42" t="n">
        <f aca="false">DATE(YEAR(B2176),MONTH(B2176),1)</f>
        <v>45931</v>
      </c>
      <c r="K2176" s="41" t="n">
        <f aca="false">D2176*E2176</f>
        <v>124.36</v>
      </c>
      <c r="L2176" s="41" t="n">
        <f aca="false">D2176*I2176</f>
        <v>52</v>
      </c>
      <c r="M2176" s="41" t="n">
        <f aca="false">IFERROR(INDEX(Raw_Expenses!$C$5:$C$2979,MATCH(A2176,Raw_Expenses!$A$5:$A$2979,0)),0)</f>
        <v>10.26</v>
      </c>
      <c r="N2176" s="41" t="n">
        <f aca="false">L2176+M2176</f>
        <v>62.26</v>
      </c>
      <c r="O2176" s="41" t="n">
        <f aca="false">K2176-N2176</f>
        <v>62.1</v>
      </c>
      <c r="P2176" s="43" t="n">
        <f aca="false">IF(K2176=0,0,O2176/K2176)</f>
        <v>0.499356706336443</v>
      </c>
    </row>
    <row r="2177" customFormat="false" ht="15" hidden="false" customHeight="false" outlineLevel="0" collapsed="false">
      <c r="A2177" s="39" t="s">
        <v>2299</v>
      </c>
      <c r="B2177" s="40" t="n">
        <v>45950</v>
      </c>
      <c r="C2177" s="39" t="s">
        <v>133</v>
      </c>
      <c r="D2177" s="39" t="n">
        <v>5</v>
      </c>
      <c r="E2177" s="41" t="n">
        <v>8.58</v>
      </c>
      <c r="F2177" s="39" t="s">
        <v>108</v>
      </c>
      <c r="G2177" s="39" t="str">
        <f aca="false">VLOOKUP(C2177,Products!$A$5:$D$24,2,FALSE())</f>
        <v>Printer Paper Ream</v>
      </c>
      <c r="H2177" s="39" t="str">
        <f aca="false">VLOOKUP(C2177,Products!$A$5:$D$24,3,FALSE())</f>
        <v>Stationery</v>
      </c>
      <c r="I2177" s="41" t="n">
        <f aca="false">VLOOKUP(C2177,Products!$A$5:$D$24,4,FALSE())</f>
        <v>4</v>
      </c>
      <c r="J2177" s="42" t="n">
        <f aca="false">DATE(YEAR(B2177),MONTH(B2177),1)</f>
        <v>45931</v>
      </c>
      <c r="K2177" s="41" t="n">
        <f aca="false">D2177*E2177</f>
        <v>42.9</v>
      </c>
      <c r="L2177" s="41" t="n">
        <f aca="false">D2177*I2177</f>
        <v>20</v>
      </c>
      <c r="M2177" s="41" t="n">
        <f aca="false">IFERROR(INDEX(Raw_Expenses!$C$5:$C$2979,MATCH(A2177,Raw_Expenses!$A$5:$A$2979,0)),0)</f>
        <v>1.76</v>
      </c>
      <c r="N2177" s="41" t="n">
        <f aca="false">L2177+M2177</f>
        <v>21.76</v>
      </c>
      <c r="O2177" s="41" t="n">
        <f aca="false">K2177-N2177</f>
        <v>21.14</v>
      </c>
      <c r="P2177" s="43" t="n">
        <f aca="false">IF(K2177=0,0,O2177/K2177)</f>
        <v>0.492773892773893</v>
      </c>
    </row>
    <row r="2178" customFormat="false" ht="15" hidden="false" customHeight="false" outlineLevel="0" collapsed="false">
      <c r="A2178" s="39" t="s">
        <v>2300</v>
      </c>
      <c r="B2178" s="40" t="n">
        <v>45951</v>
      </c>
      <c r="C2178" s="39" t="s">
        <v>183</v>
      </c>
      <c r="D2178" s="39" t="n">
        <v>3</v>
      </c>
      <c r="E2178" s="41" t="n">
        <v>173.96</v>
      </c>
      <c r="F2178" s="39" t="s">
        <v>115</v>
      </c>
      <c r="G2178" s="39" t="str">
        <f aca="false">VLOOKUP(C2178,Products!$A$5:$D$24,2,FALSE())</f>
        <v>Office Chair</v>
      </c>
      <c r="H2178" s="39" t="str">
        <f aca="false">VLOOKUP(C2178,Products!$A$5:$D$24,3,FALSE())</f>
        <v>Furniture</v>
      </c>
      <c r="I2178" s="41" t="n">
        <f aca="false">VLOOKUP(C2178,Products!$A$5:$D$24,4,FALSE())</f>
        <v>85</v>
      </c>
      <c r="J2178" s="42" t="n">
        <f aca="false">DATE(YEAR(B2178),MONTH(B2178),1)</f>
        <v>45931</v>
      </c>
      <c r="K2178" s="41" t="n">
        <f aca="false">D2178*E2178</f>
        <v>521.88</v>
      </c>
      <c r="L2178" s="41" t="n">
        <f aca="false">D2178*I2178</f>
        <v>255</v>
      </c>
      <c r="M2178" s="41" t="n">
        <f aca="false">IFERROR(INDEX(Raw_Expenses!$C$5:$C$2979,MATCH(A2178,Raw_Expenses!$A$5:$A$2979,0)),0)</f>
        <v>31.06</v>
      </c>
      <c r="N2178" s="41" t="n">
        <f aca="false">L2178+M2178</f>
        <v>286.06</v>
      </c>
      <c r="O2178" s="41" t="n">
        <f aca="false">K2178-N2178</f>
        <v>235.82</v>
      </c>
      <c r="P2178" s="43" t="n">
        <f aca="false">IF(K2178=0,0,O2178/K2178)</f>
        <v>0.451866329424389</v>
      </c>
    </row>
    <row r="2179" customFormat="false" ht="15" hidden="false" customHeight="false" outlineLevel="0" collapsed="false">
      <c r="A2179" s="39" t="s">
        <v>2301</v>
      </c>
      <c r="B2179" s="40" t="n">
        <v>45951</v>
      </c>
      <c r="C2179" s="39" t="s">
        <v>162</v>
      </c>
      <c r="D2179" s="39" t="n">
        <v>1</v>
      </c>
      <c r="E2179" s="41" t="n">
        <v>68.77</v>
      </c>
      <c r="F2179" s="39" t="s">
        <v>118</v>
      </c>
      <c r="G2179" s="39" t="str">
        <f aca="false">VLOOKUP(C2179,Products!$A$5:$D$24,2,FALSE())</f>
        <v>Bluetooth Speaker</v>
      </c>
      <c r="H2179" s="39" t="str">
        <f aca="false">VLOOKUP(C2179,Products!$A$5:$D$24,3,FALSE())</f>
        <v>Electronics</v>
      </c>
      <c r="I2179" s="41" t="n">
        <f aca="false">VLOOKUP(C2179,Products!$A$5:$D$24,4,FALSE())</f>
        <v>28</v>
      </c>
      <c r="J2179" s="42" t="n">
        <f aca="false">DATE(YEAR(B2179),MONTH(B2179),1)</f>
        <v>45931</v>
      </c>
      <c r="K2179" s="41" t="n">
        <f aca="false">D2179*E2179</f>
        <v>68.77</v>
      </c>
      <c r="L2179" s="41" t="n">
        <f aca="false">D2179*I2179</f>
        <v>28</v>
      </c>
      <c r="M2179" s="41" t="n">
        <f aca="false">IFERROR(INDEX(Raw_Expenses!$C$5:$C$2979,MATCH(A2179,Raw_Expenses!$A$5:$A$2979,0)),0)</f>
        <v>3.94</v>
      </c>
      <c r="N2179" s="41" t="n">
        <f aca="false">L2179+M2179</f>
        <v>31.94</v>
      </c>
      <c r="O2179" s="41" t="n">
        <f aca="false">K2179-N2179</f>
        <v>36.83</v>
      </c>
      <c r="P2179" s="43" t="n">
        <f aca="false">IF(K2179=0,0,O2179/K2179)</f>
        <v>0.53555329358732</v>
      </c>
    </row>
    <row r="2180" customFormat="false" ht="15" hidden="false" customHeight="false" outlineLevel="0" collapsed="false">
      <c r="A2180" s="39" t="s">
        <v>2302</v>
      </c>
      <c r="B2180" s="40" t="n">
        <v>45951</v>
      </c>
      <c r="C2180" s="39" t="s">
        <v>139</v>
      </c>
      <c r="D2180" s="39" t="n">
        <v>1</v>
      </c>
      <c r="E2180" s="41" t="n">
        <v>119.84</v>
      </c>
      <c r="F2180" s="39" t="s">
        <v>105</v>
      </c>
      <c r="G2180" s="39" t="str">
        <f aca="false">VLOOKUP(C2180,Products!$A$5:$D$24,2,FALSE())</f>
        <v>Noise-Cancelling Headphones</v>
      </c>
      <c r="H2180" s="39" t="str">
        <f aca="false">VLOOKUP(C2180,Products!$A$5:$D$24,3,FALSE())</f>
        <v>Electronics</v>
      </c>
      <c r="I2180" s="41" t="n">
        <f aca="false">VLOOKUP(C2180,Products!$A$5:$D$24,4,FALSE())</f>
        <v>55</v>
      </c>
      <c r="J2180" s="42" t="n">
        <f aca="false">DATE(YEAR(B2180),MONTH(B2180),1)</f>
        <v>45931</v>
      </c>
      <c r="K2180" s="41" t="n">
        <f aca="false">D2180*E2180</f>
        <v>119.84</v>
      </c>
      <c r="L2180" s="41" t="n">
        <f aca="false">D2180*I2180</f>
        <v>55</v>
      </c>
      <c r="M2180" s="41" t="n">
        <f aca="false">IFERROR(INDEX(Raw_Expenses!$C$5:$C$2979,MATCH(A2180,Raw_Expenses!$A$5:$A$2979,0)),0)</f>
        <v>7.94</v>
      </c>
      <c r="N2180" s="41" t="n">
        <f aca="false">L2180+M2180</f>
        <v>62.94</v>
      </c>
      <c r="O2180" s="41" t="n">
        <f aca="false">K2180-N2180</f>
        <v>56.9</v>
      </c>
      <c r="P2180" s="43" t="n">
        <f aca="false">IF(K2180=0,0,O2180/K2180)</f>
        <v>0.474799732977303</v>
      </c>
    </row>
    <row r="2181" customFormat="false" ht="15" hidden="false" customHeight="false" outlineLevel="0" collapsed="false">
      <c r="A2181" s="39" t="s">
        <v>2303</v>
      </c>
      <c r="B2181" s="40" t="n">
        <v>45951</v>
      </c>
      <c r="C2181" s="39" t="s">
        <v>114</v>
      </c>
      <c r="D2181" s="39" t="n">
        <v>4</v>
      </c>
      <c r="E2181" s="41" t="n">
        <v>5.71</v>
      </c>
      <c r="F2181" s="39" t="s">
        <v>115</v>
      </c>
      <c r="G2181" s="39" t="str">
        <f aca="false">VLOOKUP(C2181,Products!$A$5:$D$24,2,FALSE())</f>
        <v>Gel Pen Pack</v>
      </c>
      <c r="H2181" s="39" t="str">
        <f aca="false">VLOOKUP(C2181,Products!$A$5:$D$24,3,FALSE())</f>
        <v>Stationery</v>
      </c>
      <c r="I2181" s="41" t="n">
        <f aca="false">VLOOKUP(C2181,Products!$A$5:$D$24,4,FALSE())</f>
        <v>2</v>
      </c>
      <c r="J2181" s="42" t="n">
        <f aca="false">DATE(YEAR(B2181),MONTH(B2181),1)</f>
        <v>45931</v>
      </c>
      <c r="K2181" s="41" t="n">
        <f aca="false">D2181*E2181</f>
        <v>22.84</v>
      </c>
      <c r="L2181" s="41" t="n">
        <f aca="false">D2181*I2181</f>
        <v>8</v>
      </c>
      <c r="M2181" s="41" t="n">
        <f aca="false">IFERROR(INDEX(Raw_Expenses!$C$5:$C$2979,MATCH(A2181,Raw_Expenses!$A$5:$A$2979,0)),0)</f>
        <v>1</v>
      </c>
      <c r="N2181" s="41" t="n">
        <f aca="false">L2181+M2181</f>
        <v>9</v>
      </c>
      <c r="O2181" s="41" t="n">
        <f aca="false">K2181-N2181</f>
        <v>13.84</v>
      </c>
      <c r="P2181" s="43" t="n">
        <f aca="false">IF(K2181=0,0,O2181/K2181)</f>
        <v>0.605954465849387</v>
      </c>
    </row>
    <row r="2182" customFormat="false" ht="15" hidden="false" customHeight="false" outlineLevel="0" collapsed="false">
      <c r="A2182" s="39" t="s">
        <v>2304</v>
      </c>
      <c r="B2182" s="40" t="n">
        <v>45951</v>
      </c>
      <c r="C2182" s="39" t="s">
        <v>104</v>
      </c>
      <c r="D2182" s="39" t="n">
        <v>1</v>
      </c>
      <c r="E2182" s="41" t="n">
        <v>15.76</v>
      </c>
      <c r="F2182" s="39" t="s">
        <v>118</v>
      </c>
      <c r="G2182" s="39" t="str">
        <f aca="false">VLOOKUP(C2182,Products!$A$5:$D$24,2,FALSE())</f>
        <v>Water Bottle</v>
      </c>
      <c r="H2182" s="39" t="str">
        <f aca="false">VLOOKUP(C2182,Products!$A$5:$D$24,3,FALSE())</f>
        <v>Accessories</v>
      </c>
      <c r="I2182" s="41" t="n">
        <f aca="false">VLOOKUP(C2182,Products!$A$5:$D$24,4,FALSE())</f>
        <v>5</v>
      </c>
      <c r="J2182" s="42" t="n">
        <f aca="false">DATE(YEAR(B2182),MONTH(B2182),1)</f>
        <v>45931</v>
      </c>
      <c r="K2182" s="41" t="n">
        <f aca="false">D2182*E2182</f>
        <v>15.76</v>
      </c>
      <c r="L2182" s="41" t="n">
        <f aca="false">D2182*I2182</f>
        <v>5</v>
      </c>
      <c r="M2182" s="41" t="n">
        <f aca="false">IFERROR(INDEX(Raw_Expenses!$C$5:$C$2979,MATCH(A2182,Raw_Expenses!$A$5:$A$2979,0)),0)</f>
        <v>0.77</v>
      </c>
      <c r="N2182" s="41" t="n">
        <f aca="false">L2182+M2182</f>
        <v>5.77</v>
      </c>
      <c r="O2182" s="41" t="n">
        <f aca="false">K2182-N2182</f>
        <v>9.99</v>
      </c>
      <c r="P2182" s="43" t="n">
        <f aca="false">IF(K2182=0,0,O2182/K2182)</f>
        <v>0.633883248730965</v>
      </c>
    </row>
    <row r="2183" customFormat="false" ht="15" hidden="false" customHeight="false" outlineLevel="0" collapsed="false">
      <c r="A2183" s="39" t="s">
        <v>2305</v>
      </c>
      <c r="B2183" s="40" t="n">
        <v>45951</v>
      </c>
      <c r="C2183" s="39" t="s">
        <v>133</v>
      </c>
      <c r="D2183" s="39" t="n">
        <v>2</v>
      </c>
      <c r="E2183" s="41" t="n">
        <v>8.31</v>
      </c>
      <c r="F2183" s="39" t="s">
        <v>108</v>
      </c>
      <c r="G2183" s="39" t="str">
        <f aca="false">VLOOKUP(C2183,Products!$A$5:$D$24,2,FALSE())</f>
        <v>Printer Paper Ream</v>
      </c>
      <c r="H2183" s="39" t="str">
        <f aca="false">VLOOKUP(C2183,Products!$A$5:$D$24,3,FALSE())</f>
        <v>Stationery</v>
      </c>
      <c r="I2183" s="41" t="n">
        <f aca="false">VLOOKUP(C2183,Products!$A$5:$D$24,4,FALSE())</f>
        <v>4</v>
      </c>
      <c r="J2183" s="42" t="n">
        <f aca="false">DATE(YEAR(B2183),MONTH(B2183),1)</f>
        <v>45931</v>
      </c>
      <c r="K2183" s="41" t="n">
        <f aca="false">D2183*E2183</f>
        <v>16.62</v>
      </c>
      <c r="L2183" s="41" t="n">
        <f aca="false">D2183*I2183</f>
        <v>8</v>
      </c>
      <c r="M2183" s="41" t="n">
        <f aca="false">IFERROR(INDEX(Raw_Expenses!$C$5:$C$2979,MATCH(A2183,Raw_Expenses!$A$5:$A$2979,0)),0)</f>
        <v>0.99</v>
      </c>
      <c r="N2183" s="41" t="n">
        <f aca="false">L2183+M2183</f>
        <v>8.99</v>
      </c>
      <c r="O2183" s="41" t="n">
        <f aca="false">K2183-N2183</f>
        <v>7.63</v>
      </c>
      <c r="P2183" s="43" t="n">
        <f aca="false">IF(K2183=0,0,O2183/K2183)</f>
        <v>0.459085439229844</v>
      </c>
    </row>
    <row r="2184" customFormat="false" ht="15" hidden="false" customHeight="false" outlineLevel="0" collapsed="false">
      <c r="A2184" s="39" t="s">
        <v>2306</v>
      </c>
      <c r="B2184" s="40" t="n">
        <v>45951</v>
      </c>
      <c r="C2184" s="39" t="s">
        <v>183</v>
      </c>
      <c r="D2184" s="39" t="n">
        <v>1</v>
      </c>
      <c r="E2184" s="41" t="n">
        <v>188.22</v>
      </c>
      <c r="F2184" s="39" t="s">
        <v>118</v>
      </c>
      <c r="G2184" s="39" t="str">
        <f aca="false">VLOOKUP(C2184,Products!$A$5:$D$24,2,FALSE())</f>
        <v>Office Chair</v>
      </c>
      <c r="H2184" s="39" t="str">
        <f aca="false">VLOOKUP(C2184,Products!$A$5:$D$24,3,FALSE())</f>
        <v>Furniture</v>
      </c>
      <c r="I2184" s="41" t="n">
        <f aca="false">VLOOKUP(C2184,Products!$A$5:$D$24,4,FALSE())</f>
        <v>85</v>
      </c>
      <c r="J2184" s="42" t="n">
        <f aca="false">DATE(YEAR(B2184),MONTH(B2184),1)</f>
        <v>45931</v>
      </c>
      <c r="K2184" s="41" t="n">
        <f aca="false">D2184*E2184</f>
        <v>188.22</v>
      </c>
      <c r="L2184" s="41" t="n">
        <f aca="false">D2184*I2184</f>
        <v>85</v>
      </c>
      <c r="M2184" s="41" t="n">
        <f aca="false">IFERROR(INDEX(Raw_Expenses!$C$5:$C$2979,MATCH(A2184,Raw_Expenses!$A$5:$A$2979,0)),0)</f>
        <v>13.02</v>
      </c>
      <c r="N2184" s="41" t="n">
        <f aca="false">L2184+M2184</f>
        <v>98.02</v>
      </c>
      <c r="O2184" s="41" t="n">
        <f aca="false">K2184-N2184</f>
        <v>90.2</v>
      </c>
      <c r="P2184" s="43" t="n">
        <f aca="false">IF(K2184=0,0,O2184/K2184)</f>
        <v>0.479226437148018</v>
      </c>
    </row>
    <row r="2185" customFormat="false" ht="15" hidden="false" customHeight="false" outlineLevel="0" collapsed="false">
      <c r="A2185" s="39" t="s">
        <v>2307</v>
      </c>
      <c r="B2185" s="40" t="n">
        <v>45951</v>
      </c>
      <c r="C2185" s="39" t="s">
        <v>126</v>
      </c>
      <c r="D2185" s="39" t="n">
        <v>2</v>
      </c>
      <c r="E2185" s="41" t="n">
        <v>23.55</v>
      </c>
      <c r="F2185" s="39" t="s">
        <v>118</v>
      </c>
      <c r="G2185" s="39" t="str">
        <f aca="false">VLOOKUP(C2185,Products!$A$5:$D$24,2,FALSE())</f>
        <v>Wireless Mouse</v>
      </c>
      <c r="H2185" s="39" t="str">
        <f aca="false">VLOOKUP(C2185,Products!$A$5:$D$24,3,FALSE())</f>
        <v>Electronics</v>
      </c>
      <c r="I2185" s="41" t="n">
        <f aca="false">VLOOKUP(C2185,Products!$A$5:$D$24,4,FALSE())</f>
        <v>12</v>
      </c>
      <c r="J2185" s="42" t="n">
        <f aca="false">DATE(YEAR(B2185),MONTH(B2185),1)</f>
        <v>45931</v>
      </c>
      <c r="K2185" s="41" t="n">
        <f aca="false">D2185*E2185</f>
        <v>47.1</v>
      </c>
      <c r="L2185" s="41" t="n">
        <f aca="false">D2185*I2185</f>
        <v>24</v>
      </c>
      <c r="M2185" s="41" t="n">
        <f aca="false">IFERROR(INDEX(Raw_Expenses!$C$5:$C$2979,MATCH(A2185,Raw_Expenses!$A$5:$A$2979,0)),0)</f>
        <v>2.34</v>
      </c>
      <c r="N2185" s="41" t="n">
        <f aca="false">L2185+M2185</f>
        <v>26.34</v>
      </c>
      <c r="O2185" s="41" t="n">
        <f aca="false">K2185-N2185</f>
        <v>20.76</v>
      </c>
      <c r="P2185" s="43" t="n">
        <f aca="false">IF(K2185=0,0,O2185/K2185)</f>
        <v>0.440764331210191</v>
      </c>
    </row>
    <row r="2186" customFormat="false" ht="15" hidden="false" customHeight="false" outlineLevel="0" collapsed="false">
      <c r="A2186" s="39" t="s">
        <v>2308</v>
      </c>
      <c r="B2186" s="40" t="n">
        <v>45951</v>
      </c>
      <c r="C2186" s="39" t="s">
        <v>121</v>
      </c>
      <c r="D2186" s="39" t="n">
        <v>1</v>
      </c>
      <c r="E2186" s="41" t="n">
        <v>110.23</v>
      </c>
      <c r="F2186" s="39" t="s">
        <v>115</v>
      </c>
      <c r="G2186" s="39" t="str">
        <f aca="false">VLOOKUP(C2186,Products!$A$5:$D$24,2,FALSE())</f>
        <v>External SSD 1TB</v>
      </c>
      <c r="H2186" s="39" t="str">
        <f aca="false">VLOOKUP(C2186,Products!$A$5:$D$24,3,FALSE())</f>
        <v>Electronics</v>
      </c>
      <c r="I2186" s="41" t="n">
        <f aca="false">VLOOKUP(C2186,Products!$A$5:$D$24,4,FALSE())</f>
        <v>62</v>
      </c>
      <c r="J2186" s="42" t="n">
        <f aca="false">DATE(YEAR(B2186),MONTH(B2186),1)</f>
        <v>45931</v>
      </c>
      <c r="K2186" s="41" t="n">
        <f aca="false">D2186*E2186</f>
        <v>110.23</v>
      </c>
      <c r="L2186" s="41" t="n">
        <f aca="false">D2186*I2186</f>
        <v>62</v>
      </c>
      <c r="M2186" s="41" t="n">
        <f aca="false">IFERROR(INDEX(Raw_Expenses!$C$5:$C$2979,MATCH(A2186,Raw_Expenses!$A$5:$A$2979,0)),0)</f>
        <v>6.42</v>
      </c>
      <c r="N2186" s="41" t="n">
        <f aca="false">L2186+M2186</f>
        <v>68.42</v>
      </c>
      <c r="O2186" s="41" t="n">
        <f aca="false">K2186-N2186</f>
        <v>41.81</v>
      </c>
      <c r="P2186" s="43" t="n">
        <f aca="false">IF(K2186=0,0,O2186/K2186)</f>
        <v>0.379297831806223</v>
      </c>
    </row>
    <row r="2187" customFormat="false" ht="15" hidden="false" customHeight="false" outlineLevel="0" collapsed="false">
      <c r="A2187" s="39" t="s">
        <v>2309</v>
      </c>
      <c r="B2187" s="40" t="n">
        <v>45951</v>
      </c>
      <c r="C2187" s="39" t="s">
        <v>121</v>
      </c>
      <c r="D2187" s="39" t="n">
        <v>1</v>
      </c>
      <c r="E2187" s="41" t="n">
        <v>117.21</v>
      </c>
      <c r="F2187" s="39" t="s">
        <v>105</v>
      </c>
      <c r="G2187" s="39" t="str">
        <f aca="false">VLOOKUP(C2187,Products!$A$5:$D$24,2,FALSE())</f>
        <v>External SSD 1TB</v>
      </c>
      <c r="H2187" s="39" t="str">
        <f aca="false">VLOOKUP(C2187,Products!$A$5:$D$24,3,FALSE())</f>
        <v>Electronics</v>
      </c>
      <c r="I2187" s="41" t="n">
        <f aca="false">VLOOKUP(C2187,Products!$A$5:$D$24,4,FALSE())</f>
        <v>62</v>
      </c>
      <c r="J2187" s="42" t="n">
        <f aca="false">DATE(YEAR(B2187),MONTH(B2187),1)</f>
        <v>45931</v>
      </c>
      <c r="K2187" s="41" t="n">
        <f aca="false">D2187*E2187</f>
        <v>117.21</v>
      </c>
      <c r="L2187" s="41" t="n">
        <f aca="false">D2187*I2187</f>
        <v>62</v>
      </c>
      <c r="M2187" s="41" t="n">
        <f aca="false">IFERROR(INDEX(Raw_Expenses!$C$5:$C$2979,MATCH(A2187,Raw_Expenses!$A$5:$A$2979,0)),0)</f>
        <v>5.04</v>
      </c>
      <c r="N2187" s="41" t="n">
        <f aca="false">L2187+M2187</f>
        <v>67.04</v>
      </c>
      <c r="O2187" s="41" t="n">
        <f aca="false">K2187-N2187</f>
        <v>50.17</v>
      </c>
      <c r="P2187" s="43" t="n">
        <f aca="false">IF(K2187=0,0,O2187/K2187)</f>
        <v>0.428035150584421</v>
      </c>
    </row>
    <row r="2188" customFormat="false" ht="15" hidden="false" customHeight="false" outlineLevel="0" collapsed="false">
      <c r="A2188" s="39" t="s">
        <v>2310</v>
      </c>
      <c r="B2188" s="40" t="n">
        <v>45951</v>
      </c>
      <c r="C2188" s="39" t="s">
        <v>104</v>
      </c>
      <c r="D2188" s="39" t="n">
        <v>2</v>
      </c>
      <c r="E2188" s="41" t="n">
        <v>15.93</v>
      </c>
      <c r="F2188" s="39" t="s">
        <v>108</v>
      </c>
      <c r="G2188" s="39" t="str">
        <f aca="false">VLOOKUP(C2188,Products!$A$5:$D$24,2,FALSE())</f>
        <v>Water Bottle</v>
      </c>
      <c r="H2188" s="39" t="str">
        <f aca="false">VLOOKUP(C2188,Products!$A$5:$D$24,3,FALSE())</f>
        <v>Accessories</v>
      </c>
      <c r="I2188" s="41" t="n">
        <f aca="false">VLOOKUP(C2188,Products!$A$5:$D$24,4,FALSE())</f>
        <v>5</v>
      </c>
      <c r="J2188" s="42" t="n">
        <f aca="false">DATE(YEAR(B2188),MONTH(B2188),1)</f>
        <v>45931</v>
      </c>
      <c r="K2188" s="41" t="n">
        <f aca="false">D2188*E2188</f>
        <v>31.86</v>
      </c>
      <c r="L2188" s="41" t="n">
        <f aca="false">D2188*I2188</f>
        <v>10</v>
      </c>
      <c r="M2188" s="41" t="n">
        <f aca="false">IFERROR(INDEX(Raw_Expenses!$C$5:$C$2979,MATCH(A2188,Raw_Expenses!$A$5:$A$2979,0)),0)</f>
        <v>1.84</v>
      </c>
      <c r="N2188" s="41" t="n">
        <f aca="false">L2188+M2188</f>
        <v>11.84</v>
      </c>
      <c r="O2188" s="41" t="n">
        <f aca="false">K2188-N2188</f>
        <v>20.02</v>
      </c>
      <c r="P2188" s="43" t="n">
        <f aca="false">IF(K2188=0,0,O2188/K2188)</f>
        <v>0.628374136848713</v>
      </c>
    </row>
    <row r="2189" customFormat="false" ht="15" hidden="false" customHeight="false" outlineLevel="0" collapsed="false">
      <c r="A2189" s="39" t="s">
        <v>2311</v>
      </c>
      <c r="B2189" s="40" t="n">
        <v>45951</v>
      </c>
      <c r="C2189" s="39" t="s">
        <v>136</v>
      </c>
      <c r="D2189" s="39" t="n">
        <v>1</v>
      </c>
      <c r="E2189" s="41" t="n">
        <v>72.77</v>
      </c>
      <c r="F2189" s="39" t="s">
        <v>105</v>
      </c>
      <c r="G2189" s="39" t="str">
        <f aca="false">VLOOKUP(C2189,Products!$A$5:$D$24,2,FALSE())</f>
        <v>Mechanical Keyboard</v>
      </c>
      <c r="H2189" s="39" t="str">
        <f aca="false">VLOOKUP(C2189,Products!$A$5:$D$24,3,FALSE())</f>
        <v>Electronics</v>
      </c>
      <c r="I2189" s="41" t="n">
        <f aca="false">VLOOKUP(C2189,Products!$A$5:$D$24,4,FALSE())</f>
        <v>38</v>
      </c>
      <c r="J2189" s="42" t="n">
        <f aca="false">DATE(YEAR(B2189),MONTH(B2189),1)</f>
        <v>45931</v>
      </c>
      <c r="K2189" s="41" t="n">
        <f aca="false">D2189*E2189</f>
        <v>72.77</v>
      </c>
      <c r="L2189" s="41" t="n">
        <f aca="false">D2189*I2189</f>
        <v>38</v>
      </c>
      <c r="M2189" s="41" t="n">
        <f aca="false">IFERROR(INDEX(Raw_Expenses!$C$5:$C$2979,MATCH(A2189,Raw_Expenses!$A$5:$A$2979,0)),0)</f>
        <v>4.42</v>
      </c>
      <c r="N2189" s="41" t="n">
        <f aca="false">L2189+M2189</f>
        <v>42.42</v>
      </c>
      <c r="O2189" s="41" t="n">
        <f aca="false">K2189-N2189</f>
        <v>30.35</v>
      </c>
      <c r="P2189" s="43" t="n">
        <f aca="false">IF(K2189=0,0,O2189/K2189)</f>
        <v>0.417067472859695</v>
      </c>
    </row>
    <row r="2190" customFormat="false" ht="15" hidden="false" customHeight="false" outlineLevel="0" collapsed="false">
      <c r="A2190" s="39" t="s">
        <v>2312</v>
      </c>
      <c r="B2190" s="40" t="n">
        <v>45952</v>
      </c>
      <c r="C2190" s="39" t="s">
        <v>153</v>
      </c>
      <c r="D2190" s="39" t="n">
        <v>5</v>
      </c>
      <c r="E2190" s="41" t="n">
        <v>176.06</v>
      </c>
      <c r="F2190" s="39" t="s">
        <v>108</v>
      </c>
      <c r="G2190" s="39" t="str">
        <f aca="false">VLOOKUP(C2190,Products!$A$5:$D$24,2,FALSE())</f>
        <v>24-inch Monitor</v>
      </c>
      <c r="H2190" s="39" t="str">
        <f aca="false">VLOOKUP(C2190,Products!$A$5:$D$24,3,FALSE())</f>
        <v>Electronics</v>
      </c>
      <c r="I2190" s="41" t="n">
        <f aca="false">VLOOKUP(C2190,Products!$A$5:$D$24,4,FALSE())</f>
        <v>90</v>
      </c>
      <c r="J2190" s="42" t="n">
        <f aca="false">DATE(YEAR(B2190),MONTH(B2190),1)</f>
        <v>45931</v>
      </c>
      <c r="K2190" s="41" t="n">
        <f aca="false">D2190*E2190</f>
        <v>880.3</v>
      </c>
      <c r="L2190" s="41" t="n">
        <f aca="false">D2190*I2190</f>
        <v>450</v>
      </c>
      <c r="M2190" s="41" t="n">
        <f aca="false">IFERROR(INDEX(Raw_Expenses!$C$5:$C$2979,MATCH(A2190,Raw_Expenses!$A$5:$A$2979,0)),0)</f>
        <v>57.66</v>
      </c>
      <c r="N2190" s="41" t="n">
        <f aca="false">L2190+M2190</f>
        <v>507.66</v>
      </c>
      <c r="O2190" s="41" t="n">
        <f aca="false">K2190-N2190</f>
        <v>372.64</v>
      </c>
      <c r="P2190" s="43" t="n">
        <f aca="false">IF(K2190=0,0,O2190/K2190)</f>
        <v>0.423310235147109</v>
      </c>
    </row>
    <row r="2191" customFormat="false" ht="15" hidden="false" customHeight="false" outlineLevel="0" collapsed="false">
      <c r="A2191" s="39" t="s">
        <v>2313</v>
      </c>
      <c r="B2191" s="40" t="n">
        <v>45952</v>
      </c>
      <c r="C2191" s="39" t="s">
        <v>107</v>
      </c>
      <c r="D2191" s="39" t="n">
        <v>1</v>
      </c>
      <c r="E2191" s="41" t="n">
        <v>34.87</v>
      </c>
      <c r="F2191" s="39" t="s">
        <v>105</v>
      </c>
      <c r="G2191" s="39" t="str">
        <f aca="false">VLOOKUP(C2191,Products!$A$5:$D$24,2,FALSE())</f>
        <v>USB-C Hub</v>
      </c>
      <c r="H2191" s="39" t="str">
        <f aca="false">VLOOKUP(C2191,Products!$A$5:$D$24,3,FALSE())</f>
        <v>Electronics</v>
      </c>
      <c r="I2191" s="41" t="n">
        <f aca="false">VLOOKUP(C2191,Products!$A$5:$D$24,4,FALSE())</f>
        <v>14</v>
      </c>
      <c r="J2191" s="42" t="n">
        <f aca="false">DATE(YEAR(B2191),MONTH(B2191),1)</f>
        <v>45931</v>
      </c>
      <c r="K2191" s="41" t="n">
        <f aca="false">D2191*E2191</f>
        <v>34.87</v>
      </c>
      <c r="L2191" s="41" t="n">
        <f aca="false">D2191*I2191</f>
        <v>14</v>
      </c>
      <c r="M2191" s="41" t="n">
        <f aca="false">IFERROR(INDEX(Raw_Expenses!$C$5:$C$2979,MATCH(A2191,Raw_Expenses!$A$5:$A$2979,0)),0)</f>
        <v>2.83</v>
      </c>
      <c r="N2191" s="41" t="n">
        <f aca="false">L2191+M2191</f>
        <v>16.83</v>
      </c>
      <c r="O2191" s="41" t="n">
        <f aca="false">K2191-N2191</f>
        <v>18.04</v>
      </c>
      <c r="P2191" s="43" t="n">
        <f aca="false">IF(K2191=0,0,O2191/K2191)</f>
        <v>0.517350157728707</v>
      </c>
    </row>
    <row r="2192" customFormat="false" ht="15" hidden="false" customHeight="false" outlineLevel="0" collapsed="false">
      <c r="A2192" s="39" t="s">
        <v>2314</v>
      </c>
      <c r="B2192" s="40" t="n">
        <v>45952</v>
      </c>
      <c r="C2192" s="39" t="s">
        <v>136</v>
      </c>
      <c r="D2192" s="39" t="n">
        <v>1</v>
      </c>
      <c r="E2192" s="41" t="n">
        <v>73.75</v>
      </c>
      <c r="F2192" s="39" t="s">
        <v>118</v>
      </c>
      <c r="G2192" s="39" t="str">
        <f aca="false">VLOOKUP(C2192,Products!$A$5:$D$24,2,FALSE())</f>
        <v>Mechanical Keyboard</v>
      </c>
      <c r="H2192" s="39" t="str">
        <f aca="false">VLOOKUP(C2192,Products!$A$5:$D$24,3,FALSE())</f>
        <v>Electronics</v>
      </c>
      <c r="I2192" s="41" t="n">
        <f aca="false">VLOOKUP(C2192,Products!$A$5:$D$24,4,FALSE())</f>
        <v>38</v>
      </c>
      <c r="J2192" s="42" t="n">
        <f aca="false">DATE(YEAR(B2192),MONTH(B2192),1)</f>
        <v>45931</v>
      </c>
      <c r="K2192" s="41" t="n">
        <f aca="false">D2192*E2192</f>
        <v>73.75</v>
      </c>
      <c r="L2192" s="41" t="n">
        <f aca="false">D2192*I2192</f>
        <v>38</v>
      </c>
      <c r="M2192" s="41" t="n">
        <f aca="false">IFERROR(INDEX(Raw_Expenses!$C$5:$C$2979,MATCH(A2192,Raw_Expenses!$A$5:$A$2979,0)),0)</f>
        <v>5.91</v>
      </c>
      <c r="N2192" s="41" t="n">
        <f aca="false">L2192+M2192</f>
        <v>43.91</v>
      </c>
      <c r="O2192" s="41" t="n">
        <f aca="false">K2192-N2192</f>
        <v>29.84</v>
      </c>
      <c r="P2192" s="43" t="n">
        <f aca="false">IF(K2192=0,0,O2192/K2192)</f>
        <v>0.404610169491525</v>
      </c>
    </row>
    <row r="2193" customFormat="false" ht="15" hidden="false" customHeight="false" outlineLevel="0" collapsed="false">
      <c r="A2193" s="39" t="s">
        <v>2315</v>
      </c>
      <c r="B2193" s="40" t="n">
        <v>45952</v>
      </c>
      <c r="C2193" s="39" t="s">
        <v>130</v>
      </c>
      <c r="D2193" s="39" t="n">
        <v>3</v>
      </c>
      <c r="E2193" s="41" t="n">
        <v>8.91</v>
      </c>
      <c r="F2193" s="39" t="s">
        <v>118</v>
      </c>
      <c r="G2193" s="39" t="str">
        <f aca="false">VLOOKUP(C2193,Products!$A$5:$D$24,2,FALSE())</f>
        <v>Notebook Set</v>
      </c>
      <c r="H2193" s="39" t="str">
        <f aca="false">VLOOKUP(C2193,Products!$A$5:$D$24,3,FALSE())</f>
        <v>Stationery</v>
      </c>
      <c r="I2193" s="41" t="n">
        <f aca="false">VLOOKUP(C2193,Products!$A$5:$D$24,4,FALSE())</f>
        <v>3</v>
      </c>
      <c r="J2193" s="42" t="n">
        <f aca="false">DATE(YEAR(B2193),MONTH(B2193),1)</f>
        <v>45931</v>
      </c>
      <c r="K2193" s="41" t="n">
        <f aca="false">D2193*E2193</f>
        <v>26.73</v>
      </c>
      <c r="L2193" s="41" t="n">
        <f aca="false">D2193*I2193</f>
        <v>9</v>
      </c>
      <c r="M2193" s="41" t="n">
        <f aca="false">IFERROR(INDEX(Raw_Expenses!$C$5:$C$2979,MATCH(A2193,Raw_Expenses!$A$5:$A$2979,0)),0)</f>
        <v>2.03</v>
      </c>
      <c r="N2193" s="41" t="n">
        <f aca="false">L2193+M2193</f>
        <v>11.03</v>
      </c>
      <c r="O2193" s="41" t="n">
        <f aca="false">K2193-N2193</f>
        <v>15.7</v>
      </c>
      <c r="P2193" s="43" t="n">
        <f aca="false">IF(K2193=0,0,O2193/K2193)</f>
        <v>0.587355031799476</v>
      </c>
    </row>
    <row r="2194" customFormat="false" ht="15" hidden="false" customHeight="false" outlineLevel="0" collapsed="false">
      <c r="A2194" s="39" t="s">
        <v>2316</v>
      </c>
      <c r="B2194" s="40" t="n">
        <v>45952</v>
      </c>
      <c r="C2194" s="39" t="s">
        <v>104</v>
      </c>
      <c r="D2194" s="39" t="n">
        <v>2</v>
      </c>
      <c r="E2194" s="41" t="n">
        <v>15.44</v>
      </c>
      <c r="F2194" s="39" t="s">
        <v>115</v>
      </c>
      <c r="G2194" s="39" t="str">
        <f aca="false">VLOOKUP(C2194,Products!$A$5:$D$24,2,FALSE())</f>
        <v>Water Bottle</v>
      </c>
      <c r="H2194" s="39" t="str">
        <f aca="false">VLOOKUP(C2194,Products!$A$5:$D$24,3,FALSE())</f>
        <v>Accessories</v>
      </c>
      <c r="I2194" s="41" t="n">
        <f aca="false">VLOOKUP(C2194,Products!$A$5:$D$24,4,FALSE())</f>
        <v>5</v>
      </c>
      <c r="J2194" s="42" t="n">
        <f aca="false">DATE(YEAR(B2194),MONTH(B2194),1)</f>
        <v>45931</v>
      </c>
      <c r="K2194" s="41" t="n">
        <f aca="false">D2194*E2194</f>
        <v>30.88</v>
      </c>
      <c r="L2194" s="41" t="n">
        <f aca="false">D2194*I2194</f>
        <v>10</v>
      </c>
      <c r="M2194" s="41" t="n">
        <f aca="false">IFERROR(INDEX(Raw_Expenses!$C$5:$C$2979,MATCH(A2194,Raw_Expenses!$A$5:$A$2979,0)),0)</f>
        <v>1.87</v>
      </c>
      <c r="N2194" s="41" t="n">
        <f aca="false">L2194+M2194</f>
        <v>11.87</v>
      </c>
      <c r="O2194" s="41" t="n">
        <f aca="false">K2194-N2194</f>
        <v>19.01</v>
      </c>
      <c r="P2194" s="43" t="n">
        <f aca="false">IF(K2194=0,0,O2194/K2194)</f>
        <v>0.615608808290155</v>
      </c>
    </row>
    <row r="2195" customFormat="false" ht="15" hidden="false" customHeight="false" outlineLevel="0" collapsed="false">
      <c r="A2195" s="39" t="s">
        <v>2317</v>
      </c>
      <c r="B2195" s="40" t="n">
        <v>45952</v>
      </c>
      <c r="C2195" s="39" t="s">
        <v>110</v>
      </c>
      <c r="D2195" s="39" t="n">
        <v>4</v>
      </c>
      <c r="E2195" s="41" t="n">
        <v>13.92</v>
      </c>
      <c r="F2195" s="39" t="s">
        <v>105</v>
      </c>
      <c r="G2195" s="39" t="str">
        <f aca="false">VLOOKUP(C2195,Products!$A$5:$D$24,2,FALSE())</f>
        <v>Phone Stand</v>
      </c>
      <c r="H2195" s="39" t="str">
        <f aca="false">VLOOKUP(C2195,Products!$A$5:$D$24,3,FALSE())</f>
        <v>Accessories</v>
      </c>
      <c r="I2195" s="41" t="n">
        <f aca="false">VLOOKUP(C2195,Products!$A$5:$D$24,4,FALSE())</f>
        <v>4</v>
      </c>
      <c r="J2195" s="42" t="n">
        <f aca="false">DATE(YEAR(B2195),MONTH(B2195),1)</f>
        <v>45931</v>
      </c>
      <c r="K2195" s="41" t="n">
        <f aca="false">D2195*E2195</f>
        <v>55.68</v>
      </c>
      <c r="L2195" s="41" t="n">
        <f aca="false">D2195*I2195</f>
        <v>16</v>
      </c>
      <c r="M2195" s="41" t="n">
        <f aca="false">IFERROR(INDEX(Raw_Expenses!$C$5:$C$2979,MATCH(A2195,Raw_Expenses!$A$5:$A$2979,0)),0)</f>
        <v>4.87</v>
      </c>
      <c r="N2195" s="41" t="n">
        <f aca="false">L2195+M2195</f>
        <v>20.87</v>
      </c>
      <c r="O2195" s="41" t="n">
        <f aca="false">K2195-N2195</f>
        <v>34.81</v>
      </c>
      <c r="P2195" s="43" t="n">
        <f aca="false">IF(K2195=0,0,O2195/K2195)</f>
        <v>0.62517959770115</v>
      </c>
    </row>
    <row r="2196" customFormat="false" ht="15" hidden="false" customHeight="false" outlineLevel="0" collapsed="false">
      <c r="A2196" s="39" t="s">
        <v>2318</v>
      </c>
      <c r="B2196" s="40" t="n">
        <v>45952</v>
      </c>
      <c r="C2196" s="39" t="s">
        <v>133</v>
      </c>
      <c r="D2196" s="39" t="n">
        <v>3</v>
      </c>
      <c r="E2196" s="41" t="n">
        <v>8.97</v>
      </c>
      <c r="F2196" s="39" t="s">
        <v>108</v>
      </c>
      <c r="G2196" s="39" t="str">
        <f aca="false">VLOOKUP(C2196,Products!$A$5:$D$24,2,FALSE())</f>
        <v>Printer Paper Ream</v>
      </c>
      <c r="H2196" s="39" t="str">
        <f aca="false">VLOOKUP(C2196,Products!$A$5:$D$24,3,FALSE())</f>
        <v>Stationery</v>
      </c>
      <c r="I2196" s="41" t="n">
        <f aca="false">VLOOKUP(C2196,Products!$A$5:$D$24,4,FALSE())</f>
        <v>4</v>
      </c>
      <c r="J2196" s="42" t="n">
        <f aca="false">DATE(YEAR(B2196),MONTH(B2196),1)</f>
        <v>45931</v>
      </c>
      <c r="K2196" s="41" t="n">
        <f aca="false">D2196*E2196</f>
        <v>26.91</v>
      </c>
      <c r="L2196" s="41" t="n">
        <f aca="false">D2196*I2196</f>
        <v>12</v>
      </c>
      <c r="M2196" s="41" t="n">
        <f aca="false">IFERROR(INDEX(Raw_Expenses!$C$5:$C$2979,MATCH(A2196,Raw_Expenses!$A$5:$A$2979,0)),0)</f>
        <v>2.42</v>
      </c>
      <c r="N2196" s="41" t="n">
        <f aca="false">L2196+M2196</f>
        <v>14.42</v>
      </c>
      <c r="O2196" s="41" t="n">
        <f aca="false">K2196-N2196</f>
        <v>12.49</v>
      </c>
      <c r="P2196" s="43" t="n">
        <f aca="false">IF(K2196=0,0,O2196/K2196)</f>
        <v>0.46413972500929</v>
      </c>
    </row>
    <row r="2197" customFormat="false" ht="15" hidden="false" customHeight="false" outlineLevel="0" collapsed="false">
      <c r="A2197" s="39" t="s">
        <v>2319</v>
      </c>
      <c r="B2197" s="40" t="n">
        <v>45952</v>
      </c>
      <c r="C2197" s="39" t="s">
        <v>177</v>
      </c>
      <c r="D2197" s="39" t="n">
        <v>3</v>
      </c>
      <c r="E2197" s="41" t="n">
        <v>42.01</v>
      </c>
      <c r="F2197" s="39" t="s">
        <v>105</v>
      </c>
      <c r="G2197" s="39" t="str">
        <f aca="false">VLOOKUP(C2197,Products!$A$5:$D$24,2,FALSE())</f>
        <v>Backpack</v>
      </c>
      <c r="H2197" s="39" t="str">
        <f aca="false">VLOOKUP(C2197,Products!$A$5:$D$24,3,FALSE())</f>
        <v>Accessories</v>
      </c>
      <c r="I2197" s="41" t="n">
        <f aca="false">VLOOKUP(C2197,Products!$A$5:$D$24,4,FALSE())</f>
        <v>17</v>
      </c>
      <c r="J2197" s="42" t="n">
        <f aca="false">DATE(YEAR(B2197),MONTH(B2197),1)</f>
        <v>45931</v>
      </c>
      <c r="K2197" s="41" t="n">
        <f aca="false">D2197*E2197</f>
        <v>126.03</v>
      </c>
      <c r="L2197" s="41" t="n">
        <f aca="false">D2197*I2197</f>
        <v>51</v>
      </c>
      <c r="M2197" s="41" t="n">
        <f aca="false">IFERROR(INDEX(Raw_Expenses!$C$5:$C$2979,MATCH(A2197,Raw_Expenses!$A$5:$A$2979,0)),0)</f>
        <v>7.23</v>
      </c>
      <c r="N2197" s="41" t="n">
        <f aca="false">L2197+M2197</f>
        <v>58.23</v>
      </c>
      <c r="O2197" s="41" t="n">
        <f aca="false">K2197-N2197</f>
        <v>67.8</v>
      </c>
      <c r="P2197" s="43" t="n">
        <f aca="false">IF(K2197=0,0,O2197/K2197)</f>
        <v>0.53796715067841</v>
      </c>
    </row>
    <row r="2198" customFormat="false" ht="15" hidden="false" customHeight="false" outlineLevel="0" collapsed="false">
      <c r="A2198" s="39" t="s">
        <v>2320</v>
      </c>
      <c r="B2198" s="40" t="n">
        <v>45953</v>
      </c>
      <c r="C2198" s="39" t="s">
        <v>126</v>
      </c>
      <c r="D2198" s="39" t="n">
        <v>2</v>
      </c>
      <c r="E2198" s="41" t="n">
        <v>24.87</v>
      </c>
      <c r="F2198" s="39" t="s">
        <v>118</v>
      </c>
      <c r="G2198" s="39" t="str">
        <f aca="false">VLOOKUP(C2198,Products!$A$5:$D$24,2,FALSE())</f>
        <v>Wireless Mouse</v>
      </c>
      <c r="H2198" s="39" t="str">
        <f aca="false">VLOOKUP(C2198,Products!$A$5:$D$24,3,FALSE())</f>
        <v>Electronics</v>
      </c>
      <c r="I2198" s="41" t="n">
        <f aca="false">VLOOKUP(C2198,Products!$A$5:$D$24,4,FALSE())</f>
        <v>12</v>
      </c>
      <c r="J2198" s="42" t="n">
        <f aca="false">DATE(YEAR(B2198),MONTH(B2198),1)</f>
        <v>45931</v>
      </c>
      <c r="K2198" s="41" t="n">
        <f aca="false">D2198*E2198</f>
        <v>49.74</v>
      </c>
      <c r="L2198" s="41" t="n">
        <f aca="false">D2198*I2198</f>
        <v>24</v>
      </c>
      <c r="M2198" s="41" t="n">
        <f aca="false">IFERROR(INDEX(Raw_Expenses!$C$5:$C$2979,MATCH(A2198,Raw_Expenses!$A$5:$A$2979,0)),0)</f>
        <v>4.47</v>
      </c>
      <c r="N2198" s="41" t="n">
        <f aca="false">L2198+M2198</f>
        <v>28.47</v>
      </c>
      <c r="O2198" s="41" t="n">
        <f aca="false">K2198-N2198</f>
        <v>21.27</v>
      </c>
      <c r="P2198" s="43" t="n">
        <f aca="false">IF(K2198=0,0,O2198/K2198)</f>
        <v>0.427623642943305</v>
      </c>
    </row>
    <row r="2199" customFormat="false" ht="15" hidden="false" customHeight="false" outlineLevel="0" collapsed="false">
      <c r="A2199" s="39" t="s">
        <v>2321</v>
      </c>
      <c r="B2199" s="40" t="n">
        <v>45953</v>
      </c>
      <c r="C2199" s="39" t="s">
        <v>136</v>
      </c>
      <c r="D2199" s="39" t="n">
        <v>5</v>
      </c>
      <c r="E2199" s="41" t="n">
        <v>74.89</v>
      </c>
      <c r="F2199" s="39" t="s">
        <v>118</v>
      </c>
      <c r="G2199" s="39" t="str">
        <f aca="false">VLOOKUP(C2199,Products!$A$5:$D$24,2,FALSE())</f>
        <v>Mechanical Keyboard</v>
      </c>
      <c r="H2199" s="39" t="str">
        <f aca="false">VLOOKUP(C2199,Products!$A$5:$D$24,3,FALSE())</f>
        <v>Electronics</v>
      </c>
      <c r="I2199" s="41" t="n">
        <f aca="false">VLOOKUP(C2199,Products!$A$5:$D$24,4,FALSE())</f>
        <v>38</v>
      </c>
      <c r="J2199" s="42" t="n">
        <f aca="false">DATE(YEAR(B2199),MONTH(B2199),1)</f>
        <v>45931</v>
      </c>
      <c r="K2199" s="41" t="n">
        <f aca="false">D2199*E2199</f>
        <v>374.45</v>
      </c>
      <c r="L2199" s="41" t="n">
        <f aca="false">D2199*I2199</f>
        <v>190</v>
      </c>
      <c r="M2199" s="41" t="n">
        <f aca="false">IFERROR(INDEX(Raw_Expenses!$C$5:$C$2979,MATCH(A2199,Raw_Expenses!$A$5:$A$2979,0)),0)</f>
        <v>18.16</v>
      </c>
      <c r="N2199" s="41" t="n">
        <f aca="false">L2199+M2199</f>
        <v>208.16</v>
      </c>
      <c r="O2199" s="41" t="n">
        <f aca="false">K2199-N2199</f>
        <v>166.29</v>
      </c>
      <c r="P2199" s="43" t="n">
        <f aca="false">IF(K2199=0,0,O2199/K2199)</f>
        <v>0.44409133395647</v>
      </c>
    </row>
    <row r="2200" customFormat="false" ht="15" hidden="false" customHeight="false" outlineLevel="0" collapsed="false">
      <c r="A2200" s="39" t="s">
        <v>2322</v>
      </c>
      <c r="B2200" s="40" t="n">
        <v>45953</v>
      </c>
      <c r="C2200" s="39" t="s">
        <v>104</v>
      </c>
      <c r="D2200" s="39" t="n">
        <v>4</v>
      </c>
      <c r="E2200" s="41" t="n">
        <v>15.71</v>
      </c>
      <c r="F2200" s="39" t="s">
        <v>108</v>
      </c>
      <c r="G2200" s="39" t="str">
        <f aca="false">VLOOKUP(C2200,Products!$A$5:$D$24,2,FALSE())</f>
        <v>Water Bottle</v>
      </c>
      <c r="H2200" s="39" t="str">
        <f aca="false">VLOOKUP(C2200,Products!$A$5:$D$24,3,FALSE())</f>
        <v>Accessories</v>
      </c>
      <c r="I2200" s="41" t="n">
        <f aca="false">VLOOKUP(C2200,Products!$A$5:$D$24,4,FALSE())</f>
        <v>5</v>
      </c>
      <c r="J2200" s="42" t="n">
        <f aca="false">DATE(YEAR(B2200),MONTH(B2200),1)</f>
        <v>45931</v>
      </c>
      <c r="K2200" s="41" t="n">
        <f aca="false">D2200*E2200</f>
        <v>62.84</v>
      </c>
      <c r="L2200" s="41" t="n">
        <f aca="false">D2200*I2200</f>
        <v>20</v>
      </c>
      <c r="M2200" s="41" t="n">
        <f aca="false">IFERROR(INDEX(Raw_Expenses!$C$5:$C$2979,MATCH(A2200,Raw_Expenses!$A$5:$A$2979,0)),0)</f>
        <v>5.2</v>
      </c>
      <c r="N2200" s="41" t="n">
        <f aca="false">L2200+M2200</f>
        <v>25.2</v>
      </c>
      <c r="O2200" s="41" t="n">
        <f aca="false">K2200-N2200</f>
        <v>37.64</v>
      </c>
      <c r="P2200" s="43" t="n">
        <f aca="false">IF(K2200=0,0,O2200/K2200)</f>
        <v>0.598981540420115</v>
      </c>
    </row>
    <row r="2201" customFormat="false" ht="15" hidden="false" customHeight="false" outlineLevel="0" collapsed="false">
      <c r="A2201" s="39" t="s">
        <v>2323</v>
      </c>
      <c r="B2201" s="40" t="n">
        <v>45953</v>
      </c>
      <c r="C2201" s="39" t="s">
        <v>136</v>
      </c>
      <c r="D2201" s="39" t="n">
        <v>2</v>
      </c>
      <c r="E2201" s="41" t="n">
        <v>74.63</v>
      </c>
      <c r="F2201" s="39" t="s">
        <v>108</v>
      </c>
      <c r="G2201" s="39" t="str">
        <f aca="false">VLOOKUP(C2201,Products!$A$5:$D$24,2,FALSE())</f>
        <v>Mechanical Keyboard</v>
      </c>
      <c r="H2201" s="39" t="str">
        <f aca="false">VLOOKUP(C2201,Products!$A$5:$D$24,3,FALSE())</f>
        <v>Electronics</v>
      </c>
      <c r="I2201" s="41" t="n">
        <f aca="false">VLOOKUP(C2201,Products!$A$5:$D$24,4,FALSE())</f>
        <v>38</v>
      </c>
      <c r="J2201" s="42" t="n">
        <f aca="false">DATE(YEAR(B2201),MONTH(B2201),1)</f>
        <v>45931</v>
      </c>
      <c r="K2201" s="41" t="n">
        <f aca="false">D2201*E2201</f>
        <v>149.26</v>
      </c>
      <c r="L2201" s="41" t="n">
        <f aca="false">D2201*I2201</f>
        <v>76</v>
      </c>
      <c r="M2201" s="41" t="n">
        <f aca="false">IFERROR(INDEX(Raw_Expenses!$C$5:$C$2979,MATCH(A2201,Raw_Expenses!$A$5:$A$2979,0)),0)</f>
        <v>12.83</v>
      </c>
      <c r="N2201" s="41" t="n">
        <f aca="false">L2201+M2201</f>
        <v>88.83</v>
      </c>
      <c r="O2201" s="41" t="n">
        <f aca="false">K2201-N2201</f>
        <v>60.43</v>
      </c>
      <c r="P2201" s="43" t="n">
        <f aca="false">IF(K2201=0,0,O2201/K2201)</f>
        <v>0.40486399571218</v>
      </c>
    </row>
    <row r="2202" customFormat="false" ht="15" hidden="false" customHeight="false" outlineLevel="0" collapsed="false">
      <c r="A2202" s="39" t="s">
        <v>2324</v>
      </c>
      <c r="B2202" s="40" t="n">
        <v>45953</v>
      </c>
      <c r="C2202" s="39" t="s">
        <v>136</v>
      </c>
      <c r="D2202" s="39" t="n">
        <v>3</v>
      </c>
      <c r="E2202" s="41" t="n">
        <v>73.16</v>
      </c>
      <c r="F2202" s="39" t="s">
        <v>108</v>
      </c>
      <c r="G2202" s="39" t="str">
        <f aca="false">VLOOKUP(C2202,Products!$A$5:$D$24,2,FALSE())</f>
        <v>Mechanical Keyboard</v>
      </c>
      <c r="H2202" s="39" t="str">
        <f aca="false">VLOOKUP(C2202,Products!$A$5:$D$24,3,FALSE())</f>
        <v>Electronics</v>
      </c>
      <c r="I2202" s="41" t="n">
        <f aca="false">VLOOKUP(C2202,Products!$A$5:$D$24,4,FALSE())</f>
        <v>38</v>
      </c>
      <c r="J2202" s="42" t="n">
        <f aca="false">DATE(YEAR(B2202),MONTH(B2202),1)</f>
        <v>45931</v>
      </c>
      <c r="K2202" s="41" t="n">
        <f aca="false">D2202*E2202</f>
        <v>219.48</v>
      </c>
      <c r="L2202" s="41" t="n">
        <f aca="false">D2202*I2202</f>
        <v>114</v>
      </c>
      <c r="M2202" s="41" t="n">
        <f aca="false">IFERROR(INDEX(Raw_Expenses!$C$5:$C$2979,MATCH(A2202,Raw_Expenses!$A$5:$A$2979,0)),0)</f>
        <v>9.06</v>
      </c>
      <c r="N2202" s="41" t="n">
        <f aca="false">L2202+M2202</f>
        <v>123.06</v>
      </c>
      <c r="O2202" s="41" t="n">
        <f aca="false">K2202-N2202</f>
        <v>96.42</v>
      </c>
      <c r="P2202" s="43" t="n">
        <f aca="false">IF(K2202=0,0,O2202/K2202)</f>
        <v>0.439311098961181</v>
      </c>
    </row>
    <row r="2203" customFormat="false" ht="15" hidden="false" customHeight="false" outlineLevel="0" collapsed="false">
      <c r="A2203" s="39" t="s">
        <v>2325</v>
      </c>
      <c r="B2203" s="40" t="n">
        <v>45953</v>
      </c>
      <c r="C2203" s="39" t="s">
        <v>110</v>
      </c>
      <c r="D2203" s="39" t="n">
        <v>2</v>
      </c>
      <c r="E2203" s="41" t="n">
        <v>13.92</v>
      </c>
      <c r="F2203" s="39" t="s">
        <v>108</v>
      </c>
      <c r="G2203" s="39" t="str">
        <f aca="false">VLOOKUP(C2203,Products!$A$5:$D$24,2,FALSE())</f>
        <v>Phone Stand</v>
      </c>
      <c r="H2203" s="39" t="str">
        <f aca="false">VLOOKUP(C2203,Products!$A$5:$D$24,3,FALSE())</f>
        <v>Accessories</v>
      </c>
      <c r="I2203" s="41" t="n">
        <f aca="false">VLOOKUP(C2203,Products!$A$5:$D$24,4,FALSE())</f>
        <v>4</v>
      </c>
      <c r="J2203" s="42" t="n">
        <f aca="false">DATE(YEAR(B2203),MONTH(B2203),1)</f>
        <v>45931</v>
      </c>
      <c r="K2203" s="41" t="n">
        <f aca="false">D2203*E2203</f>
        <v>27.84</v>
      </c>
      <c r="L2203" s="41" t="n">
        <f aca="false">D2203*I2203</f>
        <v>8</v>
      </c>
      <c r="M2203" s="41" t="n">
        <f aca="false">IFERROR(INDEX(Raw_Expenses!$C$5:$C$2979,MATCH(A2203,Raw_Expenses!$A$5:$A$2979,0)),0)</f>
        <v>1.9</v>
      </c>
      <c r="N2203" s="41" t="n">
        <f aca="false">L2203+M2203</f>
        <v>9.9</v>
      </c>
      <c r="O2203" s="41" t="n">
        <f aca="false">K2203-N2203</f>
        <v>17.94</v>
      </c>
      <c r="P2203" s="43" t="n">
        <f aca="false">IF(K2203=0,0,O2203/K2203)</f>
        <v>0.644396551724138</v>
      </c>
    </row>
    <row r="2204" customFormat="false" ht="15" hidden="false" customHeight="false" outlineLevel="0" collapsed="false">
      <c r="A2204" s="39" t="s">
        <v>2326</v>
      </c>
      <c r="B2204" s="40" t="n">
        <v>45953</v>
      </c>
      <c r="C2204" s="39" t="s">
        <v>104</v>
      </c>
      <c r="D2204" s="39" t="n">
        <v>6</v>
      </c>
      <c r="E2204" s="41" t="n">
        <v>15.3</v>
      </c>
      <c r="F2204" s="39" t="s">
        <v>115</v>
      </c>
      <c r="G2204" s="39" t="str">
        <f aca="false">VLOOKUP(C2204,Products!$A$5:$D$24,2,FALSE())</f>
        <v>Water Bottle</v>
      </c>
      <c r="H2204" s="39" t="str">
        <f aca="false">VLOOKUP(C2204,Products!$A$5:$D$24,3,FALSE())</f>
        <v>Accessories</v>
      </c>
      <c r="I2204" s="41" t="n">
        <f aca="false">VLOOKUP(C2204,Products!$A$5:$D$24,4,FALSE())</f>
        <v>5</v>
      </c>
      <c r="J2204" s="42" t="n">
        <f aca="false">DATE(YEAR(B2204),MONTH(B2204),1)</f>
        <v>45931</v>
      </c>
      <c r="K2204" s="41" t="n">
        <f aca="false">D2204*E2204</f>
        <v>91.8</v>
      </c>
      <c r="L2204" s="41" t="n">
        <f aca="false">D2204*I2204</f>
        <v>30</v>
      </c>
      <c r="M2204" s="41" t="n">
        <f aca="false">IFERROR(INDEX(Raw_Expenses!$C$5:$C$2979,MATCH(A2204,Raw_Expenses!$A$5:$A$2979,0)),0)</f>
        <v>7.55</v>
      </c>
      <c r="N2204" s="41" t="n">
        <f aca="false">L2204+M2204</f>
        <v>37.55</v>
      </c>
      <c r="O2204" s="41" t="n">
        <f aca="false">K2204-N2204</f>
        <v>54.25</v>
      </c>
      <c r="P2204" s="43" t="n">
        <f aca="false">IF(K2204=0,0,O2204/K2204)</f>
        <v>0.590958605664488</v>
      </c>
    </row>
    <row r="2205" customFormat="false" ht="15" hidden="false" customHeight="false" outlineLevel="0" collapsed="false">
      <c r="A2205" s="39" t="s">
        <v>2327</v>
      </c>
      <c r="B2205" s="40" t="n">
        <v>45954</v>
      </c>
      <c r="C2205" s="39" t="s">
        <v>133</v>
      </c>
      <c r="D2205" s="39" t="n">
        <v>6</v>
      </c>
      <c r="E2205" s="41" t="n">
        <v>8.87</v>
      </c>
      <c r="F2205" s="39" t="s">
        <v>108</v>
      </c>
      <c r="G2205" s="39" t="str">
        <f aca="false">VLOOKUP(C2205,Products!$A$5:$D$24,2,FALSE())</f>
        <v>Printer Paper Ream</v>
      </c>
      <c r="H2205" s="39" t="str">
        <f aca="false">VLOOKUP(C2205,Products!$A$5:$D$24,3,FALSE())</f>
        <v>Stationery</v>
      </c>
      <c r="I2205" s="41" t="n">
        <f aca="false">VLOOKUP(C2205,Products!$A$5:$D$24,4,FALSE())</f>
        <v>4</v>
      </c>
      <c r="J2205" s="42" t="n">
        <f aca="false">DATE(YEAR(B2205),MONTH(B2205),1)</f>
        <v>45931</v>
      </c>
      <c r="K2205" s="41" t="n">
        <f aca="false">D2205*E2205</f>
        <v>53.22</v>
      </c>
      <c r="L2205" s="41" t="n">
        <f aca="false">D2205*I2205</f>
        <v>24</v>
      </c>
      <c r="M2205" s="41" t="n">
        <f aca="false">IFERROR(INDEX(Raw_Expenses!$C$5:$C$2979,MATCH(A2205,Raw_Expenses!$A$5:$A$2979,0)),0)</f>
        <v>4.36</v>
      </c>
      <c r="N2205" s="41" t="n">
        <f aca="false">L2205+M2205</f>
        <v>28.36</v>
      </c>
      <c r="O2205" s="41" t="n">
        <f aca="false">K2205-N2205</f>
        <v>24.86</v>
      </c>
      <c r="P2205" s="43" t="n">
        <f aca="false">IF(K2205=0,0,O2205/K2205)</f>
        <v>0.467117624953025</v>
      </c>
    </row>
    <row r="2206" customFormat="false" ht="15" hidden="false" customHeight="false" outlineLevel="0" collapsed="false">
      <c r="A2206" s="39" t="s">
        <v>2328</v>
      </c>
      <c r="B2206" s="40" t="n">
        <v>45954</v>
      </c>
      <c r="C2206" s="39" t="s">
        <v>114</v>
      </c>
      <c r="D2206" s="39" t="n">
        <v>1</v>
      </c>
      <c r="E2206" s="41" t="n">
        <v>5.73</v>
      </c>
      <c r="F2206" s="39" t="s">
        <v>115</v>
      </c>
      <c r="G2206" s="39" t="str">
        <f aca="false">VLOOKUP(C2206,Products!$A$5:$D$24,2,FALSE())</f>
        <v>Gel Pen Pack</v>
      </c>
      <c r="H2206" s="39" t="str">
        <f aca="false">VLOOKUP(C2206,Products!$A$5:$D$24,3,FALSE())</f>
        <v>Stationery</v>
      </c>
      <c r="I2206" s="41" t="n">
        <f aca="false">VLOOKUP(C2206,Products!$A$5:$D$24,4,FALSE())</f>
        <v>2</v>
      </c>
      <c r="J2206" s="42" t="n">
        <f aca="false">DATE(YEAR(B2206),MONTH(B2206),1)</f>
        <v>45931</v>
      </c>
      <c r="K2206" s="41" t="n">
        <f aca="false">D2206*E2206</f>
        <v>5.73</v>
      </c>
      <c r="L2206" s="41" t="n">
        <f aca="false">D2206*I2206</f>
        <v>2</v>
      </c>
      <c r="M2206" s="41" t="n">
        <f aca="false">IFERROR(INDEX(Raw_Expenses!$C$5:$C$2979,MATCH(A2206,Raw_Expenses!$A$5:$A$2979,0)),0)</f>
        <v>0.25</v>
      </c>
      <c r="N2206" s="41" t="n">
        <f aca="false">L2206+M2206</f>
        <v>2.25</v>
      </c>
      <c r="O2206" s="41" t="n">
        <f aca="false">K2206-N2206</f>
        <v>3.48</v>
      </c>
      <c r="P2206" s="43" t="n">
        <f aca="false">IF(K2206=0,0,O2206/K2206)</f>
        <v>0.607329842931937</v>
      </c>
    </row>
    <row r="2207" customFormat="false" ht="15" hidden="false" customHeight="false" outlineLevel="0" collapsed="false">
      <c r="A2207" s="39" t="s">
        <v>2329</v>
      </c>
      <c r="B2207" s="40" t="n">
        <v>45954</v>
      </c>
      <c r="C2207" s="39" t="s">
        <v>130</v>
      </c>
      <c r="D2207" s="39" t="n">
        <v>4</v>
      </c>
      <c r="E2207" s="41" t="n">
        <v>8.76</v>
      </c>
      <c r="F2207" s="39" t="s">
        <v>105</v>
      </c>
      <c r="G2207" s="39" t="str">
        <f aca="false">VLOOKUP(C2207,Products!$A$5:$D$24,2,FALSE())</f>
        <v>Notebook Set</v>
      </c>
      <c r="H2207" s="39" t="str">
        <f aca="false">VLOOKUP(C2207,Products!$A$5:$D$24,3,FALSE())</f>
        <v>Stationery</v>
      </c>
      <c r="I2207" s="41" t="n">
        <f aca="false">VLOOKUP(C2207,Products!$A$5:$D$24,4,FALSE())</f>
        <v>3</v>
      </c>
      <c r="J2207" s="42" t="n">
        <f aca="false">DATE(YEAR(B2207),MONTH(B2207),1)</f>
        <v>45931</v>
      </c>
      <c r="K2207" s="41" t="n">
        <f aca="false">D2207*E2207</f>
        <v>35.04</v>
      </c>
      <c r="L2207" s="41" t="n">
        <f aca="false">D2207*I2207</f>
        <v>12</v>
      </c>
      <c r="M2207" s="41" t="n">
        <f aca="false">IFERROR(INDEX(Raw_Expenses!$C$5:$C$2979,MATCH(A2207,Raw_Expenses!$A$5:$A$2979,0)),0)</f>
        <v>2.19</v>
      </c>
      <c r="N2207" s="41" t="n">
        <f aca="false">L2207+M2207</f>
        <v>14.19</v>
      </c>
      <c r="O2207" s="41" t="n">
        <f aca="false">K2207-N2207</f>
        <v>20.85</v>
      </c>
      <c r="P2207" s="43" t="n">
        <f aca="false">IF(K2207=0,0,O2207/K2207)</f>
        <v>0.595034246575343</v>
      </c>
    </row>
    <row r="2208" customFormat="false" ht="15" hidden="false" customHeight="false" outlineLevel="0" collapsed="false">
      <c r="A2208" s="39" t="s">
        <v>2330</v>
      </c>
      <c r="B2208" s="40" t="n">
        <v>45954</v>
      </c>
      <c r="C2208" s="39" t="s">
        <v>126</v>
      </c>
      <c r="D2208" s="39" t="n">
        <v>3</v>
      </c>
      <c r="E2208" s="41" t="n">
        <v>23.62</v>
      </c>
      <c r="F2208" s="39" t="s">
        <v>108</v>
      </c>
      <c r="G2208" s="39" t="str">
        <f aca="false">VLOOKUP(C2208,Products!$A$5:$D$24,2,FALSE())</f>
        <v>Wireless Mouse</v>
      </c>
      <c r="H2208" s="39" t="str">
        <f aca="false">VLOOKUP(C2208,Products!$A$5:$D$24,3,FALSE())</f>
        <v>Electronics</v>
      </c>
      <c r="I2208" s="41" t="n">
        <f aca="false">VLOOKUP(C2208,Products!$A$5:$D$24,4,FALSE())</f>
        <v>12</v>
      </c>
      <c r="J2208" s="42" t="n">
        <f aca="false">DATE(YEAR(B2208),MONTH(B2208),1)</f>
        <v>45931</v>
      </c>
      <c r="K2208" s="41" t="n">
        <f aca="false">D2208*E2208</f>
        <v>70.86</v>
      </c>
      <c r="L2208" s="41" t="n">
        <f aca="false">D2208*I2208</f>
        <v>36</v>
      </c>
      <c r="M2208" s="41" t="n">
        <f aca="false">IFERROR(INDEX(Raw_Expenses!$C$5:$C$2979,MATCH(A2208,Raw_Expenses!$A$5:$A$2979,0)),0)</f>
        <v>4.27</v>
      </c>
      <c r="N2208" s="41" t="n">
        <f aca="false">L2208+M2208</f>
        <v>40.27</v>
      </c>
      <c r="O2208" s="41" t="n">
        <f aca="false">K2208-N2208</f>
        <v>30.59</v>
      </c>
      <c r="P2208" s="43" t="n">
        <f aca="false">IF(K2208=0,0,O2208/K2208)</f>
        <v>0.431696302568445</v>
      </c>
    </row>
    <row r="2209" customFormat="false" ht="15" hidden="false" customHeight="false" outlineLevel="0" collapsed="false">
      <c r="A2209" s="39" t="s">
        <v>2331</v>
      </c>
      <c r="B2209" s="40" t="n">
        <v>45954</v>
      </c>
      <c r="C2209" s="39" t="s">
        <v>133</v>
      </c>
      <c r="D2209" s="39" t="n">
        <v>1</v>
      </c>
      <c r="E2209" s="41" t="n">
        <v>8.53</v>
      </c>
      <c r="F2209" s="39" t="s">
        <v>115</v>
      </c>
      <c r="G2209" s="39" t="str">
        <f aca="false">VLOOKUP(C2209,Products!$A$5:$D$24,2,FALSE())</f>
        <v>Printer Paper Ream</v>
      </c>
      <c r="H2209" s="39" t="str">
        <f aca="false">VLOOKUP(C2209,Products!$A$5:$D$24,3,FALSE())</f>
        <v>Stationery</v>
      </c>
      <c r="I2209" s="41" t="n">
        <f aca="false">VLOOKUP(C2209,Products!$A$5:$D$24,4,FALSE())</f>
        <v>4</v>
      </c>
      <c r="J2209" s="42" t="n">
        <f aca="false">DATE(YEAR(B2209),MONTH(B2209),1)</f>
        <v>45931</v>
      </c>
      <c r="K2209" s="41" t="n">
        <f aca="false">D2209*E2209</f>
        <v>8.53</v>
      </c>
      <c r="L2209" s="41" t="n">
        <f aca="false">D2209*I2209</f>
        <v>4</v>
      </c>
      <c r="M2209" s="41" t="n">
        <f aca="false">IFERROR(INDEX(Raw_Expenses!$C$5:$C$2979,MATCH(A2209,Raw_Expenses!$A$5:$A$2979,0)),0)</f>
        <v>0.6</v>
      </c>
      <c r="N2209" s="41" t="n">
        <f aca="false">L2209+M2209</f>
        <v>4.6</v>
      </c>
      <c r="O2209" s="41" t="n">
        <f aca="false">K2209-N2209</f>
        <v>3.93</v>
      </c>
      <c r="P2209" s="43" t="n">
        <f aca="false">IF(K2209=0,0,O2209/K2209)</f>
        <v>0.460726846424385</v>
      </c>
    </row>
    <row r="2210" customFormat="false" ht="15" hidden="false" customHeight="false" outlineLevel="0" collapsed="false">
      <c r="A2210" s="39" t="s">
        <v>2332</v>
      </c>
      <c r="B2210" s="40" t="n">
        <v>45954</v>
      </c>
      <c r="C2210" s="39" t="s">
        <v>169</v>
      </c>
      <c r="D2210" s="39" t="n">
        <v>3</v>
      </c>
      <c r="E2210" s="41" t="n">
        <v>28.57</v>
      </c>
      <c r="F2210" s="39" t="s">
        <v>108</v>
      </c>
      <c r="G2210" s="39" t="str">
        <f aca="false">VLOOKUP(C2210,Products!$A$5:$D$24,2,FALSE())</f>
        <v>Laptop Stand</v>
      </c>
      <c r="H2210" s="39" t="str">
        <f aca="false">VLOOKUP(C2210,Products!$A$5:$D$24,3,FALSE())</f>
        <v>Accessories</v>
      </c>
      <c r="I2210" s="41" t="n">
        <f aca="false">VLOOKUP(C2210,Products!$A$5:$D$24,4,FALSE())</f>
        <v>11</v>
      </c>
      <c r="J2210" s="42" t="n">
        <f aca="false">DATE(YEAR(B2210),MONTH(B2210),1)</f>
        <v>45931</v>
      </c>
      <c r="K2210" s="41" t="n">
        <f aca="false">D2210*E2210</f>
        <v>85.71</v>
      </c>
      <c r="L2210" s="41" t="n">
        <f aca="false">D2210*I2210</f>
        <v>33</v>
      </c>
      <c r="M2210" s="41" t="n">
        <f aca="false">IFERROR(INDEX(Raw_Expenses!$C$5:$C$2979,MATCH(A2210,Raw_Expenses!$A$5:$A$2979,0)),0)</f>
        <v>6.27</v>
      </c>
      <c r="N2210" s="41" t="n">
        <f aca="false">L2210+M2210</f>
        <v>39.27</v>
      </c>
      <c r="O2210" s="41" t="n">
        <f aca="false">K2210-N2210</f>
        <v>46.44</v>
      </c>
      <c r="P2210" s="43" t="n">
        <f aca="false">IF(K2210=0,0,O2210/K2210)</f>
        <v>0.541827091354568</v>
      </c>
    </row>
    <row r="2211" customFormat="false" ht="15" hidden="false" customHeight="false" outlineLevel="0" collapsed="false">
      <c r="A2211" s="39" t="s">
        <v>2333</v>
      </c>
      <c r="B2211" s="40" t="n">
        <v>45954</v>
      </c>
      <c r="C2211" s="39" t="s">
        <v>177</v>
      </c>
      <c r="D2211" s="39" t="n">
        <v>3</v>
      </c>
      <c r="E2211" s="41" t="n">
        <v>43.79</v>
      </c>
      <c r="F2211" s="39" t="s">
        <v>105</v>
      </c>
      <c r="G2211" s="39" t="str">
        <f aca="false">VLOOKUP(C2211,Products!$A$5:$D$24,2,FALSE())</f>
        <v>Backpack</v>
      </c>
      <c r="H2211" s="39" t="str">
        <f aca="false">VLOOKUP(C2211,Products!$A$5:$D$24,3,FALSE())</f>
        <v>Accessories</v>
      </c>
      <c r="I2211" s="41" t="n">
        <f aca="false">VLOOKUP(C2211,Products!$A$5:$D$24,4,FALSE())</f>
        <v>17</v>
      </c>
      <c r="J2211" s="42" t="n">
        <f aca="false">DATE(YEAR(B2211),MONTH(B2211),1)</f>
        <v>45931</v>
      </c>
      <c r="K2211" s="41" t="n">
        <f aca="false">D2211*E2211</f>
        <v>131.37</v>
      </c>
      <c r="L2211" s="41" t="n">
        <f aca="false">D2211*I2211</f>
        <v>51</v>
      </c>
      <c r="M2211" s="41" t="n">
        <f aca="false">IFERROR(INDEX(Raw_Expenses!$C$5:$C$2979,MATCH(A2211,Raw_Expenses!$A$5:$A$2979,0)),0)</f>
        <v>9.32</v>
      </c>
      <c r="N2211" s="41" t="n">
        <f aca="false">L2211+M2211</f>
        <v>60.32</v>
      </c>
      <c r="O2211" s="41" t="n">
        <f aca="false">K2211-N2211</f>
        <v>71.05</v>
      </c>
      <c r="P2211" s="43" t="n">
        <f aca="false">IF(K2211=0,0,O2211/K2211)</f>
        <v>0.54083885209713</v>
      </c>
    </row>
    <row r="2212" customFormat="false" ht="15" hidden="false" customHeight="false" outlineLevel="0" collapsed="false">
      <c r="A2212" s="39" t="s">
        <v>2334</v>
      </c>
      <c r="B2212" s="40" t="n">
        <v>45954</v>
      </c>
      <c r="C2212" s="39" t="s">
        <v>114</v>
      </c>
      <c r="D2212" s="39" t="n">
        <v>1</v>
      </c>
      <c r="E2212" s="41" t="n">
        <v>5.7</v>
      </c>
      <c r="F2212" s="39" t="s">
        <v>115</v>
      </c>
      <c r="G2212" s="39" t="str">
        <f aca="false">VLOOKUP(C2212,Products!$A$5:$D$24,2,FALSE())</f>
        <v>Gel Pen Pack</v>
      </c>
      <c r="H2212" s="39" t="str">
        <f aca="false">VLOOKUP(C2212,Products!$A$5:$D$24,3,FALSE())</f>
        <v>Stationery</v>
      </c>
      <c r="I2212" s="41" t="n">
        <f aca="false">VLOOKUP(C2212,Products!$A$5:$D$24,4,FALSE())</f>
        <v>2</v>
      </c>
      <c r="J2212" s="42" t="n">
        <f aca="false">DATE(YEAR(B2212),MONTH(B2212),1)</f>
        <v>45931</v>
      </c>
      <c r="K2212" s="41" t="n">
        <f aca="false">D2212*E2212</f>
        <v>5.7</v>
      </c>
      <c r="L2212" s="41" t="n">
        <f aca="false">D2212*I2212</f>
        <v>2</v>
      </c>
      <c r="M2212" s="41" t="n">
        <f aca="false">IFERROR(INDEX(Raw_Expenses!$C$5:$C$2979,MATCH(A2212,Raw_Expenses!$A$5:$A$2979,0)),0)</f>
        <v>0.47</v>
      </c>
      <c r="N2212" s="41" t="n">
        <f aca="false">L2212+M2212</f>
        <v>2.47</v>
      </c>
      <c r="O2212" s="41" t="n">
        <f aca="false">K2212-N2212</f>
        <v>3.23</v>
      </c>
      <c r="P2212" s="43" t="n">
        <f aca="false">IF(K2212=0,0,O2212/K2212)</f>
        <v>0.566666666666667</v>
      </c>
    </row>
    <row r="2213" customFormat="false" ht="15" hidden="false" customHeight="false" outlineLevel="0" collapsed="false">
      <c r="A2213" s="39" t="s">
        <v>2335</v>
      </c>
      <c r="B2213" s="40" t="n">
        <v>45954</v>
      </c>
      <c r="C2213" s="39" t="s">
        <v>114</v>
      </c>
      <c r="D2213" s="39" t="n">
        <v>1</v>
      </c>
      <c r="E2213" s="41" t="n">
        <v>5.58</v>
      </c>
      <c r="F2213" s="39" t="s">
        <v>105</v>
      </c>
      <c r="G2213" s="39" t="str">
        <f aca="false">VLOOKUP(C2213,Products!$A$5:$D$24,2,FALSE())</f>
        <v>Gel Pen Pack</v>
      </c>
      <c r="H2213" s="39" t="str">
        <f aca="false">VLOOKUP(C2213,Products!$A$5:$D$24,3,FALSE())</f>
        <v>Stationery</v>
      </c>
      <c r="I2213" s="41" t="n">
        <f aca="false">VLOOKUP(C2213,Products!$A$5:$D$24,4,FALSE())</f>
        <v>2</v>
      </c>
      <c r="J2213" s="42" t="n">
        <f aca="false">DATE(YEAR(B2213),MONTH(B2213),1)</f>
        <v>45931</v>
      </c>
      <c r="K2213" s="41" t="n">
        <f aca="false">D2213*E2213</f>
        <v>5.58</v>
      </c>
      <c r="L2213" s="41" t="n">
        <f aca="false">D2213*I2213</f>
        <v>2</v>
      </c>
      <c r="M2213" s="41" t="n">
        <f aca="false">IFERROR(INDEX(Raw_Expenses!$C$5:$C$2979,MATCH(A2213,Raw_Expenses!$A$5:$A$2979,0)),0)</f>
        <v>0.3</v>
      </c>
      <c r="N2213" s="41" t="n">
        <f aca="false">L2213+M2213</f>
        <v>2.3</v>
      </c>
      <c r="O2213" s="41" t="n">
        <f aca="false">K2213-N2213</f>
        <v>3.28</v>
      </c>
      <c r="P2213" s="43" t="n">
        <f aca="false">IF(K2213=0,0,O2213/K2213)</f>
        <v>0.587813620071685</v>
      </c>
    </row>
    <row r="2214" customFormat="false" ht="15" hidden="false" customHeight="false" outlineLevel="0" collapsed="false">
      <c r="A2214" s="39" t="s">
        <v>2336</v>
      </c>
      <c r="B2214" s="40" t="n">
        <v>45955</v>
      </c>
      <c r="C2214" s="39" t="s">
        <v>136</v>
      </c>
      <c r="D2214" s="39" t="n">
        <v>3</v>
      </c>
      <c r="E2214" s="41" t="n">
        <v>76.11</v>
      </c>
      <c r="F2214" s="39" t="s">
        <v>115</v>
      </c>
      <c r="G2214" s="39" t="str">
        <f aca="false">VLOOKUP(C2214,Products!$A$5:$D$24,2,FALSE())</f>
        <v>Mechanical Keyboard</v>
      </c>
      <c r="H2214" s="39" t="str">
        <f aca="false">VLOOKUP(C2214,Products!$A$5:$D$24,3,FALSE())</f>
        <v>Electronics</v>
      </c>
      <c r="I2214" s="41" t="n">
        <f aca="false">VLOOKUP(C2214,Products!$A$5:$D$24,4,FALSE())</f>
        <v>38</v>
      </c>
      <c r="J2214" s="42" t="n">
        <f aca="false">DATE(YEAR(B2214),MONTH(B2214),1)</f>
        <v>45931</v>
      </c>
      <c r="K2214" s="41" t="n">
        <f aca="false">D2214*E2214</f>
        <v>228.33</v>
      </c>
      <c r="L2214" s="41" t="n">
        <f aca="false">D2214*I2214</f>
        <v>114</v>
      </c>
      <c r="M2214" s="41" t="n">
        <f aca="false">IFERROR(INDEX(Raw_Expenses!$C$5:$C$2979,MATCH(A2214,Raw_Expenses!$A$5:$A$2979,0)),0)</f>
        <v>18.7</v>
      </c>
      <c r="N2214" s="41" t="n">
        <f aca="false">L2214+M2214</f>
        <v>132.7</v>
      </c>
      <c r="O2214" s="41" t="n">
        <f aca="false">K2214-N2214</f>
        <v>95.63</v>
      </c>
      <c r="P2214" s="43" t="n">
        <f aca="false">IF(K2214=0,0,O2214/K2214)</f>
        <v>0.418823632461788</v>
      </c>
    </row>
    <row r="2215" customFormat="false" ht="15" hidden="false" customHeight="false" outlineLevel="0" collapsed="false">
      <c r="A2215" s="39" t="s">
        <v>2337</v>
      </c>
      <c r="B2215" s="40" t="n">
        <v>45955</v>
      </c>
      <c r="C2215" s="39" t="s">
        <v>117</v>
      </c>
      <c r="D2215" s="39" t="n">
        <v>4</v>
      </c>
      <c r="E2215" s="41" t="n">
        <v>31.7</v>
      </c>
      <c r="F2215" s="39" t="s">
        <v>108</v>
      </c>
      <c r="G2215" s="39" t="str">
        <f aca="false">VLOOKUP(C2215,Products!$A$5:$D$24,2,FALSE())</f>
        <v>Desk Lamp</v>
      </c>
      <c r="H2215" s="39" t="str">
        <f aca="false">VLOOKUP(C2215,Products!$A$5:$D$24,3,FALSE())</f>
        <v>Furniture</v>
      </c>
      <c r="I2215" s="41" t="n">
        <f aca="false">VLOOKUP(C2215,Products!$A$5:$D$24,4,FALSE())</f>
        <v>13</v>
      </c>
      <c r="J2215" s="42" t="n">
        <f aca="false">DATE(YEAR(B2215),MONTH(B2215),1)</f>
        <v>45931</v>
      </c>
      <c r="K2215" s="41" t="n">
        <f aca="false">D2215*E2215</f>
        <v>126.8</v>
      </c>
      <c r="L2215" s="41" t="n">
        <f aca="false">D2215*I2215</f>
        <v>52</v>
      </c>
      <c r="M2215" s="41" t="n">
        <f aca="false">IFERROR(INDEX(Raw_Expenses!$C$5:$C$2979,MATCH(A2215,Raw_Expenses!$A$5:$A$2979,0)),0)</f>
        <v>10.31</v>
      </c>
      <c r="N2215" s="41" t="n">
        <f aca="false">L2215+M2215</f>
        <v>62.31</v>
      </c>
      <c r="O2215" s="41" t="n">
        <f aca="false">K2215-N2215</f>
        <v>64.49</v>
      </c>
      <c r="P2215" s="43" t="n">
        <f aca="false">IF(K2215=0,0,O2215/K2215)</f>
        <v>0.508596214511041</v>
      </c>
    </row>
    <row r="2216" customFormat="false" ht="15" hidden="false" customHeight="false" outlineLevel="0" collapsed="false">
      <c r="A2216" s="39" t="s">
        <v>2338</v>
      </c>
      <c r="B2216" s="40" t="n">
        <v>45955</v>
      </c>
      <c r="C2216" s="39" t="s">
        <v>177</v>
      </c>
      <c r="D2216" s="39" t="n">
        <v>5</v>
      </c>
      <c r="E2216" s="41" t="n">
        <v>43.17</v>
      </c>
      <c r="F2216" s="39" t="s">
        <v>105</v>
      </c>
      <c r="G2216" s="39" t="str">
        <f aca="false">VLOOKUP(C2216,Products!$A$5:$D$24,2,FALSE())</f>
        <v>Backpack</v>
      </c>
      <c r="H2216" s="39" t="str">
        <f aca="false">VLOOKUP(C2216,Products!$A$5:$D$24,3,FALSE())</f>
        <v>Accessories</v>
      </c>
      <c r="I2216" s="41" t="n">
        <f aca="false">VLOOKUP(C2216,Products!$A$5:$D$24,4,FALSE())</f>
        <v>17</v>
      </c>
      <c r="J2216" s="42" t="n">
        <f aca="false">DATE(YEAR(B2216),MONTH(B2216),1)</f>
        <v>45931</v>
      </c>
      <c r="K2216" s="41" t="n">
        <f aca="false">D2216*E2216</f>
        <v>215.85</v>
      </c>
      <c r="L2216" s="41" t="n">
        <f aca="false">D2216*I2216</f>
        <v>85</v>
      </c>
      <c r="M2216" s="41" t="n">
        <f aca="false">IFERROR(INDEX(Raw_Expenses!$C$5:$C$2979,MATCH(A2216,Raw_Expenses!$A$5:$A$2979,0)),0)</f>
        <v>10.33</v>
      </c>
      <c r="N2216" s="41" t="n">
        <f aca="false">L2216+M2216</f>
        <v>95.33</v>
      </c>
      <c r="O2216" s="41" t="n">
        <f aca="false">K2216-N2216</f>
        <v>120.52</v>
      </c>
      <c r="P2216" s="43" t="n">
        <f aca="false">IF(K2216=0,0,O2216/K2216)</f>
        <v>0.55835070650915</v>
      </c>
    </row>
    <row r="2217" customFormat="false" ht="15" hidden="false" customHeight="false" outlineLevel="0" collapsed="false">
      <c r="A2217" s="39" t="s">
        <v>2339</v>
      </c>
      <c r="B2217" s="40" t="n">
        <v>45955</v>
      </c>
      <c r="C2217" s="39" t="s">
        <v>177</v>
      </c>
      <c r="D2217" s="39" t="n">
        <v>1</v>
      </c>
      <c r="E2217" s="41" t="n">
        <v>43.84</v>
      </c>
      <c r="F2217" s="39" t="s">
        <v>115</v>
      </c>
      <c r="G2217" s="39" t="str">
        <f aca="false">VLOOKUP(C2217,Products!$A$5:$D$24,2,FALSE())</f>
        <v>Backpack</v>
      </c>
      <c r="H2217" s="39" t="str">
        <f aca="false">VLOOKUP(C2217,Products!$A$5:$D$24,3,FALSE())</f>
        <v>Accessories</v>
      </c>
      <c r="I2217" s="41" t="n">
        <f aca="false">VLOOKUP(C2217,Products!$A$5:$D$24,4,FALSE())</f>
        <v>17</v>
      </c>
      <c r="J2217" s="42" t="n">
        <f aca="false">DATE(YEAR(B2217),MONTH(B2217),1)</f>
        <v>45931</v>
      </c>
      <c r="K2217" s="41" t="n">
        <f aca="false">D2217*E2217</f>
        <v>43.84</v>
      </c>
      <c r="L2217" s="41" t="n">
        <f aca="false">D2217*I2217</f>
        <v>17</v>
      </c>
      <c r="M2217" s="41" t="n">
        <f aca="false">IFERROR(INDEX(Raw_Expenses!$C$5:$C$2979,MATCH(A2217,Raw_Expenses!$A$5:$A$2979,0)),0)</f>
        <v>1.87</v>
      </c>
      <c r="N2217" s="41" t="n">
        <f aca="false">L2217+M2217</f>
        <v>18.87</v>
      </c>
      <c r="O2217" s="41" t="n">
        <f aca="false">K2217-N2217</f>
        <v>24.97</v>
      </c>
      <c r="P2217" s="43" t="n">
        <f aca="false">IF(K2217=0,0,O2217/K2217)</f>
        <v>0.569571167883212</v>
      </c>
    </row>
    <row r="2218" customFormat="false" ht="15" hidden="false" customHeight="false" outlineLevel="0" collapsed="false">
      <c r="A2218" s="39" t="s">
        <v>2340</v>
      </c>
      <c r="B2218" s="40" t="n">
        <v>45955</v>
      </c>
      <c r="C2218" s="39" t="s">
        <v>183</v>
      </c>
      <c r="D2218" s="39" t="n">
        <v>8</v>
      </c>
      <c r="E2218" s="41" t="n">
        <v>187.93</v>
      </c>
      <c r="F2218" s="39" t="s">
        <v>118</v>
      </c>
      <c r="G2218" s="39" t="str">
        <f aca="false">VLOOKUP(C2218,Products!$A$5:$D$24,2,FALSE())</f>
        <v>Office Chair</v>
      </c>
      <c r="H2218" s="39" t="str">
        <f aca="false">VLOOKUP(C2218,Products!$A$5:$D$24,3,FALSE())</f>
        <v>Furniture</v>
      </c>
      <c r="I2218" s="41" t="n">
        <f aca="false">VLOOKUP(C2218,Products!$A$5:$D$24,4,FALSE())</f>
        <v>85</v>
      </c>
      <c r="J2218" s="42" t="n">
        <f aca="false">DATE(YEAR(B2218),MONTH(B2218),1)</f>
        <v>45931</v>
      </c>
      <c r="K2218" s="41" t="n">
        <f aca="false">D2218*E2218</f>
        <v>1503.44</v>
      </c>
      <c r="L2218" s="41" t="n">
        <f aca="false">D2218*I2218</f>
        <v>680</v>
      </c>
      <c r="M2218" s="41" t="n">
        <f aca="false">IFERROR(INDEX(Raw_Expenses!$C$5:$C$2979,MATCH(A2218,Raw_Expenses!$A$5:$A$2979,0)),0)</f>
        <v>132.87</v>
      </c>
      <c r="N2218" s="41" t="n">
        <f aca="false">L2218+M2218</f>
        <v>812.87</v>
      </c>
      <c r="O2218" s="41" t="n">
        <f aca="false">K2218-N2218</f>
        <v>690.57</v>
      </c>
      <c r="P2218" s="43" t="n">
        <f aca="false">IF(K2218=0,0,O2218/K2218)</f>
        <v>0.459326610972171</v>
      </c>
    </row>
    <row r="2219" customFormat="false" ht="15" hidden="false" customHeight="false" outlineLevel="0" collapsed="false">
      <c r="A2219" s="39" t="s">
        <v>2341</v>
      </c>
      <c r="B2219" s="40" t="n">
        <v>45955</v>
      </c>
      <c r="C2219" s="39" t="s">
        <v>183</v>
      </c>
      <c r="D2219" s="39" t="n">
        <v>3</v>
      </c>
      <c r="E2219" s="41" t="n">
        <v>176.97</v>
      </c>
      <c r="F2219" s="39" t="s">
        <v>115</v>
      </c>
      <c r="G2219" s="39" t="str">
        <f aca="false">VLOOKUP(C2219,Products!$A$5:$D$24,2,FALSE())</f>
        <v>Office Chair</v>
      </c>
      <c r="H2219" s="39" t="str">
        <f aca="false">VLOOKUP(C2219,Products!$A$5:$D$24,3,FALSE())</f>
        <v>Furniture</v>
      </c>
      <c r="I2219" s="41" t="n">
        <f aca="false">VLOOKUP(C2219,Products!$A$5:$D$24,4,FALSE())</f>
        <v>85</v>
      </c>
      <c r="J2219" s="42" t="n">
        <f aca="false">DATE(YEAR(B2219),MONTH(B2219),1)</f>
        <v>45931</v>
      </c>
      <c r="K2219" s="41" t="n">
        <f aca="false">D2219*E2219</f>
        <v>530.91</v>
      </c>
      <c r="L2219" s="41" t="n">
        <f aca="false">D2219*I2219</f>
        <v>255</v>
      </c>
      <c r="M2219" s="41" t="n">
        <f aca="false">IFERROR(INDEX(Raw_Expenses!$C$5:$C$2979,MATCH(A2219,Raw_Expenses!$A$5:$A$2979,0)),0)</f>
        <v>39.72</v>
      </c>
      <c r="N2219" s="41" t="n">
        <f aca="false">L2219+M2219</f>
        <v>294.72</v>
      </c>
      <c r="O2219" s="41" t="n">
        <f aca="false">K2219-N2219</f>
        <v>236.19</v>
      </c>
      <c r="P2219" s="43" t="n">
        <f aca="false">IF(K2219=0,0,O2219/K2219)</f>
        <v>0.444877662880714</v>
      </c>
    </row>
    <row r="2220" customFormat="false" ht="15" hidden="false" customHeight="false" outlineLevel="0" collapsed="false">
      <c r="A2220" s="39" t="s">
        <v>2342</v>
      </c>
      <c r="B2220" s="40" t="n">
        <v>45955</v>
      </c>
      <c r="C2220" s="39" t="s">
        <v>117</v>
      </c>
      <c r="D2220" s="39" t="n">
        <v>5</v>
      </c>
      <c r="E2220" s="41" t="n">
        <v>31.73</v>
      </c>
      <c r="F2220" s="39" t="s">
        <v>108</v>
      </c>
      <c r="G2220" s="39" t="str">
        <f aca="false">VLOOKUP(C2220,Products!$A$5:$D$24,2,FALSE())</f>
        <v>Desk Lamp</v>
      </c>
      <c r="H2220" s="39" t="str">
        <f aca="false">VLOOKUP(C2220,Products!$A$5:$D$24,3,FALSE())</f>
        <v>Furniture</v>
      </c>
      <c r="I2220" s="41" t="n">
        <f aca="false">VLOOKUP(C2220,Products!$A$5:$D$24,4,FALSE())</f>
        <v>13</v>
      </c>
      <c r="J2220" s="42" t="n">
        <f aca="false">DATE(YEAR(B2220),MONTH(B2220),1)</f>
        <v>45931</v>
      </c>
      <c r="K2220" s="41" t="n">
        <f aca="false">D2220*E2220</f>
        <v>158.65</v>
      </c>
      <c r="L2220" s="41" t="n">
        <f aca="false">D2220*I2220</f>
        <v>65</v>
      </c>
      <c r="M2220" s="41" t="n">
        <f aca="false">IFERROR(INDEX(Raw_Expenses!$C$5:$C$2979,MATCH(A2220,Raw_Expenses!$A$5:$A$2979,0)),0)</f>
        <v>9.56</v>
      </c>
      <c r="N2220" s="41" t="n">
        <f aca="false">L2220+M2220</f>
        <v>74.56</v>
      </c>
      <c r="O2220" s="41" t="n">
        <f aca="false">K2220-N2220</f>
        <v>84.09</v>
      </c>
      <c r="P2220" s="43" t="n">
        <f aca="false">IF(K2220=0,0,O2220/K2220)</f>
        <v>0.530034667507091</v>
      </c>
    </row>
    <row r="2221" customFormat="false" ht="15" hidden="false" customHeight="false" outlineLevel="0" collapsed="false">
      <c r="A2221" s="39" t="s">
        <v>2343</v>
      </c>
      <c r="B2221" s="40" t="n">
        <v>45955</v>
      </c>
      <c r="C2221" s="39" t="s">
        <v>177</v>
      </c>
      <c r="D2221" s="39" t="n">
        <v>2</v>
      </c>
      <c r="E2221" s="41" t="n">
        <v>43.01</v>
      </c>
      <c r="F2221" s="39" t="s">
        <v>118</v>
      </c>
      <c r="G2221" s="39" t="str">
        <f aca="false">VLOOKUP(C2221,Products!$A$5:$D$24,2,FALSE())</f>
        <v>Backpack</v>
      </c>
      <c r="H2221" s="39" t="str">
        <f aca="false">VLOOKUP(C2221,Products!$A$5:$D$24,3,FALSE())</f>
        <v>Accessories</v>
      </c>
      <c r="I2221" s="41" t="n">
        <f aca="false">VLOOKUP(C2221,Products!$A$5:$D$24,4,FALSE())</f>
        <v>17</v>
      </c>
      <c r="J2221" s="42" t="n">
        <f aca="false">DATE(YEAR(B2221),MONTH(B2221),1)</f>
        <v>45931</v>
      </c>
      <c r="K2221" s="41" t="n">
        <f aca="false">D2221*E2221</f>
        <v>86.02</v>
      </c>
      <c r="L2221" s="41" t="n">
        <f aca="false">D2221*I2221</f>
        <v>34</v>
      </c>
      <c r="M2221" s="41" t="n">
        <f aca="false">IFERROR(INDEX(Raw_Expenses!$C$5:$C$2979,MATCH(A2221,Raw_Expenses!$A$5:$A$2979,0)),0)</f>
        <v>4.1</v>
      </c>
      <c r="N2221" s="41" t="n">
        <f aca="false">L2221+M2221</f>
        <v>38.1</v>
      </c>
      <c r="O2221" s="41" t="n">
        <f aca="false">K2221-N2221</f>
        <v>47.92</v>
      </c>
      <c r="P2221" s="43" t="n">
        <f aca="false">IF(K2221=0,0,O2221/K2221)</f>
        <v>0.557079748895606</v>
      </c>
    </row>
    <row r="2222" customFormat="false" ht="15" hidden="false" customHeight="false" outlineLevel="0" collapsed="false">
      <c r="A2222" s="39" t="s">
        <v>2344</v>
      </c>
      <c r="B2222" s="40" t="n">
        <v>45956</v>
      </c>
      <c r="C2222" s="39" t="s">
        <v>114</v>
      </c>
      <c r="D2222" s="39" t="n">
        <v>3</v>
      </c>
      <c r="E2222" s="41" t="n">
        <v>5.83</v>
      </c>
      <c r="F2222" s="39" t="s">
        <v>105</v>
      </c>
      <c r="G2222" s="39" t="str">
        <f aca="false">VLOOKUP(C2222,Products!$A$5:$D$24,2,FALSE())</f>
        <v>Gel Pen Pack</v>
      </c>
      <c r="H2222" s="39" t="str">
        <f aca="false">VLOOKUP(C2222,Products!$A$5:$D$24,3,FALSE())</f>
        <v>Stationery</v>
      </c>
      <c r="I2222" s="41" t="n">
        <f aca="false">VLOOKUP(C2222,Products!$A$5:$D$24,4,FALSE())</f>
        <v>2</v>
      </c>
      <c r="J2222" s="42" t="n">
        <f aca="false">DATE(YEAR(B2222),MONTH(B2222),1)</f>
        <v>45931</v>
      </c>
      <c r="K2222" s="41" t="n">
        <f aca="false">D2222*E2222</f>
        <v>17.49</v>
      </c>
      <c r="L2222" s="41" t="n">
        <f aca="false">D2222*I2222</f>
        <v>6</v>
      </c>
      <c r="M2222" s="41" t="n">
        <f aca="false">IFERROR(INDEX(Raw_Expenses!$C$5:$C$2979,MATCH(A2222,Raw_Expenses!$A$5:$A$2979,0)),0)</f>
        <v>0.79</v>
      </c>
      <c r="N2222" s="41" t="n">
        <f aca="false">L2222+M2222</f>
        <v>6.79</v>
      </c>
      <c r="O2222" s="41" t="n">
        <f aca="false">K2222-N2222</f>
        <v>10.7</v>
      </c>
      <c r="P2222" s="43" t="n">
        <f aca="false">IF(K2222=0,0,O2222/K2222)</f>
        <v>0.61177815894797</v>
      </c>
    </row>
    <row r="2223" customFormat="false" ht="15" hidden="false" customHeight="false" outlineLevel="0" collapsed="false">
      <c r="A2223" s="39" t="s">
        <v>2345</v>
      </c>
      <c r="B2223" s="40" t="n">
        <v>45956</v>
      </c>
      <c r="C2223" s="39" t="s">
        <v>114</v>
      </c>
      <c r="D2223" s="39" t="n">
        <v>1</v>
      </c>
      <c r="E2223" s="41" t="n">
        <v>5.58</v>
      </c>
      <c r="F2223" s="39" t="s">
        <v>115</v>
      </c>
      <c r="G2223" s="39" t="str">
        <f aca="false">VLOOKUP(C2223,Products!$A$5:$D$24,2,FALSE())</f>
        <v>Gel Pen Pack</v>
      </c>
      <c r="H2223" s="39" t="str">
        <f aca="false">VLOOKUP(C2223,Products!$A$5:$D$24,3,FALSE())</f>
        <v>Stationery</v>
      </c>
      <c r="I2223" s="41" t="n">
        <f aca="false">VLOOKUP(C2223,Products!$A$5:$D$24,4,FALSE())</f>
        <v>2</v>
      </c>
      <c r="J2223" s="42" t="n">
        <f aca="false">DATE(YEAR(B2223),MONTH(B2223),1)</f>
        <v>45931</v>
      </c>
      <c r="K2223" s="41" t="n">
        <f aca="false">D2223*E2223</f>
        <v>5.58</v>
      </c>
      <c r="L2223" s="41" t="n">
        <f aca="false">D2223*I2223</f>
        <v>2</v>
      </c>
      <c r="M2223" s="41" t="n">
        <f aca="false">IFERROR(INDEX(Raw_Expenses!$C$5:$C$2979,MATCH(A2223,Raw_Expenses!$A$5:$A$2979,0)),0)</f>
        <v>0.44</v>
      </c>
      <c r="N2223" s="41" t="n">
        <f aca="false">L2223+M2223</f>
        <v>2.44</v>
      </c>
      <c r="O2223" s="41" t="n">
        <f aca="false">K2223-N2223</f>
        <v>3.14</v>
      </c>
      <c r="P2223" s="43" t="n">
        <f aca="false">IF(K2223=0,0,O2223/K2223)</f>
        <v>0.562724014336918</v>
      </c>
    </row>
    <row r="2224" customFormat="false" ht="15" hidden="false" customHeight="false" outlineLevel="0" collapsed="false">
      <c r="A2224" s="39" t="s">
        <v>2346</v>
      </c>
      <c r="B2224" s="40" t="n">
        <v>45956</v>
      </c>
      <c r="C2224" s="39" t="s">
        <v>139</v>
      </c>
      <c r="D2224" s="39" t="n">
        <v>2</v>
      </c>
      <c r="E2224" s="41" t="n">
        <v>126.14</v>
      </c>
      <c r="F2224" s="39" t="s">
        <v>118</v>
      </c>
      <c r="G2224" s="39" t="str">
        <f aca="false">VLOOKUP(C2224,Products!$A$5:$D$24,2,FALSE())</f>
        <v>Noise-Cancelling Headphones</v>
      </c>
      <c r="H2224" s="39" t="str">
        <f aca="false">VLOOKUP(C2224,Products!$A$5:$D$24,3,FALSE())</f>
        <v>Electronics</v>
      </c>
      <c r="I2224" s="41" t="n">
        <f aca="false">VLOOKUP(C2224,Products!$A$5:$D$24,4,FALSE())</f>
        <v>55</v>
      </c>
      <c r="J2224" s="42" t="n">
        <f aca="false">DATE(YEAR(B2224),MONTH(B2224),1)</f>
        <v>45931</v>
      </c>
      <c r="K2224" s="41" t="n">
        <f aca="false">D2224*E2224</f>
        <v>252.28</v>
      </c>
      <c r="L2224" s="41" t="n">
        <f aca="false">D2224*I2224</f>
        <v>110</v>
      </c>
      <c r="M2224" s="41" t="n">
        <f aca="false">IFERROR(INDEX(Raw_Expenses!$C$5:$C$2979,MATCH(A2224,Raw_Expenses!$A$5:$A$2979,0)),0)</f>
        <v>21.36</v>
      </c>
      <c r="N2224" s="41" t="n">
        <f aca="false">L2224+M2224</f>
        <v>131.36</v>
      </c>
      <c r="O2224" s="41" t="n">
        <f aca="false">K2224-N2224</f>
        <v>120.92</v>
      </c>
      <c r="P2224" s="43" t="n">
        <f aca="false">IF(K2224=0,0,O2224/K2224)</f>
        <v>0.479308704613921</v>
      </c>
    </row>
    <row r="2225" customFormat="false" ht="15" hidden="false" customHeight="false" outlineLevel="0" collapsed="false">
      <c r="A2225" s="39" t="s">
        <v>2347</v>
      </c>
      <c r="B2225" s="40" t="n">
        <v>45956</v>
      </c>
      <c r="C2225" s="39" t="s">
        <v>110</v>
      </c>
      <c r="D2225" s="39" t="n">
        <v>1</v>
      </c>
      <c r="E2225" s="41" t="n">
        <v>12.94</v>
      </c>
      <c r="F2225" s="39" t="s">
        <v>118</v>
      </c>
      <c r="G2225" s="39" t="str">
        <f aca="false">VLOOKUP(C2225,Products!$A$5:$D$24,2,FALSE())</f>
        <v>Phone Stand</v>
      </c>
      <c r="H2225" s="39" t="str">
        <f aca="false">VLOOKUP(C2225,Products!$A$5:$D$24,3,FALSE())</f>
        <v>Accessories</v>
      </c>
      <c r="I2225" s="41" t="n">
        <f aca="false">VLOOKUP(C2225,Products!$A$5:$D$24,4,FALSE())</f>
        <v>4</v>
      </c>
      <c r="J2225" s="42" t="n">
        <f aca="false">DATE(YEAR(B2225),MONTH(B2225),1)</f>
        <v>45931</v>
      </c>
      <c r="K2225" s="41" t="n">
        <f aca="false">D2225*E2225</f>
        <v>12.94</v>
      </c>
      <c r="L2225" s="41" t="n">
        <f aca="false">D2225*I2225</f>
        <v>4</v>
      </c>
      <c r="M2225" s="41" t="n">
        <f aca="false">IFERROR(INDEX(Raw_Expenses!$C$5:$C$2979,MATCH(A2225,Raw_Expenses!$A$5:$A$2979,0)),0)</f>
        <v>0.61</v>
      </c>
      <c r="N2225" s="41" t="n">
        <f aca="false">L2225+M2225</f>
        <v>4.61</v>
      </c>
      <c r="O2225" s="41" t="n">
        <f aca="false">K2225-N2225</f>
        <v>8.33</v>
      </c>
      <c r="P2225" s="43" t="n">
        <f aca="false">IF(K2225=0,0,O2225/K2225)</f>
        <v>0.643740340030912</v>
      </c>
    </row>
    <row r="2226" customFormat="false" ht="15" hidden="false" customHeight="false" outlineLevel="0" collapsed="false">
      <c r="A2226" s="39" t="s">
        <v>2348</v>
      </c>
      <c r="B2226" s="40" t="n">
        <v>45956</v>
      </c>
      <c r="C2226" s="39" t="s">
        <v>114</v>
      </c>
      <c r="D2226" s="39" t="n">
        <v>2</v>
      </c>
      <c r="E2226" s="41" t="n">
        <v>5.99</v>
      </c>
      <c r="F2226" s="39" t="s">
        <v>118</v>
      </c>
      <c r="G2226" s="39" t="str">
        <f aca="false">VLOOKUP(C2226,Products!$A$5:$D$24,2,FALSE())</f>
        <v>Gel Pen Pack</v>
      </c>
      <c r="H2226" s="39" t="str">
        <f aca="false">VLOOKUP(C2226,Products!$A$5:$D$24,3,FALSE())</f>
        <v>Stationery</v>
      </c>
      <c r="I2226" s="41" t="n">
        <f aca="false">VLOOKUP(C2226,Products!$A$5:$D$24,4,FALSE())</f>
        <v>2</v>
      </c>
      <c r="J2226" s="42" t="n">
        <f aca="false">DATE(YEAR(B2226),MONTH(B2226),1)</f>
        <v>45931</v>
      </c>
      <c r="K2226" s="41" t="n">
        <f aca="false">D2226*E2226</f>
        <v>11.98</v>
      </c>
      <c r="L2226" s="41" t="n">
        <f aca="false">D2226*I2226</f>
        <v>4</v>
      </c>
      <c r="M2226" s="41" t="n">
        <f aca="false">IFERROR(INDEX(Raw_Expenses!$C$5:$C$2979,MATCH(A2226,Raw_Expenses!$A$5:$A$2979,0)),0)</f>
        <v>0.86</v>
      </c>
      <c r="N2226" s="41" t="n">
        <f aca="false">L2226+M2226</f>
        <v>4.86</v>
      </c>
      <c r="O2226" s="41" t="n">
        <f aca="false">K2226-N2226</f>
        <v>7.12</v>
      </c>
      <c r="P2226" s="43" t="n">
        <f aca="false">IF(K2226=0,0,O2226/K2226)</f>
        <v>0.59432387312187</v>
      </c>
    </row>
    <row r="2227" customFormat="false" ht="15" hidden="false" customHeight="false" outlineLevel="0" collapsed="false">
      <c r="A2227" s="39" t="s">
        <v>2349</v>
      </c>
      <c r="B2227" s="40" t="n">
        <v>45956</v>
      </c>
      <c r="C2227" s="39" t="s">
        <v>128</v>
      </c>
      <c r="D2227" s="39" t="n">
        <v>1</v>
      </c>
      <c r="E2227" s="41" t="n">
        <v>37.71</v>
      </c>
      <c r="F2227" s="39" t="s">
        <v>108</v>
      </c>
      <c r="G2227" s="39" t="str">
        <f aca="false">VLOOKUP(C2227,Products!$A$5:$D$24,2,FALSE())</f>
        <v>Ergonomic Footrest</v>
      </c>
      <c r="H2227" s="39" t="str">
        <f aca="false">VLOOKUP(C2227,Products!$A$5:$D$24,3,FALSE())</f>
        <v>Furniture</v>
      </c>
      <c r="I2227" s="41" t="n">
        <f aca="false">VLOOKUP(C2227,Products!$A$5:$D$24,4,FALSE())</f>
        <v>15</v>
      </c>
      <c r="J2227" s="42" t="n">
        <f aca="false">DATE(YEAR(B2227),MONTH(B2227),1)</f>
        <v>45931</v>
      </c>
      <c r="K2227" s="41" t="n">
        <f aca="false">D2227*E2227</f>
        <v>37.71</v>
      </c>
      <c r="L2227" s="41" t="n">
        <f aca="false">D2227*I2227</f>
        <v>15</v>
      </c>
      <c r="M2227" s="41" t="n">
        <f aca="false">IFERROR(INDEX(Raw_Expenses!$C$5:$C$2979,MATCH(A2227,Raw_Expenses!$A$5:$A$2979,0)),0)</f>
        <v>2.99</v>
      </c>
      <c r="N2227" s="41" t="n">
        <f aca="false">L2227+M2227</f>
        <v>17.99</v>
      </c>
      <c r="O2227" s="41" t="n">
        <f aca="false">K2227-N2227</f>
        <v>19.72</v>
      </c>
      <c r="P2227" s="43" t="n">
        <f aca="false">IF(K2227=0,0,O2227/K2227)</f>
        <v>0.522938212675683</v>
      </c>
    </row>
    <row r="2228" customFormat="false" ht="15" hidden="false" customHeight="false" outlineLevel="0" collapsed="false">
      <c r="A2228" s="39" t="s">
        <v>2350</v>
      </c>
      <c r="B2228" s="40" t="n">
        <v>45956</v>
      </c>
      <c r="C2228" s="39" t="s">
        <v>114</v>
      </c>
      <c r="D2228" s="39" t="n">
        <v>3</v>
      </c>
      <c r="E2228" s="41" t="n">
        <v>5.72</v>
      </c>
      <c r="F2228" s="39" t="s">
        <v>118</v>
      </c>
      <c r="G2228" s="39" t="str">
        <f aca="false">VLOOKUP(C2228,Products!$A$5:$D$24,2,FALSE())</f>
        <v>Gel Pen Pack</v>
      </c>
      <c r="H2228" s="39" t="str">
        <f aca="false">VLOOKUP(C2228,Products!$A$5:$D$24,3,FALSE())</f>
        <v>Stationery</v>
      </c>
      <c r="I2228" s="41" t="n">
        <f aca="false">VLOOKUP(C2228,Products!$A$5:$D$24,4,FALSE())</f>
        <v>2</v>
      </c>
      <c r="J2228" s="42" t="n">
        <f aca="false">DATE(YEAR(B2228),MONTH(B2228),1)</f>
        <v>45931</v>
      </c>
      <c r="K2228" s="41" t="n">
        <f aca="false">D2228*E2228</f>
        <v>17.16</v>
      </c>
      <c r="L2228" s="41" t="n">
        <f aca="false">D2228*I2228</f>
        <v>6</v>
      </c>
      <c r="M2228" s="41" t="n">
        <f aca="false">IFERROR(INDEX(Raw_Expenses!$C$5:$C$2979,MATCH(A2228,Raw_Expenses!$A$5:$A$2979,0)),0)</f>
        <v>1.44</v>
      </c>
      <c r="N2228" s="41" t="n">
        <f aca="false">L2228+M2228</f>
        <v>7.44</v>
      </c>
      <c r="O2228" s="41" t="n">
        <f aca="false">K2228-N2228</f>
        <v>9.72</v>
      </c>
      <c r="P2228" s="43" t="n">
        <f aca="false">IF(K2228=0,0,O2228/K2228)</f>
        <v>0.566433566433567</v>
      </c>
    </row>
    <row r="2229" customFormat="false" ht="15" hidden="false" customHeight="false" outlineLevel="0" collapsed="false">
      <c r="A2229" s="39" t="s">
        <v>2351</v>
      </c>
      <c r="B2229" s="40" t="n">
        <v>45956</v>
      </c>
      <c r="C2229" s="39" t="s">
        <v>126</v>
      </c>
      <c r="D2229" s="39" t="n">
        <v>4</v>
      </c>
      <c r="E2229" s="41" t="n">
        <v>24.61</v>
      </c>
      <c r="F2229" s="39" t="s">
        <v>118</v>
      </c>
      <c r="G2229" s="39" t="str">
        <f aca="false">VLOOKUP(C2229,Products!$A$5:$D$24,2,FALSE())</f>
        <v>Wireless Mouse</v>
      </c>
      <c r="H2229" s="39" t="str">
        <f aca="false">VLOOKUP(C2229,Products!$A$5:$D$24,3,FALSE())</f>
        <v>Electronics</v>
      </c>
      <c r="I2229" s="41" t="n">
        <f aca="false">VLOOKUP(C2229,Products!$A$5:$D$24,4,FALSE())</f>
        <v>12</v>
      </c>
      <c r="J2229" s="42" t="n">
        <f aca="false">DATE(YEAR(B2229),MONTH(B2229),1)</f>
        <v>45931</v>
      </c>
      <c r="K2229" s="41" t="n">
        <f aca="false">D2229*E2229</f>
        <v>98.44</v>
      </c>
      <c r="L2229" s="41" t="n">
        <f aca="false">D2229*I2229</f>
        <v>48</v>
      </c>
      <c r="M2229" s="41" t="n">
        <f aca="false">IFERROR(INDEX(Raw_Expenses!$C$5:$C$2979,MATCH(A2229,Raw_Expenses!$A$5:$A$2979,0)),0)</f>
        <v>6.98</v>
      </c>
      <c r="N2229" s="41" t="n">
        <f aca="false">L2229+M2229</f>
        <v>54.98</v>
      </c>
      <c r="O2229" s="41" t="n">
        <f aca="false">K2229-N2229</f>
        <v>43.46</v>
      </c>
      <c r="P2229" s="43" t="n">
        <f aca="false">IF(K2229=0,0,O2229/K2229)</f>
        <v>0.441487200325071</v>
      </c>
    </row>
    <row r="2230" customFormat="false" ht="15" hidden="false" customHeight="false" outlineLevel="0" collapsed="false">
      <c r="A2230" s="39" t="s">
        <v>2352</v>
      </c>
      <c r="B2230" s="40" t="n">
        <v>45957</v>
      </c>
      <c r="C2230" s="39" t="s">
        <v>162</v>
      </c>
      <c r="D2230" s="39" t="n">
        <v>1</v>
      </c>
      <c r="E2230" s="41" t="n">
        <v>66.33</v>
      </c>
      <c r="F2230" s="39" t="s">
        <v>108</v>
      </c>
      <c r="G2230" s="39" t="str">
        <f aca="false">VLOOKUP(C2230,Products!$A$5:$D$24,2,FALSE())</f>
        <v>Bluetooth Speaker</v>
      </c>
      <c r="H2230" s="39" t="str">
        <f aca="false">VLOOKUP(C2230,Products!$A$5:$D$24,3,FALSE())</f>
        <v>Electronics</v>
      </c>
      <c r="I2230" s="41" t="n">
        <f aca="false">VLOOKUP(C2230,Products!$A$5:$D$24,4,FALSE())</f>
        <v>28</v>
      </c>
      <c r="J2230" s="42" t="n">
        <f aca="false">DATE(YEAR(B2230),MONTH(B2230),1)</f>
        <v>45931</v>
      </c>
      <c r="K2230" s="41" t="n">
        <f aca="false">D2230*E2230</f>
        <v>66.33</v>
      </c>
      <c r="L2230" s="41" t="n">
        <f aca="false">D2230*I2230</f>
        <v>28</v>
      </c>
      <c r="M2230" s="41" t="n">
        <f aca="false">IFERROR(INDEX(Raw_Expenses!$C$5:$C$2979,MATCH(A2230,Raw_Expenses!$A$5:$A$2979,0)),0)</f>
        <v>4.35</v>
      </c>
      <c r="N2230" s="41" t="n">
        <f aca="false">L2230+M2230</f>
        <v>32.35</v>
      </c>
      <c r="O2230" s="41" t="n">
        <f aca="false">K2230-N2230</f>
        <v>33.98</v>
      </c>
      <c r="P2230" s="43" t="n">
        <f aca="false">IF(K2230=0,0,O2230/K2230)</f>
        <v>0.512287049600482</v>
      </c>
    </row>
    <row r="2231" customFormat="false" ht="15" hidden="false" customHeight="false" outlineLevel="0" collapsed="false">
      <c r="A2231" s="39" t="s">
        <v>2353</v>
      </c>
      <c r="B2231" s="40" t="n">
        <v>45957</v>
      </c>
      <c r="C2231" s="39" t="s">
        <v>169</v>
      </c>
      <c r="D2231" s="39" t="n">
        <v>1</v>
      </c>
      <c r="E2231" s="41" t="n">
        <v>26.8</v>
      </c>
      <c r="F2231" s="39" t="s">
        <v>105</v>
      </c>
      <c r="G2231" s="39" t="str">
        <f aca="false">VLOOKUP(C2231,Products!$A$5:$D$24,2,FALSE())</f>
        <v>Laptop Stand</v>
      </c>
      <c r="H2231" s="39" t="str">
        <f aca="false">VLOOKUP(C2231,Products!$A$5:$D$24,3,FALSE())</f>
        <v>Accessories</v>
      </c>
      <c r="I2231" s="41" t="n">
        <f aca="false">VLOOKUP(C2231,Products!$A$5:$D$24,4,FALSE())</f>
        <v>11</v>
      </c>
      <c r="J2231" s="42" t="n">
        <f aca="false">DATE(YEAR(B2231),MONTH(B2231),1)</f>
        <v>45931</v>
      </c>
      <c r="K2231" s="41" t="n">
        <f aca="false">D2231*E2231</f>
        <v>26.8</v>
      </c>
      <c r="L2231" s="41" t="n">
        <f aca="false">D2231*I2231</f>
        <v>11</v>
      </c>
      <c r="M2231" s="41" t="n">
        <f aca="false">IFERROR(INDEX(Raw_Expenses!$C$5:$C$2979,MATCH(A2231,Raw_Expenses!$A$5:$A$2979,0)),0)</f>
        <v>2.39</v>
      </c>
      <c r="N2231" s="41" t="n">
        <f aca="false">L2231+M2231</f>
        <v>13.39</v>
      </c>
      <c r="O2231" s="41" t="n">
        <f aca="false">K2231-N2231</f>
        <v>13.41</v>
      </c>
      <c r="P2231" s="43" t="n">
        <f aca="false">IF(K2231=0,0,O2231/K2231)</f>
        <v>0.500373134328358</v>
      </c>
    </row>
    <row r="2232" customFormat="false" ht="15" hidden="false" customHeight="false" outlineLevel="0" collapsed="false">
      <c r="A2232" s="39" t="s">
        <v>2354</v>
      </c>
      <c r="B2232" s="40" t="n">
        <v>45957</v>
      </c>
      <c r="C2232" s="39" t="s">
        <v>126</v>
      </c>
      <c r="D2232" s="39" t="n">
        <v>3</v>
      </c>
      <c r="E2232" s="41" t="n">
        <v>24.38</v>
      </c>
      <c r="F2232" s="39" t="s">
        <v>108</v>
      </c>
      <c r="G2232" s="39" t="str">
        <f aca="false">VLOOKUP(C2232,Products!$A$5:$D$24,2,FALSE())</f>
        <v>Wireless Mouse</v>
      </c>
      <c r="H2232" s="39" t="str">
        <f aca="false">VLOOKUP(C2232,Products!$A$5:$D$24,3,FALSE())</f>
        <v>Electronics</v>
      </c>
      <c r="I2232" s="41" t="n">
        <f aca="false">VLOOKUP(C2232,Products!$A$5:$D$24,4,FALSE())</f>
        <v>12</v>
      </c>
      <c r="J2232" s="42" t="n">
        <f aca="false">DATE(YEAR(B2232),MONTH(B2232),1)</f>
        <v>45931</v>
      </c>
      <c r="K2232" s="41" t="n">
        <f aca="false">D2232*E2232</f>
        <v>73.14</v>
      </c>
      <c r="L2232" s="41" t="n">
        <f aca="false">D2232*I2232</f>
        <v>36</v>
      </c>
      <c r="M2232" s="41" t="n">
        <f aca="false">IFERROR(INDEX(Raw_Expenses!$C$5:$C$2979,MATCH(A2232,Raw_Expenses!$A$5:$A$2979,0)),0)</f>
        <v>6.34</v>
      </c>
      <c r="N2232" s="41" t="n">
        <f aca="false">L2232+M2232</f>
        <v>42.34</v>
      </c>
      <c r="O2232" s="41" t="n">
        <f aca="false">K2232-N2232</f>
        <v>30.8</v>
      </c>
      <c r="P2232" s="43" t="n">
        <f aca="false">IF(K2232=0,0,O2232/K2232)</f>
        <v>0.421110199617173</v>
      </c>
    </row>
    <row r="2233" customFormat="false" ht="15" hidden="false" customHeight="false" outlineLevel="0" collapsed="false">
      <c r="A2233" s="39" t="s">
        <v>2355</v>
      </c>
      <c r="B2233" s="40" t="n">
        <v>45957</v>
      </c>
      <c r="C2233" s="39" t="s">
        <v>169</v>
      </c>
      <c r="D2233" s="39" t="n">
        <v>2</v>
      </c>
      <c r="E2233" s="41" t="n">
        <v>26.97</v>
      </c>
      <c r="F2233" s="39" t="s">
        <v>108</v>
      </c>
      <c r="G2233" s="39" t="str">
        <f aca="false">VLOOKUP(C2233,Products!$A$5:$D$24,2,FALSE())</f>
        <v>Laptop Stand</v>
      </c>
      <c r="H2233" s="39" t="str">
        <f aca="false">VLOOKUP(C2233,Products!$A$5:$D$24,3,FALSE())</f>
        <v>Accessories</v>
      </c>
      <c r="I2233" s="41" t="n">
        <f aca="false">VLOOKUP(C2233,Products!$A$5:$D$24,4,FALSE())</f>
        <v>11</v>
      </c>
      <c r="J2233" s="42" t="n">
        <f aca="false">DATE(YEAR(B2233),MONTH(B2233),1)</f>
        <v>45931</v>
      </c>
      <c r="K2233" s="41" t="n">
        <f aca="false">D2233*E2233</f>
        <v>53.94</v>
      </c>
      <c r="L2233" s="41" t="n">
        <f aca="false">D2233*I2233</f>
        <v>22</v>
      </c>
      <c r="M2233" s="41" t="n">
        <f aca="false">IFERROR(INDEX(Raw_Expenses!$C$5:$C$2979,MATCH(A2233,Raw_Expenses!$A$5:$A$2979,0)),0)</f>
        <v>4.11</v>
      </c>
      <c r="N2233" s="41" t="n">
        <f aca="false">L2233+M2233</f>
        <v>26.11</v>
      </c>
      <c r="O2233" s="41" t="n">
        <f aca="false">K2233-N2233</f>
        <v>27.83</v>
      </c>
      <c r="P2233" s="43" t="n">
        <f aca="false">IF(K2233=0,0,O2233/K2233)</f>
        <v>0.515943641082684</v>
      </c>
    </row>
    <row r="2234" customFormat="false" ht="15" hidden="false" customHeight="false" outlineLevel="0" collapsed="false">
      <c r="A2234" s="39" t="s">
        <v>2356</v>
      </c>
      <c r="B2234" s="40" t="n">
        <v>45957</v>
      </c>
      <c r="C2234" s="39" t="s">
        <v>136</v>
      </c>
      <c r="D2234" s="39" t="n">
        <v>4</v>
      </c>
      <c r="E2234" s="41" t="n">
        <v>73.81</v>
      </c>
      <c r="F2234" s="39" t="s">
        <v>118</v>
      </c>
      <c r="G2234" s="39" t="str">
        <f aca="false">VLOOKUP(C2234,Products!$A$5:$D$24,2,FALSE())</f>
        <v>Mechanical Keyboard</v>
      </c>
      <c r="H2234" s="39" t="str">
        <f aca="false">VLOOKUP(C2234,Products!$A$5:$D$24,3,FALSE())</f>
        <v>Electronics</v>
      </c>
      <c r="I2234" s="41" t="n">
        <f aca="false">VLOOKUP(C2234,Products!$A$5:$D$24,4,FALSE())</f>
        <v>38</v>
      </c>
      <c r="J2234" s="42" t="n">
        <f aca="false">DATE(YEAR(B2234),MONTH(B2234),1)</f>
        <v>45931</v>
      </c>
      <c r="K2234" s="41" t="n">
        <f aca="false">D2234*E2234</f>
        <v>295.24</v>
      </c>
      <c r="L2234" s="41" t="n">
        <f aca="false">D2234*I2234</f>
        <v>152</v>
      </c>
      <c r="M2234" s="41" t="n">
        <f aca="false">IFERROR(INDEX(Raw_Expenses!$C$5:$C$2979,MATCH(A2234,Raw_Expenses!$A$5:$A$2979,0)),0)</f>
        <v>25.32</v>
      </c>
      <c r="N2234" s="41" t="n">
        <f aca="false">L2234+M2234</f>
        <v>177.32</v>
      </c>
      <c r="O2234" s="41" t="n">
        <f aca="false">K2234-N2234</f>
        <v>117.92</v>
      </c>
      <c r="P2234" s="43" t="n">
        <f aca="false">IF(K2234=0,0,O2234/K2234)</f>
        <v>0.399403874813711</v>
      </c>
    </row>
    <row r="2235" customFormat="false" ht="15" hidden="false" customHeight="false" outlineLevel="0" collapsed="false">
      <c r="A2235" s="39" t="s">
        <v>2357</v>
      </c>
      <c r="B2235" s="40" t="n">
        <v>45957</v>
      </c>
      <c r="C2235" s="39" t="s">
        <v>117</v>
      </c>
      <c r="D2235" s="39" t="n">
        <v>2</v>
      </c>
      <c r="E2235" s="41" t="n">
        <v>31.27</v>
      </c>
      <c r="F2235" s="39" t="s">
        <v>105</v>
      </c>
      <c r="G2235" s="39" t="str">
        <f aca="false">VLOOKUP(C2235,Products!$A$5:$D$24,2,FALSE())</f>
        <v>Desk Lamp</v>
      </c>
      <c r="H2235" s="39" t="str">
        <f aca="false">VLOOKUP(C2235,Products!$A$5:$D$24,3,FALSE())</f>
        <v>Furniture</v>
      </c>
      <c r="I2235" s="41" t="n">
        <f aca="false">VLOOKUP(C2235,Products!$A$5:$D$24,4,FALSE())</f>
        <v>13</v>
      </c>
      <c r="J2235" s="42" t="n">
        <f aca="false">DATE(YEAR(B2235),MONTH(B2235),1)</f>
        <v>45931</v>
      </c>
      <c r="K2235" s="41" t="n">
        <f aca="false">D2235*E2235</f>
        <v>62.54</v>
      </c>
      <c r="L2235" s="41" t="n">
        <f aca="false">D2235*I2235</f>
        <v>26</v>
      </c>
      <c r="M2235" s="41" t="n">
        <f aca="false">IFERROR(INDEX(Raw_Expenses!$C$5:$C$2979,MATCH(A2235,Raw_Expenses!$A$5:$A$2979,0)),0)</f>
        <v>2.54</v>
      </c>
      <c r="N2235" s="41" t="n">
        <f aca="false">L2235+M2235</f>
        <v>28.54</v>
      </c>
      <c r="O2235" s="41" t="n">
        <f aca="false">K2235-N2235</f>
        <v>34</v>
      </c>
      <c r="P2235" s="43" t="n">
        <f aca="false">IF(K2235=0,0,O2235/K2235)</f>
        <v>0.543652062679885</v>
      </c>
    </row>
    <row r="2236" customFormat="false" ht="15" hidden="false" customHeight="false" outlineLevel="0" collapsed="false">
      <c r="A2236" s="39" t="s">
        <v>2358</v>
      </c>
      <c r="B2236" s="40" t="n">
        <v>45957</v>
      </c>
      <c r="C2236" s="39" t="s">
        <v>183</v>
      </c>
      <c r="D2236" s="39" t="n">
        <v>2</v>
      </c>
      <c r="E2236" s="41" t="n">
        <v>185.82</v>
      </c>
      <c r="F2236" s="39" t="s">
        <v>105</v>
      </c>
      <c r="G2236" s="39" t="str">
        <f aca="false">VLOOKUP(C2236,Products!$A$5:$D$24,2,FALSE())</f>
        <v>Office Chair</v>
      </c>
      <c r="H2236" s="39" t="str">
        <f aca="false">VLOOKUP(C2236,Products!$A$5:$D$24,3,FALSE())</f>
        <v>Furniture</v>
      </c>
      <c r="I2236" s="41" t="n">
        <f aca="false">VLOOKUP(C2236,Products!$A$5:$D$24,4,FALSE())</f>
        <v>85</v>
      </c>
      <c r="J2236" s="42" t="n">
        <f aca="false">DATE(YEAR(B2236),MONTH(B2236),1)</f>
        <v>45931</v>
      </c>
      <c r="K2236" s="41" t="n">
        <f aca="false">D2236*E2236</f>
        <v>371.64</v>
      </c>
      <c r="L2236" s="41" t="n">
        <f aca="false">D2236*I2236</f>
        <v>170</v>
      </c>
      <c r="M2236" s="41" t="n">
        <f aca="false">IFERROR(INDEX(Raw_Expenses!$C$5:$C$2979,MATCH(A2236,Raw_Expenses!$A$5:$A$2979,0)),0)</f>
        <v>17.25</v>
      </c>
      <c r="N2236" s="41" t="n">
        <f aca="false">L2236+M2236</f>
        <v>187.25</v>
      </c>
      <c r="O2236" s="41" t="n">
        <f aca="false">K2236-N2236</f>
        <v>184.39</v>
      </c>
      <c r="P2236" s="43" t="n">
        <f aca="false">IF(K2236=0,0,O2236/K2236)</f>
        <v>0.49615219029168</v>
      </c>
    </row>
    <row r="2237" customFormat="false" ht="15" hidden="false" customHeight="false" outlineLevel="0" collapsed="false">
      <c r="A2237" s="39" t="s">
        <v>2359</v>
      </c>
      <c r="B2237" s="40" t="n">
        <v>45957</v>
      </c>
      <c r="C2237" s="39" t="s">
        <v>128</v>
      </c>
      <c r="D2237" s="39" t="n">
        <v>1</v>
      </c>
      <c r="E2237" s="41" t="n">
        <v>38.69</v>
      </c>
      <c r="F2237" s="39" t="s">
        <v>105</v>
      </c>
      <c r="G2237" s="39" t="str">
        <f aca="false">VLOOKUP(C2237,Products!$A$5:$D$24,2,FALSE())</f>
        <v>Ergonomic Footrest</v>
      </c>
      <c r="H2237" s="39" t="str">
        <f aca="false">VLOOKUP(C2237,Products!$A$5:$D$24,3,FALSE())</f>
        <v>Furniture</v>
      </c>
      <c r="I2237" s="41" t="n">
        <f aca="false">VLOOKUP(C2237,Products!$A$5:$D$24,4,FALSE())</f>
        <v>15</v>
      </c>
      <c r="J2237" s="42" t="n">
        <f aca="false">DATE(YEAR(B2237),MONTH(B2237),1)</f>
        <v>45931</v>
      </c>
      <c r="K2237" s="41" t="n">
        <f aca="false">D2237*E2237</f>
        <v>38.69</v>
      </c>
      <c r="L2237" s="41" t="n">
        <f aca="false">D2237*I2237</f>
        <v>15</v>
      </c>
      <c r="M2237" s="41" t="n">
        <f aca="false">IFERROR(INDEX(Raw_Expenses!$C$5:$C$2979,MATCH(A2237,Raw_Expenses!$A$5:$A$2979,0)),0)</f>
        <v>2.09</v>
      </c>
      <c r="N2237" s="41" t="n">
        <f aca="false">L2237+M2237</f>
        <v>17.09</v>
      </c>
      <c r="O2237" s="41" t="n">
        <f aca="false">K2237-N2237</f>
        <v>21.6</v>
      </c>
      <c r="P2237" s="43" t="n">
        <f aca="false">IF(K2237=0,0,O2237/K2237)</f>
        <v>0.558283794262083</v>
      </c>
    </row>
    <row r="2238" customFormat="false" ht="15" hidden="false" customHeight="false" outlineLevel="0" collapsed="false">
      <c r="A2238" s="39" t="s">
        <v>2360</v>
      </c>
      <c r="B2238" s="40" t="n">
        <v>45957</v>
      </c>
      <c r="C2238" s="39" t="s">
        <v>153</v>
      </c>
      <c r="D2238" s="39" t="n">
        <v>1</v>
      </c>
      <c r="E2238" s="41" t="n">
        <v>176.84</v>
      </c>
      <c r="F2238" s="39" t="s">
        <v>118</v>
      </c>
      <c r="G2238" s="39" t="str">
        <f aca="false">VLOOKUP(C2238,Products!$A$5:$D$24,2,FALSE())</f>
        <v>24-inch Monitor</v>
      </c>
      <c r="H2238" s="39" t="str">
        <f aca="false">VLOOKUP(C2238,Products!$A$5:$D$24,3,FALSE())</f>
        <v>Electronics</v>
      </c>
      <c r="I2238" s="41" t="n">
        <f aca="false">VLOOKUP(C2238,Products!$A$5:$D$24,4,FALSE())</f>
        <v>90</v>
      </c>
      <c r="J2238" s="42" t="n">
        <f aca="false">DATE(YEAR(B2238),MONTH(B2238),1)</f>
        <v>45931</v>
      </c>
      <c r="K2238" s="41" t="n">
        <f aca="false">D2238*E2238</f>
        <v>176.84</v>
      </c>
      <c r="L2238" s="41" t="n">
        <f aca="false">D2238*I2238</f>
        <v>90</v>
      </c>
      <c r="M2238" s="41" t="n">
        <f aca="false">IFERROR(INDEX(Raw_Expenses!$C$5:$C$2979,MATCH(A2238,Raw_Expenses!$A$5:$A$2979,0)),0)</f>
        <v>10.08</v>
      </c>
      <c r="N2238" s="41" t="n">
        <f aca="false">L2238+M2238</f>
        <v>100.08</v>
      </c>
      <c r="O2238" s="41" t="n">
        <f aca="false">K2238-N2238</f>
        <v>76.76</v>
      </c>
      <c r="P2238" s="43" t="n">
        <f aca="false">IF(K2238=0,0,O2238/K2238)</f>
        <v>0.434064691246324</v>
      </c>
    </row>
    <row r="2239" customFormat="false" ht="15" hidden="false" customHeight="false" outlineLevel="0" collapsed="false">
      <c r="A2239" s="39" t="s">
        <v>2361</v>
      </c>
      <c r="B2239" s="40" t="n">
        <v>45957</v>
      </c>
      <c r="C2239" s="39" t="s">
        <v>130</v>
      </c>
      <c r="D2239" s="39" t="n">
        <v>3</v>
      </c>
      <c r="E2239" s="41" t="n">
        <v>8.57</v>
      </c>
      <c r="F2239" s="39" t="s">
        <v>115</v>
      </c>
      <c r="G2239" s="39" t="str">
        <f aca="false">VLOOKUP(C2239,Products!$A$5:$D$24,2,FALSE())</f>
        <v>Notebook Set</v>
      </c>
      <c r="H2239" s="39" t="str">
        <f aca="false">VLOOKUP(C2239,Products!$A$5:$D$24,3,FALSE())</f>
        <v>Stationery</v>
      </c>
      <c r="I2239" s="41" t="n">
        <f aca="false">VLOOKUP(C2239,Products!$A$5:$D$24,4,FALSE())</f>
        <v>3</v>
      </c>
      <c r="J2239" s="42" t="n">
        <f aca="false">DATE(YEAR(B2239),MONTH(B2239),1)</f>
        <v>45931</v>
      </c>
      <c r="K2239" s="41" t="n">
        <f aca="false">D2239*E2239</f>
        <v>25.71</v>
      </c>
      <c r="L2239" s="41" t="n">
        <f aca="false">D2239*I2239</f>
        <v>9</v>
      </c>
      <c r="M2239" s="41" t="n">
        <f aca="false">IFERROR(INDEX(Raw_Expenses!$C$5:$C$2979,MATCH(A2239,Raw_Expenses!$A$5:$A$2979,0)),0)</f>
        <v>1.13</v>
      </c>
      <c r="N2239" s="41" t="n">
        <f aca="false">L2239+M2239</f>
        <v>10.13</v>
      </c>
      <c r="O2239" s="41" t="n">
        <f aca="false">K2239-N2239</f>
        <v>15.58</v>
      </c>
      <c r="P2239" s="43" t="n">
        <f aca="false">IF(K2239=0,0,O2239/K2239)</f>
        <v>0.605989887203423</v>
      </c>
    </row>
    <row r="2240" customFormat="false" ht="15" hidden="false" customHeight="false" outlineLevel="0" collapsed="false">
      <c r="A2240" s="39" t="s">
        <v>2362</v>
      </c>
      <c r="B2240" s="40" t="n">
        <v>45958</v>
      </c>
      <c r="C2240" s="39" t="s">
        <v>104</v>
      </c>
      <c r="D2240" s="39" t="n">
        <v>3</v>
      </c>
      <c r="E2240" s="41" t="n">
        <v>15.54</v>
      </c>
      <c r="F2240" s="39" t="s">
        <v>108</v>
      </c>
      <c r="G2240" s="39" t="str">
        <f aca="false">VLOOKUP(C2240,Products!$A$5:$D$24,2,FALSE())</f>
        <v>Water Bottle</v>
      </c>
      <c r="H2240" s="39" t="str">
        <f aca="false">VLOOKUP(C2240,Products!$A$5:$D$24,3,FALSE())</f>
        <v>Accessories</v>
      </c>
      <c r="I2240" s="41" t="n">
        <f aca="false">VLOOKUP(C2240,Products!$A$5:$D$24,4,FALSE())</f>
        <v>5</v>
      </c>
      <c r="J2240" s="42" t="n">
        <f aca="false">DATE(YEAR(B2240),MONTH(B2240),1)</f>
        <v>45931</v>
      </c>
      <c r="K2240" s="41" t="n">
        <f aca="false">D2240*E2240</f>
        <v>46.62</v>
      </c>
      <c r="L2240" s="41" t="n">
        <f aca="false">D2240*I2240</f>
        <v>15</v>
      </c>
      <c r="M2240" s="41" t="n">
        <f aca="false">IFERROR(INDEX(Raw_Expenses!$C$5:$C$2979,MATCH(A2240,Raw_Expenses!$A$5:$A$2979,0)),0)</f>
        <v>2.24</v>
      </c>
      <c r="N2240" s="41" t="n">
        <f aca="false">L2240+M2240</f>
        <v>17.24</v>
      </c>
      <c r="O2240" s="41" t="n">
        <f aca="false">K2240-N2240</f>
        <v>29.38</v>
      </c>
      <c r="P2240" s="43" t="n">
        <f aca="false">IF(K2240=0,0,O2240/K2240)</f>
        <v>0.63020163020163</v>
      </c>
    </row>
    <row r="2241" customFormat="false" ht="15" hidden="false" customHeight="false" outlineLevel="0" collapsed="false">
      <c r="A2241" s="39" t="s">
        <v>2363</v>
      </c>
      <c r="B2241" s="40" t="n">
        <v>45958</v>
      </c>
      <c r="C2241" s="39" t="s">
        <v>126</v>
      </c>
      <c r="D2241" s="39" t="n">
        <v>2</v>
      </c>
      <c r="E2241" s="41" t="n">
        <v>23.03</v>
      </c>
      <c r="F2241" s="39" t="s">
        <v>115</v>
      </c>
      <c r="G2241" s="39" t="str">
        <f aca="false">VLOOKUP(C2241,Products!$A$5:$D$24,2,FALSE())</f>
        <v>Wireless Mouse</v>
      </c>
      <c r="H2241" s="39" t="str">
        <f aca="false">VLOOKUP(C2241,Products!$A$5:$D$24,3,FALSE())</f>
        <v>Electronics</v>
      </c>
      <c r="I2241" s="41" t="n">
        <f aca="false">VLOOKUP(C2241,Products!$A$5:$D$24,4,FALSE())</f>
        <v>12</v>
      </c>
      <c r="J2241" s="42" t="n">
        <f aca="false">DATE(YEAR(B2241),MONTH(B2241),1)</f>
        <v>45931</v>
      </c>
      <c r="K2241" s="41" t="n">
        <f aca="false">D2241*E2241</f>
        <v>46.06</v>
      </c>
      <c r="L2241" s="41" t="n">
        <f aca="false">D2241*I2241</f>
        <v>24</v>
      </c>
      <c r="M2241" s="41" t="n">
        <f aca="false">IFERROR(INDEX(Raw_Expenses!$C$5:$C$2979,MATCH(A2241,Raw_Expenses!$A$5:$A$2979,0)),0)</f>
        <v>3</v>
      </c>
      <c r="N2241" s="41" t="n">
        <f aca="false">L2241+M2241</f>
        <v>27</v>
      </c>
      <c r="O2241" s="41" t="n">
        <f aca="false">K2241-N2241</f>
        <v>19.06</v>
      </c>
      <c r="P2241" s="43" t="n">
        <f aca="false">IF(K2241=0,0,O2241/K2241)</f>
        <v>0.413808076422058</v>
      </c>
    </row>
    <row r="2242" customFormat="false" ht="15" hidden="false" customHeight="false" outlineLevel="0" collapsed="false">
      <c r="A2242" s="39" t="s">
        <v>2364</v>
      </c>
      <c r="B2242" s="40" t="n">
        <v>45958</v>
      </c>
      <c r="C2242" s="39" t="s">
        <v>162</v>
      </c>
      <c r="D2242" s="39" t="n">
        <v>1</v>
      </c>
      <c r="E2242" s="41" t="n">
        <v>68.12</v>
      </c>
      <c r="F2242" s="39" t="s">
        <v>108</v>
      </c>
      <c r="G2242" s="39" t="str">
        <f aca="false">VLOOKUP(C2242,Products!$A$5:$D$24,2,FALSE())</f>
        <v>Bluetooth Speaker</v>
      </c>
      <c r="H2242" s="39" t="str">
        <f aca="false">VLOOKUP(C2242,Products!$A$5:$D$24,3,FALSE())</f>
        <v>Electronics</v>
      </c>
      <c r="I2242" s="41" t="n">
        <f aca="false">VLOOKUP(C2242,Products!$A$5:$D$24,4,FALSE())</f>
        <v>28</v>
      </c>
      <c r="J2242" s="42" t="n">
        <f aca="false">DATE(YEAR(B2242),MONTH(B2242),1)</f>
        <v>45931</v>
      </c>
      <c r="K2242" s="41" t="n">
        <f aca="false">D2242*E2242</f>
        <v>68.12</v>
      </c>
      <c r="L2242" s="41" t="n">
        <f aca="false">D2242*I2242</f>
        <v>28</v>
      </c>
      <c r="M2242" s="41" t="n">
        <f aca="false">IFERROR(INDEX(Raw_Expenses!$C$5:$C$2979,MATCH(A2242,Raw_Expenses!$A$5:$A$2979,0)),0)</f>
        <v>3.67</v>
      </c>
      <c r="N2242" s="41" t="n">
        <f aca="false">L2242+M2242</f>
        <v>31.67</v>
      </c>
      <c r="O2242" s="41" t="n">
        <f aca="false">K2242-N2242</f>
        <v>36.45</v>
      </c>
      <c r="P2242" s="43" t="n">
        <f aca="false">IF(K2242=0,0,O2242/K2242)</f>
        <v>0.53508514386377</v>
      </c>
    </row>
    <row r="2243" customFormat="false" ht="15" hidden="false" customHeight="false" outlineLevel="0" collapsed="false">
      <c r="A2243" s="39" t="s">
        <v>2365</v>
      </c>
      <c r="B2243" s="40" t="n">
        <v>45958</v>
      </c>
      <c r="C2243" s="39" t="s">
        <v>136</v>
      </c>
      <c r="D2243" s="39" t="n">
        <v>1</v>
      </c>
      <c r="E2243" s="41" t="n">
        <v>75.82</v>
      </c>
      <c r="F2243" s="39" t="s">
        <v>118</v>
      </c>
      <c r="G2243" s="39" t="str">
        <f aca="false">VLOOKUP(C2243,Products!$A$5:$D$24,2,FALSE())</f>
        <v>Mechanical Keyboard</v>
      </c>
      <c r="H2243" s="39" t="str">
        <f aca="false">VLOOKUP(C2243,Products!$A$5:$D$24,3,FALSE())</f>
        <v>Electronics</v>
      </c>
      <c r="I2243" s="41" t="n">
        <f aca="false">VLOOKUP(C2243,Products!$A$5:$D$24,4,FALSE())</f>
        <v>38</v>
      </c>
      <c r="J2243" s="42" t="n">
        <f aca="false">DATE(YEAR(B2243),MONTH(B2243),1)</f>
        <v>45931</v>
      </c>
      <c r="K2243" s="41" t="n">
        <f aca="false">D2243*E2243</f>
        <v>75.82</v>
      </c>
      <c r="L2243" s="41" t="n">
        <f aca="false">D2243*I2243</f>
        <v>38</v>
      </c>
      <c r="M2243" s="41" t="n">
        <f aca="false">IFERROR(INDEX(Raw_Expenses!$C$5:$C$2979,MATCH(A2243,Raw_Expenses!$A$5:$A$2979,0)),0)</f>
        <v>5.42</v>
      </c>
      <c r="N2243" s="41" t="n">
        <f aca="false">L2243+M2243</f>
        <v>43.42</v>
      </c>
      <c r="O2243" s="41" t="n">
        <f aca="false">K2243-N2243</f>
        <v>32.4</v>
      </c>
      <c r="P2243" s="43" t="n">
        <f aca="false">IF(K2243=0,0,O2243/K2243)</f>
        <v>0.427327881825376</v>
      </c>
    </row>
    <row r="2244" customFormat="false" ht="15" hidden="false" customHeight="false" outlineLevel="0" collapsed="false">
      <c r="A2244" s="39" t="s">
        <v>2366</v>
      </c>
      <c r="B2244" s="40" t="n">
        <v>45958</v>
      </c>
      <c r="C2244" s="39" t="s">
        <v>153</v>
      </c>
      <c r="D2244" s="39" t="n">
        <v>2</v>
      </c>
      <c r="E2244" s="41" t="n">
        <v>167.11</v>
      </c>
      <c r="F2244" s="39" t="s">
        <v>115</v>
      </c>
      <c r="G2244" s="39" t="str">
        <f aca="false">VLOOKUP(C2244,Products!$A$5:$D$24,2,FALSE())</f>
        <v>24-inch Monitor</v>
      </c>
      <c r="H2244" s="39" t="str">
        <f aca="false">VLOOKUP(C2244,Products!$A$5:$D$24,3,FALSE())</f>
        <v>Electronics</v>
      </c>
      <c r="I2244" s="41" t="n">
        <f aca="false">VLOOKUP(C2244,Products!$A$5:$D$24,4,FALSE())</f>
        <v>90</v>
      </c>
      <c r="J2244" s="42" t="n">
        <f aca="false">DATE(YEAR(B2244),MONTH(B2244),1)</f>
        <v>45931</v>
      </c>
      <c r="K2244" s="41" t="n">
        <f aca="false">D2244*E2244</f>
        <v>334.22</v>
      </c>
      <c r="L2244" s="41" t="n">
        <f aca="false">D2244*I2244</f>
        <v>180</v>
      </c>
      <c r="M2244" s="41" t="n">
        <f aca="false">IFERROR(INDEX(Raw_Expenses!$C$5:$C$2979,MATCH(A2244,Raw_Expenses!$A$5:$A$2979,0)),0)</f>
        <v>15.45</v>
      </c>
      <c r="N2244" s="41" t="n">
        <f aca="false">L2244+M2244</f>
        <v>195.45</v>
      </c>
      <c r="O2244" s="41" t="n">
        <f aca="false">K2244-N2244</f>
        <v>138.77</v>
      </c>
      <c r="P2244" s="43" t="n">
        <f aca="false">IF(K2244=0,0,O2244/K2244)</f>
        <v>0.415205553228413</v>
      </c>
    </row>
    <row r="2245" customFormat="false" ht="15" hidden="false" customHeight="false" outlineLevel="0" collapsed="false">
      <c r="A2245" s="39" t="s">
        <v>2367</v>
      </c>
      <c r="B2245" s="40" t="n">
        <v>45958</v>
      </c>
      <c r="C2245" s="39" t="s">
        <v>110</v>
      </c>
      <c r="D2245" s="39" t="n">
        <v>2</v>
      </c>
      <c r="E2245" s="41" t="n">
        <v>13.97</v>
      </c>
      <c r="F2245" s="39" t="s">
        <v>115</v>
      </c>
      <c r="G2245" s="39" t="str">
        <f aca="false">VLOOKUP(C2245,Products!$A$5:$D$24,2,FALSE())</f>
        <v>Phone Stand</v>
      </c>
      <c r="H2245" s="39" t="str">
        <f aca="false">VLOOKUP(C2245,Products!$A$5:$D$24,3,FALSE())</f>
        <v>Accessories</v>
      </c>
      <c r="I2245" s="41" t="n">
        <f aca="false">VLOOKUP(C2245,Products!$A$5:$D$24,4,FALSE())</f>
        <v>4</v>
      </c>
      <c r="J2245" s="42" t="n">
        <f aca="false">DATE(YEAR(B2245),MONTH(B2245),1)</f>
        <v>45931</v>
      </c>
      <c r="K2245" s="41" t="n">
        <f aca="false">D2245*E2245</f>
        <v>27.94</v>
      </c>
      <c r="L2245" s="41" t="n">
        <f aca="false">D2245*I2245</f>
        <v>8</v>
      </c>
      <c r="M2245" s="41" t="n">
        <f aca="false">IFERROR(INDEX(Raw_Expenses!$C$5:$C$2979,MATCH(A2245,Raw_Expenses!$A$5:$A$2979,0)),0)</f>
        <v>2.13</v>
      </c>
      <c r="N2245" s="41" t="n">
        <f aca="false">L2245+M2245</f>
        <v>10.13</v>
      </c>
      <c r="O2245" s="41" t="n">
        <f aca="false">K2245-N2245</f>
        <v>17.81</v>
      </c>
      <c r="P2245" s="43" t="n">
        <f aca="false">IF(K2245=0,0,O2245/K2245)</f>
        <v>0.637437365783823</v>
      </c>
    </row>
    <row r="2246" customFormat="false" ht="15" hidden="false" customHeight="false" outlineLevel="0" collapsed="false">
      <c r="A2246" s="39" t="s">
        <v>2368</v>
      </c>
      <c r="B2246" s="40" t="n">
        <v>45958</v>
      </c>
      <c r="C2246" s="39" t="s">
        <v>117</v>
      </c>
      <c r="D2246" s="39" t="n">
        <v>1</v>
      </c>
      <c r="E2246" s="41" t="n">
        <v>29.45</v>
      </c>
      <c r="F2246" s="39" t="s">
        <v>115</v>
      </c>
      <c r="G2246" s="39" t="str">
        <f aca="false">VLOOKUP(C2246,Products!$A$5:$D$24,2,FALSE())</f>
        <v>Desk Lamp</v>
      </c>
      <c r="H2246" s="39" t="str">
        <f aca="false">VLOOKUP(C2246,Products!$A$5:$D$24,3,FALSE())</f>
        <v>Furniture</v>
      </c>
      <c r="I2246" s="41" t="n">
        <f aca="false">VLOOKUP(C2246,Products!$A$5:$D$24,4,FALSE())</f>
        <v>13</v>
      </c>
      <c r="J2246" s="42" t="n">
        <f aca="false">DATE(YEAR(B2246),MONTH(B2246),1)</f>
        <v>45931</v>
      </c>
      <c r="K2246" s="41" t="n">
        <f aca="false">D2246*E2246</f>
        <v>29.45</v>
      </c>
      <c r="L2246" s="41" t="n">
        <f aca="false">D2246*I2246</f>
        <v>13</v>
      </c>
      <c r="M2246" s="41" t="n">
        <f aca="false">IFERROR(INDEX(Raw_Expenses!$C$5:$C$2979,MATCH(A2246,Raw_Expenses!$A$5:$A$2979,0)),0)</f>
        <v>1.93</v>
      </c>
      <c r="N2246" s="41" t="n">
        <f aca="false">L2246+M2246</f>
        <v>14.93</v>
      </c>
      <c r="O2246" s="41" t="n">
        <f aca="false">K2246-N2246</f>
        <v>14.52</v>
      </c>
      <c r="P2246" s="43" t="n">
        <f aca="false">IF(K2246=0,0,O2246/K2246)</f>
        <v>0.493039049235993</v>
      </c>
    </row>
    <row r="2247" customFormat="false" ht="15" hidden="false" customHeight="false" outlineLevel="0" collapsed="false">
      <c r="A2247" s="39" t="s">
        <v>2369</v>
      </c>
      <c r="B2247" s="40" t="n">
        <v>45958</v>
      </c>
      <c r="C2247" s="39" t="s">
        <v>133</v>
      </c>
      <c r="D2247" s="39" t="n">
        <v>4</v>
      </c>
      <c r="E2247" s="41" t="n">
        <v>8.68</v>
      </c>
      <c r="F2247" s="39" t="s">
        <v>105</v>
      </c>
      <c r="G2247" s="39" t="str">
        <f aca="false">VLOOKUP(C2247,Products!$A$5:$D$24,2,FALSE())</f>
        <v>Printer Paper Ream</v>
      </c>
      <c r="H2247" s="39" t="str">
        <f aca="false">VLOOKUP(C2247,Products!$A$5:$D$24,3,FALSE())</f>
        <v>Stationery</v>
      </c>
      <c r="I2247" s="41" t="n">
        <f aca="false">VLOOKUP(C2247,Products!$A$5:$D$24,4,FALSE())</f>
        <v>4</v>
      </c>
      <c r="J2247" s="42" t="n">
        <f aca="false">DATE(YEAR(B2247),MONTH(B2247),1)</f>
        <v>45931</v>
      </c>
      <c r="K2247" s="41" t="n">
        <f aca="false">D2247*E2247</f>
        <v>34.72</v>
      </c>
      <c r="L2247" s="41" t="n">
        <f aca="false">D2247*I2247</f>
        <v>16</v>
      </c>
      <c r="M2247" s="41" t="n">
        <f aca="false">IFERROR(INDEX(Raw_Expenses!$C$5:$C$2979,MATCH(A2247,Raw_Expenses!$A$5:$A$2979,0)),0)</f>
        <v>2.22</v>
      </c>
      <c r="N2247" s="41" t="n">
        <f aca="false">L2247+M2247</f>
        <v>18.22</v>
      </c>
      <c r="O2247" s="41" t="n">
        <f aca="false">K2247-N2247</f>
        <v>16.5</v>
      </c>
      <c r="P2247" s="43" t="n">
        <f aca="false">IF(K2247=0,0,O2247/K2247)</f>
        <v>0.475230414746544</v>
      </c>
    </row>
    <row r="2248" customFormat="false" ht="15" hidden="false" customHeight="false" outlineLevel="0" collapsed="false">
      <c r="A2248" s="39" t="s">
        <v>2370</v>
      </c>
      <c r="B2248" s="40" t="n">
        <v>45958</v>
      </c>
      <c r="C2248" s="39" t="s">
        <v>121</v>
      </c>
      <c r="D2248" s="39" t="n">
        <v>6</v>
      </c>
      <c r="E2248" s="41" t="n">
        <v>114.56</v>
      </c>
      <c r="F2248" s="39" t="s">
        <v>118</v>
      </c>
      <c r="G2248" s="39" t="str">
        <f aca="false">VLOOKUP(C2248,Products!$A$5:$D$24,2,FALSE())</f>
        <v>External SSD 1TB</v>
      </c>
      <c r="H2248" s="39" t="str">
        <f aca="false">VLOOKUP(C2248,Products!$A$5:$D$24,3,FALSE())</f>
        <v>Electronics</v>
      </c>
      <c r="I2248" s="41" t="n">
        <f aca="false">VLOOKUP(C2248,Products!$A$5:$D$24,4,FALSE())</f>
        <v>62</v>
      </c>
      <c r="J2248" s="42" t="n">
        <f aca="false">DATE(YEAR(B2248),MONTH(B2248),1)</f>
        <v>45931</v>
      </c>
      <c r="K2248" s="41" t="n">
        <f aca="false">D2248*E2248</f>
        <v>687.36</v>
      </c>
      <c r="L2248" s="41" t="n">
        <f aca="false">D2248*I2248</f>
        <v>372</v>
      </c>
      <c r="M2248" s="41" t="n">
        <f aca="false">IFERROR(INDEX(Raw_Expenses!$C$5:$C$2979,MATCH(A2248,Raw_Expenses!$A$5:$A$2979,0)),0)</f>
        <v>35.2</v>
      </c>
      <c r="N2248" s="41" t="n">
        <f aca="false">L2248+M2248</f>
        <v>407.2</v>
      </c>
      <c r="O2248" s="41" t="n">
        <f aca="false">K2248-N2248</f>
        <v>280.16</v>
      </c>
      <c r="P2248" s="43" t="n">
        <f aca="false">IF(K2248=0,0,O2248/K2248)</f>
        <v>0.407588454376164</v>
      </c>
    </row>
    <row r="2249" customFormat="false" ht="15" hidden="false" customHeight="false" outlineLevel="0" collapsed="false">
      <c r="A2249" s="39" t="s">
        <v>2371</v>
      </c>
      <c r="B2249" s="40" t="n">
        <v>45958</v>
      </c>
      <c r="C2249" s="39" t="s">
        <v>121</v>
      </c>
      <c r="D2249" s="39" t="n">
        <v>2</v>
      </c>
      <c r="E2249" s="41" t="n">
        <v>115.43</v>
      </c>
      <c r="F2249" s="39" t="s">
        <v>108</v>
      </c>
      <c r="G2249" s="39" t="str">
        <f aca="false">VLOOKUP(C2249,Products!$A$5:$D$24,2,FALSE())</f>
        <v>External SSD 1TB</v>
      </c>
      <c r="H2249" s="39" t="str">
        <f aca="false">VLOOKUP(C2249,Products!$A$5:$D$24,3,FALSE())</f>
        <v>Electronics</v>
      </c>
      <c r="I2249" s="41" t="n">
        <f aca="false">VLOOKUP(C2249,Products!$A$5:$D$24,4,FALSE())</f>
        <v>62</v>
      </c>
      <c r="J2249" s="42" t="n">
        <f aca="false">DATE(YEAR(B2249),MONTH(B2249),1)</f>
        <v>45931</v>
      </c>
      <c r="K2249" s="41" t="n">
        <f aca="false">D2249*E2249</f>
        <v>230.86</v>
      </c>
      <c r="L2249" s="41" t="n">
        <f aca="false">D2249*I2249</f>
        <v>124</v>
      </c>
      <c r="M2249" s="41" t="n">
        <f aca="false">IFERROR(INDEX(Raw_Expenses!$C$5:$C$2979,MATCH(A2249,Raw_Expenses!$A$5:$A$2979,0)),0)</f>
        <v>14.2</v>
      </c>
      <c r="N2249" s="41" t="n">
        <f aca="false">L2249+M2249</f>
        <v>138.2</v>
      </c>
      <c r="O2249" s="41" t="n">
        <f aca="false">K2249-N2249</f>
        <v>92.66</v>
      </c>
      <c r="P2249" s="43" t="n">
        <f aca="false">IF(K2249=0,0,O2249/K2249)</f>
        <v>0.401368794940657</v>
      </c>
    </row>
    <row r="2250" customFormat="false" ht="15" hidden="false" customHeight="false" outlineLevel="0" collapsed="false">
      <c r="A2250" s="39" t="s">
        <v>2372</v>
      </c>
      <c r="B2250" s="40" t="n">
        <v>45962</v>
      </c>
      <c r="C2250" s="39" t="s">
        <v>305</v>
      </c>
      <c r="D2250" s="39" t="n">
        <v>3</v>
      </c>
      <c r="E2250" s="41" t="n">
        <v>334.09</v>
      </c>
      <c r="F2250" s="39" t="s">
        <v>108</v>
      </c>
      <c r="G2250" s="39" t="str">
        <f aca="false">VLOOKUP(C2250,Products!$A$5:$D$24,2,FALSE())</f>
        <v>Standing Desk</v>
      </c>
      <c r="H2250" s="39" t="str">
        <f aca="false">VLOOKUP(C2250,Products!$A$5:$D$24,3,FALSE())</f>
        <v>Furniture</v>
      </c>
      <c r="I2250" s="41" t="n">
        <f aca="false">VLOOKUP(C2250,Products!$A$5:$D$24,4,FALSE())</f>
        <v>160</v>
      </c>
      <c r="J2250" s="42" t="n">
        <f aca="false">DATE(YEAR(B2250),MONTH(B2250),1)</f>
        <v>45962</v>
      </c>
      <c r="K2250" s="41" t="n">
        <f aca="false">D2250*E2250</f>
        <v>1002.27</v>
      </c>
      <c r="L2250" s="41" t="n">
        <f aca="false">D2250*I2250</f>
        <v>480</v>
      </c>
      <c r="M2250" s="41" t="n">
        <f aca="false">IFERROR(INDEX(Raw_Expenses!$C$5:$C$2979,MATCH(A2250,Raw_Expenses!$A$5:$A$2979,0)),0)</f>
        <v>46.66</v>
      </c>
      <c r="N2250" s="41" t="n">
        <f aca="false">L2250+M2250</f>
        <v>526.66</v>
      </c>
      <c r="O2250" s="41" t="n">
        <f aca="false">K2250-N2250</f>
        <v>475.61</v>
      </c>
      <c r="P2250" s="43" t="n">
        <f aca="false">IF(K2250=0,0,O2250/K2250)</f>
        <v>0.474532810520119</v>
      </c>
    </row>
    <row r="2251" customFormat="false" ht="15" hidden="false" customHeight="false" outlineLevel="0" collapsed="false">
      <c r="A2251" s="39" t="s">
        <v>2373</v>
      </c>
      <c r="B2251" s="40" t="n">
        <v>45962</v>
      </c>
      <c r="C2251" s="39" t="s">
        <v>305</v>
      </c>
      <c r="D2251" s="39" t="n">
        <v>1</v>
      </c>
      <c r="E2251" s="41" t="n">
        <v>341.13</v>
      </c>
      <c r="F2251" s="39" t="s">
        <v>118</v>
      </c>
      <c r="G2251" s="39" t="str">
        <f aca="false">VLOOKUP(C2251,Products!$A$5:$D$24,2,FALSE())</f>
        <v>Standing Desk</v>
      </c>
      <c r="H2251" s="39" t="str">
        <f aca="false">VLOOKUP(C2251,Products!$A$5:$D$24,3,FALSE())</f>
        <v>Furniture</v>
      </c>
      <c r="I2251" s="41" t="n">
        <f aca="false">VLOOKUP(C2251,Products!$A$5:$D$24,4,FALSE())</f>
        <v>160</v>
      </c>
      <c r="J2251" s="42" t="n">
        <f aca="false">DATE(YEAR(B2251),MONTH(B2251),1)</f>
        <v>45962</v>
      </c>
      <c r="K2251" s="41" t="n">
        <f aca="false">D2251*E2251</f>
        <v>341.13</v>
      </c>
      <c r="L2251" s="41" t="n">
        <f aca="false">D2251*I2251</f>
        <v>160</v>
      </c>
      <c r="M2251" s="41" t="n">
        <f aca="false">IFERROR(INDEX(Raw_Expenses!$C$5:$C$2979,MATCH(A2251,Raw_Expenses!$A$5:$A$2979,0)),0)</f>
        <v>20.36</v>
      </c>
      <c r="N2251" s="41" t="n">
        <f aca="false">L2251+M2251</f>
        <v>180.36</v>
      </c>
      <c r="O2251" s="41" t="n">
        <f aca="false">K2251-N2251</f>
        <v>160.77</v>
      </c>
      <c r="P2251" s="43" t="n">
        <f aca="false">IF(K2251=0,0,O2251/K2251)</f>
        <v>0.471286606279131</v>
      </c>
    </row>
    <row r="2252" customFormat="false" ht="15" hidden="false" customHeight="false" outlineLevel="0" collapsed="false">
      <c r="A2252" s="39" t="s">
        <v>2374</v>
      </c>
      <c r="B2252" s="40" t="n">
        <v>45962</v>
      </c>
      <c r="C2252" s="39" t="s">
        <v>133</v>
      </c>
      <c r="D2252" s="39" t="n">
        <v>4</v>
      </c>
      <c r="E2252" s="41" t="n">
        <v>8.73</v>
      </c>
      <c r="F2252" s="39" t="s">
        <v>118</v>
      </c>
      <c r="G2252" s="39" t="str">
        <f aca="false">VLOOKUP(C2252,Products!$A$5:$D$24,2,FALSE())</f>
        <v>Printer Paper Ream</v>
      </c>
      <c r="H2252" s="39" t="str">
        <f aca="false">VLOOKUP(C2252,Products!$A$5:$D$24,3,FALSE())</f>
        <v>Stationery</v>
      </c>
      <c r="I2252" s="41" t="n">
        <f aca="false">VLOOKUP(C2252,Products!$A$5:$D$24,4,FALSE())</f>
        <v>4</v>
      </c>
      <c r="J2252" s="42" t="n">
        <f aca="false">DATE(YEAR(B2252),MONTH(B2252),1)</f>
        <v>45962</v>
      </c>
      <c r="K2252" s="41" t="n">
        <f aca="false">D2252*E2252</f>
        <v>34.92</v>
      </c>
      <c r="L2252" s="41" t="n">
        <f aca="false">D2252*I2252</f>
        <v>16</v>
      </c>
      <c r="M2252" s="41" t="n">
        <f aca="false">IFERROR(INDEX(Raw_Expenses!$C$5:$C$2979,MATCH(A2252,Raw_Expenses!$A$5:$A$2979,0)),0)</f>
        <v>2.95</v>
      </c>
      <c r="N2252" s="41" t="n">
        <f aca="false">L2252+M2252</f>
        <v>18.95</v>
      </c>
      <c r="O2252" s="41" t="n">
        <f aca="false">K2252-N2252</f>
        <v>15.97</v>
      </c>
      <c r="P2252" s="43" t="n">
        <f aca="false">IF(K2252=0,0,O2252/K2252)</f>
        <v>0.457331042382589</v>
      </c>
    </row>
    <row r="2253" customFormat="false" ht="15" hidden="false" customHeight="false" outlineLevel="0" collapsed="false">
      <c r="A2253" s="39" t="s">
        <v>2375</v>
      </c>
      <c r="B2253" s="40" t="n">
        <v>45962</v>
      </c>
      <c r="C2253" s="39" t="s">
        <v>110</v>
      </c>
      <c r="D2253" s="39" t="n">
        <v>5</v>
      </c>
      <c r="E2253" s="41" t="n">
        <v>13.64</v>
      </c>
      <c r="F2253" s="39" t="s">
        <v>115</v>
      </c>
      <c r="G2253" s="39" t="str">
        <f aca="false">VLOOKUP(C2253,Products!$A$5:$D$24,2,FALSE())</f>
        <v>Phone Stand</v>
      </c>
      <c r="H2253" s="39" t="str">
        <f aca="false">VLOOKUP(C2253,Products!$A$5:$D$24,3,FALSE())</f>
        <v>Accessories</v>
      </c>
      <c r="I2253" s="41" t="n">
        <f aca="false">VLOOKUP(C2253,Products!$A$5:$D$24,4,FALSE())</f>
        <v>4</v>
      </c>
      <c r="J2253" s="42" t="n">
        <f aca="false">DATE(YEAR(B2253),MONTH(B2253),1)</f>
        <v>45962</v>
      </c>
      <c r="K2253" s="41" t="n">
        <f aca="false">D2253*E2253</f>
        <v>68.2</v>
      </c>
      <c r="L2253" s="41" t="n">
        <f aca="false">D2253*I2253</f>
        <v>20</v>
      </c>
      <c r="M2253" s="41" t="n">
        <f aca="false">IFERROR(INDEX(Raw_Expenses!$C$5:$C$2979,MATCH(A2253,Raw_Expenses!$A$5:$A$2979,0)),0)</f>
        <v>3.65</v>
      </c>
      <c r="N2253" s="41" t="n">
        <f aca="false">L2253+M2253</f>
        <v>23.65</v>
      </c>
      <c r="O2253" s="41" t="n">
        <f aca="false">K2253-N2253</f>
        <v>44.55</v>
      </c>
      <c r="P2253" s="43" t="n">
        <f aca="false">IF(K2253=0,0,O2253/K2253)</f>
        <v>0.653225806451613</v>
      </c>
    </row>
    <row r="2254" customFormat="false" ht="15" hidden="false" customHeight="false" outlineLevel="0" collapsed="false">
      <c r="A2254" s="39" t="s">
        <v>2376</v>
      </c>
      <c r="B2254" s="40" t="n">
        <v>45962</v>
      </c>
      <c r="C2254" s="39" t="s">
        <v>130</v>
      </c>
      <c r="D2254" s="39" t="n">
        <v>3</v>
      </c>
      <c r="E2254" s="41" t="n">
        <v>8.29</v>
      </c>
      <c r="F2254" s="39" t="s">
        <v>115</v>
      </c>
      <c r="G2254" s="39" t="str">
        <f aca="false">VLOOKUP(C2254,Products!$A$5:$D$24,2,FALSE())</f>
        <v>Notebook Set</v>
      </c>
      <c r="H2254" s="39" t="str">
        <f aca="false">VLOOKUP(C2254,Products!$A$5:$D$24,3,FALSE())</f>
        <v>Stationery</v>
      </c>
      <c r="I2254" s="41" t="n">
        <f aca="false">VLOOKUP(C2254,Products!$A$5:$D$24,4,FALSE())</f>
        <v>3</v>
      </c>
      <c r="J2254" s="42" t="n">
        <f aca="false">DATE(YEAR(B2254),MONTH(B2254),1)</f>
        <v>45962</v>
      </c>
      <c r="K2254" s="41" t="n">
        <f aca="false">D2254*E2254</f>
        <v>24.87</v>
      </c>
      <c r="L2254" s="41" t="n">
        <f aca="false">D2254*I2254</f>
        <v>9</v>
      </c>
      <c r="M2254" s="41" t="n">
        <f aca="false">IFERROR(INDEX(Raw_Expenses!$C$5:$C$2979,MATCH(A2254,Raw_Expenses!$A$5:$A$2979,0)),0)</f>
        <v>1.76</v>
      </c>
      <c r="N2254" s="41" t="n">
        <f aca="false">L2254+M2254</f>
        <v>10.76</v>
      </c>
      <c r="O2254" s="41" t="n">
        <f aca="false">K2254-N2254</f>
        <v>14.11</v>
      </c>
      <c r="P2254" s="43" t="n">
        <f aca="false">IF(K2254=0,0,O2254/K2254)</f>
        <v>0.56735022114998</v>
      </c>
    </row>
    <row r="2255" customFormat="false" ht="15" hidden="false" customHeight="false" outlineLevel="0" collapsed="false">
      <c r="A2255" s="39" t="s">
        <v>2377</v>
      </c>
      <c r="B2255" s="40" t="n">
        <v>45962</v>
      </c>
      <c r="C2255" s="39" t="s">
        <v>169</v>
      </c>
      <c r="D2255" s="39" t="n">
        <v>1</v>
      </c>
      <c r="E2255" s="41" t="n">
        <v>27.8</v>
      </c>
      <c r="F2255" s="39" t="s">
        <v>105</v>
      </c>
      <c r="G2255" s="39" t="str">
        <f aca="false">VLOOKUP(C2255,Products!$A$5:$D$24,2,FALSE())</f>
        <v>Laptop Stand</v>
      </c>
      <c r="H2255" s="39" t="str">
        <f aca="false">VLOOKUP(C2255,Products!$A$5:$D$24,3,FALSE())</f>
        <v>Accessories</v>
      </c>
      <c r="I2255" s="41" t="n">
        <f aca="false">VLOOKUP(C2255,Products!$A$5:$D$24,4,FALSE())</f>
        <v>11</v>
      </c>
      <c r="J2255" s="42" t="n">
        <f aca="false">DATE(YEAR(B2255),MONTH(B2255),1)</f>
        <v>45962</v>
      </c>
      <c r="K2255" s="41" t="n">
        <f aca="false">D2255*E2255</f>
        <v>27.8</v>
      </c>
      <c r="L2255" s="41" t="n">
        <f aca="false">D2255*I2255</f>
        <v>11</v>
      </c>
      <c r="M2255" s="41" t="n">
        <f aca="false">IFERROR(INDEX(Raw_Expenses!$C$5:$C$2979,MATCH(A2255,Raw_Expenses!$A$5:$A$2979,0)),0)</f>
        <v>2.35</v>
      </c>
      <c r="N2255" s="41" t="n">
        <f aca="false">L2255+M2255</f>
        <v>13.35</v>
      </c>
      <c r="O2255" s="41" t="n">
        <f aca="false">K2255-N2255</f>
        <v>14.45</v>
      </c>
      <c r="P2255" s="43" t="n">
        <f aca="false">IF(K2255=0,0,O2255/K2255)</f>
        <v>0.519784172661871</v>
      </c>
    </row>
    <row r="2256" customFormat="false" ht="15" hidden="false" customHeight="false" outlineLevel="0" collapsed="false">
      <c r="A2256" s="39" t="s">
        <v>2378</v>
      </c>
      <c r="B2256" s="40" t="n">
        <v>45962</v>
      </c>
      <c r="C2256" s="39" t="s">
        <v>139</v>
      </c>
      <c r="D2256" s="39" t="n">
        <v>3</v>
      </c>
      <c r="E2256" s="41" t="n">
        <v>122.09</v>
      </c>
      <c r="F2256" s="39" t="s">
        <v>115</v>
      </c>
      <c r="G2256" s="39" t="str">
        <f aca="false">VLOOKUP(C2256,Products!$A$5:$D$24,2,FALSE())</f>
        <v>Noise-Cancelling Headphones</v>
      </c>
      <c r="H2256" s="39" t="str">
        <f aca="false">VLOOKUP(C2256,Products!$A$5:$D$24,3,FALSE())</f>
        <v>Electronics</v>
      </c>
      <c r="I2256" s="41" t="n">
        <f aca="false">VLOOKUP(C2256,Products!$A$5:$D$24,4,FALSE())</f>
        <v>55</v>
      </c>
      <c r="J2256" s="42" t="n">
        <f aca="false">DATE(YEAR(B2256),MONTH(B2256),1)</f>
        <v>45962</v>
      </c>
      <c r="K2256" s="41" t="n">
        <f aca="false">D2256*E2256</f>
        <v>366.27</v>
      </c>
      <c r="L2256" s="41" t="n">
        <f aca="false">D2256*I2256</f>
        <v>165</v>
      </c>
      <c r="M2256" s="41" t="n">
        <f aca="false">IFERROR(INDEX(Raw_Expenses!$C$5:$C$2979,MATCH(A2256,Raw_Expenses!$A$5:$A$2979,0)),0)</f>
        <v>16.55</v>
      </c>
      <c r="N2256" s="41" t="n">
        <f aca="false">L2256+M2256</f>
        <v>181.55</v>
      </c>
      <c r="O2256" s="41" t="n">
        <f aca="false">K2256-N2256</f>
        <v>184.72</v>
      </c>
      <c r="P2256" s="43" t="n">
        <f aca="false">IF(K2256=0,0,O2256/K2256)</f>
        <v>0.504327408742185</v>
      </c>
    </row>
    <row r="2257" customFormat="false" ht="15" hidden="false" customHeight="false" outlineLevel="0" collapsed="false">
      <c r="A2257" s="39" t="s">
        <v>2379</v>
      </c>
      <c r="B2257" s="40" t="n">
        <v>45962</v>
      </c>
      <c r="C2257" s="39" t="s">
        <v>112</v>
      </c>
      <c r="D2257" s="39" t="n">
        <v>5</v>
      </c>
      <c r="E2257" s="41" t="n">
        <v>51.52</v>
      </c>
      <c r="F2257" s="39" t="s">
        <v>108</v>
      </c>
      <c r="G2257" s="39" t="str">
        <f aca="false">VLOOKUP(C2257,Products!$A$5:$D$24,2,FALSE())</f>
        <v>HD Webcam</v>
      </c>
      <c r="H2257" s="39" t="str">
        <f aca="false">VLOOKUP(C2257,Products!$A$5:$D$24,3,FALSE())</f>
        <v>Electronics</v>
      </c>
      <c r="I2257" s="41" t="n">
        <f aca="false">VLOOKUP(C2257,Products!$A$5:$D$24,4,FALSE())</f>
        <v>22</v>
      </c>
      <c r="J2257" s="42" t="n">
        <f aca="false">DATE(YEAR(B2257),MONTH(B2257),1)</f>
        <v>45962</v>
      </c>
      <c r="K2257" s="41" t="n">
        <f aca="false">D2257*E2257</f>
        <v>257.6</v>
      </c>
      <c r="L2257" s="41" t="n">
        <f aca="false">D2257*I2257</f>
        <v>110</v>
      </c>
      <c r="M2257" s="41" t="n">
        <f aca="false">IFERROR(INDEX(Raw_Expenses!$C$5:$C$2979,MATCH(A2257,Raw_Expenses!$A$5:$A$2979,0)),0)</f>
        <v>20.19</v>
      </c>
      <c r="N2257" s="41" t="n">
        <f aca="false">L2257+M2257</f>
        <v>130.19</v>
      </c>
      <c r="O2257" s="41" t="n">
        <f aca="false">K2257-N2257</f>
        <v>127.41</v>
      </c>
      <c r="P2257" s="43" t="n">
        <f aca="false">IF(K2257=0,0,O2257/K2257)</f>
        <v>0.494604037267081</v>
      </c>
    </row>
    <row r="2258" customFormat="false" ht="15" hidden="false" customHeight="false" outlineLevel="0" collapsed="false">
      <c r="A2258" s="39" t="s">
        <v>2380</v>
      </c>
      <c r="B2258" s="40" t="n">
        <v>45962</v>
      </c>
      <c r="C2258" s="39" t="s">
        <v>107</v>
      </c>
      <c r="D2258" s="39" t="n">
        <v>1</v>
      </c>
      <c r="E2258" s="41" t="n">
        <v>32.5</v>
      </c>
      <c r="F2258" s="39" t="s">
        <v>115</v>
      </c>
      <c r="G2258" s="39" t="str">
        <f aca="false">VLOOKUP(C2258,Products!$A$5:$D$24,2,FALSE())</f>
        <v>USB-C Hub</v>
      </c>
      <c r="H2258" s="39" t="str">
        <f aca="false">VLOOKUP(C2258,Products!$A$5:$D$24,3,FALSE())</f>
        <v>Electronics</v>
      </c>
      <c r="I2258" s="41" t="n">
        <f aca="false">VLOOKUP(C2258,Products!$A$5:$D$24,4,FALSE())</f>
        <v>14</v>
      </c>
      <c r="J2258" s="42" t="n">
        <f aca="false">DATE(YEAR(B2258),MONTH(B2258),1)</f>
        <v>45962</v>
      </c>
      <c r="K2258" s="41" t="n">
        <f aca="false">D2258*E2258</f>
        <v>32.5</v>
      </c>
      <c r="L2258" s="41" t="n">
        <f aca="false">D2258*I2258</f>
        <v>14</v>
      </c>
      <c r="M2258" s="41" t="n">
        <f aca="false">IFERROR(INDEX(Raw_Expenses!$C$5:$C$2979,MATCH(A2258,Raw_Expenses!$A$5:$A$2979,0)),0)</f>
        <v>2.8</v>
      </c>
      <c r="N2258" s="41" t="n">
        <f aca="false">L2258+M2258</f>
        <v>16.8</v>
      </c>
      <c r="O2258" s="41" t="n">
        <f aca="false">K2258-N2258</f>
        <v>15.7</v>
      </c>
      <c r="P2258" s="43" t="n">
        <f aca="false">IF(K2258=0,0,O2258/K2258)</f>
        <v>0.483076923076923</v>
      </c>
    </row>
    <row r="2259" customFormat="false" ht="15" hidden="false" customHeight="false" outlineLevel="0" collapsed="false">
      <c r="A2259" s="39" t="s">
        <v>2381</v>
      </c>
      <c r="B2259" s="40" t="n">
        <v>45962</v>
      </c>
      <c r="C2259" s="39" t="s">
        <v>114</v>
      </c>
      <c r="D2259" s="39" t="n">
        <v>2</v>
      </c>
      <c r="E2259" s="41" t="n">
        <v>5.99</v>
      </c>
      <c r="F2259" s="39" t="s">
        <v>105</v>
      </c>
      <c r="G2259" s="39" t="str">
        <f aca="false">VLOOKUP(C2259,Products!$A$5:$D$24,2,FALSE())</f>
        <v>Gel Pen Pack</v>
      </c>
      <c r="H2259" s="39" t="str">
        <f aca="false">VLOOKUP(C2259,Products!$A$5:$D$24,3,FALSE())</f>
        <v>Stationery</v>
      </c>
      <c r="I2259" s="41" t="n">
        <f aca="false">VLOOKUP(C2259,Products!$A$5:$D$24,4,FALSE())</f>
        <v>2</v>
      </c>
      <c r="J2259" s="42" t="n">
        <f aca="false">DATE(YEAR(B2259),MONTH(B2259),1)</f>
        <v>45962</v>
      </c>
      <c r="K2259" s="41" t="n">
        <f aca="false">D2259*E2259</f>
        <v>11.98</v>
      </c>
      <c r="L2259" s="41" t="n">
        <f aca="false">D2259*I2259</f>
        <v>4</v>
      </c>
      <c r="M2259" s="41" t="n">
        <f aca="false">IFERROR(INDEX(Raw_Expenses!$C$5:$C$2979,MATCH(A2259,Raw_Expenses!$A$5:$A$2979,0)),0)</f>
        <v>0.9</v>
      </c>
      <c r="N2259" s="41" t="n">
        <f aca="false">L2259+M2259</f>
        <v>4.9</v>
      </c>
      <c r="O2259" s="41" t="n">
        <f aca="false">K2259-N2259</f>
        <v>7.08</v>
      </c>
      <c r="P2259" s="43" t="n">
        <f aca="false">IF(K2259=0,0,O2259/K2259)</f>
        <v>0.590984974958264</v>
      </c>
    </row>
    <row r="2260" customFormat="false" ht="15" hidden="false" customHeight="false" outlineLevel="0" collapsed="false">
      <c r="A2260" s="39" t="s">
        <v>2382</v>
      </c>
      <c r="B2260" s="40" t="n">
        <v>45962</v>
      </c>
      <c r="C2260" s="39" t="s">
        <v>133</v>
      </c>
      <c r="D2260" s="39" t="n">
        <v>1</v>
      </c>
      <c r="E2260" s="41" t="n">
        <v>8.89</v>
      </c>
      <c r="F2260" s="39" t="s">
        <v>105</v>
      </c>
      <c r="G2260" s="39" t="str">
        <f aca="false">VLOOKUP(C2260,Products!$A$5:$D$24,2,FALSE())</f>
        <v>Printer Paper Ream</v>
      </c>
      <c r="H2260" s="39" t="str">
        <f aca="false">VLOOKUP(C2260,Products!$A$5:$D$24,3,FALSE())</f>
        <v>Stationery</v>
      </c>
      <c r="I2260" s="41" t="n">
        <f aca="false">VLOOKUP(C2260,Products!$A$5:$D$24,4,FALSE())</f>
        <v>4</v>
      </c>
      <c r="J2260" s="42" t="n">
        <f aca="false">DATE(YEAR(B2260),MONTH(B2260),1)</f>
        <v>45962</v>
      </c>
      <c r="K2260" s="41" t="n">
        <f aca="false">D2260*E2260</f>
        <v>8.89</v>
      </c>
      <c r="L2260" s="41" t="n">
        <f aca="false">D2260*I2260</f>
        <v>4</v>
      </c>
      <c r="M2260" s="41" t="n">
        <f aca="false">IFERROR(INDEX(Raw_Expenses!$C$5:$C$2979,MATCH(A2260,Raw_Expenses!$A$5:$A$2979,0)),0)</f>
        <v>0.5</v>
      </c>
      <c r="N2260" s="41" t="n">
        <f aca="false">L2260+M2260</f>
        <v>4.5</v>
      </c>
      <c r="O2260" s="41" t="n">
        <f aca="false">K2260-N2260</f>
        <v>4.39</v>
      </c>
      <c r="P2260" s="43" t="n">
        <f aca="false">IF(K2260=0,0,O2260/K2260)</f>
        <v>0.493813273340832</v>
      </c>
    </row>
    <row r="2261" customFormat="false" ht="15" hidden="false" customHeight="false" outlineLevel="0" collapsed="false">
      <c r="A2261" s="39" t="s">
        <v>2383</v>
      </c>
      <c r="B2261" s="40" t="n">
        <v>45962</v>
      </c>
      <c r="C2261" s="39" t="s">
        <v>114</v>
      </c>
      <c r="D2261" s="39" t="n">
        <v>1</v>
      </c>
      <c r="E2261" s="41" t="n">
        <v>5.73</v>
      </c>
      <c r="F2261" s="39" t="s">
        <v>108</v>
      </c>
      <c r="G2261" s="39" t="str">
        <f aca="false">VLOOKUP(C2261,Products!$A$5:$D$24,2,FALSE())</f>
        <v>Gel Pen Pack</v>
      </c>
      <c r="H2261" s="39" t="str">
        <f aca="false">VLOOKUP(C2261,Products!$A$5:$D$24,3,FALSE())</f>
        <v>Stationery</v>
      </c>
      <c r="I2261" s="41" t="n">
        <f aca="false">VLOOKUP(C2261,Products!$A$5:$D$24,4,FALSE())</f>
        <v>2</v>
      </c>
      <c r="J2261" s="42" t="n">
        <f aca="false">DATE(YEAR(B2261),MONTH(B2261),1)</f>
        <v>45962</v>
      </c>
      <c r="K2261" s="41" t="n">
        <f aca="false">D2261*E2261</f>
        <v>5.73</v>
      </c>
      <c r="L2261" s="41" t="n">
        <f aca="false">D2261*I2261</f>
        <v>2</v>
      </c>
      <c r="M2261" s="41" t="n">
        <f aca="false">IFERROR(INDEX(Raw_Expenses!$C$5:$C$2979,MATCH(A2261,Raw_Expenses!$A$5:$A$2979,0)),0)</f>
        <v>0.3</v>
      </c>
      <c r="N2261" s="41" t="n">
        <f aca="false">L2261+M2261</f>
        <v>2.3</v>
      </c>
      <c r="O2261" s="41" t="n">
        <f aca="false">K2261-N2261</f>
        <v>3.43</v>
      </c>
      <c r="P2261" s="43" t="n">
        <f aca="false">IF(K2261=0,0,O2261/K2261)</f>
        <v>0.598603839441536</v>
      </c>
    </row>
    <row r="2262" customFormat="false" ht="15" hidden="false" customHeight="false" outlineLevel="0" collapsed="false">
      <c r="A2262" s="39" t="s">
        <v>2384</v>
      </c>
      <c r="B2262" s="40" t="n">
        <v>45962</v>
      </c>
      <c r="C2262" s="39" t="s">
        <v>104</v>
      </c>
      <c r="D2262" s="39" t="n">
        <v>2</v>
      </c>
      <c r="E2262" s="41" t="n">
        <v>15.74</v>
      </c>
      <c r="F2262" s="39" t="s">
        <v>105</v>
      </c>
      <c r="G2262" s="39" t="str">
        <f aca="false">VLOOKUP(C2262,Products!$A$5:$D$24,2,FALSE())</f>
        <v>Water Bottle</v>
      </c>
      <c r="H2262" s="39" t="str">
        <f aca="false">VLOOKUP(C2262,Products!$A$5:$D$24,3,FALSE())</f>
        <v>Accessories</v>
      </c>
      <c r="I2262" s="41" t="n">
        <f aca="false">VLOOKUP(C2262,Products!$A$5:$D$24,4,FALSE())</f>
        <v>5</v>
      </c>
      <c r="J2262" s="42" t="n">
        <f aca="false">DATE(YEAR(B2262),MONTH(B2262),1)</f>
        <v>45962</v>
      </c>
      <c r="K2262" s="41" t="n">
        <f aca="false">D2262*E2262</f>
        <v>31.48</v>
      </c>
      <c r="L2262" s="41" t="n">
        <f aca="false">D2262*I2262</f>
        <v>10</v>
      </c>
      <c r="M2262" s="41" t="n">
        <f aca="false">IFERROR(INDEX(Raw_Expenses!$C$5:$C$2979,MATCH(A2262,Raw_Expenses!$A$5:$A$2979,0)),0)</f>
        <v>1.82</v>
      </c>
      <c r="N2262" s="41" t="n">
        <f aca="false">L2262+M2262</f>
        <v>11.82</v>
      </c>
      <c r="O2262" s="41" t="n">
        <f aca="false">K2262-N2262</f>
        <v>19.66</v>
      </c>
      <c r="P2262" s="43" t="n">
        <f aca="false">IF(K2262=0,0,O2262/K2262)</f>
        <v>0.624523506988564</v>
      </c>
    </row>
    <row r="2263" customFormat="false" ht="15" hidden="false" customHeight="false" outlineLevel="0" collapsed="false">
      <c r="A2263" s="39" t="s">
        <v>2385</v>
      </c>
      <c r="B2263" s="40" t="n">
        <v>45962</v>
      </c>
      <c r="C2263" s="39" t="s">
        <v>104</v>
      </c>
      <c r="D2263" s="39" t="n">
        <v>2</v>
      </c>
      <c r="E2263" s="41" t="n">
        <v>15.41</v>
      </c>
      <c r="F2263" s="39" t="s">
        <v>108</v>
      </c>
      <c r="G2263" s="39" t="str">
        <f aca="false">VLOOKUP(C2263,Products!$A$5:$D$24,2,FALSE())</f>
        <v>Water Bottle</v>
      </c>
      <c r="H2263" s="39" t="str">
        <f aca="false">VLOOKUP(C2263,Products!$A$5:$D$24,3,FALSE())</f>
        <v>Accessories</v>
      </c>
      <c r="I2263" s="41" t="n">
        <f aca="false">VLOOKUP(C2263,Products!$A$5:$D$24,4,FALSE())</f>
        <v>5</v>
      </c>
      <c r="J2263" s="42" t="n">
        <f aca="false">DATE(YEAR(B2263),MONTH(B2263),1)</f>
        <v>45962</v>
      </c>
      <c r="K2263" s="41" t="n">
        <f aca="false">D2263*E2263</f>
        <v>30.82</v>
      </c>
      <c r="L2263" s="41" t="n">
        <f aca="false">D2263*I2263</f>
        <v>10</v>
      </c>
      <c r="M2263" s="41" t="n">
        <f aca="false">IFERROR(INDEX(Raw_Expenses!$C$5:$C$2979,MATCH(A2263,Raw_Expenses!$A$5:$A$2979,0)),0)</f>
        <v>1.82</v>
      </c>
      <c r="N2263" s="41" t="n">
        <f aca="false">L2263+M2263</f>
        <v>11.82</v>
      </c>
      <c r="O2263" s="41" t="n">
        <f aca="false">K2263-N2263</f>
        <v>19</v>
      </c>
      <c r="P2263" s="43" t="n">
        <f aca="false">IF(K2263=0,0,O2263/K2263)</f>
        <v>0.616482803374432</v>
      </c>
    </row>
    <row r="2264" customFormat="false" ht="15" hidden="false" customHeight="false" outlineLevel="0" collapsed="false">
      <c r="A2264" s="39" t="s">
        <v>2386</v>
      </c>
      <c r="B2264" s="40" t="n">
        <v>45962</v>
      </c>
      <c r="C2264" s="39" t="s">
        <v>177</v>
      </c>
      <c r="D2264" s="39" t="n">
        <v>1</v>
      </c>
      <c r="E2264" s="41" t="n">
        <v>41.94</v>
      </c>
      <c r="F2264" s="39" t="s">
        <v>105</v>
      </c>
      <c r="G2264" s="39" t="str">
        <f aca="false">VLOOKUP(C2264,Products!$A$5:$D$24,2,FALSE())</f>
        <v>Backpack</v>
      </c>
      <c r="H2264" s="39" t="str">
        <f aca="false">VLOOKUP(C2264,Products!$A$5:$D$24,3,FALSE())</f>
        <v>Accessories</v>
      </c>
      <c r="I2264" s="41" t="n">
        <f aca="false">VLOOKUP(C2264,Products!$A$5:$D$24,4,FALSE())</f>
        <v>17</v>
      </c>
      <c r="J2264" s="42" t="n">
        <f aca="false">DATE(YEAR(B2264),MONTH(B2264),1)</f>
        <v>45962</v>
      </c>
      <c r="K2264" s="41" t="n">
        <f aca="false">D2264*E2264</f>
        <v>41.94</v>
      </c>
      <c r="L2264" s="41" t="n">
        <f aca="false">D2264*I2264</f>
        <v>17</v>
      </c>
      <c r="M2264" s="41" t="n">
        <f aca="false">IFERROR(INDEX(Raw_Expenses!$C$5:$C$2979,MATCH(A2264,Raw_Expenses!$A$5:$A$2979,0)),0)</f>
        <v>2.18</v>
      </c>
      <c r="N2264" s="41" t="n">
        <f aca="false">L2264+M2264</f>
        <v>19.18</v>
      </c>
      <c r="O2264" s="41" t="n">
        <f aca="false">K2264-N2264</f>
        <v>22.76</v>
      </c>
      <c r="P2264" s="43" t="n">
        <f aca="false">IF(K2264=0,0,O2264/K2264)</f>
        <v>0.542680019074869</v>
      </c>
    </row>
    <row r="2265" customFormat="false" ht="15" hidden="false" customHeight="false" outlineLevel="0" collapsed="false">
      <c r="A2265" s="39" t="s">
        <v>2387</v>
      </c>
      <c r="B2265" s="40" t="n">
        <v>45962</v>
      </c>
      <c r="C2265" s="39" t="s">
        <v>144</v>
      </c>
      <c r="D2265" s="39" t="n">
        <v>3</v>
      </c>
      <c r="E2265" s="41" t="n">
        <v>54.5</v>
      </c>
      <c r="F2265" s="39" t="s">
        <v>118</v>
      </c>
      <c r="G2265" s="39" t="str">
        <f aca="false">VLOOKUP(C2265,Products!$A$5:$D$24,2,FALSE())</f>
        <v>Whiteboard</v>
      </c>
      <c r="H2265" s="39" t="str">
        <f aca="false">VLOOKUP(C2265,Products!$A$5:$D$24,3,FALSE())</f>
        <v>Furniture</v>
      </c>
      <c r="I2265" s="41" t="n">
        <f aca="false">VLOOKUP(C2265,Products!$A$5:$D$24,4,FALSE())</f>
        <v>28</v>
      </c>
      <c r="J2265" s="42" t="n">
        <f aca="false">DATE(YEAR(B2265),MONTH(B2265),1)</f>
        <v>45962</v>
      </c>
      <c r="K2265" s="41" t="n">
        <f aca="false">D2265*E2265</f>
        <v>163.5</v>
      </c>
      <c r="L2265" s="41" t="n">
        <f aca="false">D2265*I2265</f>
        <v>84</v>
      </c>
      <c r="M2265" s="41" t="n">
        <f aca="false">IFERROR(INDEX(Raw_Expenses!$C$5:$C$2979,MATCH(A2265,Raw_Expenses!$A$5:$A$2979,0)),0)</f>
        <v>9.35</v>
      </c>
      <c r="N2265" s="41" t="n">
        <f aca="false">L2265+M2265</f>
        <v>93.35</v>
      </c>
      <c r="O2265" s="41" t="n">
        <f aca="false">K2265-N2265</f>
        <v>70.15</v>
      </c>
      <c r="P2265" s="43" t="n">
        <f aca="false">IF(K2265=0,0,O2265/K2265)</f>
        <v>0.429051987767584</v>
      </c>
    </row>
    <row r="2266" customFormat="false" ht="15" hidden="false" customHeight="false" outlineLevel="0" collapsed="false">
      <c r="A2266" s="39" t="s">
        <v>2388</v>
      </c>
      <c r="B2266" s="40" t="n">
        <v>45963</v>
      </c>
      <c r="C2266" s="39" t="s">
        <v>104</v>
      </c>
      <c r="D2266" s="39" t="n">
        <v>1</v>
      </c>
      <c r="E2266" s="41" t="n">
        <v>15.86</v>
      </c>
      <c r="F2266" s="39" t="s">
        <v>105</v>
      </c>
      <c r="G2266" s="39" t="str">
        <f aca="false">VLOOKUP(C2266,Products!$A$5:$D$24,2,FALSE())</f>
        <v>Water Bottle</v>
      </c>
      <c r="H2266" s="39" t="str">
        <f aca="false">VLOOKUP(C2266,Products!$A$5:$D$24,3,FALSE())</f>
        <v>Accessories</v>
      </c>
      <c r="I2266" s="41" t="n">
        <f aca="false">VLOOKUP(C2266,Products!$A$5:$D$24,4,FALSE())</f>
        <v>5</v>
      </c>
      <c r="J2266" s="42" t="n">
        <f aca="false">DATE(YEAR(B2266),MONTH(B2266),1)</f>
        <v>45962</v>
      </c>
      <c r="K2266" s="41" t="n">
        <f aca="false">D2266*E2266</f>
        <v>15.86</v>
      </c>
      <c r="L2266" s="41" t="n">
        <f aca="false">D2266*I2266</f>
        <v>5</v>
      </c>
      <c r="M2266" s="41" t="n">
        <f aca="false">IFERROR(INDEX(Raw_Expenses!$C$5:$C$2979,MATCH(A2266,Raw_Expenses!$A$5:$A$2979,0)),0)</f>
        <v>1.37</v>
      </c>
      <c r="N2266" s="41" t="n">
        <f aca="false">L2266+M2266</f>
        <v>6.37</v>
      </c>
      <c r="O2266" s="41" t="n">
        <f aca="false">K2266-N2266</f>
        <v>9.49</v>
      </c>
      <c r="P2266" s="43" t="n">
        <f aca="false">IF(K2266=0,0,O2266/K2266)</f>
        <v>0.598360655737705</v>
      </c>
    </row>
    <row r="2267" customFormat="false" ht="15" hidden="false" customHeight="false" outlineLevel="0" collapsed="false">
      <c r="A2267" s="39" t="s">
        <v>2389</v>
      </c>
      <c r="B2267" s="40" t="n">
        <v>45963</v>
      </c>
      <c r="C2267" s="39" t="s">
        <v>177</v>
      </c>
      <c r="D2267" s="39" t="n">
        <v>3</v>
      </c>
      <c r="E2267" s="41" t="n">
        <v>42.66</v>
      </c>
      <c r="F2267" s="39" t="s">
        <v>105</v>
      </c>
      <c r="G2267" s="39" t="str">
        <f aca="false">VLOOKUP(C2267,Products!$A$5:$D$24,2,FALSE())</f>
        <v>Backpack</v>
      </c>
      <c r="H2267" s="39" t="str">
        <f aca="false">VLOOKUP(C2267,Products!$A$5:$D$24,3,FALSE())</f>
        <v>Accessories</v>
      </c>
      <c r="I2267" s="41" t="n">
        <f aca="false">VLOOKUP(C2267,Products!$A$5:$D$24,4,FALSE())</f>
        <v>17</v>
      </c>
      <c r="J2267" s="42" t="n">
        <f aca="false">DATE(YEAR(B2267),MONTH(B2267),1)</f>
        <v>45962</v>
      </c>
      <c r="K2267" s="41" t="n">
        <f aca="false">D2267*E2267</f>
        <v>127.98</v>
      </c>
      <c r="L2267" s="41" t="n">
        <f aca="false">D2267*I2267</f>
        <v>51</v>
      </c>
      <c r="M2267" s="41" t="n">
        <f aca="false">IFERROR(INDEX(Raw_Expenses!$C$5:$C$2979,MATCH(A2267,Raw_Expenses!$A$5:$A$2979,0)),0)</f>
        <v>6.82</v>
      </c>
      <c r="N2267" s="41" t="n">
        <f aca="false">L2267+M2267</f>
        <v>57.82</v>
      </c>
      <c r="O2267" s="41" t="n">
        <f aca="false">K2267-N2267</f>
        <v>70.16</v>
      </c>
      <c r="P2267" s="43" t="n">
        <f aca="false">IF(K2267=0,0,O2267/K2267)</f>
        <v>0.548210657915299</v>
      </c>
    </row>
    <row r="2268" customFormat="false" ht="15" hidden="false" customHeight="false" outlineLevel="0" collapsed="false">
      <c r="A2268" s="39" t="s">
        <v>2390</v>
      </c>
      <c r="B2268" s="40" t="n">
        <v>45963</v>
      </c>
      <c r="C2268" s="39" t="s">
        <v>133</v>
      </c>
      <c r="D2268" s="39" t="n">
        <v>3</v>
      </c>
      <c r="E2268" s="41" t="n">
        <v>9</v>
      </c>
      <c r="F2268" s="39" t="s">
        <v>108</v>
      </c>
      <c r="G2268" s="39" t="str">
        <f aca="false">VLOOKUP(C2268,Products!$A$5:$D$24,2,FALSE())</f>
        <v>Printer Paper Ream</v>
      </c>
      <c r="H2268" s="39" t="str">
        <f aca="false">VLOOKUP(C2268,Products!$A$5:$D$24,3,FALSE())</f>
        <v>Stationery</v>
      </c>
      <c r="I2268" s="41" t="n">
        <f aca="false">VLOOKUP(C2268,Products!$A$5:$D$24,4,FALSE())</f>
        <v>4</v>
      </c>
      <c r="J2268" s="42" t="n">
        <f aca="false">DATE(YEAR(B2268),MONTH(B2268),1)</f>
        <v>45962</v>
      </c>
      <c r="K2268" s="41" t="n">
        <f aca="false">D2268*E2268</f>
        <v>27</v>
      </c>
      <c r="L2268" s="41" t="n">
        <f aca="false">D2268*I2268</f>
        <v>12</v>
      </c>
      <c r="M2268" s="41" t="n">
        <f aca="false">IFERROR(INDEX(Raw_Expenses!$C$5:$C$2979,MATCH(A2268,Raw_Expenses!$A$5:$A$2979,0)),0)</f>
        <v>2.33</v>
      </c>
      <c r="N2268" s="41" t="n">
        <f aca="false">L2268+M2268</f>
        <v>14.33</v>
      </c>
      <c r="O2268" s="41" t="n">
        <f aca="false">K2268-N2268</f>
        <v>12.67</v>
      </c>
      <c r="P2268" s="43" t="n">
        <f aca="false">IF(K2268=0,0,O2268/K2268)</f>
        <v>0.469259259259259</v>
      </c>
    </row>
    <row r="2269" customFormat="false" ht="15" hidden="false" customHeight="false" outlineLevel="0" collapsed="false">
      <c r="A2269" s="39" t="s">
        <v>2391</v>
      </c>
      <c r="B2269" s="40" t="n">
        <v>45963</v>
      </c>
      <c r="C2269" s="39" t="s">
        <v>162</v>
      </c>
      <c r="D2269" s="39" t="n">
        <v>1</v>
      </c>
      <c r="E2269" s="41" t="n">
        <v>65.26</v>
      </c>
      <c r="F2269" s="39" t="s">
        <v>115</v>
      </c>
      <c r="G2269" s="39" t="str">
        <f aca="false">VLOOKUP(C2269,Products!$A$5:$D$24,2,FALSE())</f>
        <v>Bluetooth Speaker</v>
      </c>
      <c r="H2269" s="39" t="str">
        <f aca="false">VLOOKUP(C2269,Products!$A$5:$D$24,3,FALSE())</f>
        <v>Electronics</v>
      </c>
      <c r="I2269" s="41" t="n">
        <f aca="false">VLOOKUP(C2269,Products!$A$5:$D$24,4,FALSE())</f>
        <v>28</v>
      </c>
      <c r="J2269" s="42" t="n">
        <f aca="false">DATE(YEAR(B2269),MONTH(B2269),1)</f>
        <v>45962</v>
      </c>
      <c r="K2269" s="41" t="n">
        <f aca="false">D2269*E2269</f>
        <v>65.26</v>
      </c>
      <c r="L2269" s="41" t="n">
        <f aca="false">D2269*I2269</f>
        <v>28</v>
      </c>
      <c r="M2269" s="41" t="n">
        <f aca="false">IFERROR(INDEX(Raw_Expenses!$C$5:$C$2979,MATCH(A2269,Raw_Expenses!$A$5:$A$2979,0)),0)</f>
        <v>4.98</v>
      </c>
      <c r="N2269" s="41" t="n">
        <f aca="false">L2269+M2269</f>
        <v>32.98</v>
      </c>
      <c r="O2269" s="41" t="n">
        <f aca="false">K2269-N2269</f>
        <v>32.28</v>
      </c>
      <c r="P2269" s="43" t="n">
        <f aca="false">IF(K2269=0,0,O2269/K2269)</f>
        <v>0.494636837266319</v>
      </c>
    </row>
    <row r="2270" customFormat="false" ht="15" hidden="false" customHeight="false" outlineLevel="0" collapsed="false">
      <c r="A2270" s="39" t="s">
        <v>2392</v>
      </c>
      <c r="B2270" s="40" t="n">
        <v>45963</v>
      </c>
      <c r="C2270" s="39" t="s">
        <v>112</v>
      </c>
      <c r="D2270" s="39" t="n">
        <v>4</v>
      </c>
      <c r="E2270" s="41" t="n">
        <v>52.24</v>
      </c>
      <c r="F2270" s="39" t="s">
        <v>118</v>
      </c>
      <c r="G2270" s="39" t="str">
        <f aca="false">VLOOKUP(C2270,Products!$A$5:$D$24,2,FALSE())</f>
        <v>HD Webcam</v>
      </c>
      <c r="H2270" s="39" t="str">
        <f aca="false">VLOOKUP(C2270,Products!$A$5:$D$24,3,FALSE())</f>
        <v>Electronics</v>
      </c>
      <c r="I2270" s="41" t="n">
        <f aca="false">VLOOKUP(C2270,Products!$A$5:$D$24,4,FALSE())</f>
        <v>22</v>
      </c>
      <c r="J2270" s="42" t="n">
        <f aca="false">DATE(YEAR(B2270),MONTH(B2270),1)</f>
        <v>45962</v>
      </c>
      <c r="K2270" s="41" t="n">
        <f aca="false">D2270*E2270</f>
        <v>208.96</v>
      </c>
      <c r="L2270" s="41" t="n">
        <f aca="false">D2270*I2270</f>
        <v>88</v>
      </c>
      <c r="M2270" s="41" t="n">
        <f aca="false">IFERROR(INDEX(Raw_Expenses!$C$5:$C$2979,MATCH(A2270,Raw_Expenses!$A$5:$A$2979,0)),0)</f>
        <v>15.23</v>
      </c>
      <c r="N2270" s="41" t="n">
        <f aca="false">L2270+M2270</f>
        <v>103.23</v>
      </c>
      <c r="O2270" s="41" t="n">
        <f aca="false">K2270-N2270</f>
        <v>105.73</v>
      </c>
      <c r="P2270" s="43" t="n">
        <f aca="false">IF(K2270=0,0,O2270/K2270)</f>
        <v>0.505982006125574</v>
      </c>
    </row>
    <row r="2271" customFormat="false" ht="15" hidden="false" customHeight="false" outlineLevel="0" collapsed="false">
      <c r="A2271" s="39" t="s">
        <v>2393</v>
      </c>
      <c r="B2271" s="40" t="n">
        <v>45963</v>
      </c>
      <c r="C2271" s="39" t="s">
        <v>139</v>
      </c>
      <c r="D2271" s="39" t="n">
        <v>1</v>
      </c>
      <c r="E2271" s="41" t="n">
        <v>123.08</v>
      </c>
      <c r="F2271" s="39" t="s">
        <v>108</v>
      </c>
      <c r="G2271" s="39" t="str">
        <f aca="false">VLOOKUP(C2271,Products!$A$5:$D$24,2,FALSE())</f>
        <v>Noise-Cancelling Headphones</v>
      </c>
      <c r="H2271" s="39" t="str">
        <f aca="false">VLOOKUP(C2271,Products!$A$5:$D$24,3,FALSE())</f>
        <v>Electronics</v>
      </c>
      <c r="I2271" s="41" t="n">
        <f aca="false">VLOOKUP(C2271,Products!$A$5:$D$24,4,FALSE())</f>
        <v>55</v>
      </c>
      <c r="J2271" s="42" t="n">
        <f aca="false">DATE(YEAR(B2271),MONTH(B2271),1)</f>
        <v>45962</v>
      </c>
      <c r="K2271" s="41" t="n">
        <f aca="false">D2271*E2271</f>
        <v>123.08</v>
      </c>
      <c r="L2271" s="41" t="n">
        <f aca="false">D2271*I2271</f>
        <v>55</v>
      </c>
      <c r="M2271" s="41" t="n">
        <f aca="false">IFERROR(INDEX(Raw_Expenses!$C$5:$C$2979,MATCH(A2271,Raw_Expenses!$A$5:$A$2979,0)),0)</f>
        <v>10.73</v>
      </c>
      <c r="N2271" s="41" t="n">
        <f aca="false">L2271+M2271</f>
        <v>65.73</v>
      </c>
      <c r="O2271" s="41" t="n">
        <f aca="false">K2271-N2271</f>
        <v>57.35</v>
      </c>
      <c r="P2271" s="43" t="n">
        <f aca="false">IF(K2271=0,0,O2271/K2271)</f>
        <v>0.465957101072473</v>
      </c>
    </row>
    <row r="2272" customFormat="false" ht="15" hidden="false" customHeight="false" outlineLevel="0" collapsed="false">
      <c r="A2272" s="39" t="s">
        <v>2394</v>
      </c>
      <c r="B2272" s="40" t="n">
        <v>45963</v>
      </c>
      <c r="C2272" s="39" t="s">
        <v>110</v>
      </c>
      <c r="D2272" s="39" t="n">
        <v>3</v>
      </c>
      <c r="E2272" s="41" t="n">
        <v>13.63</v>
      </c>
      <c r="F2272" s="39" t="s">
        <v>118</v>
      </c>
      <c r="G2272" s="39" t="str">
        <f aca="false">VLOOKUP(C2272,Products!$A$5:$D$24,2,FALSE())</f>
        <v>Phone Stand</v>
      </c>
      <c r="H2272" s="39" t="str">
        <f aca="false">VLOOKUP(C2272,Products!$A$5:$D$24,3,FALSE())</f>
        <v>Accessories</v>
      </c>
      <c r="I2272" s="41" t="n">
        <f aca="false">VLOOKUP(C2272,Products!$A$5:$D$24,4,FALSE())</f>
        <v>4</v>
      </c>
      <c r="J2272" s="42" t="n">
        <f aca="false">DATE(YEAR(B2272),MONTH(B2272),1)</f>
        <v>45962</v>
      </c>
      <c r="K2272" s="41" t="n">
        <f aca="false">D2272*E2272</f>
        <v>40.89</v>
      </c>
      <c r="L2272" s="41" t="n">
        <f aca="false">D2272*I2272</f>
        <v>12</v>
      </c>
      <c r="M2272" s="41" t="n">
        <f aca="false">IFERROR(INDEX(Raw_Expenses!$C$5:$C$2979,MATCH(A2272,Raw_Expenses!$A$5:$A$2979,0)),0)</f>
        <v>1.64</v>
      </c>
      <c r="N2272" s="41" t="n">
        <f aca="false">L2272+M2272</f>
        <v>13.64</v>
      </c>
      <c r="O2272" s="41" t="n">
        <f aca="false">K2272-N2272</f>
        <v>27.25</v>
      </c>
      <c r="P2272" s="43" t="n">
        <f aca="false">IF(K2272=0,0,O2272/K2272)</f>
        <v>0.666422108094889</v>
      </c>
    </row>
    <row r="2273" customFormat="false" ht="15" hidden="false" customHeight="false" outlineLevel="0" collapsed="false">
      <c r="A2273" s="39" t="s">
        <v>2395</v>
      </c>
      <c r="B2273" s="40" t="n">
        <v>45963</v>
      </c>
      <c r="C2273" s="39" t="s">
        <v>110</v>
      </c>
      <c r="D2273" s="39" t="n">
        <v>1</v>
      </c>
      <c r="E2273" s="41" t="n">
        <v>13.5</v>
      </c>
      <c r="F2273" s="39" t="s">
        <v>105</v>
      </c>
      <c r="G2273" s="39" t="str">
        <f aca="false">VLOOKUP(C2273,Products!$A$5:$D$24,2,FALSE())</f>
        <v>Phone Stand</v>
      </c>
      <c r="H2273" s="39" t="str">
        <f aca="false">VLOOKUP(C2273,Products!$A$5:$D$24,3,FALSE())</f>
        <v>Accessories</v>
      </c>
      <c r="I2273" s="41" t="n">
        <f aca="false">VLOOKUP(C2273,Products!$A$5:$D$24,4,FALSE())</f>
        <v>4</v>
      </c>
      <c r="J2273" s="42" t="n">
        <f aca="false">DATE(YEAR(B2273),MONTH(B2273),1)</f>
        <v>45962</v>
      </c>
      <c r="K2273" s="41" t="n">
        <f aca="false">D2273*E2273</f>
        <v>13.5</v>
      </c>
      <c r="L2273" s="41" t="n">
        <f aca="false">D2273*I2273</f>
        <v>4</v>
      </c>
      <c r="M2273" s="41" t="n">
        <f aca="false">IFERROR(INDEX(Raw_Expenses!$C$5:$C$2979,MATCH(A2273,Raw_Expenses!$A$5:$A$2979,0)),0)</f>
        <v>1.17</v>
      </c>
      <c r="N2273" s="41" t="n">
        <f aca="false">L2273+M2273</f>
        <v>5.17</v>
      </c>
      <c r="O2273" s="41" t="n">
        <f aca="false">K2273-N2273</f>
        <v>8.33</v>
      </c>
      <c r="P2273" s="43" t="n">
        <f aca="false">IF(K2273=0,0,O2273/K2273)</f>
        <v>0.617037037037037</v>
      </c>
    </row>
    <row r="2274" customFormat="false" ht="15" hidden="false" customHeight="false" outlineLevel="0" collapsed="false">
      <c r="A2274" s="39" t="s">
        <v>2396</v>
      </c>
      <c r="B2274" s="40" t="n">
        <v>45963</v>
      </c>
      <c r="C2274" s="39" t="s">
        <v>121</v>
      </c>
      <c r="D2274" s="39" t="n">
        <v>4</v>
      </c>
      <c r="E2274" s="41" t="n">
        <v>116.24</v>
      </c>
      <c r="F2274" s="39" t="s">
        <v>118</v>
      </c>
      <c r="G2274" s="39" t="str">
        <f aca="false">VLOOKUP(C2274,Products!$A$5:$D$24,2,FALSE())</f>
        <v>External SSD 1TB</v>
      </c>
      <c r="H2274" s="39" t="str">
        <f aca="false">VLOOKUP(C2274,Products!$A$5:$D$24,3,FALSE())</f>
        <v>Electronics</v>
      </c>
      <c r="I2274" s="41" t="n">
        <f aca="false">VLOOKUP(C2274,Products!$A$5:$D$24,4,FALSE())</f>
        <v>62</v>
      </c>
      <c r="J2274" s="42" t="n">
        <f aca="false">DATE(YEAR(B2274),MONTH(B2274),1)</f>
        <v>45962</v>
      </c>
      <c r="K2274" s="41" t="n">
        <f aca="false">D2274*E2274</f>
        <v>464.96</v>
      </c>
      <c r="L2274" s="41" t="n">
        <f aca="false">D2274*I2274</f>
        <v>248</v>
      </c>
      <c r="M2274" s="41" t="n">
        <f aca="false">IFERROR(INDEX(Raw_Expenses!$C$5:$C$2979,MATCH(A2274,Raw_Expenses!$A$5:$A$2979,0)),0)</f>
        <v>33.44</v>
      </c>
      <c r="N2274" s="41" t="n">
        <f aca="false">L2274+M2274</f>
        <v>281.44</v>
      </c>
      <c r="O2274" s="41" t="n">
        <f aca="false">K2274-N2274</f>
        <v>183.52</v>
      </c>
      <c r="P2274" s="43" t="n">
        <f aca="false">IF(K2274=0,0,O2274/K2274)</f>
        <v>0.394700619408121</v>
      </c>
    </row>
    <row r="2275" customFormat="false" ht="15" hidden="false" customHeight="false" outlineLevel="0" collapsed="false">
      <c r="A2275" s="39" t="s">
        <v>2397</v>
      </c>
      <c r="B2275" s="40" t="n">
        <v>45963</v>
      </c>
      <c r="C2275" s="39" t="s">
        <v>117</v>
      </c>
      <c r="D2275" s="39" t="n">
        <v>1</v>
      </c>
      <c r="E2275" s="41" t="n">
        <v>31.46</v>
      </c>
      <c r="F2275" s="39" t="s">
        <v>115</v>
      </c>
      <c r="G2275" s="39" t="str">
        <f aca="false">VLOOKUP(C2275,Products!$A$5:$D$24,2,FALSE())</f>
        <v>Desk Lamp</v>
      </c>
      <c r="H2275" s="39" t="str">
        <f aca="false">VLOOKUP(C2275,Products!$A$5:$D$24,3,FALSE())</f>
        <v>Furniture</v>
      </c>
      <c r="I2275" s="41" t="n">
        <f aca="false">VLOOKUP(C2275,Products!$A$5:$D$24,4,FALSE())</f>
        <v>13</v>
      </c>
      <c r="J2275" s="42" t="n">
        <f aca="false">DATE(YEAR(B2275),MONTH(B2275),1)</f>
        <v>45962</v>
      </c>
      <c r="K2275" s="41" t="n">
        <f aca="false">D2275*E2275</f>
        <v>31.46</v>
      </c>
      <c r="L2275" s="41" t="n">
        <f aca="false">D2275*I2275</f>
        <v>13</v>
      </c>
      <c r="M2275" s="41" t="n">
        <f aca="false">IFERROR(INDEX(Raw_Expenses!$C$5:$C$2979,MATCH(A2275,Raw_Expenses!$A$5:$A$2979,0)),0)</f>
        <v>1.33</v>
      </c>
      <c r="N2275" s="41" t="n">
        <f aca="false">L2275+M2275</f>
        <v>14.33</v>
      </c>
      <c r="O2275" s="41" t="n">
        <f aca="false">K2275-N2275</f>
        <v>17.13</v>
      </c>
      <c r="P2275" s="43" t="n">
        <f aca="false">IF(K2275=0,0,O2275/K2275)</f>
        <v>0.544500953591863</v>
      </c>
    </row>
    <row r="2276" customFormat="false" ht="15" hidden="false" customHeight="false" outlineLevel="0" collapsed="false">
      <c r="A2276" s="39" t="s">
        <v>2398</v>
      </c>
      <c r="B2276" s="40" t="n">
        <v>45964</v>
      </c>
      <c r="C2276" s="39" t="s">
        <v>110</v>
      </c>
      <c r="D2276" s="39" t="n">
        <v>1</v>
      </c>
      <c r="E2276" s="41" t="n">
        <v>13.75</v>
      </c>
      <c r="F2276" s="39" t="s">
        <v>118</v>
      </c>
      <c r="G2276" s="39" t="str">
        <f aca="false">VLOOKUP(C2276,Products!$A$5:$D$24,2,FALSE())</f>
        <v>Phone Stand</v>
      </c>
      <c r="H2276" s="39" t="str">
        <f aca="false">VLOOKUP(C2276,Products!$A$5:$D$24,3,FALSE())</f>
        <v>Accessories</v>
      </c>
      <c r="I2276" s="41" t="n">
        <f aca="false">VLOOKUP(C2276,Products!$A$5:$D$24,4,FALSE())</f>
        <v>4</v>
      </c>
      <c r="J2276" s="42" t="n">
        <f aca="false">DATE(YEAR(B2276),MONTH(B2276),1)</f>
        <v>45962</v>
      </c>
      <c r="K2276" s="41" t="n">
        <f aca="false">D2276*E2276</f>
        <v>13.75</v>
      </c>
      <c r="L2276" s="41" t="n">
        <f aca="false">D2276*I2276</f>
        <v>4</v>
      </c>
      <c r="M2276" s="41" t="n">
        <f aca="false">IFERROR(INDEX(Raw_Expenses!$C$5:$C$2979,MATCH(A2276,Raw_Expenses!$A$5:$A$2979,0)),0)</f>
        <v>0.61</v>
      </c>
      <c r="N2276" s="41" t="n">
        <f aca="false">L2276+M2276</f>
        <v>4.61</v>
      </c>
      <c r="O2276" s="41" t="n">
        <f aca="false">K2276-N2276</f>
        <v>9.14</v>
      </c>
      <c r="P2276" s="43" t="n">
        <f aca="false">IF(K2276=0,0,O2276/K2276)</f>
        <v>0.664727272727273</v>
      </c>
    </row>
    <row r="2277" customFormat="false" ht="15" hidden="false" customHeight="false" outlineLevel="0" collapsed="false">
      <c r="A2277" s="39" t="s">
        <v>2399</v>
      </c>
      <c r="B2277" s="40" t="n">
        <v>45964</v>
      </c>
      <c r="C2277" s="39" t="s">
        <v>128</v>
      </c>
      <c r="D2277" s="39" t="n">
        <v>3</v>
      </c>
      <c r="E2277" s="41" t="n">
        <v>38.61</v>
      </c>
      <c r="F2277" s="39" t="s">
        <v>105</v>
      </c>
      <c r="G2277" s="39" t="str">
        <f aca="false">VLOOKUP(C2277,Products!$A$5:$D$24,2,FALSE())</f>
        <v>Ergonomic Footrest</v>
      </c>
      <c r="H2277" s="39" t="str">
        <f aca="false">VLOOKUP(C2277,Products!$A$5:$D$24,3,FALSE())</f>
        <v>Furniture</v>
      </c>
      <c r="I2277" s="41" t="n">
        <f aca="false">VLOOKUP(C2277,Products!$A$5:$D$24,4,FALSE())</f>
        <v>15</v>
      </c>
      <c r="J2277" s="42" t="n">
        <f aca="false">DATE(YEAR(B2277),MONTH(B2277),1)</f>
        <v>45962</v>
      </c>
      <c r="K2277" s="41" t="n">
        <f aca="false">D2277*E2277</f>
        <v>115.83</v>
      </c>
      <c r="L2277" s="41" t="n">
        <f aca="false">D2277*I2277</f>
        <v>45</v>
      </c>
      <c r="M2277" s="41" t="n">
        <f aca="false">IFERROR(INDEX(Raw_Expenses!$C$5:$C$2979,MATCH(A2277,Raw_Expenses!$A$5:$A$2979,0)),0)</f>
        <v>8.86</v>
      </c>
      <c r="N2277" s="41" t="n">
        <f aca="false">L2277+M2277</f>
        <v>53.86</v>
      </c>
      <c r="O2277" s="41" t="n">
        <f aca="false">K2277-N2277</f>
        <v>61.97</v>
      </c>
      <c r="P2277" s="43" t="n">
        <f aca="false">IF(K2277=0,0,O2277/K2277)</f>
        <v>0.535008201674868</v>
      </c>
    </row>
    <row r="2278" customFormat="false" ht="15" hidden="false" customHeight="false" outlineLevel="0" collapsed="false">
      <c r="A2278" s="39" t="s">
        <v>2400</v>
      </c>
      <c r="B2278" s="40" t="n">
        <v>45964</v>
      </c>
      <c r="C2278" s="39" t="s">
        <v>121</v>
      </c>
      <c r="D2278" s="39" t="n">
        <v>2</v>
      </c>
      <c r="E2278" s="41" t="n">
        <v>114.17</v>
      </c>
      <c r="F2278" s="39" t="s">
        <v>108</v>
      </c>
      <c r="G2278" s="39" t="str">
        <f aca="false">VLOOKUP(C2278,Products!$A$5:$D$24,2,FALSE())</f>
        <v>External SSD 1TB</v>
      </c>
      <c r="H2278" s="39" t="str">
        <f aca="false">VLOOKUP(C2278,Products!$A$5:$D$24,3,FALSE())</f>
        <v>Electronics</v>
      </c>
      <c r="I2278" s="41" t="n">
        <f aca="false">VLOOKUP(C2278,Products!$A$5:$D$24,4,FALSE())</f>
        <v>62</v>
      </c>
      <c r="J2278" s="42" t="n">
        <f aca="false">DATE(YEAR(B2278),MONTH(B2278),1)</f>
        <v>45962</v>
      </c>
      <c r="K2278" s="41" t="n">
        <f aca="false">D2278*E2278</f>
        <v>228.34</v>
      </c>
      <c r="L2278" s="41" t="n">
        <f aca="false">D2278*I2278</f>
        <v>124</v>
      </c>
      <c r="M2278" s="41" t="n">
        <f aca="false">IFERROR(INDEX(Raw_Expenses!$C$5:$C$2979,MATCH(A2278,Raw_Expenses!$A$5:$A$2979,0)),0)</f>
        <v>12.27</v>
      </c>
      <c r="N2278" s="41" t="n">
        <f aca="false">L2278+M2278</f>
        <v>136.27</v>
      </c>
      <c r="O2278" s="41" t="n">
        <f aca="false">K2278-N2278</f>
        <v>92.07</v>
      </c>
      <c r="P2278" s="43" t="n">
        <f aca="false">IF(K2278=0,0,O2278/K2278)</f>
        <v>0.403214504685995</v>
      </c>
    </row>
    <row r="2279" customFormat="false" ht="15" hidden="false" customHeight="false" outlineLevel="0" collapsed="false">
      <c r="A2279" s="39" t="s">
        <v>2401</v>
      </c>
      <c r="B2279" s="40" t="n">
        <v>45964</v>
      </c>
      <c r="C2279" s="39" t="s">
        <v>117</v>
      </c>
      <c r="D2279" s="39" t="n">
        <v>4</v>
      </c>
      <c r="E2279" s="41" t="n">
        <v>30.84</v>
      </c>
      <c r="F2279" s="39" t="s">
        <v>108</v>
      </c>
      <c r="G2279" s="39" t="str">
        <f aca="false">VLOOKUP(C2279,Products!$A$5:$D$24,2,FALSE())</f>
        <v>Desk Lamp</v>
      </c>
      <c r="H2279" s="39" t="str">
        <f aca="false">VLOOKUP(C2279,Products!$A$5:$D$24,3,FALSE())</f>
        <v>Furniture</v>
      </c>
      <c r="I2279" s="41" t="n">
        <f aca="false">VLOOKUP(C2279,Products!$A$5:$D$24,4,FALSE())</f>
        <v>13</v>
      </c>
      <c r="J2279" s="42" t="n">
        <f aca="false">DATE(YEAR(B2279),MONTH(B2279),1)</f>
        <v>45962</v>
      </c>
      <c r="K2279" s="41" t="n">
        <f aca="false">D2279*E2279</f>
        <v>123.36</v>
      </c>
      <c r="L2279" s="41" t="n">
        <f aca="false">D2279*I2279</f>
        <v>52</v>
      </c>
      <c r="M2279" s="41" t="n">
        <f aca="false">IFERROR(INDEX(Raw_Expenses!$C$5:$C$2979,MATCH(A2279,Raw_Expenses!$A$5:$A$2979,0)),0)</f>
        <v>7.4</v>
      </c>
      <c r="N2279" s="41" t="n">
        <f aca="false">L2279+M2279</f>
        <v>59.4</v>
      </c>
      <c r="O2279" s="41" t="n">
        <f aca="false">K2279-N2279</f>
        <v>63.96</v>
      </c>
      <c r="P2279" s="43" t="n">
        <f aca="false">IF(K2279=0,0,O2279/K2279)</f>
        <v>0.518482490272374</v>
      </c>
    </row>
    <row r="2280" customFormat="false" ht="15" hidden="false" customHeight="false" outlineLevel="0" collapsed="false">
      <c r="A2280" s="39" t="s">
        <v>2402</v>
      </c>
      <c r="B2280" s="40" t="n">
        <v>45964</v>
      </c>
      <c r="C2280" s="39" t="s">
        <v>169</v>
      </c>
      <c r="D2280" s="39" t="n">
        <v>2</v>
      </c>
      <c r="E2280" s="41" t="n">
        <v>27.8</v>
      </c>
      <c r="F2280" s="39" t="s">
        <v>115</v>
      </c>
      <c r="G2280" s="39" t="str">
        <f aca="false">VLOOKUP(C2280,Products!$A$5:$D$24,2,FALSE())</f>
        <v>Laptop Stand</v>
      </c>
      <c r="H2280" s="39" t="str">
        <f aca="false">VLOOKUP(C2280,Products!$A$5:$D$24,3,FALSE())</f>
        <v>Accessories</v>
      </c>
      <c r="I2280" s="41" t="n">
        <f aca="false">VLOOKUP(C2280,Products!$A$5:$D$24,4,FALSE())</f>
        <v>11</v>
      </c>
      <c r="J2280" s="42" t="n">
        <f aca="false">DATE(YEAR(B2280),MONTH(B2280),1)</f>
        <v>45962</v>
      </c>
      <c r="K2280" s="41" t="n">
        <f aca="false">D2280*E2280</f>
        <v>55.6</v>
      </c>
      <c r="L2280" s="41" t="n">
        <f aca="false">D2280*I2280</f>
        <v>22</v>
      </c>
      <c r="M2280" s="41" t="n">
        <f aca="false">IFERROR(INDEX(Raw_Expenses!$C$5:$C$2979,MATCH(A2280,Raw_Expenses!$A$5:$A$2979,0)),0)</f>
        <v>4.74</v>
      </c>
      <c r="N2280" s="41" t="n">
        <f aca="false">L2280+M2280</f>
        <v>26.74</v>
      </c>
      <c r="O2280" s="41" t="n">
        <f aca="false">K2280-N2280</f>
        <v>28.86</v>
      </c>
      <c r="P2280" s="43" t="n">
        <f aca="false">IF(K2280=0,0,O2280/K2280)</f>
        <v>0.519064748201439</v>
      </c>
    </row>
    <row r="2281" customFormat="false" ht="15" hidden="false" customHeight="false" outlineLevel="0" collapsed="false">
      <c r="A2281" s="39" t="s">
        <v>2403</v>
      </c>
      <c r="B2281" s="40" t="n">
        <v>45964</v>
      </c>
      <c r="C2281" s="39" t="s">
        <v>112</v>
      </c>
      <c r="D2281" s="39" t="n">
        <v>2</v>
      </c>
      <c r="E2281" s="41" t="n">
        <v>52.16</v>
      </c>
      <c r="F2281" s="39" t="s">
        <v>105</v>
      </c>
      <c r="G2281" s="39" t="str">
        <f aca="false">VLOOKUP(C2281,Products!$A$5:$D$24,2,FALSE())</f>
        <v>HD Webcam</v>
      </c>
      <c r="H2281" s="39" t="str">
        <f aca="false">VLOOKUP(C2281,Products!$A$5:$D$24,3,FALSE())</f>
        <v>Electronics</v>
      </c>
      <c r="I2281" s="41" t="n">
        <f aca="false">VLOOKUP(C2281,Products!$A$5:$D$24,4,FALSE())</f>
        <v>22</v>
      </c>
      <c r="J2281" s="42" t="n">
        <f aca="false">DATE(YEAR(B2281),MONTH(B2281),1)</f>
        <v>45962</v>
      </c>
      <c r="K2281" s="41" t="n">
        <f aca="false">D2281*E2281</f>
        <v>104.32</v>
      </c>
      <c r="L2281" s="41" t="n">
        <f aca="false">D2281*I2281</f>
        <v>44</v>
      </c>
      <c r="M2281" s="41" t="n">
        <f aca="false">IFERROR(INDEX(Raw_Expenses!$C$5:$C$2979,MATCH(A2281,Raw_Expenses!$A$5:$A$2979,0)),0)</f>
        <v>8.57</v>
      </c>
      <c r="N2281" s="41" t="n">
        <f aca="false">L2281+M2281</f>
        <v>52.57</v>
      </c>
      <c r="O2281" s="41" t="n">
        <f aca="false">K2281-N2281</f>
        <v>51.75</v>
      </c>
      <c r="P2281" s="43" t="n">
        <f aca="false">IF(K2281=0,0,O2281/K2281)</f>
        <v>0.496069785276074</v>
      </c>
    </row>
    <row r="2282" customFormat="false" ht="15" hidden="false" customHeight="false" outlineLevel="0" collapsed="false">
      <c r="A2282" s="39" t="s">
        <v>2404</v>
      </c>
      <c r="B2282" s="40" t="n">
        <v>45964</v>
      </c>
      <c r="C2282" s="39" t="s">
        <v>114</v>
      </c>
      <c r="D2282" s="39" t="n">
        <v>3</v>
      </c>
      <c r="E2282" s="41" t="n">
        <v>5.91</v>
      </c>
      <c r="F2282" s="39" t="s">
        <v>118</v>
      </c>
      <c r="G2282" s="39" t="str">
        <f aca="false">VLOOKUP(C2282,Products!$A$5:$D$24,2,FALSE())</f>
        <v>Gel Pen Pack</v>
      </c>
      <c r="H2282" s="39" t="str">
        <f aca="false">VLOOKUP(C2282,Products!$A$5:$D$24,3,FALSE())</f>
        <v>Stationery</v>
      </c>
      <c r="I2282" s="41" t="n">
        <f aca="false">VLOOKUP(C2282,Products!$A$5:$D$24,4,FALSE())</f>
        <v>2</v>
      </c>
      <c r="J2282" s="42" t="n">
        <f aca="false">DATE(YEAR(B2282),MONTH(B2282),1)</f>
        <v>45962</v>
      </c>
      <c r="K2282" s="41" t="n">
        <f aca="false">D2282*E2282</f>
        <v>17.73</v>
      </c>
      <c r="L2282" s="41" t="n">
        <f aca="false">D2282*I2282</f>
        <v>6</v>
      </c>
      <c r="M2282" s="41" t="n">
        <f aca="false">IFERROR(INDEX(Raw_Expenses!$C$5:$C$2979,MATCH(A2282,Raw_Expenses!$A$5:$A$2979,0)),0)</f>
        <v>1.06</v>
      </c>
      <c r="N2282" s="41" t="n">
        <f aca="false">L2282+M2282</f>
        <v>7.06</v>
      </c>
      <c r="O2282" s="41" t="n">
        <f aca="false">K2282-N2282</f>
        <v>10.67</v>
      </c>
      <c r="P2282" s="43" t="n">
        <f aca="false">IF(K2282=0,0,O2282/K2282)</f>
        <v>0.601804850535815</v>
      </c>
    </row>
    <row r="2283" customFormat="false" ht="15" hidden="false" customHeight="false" outlineLevel="0" collapsed="false">
      <c r="A2283" s="39" t="s">
        <v>2405</v>
      </c>
      <c r="B2283" s="40" t="n">
        <v>45964</v>
      </c>
      <c r="C2283" s="39" t="s">
        <v>133</v>
      </c>
      <c r="D2283" s="39" t="n">
        <v>2</v>
      </c>
      <c r="E2283" s="41" t="n">
        <v>8.54</v>
      </c>
      <c r="F2283" s="39" t="s">
        <v>118</v>
      </c>
      <c r="G2283" s="39" t="str">
        <f aca="false">VLOOKUP(C2283,Products!$A$5:$D$24,2,FALSE())</f>
        <v>Printer Paper Ream</v>
      </c>
      <c r="H2283" s="39" t="str">
        <f aca="false">VLOOKUP(C2283,Products!$A$5:$D$24,3,FALSE())</f>
        <v>Stationery</v>
      </c>
      <c r="I2283" s="41" t="n">
        <f aca="false">VLOOKUP(C2283,Products!$A$5:$D$24,4,FALSE())</f>
        <v>4</v>
      </c>
      <c r="J2283" s="42" t="n">
        <f aca="false">DATE(YEAR(B2283),MONTH(B2283),1)</f>
        <v>45962</v>
      </c>
      <c r="K2283" s="41" t="n">
        <f aca="false">D2283*E2283</f>
        <v>17.08</v>
      </c>
      <c r="L2283" s="41" t="n">
        <f aca="false">D2283*I2283</f>
        <v>8</v>
      </c>
      <c r="M2283" s="41" t="n">
        <f aca="false">IFERROR(INDEX(Raw_Expenses!$C$5:$C$2979,MATCH(A2283,Raw_Expenses!$A$5:$A$2979,0)),0)</f>
        <v>0.82</v>
      </c>
      <c r="N2283" s="41" t="n">
        <f aca="false">L2283+M2283</f>
        <v>8.82</v>
      </c>
      <c r="O2283" s="41" t="n">
        <f aca="false">K2283-N2283</f>
        <v>8.26</v>
      </c>
      <c r="P2283" s="43" t="n">
        <f aca="false">IF(K2283=0,0,O2283/K2283)</f>
        <v>0.483606557377049</v>
      </c>
    </row>
    <row r="2284" customFormat="false" ht="15" hidden="false" customHeight="false" outlineLevel="0" collapsed="false">
      <c r="A2284" s="39" t="s">
        <v>2406</v>
      </c>
      <c r="B2284" s="40" t="n">
        <v>45964</v>
      </c>
      <c r="C2284" s="39" t="s">
        <v>112</v>
      </c>
      <c r="D2284" s="39" t="n">
        <v>4</v>
      </c>
      <c r="E2284" s="41" t="n">
        <v>53.63</v>
      </c>
      <c r="F2284" s="39" t="s">
        <v>108</v>
      </c>
      <c r="G2284" s="39" t="str">
        <f aca="false">VLOOKUP(C2284,Products!$A$5:$D$24,2,FALSE())</f>
        <v>HD Webcam</v>
      </c>
      <c r="H2284" s="39" t="str">
        <f aca="false">VLOOKUP(C2284,Products!$A$5:$D$24,3,FALSE())</f>
        <v>Electronics</v>
      </c>
      <c r="I2284" s="41" t="n">
        <f aca="false">VLOOKUP(C2284,Products!$A$5:$D$24,4,FALSE())</f>
        <v>22</v>
      </c>
      <c r="J2284" s="42" t="n">
        <f aca="false">DATE(YEAR(B2284),MONTH(B2284),1)</f>
        <v>45962</v>
      </c>
      <c r="K2284" s="41" t="n">
        <f aca="false">D2284*E2284</f>
        <v>214.52</v>
      </c>
      <c r="L2284" s="41" t="n">
        <f aca="false">D2284*I2284</f>
        <v>88</v>
      </c>
      <c r="M2284" s="41" t="n">
        <f aca="false">IFERROR(INDEX(Raw_Expenses!$C$5:$C$2979,MATCH(A2284,Raw_Expenses!$A$5:$A$2979,0)),0)</f>
        <v>18.71</v>
      </c>
      <c r="N2284" s="41" t="n">
        <f aca="false">L2284+M2284</f>
        <v>106.71</v>
      </c>
      <c r="O2284" s="41" t="n">
        <f aca="false">K2284-N2284</f>
        <v>107.81</v>
      </c>
      <c r="P2284" s="43" t="n">
        <f aca="false">IF(K2284=0,0,O2284/K2284)</f>
        <v>0.50256386350923</v>
      </c>
    </row>
    <row r="2285" customFormat="false" ht="15" hidden="false" customHeight="false" outlineLevel="0" collapsed="false">
      <c r="A2285" s="39" t="s">
        <v>2407</v>
      </c>
      <c r="B2285" s="40" t="n">
        <v>45964</v>
      </c>
      <c r="C2285" s="39" t="s">
        <v>126</v>
      </c>
      <c r="D2285" s="39" t="n">
        <v>2</v>
      </c>
      <c r="E2285" s="41" t="n">
        <v>24.27</v>
      </c>
      <c r="F2285" s="39" t="s">
        <v>118</v>
      </c>
      <c r="G2285" s="39" t="str">
        <f aca="false">VLOOKUP(C2285,Products!$A$5:$D$24,2,FALSE())</f>
        <v>Wireless Mouse</v>
      </c>
      <c r="H2285" s="39" t="str">
        <f aca="false">VLOOKUP(C2285,Products!$A$5:$D$24,3,FALSE())</f>
        <v>Electronics</v>
      </c>
      <c r="I2285" s="41" t="n">
        <f aca="false">VLOOKUP(C2285,Products!$A$5:$D$24,4,FALSE())</f>
        <v>12</v>
      </c>
      <c r="J2285" s="42" t="n">
        <f aca="false">DATE(YEAR(B2285),MONTH(B2285),1)</f>
        <v>45962</v>
      </c>
      <c r="K2285" s="41" t="n">
        <f aca="false">D2285*E2285</f>
        <v>48.54</v>
      </c>
      <c r="L2285" s="41" t="n">
        <f aca="false">D2285*I2285</f>
        <v>24</v>
      </c>
      <c r="M2285" s="41" t="n">
        <f aca="false">IFERROR(INDEX(Raw_Expenses!$C$5:$C$2979,MATCH(A2285,Raw_Expenses!$A$5:$A$2979,0)),0)</f>
        <v>4.19</v>
      </c>
      <c r="N2285" s="41" t="n">
        <f aca="false">L2285+M2285</f>
        <v>28.19</v>
      </c>
      <c r="O2285" s="41" t="n">
        <f aca="false">K2285-N2285</f>
        <v>20.35</v>
      </c>
      <c r="P2285" s="43" t="n">
        <f aca="false">IF(K2285=0,0,O2285/K2285)</f>
        <v>0.419241862381541</v>
      </c>
    </row>
    <row r="2286" customFormat="false" ht="15" hidden="false" customHeight="false" outlineLevel="0" collapsed="false">
      <c r="A2286" s="39" t="s">
        <v>2408</v>
      </c>
      <c r="B2286" s="40" t="n">
        <v>45964</v>
      </c>
      <c r="C2286" s="39" t="s">
        <v>114</v>
      </c>
      <c r="D2286" s="39" t="n">
        <v>2</v>
      </c>
      <c r="E2286" s="41" t="n">
        <v>5.83</v>
      </c>
      <c r="F2286" s="39" t="s">
        <v>115</v>
      </c>
      <c r="G2286" s="39" t="str">
        <f aca="false">VLOOKUP(C2286,Products!$A$5:$D$24,2,FALSE())</f>
        <v>Gel Pen Pack</v>
      </c>
      <c r="H2286" s="39" t="str">
        <f aca="false">VLOOKUP(C2286,Products!$A$5:$D$24,3,FALSE())</f>
        <v>Stationery</v>
      </c>
      <c r="I2286" s="41" t="n">
        <f aca="false">VLOOKUP(C2286,Products!$A$5:$D$24,4,FALSE())</f>
        <v>2</v>
      </c>
      <c r="J2286" s="42" t="n">
        <f aca="false">DATE(YEAR(B2286),MONTH(B2286),1)</f>
        <v>45962</v>
      </c>
      <c r="K2286" s="41" t="n">
        <f aca="false">D2286*E2286</f>
        <v>11.66</v>
      </c>
      <c r="L2286" s="41" t="n">
        <f aca="false">D2286*I2286</f>
        <v>4</v>
      </c>
      <c r="M2286" s="41" t="n">
        <f aca="false">IFERROR(INDEX(Raw_Expenses!$C$5:$C$2979,MATCH(A2286,Raw_Expenses!$A$5:$A$2979,0)),0)</f>
        <v>0.83</v>
      </c>
      <c r="N2286" s="41" t="n">
        <f aca="false">L2286+M2286</f>
        <v>4.83</v>
      </c>
      <c r="O2286" s="41" t="n">
        <f aca="false">K2286-N2286</f>
        <v>6.83</v>
      </c>
      <c r="P2286" s="43" t="n">
        <f aca="false">IF(K2286=0,0,O2286/K2286)</f>
        <v>0.585763293310463</v>
      </c>
    </row>
    <row r="2287" customFormat="false" ht="15" hidden="false" customHeight="false" outlineLevel="0" collapsed="false">
      <c r="A2287" s="39" t="s">
        <v>2409</v>
      </c>
      <c r="B2287" s="40" t="n">
        <v>45965</v>
      </c>
      <c r="C2287" s="39" t="s">
        <v>139</v>
      </c>
      <c r="D2287" s="39" t="n">
        <v>1</v>
      </c>
      <c r="E2287" s="41" t="n">
        <v>121.14</v>
      </c>
      <c r="F2287" s="39" t="s">
        <v>105</v>
      </c>
      <c r="G2287" s="39" t="str">
        <f aca="false">VLOOKUP(C2287,Products!$A$5:$D$24,2,FALSE())</f>
        <v>Noise-Cancelling Headphones</v>
      </c>
      <c r="H2287" s="39" t="str">
        <f aca="false">VLOOKUP(C2287,Products!$A$5:$D$24,3,FALSE())</f>
        <v>Electronics</v>
      </c>
      <c r="I2287" s="41" t="n">
        <f aca="false">VLOOKUP(C2287,Products!$A$5:$D$24,4,FALSE())</f>
        <v>55</v>
      </c>
      <c r="J2287" s="42" t="n">
        <f aca="false">DATE(YEAR(B2287),MONTH(B2287),1)</f>
        <v>45962</v>
      </c>
      <c r="K2287" s="41" t="n">
        <f aca="false">D2287*E2287</f>
        <v>121.14</v>
      </c>
      <c r="L2287" s="41" t="n">
        <f aca="false">D2287*I2287</f>
        <v>55</v>
      </c>
      <c r="M2287" s="41" t="n">
        <f aca="false">IFERROR(INDEX(Raw_Expenses!$C$5:$C$2979,MATCH(A2287,Raw_Expenses!$A$5:$A$2979,0)),0)</f>
        <v>7.17</v>
      </c>
      <c r="N2287" s="41" t="n">
        <f aca="false">L2287+M2287</f>
        <v>62.17</v>
      </c>
      <c r="O2287" s="41" t="n">
        <f aca="false">K2287-N2287</f>
        <v>58.97</v>
      </c>
      <c r="P2287" s="43" t="n">
        <f aca="false">IF(K2287=0,0,O2287/K2287)</f>
        <v>0.486792141324088</v>
      </c>
    </row>
    <row r="2288" customFormat="false" ht="15" hidden="false" customHeight="false" outlineLevel="0" collapsed="false">
      <c r="A2288" s="39" t="s">
        <v>2410</v>
      </c>
      <c r="B2288" s="40" t="n">
        <v>45965</v>
      </c>
      <c r="C2288" s="39" t="s">
        <v>117</v>
      </c>
      <c r="D2288" s="39" t="n">
        <v>4</v>
      </c>
      <c r="E2288" s="41" t="n">
        <v>30.5</v>
      </c>
      <c r="F2288" s="39" t="s">
        <v>118</v>
      </c>
      <c r="G2288" s="39" t="str">
        <f aca="false">VLOOKUP(C2288,Products!$A$5:$D$24,2,FALSE())</f>
        <v>Desk Lamp</v>
      </c>
      <c r="H2288" s="39" t="str">
        <f aca="false">VLOOKUP(C2288,Products!$A$5:$D$24,3,FALSE())</f>
        <v>Furniture</v>
      </c>
      <c r="I2288" s="41" t="n">
        <f aca="false">VLOOKUP(C2288,Products!$A$5:$D$24,4,FALSE())</f>
        <v>13</v>
      </c>
      <c r="J2288" s="42" t="n">
        <f aca="false">DATE(YEAR(B2288),MONTH(B2288),1)</f>
        <v>45962</v>
      </c>
      <c r="K2288" s="41" t="n">
        <f aca="false">D2288*E2288</f>
        <v>122</v>
      </c>
      <c r="L2288" s="41" t="n">
        <f aca="false">D2288*I2288</f>
        <v>52</v>
      </c>
      <c r="M2288" s="41" t="n">
        <f aca="false">IFERROR(INDEX(Raw_Expenses!$C$5:$C$2979,MATCH(A2288,Raw_Expenses!$A$5:$A$2979,0)),0)</f>
        <v>5.64</v>
      </c>
      <c r="N2288" s="41" t="n">
        <f aca="false">L2288+M2288</f>
        <v>57.64</v>
      </c>
      <c r="O2288" s="41" t="n">
        <f aca="false">K2288-N2288</f>
        <v>64.36</v>
      </c>
      <c r="P2288" s="43" t="n">
        <f aca="false">IF(K2288=0,0,O2288/K2288)</f>
        <v>0.527540983606557</v>
      </c>
    </row>
    <row r="2289" customFormat="false" ht="15" hidden="false" customHeight="false" outlineLevel="0" collapsed="false">
      <c r="A2289" s="39" t="s">
        <v>2411</v>
      </c>
      <c r="B2289" s="40" t="n">
        <v>45965</v>
      </c>
      <c r="C2289" s="39" t="s">
        <v>130</v>
      </c>
      <c r="D2289" s="39" t="n">
        <v>5</v>
      </c>
      <c r="E2289" s="41" t="n">
        <v>8.61</v>
      </c>
      <c r="F2289" s="39" t="s">
        <v>108</v>
      </c>
      <c r="G2289" s="39" t="str">
        <f aca="false">VLOOKUP(C2289,Products!$A$5:$D$24,2,FALSE())</f>
        <v>Notebook Set</v>
      </c>
      <c r="H2289" s="39" t="str">
        <f aca="false">VLOOKUP(C2289,Products!$A$5:$D$24,3,FALSE())</f>
        <v>Stationery</v>
      </c>
      <c r="I2289" s="41" t="n">
        <f aca="false">VLOOKUP(C2289,Products!$A$5:$D$24,4,FALSE())</f>
        <v>3</v>
      </c>
      <c r="J2289" s="42" t="n">
        <f aca="false">DATE(YEAR(B2289),MONTH(B2289),1)</f>
        <v>45962</v>
      </c>
      <c r="K2289" s="41" t="n">
        <f aca="false">D2289*E2289</f>
        <v>43.05</v>
      </c>
      <c r="L2289" s="41" t="n">
        <f aca="false">D2289*I2289</f>
        <v>15</v>
      </c>
      <c r="M2289" s="41" t="n">
        <f aca="false">IFERROR(INDEX(Raw_Expenses!$C$5:$C$2979,MATCH(A2289,Raw_Expenses!$A$5:$A$2979,0)),0)</f>
        <v>2.79</v>
      </c>
      <c r="N2289" s="41" t="n">
        <f aca="false">L2289+M2289</f>
        <v>17.79</v>
      </c>
      <c r="O2289" s="41" t="n">
        <f aca="false">K2289-N2289</f>
        <v>25.26</v>
      </c>
      <c r="P2289" s="43" t="n">
        <f aca="false">IF(K2289=0,0,O2289/K2289)</f>
        <v>0.586759581881533</v>
      </c>
    </row>
    <row r="2290" customFormat="false" ht="15" hidden="false" customHeight="false" outlineLevel="0" collapsed="false">
      <c r="A2290" s="39" t="s">
        <v>2412</v>
      </c>
      <c r="B2290" s="40" t="n">
        <v>45965</v>
      </c>
      <c r="C2290" s="39" t="s">
        <v>126</v>
      </c>
      <c r="D2290" s="39" t="n">
        <v>1</v>
      </c>
      <c r="E2290" s="41" t="n">
        <v>23.37</v>
      </c>
      <c r="F2290" s="39" t="s">
        <v>105</v>
      </c>
      <c r="G2290" s="39" t="str">
        <f aca="false">VLOOKUP(C2290,Products!$A$5:$D$24,2,FALSE())</f>
        <v>Wireless Mouse</v>
      </c>
      <c r="H2290" s="39" t="str">
        <f aca="false">VLOOKUP(C2290,Products!$A$5:$D$24,3,FALSE())</f>
        <v>Electronics</v>
      </c>
      <c r="I2290" s="41" t="n">
        <f aca="false">VLOOKUP(C2290,Products!$A$5:$D$24,4,FALSE())</f>
        <v>12</v>
      </c>
      <c r="J2290" s="42" t="n">
        <f aca="false">DATE(YEAR(B2290),MONTH(B2290),1)</f>
        <v>45962</v>
      </c>
      <c r="K2290" s="41" t="n">
        <f aca="false">D2290*E2290</f>
        <v>23.37</v>
      </c>
      <c r="L2290" s="41" t="n">
        <f aca="false">D2290*I2290</f>
        <v>12</v>
      </c>
      <c r="M2290" s="41" t="n">
        <f aca="false">IFERROR(INDEX(Raw_Expenses!$C$5:$C$2979,MATCH(A2290,Raw_Expenses!$A$5:$A$2979,0)),0)</f>
        <v>1.63</v>
      </c>
      <c r="N2290" s="41" t="n">
        <f aca="false">L2290+M2290</f>
        <v>13.63</v>
      </c>
      <c r="O2290" s="41" t="n">
        <f aca="false">K2290-N2290</f>
        <v>9.74</v>
      </c>
      <c r="P2290" s="43" t="n">
        <f aca="false">IF(K2290=0,0,O2290/K2290)</f>
        <v>0.416773641420625</v>
      </c>
    </row>
    <row r="2291" customFormat="false" ht="15" hidden="false" customHeight="false" outlineLevel="0" collapsed="false">
      <c r="A2291" s="39" t="s">
        <v>2413</v>
      </c>
      <c r="B2291" s="40" t="n">
        <v>45965</v>
      </c>
      <c r="C2291" s="39" t="s">
        <v>169</v>
      </c>
      <c r="D2291" s="39" t="n">
        <v>3</v>
      </c>
      <c r="E2291" s="41" t="n">
        <v>28.6</v>
      </c>
      <c r="F2291" s="39" t="s">
        <v>115</v>
      </c>
      <c r="G2291" s="39" t="str">
        <f aca="false">VLOOKUP(C2291,Products!$A$5:$D$24,2,FALSE())</f>
        <v>Laptop Stand</v>
      </c>
      <c r="H2291" s="39" t="str">
        <f aca="false">VLOOKUP(C2291,Products!$A$5:$D$24,3,FALSE())</f>
        <v>Accessories</v>
      </c>
      <c r="I2291" s="41" t="n">
        <f aca="false">VLOOKUP(C2291,Products!$A$5:$D$24,4,FALSE())</f>
        <v>11</v>
      </c>
      <c r="J2291" s="42" t="n">
        <f aca="false">DATE(YEAR(B2291),MONTH(B2291),1)</f>
        <v>45962</v>
      </c>
      <c r="K2291" s="41" t="n">
        <f aca="false">D2291*E2291</f>
        <v>85.8</v>
      </c>
      <c r="L2291" s="41" t="n">
        <f aca="false">D2291*I2291</f>
        <v>33</v>
      </c>
      <c r="M2291" s="41" t="n">
        <f aca="false">IFERROR(INDEX(Raw_Expenses!$C$5:$C$2979,MATCH(A2291,Raw_Expenses!$A$5:$A$2979,0)),0)</f>
        <v>4.68</v>
      </c>
      <c r="N2291" s="41" t="n">
        <f aca="false">L2291+M2291</f>
        <v>37.68</v>
      </c>
      <c r="O2291" s="41" t="n">
        <f aca="false">K2291-N2291</f>
        <v>48.12</v>
      </c>
      <c r="P2291" s="43" t="n">
        <f aca="false">IF(K2291=0,0,O2291/K2291)</f>
        <v>0.560839160839161</v>
      </c>
    </row>
    <row r="2292" customFormat="false" ht="15" hidden="false" customHeight="false" outlineLevel="0" collapsed="false">
      <c r="A2292" s="39" t="s">
        <v>2414</v>
      </c>
      <c r="B2292" s="40" t="n">
        <v>45965</v>
      </c>
      <c r="C2292" s="39" t="s">
        <v>104</v>
      </c>
      <c r="D2292" s="39" t="n">
        <v>2</v>
      </c>
      <c r="E2292" s="41" t="n">
        <v>15.62</v>
      </c>
      <c r="F2292" s="39" t="s">
        <v>115</v>
      </c>
      <c r="G2292" s="39" t="str">
        <f aca="false">VLOOKUP(C2292,Products!$A$5:$D$24,2,FALSE())</f>
        <v>Water Bottle</v>
      </c>
      <c r="H2292" s="39" t="str">
        <f aca="false">VLOOKUP(C2292,Products!$A$5:$D$24,3,FALSE())</f>
        <v>Accessories</v>
      </c>
      <c r="I2292" s="41" t="n">
        <f aca="false">VLOOKUP(C2292,Products!$A$5:$D$24,4,FALSE())</f>
        <v>5</v>
      </c>
      <c r="J2292" s="42" t="n">
        <f aca="false">DATE(YEAR(B2292),MONTH(B2292),1)</f>
        <v>45962</v>
      </c>
      <c r="K2292" s="41" t="n">
        <f aca="false">D2292*E2292</f>
        <v>31.24</v>
      </c>
      <c r="L2292" s="41" t="n">
        <f aca="false">D2292*I2292</f>
        <v>10</v>
      </c>
      <c r="M2292" s="41" t="n">
        <f aca="false">IFERROR(INDEX(Raw_Expenses!$C$5:$C$2979,MATCH(A2292,Raw_Expenses!$A$5:$A$2979,0)),0)</f>
        <v>2.16</v>
      </c>
      <c r="N2292" s="41" t="n">
        <f aca="false">L2292+M2292</f>
        <v>12.16</v>
      </c>
      <c r="O2292" s="41" t="n">
        <f aca="false">K2292-N2292</f>
        <v>19.08</v>
      </c>
      <c r="P2292" s="43" t="n">
        <f aca="false">IF(K2292=0,0,O2292/K2292)</f>
        <v>0.610755441741357</v>
      </c>
    </row>
    <row r="2293" customFormat="false" ht="15" hidden="false" customHeight="false" outlineLevel="0" collapsed="false">
      <c r="A2293" s="39" t="s">
        <v>2415</v>
      </c>
      <c r="B2293" s="40" t="n">
        <v>45965</v>
      </c>
      <c r="C2293" s="39" t="s">
        <v>305</v>
      </c>
      <c r="D2293" s="39" t="n">
        <v>2</v>
      </c>
      <c r="E2293" s="41" t="n">
        <v>331.93</v>
      </c>
      <c r="F2293" s="39" t="s">
        <v>108</v>
      </c>
      <c r="G2293" s="39" t="str">
        <f aca="false">VLOOKUP(C2293,Products!$A$5:$D$24,2,FALSE())</f>
        <v>Standing Desk</v>
      </c>
      <c r="H2293" s="39" t="str">
        <f aca="false">VLOOKUP(C2293,Products!$A$5:$D$24,3,FALSE())</f>
        <v>Furniture</v>
      </c>
      <c r="I2293" s="41" t="n">
        <f aca="false">VLOOKUP(C2293,Products!$A$5:$D$24,4,FALSE())</f>
        <v>160</v>
      </c>
      <c r="J2293" s="42" t="n">
        <f aca="false">DATE(YEAR(B2293),MONTH(B2293),1)</f>
        <v>45962</v>
      </c>
      <c r="K2293" s="41" t="n">
        <f aca="false">D2293*E2293</f>
        <v>663.86</v>
      </c>
      <c r="L2293" s="41" t="n">
        <f aca="false">D2293*I2293</f>
        <v>320</v>
      </c>
      <c r="M2293" s="41" t="n">
        <f aca="false">IFERROR(INDEX(Raw_Expenses!$C$5:$C$2979,MATCH(A2293,Raw_Expenses!$A$5:$A$2979,0)),0)</f>
        <v>43.9</v>
      </c>
      <c r="N2293" s="41" t="n">
        <f aca="false">L2293+M2293</f>
        <v>363.9</v>
      </c>
      <c r="O2293" s="41" t="n">
        <f aca="false">K2293-N2293</f>
        <v>299.96</v>
      </c>
      <c r="P2293" s="43" t="n">
        <f aca="false">IF(K2293=0,0,O2293/K2293)</f>
        <v>0.451842255897328</v>
      </c>
    </row>
    <row r="2294" customFormat="false" ht="15" hidden="false" customHeight="false" outlineLevel="0" collapsed="false">
      <c r="A2294" s="39" t="s">
        <v>2416</v>
      </c>
      <c r="B2294" s="40" t="n">
        <v>45965</v>
      </c>
      <c r="C2294" s="39" t="s">
        <v>126</v>
      </c>
      <c r="D2294" s="39" t="n">
        <v>1</v>
      </c>
      <c r="E2294" s="41" t="n">
        <v>24.07</v>
      </c>
      <c r="F2294" s="39" t="s">
        <v>118</v>
      </c>
      <c r="G2294" s="39" t="str">
        <f aca="false">VLOOKUP(C2294,Products!$A$5:$D$24,2,FALSE())</f>
        <v>Wireless Mouse</v>
      </c>
      <c r="H2294" s="39" t="str">
        <f aca="false">VLOOKUP(C2294,Products!$A$5:$D$24,3,FALSE())</f>
        <v>Electronics</v>
      </c>
      <c r="I2294" s="41" t="n">
        <f aca="false">VLOOKUP(C2294,Products!$A$5:$D$24,4,FALSE())</f>
        <v>12</v>
      </c>
      <c r="J2294" s="42" t="n">
        <f aca="false">DATE(YEAR(B2294),MONTH(B2294),1)</f>
        <v>45962</v>
      </c>
      <c r="K2294" s="41" t="n">
        <f aca="false">D2294*E2294</f>
        <v>24.07</v>
      </c>
      <c r="L2294" s="41" t="n">
        <f aca="false">D2294*I2294</f>
        <v>12</v>
      </c>
      <c r="M2294" s="41" t="n">
        <f aca="false">IFERROR(INDEX(Raw_Expenses!$C$5:$C$2979,MATCH(A2294,Raw_Expenses!$A$5:$A$2979,0)),0)</f>
        <v>2.02</v>
      </c>
      <c r="N2294" s="41" t="n">
        <f aca="false">L2294+M2294</f>
        <v>14.02</v>
      </c>
      <c r="O2294" s="41" t="n">
        <f aca="false">K2294-N2294</f>
        <v>10.05</v>
      </c>
      <c r="P2294" s="43" t="n">
        <f aca="false">IF(K2294=0,0,O2294/K2294)</f>
        <v>0.417532197756543</v>
      </c>
    </row>
    <row r="2295" customFormat="false" ht="15" hidden="false" customHeight="false" outlineLevel="0" collapsed="false">
      <c r="A2295" s="39" t="s">
        <v>2417</v>
      </c>
      <c r="B2295" s="40" t="n">
        <v>45965</v>
      </c>
      <c r="C2295" s="39" t="s">
        <v>144</v>
      </c>
      <c r="D2295" s="39" t="n">
        <v>1</v>
      </c>
      <c r="E2295" s="41" t="n">
        <v>56.1</v>
      </c>
      <c r="F2295" s="39" t="s">
        <v>105</v>
      </c>
      <c r="G2295" s="39" t="str">
        <f aca="false">VLOOKUP(C2295,Products!$A$5:$D$24,2,FALSE())</f>
        <v>Whiteboard</v>
      </c>
      <c r="H2295" s="39" t="str">
        <f aca="false">VLOOKUP(C2295,Products!$A$5:$D$24,3,FALSE())</f>
        <v>Furniture</v>
      </c>
      <c r="I2295" s="41" t="n">
        <f aca="false">VLOOKUP(C2295,Products!$A$5:$D$24,4,FALSE())</f>
        <v>28</v>
      </c>
      <c r="J2295" s="42" t="n">
        <f aca="false">DATE(YEAR(B2295),MONTH(B2295),1)</f>
        <v>45962</v>
      </c>
      <c r="K2295" s="41" t="n">
        <f aca="false">D2295*E2295</f>
        <v>56.1</v>
      </c>
      <c r="L2295" s="41" t="n">
        <f aca="false">D2295*I2295</f>
        <v>28</v>
      </c>
      <c r="M2295" s="41" t="n">
        <f aca="false">IFERROR(INDEX(Raw_Expenses!$C$5:$C$2979,MATCH(A2295,Raw_Expenses!$A$5:$A$2979,0)),0)</f>
        <v>4.22</v>
      </c>
      <c r="N2295" s="41" t="n">
        <f aca="false">L2295+M2295</f>
        <v>32.22</v>
      </c>
      <c r="O2295" s="41" t="n">
        <f aca="false">K2295-N2295</f>
        <v>23.88</v>
      </c>
      <c r="P2295" s="43" t="n">
        <f aca="false">IF(K2295=0,0,O2295/K2295)</f>
        <v>0.425668449197861</v>
      </c>
    </row>
    <row r="2296" customFormat="false" ht="15" hidden="false" customHeight="false" outlineLevel="0" collapsed="false">
      <c r="A2296" s="39" t="s">
        <v>2418</v>
      </c>
      <c r="B2296" s="40" t="n">
        <v>45965</v>
      </c>
      <c r="C2296" s="39" t="s">
        <v>114</v>
      </c>
      <c r="D2296" s="39" t="n">
        <v>1</v>
      </c>
      <c r="E2296" s="41" t="n">
        <v>5.74</v>
      </c>
      <c r="F2296" s="39" t="s">
        <v>108</v>
      </c>
      <c r="G2296" s="39" t="str">
        <f aca="false">VLOOKUP(C2296,Products!$A$5:$D$24,2,FALSE())</f>
        <v>Gel Pen Pack</v>
      </c>
      <c r="H2296" s="39" t="str">
        <f aca="false">VLOOKUP(C2296,Products!$A$5:$D$24,3,FALSE())</f>
        <v>Stationery</v>
      </c>
      <c r="I2296" s="41" t="n">
        <f aca="false">VLOOKUP(C2296,Products!$A$5:$D$24,4,FALSE())</f>
        <v>2</v>
      </c>
      <c r="J2296" s="42" t="n">
        <f aca="false">DATE(YEAR(B2296),MONTH(B2296),1)</f>
        <v>45962</v>
      </c>
      <c r="K2296" s="41" t="n">
        <f aca="false">D2296*E2296</f>
        <v>5.74</v>
      </c>
      <c r="L2296" s="41" t="n">
        <f aca="false">D2296*I2296</f>
        <v>2</v>
      </c>
      <c r="M2296" s="41" t="n">
        <f aca="false">IFERROR(INDEX(Raw_Expenses!$C$5:$C$2979,MATCH(A2296,Raw_Expenses!$A$5:$A$2979,0)),0)</f>
        <v>0.32</v>
      </c>
      <c r="N2296" s="41" t="n">
        <f aca="false">L2296+M2296</f>
        <v>2.32</v>
      </c>
      <c r="O2296" s="41" t="n">
        <f aca="false">K2296-N2296</f>
        <v>3.42</v>
      </c>
      <c r="P2296" s="43" t="n">
        <f aca="false">IF(K2296=0,0,O2296/K2296)</f>
        <v>0.59581881533101</v>
      </c>
    </row>
    <row r="2297" customFormat="false" ht="15" hidden="false" customHeight="false" outlineLevel="0" collapsed="false">
      <c r="A2297" s="39" t="s">
        <v>2419</v>
      </c>
      <c r="B2297" s="40" t="n">
        <v>45965</v>
      </c>
      <c r="C2297" s="39" t="s">
        <v>305</v>
      </c>
      <c r="D2297" s="39" t="n">
        <v>5</v>
      </c>
      <c r="E2297" s="41" t="n">
        <v>339.72</v>
      </c>
      <c r="F2297" s="39" t="s">
        <v>118</v>
      </c>
      <c r="G2297" s="39" t="str">
        <f aca="false">VLOOKUP(C2297,Products!$A$5:$D$24,2,FALSE())</f>
        <v>Standing Desk</v>
      </c>
      <c r="H2297" s="39" t="str">
        <f aca="false">VLOOKUP(C2297,Products!$A$5:$D$24,3,FALSE())</f>
        <v>Furniture</v>
      </c>
      <c r="I2297" s="41" t="n">
        <f aca="false">VLOOKUP(C2297,Products!$A$5:$D$24,4,FALSE())</f>
        <v>160</v>
      </c>
      <c r="J2297" s="42" t="n">
        <f aca="false">DATE(YEAR(B2297),MONTH(B2297),1)</f>
        <v>45962</v>
      </c>
      <c r="K2297" s="41" t="n">
        <f aca="false">D2297*E2297</f>
        <v>1698.6</v>
      </c>
      <c r="L2297" s="41" t="n">
        <f aca="false">D2297*I2297</f>
        <v>800</v>
      </c>
      <c r="M2297" s="41" t="n">
        <f aca="false">IFERROR(INDEX(Raw_Expenses!$C$5:$C$2979,MATCH(A2297,Raw_Expenses!$A$5:$A$2979,0)),0)</f>
        <v>77.43</v>
      </c>
      <c r="N2297" s="41" t="n">
        <f aca="false">L2297+M2297</f>
        <v>877.43</v>
      </c>
      <c r="O2297" s="41" t="n">
        <f aca="false">K2297-N2297</f>
        <v>821.17</v>
      </c>
      <c r="P2297" s="43" t="n">
        <f aca="false">IF(K2297=0,0,O2297/K2297)</f>
        <v>0.483439302955375</v>
      </c>
    </row>
    <row r="2298" customFormat="false" ht="15" hidden="false" customHeight="false" outlineLevel="0" collapsed="false">
      <c r="A2298" s="39" t="s">
        <v>2420</v>
      </c>
      <c r="B2298" s="40" t="n">
        <v>45965</v>
      </c>
      <c r="C2298" s="39" t="s">
        <v>114</v>
      </c>
      <c r="D2298" s="39" t="n">
        <v>3</v>
      </c>
      <c r="E2298" s="41" t="n">
        <v>5.93</v>
      </c>
      <c r="F2298" s="39" t="s">
        <v>108</v>
      </c>
      <c r="G2298" s="39" t="str">
        <f aca="false">VLOOKUP(C2298,Products!$A$5:$D$24,2,FALSE())</f>
        <v>Gel Pen Pack</v>
      </c>
      <c r="H2298" s="39" t="str">
        <f aca="false">VLOOKUP(C2298,Products!$A$5:$D$24,3,FALSE())</f>
        <v>Stationery</v>
      </c>
      <c r="I2298" s="41" t="n">
        <f aca="false">VLOOKUP(C2298,Products!$A$5:$D$24,4,FALSE())</f>
        <v>2</v>
      </c>
      <c r="J2298" s="42" t="n">
        <f aca="false">DATE(YEAR(B2298),MONTH(B2298),1)</f>
        <v>45962</v>
      </c>
      <c r="K2298" s="41" t="n">
        <f aca="false">D2298*E2298</f>
        <v>17.79</v>
      </c>
      <c r="L2298" s="41" t="n">
        <f aca="false">D2298*I2298</f>
        <v>6</v>
      </c>
      <c r="M2298" s="41" t="n">
        <f aca="false">IFERROR(INDEX(Raw_Expenses!$C$5:$C$2979,MATCH(A2298,Raw_Expenses!$A$5:$A$2979,0)),0)</f>
        <v>1.38</v>
      </c>
      <c r="N2298" s="41" t="n">
        <f aca="false">L2298+M2298</f>
        <v>7.38</v>
      </c>
      <c r="O2298" s="41" t="n">
        <f aca="false">K2298-N2298</f>
        <v>10.41</v>
      </c>
      <c r="P2298" s="43" t="n">
        <f aca="false">IF(K2298=0,0,O2298/K2298)</f>
        <v>0.585160202360877</v>
      </c>
    </row>
    <row r="2299" customFormat="false" ht="15" hidden="false" customHeight="false" outlineLevel="0" collapsed="false">
      <c r="A2299" s="39" t="s">
        <v>2421</v>
      </c>
      <c r="B2299" s="40" t="n">
        <v>45965</v>
      </c>
      <c r="C2299" s="39" t="s">
        <v>126</v>
      </c>
      <c r="D2299" s="39" t="n">
        <v>1</v>
      </c>
      <c r="E2299" s="41" t="n">
        <v>23.86</v>
      </c>
      <c r="F2299" s="39" t="s">
        <v>118</v>
      </c>
      <c r="G2299" s="39" t="str">
        <f aca="false">VLOOKUP(C2299,Products!$A$5:$D$24,2,FALSE())</f>
        <v>Wireless Mouse</v>
      </c>
      <c r="H2299" s="39" t="str">
        <f aca="false">VLOOKUP(C2299,Products!$A$5:$D$24,3,FALSE())</f>
        <v>Electronics</v>
      </c>
      <c r="I2299" s="41" t="n">
        <f aca="false">VLOOKUP(C2299,Products!$A$5:$D$24,4,FALSE())</f>
        <v>12</v>
      </c>
      <c r="J2299" s="42" t="n">
        <f aca="false">DATE(YEAR(B2299),MONTH(B2299),1)</f>
        <v>45962</v>
      </c>
      <c r="K2299" s="41" t="n">
        <f aca="false">D2299*E2299</f>
        <v>23.86</v>
      </c>
      <c r="L2299" s="41" t="n">
        <f aca="false">D2299*I2299</f>
        <v>12</v>
      </c>
      <c r="M2299" s="41" t="n">
        <f aca="false">IFERROR(INDEX(Raw_Expenses!$C$5:$C$2979,MATCH(A2299,Raw_Expenses!$A$5:$A$2979,0)),0)</f>
        <v>1.1</v>
      </c>
      <c r="N2299" s="41" t="n">
        <f aca="false">L2299+M2299</f>
        <v>13.1</v>
      </c>
      <c r="O2299" s="41" t="n">
        <f aca="false">K2299-N2299</f>
        <v>10.76</v>
      </c>
      <c r="P2299" s="43" t="n">
        <f aca="false">IF(K2299=0,0,O2299/K2299)</f>
        <v>0.450963956412406</v>
      </c>
    </row>
    <row r="2300" customFormat="false" ht="15" hidden="false" customHeight="false" outlineLevel="0" collapsed="false">
      <c r="A2300" s="39" t="s">
        <v>2422</v>
      </c>
      <c r="B2300" s="40" t="n">
        <v>45965</v>
      </c>
      <c r="C2300" s="39" t="s">
        <v>169</v>
      </c>
      <c r="D2300" s="39" t="n">
        <v>3</v>
      </c>
      <c r="E2300" s="41" t="n">
        <v>27.32</v>
      </c>
      <c r="F2300" s="39" t="s">
        <v>115</v>
      </c>
      <c r="G2300" s="39" t="str">
        <f aca="false">VLOOKUP(C2300,Products!$A$5:$D$24,2,FALSE())</f>
        <v>Laptop Stand</v>
      </c>
      <c r="H2300" s="39" t="str">
        <f aca="false">VLOOKUP(C2300,Products!$A$5:$D$24,3,FALSE())</f>
        <v>Accessories</v>
      </c>
      <c r="I2300" s="41" t="n">
        <f aca="false">VLOOKUP(C2300,Products!$A$5:$D$24,4,FALSE())</f>
        <v>11</v>
      </c>
      <c r="J2300" s="42" t="n">
        <f aca="false">DATE(YEAR(B2300),MONTH(B2300),1)</f>
        <v>45962</v>
      </c>
      <c r="K2300" s="41" t="n">
        <f aca="false">D2300*E2300</f>
        <v>81.96</v>
      </c>
      <c r="L2300" s="41" t="n">
        <f aca="false">D2300*I2300</f>
        <v>33</v>
      </c>
      <c r="M2300" s="41" t="n">
        <f aca="false">IFERROR(INDEX(Raw_Expenses!$C$5:$C$2979,MATCH(A2300,Raw_Expenses!$A$5:$A$2979,0)),0)</f>
        <v>3.82</v>
      </c>
      <c r="N2300" s="41" t="n">
        <f aca="false">L2300+M2300</f>
        <v>36.82</v>
      </c>
      <c r="O2300" s="41" t="n">
        <f aca="false">K2300-N2300</f>
        <v>45.14</v>
      </c>
      <c r="P2300" s="43" t="n">
        <f aca="false">IF(K2300=0,0,O2300/K2300)</f>
        <v>0.550756466569058</v>
      </c>
    </row>
    <row r="2301" customFormat="false" ht="15" hidden="false" customHeight="false" outlineLevel="0" collapsed="false">
      <c r="A2301" s="39" t="s">
        <v>2423</v>
      </c>
      <c r="B2301" s="40" t="n">
        <v>45965</v>
      </c>
      <c r="C2301" s="39" t="s">
        <v>133</v>
      </c>
      <c r="D2301" s="39" t="n">
        <v>2</v>
      </c>
      <c r="E2301" s="41" t="n">
        <v>9</v>
      </c>
      <c r="F2301" s="39" t="s">
        <v>115</v>
      </c>
      <c r="G2301" s="39" t="str">
        <f aca="false">VLOOKUP(C2301,Products!$A$5:$D$24,2,FALSE())</f>
        <v>Printer Paper Ream</v>
      </c>
      <c r="H2301" s="39" t="str">
        <f aca="false">VLOOKUP(C2301,Products!$A$5:$D$24,3,FALSE())</f>
        <v>Stationery</v>
      </c>
      <c r="I2301" s="41" t="n">
        <f aca="false">VLOOKUP(C2301,Products!$A$5:$D$24,4,FALSE())</f>
        <v>4</v>
      </c>
      <c r="J2301" s="42" t="n">
        <f aca="false">DATE(YEAR(B2301),MONTH(B2301),1)</f>
        <v>45962</v>
      </c>
      <c r="K2301" s="41" t="n">
        <f aca="false">D2301*E2301</f>
        <v>18</v>
      </c>
      <c r="L2301" s="41" t="n">
        <f aca="false">D2301*I2301</f>
        <v>8</v>
      </c>
      <c r="M2301" s="41" t="n">
        <f aca="false">IFERROR(INDEX(Raw_Expenses!$C$5:$C$2979,MATCH(A2301,Raw_Expenses!$A$5:$A$2979,0)),0)</f>
        <v>1.25</v>
      </c>
      <c r="N2301" s="41" t="n">
        <f aca="false">L2301+M2301</f>
        <v>9.25</v>
      </c>
      <c r="O2301" s="41" t="n">
        <f aca="false">K2301-N2301</f>
        <v>8.75</v>
      </c>
      <c r="P2301" s="43" t="n">
        <f aca="false">IF(K2301=0,0,O2301/K2301)</f>
        <v>0.486111111111111</v>
      </c>
    </row>
    <row r="2302" customFormat="false" ht="15" hidden="false" customHeight="false" outlineLevel="0" collapsed="false">
      <c r="A2302" s="39" t="s">
        <v>2424</v>
      </c>
      <c r="B2302" s="40" t="n">
        <v>45966</v>
      </c>
      <c r="C2302" s="39" t="s">
        <v>136</v>
      </c>
      <c r="D2302" s="39" t="n">
        <v>2</v>
      </c>
      <c r="E2302" s="41" t="n">
        <v>77.01</v>
      </c>
      <c r="F2302" s="39" t="s">
        <v>105</v>
      </c>
      <c r="G2302" s="39" t="str">
        <f aca="false">VLOOKUP(C2302,Products!$A$5:$D$24,2,FALSE())</f>
        <v>Mechanical Keyboard</v>
      </c>
      <c r="H2302" s="39" t="str">
        <f aca="false">VLOOKUP(C2302,Products!$A$5:$D$24,3,FALSE())</f>
        <v>Electronics</v>
      </c>
      <c r="I2302" s="41" t="n">
        <f aca="false">VLOOKUP(C2302,Products!$A$5:$D$24,4,FALSE())</f>
        <v>38</v>
      </c>
      <c r="J2302" s="42" t="n">
        <f aca="false">DATE(YEAR(B2302),MONTH(B2302),1)</f>
        <v>45962</v>
      </c>
      <c r="K2302" s="41" t="n">
        <f aca="false">D2302*E2302</f>
        <v>154.02</v>
      </c>
      <c r="L2302" s="41" t="n">
        <f aca="false">D2302*I2302</f>
        <v>76</v>
      </c>
      <c r="M2302" s="41" t="n">
        <f aca="false">IFERROR(INDEX(Raw_Expenses!$C$5:$C$2979,MATCH(A2302,Raw_Expenses!$A$5:$A$2979,0)),0)</f>
        <v>13.07</v>
      </c>
      <c r="N2302" s="41" t="n">
        <f aca="false">L2302+M2302</f>
        <v>89.07</v>
      </c>
      <c r="O2302" s="41" t="n">
        <f aca="false">K2302-N2302</f>
        <v>64.95</v>
      </c>
      <c r="P2302" s="43" t="n">
        <f aca="false">IF(K2302=0,0,O2302/K2302)</f>
        <v>0.42169848071679</v>
      </c>
    </row>
    <row r="2303" customFormat="false" ht="15" hidden="false" customHeight="false" outlineLevel="0" collapsed="false">
      <c r="A2303" s="39" t="s">
        <v>2425</v>
      </c>
      <c r="B2303" s="40" t="n">
        <v>45966</v>
      </c>
      <c r="C2303" s="39" t="s">
        <v>114</v>
      </c>
      <c r="D2303" s="39" t="n">
        <v>1</v>
      </c>
      <c r="E2303" s="41" t="n">
        <v>5.99</v>
      </c>
      <c r="F2303" s="39" t="s">
        <v>118</v>
      </c>
      <c r="G2303" s="39" t="str">
        <f aca="false">VLOOKUP(C2303,Products!$A$5:$D$24,2,FALSE())</f>
        <v>Gel Pen Pack</v>
      </c>
      <c r="H2303" s="39" t="str">
        <f aca="false">VLOOKUP(C2303,Products!$A$5:$D$24,3,FALSE())</f>
        <v>Stationery</v>
      </c>
      <c r="I2303" s="41" t="n">
        <f aca="false">VLOOKUP(C2303,Products!$A$5:$D$24,4,FALSE())</f>
        <v>2</v>
      </c>
      <c r="J2303" s="42" t="n">
        <f aca="false">DATE(YEAR(B2303),MONTH(B2303),1)</f>
        <v>45962</v>
      </c>
      <c r="K2303" s="41" t="n">
        <f aca="false">D2303*E2303</f>
        <v>5.99</v>
      </c>
      <c r="L2303" s="41" t="n">
        <f aca="false">D2303*I2303</f>
        <v>2</v>
      </c>
      <c r="M2303" s="41" t="n">
        <f aca="false">IFERROR(INDEX(Raw_Expenses!$C$5:$C$2979,MATCH(A2303,Raw_Expenses!$A$5:$A$2979,0)),0)</f>
        <v>0.37</v>
      </c>
      <c r="N2303" s="41" t="n">
        <f aca="false">L2303+M2303</f>
        <v>2.37</v>
      </c>
      <c r="O2303" s="41" t="n">
        <f aca="false">K2303-N2303</f>
        <v>3.62</v>
      </c>
      <c r="P2303" s="43" t="n">
        <f aca="false">IF(K2303=0,0,O2303/K2303)</f>
        <v>0.604340567612688</v>
      </c>
    </row>
    <row r="2304" customFormat="false" ht="15" hidden="false" customHeight="false" outlineLevel="0" collapsed="false">
      <c r="A2304" s="39" t="s">
        <v>2426</v>
      </c>
      <c r="B2304" s="40" t="n">
        <v>45966</v>
      </c>
      <c r="C2304" s="39" t="s">
        <v>162</v>
      </c>
      <c r="D2304" s="39" t="n">
        <v>4</v>
      </c>
      <c r="E2304" s="41" t="n">
        <v>66.73</v>
      </c>
      <c r="F2304" s="39" t="s">
        <v>118</v>
      </c>
      <c r="G2304" s="39" t="str">
        <f aca="false">VLOOKUP(C2304,Products!$A$5:$D$24,2,FALSE())</f>
        <v>Bluetooth Speaker</v>
      </c>
      <c r="H2304" s="39" t="str">
        <f aca="false">VLOOKUP(C2304,Products!$A$5:$D$24,3,FALSE())</f>
        <v>Electronics</v>
      </c>
      <c r="I2304" s="41" t="n">
        <f aca="false">VLOOKUP(C2304,Products!$A$5:$D$24,4,FALSE())</f>
        <v>28</v>
      </c>
      <c r="J2304" s="42" t="n">
        <f aca="false">DATE(YEAR(B2304),MONTH(B2304),1)</f>
        <v>45962</v>
      </c>
      <c r="K2304" s="41" t="n">
        <f aca="false">D2304*E2304</f>
        <v>266.92</v>
      </c>
      <c r="L2304" s="41" t="n">
        <f aca="false">D2304*I2304</f>
        <v>112</v>
      </c>
      <c r="M2304" s="41" t="n">
        <f aca="false">IFERROR(INDEX(Raw_Expenses!$C$5:$C$2979,MATCH(A2304,Raw_Expenses!$A$5:$A$2979,0)),0)</f>
        <v>16.46</v>
      </c>
      <c r="N2304" s="41" t="n">
        <f aca="false">L2304+M2304</f>
        <v>128.46</v>
      </c>
      <c r="O2304" s="41" t="n">
        <f aca="false">K2304-N2304</f>
        <v>138.46</v>
      </c>
      <c r="P2304" s="43" t="n">
        <f aca="false">IF(K2304=0,0,O2304/K2304)</f>
        <v>0.518732204405815</v>
      </c>
    </row>
    <row r="2305" customFormat="false" ht="15" hidden="false" customHeight="false" outlineLevel="0" collapsed="false">
      <c r="A2305" s="39" t="s">
        <v>2427</v>
      </c>
      <c r="B2305" s="40" t="n">
        <v>45966</v>
      </c>
      <c r="C2305" s="39" t="s">
        <v>169</v>
      </c>
      <c r="D2305" s="39" t="n">
        <v>2</v>
      </c>
      <c r="E2305" s="41" t="n">
        <v>28.13</v>
      </c>
      <c r="F2305" s="39" t="s">
        <v>115</v>
      </c>
      <c r="G2305" s="39" t="str">
        <f aca="false">VLOOKUP(C2305,Products!$A$5:$D$24,2,FALSE())</f>
        <v>Laptop Stand</v>
      </c>
      <c r="H2305" s="39" t="str">
        <f aca="false">VLOOKUP(C2305,Products!$A$5:$D$24,3,FALSE())</f>
        <v>Accessories</v>
      </c>
      <c r="I2305" s="41" t="n">
        <f aca="false">VLOOKUP(C2305,Products!$A$5:$D$24,4,FALSE())</f>
        <v>11</v>
      </c>
      <c r="J2305" s="42" t="n">
        <f aca="false">DATE(YEAR(B2305),MONTH(B2305),1)</f>
        <v>45962</v>
      </c>
      <c r="K2305" s="41" t="n">
        <f aca="false">D2305*E2305</f>
        <v>56.26</v>
      </c>
      <c r="L2305" s="41" t="n">
        <f aca="false">D2305*I2305</f>
        <v>22</v>
      </c>
      <c r="M2305" s="41" t="n">
        <f aca="false">IFERROR(INDEX(Raw_Expenses!$C$5:$C$2979,MATCH(A2305,Raw_Expenses!$A$5:$A$2979,0)),0)</f>
        <v>2.32</v>
      </c>
      <c r="N2305" s="41" t="n">
        <f aca="false">L2305+M2305</f>
        <v>24.32</v>
      </c>
      <c r="O2305" s="41" t="n">
        <f aca="false">K2305-N2305</f>
        <v>31.94</v>
      </c>
      <c r="P2305" s="43" t="n">
        <f aca="false">IF(K2305=0,0,O2305/K2305)</f>
        <v>0.567721293992179</v>
      </c>
    </row>
    <row r="2306" customFormat="false" ht="15" hidden="false" customHeight="false" outlineLevel="0" collapsed="false">
      <c r="A2306" s="39" t="s">
        <v>2428</v>
      </c>
      <c r="B2306" s="40" t="n">
        <v>45966</v>
      </c>
      <c r="C2306" s="39" t="s">
        <v>136</v>
      </c>
      <c r="D2306" s="39" t="n">
        <v>2</v>
      </c>
      <c r="E2306" s="41" t="n">
        <v>77.56</v>
      </c>
      <c r="F2306" s="39" t="s">
        <v>118</v>
      </c>
      <c r="G2306" s="39" t="str">
        <f aca="false">VLOOKUP(C2306,Products!$A$5:$D$24,2,FALSE())</f>
        <v>Mechanical Keyboard</v>
      </c>
      <c r="H2306" s="39" t="str">
        <f aca="false">VLOOKUP(C2306,Products!$A$5:$D$24,3,FALSE())</f>
        <v>Electronics</v>
      </c>
      <c r="I2306" s="41" t="n">
        <f aca="false">VLOOKUP(C2306,Products!$A$5:$D$24,4,FALSE())</f>
        <v>38</v>
      </c>
      <c r="J2306" s="42" t="n">
        <f aca="false">DATE(YEAR(B2306),MONTH(B2306),1)</f>
        <v>45962</v>
      </c>
      <c r="K2306" s="41" t="n">
        <f aca="false">D2306*E2306</f>
        <v>155.12</v>
      </c>
      <c r="L2306" s="41" t="n">
        <f aca="false">D2306*I2306</f>
        <v>76</v>
      </c>
      <c r="M2306" s="41" t="n">
        <f aca="false">IFERROR(INDEX(Raw_Expenses!$C$5:$C$2979,MATCH(A2306,Raw_Expenses!$A$5:$A$2979,0)),0)</f>
        <v>10.59</v>
      </c>
      <c r="N2306" s="41" t="n">
        <f aca="false">L2306+M2306</f>
        <v>86.59</v>
      </c>
      <c r="O2306" s="41" t="n">
        <f aca="false">K2306-N2306</f>
        <v>68.53</v>
      </c>
      <c r="P2306" s="43" t="n">
        <f aca="false">IF(K2306=0,0,O2306/K2306)</f>
        <v>0.441787003610108</v>
      </c>
    </row>
    <row r="2307" customFormat="false" ht="15" hidden="false" customHeight="false" outlineLevel="0" collapsed="false">
      <c r="A2307" s="39" t="s">
        <v>2429</v>
      </c>
      <c r="B2307" s="40" t="n">
        <v>45966</v>
      </c>
      <c r="C2307" s="39" t="s">
        <v>104</v>
      </c>
      <c r="D2307" s="39" t="n">
        <v>6</v>
      </c>
      <c r="E2307" s="41" t="n">
        <v>15.31</v>
      </c>
      <c r="F2307" s="39" t="s">
        <v>115</v>
      </c>
      <c r="G2307" s="39" t="str">
        <f aca="false">VLOOKUP(C2307,Products!$A$5:$D$24,2,FALSE())</f>
        <v>Water Bottle</v>
      </c>
      <c r="H2307" s="39" t="str">
        <f aca="false">VLOOKUP(C2307,Products!$A$5:$D$24,3,FALSE())</f>
        <v>Accessories</v>
      </c>
      <c r="I2307" s="41" t="n">
        <f aca="false">VLOOKUP(C2307,Products!$A$5:$D$24,4,FALSE())</f>
        <v>5</v>
      </c>
      <c r="J2307" s="42" t="n">
        <f aca="false">DATE(YEAR(B2307),MONTH(B2307),1)</f>
        <v>45962</v>
      </c>
      <c r="K2307" s="41" t="n">
        <f aca="false">D2307*E2307</f>
        <v>91.86</v>
      </c>
      <c r="L2307" s="41" t="n">
        <f aca="false">D2307*I2307</f>
        <v>30</v>
      </c>
      <c r="M2307" s="41" t="n">
        <f aca="false">IFERROR(INDEX(Raw_Expenses!$C$5:$C$2979,MATCH(A2307,Raw_Expenses!$A$5:$A$2979,0)),0)</f>
        <v>5.98</v>
      </c>
      <c r="N2307" s="41" t="n">
        <f aca="false">L2307+M2307</f>
        <v>35.98</v>
      </c>
      <c r="O2307" s="41" t="n">
        <f aca="false">K2307-N2307</f>
        <v>55.88</v>
      </c>
      <c r="P2307" s="43" t="n">
        <f aca="false">IF(K2307=0,0,O2307/K2307)</f>
        <v>0.60831700413673</v>
      </c>
    </row>
    <row r="2308" customFormat="false" ht="15" hidden="false" customHeight="false" outlineLevel="0" collapsed="false">
      <c r="A2308" s="39" t="s">
        <v>2430</v>
      </c>
      <c r="B2308" s="40" t="n">
        <v>45966</v>
      </c>
      <c r="C2308" s="39" t="s">
        <v>177</v>
      </c>
      <c r="D2308" s="39" t="n">
        <v>2</v>
      </c>
      <c r="E2308" s="41" t="n">
        <v>41.57</v>
      </c>
      <c r="F2308" s="39" t="s">
        <v>118</v>
      </c>
      <c r="G2308" s="39" t="str">
        <f aca="false">VLOOKUP(C2308,Products!$A$5:$D$24,2,FALSE())</f>
        <v>Backpack</v>
      </c>
      <c r="H2308" s="39" t="str">
        <f aca="false">VLOOKUP(C2308,Products!$A$5:$D$24,3,FALSE())</f>
        <v>Accessories</v>
      </c>
      <c r="I2308" s="41" t="n">
        <f aca="false">VLOOKUP(C2308,Products!$A$5:$D$24,4,FALSE())</f>
        <v>17</v>
      </c>
      <c r="J2308" s="42" t="n">
        <f aca="false">DATE(YEAR(B2308),MONTH(B2308),1)</f>
        <v>45962</v>
      </c>
      <c r="K2308" s="41" t="n">
        <f aca="false">D2308*E2308</f>
        <v>83.14</v>
      </c>
      <c r="L2308" s="41" t="n">
        <f aca="false">D2308*I2308</f>
        <v>34</v>
      </c>
      <c r="M2308" s="41" t="n">
        <f aca="false">IFERROR(INDEX(Raw_Expenses!$C$5:$C$2979,MATCH(A2308,Raw_Expenses!$A$5:$A$2979,0)),0)</f>
        <v>4.82</v>
      </c>
      <c r="N2308" s="41" t="n">
        <f aca="false">L2308+M2308</f>
        <v>38.82</v>
      </c>
      <c r="O2308" s="41" t="n">
        <f aca="false">K2308-N2308</f>
        <v>44.32</v>
      </c>
      <c r="P2308" s="43" t="n">
        <f aca="false">IF(K2308=0,0,O2308/K2308)</f>
        <v>0.533076738032235</v>
      </c>
    </row>
    <row r="2309" customFormat="false" ht="15" hidden="false" customHeight="false" outlineLevel="0" collapsed="false">
      <c r="A2309" s="39" t="s">
        <v>2431</v>
      </c>
      <c r="B2309" s="40" t="n">
        <v>45966</v>
      </c>
      <c r="C2309" s="39" t="s">
        <v>126</v>
      </c>
      <c r="D2309" s="39" t="n">
        <v>1</v>
      </c>
      <c r="E2309" s="41" t="n">
        <v>23.42</v>
      </c>
      <c r="F2309" s="39" t="s">
        <v>108</v>
      </c>
      <c r="G2309" s="39" t="str">
        <f aca="false">VLOOKUP(C2309,Products!$A$5:$D$24,2,FALSE())</f>
        <v>Wireless Mouse</v>
      </c>
      <c r="H2309" s="39" t="str">
        <f aca="false">VLOOKUP(C2309,Products!$A$5:$D$24,3,FALSE())</f>
        <v>Electronics</v>
      </c>
      <c r="I2309" s="41" t="n">
        <f aca="false">VLOOKUP(C2309,Products!$A$5:$D$24,4,FALSE())</f>
        <v>12</v>
      </c>
      <c r="J2309" s="42" t="n">
        <f aca="false">DATE(YEAR(B2309),MONTH(B2309),1)</f>
        <v>45962</v>
      </c>
      <c r="K2309" s="41" t="n">
        <f aca="false">D2309*E2309</f>
        <v>23.42</v>
      </c>
      <c r="L2309" s="41" t="n">
        <f aca="false">D2309*I2309</f>
        <v>12</v>
      </c>
      <c r="M2309" s="41" t="n">
        <f aca="false">IFERROR(INDEX(Raw_Expenses!$C$5:$C$2979,MATCH(A2309,Raw_Expenses!$A$5:$A$2979,0)),0)</f>
        <v>1.64</v>
      </c>
      <c r="N2309" s="41" t="n">
        <f aca="false">L2309+M2309</f>
        <v>13.64</v>
      </c>
      <c r="O2309" s="41" t="n">
        <f aca="false">K2309-N2309</f>
        <v>9.78</v>
      </c>
      <c r="P2309" s="43" t="n">
        <f aca="false">IF(K2309=0,0,O2309/K2309)</f>
        <v>0.417591801878736</v>
      </c>
    </row>
    <row r="2310" customFormat="false" ht="15" hidden="false" customHeight="false" outlineLevel="0" collapsed="false">
      <c r="A2310" s="39" t="s">
        <v>2432</v>
      </c>
      <c r="B2310" s="40" t="n">
        <v>45966</v>
      </c>
      <c r="C2310" s="39" t="s">
        <v>128</v>
      </c>
      <c r="D2310" s="39" t="n">
        <v>2</v>
      </c>
      <c r="E2310" s="41" t="n">
        <v>37.33</v>
      </c>
      <c r="F2310" s="39" t="s">
        <v>118</v>
      </c>
      <c r="G2310" s="39" t="str">
        <f aca="false">VLOOKUP(C2310,Products!$A$5:$D$24,2,FALSE())</f>
        <v>Ergonomic Footrest</v>
      </c>
      <c r="H2310" s="39" t="str">
        <f aca="false">VLOOKUP(C2310,Products!$A$5:$D$24,3,FALSE())</f>
        <v>Furniture</v>
      </c>
      <c r="I2310" s="41" t="n">
        <f aca="false">VLOOKUP(C2310,Products!$A$5:$D$24,4,FALSE())</f>
        <v>15</v>
      </c>
      <c r="J2310" s="42" t="n">
        <f aca="false">DATE(YEAR(B2310),MONTH(B2310),1)</f>
        <v>45962</v>
      </c>
      <c r="K2310" s="41" t="n">
        <f aca="false">D2310*E2310</f>
        <v>74.66</v>
      </c>
      <c r="L2310" s="41" t="n">
        <f aca="false">D2310*I2310</f>
        <v>30</v>
      </c>
      <c r="M2310" s="41" t="n">
        <f aca="false">IFERROR(INDEX(Raw_Expenses!$C$5:$C$2979,MATCH(A2310,Raw_Expenses!$A$5:$A$2979,0)),0)</f>
        <v>4.9</v>
      </c>
      <c r="N2310" s="41" t="n">
        <f aca="false">L2310+M2310</f>
        <v>34.9</v>
      </c>
      <c r="O2310" s="41" t="n">
        <f aca="false">K2310-N2310</f>
        <v>39.76</v>
      </c>
      <c r="P2310" s="43" t="n">
        <f aca="false">IF(K2310=0,0,O2310/K2310)</f>
        <v>0.532547548888294</v>
      </c>
    </row>
    <row r="2311" customFormat="false" ht="15" hidden="false" customHeight="false" outlineLevel="0" collapsed="false">
      <c r="A2311" s="39" t="s">
        <v>2433</v>
      </c>
      <c r="B2311" s="40" t="n">
        <v>45966</v>
      </c>
      <c r="C2311" s="39" t="s">
        <v>104</v>
      </c>
      <c r="D2311" s="39" t="n">
        <v>6</v>
      </c>
      <c r="E2311" s="41" t="n">
        <v>15.62</v>
      </c>
      <c r="F2311" s="39" t="s">
        <v>115</v>
      </c>
      <c r="G2311" s="39" t="str">
        <f aca="false">VLOOKUP(C2311,Products!$A$5:$D$24,2,FALSE())</f>
        <v>Water Bottle</v>
      </c>
      <c r="H2311" s="39" t="str">
        <f aca="false">VLOOKUP(C2311,Products!$A$5:$D$24,3,FALSE())</f>
        <v>Accessories</v>
      </c>
      <c r="I2311" s="41" t="n">
        <f aca="false">VLOOKUP(C2311,Products!$A$5:$D$24,4,FALSE())</f>
        <v>5</v>
      </c>
      <c r="J2311" s="42" t="n">
        <f aca="false">DATE(YEAR(B2311),MONTH(B2311),1)</f>
        <v>45962</v>
      </c>
      <c r="K2311" s="41" t="n">
        <f aca="false">D2311*E2311</f>
        <v>93.72</v>
      </c>
      <c r="L2311" s="41" t="n">
        <f aca="false">D2311*I2311</f>
        <v>30</v>
      </c>
      <c r="M2311" s="41" t="n">
        <f aca="false">IFERROR(INDEX(Raw_Expenses!$C$5:$C$2979,MATCH(A2311,Raw_Expenses!$A$5:$A$2979,0)),0)</f>
        <v>8.05</v>
      </c>
      <c r="N2311" s="41" t="n">
        <f aca="false">L2311+M2311</f>
        <v>38.05</v>
      </c>
      <c r="O2311" s="41" t="n">
        <f aca="false">K2311-N2311</f>
        <v>55.67</v>
      </c>
      <c r="P2311" s="43" t="n">
        <f aca="false">IF(K2311=0,0,O2311/K2311)</f>
        <v>0.59400341442595</v>
      </c>
    </row>
    <row r="2312" customFormat="false" ht="15" hidden="false" customHeight="false" outlineLevel="0" collapsed="false">
      <c r="A2312" s="39" t="s">
        <v>2434</v>
      </c>
      <c r="B2312" s="40" t="n">
        <v>45966</v>
      </c>
      <c r="C2312" s="39" t="s">
        <v>112</v>
      </c>
      <c r="D2312" s="39" t="n">
        <v>2</v>
      </c>
      <c r="E2312" s="41" t="n">
        <v>50.86</v>
      </c>
      <c r="F2312" s="39" t="s">
        <v>115</v>
      </c>
      <c r="G2312" s="39" t="str">
        <f aca="false">VLOOKUP(C2312,Products!$A$5:$D$24,2,FALSE())</f>
        <v>HD Webcam</v>
      </c>
      <c r="H2312" s="39" t="str">
        <f aca="false">VLOOKUP(C2312,Products!$A$5:$D$24,3,FALSE())</f>
        <v>Electronics</v>
      </c>
      <c r="I2312" s="41" t="n">
        <f aca="false">VLOOKUP(C2312,Products!$A$5:$D$24,4,FALSE())</f>
        <v>22</v>
      </c>
      <c r="J2312" s="42" t="n">
        <f aca="false">DATE(YEAR(B2312),MONTH(B2312),1)</f>
        <v>45962</v>
      </c>
      <c r="K2312" s="41" t="n">
        <f aca="false">D2312*E2312</f>
        <v>101.72</v>
      </c>
      <c r="L2312" s="41" t="n">
        <f aca="false">D2312*I2312</f>
        <v>44</v>
      </c>
      <c r="M2312" s="41" t="n">
        <f aca="false">IFERROR(INDEX(Raw_Expenses!$C$5:$C$2979,MATCH(A2312,Raw_Expenses!$A$5:$A$2979,0)),0)</f>
        <v>5.35</v>
      </c>
      <c r="N2312" s="41" t="n">
        <f aca="false">L2312+M2312</f>
        <v>49.35</v>
      </c>
      <c r="O2312" s="41" t="n">
        <f aca="false">K2312-N2312</f>
        <v>52.37</v>
      </c>
      <c r="P2312" s="43" t="n">
        <f aca="false">IF(K2312=0,0,O2312/K2312)</f>
        <v>0.51484467164766</v>
      </c>
    </row>
    <row r="2313" customFormat="false" ht="15" hidden="false" customHeight="false" outlineLevel="0" collapsed="false">
      <c r="A2313" s="39" t="s">
        <v>2435</v>
      </c>
      <c r="B2313" s="40" t="n">
        <v>45966</v>
      </c>
      <c r="C2313" s="39" t="s">
        <v>114</v>
      </c>
      <c r="D2313" s="39" t="n">
        <v>5</v>
      </c>
      <c r="E2313" s="41" t="n">
        <v>5.64</v>
      </c>
      <c r="F2313" s="39" t="s">
        <v>108</v>
      </c>
      <c r="G2313" s="39" t="str">
        <f aca="false">VLOOKUP(C2313,Products!$A$5:$D$24,2,FALSE())</f>
        <v>Gel Pen Pack</v>
      </c>
      <c r="H2313" s="39" t="str">
        <f aca="false">VLOOKUP(C2313,Products!$A$5:$D$24,3,FALSE())</f>
        <v>Stationery</v>
      </c>
      <c r="I2313" s="41" t="n">
        <f aca="false">VLOOKUP(C2313,Products!$A$5:$D$24,4,FALSE())</f>
        <v>2</v>
      </c>
      <c r="J2313" s="42" t="n">
        <f aca="false">DATE(YEAR(B2313),MONTH(B2313),1)</f>
        <v>45962</v>
      </c>
      <c r="K2313" s="41" t="n">
        <f aca="false">D2313*E2313</f>
        <v>28.2</v>
      </c>
      <c r="L2313" s="41" t="n">
        <f aca="false">D2313*I2313</f>
        <v>10</v>
      </c>
      <c r="M2313" s="41" t="n">
        <f aca="false">IFERROR(INDEX(Raw_Expenses!$C$5:$C$2979,MATCH(A2313,Raw_Expenses!$A$5:$A$2979,0)),0)</f>
        <v>1.73</v>
      </c>
      <c r="N2313" s="41" t="n">
        <f aca="false">L2313+M2313</f>
        <v>11.73</v>
      </c>
      <c r="O2313" s="41" t="n">
        <f aca="false">K2313-N2313</f>
        <v>16.47</v>
      </c>
      <c r="P2313" s="43" t="n">
        <f aca="false">IF(K2313=0,0,O2313/K2313)</f>
        <v>0.584042553191489</v>
      </c>
    </row>
    <row r="2314" customFormat="false" ht="15" hidden="false" customHeight="false" outlineLevel="0" collapsed="false">
      <c r="A2314" s="39" t="s">
        <v>2436</v>
      </c>
      <c r="B2314" s="40" t="n">
        <v>45966</v>
      </c>
      <c r="C2314" s="39" t="s">
        <v>153</v>
      </c>
      <c r="D2314" s="39" t="n">
        <v>1</v>
      </c>
      <c r="E2314" s="41" t="n">
        <v>174.1</v>
      </c>
      <c r="F2314" s="39" t="s">
        <v>108</v>
      </c>
      <c r="G2314" s="39" t="str">
        <f aca="false">VLOOKUP(C2314,Products!$A$5:$D$24,2,FALSE())</f>
        <v>24-inch Monitor</v>
      </c>
      <c r="H2314" s="39" t="str">
        <f aca="false">VLOOKUP(C2314,Products!$A$5:$D$24,3,FALSE())</f>
        <v>Electronics</v>
      </c>
      <c r="I2314" s="41" t="n">
        <f aca="false">VLOOKUP(C2314,Products!$A$5:$D$24,4,FALSE())</f>
        <v>90</v>
      </c>
      <c r="J2314" s="42" t="n">
        <f aca="false">DATE(YEAR(B2314),MONTH(B2314),1)</f>
        <v>45962</v>
      </c>
      <c r="K2314" s="41" t="n">
        <f aca="false">D2314*E2314</f>
        <v>174.1</v>
      </c>
      <c r="L2314" s="41" t="n">
        <f aca="false">D2314*I2314</f>
        <v>90</v>
      </c>
      <c r="M2314" s="41" t="n">
        <f aca="false">IFERROR(INDEX(Raw_Expenses!$C$5:$C$2979,MATCH(A2314,Raw_Expenses!$A$5:$A$2979,0)),0)</f>
        <v>10.21</v>
      </c>
      <c r="N2314" s="41" t="n">
        <f aca="false">L2314+M2314</f>
        <v>100.21</v>
      </c>
      <c r="O2314" s="41" t="n">
        <f aca="false">K2314-N2314</f>
        <v>73.89</v>
      </c>
      <c r="P2314" s="43" t="n">
        <f aca="false">IF(K2314=0,0,O2314/K2314)</f>
        <v>0.42441125789776</v>
      </c>
    </row>
    <row r="2315" customFormat="false" ht="15" hidden="false" customHeight="false" outlineLevel="0" collapsed="false">
      <c r="A2315" s="39" t="s">
        <v>2437</v>
      </c>
      <c r="B2315" s="40" t="n">
        <v>45966</v>
      </c>
      <c r="C2315" s="39" t="s">
        <v>107</v>
      </c>
      <c r="D2315" s="39" t="n">
        <v>2</v>
      </c>
      <c r="E2315" s="41" t="n">
        <v>34.16</v>
      </c>
      <c r="F2315" s="39" t="s">
        <v>118</v>
      </c>
      <c r="G2315" s="39" t="str">
        <f aca="false">VLOOKUP(C2315,Products!$A$5:$D$24,2,FALSE())</f>
        <v>USB-C Hub</v>
      </c>
      <c r="H2315" s="39" t="str">
        <f aca="false">VLOOKUP(C2315,Products!$A$5:$D$24,3,FALSE())</f>
        <v>Electronics</v>
      </c>
      <c r="I2315" s="41" t="n">
        <f aca="false">VLOOKUP(C2315,Products!$A$5:$D$24,4,FALSE())</f>
        <v>14</v>
      </c>
      <c r="J2315" s="42" t="n">
        <f aca="false">DATE(YEAR(B2315),MONTH(B2315),1)</f>
        <v>45962</v>
      </c>
      <c r="K2315" s="41" t="n">
        <f aca="false">D2315*E2315</f>
        <v>68.32</v>
      </c>
      <c r="L2315" s="41" t="n">
        <f aca="false">D2315*I2315</f>
        <v>28</v>
      </c>
      <c r="M2315" s="41" t="n">
        <f aca="false">IFERROR(INDEX(Raw_Expenses!$C$5:$C$2979,MATCH(A2315,Raw_Expenses!$A$5:$A$2979,0)),0)</f>
        <v>3</v>
      </c>
      <c r="N2315" s="41" t="n">
        <f aca="false">L2315+M2315</f>
        <v>31</v>
      </c>
      <c r="O2315" s="41" t="n">
        <f aca="false">K2315-N2315</f>
        <v>37.32</v>
      </c>
      <c r="P2315" s="43" t="n">
        <f aca="false">IF(K2315=0,0,O2315/K2315)</f>
        <v>0.546252927400468</v>
      </c>
    </row>
    <row r="2316" customFormat="false" ht="15" hidden="false" customHeight="false" outlineLevel="0" collapsed="false">
      <c r="A2316" s="39" t="s">
        <v>2438</v>
      </c>
      <c r="B2316" s="40" t="n">
        <v>45966</v>
      </c>
      <c r="C2316" s="39" t="s">
        <v>133</v>
      </c>
      <c r="D2316" s="39" t="n">
        <v>6</v>
      </c>
      <c r="E2316" s="41" t="n">
        <v>8.49</v>
      </c>
      <c r="F2316" s="39" t="s">
        <v>118</v>
      </c>
      <c r="G2316" s="39" t="str">
        <f aca="false">VLOOKUP(C2316,Products!$A$5:$D$24,2,FALSE())</f>
        <v>Printer Paper Ream</v>
      </c>
      <c r="H2316" s="39" t="str">
        <f aca="false">VLOOKUP(C2316,Products!$A$5:$D$24,3,FALSE())</f>
        <v>Stationery</v>
      </c>
      <c r="I2316" s="41" t="n">
        <f aca="false">VLOOKUP(C2316,Products!$A$5:$D$24,4,FALSE())</f>
        <v>4</v>
      </c>
      <c r="J2316" s="42" t="n">
        <f aca="false">DATE(YEAR(B2316),MONTH(B2316),1)</f>
        <v>45962</v>
      </c>
      <c r="K2316" s="41" t="n">
        <f aca="false">D2316*E2316</f>
        <v>50.94</v>
      </c>
      <c r="L2316" s="41" t="n">
        <f aca="false">D2316*I2316</f>
        <v>24</v>
      </c>
      <c r="M2316" s="41" t="n">
        <f aca="false">IFERROR(INDEX(Raw_Expenses!$C$5:$C$2979,MATCH(A2316,Raw_Expenses!$A$5:$A$2979,0)),0)</f>
        <v>3.02</v>
      </c>
      <c r="N2316" s="41" t="n">
        <f aca="false">L2316+M2316</f>
        <v>27.02</v>
      </c>
      <c r="O2316" s="41" t="n">
        <f aca="false">K2316-N2316</f>
        <v>23.92</v>
      </c>
      <c r="P2316" s="43" t="n">
        <f aca="false">IF(K2316=0,0,O2316/K2316)</f>
        <v>0.469572045543777</v>
      </c>
    </row>
    <row r="2317" customFormat="false" ht="15" hidden="false" customHeight="false" outlineLevel="0" collapsed="false">
      <c r="A2317" s="39" t="s">
        <v>2439</v>
      </c>
      <c r="B2317" s="40" t="n">
        <v>45966</v>
      </c>
      <c r="C2317" s="39" t="s">
        <v>130</v>
      </c>
      <c r="D2317" s="39" t="n">
        <v>6</v>
      </c>
      <c r="E2317" s="41" t="n">
        <v>8.66</v>
      </c>
      <c r="F2317" s="39" t="s">
        <v>105</v>
      </c>
      <c r="G2317" s="39" t="str">
        <f aca="false">VLOOKUP(C2317,Products!$A$5:$D$24,2,FALSE())</f>
        <v>Notebook Set</v>
      </c>
      <c r="H2317" s="39" t="str">
        <f aca="false">VLOOKUP(C2317,Products!$A$5:$D$24,3,FALSE())</f>
        <v>Stationery</v>
      </c>
      <c r="I2317" s="41" t="n">
        <f aca="false">VLOOKUP(C2317,Products!$A$5:$D$24,4,FALSE())</f>
        <v>3</v>
      </c>
      <c r="J2317" s="42" t="n">
        <f aca="false">DATE(YEAR(B2317),MONTH(B2317),1)</f>
        <v>45962</v>
      </c>
      <c r="K2317" s="41" t="n">
        <f aca="false">D2317*E2317</f>
        <v>51.96</v>
      </c>
      <c r="L2317" s="41" t="n">
        <f aca="false">D2317*I2317</f>
        <v>18</v>
      </c>
      <c r="M2317" s="41" t="n">
        <f aca="false">IFERROR(INDEX(Raw_Expenses!$C$5:$C$2979,MATCH(A2317,Raw_Expenses!$A$5:$A$2979,0)),0)</f>
        <v>2.18</v>
      </c>
      <c r="N2317" s="41" t="n">
        <f aca="false">L2317+M2317</f>
        <v>20.18</v>
      </c>
      <c r="O2317" s="41" t="n">
        <f aca="false">K2317-N2317</f>
        <v>31.78</v>
      </c>
      <c r="P2317" s="43" t="n">
        <f aca="false">IF(K2317=0,0,O2317/K2317)</f>
        <v>0.611624326404927</v>
      </c>
    </row>
    <row r="2318" customFormat="false" ht="15" hidden="false" customHeight="false" outlineLevel="0" collapsed="false">
      <c r="A2318" s="39" t="s">
        <v>2440</v>
      </c>
      <c r="B2318" s="40" t="n">
        <v>45966</v>
      </c>
      <c r="C2318" s="39" t="s">
        <v>169</v>
      </c>
      <c r="D2318" s="39" t="n">
        <v>2</v>
      </c>
      <c r="E2318" s="41" t="n">
        <v>27.08</v>
      </c>
      <c r="F2318" s="39" t="s">
        <v>105</v>
      </c>
      <c r="G2318" s="39" t="str">
        <f aca="false">VLOOKUP(C2318,Products!$A$5:$D$24,2,FALSE())</f>
        <v>Laptop Stand</v>
      </c>
      <c r="H2318" s="39" t="str">
        <f aca="false">VLOOKUP(C2318,Products!$A$5:$D$24,3,FALSE())</f>
        <v>Accessories</v>
      </c>
      <c r="I2318" s="41" t="n">
        <f aca="false">VLOOKUP(C2318,Products!$A$5:$D$24,4,FALSE())</f>
        <v>11</v>
      </c>
      <c r="J2318" s="42" t="n">
        <f aca="false">DATE(YEAR(B2318),MONTH(B2318),1)</f>
        <v>45962</v>
      </c>
      <c r="K2318" s="41" t="n">
        <f aca="false">D2318*E2318</f>
        <v>54.16</v>
      </c>
      <c r="L2318" s="41" t="n">
        <f aca="false">D2318*I2318</f>
        <v>22</v>
      </c>
      <c r="M2318" s="41" t="n">
        <f aca="false">IFERROR(INDEX(Raw_Expenses!$C$5:$C$2979,MATCH(A2318,Raw_Expenses!$A$5:$A$2979,0)),0)</f>
        <v>2.92</v>
      </c>
      <c r="N2318" s="41" t="n">
        <f aca="false">L2318+M2318</f>
        <v>24.92</v>
      </c>
      <c r="O2318" s="41" t="n">
        <f aca="false">K2318-N2318</f>
        <v>29.24</v>
      </c>
      <c r="P2318" s="43" t="n">
        <f aca="false">IF(K2318=0,0,O2318/K2318)</f>
        <v>0.539881831610044</v>
      </c>
    </row>
    <row r="2319" customFormat="false" ht="15" hidden="false" customHeight="false" outlineLevel="0" collapsed="false">
      <c r="A2319" s="39" t="s">
        <v>2441</v>
      </c>
      <c r="B2319" s="40" t="n">
        <v>45966</v>
      </c>
      <c r="C2319" s="39" t="s">
        <v>130</v>
      </c>
      <c r="D2319" s="39" t="n">
        <v>4</v>
      </c>
      <c r="E2319" s="41" t="n">
        <v>8.83</v>
      </c>
      <c r="F2319" s="39" t="s">
        <v>105</v>
      </c>
      <c r="G2319" s="39" t="str">
        <f aca="false">VLOOKUP(C2319,Products!$A$5:$D$24,2,FALSE())</f>
        <v>Notebook Set</v>
      </c>
      <c r="H2319" s="39" t="str">
        <f aca="false">VLOOKUP(C2319,Products!$A$5:$D$24,3,FALSE())</f>
        <v>Stationery</v>
      </c>
      <c r="I2319" s="41" t="n">
        <f aca="false">VLOOKUP(C2319,Products!$A$5:$D$24,4,FALSE())</f>
        <v>3</v>
      </c>
      <c r="J2319" s="42" t="n">
        <f aca="false">DATE(YEAR(B2319),MONTH(B2319),1)</f>
        <v>45962</v>
      </c>
      <c r="K2319" s="41" t="n">
        <f aca="false">D2319*E2319</f>
        <v>35.32</v>
      </c>
      <c r="L2319" s="41" t="n">
        <f aca="false">D2319*I2319</f>
        <v>12</v>
      </c>
      <c r="M2319" s="41" t="n">
        <f aca="false">IFERROR(INDEX(Raw_Expenses!$C$5:$C$2979,MATCH(A2319,Raw_Expenses!$A$5:$A$2979,0)),0)</f>
        <v>3.16</v>
      </c>
      <c r="N2319" s="41" t="n">
        <f aca="false">L2319+M2319</f>
        <v>15.16</v>
      </c>
      <c r="O2319" s="41" t="n">
        <f aca="false">K2319-N2319</f>
        <v>20.16</v>
      </c>
      <c r="P2319" s="43" t="n">
        <f aca="false">IF(K2319=0,0,O2319/K2319)</f>
        <v>0.570781426953567</v>
      </c>
    </row>
    <row r="2320" customFormat="false" ht="15" hidden="false" customHeight="false" outlineLevel="0" collapsed="false">
      <c r="A2320" s="39" t="s">
        <v>2442</v>
      </c>
      <c r="B2320" s="40" t="n">
        <v>45967</v>
      </c>
      <c r="C2320" s="39" t="s">
        <v>130</v>
      </c>
      <c r="D2320" s="39" t="n">
        <v>1</v>
      </c>
      <c r="E2320" s="41" t="n">
        <v>8.91</v>
      </c>
      <c r="F2320" s="39" t="s">
        <v>115</v>
      </c>
      <c r="G2320" s="39" t="str">
        <f aca="false">VLOOKUP(C2320,Products!$A$5:$D$24,2,FALSE())</f>
        <v>Notebook Set</v>
      </c>
      <c r="H2320" s="39" t="str">
        <f aca="false">VLOOKUP(C2320,Products!$A$5:$D$24,3,FALSE())</f>
        <v>Stationery</v>
      </c>
      <c r="I2320" s="41" t="n">
        <f aca="false">VLOOKUP(C2320,Products!$A$5:$D$24,4,FALSE())</f>
        <v>3</v>
      </c>
      <c r="J2320" s="42" t="n">
        <f aca="false">DATE(YEAR(B2320),MONTH(B2320),1)</f>
        <v>45962</v>
      </c>
      <c r="K2320" s="41" t="n">
        <f aca="false">D2320*E2320</f>
        <v>8.91</v>
      </c>
      <c r="L2320" s="41" t="n">
        <f aca="false">D2320*I2320</f>
        <v>3</v>
      </c>
      <c r="M2320" s="41" t="n">
        <f aca="false">IFERROR(INDEX(Raw_Expenses!$C$5:$C$2979,MATCH(A2320,Raw_Expenses!$A$5:$A$2979,0)),0)</f>
        <v>0.58</v>
      </c>
      <c r="N2320" s="41" t="n">
        <f aca="false">L2320+M2320</f>
        <v>3.58</v>
      </c>
      <c r="O2320" s="41" t="n">
        <f aca="false">K2320-N2320</f>
        <v>5.33</v>
      </c>
      <c r="P2320" s="43" t="n">
        <f aca="false">IF(K2320=0,0,O2320/K2320)</f>
        <v>0.598204264870932</v>
      </c>
    </row>
    <row r="2321" customFormat="false" ht="15" hidden="false" customHeight="false" outlineLevel="0" collapsed="false">
      <c r="A2321" s="39" t="s">
        <v>2443</v>
      </c>
      <c r="B2321" s="40" t="n">
        <v>45967</v>
      </c>
      <c r="C2321" s="39" t="s">
        <v>130</v>
      </c>
      <c r="D2321" s="39" t="n">
        <v>4</v>
      </c>
      <c r="E2321" s="41" t="n">
        <v>8.51</v>
      </c>
      <c r="F2321" s="39" t="s">
        <v>105</v>
      </c>
      <c r="G2321" s="39" t="str">
        <f aca="false">VLOOKUP(C2321,Products!$A$5:$D$24,2,FALSE())</f>
        <v>Notebook Set</v>
      </c>
      <c r="H2321" s="39" t="str">
        <f aca="false">VLOOKUP(C2321,Products!$A$5:$D$24,3,FALSE())</f>
        <v>Stationery</v>
      </c>
      <c r="I2321" s="41" t="n">
        <f aca="false">VLOOKUP(C2321,Products!$A$5:$D$24,4,FALSE())</f>
        <v>3</v>
      </c>
      <c r="J2321" s="42" t="n">
        <f aca="false">DATE(YEAR(B2321),MONTH(B2321),1)</f>
        <v>45962</v>
      </c>
      <c r="K2321" s="41" t="n">
        <f aca="false">D2321*E2321</f>
        <v>34.04</v>
      </c>
      <c r="L2321" s="41" t="n">
        <f aca="false">D2321*I2321</f>
        <v>12</v>
      </c>
      <c r="M2321" s="41" t="n">
        <f aca="false">IFERROR(INDEX(Raw_Expenses!$C$5:$C$2979,MATCH(A2321,Raw_Expenses!$A$5:$A$2979,0)),0)</f>
        <v>2.44</v>
      </c>
      <c r="N2321" s="41" t="n">
        <f aca="false">L2321+M2321</f>
        <v>14.44</v>
      </c>
      <c r="O2321" s="41" t="n">
        <f aca="false">K2321-N2321</f>
        <v>19.6</v>
      </c>
      <c r="P2321" s="43" t="n">
        <f aca="false">IF(K2321=0,0,O2321/K2321)</f>
        <v>0.575793184488837</v>
      </c>
    </row>
    <row r="2322" customFormat="false" ht="15" hidden="false" customHeight="false" outlineLevel="0" collapsed="false">
      <c r="A2322" s="39" t="s">
        <v>2444</v>
      </c>
      <c r="B2322" s="40" t="n">
        <v>45967</v>
      </c>
      <c r="C2322" s="39" t="s">
        <v>126</v>
      </c>
      <c r="D2322" s="39" t="n">
        <v>3</v>
      </c>
      <c r="E2322" s="41" t="n">
        <v>24.94</v>
      </c>
      <c r="F2322" s="39" t="s">
        <v>105</v>
      </c>
      <c r="G2322" s="39" t="str">
        <f aca="false">VLOOKUP(C2322,Products!$A$5:$D$24,2,FALSE())</f>
        <v>Wireless Mouse</v>
      </c>
      <c r="H2322" s="39" t="str">
        <f aca="false">VLOOKUP(C2322,Products!$A$5:$D$24,3,FALSE())</f>
        <v>Electronics</v>
      </c>
      <c r="I2322" s="41" t="n">
        <f aca="false">VLOOKUP(C2322,Products!$A$5:$D$24,4,FALSE())</f>
        <v>12</v>
      </c>
      <c r="J2322" s="42" t="n">
        <f aca="false">DATE(YEAR(B2322),MONTH(B2322),1)</f>
        <v>45962</v>
      </c>
      <c r="K2322" s="41" t="n">
        <f aca="false">D2322*E2322</f>
        <v>74.82</v>
      </c>
      <c r="L2322" s="41" t="n">
        <f aca="false">D2322*I2322</f>
        <v>36</v>
      </c>
      <c r="M2322" s="41" t="n">
        <f aca="false">IFERROR(INDEX(Raw_Expenses!$C$5:$C$2979,MATCH(A2322,Raw_Expenses!$A$5:$A$2979,0)),0)</f>
        <v>6.44</v>
      </c>
      <c r="N2322" s="41" t="n">
        <f aca="false">L2322+M2322</f>
        <v>42.44</v>
      </c>
      <c r="O2322" s="41" t="n">
        <f aca="false">K2322-N2322</f>
        <v>32.38</v>
      </c>
      <c r="P2322" s="43" t="n">
        <f aca="false">IF(K2322=0,0,O2322/K2322)</f>
        <v>0.432771986099973</v>
      </c>
    </row>
    <row r="2323" customFormat="false" ht="15" hidden="false" customHeight="false" outlineLevel="0" collapsed="false">
      <c r="A2323" s="39" t="s">
        <v>2445</v>
      </c>
      <c r="B2323" s="40" t="n">
        <v>45967</v>
      </c>
      <c r="C2323" s="39" t="s">
        <v>114</v>
      </c>
      <c r="D2323" s="39" t="n">
        <v>2</v>
      </c>
      <c r="E2323" s="41" t="n">
        <v>5.69</v>
      </c>
      <c r="F2323" s="39" t="s">
        <v>105</v>
      </c>
      <c r="G2323" s="39" t="str">
        <f aca="false">VLOOKUP(C2323,Products!$A$5:$D$24,2,FALSE())</f>
        <v>Gel Pen Pack</v>
      </c>
      <c r="H2323" s="39" t="str">
        <f aca="false">VLOOKUP(C2323,Products!$A$5:$D$24,3,FALSE())</f>
        <v>Stationery</v>
      </c>
      <c r="I2323" s="41" t="n">
        <f aca="false">VLOOKUP(C2323,Products!$A$5:$D$24,4,FALSE())</f>
        <v>2</v>
      </c>
      <c r="J2323" s="42" t="n">
        <f aca="false">DATE(YEAR(B2323),MONTH(B2323),1)</f>
        <v>45962</v>
      </c>
      <c r="K2323" s="41" t="n">
        <f aca="false">D2323*E2323</f>
        <v>11.38</v>
      </c>
      <c r="L2323" s="41" t="n">
        <f aca="false">D2323*I2323</f>
        <v>4</v>
      </c>
      <c r="M2323" s="41" t="n">
        <f aca="false">IFERROR(INDEX(Raw_Expenses!$C$5:$C$2979,MATCH(A2323,Raw_Expenses!$A$5:$A$2979,0)),0)</f>
        <v>0.93</v>
      </c>
      <c r="N2323" s="41" t="n">
        <f aca="false">L2323+M2323</f>
        <v>4.93</v>
      </c>
      <c r="O2323" s="41" t="n">
        <f aca="false">K2323-N2323</f>
        <v>6.45</v>
      </c>
      <c r="P2323" s="43" t="n">
        <f aca="false">IF(K2323=0,0,O2323/K2323)</f>
        <v>0.566783831282953</v>
      </c>
    </row>
    <row r="2324" customFormat="false" ht="15" hidden="false" customHeight="false" outlineLevel="0" collapsed="false">
      <c r="A2324" s="39" t="s">
        <v>2446</v>
      </c>
      <c r="B2324" s="40" t="n">
        <v>45967</v>
      </c>
      <c r="C2324" s="39" t="s">
        <v>104</v>
      </c>
      <c r="D2324" s="39" t="n">
        <v>3</v>
      </c>
      <c r="E2324" s="41" t="n">
        <v>15.38</v>
      </c>
      <c r="F2324" s="39" t="s">
        <v>108</v>
      </c>
      <c r="G2324" s="39" t="str">
        <f aca="false">VLOOKUP(C2324,Products!$A$5:$D$24,2,FALSE())</f>
        <v>Water Bottle</v>
      </c>
      <c r="H2324" s="39" t="str">
        <f aca="false">VLOOKUP(C2324,Products!$A$5:$D$24,3,FALSE())</f>
        <v>Accessories</v>
      </c>
      <c r="I2324" s="41" t="n">
        <f aca="false">VLOOKUP(C2324,Products!$A$5:$D$24,4,FALSE())</f>
        <v>5</v>
      </c>
      <c r="J2324" s="42" t="n">
        <f aca="false">DATE(YEAR(B2324),MONTH(B2324),1)</f>
        <v>45962</v>
      </c>
      <c r="K2324" s="41" t="n">
        <f aca="false">D2324*E2324</f>
        <v>46.14</v>
      </c>
      <c r="L2324" s="41" t="n">
        <f aca="false">D2324*I2324</f>
        <v>15</v>
      </c>
      <c r="M2324" s="41" t="n">
        <f aca="false">IFERROR(INDEX(Raw_Expenses!$C$5:$C$2979,MATCH(A2324,Raw_Expenses!$A$5:$A$2979,0)),0)</f>
        <v>3.44</v>
      </c>
      <c r="N2324" s="41" t="n">
        <f aca="false">L2324+M2324</f>
        <v>18.44</v>
      </c>
      <c r="O2324" s="41" t="n">
        <f aca="false">K2324-N2324</f>
        <v>27.7</v>
      </c>
      <c r="P2324" s="43" t="n">
        <f aca="false">IF(K2324=0,0,O2324/K2324)</f>
        <v>0.600346770697876</v>
      </c>
    </row>
    <row r="2325" customFormat="false" ht="15" hidden="false" customHeight="false" outlineLevel="0" collapsed="false">
      <c r="A2325" s="39" t="s">
        <v>2447</v>
      </c>
      <c r="B2325" s="40" t="n">
        <v>45967</v>
      </c>
      <c r="C2325" s="39" t="s">
        <v>133</v>
      </c>
      <c r="D2325" s="39" t="n">
        <v>2</v>
      </c>
      <c r="E2325" s="41" t="n">
        <v>8.51</v>
      </c>
      <c r="F2325" s="39" t="s">
        <v>118</v>
      </c>
      <c r="G2325" s="39" t="str">
        <f aca="false">VLOOKUP(C2325,Products!$A$5:$D$24,2,FALSE())</f>
        <v>Printer Paper Ream</v>
      </c>
      <c r="H2325" s="39" t="str">
        <f aca="false">VLOOKUP(C2325,Products!$A$5:$D$24,3,FALSE())</f>
        <v>Stationery</v>
      </c>
      <c r="I2325" s="41" t="n">
        <f aca="false">VLOOKUP(C2325,Products!$A$5:$D$24,4,FALSE())</f>
        <v>4</v>
      </c>
      <c r="J2325" s="42" t="n">
        <f aca="false">DATE(YEAR(B2325),MONTH(B2325),1)</f>
        <v>45962</v>
      </c>
      <c r="K2325" s="41" t="n">
        <f aca="false">D2325*E2325</f>
        <v>17.02</v>
      </c>
      <c r="L2325" s="41" t="n">
        <f aca="false">D2325*I2325</f>
        <v>8</v>
      </c>
      <c r="M2325" s="41" t="n">
        <f aca="false">IFERROR(INDEX(Raw_Expenses!$C$5:$C$2979,MATCH(A2325,Raw_Expenses!$A$5:$A$2979,0)),0)</f>
        <v>1.29</v>
      </c>
      <c r="N2325" s="41" t="n">
        <f aca="false">L2325+M2325</f>
        <v>9.29</v>
      </c>
      <c r="O2325" s="41" t="n">
        <f aca="false">K2325-N2325</f>
        <v>7.73</v>
      </c>
      <c r="P2325" s="43" t="n">
        <f aca="false">IF(K2325=0,0,O2325/K2325)</f>
        <v>0.454171562867215</v>
      </c>
    </row>
    <row r="2326" customFormat="false" ht="15" hidden="false" customHeight="false" outlineLevel="0" collapsed="false">
      <c r="A2326" s="39" t="s">
        <v>2448</v>
      </c>
      <c r="B2326" s="40" t="n">
        <v>45967</v>
      </c>
      <c r="C2326" s="39" t="s">
        <v>183</v>
      </c>
      <c r="D2326" s="39" t="n">
        <v>1</v>
      </c>
      <c r="E2326" s="41" t="n">
        <v>185.57</v>
      </c>
      <c r="F2326" s="39" t="s">
        <v>108</v>
      </c>
      <c r="G2326" s="39" t="str">
        <f aca="false">VLOOKUP(C2326,Products!$A$5:$D$24,2,FALSE())</f>
        <v>Office Chair</v>
      </c>
      <c r="H2326" s="39" t="str">
        <f aca="false">VLOOKUP(C2326,Products!$A$5:$D$24,3,FALSE())</f>
        <v>Furniture</v>
      </c>
      <c r="I2326" s="41" t="n">
        <f aca="false">VLOOKUP(C2326,Products!$A$5:$D$24,4,FALSE())</f>
        <v>85</v>
      </c>
      <c r="J2326" s="42" t="n">
        <f aca="false">DATE(YEAR(B2326),MONTH(B2326),1)</f>
        <v>45962</v>
      </c>
      <c r="K2326" s="41" t="n">
        <f aca="false">D2326*E2326</f>
        <v>185.57</v>
      </c>
      <c r="L2326" s="41" t="n">
        <f aca="false">D2326*I2326</f>
        <v>85</v>
      </c>
      <c r="M2326" s="41" t="n">
        <f aca="false">IFERROR(INDEX(Raw_Expenses!$C$5:$C$2979,MATCH(A2326,Raw_Expenses!$A$5:$A$2979,0)),0)</f>
        <v>15.04</v>
      </c>
      <c r="N2326" s="41" t="n">
        <f aca="false">L2326+M2326</f>
        <v>100.04</v>
      </c>
      <c r="O2326" s="41" t="n">
        <f aca="false">K2326-N2326</f>
        <v>85.53</v>
      </c>
      <c r="P2326" s="43" t="n">
        <f aca="false">IF(K2326=0,0,O2326/K2326)</f>
        <v>0.460904240987229</v>
      </c>
    </row>
    <row r="2327" customFormat="false" ht="15" hidden="false" customHeight="false" outlineLevel="0" collapsed="false">
      <c r="A2327" s="39" t="s">
        <v>2449</v>
      </c>
      <c r="B2327" s="40" t="n">
        <v>45967</v>
      </c>
      <c r="C2327" s="39" t="s">
        <v>153</v>
      </c>
      <c r="D2327" s="39" t="n">
        <v>3</v>
      </c>
      <c r="E2327" s="41" t="n">
        <v>165.52</v>
      </c>
      <c r="F2327" s="39" t="s">
        <v>115</v>
      </c>
      <c r="G2327" s="39" t="str">
        <f aca="false">VLOOKUP(C2327,Products!$A$5:$D$24,2,FALSE())</f>
        <v>24-inch Monitor</v>
      </c>
      <c r="H2327" s="39" t="str">
        <f aca="false">VLOOKUP(C2327,Products!$A$5:$D$24,3,FALSE())</f>
        <v>Electronics</v>
      </c>
      <c r="I2327" s="41" t="n">
        <f aca="false">VLOOKUP(C2327,Products!$A$5:$D$24,4,FALSE())</f>
        <v>90</v>
      </c>
      <c r="J2327" s="42" t="n">
        <f aca="false">DATE(YEAR(B2327),MONTH(B2327),1)</f>
        <v>45962</v>
      </c>
      <c r="K2327" s="41" t="n">
        <f aca="false">D2327*E2327</f>
        <v>496.56</v>
      </c>
      <c r="L2327" s="41" t="n">
        <f aca="false">D2327*I2327</f>
        <v>270</v>
      </c>
      <c r="M2327" s="41" t="n">
        <f aca="false">IFERROR(INDEX(Raw_Expenses!$C$5:$C$2979,MATCH(A2327,Raw_Expenses!$A$5:$A$2979,0)),0)</f>
        <v>39.17</v>
      </c>
      <c r="N2327" s="41" t="n">
        <f aca="false">L2327+M2327</f>
        <v>309.17</v>
      </c>
      <c r="O2327" s="41" t="n">
        <f aca="false">K2327-N2327</f>
        <v>187.39</v>
      </c>
      <c r="P2327" s="43" t="n">
        <f aca="false">IF(K2327=0,0,O2327/K2327)</f>
        <v>0.377376349283068</v>
      </c>
    </row>
    <row r="2328" customFormat="false" ht="15" hidden="false" customHeight="false" outlineLevel="0" collapsed="false">
      <c r="A2328" s="39" t="s">
        <v>2450</v>
      </c>
      <c r="B2328" s="40" t="n">
        <v>45967</v>
      </c>
      <c r="C2328" s="39" t="s">
        <v>126</v>
      </c>
      <c r="D2328" s="39" t="n">
        <v>1</v>
      </c>
      <c r="E2328" s="41" t="n">
        <v>23.46</v>
      </c>
      <c r="F2328" s="39" t="s">
        <v>118</v>
      </c>
      <c r="G2328" s="39" t="str">
        <f aca="false">VLOOKUP(C2328,Products!$A$5:$D$24,2,FALSE())</f>
        <v>Wireless Mouse</v>
      </c>
      <c r="H2328" s="39" t="str">
        <f aca="false">VLOOKUP(C2328,Products!$A$5:$D$24,3,FALSE())</f>
        <v>Electronics</v>
      </c>
      <c r="I2328" s="41" t="n">
        <f aca="false">VLOOKUP(C2328,Products!$A$5:$D$24,4,FALSE())</f>
        <v>12</v>
      </c>
      <c r="J2328" s="42" t="n">
        <f aca="false">DATE(YEAR(B2328),MONTH(B2328),1)</f>
        <v>45962</v>
      </c>
      <c r="K2328" s="41" t="n">
        <f aca="false">D2328*E2328</f>
        <v>23.46</v>
      </c>
      <c r="L2328" s="41" t="n">
        <f aca="false">D2328*I2328</f>
        <v>12</v>
      </c>
      <c r="M2328" s="41" t="n">
        <f aca="false">IFERROR(INDEX(Raw_Expenses!$C$5:$C$2979,MATCH(A2328,Raw_Expenses!$A$5:$A$2979,0)),0)</f>
        <v>1.24</v>
      </c>
      <c r="N2328" s="41" t="n">
        <f aca="false">L2328+M2328</f>
        <v>13.24</v>
      </c>
      <c r="O2328" s="41" t="n">
        <f aca="false">K2328-N2328</f>
        <v>10.22</v>
      </c>
      <c r="P2328" s="43" t="n">
        <f aca="false">IF(K2328=0,0,O2328/K2328)</f>
        <v>0.435635123614663</v>
      </c>
    </row>
    <row r="2329" customFormat="false" ht="15" hidden="false" customHeight="false" outlineLevel="0" collapsed="false">
      <c r="A2329" s="39" t="s">
        <v>2451</v>
      </c>
      <c r="B2329" s="40" t="n">
        <v>45967</v>
      </c>
      <c r="C2329" s="39" t="s">
        <v>136</v>
      </c>
      <c r="D2329" s="39" t="n">
        <v>1</v>
      </c>
      <c r="E2329" s="41" t="n">
        <v>77.37</v>
      </c>
      <c r="F2329" s="39" t="s">
        <v>108</v>
      </c>
      <c r="G2329" s="39" t="str">
        <f aca="false">VLOOKUP(C2329,Products!$A$5:$D$24,2,FALSE())</f>
        <v>Mechanical Keyboard</v>
      </c>
      <c r="H2329" s="39" t="str">
        <f aca="false">VLOOKUP(C2329,Products!$A$5:$D$24,3,FALSE())</f>
        <v>Electronics</v>
      </c>
      <c r="I2329" s="41" t="n">
        <f aca="false">VLOOKUP(C2329,Products!$A$5:$D$24,4,FALSE())</f>
        <v>38</v>
      </c>
      <c r="J2329" s="42" t="n">
        <f aca="false">DATE(YEAR(B2329),MONTH(B2329),1)</f>
        <v>45962</v>
      </c>
      <c r="K2329" s="41" t="n">
        <f aca="false">D2329*E2329</f>
        <v>77.37</v>
      </c>
      <c r="L2329" s="41" t="n">
        <f aca="false">D2329*I2329</f>
        <v>38</v>
      </c>
      <c r="M2329" s="41" t="n">
        <f aca="false">IFERROR(INDEX(Raw_Expenses!$C$5:$C$2979,MATCH(A2329,Raw_Expenses!$A$5:$A$2979,0)),0)</f>
        <v>6.07</v>
      </c>
      <c r="N2329" s="41" t="n">
        <f aca="false">L2329+M2329</f>
        <v>44.07</v>
      </c>
      <c r="O2329" s="41" t="n">
        <f aca="false">K2329-N2329</f>
        <v>33.3</v>
      </c>
      <c r="P2329" s="43" t="n">
        <f aca="false">IF(K2329=0,0,O2329/K2329)</f>
        <v>0.430399379604498</v>
      </c>
    </row>
    <row r="2330" customFormat="false" ht="15" hidden="false" customHeight="false" outlineLevel="0" collapsed="false">
      <c r="A2330" s="39" t="s">
        <v>2452</v>
      </c>
      <c r="B2330" s="40" t="n">
        <v>45967</v>
      </c>
      <c r="C2330" s="39" t="s">
        <v>139</v>
      </c>
      <c r="D2330" s="39" t="n">
        <v>3</v>
      </c>
      <c r="E2330" s="41" t="n">
        <v>121.61</v>
      </c>
      <c r="F2330" s="39" t="s">
        <v>108</v>
      </c>
      <c r="G2330" s="39" t="str">
        <f aca="false">VLOOKUP(C2330,Products!$A$5:$D$24,2,FALSE())</f>
        <v>Noise-Cancelling Headphones</v>
      </c>
      <c r="H2330" s="39" t="str">
        <f aca="false">VLOOKUP(C2330,Products!$A$5:$D$24,3,FALSE())</f>
        <v>Electronics</v>
      </c>
      <c r="I2330" s="41" t="n">
        <f aca="false">VLOOKUP(C2330,Products!$A$5:$D$24,4,FALSE())</f>
        <v>55</v>
      </c>
      <c r="J2330" s="42" t="n">
        <f aca="false">DATE(YEAR(B2330),MONTH(B2330),1)</f>
        <v>45962</v>
      </c>
      <c r="K2330" s="41" t="n">
        <f aca="false">D2330*E2330</f>
        <v>364.83</v>
      </c>
      <c r="L2330" s="41" t="n">
        <f aca="false">D2330*I2330</f>
        <v>165</v>
      </c>
      <c r="M2330" s="41" t="n">
        <f aca="false">IFERROR(INDEX(Raw_Expenses!$C$5:$C$2979,MATCH(A2330,Raw_Expenses!$A$5:$A$2979,0)),0)</f>
        <v>18.46</v>
      </c>
      <c r="N2330" s="41" t="n">
        <f aca="false">L2330+M2330</f>
        <v>183.46</v>
      </c>
      <c r="O2330" s="41" t="n">
        <f aca="false">K2330-N2330</f>
        <v>181.37</v>
      </c>
      <c r="P2330" s="43" t="n">
        <f aca="false">IF(K2330=0,0,O2330/K2330)</f>
        <v>0.497135652221583</v>
      </c>
    </row>
    <row r="2331" customFormat="false" ht="15" hidden="false" customHeight="false" outlineLevel="0" collapsed="false">
      <c r="A2331" s="39" t="s">
        <v>2453</v>
      </c>
      <c r="B2331" s="40" t="n">
        <v>45968</v>
      </c>
      <c r="C2331" s="39" t="s">
        <v>107</v>
      </c>
      <c r="D2331" s="39" t="n">
        <v>2</v>
      </c>
      <c r="E2331" s="41" t="n">
        <v>32.56</v>
      </c>
      <c r="F2331" s="39" t="s">
        <v>115</v>
      </c>
      <c r="G2331" s="39" t="str">
        <f aca="false">VLOOKUP(C2331,Products!$A$5:$D$24,2,FALSE())</f>
        <v>USB-C Hub</v>
      </c>
      <c r="H2331" s="39" t="str">
        <f aca="false">VLOOKUP(C2331,Products!$A$5:$D$24,3,FALSE())</f>
        <v>Electronics</v>
      </c>
      <c r="I2331" s="41" t="n">
        <f aca="false">VLOOKUP(C2331,Products!$A$5:$D$24,4,FALSE())</f>
        <v>14</v>
      </c>
      <c r="J2331" s="42" t="n">
        <f aca="false">DATE(YEAR(B2331),MONTH(B2331),1)</f>
        <v>45962</v>
      </c>
      <c r="K2331" s="41" t="n">
        <f aca="false">D2331*E2331</f>
        <v>65.12</v>
      </c>
      <c r="L2331" s="41" t="n">
        <f aca="false">D2331*I2331</f>
        <v>28</v>
      </c>
      <c r="M2331" s="41" t="n">
        <f aca="false">IFERROR(INDEX(Raw_Expenses!$C$5:$C$2979,MATCH(A2331,Raw_Expenses!$A$5:$A$2979,0)),0)</f>
        <v>3.29</v>
      </c>
      <c r="N2331" s="41" t="n">
        <f aca="false">L2331+M2331</f>
        <v>31.29</v>
      </c>
      <c r="O2331" s="41" t="n">
        <f aca="false">K2331-N2331</f>
        <v>33.83</v>
      </c>
      <c r="P2331" s="43" t="n">
        <f aca="false">IF(K2331=0,0,O2331/K2331)</f>
        <v>0.519502457002457</v>
      </c>
    </row>
    <row r="2332" customFormat="false" ht="15" hidden="false" customHeight="false" outlineLevel="0" collapsed="false">
      <c r="A2332" s="39" t="s">
        <v>2454</v>
      </c>
      <c r="B2332" s="40" t="n">
        <v>45968</v>
      </c>
      <c r="C2332" s="39" t="s">
        <v>133</v>
      </c>
      <c r="D2332" s="39" t="n">
        <v>3</v>
      </c>
      <c r="E2332" s="41" t="n">
        <v>8.65</v>
      </c>
      <c r="F2332" s="39" t="s">
        <v>118</v>
      </c>
      <c r="G2332" s="39" t="str">
        <f aca="false">VLOOKUP(C2332,Products!$A$5:$D$24,2,FALSE())</f>
        <v>Printer Paper Ream</v>
      </c>
      <c r="H2332" s="39" t="str">
        <f aca="false">VLOOKUP(C2332,Products!$A$5:$D$24,3,FALSE())</f>
        <v>Stationery</v>
      </c>
      <c r="I2332" s="41" t="n">
        <f aca="false">VLOOKUP(C2332,Products!$A$5:$D$24,4,FALSE())</f>
        <v>4</v>
      </c>
      <c r="J2332" s="42" t="n">
        <f aca="false">DATE(YEAR(B2332),MONTH(B2332),1)</f>
        <v>45962</v>
      </c>
      <c r="K2332" s="41" t="n">
        <f aca="false">D2332*E2332</f>
        <v>25.95</v>
      </c>
      <c r="L2332" s="41" t="n">
        <f aca="false">D2332*I2332</f>
        <v>12</v>
      </c>
      <c r="M2332" s="41" t="n">
        <f aca="false">IFERROR(INDEX(Raw_Expenses!$C$5:$C$2979,MATCH(A2332,Raw_Expenses!$A$5:$A$2979,0)),0)</f>
        <v>2.04</v>
      </c>
      <c r="N2332" s="41" t="n">
        <f aca="false">L2332+M2332</f>
        <v>14.04</v>
      </c>
      <c r="O2332" s="41" t="n">
        <f aca="false">K2332-N2332</f>
        <v>11.91</v>
      </c>
      <c r="P2332" s="43" t="n">
        <f aca="false">IF(K2332=0,0,O2332/K2332)</f>
        <v>0.458959537572254</v>
      </c>
    </row>
    <row r="2333" customFormat="false" ht="15" hidden="false" customHeight="false" outlineLevel="0" collapsed="false">
      <c r="A2333" s="39" t="s">
        <v>2455</v>
      </c>
      <c r="B2333" s="40" t="n">
        <v>45968</v>
      </c>
      <c r="C2333" s="39" t="s">
        <v>117</v>
      </c>
      <c r="D2333" s="39" t="n">
        <v>1</v>
      </c>
      <c r="E2333" s="41" t="n">
        <v>30.34</v>
      </c>
      <c r="F2333" s="39" t="s">
        <v>105</v>
      </c>
      <c r="G2333" s="39" t="str">
        <f aca="false">VLOOKUP(C2333,Products!$A$5:$D$24,2,FALSE())</f>
        <v>Desk Lamp</v>
      </c>
      <c r="H2333" s="39" t="str">
        <f aca="false">VLOOKUP(C2333,Products!$A$5:$D$24,3,FALSE())</f>
        <v>Furniture</v>
      </c>
      <c r="I2333" s="41" t="n">
        <f aca="false">VLOOKUP(C2333,Products!$A$5:$D$24,4,FALSE())</f>
        <v>13</v>
      </c>
      <c r="J2333" s="42" t="n">
        <f aca="false">DATE(YEAR(B2333),MONTH(B2333),1)</f>
        <v>45962</v>
      </c>
      <c r="K2333" s="41" t="n">
        <f aca="false">D2333*E2333</f>
        <v>30.34</v>
      </c>
      <c r="L2333" s="41" t="n">
        <f aca="false">D2333*I2333</f>
        <v>13</v>
      </c>
      <c r="M2333" s="41" t="n">
        <f aca="false">IFERROR(INDEX(Raw_Expenses!$C$5:$C$2979,MATCH(A2333,Raw_Expenses!$A$5:$A$2979,0)),0)</f>
        <v>1.6</v>
      </c>
      <c r="N2333" s="41" t="n">
        <f aca="false">L2333+M2333</f>
        <v>14.6</v>
      </c>
      <c r="O2333" s="41" t="n">
        <f aca="false">K2333-N2333</f>
        <v>15.74</v>
      </c>
      <c r="P2333" s="43" t="n">
        <f aca="false">IF(K2333=0,0,O2333/K2333)</f>
        <v>0.51878707976269</v>
      </c>
    </row>
    <row r="2334" customFormat="false" ht="15" hidden="false" customHeight="false" outlineLevel="0" collapsed="false">
      <c r="A2334" s="39" t="s">
        <v>2456</v>
      </c>
      <c r="B2334" s="40" t="n">
        <v>45968</v>
      </c>
      <c r="C2334" s="39" t="s">
        <v>177</v>
      </c>
      <c r="D2334" s="39" t="n">
        <v>5</v>
      </c>
      <c r="E2334" s="41" t="n">
        <v>43.88</v>
      </c>
      <c r="F2334" s="39" t="s">
        <v>118</v>
      </c>
      <c r="G2334" s="39" t="str">
        <f aca="false">VLOOKUP(C2334,Products!$A$5:$D$24,2,FALSE())</f>
        <v>Backpack</v>
      </c>
      <c r="H2334" s="39" t="str">
        <f aca="false">VLOOKUP(C2334,Products!$A$5:$D$24,3,FALSE())</f>
        <v>Accessories</v>
      </c>
      <c r="I2334" s="41" t="n">
        <f aca="false">VLOOKUP(C2334,Products!$A$5:$D$24,4,FALSE())</f>
        <v>17</v>
      </c>
      <c r="J2334" s="42" t="n">
        <f aca="false">DATE(YEAR(B2334),MONTH(B2334),1)</f>
        <v>45962</v>
      </c>
      <c r="K2334" s="41" t="n">
        <f aca="false">D2334*E2334</f>
        <v>219.4</v>
      </c>
      <c r="L2334" s="41" t="n">
        <f aca="false">D2334*I2334</f>
        <v>85</v>
      </c>
      <c r="M2334" s="41" t="n">
        <f aca="false">IFERROR(INDEX(Raw_Expenses!$C$5:$C$2979,MATCH(A2334,Raw_Expenses!$A$5:$A$2979,0)),0)</f>
        <v>10.54</v>
      </c>
      <c r="N2334" s="41" t="n">
        <f aca="false">L2334+M2334</f>
        <v>95.54</v>
      </c>
      <c r="O2334" s="41" t="n">
        <f aca="false">K2334-N2334</f>
        <v>123.86</v>
      </c>
      <c r="P2334" s="43" t="n">
        <f aca="false">IF(K2334=0,0,O2334/K2334)</f>
        <v>0.564539653600729</v>
      </c>
    </row>
    <row r="2335" customFormat="false" ht="15" hidden="false" customHeight="false" outlineLevel="0" collapsed="false">
      <c r="A2335" s="39" t="s">
        <v>2457</v>
      </c>
      <c r="B2335" s="40" t="n">
        <v>45968</v>
      </c>
      <c r="C2335" s="39" t="s">
        <v>112</v>
      </c>
      <c r="D2335" s="39" t="n">
        <v>2</v>
      </c>
      <c r="E2335" s="41" t="n">
        <v>51.26</v>
      </c>
      <c r="F2335" s="39" t="s">
        <v>115</v>
      </c>
      <c r="G2335" s="39" t="str">
        <f aca="false">VLOOKUP(C2335,Products!$A$5:$D$24,2,FALSE())</f>
        <v>HD Webcam</v>
      </c>
      <c r="H2335" s="39" t="str">
        <f aca="false">VLOOKUP(C2335,Products!$A$5:$D$24,3,FALSE())</f>
        <v>Electronics</v>
      </c>
      <c r="I2335" s="41" t="n">
        <f aca="false">VLOOKUP(C2335,Products!$A$5:$D$24,4,FALSE())</f>
        <v>22</v>
      </c>
      <c r="J2335" s="42" t="n">
        <f aca="false">DATE(YEAR(B2335),MONTH(B2335),1)</f>
        <v>45962</v>
      </c>
      <c r="K2335" s="41" t="n">
        <f aca="false">D2335*E2335</f>
        <v>102.52</v>
      </c>
      <c r="L2335" s="41" t="n">
        <f aca="false">D2335*I2335</f>
        <v>44</v>
      </c>
      <c r="M2335" s="41" t="n">
        <f aca="false">IFERROR(INDEX(Raw_Expenses!$C$5:$C$2979,MATCH(A2335,Raw_Expenses!$A$5:$A$2979,0)),0)</f>
        <v>7.25</v>
      </c>
      <c r="N2335" s="41" t="n">
        <f aca="false">L2335+M2335</f>
        <v>51.25</v>
      </c>
      <c r="O2335" s="41" t="n">
        <f aca="false">K2335-N2335</f>
        <v>51.27</v>
      </c>
      <c r="P2335" s="43" t="n">
        <f aca="false">IF(K2335=0,0,O2335/K2335)</f>
        <v>0.500097541943036</v>
      </c>
    </row>
    <row r="2336" customFormat="false" ht="15" hidden="false" customHeight="false" outlineLevel="0" collapsed="false">
      <c r="A2336" s="39" t="s">
        <v>2458</v>
      </c>
      <c r="B2336" s="40" t="n">
        <v>45968</v>
      </c>
      <c r="C2336" s="39" t="s">
        <v>130</v>
      </c>
      <c r="D2336" s="39" t="n">
        <v>2</v>
      </c>
      <c r="E2336" s="41" t="n">
        <v>8.76</v>
      </c>
      <c r="F2336" s="39" t="s">
        <v>118</v>
      </c>
      <c r="G2336" s="39" t="str">
        <f aca="false">VLOOKUP(C2336,Products!$A$5:$D$24,2,FALSE())</f>
        <v>Notebook Set</v>
      </c>
      <c r="H2336" s="39" t="str">
        <f aca="false">VLOOKUP(C2336,Products!$A$5:$D$24,3,FALSE())</f>
        <v>Stationery</v>
      </c>
      <c r="I2336" s="41" t="n">
        <f aca="false">VLOOKUP(C2336,Products!$A$5:$D$24,4,FALSE())</f>
        <v>3</v>
      </c>
      <c r="J2336" s="42" t="n">
        <f aca="false">DATE(YEAR(B2336),MONTH(B2336),1)</f>
        <v>45962</v>
      </c>
      <c r="K2336" s="41" t="n">
        <f aca="false">D2336*E2336</f>
        <v>17.52</v>
      </c>
      <c r="L2336" s="41" t="n">
        <f aca="false">D2336*I2336</f>
        <v>6</v>
      </c>
      <c r="M2336" s="41" t="n">
        <f aca="false">IFERROR(INDEX(Raw_Expenses!$C$5:$C$2979,MATCH(A2336,Raw_Expenses!$A$5:$A$2979,0)),0)</f>
        <v>1.29</v>
      </c>
      <c r="N2336" s="41" t="n">
        <f aca="false">L2336+M2336</f>
        <v>7.29</v>
      </c>
      <c r="O2336" s="41" t="n">
        <f aca="false">K2336-N2336</f>
        <v>10.23</v>
      </c>
      <c r="P2336" s="43" t="n">
        <f aca="false">IF(K2336=0,0,O2336/K2336)</f>
        <v>0.583904109589041</v>
      </c>
    </row>
    <row r="2337" customFormat="false" ht="15" hidden="false" customHeight="false" outlineLevel="0" collapsed="false">
      <c r="A2337" s="39" t="s">
        <v>2459</v>
      </c>
      <c r="B2337" s="40" t="n">
        <v>45968</v>
      </c>
      <c r="C2337" s="39" t="s">
        <v>139</v>
      </c>
      <c r="D2337" s="39" t="n">
        <v>2</v>
      </c>
      <c r="E2337" s="41" t="n">
        <v>126.8</v>
      </c>
      <c r="F2337" s="39" t="s">
        <v>108</v>
      </c>
      <c r="G2337" s="39" t="str">
        <f aca="false">VLOOKUP(C2337,Products!$A$5:$D$24,2,FALSE())</f>
        <v>Noise-Cancelling Headphones</v>
      </c>
      <c r="H2337" s="39" t="str">
        <f aca="false">VLOOKUP(C2337,Products!$A$5:$D$24,3,FALSE())</f>
        <v>Electronics</v>
      </c>
      <c r="I2337" s="41" t="n">
        <f aca="false">VLOOKUP(C2337,Products!$A$5:$D$24,4,FALSE())</f>
        <v>55</v>
      </c>
      <c r="J2337" s="42" t="n">
        <f aca="false">DATE(YEAR(B2337),MONTH(B2337),1)</f>
        <v>45962</v>
      </c>
      <c r="K2337" s="41" t="n">
        <f aca="false">D2337*E2337</f>
        <v>253.6</v>
      </c>
      <c r="L2337" s="41" t="n">
        <f aca="false">D2337*I2337</f>
        <v>110</v>
      </c>
      <c r="M2337" s="41" t="n">
        <f aca="false">IFERROR(INDEX(Raw_Expenses!$C$5:$C$2979,MATCH(A2337,Raw_Expenses!$A$5:$A$2979,0)),0)</f>
        <v>13.8</v>
      </c>
      <c r="N2337" s="41" t="n">
        <f aca="false">L2337+M2337</f>
        <v>123.8</v>
      </c>
      <c r="O2337" s="41" t="n">
        <f aca="false">K2337-N2337</f>
        <v>129.8</v>
      </c>
      <c r="P2337" s="43" t="n">
        <f aca="false">IF(K2337=0,0,O2337/K2337)</f>
        <v>0.511829652996846</v>
      </c>
    </row>
    <row r="2338" customFormat="false" ht="15" hidden="false" customHeight="false" outlineLevel="0" collapsed="false">
      <c r="A2338" s="39" t="s">
        <v>2460</v>
      </c>
      <c r="B2338" s="40" t="n">
        <v>45968</v>
      </c>
      <c r="C2338" s="39" t="s">
        <v>144</v>
      </c>
      <c r="D2338" s="39" t="n">
        <v>2</v>
      </c>
      <c r="E2338" s="41" t="n">
        <v>57.1</v>
      </c>
      <c r="F2338" s="39" t="s">
        <v>105</v>
      </c>
      <c r="G2338" s="39" t="str">
        <f aca="false">VLOOKUP(C2338,Products!$A$5:$D$24,2,FALSE())</f>
        <v>Whiteboard</v>
      </c>
      <c r="H2338" s="39" t="str">
        <f aca="false">VLOOKUP(C2338,Products!$A$5:$D$24,3,FALSE())</f>
        <v>Furniture</v>
      </c>
      <c r="I2338" s="41" t="n">
        <f aca="false">VLOOKUP(C2338,Products!$A$5:$D$24,4,FALSE())</f>
        <v>28</v>
      </c>
      <c r="J2338" s="42" t="n">
        <f aca="false">DATE(YEAR(B2338),MONTH(B2338),1)</f>
        <v>45962</v>
      </c>
      <c r="K2338" s="41" t="n">
        <f aca="false">D2338*E2338</f>
        <v>114.2</v>
      </c>
      <c r="L2338" s="41" t="n">
        <f aca="false">D2338*I2338</f>
        <v>56</v>
      </c>
      <c r="M2338" s="41" t="n">
        <f aca="false">IFERROR(INDEX(Raw_Expenses!$C$5:$C$2979,MATCH(A2338,Raw_Expenses!$A$5:$A$2979,0)),0)</f>
        <v>9.4</v>
      </c>
      <c r="N2338" s="41" t="n">
        <f aca="false">L2338+M2338</f>
        <v>65.4</v>
      </c>
      <c r="O2338" s="41" t="n">
        <f aca="false">K2338-N2338</f>
        <v>48.8</v>
      </c>
      <c r="P2338" s="43" t="n">
        <f aca="false">IF(K2338=0,0,O2338/K2338)</f>
        <v>0.427320490367776</v>
      </c>
    </row>
    <row r="2339" customFormat="false" ht="15" hidden="false" customHeight="false" outlineLevel="0" collapsed="false">
      <c r="A2339" s="39" t="s">
        <v>2461</v>
      </c>
      <c r="B2339" s="40" t="n">
        <v>45968</v>
      </c>
      <c r="C2339" s="39" t="s">
        <v>110</v>
      </c>
      <c r="D2339" s="39" t="n">
        <v>2</v>
      </c>
      <c r="E2339" s="41" t="n">
        <v>13.66</v>
      </c>
      <c r="F2339" s="39" t="s">
        <v>115</v>
      </c>
      <c r="G2339" s="39" t="str">
        <f aca="false">VLOOKUP(C2339,Products!$A$5:$D$24,2,FALSE())</f>
        <v>Phone Stand</v>
      </c>
      <c r="H2339" s="39" t="str">
        <f aca="false">VLOOKUP(C2339,Products!$A$5:$D$24,3,FALSE())</f>
        <v>Accessories</v>
      </c>
      <c r="I2339" s="41" t="n">
        <f aca="false">VLOOKUP(C2339,Products!$A$5:$D$24,4,FALSE())</f>
        <v>4</v>
      </c>
      <c r="J2339" s="42" t="n">
        <f aca="false">DATE(YEAR(B2339),MONTH(B2339),1)</f>
        <v>45962</v>
      </c>
      <c r="K2339" s="41" t="n">
        <f aca="false">D2339*E2339</f>
        <v>27.32</v>
      </c>
      <c r="L2339" s="41" t="n">
        <f aca="false">D2339*I2339</f>
        <v>8</v>
      </c>
      <c r="M2339" s="41" t="n">
        <f aca="false">IFERROR(INDEX(Raw_Expenses!$C$5:$C$2979,MATCH(A2339,Raw_Expenses!$A$5:$A$2979,0)),0)</f>
        <v>2</v>
      </c>
      <c r="N2339" s="41" t="n">
        <f aca="false">L2339+M2339</f>
        <v>10</v>
      </c>
      <c r="O2339" s="41" t="n">
        <f aca="false">K2339-N2339</f>
        <v>17.32</v>
      </c>
      <c r="P2339" s="43" t="n">
        <f aca="false">IF(K2339=0,0,O2339/K2339)</f>
        <v>0.633967789165447</v>
      </c>
    </row>
    <row r="2340" customFormat="false" ht="15" hidden="false" customHeight="false" outlineLevel="0" collapsed="false">
      <c r="A2340" s="39" t="s">
        <v>2462</v>
      </c>
      <c r="B2340" s="40" t="n">
        <v>45968</v>
      </c>
      <c r="C2340" s="39" t="s">
        <v>136</v>
      </c>
      <c r="D2340" s="39" t="n">
        <v>3</v>
      </c>
      <c r="E2340" s="41" t="n">
        <v>73.99</v>
      </c>
      <c r="F2340" s="39" t="s">
        <v>115</v>
      </c>
      <c r="G2340" s="39" t="str">
        <f aca="false">VLOOKUP(C2340,Products!$A$5:$D$24,2,FALSE())</f>
        <v>Mechanical Keyboard</v>
      </c>
      <c r="H2340" s="39" t="str">
        <f aca="false">VLOOKUP(C2340,Products!$A$5:$D$24,3,FALSE())</f>
        <v>Electronics</v>
      </c>
      <c r="I2340" s="41" t="n">
        <f aca="false">VLOOKUP(C2340,Products!$A$5:$D$24,4,FALSE())</f>
        <v>38</v>
      </c>
      <c r="J2340" s="42" t="n">
        <f aca="false">DATE(YEAR(B2340),MONTH(B2340),1)</f>
        <v>45962</v>
      </c>
      <c r="K2340" s="41" t="n">
        <f aca="false">D2340*E2340</f>
        <v>221.97</v>
      </c>
      <c r="L2340" s="41" t="n">
        <f aca="false">D2340*I2340</f>
        <v>114</v>
      </c>
      <c r="M2340" s="41" t="n">
        <f aca="false">IFERROR(INDEX(Raw_Expenses!$C$5:$C$2979,MATCH(A2340,Raw_Expenses!$A$5:$A$2979,0)),0)</f>
        <v>18.63</v>
      </c>
      <c r="N2340" s="41" t="n">
        <f aca="false">L2340+M2340</f>
        <v>132.63</v>
      </c>
      <c r="O2340" s="41" t="n">
        <f aca="false">K2340-N2340</f>
        <v>89.34</v>
      </c>
      <c r="P2340" s="43" t="n">
        <f aca="false">IF(K2340=0,0,O2340/K2340)</f>
        <v>0.402486822543587</v>
      </c>
    </row>
    <row r="2341" customFormat="false" ht="15" hidden="false" customHeight="false" outlineLevel="0" collapsed="false">
      <c r="A2341" s="39" t="s">
        <v>2463</v>
      </c>
      <c r="B2341" s="40" t="n">
        <v>45968</v>
      </c>
      <c r="C2341" s="39" t="s">
        <v>114</v>
      </c>
      <c r="D2341" s="39" t="n">
        <v>3</v>
      </c>
      <c r="E2341" s="41" t="n">
        <v>5.83</v>
      </c>
      <c r="F2341" s="39" t="s">
        <v>105</v>
      </c>
      <c r="G2341" s="39" t="str">
        <f aca="false">VLOOKUP(C2341,Products!$A$5:$D$24,2,FALSE())</f>
        <v>Gel Pen Pack</v>
      </c>
      <c r="H2341" s="39" t="str">
        <f aca="false">VLOOKUP(C2341,Products!$A$5:$D$24,3,FALSE())</f>
        <v>Stationery</v>
      </c>
      <c r="I2341" s="41" t="n">
        <f aca="false">VLOOKUP(C2341,Products!$A$5:$D$24,4,FALSE())</f>
        <v>2</v>
      </c>
      <c r="J2341" s="42" t="n">
        <f aca="false">DATE(YEAR(B2341),MONTH(B2341),1)</f>
        <v>45962</v>
      </c>
      <c r="K2341" s="41" t="n">
        <f aca="false">D2341*E2341</f>
        <v>17.49</v>
      </c>
      <c r="L2341" s="41" t="n">
        <f aca="false">D2341*I2341</f>
        <v>6</v>
      </c>
      <c r="M2341" s="41" t="n">
        <f aca="false">IFERROR(INDEX(Raw_Expenses!$C$5:$C$2979,MATCH(A2341,Raw_Expenses!$A$5:$A$2979,0)),0)</f>
        <v>1.57</v>
      </c>
      <c r="N2341" s="41" t="n">
        <f aca="false">L2341+M2341</f>
        <v>7.57</v>
      </c>
      <c r="O2341" s="41" t="n">
        <f aca="false">K2341-N2341</f>
        <v>9.92</v>
      </c>
      <c r="P2341" s="43" t="n">
        <f aca="false">IF(K2341=0,0,O2341/K2341)</f>
        <v>0.56718124642653</v>
      </c>
    </row>
    <row r="2342" customFormat="false" ht="15" hidden="false" customHeight="false" outlineLevel="0" collapsed="false">
      <c r="A2342" s="39" t="s">
        <v>2464</v>
      </c>
      <c r="B2342" s="40" t="n">
        <v>45968</v>
      </c>
      <c r="C2342" s="39" t="s">
        <v>133</v>
      </c>
      <c r="D2342" s="39" t="n">
        <v>2</v>
      </c>
      <c r="E2342" s="41" t="n">
        <v>8.47</v>
      </c>
      <c r="F2342" s="39" t="s">
        <v>118</v>
      </c>
      <c r="G2342" s="39" t="str">
        <f aca="false">VLOOKUP(C2342,Products!$A$5:$D$24,2,FALSE())</f>
        <v>Printer Paper Ream</v>
      </c>
      <c r="H2342" s="39" t="str">
        <f aca="false">VLOOKUP(C2342,Products!$A$5:$D$24,3,FALSE())</f>
        <v>Stationery</v>
      </c>
      <c r="I2342" s="41" t="n">
        <f aca="false">VLOOKUP(C2342,Products!$A$5:$D$24,4,FALSE())</f>
        <v>4</v>
      </c>
      <c r="J2342" s="42" t="n">
        <f aca="false">DATE(YEAR(B2342),MONTH(B2342),1)</f>
        <v>45962</v>
      </c>
      <c r="K2342" s="41" t="n">
        <f aca="false">D2342*E2342</f>
        <v>16.94</v>
      </c>
      <c r="L2342" s="41" t="n">
        <f aca="false">D2342*I2342</f>
        <v>8</v>
      </c>
      <c r="M2342" s="41" t="n">
        <f aca="false">IFERROR(INDEX(Raw_Expenses!$C$5:$C$2979,MATCH(A2342,Raw_Expenses!$A$5:$A$2979,0)),0)</f>
        <v>1.38</v>
      </c>
      <c r="N2342" s="41" t="n">
        <f aca="false">L2342+M2342</f>
        <v>9.38</v>
      </c>
      <c r="O2342" s="41" t="n">
        <f aca="false">K2342-N2342</f>
        <v>7.56</v>
      </c>
      <c r="P2342" s="43" t="n">
        <f aca="false">IF(K2342=0,0,O2342/K2342)</f>
        <v>0.446280991735537</v>
      </c>
    </row>
    <row r="2343" customFormat="false" ht="15" hidden="false" customHeight="false" outlineLevel="0" collapsed="false">
      <c r="A2343" s="39" t="s">
        <v>2465</v>
      </c>
      <c r="B2343" s="40" t="n">
        <v>45968</v>
      </c>
      <c r="C2343" s="39" t="s">
        <v>130</v>
      </c>
      <c r="D2343" s="39" t="n">
        <v>2</v>
      </c>
      <c r="E2343" s="41" t="n">
        <v>8.88</v>
      </c>
      <c r="F2343" s="39" t="s">
        <v>115</v>
      </c>
      <c r="G2343" s="39" t="str">
        <f aca="false">VLOOKUP(C2343,Products!$A$5:$D$24,2,FALSE())</f>
        <v>Notebook Set</v>
      </c>
      <c r="H2343" s="39" t="str">
        <f aca="false">VLOOKUP(C2343,Products!$A$5:$D$24,3,FALSE())</f>
        <v>Stationery</v>
      </c>
      <c r="I2343" s="41" t="n">
        <f aca="false">VLOOKUP(C2343,Products!$A$5:$D$24,4,FALSE())</f>
        <v>3</v>
      </c>
      <c r="J2343" s="42" t="n">
        <f aca="false">DATE(YEAR(B2343),MONTH(B2343),1)</f>
        <v>45962</v>
      </c>
      <c r="K2343" s="41" t="n">
        <f aca="false">D2343*E2343</f>
        <v>17.76</v>
      </c>
      <c r="L2343" s="41" t="n">
        <f aca="false">D2343*I2343</f>
        <v>6</v>
      </c>
      <c r="M2343" s="41" t="n">
        <f aca="false">IFERROR(INDEX(Raw_Expenses!$C$5:$C$2979,MATCH(A2343,Raw_Expenses!$A$5:$A$2979,0)),0)</f>
        <v>1.37</v>
      </c>
      <c r="N2343" s="41" t="n">
        <f aca="false">L2343+M2343</f>
        <v>7.37</v>
      </c>
      <c r="O2343" s="41" t="n">
        <f aca="false">K2343-N2343</f>
        <v>10.39</v>
      </c>
      <c r="P2343" s="43" t="n">
        <f aca="false">IF(K2343=0,0,O2343/K2343)</f>
        <v>0.585022522522523</v>
      </c>
    </row>
    <row r="2344" customFormat="false" ht="15" hidden="false" customHeight="false" outlineLevel="0" collapsed="false">
      <c r="A2344" s="39" t="s">
        <v>2466</v>
      </c>
      <c r="B2344" s="40" t="n">
        <v>45968</v>
      </c>
      <c r="C2344" s="39" t="s">
        <v>177</v>
      </c>
      <c r="D2344" s="39" t="n">
        <v>2</v>
      </c>
      <c r="E2344" s="41" t="n">
        <v>42.49</v>
      </c>
      <c r="F2344" s="39" t="s">
        <v>108</v>
      </c>
      <c r="G2344" s="39" t="str">
        <f aca="false">VLOOKUP(C2344,Products!$A$5:$D$24,2,FALSE())</f>
        <v>Backpack</v>
      </c>
      <c r="H2344" s="39" t="str">
        <f aca="false">VLOOKUP(C2344,Products!$A$5:$D$24,3,FALSE())</f>
        <v>Accessories</v>
      </c>
      <c r="I2344" s="41" t="n">
        <f aca="false">VLOOKUP(C2344,Products!$A$5:$D$24,4,FALSE())</f>
        <v>17</v>
      </c>
      <c r="J2344" s="42" t="n">
        <f aca="false">DATE(YEAR(B2344),MONTH(B2344),1)</f>
        <v>45962</v>
      </c>
      <c r="K2344" s="41" t="n">
        <f aca="false">D2344*E2344</f>
        <v>84.98</v>
      </c>
      <c r="L2344" s="41" t="n">
        <f aca="false">D2344*I2344</f>
        <v>34</v>
      </c>
      <c r="M2344" s="41" t="n">
        <f aca="false">IFERROR(INDEX(Raw_Expenses!$C$5:$C$2979,MATCH(A2344,Raw_Expenses!$A$5:$A$2979,0)),0)</f>
        <v>5.11</v>
      </c>
      <c r="N2344" s="41" t="n">
        <f aca="false">L2344+M2344</f>
        <v>39.11</v>
      </c>
      <c r="O2344" s="41" t="n">
        <f aca="false">K2344-N2344</f>
        <v>45.87</v>
      </c>
      <c r="P2344" s="43" t="n">
        <f aca="false">IF(K2344=0,0,O2344/K2344)</f>
        <v>0.539774064485761</v>
      </c>
    </row>
    <row r="2345" customFormat="false" ht="15" hidden="false" customHeight="false" outlineLevel="0" collapsed="false">
      <c r="A2345" s="39" t="s">
        <v>2467</v>
      </c>
      <c r="B2345" s="40" t="n">
        <v>45968</v>
      </c>
      <c r="C2345" s="39" t="s">
        <v>133</v>
      </c>
      <c r="D2345" s="39" t="n">
        <v>3</v>
      </c>
      <c r="E2345" s="41" t="n">
        <v>8.35</v>
      </c>
      <c r="F2345" s="39" t="s">
        <v>105</v>
      </c>
      <c r="G2345" s="39" t="str">
        <f aca="false">VLOOKUP(C2345,Products!$A$5:$D$24,2,FALSE())</f>
        <v>Printer Paper Ream</v>
      </c>
      <c r="H2345" s="39" t="str">
        <f aca="false">VLOOKUP(C2345,Products!$A$5:$D$24,3,FALSE())</f>
        <v>Stationery</v>
      </c>
      <c r="I2345" s="41" t="n">
        <f aca="false">VLOOKUP(C2345,Products!$A$5:$D$24,4,FALSE())</f>
        <v>4</v>
      </c>
      <c r="J2345" s="42" t="n">
        <f aca="false">DATE(YEAR(B2345),MONTH(B2345),1)</f>
        <v>45962</v>
      </c>
      <c r="K2345" s="41" t="n">
        <f aca="false">D2345*E2345</f>
        <v>25.05</v>
      </c>
      <c r="L2345" s="41" t="n">
        <f aca="false">D2345*I2345</f>
        <v>12</v>
      </c>
      <c r="M2345" s="41" t="n">
        <f aca="false">IFERROR(INDEX(Raw_Expenses!$C$5:$C$2979,MATCH(A2345,Raw_Expenses!$A$5:$A$2979,0)),0)</f>
        <v>1.6</v>
      </c>
      <c r="N2345" s="41" t="n">
        <f aca="false">L2345+M2345</f>
        <v>13.6</v>
      </c>
      <c r="O2345" s="41" t="n">
        <f aca="false">K2345-N2345</f>
        <v>11.45</v>
      </c>
      <c r="P2345" s="43" t="n">
        <f aca="false">IF(K2345=0,0,O2345/K2345)</f>
        <v>0.457085828343313</v>
      </c>
    </row>
    <row r="2346" customFormat="false" ht="15" hidden="false" customHeight="false" outlineLevel="0" collapsed="false">
      <c r="A2346" s="39" t="s">
        <v>2468</v>
      </c>
      <c r="B2346" s="40" t="n">
        <v>45968</v>
      </c>
      <c r="C2346" s="39" t="s">
        <v>126</v>
      </c>
      <c r="D2346" s="39" t="n">
        <v>2</v>
      </c>
      <c r="E2346" s="41" t="n">
        <v>23.33</v>
      </c>
      <c r="F2346" s="39" t="s">
        <v>115</v>
      </c>
      <c r="G2346" s="39" t="str">
        <f aca="false">VLOOKUP(C2346,Products!$A$5:$D$24,2,FALSE())</f>
        <v>Wireless Mouse</v>
      </c>
      <c r="H2346" s="39" t="str">
        <f aca="false">VLOOKUP(C2346,Products!$A$5:$D$24,3,FALSE())</f>
        <v>Electronics</v>
      </c>
      <c r="I2346" s="41" t="n">
        <f aca="false">VLOOKUP(C2346,Products!$A$5:$D$24,4,FALSE())</f>
        <v>12</v>
      </c>
      <c r="J2346" s="42" t="n">
        <f aca="false">DATE(YEAR(B2346),MONTH(B2346),1)</f>
        <v>45962</v>
      </c>
      <c r="K2346" s="41" t="n">
        <f aca="false">D2346*E2346</f>
        <v>46.66</v>
      </c>
      <c r="L2346" s="41" t="n">
        <f aca="false">D2346*I2346</f>
        <v>24</v>
      </c>
      <c r="M2346" s="41" t="n">
        <f aca="false">IFERROR(INDEX(Raw_Expenses!$C$5:$C$2979,MATCH(A2346,Raw_Expenses!$A$5:$A$2979,0)),0)</f>
        <v>2.51</v>
      </c>
      <c r="N2346" s="41" t="n">
        <f aca="false">L2346+M2346</f>
        <v>26.51</v>
      </c>
      <c r="O2346" s="41" t="n">
        <f aca="false">K2346-N2346</f>
        <v>20.15</v>
      </c>
      <c r="P2346" s="43" t="n">
        <f aca="false">IF(K2346=0,0,O2346/K2346)</f>
        <v>0.431847406772396</v>
      </c>
    </row>
    <row r="2347" customFormat="false" ht="15" hidden="false" customHeight="false" outlineLevel="0" collapsed="false">
      <c r="A2347" s="39" t="s">
        <v>2469</v>
      </c>
      <c r="B2347" s="40" t="n">
        <v>45968</v>
      </c>
      <c r="C2347" s="39" t="s">
        <v>128</v>
      </c>
      <c r="D2347" s="39" t="n">
        <v>2</v>
      </c>
      <c r="E2347" s="41" t="n">
        <v>37.54</v>
      </c>
      <c r="F2347" s="39" t="s">
        <v>108</v>
      </c>
      <c r="G2347" s="39" t="str">
        <f aca="false">VLOOKUP(C2347,Products!$A$5:$D$24,2,FALSE())</f>
        <v>Ergonomic Footrest</v>
      </c>
      <c r="H2347" s="39" t="str">
        <f aca="false">VLOOKUP(C2347,Products!$A$5:$D$24,3,FALSE())</f>
        <v>Furniture</v>
      </c>
      <c r="I2347" s="41" t="n">
        <f aca="false">VLOOKUP(C2347,Products!$A$5:$D$24,4,FALSE())</f>
        <v>15</v>
      </c>
      <c r="J2347" s="42" t="n">
        <f aca="false">DATE(YEAR(B2347),MONTH(B2347),1)</f>
        <v>45962</v>
      </c>
      <c r="K2347" s="41" t="n">
        <f aca="false">D2347*E2347</f>
        <v>75.08</v>
      </c>
      <c r="L2347" s="41" t="n">
        <f aca="false">D2347*I2347</f>
        <v>30</v>
      </c>
      <c r="M2347" s="41" t="n">
        <f aca="false">IFERROR(INDEX(Raw_Expenses!$C$5:$C$2979,MATCH(A2347,Raw_Expenses!$A$5:$A$2979,0)),0)</f>
        <v>6.04</v>
      </c>
      <c r="N2347" s="41" t="n">
        <f aca="false">L2347+M2347</f>
        <v>36.04</v>
      </c>
      <c r="O2347" s="41" t="n">
        <f aca="false">K2347-N2347</f>
        <v>39.04</v>
      </c>
      <c r="P2347" s="43" t="n">
        <f aca="false">IF(K2347=0,0,O2347/K2347)</f>
        <v>0.519978689397976</v>
      </c>
    </row>
    <row r="2348" customFormat="false" ht="15" hidden="false" customHeight="false" outlineLevel="0" collapsed="false">
      <c r="A2348" s="39" t="s">
        <v>2470</v>
      </c>
      <c r="B2348" s="40" t="n">
        <v>45968</v>
      </c>
      <c r="C2348" s="39" t="s">
        <v>110</v>
      </c>
      <c r="D2348" s="39" t="n">
        <v>3</v>
      </c>
      <c r="E2348" s="41" t="n">
        <v>12.96</v>
      </c>
      <c r="F2348" s="39" t="s">
        <v>105</v>
      </c>
      <c r="G2348" s="39" t="str">
        <f aca="false">VLOOKUP(C2348,Products!$A$5:$D$24,2,FALSE())</f>
        <v>Phone Stand</v>
      </c>
      <c r="H2348" s="39" t="str">
        <f aca="false">VLOOKUP(C2348,Products!$A$5:$D$24,3,FALSE())</f>
        <v>Accessories</v>
      </c>
      <c r="I2348" s="41" t="n">
        <f aca="false">VLOOKUP(C2348,Products!$A$5:$D$24,4,FALSE())</f>
        <v>4</v>
      </c>
      <c r="J2348" s="42" t="n">
        <f aca="false">DATE(YEAR(B2348),MONTH(B2348),1)</f>
        <v>45962</v>
      </c>
      <c r="K2348" s="41" t="n">
        <f aca="false">D2348*E2348</f>
        <v>38.88</v>
      </c>
      <c r="L2348" s="41" t="n">
        <f aca="false">D2348*I2348</f>
        <v>12</v>
      </c>
      <c r="M2348" s="41" t="n">
        <f aca="false">IFERROR(INDEX(Raw_Expenses!$C$5:$C$2979,MATCH(A2348,Raw_Expenses!$A$5:$A$2979,0)),0)</f>
        <v>2.66</v>
      </c>
      <c r="N2348" s="41" t="n">
        <f aca="false">L2348+M2348</f>
        <v>14.66</v>
      </c>
      <c r="O2348" s="41" t="n">
        <f aca="false">K2348-N2348</f>
        <v>24.22</v>
      </c>
      <c r="P2348" s="43" t="n">
        <f aca="false">IF(K2348=0,0,O2348/K2348)</f>
        <v>0.622942386831276</v>
      </c>
    </row>
    <row r="2349" customFormat="false" ht="15" hidden="false" customHeight="false" outlineLevel="0" collapsed="false">
      <c r="A2349" s="39" t="s">
        <v>2471</v>
      </c>
      <c r="B2349" s="40" t="n">
        <v>45968</v>
      </c>
      <c r="C2349" s="39" t="s">
        <v>114</v>
      </c>
      <c r="D2349" s="39" t="n">
        <v>1</v>
      </c>
      <c r="E2349" s="41" t="n">
        <v>5.86</v>
      </c>
      <c r="F2349" s="39" t="s">
        <v>108</v>
      </c>
      <c r="G2349" s="39" t="str">
        <f aca="false">VLOOKUP(C2349,Products!$A$5:$D$24,2,FALSE())</f>
        <v>Gel Pen Pack</v>
      </c>
      <c r="H2349" s="39" t="str">
        <f aca="false">VLOOKUP(C2349,Products!$A$5:$D$24,3,FALSE())</f>
        <v>Stationery</v>
      </c>
      <c r="I2349" s="41" t="n">
        <f aca="false">VLOOKUP(C2349,Products!$A$5:$D$24,4,FALSE())</f>
        <v>2</v>
      </c>
      <c r="J2349" s="42" t="n">
        <f aca="false">DATE(YEAR(B2349),MONTH(B2349),1)</f>
        <v>45962</v>
      </c>
      <c r="K2349" s="41" t="n">
        <f aca="false">D2349*E2349</f>
        <v>5.86</v>
      </c>
      <c r="L2349" s="41" t="n">
        <f aca="false">D2349*I2349</f>
        <v>2</v>
      </c>
      <c r="M2349" s="41" t="n">
        <f aca="false">IFERROR(INDEX(Raw_Expenses!$C$5:$C$2979,MATCH(A2349,Raw_Expenses!$A$5:$A$2979,0)),0)</f>
        <v>0.27</v>
      </c>
      <c r="N2349" s="41" t="n">
        <f aca="false">L2349+M2349</f>
        <v>2.27</v>
      </c>
      <c r="O2349" s="41" t="n">
        <f aca="false">K2349-N2349</f>
        <v>3.59</v>
      </c>
      <c r="P2349" s="43" t="n">
        <f aca="false">IF(K2349=0,0,O2349/K2349)</f>
        <v>0.612627986348123</v>
      </c>
    </row>
    <row r="2350" customFormat="false" ht="15" hidden="false" customHeight="false" outlineLevel="0" collapsed="false">
      <c r="A2350" s="39" t="s">
        <v>2472</v>
      </c>
      <c r="B2350" s="40" t="n">
        <v>45968</v>
      </c>
      <c r="C2350" s="39" t="s">
        <v>169</v>
      </c>
      <c r="D2350" s="39" t="n">
        <v>3</v>
      </c>
      <c r="E2350" s="41" t="n">
        <v>28.05</v>
      </c>
      <c r="F2350" s="39" t="s">
        <v>115</v>
      </c>
      <c r="G2350" s="39" t="str">
        <f aca="false">VLOOKUP(C2350,Products!$A$5:$D$24,2,FALSE())</f>
        <v>Laptop Stand</v>
      </c>
      <c r="H2350" s="39" t="str">
        <f aca="false">VLOOKUP(C2350,Products!$A$5:$D$24,3,FALSE())</f>
        <v>Accessories</v>
      </c>
      <c r="I2350" s="41" t="n">
        <f aca="false">VLOOKUP(C2350,Products!$A$5:$D$24,4,FALSE())</f>
        <v>11</v>
      </c>
      <c r="J2350" s="42" t="n">
        <f aca="false">DATE(YEAR(B2350),MONTH(B2350),1)</f>
        <v>45962</v>
      </c>
      <c r="K2350" s="41" t="n">
        <f aca="false">D2350*E2350</f>
        <v>84.15</v>
      </c>
      <c r="L2350" s="41" t="n">
        <f aca="false">D2350*I2350</f>
        <v>33</v>
      </c>
      <c r="M2350" s="41" t="n">
        <f aca="false">IFERROR(INDEX(Raw_Expenses!$C$5:$C$2979,MATCH(A2350,Raw_Expenses!$A$5:$A$2979,0)),0)</f>
        <v>4.68</v>
      </c>
      <c r="N2350" s="41" t="n">
        <f aca="false">L2350+M2350</f>
        <v>37.68</v>
      </c>
      <c r="O2350" s="41" t="n">
        <f aca="false">K2350-N2350</f>
        <v>46.47</v>
      </c>
      <c r="P2350" s="43" t="n">
        <f aca="false">IF(K2350=0,0,O2350/K2350)</f>
        <v>0.55222816399287</v>
      </c>
    </row>
    <row r="2351" customFormat="false" ht="15" hidden="false" customHeight="false" outlineLevel="0" collapsed="false">
      <c r="A2351" s="39" t="s">
        <v>2473</v>
      </c>
      <c r="B2351" s="40" t="n">
        <v>45969</v>
      </c>
      <c r="C2351" s="39" t="s">
        <v>104</v>
      </c>
      <c r="D2351" s="39" t="n">
        <v>5</v>
      </c>
      <c r="E2351" s="41" t="n">
        <v>15.33</v>
      </c>
      <c r="F2351" s="39" t="s">
        <v>108</v>
      </c>
      <c r="G2351" s="39" t="str">
        <f aca="false">VLOOKUP(C2351,Products!$A$5:$D$24,2,FALSE())</f>
        <v>Water Bottle</v>
      </c>
      <c r="H2351" s="39" t="str">
        <f aca="false">VLOOKUP(C2351,Products!$A$5:$D$24,3,FALSE())</f>
        <v>Accessories</v>
      </c>
      <c r="I2351" s="41" t="n">
        <f aca="false">VLOOKUP(C2351,Products!$A$5:$D$24,4,FALSE())</f>
        <v>5</v>
      </c>
      <c r="J2351" s="42" t="n">
        <f aca="false">DATE(YEAR(B2351),MONTH(B2351),1)</f>
        <v>45962</v>
      </c>
      <c r="K2351" s="41" t="n">
        <f aca="false">D2351*E2351</f>
        <v>76.65</v>
      </c>
      <c r="L2351" s="41" t="n">
        <f aca="false">D2351*I2351</f>
        <v>25</v>
      </c>
      <c r="M2351" s="41" t="n">
        <f aca="false">IFERROR(INDEX(Raw_Expenses!$C$5:$C$2979,MATCH(A2351,Raw_Expenses!$A$5:$A$2979,0)),0)</f>
        <v>5.41</v>
      </c>
      <c r="N2351" s="41" t="n">
        <f aca="false">L2351+M2351</f>
        <v>30.41</v>
      </c>
      <c r="O2351" s="41" t="n">
        <f aca="false">K2351-N2351</f>
        <v>46.24</v>
      </c>
      <c r="P2351" s="43" t="n">
        <f aca="false">IF(K2351=0,0,O2351/K2351)</f>
        <v>0.603261578604044</v>
      </c>
    </row>
    <row r="2352" customFormat="false" ht="15" hidden="false" customHeight="false" outlineLevel="0" collapsed="false">
      <c r="A2352" s="39" t="s">
        <v>2474</v>
      </c>
      <c r="B2352" s="40" t="n">
        <v>45969</v>
      </c>
      <c r="C2352" s="39" t="s">
        <v>305</v>
      </c>
      <c r="D2352" s="39" t="n">
        <v>3</v>
      </c>
      <c r="E2352" s="41" t="n">
        <v>335.49</v>
      </c>
      <c r="F2352" s="39" t="s">
        <v>115</v>
      </c>
      <c r="G2352" s="39" t="str">
        <f aca="false">VLOOKUP(C2352,Products!$A$5:$D$24,2,FALSE())</f>
        <v>Standing Desk</v>
      </c>
      <c r="H2352" s="39" t="str">
        <f aca="false">VLOOKUP(C2352,Products!$A$5:$D$24,3,FALSE())</f>
        <v>Furniture</v>
      </c>
      <c r="I2352" s="41" t="n">
        <f aca="false">VLOOKUP(C2352,Products!$A$5:$D$24,4,FALSE())</f>
        <v>160</v>
      </c>
      <c r="J2352" s="42" t="n">
        <f aca="false">DATE(YEAR(B2352),MONTH(B2352),1)</f>
        <v>45962</v>
      </c>
      <c r="K2352" s="41" t="n">
        <f aca="false">D2352*E2352</f>
        <v>1006.47</v>
      </c>
      <c r="L2352" s="41" t="n">
        <f aca="false">D2352*I2352</f>
        <v>480</v>
      </c>
      <c r="M2352" s="41" t="n">
        <f aca="false">IFERROR(INDEX(Raw_Expenses!$C$5:$C$2979,MATCH(A2352,Raw_Expenses!$A$5:$A$2979,0)),0)</f>
        <v>84.46</v>
      </c>
      <c r="N2352" s="41" t="n">
        <f aca="false">L2352+M2352</f>
        <v>564.46</v>
      </c>
      <c r="O2352" s="41" t="n">
        <f aca="false">K2352-N2352</f>
        <v>442.01</v>
      </c>
      <c r="P2352" s="43" t="n">
        <f aca="false">IF(K2352=0,0,O2352/K2352)</f>
        <v>0.439168579291981</v>
      </c>
    </row>
    <row r="2353" customFormat="false" ht="15" hidden="false" customHeight="false" outlineLevel="0" collapsed="false">
      <c r="A2353" s="39" t="s">
        <v>2475</v>
      </c>
      <c r="B2353" s="40" t="n">
        <v>45969</v>
      </c>
      <c r="C2353" s="39" t="s">
        <v>107</v>
      </c>
      <c r="D2353" s="39" t="n">
        <v>1</v>
      </c>
      <c r="E2353" s="41" t="n">
        <v>33.04</v>
      </c>
      <c r="F2353" s="39" t="s">
        <v>118</v>
      </c>
      <c r="G2353" s="39" t="str">
        <f aca="false">VLOOKUP(C2353,Products!$A$5:$D$24,2,FALSE())</f>
        <v>USB-C Hub</v>
      </c>
      <c r="H2353" s="39" t="str">
        <f aca="false">VLOOKUP(C2353,Products!$A$5:$D$24,3,FALSE())</f>
        <v>Electronics</v>
      </c>
      <c r="I2353" s="41" t="n">
        <f aca="false">VLOOKUP(C2353,Products!$A$5:$D$24,4,FALSE())</f>
        <v>14</v>
      </c>
      <c r="J2353" s="42" t="n">
        <f aca="false">DATE(YEAR(B2353),MONTH(B2353),1)</f>
        <v>45962</v>
      </c>
      <c r="K2353" s="41" t="n">
        <f aca="false">D2353*E2353</f>
        <v>33.04</v>
      </c>
      <c r="L2353" s="41" t="n">
        <f aca="false">D2353*I2353</f>
        <v>14</v>
      </c>
      <c r="M2353" s="41" t="n">
        <f aca="false">IFERROR(INDEX(Raw_Expenses!$C$5:$C$2979,MATCH(A2353,Raw_Expenses!$A$5:$A$2979,0)),0)</f>
        <v>2.95</v>
      </c>
      <c r="N2353" s="41" t="n">
        <f aca="false">L2353+M2353</f>
        <v>16.95</v>
      </c>
      <c r="O2353" s="41" t="n">
        <f aca="false">K2353-N2353</f>
        <v>16.09</v>
      </c>
      <c r="P2353" s="43" t="n">
        <f aca="false">IF(K2353=0,0,O2353/K2353)</f>
        <v>0.486985472154964</v>
      </c>
    </row>
    <row r="2354" customFormat="false" ht="15" hidden="false" customHeight="false" outlineLevel="0" collapsed="false">
      <c r="A2354" s="39" t="s">
        <v>2476</v>
      </c>
      <c r="B2354" s="40" t="n">
        <v>45969</v>
      </c>
      <c r="C2354" s="39" t="s">
        <v>177</v>
      </c>
      <c r="D2354" s="39" t="n">
        <v>1</v>
      </c>
      <c r="E2354" s="41" t="n">
        <v>42.02</v>
      </c>
      <c r="F2354" s="39" t="s">
        <v>115</v>
      </c>
      <c r="G2354" s="39" t="str">
        <f aca="false">VLOOKUP(C2354,Products!$A$5:$D$24,2,FALSE())</f>
        <v>Backpack</v>
      </c>
      <c r="H2354" s="39" t="str">
        <f aca="false">VLOOKUP(C2354,Products!$A$5:$D$24,3,FALSE())</f>
        <v>Accessories</v>
      </c>
      <c r="I2354" s="41" t="n">
        <f aca="false">VLOOKUP(C2354,Products!$A$5:$D$24,4,FALSE())</f>
        <v>17</v>
      </c>
      <c r="J2354" s="42" t="n">
        <f aca="false">DATE(YEAR(B2354),MONTH(B2354),1)</f>
        <v>45962</v>
      </c>
      <c r="K2354" s="41" t="n">
        <f aca="false">D2354*E2354</f>
        <v>42.02</v>
      </c>
      <c r="L2354" s="41" t="n">
        <f aca="false">D2354*I2354</f>
        <v>17</v>
      </c>
      <c r="M2354" s="41" t="n">
        <f aca="false">IFERROR(INDEX(Raw_Expenses!$C$5:$C$2979,MATCH(A2354,Raw_Expenses!$A$5:$A$2979,0)),0)</f>
        <v>2.99</v>
      </c>
      <c r="N2354" s="41" t="n">
        <f aca="false">L2354+M2354</f>
        <v>19.99</v>
      </c>
      <c r="O2354" s="41" t="n">
        <f aca="false">K2354-N2354</f>
        <v>22.03</v>
      </c>
      <c r="P2354" s="43" t="n">
        <f aca="false">IF(K2354=0,0,O2354/K2354)</f>
        <v>0.524274155164208</v>
      </c>
    </row>
    <row r="2355" customFormat="false" ht="15" hidden="false" customHeight="false" outlineLevel="0" collapsed="false">
      <c r="A2355" s="39" t="s">
        <v>2477</v>
      </c>
      <c r="B2355" s="40" t="n">
        <v>45969</v>
      </c>
      <c r="C2355" s="39" t="s">
        <v>305</v>
      </c>
      <c r="D2355" s="39" t="n">
        <v>3</v>
      </c>
      <c r="E2355" s="41" t="n">
        <v>347.88</v>
      </c>
      <c r="F2355" s="39" t="s">
        <v>108</v>
      </c>
      <c r="G2355" s="39" t="str">
        <f aca="false">VLOOKUP(C2355,Products!$A$5:$D$24,2,FALSE())</f>
        <v>Standing Desk</v>
      </c>
      <c r="H2355" s="39" t="str">
        <f aca="false">VLOOKUP(C2355,Products!$A$5:$D$24,3,FALSE())</f>
        <v>Furniture</v>
      </c>
      <c r="I2355" s="41" t="n">
        <f aca="false">VLOOKUP(C2355,Products!$A$5:$D$24,4,FALSE())</f>
        <v>160</v>
      </c>
      <c r="J2355" s="42" t="n">
        <f aca="false">DATE(YEAR(B2355),MONTH(B2355),1)</f>
        <v>45962</v>
      </c>
      <c r="K2355" s="41" t="n">
        <f aca="false">D2355*E2355</f>
        <v>1043.64</v>
      </c>
      <c r="L2355" s="41" t="n">
        <f aca="false">D2355*I2355</f>
        <v>480</v>
      </c>
      <c r="M2355" s="41" t="n">
        <f aca="false">IFERROR(INDEX(Raw_Expenses!$C$5:$C$2979,MATCH(A2355,Raw_Expenses!$A$5:$A$2979,0)),0)</f>
        <v>83.69</v>
      </c>
      <c r="N2355" s="41" t="n">
        <f aca="false">L2355+M2355</f>
        <v>563.69</v>
      </c>
      <c r="O2355" s="41" t="n">
        <f aca="false">K2355-N2355</f>
        <v>479.95</v>
      </c>
      <c r="P2355" s="43" t="n">
        <f aca="false">IF(K2355=0,0,O2355/K2355)</f>
        <v>0.459880801809053</v>
      </c>
    </row>
    <row r="2356" customFormat="false" ht="15" hidden="false" customHeight="false" outlineLevel="0" collapsed="false">
      <c r="A2356" s="39" t="s">
        <v>2478</v>
      </c>
      <c r="B2356" s="40" t="n">
        <v>45969</v>
      </c>
      <c r="C2356" s="39" t="s">
        <v>130</v>
      </c>
      <c r="D2356" s="39" t="n">
        <v>3</v>
      </c>
      <c r="E2356" s="41" t="n">
        <v>8.82</v>
      </c>
      <c r="F2356" s="39" t="s">
        <v>108</v>
      </c>
      <c r="G2356" s="39" t="str">
        <f aca="false">VLOOKUP(C2356,Products!$A$5:$D$24,2,FALSE())</f>
        <v>Notebook Set</v>
      </c>
      <c r="H2356" s="39" t="str">
        <f aca="false">VLOOKUP(C2356,Products!$A$5:$D$24,3,FALSE())</f>
        <v>Stationery</v>
      </c>
      <c r="I2356" s="41" t="n">
        <f aca="false">VLOOKUP(C2356,Products!$A$5:$D$24,4,FALSE())</f>
        <v>3</v>
      </c>
      <c r="J2356" s="42" t="n">
        <f aca="false">DATE(YEAR(B2356),MONTH(B2356),1)</f>
        <v>45962</v>
      </c>
      <c r="K2356" s="41" t="n">
        <f aca="false">D2356*E2356</f>
        <v>26.46</v>
      </c>
      <c r="L2356" s="41" t="n">
        <f aca="false">D2356*I2356</f>
        <v>9</v>
      </c>
      <c r="M2356" s="41" t="n">
        <f aca="false">IFERROR(INDEX(Raw_Expenses!$C$5:$C$2979,MATCH(A2356,Raw_Expenses!$A$5:$A$2979,0)),0)</f>
        <v>1.87</v>
      </c>
      <c r="N2356" s="41" t="n">
        <f aca="false">L2356+M2356</f>
        <v>10.87</v>
      </c>
      <c r="O2356" s="41" t="n">
        <f aca="false">K2356-N2356</f>
        <v>15.59</v>
      </c>
      <c r="P2356" s="43" t="n">
        <f aca="false">IF(K2356=0,0,O2356/K2356)</f>
        <v>0.589191232048375</v>
      </c>
    </row>
    <row r="2357" customFormat="false" ht="15" hidden="false" customHeight="false" outlineLevel="0" collapsed="false">
      <c r="A2357" s="39" t="s">
        <v>2479</v>
      </c>
      <c r="B2357" s="40" t="n">
        <v>45969</v>
      </c>
      <c r="C2357" s="39" t="s">
        <v>107</v>
      </c>
      <c r="D2357" s="39" t="n">
        <v>1</v>
      </c>
      <c r="E2357" s="41" t="n">
        <v>34.98</v>
      </c>
      <c r="F2357" s="39" t="s">
        <v>115</v>
      </c>
      <c r="G2357" s="39" t="str">
        <f aca="false">VLOOKUP(C2357,Products!$A$5:$D$24,2,FALSE())</f>
        <v>USB-C Hub</v>
      </c>
      <c r="H2357" s="39" t="str">
        <f aca="false">VLOOKUP(C2357,Products!$A$5:$D$24,3,FALSE())</f>
        <v>Electronics</v>
      </c>
      <c r="I2357" s="41" t="n">
        <f aca="false">VLOOKUP(C2357,Products!$A$5:$D$24,4,FALSE())</f>
        <v>14</v>
      </c>
      <c r="J2357" s="42" t="n">
        <f aca="false">DATE(YEAR(B2357),MONTH(B2357),1)</f>
        <v>45962</v>
      </c>
      <c r="K2357" s="41" t="n">
        <f aca="false">D2357*E2357</f>
        <v>34.98</v>
      </c>
      <c r="L2357" s="41" t="n">
        <f aca="false">D2357*I2357</f>
        <v>14</v>
      </c>
      <c r="M2357" s="41" t="n">
        <f aca="false">IFERROR(INDEX(Raw_Expenses!$C$5:$C$2979,MATCH(A2357,Raw_Expenses!$A$5:$A$2979,0)),0)</f>
        <v>2.83</v>
      </c>
      <c r="N2357" s="41" t="n">
        <f aca="false">L2357+M2357</f>
        <v>16.83</v>
      </c>
      <c r="O2357" s="41" t="n">
        <f aca="false">K2357-N2357</f>
        <v>18.15</v>
      </c>
      <c r="P2357" s="43" t="n">
        <f aca="false">IF(K2357=0,0,O2357/K2357)</f>
        <v>0.518867924528302</v>
      </c>
    </row>
    <row r="2358" customFormat="false" ht="15" hidden="false" customHeight="false" outlineLevel="0" collapsed="false">
      <c r="A2358" s="39" t="s">
        <v>2480</v>
      </c>
      <c r="B2358" s="40" t="n">
        <v>45969</v>
      </c>
      <c r="C2358" s="39" t="s">
        <v>139</v>
      </c>
      <c r="D2358" s="39" t="n">
        <v>2</v>
      </c>
      <c r="E2358" s="41" t="n">
        <v>120.44</v>
      </c>
      <c r="F2358" s="39" t="s">
        <v>118</v>
      </c>
      <c r="G2358" s="39" t="str">
        <f aca="false">VLOOKUP(C2358,Products!$A$5:$D$24,2,FALSE())</f>
        <v>Noise-Cancelling Headphones</v>
      </c>
      <c r="H2358" s="39" t="str">
        <f aca="false">VLOOKUP(C2358,Products!$A$5:$D$24,3,FALSE())</f>
        <v>Electronics</v>
      </c>
      <c r="I2358" s="41" t="n">
        <f aca="false">VLOOKUP(C2358,Products!$A$5:$D$24,4,FALSE())</f>
        <v>55</v>
      </c>
      <c r="J2358" s="42" t="n">
        <f aca="false">DATE(YEAR(B2358),MONTH(B2358),1)</f>
        <v>45962</v>
      </c>
      <c r="K2358" s="41" t="n">
        <f aca="false">D2358*E2358</f>
        <v>240.88</v>
      </c>
      <c r="L2358" s="41" t="n">
        <f aca="false">D2358*I2358</f>
        <v>110</v>
      </c>
      <c r="M2358" s="41" t="n">
        <f aca="false">IFERROR(INDEX(Raw_Expenses!$C$5:$C$2979,MATCH(A2358,Raw_Expenses!$A$5:$A$2979,0)),0)</f>
        <v>20.09</v>
      </c>
      <c r="N2358" s="41" t="n">
        <f aca="false">L2358+M2358</f>
        <v>130.09</v>
      </c>
      <c r="O2358" s="41" t="n">
        <f aca="false">K2358-N2358</f>
        <v>110.79</v>
      </c>
      <c r="P2358" s="43" t="n">
        <f aca="false">IF(K2358=0,0,O2358/K2358)</f>
        <v>0.459938558618399</v>
      </c>
    </row>
    <row r="2359" customFormat="false" ht="15" hidden="false" customHeight="false" outlineLevel="0" collapsed="false">
      <c r="A2359" s="39" t="s">
        <v>2481</v>
      </c>
      <c r="B2359" s="40" t="n">
        <v>45969</v>
      </c>
      <c r="C2359" s="39" t="s">
        <v>139</v>
      </c>
      <c r="D2359" s="39" t="n">
        <v>4</v>
      </c>
      <c r="E2359" s="41" t="n">
        <v>127.36</v>
      </c>
      <c r="F2359" s="39" t="s">
        <v>108</v>
      </c>
      <c r="G2359" s="39" t="str">
        <f aca="false">VLOOKUP(C2359,Products!$A$5:$D$24,2,FALSE())</f>
        <v>Noise-Cancelling Headphones</v>
      </c>
      <c r="H2359" s="39" t="str">
        <f aca="false">VLOOKUP(C2359,Products!$A$5:$D$24,3,FALSE())</f>
        <v>Electronics</v>
      </c>
      <c r="I2359" s="41" t="n">
        <f aca="false">VLOOKUP(C2359,Products!$A$5:$D$24,4,FALSE())</f>
        <v>55</v>
      </c>
      <c r="J2359" s="42" t="n">
        <f aca="false">DATE(YEAR(B2359),MONTH(B2359),1)</f>
        <v>45962</v>
      </c>
      <c r="K2359" s="41" t="n">
        <f aca="false">D2359*E2359</f>
        <v>509.44</v>
      </c>
      <c r="L2359" s="41" t="n">
        <f aca="false">D2359*I2359</f>
        <v>220</v>
      </c>
      <c r="M2359" s="41" t="n">
        <f aca="false">IFERROR(INDEX(Raw_Expenses!$C$5:$C$2979,MATCH(A2359,Raw_Expenses!$A$5:$A$2979,0)),0)</f>
        <v>29.74</v>
      </c>
      <c r="N2359" s="41" t="n">
        <f aca="false">L2359+M2359</f>
        <v>249.74</v>
      </c>
      <c r="O2359" s="41" t="n">
        <f aca="false">K2359-N2359</f>
        <v>259.7</v>
      </c>
      <c r="P2359" s="43" t="n">
        <f aca="false">IF(K2359=0,0,O2359/K2359)</f>
        <v>0.509775439698493</v>
      </c>
    </row>
    <row r="2360" customFormat="false" ht="15" hidden="false" customHeight="false" outlineLevel="0" collapsed="false">
      <c r="A2360" s="39" t="s">
        <v>2482</v>
      </c>
      <c r="B2360" s="40" t="n">
        <v>45969</v>
      </c>
      <c r="C2360" s="39" t="s">
        <v>107</v>
      </c>
      <c r="D2360" s="39" t="n">
        <v>1</v>
      </c>
      <c r="E2360" s="41" t="n">
        <v>33.27</v>
      </c>
      <c r="F2360" s="39" t="s">
        <v>108</v>
      </c>
      <c r="G2360" s="39" t="str">
        <f aca="false">VLOOKUP(C2360,Products!$A$5:$D$24,2,FALSE())</f>
        <v>USB-C Hub</v>
      </c>
      <c r="H2360" s="39" t="str">
        <f aca="false">VLOOKUP(C2360,Products!$A$5:$D$24,3,FALSE())</f>
        <v>Electronics</v>
      </c>
      <c r="I2360" s="41" t="n">
        <f aca="false">VLOOKUP(C2360,Products!$A$5:$D$24,4,FALSE())</f>
        <v>14</v>
      </c>
      <c r="J2360" s="42" t="n">
        <f aca="false">DATE(YEAR(B2360),MONTH(B2360),1)</f>
        <v>45962</v>
      </c>
      <c r="K2360" s="41" t="n">
        <f aca="false">D2360*E2360</f>
        <v>33.27</v>
      </c>
      <c r="L2360" s="41" t="n">
        <f aca="false">D2360*I2360</f>
        <v>14</v>
      </c>
      <c r="M2360" s="41" t="n">
        <f aca="false">IFERROR(INDEX(Raw_Expenses!$C$5:$C$2979,MATCH(A2360,Raw_Expenses!$A$5:$A$2979,0)),0)</f>
        <v>0</v>
      </c>
      <c r="N2360" s="41" t="n">
        <f aca="false">L2360+M2360</f>
        <v>14</v>
      </c>
      <c r="O2360" s="41" t="n">
        <f aca="false">K2360-N2360</f>
        <v>19.27</v>
      </c>
      <c r="P2360" s="43" t="n">
        <f aca="false">IF(K2360=0,0,O2360/K2360)</f>
        <v>0.579200480913736</v>
      </c>
    </row>
    <row r="2361" customFormat="false" ht="15" hidden="false" customHeight="false" outlineLevel="0" collapsed="false">
      <c r="A2361" s="39" t="s">
        <v>2483</v>
      </c>
      <c r="B2361" s="40" t="n">
        <v>45969</v>
      </c>
      <c r="C2361" s="39" t="s">
        <v>128</v>
      </c>
      <c r="D2361" s="39" t="n">
        <v>1</v>
      </c>
      <c r="E2361" s="41" t="n">
        <v>38.81</v>
      </c>
      <c r="F2361" s="39" t="s">
        <v>118</v>
      </c>
      <c r="G2361" s="39" t="str">
        <f aca="false">VLOOKUP(C2361,Products!$A$5:$D$24,2,FALSE())</f>
        <v>Ergonomic Footrest</v>
      </c>
      <c r="H2361" s="39" t="str">
        <f aca="false">VLOOKUP(C2361,Products!$A$5:$D$24,3,FALSE())</f>
        <v>Furniture</v>
      </c>
      <c r="I2361" s="41" t="n">
        <f aca="false">VLOOKUP(C2361,Products!$A$5:$D$24,4,FALSE())</f>
        <v>15</v>
      </c>
      <c r="J2361" s="42" t="n">
        <f aca="false">DATE(YEAR(B2361),MONTH(B2361),1)</f>
        <v>45962</v>
      </c>
      <c r="K2361" s="41" t="n">
        <f aca="false">D2361*E2361</f>
        <v>38.81</v>
      </c>
      <c r="L2361" s="41" t="n">
        <f aca="false">D2361*I2361</f>
        <v>15</v>
      </c>
      <c r="M2361" s="41" t="n">
        <f aca="false">IFERROR(INDEX(Raw_Expenses!$C$5:$C$2979,MATCH(A2361,Raw_Expenses!$A$5:$A$2979,0)),0)</f>
        <v>2.53</v>
      </c>
      <c r="N2361" s="41" t="n">
        <f aca="false">L2361+M2361</f>
        <v>17.53</v>
      </c>
      <c r="O2361" s="41" t="n">
        <f aca="false">K2361-N2361</f>
        <v>21.28</v>
      </c>
      <c r="P2361" s="43" t="n">
        <f aca="false">IF(K2361=0,0,O2361/K2361)</f>
        <v>0.548312290646741</v>
      </c>
    </row>
    <row r="2362" customFormat="false" ht="15" hidden="false" customHeight="false" outlineLevel="0" collapsed="false">
      <c r="A2362" s="39" t="s">
        <v>2484</v>
      </c>
      <c r="B2362" s="40" t="n">
        <v>45969</v>
      </c>
      <c r="C2362" s="39" t="s">
        <v>136</v>
      </c>
      <c r="D2362" s="39" t="n">
        <v>4</v>
      </c>
      <c r="E2362" s="41" t="n">
        <v>74.75</v>
      </c>
      <c r="F2362" s="39" t="s">
        <v>118</v>
      </c>
      <c r="G2362" s="39" t="str">
        <f aca="false">VLOOKUP(C2362,Products!$A$5:$D$24,2,FALSE())</f>
        <v>Mechanical Keyboard</v>
      </c>
      <c r="H2362" s="39" t="str">
        <f aca="false">VLOOKUP(C2362,Products!$A$5:$D$24,3,FALSE())</f>
        <v>Electronics</v>
      </c>
      <c r="I2362" s="41" t="n">
        <f aca="false">VLOOKUP(C2362,Products!$A$5:$D$24,4,FALSE())</f>
        <v>38</v>
      </c>
      <c r="J2362" s="42" t="n">
        <f aca="false">DATE(YEAR(B2362),MONTH(B2362),1)</f>
        <v>45962</v>
      </c>
      <c r="K2362" s="41" t="n">
        <f aca="false">D2362*E2362</f>
        <v>299</v>
      </c>
      <c r="L2362" s="41" t="n">
        <f aca="false">D2362*I2362</f>
        <v>152</v>
      </c>
      <c r="M2362" s="41" t="n">
        <f aca="false">IFERROR(INDEX(Raw_Expenses!$C$5:$C$2979,MATCH(A2362,Raw_Expenses!$A$5:$A$2979,0)),0)</f>
        <v>14.86</v>
      </c>
      <c r="N2362" s="41" t="n">
        <f aca="false">L2362+M2362</f>
        <v>166.86</v>
      </c>
      <c r="O2362" s="41" t="n">
        <f aca="false">K2362-N2362</f>
        <v>132.14</v>
      </c>
      <c r="P2362" s="43" t="n">
        <f aca="false">IF(K2362=0,0,O2362/K2362)</f>
        <v>0.441939799331104</v>
      </c>
    </row>
    <row r="2363" customFormat="false" ht="15" hidden="false" customHeight="false" outlineLevel="0" collapsed="false">
      <c r="A2363" s="39" t="s">
        <v>2485</v>
      </c>
      <c r="B2363" s="40" t="n">
        <v>45970</v>
      </c>
      <c r="C2363" s="39" t="s">
        <v>110</v>
      </c>
      <c r="D2363" s="39" t="n">
        <v>1</v>
      </c>
      <c r="E2363" s="41" t="n">
        <v>13.68</v>
      </c>
      <c r="F2363" s="39" t="s">
        <v>108</v>
      </c>
      <c r="G2363" s="39" t="str">
        <f aca="false">VLOOKUP(C2363,Products!$A$5:$D$24,2,FALSE())</f>
        <v>Phone Stand</v>
      </c>
      <c r="H2363" s="39" t="str">
        <f aca="false">VLOOKUP(C2363,Products!$A$5:$D$24,3,FALSE())</f>
        <v>Accessories</v>
      </c>
      <c r="I2363" s="41" t="n">
        <f aca="false">VLOOKUP(C2363,Products!$A$5:$D$24,4,FALSE())</f>
        <v>4</v>
      </c>
      <c r="J2363" s="42" t="n">
        <f aca="false">DATE(YEAR(B2363),MONTH(B2363),1)</f>
        <v>45962</v>
      </c>
      <c r="K2363" s="41" t="n">
        <f aca="false">D2363*E2363</f>
        <v>13.68</v>
      </c>
      <c r="L2363" s="41" t="n">
        <f aca="false">D2363*I2363</f>
        <v>4</v>
      </c>
      <c r="M2363" s="41" t="n">
        <f aca="false">IFERROR(INDEX(Raw_Expenses!$C$5:$C$2979,MATCH(A2363,Raw_Expenses!$A$5:$A$2979,0)),0)</f>
        <v>1.15</v>
      </c>
      <c r="N2363" s="41" t="n">
        <f aca="false">L2363+M2363</f>
        <v>5.15</v>
      </c>
      <c r="O2363" s="41" t="n">
        <f aca="false">K2363-N2363</f>
        <v>8.53</v>
      </c>
      <c r="P2363" s="43" t="n">
        <f aca="false">IF(K2363=0,0,O2363/K2363)</f>
        <v>0.623538011695906</v>
      </c>
    </row>
    <row r="2364" customFormat="false" ht="15" hidden="false" customHeight="false" outlineLevel="0" collapsed="false">
      <c r="A2364" s="39" t="s">
        <v>2486</v>
      </c>
      <c r="B2364" s="40" t="n">
        <v>45970</v>
      </c>
      <c r="C2364" s="39" t="s">
        <v>136</v>
      </c>
      <c r="D2364" s="39" t="n">
        <v>2</v>
      </c>
      <c r="E2364" s="41" t="n">
        <v>78.95</v>
      </c>
      <c r="F2364" s="39" t="s">
        <v>118</v>
      </c>
      <c r="G2364" s="39" t="str">
        <f aca="false">VLOOKUP(C2364,Products!$A$5:$D$24,2,FALSE())</f>
        <v>Mechanical Keyboard</v>
      </c>
      <c r="H2364" s="39" t="str">
        <f aca="false">VLOOKUP(C2364,Products!$A$5:$D$24,3,FALSE())</f>
        <v>Electronics</v>
      </c>
      <c r="I2364" s="41" t="n">
        <f aca="false">VLOOKUP(C2364,Products!$A$5:$D$24,4,FALSE())</f>
        <v>38</v>
      </c>
      <c r="J2364" s="42" t="n">
        <f aca="false">DATE(YEAR(B2364),MONTH(B2364),1)</f>
        <v>45962</v>
      </c>
      <c r="K2364" s="41" t="n">
        <f aca="false">D2364*E2364</f>
        <v>157.9</v>
      </c>
      <c r="L2364" s="41" t="n">
        <f aca="false">D2364*I2364</f>
        <v>76</v>
      </c>
      <c r="M2364" s="41" t="n">
        <f aca="false">IFERROR(INDEX(Raw_Expenses!$C$5:$C$2979,MATCH(A2364,Raw_Expenses!$A$5:$A$2979,0)),0)</f>
        <v>9.92</v>
      </c>
      <c r="N2364" s="41" t="n">
        <f aca="false">L2364+M2364</f>
        <v>85.92</v>
      </c>
      <c r="O2364" s="41" t="n">
        <f aca="false">K2364-N2364</f>
        <v>71.98</v>
      </c>
      <c r="P2364" s="43" t="n">
        <f aca="false">IF(K2364=0,0,O2364/K2364)</f>
        <v>0.455858138062065</v>
      </c>
    </row>
    <row r="2365" customFormat="false" ht="15" hidden="false" customHeight="false" outlineLevel="0" collapsed="false">
      <c r="A2365" s="39" t="s">
        <v>2487</v>
      </c>
      <c r="B2365" s="40" t="n">
        <v>45970</v>
      </c>
      <c r="C2365" s="39" t="s">
        <v>162</v>
      </c>
      <c r="D2365" s="39" t="n">
        <v>3</v>
      </c>
      <c r="E2365" s="41" t="n">
        <v>67.23</v>
      </c>
      <c r="F2365" s="39" t="s">
        <v>108</v>
      </c>
      <c r="G2365" s="39" t="str">
        <f aca="false">VLOOKUP(C2365,Products!$A$5:$D$24,2,FALSE())</f>
        <v>Bluetooth Speaker</v>
      </c>
      <c r="H2365" s="39" t="str">
        <f aca="false">VLOOKUP(C2365,Products!$A$5:$D$24,3,FALSE())</f>
        <v>Electronics</v>
      </c>
      <c r="I2365" s="41" t="n">
        <f aca="false">VLOOKUP(C2365,Products!$A$5:$D$24,4,FALSE())</f>
        <v>28</v>
      </c>
      <c r="J2365" s="42" t="n">
        <f aca="false">DATE(YEAR(B2365),MONTH(B2365),1)</f>
        <v>45962</v>
      </c>
      <c r="K2365" s="41" t="n">
        <f aca="false">D2365*E2365</f>
        <v>201.69</v>
      </c>
      <c r="L2365" s="41" t="n">
        <f aca="false">D2365*I2365</f>
        <v>84</v>
      </c>
      <c r="M2365" s="41" t="n">
        <f aca="false">IFERROR(INDEX(Raw_Expenses!$C$5:$C$2979,MATCH(A2365,Raw_Expenses!$A$5:$A$2979,0)),0)</f>
        <v>8.79</v>
      </c>
      <c r="N2365" s="41" t="n">
        <f aca="false">L2365+M2365</f>
        <v>92.79</v>
      </c>
      <c r="O2365" s="41" t="n">
        <f aca="false">K2365-N2365</f>
        <v>108.9</v>
      </c>
      <c r="P2365" s="43" t="n">
        <f aca="false">IF(K2365=0,0,O2365/K2365)</f>
        <v>0.539937527889335</v>
      </c>
    </row>
    <row r="2366" customFormat="false" ht="15" hidden="false" customHeight="false" outlineLevel="0" collapsed="false">
      <c r="A2366" s="39" t="s">
        <v>2488</v>
      </c>
      <c r="B2366" s="40" t="n">
        <v>45970</v>
      </c>
      <c r="C2366" s="39" t="s">
        <v>130</v>
      </c>
      <c r="D2366" s="39" t="n">
        <v>1</v>
      </c>
      <c r="E2366" s="41" t="n">
        <v>8.9</v>
      </c>
      <c r="F2366" s="39" t="s">
        <v>108</v>
      </c>
      <c r="G2366" s="39" t="str">
        <f aca="false">VLOOKUP(C2366,Products!$A$5:$D$24,2,FALSE())</f>
        <v>Notebook Set</v>
      </c>
      <c r="H2366" s="39" t="str">
        <f aca="false">VLOOKUP(C2366,Products!$A$5:$D$24,3,FALSE())</f>
        <v>Stationery</v>
      </c>
      <c r="I2366" s="41" t="n">
        <f aca="false">VLOOKUP(C2366,Products!$A$5:$D$24,4,FALSE())</f>
        <v>3</v>
      </c>
      <c r="J2366" s="42" t="n">
        <f aca="false">DATE(YEAR(B2366),MONTH(B2366),1)</f>
        <v>45962</v>
      </c>
      <c r="K2366" s="41" t="n">
        <f aca="false">D2366*E2366</f>
        <v>8.9</v>
      </c>
      <c r="L2366" s="41" t="n">
        <f aca="false">D2366*I2366</f>
        <v>3</v>
      </c>
      <c r="M2366" s="41" t="n">
        <f aca="false">IFERROR(INDEX(Raw_Expenses!$C$5:$C$2979,MATCH(A2366,Raw_Expenses!$A$5:$A$2979,0)),0)</f>
        <v>0.51</v>
      </c>
      <c r="N2366" s="41" t="n">
        <f aca="false">L2366+M2366</f>
        <v>3.51</v>
      </c>
      <c r="O2366" s="41" t="n">
        <f aca="false">K2366-N2366</f>
        <v>5.39</v>
      </c>
      <c r="P2366" s="43" t="n">
        <f aca="false">IF(K2366=0,0,O2366/K2366)</f>
        <v>0.60561797752809</v>
      </c>
    </row>
    <row r="2367" customFormat="false" ht="15" hidden="false" customHeight="false" outlineLevel="0" collapsed="false">
      <c r="A2367" s="39" t="s">
        <v>2489</v>
      </c>
      <c r="B2367" s="40" t="n">
        <v>45970</v>
      </c>
      <c r="C2367" s="39" t="s">
        <v>177</v>
      </c>
      <c r="D2367" s="39" t="n">
        <v>2</v>
      </c>
      <c r="E2367" s="41" t="n">
        <v>42.13</v>
      </c>
      <c r="F2367" s="39" t="s">
        <v>108</v>
      </c>
      <c r="G2367" s="39" t="str">
        <f aca="false">VLOOKUP(C2367,Products!$A$5:$D$24,2,FALSE())</f>
        <v>Backpack</v>
      </c>
      <c r="H2367" s="39" t="str">
        <f aca="false">VLOOKUP(C2367,Products!$A$5:$D$24,3,FALSE())</f>
        <v>Accessories</v>
      </c>
      <c r="I2367" s="41" t="n">
        <f aca="false">VLOOKUP(C2367,Products!$A$5:$D$24,4,FALSE())</f>
        <v>17</v>
      </c>
      <c r="J2367" s="42" t="n">
        <f aca="false">DATE(YEAR(B2367),MONTH(B2367),1)</f>
        <v>45962</v>
      </c>
      <c r="K2367" s="41" t="n">
        <f aca="false">D2367*E2367</f>
        <v>84.26</v>
      </c>
      <c r="L2367" s="41" t="n">
        <f aca="false">D2367*I2367</f>
        <v>34</v>
      </c>
      <c r="M2367" s="41" t="n">
        <f aca="false">IFERROR(INDEX(Raw_Expenses!$C$5:$C$2979,MATCH(A2367,Raw_Expenses!$A$5:$A$2979,0)),0)</f>
        <v>5.46</v>
      </c>
      <c r="N2367" s="41" t="n">
        <f aca="false">L2367+M2367</f>
        <v>39.46</v>
      </c>
      <c r="O2367" s="41" t="n">
        <f aca="false">K2367-N2367</f>
        <v>44.8</v>
      </c>
      <c r="P2367" s="43" t="n">
        <f aca="false">IF(K2367=0,0,O2367/K2367)</f>
        <v>0.53168763351531</v>
      </c>
    </row>
    <row r="2368" customFormat="false" ht="15" hidden="false" customHeight="false" outlineLevel="0" collapsed="false">
      <c r="A2368" s="39" t="s">
        <v>2490</v>
      </c>
      <c r="B2368" s="40" t="n">
        <v>45970</v>
      </c>
      <c r="C2368" s="39" t="s">
        <v>126</v>
      </c>
      <c r="D2368" s="39" t="n">
        <v>1</v>
      </c>
      <c r="E2368" s="41" t="n">
        <v>23.85</v>
      </c>
      <c r="F2368" s="39" t="s">
        <v>118</v>
      </c>
      <c r="G2368" s="39" t="str">
        <f aca="false">VLOOKUP(C2368,Products!$A$5:$D$24,2,FALSE())</f>
        <v>Wireless Mouse</v>
      </c>
      <c r="H2368" s="39" t="str">
        <f aca="false">VLOOKUP(C2368,Products!$A$5:$D$24,3,FALSE())</f>
        <v>Electronics</v>
      </c>
      <c r="I2368" s="41" t="n">
        <f aca="false">VLOOKUP(C2368,Products!$A$5:$D$24,4,FALSE())</f>
        <v>12</v>
      </c>
      <c r="J2368" s="42" t="n">
        <f aca="false">DATE(YEAR(B2368),MONTH(B2368),1)</f>
        <v>45962</v>
      </c>
      <c r="K2368" s="41" t="n">
        <f aca="false">D2368*E2368</f>
        <v>23.85</v>
      </c>
      <c r="L2368" s="41" t="n">
        <f aca="false">D2368*I2368</f>
        <v>12</v>
      </c>
      <c r="M2368" s="41" t="n">
        <f aca="false">IFERROR(INDEX(Raw_Expenses!$C$5:$C$2979,MATCH(A2368,Raw_Expenses!$A$5:$A$2979,0)),0)</f>
        <v>1.78</v>
      </c>
      <c r="N2368" s="41" t="n">
        <f aca="false">L2368+M2368</f>
        <v>13.78</v>
      </c>
      <c r="O2368" s="41" t="n">
        <f aca="false">K2368-N2368</f>
        <v>10.07</v>
      </c>
      <c r="P2368" s="43" t="n">
        <f aca="false">IF(K2368=0,0,O2368/K2368)</f>
        <v>0.422222222222222</v>
      </c>
    </row>
    <row r="2369" customFormat="false" ht="15" hidden="false" customHeight="false" outlineLevel="0" collapsed="false">
      <c r="A2369" s="39" t="s">
        <v>2491</v>
      </c>
      <c r="B2369" s="40" t="n">
        <v>45970</v>
      </c>
      <c r="C2369" s="39" t="s">
        <v>139</v>
      </c>
      <c r="D2369" s="39" t="n">
        <v>3</v>
      </c>
      <c r="E2369" s="41" t="n">
        <v>125.72</v>
      </c>
      <c r="F2369" s="39" t="s">
        <v>108</v>
      </c>
      <c r="G2369" s="39" t="str">
        <f aca="false">VLOOKUP(C2369,Products!$A$5:$D$24,2,FALSE())</f>
        <v>Noise-Cancelling Headphones</v>
      </c>
      <c r="H2369" s="39" t="str">
        <f aca="false">VLOOKUP(C2369,Products!$A$5:$D$24,3,FALSE())</f>
        <v>Electronics</v>
      </c>
      <c r="I2369" s="41" t="n">
        <f aca="false">VLOOKUP(C2369,Products!$A$5:$D$24,4,FALSE())</f>
        <v>55</v>
      </c>
      <c r="J2369" s="42" t="n">
        <f aca="false">DATE(YEAR(B2369),MONTH(B2369),1)</f>
        <v>45962</v>
      </c>
      <c r="K2369" s="41" t="n">
        <f aca="false">D2369*E2369</f>
        <v>377.16</v>
      </c>
      <c r="L2369" s="41" t="n">
        <f aca="false">D2369*I2369</f>
        <v>165</v>
      </c>
      <c r="M2369" s="41" t="n">
        <f aca="false">IFERROR(INDEX(Raw_Expenses!$C$5:$C$2979,MATCH(A2369,Raw_Expenses!$A$5:$A$2979,0)),0)</f>
        <v>28.16</v>
      </c>
      <c r="N2369" s="41" t="n">
        <f aca="false">L2369+M2369</f>
        <v>193.16</v>
      </c>
      <c r="O2369" s="41" t="n">
        <f aca="false">K2369-N2369</f>
        <v>184</v>
      </c>
      <c r="P2369" s="43" t="n">
        <f aca="false">IF(K2369=0,0,O2369/K2369)</f>
        <v>0.487856612578216</v>
      </c>
    </row>
    <row r="2370" customFormat="false" ht="15" hidden="false" customHeight="false" outlineLevel="0" collapsed="false">
      <c r="A2370" s="39" t="s">
        <v>2492</v>
      </c>
      <c r="B2370" s="40" t="n">
        <v>45970</v>
      </c>
      <c r="C2370" s="39" t="s">
        <v>104</v>
      </c>
      <c r="D2370" s="39" t="n">
        <v>3</v>
      </c>
      <c r="E2370" s="41" t="n">
        <v>15.09</v>
      </c>
      <c r="F2370" s="39" t="s">
        <v>108</v>
      </c>
      <c r="G2370" s="39" t="str">
        <f aca="false">VLOOKUP(C2370,Products!$A$5:$D$24,2,FALSE())</f>
        <v>Water Bottle</v>
      </c>
      <c r="H2370" s="39" t="str">
        <f aca="false">VLOOKUP(C2370,Products!$A$5:$D$24,3,FALSE())</f>
        <v>Accessories</v>
      </c>
      <c r="I2370" s="41" t="n">
        <f aca="false">VLOOKUP(C2370,Products!$A$5:$D$24,4,FALSE())</f>
        <v>5</v>
      </c>
      <c r="J2370" s="42" t="n">
        <f aca="false">DATE(YEAR(B2370),MONTH(B2370),1)</f>
        <v>45962</v>
      </c>
      <c r="K2370" s="41" t="n">
        <f aca="false">D2370*E2370</f>
        <v>45.27</v>
      </c>
      <c r="L2370" s="41" t="n">
        <f aca="false">D2370*I2370</f>
        <v>15</v>
      </c>
      <c r="M2370" s="41" t="n">
        <f aca="false">IFERROR(INDEX(Raw_Expenses!$C$5:$C$2979,MATCH(A2370,Raw_Expenses!$A$5:$A$2979,0)),0)</f>
        <v>3.56</v>
      </c>
      <c r="N2370" s="41" t="n">
        <f aca="false">L2370+M2370</f>
        <v>18.56</v>
      </c>
      <c r="O2370" s="41" t="n">
        <f aca="false">K2370-N2370</f>
        <v>26.71</v>
      </c>
      <c r="P2370" s="43" t="n">
        <f aca="false">IF(K2370=0,0,O2370/K2370)</f>
        <v>0.590015462778882</v>
      </c>
    </row>
    <row r="2371" customFormat="false" ht="15" hidden="false" customHeight="false" outlineLevel="0" collapsed="false">
      <c r="A2371" s="39" t="s">
        <v>2493</v>
      </c>
      <c r="B2371" s="40" t="n">
        <v>45970</v>
      </c>
      <c r="C2371" s="39" t="s">
        <v>130</v>
      </c>
      <c r="D2371" s="39" t="n">
        <v>3</v>
      </c>
      <c r="E2371" s="41" t="n">
        <v>8.92</v>
      </c>
      <c r="F2371" s="39" t="s">
        <v>108</v>
      </c>
      <c r="G2371" s="39" t="str">
        <f aca="false">VLOOKUP(C2371,Products!$A$5:$D$24,2,FALSE())</f>
        <v>Notebook Set</v>
      </c>
      <c r="H2371" s="39" t="str">
        <f aca="false">VLOOKUP(C2371,Products!$A$5:$D$24,3,FALSE())</f>
        <v>Stationery</v>
      </c>
      <c r="I2371" s="41" t="n">
        <f aca="false">VLOOKUP(C2371,Products!$A$5:$D$24,4,FALSE())</f>
        <v>3</v>
      </c>
      <c r="J2371" s="42" t="n">
        <f aca="false">DATE(YEAR(B2371),MONTH(B2371),1)</f>
        <v>45962</v>
      </c>
      <c r="K2371" s="41" t="n">
        <f aca="false">D2371*E2371</f>
        <v>26.76</v>
      </c>
      <c r="L2371" s="41" t="n">
        <f aca="false">D2371*I2371</f>
        <v>9</v>
      </c>
      <c r="M2371" s="41" t="n">
        <f aca="false">IFERROR(INDEX(Raw_Expenses!$C$5:$C$2979,MATCH(A2371,Raw_Expenses!$A$5:$A$2979,0)),0)</f>
        <v>2.14</v>
      </c>
      <c r="N2371" s="41" t="n">
        <f aca="false">L2371+M2371</f>
        <v>11.14</v>
      </c>
      <c r="O2371" s="41" t="n">
        <f aca="false">K2371-N2371</f>
        <v>15.62</v>
      </c>
      <c r="P2371" s="43" t="n">
        <f aca="false">IF(K2371=0,0,O2371/K2371)</f>
        <v>0.583707025411061</v>
      </c>
    </row>
    <row r="2372" customFormat="false" ht="15" hidden="false" customHeight="false" outlineLevel="0" collapsed="false">
      <c r="A2372" s="39" t="s">
        <v>2494</v>
      </c>
      <c r="B2372" s="40" t="n">
        <v>45970</v>
      </c>
      <c r="C2372" s="39" t="s">
        <v>162</v>
      </c>
      <c r="D2372" s="39" t="n">
        <v>2</v>
      </c>
      <c r="E2372" s="41" t="n">
        <v>66.32</v>
      </c>
      <c r="F2372" s="39" t="s">
        <v>108</v>
      </c>
      <c r="G2372" s="39" t="str">
        <f aca="false">VLOOKUP(C2372,Products!$A$5:$D$24,2,FALSE())</f>
        <v>Bluetooth Speaker</v>
      </c>
      <c r="H2372" s="39" t="str">
        <f aca="false">VLOOKUP(C2372,Products!$A$5:$D$24,3,FALSE())</f>
        <v>Electronics</v>
      </c>
      <c r="I2372" s="41" t="n">
        <f aca="false">VLOOKUP(C2372,Products!$A$5:$D$24,4,FALSE())</f>
        <v>28</v>
      </c>
      <c r="J2372" s="42" t="n">
        <f aca="false">DATE(YEAR(B2372),MONTH(B2372),1)</f>
        <v>45962</v>
      </c>
      <c r="K2372" s="41" t="n">
        <f aca="false">D2372*E2372</f>
        <v>132.64</v>
      </c>
      <c r="L2372" s="41" t="n">
        <f aca="false">D2372*I2372</f>
        <v>56</v>
      </c>
      <c r="M2372" s="41" t="n">
        <f aca="false">IFERROR(INDEX(Raw_Expenses!$C$5:$C$2979,MATCH(A2372,Raw_Expenses!$A$5:$A$2979,0)),0)</f>
        <v>8.33</v>
      </c>
      <c r="N2372" s="41" t="n">
        <f aca="false">L2372+M2372</f>
        <v>64.33</v>
      </c>
      <c r="O2372" s="41" t="n">
        <f aca="false">K2372-N2372</f>
        <v>68.31</v>
      </c>
      <c r="P2372" s="43" t="n">
        <f aca="false">IF(K2372=0,0,O2372/K2372)</f>
        <v>0.515003015681544</v>
      </c>
    </row>
    <row r="2373" customFormat="false" ht="15" hidden="false" customHeight="false" outlineLevel="0" collapsed="false">
      <c r="A2373" s="39" t="s">
        <v>2495</v>
      </c>
      <c r="B2373" s="40" t="n">
        <v>45970</v>
      </c>
      <c r="C2373" s="39" t="s">
        <v>104</v>
      </c>
      <c r="D2373" s="39" t="n">
        <v>1</v>
      </c>
      <c r="E2373" s="41" t="n">
        <v>15.17</v>
      </c>
      <c r="F2373" s="39" t="s">
        <v>118</v>
      </c>
      <c r="G2373" s="39" t="str">
        <f aca="false">VLOOKUP(C2373,Products!$A$5:$D$24,2,FALSE())</f>
        <v>Water Bottle</v>
      </c>
      <c r="H2373" s="39" t="str">
        <f aca="false">VLOOKUP(C2373,Products!$A$5:$D$24,3,FALSE())</f>
        <v>Accessories</v>
      </c>
      <c r="I2373" s="41" t="n">
        <f aca="false">VLOOKUP(C2373,Products!$A$5:$D$24,4,FALSE())</f>
        <v>5</v>
      </c>
      <c r="J2373" s="42" t="n">
        <f aca="false">DATE(YEAR(B2373),MONTH(B2373),1)</f>
        <v>45962</v>
      </c>
      <c r="K2373" s="41" t="n">
        <f aca="false">D2373*E2373</f>
        <v>15.17</v>
      </c>
      <c r="L2373" s="41" t="n">
        <f aca="false">D2373*I2373</f>
        <v>5</v>
      </c>
      <c r="M2373" s="41" t="n">
        <f aca="false">IFERROR(INDEX(Raw_Expenses!$C$5:$C$2979,MATCH(A2373,Raw_Expenses!$A$5:$A$2979,0)),0)</f>
        <v>0.89</v>
      </c>
      <c r="N2373" s="41" t="n">
        <f aca="false">L2373+M2373</f>
        <v>5.89</v>
      </c>
      <c r="O2373" s="41" t="n">
        <f aca="false">K2373-N2373</f>
        <v>9.28</v>
      </c>
      <c r="P2373" s="43" t="n">
        <f aca="false">IF(K2373=0,0,O2373/K2373)</f>
        <v>0.611733684904417</v>
      </c>
    </row>
    <row r="2374" customFormat="false" ht="15" hidden="false" customHeight="false" outlineLevel="0" collapsed="false">
      <c r="A2374" s="39" t="s">
        <v>2496</v>
      </c>
      <c r="B2374" s="40" t="n">
        <v>45970</v>
      </c>
      <c r="C2374" s="39" t="s">
        <v>136</v>
      </c>
      <c r="D2374" s="39" t="n">
        <v>1</v>
      </c>
      <c r="E2374" s="41" t="n">
        <v>77.94</v>
      </c>
      <c r="F2374" s="39" t="s">
        <v>115</v>
      </c>
      <c r="G2374" s="39" t="str">
        <f aca="false">VLOOKUP(C2374,Products!$A$5:$D$24,2,FALSE())</f>
        <v>Mechanical Keyboard</v>
      </c>
      <c r="H2374" s="39" t="str">
        <f aca="false">VLOOKUP(C2374,Products!$A$5:$D$24,3,FALSE())</f>
        <v>Electronics</v>
      </c>
      <c r="I2374" s="41" t="n">
        <f aca="false">VLOOKUP(C2374,Products!$A$5:$D$24,4,FALSE())</f>
        <v>38</v>
      </c>
      <c r="J2374" s="42" t="n">
        <f aca="false">DATE(YEAR(B2374),MONTH(B2374),1)</f>
        <v>45962</v>
      </c>
      <c r="K2374" s="41" t="n">
        <f aca="false">D2374*E2374</f>
        <v>77.94</v>
      </c>
      <c r="L2374" s="41" t="n">
        <f aca="false">D2374*I2374</f>
        <v>38</v>
      </c>
      <c r="M2374" s="41" t="n">
        <f aca="false">IFERROR(INDEX(Raw_Expenses!$C$5:$C$2979,MATCH(A2374,Raw_Expenses!$A$5:$A$2979,0)),0)</f>
        <v>5.96</v>
      </c>
      <c r="N2374" s="41" t="n">
        <f aca="false">L2374+M2374</f>
        <v>43.96</v>
      </c>
      <c r="O2374" s="41" t="n">
        <f aca="false">K2374-N2374</f>
        <v>33.98</v>
      </c>
      <c r="P2374" s="43" t="n">
        <f aca="false">IF(K2374=0,0,O2374/K2374)</f>
        <v>0.435976392096484</v>
      </c>
    </row>
    <row r="2375" customFormat="false" ht="15" hidden="false" customHeight="false" outlineLevel="0" collapsed="false">
      <c r="A2375" s="39" t="s">
        <v>2497</v>
      </c>
      <c r="B2375" s="40" t="n">
        <v>45971</v>
      </c>
      <c r="C2375" s="39" t="s">
        <v>126</v>
      </c>
      <c r="D2375" s="39" t="n">
        <v>1</v>
      </c>
      <c r="E2375" s="41" t="n">
        <v>24.18</v>
      </c>
      <c r="F2375" s="39" t="s">
        <v>115</v>
      </c>
      <c r="G2375" s="39" t="str">
        <f aca="false">VLOOKUP(C2375,Products!$A$5:$D$24,2,FALSE())</f>
        <v>Wireless Mouse</v>
      </c>
      <c r="H2375" s="39" t="str">
        <f aca="false">VLOOKUP(C2375,Products!$A$5:$D$24,3,FALSE())</f>
        <v>Electronics</v>
      </c>
      <c r="I2375" s="41" t="n">
        <f aca="false">VLOOKUP(C2375,Products!$A$5:$D$24,4,FALSE())</f>
        <v>12</v>
      </c>
      <c r="J2375" s="42" t="n">
        <f aca="false">DATE(YEAR(B2375),MONTH(B2375),1)</f>
        <v>45962</v>
      </c>
      <c r="K2375" s="41" t="n">
        <f aca="false">D2375*E2375</f>
        <v>24.18</v>
      </c>
      <c r="L2375" s="41" t="n">
        <f aca="false">D2375*I2375</f>
        <v>12</v>
      </c>
      <c r="M2375" s="41" t="n">
        <f aca="false">IFERROR(INDEX(Raw_Expenses!$C$5:$C$2979,MATCH(A2375,Raw_Expenses!$A$5:$A$2979,0)),0)</f>
        <v>2.13</v>
      </c>
      <c r="N2375" s="41" t="n">
        <f aca="false">L2375+M2375</f>
        <v>14.13</v>
      </c>
      <c r="O2375" s="41" t="n">
        <f aca="false">K2375-N2375</f>
        <v>10.05</v>
      </c>
      <c r="P2375" s="43" t="n">
        <f aca="false">IF(K2375=0,0,O2375/K2375)</f>
        <v>0.415632754342432</v>
      </c>
    </row>
    <row r="2376" customFormat="false" ht="15" hidden="false" customHeight="false" outlineLevel="0" collapsed="false">
      <c r="A2376" s="39" t="s">
        <v>2498</v>
      </c>
      <c r="B2376" s="40" t="n">
        <v>45971</v>
      </c>
      <c r="C2376" s="39" t="s">
        <v>112</v>
      </c>
      <c r="D2376" s="39" t="n">
        <v>1</v>
      </c>
      <c r="E2376" s="41" t="n">
        <v>52.89</v>
      </c>
      <c r="F2376" s="39" t="s">
        <v>115</v>
      </c>
      <c r="G2376" s="39" t="str">
        <f aca="false">VLOOKUP(C2376,Products!$A$5:$D$24,2,FALSE())</f>
        <v>HD Webcam</v>
      </c>
      <c r="H2376" s="39" t="str">
        <f aca="false">VLOOKUP(C2376,Products!$A$5:$D$24,3,FALSE())</f>
        <v>Electronics</v>
      </c>
      <c r="I2376" s="41" t="n">
        <f aca="false">VLOOKUP(C2376,Products!$A$5:$D$24,4,FALSE())</f>
        <v>22</v>
      </c>
      <c r="J2376" s="42" t="n">
        <f aca="false">DATE(YEAR(B2376),MONTH(B2376),1)</f>
        <v>45962</v>
      </c>
      <c r="K2376" s="41" t="n">
        <f aca="false">D2376*E2376</f>
        <v>52.89</v>
      </c>
      <c r="L2376" s="41" t="n">
        <f aca="false">D2376*I2376</f>
        <v>22</v>
      </c>
      <c r="M2376" s="41" t="n">
        <f aca="false">IFERROR(INDEX(Raw_Expenses!$C$5:$C$2979,MATCH(A2376,Raw_Expenses!$A$5:$A$2979,0)),0)</f>
        <v>2.86</v>
      </c>
      <c r="N2376" s="41" t="n">
        <f aca="false">L2376+M2376</f>
        <v>24.86</v>
      </c>
      <c r="O2376" s="41" t="n">
        <f aca="false">K2376-N2376</f>
        <v>28.03</v>
      </c>
      <c r="P2376" s="43" t="n">
        <f aca="false">IF(K2376=0,0,O2376/K2376)</f>
        <v>0.529967857818113</v>
      </c>
    </row>
    <row r="2377" customFormat="false" ht="15" hidden="false" customHeight="false" outlineLevel="0" collapsed="false">
      <c r="A2377" s="39" t="s">
        <v>2499</v>
      </c>
      <c r="B2377" s="40" t="n">
        <v>45971</v>
      </c>
      <c r="C2377" s="39" t="s">
        <v>130</v>
      </c>
      <c r="D2377" s="39" t="n">
        <v>2</v>
      </c>
      <c r="E2377" s="41" t="n">
        <v>8.5</v>
      </c>
      <c r="F2377" s="39" t="s">
        <v>108</v>
      </c>
      <c r="G2377" s="39" t="str">
        <f aca="false">VLOOKUP(C2377,Products!$A$5:$D$24,2,FALSE())</f>
        <v>Notebook Set</v>
      </c>
      <c r="H2377" s="39" t="str">
        <f aca="false">VLOOKUP(C2377,Products!$A$5:$D$24,3,FALSE())</f>
        <v>Stationery</v>
      </c>
      <c r="I2377" s="41" t="n">
        <f aca="false">VLOOKUP(C2377,Products!$A$5:$D$24,4,FALSE())</f>
        <v>3</v>
      </c>
      <c r="J2377" s="42" t="n">
        <f aca="false">DATE(YEAR(B2377),MONTH(B2377),1)</f>
        <v>45962</v>
      </c>
      <c r="K2377" s="41" t="n">
        <f aca="false">D2377*E2377</f>
        <v>17</v>
      </c>
      <c r="L2377" s="41" t="n">
        <f aca="false">D2377*I2377</f>
        <v>6</v>
      </c>
      <c r="M2377" s="41" t="n">
        <f aca="false">IFERROR(INDEX(Raw_Expenses!$C$5:$C$2979,MATCH(A2377,Raw_Expenses!$A$5:$A$2979,0)),0)</f>
        <v>1.29</v>
      </c>
      <c r="N2377" s="41" t="n">
        <f aca="false">L2377+M2377</f>
        <v>7.29</v>
      </c>
      <c r="O2377" s="41" t="n">
        <f aca="false">K2377-N2377</f>
        <v>9.71</v>
      </c>
      <c r="P2377" s="43" t="n">
        <f aca="false">IF(K2377=0,0,O2377/K2377)</f>
        <v>0.571176470588235</v>
      </c>
    </row>
    <row r="2378" customFormat="false" ht="15" hidden="false" customHeight="false" outlineLevel="0" collapsed="false">
      <c r="A2378" s="39" t="s">
        <v>2500</v>
      </c>
      <c r="B2378" s="40" t="n">
        <v>45971</v>
      </c>
      <c r="C2378" s="39" t="s">
        <v>104</v>
      </c>
      <c r="D2378" s="39" t="n">
        <v>6</v>
      </c>
      <c r="E2378" s="41" t="n">
        <v>15.48</v>
      </c>
      <c r="F2378" s="39" t="s">
        <v>105</v>
      </c>
      <c r="G2378" s="39" t="str">
        <f aca="false">VLOOKUP(C2378,Products!$A$5:$D$24,2,FALSE())</f>
        <v>Water Bottle</v>
      </c>
      <c r="H2378" s="39" t="str">
        <f aca="false">VLOOKUP(C2378,Products!$A$5:$D$24,3,FALSE())</f>
        <v>Accessories</v>
      </c>
      <c r="I2378" s="41" t="n">
        <f aca="false">VLOOKUP(C2378,Products!$A$5:$D$24,4,FALSE())</f>
        <v>5</v>
      </c>
      <c r="J2378" s="42" t="n">
        <f aca="false">DATE(YEAR(B2378),MONTH(B2378),1)</f>
        <v>45962</v>
      </c>
      <c r="K2378" s="41" t="n">
        <f aca="false">D2378*E2378</f>
        <v>92.88</v>
      </c>
      <c r="L2378" s="41" t="n">
        <f aca="false">D2378*I2378</f>
        <v>30</v>
      </c>
      <c r="M2378" s="41" t="n">
        <f aca="false">IFERROR(INDEX(Raw_Expenses!$C$5:$C$2979,MATCH(A2378,Raw_Expenses!$A$5:$A$2979,0)),0)</f>
        <v>7.63</v>
      </c>
      <c r="N2378" s="41" t="n">
        <f aca="false">L2378+M2378</f>
        <v>37.63</v>
      </c>
      <c r="O2378" s="41" t="n">
        <f aca="false">K2378-N2378</f>
        <v>55.25</v>
      </c>
      <c r="P2378" s="43" t="n">
        <f aca="false">IF(K2378=0,0,O2378/K2378)</f>
        <v>0.594853574504737</v>
      </c>
    </row>
    <row r="2379" customFormat="false" ht="15" hidden="false" customHeight="false" outlineLevel="0" collapsed="false">
      <c r="A2379" s="39" t="s">
        <v>2501</v>
      </c>
      <c r="B2379" s="40" t="n">
        <v>45971</v>
      </c>
      <c r="C2379" s="39" t="s">
        <v>126</v>
      </c>
      <c r="D2379" s="39" t="n">
        <v>1</v>
      </c>
      <c r="E2379" s="41" t="n">
        <v>23.6</v>
      </c>
      <c r="F2379" s="39" t="s">
        <v>118</v>
      </c>
      <c r="G2379" s="39" t="str">
        <f aca="false">VLOOKUP(C2379,Products!$A$5:$D$24,2,FALSE())</f>
        <v>Wireless Mouse</v>
      </c>
      <c r="H2379" s="39" t="str">
        <f aca="false">VLOOKUP(C2379,Products!$A$5:$D$24,3,FALSE())</f>
        <v>Electronics</v>
      </c>
      <c r="I2379" s="41" t="n">
        <f aca="false">VLOOKUP(C2379,Products!$A$5:$D$24,4,FALSE())</f>
        <v>12</v>
      </c>
      <c r="J2379" s="42" t="n">
        <f aca="false">DATE(YEAR(B2379),MONTH(B2379),1)</f>
        <v>45962</v>
      </c>
      <c r="K2379" s="41" t="n">
        <f aca="false">D2379*E2379</f>
        <v>23.6</v>
      </c>
      <c r="L2379" s="41" t="n">
        <f aca="false">D2379*I2379</f>
        <v>12</v>
      </c>
      <c r="M2379" s="41" t="n">
        <f aca="false">IFERROR(INDEX(Raw_Expenses!$C$5:$C$2979,MATCH(A2379,Raw_Expenses!$A$5:$A$2979,0)),0)</f>
        <v>1.79</v>
      </c>
      <c r="N2379" s="41" t="n">
        <f aca="false">L2379+M2379</f>
        <v>13.79</v>
      </c>
      <c r="O2379" s="41" t="n">
        <f aca="false">K2379-N2379</f>
        <v>9.81</v>
      </c>
      <c r="P2379" s="43" t="n">
        <f aca="false">IF(K2379=0,0,O2379/K2379)</f>
        <v>0.415677966101695</v>
      </c>
    </row>
    <row r="2380" customFormat="false" ht="15" hidden="false" customHeight="false" outlineLevel="0" collapsed="false">
      <c r="A2380" s="39" t="s">
        <v>2502</v>
      </c>
      <c r="B2380" s="40" t="n">
        <v>45971</v>
      </c>
      <c r="C2380" s="39" t="s">
        <v>112</v>
      </c>
      <c r="D2380" s="39" t="n">
        <v>5</v>
      </c>
      <c r="E2380" s="41" t="n">
        <v>54.22</v>
      </c>
      <c r="F2380" s="39" t="s">
        <v>118</v>
      </c>
      <c r="G2380" s="39" t="str">
        <f aca="false">VLOOKUP(C2380,Products!$A$5:$D$24,2,FALSE())</f>
        <v>HD Webcam</v>
      </c>
      <c r="H2380" s="39" t="str">
        <f aca="false">VLOOKUP(C2380,Products!$A$5:$D$24,3,FALSE())</f>
        <v>Electronics</v>
      </c>
      <c r="I2380" s="41" t="n">
        <f aca="false">VLOOKUP(C2380,Products!$A$5:$D$24,4,FALSE())</f>
        <v>22</v>
      </c>
      <c r="J2380" s="42" t="n">
        <f aca="false">DATE(YEAR(B2380),MONTH(B2380),1)</f>
        <v>45962</v>
      </c>
      <c r="K2380" s="41" t="n">
        <f aca="false">D2380*E2380</f>
        <v>271.1</v>
      </c>
      <c r="L2380" s="41" t="n">
        <f aca="false">D2380*I2380</f>
        <v>110</v>
      </c>
      <c r="M2380" s="41" t="n">
        <f aca="false">IFERROR(INDEX(Raw_Expenses!$C$5:$C$2979,MATCH(A2380,Raw_Expenses!$A$5:$A$2979,0)),0)</f>
        <v>17.31</v>
      </c>
      <c r="N2380" s="41" t="n">
        <f aca="false">L2380+M2380</f>
        <v>127.31</v>
      </c>
      <c r="O2380" s="41" t="n">
        <f aca="false">K2380-N2380</f>
        <v>143.79</v>
      </c>
      <c r="P2380" s="43" t="n">
        <f aca="false">IF(K2380=0,0,O2380/K2380)</f>
        <v>0.530394688306898</v>
      </c>
    </row>
    <row r="2381" customFormat="false" ht="15" hidden="false" customHeight="false" outlineLevel="0" collapsed="false">
      <c r="A2381" s="39" t="s">
        <v>2503</v>
      </c>
      <c r="B2381" s="40" t="n">
        <v>45971</v>
      </c>
      <c r="C2381" s="39" t="s">
        <v>133</v>
      </c>
      <c r="D2381" s="39" t="n">
        <v>5</v>
      </c>
      <c r="E2381" s="41" t="n">
        <v>8.94</v>
      </c>
      <c r="F2381" s="39" t="s">
        <v>108</v>
      </c>
      <c r="G2381" s="39" t="str">
        <f aca="false">VLOOKUP(C2381,Products!$A$5:$D$24,2,FALSE())</f>
        <v>Printer Paper Ream</v>
      </c>
      <c r="H2381" s="39" t="str">
        <f aca="false">VLOOKUP(C2381,Products!$A$5:$D$24,3,FALSE())</f>
        <v>Stationery</v>
      </c>
      <c r="I2381" s="41" t="n">
        <f aca="false">VLOOKUP(C2381,Products!$A$5:$D$24,4,FALSE())</f>
        <v>4</v>
      </c>
      <c r="J2381" s="42" t="n">
        <f aca="false">DATE(YEAR(B2381),MONTH(B2381),1)</f>
        <v>45962</v>
      </c>
      <c r="K2381" s="41" t="n">
        <f aca="false">D2381*E2381</f>
        <v>44.7</v>
      </c>
      <c r="L2381" s="41" t="n">
        <f aca="false">D2381*I2381</f>
        <v>20</v>
      </c>
      <c r="M2381" s="41" t="n">
        <f aca="false">IFERROR(INDEX(Raw_Expenses!$C$5:$C$2979,MATCH(A2381,Raw_Expenses!$A$5:$A$2979,0)),0)</f>
        <v>2.18</v>
      </c>
      <c r="N2381" s="41" t="n">
        <f aca="false">L2381+M2381</f>
        <v>22.18</v>
      </c>
      <c r="O2381" s="41" t="n">
        <f aca="false">K2381-N2381</f>
        <v>22.52</v>
      </c>
      <c r="P2381" s="43" t="n">
        <f aca="false">IF(K2381=0,0,O2381/K2381)</f>
        <v>0.503803131991051</v>
      </c>
    </row>
    <row r="2382" customFormat="false" ht="15" hidden="false" customHeight="false" outlineLevel="0" collapsed="false">
      <c r="A2382" s="39" t="s">
        <v>2504</v>
      </c>
      <c r="B2382" s="40" t="n">
        <v>45971</v>
      </c>
      <c r="C2382" s="39" t="s">
        <v>177</v>
      </c>
      <c r="D2382" s="39" t="n">
        <v>6</v>
      </c>
      <c r="E2382" s="41" t="n">
        <v>44.31</v>
      </c>
      <c r="F2382" s="39" t="s">
        <v>108</v>
      </c>
      <c r="G2382" s="39" t="str">
        <f aca="false">VLOOKUP(C2382,Products!$A$5:$D$24,2,FALSE())</f>
        <v>Backpack</v>
      </c>
      <c r="H2382" s="39" t="str">
        <f aca="false">VLOOKUP(C2382,Products!$A$5:$D$24,3,FALSE())</f>
        <v>Accessories</v>
      </c>
      <c r="I2382" s="41" t="n">
        <f aca="false">VLOOKUP(C2382,Products!$A$5:$D$24,4,FALSE())</f>
        <v>17</v>
      </c>
      <c r="J2382" s="42" t="n">
        <f aca="false">DATE(YEAR(B2382),MONTH(B2382),1)</f>
        <v>45962</v>
      </c>
      <c r="K2382" s="41" t="n">
        <f aca="false">D2382*E2382</f>
        <v>265.86</v>
      </c>
      <c r="L2382" s="41" t="n">
        <f aca="false">D2382*I2382</f>
        <v>102</v>
      </c>
      <c r="M2382" s="41" t="n">
        <f aca="false">IFERROR(INDEX(Raw_Expenses!$C$5:$C$2979,MATCH(A2382,Raw_Expenses!$A$5:$A$2979,0)),0)</f>
        <v>14.99</v>
      </c>
      <c r="N2382" s="41" t="n">
        <f aca="false">L2382+M2382</f>
        <v>116.99</v>
      </c>
      <c r="O2382" s="41" t="n">
        <f aca="false">K2382-N2382</f>
        <v>148.87</v>
      </c>
      <c r="P2382" s="43" t="n">
        <f aca="false">IF(K2382=0,0,O2382/K2382)</f>
        <v>0.55995636801324</v>
      </c>
    </row>
    <row r="2383" customFormat="false" ht="15" hidden="false" customHeight="false" outlineLevel="0" collapsed="false">
      <c r="A2383" s="39" t="s">
        <v>2505</v>
      </c>
      <c r="B2383" s="40" t="n">
        <v>45971</v>
      </c>
      <c r="C2383" s="39" t="s">
        <v>169</v>
      </c>
      <c r="D2383" s="39" t="n">
        <v>1</v>
      </c>
      <c r="E2383" s="41" t="n">
        <v>28.18</v>
      </c>
      <c r="F2383" s="39" t="s">
        <v>118</v>
      </c>
      <c r="G2383" s="39" t="str">
        <f aca="false">VLOOKUP(C2383,Products!$A$5:$D$24,2,FALSE())</f>
        <v>Laptop Stand</v>
      </c>
      <c r="H2383" s="39" t="str">
        <f aca="false">VLOOKUP(C2383,Products!$A$5:$D$24,3,FALSE())</f>
        <v>Accessories</v>
      </c>
      <c r="I2383" s="41" t="n">
        <f aca="false">VLOOKUP(C2383,Products!$A$5:$D$24,4,FALSE())</f>
        <v>11</v>
      </c>
      <c r="J2383" s="42" t="n">
        <f aca="false">DATE(YEAR(B2383),MONTH(B2383),1)</f>
        <v>45962</v>
      </c>
      <c r="K2383" s="41" t="n">
        <f aca="false">D2383*E2383</f>
        <v>28.18</v>
      </c>
      <c r="L2383" s="41" t="n">
        <f aca="false">D2383*I2383</f>
        <v>11</v>
      </c>
      <c r="M2383" s="41" t="n">
        <f aca="false">IFERROR(INDEX(Raw_Expenses!$C$5:$C$2979,MATCH(A2383,Raw_Expenses!$A$5:$A$2979,0)),0)</f>
        <v>1.92</v>
      </c>
      <c r="N2383" s="41" t="n">
        <f aca="false">L2383+M2383</f>
        <v>12.92</v>
      </c>
      <c r="O2383" s="41" t="n">
        <f aca="false">K2383-N2383</f>
        <v>15.26</v>
      </c>
      <c r="P2383" s="43" t="n">
        <f aca="false">IF(K2383=0,0,O2383/K2383)</f>
        <v>0.541518807665011</v>
      </c>
    </row>
    <row r="2384" customFormat="false" ht="15" hidden="false" customHeight="false" outlineLevel="0" collapsed="false">
      <c r="A2384" s="39" t="s">
        <v>2506</v>
      </c>
      <c r="B2384" s="40" t="n">
        <v>45971</v>
      </c>
      <c r="C2384" s="39" t="s">
        <v>130</v>
      </c>
      <c r="D2384" s="39" t="n">
        <v>5</v>
      </c>
      <c r="E2384" s="41" t="n">
        <v>8.6</v>
      </c>
      <c r="F2384" s="39" t="s">
        <v>115</v>
      </c>
      <c r="G2384" s="39" t="str">
        <f aca="false">VLOOKUP(C2384,Products!$A$5:$D$24,2,FALSE())</f>
        <v>Notebook Set</v>
      </c>
      <c r="H2384" s="39" t="str">
        <f aca="false">VLOOKUP(C2384,Products!$A$5:$D$24,3,FALSE())</f>
        <v>Stationery</v>
      </c>
      <c r="I2384" s="41" t="n">
        <f aca="false">VLOOKUP(C2384,Products!$A$5:$D$24,4,FALSE())</f>
        <v>3</v>
      </c>
      <c r="J2384" s="42" t="n">
        <f aca="false">DATE(YEAR(B2384),MONTH(B2384),1)</f>
        <v>45962</v>
      </c>
      <c r="K2384" s="41" t="n">
        <f aca="false">D2384*E2384</f>
        <v>43</v>
      </c>
      <c r="L2384" s="41" t="n">
        <f aca="false">D2384*I2384</f>
        <v>15</v>
      </c>
      <c r="M2384" s="41" t="n">
        <f aca="false">IFERROR(INDEX(Raw_Expenses!$C$5:$C$2979,MATCH(A2384,Raw_Expenses!$A$5:$A$2979,0)),0)</f>
        <v>1.96</v>
      </c>
      <c r="N2384" s="41" t="n">
        <f aca="false">L2384+M2384</f>
        <v>16.96</v>
      </c>
      <c r="O2384" s="41" t="n">
        <f aca="false">K2384-N2384</f>
        <v>26.04</v>
      </c>
      <c r="P2384" s="43" t="n">
        <f aca="false">IF(K2384=0,0,O2384/K2384)</f>
        <v>0.605581395348837</v>
      </c>
    </row>
    <row r="2385" customFormat="false" ht="15" hidden="false" customHeight="false" outlineLevel="0" collapsed="false">
      <c r="A2385" s="39" t="s">
        <v>2507</v>
      </c>
      <c r="B2385" s="40" t="n">
        <v>45972</v>
      </c>
      <c r="C2385" s="39" t="s">
        <v>112</v>
      </c>
      <c r="D2385" s="39" t="n">
        <v>1</v>
      </c>
      <c r="E2385" s="41" t="n">
        <v>51.08</v>
      </c>
      <c r="F2385" s="39" t="s">
        <v>118</v>
      </c>
      <c r="G2385" s="39" t="str">
        <f aca="false">VLOOKUP(C2385,Products!$A$5:$D$24,2,FALSE())</f>
        <v>HD Webcam</v>
      </c>
      <c r="H2385" s="39" t="str">
        <f aca="false">VLOOKUP(C2385,Products!$A$5:$D$24,3,FALSE())</f>
        <v>Electronics</v>
      </c>
      <c r="I2385" s="41" t="n">
        <f aca="false">VLOOKUP(C2385,Products!$A$5:$D$24,4,FALSE())</f>
        <v>22</v>
      </c>
      <c r="J2385" s="42" t="n">
        <f aca="false">DATE(YEAR(B2385),MONTH(B2385),1)</f>
        <v>45962</v>
      </c>
      <c r="K2385" s="41" t="n">
        <f aca="false">D2385*E2385</f>
        <v>51.08</v>
      </c>
      <c r="L2385" s="41" t="n">
        <f aca="false">D2385*I2385</f>
        <v>22</v>
      </c>
      <c r="M2385" s="41" t="n">
        <f aca="false">IFERROR(INDEX(Raw_Expenses!$C$5:$C$2979,MATCH(A2385,Raw_Expenses!$A$5:$A$2979,0)),0)</f>
        <v>3.74</v>
      </c>
      <c r="N2385" s="41" t="n">
        <f aca="false">L2385+M2385</f>
        <v>25.74</v>
      </c>
      <c r="O2385" s="41" t="n">
        <f aca="false">K2385-N2385</f>
        <v>25.34</v>
      </c>
      <c r="P2385" s="43" t="n">
        <f aca="false">IF(K2385=0,0,O2385/K2385)</f>
        <v>0.496084573218481</v>
      </c>
    </row>
    <row r="2386" customFormat="false" ht="15" hidden="false" customHeight="false" outlineLevel="0" collapsed="false">
      <c r="A2386" s="39" t="s">
        <v>2508</v>
      </c>
      <c r="B2386" s="40" t="n">
        <v>45972</v>
      </c>
      <c r="C2386" s="39" t="s">
        <v>110</v>
      </c>
      <c r="D2386" s="39" t="n">
        <v>1</v>
      </c>
      <c r="E2386" s="41" t="n">
        <v>13.98</v>
      </c>
      <c r="F2386" s="39" t="s">
        <v>105</v>
      </c>
      <c r="G2386" s="39" t="str">
        <f aca="false">VLOOKUP(C2386,Products!$A$5:$D$24,2,FALSE())</f>
        <v>Phone Stand</v>
      </c>
      <c r="H2386" s="39" t="str">
        <f aca="false">VLOOKUP(C2386,Products!$A$5:$D$24,3,FALSE())</f>
        <v>Accessories</v>
      </c>
      <c r="I2386" s="41" t="n">
        <f aca="false">VLOOKUP(C2386,Products!$A$5:$D$24,4,FALSE())</f>
        <v>4</v>
      </c>
      <c r="J2386" s="42" t="n">
        <f aca="false">DATE(YEAR(B2386),MONTH(B2386),1)</f>
        <v>45962</v>
      </c>
      <c r="K2386" s="41" t="n">
        <f aca="false">D2386*E2386</f>
        <v>13.98</v>
      </c>
      <c r="L2386" s="41" t="n">
        <f aca="false">D2386*I2386</f>
        <v>4</v>
      </c>
      <c r="M2386" s="41" t="n">
        <f aca="false">IFERROR(INDEX(Raw_Expenses!$C$5:$C$2979,MATCH(A2386,Raw_Expenses!$A$5:$A$2979,0)),0)</f>
        <v>1.21</v>
      </c>
      <c r="N2386" s="41" t="n">
        <f aca="false">L2386+M2386</f>
        <v>5.21</v>
      </c>
      <c r="O2386" s="41" t="n">
        <f aca="false">K2386-N2386</f>
        <v>8.77</v>
      </c>
      <c r="P2386" s="43" t="n">
        <f aca="false">IF(K2386=0,0,O2386/K2386)</f>
        <v>0.627324749642346</v>
      </c>
    </row>
    <row r="2387" customFormat="false" ht="15" hidden="false" customHeight="false" outlineLevel="0" collapsed="false">
      <c r="A2387" s="39" t="s">
        <v>2509</v>
      </c>
      <c r="B2387" s="40" t="n">
        <v>45972</v>
      </c>
      <c r="C2387" s="39" t="s">
        <v>133</v>
      </c>
      <c r="D2387" s="39" t="n">
        <v>3</v>
      </c>
      <c r="E2387" s="41" t="n">
        <v>8.72</v>
      </c>
      <c r="F2387" s="39" t="s">
        <v>118</v>
      </c>
      <c r="G2387" s="39" t="str">
        <f aca="false">VLOOKUP(C2387,Products!$A$5:$D$24,2,FALSE())</f>
        <v>Printer Paper Ream</v>
      </c>
      <c r="H2387" s="39" t="str">
        <f aca="false">VLOOKUP(C2387,Products!$A$5:$D$24,3,FALSE())</f>
        <v>Stationery</v>
      </c>
      <c r="I2387" s="41" t="n">
        <f aca="false">VLOOKUP(C2387,Products!$A$5:$D$24,4,FALSE())</f>
        <v>4</v>
      </c>
      <c r="J2387" s="42" t="n">
        <f aca="false">DATE(YEAR(B2387),MONTH(B2387),1)</f>
        <v>45962</v>
      </c>
      <c r="K2387" s="41" t="n">
        <f aca="false">D2387*E2387</f>
        <v>26.16</v>
      </c>
      <c r="L2387" s="41" t="n">
        <f aca="false">D2387*I2387</f>
        <v>12</v>
      </c>
      <c r="M2387" s="41" t="n">
        <f aca="false">IFERROR(INDEX(Raw_Expenses!$C$5:$C$2979,MATCH(A2387,Raw_Expenses!$A$5:$A$2979,0)),0)</f>
        <v>2.22</v>
      </c>
      <c r="N2387" s="41" t="n">
        <f aca="false">L2387+M2387</f>
        <v>14.22</v>
      </c>
      <c r="O2387" s="41" t="n">
        <f aca="false">K2387-N2387</f>
        <v>11.94</v>
      </c>
      <c r="P2387" s="43" t="n">
        <f aca="false">IF(K2387=0,0,O2387/K2387)</f>
        <v>0.456422018348624</v>
      </c>
    </row>
    <row r="2388" customFormat="false" ht="15" hidden="false" customHeight="false" outlineLevel="0" collapsed="false">
      <c r="A2388" s="39" t="s">
        <v>2510</v>
      </c>
      <c r="B2388" s="40" t="n">
        <v>45972</v>
      </c>
      <c r="C2388" s="39" t="s">
        <v>112</v>
      </c>
      <c r="D2388" s="39" t="n">
        <v>2</v>
      </c>
      <c r="E2388" s="41" t="n">
        <v>53.64</v>
      </c>
      <c r="F2388" s="39" t="s">
        <v>105</v>
      </c>
      <c r="G2388" s="39" t="str">
        <f aca="false">VLOOKUP(C2388,Products!$A$5:$D$24,2,FALSE())</f>
        <v>HD Webcam</v>
      </c>
      <c r="H2388" s="39" t="str">
        <f aca="false">VLOOKUP(C2388,Products!$A$5:$D$24,3,FALSE())</f>
        <v>Electronics</v>
      </c>
      <c r="I2388" s="41" t="n">
        <f aca="false">VLOOKUP(C2388,Products!$A$5:$D$24,4,FALSE())</f>
        <v>22</v>
      </c>
      <c r="J2388" s="42" t="n">
        <f aca="false">DATE(YEAR(B2388),MONTH(B2388),1)</f>
        <v>45962</v>
      </c>
      <c r="K2388" s="41" t="n">
        <f aca="false">D2388*E2388</f>
        <v>107.28</v>
      </c>
      <c r="L2388" s="41" t="n">
        <f aca="false">D2388*I2388</f>
        <v>44</v>
      </c>
      <c r="M2388" s="41" t="n">
        <f aca="false">IFERROR(INDEX(Raw_Expenses!$C$5:$C$2979,MATCH(A2388,Raw_Expenses!$A$5:$A$2979,0)),0)</f>
        <v>7.31</v>
      </c>
      <c r="N2388" s="41" t="n">
        <f aca="false">L2388+M2388</f>
        <v>51.31</v>
      </c>
      <c r="O2388" s="41" t="n">
        <f aca="false">K2388-N2388</f>
        <v>55.97</v>
      </c>
      <c r="P2388" s="43" t="n">
        <f aca="false">IF(K2388=0,0,O2388/K2388)</f>
        <v>0.521718866517524</v>
      </c>
    </row>
    <row r="2389" customFormat="false" ht="15" hidden="false" customHeight="false" outlineLevel="0" collapsed="false">
      <c r="A2389" s="39" t="s">
        <v>2511</v>
      </c>
      <c r="B2389" s="40" t="n">
        <v>45972</v>
      </c>
      <c r="C2389" s="39" t="s">
        <v>183</v>
      </c>
      <c r="D2389" s="39" t="n">
        <v>1</v>
      </c>
      <c r="E2389" s="41" t="n">
        <v>187.74</v>
      </c>
      <c r="F2389" s="39" t="s">
        <v>105</v>
      </c>
      <c r="G2389" s="39" t="str">
        <f aca="false">VLOOKUP(C2389,Products!$A$5:$D$24,2,FALSE())</f>
        <v>Office Chair</v>
      </c>
      <c r="H2389" s="39" t="str">
        <f aca="false">VLOOKUP(C2389,Products!$A$5:$D$24,3,FALSE())</f>
        <v>Furniture</v>
      </c>
      <c r="I2389" s="41" t="n">
        <f aca="false">VLOOKUP(C2389,Products!$A$5:$D$24,4,FALSE())</f>
        <v>85</v>
      </c>
      <c r="J2389" s="42" t="n">
        <f aca="false">DATE(YEAR(B2389),MONTH(B2389),1)</f>
        <v>45962</v>
      </c>
      <c r="K2389" s="41" t="n">
        <f aca="false">D2389*E2389</f>
        <v>187.74</v>
      </c>
      <c r="L2389" s="41" t="n">
        <f aca="false">D2389*I2389</f>
        <v>85</v>
      </c>
      <c r="M2389" s="41" t="n">
        <f aca="false">IFERROR(INDEX(Raw_Expenses!$C$5:$C$2979,MATCH(A2389,Raw_Expenses!$A$5:$A$2979,0)),0)</f>
        <v>8</v>
      </c>
      <c r="N2389" s="41" t="n">
        <f aca="false">L2389+M2389</f>
        <v>93</v>
      </c>
      <c r="O2389" s="41" t="n">
        <f aca="false">K2389-N2389</f>
        <v>94.74</v>
      </c>
      <c r="P2389" s="43" t="n">
        <f aca="false">IF(K2389=0,0,O2389/K2389)</f>
        <v>0.504634068392458</v>
      </c>
    </row>
    <row r="2390" customFormat="false" ht="15" hidden="false" customHeight="false" outlineLevel="0" collapsed="false">
      <c r="A2390" s="39" t="s">
        <v>2512</v>
      </c>
      <c r="B2390" s="40" t="n">
        <v>45972</v>
      </c>
      <c r="C2390" s="39" t="s">
        <v>114</v>
      </c>
      <c r="D2390" s="39" t="n">
        <v>2</v>
      </c>
      <c r="E2390" s="41" t="n">
        <v>5.92</v>
      </c>
      <c r="F2390" s="39" t="s">
        <v>118</v>
      </c>
      <c r="G2390" s="39" t="str">
        <f aca="false">VLOOKUP(C2390,Products!$A$5:$D$24,2,FALSE())</f>
        <v>Gel Pen Pack</v>
      </c>
      <c r="H2390" s="39" t="str">
        <f aca="false">VLOOKUP(C2390,Products!$A$5:$D$24,3,FALSE())</f>
        <v>Stationery</v>
      </c>
      <c r="I2390" s="41" t="n">
        <f aca="false">VLOOKUP(C2390,Products!$A$5:$D$24,4,FALSE())</f>
        <v>2</v>
      </c>
      <c r="J2390" s="42" t="n">
        <f aca="false">DATE(YEAR(B2390),MONTH(B2390),1)</f>
        <v>45962</v>
      </c>
      <c r="K2390" s="41" t="n">
        <f aca="false">D2390*E2390</f>
        <v>11.84</v>
      </c>
      <c r="L2390" s="41" t="n">
        <f aca="false">D2390*I2390</f>
        <v>4</v>
      </c>
      <c r="M2390" s="41" t="n">
        <f aca="false">IFERROR(INDEX(Raw_Expenses!$C$5:$C$2979,MATCH(A2390,Raw_Expenses!$A$5:$A$2979,0)),0)</f>
        <v>1.05</v>
      </c>
      <c r="N2390" s="41" t="n">
        <f aca="false">L2390+M2390</f>
        <v>5.05</v>
      </c>
      <c r="O2390" s="41" t="n">
        <f aca="false">K2390-N2390</f>
        <v>6.79</v>
      </c>
      <c r="P2390" s="43" t="n">
        <f aca="false">IF(K2390=0,0,O2390/K2390)</f>
        <v>0.57347972972973</v>
      </c>
    </row>
    <row r="2391" customFormat="false" ht="15" hidden="false" customHeight="false" outlineLevel="0" collapsed="false">
      <c r="A2391" s="39" t="s">
        <v>2513</v>
      </c>
      <c r="B2391" s="40" t="n">
        <v>45972</v>
      </c>
      <c r="C2391" s="39" t="s">
        <v>130</v>
      </c>
      <c r="D2391" s="39" t="n">
        <v>1</v>
      </c>
      <c r="E2391" s="41" t="n">
        <v>8.36</v>
      </c>
      <c r="F2391" s="39" t="s">
        <v>108</v>
      </c>
      <c r="G2391" s="39" t="str">
        <f aca="false">VLOOKUP(C2391,Products!$A$5:$D$24,2,FALSE())</f>
        <v>Notebook Set</v>
      </c>
      <c r="H2391" s="39" t="str">
        <f aca="false">VLOOKUP(C2391,Products!$A$5:$D$24,3,FALSE())</f>
        <v>Stationery</v>
      </c>
      <c r="I2391" s="41" t="n">
        <f aca="false">VLOOKUP(C2391,Products!$A$5:$D$24,4,FALSE())</f>
        <v>3</v>
      </c>
      <c r="J2391" s="42" t="n">
        <f aca="false">DATE(YEAR(B2391),MONTH(B2391),1)</f>
        <v>45962</v>
      </c>
      <c r="K2391" s="41" t="n">
        <f aca="false">D2391*E2391</f>
        <v>8.36</v>
      </c>
      <c r="L2391" s="41" t="n">
        <f aca="false">D2391*I2391</f>
        <v>3</v>
      </c>
      <c r="M2391" s="41" t="n">
        <f aca="false">IFERROR(INDEX(Raw_Expenses!$C$5:$C$2979,MATCH(A2391,Raw_Expenses!$A$5:$A$2979,0)),0)</f>
        <v>0.74</v>
      </c>
      <c r="N2391" s="41" t="n">
        <f aca="false">L2391+M2391</f>
        <v>3.74</v>
      </c>
      <c r="O2391" s="41" t="n">
        <f aca="false">K2391-N2391</f>
        <v>4.62</v>
      </c>
      <c r="P2391" s="43" t="n">
        <f aca="false">IF(K2391=0,0,O2391/K2391)</f>
        <v>0.552631578947368</v>
      </c>
    </row>
    <row r="2392" customFormat="false" ht="15" hidden="false" customHeight="false" outlineLevel="0" collapsed="false">
      <c r="A2392" s="39" t="s">
        <v>2514</v>
      </c>
      <c r="B2392" s="40" t="n">
        <v>45972</v>
      </c>
      <c r="C2392" s="39" t="s">
        <v>110</v>
      </c>
      <c r="D2392" s="39" t="n">
        <v>6</v>
      </c>
      <c r="E2392" s="41" t="n">
        <v>13.93</v>
      </c>
      <c r="F2392" s="39" t="s">
        <v>105</v>
      </c>
      <c r="G2392" s="39" t="str">
        <f aca="false">VLOOKUP(C2392,Products!$A$5:$D$24,2,FALSE())</f>
        <v>Phone Stand</v>
      </c>
      <c r="H2392" s="39" t="str">
        <f aca="false">VLOOKUP(C2392,Products!$A$5:$D$24,3,FALSE())</f>
        <v>Accessories</v>
      </c>
      <c r="I2392" s="41" t="n">
        <f aca="false">VLOOKUP(C2392,Products!$A$5:$D$24,4,FALSE())</f>
        <v>4</v>
      </c>
      <c r="J2392" s="42" t="n">
        <f aca="false">DATE(YEAR(B2392),MONTH(B2392),1)</f>
        <v>45962</v>
      </c>
      <c r="K2392" s="41" t="n">
        <f aca="false">D2392*E2392</f>
        <v>83.58</v>
      </c>
      <c r="L2392" s="41" t="n">
        <f aca="false">D2392*I2392</f>
        <v>24</v>
      </c>
      <c r="M2392" s="41" t="n">
        <f aca="false">IFERROR(INDEX(Raw_Expenses!$C$5:$C$2979,MATCH(A2392,Raw_Expenses!$A$5:$A$2979,0)),0)</f>
        <v>5.57</v>
      </c>
      <c r="N2392" s="41" t="n">
        <f aca="false">L2392+M2392</f>
        <v>29.57</v>
      </c>
      <c r="O2392" s="41" t="n">
        <f aca="false">K2392-N2392</f>
        <v>54.01</v>
      </c>
      <c r="P2392" s="43" t="n">
        <f aca="false">IF(K2392=0,0,O2392/K2392)</f>
        <v>0.646207226609237</v>
      </c>
    </row>
    <row r="2393" customFormat="false" ht="15" hidden="false" customHeight="false" outlineLevel="0" collapsed="false">
      <c r="A2393" s="39" t="s">
        <v>2515</v>
      </c>
      <c r="B2393" s="40" t="n">
        <v>45972</v>
      </c>
      <c r="C2393" s="39" t="s">
        <v>117</v>
      </c>
      <c r="D2393" s="39" t="n">
        <v>1</v>
      </c>
      <c r="E2393" s="41" t="n">
        <v>30.69</v>
      </c>
      <c r="F2393" s="39" t="s">
        <v>115</v>
      </c>
      <c r="G2393" s="39" t="str">
        <f aca="false">VLOOKUP(C2393,Products!$A$5:$D$24,2,FALSE())</f>
        <v>Desk Lamp</v>
      </c>
      <c r="H2393" s="39" t="str">
        <f aca="false">VLOOKUP(C2393,Products!$A$5:$D$24,3,FALSE())</f>
        <v>Furniture</v>
      </c>
      <c r="I2393" s="41" t="n">
        <f aca="false">VLOOKUP(C2393,Products!$A$5:$D$24,4,FALSE())</f>
        <v>13</v>
      </c>
      <c r="J2393" s="42" t="n">
        <f aca="false">DATE(YEAR(B2393),MONTH(B2393),1)</f>
        <v>45962</v>
      </c>
      <c r="K2393" s="41" t="n">
        <f aca="false">D2393*E2393</f>
        <v>30.69</v>
      </c>
      <c r="L2393" s="41" t="n">
        <f aca="false">D2393*I2393</f>
        <v>13</v>
      </c>
      <c r="M2393" s="41" t="n">
        <f aca="false">IFERROR(INDEX(Raw_Expenses!$C$5:$C$2979,MATCH(A2393,Raw_Expenses!$A$5:$A$2979,0)),0)</f>
        <v>2.33</v>
      </c>
      <c r="N2393" s="41" t="n">
        <f aca="false">L2393+M2393</f>
        <v>15.33</v>
      </c>
      <c r="O2393" s="41" t="n">
        <f aca="false">K2393-N2393</f>
        <v>15.36</v>
      </c>
      <c r="P2393" s="43" t="n">
        <f aca="false">IF(K2393=0,0,O2393/K2393)</f>
        <v>0.500488758553275</v>
      </c>
    </row>
    <row r="2394" customFormat="false" ht="15" hidden="false" customHeight="false" outlineLevel="0" collapsed="false">
      <c r="A2394" s="39" t="s">
        <v>2516</v>
      </c>
      <c r="B2394" s="40" t="n">
        <v>45972</v>
      </c>
      <c r="C2394" s="39" t="s">
        <v>104</v>
      </c>
      <c r="D2394" s="39" t="n">
        <v>8</v>
      </c>
      <c r="E2394" s="41" t="n">
        <v>15.27</v>
      </c>
      <c r="F2394" s="39" t="s">
        <v>118</v>
      </c>
      <c r="G2394" s="39" t="str">
        <f aca="false">VLOOKUP(C2394,Products!$A$5:$D$24,2,FALSE())</f>
        <v>Water Bottle</v>
      </c>
      <c r="H2394" s="39" t="str">
        <f aca="false">VLOOKUP(C2394,Products!$A$5:$D$24,3,FALSE())</f>
        <v>Accessories</v>
      </c>
      <c r="I2394" s="41" t="n">
        <f aca="false">VLOOKUP(C2394,Products!$A$5:$D$24,4,FALSE())</f>
        <v>5</v>
      </c>
      <c r="J2394" s="42" t="n">
        <f aca="false">DATE(YEAR(B2394),MONTH(B2394),1)</f>
        <v>45962</v>
      </c>
      <c r="K2394" s="41" t="n">
        <f aca="false">D2394*E2394</f>
        <v>122.16</v>
      </c>
      <c r="L2394" s="41" t="n">
        <f aca="false">D2394*I2394</f>
        <v>40</v>
      </c>
      <c r="M2394" s="41" t="n">
        <f aca="false">IFERROR(INDEX(Raw_Expenses!$C$5:$C$2979,MATCH(A2394,Raw_Expenses!$A$5:$A$2979,0)),0)</f>
        <v>7.71</v>
      </c>
      <c r="N2394" s="41" t="n">
        <f aca="false">L2394+M2394</f>
        <v>47.71</v>
      </c>
      <c r="O2394" s="41" t="n">
        <f aca="false">K2394-N2394</f>
        <v>74.45</v>
      </c>
      <c r="P2394" s="43" t="n">
        <f aca="false">IF(K2394=0,0,O2394/K2394)</f>
        <v>0.609446627373936</v>
      </c>
    </row>
    <row r="2395" customFormat="false" ht="15" hidden="false" customHeight="false" outlineLevel="0" collapsed="false">
      <c r="A2395" s="39" t="s">
        <v>2517</v>
      </c>
      <c r="B2395" s="40" t="n">
        <v>45972</v>
      </c>
      <c r="C2395" s="39" t="s">
        <v>133</v>
      </c>
      <c r="D2395" s="39" t="n">
        <v>2</v>
      </c>
      <c r="E2395" s="41" t="n">
        <v>8.94</v>
      </c>
      <c r="F2395" s="39" t="s">
        <v>108</v>
      </c>
      <c r="G2395" s="39" t="str">
        <f aca="false">VLOOKUP(C2395,Products!$A$5:$D$24,2,FALSE())</f>
        <v>Printer Paper Ream</v>
      </c>
      <c r="H2395" s="39" t="str">
        <f aca="false">VLOOKUP(C2395,Products!$A$5:$D$24,3,FALSE())</f>
        <v>Stationery</v>
      </c>
      <c r="I2395" s="41" t="n">
        <f aca="false">VLOOKUP(C2395,Products!$A$5:$D$24,4,FALSE())</f>
        <v>4</v>
      </c>
      <c r="J2395" s="42" t="n">
        <f aca="false">DATE(YEAR(B2395),MONTH(B2395),1)</f>
        <v>45962</v>
      </c>
      <c r="K2395" s="41" t="n">
        <f aca="false">D2395*E2395</f>
        <v>17.88</v>
      </c>
      <c r="L2395" s="41" t="n">
        <f aca="false">D2395*I2395</f>
        <v>8</v>
      </c>
      <c r="M2395" s="41" t="n">
        <f aca="false">IFERROR(INDEX(Raw_Expenses!$C$5:$C$2979,MATCH(A2395,Raw_Expenses!$A$5:$A$2979,0)),0)</f>
        <v>0.72</v>
      </c>
      <c r="N2395" s="41" t="n">
        <f aca="false">L2395+M2395</f>
        <v>8.72</v>
      </c>
      <c r="O2395" s="41" t="n">
        <f aca="false">K2395-N2395</f>
        <v>9.16</v>
      </c>
      <c r="P2395" s="43" t="n">
        <f aca="false">IF(K2395=0,0,O2395/K2395)</f>
        <v>0.512304250559284</v>
      </c>
    </row>
    <row r="2396" customFormat="false" ht="15" hidden="false" customHeight="false" outlineLevel="0" collapsed="false">
      <c r="A2396" s="39" t="s">
        <v>2518</v>
      </c>
      <c r="B2396" s="40" t="n">
        <v>45972</v>
      </c>
      <c r="C2396" s="39" t="s">
        <v>133</v>
      </c>
      <c r="D2396" s="39" t="n">
        <v>1</v>
      </c>
      <c r="E2396" s="41" t="n">
        <v>8.58</v>
      </c>
      <c r="F2396" s="39" t="s">
        <v>108</v>
      </c>
      <c r="G2396" s="39" t="str">
        <f aca="false">VLOOKUP(C2396,Products!$A$5:$D$24,2,FALSE())</f>
        <v>Printer Paper Ream</v>
      </c>
      <c r="H2396" s="39" t="str">
        <f aca="false">VLOOKUP(C2396,Products!$A$5:$D$24,3,FALSE())</f>
        <v>Stationery</v>
      </c>
      <c r="I2396" s="41" t="n">
        <f aca="false">VLOOKUP(C2396,Products!$A$5:$D$24,4,FALSE())</f>
        <v>4</v>
      </c>
      <c r="J2396" s="42" t="n">
        <f aca="false">DATE(YEAR(B2396),MONTH(B2396),1)</f>
        <v>45962</v>
      </c>
      <c r="K2396" s="41" t="n">
        <f aca="false">D2396*E2396</f>
        <v>8.58</v>
      </c>
      <c r="L2396" s="41" t="n">
        <f aca="false">D2396*I2396</f>
        <v>4</v>
      </c>
      <c r="M2396" s="41" t="n">
        <f aca="false">IFERROR(INDEX(Raw_Expenses!$C$5:$C$2979,MATCH(A2396,Raw_Expenses!$A$5:$A$2979,0)),0)</f>
        <v>0.47</v>
      </c>
      <c r="N2396" s="41" t="n">
        <f aca="false">L2396+M2396</f>
        <v>4.47</v>
      </c>
      <c r="O2396" s="41" t="n">
        <f aca="false">K2396-N2396</f>
        <v>4.11</v>
      </c>
      <c r="P2396" s="43" t="n">
        <f aca="false">IF(K2396=0,0,O2396/K2396)</f>
        <v>0.479020979020979</v>
      </c>
    </row>
    <row r="2397" customFormat="false" ht="15" hidden="false" customHeight="false" outlineLevel="0" collapsed="false">
      <c r="A2397" s="39" t="s">
        <v>2519</v>
      </c>
      <c r="B2397" s="40" t="n">
        <v>45972</v>
      </c>
      <c r="C2397" s="39" t="s">
        <v>114</v>
      </c>
      <c r="D2397" s="39" t="n">
        <v>4</v>
      </c>
      <c r="E2397" s="41" t="n">
        <v>5.99</v>
      </c>
      <c r="F2397" s="39" t="s">
        <v>105</v>
      </c>
      <c r="G2397" s="39" t="str">
        <f aca="false">VLOOKUP(C2397,Products!$A$5:$D$24,2,FALSE())</f>
        <v>Gel Pen Pack</v>
      </c>
      <c r="H2397" s="39" t="str">
        <f aca="false">VLOOKUP(C2397,Products!$A$5:$D$24,3,FALSE())</f>
        <v>Stationery</v>
      </c>
      <c r="I2397" s="41" t="n">
        <f aca="false">VLOOKUP(C2397,Products!$A$5:$D$24,4,FALSE())</f>
        <v>2</v>
      </c>
      <c r="J2397" s="42" t="n">
        <f aca="false">DATE(YEAR(B2397),MONTH(B2397),1)</f>
        <v>45962</v>
      </c>
      <c r="K2397" s="41" t="n">
        <f aca="false">D2397*E2397</f>
        <v>23.96</v>
      </c>
      <c r="L2397" s="41" t="n">
        <f aca="false">D2397*I2397</f>
        <v>8</v>
      </c>
      <c r="M2397" s="41" t="n">
        <f aca="false">IFERROR(INDEX(Raw_Expenses!$C$5:$C$2979,MATCH(A2397,Raw_Expenses!$A$5:$A$2979,0)),0)</f>
        <v>1.35</v>
      </c>
      <c r="N2397" s="41" t="n">
        <f aca="false">L2397+M2397</f>
        <v>9.35</v>
      </c>
      <c r="O2397" s="41" t="n">
        <f aca="false">K2397-N2397</f>
        <v>14.61</v>
      </c>
      <c r="P2397" s="43" t="n">
        <f aca="false">IF(K2397=0,0,O2397/K2397)</f>
        <v>0.609766277128548</v>
      </c>
    </row>
    <row r="2398" customFormat="false" ht="15" hidden="false" customHeight="false" outlineLevel="0" collapsed="false">
      <c r="A2398" s="39" t="s">
        <v>2520</v>
      </c>
      <c r="B2398" s="40" t="n">
        <v>45972</v>
      </c>
      <c r="C2398" s="39" t="s">
        <v>153</v>
      </c>
      <c r="D2398" s="39" t="n">
        <v>5</v>
      </c>
      <c r="E2398" s="41" t="n">
        <v>174.02</v>
      </c>
      <c r="F2398" s="39" t="s">
        <v>115</v>
      </c>
      <c r="G2398" s="39" t="str">
        <f aca="false">VLOOKUP(C2398,Products!$A$5:$D$24,2,FALSE())</f>
        <v>24-inch Monitor</v>
      </c>
      <c r="H2398" s="39" t="str">
        <f aca="false">VLOOKUP(C2398,Products!$A$5:$D$24,3,FALSE())</f>
        <v>Electronics</v>
      </c>
      <c r="I2398" s="41" t="n">
        <f aca="false">VLOOKUP(C2398,Products!$A$5:$D$24,4,FALSE())</f>
        <v>90</v>
      </c>
      <c r="J2398" s="42" t="n">
        <f aca="false">DATE(YEAR(B2398),MONTH(B2398),1)</f>
        <v>45962</v>
      </c>
      <c r="K2398" s="41" t="n">
        <f aca="false">D2398*E2398</f>
        <v>870.1</v>
      </c>
      <c r="L2398" s="41" t="n">
        <f aca="false">D2398*I2398</f>
        <v>450</v>
      </c>
      <c r="M2398" s="41" t="n">
        <f aca="false">IFERROR(INDEX(Raw_Expenses!$C$5:$C$2979,MATCH(A2398,Raw_Expenses!$A$5:$A$2979,0)),0)</f>
        <v>52.7</v>
      </c>
      <c r="N2398" s="41" t="n">
        <f aca="false">L2398+M2398</f>
        <v>502.7</v>
      </c>
      <c r="O2398" s="41" t="n">
        <f aca="false">K2398-N2398</f>
        <v>367.4</v>
      </c>
      <c r="P2398" s="43" t="n">
        <f aca="false">IF(K2398=0,0,O2398/K2398)</f>
        <v>0.422250316055626</v>
      </c>
    </row>
    <row r="2399" customFormat="false" ht="15" hidden="false" customHeight="false" outlineLevel="0" collapsed="false">
      <c r="A2399" s="39" t="s">
        <v>2521</v>
      </c>
      <c r="B2399" s="40" t="n">
        <v>45973</v>
      </c>
      <c r="C2399" s="39" t="s">
        <v>305</v>
      </c>
      <c r="D2399" s="39" t="n">
        <v>2</v>
      </c>
      <c r="E2399" s="41" t="n">
        <v>332.87</v>
      </c>
      <c r="F2399" s="39" t="s">
        <v>115</v>
      </c>
      <c r="G2399" s="39" t="str">
        <f aca="false">VLOOKUP(C2399,Products!$A$5:$D$24,2,FALSE())</f>
        <v>Standing Desk</v>
      </c>
      <c r="H2399" s="39" t="str">
        <f aca="false">VLOOKUP(C2399,Products!$A$5:$D$24,3,FALSE())</f>
        <v>Furniture</v>
      </c>
      <c r="I2399" s="41" t="n">
        <f aca="false">VLOOKUP(C2399,Products!$A$5:$D$24,4,FALSE())</f>
        <v>160</v>
      </c>
      <c r="J2399" s="42" t="n">
        <f aca="false">DATE(YEAR(B2399),MONTH(B2399),1)</f>
        <v>45962</v>
      </c>
      <c r="K2399" s="41" t="n">
        <f aca="false">D2399*E2399</f>
        <v>665.74</v>
      </c>
      <c r="L2399" s="41" t="n">
        <f aca="false">D2399*I2399</f>
        <v>320</v>
      </c>
      <c r="M2399" s="41" t="n">
        <f aca="false">IFERROR(INDEX(Raw_Expenses!$C$5:$C$2979,MATCH(A2399,Raw_Expenses!$A$5:$A$2979,0)),0)</f>
        <v>33.56</v>
      </c>
      <c r="N2399" s="41" t="n">
        <f aca="false">L2399+M2399</f>
        <v>353.56</v>
      </c>
      <c r="O2399" s="41" t="n">
        <f aca="false">K2399-N2399</f>
        <v>312.18</v>
      </c>
      <c r="P2399" s="43" t="n">
        <f aca="false">IF(K2399=0,0,O2399/K2399)</f>
        <v>0.468921801303812</v>
      </c>
    </row>
    <row r="2400" customFormat="false" ht="15" hidden="false" customHeight="false" outlineLevel="0" collapsed="false">
      <c r="A2400" s="39" t="s">
        <v>2522</v>
      </c>
      <c r="B2400" s="40" t="n">
        <v>45973</v>
      </c>
      <c r="C2400" s="39" t="s">
        <v>183</v>
      </c>
      <c r="D2400" s="39" t="n">
        <v>2</v>
      </c>
      <c r="E2400" s="41" t="n">
        <v>183.51</v>
      </c>
      <c r="F2400" s="39" t="s">
        <v>115</v>
      </c>
      <c r="G2400" s="39" t="str">
        <f aca="false">VLOOKUP(C2400,Products!$A$5:$D$24,2,FALSE())</f>
        <v>Office Chair</v>
      </c>
      <c r="H2400" s="39" t="str">
        <f aca="false">VLOOKUP(C2400,Products!$A$5:$D$24,3,FALSE())</f>
        <v>Furniture</v>
      </c>
      <c r="I2400" s="41" t="n">
        <f aca="false">VLOOKUP(C2400,Products!$A$5:$D$24,4,FALSE())</f>
        <v>85</v>
      </c>
      <c r="J2400" s="42" t="n">
        <f aca="false">DATE(YEAR(B2400),MONTH(B2400),1)</f>
        <v>45962</v>
      </c>
      <c r="K2400" s="41" t="n">
        <f aca="false">D2400*E2400</f>
        <v>367.02</v>
      </c>
      <c r="L2400" s="41" t="n">
        <f aca="false">D2400*I2400</f>
        <v>170</v>
      </c>
      <c r="M2400" s="41" t="n">
        <f aca="false">IFERROR(INDEX(Raw_Expenses!$C$5:$C$2979,MATCH(A2400,Raw_Expenses!$A$5:$A$2979,0)),0)</f>
        <v>18.99</v>
      </c>
      <c r="N2400" s="41" t="n">
        <f aca="false">L2400+M2400</f>
        <v>188.99</v>
      </c>
      <c r="O2400" s="41" t="n">
        <f aca="false">K2400-N2400</f>
        <v>178.03</v>
      </c>
      <c r="P2400" s="43" t="n">
        <f aca="false">IF(K2400=0,0,O2400/K2400)</f>
        <v>0.485068933573102</v>
      </c>
    </row>
    <row r="2401" customFormat="false" ht="15" hidden="false" customHeight="false" outlineLevel="0" collapsed="false">
      <c r="A2401" s="39" t="s">
        <v>2523</v>
      </c>
      <c r="B2401" s="40" t="n">
        <v>45973</v>
      </c>
      <c r="C2401" s="39" t="s">
        <v>117</v>
      </c>
      <c r="D2401" s="39" t="n">
        <v>2</v>
      </c>
      <c r="E2401" s="41" t="n">
        <v>31.5</v>
      </c>
      <c r="F2401" s="39" t="s">
        <v>118</v>
      </c>
      <c r="G2401" s="39" t="str">
        <f aca="false">VLOOKUP(C2401,Products!$A$5:$D$24,2,FALSE())</f>
        <v>Desk Lamp</v>
      </c>
      <c r="H2401" s="39" t="str">
        <f aca="false">VLOOKUP(C2401,Products!$A$5:$D$24,3,FALSE())</f>
        <v>Furniture</v>
      </c>
      <c r="I2401" s="41" t="n">
        <f aca="false">VLOOKUP(C2401,Products!$A$5:$D$24,4,FALSE())</f>
        <v>13</v>
      </c>
      <c r="J2401" s="42" t="n">
        <f aca="false">DATE(YEAR(B2401),MONTH(B2401),1)</f>
        <v>45962</v>
      </c>
      <c r="K2401" s="41" t="n">
        <f aca="false">D2401*E2401</f>
        <v>63</v>
      </c>
      <c r="L2401" s="41" t="n">
        <f aca="false">D2401*I2401</f>
        <v>26</v>
      </c>
      <c r="M2401" s="41" t="n">
        <f aca="false">IFERROR(INDEX(Raw_Expenses!$C$5:$C$2979,MATCH(A2401,Raw_Expenses!$A$5:$A$2979,0)),0)</f>
        <v>4.07</v>
      </c>
      <c r="N2401" s="41" t="n">
        <f aca="false">L2401+M2401</f>
        <v>30.07</v>
      </c>
      <c r="O2401" s="41" t="n">
        <f aca="false">K2401-N2401</f>
        <v>32.93</v>
      </c>
      <c r="P2401" s="43" t="n">
        <f aca="false">IF(K2401=0,0,O2401/K2401)</f>
        <v>0.522698412698413</v>
      </c>
    </row>
    <row r="2402" customFormat="false" ht="15" hidden="false" customHeight="false" outlineLevel="0" collapsed="false">
      <c r="A2402" s="39" t="s">
        <v>2524</v>
      </c>
      <c r="B2402" s="40" t="n">
        <v>45973</v>
      </c>
      <c r="C2402" s="39" t="s">
        <v>169</v>
      </c>
      <c r="D2402" s="39" t="n">
        <v>1</v>
      </c>
      <c r="E2402" s="41" t="n">
        <v>28.81</v>
      </c>
      <c r="F2402" s="39" t="s">
        <v>118</v>
      </c>
      <c r="G2402" s="39" t="str">
        <f aca="false">VLOOKUP(C2402,Products!$A$5:$D$24,2,FALSE())</f>
        <v>Laptop Stand</v>
      </c>
      <c r="H2402" s="39" t="str">
        <f aca="false">VLOOKUP(C2402,Products!$A$5:$D$24,3,FALSE())</f>
        <v>Accessories</v>
      </c>
      <c r="I2402" s="41" t="n">
        <f aca="false">VLOOKUP(C2402,Products!$A$5:$D$24,4,FALSE())</f>
        <v>11</v>
      </c>
      <c r="J2402" s="42" t="n">
        <f aca="false">DATE(YEAR(B2402),MONTH(B2402),1)</f>
        <v>45962</v>
      </c>
      <c r="K2402" s="41" t="n">
        <f aca="false">D2402*E2402</f>
        <v>28.81</v>
      </c>
      <c r="L2402" s="41" t="n">
        <f aca="false">D2402*I2402</f>
        <v>11</v>
      </c>
      <c r="M2402" s="41" t="n">
        <f aca="false">IFERROR(INDEX(Raw_Expenses!$C$5:$C$2979,MATCH(A2402,Raw_Expenses!$A$5:$A$2979,0)),0)</f>
        <v>1.64</v>
      </c>
      <c r="N2402" s="41" t="n">
        <f aca="false">L2402+M2402</f>
        <v>12.64</v>
      </c>
      <c r="O2402" s="41" t="n">
        <f aca="false">K2402-N2402</f>
        <v>16.17</v>
      </c>
      <c r="P2402" s="43" t="n">
        <f aca="false">IF(K2402=0,0,O2402/K2402)</f>
        <v>0.561263450190906</v>
      </c>
    </row>
    <row r="2403" customFormat="false" ht="15" hidden="false" customHeight="false" outlineLevel="0" collapsed="false">
      <c r="A2403" s="39" t="s">
        <v>2525</v>
      </c>
      <c r="B2403" s="40" t="n">
        <v>45973</v>
      </c>
      <c r="C2403" s="39" t="s">
        <v>107</v>
      </c>
      <c r="D2403" s="39" t="n">
        <v>1</v>
      </c>
      <c r="E2403" s="41" t="n">
        <v>34.37</v>
      </c>
      <c r="F2403" s="39" t="s">
        <v>118</v>
      </c>
      <c r="G2403" s="39" t="str">
        <f aca="false">VLOOKUP(C2403,Products!$A$5:$D$24,2,FALSE())</f>
        <v>USB-C Hub</v>
      </c>
      <c r="H2403" s="39" t="str">
        <f aca="false">VLOOKUP(C2403,Products!$A$5:$D$24,3,FALSE())</f>
        <v>Electronics</v>
      </c>
      <c r="I2403" s="41" t="n">
        <f aca="false">VLOOKUP(C2403,Products!$A$5:$D$24,4,FALSE())</f>
        <v>14</v>
      </c>
      <c r="J2403" s="42" t="n">
        <f aca="false">DATE(YEAR(B2403),MONTH(B2403),1)</f>
        <v>45962</v>
      </c>
      <c r="K2403" s="41" t="n">
        <f aca="false">D2403*E2403</f>
        <v>34.37</v>
      </c>
      <c r="L2403" s="41" t="n">
        <f aca="false">D2403*I2403</f>
        <v>14</v>
      </c>
      <c r="M2403" s="41" t="n">
        <f aca="false">IFERROR(INDEX(Raw_Expenses!$C$5:$C$2979,MATCH(A2403,Raw_Expenses!$A$5:$A$2979,0)),0)</f>
        <v>2.78</v>
      </c>
      <c r="N2403" s="41" t="n">
        <f aca="false">L2403+M2403</f>
        <v>16.78</v>
      </c>
      <c r="O2403" s="41" t="n">
        <f aca="false">K2403-N2403</f>
        <v>17.59</v>
      </c>
      <c r="P2403" s="43" t="n">
        <f aca="false">IF(K2403=0,0,O2403/K2403)</f>
        <v>0.511783532150131</v>
      </c>
    </row>
    <row r="2404" customFormat="false" ht="15" hidden="false" customHeight="false" outlineLevel="0" collapsed="false">
      <c r="A2404" s="39" t="s">
        <v>2526</v>
      </c>
      <c r="B2404" s="40" t="n">
        <v>45973</v>
      </c>
      <c r="C2404" s="39" t="s">
        <v>130</v>
      </c>
      <c r="D2404" s="39" t="n">
        <v>2</v>
      </c>
      <c r="E2404" s="41" t="n">
        <v>8.58</v>
      </c>
      <c r="F2404" s="39" t="s">
        <v>108</v>
      </c>
      <c r="G2404" s="39" t="str">
        <f aca="false">VLOOKUP(C2404,Products!$A$5:$D$24,2,FALSE())</f>
        <v>Notebook Set</v>
      </c>
      <c r="H2404" s="39" t="str">
        <f aca="false">VLOOKUP(C2404,Products!$A$5:$D$24,3,FALSE())</f>
        <v>Stationery</v>
      </c>
      <c r="I2404" s="41" t="n">
        <f aca="false">VLOOKUP(C2404,Products!$A$5:$D$24,4,FALSE())</f>
        <v>3</v>
      </c>
      <c r="J2404" s="42" t="n">
        <f aca="false">DATE(YEAR(B2404),MONTH(B2404),1)</f>
        <v>45962</v>
      </c>
      <c r="K2404" s="41" t="n">
        <f aca="false">D2404*E2404</f>
        <v>17.16</v>
      </c>
      <c r="L2404" s="41" t="n">
        <f aca="false">D2404*I2404</f>
        <v>6</v>
      </c>
      <c r="M2404" s="41" t="n">
        <f aca="false">IFERROR(INDEX(Raw_Expenses!$C$5:$C$2979,MATCH(A2404,Raw_Expenses!$A$5:$A$2979,0)),0)</f>
        <v>0.93</v>
      </c>
      <c r="N2404" s="41" t="n">
        <f aca="false">L2404+M2404</f>
        <v>6.93</v>
      </c>
      <c r="O2404" s="41" t="n">
        <f aca="false">K2404-N2404</f>
        <v>10.23</v>
      </c>
      <c r="P2404" s="43" t="n">
        <f aca="false">IF(K2404=0,0,O2404/K2404)</f>
        <v>0.596153846153846</v>
      </c>
    </row>
    <row r="2405" customFormat="false" ht="15" hidden="false" customHeight="false" outlineLevel="0" collapsed="false">
      <c r="A2405" s="39" t="s">
        <v>2527</v>
      </c>
      <c r="B2405" s="40" t="n">
        <v>45973</v>
      </c>
      <c r="C2405" s="39" t="s">
        <v>144</v>
      </c>
      <c r="D2405" s="39" t="n">
        <v>4</v>
      </c>
      <c r="E2405" s="41" t="n">
        <v>58.33</v>
      </c>
      <c r="F2405" s="39" t="s">
        <v>105</v>
      </c>
      <c r="G2405" s="39" t="str">
        <f aca="false">VLOOKUP(C2405,Products!$A$5:$D$24,2,FALSE())</f>
        <v>Whiteboard</v>
      </c>
      <c r="H2405" s="39" t="str">
        <f aca="false">VLOOKUP(C2405,Products!$A$5:$D$24,3,FALSE())</f>
        <v>Furniture</v>
      </c>
      <c r="I2405" s="41" t="n">
        <f aca="false">VLOOKUP(C2405,Products!$A$5:$D$24,4,FALSE())</f>
        <v>28</v>
      </c>
      <c r="J2405" s="42" t="n">
        <f aca="false">DATE(YEAR(B2405),MONTH(B2405),1)</f>
        <v>45962</v>
      </c>
      <c r="K2405" s="41" t="n">
        <f aca="false">D2405*E2405</f>
        <v>233.32</v>
      </c>
      <c r="L2405" s="41" t="n">
        <f aca="false">D2405*I2405</f>
        <v>112</v>
      </c>
      <c r="M2405" s="41" t="n">
        <f aca="false">IFERROR(INDEX(Raw_Expenses!$C$5:$C$2979,MATCH(A2405,Raw_Expenses!$A$5:$A$2979,0)),0)</f>
        <v>17.25</v>
      </c>
      <c r="N2405" s="41" t="n">
        <f aca="false">L2405+M2405</f>
        <v>129.25</v>
      </c>
      <c r="O2405" s="41" t="n">
        <f aca="false">K2405-N2405</f>
        <v>104.07</v>
      </c>
      <c r="P2405" s="43" t="n">
        <f aca="false">IF(K2405=0,0,O2405/K2405)</f>
        <v>0.446039773701354</v>
      </c>
    </row>
    <row r="2406" customFormat="false" ht="15" hidden="false" customHeight="false" outlineLevel="0" collapsed="false">
      <c r="A2406" s="39" t="s">
        <v>2528</v>
      </c>
      <c r="B2406" s="40" t="n">
        <v>45973</v>
      </c>
      <c r="C2406" s="39" t="s">
        <v>139</v>
      </c>
      <c r="D2406" s="39" t="n">
        <v>4</v>
      </c>
      <c r="E2406" s="41" t="n">
        <v>120.24</v>
      </c>
      <c r="F2406" s="39" t="s">
        <v>105</v>
      </c>
      <c r="G2406" s="39" t="str">
        <f aca="false">VLOOKUP(C2406,Products!$A$5:$D$24,2,FALSE())</f>
        <v>Noise-Cancelling Headphones</v>
      </c>
      <c r="H2406" s="39" t="str">
        <f aca="false">VLOOKUP(C2406,Products!$A$5:$D$24,3,FALSE())</f>
        <v>Electronics</v>
      </c>
      <c r="I2406" s="41" t="n">
        <f aca="false">VLOOKUP(C2406,Products!$A$5:$D$24,4,FALSE())</f>
        <v>55</v>
      </c>
      <c r="J2406" s="42" t="n">
        <f aca="false">DATE(YEAR(B2406),MONTH(B2406),1)</f>
        <v>45962</v>
      </c>
      <c r="K2406" s="41" t="n">
        <f aca="false">D2406*E2406</f>
        <v>480.96</v>
      </c>
      <c r="L2406" s="41" t="n">
        <f aca="false">D2406*I2406</f>
        <v>220</v>
      </c>
      <c r="M2406" s="41" t="n">
        <f aca="false">IFERROR(INDEX(Raw_Expenses!$C$5:$C$2979,MATCH(A2406,Raw_Expenses!$A$5:$A$2979,0)),0)</f>
        <v>42.85</v>
      </c>
      <c r="N2406" s="41" t="n">
        <f aca="false">L2406+M2406</f>
        <v>262.85</v>
      </c>
      <c r="O2406" s="41" t="n">
        <f aca="false">K2406-N2406</f>
        <v>218.11</v>
      </c>
      <c r="P2406" s="43" t="n">
        <f aca="false">IF(K2406=0,0,O2406/K2406)</f>
        <v>0.453488855622089</v>
      </c>
    </row>
    <row r="2407" customFormat="false" ht="15" hidden="false" customHeight="false" outlineLevel="0" collapsed="false">
      <c r="A2407" s="39" t="s">
        <v>2529</v>
      </c>
      <c r="B2407" s="40" t="n">
        <v>45973</v>
      </c>
      <c r="C2407" s="39" t="s">
        <v>177</v>
      </c>
      <c r="D2407" s="39" t="n">
        <v>2</v>
      </c>
      <c r="E2407" s="41" t="n">
        <v>41.46</v>
      </c>
      <c r="F2407" s="39" t="s">
        <v>108</v>
      </c>
      <c r="G2407" s="39" t="str">
        <f aca="false">VLOOKUP(C2407,Products!$A$5:$D$24,2,FALSE())</f>
        <v>Backpack</v>
      </c>
      <c r="H2407" s="39" t="str">
        <f aca="false">VLOOKUP(C2407,Products!$A$5:$D$24,3,FALSE())</f>
        <v>Accessories</v>
      </c>
      <c r="I2407" s="41" t="n">
        <f aca="false">VLOOKUP(C2407,Products!$A$5:$D$24,4,FALSE())</f>
        <v>17</v>
      </c>
      <c r="J2407" s="42" t="n">
        <f aca="false">DATE(YEAR(B2407),MONTH(B2407),1)</f>
        <v>45962</v>
      </c>
      <c r="K2407" s="41" t="n">
        <f aca="false">D2407*E2407</f>
        <v>82.92</v>
      </c>
      <c r="L2407" s="41" t="n">
        <f aca="false">D2407*I2407</f>
        <v>34</v>
      </c>
      <c r="M2407" s="41" t="n">
        <f aca="false">IFERROR(INDEX(Raw_Expenses!$C$5:$C$2979,MATCH(A2407,Raw_Expenses!$A$5:$A$2979,0)),0)</f>
        <v>4.8</v>
      </c>
      <c r="N2407" s="41" t="n">
        <f aca="false">L2407+M2407</f>
        <v>38.8</v>
      </c>
      <c r="O2407" s="41" t="n">
        <f aca="false">K2407-N2407</f>
        <v>44.12</v>
      </c>
      <c r="P2407" s="43" t="n">
        <f aca="false">IF(K2407=0,0,O2407/K2407)</f>
        <v>0.532079112397492</v>
      </c>
    </row>
    <row r="2408" customFormat="false" ht="15" hidden="false" customHeight="false" outlineLevel="0" collapsed="false">
      <c r="A2408" s="39" t="s">
        <v>2530</v>
      </c>
      <c r="B2408" s="40" t="n">
        <v>45973</v>
      </c>
      <c r="C2408" s="39" t="s">
        <v>121</v>
      </c>
      <c r="D2408" s="39" t="n">
        <v>3</v>
      </c>
      <c r="E2408" s="41" t="n">
        <v>114.63</v>
      </c>
      <c r="F2408" s="39" t="s">
        <v>115</v>
      </c>
      <c r="G2408" s="39" t="str">
        <f aca="false">VLOOKUP(C2408,Products!$A$5:$D$24,2,FALSE())</f>
        <v>External SSD 1TB</v>
      </c>
      <c r="H2408" s="39" t="str">
        <f aca="false">VLOOKUP(C2408,Products!$A$5:$D$24,3,FALSE())</f>
        <v>Electronics</v>
      </c>
      <c r="I2408" s="41" t="n">
        <f aca="false">VLOOKUP(C2408,Products!$A$5:$D$24,4,FALSE())</f>
        <v>62</v>
      </c>
      <c r="J2408" s="42" t="n">
        <f aca="false">DATE(YEAR(B2408),MONTH(B2408),1)</f>
        <v>45962</v>
      </c>
      <c r="K2408" s="41" t="n">
        <f aca="false">D2408*E2408</f>
        <v>343.89</v>
      </c>
      <c r="L2408" s="41" t="n">
        <f aca="false">D2408*I2408</f>
        <v>186</v>
      </c>
      <c r="M2408" s="41" t="n">
        <f aca="false">IFERROR(INDEX(Raw_Expenses!$C$5:$C$2979,MATCH(A2408,Raw_Expenses!$A$5:$A$2979,0)),0)</f>
        <v>25.99</v>
      </c>
      <c r="N2408" s="41" t="n">
        <f aca="false">L2408+M2408</f>
        <v>211.99</v>
      </c>
      <c r="O2408" s="41" t="n">
        <f aca="false">K2408-N2408</f>
        <v>131.9</v>
      </c>
      <c r="P2408" s="43" t="n">
        <f aca="false">IF(K2408=0,0,O2408/K2408)</f>
        <v>0.383552880281485</v>
      </c>
    </row>
    <row r="2409" customFormat="false" ht="15" hidden="false" customHeight="false" outlineLevel="0" collapsed="false">
      <c r="A2409" s="39" t="s">
        <v>2531</v>
      </c>
      <c r="B2409" s="40" t="n">
        <v>45973</v>
      </c>
      <c r="C2409" s="39" t="s">
        <v>162</v>
      </c>
      <c r="D2409" s="39" t="n">
        <v>5</v>
      </c>
      <c r="E2409" s="41" t="n">
        <v>63.99</v>
      </c>
      <c r="F2409" s="39" t="s">
        <v>108</v>
      </c>
      <c r="G2409" s="39" t="str">
        <f aca="false">VLOOKUP(C2409,Products!$A$5:$D$24,2,FALSE())</f>
        <v>Bluetooth Speaker</v>
      </c>
      <c r="H2409" s="39" t="str">
        <f aca="false">VLOOKUP(C2409,Products!$A$5:$D$24,3,FALSE())</f>
        <v>Electronics</v>
      </c>
      <c r="I2409" s="41" t="n">
        <f aca="false">VLOOKUP(C2409,Products!$A$5:$D$24,4,FALSE())</f>
        <v>28</v>
      </c>
      <c r="J2409" s="42" t="n">
        <f aca="false">DATE(YEAR(B2409),MONTH(B2409),1)</f>
        <v>45962</v>
      </c>
      <c r="K2409" s="41" t="n">
        <f aca="false">D2409*E2409</f>
        <v>319.95</v>
      </c>
      <c r="L2409" s="41" t="n">
        <f aca="false">D2409*I2409</f>
        <v>140</v>
      </c>
      <c r="M2409" s="41" t="n">
        <f aca="false">IFERROR(INDEX(Raw_Expenses!$C$5:$C$2979,MATCH(A2409,Raw_Expenses!$A$5:$A$2979,0)),0)</f>
        <v>20.86</v>
      </c>
      <c r="N2409" s="41" t="n">
        <f aca="false">L2409+M2409</f>
        <v>160.86</v>
      </c>
      <c r="O2409" s="41" t="n">
        <f aca="false">K2409-N2409</f>
        <v>159.09</v>
      </c>
      <c r="P2409" s="43" t="n">
        <f aca="false">IF(K2409=0,0,O2409/K2409)</f>
        <v>0.497233942803563</v>
      </c>
    </row>
    <row r="2410" customFormat="false" ht="15" hidden="false" customHeight="false" outlineLevel="0" collapsed="false">
      <c r="A2410" s="39" t="s">
        <v>2532</v>
      </c>
      <c r="B2410" s="40" t="n">
        <v>45973</v>
      </c>
      <c r="C2410" s="39" t="s">
        <v>114</v>
      </c>
      <c r="D2410" s="39" t="n">
        <v>5</v>
      </c>
      <c r="E2410" s="41" t="n">
        <v>5.77</v>
      </c>
      <c r="F2410" s="39" t="s">
        <v>105</v>
      </c>
      <c r="G2410" s="39" t="str">
        <f aca="false">VLOOKUP(C2410,Products!$A$5:$D$24,2,FALSE())</f>
        <v>Gel Pen Pack</v>
      </c>
      <c r="H2410" s="39" t="str">
        <f aca="false">VLOOKUP(C2410,Products!$A$5:$D$24,3,FALSE())</f>
        <v>Stationery</v>
      </c>
      <c r="I2410" s="41" t="n">
        <f aca="false">VLOOKUP(C2410,Products!$A$5:$D$24,4,FALSE())</f>
        <v>2</v>
      </c>
      <c r="J2410" s="42" t="n">
        <f aca="false">DATE(YEAR(B2410),MONTH(B2410),1)</f>
        <v>45962</v>
      </c>
      <c r="K2410" s="41" t="n">
        <f aca="false">D2410*E2410</f>
        <v>28.85</v>
      </c>
      <c r="L2410" s="41" t="n">
        <f aca="false">D2410*I2410</f>
        <v>10</v>
      </c>
      <c r="M2410" s="41" t="n">
        <f aca="false">IFERROR(INDEX(Raw_Expenses!$C$5:$C$2979,MATCH(A2410,Raw_Expenses!$A$5:$A$2979,0)),0)</f>
        <v>2.51</v>
      </c>
      <c r="N2410" s="41" t="n">
        <f aca="false">L2410+M2410</f>
        <v>12.51</v>
      </c>
      <c r="O2410" s="41" t="n">
        <f aca="false">K2410-N2410</f>
        <v>16.34</v>
      </c>
      <c r="P2410" s="43" t="n">
        <f aca="false">IF(K2410=0,0,O2410/K2410)</f>
        <v>0.566377816291161</v>
      </c>
    </row>
    <row r="2411" customFormat="false" ht="15" hidden="false" customHeight="false" outlineLevel="0" collapsed="false">
      <c r="A2411" s="39" t="s">
        <v>2533</v>
      </c>
      <c r="B2411" s="40" t="n">
        <v>45973</v>
      </c>
      <c r="C2411" s="39" t="s">
        <v>107</v>
      </c>
      <c r="D2411" s="39" t="n">
        <v>4</v>
      </c>
      <c r="E2411" s="41" t="n">
        <v>32.52</v>
      </c>
      <c r="F2411" s="39" t="s">
        <v>105</v>
      </c>
      <c r="G2411" s="39" t="str">
        <f aca="false">VLOOKUP(C2411,Products!$A$5:$D$24,2,FALSE())</f>
        <v>USB-C Hub</v>
      </c>
      <c r="H2411" s="39" t="str">
        <f aca="false">VLOOKUP(C2411,Products!$A$5:$D$24,3,FALSE())</f>
        <v>Electronics</v>
      </c>
      <c r="I2411" s="41" t="n">
        <f aca="false">VLOOKUP(C2411,Products!$A$5:$D$24,4,FALSE())</f>
        <v>14</v>
      </c>
      <c r="J2411" s="42" t="n">
        <f aca="false">DATE(YEAR(B2411),MONTH(B2411),1)</f>
        <v>45962</v>
      </c>
      <c r="K2411" s="41" t="n">
        <f aca="false">D2411*E2411</f>
        <v>130.08</v>
      </c>
      <c r="L2411" s="41" t="n">
        <f aca="false">D2411*I2411</f>
        <v>56</v>
      </c>
      <c r="M2411" s="41" t="n">
        <f aca="false">IFERROR(INDEX(Raw_Expenses!$C$5:$C$2979,MATCH(A2411,Raw_Expenses!$A$5:$A$2979,0)),0)</f>
        <v>6.05</v>
      </c>
      <c r="N2411" s="41" t="n">
        <f aca="false">L2411+M2411</f>
        <v>62.05</v>
      </c>
      <c r="O2411" s="41" t="n">
        <f aca="false">K2411-N2411</f>
        <v>68.03</v>
      </c>
      <c r="P2411" s="43" t="n">
        <f aca="false">IF(K2411=0,0,O2411/K2411)</f>
        <v>0.522985854858549</v>
      </c>
    </row>
    <row r="2412" customFormat="false" ht="15" hidden="false" customHeight="false" outlineLevel="0" collapsed="false">
      <c r="A2412" s="39" t="s">
        <v>2534</v>
      </c>
      <c r="B2412" s="40" t="n">
        <v>45973</v>
      </c>
      <c r="C2412" s="39" t="s">
        <v>133</v>
      </c>
      <c r="D2412" s="39" t="n">
        <v>6</v>
      </c>
      <c r="E2412" s="41" t="n">
        <v>8.48</v>
      </c>
      <c r="F2412" s="39" t="s">
        <v>115</v>
      </c>
      <c r="G2412" s="39" t="str">
        <f aca="false">VLOOKUP(C2412,Products!$A$5:$D$24,2,FALSE())</f>
        <v>Printer Paper Ream</v>
      </c>
      <c r="H2412" s="39" t="str">
        <f aca="false">VLOOKUP(C2412,Products!$A$5:$D$24,3,FALSE())</f>
        <v>Stationery</v>
      </c>
      <c r="I2412" s="41" t="n">
        <f aca="false">VLOOKUP(C2412,Products!$A$5:$D$24,4,FALSE())</f>
        <v>4</v>
      </c>
      <c r="J2412" s="42" t="n">
        <f aca="false">DATE(YEAR(B2412),MONTH(B2412),1)</f>
        <v>45962</v>
      </c>
      <c r="K2412" s="41" t="n">
        <f aca="false">D2412*E2412</f>
        <v>50.88</v>
      </c>
      <c r="L2412" s="41" t="n">
        <f aca="false">D2412*I2412</f>
        <v>24</v>
      </c>
      <c r="M2412" s="41" t="n">
        <f aca="false">IFERROR(INDEX(Raw_Expenses!$C$5:$C$2979,MATCH(A2412,Raw_Expenses!$A$5:$A$2979,0)),0)</f>
        <v>3.68</v>
      </c>
      <c r="N2412" s="41" t="n">
        <f aca="false">L2412+M2412</f>
        <v>27.68</v>
      </c>
      <c r="O2412" s="41" t="n">
        <f aca="false">K2412-N2412</f>
        <v>23.2</v>
      </c>
      <c r="P2412" s="43" t="n">
        <f aca="false">IF(K2412=0,0,O2412/K2412)</f>
        <v>0.455974842767296</v>
      </c>
    </row>
    <row r="2413" customFormat="false" ht="15" hidden="false" customHeight="false" outlineLevel="0" collapsed="false">
      <c r="A2413" s="39" t="s">
        <v>2535</v>
      </c>
      <c r="B2413" s="40" t="n">
        <v>45974</v>
      </c>
      <c r="C2413" s="39" t="s">
        <v>153</v>
      </c>
      <c r="D2413" s="39" t="n">
        <v>1</v>
      </c>
      <c r="E2413" s="41" t="n">
        <v>168.9</v>
      </c>
      <c r="F2413" s="39" t="s">
        <v>105</v>
      </c>
      <c r="G2413" s="39" t="str">
        <f aca="false">VLOOKUP(C2413,Products!$A$5:$D$24,2,FALSE())</f>
        <v>24-inch Monitor</v>
      </c>
      <c r="H2413" s="39" t="str">
        <f aca="false">VLOOKUP(C2413,Products!$A$5:$D$24,3,FALSE())</f>
        <v>Electronics</v>
      </c>
      <c r="I2413" s="41" t="n">
        <f aca="false">VLOOKUP(C2413,Products!$A$5:$D$24,4,FALSE())</f>
        <v>90</v>
      </c>
      <c r="J2413" s="42" t="n">
        <f aca="false">DATE(YEAR(B2413),MONTH(B2413),1)</f>
        <v>45962</v>
      </c>
      <c r="K2413" s="41" t="n">
        <f aca="false">D2413*E2413</f>
        <v>168.9</v>
      </c>
      <c r="L2413" s="41" t="n">
        <f aca="false">D2413*I2413</f>
        <v>90</v>
      </c>
      <c r="M2413" s="41" t="n">
        <f aca="false">IFERROR(INDEX(Raw_Expenses!$C$5:$C$2979,MATCH(A2413,Raw_Expenses!$A$5:$A$2979,0)),0)</f>
        <v>7.51</v>
      </c>
      <c r="N2413" s="41" t="n">
        <f aca="false">L2413+M2413</f>
        <v>97.51</v>
      </c>
      <c r="O2413" s="41" t="n">
        <f aca="false">K2413-N2413</f>
        <v>71.39</v>
      </c>
      <c r="P2413" s="43" t="n">
        <f aca="false">IF(K2413=0,0,O2413/K2413)</f>
        <v>0.42267613972765</v>
      </c>
    </row>
    <row r="2414" customFormat="false" ht="15" hidden="false" customHeight="false" outlineLevel="0" collapsed="false">
      <c r="A2414" s="39" t="s">
        <v>2536</v>
      </c>
      <c r="B2414" s="40" t="n">
        <v>45974</v>
      </c>
      <c r="C2414" s="39" t="s">
        <v>128</v>
      </c>
      <c r="D2414" s="39" t="n">
        <v>2</v>
      </c>
      <c r="E2414" s="41" t="n">
        <v>38.74</v>
      </c>
      <c r="F2414" s="39" t="s">
        <v>115</v>
      </c>
      <c r="G2414" s="39" t="str">
        <f aca="false">VLOOKUP(C2414,Products!$A$5:$D$24,2,FALSE())</f>
        <v>Ergonomic Footrest</v>
      </c>
      <c r="H2414" s="39" t="str">
        <f aca="false">VLOOKUP(C2414,Products!$A$5:$D$24,3,FALSE())</f>
        <v>Furniture</v>
      </c>
      <c r="I2414" s="41" t="n">
        <f aca="false">VLOOKUP(C2414,Products!$A$5:$D$24,4,FALSE())</f>
        <v>15</v>
      </c>
      <c r="J2414" s="42" t="n">
        <f aca="false">DATE(YEAR(B2414),MONTH(B2414),1)</f>
        <v>45962</v>
      </c>
      <c r="K2414" s="41" t="n">
        <f aca="false">D2414*E2414</f>
        <v>77.48</v>
      </c>
      <c r="L2414" s="41" t="n">
        <f aca="false">D2414*I2414</f>
        <v>30</v>
      </c>
      <c r="M2414" s="41" t="n">
        <f aca="false">IFERROR(INDEX(Raw_Expenses!$C$5:$C$2979,MATCH(A2414,Raw_Expenses!$A$5:$A$2979,0)),0)</f>
        <v>3.91</v>
      </c>
      <c r="N2414" s="41" t="n">
        <f aca="false">L2414+M2414</f>
        <v>33.91</v>
      </c>
      <c r="O2414" s="41" t="n">
        <f aca="false">K2414-N2414</f>
        <v>43.57</v>
      </c>
      <c r="P2414" s="43" t="n">
        <f aca="false">IF(K2414=0,0,O2414/K2414)</f>
        <v>0.562338668043366</v>
      </c>
    </row>
    <row r="2415" customFormat="false" ht="15" hidden="false" customHeight="false" outlineLevel="0" collapsed="false">
      <c r="A2415" s="39" t="s">
        <v>2537</v>
      </c>
      <c r="B2415" s="40" t="n">
        <v>45974</v>
      </c>
      <c r="C2415" s="39" t="s">
        <v>114</v>
      </c>
      <c r="D2415" s="39" t="n">
        <v>1</v>
      </c>
      <c r="E2415" s="41" t="n">
        <v>5.64</v>
      </c>
      <c r="F2415" s="39" t="s">
        <v>108</v>
      </c>
      <c r="G2415" s="39" t="str">
        <f aca="false">VLOOKUP(C2415,Products!$A$5:$D$24,2,FALSE())</f>
        <v>Gel Pen Pack</v>
      </c>
      <c r="H2415" s="39" t="str">
        <f aca="false">VLOOKUP(C2415,Products!$A$5:$D$24,3,FALSE())</f>
        <v>Stationery</v>
      </c>
      <c r="I2415" s="41" t="n">
        <f aca="false">VLOOKUP(C2415,Products!$A$5:$D$24,4,FALSE())</f>
        <v>2</v>
      </c>
      <c r="J2415" s="42" t="n">
        <f aca="false">DATE(YEAR(B2415),MONTH(B2415),1)</f>
        <v>45962</v>
      </c>
      <c r="K2415" s="41" t="n">
        <f aca="false">D2415*E2415</f>
        <v>5.64</v>
      </c>
      <c r="L2415" s="41" t="n">
        <f aca="false">D2415*I2415</f>
        <v>2</v>
      </c>
      <c r="M2415" s="41" t="n">
        <f aca="false">IFERROR(INDEX(Raw_Expenses!$C$5:$C$2979,MATCH(A2415,Raw_Expenses!$A$5:$A$2979,0)),0)</f>
        <v>0.49</v>
      </c>
      <c r="N2415" s="41" t="n">
        <f aca="false">L2415+M2415</f>
        <v>2.49</v>
      </c>
      <c r="O2415" s="41" t="n">
        <f aca="false">K2415-N2415</f>
        <v>3.15</v>
      </c>
      <c r="P2415" s="43" t="n">
        <f aca="false">IF(K2415=0,0,O2415/K2415)</f>
        <v>0.558510638297872</v>
      </c>
    </row>
    <row r="2416" customFormat="false" ht="15" hidden="false" customHeight="false" outlineLevel="0" collapsed="false">
      <c r="A2416" s="39" t="s">
        <v>2538</v>
      </c>
      <c r="B2416" s="40" t="n">
        <v>45974</v>
      </c>
      <c r="C2416" s="39" t="s">
        <v>162</v>
      </c>
      <c r="D2416" s="39" t="n">
        <v>1</v>
      </c>
      <c r="E2416" s="41" t="n">
        <v>65.66</v>
      </c>
      <c r="F2416" s="39" t="s">
        <v>115</v>
      </c>
      <c r="G2416" s="39" t="str">
        <f aca="false">VLOOKUP(C2416,Products!$A$5:$D$24,2,FALSE())</f>
        <v>Bluetooth Speaker</v>
      </c>
      <c r="H2416" s="39" t="str">
        <f aca="false">VLOOKUP(C2416,Products!$A$5:$D$24,3,FALSE())</f>
        <v>Electronics</v>
      </c>
      <c r="I2416" s="41" t="n">
        <f aca="false">VLOOKUP(C2416,Products!$A$5:$D$24,4,FALSE())</f>
        <v>28</v>
      </c>
      <c r="J2416" s="42" t="n">
        <f aca="false">DATE(YEAR(B2416),MONTH(B2416),1)</f>
        <v>45962</v>
      </c>
      <c r="K2416" s="41" t="n">
        <f aca="false">D2416*E2416</f>
        <v>65.66</v>
      </c>
      <c r="L2416" s="41" t="n">
        <f aca="false">D2416*I2416</f>
        <v>28</v>
      </c>
      <c r="M2416" s="41" t="n">
        <f aca="false">IFERROR(INDEX(Raw_Expenses!$C$5:$C$2979,MATCH(A2416,Raw_Expenses!$A$5:$A$2979,0)),0)</f>
        <v>2.91</v>
      </c>
      <c r="N2416" s="41" t="n">
        <f aca="false">L2416+M2416</f>
        <v>30.91</v>
      </c>
      <c r="O2416" s="41" t="n">
        <f aca="false">K2416-N2416</f>
        <v>34.75</v>
      </c>
      <c r="P2416" s="43" t="n">
        <f aca="false">IF(K2416=0,0,O2416/K2416)</f>
        <v>0.529241547365215</v>
      </c>
    </row>
    <row r="2417" customFormat="false" ht="15" hidden="false" customHeight="false" outlineLevel="0" collapsed="false">
      <c r="A2417" s="39" t="s">
        <v>2539</v>
      </c>
      <c r="B2417" s="40" t="n">
        <v>45974</v>
      </c>
      <c r="C2417" s="39" t="s">
        <v>133</v>
      </c>
      <c r="D2417" s="39" t="n">
        <v>1</v>
      </c>
      <c r="E2417" s="41" t="n">
        <v>8.85</v>
      </c>
      <c r="F2417" s="39" t="s">
        <v>108</v>
      </c>
      <c r="G2417" s="39" t="str">
        <f aca="false">VLOOKUP(C2417,Products!$A$5:$D$24,2,FALSE())</f>
        <v>Printer Paper Ream</v>
      </c>
      <c r="H2417" s="39" t="str">
        <f aca="false">VLOOKUP(C2417,Products!$A$5:$D$24,3,FALSE())</f>
        <v>Stationery</v>
      </c>
      <c r="I2417" s="41" t="n">
        <f aca="false">VLOOKUP(C2417,Products!$A$5:$D$24,4,FALSE())</f>
        <v>4</v>
      </c>
      <c r="J2417" s="42" t="n">
        <f aca="false">DATE(YEAR(B2417),MONTH(B2417),1)</f>
        <v>45962</v>
      </c>
      <c r="K2417" s="41" t="n">
        <f aca="false">D2417*E2417</f>
        <v>8.85</v>
      </c>
      <c r="L2417" s="41" t="n">
        <f aca="false">D2417*I2417</f>
        <v>4</v>
      </c>
      <c r="M2417" s="41" t="n">
        <f aca="false">IFERROR(INDEX(Raw_Expenses!$C$5:$C$2979,MATCH(A2417,Raw_Expenses!$A$5:$A$2979,0)),0)</f>
        <v>0.61</v>
      </c>
      <c r="N2417" s="41" t="n">
        <f aca="false">L2417+M2417</f>
        <v>4.61</v>
      </c>
      <c r="O2417" s="41" t="n">
        <f aca="false">K2417-N2417</f>
        <v>4.24</v>
      </c>
      <c r="P2417" s="43" t="n">
        <f aca="false">IF(K2417=0,0,O2417/K2417)</f>
        <v>0.47909604519774</v>
      </c>
    </row>
    <row r="2418" customFormat="false" ht="15" hidden="false" customHeight="false" outlineLevel="0" collapsed="false">
      <c r="A2418" s="39" t="s">
        <v>2540</v>
      </c>
      <c r="B2418" s="40" t="n">
        <v>45974</v>
      </c>
      <c r="C2418" s="39" t="s">
        <v>153</v>
      </c>
      <c r="D2418" s="39" t="n">
        <v>2</v>
      </c>
      <c r="E2418" s="41" t="n">
        <v>175.1</v>
      </c>
      <c r="F2418" s="39" t="s">
        <v>105</v>
      </c>
      <c r="G2418" s="39" t="str">
        <f aca="false">VLOOKUP(C2418,Products!$A$5:$D$24,2,FALSE())</f>
        <v>24-inch Monitor</v>
      </c>
      <c r="H2418" s="39" t="str">
        <f aca="false">VLOOKUP(C2418,Products!$A$5:$D$24,3,FALSE())</f>
        <v>Electronics</v>
      </c>
      <c r="I2418" s="41" t="n">
        <f aca="false">VLOOKUP(C2418,Products!$A$5:$D$24,4,FALSE())</f>
        <v>90</v>
      </c>
      <c r="J2418" s="42" t="n">
        <f aca="false">DATE(YEAR(B2418),MONTH(B2418),1)</f>
        <v>45962</v>
      </c>
      <c r="K2418" s="41" t="n">
        <f aca="false">D2418*E2418</f>
        <v>350.2</v>
      </c>
      <c r="L2418" s="41" t="n">
        <f aca="false">D2418*I2418</f>
        <v>180</v>
      </c>
      <c r="M2418" s="41" t="n">
        <f aca="false">IFERROR(INDEX(Raw_Expenses!$C$5:$C$2979,MATCH(A2418,Raw_Expenses!$A$5:$A$2979,0)),0)</f>
        <v>21.75</v>
      </c>
      <c r="N2418" s="41" t="n">
        <f aca="false">L2418+M2418</f>
        <v>201.75</v>
      </c>
      <c r="O2418" s="41" t="n">
        <f aca="false">K2418-N2418</f>
        <v>148.45</v>
      </c>
      <c r="P2418" s="43" t="n">
        <f aca="false">IF(K2418=0,0,O2418/K2418)</f>
        <v>0.42390062821245</v>
      </c>
    </row>
    <row r="2419" customFormat="false" ht="15" hidden="false" customHeight="false" outlineLevel="0" collapsed="false">
      <c r="A2419" s="39" t="s">
        <v>2541</v>
      </c>
      <c r="B2419" s="40" t="n">
        <v>45974</v>
      </c>
      <c r="C2419" s="39" t="s">
        <v>183</v>
      </c>
      <c r="D2419" s="39" t="n">
        <v>1</v>
      </c>
      <c r="E2419" s="41" t="n">
        <v>180.47</v>
      </c>
      <c r="F2419" s="39" t="s">
        <v>105</v>
      </c>
      <c r="G2419" s="39" t="str">
        <f aca="false">VLOOKUP(C2419,Products!$A$5:$D$24,2,FALSE())</f>
        <v>Office Chair</v>
      </c>
      <c r="H2419" s="39" t="str">
        <f aca="false">VLOOKUP(C2419,Products!$A$5:$D$24,3,FALSE())</f>
        <v>Furniture</v>
      </c>
      <c r="I2419" s="41" t="n">
        <f aca="false">VLOOKUP(C2419,Products!$A$5:$D$24,4,FALSE())</f>
        <v>85</v>
      </c>
      <c r="J2419" s="42" t="n">
        <f aca="false">DATE(YEAR(B2419),MONTH(B2419),1)</f>
        <v>45962</v>
      </c>
      <c r="K2419" s="41" t="n">
        <f aca="false">D2419*E2419</f>
        <v>180.47</v>
      </c>
      <c r="L2419" s="41" t="n">
        <f aca="false">D2419*I2419</f>
        <v>85</v>
      </c>
      <c r="M2419" s="41" t="n">
        <f aca="false">IFERROR(INDEX(Raw_Expenses!$C$5:$C$2979,MATCH(A2419,Raw_Expenses!$A$5:$A$2979,0)),0)</f>
        <v>8.5</v>
      </c>
      <c r="N2419" s="41" t="n">
        <f aca="false">L2419+M2419</f>
        <v>93.5</v>
      </c>
      <c r="O2419" s="41" t="n">
        <f aca="false">K2419-N2419</f>
        <v>86.97</v>
      </c>
      <c r="P2419" s="43" t="n">
        <f aca="false">IF(K2419=0,0,O2419/K2419)</f>
        <v>0.481908350418352</v>
      </c>
    </row>
    <row r="2420" customFormat="false" ht="15" hidden="false" customHeight="false" outlineLevel="0" collapsed="false">
      <c r="A2420" s="39" t="s">
        <v>2542</v>
      </c>
      <c r="B2420" s="40" t="n">
        <v>45974</v>
      </c>
      <c r="C2420" s="39" t="s">
        <v>114</v>
      </c>
      <c r="D2420" s="39" t="n">
        <v>3</v>
      </c>
      <c r="E2420" s="41" t="n">
        <v>5.79</v>
      </c>
      <c r="F2420" s="39" t="s">
        <v>115</v>
      </c>
      <c r="G2420" s="39" t="str">
        <f aca="false">VLOOKUP(C2420,Products!$A$5:$D$24,2,FALSE())</f>
        <v>Gel Pen Pack</v>
      </c>
      <c r="H2420" s="39" t="str">
        <f aca="false">VLOOKUP(C2420,Products!$A$5:$D$24,3,FALSE())</f>
        <v>Stationery</v>
      </c>
      <c r="I2420" s="41" t="n">
        <f aca="false">VLOOKUP(C2420,Products!$A$5:$D$24,4,FALSE())</f>
        <v>2</v>
      </c>
      <c r="J2420" s="42" t="n">
        <f aca="false">DATE(YEAR(B2420),MONTH(B2420),1)</f>
        <v>45962</v>
      </c>
      <c r="K2420" s="41" t="n">
        <f aca="false">D2420*E2420</f>
        <v>17.37</v>
      </c>
      <c r="L2420" s="41" t="n">
        <f aca="false">D2420*I2420</f>
        <v>6</v>
      </c>
      <c r="M2420" s="41" t="n">
        <f aca="false">IFERROR(INDEX(Raw_Expenses!$C$5:$C$2979,MATCH(A2420,Raw_Expenses!$A$5:$A$2979,0)),0)</f>
        <v>0.77</v>
      </c>
      <c r="N2420" s="41" t="n">
        <f aca="false">L2420+M2420</f>
        <v>6.77</v>
      </c>
      <c r="O2420" s="41" t="n">
        <f aca="false">K2420-N2420</f>
        <v>10.6</v>
      </c>
      <c r="P2420" s="43" t="n">
        <f aca="false">IF(K2420=0,0,O2420/K2420)</f>
        <v>0.610247553252735</v>
      </c>
    </row>
    <row r="2421" customFormat="false" ht="15" hidden="false" customHeight="false" outlineLevel="0" collapsed="false">
      <c r="A2421" s="39" t="s">
        <v>2543</v>
      </c>
      <c r="B2421" s="40" t="n">
        <v>45974</v>
      </c>
      <c r="C2421" s="39" t="s">
        <v>183</v>
      </c>
      <c r="D2421" s="39" t="n">
        <v>4</v>
      </c>
      <c r="E2421" s="41" t="n">
        <v>181.01</v>
      </c>
      <c r="F2421" s="39" t="s">
        <v>105</v>
      </c>
      <c r="G2421" s="39" t="str">
        <f aca="false">VLOOKUP(C2421,Products!$A$5:$D$24,2,FALSE())</f>
        <v>Office Chair</v>
      </c>
      <c r="H2421" s="39" t="str">
        <f aca="false">VLOOKUP(C2421,Products!$A$5:$D$24,3,FALSE())</f>
        <v>Furniture</v>
      </c>
      <c r="I2421" s="41" t="n">
        <f aca="false">VLOOKUP(C2421,Products!$A$5:$D$24,4,FALSE())</f>
        <v>85</v>
      </c>
      <c r="J2421" s="42" t="n">
        <f aca="false">DATE(YEAR(B2421),MONTH(B2421),1)</f>
        <v>45962</v>
      </c>
      <c r="K2421" s="41" t="n">
        <f aca="false">D2421*E2421</f>
        <v>724.04</v>
      </c>
      <c r="L2421" s="41" t="n">
        <f aca="false">D2421*I2421</f>
        <v>340</v>
      </c>
      <c r="M2421" s="41" t="n">
        <f aca="false">IFERROR(INDEX(Raw_Expenses!$C$5:$C$2979,MATCH(A2421,Raw_Expenses!$A$5:$A$2979,0)),0)</f>
        <v>53.01</v>
      </c>
      <c r="N2421" s="41" t="n">
        <f aca="false">L2421+M2421</f>
        <v>393.01</v>
      </c>
      <c r="O2421" s="41" t="n">
        <f aca="false">K2421-N2421</f>
        <v>331.03</v>
      </c>
      <c r="P2421" s="43" t="n">
        <f aca="false">IF(K2421=0,0,O2421/K2421)</f>
        <v>0.45719849732059</v>
      </c>
    </row>
    <row r="2422" customFormat="false" ht="15" hidden="false" customHeight="false" outlineLevel="0" collapsed="false">
      <c r="A2422" s="39" t="s">
        <v>2544</v>
      </c>
      <c r="B2422" s="40" t="n">
        <v>45974</v>
      </c>
      <c r="C2422" s="39" t="s">
        <v>126</v>
      </c>
      <c r="D2422" s="39" t="n">
        <v>4</v>
      </c>
      <c r="E2422" s="41" t="n">
        <v>23.8</v>
      </c>
      <c r="F2422" s="39" t="s">
        <v>118</v>
      </c>
      <c r="G2422" s="39" t="str">
        <f aca="false">VLOOKUP(C2422,Products!$A$5:$D$24,2,FALSE())</f>
        <v>Wireless Mouse</v>
      </c>
      <c r="H2422" s="39" t="str">
        <f aca="false">VLOOKUP(C2422,Products!$A$5:$D$24,3,FALSE())</f>
        <v>Electronics</v>
      </c>
      <c r="I2422" s="41" t="n">
        <f aca="false">VLOOKUP(C2422,Products!$A$5:$D$24,4,FALSE())</f>
        <v>12</v>
      </c>
      <c r="J2422" s="42" t="n">
        <f aca="false">DATE(YEAR(B2422),MONTH(B2422),1)</f>
        <v>45962</v>
      </c>
      <c r="K2422" s="41" t="n">
        <f aca="false">D2422*E2422</f>
        <v>95.2</v>
      </c>
      <c r="L2422" s="41" t="n">
        <f aca="false">D2422*I2422</f>
        <v>48</v>
      </c>
      <c r="M2422" s="41" t="n">
        <f aca="false">IFERROR(INDEX(Raw_Expenses!$C$5:$C$2979,MATCH(A2422,Raw_Expenses!$A$5:$A$2979,0)),0)</f>
        <v>4.44</v>
      </c>
      <c r="N2422" s="41" t="n">
        <f aca="false">L2422+M2422</f>
        <v>52.44</v>
      </c>
      <c r="O2422" s="41" t="n">
        <f aca="false">K2422-N2422</f>
        <v>42.76</v>
      </c>
      <c r="P2422" s="43" t="n">
        <f aca="false">IF(K2422=0,0,O2422/K2422)</f>
        <v>0.449159663865546</v>
      </c>
    </row>
    <row r="2423" customFormat="false" ht="15" hidden="false" customHeight="false" outlineLevel="0" collapsed="false">
      <c r="A2423" s="39" t="s">
        <v>2545</v>
      </c>
      <c r="B2423" s="40" t="n">
        <v>45974</v>
      </c>
      <c r="C2423" s="39" t="s">
        <v>126</v>
      </c>
      <c r="D2423" s="39" t="n">
        <v>8</v>
      </c>
      <c r="E2423" s="41" t="n">
        <v>24.57</v>
      </c>
      <c r="F2423" s="39" t="s">
        <v>105</v>
      </c>
      <c r="G2423" s="39" t="str">
        <f aca="false">VLOOKUP(C2423,Products!$A$5:$D$24,2,FALSE())</f>
        <v>Wireless Mouse</v>
      </c>
      <c r="H2423" s="39" t="str">
        <f aca="false">VLOOKUP(C2423,Products!$A$5:$D$24,3,FALSE())</f>
        <v>Electronics</v>
      </c>
      <c r="I2423" s="41" t="n">
        <f aca="false">VLOOKUP(C2423,Products!$A$5:$D$24,4,FALSE())</f>
        <v>12</v>
      </c>
      <c r="J2423" s="42" t="n">
        <f aca="false">DATE(YEAR(B2423),MONTH(B2423),1)</f>
        <v>45962</v>
      </c>
      <c r="K2423" s="41" t="n">
        <f aca="false">D2423*E2423</f>
        <v>196.56</v>
      </c>
      <c r="L2423" s="41" t="n">
        <f aca="false">D2423*I2423</f>
        <v>96</v>
      </c>
      <c r="M2423" s="41" t="n">
        <f aca="false">IFERROR(INDEX(Raw_Expenses!$C$5:$C$2979,MATCH(A2423,Raw_Expenses!$A$5:$A$2979,0)),0)</f>
        <v>11.68</v>
      </c>
      <c r="N2423" s="41" t="n">
        <f aca="false">L2423+M2423</f>
        <v>107.68</v>
      </c>
      <c r="O2423" s="41" t="n">
        <f aca="false">K2423-N2423</f>
        <v>88.88</v>
      </c>
      <c r="P2423" s="43" t="n">
        <f aca="false">IF(K2423=0,0,O2423/K2423)</f>
        <v>0.452177452177452</v>
      </c>
    </row>
    <row r="2424" customFormat="false" ht="15" hidden="false" customHeight="false" outlineLevel="0" collapsed="false">
      <c r="A2424" s="39" t="s">
        <v>2546</v>
      </c>
      <c r="B2424" s="40" t="n">
        <v>45974</v>
      </c>
      <c r="C2424" s="39" t="s">
        <v>107</v>
      </c>
      <c r="D2424" s="39" t="n">
        <v>5</v>
      </c>
      <c r="E2424" s="41" t="n">
        <v>34.24</v>
      </c>
      <c r="F2424" s="39" t="s">
        <v>118</v>
      </c>
      <c r="G2424" s="39" t="str">
        <f aca="false">VLOOKUP(C2424,Products!$A$5:$D$24,2,FALSE())</f>
        <v>USB-C Hub</v>
      </c>
      <c r="H2424" s="39" t="str">
        <f aca="false">VLOOKUP(C2424,Products!$A$5:$D$24,3,FALSE())</f>
        <v>Electronics</v>
      </c>
      <c r="I2424" s="41" t="n">
        <f aca="false">VLOOKUP(C2424,Products!$A$5:$D$24,4,FALSE())</f>
        <v>14</v>
      </c>
      <c r="J2424" s="42" t="n">
        <f aca="false">DATE(YEAR(B2424),MONTH(B2424),1)</f>
        <v>45962</v>
      </c>
      <c r="K2424" s="41" t="n">
        <f aca="false">D2424*E2424</f>
        <v>171.2</v>
      </c>
      <c r="L2424" s="41" t="n">
        <f aca="false">D2424*I2424</f>
        <v>70</v>
      </c>
      <c r="M2424" s="41" t="n">
        <f aca="false">IFERROR(INDEX(Raw_Expenses!$C$5:$C$2979,MATCH(A2424,Raw_Expenses!$A$5:$A$2979,0)),0)</f>
        <v>11.49</v>
      </c>
      <c r="N2424" s="41" t="n">
        <f aca="false">L2424+M2424</f>
        <v>81.49</v>
      </c>
      <c r="O2424" s="41" t="n">
        <f aca="false">K2424-N2424</f>
        <v>89.71</v>
      </c>
      <c r="P2424" s="43" t="n">
        <f aca="false">IF(K2424=0,0,O2424/K2424)</f>
        <v>0.524007009345795</v>
      </c>
    </row>
    <row r="2425" customFormat="false" ht="15" hidden="false" customHeight="false" outlineLevel="0" collapsed="false">
      <c r="A2425" s="39" t="s">
        <v>2547</v>
      </c>
      <c r="B2425" s="40" t="n">
        <v>45974</v>
      </c>
      <c r="C2425" s="39" t="s">
        <v>126</v>
      </c>
      <c r="D2425" s="39" t="n">
        <v>3</v>
      </c>
      <c r="E2425" s="41" t="n">
        <v>23.89</v>
      </c>
      <c r="F2425" s="39" t="s">
        <v>118</v>
      </c>
      <c r="G2425" s="39" t="str">
        <f aca="false">VLOOKUP(C2425,Products!$A$5:$D$24,2,FALSE())</f>
        <v>Wireless Mouse</v>
      </c>
      <c r="H2425" s="39" t="str">
        <f aca="false">VLOOKUP(C2425,Products!$A$5:$D$24,3,FALSE())</f>
        <v>Electronics</v>
      </c>
      <c r="I2425" s="41" t="n">
        <f aca="false">VLOOKUP(C2425,Products!$A$5:$D$24,4,FALSE())</f>
        <v>12</v>
      </c>
      <c r="J2425" s="42" t="n">
        <f aca="false">DATE(YEAR(B2425),MONTH(B2425),1)</f>
        <v>45962</v>
      </c>
      <c r="K2425" s="41" t="n">
        <f aca="false">D2425*E2425</f>
        <v>71.67</v>
      </c>
      <c r="L2425" s="41" t="n">
        <f aca="false">D2425*I2425</f>
        <v>36</v>
      </c>
      <c r="M2425" s="41" t="n">
        <f aca="false">IFERROR(INDEX(Raw_Expenses!$C$5:$C$2979,MATCH(A2425,Raw_Expenses!$A$5:$A$2979,0)),0)</f>
        <v>4.02</v>
      </c>
      <c r="N2425" s="41" t="n">
        <f aca="false">L2425+M2425</f>
        <v>40.02</v>
      </c>
      <c r="O2425" s="41" t="n">
        <f aca="false">K2425-N2425</f>
        <v>31.65</v>
      </c>
      <c r="P2425" s="43" t="n">
        <f aca="false">IF(K2425=0,0,O2425/K2425)</f>
        <v>0.441607367099205</v>
      </c>
    </row>
    <row r="2426" customFormat="false" ht="15" hidden="false" customHeight="false" outlineLevel="0" collapsed="false">
      <c r="A2426" s="39" t="s">
        <v>2548</v>
      </c>
      <c r="B2426" s="40" t="n">
        <v>45974</v>
      </c>
      <c r="C2426" s="39" t="s">
        <v>128</v>
      </c>
      <c r="D2426" s="39" t="n">
        <v>4</v>
      </c>
      <c r="E2426" s="41" t="n">
        <v>36.34</v>
      </c>
      <c r="F2426" s="39" t="s">
        <v>118</v>
      </c>
      <c r="G2426" s="39" t="str">
        <f aca="false">VLOOKUP(C2426,Products!$A$5:$D$24,2,FALSE())</f>
        <v>Ergonomic Footrest</v>
      </c>
      <c r="H2426" s="39" t="str">
        <f aca="false">VLOOKUP(C2426,Products!$A$5:$D$24,3,FALSE())</f>
        <v>Furniture</v>
      </c>
      <c r="I2426" s="41" t="n">
        <f aca="false">VLOOKUP(C2426,Products!$A$5:$D$24,4,FALSE())</f>
        <v>15</v>
      </c>
      <c r="J2426" s="42" t="n">
        <f aca="false">DATE(YEAR(B2426),MONTH(B2426),1)</f>
        <v>45962</v>
      </c>
      <c r="K2426" s="41" t="n">
        <f aca="false">D2426*E2426</f>
        <v>145.36</v>
      </c>
      <c r="L2426" s="41" t="n">
        <f aca="false">D2426*I2426</f>
        <v>60</v>
      </c>
      <c r="M2426" s="41" t="n">
        <f aca="false">IFERROR(INDEX(Raw_Expenses!$C$5:$C$2979,MATCH(A2426,Raw_Expenses!$A$5:$A$2979,0)),0)</f>
        <v>8.5</v>
      </c>
      <c r="N2426" s="41" t="n">
        <f aca="false">L2426+M2426</f>
        <v>68.5</v>
      </c>
      <c r="O2426" s="41" t="n">
        <f aca="false">K2426-N2426</f>
        <v>76.86</v>
      </c>
      <c r="P2426" s="43" t="n">
        <f aca="false">IF(K2426=0,0,O2426/K2426)</f>
        <v>0.528756191524491</v>
      </c>
    </row>
    <row r="2427" customFormat="false" ht="15" hidden="false" customHeight="false" outlineLevel="0" collapsed="false">
      <c r="A2427" s="39" t="s">
        <v>2549</v>
      </c>
      <c r="B2427" s="40" t="n">
        <v>45974</v>
      </c>
      <c r="C2427" s="39" t="s">
        <v>110</v>
      </c>
      <c r="D2427" s="39" t="n">
        <v>3</v>
      </c>
      <c r="E2427" s="41" t="n">
        <v>12.98</v>
      </c>
      <c r="F2427" s="39" t="s">
        <v>108</v>
      </c>
      <c r="G2427" s="39" t="str">
        <f aca="false">VLOOKUP(C2427,Products!$A$5:$D$24,2,FALSE())</f>
        <v>Phone Stand</v>
      </c>
      <c r="H2427" s="39" t="str">
        <f aca="false">VLOOKUP(C2427,Products!$A$5:$D$24,3,FALSE())</f>
        <v>Accessories</v>
      </c>
      <c r="I2427" s="41" t="n">
        <f aca="false">VLOOKUP(C2427,Products!$A$5:$D$24,4,FALSE())</f>
        <v>4</v>
      </c>
      <c r="J2427" s="42" t="n">
        <f aca="false">DATE(YEAR(B2427),MONTH(B2427),1)</f>
        <v>45962</v>
      </c>
      <c r="K2427" s="41" t="n">
        <f aca="false">D2427*E2427</f>
        <v>38.94</v>
      </c>
      <c r="L2427" s="41" t="n">
        <f aca="false">D2427*I2427</f>
        <v>12</v>
      </c>
      <c r="M2427" s="41" t="n">
        <f aca="false">IFERROR(INDEX(Raw_Expenses!$C$5:$C$2979,MATCH(A2427,Raw_Expenses!$A$5:$A$2979,0)),0)</f>
        <v>2.71</v>
      </c>
      <c r="N2427" s="41" t="n">
        <f aca="false">L2427+M2427</f>
        <v>14.71</v>
      </c>
      <c r="O2427" s="41" t="n">
        <f aca="false">K2427-N2427</f>
        <v>24.23</v>
      </c>
      <c r="P2427" s="43" t="n">
        <f aca="false">IF(K2427=0,0,O2427/K2427)</f>
        <v>0.622239342578326</v>
      </c>
    </row>
    <row r="2428" customFormat="false" ht="15" hidden="false" customHeight="false" outlineLevel="0" collapsed="false">
      <c r="A2428" s="39" t="s">
        <v>2550</v>
      </c>
      <c r="B2428" s="40" t="n">
        <v>45974</v>
      </c>
      <c r="C2428" s="39" t="s">
        <v>130</v>
      </c>
      <c r="D2428" s="39" t="n">
        <v>6</v>
      </c>
      <c r="E2428" s="41" t="n">
        <v>8.78</v>
      </c>
      <c r="F2428" s="39" t="s">
        <v>105</v>
      </c>
      <c r="G2428" s="39" t="str">
        <f aca="false">VLOOKUP(C2428,Products!$A$5:$D$24,2,FALSE())</f>
        <v>Notebook Set</v>
      </c>
      <c r="H2428" s="39" t="str">
        <f aca="false">VLOOKUP(C2428,Products!$A$5:$D$24,3,FALSE())</f>
        <v>Stationery</v>
      </c>
      <c r="I2428" s="41" t="n">
        <f aca="false">VLOOKUP(C2428,Products!$A$5:$D$24,4,FALSE())</f>
        <v>3</v>
      </c>
      <c r="J2428" s="42" t="n">
        <f aca="false">DATE(YEAR(B2428),MONTH(B2428),1)</f>
        <v>45962</v>
      </c>
      <c r="K2428" s="41" t="n">
        <f aca="false">D2428*E2428</f>
        <v>52.68</v>
      </c>
      <c r="L2428" s="41" t="n">
        <f aca="false">D2428*I2428</f>
        <v>18</v>
      </c>
      <c r="M2428" s="41" t="n">
        <f aca="false">IFERROR(INDEX(Raw_Expenses!$C$5:$C$2979,MATCH(A2428,Raw_Expenses!$A$5:$A$2979,0)),0)</f>
        <v>3.81</v>
      </c>
      <c r="N2428" s="41" t="n">
        <f aca="false">L2428+M2428</f>
        <v>21.81</v>
      </c>
      <c r="O2428" s="41" t="n">
        <f aca="false">K2428-N2428</f>
        <v>30.87</v>
      </c>
      <c r="P2428" s="43" t="n">
        <f aca="false">IF(K2428=0,0,O2428/K2428)</f>
        <v>0.585990888382688</v>
      </c>
    </row>
    <row r="2429" customFormat="false" ht="15" hidden="false" customHeight="false" outlineLevel="0" collapsed="false">
      <c r="A2429" s="39" t="s">
        <v>2551</v>
      </c>
      <c r="B2429" s="40" t="n">
        <v>45975</v>
      </c>
      <c r="C2429" s="39" t="s">
        <v>130</v>
      </c>
      <c r="D2429" s="39" t="n">
        <v>3</v>
      </c>
      <c r="E2429" s="41" t="n">
        <v>8.82</v>
      </c>
      <c r="F2429" s="39" t="s">
        <v>115</v>
      </c>
      <c r="G2429" s="39" t="str">
        <f aca="false">VLOOKUP(C2429,Products!$A$5:$D$24,2,FALSE())</f>
        <v>Notebook Set</v>
      </c>
      <c r="H2429" s="39" t="str">
        <f aca="false">VLOOKUP(C2429,Products!$A$5:$D$24,3,FALSE())</f>
        <v>Stationery</v>
      </c>
      <c r="I2429" s="41" t="n">
        <f aca="false">VLOOKUP(C2429,Products!$A$5:$D$24,4,FALSE())</f>
        <v>3</v>
      </c>
      <c r="J2429" s="42" t="n">
        <f aca="false">DATE(YEAR(B2429),MONTH(B2429),1)</f>
        <v>45962</v>
      </c>
      <c r="K2429" s="41" t="n">
        <f aca="false">D2429*E2429</f>
        <v>26.46</v>
      </c>
      <c r="L2429" s="41" t="n">
        <f aca="false">D2429*I2429</f>
        <v>9</v>
      </c>
      <c r="M2429" s="41" t="n">
        <f aca="false">IFERROR(INDEX(Raw_Expenses!$C$5:$C$2979,MATCH(A2429,Raw_Expenses!$A$5:$A$2979,0)),0)</f>
        <v>1.33</v>
      </c>
      <c r="N2429" s="41" t="n">
        <f aca="false">L2429+M2429</f>
        <v>10.33</v>
      </c>
      <c r="O2429" s="41" t="n">
        <f aca="false">K2429-N2429</f>
        <v>16.13</v>
      </c>
      <c r="P2429" s="43" t="n">
        <f aca="false">IF(K2429=0,0,O2429/K2429)</f>
        <v>0.609599395313681</v>
      </c>
    </row>
    <row r="2430" customFormat="false" ht="15" hidden="false" customHeight="false" outlineLevel="0" collapsed="false">
      <c r="A2430" s="39" t="s">
        <v>2552</v>
      </c>
      <c r="B2430" s="40" t="n">
        <v>45975</v>
      </c>
      <c r="C2430" s="39" t="s">
        <v>130</v>
      </c>
      <c r="D2430" s="39" t="n">
        <v>2</v>
      </c>
      <c r="E2430" s="41" t="n">
        <v>8.41</v>
      </c>
      <c r="F2430" s="39" t="s">
        <v>118</v>
      </c>
      <c r="G2430" s="39" t="str">
        <f aca="false">VLOOKUP(C2430,Products!$A$5:$D$24,2,FALSE())</f>
        <v>Notebook Set</v>
      </c>
      <c r="H2430" s="39" t="str">
        <f aca="false">VLOOKUP(C2430,Products!$A$5:$D$24,3,FALSE())</f>
        <v>Stationery</v>
      </c>
      <c r="I2430" s="41" t="n">
        <f aca="false">VLOOKUP(C2430,Products!$A$5:$D$24,4,FALSE())</f>
        <v>3</v>
      </c>
      <c r="J2430" s="42" t="n">
        <f aca="false">DATE(YEAR(B2430),MONTH(B2430),1)</f>
        <v>45962</v>
      </c>
      <c r="K2430" s="41" t="n">
        <f aca="false">D2430*E2430</f>
        <v>16.82</v>
      </c>
      <c r="L2430" s="41" t="n">
        <f aca="false">D2430*I2430</f>
        <v>6</v>
      </c>
      <c r="M2430" s="41" t="n">
        <f aca="false">IFERROR(INDEX(Raw_Expenses!$C$5:$C$2979,MATCH(A2430,Raw_Expenses!$A$5:$A$2979,0)),0)</f>
        <v>0.87</v>
      </c>
      <c r="N2430" s="41" t="n">
        <f aca="false">L2430+M2430</f>
        <v>6.87</v>
      </c>
      <c r="O2430" s="41" t="n">
        <f aca="false">K2430-N2430</f>
        <v>9.95</v>
      </c>
      <c r="P2430" s="43" t="n">
        <f aca="false">IF(K2430=0,0,O2430/K2430)</f>
        <v>0.591557669441141</v>
      </c>
    </row>
    <row r="2431" customFormat="false" ht="15" hidden="false" customHeight="false" outlineLevel="0" collapsed="false">
      <c r="A2431" s="39" t="s">
        <v>2553</v>
      </c>
      <c r="B2431" s="40" t="n">
        <v>45975</v>
      </c>
      <c r="C2431" s="39" t="s">
        <v>117</v>
      </c>
      <c r="D2431" s="39" t="n">
        <v>2</v>
      </c>
      <c r="E2431" s="41" t="n">
        <v>31.07</v>
      </c>
      <c r="F2431" s="39" t="s">
        <v>115</v>
      </c>
      <c r="G2431" s="39" t="str">
        <f aca="false">VLOOKUP(C2431,Products!$A$5:$D$24,2,FALSE())</f>
        <v>Desk Lamp</v>
      </c>
      <c r="H2431" s="39" t="str">
        <f aca="false">VLOOKUP(C2431,Products!$A$5:$D$24,3,FALSE())</f>
        <v>Furniture</v>
      </c>
      <c r="I2431" s="41" t="n">
        <f aca="false">VLOOKUP(C2431,Products!$A$5:$D$24,4,FALSE())</f>
        <v>13</v>
      </c>
      <c r="J2431" s="42" t="n">
        <f aca="false">DATE(YEAR(B2431),MONTH(B2431),1)</f>
        <v>45962</v>
      </c>
      <c r="K2431" s="41" t="n">
        <f aca="false">D2431*E2431</f>
        <v>62.14</v>
      </c>
      <c r="L2431" s="41" t="n">
        <f aca="false">D2431*I2431</f>
        <v>26</v>
      </c>
      <c r="M2431" s="41" t="n">
        <f aca="false">IFERROR(INDEX(Raw_Expenses!$C$5:$C$2979,MATCH(A2431,Raw_Expenses!$A$5:$A$2979,0)),0)</f>
        <v>4.92</v>
      </c>
      <c r="N2431" s="41" t="n">
        <f aca="false">L2431+M2431</f>
        <v>30.92</v>
      </c>
      <c r="O2431" s="41" t="n">
        <f aca="false">K2431-N2431</f>
        <v>31.22</v>
      </c>
      <c r="P2431" s="43" t="n">
        <f aca="false">IF(K2431=0,0,O2431/K2431)</f>
        <v>0.502413904087544</v>
      </c>
    </row>
    <row r="2432" customFormat="false" ht="15" hidden="false" customHeight="false" outlineLevel="0" collapsed="false">
      <c r="A2432" s="39" t="s">
        <v>2554</v>
      </c>
      <c r="B2432" s="40" t="n">
        <v>45975</v>
      </c>
      <c r="C2432" s="39" t="s">
        <v>107</v>
      </c>
      <c r="D2432" s="39" t="n">
        <v>2</v>
      </c>
      <c r="E2432" s="41" t="n">
        <v>33.16</v>
      </c>
      <c r="F2432" s="39" t="s">
        <v>108</v>
      </c>
      <c r="G2432" s="39" t="str">
        <f aca="false">VLOOKUP(C2432,Products!$A$5:$D$24,2,FALSE())</f>
        <v>USB-C Hub</v>
      </c>
      <c r="H2432" s="39" t="str">
        <f aca="false">VLOOKUP(C2432,Products!$A$5:$D$24,3,FALSE())</f>
        <v>Electronics</v>
      </c>
      <c r="I2432" s="41" t="n">
        <f aca="false">VLOOKUP(C2432,Products!$A$5:$D$24,4,FALSE())</f>
        <v>14</v>
      </c>
      <c r="J2432" s="42" t="n">
        <f aca="false">DATE(YEAR(B2432),MONTH(B2432),1)</f>
        <v>45962</v>
      </c>
      <c r="K2432" s="41" t="n">
        <f aca="false">D2432*E2432</f>
        <v>66.32</v>
      </c>
      <c r="L2432" s="41" t="n">
        <f aca="false">D2432*I2432</f>
        <v>28</v>
      </c>
      <c r="M2432" s="41" t="n">
        <f aca="false">IFERROR(INDEX(Raw_Expenses!$C$5:$C$2979,MATCH(A2432,Raw_Expenses!$A$5:$A$2979,0)),0)</f>
        <v>3.42</v>
      </c>
      <c r="N2432" s="41" t="n">
        <f aca="false">L2432+M2432</f>
        <v>31.42</v>
      </c>
      <c r="O2432" s="41" t="n">
        <f aca="false">K2432-N2432</f>
        <v>34.9</v>
      </c>
      <c r="P2432" s="43" t="n">
        <f aca="false">IF(K2432=0,0,O2432/K2432)</f>
        <v>0.526236429433052</v>
      </c>
    </row>
    <row r="2433" customFormat="false" ht="15" hidden="false" customHeight="false" outlineLevel="0" collapsed="false">
      <c r="A2433" s="39" t="s">
        <v>2555</v>
      </c>
      <c r="B2433" s="40" t="n">
        <v>45975</v>
      </c>
      <c r="C2433" s="39" t="s">
        <v>104</v>
      </c>
      <c r="D2433" s="39" t="n">
        <v>5</v>
      </c>
      <c r="E2433" s="41" t="n">
        <v>14.99</v>
      </c>
      <c r="F2433" s="39" t="s">
        <v>108</v>
      </c>
      <c r="G2433" s="39" t="str">
        <f aca="false">VLOOKUP(C2433,Products!$A$5:$D$24,2,FALSE())</f>
        <v>Water Bottle</v>
      </c>
      <c r="H2433" s="39" t="str">
        <f aca="false">VLOOKUP(C2433,Products!$A$5:$D$24,3,FALSE())</f>
        <v>Accessories</v>
      </c>
      <c r="I2433" s="41" t="n">
        <f aca="false">VLOOKUP(C2433,Products!$A$5:$D$24,4,FALSE())</f>
        <v>5</v>
      </c>
      <c r="J2433" s="42" t="n">
        <f aca="false">DATE(YEAR(B2433),MONTH(B2433),1)</f>
        <v>45962</v>
      </c>
      <c r="K2433" s="41" t="n">
        <f aca="false">D2433*E2433</f>
        <v>74.95</v>
      </c>
      <c r="L2433" s="41" t="n">
        <f aca="false">D2433*I2433</f>
        <v>25</v>
      </c>
      <c r="M2433" s="41" t="n">
        <f aca="false">IFERROR(INDEX(Raw_Expenses!$C$5:$C$2979,MATCH(A2433,Raw_Expenses!$A$5:$A$2979,0)),0)</f>
        <v>5.92</v>
      </c>
      <c r="N2433" s="41" t="n">
        <f aca="false">L2433+M2433</f>
        <v>30.92</v>
      </c>
      <c r="O2433" s="41" t="n">
        <f aca="false">K2433-N2433</f>
        <v>44.03</v>
      </c>
      <c r="P2433" s="43" t="n">
        <f aca="false">IF(K2433=0,0,O2433/K2433)</f>
        <v>0.587458305537025</v>
      </c>
    </row>
    <row r="2434" customFormat="false" ht="15" hidden="false" customHeight="false" outlineLevel="0" collapsed="false">
      <c r="A2434" s="39" t="s">
        <v>2556</v>
      </c>
      <c r="B2434" s="40" t="n">
        <v>45975</v>
      </c>
      <c r="C2434" s="39" t="s">
        <v>130</v>
      </c>
      <c r="D2434" s="39" t="n">
        <v>3</v>
      </c>
      <c r="E2434" s="41" t="n">
        <v>8.51</v>
      </c>
      <c r="F2434" s="39" t="s">
        <v>108</v>
      </c>
      <c r="G2434" s="39" t="str">
        <f aca="false">VLOOKUP(C2434,Products!$A$5:$D$24,2,FALSE())</f>
        <v>Notebook Set</v>
      </c>
      <c r="H2434" s="39" t="str">
        <f aca="false">VLOOKUP(C2434,Products!$A$5:$D$24,3,FALSE())</f>
        <v>Stationery</v>
      </c>
      <c r="I2434" s="41" t="n">
        <f aca="false">VLOOKUP(C2434,Products!$A$5:$D$24,4,FALSE())</f>
        <v>3</v>
      </c>
      <c r="J2434" s="42" t="n">
        <f aca="false">DATE(YEAR(B2434),MONTH(B2434),1)</f>
        <v>45962</v>
      </c>
      <c r="K2434" s="41" t="n">
        <f aca="false">D2434*E2434</f>
        <v>25.53</v>
      </c>
      <c r="L2434" s="41" t="n">
        <f aca="false">D2434*I2434</f>
        <v>9</v>
      </c>
      <c r="M2434" s="41" t="n">
        <f aca="false">IFERROR(INDEX(Raw_Expenses!$C$5:$C$2979,MATCH(A2434,Raw_Expenses!$A$5:$A$2979,0)),0)</f>
        <v>1.47</v>
      </c>
      <c r="N2434" s="41" t="n">
        <f aca="false">L2434+M2434</f>
        <v>10.47</v>
      </c>
      <c r="O2434" s="41" t="n">
        <f aca="false">K2434-N2434</f>
        <v>15.06</v>
      </c>
      <c r="P2434" s="43" t="n">
        <f aca="false">IF(K2434=0,0,O2434/K2434)</f>
        <v>0.589894242068155</v>
      </c>
    </row>
    <row r="2435" customFormat="false" ht="15" hidden="false" customHeight="false" outlineLevel="0" collapsed="false">
      <c r="A2435" s="39" t="s">
        <v>2557</v>
      </c>
      <c r="B2435" s="40" t="n">
        <v>45975</v>
      </c>
      <c r="C2435" s="39" t="s">
        <v>133</v>
      </c>
      <c r="D2435" s="39" t="n">
        <v>3</v>
      </c>
      <c r="E2435" s="41" t="n">
        <v>8.64</v>
      </c>
      <c r="F2435" s="39" t="s">
        <v>108</v>
      </c>
      <c r="G2435" s="39" t="str">
        <f aca="false">VLOOKUP(C2435,Products!$A$5:$D$24,2,FALSE())</f>
        <v>Printer Paper Ream</v>
      </c>
      <c r="H2435" s="39" t="str">
        <f aca="false">VLOOKUP(C2435,Products!$A$5:$D$24,3,FALSE())</f>
        <v>Stationery</v>
      </c>
      <c r="I2435" s="41" t="n">
        <f aca="false">VLOOKUP(C2435,Products!$A$5:$D$24,4,FALSE())</f>
        <v>4</v>
      </c>
      <c r="J2435" s="42" t="n">
        <f aca="false">DATE(YEAR(B2435),MONTH(B2435),1)</f>
        <v>45962</v>
      </c>
      <c r="K2435" s="41" t="n">
        <f aca="false">D2435*E2435</f>
        <v>25.92</v>
      </c>
      <c r="L2435" s="41" t="n">
        <f aca="false">D2435*I2435</f>
        <v>12</v>
      </c>
      <c r="M2435" s="41" t="n">
        <f aca="false">IFERROR(INDEX(Raw_Expenses!$C$5:$C$2979,MATCH(A2435,Raw_Expenses!$A$5:$A$2979,0)),0)</f>
        <v>1.2</v>
      </c>
      <c r="N2435" s="41" t="n">
        <f aca="false">L2435+M2435</f>
        <v>13.2</v>
      </c>
      <c r="O2435" s="41" t="n">
        <f aca="false">K2435-N2435</f>
        <v>12.72</v>
      </c>
      <c r="P2435" s="43" t="n">
        <f aca="false">IF(K2435=0,0,O2435/K2435)</f>
        <v>0.490740740740741</v>
      </c>
    </row>
    <row r="2436" customFormat="false" ht="15" hidden="false" customHeight="false" outlineLevel="0" collapsed="false">
      <c r="A2436" s="39" t="s">
        <v>2558</v>
      </c>
      <c r="B2436" s="40" t="n">
        <v>45975</v>
      </c>
      <c r="C2436" s="39" t="s">
        <v>110</v>
      </c>
      <c r="D2436" s="39" t="n">
        <v>1</v>
      </c>
      <c r="E2436" s="41" t="n">
        <v>13.5</v>
      </c>
      <c r="F2436" s="39" t="s">
        <v>118</v>
      </c>
      <c r="G2436" s="39" t="str">
        <f aca="false">VLOOKUP(C2436,Products!$A$5:$D$24,2,FALSE())</f>
        <v>Phone Stand</v>
      </c>
      <c r="H2436" s="39" t="str">
        <f aca="false">VLOOKUP(C2436,Products!$A$5:$D$24,3,FALSE())</f>
        <v>Accessories</v>
      </c>
      <c r="I2436" s="41" t="n">
        <f aca="false">VLOOKUP(C2436,Products!$A$5:$D$24,4,FALSE())</f>
        <v>4</v>
      </c>
      <c r="J2436" s="42" t="n">
        <f aca="false">DATE(YEAR(B2436),MONTH(B2436),1)</f>
        <v>45962</v>
      </c>
      <c r="K2436" s="41" t="n">
        <f aca="false">D2436*E2436</f>
        <v>13.5</v>
      </c>
      <c r="L2436" s="41" t="n">
        <f aca="false">D2436*I2436</f>
        <v>4</v>
      </c>
      <c r="M2436" s="41" t="n">
        <f aca="false">IFERROR(INDEX(Raw_Expenses!$C$5:$C$2979,MATCH(A2436,Raw_Expenses!$A$5:$A$2979,0)),0)</f>
        <v>0.84</v>
      </c>
      <c r="N2436" s="41" t="n">
        <f aca="false">L2436+M2436</f>
        <v>4.84</v>
      </c>
      <c r="O2436" s="41" t="n">
        <f aca="false">K2436-N2436</f>
        <v>8.66</v>
      </c>
      <c r="P2436" s="43" t="n">
        <f aca="false">IF(K2436=0,0,O2436/K2436)</f>
        <v>0.641481481481482</v>
      </c>
    </row>
    <row r="2437" customFormat="false" ht="15" hidden="false" customHeight="false" outlineLevel="0" collapsed="false">
      <c r="A2437" s="39" t="s">
        <v>2559</v>
      </c>
      <c r="B2437" s="40" t="n">
        <v>45975</v>
      </c>
      <c r="C2437" s="39" t="s">
        <v>136</v>
      </c>
      <c r="D2437" s="39" t="n">
        <v>5</v>
      </c>
      <c r="E2437" s="41" t="n">
        <v>76.04</v>
      </c>
      <c r="F2437" s="39" t="s">
        <v>115</v>
      </c>
      <c r="G2437" s="39" t="str">
        <f aca="false">VLOOKUP(C2437,Products!$A$5:$D$24,2,FALSE())</f>
        <v>Mechanical Keyboard</v>
      </c>
      <c r="H2437" s="39" t="str">
        <f aca="false">VLOOKUP(C2437,Products!$A$5:$D$24,3,FALSE())</f>
        <v>Electronics</v>
      </c>
      <c r="I2437" s="41" t="n">
        <f aca="false">VLOOKUP(C2437,Products!$A$5:$D$24,4,FALSE())</f>
        <v>38</v>
      </c>
      <c r="J2437" s="42" t="n">
        <f aca="false">DATE(YEAR(B2437),MONTH(B2437),1)</f>
        <v>45962</v>
      </c>
      <c r="K2437" s="41" t="n">
        <f aca="false">D2437*E2437</f>
        <v>380.2</v>
      </c>
      <c r="L2437" s="41" t="n">
        <f aca="false">D2437*I2437</f>
        <v>190</v>
      </c>
      <c r="M2437" s="41" t="n">
        <f aca="false">IFERROR(INDEX(Raw_Expenses!$C$5:$C$2979,MATCH(A2437,Raw_Expenses!$A$5:$A$2979,0)),0)</f>
        <v>26.98</v>
      </c>
      <c r="N2437" s="41" t="n">
        <f aca="false">L2437+M2437</f>
        <v>216.98</v>
      </c>
      <c r="O2437" s="41" t="n">
        <f aca="false">K2437-N2437</f>
        <v>163.22</v>
      </c>
      <c r="P2437" s="43" t="n">
        <f aca="false">IF(K2437=0,0,O2437/K2437)</f>
        <v>0.429300368227249</v>
      </c>
    </row>
    <row r="2438" customFormat="false" ht="15" hidden="false" customHeight="false" outlineLevel="0" collapsed="false">
      <c r="A2438" s="39" t="s">
        <v>2560</v>
      </c>
      <c r="B2438" s="40" t="n">
        <v>45975</v>
      </c>
      <c r="C2438" s="39" t="s">
        <v>114</v>
      </c>
      <c r="D2438" s="39" t="n">
        <v>3</v>
      </c>
      <c r="E2438" s="41" t="n">
        <v>5.7</v>
      </c>
      <c r="F2438" s="39" t="s">
        <v>118</v>
      </c>
      <c r="G2438" s="39" t="str">
        <f aca="false">VLOOKUP(C2438,Products!$A$5:$D$24,2,FALSE())</f>
        <v>Gel Pen Pack</v>
      </c>
      <c r="H2438" s="39" t="str">
        <f aca="false">VLOOKUP(C2438,Products!$A$5:$D$24,3,FALSE())</f>
        <v>Stationery</v>
      </c>
      <c r="I2438" s="41" t="n">
        <f aca="false">VLOOKUP(C2438,Products!$A$5:$D$24,4,FALSE())</f>
        <v>2</v>
      </c>
      <c r="J2438" s="42" t="n">
        <f aca="false">DATE(YEAR(B2438),MONTH(B2438),1)</f>
        <v>45962</v>
      </c>
      <c r="K2438" s="41" t="n">
        <f aca="false">D2438*E2438</f>
        <v>17.1</v>
      </c>
      <c r="L2438" s="41" t="n">
        <f aca="false">D2438*I2438</f>
        <v>6</v>
      </c>
      <c r="M2438" s="41" t="n">
        <f aca="false">IFERROR(INDEX(Raw_Expenses!$C$5:$C$2979,MATCH(A2438,Raw_Expenses!$A$5:$A$2979,0)),0)</f>
        <v>1.16</v>
      </c>
      <c r="N2438" s="41" t="n">
        <f aca="false">L2438+M2438</f>
        <v>7.16</v>
      </c>
      <c r="O2438" s="41" t="n">
        <f aca="false">K2438-N2438</f>
        <v>9.94</v>
      </c>
      <c r="P2438" s="43" t="n">
        <f aca="false">IF(K2438=0,0,O2438/K2438)</f>
        <v>0.581286549707602</v>
      </c>
    </row>
    <row r="2439" customFormat="false" ht="15" hidden="false" customHeight="false" outlineLevel="0" collapsed="false">
      <c r="A2439" s="39" t="s">
        <v>2561</v>
      </c>
      <c r="B2439" s="40" t="n">
        <v>45975</v>
      </c>
      <c r="C2439" s="39" t="s">
        <v>133</v>
      </c>
      <c r="D2439" s="39" t="n">
        <v>3</v>
      </c>
      <c r="E2439" s="41" t="n">
        <v>8.96</v>
      </c>
      <c r="F2439" s="39" t="s">
        <v>105</v>
      </c>
      <c r="G2439" s="39" t="str">
        <f aca="false">VLOOKUP(C2439,Products!$A$5:$D$24,2,FALSE())</f>
        <v>Printer Paper Ream</v>
      </c>
      <c r="H2439" s="39" t="str">
        <f aca="false">VLOOKUP(C2439,Products!$A$5:$D$24,3,FALSE())</f>
        <v>Stationery</v>
      </c>
      <c r="I2439" s="41" t="n">
        <f aca="false">VLOOKUP(C2439,Products!$A$5:$D$24,4,FALSE())</f>
        <v>4</v>
      </c>
      <c r="J2439" s="42" t="n">
        <f aca="false">DATE(YEAR(B2439),MONTH(B2439),1)</f>
        <v>45962</v>
      </c>
      <c r="K2439" s="41" t="n">
        <f aca="false">D2439*E2439</f>
        <v>26.88</v>
      </c>
      <c r="L2439" s="41" t="n">
        <f aca="false">D2439*I2439</f>
        <v>12</v>
      </c>
      <c r="M2439" s="41" t="n">
        <f aca="false">IFERROR(INDEX(Raw_Expenses!$C$5:$C$2979,MATCH(A2439,Raw_Expenses!$A$5:$A$2979,0)),0)</f>
        <v>1.54</v>
      </c>
      <c r="N2439" s="41" t="n">
        <f aca="false">L2439+M2439</f>
        <v>13.54</v>
      </c>
      <c r="O2439" s="41" t="n">
        <f aca="false">K2439-N2439</f>
        <v>13.34</v>
      </c>
      <c r="P2439" s="43" t="n">
        <f aca="false">IF(K2439=0,0,O2439/K2439)</f>
        <v>0.496279761904762</v>
      </c>
    </row>
    <row r="2440" customFormat="false" ht="15" hidden="false" customHeight="false" outlineLevel="0" collapsed="false">
      <c r="A2440" s="39" t="s">
        <v>2562</v>
      </c>
      <c r="B2440" s="40" t="n">
        <v>45976</v>
      </c>
      <c r="C2440" s="39" t="s">
        <v>126</v>
      </c>
      <c r="D2440" s="39" t="n">
        <v>2</v>
      </c>
      <c r="E2440" s="41" t="n">
        <v>24.78</v>
      </c>
      <c r="F2440" s="39" t="s">
        <v>108</v>
      </c>
      <c r="G2440" s="39" t="str">
        <f aca="false">VLOOKUP(C2440,Products!$A$5:$D$24,2,FALSE())</f>
        <v>Wireless Mouse</v>
      </c>
      <c r="H2440" s="39" t="str">
        <f aca="false">VLOOKUP(C2440,Products!$A$5:$D$24,3,FALSE())</f>
        <v>Electronics</v>
      </c>
      <c r="I2440" s="41" t="n">
        <f aca="false">VLOOKUP(C2440,Products!$A$5:$D$24,4,FALSE())</f>
        <v>12</v>
      </c>
      <c r="J2440" s="42" t="n">
        <f aca="false">DATE(YEAR(B2440),MONTH(B2440),1)</f>
        <v>45962</v>
      </c>
      <c r="K2440" s="41" t="n">
        <f aca="false">D2440*E2440</f>
        <v>49.56</v>
      </c>
      <c r="L2440" s="41" t="n">
        <f aca="false">D2440*I2440</f>
        <v>24</v>
      </c>
      <c r="M2440" s="41" t="n">
        <f aca="false">IFERROR(INDEX(Raw_Expenses!$C$5:$C$2979,MATCH(A2440,Raw_Expenses!$A$5:$A$2979,0)),0)</f>
        <v>4.36</v>
      </c>
      <c r="N2440" s="41" t="n">
        <f aca="false">L2440+M2440</f>
        <v>28.36</v>
      </c>
      <c r="O2440" s="41" t="n">
        <f aca="false">K2440-N2440</f>
        <v>21.2</v>
      </c>
      <c r="P2440" s="43" t="n">
        <f aca="false">IF(K2440=0,0,O2440/K2440)</f>
        <v>0.427764326069411</v>
      </c>
    </row>
    <row r="2441" customFormat="false" ht="15" hidden="false" customHeight="false" outlineLevel="0" collapsed="false">
      <c r="A2441" s="39" t="s">
        <v>2563</v>
      </c>
      <c r="B2441" s="40" t="n">
        <v>45976</v>
      </c>
      <c r="C2441" s="39" t="s">
        <v>126</v>
      </c>
      <c r="D2441" s="39" t="n">
        <v>2</v>
      </c>
      <c r="E2441" s="41" t="n">
        <v>24.13</v>
      </c>
      <c r="F2441" s="39" t="s">
        <v>118</v>
      </c>
      <c r="G2441" s="39" t="str">
        <f aca="false">VLOOKUP(C2441,Products!$A$5:$D$24,2,FALSE())</f>
        <v>Wireless Mouse</v>
      </c>
      <c r="H2441" s="39" t="str">
        <f aca="false">VLOOKUP(C2441,Products!$A$5:$D$24,3,FALSE())</f>
        <v>Electronics</v>
      </c>
      <c r="I2441" s="41" t="n">
        <f aca="false">VLOOKUP(C2441,Products!$A$5:$D$24,4,FALSE())</f>
        <v>12</v>
      </c>
      <c r="J2441" s="42" t="n">
        <f aca="false">DATE(YEAR(B2441),MONTH(B2441),1)</f>
        <v>45962</v>
      </c>
      <c r="K2441" s="41" t="n">
        <f aca="false">D2441*E2441</f>
        <v>48.26</v>
      </c>
      <c r="L2441" s="41" t="n">
        <f aca="false">D2441*I2441</f>
        <v>24</v>
      </c>
      <c r="M2441" s="41" t="n">
        <f aca="false">IFERROR(INDEX(Raw_Expenses!$C$5:$C$2979,MATCH(A2441,Raw_Expenses!$A$5:$A$2979,0)),0)</f>
        <v>3.48</v>
      </c>
      <c r="N2441" s="41" t="n">
        <f aca="false">L2441+M2441</f>
        <v>27.48</v>
      </c>
      <c r="O2441" s="41" t="n">
        <f aca="false">K2441-N2441</f>
        <v>20.78</v>
      </c>
      <c r="P2441" s="43" t="n">
        <f aca="false">IF(K2441=0,0,O2441/K2441)</f>
        <v>0.43058433485288</v>
      </c>
    </row>
    <row r="2442" customFormat="false" ht="15" hidden="false" customHeight="false" outlineLevel="0" collapsed="false">
      <c r="A2442" s="39" t="s">
        <v>2564</v>
      </c>
      <c r="B2442" s="40" t="n">
        <v>45976</v>
      </c>
      <c r="C2442" s="39" t="s">
        <v>130</v>
      </c>
      <c r="D2442" s="39" t="n">
        <v>4</v>
      </c>
      <c r="E2442" s="41" t="n">
        <v>8.78</v>
      </c>
      <c r="F2442" s="39" t="s">
        <v>105</v>
      </c>
      <c r="G2442" s="39" t="str">
        <f aca="false">VLOOKUP(C2442,Products!$A$5:$D$24,2,FALSE())</f>
        <v>Notebook Set</v>
      </c>
      <c r="H2442" s="39" t="str">
        <f aca="false">VLOOKUP(C2442,Products!$A$5:$D$24,3,FALSE())</f>
        <v>Stationery</v>
      </c>
      <c r="I2442" s="41" t="n">
        <f aca="false">VLOOKUP(C2442,Products!$A$5:$D$24,4,FALSE())</f>
        <v>3</v>
      </c>
      <c r="J2442" s="42" t="n">
        <f aca="false">DATE(YEAR(B2442),MONTH(B2442),1)</f>
        <v>45962</v>
      </c>
      <c r="K2442" s="41" t="n">
        <f aca="false">D2442*E2442</f>
        <v>35.12</v>
      </c>
      <c r="L2442" s="41" t="n">
        <f aca="false">D2442*I2442</f>
        <v>12</v>
      </c>
      <c r="M2442" s="41" t="n">
        <f aca="false">IFERROR(INDEX(Raw_Expenses!$C$5:$C$2979,MATCH(A2442,Raw_Expenses!$A$5:$A$2979,0)),0)</f>
        <v>2.88</v>
      </c>
      <c r="N2442" s="41" t="n">
        <f aca="false">L2442+M2442</f>
        <v>14.88</v>
      </c>
      <c r="O2442" s="41" t="n">
        <f aca="false">K2442-N2442</f>
        <v>20.24</v>
      </c>
      <c r="P2442" s="43" t="n">
        <f aca="false">IF(K2442=0,0,O2442/K2442)</f>
        <v>0.576309794988611</v>
      </c>
    </row>
    <row r="2443" customFormat="false" ht="15" hidden="false" customHeight="false" outlineLevel="0" collapsed="false">
      <c r="A2443" s="39" t="s">
        <v>2565</v>
      </c>
      <c r="B2443" s="40" t="n">
        <v>45976</v>
      </c>
      <c r="C2443" s="39" t="s">
        <v>130</v>
      </c>
      <c r="D2443" s="39" t="n">
        <v>1</v>
      </c>
      <c r="E2443" s="41" t="n">
        <v>8.3</v>
      </c>
      <c r="F2443" s="39" t="s">
        <v>108</v>
      </c>
      <c r="G2443" s="39" t="str">
        <f aca="false">VLOOKUP(C2443,Products!$A$5:$D$24,2,FALSE())</f>
        <v>Notebook Set</v>
      </c>
      <c r="H2443" s="39" t="str">
        <f aca="false">VLOOKUP(C2443,Products!$A$5:$D$24,3,FALSE())</f>
        <v>Stationery</v>
      </c>
      <c r="I2443" s="41" t="n">
        <f aca="false">VLOOKUP(C2443,Products!$A$5:$D$24,4,FALSE())</f>
        <v>3</v>
      </c>
      <c r="J2443" s="42" t="n">
        <f aca="false">DATE(YEAR(B2443),MONTH(B2443),1)</f>
        <v>45962</v>
      </c>
      <c r="K2443" s="41" t="n">
        <f aca="false">D2443*E2443</f>
        <v>8.3</v>
      </c>
      <c r="L2443" s="41" t="n">
        <f aca="false">D2443*I2443</f>
        <v>3</v>
      </c>
      <c r="M2443" s="41" t="n">
        <f aca="false">IFERROR(INDEX(Raw_Expenses!$C$5:$C$2979,MATCH(A2443,Raw_Expenses!$A$5:$A$2979,0)),0)</f>
        <v>0.73</v>
      </c>
      <c r="N2443" s="41" t="n">
        <f aca="false">L2443+M2443</f>
        <v>3.73</v>
      </c>
      <c r="O2443" s="41" t="n">
        <f aca="false">K2443-N2443</f>
        <v>4.57</v>
      </c>
      <c r="P2443" s="43" t="n">
        <f aca="false">IF(K2443=0,0,O2443/K2443)</f>
        <v>0.550602409638554</v>
      </c>
    </row>
    <row r="2444" customFormat="false" ht="15" hidden="false" customHeight="false" outlineLevel="0" collapsed="false">
      <c r="A2444" s="39" t="s">
        <v>2566</v>
      </c>
      <c r="B2444" s="40" t="n">
        <v>45976</v>
      </c>
      <c r="C2444" s="39" t="s">
        <v>112</v>
      </c>
      <c r="D2444" s="39" t="n">
        <v>2</v>
      </c>
      <c r="E2444" s="41" t="n">
        <v>50.97</v>
      </c>
      <c r="F2444" s="39" t="s">
        <v>105</v>
      </c>
      <c r="G2444" s="39" t="str">
        <f aca="false">VLOOKUP(C2444,Products!$A$5:$D$24,2,FALSE())</f>
        <v>HD Webcam</v>
      </c>
      <c r="H2444" s="39" t="str">
        <f aca="false">VLOOKUP(C2444,Products!$A$5:$D$24,3,FALSE())</f>
        <v>Electronics</v>
      </c>
      <c r="I2444" s="41" t="n">
        <f aca="false">VLOOKUP(C2444,Products!$A$5:$D$24,4,FALSE())</f>
        <v>22</v>
      </c>
      <c r="J2444" s="42" t="n">
        <f aca="false">DATE(YEAR(B2444),MONTH(B2444),1)</f>
        <v>45962</v>
      </c>
      <c r="K2444" s="41" t="n">
        <f aca="false">D2444*E2444</f>
        <v>101.94</v>
      </c>
      <c r="L2444" s="41" t="n">
        <f aca="false">D2444*I2444</f>
        <v>44</v>
      </c>
      <c r="M2444" s="41" t="n">
        <f aca="false">IFERROR(INDEX(Raw_Expenses!$C$5:$C$2979,MATCH(A2444,Raw_Expenses!$A$5:$A$2979,0)),0)</f>
        <v>8.88</v>
      </c>
      <c r="N2444" s="41" t="n">
        <f aca="false">L2444+M2444</f>
        <v>52.88</v>
      </c>
      <c r="O2444" s="41" t="n">
        <f aca="false">K2444-N2444</f>
        <v>49.06</v>
      </c>
      <c r="P2444" s="43" t="n">
        <f aca="false">IF(K2444=0,0,O2444/K2444)</f>
        <v>0.481263488326467</v>
      </c>
    </row>
    <row r="2445" customFormat="false" ht="15" hidden="false" customHeight="false" outlineLevel="0" collapsed="false">
      <c r="A2445" s="39" t="s">
        <v>2567</v>
      </c>
      <c r="B2445" s="40" t="n">
        <v>45976</v>
      </c>
      <c r="C2445" s="39" t="s">
        <v>114</v>
      </c>
      <c r="D2445" s="39" t="n">
        <v>3</v>
      </c>
      <c r="E2445" s="41" t="n">
        <v>5.62</v>
      </c>
      <c r="F2445" s="39" t="s">
        <v>105</v>
      </c>
      <c r="G2445" s="39" t="str">
        <f aca="false">VLOOKUP(C2445,Products!$A$5:$D$24,2,FALSE())</f>
        <v>Gel Pen Pack</v>
      </c>
      <c r="H2445" s="39" t="str">
        <f aca="false">VLOOKUP(C2445,Products!$A$5:$D$24,3,FALSE())</f>
        <v>Stationery</v>
      </c>
      <c r="I2445" s="41" t="n">
        <f aca="false">VLOOKUP(C2445,Products!$A$5:$D$24,4,FALSE())</f>
        <v>2</v>
      </c>
      <c r="J2445" s="42" t="n">
        <f aca="false">DATE(YEAR(B2445),MONTH(B2445),1)</f>
        <v>45962</v>
      </c>
      <c r="K2445" s="41" t="n">
        <f aca="false">D2445*E2445</f>
        <v>16.86</v>
      </c>
      <c r="L2445" s="41" t="n">
        <f aca="false">D2445*I2445</f>
        <v>6</v>
      </c>
      <c r="M2445" s="41" t="n">
        <f aca="false">IFERROR(INDEX(Raw_Expenses!$C$5:$C$2979,MATCH(A2445,Raw_Expenses!$A$5:$A$2979,0)),0)</f>
        <v>0.89</v>
      </c>
      <c r="N2445" s="41" t="n">
        <f aca="false">L2445+M2445</f>
        <v>6.89</v>
      </c>
      <c r="O2445" s="41" t="n">
        <f aca="false">K2445-N2445</f>
        <v>9.97</v>
      </c>
      <c r="P2445" s="43" t="n">
        <f aca="false">IF(K2445=0,0,O2445/K2445)</f>
        <v>0.591340450771056</v>
      </c>
    </row>
    <row r="2446" customFormat="false" ht="15" hidden="false" customHeight="false" outlineLevel="0" collapsed="false">
      <c r="A2446" s="39" t="s">
        <v>2568</v>
      </c>
      <c r="B2446" s="40" t="n">
        <v>45976</v>
      </c>
      <c r="C2446" s="39" t="s">
        <v>126</v>
      </c>
      <c r="D2446" s="39" t="n">
        <v>1</v>
      </c>
      <c r="E2446" s="41" t="n">
        <v>23.48</v>
      </c>
      <c r="F2446" s="39" t="s">
        <v>118</v>
      </c>
      <c r="G2446" s="39" t="str">
        <f aca="false">VLOOKUP(C2446,Products!$A$5:$D$24,2,FALSE())</f>
        <v>Wireless Mouse</v>
      </c>
      <c r="H2446" s="39" t="str">
        <f aca="false">VLOOKUP(C2446,Products!$A$5:$D$24,3,FALSE())</f>
        <v>Electronics</v>
      </c>
      <c r="I2446" s="41" t="n">
        <f aca="false">VLOOKUP(C2446,Products!$A$5:$D$24,4,FALSE())</f>
        <v>12</v>
      </c>
      <c r="J2446" s="42" t="n">
        <f aca="false">DATE(YEAR(B2446),MONTH(B2446),1)</f>
        <v>45962</v>
      </c>
      <c r="K2446" s="41" t="n">
        <f aca="false">D2446*E2446</f>
        <v>23.48</v>
      </c>
      <c r="L2446" s="41" t="n">
        <f aca="false">D2446*I2446</f>
        <v>12</v>
      </c>
      <c r="M2446" s="41" t="n">
        <f aca="false">IFERROR(INDEX(Raw_Expenses!$C$5:$C$2979,MATCH(A2446,Raw_Expenses!$A$5:$A$2979,0)),0)</f>
        <v>1.26</v>
      </c>
      <c r="N2446" s="41" t="n">
        <f aca="false">L2446+M2446</f>
        <v>13.26</v>
      </c>
      <c r="O2446" s="41" t="n">
        <f aca="false">K2446-N2446</f>
        <v>10.22</v>
      </c>
      <c r="P2446" s="43" t="n">
        <f aca="false">IF(K2446=0,0,O2446/K2446)</f>
        <v>0.43526405451448</v>
      </c>
    </row>
    <row r="2447" customFormat="false" ht="15" hidden="false" customHeight="false" outlineLevel="0" collapsed="false">
      <c r="A2447" s="39" t="s">
        <v>2569</v>
      </c>
      <c r="B2447" s="40" t="n">
        <v>45976</v>
      </c>
      <c r="C2447" s="39" t="s">
        <v>112</v>
      </c>
      <c r="D2447" s="39" t="n">
        <v>1</v>
      </c>
      <c r="E2447" s="41" t="n">
        <v>51.93</v>
      </c>
      <c r="F2447" s="39" t="s">
        <v>105</v>
      </c>
      <c r="G2447" s="39" t="str">
        <f aca="false">VLOOKUP(C2447,Products!$A$5:$D$24,2,FALSE())</f>
        <v>HD Webcam</v>
      </c>
      <c r="H2447" s="39" t="str">
        <f aca="false">VLOOKUP(C2447,Products!$A$5:$D$24,3,FALSE())</f>
        <v>Electronics</v>
      </c>
      <c r="I2447" s="41" t="n">
        <f aca="false">VLOOKUP(C2447,Products!$A$5:$D$24,4,FALSE())</f>
        <v>22</v>
      </c>
      <c r="J2447" s="42" t="n">
        <f aca="false">DATE(YEAR(B2447),MONTH(B2447),1)</f>
        <v>45962</v>
      </c>
      <c r="K2447" s="41" t="n">
        <f aca="false">D2447*E2447</f>
        <v>51.93</v>
      </c>
      <c r="L2447" s="41" t="n">
        <f aca="false">D2447*I2447</f>
        <v>22</v>
      </c>
      <c r="M2447" s="41" t="n">
        <f aca="false">IFERROR(INDEX(Raw_Expenses!$C$5:$C$2979,MATCH(A2447,Raw_Expenses!$A$5:$A$2979,0)),0)</f>
        <v>3.78</v>
      </c>
      <c r="N2447" s="41" t="n">
        <f aca="false">L2447+M2447</f>
        <v>25.78</v>
      </c>
      <c r="O2447" s="41" t="n">
        <f aca="false">K2447-N2447</f>
        <v>26.15</v>
      </c>
      <c r="P2447" s="43" t="n">
        <f aca="false">IF(K2447=0,0,O2447/K2447)</f>
        <v>0.503562487964568</v>
      </c>
    </row>
    <row r="2448" customFormat="false" ht="15" hidden="false" customHeight="false" outlineLevel="0" collapsed="false">
      <c r="A2448" s="39" t="s">
        <v>2570</v>
      </c>
      <c r="B2448" s="40" t="n">
        <v>45976</v>
      </c>
      <c r="C2448" s="39" t="s">
        <v>107</v>
      </c>
      <c r="D2448" s="39" t="n">
        <v>1</v>
      </c>
      <c r="E2448" s="41" t="n">
        <v>32.9</v>
      </c>
      <c r="F2448" s="39" t="s">
        <v>115</v>
      </c>
      <c r="G2448" s="39" t="str">
        <f aca="false">VLOOKUP(C2448,Products!$A$5:$D$24,2,FALSE())</f>
        <v>USB-C Hub</v>
      </c>
      <c r="H2448" s="39" t="str">
        <f aca="false">VLOOKUP(C2448,Products!$A$5:$D$24,3,FALSE())</f>
        <v>Electronics</v>
      </c>
      <c r="I2448" s="41" t="n">
        <f aca="false">VLOOKUP(C2448,Products!$A$5:$D$24,4,FALSE())</f>
        <v>14</v>
      </c>
      <c r="J2448" s="42" t="n">
        <f aca="false">DATE(YEAR(B2448),MONTH(B2448),1)</f>
        <v>45962</v>
      </c>
      <c r="K2448" s="41" t="n">
        <f aca="false">D2448*E2448</f>
        <v>32.9</v>
      </c>
      <c r="L2448" s="41" t="n">
        <f aca="false">D2448*I2448</f>
        <v>14</v>
      </c>
      <c r="M2448" s="41" t="n">
        <f aca="false">IFERROR(INDEX(Raw_Expenses!$C$5:$C$2979,MATCH(A2448,Raw_Expenses!$A$5:$A$2979,0)),0)</f>
        <v>1.37</v>
      </c>
      <c r="N2448" s="41" t="n">
        <f aca="false">L2448+M2448</f>
        <v>15.37</v>
      </c>
      <c r="O2448" s="41" t="n">
        <f aca="false">K2448-N2448</f>
        <v>17.53</v>
      </c>
      <c r="P2448" s="43" t="n">
        <f aca="false">IF(K2448=0,0,O2448/K2448)</f>
        <v>0.532826747720365</v>
      </c>
    </row>
    <row r="2449" customFormat="false" ht="15" hidden="false" customHeight="false" outlineLevel="0" collapsed="false">
      <c r="A2449" s="39" t="s">
        <v>2571</v>
      </c>
      <c r="B2449" s="40" t="n">
        <v>45976</v>
      </c>
      <c r="C2449" s="39" t="s">
        <v>114</v>
      </c>
      <c r="D2449" s="39" t="n">
        <v>3</v>
      </c>
      <c r="E2449" s="41" t="n">
        <v>5.85</v>
      </c>
      <c r="F2449" s="39" t="s">
        <v>108</v>
      </c>
      <c r="G2449" s="39" t="str">
        <f aca="false">VLOOKUP(C2449,Products!$A$5:$D$24,2,FALSE())</f>
        <v>Gel Pen Pack</v>
      </c>
      <c r="H2449" s="39" t="str">
        <f aca="false">VLOOKUP(C2449,Products!$A$5:$D$24,3,FALSE())</f>
        <v>Stationery</v>
      </c>
      <c r="I2449" s="41" t="n">
        <f aca="false">VLOOKUP(C2449,Products!$A$5:$D$24,4,FALSE())</f>
        <v>2</v>
      </c>
      <c r="J2449" s="42" t="n">
        <f aca="false">DATE(YEAR(B2449),MONTH(B2449),1)</f>
        <v>45962</v>
      </c>
      <c r="K2449" s="41" t="n">
        <f aca="false">D2449*E2449</f>
        <v>17.55</v>
      </c>
      <c r="L2449" s="41" t="n">
        <f aca="false">D2449*I2449</f>
        <v>6</v>
      </c>
      <c r="M2449" s="41" t="n">
        <f aca="false">IFERROR(INDEX(Raw_Expenses!$C$5:$C$2979,MATCH(A2449,Raw_Expenses!$A$5:$A$2979,0)),0)</f>
        <v>1.56</v>
      </c>
      <c r="N2449" s="41" t="n">
        <f aca="false">L2449+M2449</f>
        <v>7.56</v>
      </c>
      <c r="O2449" s="41" t="n">
        <f aca="false">K2449-N2449</f>
        <v>9.99</v>
      </c>
      <c r="P2449" s="43" t="n">
        <f aca="false">IF(K2449=0,0,O2449/K2449)</f>
        <v>0.569230769230769</v>
      </c>
    </row>
    <row r="2450" customFormat="false" ht="15" hidden="false" customHeight="false" outlineLevel="0" collapsed="false">
      <c r="A2450" s="39" t="s">
        <v>2572</v>
      </c>
      <c r="B2450" s="40" t="n">
        <v>45977</v>
      </c>
      <c r="C2450" s="39" t="s">
        <v>162</v>
      </c>
      <c r="D2450" s="39" t="n">
        <v>3</v>
      </c>
      <c r="E2450" s="41" t="n">
        <v>66.66</v>
      </c>
      <c r="F2450" s="39" t="s">
        <v>118</v>
      </c>
      <c r="G2450" s="39" t="str">
        <f aca="false">VLOOKUP(C2450,Products!$A$5:$D$24,2,FALSE())</f>
        <v>Bluetooth Speaker</v>
      </c>
      <c r="H2450" s="39" t="str">
        <f aca="false">VLOOKUP(C2450,Products!$A$5:$D$24,3,FALSE())</f>
        <v>Electronics</v>
      </c>
      <c r="I2450" s="41" t="n">
        <f aca="false">VLOOKUP(C2450,Products!$A$5:$D$24,4,FALSE())</f>
        <v>28</v>
      </c>
      <c r="J2450" s="42" t="n">
        <f aca="false">DATE(YEAR(B2450),MONTH(B2450),1)</f>
        <v>45962</v>
      </c>
      <c r="K2450" s="41" t="n">
        <f aca="false">D2450*E2450</f>
        <v>199.98</v>
      </c>
      <c r="L2450" s="41" t="n">
        <f aca="false">D2450*I2450</f>
        <v>84</v>
      </c>
      <c r="M2450" s="41" t="n">
        <f aca="false">IFERROR(INDEX(Raw_Expenses!$C$5:$C$2979,MATCH(A2450,Raw_Expenses!$A$5:$A$2979,0)),0)</f>
        <v>11.72</v>
      </c>
      <c r="N2450" s="41" t="n">
        <f aca="false">L2450+M2450</f>
        <v>95.72</v>
      </c>
      <c r="O2450" s="41" t="n">
        <f aca="false">K2450-N2450</f>
        <v>104.26</v>
      </c>
      <c r="P2450" s="43" t="n">
        <f aca="false">IF(K2450=0,0,O2450/K2450)</f>
        <v>0.521352135213521</v>
      </c>
    </row>
    <row r="2451" customFormat="false" ht="15" hidden="false" customHeight="false" outlineLevel="0" collapsed="false">
      <c r="A2451" s="39" t="s">
        <v>2573</v>
      </c>
      <c r="B2451" s="40" t="n">
        <v>45977</v>
      </c>
      <c r="C2451" s="39" t="s">
        <v>110</v>
      </c>
      <c r="D2451" s="39" t="n">
        <v>3</v>
      </c>
      <c r="E2451" s="41" t="n">
        <v>13.61</v>
      </c>
      <c r="F2451" s="39" t="s">
        <v>108</v>
      </c>
      <c r="G2451" s="39" t="str">
        <f aca="false">VLOOKUP(C2451,Products!$A$5:$D$24,2,FALSE())</f>
        <v>Phone Stand</v>
      </c>
      <c r="H2451" s="39" t="str">
        <f aca="false">VLOOKUP(C2451,Products!$A$5:$D$24,3,FALSE())</f>
        <v>Accessories</v>
      </c>
      <c r="I2451" s="41" t="n">
        <f aca="false">VLOOKUP(C2451,Products!$A$5:$D$24,4,FALSE())</f>
        <v>4</v>
      </c>
      <c r="J2451" s="42" t="n">
        <f aca="false">DATE(YEAR(B2451),MONTH(B2451),1)</f>
        <v>45962</v>
      </c>
      <c r="K2451" s="41" t="n">
        <f aca="false">D2451*E2451</f>
        <v>40.83</v>
      </c>
      <c r="L2451" s="41" t="n">
        <f aca="false">D2451*I2451</f>
        <v>12</v>
      </c>
      <c r="M2451" s="41" t="n">
        <f aca="false">IFERROR(INDEX(Raw_Expenses!$C$5:$C$2979,MATCH(A2451,Raw_Expenses!$A$5:$A$2979,0)),0)</f>
        <v>2.54</v>
      </c>
      <c r="N2451" s="41" t="n">
        <f aca="false">L2451+M2451</f>
        <v>14.54</v>
      </c>
      <c r="O2451" s="41" t="n">
        <f aca="false">K2451-N2451</f>
        <v>26.29</v>
      </c>
      <c r="P2451" s="43" t="n">
        <f aca="false">IF(K2451=0,0,O2451/K2451)</f>
        <v>0.643889297085476</v>
      </c>
    </row>
    <row r="2452" customFormat="false" ht="15" hidden="false" customHeight="false" outlineLevel="0" collapsed="false">
      <c r="A2452" s="39" t="s">
        <v>2574</v>
      </c>
      <c r="B2452" s="40" t="n">
        <v>45977</v>
      </c>
      <c r="C2452" s="39" t="s">
        <v>183</v>
      </c>
      <c r="D2452" s="39" t="n">
        <v>1</v>
      </c>
      <c r="E2452" s="41" t="n">
        <v>182.24</v>
      </c>
      <c r="F2452" s="39" t="s">
        <v>105</v>
      </c>
      <c r="G2452" s="39" t="str">
        <f aca="false">VLOOKUP(C2452,Products!$A$5:$D$24,2,FALSE())</f>
        <v>Office Chair</v>
      </c>
      <c r="H2452" s="39" t="str">
        <f aca="false">VLOOKUP(C2452,Products!$A$5:$D$24,3,FALSE())</f>
        <v>Furniture</v>
      </c>
      <c r="I2452" s="41" t="n">
        <f aca="false">VLOOKUP(C2452,Products!$A$5:$D$24,4,FALSE())</f>
        <v>85</v>
      </c>
      <c r="J2452" s="42" t="n">
        <f aca="false">DATE(YEAR(B2452),MONTH(B2452),1)</f>
        <v>45962</v>
      </c>
      <c r="K2452" s="41" t="n">
        <f aca="false">D2452*E2452</f>
        <v>182.24</v>
      </c>
      <c r="L2452" s="41" t="n">
        <f aca="false">D2452*I2452</f>
        <v>85</v>
      </c>
      <c r="M2452" s="41" t="n">
        <f aca="false">IFERROR(INDEX(Raw_Expenses!$C$5:$C$2979,MATCH(A2452,Raw_Expenses!$A$5:$A$2979,0)),0)</f>
        <v>15.47</v>
      </c>
      <c r="N2452" s="41" t="n">
        <f aca="false">L2452+M2452</f>
        <v>100.47</v>
      </c>
      <c r="O2452" s="41" t="n">
        <f aca="false">K2452-N2452</f>
        <v>81.77</v>
      </c>
      <c r="P2452" s="43" t="n">
        <f aca="false">IF(K2452=0,0,O2452/K2452)</f>
        <v>0.448694029850746</v>
      </c>
    </row>
    <row r="2453" customFormat="false" ht="15" hidden="false" customHeight="false" outlineLevel="0" collapsed="false">
      <c r="A2453" s="39" t="s">
        <v>2575</v>
      </c>
      <c r="B2453" s="40" t="n">
        <v>45977</v>
      </c>
      <c r="C2453" s="39" t="s">
        <v>110</v>
      </c>
      <c r="D2453" s="39" t="n">
        <v>4</v>
      </c>
      <c r="E2453" s="41" t="n">
        <v>13.28</v>
      </c>
      <c r="F2453" s="39" t="s">
        <v>118</v>
      </c>
      <c r="G2453" s="39" t="str">
        <f aca="false">VLOOKUP(C2453,Products!$A$5:$D$24,2,FALSE())</f>
        <v>Phone Stand</v>
      </c>
      <c r="H2453" s="39" t="str">
        <f aca="false">VLOOKUP(C2453,Products!$A$5:$D$24,3,FALSE())</f>
        <v>Accessories</v>
      </c>
      <c r="I2453" s="41" t="n">
        <f aca="false">VLOOKUP(C2453,Products!$A$5:$D$24,4,FALSE())</f>
        <v>4</v>
      </c>
      <c r="J2453" s="42" t="n">
        <f aca="false">DATE(YEAR(B2453),MONTH(B2453),1)</f>
        <v>45962</v>
      </c>
      <c r="K2453" s="41" t="n">
        <f aca="false">D2453*E2453</f>
        <v>53.12</v>
      </c>
      <c r="L2453" s="41" t="n">
        <f aca="false">D2453*I2453</f>
        <v>16</v>
      </c>
      <c r="M2453" s="41" t="n">
        <f aca="false">IFERROR(INDEX(Raw_Expenses!$C$5:$C$2979,MATCH(A2453,Raw_Expenses!$A$5:$A$2979,0)),0)</f>
        <v>2.31</v>
      </c>
      <c r="N2453" s="41" t="n">
        <f aca="false">L2453+M2453</f>
        <v>18.31</v>
      </c>
      <c r="O2453" s="41" t="n">
        <f aca="false">K2453-N2453</f>
        <v>34.81</v>
      </c>
      <c r="P2453" s="43" t="n">
        <f aca="false">IF(K2453=0,0,O2453/K2453)</f>
        <v>0.655308734939759</v>
      </c>
    </row>
    <row r="2454" customFormat="false" ht="15" hidden="false" customHeight="false" outlineLevel="0" collapsed="false">
      <c r="A2454" s="39" t="s">
        <v>2576</v>
      </c>
      <c r="B2454" s="40" t="n">
        <v>45977</v>
      </c>
      <c r="C2454" s="39" t="s">
        <v>128</v>
      </c>
      <c r="D2454" s="39" t="n">
        <v>1</v>
      </c>
      <c r="E2454" s="41" t="n">
        <v>37.06</v>
      </c>
      <c r="F2454" s="39" t="s">
        <v>118</v>
      </c>
      <c r="G2454" s="39" t="str">
        <f aca="false">VLOOKUP(C2454,Products!$A$5:$D$24,2,FALSE())</f>
        <v>Ergonomic Footrest</v>
      </c>
      <c r="H2454" s="39" t="str">
        <f aca="false">VLOOKUP(C2454,Products!$A$5:$D$24,3,FALSE())</f>
        <v>Furniture</v>
      </c>
      <c r="I2454" s="41" t="n">
        <f aca="false">VLOOKUP(C2454,Products!$A$5:$D$24,4,FALSE())</f>
        <v>15</v>
      </c>
      <c r="J2454" s="42" t="n">
        <f aca="false">DATE(YEAR(B2454),MONTH(B2454),1)</f>
        <v>45962</v>
      </c>
      <c r="K2454" s="41" t="n">
        <f aca="false">D2454*E2454</f>
        <v>37.06</v>
      </c>
      <c r="L2454" s="41" t="n">
        <f aca="false">D2454*I2454</f>
        <v>15</v>
      </c>
      <c r="M2454" s="41" t="n">
        <f aca="false">IFERROR(INDEX(Raw_Expenses!$C$5:$C$2979,MATCH(A2454,Raw_Expenses!$A$5:$A$2979,0)),0)</f>
        <v>2.56</v>
      </c>
      <c r="N2454" s="41" t="n">
        <f aca="false">L2454+M2454</f>
        <v>17.56</v>
      </c>
      <c r="O2454" s="41" t="n">
        <f aca="false">K2454-N2454</f>
        <v>19.5</v>
      </c>
      <c r="P2454" s="43" t="n">
        <f aca="false">IF(K2454=0,0,O2454/K2454)</f>
        <v>0.526173772261198</v>
      </c>
    </row>
    <row r="2455" customFormat="false" ht="15" hidden="false" customHeight="false" outlineLevel="0" collapsed="false">
      <c r="A2455" s="39" t="s">
        <v>2577</v>
      </c>
      <c r="B2455" s="40" t="n">
        <v>45977</v>
      </c>
      <c r="C2455" s="39" t="s">
        <v>107</v>
      </c>
      <c r="D2455" s="39" t="n">
        <v>2</v>
      </c>
      <c r="E2455" s="41" t="n">
        <v>32.94</v>
      </c>
      <c r="F2455" s="39" t="s">
        <v>118</v>
      </c>
      <c r="G2455" s="39" t="str">
        <f aca="false">VLOOKUP(C2455,Products!$A$5:$D$24,2,FALSE())</f>
        <v>USB-C Hub</v>
      </c>
      <c r="H2455" s="39" t="str">
        <f aca="false">VLOOKUP(C2455,Products!$A$5:$D$24,3,FALSE())</f>
        <v>Electronics</v>
      </c>
      <c r="I2455" s="41" t="n">
        <f aca="false">VLOOKUP(C2455,Products!$A$5:$D$24,4,FALSE())</f>
        <v>14</v>
      </c>
      <c r="J2455" s="42" t="n">
        <f aca="false">DATE(YEAR(B2455),MONTH(B2455),1)</f>
        <v>45962</v>
      </c>
      <c r="K2455" s="41" t="n">
        <f aca="false">D2455*E2455</f>
        <v>65.88</v>
      </c>
      <c r="L2455" s="41" t="n">
        <f aca="false">D2455*I2455</f>
        <v>28</v>
      </c>
      <c r="M2455" s="41" t="n">
        <f aca="false">IFERROR(INDEX(Raw_Expenses!$C$5:$C$2979,MATCH(A2455,Raw_Expenses!$A$5:$A$2979,0)),0)</f>
        <v>3.35</v>
      </c>
      <c r="N2455" s="41" t="n">
        <f aca="false">L2455+M2455</f>
        <v>31.35</v>
      </c>
      <c r="O2455" s="41" t="n">
        <f aca="false">K2455-N2455</f>
        <v>34.53</v>
      </c>
      <c r="P2455" s="43" t="n">
        <f aca="false">IF(K2455=0,0,O2455/K2455)</f>
        <v>0.524134790528233</v>
      </c>
    </row>
    <row r="2456" customFormat="false" ht="15" hidden="false" customHeight="false" outlineLevel="0" collapsed="false">
      <c r="A2456" s="39" t="s">
        <v>2578</v>
      </c>
      <c r="B2456" s="40" t="n">
        <v>45977</v>
      </c>
      <c r="C2456" s="39" t="s">
        <v>117</v>
      </c>
      <c r="D2456" s="39" t="n">
        <v>3</v>
      </c>
      <c r="E2456" s="41" t="n">
        <v>30.3</v>
      </c>
      <c r="F2456" s="39" t="s">
        <v>108</v>
      </c>
      <c r="G2456" s="39" t="str">
        <f aca="false">VLOOKUP(C2456,Products!$A$5:$D$24,2,FALSE())</f>
        <v>Desk Lamp</v>
      </c>
      <c r="H2456" s="39" t="str">
        <f aca="false">VLOOKUP(C2456,Products!$A$5:$D$24,3,FALSE())</f>
        <v>Furniture</v>
      </c>
      <c r="I2456" s="41" t="n">
        <f aca="false">VLOOKUP(C2456,Products!$A$5:$D$24,4,FALSE())</f>
        <v>13</v>
      </c>
      <c r="J2456" s="42" t="n">
        <f aca="false">DATE(YEAR(B2456),MONTH(B2456),1)</f>
        <v>45962</v>
      </c>
      <c r="K2456" s="41" t="n">
        <f aca="false">D2456*E2456</f>
        <v>90.9</v>
      </c>
      <c r="L2456" s="41" t="n">
        <f aca="false">D2456*I2456</f>
        <v>39</v>
      </c>
      <c r="M2456" s="41" t="n">
        <f aca="false">IFERROR(INDEX(Raw_Expenses!$C$5:$C$2979,MATCH(A2456,Raw_Expenses!$A$5:$A$2979,0)),0)</f>
        <v>6.58</v>
      </c>
      <c r="N2456" s="41" t="n">
        <f aca="false">L2456+M2456</f>
        <v>45.58</v>
      </c>
      <c r="O2456" s="41" t="n">
        <f aca="false">K2456-N2456</f>
        <v>45.32</v>
      </c>
      <c r="P2456" s="43" t="n">
        <f aca="false">IF(K2456=0,0,O2456/K2456)</f>
        <v>0.498569856985699</v>
      </c>
    </row>
    <row r="2457" customFormat="false" ht="15" hidden="false" customHeight="false" outlineLevel="0" collapsed="false">
      <c r="A2457" s="39" t="s">
        <v>2579</v>
      </c>
      <c r="B2457" s="40" t="n">
        <v>45977</v>
      </c>
      <c r="C2457" s="39" t="s">
        <v>126</v>
      </c>
      <c r="D2457" s="39" t="n">
        <v>5</v>
      </c>
      <c r="E2457" s="41" t="n">
        <v>24.24</v>
      </c>
      <c r="F2457" s="39" t="s">
        <v>108</v>
      </c>
      <c r="G2457" s="39" t="str">
        <f aca="false">VLOOKUP(C2457,Products!$A$5:$D$24,2,FALSE())</f>
        <v>Wireless Mouse</v>
      </c>
      <c r="H2457" s="39" t="str">
        <f aca="false">VLOOKUP(C2457,Products!$A$5:$D$24,3,FALSE())</f>
        <v>Electronics</v>
      </c>
      <c r="I2457" s="41" t="n">
        <f aca="false">VLOOKUP(C2457,Products!$A$5:$D$24,4,FALSE())</f>
        <v>12</v>
      </c>
      <c r="J2457" s="42" t="n">
        <f aca="false">DATE(YEAR(B2457),MONTH(B2457),1)</f>
        <v>45962</v>
      </c>
      <c r="K2457" s="41" t="n">
        <f aca="false">D2457*E2457</f>
        <v>121.2</v>
      </c>
      <c r="L2457" s="41" t="n">
        <f aca="false">D2457*I2457</f>
        <v>60</v>
      </c>
      <c r="M2457" s="41" t="n">
        <f aca="false">IFERROR(INDEX(Raw_Expenses!$C$5:$C$2979,MATCH(A2457,Raw_Expenses!$A$5:$A$2979,0)),0)</f>
        <v>5.49</v>
      </c>
      <c r="N2457" s="41" t="n">
        <f aca="false">L2457+M2457</f>
        <v>65.49</v>
      </c>
      <c r="O2457" s="41" t="n">
        <f aca="false">K2457-N2457</f>
        <v>55.71</v>
      </c>
      <c r="P2457" s="43" t="n">
        <f aca="false">IF(K2457=0,0,O2457/K2457)</f>
        <v>0.459653465346535</v>
      </c>
    </row>
    <row r="2458" customFormat="false" ht="15" hidden="false" customHeight="false" outlineLevel="0" collapsed="false">
      <c r="A2458" s="39" t="s">
        <v>2580</v>
      </c>
      <c r="B2458" s="40" t="n">
        <v>45977</v>
      </c>
      <c r="C2458" s="39" t="s">
        <v>110</v>
      </c>
      <c r="D2458" s="39" t="n">
        <v>5</v>
      </c>
      <c r="E2458" s="41" t="n">
        <v>13.99</v>
      </c>
      <c r="F2458" s="39" t="s">
        <v>105</v>
      </c>
      <c r="G2458" s="39" t="str">
        <f aca="false">VLOOKUP(C2458,Products!$A$5:$D$24,2,FALSE())</f>
        <v>Phone Stand</v>
      </c>
      <c r="H2458" s="39" t="str">
        <f aca="false">VLOOKUP(C2458,Products!$A$5:$D$24,3,FALSE())</f>
        <v>Accessories</v>
      </c>
      <c r="I2458" s="41" t="n">
        <f aca="false">VLOOKUP(C2458,Products!$A$5:$D$24,4,FALSE())</f>
        <v>4</v>
      </c>
      <c r="J2458" s="42" t="n">
        <f aca="false">DATE(YEAR(B2458),MONTH(B2458),1)</f>
        <v>45962</v>
      </c>
      <c r="K2458" s="41" t="n">
        <f aca="false">D2458*E2458</f>
        <v>69.95</v>
      </c>
      <c r="L2458" s="41" t="n">
        <f aca="false">D2458*I2458</f>
        <v>20</v>
      </c>
      <c r="M2458" s="41" t="n">
        <f aca="false">IFERROR(INDEX(Raw_Expenses!$C$5:$C$2979,MATCH(A2458,Raw_Expenses!$A$5:$A$2979,0)),0)</f>
        <v>4.77</v>
      </c>
      <c r="N2458" s="41" t="n">
        <f aca="false">L2458+M2458</f>
        <v>24.77</v>
      </c>
      <c r="O2458" s="41" t="n">
        <f aca="false">K2458-N2458</f>
        <v>45.18</v>
      </c>
      <c r="P2458" s="43" t="n">
        <f aca="false">IF(K2458=0,0,O2458/K2458)</f>
        <v>0.645889921372409</v>
      </c>
    </row>
    <row r="2459" customFormat="false" ht="15" hidden="false" customHeight="false" outlineLevel="0" collapsed="false">
      <c r="A2459" s="39" t="s">
        <v>2581</v>
      </c>
      <c r="B2459" s="40" t="n">
        <v>45977</v>
      </c>
      <c r="C2459" s="39" t="s">
        <v>133</v>
      </c>
      <c r="D2459" s="39" t="n">
        <v>3</v>
      </c>
      <c r="E2459" s="41" t="n">
        <v>8.91</v>
      </c>
      <c r="F2459" s="39" t="s">
        <v>105</v>
      </c>
      <c r="G2459" s="39" t="str">
        <f aca="false">VLOOKUP(C2459,Products!$A$5:$D$24,2,FALSE())</f>
        <v>Printer Paper Ream</v>
      </c>
      <c r="H2459" s="39" t="str">
        <f aca="false">VLOOKUP(C2459,Products!$A$5:$D$24,3,FALSE())</f>
        <v>Stationery</v>
      </c>
      <c r="I2459" s="41" t="n">
        <f aca="false">VLOOKUP(C2459,Products!$A$5:$D$24,4,FALSE())</f>
        <v>4</v>
      </c>
      <c r="J2459" s="42" t="n">
        <f aca="false">DATE(YEAR(B2459),MONTH(B2459),1)</f>
        <v>45962</v>
      </c>
      <c r="K2459" s="41" t="n">
        <f aca="false">D2459*E2459</f>
        <v>26.73</v>
      </c>
      <c r="L2459" s="41" t="n">
        <f aca="false">D2459*I2459</f>
        <v>12</v>
      </c>
      <c r="M2459" s="41" t="n">
        <f aca="false">IFERROR(INDEX(Raw_Expenses!$C$5:$C$2979,MATCH(A2459,Raw_Expenses!$A$5:$A$2979,0)),0)</f>
        <v>2.29</v>
      </c>
      <c r="N2459" s="41" t="n">
        <f aca="false">L2459+M2459</f>
        <v>14.29</v>
      </c>
      <c r="O2459" s="41" t="n">
        <f aca="false">K2459-N2459</f>
        <v>12.44</v>
      </c>
      <c r="P2459" s="43" t="n">
        <f aca="false">IF(K2459=0,0,O2459/K2459)</f>
        <v>0.46539468761691</v>
      </c>
    </row>
    <row r="2460" customFormat="false" ht="15" hidden="false" customHeight="false" outlineLevel="0" collapsed="false">
      <c r="A2460" s="39" t="s">
        <v>2582</v>
      </c>
      <c r="B2460" s="40" t="n">
        <v>45978</v>
      </c>
      <c r="C2460" s="39" t="s">
        <v>136</v>
      </c>
      <c r="D2460" s="39" t="n">
        <v>5</v>
      </c>
      <c r="E2460" s="41" t="n">
        <v>78.77</v>
      </c>
      <c r="F2460" s="39" t="s">
        <v>118</v>
      </c>
      <c r="G2460" s="39" t="str">
        <f aca="false">VLOOKUP(C2460,Products!$A$5:$D$24,2,FALSE())</f>
        <v>Mechanical Keyboard</v>
      </c>
      <c r="H2460" s="39" t="str">
        <f aca="false">VLOOKUP(C2460,Products!$A$5:$D$24,3,FALSE())</f>
        <v>Electronics</v>
      </c>
      <c r="I2460" s="41" t="n">
        <f aca="false">VLOOKUP(C2460,Products!$A$5:$D$24,4,FALSE())</f>
        <v>38</v>
      </c>
      <c r="J2460" s="42" t="n">
        <f aca="false">DATE(YEAR(B2460),MONTH(B2460),1)</f>
        <v>45962</v>
      </c>
      <c r="K2460" s="41" t="n">
        <f aca="false">D2460*E2460</f>
        <v>393.85</v>
      </c>
      <c r="L2460" s="41" t="n">
        <f aca="false">D2460*I2460</f>
        <v>190</v>
      </c>
      <c r="M2460" s="41" t="n">
        <f aca="false">IFERROR(INDEX(Raw_Expenses!$C$5:$C$2979,MATCH(A2460,Raw_Expenses!$A$5:$A$2979,0)),0)</f>
        <v>27.23</v>
      </c>
      <c r="N2460" s="41" t="n">
        <f aca="false">L2460+M2460</f>
        <v>217.23</v>
      </c>
      <c r="O2460" s="41" t="n">
        <f aca="false">K2460-N2460</f>
        <v>176.62</v>
      </c>
      <c r="P2460" s="43" t="n">
        <f aca="false">IF(K2460=0,0,O2460/K2460)</f>
        <v>0.448444839405865</v>
      </c>
    </row>
    <row r="2461" customFormat="false" ht="15" hidden="false" customHeight="false" outlineLevel="0" collapsed="false">
      <c r="A2461" s="39" t="s">
        <v>2583</v>
      </c>
      <c r="B2461" s="40" t="n">
        <v>45978</v>
      </c>
      <c r="C2461" s="39" t="s">
        <v>114</v>
      </c>
      <c r="D2461" s="39" t="n">
        <v>6</v>
      </c>
      <c r="E2461" s="41" t="n">
        <v>5.54</v>
      </c>
      <c r="F2461" s="39" t="s">
        <v>118</v>
      </c>
      <c r="G2461" s="39" t="str">
        <f aca="false">VLOOKUP(C2461,Products!$A$5:$D$24,2,FALSE())</f>
        <v>Gel Pen Pack</v>
      </c>
      <c r="H2461" s="39" t="str">
        <f aca="false">VLOOKUP(C2461,Products!$A$5:$D$24,3,FALSE())</f>
        <v>Stationery</v>
      </c>
      <c r="I2461" s="41" t="n">
        <f aca="false">VLOOKUP(C2461,Products!$A$5:$D$24,4,FALSE())</f>
        <v>2</v>
      </c>
      <c r="J2461" s="42" t="n">
        <f aca="false">DATE(YEAR(B2461),MONTH(B2461),1)</f>
        <v>45962</v>
      </c>
      <c r="K2461" s="41" t="n">
        <f aca="false">D2461*E2461</f>
        <v>33.24</v>
      </c>
      <c r="L2461" s="41" t="n">
        <f aca="false">D2461*I2461</f>
        <v>12</v>
      </c>
      <c r="M2461" s="41" t="n">
        <f aca="false">IFERROR(INDEX(Raw_Expenses!$C$5:$C$2979,MATCH(A2461,Raw_Expenses!$A$5:$A$2979,0)),0)</f>
        <v>2.21</v>
      </c>
      <c r="N2461" s="41" t="n">
        <f aca="false">L2461+M2461</f>
        <v>14.21</v>
      </c>
      <c r="O2461" s="41" t="n">
        <f aca="false">K2461-N2461</f>
        <v>19.03</v>
      </c>
      <c r="P2461" s="43" t="n">
        <f aca="false">IF(K2461=0,0,O2461/K2461)</f>
        <v>0.572503008423586</v>
      </c>
    </row>
    <row r="2462" customFormat="false" ht="15" hidden="false" customHeight="false" outlineLevel="0" collapsed="false">
      <c r="A2462" s="39" t="s">
        <v>2584</v>
      </c>
      <c r="B2462" s="40" t="n">
        <v>45978</v>
      </c>
      <c r="C2462" s="39" t="s">
        <v>183</v>
      </c>
      <c r="D2462" s="39" t="n">
        <v>2</v>
      </c>
      <c r="E2462" s="41" t="n">
        <v>178.38</v>
      </c>
      <c r="F2462" s="39" t="s">
        <v>108</v>
      </c>
      <c r="G2462" s="39" t="str">
        <f aca="false">VLOOKUP(C2462,Products!$A$5:$D$24,2,FALSE())</f>
        <v>Office Chair</v>
      </c>
      <c r="H2462" s="39" t="str">
        <f aca="false">VLOOKUP(C2462,Products!$A$5:$D$24,3,FALSE())</f>
        <v>Furniture</v>
      </c>
      <c r="I2462" s="41" t="n">
        <f aca="false">VLOOKUP(C2462,Products!$A$5:$D$24,4,FALSE())</f>
        <v>85</v>
      </c>
      <c r="J2462" s="42" t="n">
        <f aca="false">DATE(YEAR(B2462),MONTH(B2462),1)</f>
        <v>45962</v>
      </c>
      <c r="K2462" s="41" t="n">
        <f aca="false">D2462*E2462</f>
        <v>356.76</v>
      </c>
      <c r="L2462" s="41" t="n">
        <f aca="false">D2462*I2462</f>
        <v>170</v>
      </c>
      <c r="M2462" s="41" t="n">
        <f aca="false">IFERROR(INDEX(Raw_Expenses!$C$5:$C$2979,MATCH(A2462,Raw_Expenses!$A$5:$A$2979,0)),0)</f>
        <v>20.08</v>
      </c>
      <c r="N2462" s="41" t="n">
        <f aca="false">L2462+M2462</f>
        <v>190.08</v>
      </c>
      <c r="O2462" s="41" t="n">
        <f aca="false">K2462-N2462</f>
        <v>166.68</v>
      </c>
      <c r="P2462" s="43" t="n">
        <f aca="false">IF(K2462=0,0,O2462/K2462)</f>
        <v>0.467204843592331</v>
      </c>
    </row>
    <row r="2463" customFormat="false" ht="15" hidden="false" customHeight="false" outlineLevel="0" collapsed="false">
      <c r="A2463" s="39" t="s">
        <v>2585</v>
      </c>
      <c r="B2463" s="40" t="n">
        <v>45978</v>
      </c>
      <c r="C2463" s="39" t="s">
        <v>169</v>
      </c>
      <c r="D2463" s="39" t="n">
        <v>2</v>
      </c>
      <c r="E2463" s="41" t="n">
        <v>27.66</v>
      </c>
      <c r="F2463" s="39" t="s">
        <v>108</v>
      </c>
      <c r="G2463" s="39" t="str">
        <f aca="false">VLOOKUP(C2463,Products!$A$5:$D$24,2,FALSE())</f>
        <v>Laptop Stand</v>
      </c>
      <c r="H2463" s="39" t="str">
        <f aca="false">VLOOKUP(C2463,Products!$A$5:$D$24,3,FALSE())</f>
        <v>Accessories</v>
      </c>
      <c r="I2463" s="41" t="n">
        <f aca="false">VLOOKUP(C2463,Products!$A$5:$D$24,4,FALSE())</f>
        <v>11</v>
      </c>
      <c r="J2463" s="42" t="n">
        <f aca="false">DATE(YEAR(B2463),MONTH(B2463),1)</f>
        <v>45962</v>
      </c>
      <c r="K2463" s="41" t="n">
        <f aca="false">D2463*E2463</f>
        <v>55.32</v>
      </c>
      <c r="L2463" s="41" t="n">
        <f aca="false">D2463*I2463</f>
        <v>22</v>
      </c>
      <c r="M2463" s="41" t="n">
        <f aca="false">IFERROR(INDEX(Raw_Expenses!$C$5:$C$2979,MATCH(A2463,Raw_Expenses!$A$5:$A$2979,0)),0)</f>
        <v>2.34</v>
      </c>
      <c r="N2463" s="41" t="n">
        <f aca="false">L2463+M2463</f>
        <v>24.34</v>
      </c>
      <c r="O2463" s="41" t="n">
        <f aca="false">K2463-N2463</f>
        <v>30.98</v>
      </c>
      <c r="P2463" s="43" t="n">
        <f aca="false">IF(K2463=0,0,O2463/K2463)</f>
        <v>0.56001446131598</v>
      </c>
    </row>
    <row r="2464" customFormat="false" ht="15" hidden="false" customHeight="false" outlineLevel="0" collapsed="false">
      <c r="A2464" s="39" t="s">
        <v>2586</v>
      </c>
      <c r="B2464" s="40" t="n">
        <v>45978</v>
      </c>
      <c r="C2464" s="39" t="s">
        <v>130</v>
      </c>
      <c r="D2464" s="39" t="n">
        <v>2</v>
      </c>
      <c r="E2464" s="41" t="n">
        <v>8.82</v>
      </c>
      <c r="F2464" s="39" t="s">
        <v>105</v>
      </c>
      <c r="G2464" s="39" t="str">
        <f aca="false">VLOOKUP(C2464,Products!$A$5:$D$24,2,FALSE())</f>
        <v>Notebook Set</v>
      </c>
      <c r="H2464" s="39" t="str">
        <f aca="false">VLOOKUP(C2464,Products!$A$5:$D$24,3,FALSE())</f>
        <v>Stationery</v>
      </c>
      <c r="I2464" s="41" t="n">
        <f aca="false">VLOOKUP(C2464,Products!$A$5:$D$24,4,FALSE())</f>
        <v>3</v>
      </c>
      <c r="J2464" s="42" t="n">
        <f aca="false">DATE(YEAR(B2464),MONTH(B2464),1)</f>
        <v>45962</v>
      </c>
      <c r="K2464" s="41" t="n">
        <f aca="false">D2464*E2464</f>
        <v>17.64</v>
      </c>
      <c r="L2464" s="41" t="n">
        <f aca="false">D2464*I2464</f>
        <v>6</v>
      </c>
      <c r="M2464" s="41" t="n">
        <f aca="false">IFERROR(INDEX(Raw_Expenses!$C$5:$C$2979,MATCH(A2464,Raw_Expenses!$A$5:$A$2979,0)),0)</f>
        <v>1.55</v>
      </c>
      <c r="N2464" s="41" t="n">
        <f aca="false">L2464+M2464</f>
        <v>7.55</v>
      </c>
      <c r="O2464" s="41" t="n">
        <f aca="false">K2464-N2464</f>
        <v>10.09</v>
      </c>
      <c r="P2464" s="43" t="n">
        <f aca="false">IF(K2464=0,0,O2464/K2464)</f>
        <v>0.571995464852608</v>
      </c>
    </row>
    <row r="2465" customFormat="false" ht="15" hidden="false" customHeight="false" outlineLevel="0" collapsed="false">
      <c r="A2465" s="39" t="s">
        <v>2587</v>
      </c>
      <c r="B2465" s="40" t="n">
        <v>45978</v>
      </c>
      <c r="C2465" s="39" t="s">
        <v>117</v>
      </c>
      <c r="D2465" s="39" t="n">
        <v>1</v>
      </c>
      <c r="E2465" s="41" t="n">
        <v>31.07</v>
      </c>
      <c r="F2465" s="39" t="s">
        <v>115</v>
      </c>
      <c r="G2465" s="39" t="str">
        <f aca="false">VLOOKUP(C2465,Products!$A$5:$D$24,2,FALSE())</f>
        <v>Desk Lamp</v>
      </c>
      <c r="H2465" s="39" t="str">
        <f aca="false">VLOOKUP(C2465,Products!$A$5:$D$24,3,FALSE())</f>
        <v>Furniture</v>
      </c>
      <c r="I2465" s="41" t="n">
        <f aca="false">VLOOKUP(C2465,Products!$A$5:$D$24,4,FALSE())</f>
        <v>13</v>
      </c>
      <c r="J2465" s="42" t="n">
        <f aca="false">DATE(YEAR(B2465),MONTH(B2465),1)</f>
        <v>45962</v>
      </c>
      <c r="K2465" s="41" t="n">
        <f aca="false">D2465*E2465</f>
        <v>31.07</v>
      </c>
      <c r="L2465" s="41" t="n">
        <f aca="false">D2465*I2465</f>
        <v>13</v>
      </c>
      <c r="M2465" s="41" t="n">
        <f aca="false">IFERROR(INDEX(Raw_Expenses!$C$5:$C$2979,MATCH(A2465,Raw_Expenses!$A$5:$A$2979,0)),0)</f>
        <v>2.33</v>
      </c>
      <c r="N2465" s="41" t="n">
        <f aca="false">L2465+M2465</f>
        <v>15.33</v>
      </c>
      <c r="O2465" s="41" t="n">
        <f aca="false">K2465-N2465</f>
        <v>15.74</v>
      </c>
      <c r="P2465" s="43" t="n">
        <f aca="false">IF(K2465=0,0,O2465/K2465)</f>
        <v>0.506598004505954</v>
      </c>
    </row>
    <row r="2466" customFormat="false" ht="15" hidden="false" customHeight="false" outlineLevel="0" collapsed="false">
      <c r="A2466" s="39" t="s">
        <v>2588</v>
      </c>
      <c r="B2466" s="40" t="n">
        <v>45978</v>
      </c>
      <c r="C2466" s="39" t="s">
        <v>136</v>
      </c>
      <c r="D2466" s="39" t="n">
        <v>3</v>
      </c>
      <c r="E2466" s="41" t="n">
        <v>75.89</v>
      </c>
      <c r="F2466" s="39" t="s">
        <v>118</v>
      </c>
      <c r="G2466" s="39" t="str">
        <f aca="false">VLOOKUP(C2466,Products!$A$5:$D$24,2,FALSE())</f>
        <v>Mechanical Keyboard</v>
      </c>
      <c r="H2466" s="39" t="str">
        <f aca="false">VLOOKUP(C2466,Products!$A$5:$D$24,3,FALSE())</f>
        <v>Electronics</v>
      </c>
      <c r="I2466" s="41" t="n">
        <f aca="false">VLOOKUP(C2466,Products!$A$5:$D$24,4,FALSE())</f>
        <v>38</v>
      </c>
      <c r="J2466" s="42" t="n">
        <f aca="false">DATE(YEAR(B2466),MONTH(B2466),1)</f>
        <v>45962</v>
      </c>
      <c r="K2466" s="41" t="n">
        <f aca="false">D2466*E2466</f>
        <v>227.67</v>
      </c>
      <c r="L2466" s="41" t="n">
        <f aca="false">D2466*I2466</f>
        <v>114</v>
      </c>
      <c r="M2466" s="41" t="n">
        <f aca="false">IFERROR(INDEX(Raw_Expenses!$C$5:$C$2979,MATCH(A2466,Raw_Expenses!$A$5:$A$2979,0)),0)</f>
        <v>9.2</v>
      </c>
      <c r="N2466" s="41" t="n">
        <f aca="false">L2466+M2466</f>
        <v>123.2</v>
      </c>
      <c r="O2466" s="41" t="n">
        <f aca="false">K2466-N2466</f>
        <v>104.47</v>
      </c>
      <c r="P2466" s="43" t="n">
        <f aca="false">IF(K2466=0,0,O2466/K2466)</f>
        <v>0.4588659024026</v>
      </c>
    </row>
    <row r="2467" customFormat="false" ht="15" hidden="false" customHeight="false" outlineLevel="0" collapsed="false">
      <c r="A2467" s="39" t="s">
        <v>2589</v>
      </c>
      <c r="B2467" s="40" t="n">
        <v>45978</v>
      </c>
      <c r="C2467" s="39" t="s">
        <v>130</v>
      </c>
      <c r="D2467" s="39" t="n">
        <v>2</v>
      </c>
      <c r="E2467" s="41" t="n">
        <v>8.44</v>
      </c>
      <c r="F2467" s="39" t="s">
        <v>115</v>
      </c>
      <c r="G2467" s="39" t="str">
        <f aca="false">VLOOKUP(C2467,Products!$A$5:$D$24,2,FALSE())</f>
        <v>Notebook Set</v>
      </c>
      <c r="H2467" s="39" t="str">
        <f aca="false">VLOOKUP(C2467,Products!$A$5:$D$24,3,FALSE())</f>
        <v>Stationery</v>
      </c>
      <c r="I2467" s="41" t="n">
        <f aca="false">VLOOKUP(C2467,Products!$A$5:$D$24,4,FALSE())</f>
        <v>3</v>
      </c>
      <c r="J2467" s="42" t="n">
        <f aca="false">DATE(YEAR(B2467),MONTH(B2467),1)</f>
        <v>45962</v>
      </c>
      <c r="K2467" s="41" t="n">
        <f aca="false">D2467*E2467</f>
        <v>16.88</v>
      </c>
      <c r="L2467" s="41" t="n">
        <f aca="false">D2467*I2467</f>
        <v>6</v>
      </c>
      <c r="M2467" s="41" t="n">
        <f aca="false">IFERROR(INDEX(Raw_Expenses!$C$5:$C$2979,MATCH(A2467,Raw_Expenses!$A$5:$A$2979,0)),0)</f>
        <v>0.85</v>
      </c>
      <c r="N2467" s="41" t="n">
        <f aca="false">L2467+M2467</f>
        <v>6.85</v>
      </c>
      <c r="O2467" s="41" t="n">
        <f aca="false">K2467-N2467</f>
        <v>10.03</v>
      </c>
      <c r="P2467" s="43" t="n">
        <f aca="false">IF(K2467=0,0,O2467/K2467)</f>
        <v>0.594194312796209</v>
      </c>
    </row>
    <row r="2468" customFormat="false" ht="15" hidden="false" customHeight="false" outlineLevel="0" collapsed="false">
      <c r="A2468" s="39" t="s">
        <v>2590</v>
      </c>
      <c r="B2468" s="40" t="n">
        <v>45978</v>
      </c>
      <c r="C2468" s="39" t="s">
        <v>104</v>
      </c>
      <c r="D2468" s="39" t="n">
        <v>3</v>
      </c>
      <c r="E2468" s="41" t="n">
        <v>15.61</v>
      </c>
      <c r="F2468" s="39" t="s">
        <v>115</v>
      </c>
      <c r="G2468" s="39" t="str">
        <f aca="false">VLOOKUP(C2468,Products!$A$5:$D$24,2,FALSE())</f>
        <v>Water Bottle</v>
      </c>
      <c r="H2468" s="39" t="str">
        <f aca="false">VLOOKUP(C2468,Products!$A$5:$D$24,3,FALSE())</f>
        <v>Accessories</v>
      </c>
      <c r="I2468" s="41" t="n">
        <f aca="false">VLOOKUP(C2468,Products!$A$5:$D$24,4,FALSE())</f>
        <v>5</v>
      </c>
      <c r="J2468" s="42" t="n">
        <f aca="false">DATE(YEAR(B2468),MONTH(B2468),1)</f>
        <v>45962</v>
      </c>
      <c r="K2468" s="41" t="n">
        <f aca="false">D2468*E2468</f>
        <v>46.83</v>
      </c>
      <c r="L2468" s="41" t="n">
        <f aca="false">D2468*I2468</f>
        <v>15</v>
      </c>
      <c r="M2468" s="41" t="n">
        <f aca="false">IFERROR(INDEX(Raw_Expenses!$C$5:$C$2979,MATCH(A2468,Raw_Expenses!$A$5:$A$2979,0)),0)</f>
        <v>1.92</v>
      </c>
      <c r="N2468" s="41" t="n">
        <f aca="false">L2468+M2468</f>
        <v>16.92</v>
      </c>
      <c r="O2468" s="41" t="n">
        <f aca="false">K2468-N2468</f>
        <v>29.91</v>
      </c>
      <c r="P2468" s="43" t="n">
        <f aca="false">IF(K2468=0,0,O2468/K2468)</f>
        <v>0.638693145419603</v>
      </c>
    </row>
    <row r="2469" customFormat="false" ht="15" hidden="false" customHeight="false" outlineLevel="0" collapsed="false">
      <c r="A2469" s="39" t="s">
        <v>2591</v>
      </c>
      <c r="B2469" s="40" t="n">
        <v>45978</v>
      </c>
      <c r="C2469" s="39" t="s">
        <v>112</v>
      </c>
      <c r="D2469" s="39" t="n">
        <v>3</v>
      </c>
      <c r="E2469" s="41" t="n">
        <v>54.97</v>
      </c>
      <c r="F2469" s="39" t="s">
        <v>108</v>
      </c>
      <c r="G2469" s="39" t="str">
        <f aca="false">VLOOKUP(C2469,Products!$A$5:$D$24,2,FALSE())</f>
        <v>HD Webcam</v>
      </c>
      <c r="H2469" s="39" t="str">
        <f aca="false">VLOOKUP(C2469,Products!$A$5:$D$24,3,FALSE())</f>
        <v>Electronics</v>
      </c>
      <c r="I2469" s="41" t="n">
        <f aca="false">VLOOKUP(C2469,Products!$A$5:$D$24,4,FALSE())</f>
        <v>22</v>
      </c>
      <c r="J2469" s="42" t="n">
        <f aca="false">DATE(YEAR(B2469),MONTH(B2469),1)</f>
        <v>45962</v>
      </c>
      <c r="K2469" s="41" t="n">
        <f aca="false">D2469*E2469</f>
        <v>164.91</v>
      </c>
      <c r="L2469" s="41" t="n">
        <f aca="false">D2469*I2469</f>
        <v>66</v>
      </c>
      <c r="M2469" s="41" t="n">
        <f aca="false">IFERROR(INDEX(Raw_Expenses!$C$5:$C$2979,MATCH(A2469,Raw_Expenses!$A$5:$A$2979,0)),0)</f>
        <v>14.65</v>
      </c>
      <c r="N2469" s="41" t="n">
        <f aca="false">L2469+M2469</f>
        <v>80.65</v>
      </c>
      <c r="O2469" s="41" t="n">
        <f aca="false">K2469-N2469</f>
        <v>84.26</v>
      </c>
      <c r="P2469" s="43" t="n">
        <f aca="false">IF(K2469=0,0,O2469/K2469)</f>
        <v>0.510945364138015</v>
      </c>
    </row>
    <row r="2470" customFormat="false" ht="15" hidden="false" customHeight="false" outlineLevel="0" collapsed="false">
      <c r="A2470" s="39" t="s">
        <v>2592</v>
      </c>
      <c r="B2470" s="40" t="n">
        <v>45978</v>
      </c>
      <c r="C2470" s="39" t="s">
        <v>177</v>
      </c>
      <c r="D2470" s="39" t="n">
        <v>2</v>
      </c>
      <c r="E2470" s="41" t="n">
        <v>41.78</v>
      </c>
      <c r="F2470" s="39" t="s">
        <v>108</v>
      </c>
      <c r="G2470" s="39" t="str">
        <f aca="false">VLOOKUP(C2470,Products!$A$5:$D$24,2,FALSE())</f>
        <v>Backpack</v>
      </c>
      <c r="H2470" s="39" t="str">
        <f aca="false">VLOOKUP(C2470,Products!$A$5:$D$24,3,FALSE())</f>
        <v>Accessories</v>
      </c>
      <c r="I2470" s="41" t="n">
        <f aca="false">VLOOKUP(C2470,Products!$A$5:$D$24,4,FALSE())</f>
        <v>17</v>
      </c>
      <c r="J2470" s="42" t="n">
        <f aca="false">DATE(YEAR(B2470),MONTH(B2470),1)</f>
        <v>45962</v>
      </c>
      <c r="K2470" s="41" t="n">
        <f aca="false">D2470*E2470</f>
        <v>83.56</v>
      </c>
      <c r="L2470" s="41" t="n">
        <f aca="false">D2470*I2470</f>
        <v>34</v>
      </c>
      <c r="M2470" s="41" t="n">
        <f aca="false">IFERROR(INDEX(Raw_Expenses!$C$5:$C$2979,MATCH(A2470,Raw_Expenses!$A$5:$A$2979,0)),0)</f>
        <v>5.06</v>
      </c>
      <c r="N2470" s="41" t="n">
        <f aca="false">L2470+M2470</f>
        <v>39.06</v>
      </c>
      <c r="O2470" s="41" t="n">
        <f aca="false">K2470-N2470</f>
        <v>44.5</v>
      </c>
      <c r="P2470" s="43" t="n">
        <f aca="false">IF(K2470=0,0,O2470/K2470)</f>
        <v>0.532551460028722</v>
      </c>
    </row>
    <row r="2471" customFormat="false" ht="15" hidden="false" customHeight="false" outlineLevel="0" collapsed="false">
      <c r="A2471" s="39" t="s">
        <v>2593</v>
      </c>
      <c r="B2471" s="40" t="n">
        <v>45978</v>
      </c>
      <c r="C2471" s="39" t="s">
        <v>162</v>
      </c>
      <c r="D2471" s="39" t="n">
        <v>6</v>
      </c>
      <c r="E2471" s="41" t="n">
        <v>67.74</v>
      </c>
      <c r="F2471" s="39" t="s">
        <v>105</v>
      </c>
      <c r="G2471" s="39" t="str">
        <f aca="false">VLOOKUP(C2471,Products!$A$5:$D$24,2,FALSE())</f>
        <v>Bluetooth Speaker</v>
      </c>
      <c r="H2471" s="39" t="str">
        <f aca="false">VLOOKUP(C2471,Products!$A$5:$D$24,3,FALSE())</f>
        <v>Electronics</v>
      </c>
      <c r="I2471" s="41" t="n">
        <f aca="false">VLOOKUP(C2471,Products!$A$5:$D$24,4,FALSE())</f>
        <v>28</v>
      </c>
      <c r="J2471" s="42" t="n">
        <f aca="false">DATE(YEAR(B2471),MONTH(B2471),1)</f>
        <v>45962</v>
      </c>
      <c r="K2471" s="41" t="n">
        <f aca="false">D2471*E2471</f>
        <v>406.44</v>
      </c>
      <c r="L2471" s="41" t="n">
        <f aca="false">D2471*I2471</f>
        <v>168</v>
      </c>
      <c r="M2471" s="41" t="n">
        <f aca="false">IFERROR(INDEX(Raw_Expenses!$C$5:$C$2979,MATCH(A2471,Raw_Expenses!$A$5:$A$2979,0)),0)</f>
        <v>18.53</v>
      </c>
      <c r="N2471" s="41" t="n">
        <f aca="false">L2471+M2471</f>
        <v>186.53</v>
      </c>
      <c r="O2471" s="41" t="n">
        <f aca="false">K2471-N2471</f>
        <v>219.91</v>
      </c>
      <c r="P2471" s="43" t="n">
        <f aca="false">IF(K2471=0,0,O2471/K2471)</f>
        <v>0.541063871666175</v>
      </c>
    </row>
    <row r="2472" customFormat="false" ht="15" hidden="false" customHeight="false" outlineLevel="0" collapsed="false">
      <c r="A2472" s="39" t="s">
        <v>2594</v>
      </c>
      <c r="B2472" s="40" t="n">
        <v>45978</v>
      </c>
      <c r="C2472" s="39" t="s">
        <v>133</v>
      </c>
      <c r="D2472" s="39" t="n">
        <v>3</v>
      </c>
      <c r="E2472" s="41" t="n">
        <v>8.67</v>
      </c>
      <c r="F2472" s="39" t="s">
        <v>118</v>
      </c>
      <c r="G2472" s="39" t="str">
        <f aca="false">VLOOKUP(C2472,Products!$A$5:$D$24,2,FALSE())</f>
        <v>Printer Paper Ream</v>
      </c>
      <c r="H2472" s="39" t="str">
        <f aca="false">VLOOKUP(C2472,Products!$A$5:$D$24,3,FALSE())</f>
        <v>Stationery</v>
      </c>
      <c r="I2472" s="41" t="n">
        <f aca="false">VLOOKUP(C2472,Products!$A$5:$D$24,4,FALSE())</f>
        <v>4</v>
      </c>
      <c r="J2472" s="42" t="n">
        <f aca="false">DATE(YEAR(B2472),MONTH(B2472),1)</f>
        <v>45962</v>
      </c>
      <c r="K2472" s="41" t="n">
        <f aca="false">D2472*E2472</f>
        <v>26.01</v>
      </c>
      <c r="L2472" s="41" t="n">
        <f aca="false">D2472*I2472</f>
        <v>12</v>
      </c>
      <c r="M2472" s="41" t="n">
        <f aca="false">IFERROR(INDEX(Raw_Expenses!$C$5:$C$2979,MATCH(A2472,Raw_Expenses!$A$5:$A$2979,0)),0)</f>
        <v>1.41</v>
      </c>
      <c r="N2472" s="41" t="n">
        <f aca="false">L2472+M2472</f>
        <v>13.41</v>
      </c>
      <c r="O2472" s="41" t="n">
        <f aca="false">K2472-N2472</f>
        <v>12.6</v>
      </c>
      <c r="P2472" s="43" t="n">
        <f aca="false">IF(K2472=0,0,O2472/K2472)</f>
        <v>0.484429065743945</v>
      </c>
    </row>
    <row r="2473" customFormat="false" ht="15" hidden="false" customHeight="false" outlineLevel="0" collapsed="false">
      <c r="A2473" s="39" t="s">
        <v>2595</v>
      </c>
      <c r="B2473" s="40" t="n">
        <v>45978</v>
      </c>
      <c r="C2473" s="39" t="s">
        <v>121</v>
      </c>
      <c r="D2473" s="39" t="n">
        <v>1</v>
      </c>
      <c r="E2473" s="41" t="n">
        <v>116.72</v>
      </c>
      <c r="F2473" s="39" t="s">
        <v>108</v>
      </c>
      <c r="G2473" s="39" t="str">
        <f aca="false">VLOOKUP(C2473,Products!$A$5:$D$24,2,FALSE())</f>
        <v>External SSD 1TB</v>
      </c>
      <c r="H2473" s="39" t="str">
        <f aca="false">VLOOKUP(C2473,Products!$A$5:$D$24,3,FALSE())</f>
        <v>Electronics</v>
      </c>
      <c r="I2473" s="41" t="n">
        <f aca="false">VLOOKUP(C2473,Products!$A$5:$D$24,4,FALSE())</f>
        <v>62</v>
      </c>
      <c r="J2473" s="42" t="n">
        <f aca="false">DATE(YEAR(B2473),MONTH(B2473),1)</f>
        <v>45962</v>
      </c>
      <c r="K2473" s="41" t="n">
        <f aca="false">D2473*E2473</f>
        <v>116.72</v>
      </c>
      <c r="L2473" s="41" t="n">
        <f aca="false">D2473*I2473</f>
        <v>62</v>
      </c>
      <c r="M2473" s="41" t="n">
        <f aca="false">IFERROR(INDEX(Raw_Expenses!$C$5:$C$2979,MATCH(A2473,Raw_Expenses!$A$5:$A$2979,0)),0)</f>
        <v>5.23</v>
      </c>
      <c r="N2473" s="41" t="n">
        <f aca="false">L2473+M2473</f>
        <v>67.23</v>
      </c>
      <c r="O2473" s="41" t="n">
        <f aca="false">K2473-N2473</f>
        <v>49.49</v>
      </c>
      <c r="P2473" s="43" t="n">
        <f aca="false">IF(K2473=0,0,O2473/K2473)</f>
        <v>0.424006168608636</v>
      </c>
    </row>
    <row r="2474" customFormat="false" ht="15" hidden="false" customHeight="false" outlineLevel="0" collapsed="false">
      <c r="A2474" s="39" t="s">
        <v>2596</v>
      </c>
      <c r="B2474" s="40" t="n">
        <v>45978</v>
      </c>
      <c r="C2474" s="39" t="s">
        <v>183</v>
      </c>
      <c r="D2474" s="39" t="n">
        <v>1</v>
      </c>
      <c r="E2474" s="41" t="n">
        <v>177.35</v>
      </c>
      <c r="F2474" s="39" t="s">
        <v>108</v>
      </c>
      <c r="G2474" s="39" t="str">
        <f aca="false">VLOOKUP(C2474,Products!$A$5:$D$24,2,FALSE())</f>
        <v>Office Chair</v>
      </c>
      <c r="H2474" s="39" t="str">
        <f aca="false">VLOOKUP(C2474,Products!$A$5:$D$24,3,FALSE())</f>
        <v>Furniture</v>
      </c>
      <c r="I2474" s="41" t="n">
        <f aca="false">VLOOKUP(C2474,Products!$A$5:$D$24,4,FALSE())</f>
        <v>85</v>
      </c>
      <c r="J2474" s="42" t="n">
        <f aca="false">DATE(YEAR(B2474),MONTH(B2474),1)</f>
        <v>45962</v>
      </c>
      <c r="K2474" s="41" t="n">
        <f aca="false">D2474*E2474</f>
        <v>177.35</v>
      </c>
      <c r="L2474" s="41" t="n">
        <f aca="false">D2474*I2474</f>
        <v>85</v>
      </c>
      <c r="M2474" s="41" t="n">
        <f aca="false">IFERROR(INDEX(Raw_Expenses!$C$5:$C$2979,MATCH(A2474,Raw_Expenses!$A$5:$A$2979,0)),0)</f>
        <v>12.9</v>
      </c>
      <c r="N2474" s="41" t="n">
        <f aca="false">L2474+M2474</f>
        <v>97.9</v>
      </c>
      <c r="O2474" s="41" t="n">
        <f aca="false">K2474-N2474</f>
        <v>79.45</v>
      </c>
      <c r="P2474" s="43" t="n">
        <f aca="false">IF(K2474=0,0,O2474/K2474)</f>
        <v>0.447984212010149</v>
      </c>
    </row>
    <row r="2475" customFormat="false" ht="15" hidden="false" customHeight="false" outlineLevel="0" collapsed="false">
      <c r="A2475" s="39" t="s">
        <v>2597</v>
      </c>
      <c r="B2475" s="40" t="n">
        <v>45978</v>
      </c>
      <c r="C2475" s="39" t="s">
        <v>114</v>
      </c>
      <c r="D2475" s="39" t="n">
        <v>2</v>
      </c>
      <c r="E2475" s="41" t="n">
        <v>5.78</v>
      </c>
      <c r="F2475" s="39" t="s">
        <v>105</v>
      </c>
      <c r="G2475" s="39" t="str">
        <f aca="false">VLOOKUP(C2475,Products!$A$5:$D$24,2,FALSE())</f>
        <v>Gel Pen Pack</v>
      </c>
      <c r="H2475" s="39" t="str">
        <f aca="false">VLOOKUP(C2475,Products!$A$5:$D$24,3,FALSE())</f>
        <v>Stationery</v>
      </c>
      <c r="I2475" s="41" t="n">
        <f aca="false">VLOOKUP(C2475,Products!$A$5:$D$24,4,FALSE())</f>
        <v>2</v>
      </c>
      <c r="J2475" s="42" t="n">
        <f aca="false">DATE(YEAR(B2475),MONTH(B2475),1)</f>
        <v>45962</v>
      </c>
      <c r="K2475" s="41" t="n">
        <f aca="false">D2475*E2475</f>
        <v>11.56</v>
      </c>
      <c r="L2475" s="41" t="n">
        <f aca="false">D2475*I2475</f>
        <v>4</v>
      </c>
      <c r="M2475" s="41" t="n">
        <f aca="false">IFERROR(INDEX(Raw_Expenses!$C$5:$C$2979,MATCH(A2475,Raw_Expenses!$A$5:$A$2979,0)),0)</f>
        <v>0.7</v>
      </c>
      <c r="N2475" s="41" t="n">
        <f aca="false">L2475+M2475</f>
        <v>4.7</v>
      </c>
      <c r="O2475" s="41" t="n">
        <f aca="false">K2475-N2475</f>
        <v>6.86</v>
      </c>
      <c r="P2475" s="43" t="n">
        <f aca="false">IF(K2475=0,0,O2475/K2475)</f>
        <v>0.593425605536332</v>
      </c>
    </row>
    <row r="2476" customFormat="false" ht="15" hidden="false" customHeight="false" outlineLevel="0" collapsed="false">
      <c r="A2476" s="39" t="s">
        <v>2598</v>
      </c>
      <c r="B2476" s="40" t="n">
        <v>45978</v>
      </c>
      <c r="C2476" s="39" t="s">
        <v>112</v>
      </c>
      <c r="D2476" s="39" t="n">
        <v>3</v>
      </c>
      <c r="E2476" s="41" t="n">
        <v>53.86</v>
      </c>
      <c r="F2476" s="39" t="s">
        <v>115</v>
      </c>
      <c r="G2476" s="39" t="str">
        <f aca="false">VLOOKUP(C2476,Products!$A$5:$D$24,2,FALSE())</f>
        <v>HD Webcam</v>
      </c>
      <c r="H2476" s="39" t="str">
        <f aca="false">VLOOKUP(C2476,Products!$A$5:$D$24,3,FALSE())</f>
        <v>Electronics</v>
      </c>
      <c r="I2476" s="41" t="n">
        <f aca="false">VLOOKUP(C2476,Products!$A$5:$D$24,4,FALSE())</f>
        <v>22</v>
      </c>
      <c r="J2476" s="42" t="n">
        <f aca="false">DATE(YEAR(B2476),MONTH(B2476),1)</f>
        <v>45962</v>
      </c>
      <c r="K2476" s="41" t="n">
        <f aca="false">D2476*E2476</f>
        <v>161.58</v>
      </c>
      <c r="L2476" s="41" t="n">
        <f aca="false">D2476*I2476</f>
        <v>66</v>
      </c>
      <c r="M2476" s="41" t="n">
        <f aca="false">IFERROR(INDEX(Raw_Expenses!$C$5:$C$2979,MATCH(A2476,Raw_Expenses!$A$5:$A$2979,0)),0)</f>
        <v>13.63</v>
      </c>
      <c r="N2476" s="41" t="n">
        <f aca="false">L2476+M2476</f>
        <v>79.63</v>
      </c>
      <c r="O2476" s="41" t="n">
        <f aca="false">K2476-N2476</f>
        <v>81.95</v>
      </c>
      <c r="P2476" s="43" t="n">
        <f aca="false">IF(K2476=0,0,O2476/K2476)</f>
        <v>0.50717910632504</v>
      </c>
    </row>
    <row r="2477" customFormat="false" ht="15" hidden="false" customHeight="false" outlineLevel="0" collapsed="false">
      <c r="A2477" s="39" t="s">
        <v>2599</v>
      </c>
      <c r="B2477" s="40" t="n">
        <v>45978</v>
      </c>
      <c r="C2477" s="39" t="s">
        <v>104</v>
      </c>
      <c r="D2477" s="39" t="n">
        <v>4</v>
      </c>
      <c r="E2477" s="41" t="n">
        <v>16</v>
      </c>
      <c r="F2477" s="39" t="s">
        <v>105</v>
      </c>
      <c r="G2477" s="39" t="str">
        <f aca="false">VLOOKUP(C2477,Products!$A$5:$D$24,2,FALSE())</f>
        <v>Water Bottle</v>
      </c>
      <c r="H2477" s="39" t="str">
        <f aca="false">VLOOKUP(C2477,Products!$A$5:$D$24,3,FALSE())</f>
        <v>Accessories</v>
      </c>
      <c r="I2477" s="41" t="n">
        <f aca="false">VLOOKUP(C2477,Products!$A$5:$D$24,4,FALSE())</f>
        <v>5</v>
      </c>
      <c r="J2477" s="42" t="n">
        <f aca="false">DATE(YEAR(B2477),MONTH(B2477),1)</f>
        <v>45962</v>
      </c>
      <c r="K2477" s="41" t="n">
        <f aca="false">D2477*E2477</f>
        <v>64</v>
      </c>
      <c r="L2477" s="41" t="n">
        <f aca="false">D2477*I2477</f>
        <v>20</v>
      </c>
      <c r="M2477" s="41" t="n">
        <f aca="false">IFERROR(INDEX(Raw_Expenses!$C$5:$C$2979,MATCH(A2477,Raw_Expenses!$A$5:$A$2979,0)),0)</f>
        <v>5.59</v>
      </c>
      <c r="N2477" s="41" t="n">
        <f aca="false">L2477+M2477</f>
        <v>25.59</v>
      </c>
      <c r="O2477" s="41" t="n">
        <f aca="false">K2477-N2477</f>
        <v>38.41</v>
      </c>
      <c r="P2477" s="43" t="n">
        <f aca="false">IF(K2477=0,0,O2477/K2477)</f>
        <v>0.60015625</v>
      </c>
    </row>
    <row r="2478" customFormat="false" ht="15" hidden="false" customHeight="false" outlineLevel="0" collapsed="false">
      <c r="A2478" s="39" t="s">
        <v>2600</v>
      </c>
      <c r="B2478" s="40" t="n">
        <v>45978</v>
      </c>
      <c r="C2478" s="39" t="s">
        <v>177</v>
      </c>
      <c r="D2478" s="39" t="n">
        <v>4</v>
      </c>
      <c r="E2478" s="41" t="n">
        <v>44.49</v>
      </c>
      <c r="F2478" s="39" t="s">
        <v>105</v>
      </c>
      <c r="G2478" s="39" t="str">
        <f aca="false">VLOOKUP(C2478,Products!$A$5:$D$24,2,FALSE())</f>
        <v>Backpack</v>
      </c>
      <c r="H2478" s="39" t="str">
        <f aca="false">VLOOKUP(C2478,Products!$A$5:$D$24,3,FALSE())</f>
        <v>Accessories</v>
      </c>
      <c r="I2478" s="41" t="n">
        <f aca="false">VLOOKUP(C2478,Products!$A$5:$D$24,4,FALSE())</f>
        <v>17</v>
      </c>
      <c r="J2478" s="42" t="n">
        <f aca="false">DATE(YEAR(B2478),MONTH(B2478),1)</f>
        <v>45962</v>
      </c>
      <c r="K2478" s="41" t="n">
        <f aca="false">D2478*E2478</f>
        <v>177.96</v>
      </c>
      <c r="L2478" s="41" t="n">
        <f aca="false">D2478*I2478</f>
        <v>68</v>
      </c>
      <c r="M2478" s="41" t="n">
        <f aca="false">IFERROR(INDEX(Raw_Expenses!$C$5:$C$2979,MATCH(A2478,Raw_Expenses!$A$5:$A$2979,0)),0)</f>
        <v>12.92</v>
      </c>
      <c r="N2478" s="41" t="n">
        <f aca="false">L2478+M2478</f>
        <v>80.92</v>
      </c>
      <c r="O2478" s="41" t="n">
        <f aca="false">K2478-N2478</f>
        <v>97.04</v>
      </c>
      <c r="P2478" s="43" t="n">
        <f aca="false">IF(K2478=0,0,O2478/K2478)</f>
        <v>0.545291076646437</v>
      </c>
    </row>
    <row r="2479" customFormat="false" ht="15" hidden="false" customHeight="false" outlineLevel="0" collapsed="false">
      <c r="A2479" s="39" t="s">
        <v>2601</v>
      </c>
      <c r="B2479" s="40" t="n">
        <v>45979</v>
      </c>
      <c r="C2479" s="39" t="s">
        <v>177</v>
      </c>
      <c r="D2479" s="39" t="n">
        <v>1</v>
      </c>
      <c r="E2479" s="41" t="n">
        <v>41.52</v>
      </c>
      <c r="F2479" s="39" t="s">
        <v>115</v>
      </c>
      <c r="G2479" s="39" t="str">
        <f aca="false">VLOOKUP(C2479,Products!$A$5:$D$24,2,FALSE())</f>
        <v>Backpack</v>
      </c>
      <c r="H2479" s="39" t="str">
        <f aca="false">VLOOKUP(C2479,Products!$A$5:$D$24,3,FALSE())</f>
        <v>Accessories</v>
      </c>
      <c r="I2479" s="41" t="n">
        <f aca="false">VLOOKUP(C2479,Products!$A$5:$D$24,4,FALSE())</f>
        <v>17</v>
      </c>
      <c r="J2479" s="42" t="n">
        <f aca="false">DATE(YEAR(B2479),MONTH(B2479),1)</f>
        <v>45962</v>
      </c>
      <c r="K2479" s="41" t="n">
        <f aca="false">D2479*E2479</f>
        <v>41.52</v>
      </c>
      <c r="L2479" s="41" t="n">
        <f aca="false">D2479*I2479</f>
        <v>17</v>
      </c>
      <c r="M2479" s="41" t="n">
        <f aca="false">IFERROR(INDEX(Raw_Expenses!$C$5:$C$2979,MATCH(A2479,Raw_Expenses!$A$5:$A$2979,0)),0)</f>
        <v>3.16</v>
      </c>
      <c r="N2479" s="41" t="n">
        <f aca="false">L2479+M2479</f>
        <v>20.16</v>
      </c>
      <c r="O2479" s="41" t="n">
        <f aca="false">K2479-N2479</f>
        <v>21.36</v>
      </c>
      <c r="P2479" s="43" t="n">
        <f aca="false">IF(K2479=0,0,O2479/K2479)</f>
        <v>0.514450867052023</v>
      </c>
    </row>
    <row r="2480" customFormat="false" ht="15" hidden="false" customHeight="false" outlineLevel="0" collapsed="false">
      <c r="A2480" s="39" t="s">
        <v>2602</v>
      </c>
      <c r="B2480" s="40" t="n">
        <v>45979</v>
      </c>
      <c r="C2480" s="39" t="s">
        <v>162</v>
      </c>
      <c r="D2480" s="39" t="n">
        <v>1</v>
      </c>
      <c r="E2480" s="41" t="n">
        <v>66.1</v>
      </c>
      <c r="F2480" s="39" t="s">
        <v>108</v>
      </c>
      <c r="G2480" s="39" t="str">
        <f aca="false">VLOOKUP(C2480,Products!$A$5:$D$24,2,FALSE())</f>
        <v>Bluetooth Speaker</v>
      </c>
      <c r="H2480" s="39" t="str">
        <f aca="false">VLOOKUP(C2480,Products!$A$5:$D$24,3,FALSE())</f>
        <v>Electronics</v>
      </c>
      <c r="I2480" s="41" t="n">
        <f aca="false">VLOOKUP(C2480,Products!$A$5:$D$24,4,FALSE())</f>
        <v>28</v>
      </c>
      <c r="J2480" s="42" t="n">
        <f aca="false">DATE(YEAR(B2480),MONTH(B2480),1)</f>
        <v>45962</v>
      </c>
      <c r="K2480" s="41" t="n">
        <f aca="false">D2480*E2480</f>
        <v>66.1</v>
      </c>
      <c r="L2480" s="41" t="n">
        <f aca="false">D2480*I2480</f>
        <v>28</v>
      </c>
      <c r="M2480" s="41" t="n">
        <f aca="false">IFERROR(INDEX(Raw_Expenses!$C$5:$C$2979,MATCH(A2480,Raw_Expenses!$A$5:$A$2979,0)),0)</f>
        <v>2.78</v>
      </c>
      <c r="N2480" s="41" t="n">
        <f aca="false">L2480+M2480</f>
        <v>30.78</v>
      </c>
      <c r="O2480" s="41" t="n">
        <f aca="false">K2480-N2480</f>
        <v>35.32</v>
      </c>
      <c r="P2480" s="43" t="n">
        <f aca="false">IF(K2480=0,0,O2480/K2480)</f>
        <v>0.534341906202723</v>
      </c>
    </row>
    <row r="2481" customFormat="false" ht="15" hidden="false" customHeight="false" outlineLevel="0" collapsed="false">
      <c r="A2481" s="39" t="s">
        <v>2603</v>
      </c>
      <c r="B2481" s="40" t="n">
        <v>45979</v>
      </c>
      <c r="C2481" s="39" t="s">
        <v>177</v>
      </c>
      <c r="D2481" s="39" t="n">
        <v>1</v>
      </c>
      <c r="E2481" s="41" t="n">
        <v>44.58</v>
      </c>
      <c r="F2481" s="39" t="s">
        <v>115</v>
      </c>
      <c r="G2481" s="39" t="str">
        <f aca="false">VLOOKUP(C2481,Products!$A$5:$D$24,2,FALSE())</f>
        <v>Backpack</v>
      </c>
      <c r="H2481" s="39" t="str">
        <f aca="false">VLOOKUP(C2481,Products!$A$5:$D$24,3,FALSE())</f>
        <v>Accessories</v>
      </c>
      <c r="I2481" s="41" t="n">
        <f aca="false">VLOOKUP(C2481,Products!$A$5:$D$24,4,FALSE())</f>
        <v>17</v>
      </c>
      <c r="J2481" s="42" t="n">
        <f aca="false">DATE(YEAR(B2481),MONTH(B2481),1)</f>
        <v>45962</v>
      </c>
      <c r="K2481" s="41" t="n">
        <f aca="false">D2481*E2481</f>
        <v>44.58</v>
      </c>
      <c r="L2481" s="41" t="n">
        <f aca="false">D2481*I2481</f>
        <v>17</v>
      </c>
      <c r="M2481" s="41" t="n">
        <f aca="false">IFERROR(INDEX(Raw_Expenses!$C$5:$C$2979,MATCH(A2481,Raw_Expenses!$A$5:$A$2979,0)),0)</f>
        <v>2.65</v>
      </c>
      <c r="N2481" s="41" t="n">
        <f aca="false">L2481+M2481</f>
        <v>19.65</v>
      </c>
      <c r="O2481" s="41" t="n">
        <f aca="false">K2481-N2481</f>
        <v>24.93</v>
      </c>
      <c r="P2481" s="43" t="n">
        <f aca="false">IF(K2481=0,0,O2481/K2481)</f>
        <v>0.559219380888291</v>
      </c>
    </row>
    <row r="2482" customFormat="false" ht="15" hidden="false" customHeight="false" outlineLevel="0" collapsed="false">
      <c r="A2482" s="39" t="s">
        <v>2604</v>
      </c>
      <c r="B2482" s="40" t="n">
        <v>45979</v>
      </c>
      <c r="C2482" s="39" t="s">
        <v>114</v>
      </c>
      <c r="D2482" s="39" t="n">
        <v>2</v>
      </c>
      <c r="E2482" s="41" t="n">
        <v>5.58</v>
      </c>
      <c r="F2482" s="39" t="s">
        <v>115</v>
      </c>
      <c r="G2482" s="39" t="str">
        <f aca="false">VLOOKUP(C2482,Products!$A$5:$D$24,2,FALSE())</f>
        <v>Gel Pen Pack</v>
      </c>
      <c r="H2482" s="39" t="str">
        <f aca="false">VLOOKUP(C2482,Products!$A$5:$D$24,3,FALSE())</f>
        <v>Stationery</v>
      </c>
      <c r="I2482" s="41" t="n">
        <f aca="false">VLOOKUP(C2482,Products!$A$5:$D$24,4,FALSE())</f>
        <v>2</v>
      </c>
      <c r="J2482" s="42" t="n">
        <f aca="false">DATE(YEAR(B2482),MONTH(B2482),1)</f>
        <v>45962</v>
      </c>
      <c r="K2482" s="41" t="n">
        <f aca="false">D2482*E2482</f>
        <v>11.16</v>
      </c>
      <c r="L2482" s="41" t="n">
        <f aca="false">D2482*I2482</f>
        <v>4</v>
      </c>
      <c r="M2482" s="41" t="n">
        <f aca="false">IFERROR(INDEX(Raw_Expenses!$C$5:$C$2979,MATCH(A2482,Raw_Expenses!$A$5:$A$2979,0)),0)</f>
        <v>0.86</v>
      </c>
      <c r="N2482" s="41" t="n">
        <f aca="false">L2482+M2482</f>
        <v>4.86</v>
      </c>
      <c r="O2482" s="41" t="n">
        <f aca="false">K2482-N2482</f>
        <v>6.3</v>
      </c>
      <c r="P2482" s="43" t="n">
        <f aca="false">IF(K2482=0,0,O2482/K2482)</f>
        <v>0.564516129032258</v>
      </c>
    </row>
    <row r="2483" customFormat="false" ht="15" hidden="false" customHeight="false" outlineLevel="0" collapsed="false">
      <c r="A2483" s="39" t="s">
        <v>2605</v>
      </c>
      <c r="B2483" s="40" t="n">
        <v>45979</v>
      </c>
      <c r="C2483" s="39" t="s">
        <v>112</v>
      </c>
      <c r="D2483" s="39" t="n">
        <v>2</v>
      </c>
      <c r="E2483" s="41" t="n">
        <v>54.02</v>
      </c>
      <c r="F2483" s="39" t="s">
        <v>105</v>
      </c>
      <c r="G2483" s="39" t="str">
        <f aca="false">VLOOKUP(C2483,Products!$A$5:$D$24,2,FALSE())</f>
        <v>HD Webcam</v>
      </c>
      <c r="H2483" s="39" t="str">
        <f aca="false">VLOOKUP(C2483,Products!$A$5:$D$24,3,FALSE())</f>
        <v>Electronics</v>
      </c>
      <c r="I2483" s="41" t="n">
        <f aca="false">VLOOKUP(C2483,Products!$A$5:$D$24,4,FALSE())</f>
        <v>22</v>
      </c>
      <c r="J2483" s="42" t="n">
        <f aca="false">DATE(YEAR(B2483),MONTH(B2483),1)</f>
        <v>45962</v>
      </c>
      <c r="K2483" s="41" t="n">
        <f aca="false">D2483*E2483</f>
        <v>108.04</v>
      </c>
      <c r="L2483" s="41" t="n">
        <f aca="false">D2483*I2483</f>
        <v>44</v>
      </c>
      <c r="M2483" s="41" t="n">
        <f aca="false">IFERROR(INDEX(Raw_Expenses!$C$5:$C$2979,MATCH(A2483,Raw_Expenses!$A$5:$A$2979,0)),0)</f>
        <v>6.52</v>
      </c>
      <c r="N2483" s="41" t="n">
        <f aca="false">L2483+M2483</f>
        <v>50.52</v>
      </c>
      <c r="O2483" s="41" t="n">
        <f aca="false">K2483-N2483</f>
        <v>57.52</v>
      </c>
      <c r="P2483" s="43" t="n">
        <f aca="false">IF(K2483=0,0,O2483/K2483)</f>
        <v>0.532395409107738</v>
      </c>
    </row>
    <row r="2484" customFormat="false" ht="15" hidden="false" customHeight="false" outlineLevel="0" collapsed="false">
      <c r="A2484" s="39" t="s">
        <v>2606</v>
      </c>
      <c r="B2484" s="40" t="n">
        <v>45979</v>
      </c>
      <c r="C2484" s="39" t="s">
        <v>126</v>
      </c>
      <c r="D2484" s="39" t="n">
        <v>8</v>
      </c>
      <c r="E2484" s="41" t="n">
        <v>23.36</v>
      </c>
      <c r="F2484" s="39" t="s">
        <v>105</v>
      </c>
      <c r="G2484" s="39" t="str">
        <f aca="false">VLOOKUP(C2484,Products!$A$5:$D$24,2,FALSE())</f>
        <v>Wireless Mouse</v>
      </c>
      <c r="H2484" s="39" t="str">
        <f aca="false">VLOOKUP(C2484,Products!$A$5:$D$24,3,FALSE())</f>
        <v>Electronics</v>
      </c>
      <c r="I2484" s="41" t="n">
        <f aca="false">VLOOKUP(C2484,Products!$A$5:$D$24,4,FALSE())</f>
        <v>12</v>
      </c>
      <c r="J2484" s="42" t="n">
        <f aca="false">DATE(YEAR(B2484),MONTH(B2484),1)</f>
        <v>45962</v>
      </c>
      <c r="K2484" s="41" t="n">
        <f aca="false">D2484*E2484</f>
        <v>186.88</v>
      </c>
      <c r="L2484" s="41" t="n">
        <f aca="false">D2484*I2484</f>
        <v>96</v>
      </c>
      <c r="M2484" s="41" t="n">
        <f aca="false">IFERROR(INDEX(Raw_Expenses!$C$5:$C$2979,MATCH(A2484,Raw_Expenses!$A$5:$A$2979,0)),0)</f>
        <v>14.63</v>
      </c>
      <c r="N2484" s="41" t="n">
        <f aca="false">L2484+M2484</f>
        <v>110.63</v>
      </c>
      <c r="O2484" s="41" t="n">
        <f aca="false">K2484-N2484</f>
        <v>76.25</v>
      </c>
      <c r="P2484" s="43" t="n">
        <f aca="false">IF(K2484=0,0,O2484/K2484)</f>
        <v>0.408015839041096</v>
      </c>
    </row>
    <row r="2485" customFormat="false" ht="15" hidden="false" customHeight="false" outlineLevel="0" collapsed="false">
      <c r="A2485" s="39" t="s">
        <v>2607</v>
      </c>
      <c r="B2485" s="40" t="n">
        <v>45979</v>
      </c>
      <c r="C2485" s="39" t="s">
        <v>130</v>
      </c>
      <c r="D2485" s="39" t="n">
        <v>2</v>
      </c>
      <c r="E2485" s="41" t="n">
        <v>8.29</v>
      </c>
      <c r="F2485" s="39" t="s">
        <v>108</v>
      </c>
      <c r="G2485" s="39" t="str">
        <f aca="false">VLOOKUP(C2485,Products!$A$5:$D$24,2,FALSE())</f>
        <v>Notebook Set</v>
      </c>
      <c r="H2485" s="39" t="str">
        <f aca="false">VLOOKUP(C2485,Products!$A$5:$D$24,3,FALSE())</f>
        <v>Stationery</v>
      </c>
      <c r="I2485" s="41" t="n">
        <f aca="false">VLOOKUP(C2485,Products!$A$5:$D$24,4,FALSE())</f>
        <v>3</v>
      </c>
      <c r="J2485" s="42" t="n">
        <f aca="false">DATE(YEAR(B2485),MONTH(B2485),1)</f>
        <v>45962</v>
      </c>
      <c r="K2485" s="41" t="n">
        <f aca="false">D2485*E2485</f>
        <v>16.58</v>
      </c>
      <c r="L2485" s="41" t="n">
        <f aca="false">D2485*I2485</f>
        <v>6</v>
      </c>
      <c r="M2485" s="41" t="n">
        <f aca="false">IFERROR(INDEX(Raw_Expenses!$C$5:$C$2979,MATCH(A2485,Raw_Expenses!$A$5:$A$2979,0)),0)</f>
        <v>1.13</v>
      </c>
      <c r="N2485" s="41" t="n">
        <f aca="false">L2485+M2485</f>
        <v>7.13</v>
      </c>
      <c r="O2485" s="41" t="n">
        <f aca="false">K2485-N2485</f>
        <v>9.45</v>
      </c>
      <c r="P2485" s="43" t="n">
        <f aca="false">IF(K2485=0,0,O2485/K2485)</f>
        <v>0.569963811821472</v>
      </c>
    </row>
    <row r="2486" customFormat="false" ht="15" hidden="false" customHeight="false" outlineLevel="0" collapsed="false">
      <c r="A2486" s="39" t="s">
        <v>2608</v>
      </c>
      <c r="B2486" s="40" t="n">
        <v>45979</v>
      </c>
      <c r="C2486" s="39" t="s">
        <v>128</v>
      </c>
      <c r="D2486" s="39" t="n">
        <v>1</v>
      </c>
      <c r="E2486" s="41" t="n">
        <v>36.79</v>
      </c>
      <c r="F2486" s="39" t="s">
        <v>105</v>
      </c>
      <c r="G2486" s="39" t="str">
        <f aca="false">VLOOKUP(C2486,Products!$A$5:$D$24,2,FALSE())</f>
        <v>Ergonomic Footrest</v>
      </c>
      <c r="H2486" s="39" t="str">
        <f aca="false">VLOOKUP(C2486,Products!$A$5:$D$24,3,FALSE())</f>
        <v>Furniture</v>
      </c>
      <c r="I2486" s="41" t="n">
        <f aca="false">VLOOKUP(C2486,Products!$A$5:$D$24,4,FALSE())</f>
        <v>15</v>
      </c>
      <c r="J2486" s="42" t="n">
        <f aca="false">DATE(YEAR(B2486),MONTH(B2486),1)</f>
        <v>45962</v>
      </c>
      <c r="K2486" s="41" t="n">
        <f aca="false">D2486*E2486</f>
        <v>36.79</v>
      </c>
      <c r="L2486" s="41" t="n">
        <f aca="false">D2486*I2486</f>
        <v>15</v>
      </c>
      <c r="M2486" s="41" t="n">
        <f aca="false">IFERROR(INDEX(Raw_Expenses!$C$5:$C$2979,MATCH(A2486,Raw_Expenses!$A$5:$A$2979,0)),0)</f>
        <v>3.09</v>
      </c>
      <c r="N2486" s="41" t="n">
        <f aca="false">L2486+M2486</f>
        <v>18.09</v>
      </c>
      <c r="O2486" s="41" t="n">
        <f aca="false">K2486-N2486</f>
        <v>18.7</v>
      </c>
      <c r="P2486" s="43" t="n">
        <f aca="false">IF(K2486=0,0,O2486/K2486)</f>
        <v>0.508290296276162</v>
      </c>
    </row>
    <row r="2487" customFormat="false" ht="15" hidden="false" customHeight="false" outlineLevel="0" collapsed="false">
      <c r="A2487" s="39" t="s">
        <v>2609</v>
      </c>
      <c r="B2487" s="40" t="n">
        <v>45979</v>
      </c>
      <c r="C2487" s="39" t="s">
        <v>133</v>
      </c>
      <c r="D2487" s="39" t="n">
        <v>1</v>
      </c>
      <c r="E2487" s="41" t="n">
        <v>8.47</v>
      </c>
      <c r="F2487" s="39" t="s">
        <v>115</v>
      </c>
      <c r="G2487" s="39" t="str">
        <f aca="false">VLOOKUP(C2487,Products!$A$5:$D$24,2,FALSE())</f>
        <v>Printer Paper Ream</v>
      </c>
      <c r="H2487" s="39" t="str">
        <f aca="false">VLOOKUP(C2487,Products!$A$5:$D$24,3,FALSE())</f>
        <v>Stationery</v>
      </c>
      <c r="I2487" s="41" t="n">
        <f aca="false">VLOOKUP(C2487,Products!$A$5:$D$24,4,FALSE())</f>
        <v>4</v>
      </c>
      <c r="J2487" s="42" t="n">
        <f aca="false">DATE(YEAR(B2487),MONTH(B2487),1)</f>
        <v>45962</v>
      </c>
      <c r="K2487" s="41" t="n">
        <f aca="false">D2487*E2487</f>
        <v>8.47</v>
      </c>
      <c r="L2487" s="41" t="n">
        <f aca="false">D2487*I2487</f>
        <v>4</v>
      </c>
      <c r="M2487" s="41" t="n">
        <f aca="false">IFERROR(INDEX(Raw_Expenses!$C$5:$C$2979,MATCH(A2487,Raw_Expenses!$A$5:$A$2979,0)),0)</f>
        <v>0.54</v>
      </c>
      <c r="N2487" s="41" t="n">
        <f aca="false">L2487+M2487</f>
        <v>4.54</v>
      </c>
      <c r="O2487" s="41" t="n">
        <f aca="false">K2487-N2487</f>
        <v>3.93</v>
      </c>
      <c r="P2487" s="43" t="n">
        <f aca="false">IF(K2487=0,0,O2487/K2487)</f>
        <v>0.463990554899646</v>
      </c>
    </row>
    <row r="2488" customFormat="false" ht="15" hidden="false" customHeight="false" outlineLevel="0" collapsed="false">
      <c r="A2488" s="39" t="s">
        <v>2610</v>
      </c>
      <c r="B2488" s="40" t="n">
        <v>45979</v>
      </c>
      <c r="C2488" s="39" t="s">
        <v>117</v>
      </c>
      <c r="D2488" s="39" t="n">
        <v>8</v>
      </c>
      <c r="E2488" s="41" t="n">
        <v>30.85</v>
      </c>
      <c r="F2488" s="39" t="s">
        <v>115</v>
      </c>
      <c r="G2488" s="39" t="str">
        <f aca="false">VLOOKUP(C2488,Products!$A$5:$D$24,2,FALSE())</f>
        <v>Desk Lamp</v>
      </c>
      <c r="H2488" s="39" t="str">
        <f aca="false">VLOOKUP(C2488,Products!$A$5:$D$24,3,FALSE())</f>
        <v>Furniture</v>
      </c>
      <c r="I2488" s="41" t="n">
        <f aca="false">VLOOKUP(C2488,Products!$A$5:$D$24,4,FALSE())</f>
        <v>13</v>
      </c>
      <c r="J2488" s="42" t="n">
        <f aca="false">DATE(YEAR(B2488),MONTH(B2488),1)</f>
        <v>45962</v>
      </c>
      <c r="K2488" s="41" t="n">
        <f aca="false">D2488*E2488</f>
        <v>246.8</v>
      </c>
      <c r="L2488" s="41" t="n">
        <f aca="false">D2488*I2488</f>
        <v>104</v>
      </c>
      <c r="M2488" s="41" t="n">
        <f aca="false">IFERROR(INDEX(Raw_Expenses!$C$5:$C$2979,MATCH(A2488,Raw_Expenses!$A$5:$A$2979,0)),0)</f>
        <v>18.61</v>
      </c>
      <c r="N2488" s="41" t="n">
        <f aca="false">L2488+M2488</f>
        <v>122.61</v>
      </c>
      <c r="O2488" s="41" t="n">
        <f aca="false">K2488-N2488</f>
        <v>124.19</v>
      </c>
      <c r="P2488" s="43" t="n">
        <f aca="false">IF(K2488=0,0,O2488/K2488)</f>
        <v>0.503200972447326</v>
      </c>
    </row>
    <row r="2489" customFormat="false" ht="15" hidden="false" customHeight="false" outlineLevel="0" collapsed="false">
      <c r="A2489" s="39" t="s">
        <v>2611</v>
      </c>
      <c r="B2489" s="40" t="n">
        <v>45979</v>
      </c>
      <c r="C2489" s="39" t="s">
        <v>183</v>
      </c>
      <c r="D2489" s="39" t="n">
        <v>1</v>
      </c>
      <c r="E2489" s="41" t="n">
        <v>181.96</v>
      </c>
      <c r="F2489" s="39" t="s">
        <v>108</v>
      </c>
      <c r="G2489" s="39" t="str">
        <f aca="false">VLOOKUP(C2489,Products!$A$5:$D$24,2,FALSE())</f>
        <v>Office Chair</v>
      </c>
      <c r="H2489" s="39" t="str">
        <f aca="false">VLOOKUP(C2489,Products!$A$5:$D$24,3,FALSE())</f>
        <v>Furniture</v>
      </c>
      <c r="I2489" s="41" t="n">
        <f aca="false">VLOOKUP(C2489,Products!$A$5:$D$24,4,FALSE())</f>
        <v>85</v>
      </c>
      <c r="J2489" s="42" t="n">
        <f aca="false">DATE(YEAR(B2489),MONTH(B2489),1)</f>
        <v>45962</v>
      </c>
      <c r="K2489" s="41" t="n">
        <f aca="false">D2489*E2489</f>
        <v>181.96</v>
      </c>
      <c r="L2489" s="41" t="n">
        <f aca="false">D2489*I2489</f>
        <v>85</v>
      </c>
      <c r="M2489" s="41" t="n">
        <f aca="false">IFERROR(INDEX(Raw_Expenses!$C$5:$C$2979,MATCH(A2489,Raw_Expenses!$A$5:$A$2979,0)),0)</f>
        <v>13.17</v>
      </c>
      <c r="N2489" s="41" t="n">
        <f aca="false">L2489+M2489</f>
        <v>98.17</v>
      </c>
      <c r="O2489" s="41" t="n">
        <f aca="false">K2489-N2489</f>
        <v>83.79</v>
      </c>
      <c r="P2489" s="43" t="n">
        <f aca="false">IF(K2489=0,0,O2489/K2489)</f>
        <v>0.460485821059574</v>
      </c>
    </row>
    <row r="2490" customFormat="false" ht="15" hidden="false" customHeight="false" outlineLevel="0" collapsed="false">
      <c r="A2490" s="39" t="s">
        <v>2612</v>
      </c>
      <c r="B2490" s="40" t="n">
        <v>45980</v>
      </c>
      <c r="C2490" s="39" t="s">
        <v>153</v>
      </c>
      <c r="D2490" s="39" t="n">
        <v>1</v>
      </c>
      <c r="E2490" s="41" t="n">
        <v>164.72</v>
      </c>
      <c r="F2490" s="39" t="s">
        <v>108</v>
      </c>
      <c r="G2490" s="39" t="str">
        <f aca="false">VLOOKUP(C2490,Products!$A$5:$D$24,2,FALSE())</f>
        <v>24-inch Monitor</v>
      </c>
      <c r="H2490" s="39" t="str">
        <f aca="false">VLOOKUP(C2490,Products!$A$5:$D$24,3,FALSE())</f>
        <v>Electronics</v>
      </c>
      <c r="I2490" s="41" t="n">
        <f aca="false">VLOOKUP(C2490,Products!$A$5:$D$24,4,FALSE())</f>
        <v>90</v>
      </c>
      <c r="J2490" s="42" t="n">
        <f aca="false">DATE(YEAR(B2490),MONTH(B2490),1)</f>
        <v>45962</v>
      </c>
      <c r="K2490" s="41" t="n">
        <f aca="false">D2490*E2490</f>
        <v>164.72</v>
      </c>
      <c r="L2490" s="41" t="n">
        <f aca="false">D2490*I2490</f>
        <v>90</v>
      </c>
      <c r="M2490" s="41" t="n">
        <f aca="false">IFERROR(INDEX(Raw_Expenses!$C$5:$C$2979,MATCH(A2490,Raw_Expenses!$A$5:$A$2979,0)),0)</f>
        <v>10.59</v>
      </c>
      <c r="N2490" s="41" t="n">
        <f aca="false">L2490+M2490</f>
        <v>100.59</v>
      </c>
      <c r="O2490" s="41" t="n">
        <f aca="false">K2490-N2490</f>
        <v>64.13</v>
      </c>
      <c r="P2490" s="43" t="n">
        <f aca="false">IF(K2490=0,0,O2490/K2490)</f>
        <v>0.389327343370568</v>
      </c>
    </row>
    <row r="2491" customFormat="false" ht="15" hidden="false" customHeight="false" outlineLevel="0" collapsed="false">
      <c r="A2491" s="39" t="s">
        <v>2613</v>
      </c>
      <c r="B2491" s="40" t="n">
        <v>45980</v>
      </c>
      <c r="C2491" s="39" t="s">
        <v>126</v>
      </c>
      <c r="D2491" s="39" t="n">
        <v>2</v>
      </c>
      <c r="E2491" s="41" t="n">
        <v>24.2</v>
      </c>
      <c r="F2491" s="39" t="s">
        <v>105</v>
      </c>
      <c r="G2491" s="39" t="str">
        <f aca="false">VLOOKUP(C2491,Products!$A$5:$D$24,2,FALSE())</f>
        <v>Wireless Mouse</v>
      </c>
      <c r="H2491" s="39" t="str">
        <f aca="false">VLOOKUP(C2491,Products!$A$5:$D$24,3,FALSE())</f>
        <v>Electronics</v>
      </c>
      <c r="I2491" s="41" t="n">
        <f aca="false">VLOOKUP(C2491,Products!$A$5:$D$24,4,FALSE())</f>
        <v>12</v>
      </c>
      <c r="J2491" s="42" t="n">
        <f aca="false">DATE(YEAR(B2491),MONTH(B2491),1)</f>
        <v>45962</v>
      </c>
      <c r="K2491" s="41" t="n">
        <f aca="false">D2491*E2491</f>
        <v>48.4</v>
      </c>
      <c r="L2491" s="41" t="n">
        <f aca="false">D2491*I2491</f>
        <v>24</v>
      </c>
      <c r="M2491" s="41" t="n">
        <f aca="false">IFERROR(INDEX(Raw_Expenses!$C$5:$C$2979,MATCH(A2491,Raw_Expenses!$A$5:$A$2979,0)),0)</f>
        <v>3.01</v>
      </c>
      <c r="N2491" s="41" t="n">
        <f aca="false">L2491+M2491</f>
        <v>27.01</v>
      </c>
      <c r="O2491" s="41" t="n">
        <f aca="false">K2491-N2491</f>
        <v>21.39</v>
      </c>
      <c r="P2491" s="43" t="n">
        <f aca="false">IF(K2491=0,0,O2491/K2491)</f>
        <v>0.441942148760331</v>
      </c>
    </row>
    <row r="2492" customFormat="false" ht="15" hidden="false" customHeight="false" outlineLevel="0" collapsed="false">
      <c r="A2492" s="39" t="s">
        <v>2614</v>
      </c>
      <c r="B2492" s="40" t="n">
        <v>45980</v>
      </c>
      <c r="C2492" s="39" t="s">
        <v>104</v>
      </c>
      <c r="D2492" s="39" t="n">
        <v>2</v>
      </c>
      <c r="E2492" s="41" t="n">
        <v>14.72</v>
      </c>
      <c r="F2492" s="39" t="s">
        <v>118</v>
      </c>
      <c r="G2492" s="39" t="str">
        <f aca="false">VLOOKUP(C2492,Products!$A$5:$D$24,2,FALSE())</f>
        <v>Water Bottle</v>
      </c>
      <c r="H2492" s="39" t="str">
        <f aca="false">VLOOKUP(C2492,Products!$A$5:$D$24,3,FALSE())</f>
        <v>Accessories</v>
      </c>
      <c r="I2492" s="41" t="n">
        <f aca="false">VLOOKUP(C2492,Products!$A$5:$D$24,4,FALSE())</f>
        <v>5</v>
      </c>
      <c r="J2492" s="42" t="n">
        <f aca="false">DATE(YEAR(B2492),MONTH(B2492),1)</f>
        <v>45962</v>
      </c>
      <c r="K2492" s="41" t="n">
        <f aca="false">D2492*E2492</f>
        <v>29.44</v>
      </c>
      <c r="L2492" s="41" t="n">
        <f aca="false">D2492*I2492</f>
        <v>10</v>
      </c>
      <c r="M2492" s="41" t="n">
        <f aca="false">IFERROR(INDEX(Raw_Expenses!$C$5:$C$2979,MATCH(A2492,Raw_Expenses!$A$5:$A$2979,0)),0)</f>
        <v>2.63</v>
      </c>
      <c r="N2492" s="41" t="n">
        <f aca="false">L2492+M2492</f>
        <v>12.63</v>
      </c>
      <c r="O2492" s="41" t="n">
        <f aca="false">K2492-N2492</f>
        <v>16.81</v>
      </c>
      <c r="P2492" s="43" t="n">
        <f aca="false">IF(K2492=0,0,O2492/K2492)</f>
        <v>0.570991847826087</v>
      </c>
    </row>
    <row r="2493" customFormat="false" ht="15" hidden="false" customHeight="false" outlineLevel="0" collapsed="false">
      <c r="A2493" s="39" t="s">
        <v>2615</v>
      </c>
      <c r="B2493" s="40" t="n">
        <v>45980</v>
      </c>
      <c r="C2493" s="39" t="s">
        <v>126</v>
      </c>
      <c r="D2493" s="39" t="n">
        <v>3</v>
      </c>
      <c r="E2493" s="41" t="n">
        <v>23.47</v>
      </c>
      <c r="F2493" s="39" t="s">
        <v>105</v>
      </c>
      <c r="G2493" s="39" t="str">
        <f aca="false">VLOOKUP(C2493,Products!$A$5:$D$24,2,FALSE())</f>
        <v>Wireless Mouse</v>
      </c>
      <c r="H2493" s="39" t="str">
        <f aca="false">VLOOKUP(C2493,Products!$A$5:$D$24,3,FALSE())</f>
        <v>Electronics</v>
      </c>
      <c r="I2493" s="41" t="n">
        <f aca="false">VLOOKUP(C2493,Products!$A$5:$D$24,4,FALSE())</f>
        <v>12</v>
      </c>
      <c r="J2493" s="42" t="n">
        <f aca="false">DATE(YEAR(B2493),MONTH(B2493),1)</f>
        <v>45962</v>
      </c>
      <c r="K2493" s="41" t="n">
        <f aca="false">D2493*E2493</f>
        <v>70.41</v>
      </c>
      <c r="L2493" s="41" t="n">
        <f aca="false">D2493*I2493</f>
        <v>36</v>
      </c>
      <c r="M2493" s="41" t="n">
        <f aca="false">IFERROR(INDEX(Raw_Expenses!$C$5:$C$2979,MATCH(A2493,Raw_Expenses!$A$5:$A$2979,0)),0)</f>
        <v>5.26</v>
      </c>
      <c r="N2493" s="41" t="n">
        <f aca="false">L2493+M2493</f>
        <v>41.26</v>
      </c>
      <c r="O2493" s="41" t="n">
        <f aca="false">K2493-N2493</f>
        <v>29.15</v>
      </c>
      <c r="P2493" s="43" t="n">
        <f aca="false">IF(K2493=0,0,O2493/K2493)</f>
        <v>0.414003692657293</v>
      </c>
    </row>
    <row r="2494" customFormat="false" ht="15" hidden="false" customHeight="false" outlineLevel="0" collapsed="false">
      <c r="A2494" s="39" t="s">
        <v>2616</v>
      </c>
      <c r="B2494" s="40" t="n">
        <v>45980</v>
      </c>
      <c r="C2494" s="39" t="s">
        <v>104</v>
      </c>
      <c r="D2494" s="39" t="n">
        <v>2</v>
      </c>
      <c r="E2494" s="41" t="n">
        <v>15.61</v>
      </c>
      <c r="F2494" s="39" t="s">
        <v>105</v>
      </c>
      <c r="G2494" s="39" t="str">
        <f aca="false">VLOOKUP(C2494,Products!$A$5:$D$24,2,FALSE())</f>
        <v>Water Bottle</v>
      </c>
      <c r="H2494" s="39" t="str">
        <f aca="false">VLOOKUP(C2494,Products!$A$5:$D$24,3,FALSE())</f>
        <v>Accessories</v>
      </c>
      <c r="I2494" s="41" t="n">
        <f aca="false">VLOOKUP(C2494,Products!$A$5:$D$24,4,FALSE())</f>
        <v>5</v>
      </c>
      <c r="J2494" s="42" t="n">
        <f aca="false">DATE(YEAR(B2494),MONTH(B2494),1)</f>
        <v>45962</v>
      </c>
      <c r="K2494" s="41" t="n">
        <f aca="false">D2494*E2494</f>
        <v>31.22</v>
      </c>
      <c r="L2494" s="41" t="n">
        <f aca="false">D2494*I2494</f>
        <v>10</v>
      </c>
      <c r="M2494" s="41" t="n">
        <f aca="false">IFERROR(INDEX(Raw_Expenses!$C$5:$C$2979,MATCH(A2494,Raw_Expenses!$A$5:$A$2979,0)),0)</f>
        <v>1.34</v>
      </c>
      <c r="N2494" s="41" t="n">
        <f aca="false">L2494+M2494</f>
        <v>11.34</v>
      </c>
      <c r="O2494" s="41" t="n">
        <f aca="false">K2494-N2494</f>
        <v>19.88</v>
      </c>
      <c r="P2494" s="43" t="n">
        <f aca="false">IF(K2494=0,0,O2494/K2494)</f>
        <v>0.63677130044843</v>
      </c>
    </row>
    <row r="2495" customFormat="false" ht="15" hidden="false" customHeight="false" outlineLevel="0" collapsed="false">
      <c r="A2495" s="39" t="s">
        <v>2617</v>
      </c>
      <c r="B2495" s="40" t="n">
        <v>45980</v>
      </c>
      <c r="C2495" s="39" t="s">
        <v>133</v>
      </c>
      <c r="D2495" s="39" t="n">
        <v>4</v>
      </c>
      <c r="E2495" s="41" t="n">
        <v>8.8</v>
      </c>
      <c r="F2495" s="39" t="s">
        <v>105</v>
      </c>
      <c r="G2495" s="39" t="str">
        <f aca="false">VLOOKUP(C2495,Products!$A$5:$D$24,2,FALSE())</f>
        <v>Printer Paper Ream</v>
      </c>
      <c r="H2495" s="39" t="str">
        <f aca="false">VLOOKUP(C2495,Products!$A$5:$D$24,3,FALSE())</f>
        <v>Stationery</v>
      </c>
      <c r="I2495" s="41" t="n">
        <f aca="false">VLOOKUP(C2495,Products!$A$5:$D$24,4,FALSE())</f>
        <v>4</v>
      </c>
      <c r="J2495" s="42" t="n">
        <f aca="false">DATE(YEAR(B2495),MONTH(B2495),1)</f>
        <v>45962</v>
      </c>
      <c r="K2495" s="41" t="n">
        <f aca="false">D2495*E2495</f>
        <v>35.2</v>
      </c>
      <c r="L2495" s="41" t="n">
        <f aca="false">D2495*I2495</f>
        <v>16</v>
      </c>
      <c r="M2495" s="41" t="n">
        <f aca="false">IFERROR(INDEX(Raw_Expenses!$C$5:$C$2979,MATCH(A2495,Raw_Expenses!$A$5:$A$2979,0)),0)</f>
        <v>1.8</v>
      </c>
      <c r="N2495" s="41" t="n">
        <f aca="false">L2495+M2495</f>
        <v>17.8</v>
      </c>
      <c r="O2495" s="41" t="n">
        <f aca="false">K2495-N2495</f>
        <v>17.4</v>
      </c>
      <c r="P2495" s="43" t="n">
        <f aca="false">IF(K2495=0,0,O2495/K2495)</f>
        <v>0.494318181818182</v>
      </c>
    </row>
    <row r="2496" customFormat="false" ht="15" hidden="false" customHeight="false" outlineLevel="0" collapsed="false">
      <c r="A2496" s="39" t="s">
        <v>2618</v>
      </c>
      <c r="B2496" s="40" t="n">
        <v>45980</v>
      </c>
      <c r="C2496" s="39" t="s">
        <v>305</v>
      </c>
      <c r="D2496" s="39" t="n">
        <v>1</v>
      </c>
      <c r="E2496" s="41" t="n">
        <v>334.81</v>
      </c>
      <c r="F2496" s="39" t="s">
        <v>115</v>
      </c>
      <c r="G2496" s="39" t="str">
        <f aca="false">VLOOKUP(C2496,Products!$A$5:$D$24,2,FALSE())</f>
        <v>Standing Desk</v>
      </c>
      <c r="H2496" s="39" t="str">
        <f aca="false">VLOOKUP(C2496,Products!$A$5:$D$24,3,FALSE())</f>
        <v>Furniture</v>
      </c>
      <c r="I2496" s="41" t="n">
        <f aca="false">VLOOKUP(C2496,Products!$A$5:$D$24,4,FALSE())</f>
        <v>160</v>
      </c>
      <c r="J2496" s="42" t="n">
        <f aca="false">DATE(YEAR(B2496),MONTH(B2496),1)</f>
        <v>45962</v>
      </c>
      <c r="K2496" s="41" t="n">
        <f aca="false">D2496*E2496</f>
        <v>334.81</v>
      </c>
      <c r="L2496" s="41" t="n">
        <f aca="false">D2496*I2496</f>
        <v>160</v>
      </c>
      <c r="M2496" s="41" t="n">
        <f aca="false">IFERROR(INDEX(Raw_Expenses!$C$5:$C$2979,MATCH(A2496,Raw_Expenses!$A$5:$A$2979,0)),0)</f>
        <v>27.64</v>
      </c>
      <c r="N2496" s="41" t="n">
        <f aca="false">L2496+M2496</f>
        <v>187.64</v>
      </c>
      <c r="O2496" s="41" t="n">
        <f aca="false">K2496-N2496</f>
        <v>147.17</v>
      </c>
      <c r="P2496" s="43" t="n">
        <f aca="false">IF(K2496=0,0,O2496/K2496)</f>
        <v>0.439562737074759</v>
      </c>
    </row>
    <row r="2497" customFormat="false" ht="15" hidden="false" customHeight="false" outlineLevel="0" collapsed="false">
      <c r="A2497" s="39" t="s">
        <v>2619</v>
      </c>
      <c r="B2497" s="40" t="n">
        <v>45980</v>
      </c>
      <c r="C2497" s="39" t="s">
        <v>114</v>
      </c>
      <c r="D2497" s="39" t="n">
        <v>1</v>
      </c>
      <c r="E2497" s="41" t="n">
        <v>5.95</v>
      </c>
      <c r="F2497" s="39" t="s">
        <v>115</v>
      </c>
      <c r="G2497" s="39" t="str">
        <f aca="false">VLOOKUP(C2497,Products!$A$5:$D$24,2,FALSE())</f>
        <v>Gel Pen Pack</v>
      </c>
      <c r="H2497" s="39" t="str">
        <f aca="false">VLOOKUP(C2497,Products!$A$5:$D$24,3,FALSE())</f>
        <v>Stationery</v>
      </c>
      <c r="I2497" s="41" t="n">
        <f aca="false">VLOOKUP(C2497,Products!$A$5:$D$24,4,FALSE())</f>
        <v>2</v>
      </c>
      <c r="J2497" s="42" t="n">
        <f aca="false">DATE(YEAR(B2497),MONTH(B2497),1)</f>
        <v>45962</v>
      </c>
      <c r="K2497" s="41" t="n">
        <f aca="false">D2497*E2497</f>
        <v>5.95</v>
      </c>
      <c r="L2497" s="41" t="n">
        <f aca="false">D2497*I2497</f>
        <v>2</v>
      </c>
      <c r="M2497" s="41" t="n">
        <f aca="false">IFERROR(INDEX(Raw_Expenses!$C$5:$C$2979,MATCH(A2497,Raw_Expenses!$A$5:$A$2979,0)),0)</f>
        <v>0.27</v>
      </c>
      <c r="N2497" s="41" t="n">
        <f aca="false">L2497+M2497</f>
        <v>2.27</v>
      </c>
      <c r="O2497" s="41" t="n">
        <f aca="false">K2497-N2497</f>
        <v>3.68</v>
      </c>
      <c r="P2497" s="43" t="n">
        <f aca="false">IF(K2497=0,0,O2497/K2497)</f>
        <v>0.618487394957983</v>
      </c>
    </row>
    <row r="2498" customFormat="false" ht="15" hidden="false" customHeight="false" outlineLevel="0" collapsed="false">
      <c r="A2498" s="39" t="s">
        <v>2620</v>
      </c>
      <c r="B2498" s="40" t="n">
        <v>45980</v>
      </c>
      <c r="C2498" s="39" t="s">
        <v>139</v>
      </c>
      <c r="D2498" s="39" t="n">
        <v>5</v>
      </c>
      <c r="E2498" s="41" t="n">
        <v>122.96</v>
      </c>
      <c r="F2498" s="39" t="s">
        <v>108</v>
      </c>
      <c r="G2498" s="39" t="str">
        <f aca="false">VLOOKUP(C2498,Products!$A$5:$D$24,2,FALSE())</f>
        <v>Noise-Cancelling Headphones</v>
      </c>
      <c r="H2498" s="39" t="str">
        <f aca="false">VLOOKUP(C2498,Products!$A$5:$D$24,3,FALSE())</f>
        <v>Electronics</v>
      </c>
      <c r="I2498" s="41" t="n">
        <f aca="false">VLOOKUP(C2498,Products!$A$5:$D$24,4,FALSE())</f>
        <v>55</v>
      </c>
      <c r="J2498" s="42" t="n">
        <f aca="false">DATE(YEAR(B2498),MONTH(B2498),1)</f>
        <v>45962</v>
      </c>
      <c r="K2498" s="41" t="n">
        <f aca="false">D2498*E2498</f>
        <v>614.8</v>
      </c>
      <c r="L2498" s="41" t="n">
        <f aca="false">D2498*I2498</f>
        <v>275</v>
      </c>
      <c r="M2498" s="41" t="n">
        <f aca="false">IFERROR(INDEX(Raw_Expenses!$C$5:$C$2979,MATCH(A2498,Raw_Expenses!$A$5:$A$2979,0)),0)</f>
        <v>48.03</v>
      </c>
      <c r="N2498" s="41" t="n">
        <f aca="false">L2498+M2498</f>
        <v>323.03</v>
      </c>
      <c r="O2498" s="41" t="n">
        <f aca="false">K2498-N2498</f>
        <v>291.77</v>
      </c>
      <c r="P2498" s="43" t="n">
        <f aca="false">IF(K2498=0,0,O2498/K2498)</f>
        <v>0.474577098243331</v>
      </c>
    </row>
    <row r="2499" customFormat="false" ht="15" hidden="false" customHeight="false" outlineLevel="0" collapsed="false">
      <c r="A2499" s="39" t="s">
        <v>2621</v>
      </c>
      <c r="B2499" s="40" t="n">
        <v>45980</v>
      </c>
      <c r="C2499" s="39" t="s">
        <v>177</v>
      </c>
      <c r="D2499" s="39" t="n">
        <v>3</v>
      </c>
      <c r="E2499" s="41" t="n">
        <v>41.77</v>
      </c>
      <c r="F2499" s="39" t="s">
        <v>105</v>
      </c>
      <c r="G2499" s="39" t="str">
        <f aca="false">VLOOKUP(C2499,Products!$A$5:$D$24,2,FALSE())</f>
        <v>Backpack</v>
      </c>
      <c r="H2499" s="39" t="str">
        <f aca="false">VLOOKUP(C2499,Products!$A$5:$D$24,3,FALSE())</f>
        <v>Accessories</v>
      </c>
      <c r="I2499" s="41" t="n">
        <f aca="false">VLOOKUP(C2499,Products!$A$5:$D$24,4,FALSE())</f>
        <v>17</v>
      </c>
      <c r="J2499" s="42" t="n">
        <f aca="false">DATE(YEAR(B2499),MONTH(B2499),1)</f>
        <v>45962</v>
      </c>
      <c r="K2499" s="41" t="n">
        <f aca="false">D2499*E2499</f>
        <v>125.31</v>
      </c>
      <c r="L2499" s="41" t="n">
        <f aca="false">D2499*I2499</f>
        <v>51</v>
      </c>
      <c r="M2499" s="41" t="n">
        <f aca="false">IFERROR(INDEX(Raw_Expenses!$C$5:$C$2979,MATCH(A2499,Raw_Expenses!$A$5:$A$2979,0)),0)</f>
        <v>10.12</v>
      </c>
      <c r="N2499" s="41" t="n">
        <f aca="false">L2499+M2499</f>
        <v>61.12</v>
      </c>
      <c r="O2499" s="41" t="n">
        <f aca="false">K2499-N2499</f>
        <v>64.19</v>
      </c>
      <c r="P2499" s="43" t="n">
        <f aca="false">IF(K2499=0,0,O2499/K2499)</f>
        <v>0.512249620940069</v>
      </c>
    </row>
    <row r="2500" customFormat="false" ht="15" hidden="false" customHeight="false" outlineLevel="0" collapsed="false">
      <c r="A2500" s="39" t="s">
        <v>2622</v>
      </c>
      <c r="B2500" s="40" t="n">
        <v>45980</v>
      </c>
      <c r="C2500" s="39" t="s">
        <v>107</v>
      </c>
      <c r="D2500" s="39" t="n">
        <v>1</v>
      </c>
      <c r="E2500" s="41" t="n">
        <v>34.58</v>
      </c>
      <c r="F2500" s="39" t="s">
        <v>118</v>
      </c>
      <c r="G2500" s="39" t="str">
        <f aca="false">VLOOKUP(C2500,Products!$A$5:$D$24,2,FALSE())</f>
        <v>USB-C Hub</v>
      </c>
      <c r="H2500" s="39" t="str">
        <f aca="false">VLOOKUP(C2500,Products!$A$5:$D$24,3,FALSE())</f>
        <v>Electronics</v>
      </c>
      <c r="I2500" s="41" t="n">
        <f aca="false">VLOOKUP(C2500,Products!$A$5:$D$24,4,FALSE())</f>
        <v>14</v>
      </c>
      <c r="J2500" s="42" t="n">
        <f aca="false">DATE(YEAR(B2500),MONTH(B2500),1)</f>
        <v>45962</v>
      </c>
      <c r="K2500" s="41" t="n">
        <f aca="false">D2500*E2500</f>
        <v>34.58</v>
      </c>
      <c r="L2500" s="41" t="n">
        <f aca="false">D2500*I2500</f>
        <v>14</v>
      </c>
      <c r="M2500" s="41" t="n">
        <f aca="false">IFERROR(INDEX(Raw_Expenses!$C$5:$C$2979,MATCH(A2500,Raw_Expenses!$A$5:$A$2979,0)),0)</f>
        <v>3.09</v>
      </c>
      <c r="N2500" s="41" t="n">
        <f aca="false">L2500+M2500</f>
        <v>17.09</v>
      </c>
      <c r="O2500" s="41" t="n">
        <f aca="false">K2500-N2500</f>
        <v>17.49</v>
      </c>
      <c r="P2500" s="43" t="n">
        <f aca="false">IF(K2500=0,0,O2500/K2500)</f>
        <v>0.505783689994216</v>
      </c>
    </row>
    <row r="2501" customFormat="false" ht="15" hidden="false" customHeight="false" outlineLevel="0" collapsed="false">
      <c r="A2501" s="39" t="s">
        <v>2623</v>
      </c>
      <c r="B2501" s="40" t="n">
        <v>45980</v>
      </c>
      <c r="C2501" s="39" t="s">
        <v>114</v>
      </c>
      <c r="D2501" s="39" t="n">
        <v>3</v>
      </c>
      <c r="E2501" s="41" t="n">
        <v>5.66</v>
      </c>
      <c r="F2501" s="39" t="s">
        <v>115</v>
      </c>
      <c r="G2501" s="39" t="str">
        <f aca="false">VLOOKUP(C2501,Products!$A$5:$D$24,2,FALSE())</f>
        <v>Gel Pen Pack</v>
      </c>
      <c r="H2501" s="39" t="str">
        <f aca="false">VLOOKUP(C2501,Products!$A$5:$D$24,3,FALSE())</f>
        <v>Stationery</v>
      </c>
      <c r="I2501" s="41" t="n">
        <f aca="false">VLOOKUP(C2501,Products!$A$5:$D$24,4,FALSE())</f>
        <v>2</v>
      </c>
      <c r="J2501" s="42" t="n">
        <f aca="false">DATE(YEAR(B2501),MONTH(B2501),1)</f>
        <v>45962</v>
      </c>
      <c r="K2501" s="41" t="n">
        <f aca="false">D2501*E2501</f>
        <v>16.98</v>
      </c>
      <c r="L2501" s="41" t="n">
        <f aca="false">D2501*I2501</f>
        <v>6</v>
      </c>
      <c r="M2501" s="41" t="n">
        <f aca="false">IFERROR(INDEX(Raw_Expenses!$C$5:$C$2979,MATCH(A2501,Raw_Expenses!$A$5:$A$2979,0)),0)</f>
        <v>1.2</v>
      </c>
      <c r="N2501" s="41" t="n">
        <f aca="false">L2501+M2501</f>
        <v>7.2</v>
      </c>
      <c r="O2501" s="41" t="n">
        <f aca="false">K2501-N2501</f>
        <v>9.78</v>
      </c>
      <c r="P2501" s="43" t="n">
        <f aca="false">IF(K2501=0,0,O2501/K2501)</f>
        <v>0.575971731448763</v>
      </c>
    </row>
    <row r="2502" customFormat="false" ht="15" hidden="false" customHeight="false" outlineLevel="0" collapsed="false">
      <c r="A2502" s="39" t="s">
        <v>2624</v>
      </c>
      <c r="B2502" s="40" t="n">
        <v>45980</v>
      </c>
      <c r="C2502" s="39" t="s">
        <v>139</v>
      </c>
      <c r="D2502" s="39" t="n">
        <v>3</v>
      </c>
      <c r="E2502" s="41" t="n">
        <v>123.96</v>
      </c>
      <c r="F2502" s="39" t="s">
        <v>118</v>
      </c>
      <c r="G2502" s="39" t="str">
        <f aca="false">VLOOKUP(C2502,Products!$A$5:$D$24,2,FALSE())</f>
        <v>Noise-Cancelling Headphones</v>
      </c>
      <c r="H2502" s="39" t="str">
        <f aca="false">VLOOKUP(C2502,Products!$A$5:$D$24,3,FALSE())</f>
        <v>Electronics</v>
      </c>
      <c r="I2502" s="41" t="n">
        <f aca="false">VLOOKUP(C2502,Products!$A$5:$D$24,4,FALSE())</f>
        <v>55</v>
      </c>
      <c r="J2502" s="42" t="n">
        <f aca="false">DATE(YEAR(B2502),MONTH(B2502),1)</f>
        <v>45962</v>
      </c>
      <c r="K2502" s="41" t="n">
        <f aca="false">D2502*E2502</f>
        <v>371.88</v>
      </c>
      <c r="L2502" s="41" t="n">
        <f aca="false">D2502*I2502</f>
        <v>165</v>
      </c>
      <c r="M2502" s="41" t="n">
        <f aca="false">IFERROR(INDEX(Raw_Expenses!$C$5:$C$2979,MATCH(A2502,Raw_Expenses!$A$5:$A$2979,0)),0)</f>
        <v>32.88</v>
      </c>
      <c r="N2502" s="41" t="n">
        <f aca="false">L2502+M2502</f>
        <v>197.88</v>
      </c>
      <c r="O2502" s="41" t="n">
        <f aca="false">K2502-N2502</f>
        <v>174</v>
      </c>
      <c r="P2502" s="43" t="n">
        <f aca="false">IF(K2502=0,0,O2502/K2502)</f>
        <v>0.467892868667312</v>
      </c>
    </row>
    <row r="2503" customFormat="false" ht="15" hidden="false" customHeight="false" outlineLevel="0" collapsed="false">
      <c r="A2503" s="39" t="s">
        <v>2625</v>
      </c>
      <c r="B2503" s="40" t="n">
        <v>45981</v>
      </c>
      <c r="C2503" s="39" t="s">
        <v>110</v>
      </c>
      <c r="D2503" s="39" t="n">
        <v>3</v>
      </c>
      <c r="E2503" s="41" t="n">
        <v>13.06</v>
      </c>
      <c r="F2503" s="39" t="s">
        <v>105</v>
      </c>
      <c r="G2503" s="39" t="str">
        <f aca="false">VLOOKUP(C2503,Products!$A$5:$D$24,2,FALSE())</f>
        <v>Phone Stand</v>
      </c>
      <c r="H2503" s="39" t="str">
        <f aca="false">VLOOKUP(C2503,Products!$A$5:$D$24,3,FALSE())</f>
        <v>Accessories</v>
      </c>
      <c r="I2503" s="41" t="n">
        <f aca="false">VLOOKUP(C2503,Products!$A$5:$D$24,4,FALSE())</f>
        <v>4</v>
      </c>
      <c r="J2503" s="42" t="n">
        <f aca="false">DATE(YEAR(B2503),MONTH(B2503),1)</f>
        <v>45962</v>
      </c>
      <c r="K2503" s="41" t="n">
        <f aca="false">D2503*E2503</f>
        <v>39.18</v>
      </c>
      <c r="L2503" s="41" t="n">
        <f aca="false">D2503*I2503</f>
        <v>12</v>
      </c>
      <c r="M2503" s="41" t="n">
        <f aca="false">IFERROR(INDEX(Raw_Expenses!$C$5:$C$2979,MATCH(A2503,Raw_Expenses!$A$5:$A$2979,0)),0)</f>
        <v>1.85</v>
      </c>
      <c r="N2503" s="41" t="n">
        <f aca="false">L2503+M2503</f>
        <v>13.85</v>
      </c>
      <c r="O2503" s="41" t="n">
        <f aca="false">K2503-N2503</f>
        <v>25.33</v>
      </c>
      <c r="P2503" s="43" t="n">
        <f aca="false">IF(K2503=0,0,O2503/K2503)</f>
        <v>0.646503318019398</v>
      </c>
    </row>
    <row r="2504" customFormat="false" ht="15" hidden="false" customHeight="false" outlineLevel="0" collapsed="false">
      <c r="A2504" s="39" t="s">
        <v>2626</v>
      </c>
      <c r="B2504" s="40" t="n">
        <v>45981</v>
      </c>
      <c r="C2504" s="39" t="s">
        <v>126</v>
      </c>
      <c r="D2504" s="39" t="n">
        <v>2</v>
      </c>
      <c r="E2504" s="41" t="n">
        <v>24.53</v>
      </c>
      <c r="F2504" s="39" t="s">
        <v>105</v>
      </c>
      <c r="G2504" s="39" t="str">
        <f aca="false">VLOOKUP(C2504,Products!$A$5:$D$24,2,FALSE())</f>
        <v>Wireless Mouse</v>
      </c>
      <c r="H2504" s="39" t="str">
        <f aca="false">VLOOKUP(C2504,Products!$A$5:$D$24,3,FALSE())</f>
        <v>Electronics</v>
      </c>
      <c r="I2504" s="41" t="n">
        <f aca="false">VLOOKUP(C2504,Products!$A$5:$D$24,4,FALSE())</f>
        <v>12</v>
      </c>
      <c r="J2504" s="42" t="n">
        <f aca="false">DATE(YEAR(B2504),MONTH(B2504),1)</f>
        <v>45962</v>
      </c>
      <c r="K2504" s="41" t="n">
        <f aca="false">D2504*E2504</f>
        <v>49.06</v>
      </c>
      <c r="L2504" s="41" t="n">
        <f aca="false">D2504*I2504</f>
        <v>24</v>
      </c>
      <c r="M2504" s="41" t="n">
        <f aca="false">IFERROR(INDEX(Raw_Expenses!$C$5:$C$2979,MATCH(A2504,Raw_Expenses!$A$5:$A$2979,0)),0)</f>
        <v>3.4</v>
      </c>
      <c r="N2504" s="41" t="n">
        <f aca="false">L2504+M2504</f>
        <v>27.4</v>
      </c>
      <c r="O2504" s="41" t="n">
        <f aca="false">K2504-N2504</f>
        <v>21.66</v>
      </c>
      <c r="P2504" s="43" t="n">
        <f aca="false">IF(K2504=0,0,O2504/K2504)</f>
        <v>0.441500203832042</v>
      </c>
    </row>
    <row r="2505" customFormat="false" ht="15" hidden="false" customHeight="false" outlineLevel="0" collapsed="false">
      <c r="A2505" s="39" t="s">
        <v>2627</v>
      </c>
      <c r="B2505" s="40" t="n">
        <v>45981</v>
      </c>
      <c r="C2505" s="39" t="s">
        <v>130</v>
      </c>
      <c r="D2505" s="39" t="n">
        <v>3</v>
      </c>
      <c r="E2505" s="41" t="n">
        <v>8.82</v>
      </c>
      <c r="F2505" s="39" t="s">
        <v>108</v>
      </c>
      <c r="G2505" s="39" t="str">
        <f aca="false">VLOOKUP(C2505,Products!$A$5:$D$24,2,FALSE())</f>
        <v>Notebook Set</v>
      </c>
      <c r="H2505" s="39" t="str">
        <f aca="false">VLOOKUP(C2505,Products!$A$5:$D$24,3,FALSE())</f>
        <v>Stationery</v>
      </c>
      <c r="I2505" s="41" t="n">
        <f aca="false">VLOOKUP(C2505,Products!$A$5:$D$24,4,FALSE())</f>
        <v>3</v>
      </c>
      <c r="J2505" s="42" t="n">
        <f aca="false">DATE(YEAR(B2505),MONTH(B2505),1)</f>
        <v>45962</v>
      </c>
      <c r="K2505" s="41" t="n">
        <f aca="false">D2505*E2505</f>
        <v>26.46</v>
      </c>
      <c r="L2505" s="41" t="n">
        <f aca="false">D2505*I2505</f>
        <v>9</v>
      </c>
      <c r="M2505" s="41" t="n">
        <f aca="false">IFERROR(INDEX(Raw_Expenses!$C$5:$C$2979,MATCH(A2505,Raw_Expenses!$A$5:$A$2979,0)),0)</f>
        <v>2.06</v>
      </c>
      <c r="N2505" s="41" t="n">
        <f aca="false">L2505+M2505</f>
        <v>11.06</v>
      </c>
      <c r="O2505" s="41" t="n">
        <f aca="false">K2505-N2505</f>
        <v>15.4</v>
      </c>
      <c r="P2505" s="43" t="n">
        <f aca="false">IF(K2505=0,0,O2505/K2505)</f>
        <v>0.582010582010582</v>
      </c>
    </row>
    <row r="2506" customFormat="false" ht="15" hidden="false" customHeight="false" outlineLevel="0" collapsed="false">
      <c r="A2506" s="39" t="s">
        <v>2628</v>
      </c>
      <c r="B2506" s="40" t="n">
        <v>45981</v>
      </c>
      <c r="C2506" s="39" t="s">
        <v>117</v>
      </c>
      <c r="D2506" s="39" t="n">
        <v>2</v>
      </c>
      <c r="E2506" s="41" t="n">
        <v>30.06</v>
      </c>
      <c r="F2506" s="39" t="s">
        <v>115</v>
      </c>
      <c r="G2506" s="39" t="str">
        <f aca="false">VLOOKUP(C2506,Products!$A$5:$D$24,2,FALSE())</f>
        <v>Desk Lamp</v>
      </c>
      <c r="H2506" s="39" t="str">
        <f aca="false">VLOOKUP(C2506,Products!$A$5:$D$24,3,FALSE())</f>
        <v>Furniture</v>
      </c>
      <c r="I2506" s="41" t="n">
        <f aca="false">VLOOKUP(C2506,Products!$A$5:$D$24,4,FALSE())</f>
        <v>13</v>
      </c>
      <c r="J2506" s="42" t="n">
        <f aca="false">DATE(YEAR(B2506),MONTH(B2506),1)</f>
        <v>45962</v>
      </c>
      <c r="K2506" s="41" t="n">
        <f aca="false">D2506*E2506</f>
        <v>60.12</v>
      </c>
      <c r="L2506" s="41" t="n">
        <f aca="false">D2506*I2506</f>
        <v>26</v>
      </c>
      <c r="M2506" s="41" t="n">
        <f aca="false">IFERROR(INDEX(Raw_Expenses!$C$5:$C$2979,MATCH(A2506,Raw_Expenses!$A$5:$A$2979,0)),0)</f>
        <v>3.56</v>
      </c>
      <c r="N2506" s="41" t="n">
        <f aca="false">L2506+M2506</f>
        <v>29.56</v>
      </c>
      <c r="O2506" s="41" t="n">
        <f aca="false">K2506-N2506</f>
        <v>30.56</v>
      </c>
      <c r="P2506" s="43" t="n">
        <f aca="false">IF(K2506=0,0,O2506/K2506)</f>
        <v>0.508316699933466</v>
      </c>
    </row>
    <row r="2507" customFormat="false" ht="15" hidden="false" customHeight="false" outlineLevel="0" collapsed="false">
      <c r="A2507" s="39" t="s">
        <v>2629</v>
      </c>
      <c r="B2507" s="40" t="n">
        <v>45981</v>
      </c>
      <c r="C2507" s="39" t="s">
        <v>126</v>
      </c>
      <c r="D2507" s="39" t="n">
        <v>2</v>
      </c>
      <c r="E2507" s="41" t="n">
        <v>24.44</v>
      </c>
      <c r="F2507" s="39" t="s">
        <v>108</v>
      </c>
      <c r="G2507" s="39" t="str">
        <f aca="false">VLOOKUP(C2507,Products!$A$5:$D$24,2,FALSE())</f>
        <v>Wireless Mouse</v>
      </c>
      <c r="H2507" s="39" t="str">
        <f aca="false">VLOOKUP(C2507,Products!$A$5:$D$24,3,FALSE())</f>
        <v>Electronics</v>
      </c>
      <c r="I2507" s="41" t="n">
        <f aca="false">VLOOKUP(C2507,Products!$A$5:$D$24,4,FALSE())</f>
        <v>12</v>
      </c>
      <c r="J2507" s="42" t="n">
        <f aca="false">DATE(YEAR(B2507),MONTH(B2507),1)</f>
        <v>45962</v>
      </c>
      <c r="K2507" s="41" t="n">
        <f aca="false">D2507*E2507</f>
        <v>48.88</v>
      </c>
      <c r="L2507" s="41" t="n">
        <f aca="false">D2507*I2507</f>
        <v>24</v>
      </c>
      <c r="M2507" s="41" t="n">
        <f aca="false">IFERROR(INDEX(Raw_Expenses!$C$5:$C$2979,MATCH(A2507,Raw_Expenses!$A$5:$A$2979,0)),0)</f>
        <v>3.83</v>
      </c>
      <c r="N2507" s="41" t="n">
        <f aca="false">L2507+M2507</f>
        <v>27.83</v>
      </c>
      <c r="O2507" s="41" t="n">
        <f aca="false">K2507-N2507</f>
        <v>21.05</v>
      </c>
      <c r="P2507" s="43" t="n">
        <f aca="false">IF(K2507=0,0,O2507/K2507)</f>
        <v>0.430646481178396</v>
      </c>
    </row>
    <row r="2508" customFormat="false" ht="15" hidden="false" customHeight="false" outlineLevel="0" collapsed="false">
      <c r="A2508" s="39" t="s">
        <v>2630</v>
      </c>
      <c r="B2508" s="40" t="n">
        <v>45981</v>
      </c>
      <c r="C2508" s="39" t="s">
        <v>177</v>
      </c>
      <c r="D2508" s="39" t="n">
        <v>1</v>
      </c>
      <c r="E2508" s="41" t="n">
        <v>42.4</v>
      </c>
      <c r="F2508" s="39" t="s">
        <v>108</v>
      </c>
      <c r="G2508" s="39" t="str">
        <f aca="false">VLOOKUP(C2508,Products!$A$5:$D$24,2,FALSE())</f>
        <v>Backpack</v>
      </c>
      <c r="H2508" s="39" t="str">
        <f aca="false">VLOOKUP(C2508,Products!$A$5:$D$24,3,FALSE())</f>
        <v>Accessories</v>
      </c>
      <c r="I2508" s="41" t="n">
        <f aca="false">VLOOKUP(C2508,Products!$A$5:$D$24,4,FALSE())</f>
        <v>17</v>
      </c>
      <c r="J2508" s="42" t="n">
        <f aca="false">DATE(YEAR(B2508),MONTH(B2508),1)</f>
        <v>45962</v>
      </c>
      <c r="K2508" s="41" t="n">
        <f aca="false">D2508*E2508</f>
        <v>42.4</v>
      </c>
      <c r="L2508" s="41" t="n">
        <f aca="false">D2508*I2508</f>
        <v>17</v>
      </c>
      <c r="M2508" s="41" t="n">
        <f aca="false">IFERROR(INDEX(Raw_Expenses!$C$5:$C$2979,MATCH(A2508,Raw_Expenses!$A$5:$A$2979,0)),0)</f>
        <v>3.75</v>
      </c>
      <c r="N2508" s="41" t="n">
        <f aca="false">L2508+M2508</f>
        <v>20.75</v>
      </c>
      <c r="O2508" s="41" t="n">
        <f aca="false">K2508-N2508</f>
        <v>21.65</v>
      </c>
      <c r="P2508" s="43" t="n">
        <f aca="false">IF(K2508=0,0,O2508/K2508)</f>
        <v>0.51061320754717</v>
      </c>
    </row>
    <row r="2509" customFormat="false" ht="15" hidden="false" customHeight="false" outlineLevel="0" collapsed="false">
      <c r="A2509" s="39" t="s">
        <v>2631</v>
      </c>
      <c r="B2509" s="40" t="n">
        <v>45981</v>
      </c>
      <c r="C2509" s="39" t="s">
        <v>133</v>
      </c>
      <c r="D2509" s="39" t="n">
        <v>2</v>
      </c>
      <c r="E2509" s="41" t="n">
        <v>8.42</v>
      </c>
      <c r="F2509" s="39" t="s">
        <v>115</v>
      </c>
      <c r="G2509" s="39" t="str">
        <f aca="false">VLOOKUP(C2509,Products!$A$5:$D$24,2,FALSE())</f>
        <v>Printer Paper Ream</v>
      </c>
      <c r="H2509" s="39" t="str">
        <f aca="false">VLOOKUP(C2509,Products!$A$5:$D$24,3,FALSE())</f>
        <v>Stationery</v>
      </c>
      <c r="I2509" s="41" t="n">
        <f aca="false">VLOOKUP(C2509,Products!$A$5:$D$24,4,FALSE())</f>
        <v>4</v>
      </c>
      <c r="J2509" s="42" t="n">
        <f aca="false">DATE(YEAR(B2509),MONTH(B2509),1)</f>
        <v>45962</v>
      </c>
      <c r="K2509" s="41" t="n">
        <f aca="false">D2509*E2509</f>
        <v>16.84</v>
      </c>
      <c r="L2509" s="41" t="n">
        <f aca="false">D2509*I2509</f>
        <v>8</v>
      </c>
      <c r="M2509" s="41" t="n">
        <f aca="false">IFERROR(INDEX(Raw_Expenses!$C$5:$C$2979,MATCH(A2509,Raw_Expenses!$A$5:$A$2979,0)),0)</f>
        <v>1.51</v>
      </c>
      <c r="N2509" s="41" t="n">
        <f aca="false">L2509+M2509</f>
        <v>9.51</v>
      </c>
      <c r="O2509" s="41" t="n">
        <f aca="false">K2509-N2509</f>
        <v>7.33</v>
      </c>
      <c r="P2509" s="43" t="n">
        <f aca="false">IF(K2509=0,0,O2509/K2509)</f>
        <v>0.435273159144893</v>
      </c>
    </row>
    <row r="2510" customFormat="false" ht="15" hidden="false" customHeight="false" outlineLevel="0" collapsed="false">
      <c r="A2510" s="39" t="s">
        <v>2632</v>
      </c>
      <c r="B2510" s="40" t="n">
        <v>45981</v>
      </c>
      <c r="C2510" s="39" t="s">
        <v>126</v>
      </c>
      <c r="D2510" s="39" t="n">
        <v>6</v>
      </c>
      <c r="E2510" s="41" t="n">
        <v>24.5</v>
      </c>
      <c r="F2510" s="39" t="s">
        <v>118</v>
      </c>
      <c r="G2510" s="39" t="str">
        <f aca="false">VLOOKUP(C2510,Products!$A$5:$D$24,2,FALSE())</f>
        <v>Wireless Mouse</v>
      </c>
      <c r="H2510" s="39" t="str">
        <f aca="false">VLOOKUP(C2510,Products!$A$5:$D$24,3,FALSE())</f>
        <v>Electronics</v>
      </c>
      <c r="I2510" s="41" t="n">
        <f aca="false">VLOOKUP(C2510,Products!$A$5:$D$24,4,FALSE())</f>
        <v>12</v>
      </c>
      <c r="J2510" s="42" t="n">
        <f aca="false">DATE(YEAR(B2510),MONTH(B2510),1)</f>
        <v>45962</v>
      </c>
      <c r="K2510" s="41" t="n">
        <f aca="false">D2510*E2510</f>
        <v>147</v>
      </c>
      <c r="L2510" s="41" t="n">
        <f aca="false">D2510*I2510</f>
        <v>72</v>
      </c>
      <c r="M2510" s="41" t="n">
        <f aca="false">IFERROR(INDEX(Raw_Expenses!$C$5:$C$2979,MATCH(A2510,Raw_Expenses!$A$5:$A$2979,0)),0)</f>
        <v>10.59</v>
      </c>
      <c r="N2510" s="41" t="n">
        <f aca="false">L2510+M2510</f>
        <v>82.59</v>
      </c>
      <c r="O2510" s="41" t="n">
        <f aca="false">K2510-N2510</f>
        <v>64.41</v>
      </c>
      <c r="P2510" s="43" t="n">
        <f aca="false">IF(K2510=0,0,O2510/K2510)</f>
        <v>0.438163265306122</v>
      </c>
    </row>
    <row r="2511" customFormat="false" ht="15" hidden="false" customHeight="false" outlineLevel="0" collapsed="false">
      <c r="A2511" s="39" t="s">
        <v>2633</v>
      </c>
      <c r="B2511" s="40" t="n">
        <v>45981</v>
      </c>
      <c r="C2511" s="39" t="s">
        <v>110</v>
      </c>
      <c r="D2511" s="39" t="n">
        <v>1</v>
      </c>
      <c r="E2511" s="41" t="n">
        <v>13.88</v>
      </c>
      <c r="F2511" s="39" t="s">
        <v>108</v>
      </c>
      <c r="G2511" s="39" t="str">
        <f aca="false">VLOOKUP(C2511,Products!$A$5:$D$24,2,FALSE())</f>
        <v>Phone Stand</v>
      </c>
      <c r="H2511" s="39" t="str">
        <f aca="false">VLOOKUP(C2511,Products!$A$5:$D$24,3,FALSE())</f>
        <v>Accessories</v>
      </c>
      <c r="I2511" s="41" t="n">
        <f aca="false">VLOOKUP(C2511,Products!$A$5:$D$24,4,FALSE())</f>
        <v>4</v>
      </c>
      <c r="J2511" s="42" t="n">
        <f aca="false">DATE(YEAR(B2511),MONTH(B2511),1)</f>
        <v>45962</v>
      </c>
      <c r="K2511" s="41" t="n">
        <f aca="false">D2511*E2511</f>
        <v>13.88</v>
      </c>
      <c r="L2511" s="41" t="n">
        <f aca="false">D2511*I2511</f>
        <v>4</v>
      </c>
      <c r="M2511" s="41" t="n">
        <f aca="false">IFERROR(INDEX(Raw_Expenses!$C$5:$C$2979,MATCH(A2511,Raw_Expenses!$A$5:$A$2979,0)),0)</f>
        <v>0.74</v>
      </c>
      <c r="N2511" s="41" t="n">
        <f aca="false">L2511+M2511</f>
        <v>4.74</v>
      </c>
      <c r="O2511" s="41" t="n">
        <f aca="false">K2511-N2511</f>
        <v>9.14</v>
      </c>
      <c r="P2511" s="43" t="n">
        <f aca="false">IF(K2511=0,0,O2511/K2511)</f>
        <v>0.65850144092219</v>
      </c>
    </row>
    <row r="2512" customFormat="false" ht="15" hidden="false" customHeight="false" outlineLevel="0" collapsed="false">
      <c r="A2512" s="39" t="s">
        <v>2634</v>
      </c>
      <c r="B2512" s="40" t="n">
        <v>45981</v>
      </c>
      <c r="C2512" s="39" t="s">
        <v>110</v>
      </c>
      <c r="D2512" s="39" t="n">
        <v>2</v>
      </c>
      <c r="E2512" s="41" t="n">
        <v>13.13</v>
      </c>
      <c r="F2512" s="39" t="s">
        <v>105</v>
      </c>
      <c r="G2512" s="39" t="str">
        <f aca="false">VLOOKUP(C2512,Products!$A$5:$D$24,2,FALSE())</f>
        <v>Phone Stand</v>
      </c>
      <c r="H2512" s="39" t="str">
        <f aca="false">VLOOKUP(C2512,Products!$A$5:$D$24,3,FALSE())</f>
        <v>Accessories</v>
      </c>
      <c r="I2512" s="41" t="n">
        <f aca="false">VLOOKUP(C2512,Products!$A$5:$D$24,4,FALSE())</f>
        <v>4</v>
      </c>
      <c r="J2512" s="42" t="n">
        <f aca="false">DATE(YEAR(B2512),MONTH(B2512),1)</f>
        <v>45962</v>
      </c>
      <c r="K2512" s="41" t="n">
        <f aca="false">D2512*E2512</f>
        <v>26.26</v>
      </c>
      <c r="L2512" s="41" t="n">
        <f aca="false">D2512*I2512</f>
        <v>8</v>
      </c>
      <c r="M2512" s="41" t="n">
        <f aca="false">IFERROR(INDEX(Raw_Expenses!$C$5:$C$2979,MATCH(A2512,Raw_Expenses!$A$5:$A$2979,0)),0)</f>
        <v>1.61</v>
      </c>
      <c r="N2512" s="41" t="n">
        <f aca="false">L2512+M2512</f>
        <v>9.61</v>
      </c>
      <c r="O2512" s="41" t="n">
        <f aca="false">K2512-N2512</f>
        <v>16.65</v>
      </c>
      <c r="P2512" s="43" t="n">
        <f aca="false">IF(K2512=0,0,O2512/K2512)</f>
        <v>0.634044173648134</v>
      </c>
    </row>
    <row r="2513" customFormat="false" ht="15" hidden="false" customHeight="false" outlineLevel="0" collapsed="false">
      <c r="A2513" s="39" t="s">
        <v>2635</v>
      </c>
      <c r="B2513" s="40" t="n">
        <v>45981</v>
      </c>
      <c r="C2513" s="39" t="s">
        <v>107</v>
      </c>
      <c r="D2513" s="39" t="n">
        <v>1</v>
      </c>
      <c r="E2513" s="41" t="n">
        <v>34.31</v>
      </c>
      <c r="F2513" s="39" t="s">
        <v>118</v>
      </c>
      <c r="G2513" s="39" t="str">
        <f aca="false">VLOOKUP(C2513,Products!$A$5:$D$24,2,FALSE())</f>
        <v>USB-C Hub</v>
      </c>
      <c r="H2513" s="39" t="str">
        <f aca="false">VLOOKUP(C2513,Products!$A$5:$D$24,3,FALSE())</f>
        <v>Electronics</v>
      </c>
      <c r="I2513" s="41" t="n">
        <f aca="false">VLOOKUP(C2513,Products!$A$5:$D$24,4,FALSE())</f>
        <v>14</v>
      </c>
      <c r="J2513" s="42" t="n">
        <f aca="false">DATE(YEAR(B2513),MONTH(B2513),1)</f>
        <v>45962</v>
      </c>
      <c r="K2513" s="41" t="n">
        <f aca="false">D2513*E2513</f>
        <v>34.31</v>
      </c>
      <c r="L2513" s="41" t="n">
        <f aca="false">D2513*I2513</f>
        <v>14</v>
      </c>
      <c r="M2513" s="41" t="n">
        <f aca="false">IFERROR(INDEX(Raw_Expenses!$C$5:$C$2979,MATCH(A2513,Raw_Expenses!$A$5:$A$2979,0)),0)</f>
        <v>1.6</v>
      </c>
      <c r="N2513" s="41" t="n">
        <f aca="false">L2513+M2513</f>
        <v>15.6</v>
      </c>
      <c r="O2513" s="41" t="n">
        <f aca="false">K2513-N2513</f>
        <v>18.71</v>
      </c>
      <c r="P2513" s="43" t="n">
        <f aca="false">IF(K2513=0,0,O2513/K2513)</f>
        <v>0.545322063538327</v>
      </c>
    </row>
    <row r="2514" customFormat="false" ht="15" hidden="false" customHeight="false" outlineLevel="0" collapsed="false">
      <c r="A2514" s="39" t="s">
        <v>2636</v>
      </c>
      <c r="B2514" s="40" t="n">
        <v>45981</v>
      </c>
      <c r="C2514" s="39" t="s">
        <v>162</v>
      </c>
      <c r="D2514" s="39" t="n">
        <v>2</v>
      </c>
      <c r="E2514" s="41" t="n">
        <v>68.21</v>
      </c>
      <c r="F2514" s="39" t="s">
        <v>105</v>
      </c>
      <c r="G2514" s="39" t="str">
        <f aca="false">VLOOKUP(C2514,Products!$A$5:$D$24,2,FALSE())</f>
        <v>Bluetooth Speaker</v>
      </c>
      <c r="H2514" s="39" t="str">
        <f aca="false">VLOOKUP(C2514,Products!$A$5:$D$24,3,FALSE())</f>
        <v>Electronics</v>
      </c>
      <c r="I2514" s="41" t="n">
        <f aca="false">VLOOKUP(C2514,Products!$A$5:$D$24,4,FALSE())</f>
        <v>28</v>
      </c>
      <c r="J2514" s="42" t="n">
        <f aca="false">DATE(YEAR(B2514),MONTH(B2514),1)</f>
        <v>45962</v>
      </c>
      <c r="K2514" s="41" t="n">
        <f aca="false">D2514*E2514</f>
        <v>136.42</v>
      </c>
      <c r="L2514" s="41" t="n">
        <f aca="false">D2514*I2514</f>
        <v>56</v>
      </c>
      <c r="M2514" s="41" t="n">
        <f aca="false">IFERROR(INDEX(Raw_Expenses!$C$5:$C$2979,MATCH(A2514,Raw_Expenses!$A$5:$A$2979,0)),0)</f>
        <v>6.07</v>
      </c>
      <c r="N2514" s="41" t="n">
        <f aca="false">L2514+M2514</f>
        <v>62.07</v>
      </c>
      <c r="O2514" s="41" t="n">
        <f aca="false">K2514-N2514</f>
        <v>74.35</v>
      </c>
      <c r="P2514" s="43" t="n">
        <f aca="false">IF(K2514=0,0,O2514/K2514)</f>
        <v>0.545008063333822</v>
      </c>
    </row>
    <row r="2515" customFormat="false" ht="15" hidden="false" customHeight="false" outlineLevel="0" collapsed="false">
      <c r="A2515" s="39" t="s">
        <v>2637</v>
      </c>
      <c r="B2515" s="40" t="n">
        <v>45981</v>
      </c>
      <c r="C2515" s="39" t="s">
        <v>133</v>
      </c>
      <c r="D2515" s="39" t="n">
        <v>2</v>
      </c>
      <c r="E2515" s="41" t="n">
        <v>8.87</v>
      </c>
      <c r="F2515" s="39" t="s">
        <v>118</v>
      </c>
      <c r="G2515" s="39" t="str">
        <f aca="false">VLOOKUP(C2515,Products!$A$5:$D$24,2,FALSE())</f>
        <v>Printer Paper Ream</v>
      </c>
      <c r="H2515" s="39" t="str">
        <f aca="false">VLOOKUP(C2515,Products!$A$5:$D$24,3,FALSE())</f>
        <v>Stationery</v>
      </c>
      <c r="I2515" s="41" t="n">
        <f aca="false">VLOOKUP(C2515,Products!$A$5:$D$24,4,FALSE())</f>
        <v>4</v>
      </c>
      <c r="J2515" s="42" t="n">
        <f aca="false">DATE(YEAR(B2515),MONTH(B2515),1)</f>
        <v>45962</v>
      </c>
      <c r="K2515" s="41" t="n">
        <f aca="false">D2515*E2515</f>
        <v>17.74</v>
      </c>
      <c r="L2515" s="41" t="n">
        <f aca="false">D2515*I2515</f>
        <v>8</v>
      </c>
      <c r="M2515" s="41" t="n">
        <f aca="false">IFERROR(INDEX(Raw_Expenses!$C$5:$C$2979,MATCH(A2515,Raw_Expenses!$A$5:$A$2979,0)),0)</f>
        <v>0.79</v>
      </c>
      <c r="N2515" s="41" t="n">
        <f aca="false">L2515+M2515</f>
        <v>8.79</v>
      </c>
      <c r="O2515" s="41" t="n">
        <f aca="false">K2515-N2515</f>
        <v>8.95</v>
      </c>
      <c r="P2515" s="43" t="n">
        <f aca="false">IF(K2515=0,0,O2515/K2515)</f>
        <v>0.504509582863585</v>
      </c>
    </row>
    <row r="2516" customFormat="false" ht="15" hidden="false" customHeight="false" outlineLevel="0" collapsed="false">
      <c r="A2516" s="39" t="s">
        <v>2638</v>
      </c>
      <c r="B2516" s="40" t="n">
        <v>45981</v>
      </c>
      <c r="C2516" s="39" t="s">
        <v>114</v>
      </c>
      <c r="D2516" s="39" t="n">
        <v>2</v>
      </c>
      <c r="E2516" s="41" t="n">
        <v>5.78</v>
      </c>
      <c r="F2516" s="39" t="s">
        <v>105</v>
      </c>
      <c r="G2516" s="39" t="str">
        <f aca="false">VLOOKUP(C2516,Products!$A$5:$D$24,2,FALSE())</f>
        <v>Gel Pen Pack</v>
      </c>
      <c r="H2516" s="39" t="str">
        <f aca="false">VLOOKUP(C2516,Products!$A$5:$D$24,3,FALSE())</f>
        <v>Stationery</v>
      </c>
      <c r="I2516" s="41" t="n">
        <f aca="false">VLOOKUP(C2516,Products!$A$5:$D$24,4,FALSE())</f>
        <v>2</v>
      </c>
      <c r="J2516" s="42" t="n">
        <f aca="false">DATE(YEAR(B2516),MONTH(B2516),1)</f>
        <v>45962</v>
      </c>
      <c r="K2516" s="41" t="n">
        <f aca="false">D2516*E2516</f>
        <v>11.56</v>
      </c>
      <c r="L2516" s="41" t="n">
        <f aca="false">D2516*I2516</f>
        <v>4</v>
      </c>
      <c r="M2516" s="41" t="n">
        <f aca="false">IFERROR(INDEX(Raw_Expenses!$C$5:$C$2979,MATCH(A2516,Raw_Expenses!$A$5:$A$2979,0)),0)</f>
        <v>0.58</v>
      </c>
      <c r="N2516" s="41" t="n">
        <f aca="false">L2516+M2516</f>
        <v>4.58</v>
      </c>
      <c r="O2516" s="41" t="n">
        <f aca="false">K2516-N2516</f>
        <v>6.98</v>
      </c>
      <c r="P2516" s="43" t="n">
        <f aca="false">IF(K2516=0,0,O2516/K2516)</f>
        <v>0.603806228373703</v>
      </c>
    </row>
    <row r="2517" customFormat="false" ht="15" hidden="false" customHeight="false" outlineLevel="0" collapsed="false">
      <c r="A2517" s="39" t="s">
        <v>2639</v>
      </c>
      <c r="B2517" s="40" t="n">
        <v>45981</v>
      </c>
      <c r="C2517" s="39" t="s">
        <v>117</v>
      </c>
      <c r="D2517" s="39" t="n">
        <v>4</v>
      </c>
      <c r="E2517" s="41" t="n">
        <v>31.44</v>
      </c>
      <c r="F2517" s="39" t="s">
        <v>118</v>
      </c>
      <c r="G2517" s="39" t="str">
        <f aca="false">VLOOKUP(C2517,Products!$A$5:$D$24,2,FALSE())</f>
        <v>Desk Lamp</v>
      </c>
      <c r="H2517" s="39" t="str">
        <f aca="false">VLOOKUP(C2517,Products!$A$5:$D$24,3,FALSE())</f>
        <v>Furniture</v>
      </c>
      <c r="I2517" s="41" t="n">
        <f aca="false">VLOOKUP(C2517,Products!$A$5:$D$24,4,FALSE())</f>
        <v>13</v>
      </c>
      <c r="J2517" s="42" t="n">
        <f aca="false">DATE(YEAR(B2517),MONTH(B2517),1)</f>
        <v>45962</v>
      </c>
      <c r="K2517" s="41" t="n">
        <f aca="false">D2517*E2517</f>
        <v>125.76</v>
      </c>
      <c r="L2517" s="41" t="n">
        <f aca="false">D2517*I2517</f>
        <v>52</v>
      </c>
      <c r="M2517" s="41" t="n">
        <f aca="false">IFERROR(INDEX(Raw_Expenses!$C$5:$C$2979,MATCH(A2517,Raw_Expenses!$A$5:$A$2979,0)),0)</f>
        <v>8.68</v>
      </c>
      <c r="N2517" s="41" t="n">
        <f aca="false">L2517+M2517</f>
        <v>60.68</v>
      </c>
      <c r="O2517" s="41" t="n">
        <f aca="false">K2517-N2517</f>
        <v>65.08</v>
      </c>
      <c r="P2517" s="43" t="n">
        <f aca="false">IF(K2517=0,0,O2517/K2517)</f>
        <v>0.517493638676845</v>
      </c>
    </row>
    <row r="2518" customFormat="false" ht="15" hidden="false" customHeight="false" outlineLevel="0" collapsed="false">
      <c r="A2518" s="39" t="s">
        <v>2640</v>
      </c>
      <c r="B2518" s="40" t="n">
        <v>45981</v>
      </c>
      <c r="C2518" s="39" t="s">
        <v>117</v>
      </c>
      <c r="D2518" s="39" t="n">
        <v>3</v>
      </c>
      <c r="E2518" s="41" t="n">
        <v>30.4</v>
      </c>
      <c r="F2518" s="39" t="s">
        <v>118</v>
      </c>
      <c r="G2518" s="39" t="str">
        <f aca="false">VLOOKUP(C2518,Products!$A$5:$D$24,2,FALSE())</f>
        <v>Desk Lamp</v>
      </c>
      <c r="H2518" s="39" t="str">
        <f aca="false">VLOOKUP(C2518,Products!$A$5:$D$24,3,FALSE())</f>
        <v>Furniture</v>
      </c>
      <c r="I2518" s="41" t="n">
        <f aca="false">VLOOKUP(C2518,Products!$A$5:$D$24,4,FALSE())</f>
        <v>13</v>
      </c>
      <c r="J2518" s="42" t="n">
        <f aca="false">DATE(YEAR(B2518),MONTH(B2518),1)</f>
        <v>45962</v>
      </c>
      <c r="K2518" s="41" t="n">
        <f aca="false">D2518*E2518</f>
        <v>91.2</v>
      </c>
      <c r="L2518" s="41" t="n">
        <f aca="false">D2518*I2518</f>
        <v>39</v>
      </c>
      <c r="M2518" s="41" t="n">
        <f aca="false">IFERROR(INDEX(Raw_Expenses!$C$5:$C$2979,MATCH(A2518,Raw_Expenses!$A$5:$A$2979,0)),0)</f>
        <v>4.59</v>
      </c>
      <c r="N2518" s="41" t="n">
        <f aca="false">L2518+M2518</f>
        <v>43.59</v>
      </c>
      <c r="O2518" s="41" t="n">
        <f aca="false">K2518-N2518</f>
        <v>47.61</v>
      </c>
      <c r="P2518" s="43" t="n">
        <f aca="false">IF(K2518=0,0,O2518/K2518)</f>
        <v>0.52203947368421</v>
      </c>
    </row>
    <row r="2519" customFormat="false" ht="15" hidden="false" customHeight="false" outlineLevel="0" collapsed="false">
      <c r="A2519" s="39" t="s">
        <v>2641</v>
      </c>
      <c r="B2519" s="40" t="n">
        <v>45981</v>
      </c>
      <c r="C2519" s="39" t="s">
        <v>126</v>
      </c>
      <c r="D2519" s="39" t="n">
        <v>1</v>
      </c>
      <c r="E2519" s="41" t="n">
        <v>23.08</v>
      </c>
      <c r="F2519" s="39" t="s">
        <v>115</v>
      </c>
      <c r="G2519" s="39" t="str">
        <f aca="false">VLOOKUP(C2519,Products!$A$5:$D$24,2,FALSE())</f>
        <v>Wireless Mouse</v>
      </c>
      <c r="H2519" s="39" t="str">
        <f aca="false">VLOOKUP(C2519,Products!$A$5:$D$24,3,FALSE())</f>
        <v>Electronics</v>
      </c>
      <c r="I2519" s="41" t="n">
        <f aca="false">VLOOKUP(C2519,Products!$A$5:$D$24,4,FALSE())</f>
        <v>12</v>
      </c>
      <c r="J2519" s="42" t="n">
        <f aca="false">DATE(YEAR(B2519),MONTH(B2519),1)</f>
        <v>45962</v>
      </c>
      <c r="K2519" s="41" t="n">
        <f aca="false">D2519*E2519</f>
        <v>23.08</v>
      </c>
      <c r="L2519" s="41" t="n">
        <f aca="false">D2519*I2519</f>
        <v>12</v>
      </c>
      <c r="M2519" s="41" t="n">
        <f aca="false">IFERROR(INDEX(Raw_Expenses!$C$5:$C$2979,MATCH(A2519,Raw_Expenses!$A$5:$A$2979,0)),0)</f>
        <v>1.04</v>
      </c>
      <c r="N2519" s="41" t="n">
        <f aca="false">L2519+M2519</f>
        <v>13.04</v>
      </c>
      <c r="O2519" s="41" t="n">
        <f aca="false">K2519-N2519</f>
        <v>10.04</v>
      </c>
      <c r="P2519" s="43" t="n">
        <f aca="false">IF(K2519=0,0,O2519/K2519)</f>
        <v>0.435008665511265</v>
      </c>
    </row>
    <row r="2520" customFormat="false" ht="15" hidden="false" customHeight="false" outlineLevel="0" collapsed="false">
      <c r="A2520" s="39" t="s">
        <v>2642</v>
      </c>
      <c r="B2520" s="40" t="n">
        <v>45982</v>
      </c>
      <c r="C2520" s="39" t="s">
        <v>107</v>
      </c>
      <c r="D2520" s="39" t="n">
        <v>2</v>
      </c>
      <c r="E2520" s="41" t="n">
        <v>33.04</v>
      </c>
      <c r="F2520" s="39" t="s">
        <v>108</v>
      </c>
      <c r="G2520" s="39" t="str">
        <f aca="false">VLOOKUP(C2520,Products!$A$5:$D$24,2,FALSE())</f>
        <v>USB-C Hub</v>
      </c>
      <c r="H2520" s="39" t="str">
        <f aca="false">VLOOKUP(C2520,Products!$A$5:$D$24,3,FALSE())</f>
        <v>Electronics</v>
      </c>
      <c r="I2520" s="41" t="n">
        <f aca="false">VLOOKUP(C2520,Products!$A$5:$D$24,4,FALSE())</f>
        <v>14</v>
      </c>
      <c r="J2520" s="42" t="n">
        <f aca="false">DATE(YEAR(B2520),MONTH(B2520),1)</f>
        <v>45962</v>
      </c>
      <c r="K2520" s="41" t="n">
        <f aca="false">D2520*E2520</f>
        <v>66.08</v>
      </c>
      <c r="L2520" s="41" t="n">
        <f aca="false">D2520*I2520</f>
        <v>28</v>
      </c>
      <c r="M2520" s="41" t="n">
        <f aca="false">IFERROR(INDEX(Raw_Expenses!$C$5:$C$2979,MATCH(A2520,Raw_Expenses!$A$5:$A$2979,0)),0)</f>
        <v>5.7</v>
      </c>
      <c r="N2520" s="41" t="n">
        <f aca="false">L2520+M2520</f>
        <v>33.7</v>
      </c>
      <c r="O2520" s="41" t="n">
        <f aca="false">K2520-N2520</f>
        <v>32.38</v>
      </c>
      <c r="P2520" s="43" t="n">
        <f aca="false">IF(K2520=0,0,O2520/K2520)</f>
        <v>0.49001210653753</v>
      </c>
    </row>
    <row r="2521" customFormat="false" ht="15" hidden="false" customHeight="false" outlineLevel="0" collapsed="false">
      <c r="A2521" s="39" t="s">
        <v>2643</v>
      </c>
      <c r="B2521" s="40" t="n">
        <v>45982</v>
      </c>
      <c r="C2521" s="39" t="s">
        <v>130</v>
      </c>
      <c r="D2521" s="39" t="n">
        <v>4</v>
      </c>
      <c r="E2521" s="41" t="n">
        <v>8.58</v>
      </c>
      <c r="F2521" s="39" t="s">
        <v>118</v>
      </c>
      <c r="G2521" s="39" t="str">
        <f aca="false">VLOOKUP(C2521,Products!$A$5:$D$24,2,FALSE())</f>
        <v>Notebook Set</v>
      </c>
      <c r="H2521" s="39" t="str">
        <f aca="false">VLOOKUP(C2521,Products!$A$5:$D$24,3,FALSE())</f>
        <v>Stationery</v>
      </c>
      <c r="I2521" s="41" t="n">
        <f aca="false">VLOOKUP(C2521,Products!$A$5:$D$24,4,FALSE())</f>
        <v>3</v>
      </c>
      <c r="J2521" s="42" t="n">
        <f aca="false">DATE(YEAR(B2521),MONTH(B2521),1)</f>
        <v>45962</v>
      </c>
      <c r="K2521" s="41" t="n">
        <f aca="false">D2521*E2521</f>
        <v>34.32</v>
      </c>
      <c r="L2521" s="41" t="n">
        <f aca="false">D2521*I2521</f>
        <v>12</v>
      </c>
      <c r="M2521" s="41" t="n">
        <f aca="false">IFERROR(INDEX(Raw_Expenses!$C$5:$C$2979,MATCH(A2521,Raw_Expenses!$A$5:$A$2979,0)),0)</f>
        <v>2.55</v>
      </c>
      <c r="N2521" s="41" t="n">
        <f aca="false">L2521+M2521</f>
        <v>14.55</v>
      </c>
      <c r="O2521" s="41" t="n">
        <f aca="false">K2521-N2521</f>
        <v>19.77</v>
      </c>
      <c r="P2521" s="43" t="n">
        <f aca="false">IF(K2521=0,0,O2521/K2521)</f>
        <v>0.576048951048951</v>
      </c>
    </row>
    <row r="2522" customFormat="false" ht="15" hidden="false" customHeight="false" outlineLevel="0" collapsed="false">
      <c r="A2522" s="39" t="s">
        <v>2644</v>
      </c>
      <c r="B2522" s="40" t="n">
        <v>45982</v>
      </c>
      <c r="C2522" s="39" t="s">
        <v>136</v>
      </c>
      <c r="D2522" s="39" t="n">
        <v>1</v>
      </c>
      <c r="E2522" s="41" t="n">
        <v>78.06</v>
      </c>
      <c r="F2522" s="39" t="s">
        <v>105</v>
      </c>
      <c r="G2522" s="39" t="str">
        <f aca="false">VLOOKUP(C2522,Products!$A$5:$D$24,2,FALSE())</f>
        <v>Mechanical Keyboard</v>
      </c>
      <c r="H2522" s="39" t="str">
        <f aca="false">VLOOKUP(C2522,Products!$A$5:$D$24,3,FALSE())</f>
        <v>Electronics</v>
      </c>
      <c r="I2522" s="41" t="n">
        <f aca="false">VLOOKUP(C2522,Products!$A$5:$D$24,4,FALSE())</f>
        <v>38</v>
      </c>
      <c r="J2522" s="42" t="n">
        <f aca="false">DATE(YEAR(B2522),MONTH(B2522),1)</f>
        <v>45962</v>
      </c>
      <c r="K2522" s="41" t="n">
        <f aca="false">D2522*E2522</f>
        <v>78.06</v>
      </c>
      <c r="L2522" s="41" t="n">
        <f aca="false">D2522*I2522</f>
        <v>38</v>
      </c>
      <c r="M2522" s="41" t="n">
        <f aca="false">IFERROR(INDEX(Raw_Expenses!$C$5:$C$2979,MATCH(A2522,Raw_Expenses!$A$5:$A$2979,0)),0)</f>
        <v>5.81</v>
      </c>
      <c r="N2522" s="41" t="n">
        <f aca="false">L2522+M2522</f>
        <v>43.81</v>
      </c>
      <c r="O2522" s="41" t="n">
        <f aca="false">K2522-N2522</f>
        <v>34.25</v>
      </c>
      <c r="P2522" s="43" t="n">
        <f aca="false">IF(K2522=0,0,O2522/K2522)</f>
        <v>0.4387650525237</v>
      </c>
    </row>
    <row r="2523" customFormat="false" ht="15" hidden="false" customHeight="false" outlineLevel="0" collapsed="false">
      <c r="A2523" s="39" t="s">
        <v>2645</v>
      </c>
      <c r="B2523" s="40" t="n">
        <v>45982</v>
      </c>
      <c r="C2523" s="39" t="s">
        <v>114</v>
      </c>
      <c r="D2523" s="39" t="n">
        <v>1</v>
      </c>
      <c r="E2523" s="41" t="n">
        <v>5.72</v>
      </c>
      <c r="F2523" s="39" t="s">
        <v>115</v>
      </c>
      <c r="G2523" s="39" t="str">
        <f aca="false">VLOOKUP(C2523,Products!$A$5:$D$24,2,FALSE())</f>
        <v>Gel Pen Pack</v>
      </c>
      <c r="H2523" s="39" t="str">
        <f aca="false">VLOOKUP(C2523,Products!$A$5:$D$24,3,FALSE())</f>
        <v>Stationery</v>
      </c>
      <c r="I2523" s="41" t="n">
        <f aca="false">VLOOKUP(C2523,Products!$A$5:$D$24,4,FALSE())</f>
        <v>2</v>
      </c>
      <c r="J2523" s="42" t="n">
        <f aca="false">DATE(YEAR(B2523),MONTH(B2523),1)</f>
        <v>45962</v>
      </c>
      <c r="K2523" s="41" t="n">
        <f aca="false">D2523*E2523</f>
        <v>5.72</v>
      </c>
      <c r="L2523" s="41" t="n">
        <f aca="false">D2523*I2523</f>
        <v>2</v>
      </c>
      <c r="M2523" s="41" t="n">
        <f aca="false">IFERROR(INDEX(Raw_Expenses!$C$5:$C$2979,MATCH(A2523,Raw_Expenses!$A$5:$A$2979,0)),0)</f>
        <v>0.35</v>
      </c>
      <c r="N2523" s="41" t="n">
        <f aca="false">L2523+M2523</f>
        <v>2.35</v>
      </c>
      <c r="O2523" s="41" t="n">
        <f aca="false">K2523-N2523</f>
        <v>3.37</v>
      </c>
      <c r="P2523" s="43" t="n">
        <f aca="false">IF(K2523=0,0,O2523/K2523)</f>
        <v>0.589160839160839</v>
      </c>
    </row>
    <row r="2524" customFormat="false" ht="15" hidden="false" customHeight="false" outlineLevel="0" collapsed="false">
      <c r="A2524" s="39" t="s">
        <v>2646</v>
      </c>
      <c r="B2524" s="40" t="n">
        <v>45982</v>
      </c>
      <c r="C2524" s="39" t="s">
        <v>126</v>
      </c>
      <c r="D2524" s="39" t="n">
        <v>1</v>
      </c>
      <c r="E2524" s="41" t="n">
        <v>23.83</v>
      </c>
      <c r="F2524" s="39" t="s">
        <v>115</v>
      </c>
      <c r="G2524" s="39" t="str">
        <f aca="false">VLOOKUP(C2524,Products!$A$5:$D$24,2,FALSE())</f>
        <v>Wireless Mouse</v>
      </c>
      <c r="H2524" s="39" t="str">
        <f aca="false">VLOOKUP(C2524,Products!$A$5:$D$24,3,FALSE())</f>
        <v>Electronics</v>
      </c>
      <c r="I2524" s="41" t="n">
        <f aca="false">VLOOKUP(C2524,Products!$A$5:$D$24,4,FALSE())</f>
        <v>12</v>
      </c>
      <c r="J2524" s="42" t="n">
        <f aca="false">DATE(YEAR(B2524),MONTH(B2524),1)</f>
        <v>45962</v>
      </c>
      <c r="K2524" s="41" t="n">
        <f aca="false">D2524*E2524</f>
        <v>23.83</v>
      </c>
      <c r="L2524" s="41" t="n">
        <f aca="false">D2524*I2524</f>
        <v>12</v>
      </c>
      <c r="M2524" s="41" t="n">
        <f aca="false">IFERROR(INDEX(Raw_Expenses!$C$5:$C$2979,MATCH(A2524,Raw_Expenses!$A$5:$A$2979,0)),0)</f>
        <v>1.9</v>
      </c>
      <c r="N2524" s="41" t="n">
        <f aca="false">L2524+M2524</f>
        <v>13.9</v>
      </c>
      <c r="O2524" s="41" t="n">
        <f aca="false">K2524-N2524</f>
        <v>9.93</v>
      </c>
      <c r="P2524" s="43" t="n">
        <f aca="false">IF(K2524=0,0,O2524/K2524)</f>
        <v>0.41670163659253</v>
      </c>
    </row>
    <row r="2525" customFormat="false" ht="15" hidden="false" customHeight="false" outlineLevel="0" collapsed="false">
      <c r="A2525" s="39" t="s">
        <v>2647</v>
      </c>
      <c r="B2525" s="40" t="n">
        <v>45982</v>
      </c>
      <c r="C2525" s="39" t="s">
        <v>114</v>
      </c>
      <c r="D2525" s="39" t="n">
        <v>2</v>
      </c>
      <c r="E2525" s="41" t="n">
        <v>5.65</v>
      </c>
      <c r="F2525" s="39" t="s">
        <v>115</v>
      </c>
      <c r="G2525" s="39" t="str">
        <f aca="false">VLOOKUP(C2525,Products!$A$5:$D$24,2,FALSE())</f>
        <v>Gel Pen Pack</v>
      </c>
      <c r="H2525" s="39" t="str">
        <f aca="false">VLOOKUP(C2525,Products!$A$5:$D$24,3,FALSE())</f>
        <v>Stationery</v>
      </c>
      <c r="I2525" s="41" t="n">
        <f aca="false">VLOOKUP(C2525,Products!$A$5:$D$24,4,FALSE())</f>
        <v>2</v>
      </c>
      <c r="J2525" s="42" t="n">
        <f aca="false">DATE(YEAR(B2525),MONTH(B2525),1)</f>
        <v>45962</v>
      </c>
      <c r="K2525" s="41" t="n">
        <f aca="false">D2525*E2525</f>
        <v>11.3</v>
      </c>
      <c r="L2525" s="41" t="n">
        <f aca="false">D2525*I2525</f>
        <v>4</v>
      </c>
      <c r="M2525" s="41" t="n">
        <f aca="false">IFERROR(INDEX(Raw_Expenses!$C$5:$C$2979,MATCH(A2525,Raw_Expenses!$A$5:$A$2979,0)),0)</f>
        <v>0.7</v>
      </c>
      <c r="N2525" s="41" t="n">
        <f aca="false">L2525+M2525</f>
        <v>4.7</v>
      </c>
      <c r="O2525" s="41" t="n">
        <f aca="false">K2525-N2525</f>
        <v>6.6</v>
      </c>
      <c r="P2525" s="43" t="n">
        <f aca="false">IF(K2525=0,0,O2525/K2525)</f>
        <v>0.584070796460177</v>
      </c>
    </row>
    <row r="2526" customFormat="false" ht="15" hidden="false" customHeight="false" outlineLevel="0" collapsed="false">
      <c r="A2526" s="39" t="s">
        <v>2648</v>
      </c>
      <c r="B2526" s="40" t="n">
        <v>45982</v>
      </c>
      <c r="C2526" s="39" t="s">
        <v>136</v>
      </c>
      <c r="D2526" s="39" t="n">
        <v>2</v>
      </c>
      <c r="E2526" s="41" t="n">
        <v>73.59</v>
      </c>
      <c r="F2526" s="39" t="s">
        <v>108</v>
      </c>
      <c r="G2526" s="39" t="str">
        <f aca="false">VLOOKUP(C2526,Products!$A$5:$D$24,2,FALSE())</f>
        <v>Mechanical Keyboard</v>
      </c>
      <c r="H2526" s="39" t="str">
        <f aca="false">VLOOKUP(C2526,Products!$A$5:$D$24,3,FALSE())</f>
        <v>Electronics</v>
      </c>
      <c r="I2526" s="41" t="n">
        <f aca="false">VLOOKUP(C2526,Products!$A$5:$D$24,4,FALSE())</f>
        <v>38</v>
      </c>
      <c r="J2526" s="42" t="n">
        <f aca="false">DATE(YEAR(B2526),MONTH(B2526),1)</f>
        <v>45962</v>
      </c>
      <c r="K2526" s="41" t="n">
        <f aca="false">D2526*E2526</f>
        <v>147.18</v>
      </c>
      <c r="L2526" s="41" t="n">
        <f aca="false">D2526*I2526</f>
        <v>76</v>
      </c>
      <c r="M2526" s="41" t="n">
        <f aca="false">IFERROR(INDEX(Raw_Expenses!$C$5:$C$2979,MATCH(A2526,Raw_Expenses!$A$5:$A$2979,0)),0)</f>
        <v>6.26</v>
      </c>
      <c r="N2526" s="41" t="n">
        <f aca="false">L2526+M2526</f>
        <v>82.26</v>
      </c>
      <c r="O2526" s="41" t="n">
        <f aca="false">K2526-N2526</f>
        <v>64.92</v>
      </c>
      <c r="P2526" s="43" t="n">
        <f aca="false">IF(K2526=0,0,O2526/K2526)</f>
        <v>0.441092539747248</v>
      </c>
    </row>
    <row r="2527" customFormat="false" ht="15" hidden="false" customHeight="false" outlineLevel="0" collapsed="false">
      <c r="A2527" s="39" t="s">
        <v>2649</v>
      </c>
      <c r="B2527" s="40" t="n">
        <v>45982</v>
      </c>
      <c r="C2527" s="39" t="s">
        <v>126</v>
      </c>
      <c r="D2527" s="39" t="n">
        <v>1</v>
      </c>
      <c r="E2527" s="41" t="n">
        <v>24.76</v>
      </c>
      <c r="F2527" s="39" t="s">
        <v>105</v>
      </c>
      <c r="G2527" s="39" t="str">
        <f aca="false">VLOOKUP(C2527,Products!$A$5:$D$24,2,FALSE())</f>
        <v>Wireless Mouse</v>
      </c>
      <c r="H2527" s="39" t="str">
        <f aca="false">VLOOKUP(C2527,Products!$A$5:$D$24,3,FALSE())</f>
        <v>Electronics</v>
      </c>
      <c r="I2527" s="41" t="n">
        <f aca="false">VLOOKUP(C2527,Products!$A$5:$D$24,4,FALSE())</f>
        <v>12</v>
      </c>
      <c r="J2527" s="42" t="n">
        <f aca="false">DATE(YEAR(B2527),MONTH(B2527),1)</f>
        <v>45962</v>
      </c>
      <c r="K2527" s="41" t="n">
        <f aca="false">D2527*E2527</f>
        <v>24.76</v>
      </c>
      <c r="L2527" s="41" t="n">
        <f aca="false">D2527*I2527</f>
        <v>12</v>
      </c>
      <c r="M2527" s="41" t="n">
        <f aca="false">IFERROR(INDEX(Raw_Expenses!$C$5:$C$2979,MATCH(A2527,Raw_Expenses!$A$5:$A$2979,0)),0)</f>
        <v>1.46</v>
      </c>
      <c r="N2527" s="41" t="n">
        <f aca="false">L2527+M2527</f>
        <v>13.46</v>
      </c>
      <c r="O2527" s="41" t="n">
        <f aca="false">K2527-N2527</f>
        <v>11.3</v>
      </c>
      <c r="P2527" s="43" t="n">
        <f aca="false">IF(K2527=0,0,O2527/K2527)</f>
        <v>0.456381260096931</v>
      </c>
    </row>
    <row r="2528" customFormat="false" ht="15" hidden="false" customHeight="false" outlineLevel="0" collapsed="false">
      <c r="A2528" s="39" t="s">
        <v>2650</v>
      </c>
      <c r="B2528" s="40" t="n">
        <v>45982</v>
      </c>
      <c r="C2528" s="39" t="s">
        <v>133</v>
      </c>
      <c r="D2528" s="39" t="n">
        <v>2</v>
      </c>
      <c r="E2528" s="41" t="n">
        <v>8.71</v>
      </c>
      <c r="F2528" s="39" t="s">
        <v>115</v>
      </c>
      <c r="G2528" s="39" t="str">
        <f aca="false">VLOOKUP(C2528,Products!$A$5:$D$24,2,FALSE())</f>
        <v>Printer Paper Ream</v>
      </c>
      <c r="H2528" s="39" t="str">
        <f aca="false">VLOOKUP(C2528,Products!$A$5:$D$24,3,FALSE())</f>
        <v>Stationery</v>
      </c>
      <c r="I2528" s="41" t="n">
        <f aca="false">VLOOKUP(C2528,Products!$A$5:$D$24,4,FALSE())</f>
        <v>4</v>
      </c>
      <c r="J2528" s="42" t="n">
        <f aca="false">DATE(YEAR(B2528),MONTH(B2528),1)</f>
        <v>45962</v>
      </c>
      <c r="K2528" s="41" t="n">
        <f aca="false">D2528*E2528</f>
        <v>17.42</v>
      </c>
      <c r="L2528" s="41" t="n">
        <f aca="false">D2528*I2528</f>
        <v>8</v>
      </c>
      <c r="M2528" s="41" t="n">
        <f aca="false">IFERROR(INDEX(Raw_Expenses!$C$5:$C$2979,MATCH(A2528,Raw_Expenses!$A$5:$A$2979,0)),0)</f>
        <v>0.99</v>
      </c>
      <c r="N2528" s="41" t="n">
        <f aca="false">L2528+M2528</f>
        <v>8.99</v>
      </c>
      <c r="O2528" s="41" t="n">
        <f aca="false">K2528-N2528</f>
        <v>8.43</v>
      </c>
      <c r="P2528" s="43" t="n">
        <f aca="false">IF(K2528=0,0,O2528/K2528)</f>
        <v>0.483926521239954</v>
      </c>
    </row>
    <row r="2529" customFormat="false" ht="15" hidden="false" customHeight="false" outlineLevel="0" collapsed="false">
      <c r="A2529" s="39" t="s">
        <v>2651</v>
      </c>
      <c r="B2529" s="40" t="n">
        <v>45982</v>
      </c>
      <c r="C2529" s="39" t="s">
        <v>114</v>
      </c>
      <c r="D2529" s="39" t="n">
        <v>1</v>
      </c>
      <c r="E2529" s="41" t="n">
        <v>5.95</v>
      </c>
      <c r="F2529" s="39" t="s">
        <v>115</v>
      </c>
      <c r="G2529" s="39" t="str">
        <f aca="false">VLOOKUP(C2529,Products!$A$5:$D$24,2,FALSE())</f>
        <v>Gel Pen Pack</v>
      </c>
      <c r="H2529" s="39" t="str">
        <f aca="false">VLOOKUP(C2529,Products!$A$5:$D$24,3,FALSE())</f>
        <v>Stationery</v>
      </c>
      <c r="I2529" s="41" t="n">
        <f aca="false">VLOOKUP(C2529,Products!$A$5:$D$24,4,FALSE())</f>
        <v>2</v>
      </c>
      <c r="J2529" s="42" t="n">
        <f aca="false">DATE(YEAR(B2529),MONTH(B2529),1)</f>
        <v>45962</v>
      </c>
      <c r="K2529" s="41" t="n">
        <f aca="false">D2529*E2529</f>
        <v>5.95</v>
      </c>
      <c r="L2529" s="41" t="n">
        <f aca="false">D2529*I2529</f>
        <v>2</v>
      </c>
      <c r="M2529" s="41" t="n">
        <f aca="false">IFERROR(INDEX(Raw_Expenses!$C$5:$C$2979,MATCH(A2529,Raw_Expenses!$A$5:$A$2979,0)),0)</f>
        <v>0.3</v>
      </c>
      <c r="N2529" s="41" t="n">
        <f aca="false">L2529+M2529</f>
        <v>2.3</v>
      </c>
      <c r="O2529" s="41" t="n">
        <f aca="false">K2529-N2529</f>
        <v>3.65</v>
      </c>
      <c r="P2529" s="43" t="n">
        <f aca="false">IF(K2529=0,0,O2529/K2529)</f>
        <v>0.613445378151261</v>
      </c>
    </row>
    <row r="2530" customFormat="false" ht="15" hidden="false" customHeight="false" outlineLevel="0" collapsed="false">
      <c r="A2530" s="39" t="s">
        <v>2652</v>
      </c>
      <c r="B2530" s="40" t="n">
        <v>45982</v>
      </c>
      <c r="C2530" s="39" t="s">
        <v>107</v>
      </c>
      <c r="D2530" s="39" t="n">
        <v>1</v>
      </c>
      <c r="E2530" s="41" t="n">
        <v>33.68</v>
      </c>
      <c r="F2530" s="39" t="s">
        <v>105</v>
      </c>
      <c r="G2530" s="39" t="str">
        <f aca="false">VLOOKUP(C2530,Products!$A$5:$D$24,2,FALSE())</f>
        <v>USB-C Hub</v>
      </c>
      <c r="H2530" s="39" t="str">
        <f aca="false">VLOOKUP(C2530,Products!$A$5:$D$24,3,FALSE())</f>
        <v>Electronics</v>
      </c>
      <c r="I2530" s="41" t="n">
        <f aca="false">VLOOKUP(C2530,Products!$A$5:$D$24,4,FALSE())</f>
        <v>14</v>
      </c>
      <c r="J2530" s="42" t="n">
        <f aca="false">DATE(YEAR(B2530),MONTH(B2530),1)</f>
        <v>45962</v>
      </c>
      <c r="K2530" s="41" t="n">
        <f aca="false">D2530*E2530</f>
        <v>33.68</v>
      </c>
      <c r="L2530" s="41" t="n">
        <f aca="false">D2530*I2530</f>
        <v>14</v>
      </c>
      <c r="M2530" s="41" t="n">
        <f aca="false">IFERROR(INDEX(Raw_Expenses!$C$5:$C$2979,MATCH(A2530,Raw_Expenses!$A$5:$A$2979,0)),0)</f>
        <v>1.38</v>
      </c>
      <c r="N2530" s="41" t="n">
        <f aca="false">L2530+M2530</f>
        <v>15.38</v>
      </c>
      <c r="O2530" s="41" t="n">
        <f aca="false">K2530-N2530</f>
        <v>18.3</v>
      </c>
      <c r="P2530" s="43" t="n">
        <f aca="false">IF(K2530=0,0,O2530/K2530)</f>
        <v>0.543349168646081</v>
      </c>
    </row>
    <row r="2531" customFormat="false" ht="15" hidden="false" customHeight="false" outlineLevel="0" collapsed="false">
      <c r="A2531" s="39" t="s">
        <v>2653</v>
      </c>
      <c r="B2531" s="40" t="n">
        <v>45983</v>
      </c>
      <c r="C2531" s="39" t="s">
        <v>110</v>
      </c>
      <c r="D2531" s="39" t="n">
        <v>2</v>
      </c>
      <c r="E2531" s="41" t="n">
        <v>13.91</v>
      </c>
      <c r="F2531" s="39" t="s">
        <v>105</v>
      </c>
      <c r="G2531" s="39" t="str">
        <f aca="false">VLOOKUP(C2531,Products!$A$5:$D$24,2,FALSE())</f>
        <v>Phone Stand</v>
      </c>
      <c r="H2531" s="39" t="str">
        <f aca="false">VLOOKUP(C2531,Products!$A$5:$D$24,3,FALSE())</f>
        <v>Accessories</v>
      </c>
      <c r="I2531" s="41" t="n">
        <f aca="false">VLOOKUP(C2531,Products!$A$5:$D$24,4,FALSE())</f>
        <v>4</v>
      </c>
      <c r="J2531" s="42" t="n">
        <f aca="false">DATE(YEAR(B2531),MONTH(B2531),1)</f>
        <v>45962</v>
      </c>
      <c r="K2531" s="41" t="n">
        <f aca="false">D2531*E2531</f>
        <v>27.82</v>
      </c>
      <c r="L2531" s="41" t="n">
        <f aca="false">D2531*I2531</f>
        <v>8</v>
      </c>
      <c r="M2531" s="41" t="n">
        <f aca="false">IFERROR(INDEX(Raw_Expenses!$C$5:$C$2979,MATCH(A2531,Raw_Expenses!$A$5:$A$2979,0)),0)</f>
        <v>1.22</v>
      </c>
      <c r="N2531" s="41" t="n">
        <f aca="false">L2531+M2531</f>
        <v>9.22</v>
      </c>
      <c r="O2531" s="41" t="n">
        <f aca="false">K2531-N2531</f>
        <v>18.6</v>
      </c>
      <c r="P2531" s="43" t="n">
        <f aca="false">IF(K2531=0,0,O2531/K2531)</f>
        <v>0.668583752695902</v>
      </c>
    </row>
    <row r="2532" customFormat="false" ht="15" hidden="false" customHeight="false" outlineLevel="0" collapsed="false">
      <c r="A2532" s="39" t="s">
        <v>2654</v>
      </c>
      <c r="B2532" s="40" t="n">
        <v>45983</v>
      </c>
      <c r="C2532" s="39" t="s">
        <v>107</v>
      </c>
      <c r="D2532" s="39" t="n">
        <v>2</v>
      </c>
      <c r="E2532" s="41" t="n">
        <v>34</v>
      </c>
      <c r="F2532" s="39" t="s">
        <v>105</v>
      </c>
      <c r="G2532" s="39" t="str">
        <f aca="false">VLOOKUP(C2532,Products!$A$5:$D$24,2,FALSE())</f>
        <v>USB-C Hub</v>
      </c>
      <c r="H2532" s="39" t="str">
        <f aca="false">VLOOKUP(C2532,Products!$A$5:$D$24,3,FALSE())</f>
        <v>Electronics</v>
      </c>
      <c r="I2532" s="41" t="n">
        <f aca="false">VLOOKUP(C2532,Products!$A$5:$D$24,4,FALSE())</f>
        <v>14</v>
      </c>
      <c r="J2532" s="42" t="n">
        <f aca="false">DATE(YEAR(B2532),MONTH(B2532),1)</f>
        <v>45962</v>
      </c>
      <c r="K2532" s="41" t="n">
        <f aca="false">D2532*E2532</f>
        <v>68</v>
      </c>
      <c r="L2532" s="41" t="n">
        <f aca="false">D2532*I2532</f>
        <v>28</v>
      </c>
      <c r="M2532" s="41" t="n">
        <f aca="false">IFERROR(INDEX(Raw_Expenses!$C$5:$C$2979,MATCH(A2532,Raw_Expenses!$A$5:$A$2979,0)),0)</f>
        <v>4.19</v>
      </c>
      <c r="N2532" s="41" t="n">
        <f aca="false">L2532+M2532</f>
        <v>32.19</v>
      </c>
      <c r="O2532" s="41" t="n">
        <f aca="false">K2532-N2532</f>
        <v>35.81</v>
      </c>
      <c r="P2532" s="43" t="n">
        <f aca="false">IF(K2532=0,0,O2532/K2532)</f>
        <v>0.526617647058824</v>
      </c>
    </row>
    <row r="2533" customFormat="false" ht="15" hidden="false" customHeight="false" outlineLevel="0" collapsed="false">
      <c r="A2533" s="39" t="s">
        <v>2655</v>
      </c>
      <c r="B2533" s="40" t="n">
        <v>45983</v>
      </c>
      <c r="C2533" s="39" t="s">
        <v>126</v>
      </c>
      <c r="D2533" s="39" t="n">
        <v>2</v>
      </c>
      <c r="E2533" s="41" t="n">
        <v>23.94</v>
      </c>
      <c r="F2533" s="39" t="s">
        <v>105</v>
      </c>
      <c r="G2533" s="39" t="str">
        <f aca="false">VLOOKUP(C2533,Products!$A$5:$D$24,2,FALSE())</f>
        <v>Wireless Mouse</v>
      </c>
      <c r="H2533" s="39" t="str">
        <f aca="false">VLOOKUP(C2533,Products!$A$5:$D$24,3,FALSE())</f>
        <v>Electronics</v>
      </c>
      <c r="I2533" s="41" t="n">
        <f aca="false">VLOOKUP(C2533,Products!$A$5:$D$24,4,FALSE())</f>
        <v>12</v>
      </c>
      <c r="J2533" s="42" t="n">
        <f aca="false">DATE(YEAR(B2533),MONTH(B2533),1)</f>
        <v>45962</v>
      </c>
      <c r="K2533" s="41" t="n">
        <f aca="false">D2533*E2533</f>
        <v>47.88</v>
      </c>
      <c r="L2533" s="41" t="n">
        <f aca="false">D2533*I2533</f>
        <v>24</v>
      </c>
      <c r="M2533" s="41" t="n">
        <f aca="false">IFERROR(INDEX(Raw_Expenses!$C$5:$C$2979,MATCH(A2533,Raw_Expenses!$A$5:$A$2979,0)),0)</f>
        <v>3.18</v>
      </c>
      <c r="N2533" s="41" t="n">
        <f aca="false">L2533+M2533</f>
        <v>27.18</v>
      </c>
      <c r="O2533" s="41" t="n">
        <f aca="false">K2533-N2533</f>
        <v>20.7</v>
      </c>
      <c r="P2533" s="43" t="n">
        <f aca="false">IF(K2533=0,0,O2533/K2533)</f>
        <v>0.432330827067669</v>
      </c>
    </row>
    <row r="2534" customFormat="false" ht="15" hidden="false" customHeight="false" outlineLevel="0" collapsed="false">
      <c r="A2534" s="39" t="s">
        <v>2656</v>
      </c>
      <c r="B2534" s="40" t="n">
        <v>45983</v>
      </c>
      <c r="C2534" s="39" t="s">
        <v>139</v>
      </c>
      <c r="D2534" s="39" t="n">
        <v>1</v>
      </c>
      <c r="E2534" s="41" t="n">
        <v>126.94</v>
      </c>
      <c r="F2534" s="39" t="s">
        <v>118</v>
      </c>
      <c r="G2534" s="39" t="str">
        <f aca="false">VLOOKUP(C2534,Products!$A$5:$D$24,2,FALSE())</f>
        <v>Noise-Cancelling Headphones</v>
      </c>
      <c r="H2534" s="39" t="str">
        <f aca="false">VLOOKUP(C2534,Products!$A$5:$D$24,3,FALSE())</f>
        <v>Electronics</v>
      </c>
      <c r="I2534" s="41" t="n">
        <f aca="false">VLOOKUP(C2534,Products!$A$5:$D$24,4,FALSE())</f>
        <v>55</v>
      </c>
      <c r="J2534" s="42" t="n">
        <f aca="false">DATE(YEAR(B2534),MONTH(B2534),1)</f>
        <v>45962</v>
      </c>
      <c r="K2534" s="41" t="n">
        <f aca="false">D2534*E2534</f>
        <v>126.94</v>
      </c>
      <c r="L2534" s="41" t="n">
        <f aca="false">D2534*I2534</f>
        <v>55</v>
      </c>
      <c r="M2534" s="41" t="n">
        <f aca="false">IFERROR(INDEX(Raw_Expenses!$C$5:$C$2979,MATCH(A2534,Raw_Expenses!$A$5:$A$2979,0)),0)</f>
        <v>6.62</v>
      </c>
      <c r="N2534" s="41" t="n">
        <f aca="false">L2534+M2534</f>
        <v>61.62</v>
      </c>
      <c r="O2534" s="41" t="n">
        <f aca="false">K2534-N2534</f>
        <v>65.32</v>
      </c>
      <c r="P2534" s="43" t="n">
        <f aca="false">IF(K2534=0,0,O2534/K2534)</f>
        <v>0.514573814400504</v>
      </c>
    </row>
    <row r="2535" customFormat="false" ht="15" hidden="false" customHeight="false" outlineLevel="0" collapsed="false">
      <c r="A2535" s="39" t="s">
        <v>2657</v>
      </c>
      <c r="B2535" s="40" t="n">
        <v>45983</v>
      </c>
      <c r="C2535" s="39" t="s">
        <v>162</v>
      </c>
      <c r="D2535" s="39" t="n">
        <v>1</v>
      </c>
      <c r="E2535" s="41" t="n">
        <v>65.47</v>
      </c>
      <c r="F2535" s="39" t="s">
        <v>115</v>
      </c>
      <c r="G2535" s="39" t="str">
        <f aca="false">VLOOKUP(C2535,Products!$A$5:$D$24,2,FALSE())</f>
        <v>Bluetooth Speaker</v>
      </c>
      <c r="H2535" s="39" t="str">
        <f aca="false">VLOOKUP(C2535,Products!$A$5:$D$24,3,FALSE())</f>
        <v>Electronics</v>
      </c>
      <c r="I2535" s="41" t="n">
        <f aca="false">VLOOKUP(C2535,Products!$A$5:$D$24,4,FALSE())</f>
        <v>28</v>
      </c>
      <c r="J2535" s="42" t="n">
        <f aca="false">DATE(YEAR(B2535),MONTH(B2535),1)</f>
        <v>45962</v>
      </c>
      <c r="K2535" s="41" t="n">
        <f aca="false">D2535*E2535</f>
        <v>65.47</v>
      </c>
      <c r="L2535" s="41" t="n">
        <f aca="false">D2535*I2535</f>
        <v>28</v>
      </c>
      <c r="M2535" s="41" t="n">
        <f aca="false">IFERROR(INDEX(Raw_Expenses!$C$5:$C$2979,MATCH(A2535,Raw_Expenses!$A$5:$A$2979,0)),0)</f>
        <v>3.26</v>
      </c>
      <c r="N2535" s="41" t="n">
        <f aca="false">L2535+M2535</f>
        <v>31.26</v>
      </c>
      <c r="O2535" s="41" t="n">
        <f aca="false">K2535-N2535</f>
        <v>34.21</v>
      </c>
      <c r="P2535" s="43" t="n">
        <f aca="false">IF(K2535=0,0,O2535/K2535)</f>
        <v>0.522529402779899</v>
      </c>
    </row>
    <row r="2536" customFormat="false" ht="15" hidden="false" customHeight="false" outlineLevel="0" collapsed="false">
      <c r="A2536" s="39" t="s">
        <v>2658</v>
      </c>
      <c r="B2536" s="40" t="n">
        <v>45983</v>
      </c>
      <c r="C2536" s="39" t="s">
        <v>117</v>
      </c>
      <c r="D2536" s="39" t="n">
        <v>2</v>
      </c>
      <c r="E2536" s="41" t="n">
        <v>31.88</v>
      </c>
      <c r="F2536" s="39" t="s">
        <v>115</v>
      </c>
      <c r="G2536" s="39" t="str">
        <f aca="false">VLOOKUP(C2536,Products!$A$5:$D$24,2,FALSE())</f>
        <v>Desk Lamp</v>
      </c>
      <c r="H2536" s="39" t="str">
        <f aca="false">VLOOKUP(C2536,Products!$A$5:$D$24,3,FALSE())</f>
        <v>Furniture</v>
      </c>
      <c r="I2536" s="41" t="n">
        <f aca="false">VLOOKUP(C2536,Products!$A$5:$D$24,4,FALSE())</f>
        <v>13</v>
      </c>
      <c r="J2536" s="42" t="n">
        <f aca="false">DATE(YEAR(B2536),MONTH(B2536),1)</f>
        <v>45962</v>
      </c>
      <c r="K2536" s="41" t="n">
        <f aca="false">D2536*E2536</f>
        <v>63.76</v>
      </c>
      <c r="L2536" s="41" t="n">
        <f aca="false">D2536*I2536</f>
        <v>26</v>
      </c>
      <c r="M2536" s="41" t="n">
        <f aca="false">IFERROR(INDEX(Raw_Expenses!$C$5:$C$2979,MATCH(A2536,Raw_Expenses!$A$5:$A$2979,0)),0)</f>
        <v>3.48</v>
      </c>
      <c r="N2536" s="41" t="n">
        <f aca="false">L2536+M2536</f>
        <v>29.48</v>
      </c>
      <c r="O2536" s="41" t="n">
        <f aca="false">K2536-N2536</f>
        <v>34.28</v>
      </c>
      <c r="P2536" s="43" t="n">
        <f aca="false">IF(K2536=0,0,O2536/K2536)</f>
        <v>0.537641154328733</v>
      </c>
    </row>
    <row r="2537" customFormat="false" ht="15" hidden="false" customHeight="false" outlineLevel="0" collapsed="false">
      <c r="A2537" s="39" t="s">
        <v>2659</v>
      </c>
      <c r="B2537" s="40" t="n">
        <v>45983</v>
      </c>
      <c r="C2537" s="39" t="s">
        <v>153</v>
      </c>
      <c r="D2537" s="39" t="n">
        <v>1</v>
      </c>
      <c r="E2537" s="41" t="n">
        <v>166.93</v>
      </c>
      <c r="F2537" s="39" t="s">
        <v>118</v>
      </c>
      <c r="G2537" s="39" t="str">
        <f aca="false">VLOOKUP(C2537,Products!$A$5:$D$24,2,FALSE())</f>
        <v>24-inch Monitor</v>
      </c>
      <c r="H2537" s="39" t="str">
        <f aca="false">VLOOKUP(C2537,Products!$A$5:$D$24,3,FALSE())</f>
        <v>Electronics</v>
      </c>
      <c r="I2537" s="41" t="n">
        <f aca="false">VLOOKUP(C2537,Products!$A$5:$D$24,4,FALSE())</f>
        <v>90</v>
      </c>
      <c r="J2537" s="42" t="n">
        <f aca="false">DATE(YEAR(B2537),MONTH(B2537),1)</f>
        <v>45962</v>
      </c>
      <c r="K2537" s="41" t="n">
        <f aca="false">D2537*E2537</f>
        <v>166.93</v>
      </c>
      <c r="L2537" s="41" t="n">
        <f aca="false">D2537*I2537</f>
        <v>90</v>
      </c>
      <c r="M2537" s="41" t="n">
        <f aca="false">IFERROR(INDEX(Raw_Expenses!$C$5:$C$2979,MATCH(A2537,Raw_Expenses!$A$5:$A$2979,0)),0)</f>
        <v>11.14</v>
      </c>
      <c r="N2537" s="41" t="n">
        <f aca="false">L2537+M2537</f>
        <v>101.14</v>
      </c>
      <c r="O2537" s="41" t="n">
        <f aca="false">K2537-N2537</f>
        <v>65.79</v>
      </c>
      <c r="P2537" s="43" t="n">
        <f aca="false">IF(K2537=0,0,O2537/K2537)</f>
        <v>0.394117294674414</v>
      </c>
    </row>
    <row r="2538" customFormat="false" ht="15" hidden="false" customHeight="false" outlineLevel="0" collapsed="false">
      <c r="A2538" s="39" t="s">
        <v>2660</v>
      </c>
      <c r="B2538" s="40" t="n">
        <v>45983</v>
      </c>
      <c r="C2538" s="39" t="s">
        <v>104</v>
      </c>
      <c r="D2538" s="39" t="n">
        <v>1</v>
      </c>
      <c r="E2538" s="41" t="n">
        <v>15.22</v>
      </c>
      <c r="F2538" s="39" t="s">
        <v>105</v>
      </c>
      <c r="G2538" s="39" t="str">
        <f aca="false">VLOOKUP(C2538,Products!$A$5:$D$24,2,FALSE())</f>
        <v>Water Bottle</v>
      </c>
      <c r="H2538" s="39" t="str">
        <f aca="false">VLOOKUP(C2538,Products!$A$5:$D$24,3,FALSE())</f>
        <v>Accessories</v>
      </c>
      <c r="I2538" s="41" t="n">
        <f aca="false">VLOOKUP(C2538,Products!$A$5:$D$24,4,FALSE())</f>
        <v>5</v>
      </c>
      <c r="J2538" s="42" t="n">
        <f aca="false">DATE(YEAR(B2538),MONTH(B2538),1)</f>
        <v>45962</v>
      </c>
      <c r="K2538" s="41" t="n">
        <f aca="false">D2538*E2538</f>
        <v>15.22</v>
      </c>
      <c r="L2538" s="41" t="n">
        <f aca="false">D2538*I2538</f>
        <v>5</v>
      </c>
      <c r="M2538" s="41" t="n">
        <f aca="false">IFERROR(INDEX(Raw_Expenses!$C$5:$C$2979,MATCH(A2538,Raw_Expenses!$A$5:$A$2979,0)),0)</f>
        <v>1.26</v>
      </c>
      <c r="N2538" s="41" t="n">
        <f aca="false">L2538+M2538</f>
        <v>6.26</v>
      </c>
      <c r="O2538" s="41" t="n">
        <f aca="false">K2538-N2538</f>
        <v>8.96</v>
      </c>
      <c r="P2538" s="43" t="n">
        <f aca="false">IF(K2538=0,0,O2538/K2538)</f>
        <v>0.588699080157687</v>
      </c>
    </row>
    <row r="2539" customFormat="false" ht="15" hidden="false" customHeight="false" outlineLevel="0" collapsed="false">
      <c r="A2539" s="39" t="s">
        <v>2661</v>
      </c>
      <c r="B2539" s="40" t="n">
        <v>45983</v>
      </c>
      <c r="C2539" s="39" t="s">
        <v>177</v>
      </c>
      <c r="D2539" s="39" t="n">
        <v>1</v>
      </c>
      <c r="E2539" s="41" t="n">
        <v>43.03</v>
      </c>
      <c r="F2539" s="39" t="s">
        <v>105</v>
      </c>
      <c r="G2539" s="39" t="str">
        <f aca="false">VLOOKUP(C2539,Products!$A$5:$D$24,2,FALSE())</f>
        <v>Backpack</v>
      </c>
      <c r="H2539" s="39" t="str">
        <f aca="false">VLOOKUP(C2539,Products!$A$5:$D$24,3,FALSE())</f>
        <v>Accessories</v>
      </c>
      <c r="I2539" s="41" t="n">
        <f aca="false">VLOOKUP(C2539,Products!$A$5:$D$24,4,FALSE())</f>
        <v>17</v>
      </c>
      <c r="J2539" s="42" t="n">
        <f aca="false">DATE(YEAR(B2539),MONTH(B2539),1)</f>
        <v>45962</v>
      </c>
      <c r="K2539" s="41" t="n">
        <f aca="false">D2539*E2539</f>
        <v>43.03</v>
      </c>
      <c r="L2539" s="41" t="n">
        <f aca="false">D2539*I2539</f>
        <v>17</v>
      </c>
      <c r="M2539" s="41" t="n">
        <f aca="false">IFERROR(INDEX(Raw_Expenses!$C$5:$C$2979,MATCH(A2539,Raw_Expenses!$A$5:$A$2979,0)),0)</f>
        <v>2.89</v>
      </c>
      <c r="N2539" s="41" t="n">
        <f aca="false">L2539+M2539</f>
        <v>19.89</v>
      </c>
      <c r="O2539" s="41" t="n">
        <f aca="false">K2539-N2539</f>
        <v>23.14</v>
      </c>
      <c r="P2539" s="43" t="n">
        <f aca="false">IF(K2539=0,0,O2539/K2539)</f>
        <v>0.537764350453172</v>
      </c>
    </row>
    <row r="2540" customFormat="false" ht="15" hidden="false" customHeight="false" outlineLevel="0" collapsed="false">
      <c r="A2540" s="39" t="s">
        <v>2662</v>
      </c>
      <c r="B2540" s="40" t="n">
        <v>45983</v>
      </c>
      <c r="C2540" s="39" t="s">
        <v>114</v>
      </c>
      <c r="D2540" s="39" t="n">
        <v>5</v>
      </c>
      <c r="E2540" s="41" t="n">
        <v>5.86</v>
      </c>
      <c r="F2540" s="39" t="s">
        <v>118</v>
      </c>
      <c r="G2540" s="39" t="str">
        <f aca="false">VLOOKUP(C2540,Products!$A$5:$D$24,2,FALSE())</f>
        <v>Gel Pen Pack</v>
      </c>
      <c r="H2540" s="39" t="str">
        <f aca="false">VLOOKUP(C2540,Products!$A$5:$D$24,3,FALSE())</f>
        <v>Stationery</v>
      </c>
      <c r="I2540" s="41" t="n">
        <f aca="false">VLOOKUP(C2540,Products!$A$5:$D$24,4,FALSE())</f>
        <v>2</v>
      </c>
      <c r="J2540" s="42" t="n">
        <f aca="false">DATE(YEAR(B2540),MONTH(B2540),1)</f>
        <v>45962</v>
      </c>
      <c r="K2540" s="41" t="n">
        <f aca="false">D2540*E2540</f>
        <v>29.3</v>
      </c>
      <c r="L2540" s="41" t="n">
        <f aca="false">D2540*I2540</f>
        <v>10</v>
      </c>
      <c r="M2540" s="41" t="n">
        <f aca="false">IFERROR(INDEX(Raw_Expenses!$C$5:$C$2979,MATCH(A2540,Raw_Expenses!$A$5:$A$2979,0)),0)</f>
        <v>2.57</v>
      </c>
      <c r="N2540" s="41" t="n">
        <f aca="false">L2540+M2540</f>
        <v>12.57</v>
      </c>
      <c r="O2540" s="41" t="n">
        <f aca="false">K2540-N2540</f>
        <v>16.73</v>
      </c>
      <c r="P2540" s="43" t="n">
        <f aca="false">IF(K2540=0,0,O2540/K2540)</f>
        <v>0.57098976109215</v>
      </c>
    </row>
    <row r="2541" customFormat="false" ht="15" hidden="false" customHeight="false" outlineLevel="0" collapsed="false">
      <c r="A2541" s="39" t="s">
        <v>2663</v>
      </c>
      <c r="B2541" s="40" t="n">
        <v>45983</v>
      </c>
      <c r="C2541" s="39" t="s">
        <v>114</v>
      </c>
      <c r="D2541" s="39" t="n">
        <v>3</v>
      </c>
      <c r="E2541" s="41" t="n">
        <v>5.78</v>
      </c>
      <c r="F2541" s="39" t="s">
        <v>115</v>
      </c>
      <c r="G2541" s="39" t="str">
        <f aca="false">VLOOKUP(C2541,Products!$A$5:$D$24,2,FALSE())</f>
        <v>Gel Pen Pack</v>
      </c>
      <c r="H2541" s="39" t="str">
        <f aca="false">VLOOKUP(C2541,Products!$A$5:$D$24,3,FALSE())</f>
        <v>Stationery</v>
      </c>
      <c r="I2541" s="41" t="n">
        <f aca="false">VLOOKUP(C2541,Products!$A$5:$D$24,4,FALSE())</f>
        <v>2</v>
      </c>
      <c r="J2541" s="42" t="n">
        <f aca="false">DATE(YEAR(B2541),MONTH(B2541),1)</f>
        <v>45962</v>
      </c>
      <c r="K2541" s="41" t="n">
        <f aca="false">D2541*E2541</f>
        <v>17.34</v>
      </c>
      <c r="L2541" s="41" t="n">
        <f aca="false">D2541*I2541</f>
        <v>6</v>
      </c>
      <c r="M2541" s="41" t="n">
        <f aca="false">IFERROR(INDEX(Raw_Expenses!$C$5:$C$2979,MATCH(A2541,Raw_Expenses!$A$5:$A$2979,0)),0)</f>
        <v>1.53</v>
      </c>
      <c r="N2541" s="41" t="n">
        <f aca="false">L2541+M2541</f>
        <v>7.53</v>
      </c>
      <c r="O2541" s="41" t="n">
        <f aca="false">K2541-N2541</f>
        <v>9.81</v>
      </c>
      <c r="P2541" s="43" t="n">
        <f aca="false">IF(K2541=0,0,O2541/K2541)</f>
        <v>0.565743944636678</v>
      </c>
    </row>
    <row r="2542" customFormat="false" ht="15" hidden="false" customHeight="false" outlineLevel="0" collapsed="false">
      <c r="A2542" s="39" t="s">
        <v>2664</v>
      </c>
      <c r="B2542" s="40" t="n">
        <v>45983</v>
      </c>
      <c r="C2542" s="39" t="s">
        <v>177</v>
      </c>
      <c r="D2542" s="39" t="n">
        <v>1</v>
      </c>
      <c r="E2542" s="41" t="n">
        <v>42.3</v>
      </c>
      <c r="F2542" s="39" t="s">
        <v>108</v>
      </c>
      <c r="G2542" s="39" t="str">
        <f aca="false">VLOOKUP(C2542,Products!$A$5:$D$24,2,FALSE())</f>
        <v>Backpack</v>
      </c>
      <c r="H2542" s="39" t="str">
        <f aca="false">VLOOKUP(C2542,Products!$A$5:$D$24,3,FALSE())</f>
        <v>Accessories</v>
      </c>
      <c r="I2542" s="41" t="n">
        <f aca="false">VLOOKUP(C2542,Products!$A$5:$D$24,4,FALSE())</f>
        <v>17</v>
      </c>
      <c r="J2542" s="42" t="n">
        <f aca="false">DATE(YEAR(B2542),MONTH(B2542),1)</f>
        <v>45962</v>
      </c>
      <c r="K2542" s="41" t="n">
        <f aca="false">D2542*E2542</f>
        <v>42.3</v>
      </c>
      <c r="L2542" s="41" t="n">
        <f aca="false">D2542*I2542</f>
        <v>17</v>
      </c>
      <c r="M2542" s="41" t="n">
        <f aca="false">IFERROR(INDEX(Raw_Expenses!$C$5:$C$2979,MATCH(A2542,Raw_Expenses!$A$5:$A$2979,0)),0)</f>
        <v>3.21</v>
      </c>
      <c r="N2542" s="41" t="n">
        <f aca="false">L2542+M2542</f>
        <v>20.21</v>
      </c>
      <c r="O2542" s="41" t="n">
        <f aca="false">K2542-N2542</f>
        <v>22.09</v>
      </c>
      <c r="P2542" s="43" t="n">
        <f aca="false">IF(K2542=0,0,O2542/K2542)</f>
        <v>0.522222222222222</v>
      </c>
    </row>
    <row r="2543" customFormat="false" ht="15" hidden="false" customHeight="false" outlineLevel="0" collapsed="false">
      <c r="A2543" s="39" t="s">
        <v>2665</v>
      </c>
      <c r="B2543" s="40" t="n">
        <v>45983</v>
      </c>
      <c r="C2543" s="39" t="s">
        <v>139</v>
      </c>
      <c r="D2543" s="39" t="n">
        <v>3</v>
      </c>
      <c r="E2543" s="41" t="n">
        <v>123.8</v>
      </c>
      <c r="F2543" s="39" t="s">
        <v>108</v>
      </c>
      <c r="G2543" s="39" t="str">
        <f aca="false">VLOOKUP(C2543,Products!$A$5:$D$24,2,FALSE())</f>
        <v>Noise-Cancelling Headphones</v>
      </c>
      <c r="H2543" s="39" t="str">
        <f aca="false">VLOOKUP(C2543,Products!$A$5:$D$24,3,FALSE())</f>
        <v>Electronics</v>
      </c>
      <c r="I2543" s="41" t="n">
        <f aca="false">VLOOKUP(C2543,Products!$A$5:$D$24,4,FALSE())</f>
        <v>55</v>
      </c>
      <c r="J2543" s="42" t="n">
        <f aca="false">DATE(YEAR(B2543),MONTH(B2543),1)</f>
        <v>45962</v>
      </c>
      <c r="K2543" s="41" t="n">
        <f aca="false">D2543*E2543</f>
        <v>371.4</v>
      </c>
      <c r="L2543" s="41" t="n">
        <f aca="false">D2543*I2543</f>
        <v>165</v>
      </c>
      <c r="M2543" s="41" t="n">
        <f aca="false">IFERROR(INDEX(Raw_Expenses!$C$5:$C$2979,MATCH(A2543,Raw_Expenses!$A$5:$A$2979,0)),0)</f>
        <v>26.02</v>
      </c>
      <c r="N2543" s="41" t="n">
        <f aca="false">L2543+M2543</f>
        <v>191.02</v>
      </c>
      <c r="O2543" s="41" t="n">
        <f aca="false">K2543-N2543</f>
        <v>180.38</v>
      </c>
      <c r="P2543" s="43" t="n">
        <f aca="false">IF(K2543=0,0,O2543/K2543)</f>
        <v>0.485675821217017</v>
      </c>
    </row>
    <row r="2544" customFormat="false" ht="15" hidden="false" customHeight="false" outlineLevel="0" collapsed="false">
      <c r="A2544" s="39" t="s">
        <v>2666</v>
      </c>
      <c r="B2544" s="40" t="n">
        <v>45983</v>
      </c>
      <c r="C2544" s="39" t="s">
        <v>130</v>
      </c>
      <c r="D2544" s="39" t="n">
        <v>1</v>
      </c>
      <c r="E2544" s="41" t="n">
        <v>8.32</v>
      </c>
      <c r="F2544" s="39" t="s">
        <v>108</v>
      </c>
      <c r="G2544" s="39" t="str">
        <f aca="false">VLOOKUP(C2544,Products!$A$5:$D$24,2,FALSE())</f>
        <v>Notebook Set</v>
      </c>
      <c r="H2544" s="39" t="str">
        <f aca="false">VLOOKUP(C2544,Products!$A$5:$D$24,3,FALSE())</f>
        <v>Stationery</v>
      </c>
      <c r="I2544" s="41" t="n">
        <f aca="false">VLOOKUP(C2544,Products!$A$5:$D$24,4,FALSE())</f>
        <v>3</v>
      </c>
      <c r="J2544" s="42" t="n">
        <f aca="false">DATE(YEAR(B2544),MONTH(B2544),1)</f>
        <v>45962</v>
      </c>
      <c r="K2544" s="41" t="n">
        <f aca="false">D2544*E2544</f>
        <v>8.32</v>
      </c>
      <c r="L2544" s="41" t="n">
        <f aca="false">D2544*I2544</f>
        <v>3</v>
      </c>
      <c r="M2544" s="41" t="n">
        <f aca="false">IFERROR(INDEX(Raw_Expenses!$C$5:$C$2979,MATCH(A2544,Raw_Expenses!$A$5:$A$2979,0)),0)</f>
        <v>0.41</v>
      </c>
      <c r="N2544" s="41" t="n">
        <f aca="false">L2544+M2544</f>
        <v>3.41</v>
      </c>
      <c r="O2544" s="41" t="n">
        <f aca="false">K2544-N2544</f>
        <v>4.91</v>
      </c>
      <c r="P2544" s="43" t="n">
        <f aca="false">IF(K2544=0,0,O2544/K2544)</f>
        <v>0.590144230769231</v>
      </c>
    </row>
    <row r="2545" customFormat="false" ht="15" hidden="false" customHeight="false" outlineLevel="0" collapsed="false">
      <c r="A2545" s="39" t="s">
        <v>2667</v>
      </c>
      <c r="B2545" s="40" t="n">
        <v>45983</v>
      </c>
      <c r="C2545" s="39" t="s">
        <v>128</v>
      </c>
      <c r="D2545" s="39" t="n">
        <v>2</v>
      </c>
      <c r="E2545" s="41" t="n">
        <v>36.3</v>
      </c>
      <c r="F2545" s="39" t="s">
        <v>115</v>
      </c>
      <c r="G2545" s="39" t="str">
        <f aca="false">VLOOKUP(C2545,Products!$A$5:$D$24,2,FALSE())</f>
        <v>Ergonomic Footrest</v>
      </c>
      <c r="H2545" s="39" t="str">
        <f aca="false">VLOOKUP(C2545,Products!$A$5:$D$24,3,FALSE())</f>
        <v>Furniture</v>
      </c>
      <c r="I2545" s="41" t="n">
        <f aca="false">VLOOKUP(C2545,Products!$A$5:$D$24,4,FALSE())</f>
        <v>15</v>
      </c>
      <c r="J2545" s="42" t="n">
        <f aca="false">DATE(YEAR(B2545),MONTH(B2545),1)</f>
        <v>45962</v>
      </c>
      <c r="K2545" s="41" t="n">
        <f aca="false">D2545*E2545</f>
        <v>72.6</v>
      </c>
      <c r="L2545" s="41" t="n">
        <f aca="false">D2545*I2545</f>
        <v>30</v>
      </c>
      <c r="M2545" s="41" t="n">
        <f aca="false">IFERROR(INDEX(Raw_Expenses!$C$5:$C$2979,MATCH(A2545,Raw_Expenses!$A$5:$A$2979,0)),0)</f>
        <v>5.91</v>
      </c>
      <c r="N2545" s="41" t="n">
        <f aca="false">L2545+M2545</f>
        <v>35.91</v>
      </c>
      <c r="O2545" s="41" t="n">
        <f aca="false">K2545-N2545</f>
        <v>36.69</v>
      </c>
      <c r="P2545" s="43" t="n">
        <f aca="false">IF(K2545=0,0,O2545/K2545)</f>
        <v>0.505371900826446</v>
      </c>
    </row>
    <row r="2546" customFormat="false" ht="15" hidden="false" customHeight="false" outlineLevel="0" collapsed="false">
      <c r="A2546" s="39" t="s">
        <v>2668</v>
      </c>
      <c r="B2546" s="40" t="n">
        <v>45983</v>
      </c>
      <c r="C2546" s="39" t="s">
        <v>107</v>
      </c>
      <c r="D2546" s="39" t="n">
        <v>3</v>
      </c>
      <c r="E2546" s="41" t="n">
        <v>32.9</v>
      </c>
      <c r="F2546" s="39" t="s">
        <v>108</v>
      </c>
      <c r="G2546" s="39" t="str">
        <f aca="false">VLOOKUP(C2546,Products!$A$5:$D$24,2,FALSE())</f>
        <v>USB-C Hub</v>
      </c>
      <c r="H2546" s="39" t="str">
        <f aca="false">VLOOKUP(C2546,Products!$A$5:$D$24,3,FALSE())</f>
        <v>Electronics</v>
      </c>
      <c r="I2546" s="41" t="n">
        <f aca="false">VLOOKUP(C2546,Products!$A$5:$D$24,4,FALSE())</f>
        <v>14</v>
      </c>
      <c r="J2546" s="42" t="n">
        <f aca="false">DATE(YEAR(B2546),MONTH(B2546),1)</f>
        <v>45962</v>
      </c>
      <c r="K2546" s="41" t="n">
        <f aca="false">D2546*E2546</f>
        <v>98.7</v>
      </c>
      <c r="L2546" s="41" t="n">
        <f aca="false">D2546*I2546</f>
        <v>42</v>
      </c>
      <c r="M2546" s="41" t="n">
        <f aca="false">IFERROR(INDEX(Raw_Expenses!$C$5:$C$2979,MATCH(A2546,Raw_Expenses!$A$5:$A$2979,0)),0)</f>
        <v>5.68</v>
      </c>
      <c r="N2546" s="41" t="n">
        <f aca="false">L2546+M2546</f>
        <v>47.68</v>
      </c>
      <c r="O2546" s="41" t="n">
        <f aca="false">K2546-N2546</f>
        <v>51.02</v>
      </c>
      <c r="P2546" s="43" t="n">
        <f aca="false">IF(K2546=0,0,O2546/K2546)</f>
        <v>0.516919959473151</v>
      </c>
    </row>
    <row r="2547" customFormat="false" ht="15" hidden="false" customHeight="false" outlineLevel="0" collapsed="false">
      <c r="A2547" s="39" t="s">
        <v>2669</v>
      </c>
      <c r="B2547" s="40" t="n">
        <v>45983</v>
      </c>
      <c r="C2547" s="39" t="s">
        <v>114</v>
      </c>
      <c r="D2547" s="39" t="n">
        <v>8</v>
      </c>
      <c r="E2547" s="41" t="n">
        <v>5.64</v>
      </c>
      <c r="F2547" s="39" t="s">
        <v>118</v>
      </c>
      <c r="G2547" s="39" t="str">
        <f aca="false">VLOOKUP(C2547,Products!$A$5:$D$24,2,FALSE())</f>
        <v>Gel Pen Pack</v>
      </c>
      <c r="H2547" s="39" t="str">
        <f aca="false">VLOOKUP(C2547,Products!$A$5:$D$24,3,FALSE())</f>
        <v>Stationery</v>
      </c>
      <c r="I2547" s="41" t="n">
        <f aca="false">VLOOKUP(C2547,Products!$A$5:$D$24,4,FALSE())</f>
        <v>2</v>
      </c>
      <c r="J2547" s="42" t="n">
        <f aca="false">DATE(YEAR(B2547),MONTH(B2547),1)</f>
        <v>45962</v>
      </c>
      <c r="K2547" s="41" t="n">
        <f aca="false">D2547*E2547</f>
        <v>45.12</v>
      </c>
      <c r="L2547" s="41" t="n">
        <f aca="false">D2547*I2547</f>
        <v>16</v>
      </c>
      <c r="M2547" s="41" t="n">
        <f aca="false">IFERROR(INDEX(Raw_Expenses!$C$5:$C$2979,MATCH(A2547,Raw_Expenses!$A$5:$A$2979,0)),0)</f>
        <v>2.17</v>
      </c>
      <c r="N2547" s="41" t="n">
        <f aca="false">L2547+M2547</f>
        <v>18.17</v>
      </c>
      <c r="O2547" s="41" t="n">
        <f aca="false">K2547-N2547</f>
        <v>26.95</v>
      </c>
      <c r="P2547" s="43" t="n">
        <f aca="false">IF(K2547=0,0,O2547/K2547)</f>
        <v>0.59729609929078</v>
      </c>
    </row>
    <row r="2548" customFormat="false" ht="15" hidden="false" customHeight="false" outlineLevel="0" collapsed="false">
      <c r="A2548" s="39" t="s">
        <v>2670</v>
      </c>
      <c r="B2548" s="40" t="n">
        <v>45983</v>
      </c>
      <c r="C2548" s="39" t="s">
        <v>117</v>
      </c>
      <c r="D2548" s="39" t="n">
        <v>1</v>
      </c>
      <c r="E2548" s="41" t="n">
        <v>29.58</v>
      </c>
      <c r="F2548" s="39" t="s">
        <v>115</v>
      </c>
      <c r="G2548" s="39" t="str">
        <f aca="false">VLOOKUP(C2548,Products!$A$5:$D$24,2,FALSE())</f>
        <v>Desk Lamp</v>
      </c>
      <c r="H2548" s="39" t="str">
        <f aca="false">VLOOKUP(C2548,Products!$A$5:$D$24,3,FALSE())</f>
        <v>Furniture</v>
      </c>
      <c r="I2548" s="41" t="n">
        <f aca="false">VLOOKUP(C2548,Products!$A$5:$D$24,4,FALSE())</f>
        <v>13</v>
      </c>
      <c r="J2548" s="42" t="n">
        <f aca="false">DATE(YEAR(B2548),MONTH(B2548),1)</f>
        <v>45962</v>
      </c>
      <c r="K2548" s="41" t="n">
        <f aca="false">D2548*E2548</f>
        <v>29.58</v>
      </c>
      <c r="L2548" s="41" t="n">
        <f aca="false">D2548*I2548</f>
        <v>13</v>
      </c>
      <c r="M2548" s="41" t="n">
        <f aca="false">IFERROR(INDEX(Raw_Expenses!$C$5:$C$2979,MATCH(A2548,Raw_Expenses!$A$5:$A$2979,0)),0)</f>
        <v>2.03</v>
      </c>
      <c r="N2548" s="41" t="n">
        <f aca="false">L2548+M2548</f>
        <v>15.03</v>
      </c>
      <c r="O2548" s="41" t="n">
        <f aca="false">K2548-N2548</f>
        <v>14.55</v>
      </c>
      <c r="P2548" s="43" t="n">
        <f aca="false">IF(K2548=0,0,O2548/K2548)</f>
        <v>0.491886409736308</v>
      </c>
    </row>
    <row r="2549" customFormat="false" ht="15" hidden="false" customHeight="false" outlineLevel="0" collapsed="false">
      <c r="A2549" s="39" t="s">
        <v>2671</v>
      </c>
      <c r="B2549" s="40" t="n">
        <v>45983</v>
      </c>
      <c r="C2549" s="39" t="s">
        <v>114</v>
      </c>
      <c r="D2549" s="39" t="n">
        <v>5</v>
      </c>
      <c r="E2549" s="41" t="n">
        <v>5.89</v>
      </c>
      <c r="F2549" s="39" t="s">
        <v>118</v>
      </c>
      <c r="G2549" s="39" t="str">
        <f aca="false">VLOOKUP(C2549,Products!$A$5:$D$24,2,FALSE())</f>
        <v>Gel Pen Pack</v>
      </c>
      <c r="H2549" s="39" t="str">
        <f aca="false">VLOOKUP(C2549,Products!$A$5:$D$24,3,FALSE())</f>
        <v>Stationery</v>
      </c>
      <c r="I2549" s="41" t="n">
        <f aca="false">VLOOKUP(C2549,Products!$A$5:$D$24,4,FALSE())</f>
        <v>2</v>
      </c>
      <c r="J2549" s="42" t="n">
        <f aca="false">DATE(YEAR(B2549),MONTH(B2549),1)</f>
        <v>45962</v>
      </c>
      <c r="K2549" s="41" t="n">
        <f aca="false">D2549*E2549</f>
        <v>29.45</v>
      </c>
      <c r="L2549" s="41" t="n">
        <f aca="false">D2549*I2549</f>
        <v>10</v>
      </c>
      <c r="M2549" s="41" t="n">
        <f aca="false">IFERROR(INDEX(Raw_Expenses!$C$5:$C$2979,MATCH(A2549,Raw_Expenses!$A$5:$A$2979,0)),0)</f>
        <v>2.28</v>
      </c>
      <c r="N2549" s="41" t="n">
        <f aca="false">L2549+M2549</f>
        <v>12.28</v>
      </c>
      <c r="O2549" s="41" t="n">
        <f aca="false">K2549-N2549</f>
        <v>17.17</v>
      </c>
      <c r="P2549" s="43" t="n">
        <f aca="false">IF(K2549=0,0,O2549/K2549)</f>
        <v>0.583022071307301</v>
      </c>
    </row>
    <row r="2550" customFormat="false" ht="15" hidden="false" customHeight="false" outlineLevel="0" collapsed="false">
      <c r="A2550" s="39" t="s">
        <v>2672</v>
      </c>
      <c r="B2550" s="40" t="n">
        <v>45984</v>
      </c>
      <c r="C2550" s="39" t="s">
        <v>114</v>
      </c>
      <c r="D2550" s="39" t="n">
        <v>4</v>
      </c>
      <c r="E2550" s="41" t="n">
        <v>5.61</v>
      </c>
      <c r="F2550" s="39" t="s">
        <v>108</v>
      </c>
      <c r="G2550" s="39" t="str">
        <f aca="false">VLOOKUP(C2550,Products!$A$5:$D$24,2,FALSE())</f>
        <v>Gel Pen Pack</v>
      </c>
      <c r="H2550" s="39" t="str">
        <f aca="false">VLOOKUP(C2550,Products!$A$5:$D$24,3,FALSE())</f>
        <v>Stationery</v>
      </c>
      <c r="I2550" s="41" t="n">
        <f aca="false">VLOOKUP(C2550,Products!$A$5:$D$24,4,FALSE())</f>
        <v>2</v>
      </c>
      <c r="J2550" s="42" t="n">
        <f aca="false">DATE(YEAR(B2550),MONTH(B2550),1)</f>
        <v>45962</v>
      </c>
      <c r="K2550" s="41" t="n">
        <f aca="false">D2550*E2550</f>
        <v>22.44</v>
      </c>
      <c r="L2550" s="41" t="n">
        <f aca="false">D2550*I2550</f>
        <v>8</v>
      </c>
      <c r="M2550" s="41" t="n">
        <f aca="false">IFERROR(INDEX(Raw_Expenses!$C$5:$C$2979,MATCH(A2550,Raw_Expenses!$A$5:$A$2979,0)),0)</f>
        <v>1.01</v>
      </c>
      <c r="N2550" s="41" t="n">
        <f aca="false">L2550+M2550</f>
        <v>9.01</v>
      </c>
      <c r="O2550" s="41" t="n">
        <f aca="false">K2550-N2550</f>
        <v>13.43</v>
      </c>
      <c r="P2550" s="43" t="n">
        <f aca="false">IF(K2550=0,0,O2550/K2550)</f>
        <v>0.598484848484849</v>
      </c>
    </row>
    <row r="2551" customFormat="false" ht="15" hidden="false" customHeight="false" outlineLevel="0" collapsed="false">
      <c r="A2551" s="39" t="s">
        <v>2673</v>
      </c>
      <c r="B2551" s="40" t="n">
        <v>45984</v>
      </c>
      <c r="C2551" s="39" t="s">
        <v>177</v>
      </c>
      <c r="D2551" s="39" t="n">
        <v>1</v>
      </c>
      <c r="E2551" s="41" t="n">
        <v>41.51</v>
      </c>
      <c r="F2551" s="39" t="s">
        <v>115</v>
      </c>
      <c r="G2551" s="39" t="str">
        <f aca="false">VLOOKUP(C2551,Products!$A$5:$D$24,2,FALSE())</f>
        <v>Backpack</v>
      </c>
      <c r="H2551" s="39" t="str">
        <f aca="false">VLOOKUP(C2551,Products!$A$5:$D$24,3,FALSE())</f>
        <v>Accessories</v>
      </c>
      <c r="I2551" s="41" t="n">
        <f aca="false">VLOOKUP(C2551,Products!$A$5:$D$24,4,FALSE())</f>
        <v>17</v>
      </c>
      <c r="J2551" s="42" t="n">
        <f aca="false">DATE(YEAR(B2551),MONTH(B2551),1)</f>
        <v>45962</v>
      </c>
      <c r="K2551" s="41" t="n">
        <f aca="false">D2551*E2551</f>
        <v>41.51</v>
      </c>
      <c r="L2551" s="41" t="n">
        <f aca="false">D2551*I2551</f>
        <v>17</v>
      </c>
      <c r="M2551" s="41" t="n">
        <f aca="false">IFERROR(INDEX(Raw_Expenses!$C$5:$C$2979,MATCH(A2551,Raw_Expenses!$A$5:$A$2979,0)),0)</f>
        <v>2.34</v>
      </c>
      <c r="N2551" s="41" t="n">
        <f aca="false">L2551+M2551</f>
        <v>19.34</v>
      </c>
      <c r="O2551" s="41" t="n">
        <f aca="false">K2551-N2551</f>
        <v>22.17</v>
      </c>
      <c r="P2551" s="43" t="n">
        <f aca="false">IF(K2551=0,0,O2551/K2551)</f>
        <v>0.534088171524934</v>
      </c>
    </row>
    <row r="2552" customFormat="false" ht="15" hidden="false" customHeight="false" outlineLevel="0" collapsed="false">
      <c r="A2552" s="39" t="s">
        <v>2674</v>
      </c>
      <c r="B2552" s="40" t="n">
        <v>45984</v>
      </c>
      <c r="C2552" s="39" t="s">
        <v>130</v>
      </c>
      <c r="D2552" s="39" t="n">
        <v>2</v>
      </c>
      <c r="E2552" s="41" t="n">
        <v>8.38</v>
      </c>
      <c r="F2552" s="39" t="s">
        <v>105</v>
      </c>
      <c r="G2552" s="39" t="str">
        <f aca="false">VLOOKUP(C2552,Products!$A$5:$D$24,2,FALSE())</f>
        <v>Notebook Set</v>
      </c>
      <c r="H2552" s="39" t="str">
        <f aca="false">VLOOKUP(C2552,Products!$A$5:$D$24,3,FALSE())</f>
        <v>Stationery</v>
      </c>
      <c r="I2552" s="41" t="n">
        <f aca="false">VLOOKUP(C2552,Products!$A$5:$D$24,4,FALSE())</f>
        <v>3</v>
      </c>
      <c r="J2552" s="42" t="n">
        <f aca="false">DATE(YEAR(B2552),MONTH(B2552),1)</f>
        <v>45962</v>
      </c>
      <c r="K2552" s="41" t="n">
        <f aca="false">D2552*E2552</f>
        <v>16.76</v>
      </c>
      <c r="L2552" s="41" t="n">
        <f aca="false">D2552*I2552</f>
        <v>6</v>
      </c>
      <c r="M2552" s="41" t="n">
        <f aca="false">IFERROR(INDEX(Raw_Expenses!$C$5:$C$2979,MATCH(A2552,Raw_Expenses!$A$5:$A$2979,0)),0)</f>
        <v>1.16</v>
      </c>
      <c r="N2552" s="41" t="n">
        <f aca="false">L2552+M2552</f>
        <v>7.16</v>
      </c>
      <c r="O2552" s="41" t="n">
        <f aca="false">K2552-N2552</f>
        <v>9.6</v>
      </c>
      <c r="P2552" s="43" t="n">
        <f aca="false">IF(K2552=0,0,O2552/K2552)</f>
        <v>0.572792362768496</v>
      </c>
    </row>
    <row r="2553" customFormat="false" ht="15" hidden="false" customHeight="false" outlineLevel="0" collapsed="false">
      <c r="A2553" s="39" t="s">
        <v>2675</v>
      </c>
      <c r="B2553" s="40" t="n">
        <v>45984</v>
      </c>
      <c r="C2553" s="39" t="s">
        <v>169</v>
      </c>
      <c r="D2553" s="39" t="n">
        <v>2</v>
      </c>
      <c r="E2553" s="41" t="n">
        <v>27.91</v>
      </c>
      <c r="F2553" s="39" t="s">
        <v>118</v>
      </c>
      <c r="G2553" s="39" t="str">
        <f aca="false">VLOOKUP(C2553,Products!$A$5:$D$24,2,FALSE())</f>
        <v>Laptop Stand</v>
      </c>
      <c r="H2553" s="39" t="str">
        <f aca="false">VLOOKUP(C2553,Products!$A$5:$D$24,3,FALSE())</f>
        <v>Accessories</v>
      </c>
      <c r="I2553" s="41" t="n">
        <f aca="false">VLOOKUP(C2553,Products!$A$5:$D$24,4,FALSE())</f>
        <v>11</v>
      </c>
      <c r="J2553" s="42" t="n">
        <f aca="false">DATE(YEAR(B2553),MONTH(B2553),1)</f>
        <v>45962</v>
      </c>
      <c r="K2553" s="41" t="n">
        <f aca="false">D2553*E2553</f>
        <v>55.82</v>
      </c>
      <c r="L2553" s="41" t="n">
        <f aca="false">D2553*I2553</f>
        <v>22</v>
      </c>
      <c r="M2553" s="41" t="n">
        <f aca="false">IFERROR(INDEX(Raw_Expenses!$C$5:$C$2979,MATCH(A2553,Raw_Expenses!$A$5:$A$2979,0)),0)</f>
        <v>4.19</v>
      </c>
      <c r="N2553" s="41" t="n">
        <f aca="false">L2553+M2553</f>
        <v>26.19</v>
      </c>
      <c r="O2553" s="41" t="n">
        <f aca="false">K2553-N2553</f>
        <v>29.63</v>
      </c>
      <c r="P2553" s="43" t="n">
        <f aca="false">IF(K2553=0,0,O2553/K2553)</f>
        <v>0.530813328556073</v>
      </c>
    </row>
    <row r="2554" customFormat="false" ht="15" hidden="false" customHeight="false" outlineLevel="0" collapsed="false">
      <c r="A2554" s="39" t="s">
        <v>2676</v>
      </c>
      <c r="B2554" s="40" t="n">
        <v>45984</v>
      </c>
      <c r="C2554" s="39" t="s">
        <v>133</v>
      </c>
      <c r="D2554" s="39" t="n">
        <v>1</v>
      </c>
      <c r="E2554" s="41" t="n">
        <v>8.78</v>
      </c>
      <c r="F2554" s="39" t="s">
        <v>115</v>
      </c>
      <c r="G2554" s="39" t="str">
        <f aca="false">VLOOKUP(C2554,Products!$A$5:$D$24,2,FALSE())</f>
        <v>Printer Paper Ream</v>
      </c>
      <c r="H2554" s="39" t="str">
        <f aca="false">VLOOKUP(C2554,Products!$A$5:$D$24,3,FALSE())</f>
        <v>Stationery</v>
      </c>
      <c r="I2554" s="41" t="n">
        <f aca="false">VLOOKUP(C2554,Products!$A$5:$D$24,4,FALSE())</f>
        <v>4</v>
      </c>
      <c r="J2554" s="42" t="n">
        <f aca="false">DATE(YEAR(B2554),MONTH(B2554),1)</f>
        <v>45962</v>
      </c>
      <c r="K2554" s="41" t="n">
        <f aca="false">D2554*E2554</f>
        <v>8.78</v>
      </c>
      <c r="L2554" s="41" t="n">
        <f aca="false">D2554*I2554</f>
        <v>4</v>
      </c>
      <c r="M2554" s="41" t="n">
        <f aca="false">IFERROR(INDEX(Raw_Expenses!$C$5:$C$2979,MATCH(A2554,Raw_Expenses!$A$5:$A$2979,0)),0)</f>
        <v>0.64</v>
      </c>
      <c r="N2554" s="41" t="n">
        <f aca="false">L2554+M2554</f>
        <v>4.64</v>
      </c>
      <c r="O2554" s="41" t="n">
        <f aca="false">K2554-N2554</f>
        <v>4.14</v>
      </c>
      <c r="P2554" s="43" t="n">
        <f aca="false">IF(K2554=0,0,O2554/K2554)</f>
        <v>0.471526195899772</v>
      </c>
    </row>
    <row r="2555" customFormat="false" ht="15" hidden="false" customHeight="false" outlineLevel="0" collapsed="false">
      <c r="A2555" s="39" t="s">
        <v>2677</v>
      </c>
      <c r="B2555" s="40" t="n">
        <v>45984</v>
      </c>
      <c r="C2555" s="39" t="s">
        <v>110</v>
      </c>
      <c r="D2555" s="39" t="n">
        <v>4</v>
      </c>
      <c r="E2555" s="41" t="n">
        <v>13.32</v>
      </c>
      <c r="F2555" s="39" t="s">
        <v>115</v>
      </c>
      <c r="G2555" s="39" t="str">
        <f aca="false">VLOOKUP(C2555,Products!$A$5:$D$24,2,FALSE())</f>
        <v>Phone Stand</v>
      </c>
      <c r="H2555" s="39" t="str">
        <f aca="false">VLOOKUP(C2555,Products!$A$5:$D$24,3,FALSE())</f>
        <v>Accessories</v>
      </c>
      <c r="I2555" s="41" t="n">
        <f aca="false">VLOOKUP(C2555,Products!$A$5:$D$24,4,FALSE())</f>
        <v>4</v>
      </c>
      <c r="J2555" s="42" t="n">
        <f aca="false">DATE(YEAR(B2555),MONTH(B2555),1)</f>
        <v>45962</v>
      </c>
      <c r="K2555" s="41" t="n">
        <f aca="false">D2555*E2555</f>
        <v>53.28</v>
      </c>
      <c r="L2555" s="41" t="n">
        <f aca="false">D2555*I2555</f>
        <v>16</v>
      </c>
      <c r="M2555" s="41" t="n">
        <f aca="false">IFERROR(INDEX(Raw_Expenses!$C$5:$C$2979,MATCH(A2555,Raw_Expenses!$A$5:$A$2979,0)),0)</f>
        <v>3.38</v>
      </c>
      <c r="N2555" s="41" t="n">
        <f aca="false">L2555+M2555</f>
        <v>19.38</v>
      </c>
      <c r="O2555" s="41" t="n">
        <f aca="false">K2555-N2555</f>
        <v>33.9</v>
      </c>
      <c r="P2555" s="43" t="n">
        <f aca="false">IF(K2555=0,0,O2555/K2555)</f>
        <v>0.636261261261261</v>
      </c>
    </row>
    <row r="2556" customFormat="false" ht="15" hidden="false" customHeight="false" outlineLevel="0" collapsed="false">
      <c r="A2556" s="39" t="s">
        <v>2678</v>
      </c>
      <c r="B2556" s="40" t="n">
        <v>45984</v>
      </c>
      <c r="C2556" s="39" t="s">
        <v>104</v>
      </c>
      <c r="D2556" s="39" t="n">
        <v>2</v>
      </c>
      <c r="E2556" s="41" t="n">
        <v>15.51</v>
      </c>
      <c r="F2556" s="39" t="s">
        <v>108</v>
      </c>
      <c r="G2556" s="39" t="str">
        <f aca="false">VLOOKUP(C2556,Products!$A$5:$D$24,2,FALSE())</f>
        <v>Water Bottle</v>
      </c>
      <c r="H2556" s="39" t="str">
        <f aca="false">VLOOKUP(C2556,Products!$A$5:$D$24,3,FALSE())</f>
        <v>Accessories</v>
      </c>
      <c r="I2556" s="41" t="n">
        <f aca="false">VLOOKUP(C2556,Products!$A$5:$D$24,4,FALSE())</f>
        <v>5</v>
      </c>
      <c r="J2556" s="42" t="n">
        <f aca="false">DATE(YEAR(B2556),MONTH(B2556),1)</f>
        <v>45962</v>
      </c>
      <c r="K2556" s="41" t="n">
        <f aca="false">D2556*E2556</f>
        <v>31.02</v>
      </c>
      <c r="L2556" s="41" t="n">
        <f aca="false">D2556*I2556</f>
        <v>10</v>
      </c>
      <c r="M2556" s="41" t="n">
        <f aca="false">IFERROR(INDEX(Raw_Expenses!$C$5:$C$2979,MATCH(A2556,Raw_Expenses!$A$5:$A$2979,0)),0)</f>
        <v>2.18</v>
      </c>
      <c r="N2556" s="41" t="n">
        <f aca="false">L2556+M2556</f>
        <v>12.18</v>
      </c>
      <c r="O2556" s="41" t="n">
        <f aca="false">K2556-N2556</f>
        <v>18.84</v>
      </c>
      <c r="P2556" s="43" t="n">
        <f aca="false">IF(K2556=0,0,O2556/K2556)</f>
        <v>0.607350096711799</v>
      </c>
    </row>
    <row r="2557" customFormat="false" ht="15" hidden="false" customHeight="false" outlineLevel="0" collapsed="false">
      <c r="A2557" s="39" t="s">
        <v>2679</v>
      </c>
      <c r="B2557" s="40" t="n">
        <v>45984</v>
      </c>
      <c r="C2557" s="39" t="s">
        <v>117</v>
      </c>
      <c r="D2557" s="39" t="n">
        <v>3</v>
      </c>
      <c r="E2557" s="41" t="n">
        <v>31.75</v>
      </c>
      <c r="F2557" s="39" t="s">
        <v>105</v>
      </c>
      <c r="G2557" s="39" t="str">
        <f aca="false">VLOOKUP(C2557,Products!$A$5:$D$24,2,FALSE())</f>
        <v>Desk Lamp</v>
      </c>
      <c r="H2557" s="39" t="str">
        <f aca="false">VLOOKUP(C2557,Products!$A$5:$D$24,3,FALSE())</f>
        <v>Furniture</v>
      </c>
      <c r="I2557" s="41" t="n">
        <f aca="false">VLOOKUP(C2557,Products!$A$5:$D$24,4,FALSE())</f>
        <v>13</v>
      </c>
      <c r="J2557" s="42" t="n">
        <f aca="false">DATE(YEAR(B2557),MONTH(B2557),1)</f>
        <v>45962</v>
      </c>
      <c r="K2557" s="41" t="n">
        <f aca="false">D2557*E2557</f>
        <v>95.25</v>
      </c>
      <c r="L2557" s="41" t="n">
        <f aca="false">D2557*I2557</f>
        <v>39</v>
      </c>
      <c r="M2557" s="41" t="n">
        <f aca="false">IFERROR(INDEX(Raw_Expenses!$C$5:$C$2979,MATCH(A2557,Raw_Expenses!$A$5:$A$2979,0)),0)</f>
        <v>4.21</v>
      </c>
      <c r="N2557" s="41" t="n">
        <f aca="false">L2557+M2557</f>
        <v>43.21</v>
      </c>
      <c r="O2557" s="41" t="n">
        <f aca="false">K2557-N2557</f>
        <v>52.04</v>
      </c>
      <c r="P2557" s="43" t="n">
        <f aca="false">IF(K2557=0,0,O2557/K2557)</f>
        <v>0.546351706036745</v>
      </c>
    </row>
    <row r="2558" customFormat="false" ht="15" hidden="false" customHeight="false" outlineLevel="0" collapsed="false">
      <c r="A2558" s="39" t="s">
        <v>2680</v>
      </c>
      <c r="B2558" s="40" t="n">
        <v>45984</v>
      </c>
      <c r="C2558" s="39" t="s">
        <v>136</v>
      </c>
      <c r="D2558" s="39" t="n">
        <v>8</v>
      </c>
      <c r="E2558" s="41" t="n">
        <v>75.04</v>
      </c>
      <c r="F2558" s="39" t="s">
        <v>118</v>
      </c>
      <c r="G2558" s="39" t="str">
        <f aca="false">VLOOKUP(C2558,Products!$A$5:$D$24,2,FALSE())</f>
        <v>Mechanical Keyboard</v>
      </c>
      <c r="H2558" s="39" t="str">
        <f aca="false">VLOOKUP(C2558,Products!$A$5:$D$24,3,FALSE())</f>
        <v>Electronics</v>
      </c>
      <c r="I2558" s="41" t="n">
        <f aca="false">VLOOKUP(C2558,Products!$A$5:$D$24,4,FALSE())</f>
        <v>38</v>
      </c>
      <c r="J2558" s="42" t="n">
        <f aca="false">DATE(YEAR(B2558),MONTH(B2558),1)</f>
        <v>45962</v>
      </c>
      <c r="K2558" s="41" t="n">
        <f aca="false">D2558*E2558</f>
        <v>600.32</v>
      </c>
      <c r="L2558" s="41" t="n">
        <f aca="false">D2558*I2558</f>
        <v>304</v>
      </c>
      <c r="M2558" s="41" t="n">
        <f aca="false">IFERROR(INDEX(Raw_Expenses!$C$5:$C$2979,MATCH(A2558,Raw_Expenses!$A$5:$A$2979,0)),0)</f>
        <v>38.96</v>
      </c>
      <c r="N2558" s="41" t="n">
        <f aca="false">L2558+M2558</f>
        <v>342.96</v>
      </c>
      <c r="O2558" s="41" t="n">
        <f aca="false">K2558-N2558</f>
        <v>257.36</v>
      </c>
      <c r="P2558" s="43" t="n">
        <f aca="false">IF(K2558=0,0,O2558/K2558)</f>
        <v>0.428704690831557</v>
      </c>
    </row>
    <row r="2559" customFormat="false" ht="15" hidden="false" customHeight="false" outlineLevel="0" collapsed="false">
      <c r="A2559" s="39" t="s">
        <v>2681</v>
      </c>
      <c r="B2559" s="40" t="n">
        <v>45984</v>
      </c>
      <c r="C2559" s="39" t="s">
        <v>162</v>
      </c>
      <c r="D2559" s="39" t="n">
        <v>1</v>
      </c>
      <c r="E2559" s="41" t="n">
        <v>67.14</v>
      </c>
      <c r="F2559" s="39" t="s">
        <v>108</v>
      </c>
      <c r="G2559" s="39" t="str">
        <f aca="false">VLOOKUP(C2559,Products!$A$5:$D$24,2,FALSE())</f>
        <v>Bluetooth Speaker</v>
      </c>
      <c r="H2559" s="39" t="str">
        <f aca="false">VLOOKUP(C2559,Products!$A$5:$D$24,3,FALSE())</f>
        <v>Electronics</v>
      </c>
      <c r="I2559" s="41" t="n">
        <f aca="false">VLOOKUP(C2559,Products!$A$5:$D$24,4,FALSE())</f>
        <v>28</v>
      </c>
      <c r="J2559" s="42" t="n">
        <f aca="false">DATE(YEAR(B2559),MONTH(B2559),1)</f>
        <v>45962</v>
      </c>
      <c r="K2559" s="41" t="n">
        <f aca="false">D2559*E2559</f>
        <v>67.14</v>
      </c>
      <c r="L2559" s="41" t="n">
        <f aca="false">D2559*I2559</f>
        <v>28</v>
      </c>
      <c r="M2559" s="41" t="n">
        <f aca="false">IFERROR(INDEX(Raw_Expenses!$C$5:$C$2979,MATCH(A2559,Raw_Expenses!$A$5:$A$2979,0)),0)</f>
        <v>3.97</v>
      </c>
      <c r="N2559" s="41" t="n">
        <f aca="false">L2559+M2559</f>
        <v>31.97</v>
      </c>
      <c r="O2559" s="41" t="n">
        <f aca="false">K2559-N2559</f>
        <v>35.17</v>
      </c>
      <c r="P2559" s="43" t="n">
        <f aca="false">IF(K2559=0,0,O2559/K2559)</f>
        <v>0.523830801310694</v>
      </c>
    </row>
    <row r="2560" customFormat="false" ht="15" hidden="false" customHeight="false" outlineLevel="0" collapsed="false">
      <c r="A2560" s="39" t="s">
        <v>2682</v>
      </c>
      <c r="B2560" s="40" t="n">
        <v>45985</v>
      </c>
      <c r="C2560" s="39" t="s">
        <v>104</v>
      </c>
      <c r="D2560" s="39" t="n">
        <v>3</v>
      </c>
      <c r="E2560" s="41" t="n">
        <v>15.57</v>
      </c>
      <c r="F2560" s="39" t="s">
        <v>108</v>
      </c>
      <c r="G2560" s="39" t="str">
        <f aca="false">VLOOKUP(C2560,Products!$A$5:$D$24,2,FALSE())</f>
        <v>Water Bottle</v>
      </c>
      <c r="H2560" s="39" t="str">
        <f aca="false">VLOOKUP(C2560,Products!$A$5:$D$24,3,FALSE())</f>
        <v>Accessories</v>
      </c>
      <c r="I2560" s="41" t="n">
        <f aca="false">VLOOKUP(C2560,Products!$A$5:$D$24,4,FALSE())</f>
        <v>5</v>
      </c>
      <c r="J2560" s="42" t="n">
        <f aca="false">DATE(YEAR(B2560),MONTH(B2560),1)</f>
        <v>45962</v>
      </c>
      <c r="K2560" s="41" t="n">
        <f aca="false">D2560*E2560</f>
        <v>46.71</v>
      </c>
      <c r="L2560" s="41" t="n">
        <f aca="false">D2560*I2560</f>
        <v>15</v>
      </c>
      <c r="M2560" s="41" t="n">
        <f aca="false">IFERROR(INDEX(Raw_Expenses!$C$5:$C$2979,MATCH(A2560,Raw_Expenses!$A$5:$A$2979,0)),0)</f>
        <v>2.12</v>
      </c>
      <c r="N2560" s="41" t="n">
        <f aca="false">L2560+M2560</f>
        <v>17.12</v>
      </c>
      <c r="O2560" s="41" t="n">
        <f aca="false">K2560-N2560</f>
        <v>29.59</v>
      </c>
      <c r="P2560" s="43" t="n">
        <f aca="false">IF(K2560=0,0,O2560/K2560)</f>
        <v>0.633483194176836</v>
      </c>
    </row>
    <row r="2561" customFormat="false" ht="15" hidden="false" customHeight="false" outlineLevel="0" collapsed="false">
      <c r="A2561" s="39" t="s">
        <v>2683</v>
      </c>
      <c r="B2561" s="40" t="n">
        <v>45985</v>
      </c>
      <c r="C2561" s="39" t="s">
        <v>133</v>
      </c>
      <c r="D2561" s="39" t="n">
        <v>2</v>
      </c>
      <c r="E2561" s="41" t="n">
        <v>8.91</v>
      </c>
      <c r="F2561" s="39" t="s">
        <v>108</v>
      </c>
      <c r="G2561" s="39" t="str">
        <f aca="false">VLOOKUP(C2561,Products!$A$5:$D$24,2,FALSE())</f>
        <v>Printer Paper Ream</v>
      </c>
      <c r="H2561" s="39" t="str">
        <f aca="false">VLOOKUP(C2561,Products!$A$5:$D$24,3,FALSE())</f>
        <v>Stationery</v>
      </c>
      <c r="I2561" s="41" t="n">
        <f aca="false">VLOOKUP(C2561,Products!$A$5:$D$24,4,FALSE())</f>
        <v>4</v>
      </c>
      <c r="J2561" s="42" t="n">
        <f aca="false">DATE(YEAR(B2561),MONTH(B2561),1)</f>
        <v>45962</v>
      </c>
      <c r="K2561" s="41" t="n">
        <f aca="false">D2561*E2561</f>
        <v>17.82</v>
      </c>
      <c r="L2561" s="41" t="n">
        <f aca="false">D2561*I2561</f>
        <v>8</v>
      </c>
      <c r="M2561" s="41" t="n">
        <f aca="false">IFERROR(INDEX(Raw_Expenses!$C$5:$C$2979,MATCH(A2561,Raw_Expenses!$A$5:$A$2979,0)),0)</f>
        <v>1.53</v>
      </c>
      <c r="N2561" s="41" t="n">
        <f aca="false">L2561+M2561</f>
        <v>9.53</v>
      </c>
      <c r="O2561" s="41" t="n">
        <f aca="false">K2561-N2561</f>
        <v>8.29</v>
      </c>
      <c r="P2561" s="43" t="n">
        <f aca="false">IF(K2561=0,0,O2561/K2561)</f>
        <v>0.465207631874299</v>
      </c>
    </row>
    <row r="2562" customFormat="false" ht="15" hidden="false" customHeight="false" outlineLevel="0" collapsed="false">
      <c r="A2562" s="39" t="s">
        <v>2684</v>
      </c>
      <c r="B2562" s="40" t="n">
        <v>45985</v>
      </c>
      <c r="C2562" s="39" t="s">
        <v>136</v>
      </c>
      <c r="D2562" s="39" t="n">
        <v>1</v>
      </c>
      <c r="E2562" s="41" t="n">
        <v>77.09</v>
      </c>
      <c r="F2562" s="39" t="s">
        <v>118</v>
      </c>
      <c r="G2562" s="39" t="str">
        <f aca="false">VLOOKUP(C2562,Products!$A$5:$D$24,2,FALSE())</f>
        <v>Mechanical Keyboard</v>
      </c>
      <c r="H2562" s="39" t="str">
        <f aca="false">VLOOKUP(C2562,Products!$A$5:$D$24,3,FALSE())</f>
        <v>Electronics</v>
      </c>
      <c r="I2562" s="41" t="n">
        <f aca="false">VLOOKUP(C2562,Products!$A$5:$D$24,4,FALSE())</f>
        <v>38</v>
      </c>
      <c r="J2562" s="42" t="n">
        <f aca="false">DATE(YEAR(B2562),MONTH(B2562),1)</f>
        <v>45962</v>
      </c>
      <c r="K2562" s="41" t="n">
        <f aca="false">D2562*E2562</f>
        <v>77.09</v>
      </c>
      <c r="L2562" s="41" t="n">
        <f aca="false">D2562*I2562</f>
        <v>38</v>
      </c>
      <c r="M2562" s="41" t="n">
        <f aca="false">IFERROR(INDEX(Raw_Expenses!$C$5:$C$2979,MATCH(A2562,Raw_Expenses!$A$5:$A$2979,0)),0)</f>
        <v>4.95</v>
      </c>
      <c r="N2562" s="41" t="n">
        <f aca="false">L2562+M2562</f>
        <v>42.95</v>
      </c>
      <c r="O2562" s="41" t="n">
        <f aca="false">K2562-N2562</f>
        <v>34.14</v>
      </c>
      <c r="P2562" s="43" t="n">
        <f aca="false">IF(K2562=0,0,O2562/K2562)</f>
        <v>0.442858995978726</v>
      </c>
    </row>
    <row r="2563" customFormat="false" ht="15" hidden="false" customHeight="false" outlineLevel="0" collapsed="false">
      <c r="A2563" s="39" t="s">
        <v>2685</v>
      </c>
      <c r="B2563" s="40" t="n">
        <v>45985</v>
      </c>
      <c r="C2563" s="39" t="s">
        <v>133</v>
      </c>
      <c r="D2563" s="39" t="n">
        <v>4</v>
      </c>
      <c r="E2563" s="41" t="n">
        <v>8.3</v>
      </c>
      <c r="F2563" s="39" t="s">
        <v>118</v>
      </c>
      <c r="G2563" s="39" t="str">
        <f aca="false">VLOOKUP(C2563,Products!$A$5:$D$24,2,FALSE())</f>
        <v>Printer Paper Ream</v>
      </c>
      <c r="H2563" s="39" t="str">
        <f aca="false">VLOOKUP(C2563,Products!$A$5:$D$24,3,FALSE())</f>
        <v>Stationery</v>
      </c>
      <c r="I2563" s="41" t="n">
        <f aca="false">VLOOKUP(C2563,Products!$A$5:$D$24,4,FALSE())</f>
        <v>4</v>
      </c>
      <c r="J2563" s="42" t="n">
        <f aca="false">DATE(YEAR(B2563),MONTH(B2563),1)</f>
        <v>45962</v>
      </c>
      <c r="K2563" s="41" t="n">
        <f aca="false">D2563*E2563</f>
        <v>33.2</v>
      </c>
      <c r="L2563" s="41" t="n">
        <f aca="false">D2563*I2563</f>
        <v>16</v>
      </c>
      <c r="M2563" s="41" t="n">
        <f aca="false">IFERROR(INDEX(Raw_Expenses!$C$5:$C$2979,MATCH(A2563,Raw_Expenses!$A$5:$A$2979,0)),0)</f>
        <v>2.38</v>
      </c>
      <c r="N2563" s="41" t="n">
        <f aca="false">L2563+M2563</f>
        <v>18.38</v>
      </c>
      <c r="O2563" s="41" t="n">
        <f aca="false">K2563-N2563</f>
        <v>14.82</v>
      </c>
      <c r="P2563" s="43" t="n">
        <f aca="false">IF(K2563=0,0,O2563/K2563)</f>
        <v>0.446385542168675</v>
      </c>
    </row>
    <row r="2564" customFormat="false" ht="15" hidden="false" customHeight="false" outlineLevel="0" collapsed="false">
      <c r="A2564" s="39" t="s">
        <v>2686</v>
      </c>
      <c r="B2564" s="40" t="n">
        <v>45985</v>
      </c>
      <c r="C2564" s="39" t="s">
        <v>104</v>
      </c>
      <c r="D2564" s="39" t="n">
        <v>6</v>
      </c>
      <c r="E2564" s="41" t="n">
        <v>15.74</v>
      </c>
      <c r="F2564" s="39" t="s">
        <v>118</v>
      </c>
      <c r="G2564" s="39" t="str">
        <f aca="false">VLOOKUP(C2564,Products!$A$5:$D$24,2,FALSE())</f>
        <v>Water Bottle</v>
      </c>
      <c r="H2564" s="39" t="str">
        <f aca="false">VLOOKUP(C2564,Products!$A$5:$D$24,3,FALSE())</f>
        <v>Accessories</v>
      </c>
      <c r="I2564" s="41" t="n">
        <f aca="false">VLOOKUP(C2564,Products!$A$5:$D$24,4,FALSE())</f>
        <v>5</v>
      </c>
      <c r="J2564" s="42" t="n">
        <f aca="false">DATE(YEAR(B2564),MONTH(B2564),1)</f>
        <v>45962</v>
      </c>
      <c r="K2564" s="41" t="n">
        <f aca="false">D2564*E2564</f>
        <v>94.44</v>
      </c>
      <c r="L2564" s="41" t="n">
        <f aca="false">D2564*I2564</f>
        <v>30</v>
      </c>
      <c r="M2564" s="41" t="n">
        <f aca="false">IFERROR(INDEX(Raw_Expenses!$C$5:$C$2979,MATCH(A2564,Raw_Expenses!$A$5:$A$2979,0)),0)</f>
        <v>5.65</v>
      </c>
      <c r="N2564" s="41" t="n">
        <f aca="false">L2564+M2564</f>
        <v>35.65</v>
      </c>
      <c r="O2564" s="41" t="n">
        <f aca="false">K2564-N2564</f>
        <v>58.79</v>
      </c>
      <c r="P2564" s="43" t="n">
        <f aca="false">IF(K2564=0,0,O2564/K2564)</f>
        <v>0.622511647606946</v>
      </c>
    </row>
    <row r="2565" customFormat="false" ht="15" hidden="false" customHeight="false" outlineLevel="0" collapsed="false">
      <c r="A2565" s="39" t="s">
        <v>2687</v>
      </c>
      <c r="B2565" s="40" t="n">
        <v>45985</v>
      </c>
      <c r="C2565" s="39" t="s">
        <v>126</v>
      </c>
      <c r="D2565" s="39" t="n">
        <v>3</v>
      </c>
      <c r="E2565" s="41" t="n">
        <v>23.19</v>
      </c>
      <c r="F2565" s="39" t="s">
        <v>118</v>
      </c>
      <c r="G2565" s="39" t="str">
        <f aca="false">VLOOKUP(C2565,Products!$A$5:$D$24,2,FALSE())</f>
        <v>Wireless Mouse</v>
      </c>
      <c r="H2565" s="39" t="str">
        <f aca="false">VLOOKUP(C2565,Products!$A$5:$D$24,3,FALSE())</f>
        <v>Electronics</v>
      </c>
      <c r="I2565" s="41" t="n">
        <f aca="false">VLOOKUP(C2565,Products!$A$5:$D$24,4,FALSE())</f>
        <v>12</v>
      </c>
      <c r="J2565" s="42" t="n">
        <f aca="false">DATE(YEAR(B2565),MONTH(B2565),1)</f>
        <v>45962</v>
      </c>
      <c r="K2565" s="41" t="n">
        <f aca="false">D2565*E2565</f>
        <v>69.57</v>
      </c>
      <c r="L2565" s="41" t="n">
        <f aca="false">D2565*I2565</f>
        <v>36</v>
      </c>
      <c r="M2565" s="41" t="n">
        <f aca="false">IFERROR(INDEX(Raw_Expenses!$C$5:$C$2979,MATCH(A2565,Raw_Expenses!$A$5:$A$2979,0)),0)</f>
        <v>3.44</v>
      </c>
      <c r="N2565" s="41" t="n">
        <f aca="false">L2565+M2565</f>
        <v>39.44</v>
      </c>
      <c r="O2565" s="41" t="n">
        <f aca="false">K2565-N2565</f>
        <v>30.13</v>
      </c>
      <c r="P2565" s="43" t="n">
        <f aca="false">IF(K2565=0,0,O2565/K2565)</f>
        <v>0.43308897513296</v>
      </c>
    </row>
    <row r="2566" customFormat="false" ht="15" hidden="false" customHeight="false" outlineLevel="0" collapsed="false">
      <c r="A2566" s="39" t="s">
        <v>2688</v>
      </c>
      <c r="B2566" s="40" t="n">
        <v>45985</v>
      </c>
      <c r="C2566" s="39" t="s">
        <v>162</v>
      </c>
      <c r="D2566" s="39" t="n">
        <v>2</v>
      </c>
      <c r="E2566" s="41" t="n">
        <v>67.37</v>
      </c>
      <c r="F2566" s="39" t="s">
        <v>118</v>
      </c>
      <c r="G2566" s="39" t="str">
        <f aca="false">VLOOKUP(C2566,Products!$A$5:$D$24,2,FALSE())</f>
        <v>Bluetooth Speaker</v>
      </c>
      <c r="H2566" s="39" t="str">
        <f aca="false">VLOOKUP(C2566,Products!$A$5:$D$24,3,FALSE())</f>
        <v>Electronics</v>
      </c>
      <c r="I2566" s="41" t="n">
        <f aca="false">VLOOKUP(C2566,Products!$A$5:$D$24,4,FALSE())</f>
        <v>28</v>
      </c>
      <c r="J2566" s="42" t="n">
        <f aca="false">DATE(YEAR(B2566),MONTH(B2566),1)</f>
        <v>45962</v>
      </c>
      <c r="K2566" s="41" t="n">
        <f aca="false">D2566*E2566</f>
        <v>134.74</v>
      </c>
      <c r="L2566" s="41" t="n">
        <f aca="false">D2566*I2566</f>
        <v>56</v>
      </c>
      <c r="M2566" s="41" t="n">
        <f aca="false">IFERROR(INDEX(Raw_Expenses!$C$5:$C$2979,MATCH(A2566,Raw_Expenses!$A$5:$A$2979,0)),0)</f>
        <v>6.52</v>
      </c>
      <c r="N2566" s="41" t="n">
        <f aca="false">L2566+M2566</f>
        <v>62.52</v>
      </c>
      <c r="O2566" s="41" t="n">
        <f aca="false">K2566-N2566</f>
        <v>72.22</v>
      </c>
      <c r="P2566" s="43" t="n">
        <f aca="false">IF(K2566=0,0,O2566/K2566)</f>
        <v>0.535995250111326</v>
      </c>
    </row>
    <row r="2567" customFormat="false" ht="15" hidden="false" customHeight="false" outlineLevel="0" collapsed="false">
      <c r="A2567" s="39" t="s">
        <v>2689</v>
      </c>
      <c r="B2567" s="40" t="n">
        <v>45985</v>
      </c>
      <c r="C2567" s="39" t="s">
        <v>114</v>
      </c>
      <c r="D2567" s="39" t="n">
        <v>6</v>
      </c>
      <c r="E2567" s="41" t="n">
        <v>5.62</v>
      </c>
      <c r="F2567" s="39" t="s">
        <v>118</v>
      </c>
      <c r="G2567" s="39" t="str">
        <f aca="false">VLOOKUP(C2567,Products!$A$5:$D$24,2,FALSE())</f>
        <v>Gel Pen Pack</v>
      </c>
      <c r="H2567" s="39" t="str">
        <f aca="false">VLOOKUP(C2567,Products!$A$5:$D$24,3,FALSE())</f>
        <v>Stationery</v>
      </c>
      <c r="I2567" s="41" t="n">
        <f aca="false">VLOOKUP(C2567,Products!$A$5:$D$24,4,FALSE())</f>
        <v>2</v>
      </c>
      <c r="J2567" s="42" t="n">
        <f aca="false">DATE(YEAR(B2567),MONTH(B2567),1)</f>
        <v>45962</v>
      </c>
      <c r="K2567" s="41" t="n">
        <f aca="false">D2567*E2567</f>
        <v>33.72</v>
      </c>
      <c r="L2567" s="41" t="n">
        <f aca="false">D2567*I2567</f>
        <v>12</v>
      </c>
      <c r="M2567" s="41" t="n">
        <f aca="false">IFERROR(INDEX(Raw_Expenses!$C$5:$C$2979,MATCH(A2567,Raw_Expenses!$A$5:$A$2979,0)),0)</f>
        <v>1.66</v>
      </c>
      <c r="N2567" s="41" t="n">
        <f aca="false">L2567+M2567</f>
        <v>13.66</v>
      </c>
      <c r="O2567" s="41" t="n">
        <f aca="false">K2567-N2567</f>
        <v>20.06</v>
      </c>
      <c r="P2567" s="43" t="n">
        <f aca="false">IF(K2567=0,0,O2567/K2567)</f>
        <v>0.594899169632266</v>
      </c>
    </row>
    <row r="2568" customFormat="false" ht="15" hidden="false" customHeight="false" outlineLevel="0" collapsed="false">
      <c r="A2568" s="39" t="s">
        <v>2690</v>
      </c>
      <c r="B2568" s="40" t="n">
        <v>45985</v>
      </c>
      <c r="C2568" s="39" t="s">
        <v>139</v>
      </c>
      <c r="D2568" s="39" t="n">
        <v>3</v>
      </c>
      <c r="E2568" s="41" t="n">
        <v>125.3</v>
      </c>
      <c r="F2568" s="39" t="s">
        <v>118</v>
      </c>
      <c r="G2568" s="39" t="str">
        <f aca="false">VLOOKUP(C2568,Products!$A$5:$D$24,2,FALSE())</f>
        <v>Noise-Cancelling Headphones</v>
      </c>
      <c r="H2568" s="39" t="str">
        <f aca="false">VLOOKUP(C2568,Products!$A$5:$D$24,3,FALSE())</f>
        <v>Electronics</v>
      </c>
      <c r="I2568" s="41" t="n">
        <f aca="false">VLOOKUP(C2568,Products!$A$5:$D$24,4,FALSE())</f>
        <v>55</v>
      </c>
      <c r="J2568" s="42" t="n">
        <f aca="false">DATE(YEAR(B2568),MONTH(B2568),1)</f>
        <v>45962</v>
      </c>
      <c r="K2568" s="41" t="n">
        <f aca="false">D2568*E2568</f>
        <v>375.9</v>
      </c>
      <c r="L2568" s="41" t="n">
        <f aca="false">D2568*I2568</f>
        <v>165</v>
      </c>
      <c r="M2568" s="41" t="n">
        <f aca="false">IFERROR(INDEX(Raw_Expenses!$C$5:$C$2979,MATCH(A2568,Raw_Expenses!$A$5:$A$2979,0)),0)</f>
        <v>17.11</v>
      </c>
      <c r="N2568" s="41" t="n">
        <f aca="false">L2568+M2568</f>
        <v>182.11</v>
      </c>
      <c r="O2568" s="41" t="n">
        <f aca="false">K2568-N2568</f>
        <v>193.79</v>
      </c>
      <c r="P2568" s="43" t="n">
        <f aca="false">IF(K2568=0,0,O2568/K2568)</f>
        <v>0.515536046820963</v>
      </c>
    </row>
    <row r="2569" customFormat="false" ht="15" hidden="false" customHeight="false" outlineLevel="0" collapsed="false">
      <c r="A2569" s="39" t="s">
        <v>2691</v>
      </c>
      <c r="B2569" s="40" t="n">
        <v>45986</v>
      </c>
      <c r="C2569" s="39" t="s">
        <v>128</v>
      </c>
      <c r="D2569" s="39" t="n">
        <v>3</v>
      </c>
      <c r="E2569" s="41" t="n">
        <v>36.81</v>
      </c>
      <c r="F2569" s="39" t="s">
        <v>115</v>
      </c>
      <c r="G2569" s="39" t="str">
        <f aca="false">VLOOKUP(C2569,Products!$A$5:$D$24,2,FALSE())</f>
        <v>Ergonomic Footrest</v>
      </c>
      <c r="H2569" s="39" t="str">
        <f aca="false">VLOOKUP(C2569,Products!$A$5:$D$24,3,FALSE())</f>
        <v>Furniture</v>
      </c>
      <c r="I2569" s="41" t="n">
        <f aca="false">VLOOKUP(C2569,Products!$A$5:$D$24,4,FALSE())</f>
        <v>15</v>
      </c>
      <c r="J2569" s="42" t="n">
        <f aca="false">DATE(YEAR(B2569),MONTH(B2569),1)</f>
        <v>45962</v>
      </c>
      <c r="K2569" s="41" t="n">
        <f aca="false">D2569*E2569</f>
        <v>110.43</v>
      </c>
      <c r="L2569" s="41" t="n">
        <f aca="false">D2569*I2569</f>
        <v>45</v>
      </c>
      <c r="M2569" s="41" t="n">
        <f aca="false">IFERROR(INDEX(Raw_Expenses!$C$5:$C$2979,MATCH(A2569,Raw_Expenses!$A$5:$A$2979,0)),0)</f>
        <v>4.65</v>
      </c>
      <c r="N2569" s="41" t="n">
        <f aca="false">L2569+M2569</f>
        <v>49.65</v>
      </c>
      <c r="O2569" s="41" t="n">
        <f aca="false">K2569-N2569</f>
        <v>60.78</v>
      </c>
      <c r="P2569" s="43" t="n">
        <f aca="false">IF(K2569=0,0,O2569/K2569)</f>
        <v>0.550393914697093</v>
      </c>
    </row>
    <row r="2570" customFormat="false" ht="15" hidden="false" customHeight="false" outlineLevel="0" collapsed="false">
      <c r="A2570" s="39" t="s">
        <v>2692</v>
      </c>
      <c r="B2570" s="40" t="n">
        <v>45986</v>
      </c>
      <c r="C2570" s="39" t="s">
        <v>126</v>
      </c>
      <c r="D2570" s="39" t="n">
        <v>2</v>
      </c>
      <c r="E2570" s="41" t="n">
        <v>24.52</v>
      </c>
      <c r="F2570" s="39" t="s">
        <v>118</v>
      </c>
      <c r="G2570" s="39" t="str">
        <f aca="false">VLOOKUP(C2570,Products!$A$5:$D$24,2,FALSE())</f>
        <v>Wireless Mouse</v>
      </c>
      <c r="H2570" s="39" t="str">
        <f aca="false">VLOOKUP(C2570,Products!$A$5:$D$24,3,FALSE())</f>
        <v>Electronics</v>
      </c>
      <c r="I2570" s="41" t="n">
        <f aca="false">VLOOKUP(C2570,Products!$A$5:$D$24,4,FALSE())</f>
        <v>12</v>
      </c>
      <c r="J2570" s="42" t="n">
        <f aca="false">DATE(YEAR(B2570),MONTH(B2570),1)</f>
        <v>45962</v>
      </c>
      <c r="K2570" s="41" t="n">
        <f aca="false">D2570*E2570</f>
        <v>49.04</v>
      </c>
      <c r="L2570" s="41" t="n">
        <f aca="false">D2570*I2570</f>
        <v>24</v>
      </c>
      <c r="M2570" s="41" t="n">
        <f aca="false">IFERROR(INDEX(Raw_Expenses!$C$5:$C$2979,MATCH(A2570,Raw_Expenses!$A$5:$A$2979,0)),0)</f>
        <v>3.79</v>
      </c>
      <c r="N2570" s="41" t="n">
        <f aca="false">L2570+M2570</f>
        <v>27.79</v>
      </c>
      <c r="O2570" s="41" t="n">
        <f aca="false">K2570-N2570</f>
        <v>21.25</v>
      </c>
      <c r="P2570" s="43" t="n">
        <f aca="false">IF(K2570=0,0,O2570/K2570)</f>
        <v>0.433319738988581</v>
      </c>
    </row>
    <row r="2571" customFormat="false" ht="15" hidden="false" customHeight="false" outlineLevel="0" collapsed="false">
      <c r="A2571" s="39" t="s">
        <v>2693</v>
      </c>
      <c r="B2571" s="40" t="n">
        <v>45986</v>
      </c>
      <c r="C2571" s="39" t="s">
        <v>130</v>
      </c>
      <c r="D2571" s="39" t="n">
        <v>6</v>
      </c>
      <c r="E2571" s="41" t="n">
        <v>8.53</v>
      </c>
      <c r="F2571" s="39" t="s">
        <v>108</v>
      </c>
      <c r="G2571" s="39" t="str">
        <f aca="false">VLOOKUP(C2571,Products!$A$5:$D$24,2,FALSE())</f>
        <v>Notebook Set</v>
      </c>
      <c r="H2571" s="39" t="str">
        <f aca="false">VLOOKUP(C2571,Products!$A$5:$D$24,3,FALSE())</f>
        <v>Stationery</v>
      </c>
      <c r="I2571" s="41" t="n">
        <f aca="false">VLOOKUP(C2571,Products!$A$5:$D$24,4,FALSE())</f>
        <v>3</v>
      </c>
      <c r="J2571" s="42" t="n">
        <f aca="false">DATE(YEAR(B2571),MONTH(B2571),1)</f>
        <v>45962</v>
      </c>
      <c r="K2571" s="41" t="n">
        <f aca="false">D2571*E2571</f>
        <v>51.18</v>
      </c>
      <c r="L2571" s="41" t="n">
        <f aca="false">D2571*I2571</f>
        <v>18</v>
      </c>
      <c r="M2571" s="41" t="n">
        <f aca="false">IFERROR(INDEX(Raw_Expenses!$C$5:$C$2979,MATCH(A2571,Raw_Expenses!$A$5:$A$2979,0)),0)</f>
        <v>3.92</v>
      </c>
      <c r="N2571" s="41" t="n">
        <f aca="false">L2571+M2571</f>
        <v>21.92</v>
      </c>
      <c r="O2571" s="41" t="n">
        <f aca="false">K2571-N2571</f>
        <v>29.26</v>
      </c>
      <c r="P2571" s="43" t="n">
        <f aca="false">IF(K2571=0,0,O2571/K2571)</f>
        <v>0.571707698319656</v>
      </c>
    </row>
    <row r="2572" customFormat="false" ht="15" hidden="false" customHeight="false" outlineLevel="0" collapsed="false">
      <c r="A2572" s="39" t="s">
        <v>2694</v>
      </c>
      <c r="B2572" s="40" t="n">
        <v>45986</v>
      </c>
      <c r="C2572" s="39" t="s">
        <v>169</v>
      </c>
      <c r="D2572" s="39" t="n">
        <v>2</v>
      </c>
      <c r="E2572" s="41" t="n">
        <v>27.51</v>
      </c>
      <c r="F2572" s="39" t="s">
        <v>118</v>
      </c>
      <c r="G2572" s="39" t="str">
        <f aca="false">VLOOKUP(C2572,Products!$A$5:$D$24,2,FALSE())</f>
        <v>Laptop Stand</v>
      </c>
      <c r="H2572" s="39" t="str">
        <f aca="false">VLOOKUP(C2572,Products!$A$5:$D$24,3,FALSE())</f>
        <v>Accessories</v>
      </c>
      <c r="I2572" s="41" t="n">
        <f aca="false">VLOOKUP(C2572,Products!$A$5:$D$24,4,FALSE())</f>
        <v>11</v>
      </c>
      <c r="J2572" s="42" t="n">
        <f aca="false">DATE(YEAR(B2572),MONTH(B2572),1)</f>
        <v>45962</v>
      </c>
      <c r="K2572" s="41" t="n">
        <f aca="false">D2572*E2572</f>
        <v>55.02</v>
      </c>
      <c r="L2572" s="41" t="n">
        <f aca="false">D2572*I2572</f>
        <v>22</v>
      </c>
      <c r="M2572" s="41" t="n">
        <f aca="false">IFERROR(INDEX(Raw_Expenses!$C$5:$C$2979,MATCH(A2572,Raw_Expenses!$A$5:$A$2979,0)),0)</f>
        <v>4.84</v>
      </c>
      <c r="N2572" s="41" t="n">
        <f aca="false">L2572+M2572</f>
        <v>26.84</v>
      </c>
      <c r="O2572" s="41" t="n">
        <f aca="false">K2572-N2572</f>
        <v>28.18</v>
      </c>
      <c r="P2572" s="43" t="n">
        <f aca="false">IF(K2572=0,0,O2572/K2572)</f>
        <v>0.512177390039986</v>
      </c>
    </row>
    <row r="2573" customFormat="false" ht="15" hidden="false" customHeight="false" outlineLevel="0" collapsed="false">
      <c r="A2573" s="39" t="s">
        <v>2695</v>
      </c>
      <c r="B2573" s="40" t="n">
        <v>45986</v>
      </c>
      <c r="C2573" s="39" t="s">
        <v>126</v>
      </c>
      <c r="D2573" s="39" t="n">
        <v>6</v>
      </c>
      <c r="E2573" s="41" t="n">
        <v>24.3</v>
      </c>
      <c r="F2573" s="39" t="s">
        <v>108</v>
      </c>
      <c r="G2573" s="39" t="str">
        <f aca="false">VLOOKUP(C2573,Products!$A$5:$D$24,2,FALSE())</f>
        <v>Wireless Mouse</v>
      </c>
      <c r="H2573" s="39" t="str">
        <f aca="false">VLOOKUP(C2573,Products!$A$5:$D$24,3,FALSE())</f>
        <v>Electronics</v>
      </c>
      <c r="I2573" s="41" t="n">
        <f aca="false">VLOOKUP(C2573,Products!$A$5:$D$24,4,FALSE())</f>
        <v>12</v>
      </c>
      <c r="J2573" s="42" t="n">
        <f aca="false">DATE(YEAR(B2573),MONTH(B2573),1)</f>
        <v>45962</v>
      </c>
      <c r="K2573" s="41" t="n">
        <f aca="false">D2573*E2573</f>
        <v>145.8</v>
      </c>
      <c r="L2573" s="41" t="n">
        <f aca="false">D2573*I2573</f>
        <v>72</v>
      </c>
      <c r="M2573" s="41" t="n">
        <f aca="false">IFERROR(INDEX(Raw_Expenses!$C$5:$C$2979,MATCH(A2573,Raw_Expenses!$A$5:$A$2979,0)),0)</f>
        <v>12.1</v>
      </c>
      <c r="N2573" s="41" t="n">
        <f aca="false">L2573+M2573</f>
        <v>84.1</v>
      </c>
      <c r="O2573" s="41" t="n">
        <f aca="false">K2573-N2573</f>
        <v>61.7</v>
      </c>
      <c r="P2573" s="43" t="n">
        <f aca="false">IF(K2573=0,0,O2573/K2573)</f>
        <v>0.42318244170096</v>
      </c>
    </row>
    <row r="2574" customFormat="false" ht="15" hidden="false" customHeight="false" outlineLevel="0" collapsed="false">
      <c r="A2574" s="39" t="s">
        <v>2696</v>
      </c>
      <c r="B2574" s="40" t="n">
        <v>45986</v>
      </c>
      <c r="C2574" s="39" t="s">
        <v>139</v>
      </c>
      <c r="D2574" s="39" t="n">
        <v>4</v>
      </c>
      <c r="E2574" s="41" t="n">
        <v>126.42</v>
      </c>
      <c r="F2574" s="39" t="s">
        <v>115</v>
      </c>
      <c r="G2574" s="39" t="str">
        <f aca="false">VLOOKUP(C2574,Products!$A$5:$D$24,2,FALSE())</f>
        <v>Noise-Cancelling Headphones</v>
      </c>
      <c r="H2574" s="39" t="str">
        <f aca="false">VLOOKUP(C2574,Products!$A$5:$D$24,3,FALSE())</f>
        <v>Electronics</v>
      </c>
      <c r="I2574" s="41" t="n">
        <f aca="false">VLOOKUP(C2574,Products!$A$5:$D$24,4,FALSE())</f>
        <v>55</v>
      </c>
      <c r="J2574" s="42" t="n">
        <f aca="false">DATE(YEAR(B2574),MONTH(B2574),1)</f>
        <v>45962</v>
      </c>
      <c r="K2574" s="41" t="n">
        <f aca="false">D2574*E2574</f>
        <v>505.68</v>
      </c>
      <c r="L2574" s="41" t="n">
        <f aca="false">D2574*I2574</f>
        <v>220</v>
      </c>
      <c r="M2574" s="41" t="n">
        <f aca="false">IFERROR(INDEX(Raw_Expenses!$C$5:$C$2979,MATCH(A2574,Raw_Expenses!$A$5:$A$2979,0)),0)</f>
        <v>26.03</v>
      </c>
      <c r="N2574" s="41" t="n">
        <f aca="false">L2574+M2574</f>
        <v>246.03</v>
      </c>
      <c r="O2574" s="41" t="n">
        <f aca="false">K2574-N2574</f>
        <v>259.65</v>
      </c>
      <c r="P2574" s="43" t="n">
        <f aca="false">IF(K2574=0,0,O2574/K2574)</f>
        <v>0.513467014712862</v>
      </c>
    </row>
    <row r="2575" customFormat="false" ht="15" hidden="false" customHeight="false" outlineLevel="0" collapsed="false">
      <c r="A2575" s="39" t="s">
        <v>2697</v>
      </c>
      <c r="B2575" s="40" t="n">
        <v>45986</v>
      </c>
      <c r="C2575" s="39" t="s">
        <v>183</v>
      </c>
      <c r="D2575" s="39" t="n">
        <v>4</v>
      </c>
      <c r="E2575" s="41" t="n">
        <v>186.55</v>
      </c>
      <c r="F2575" s="39" t="s">
        <v>115</v>
      </c>
      <c r="G2575" s="39" t="str">
        <f aca="false">VLOOKUP(C2575,Products!$A$5:$D$24,2,FALSE())</f>
        <v>Office Chair</v>
      </c>
      <c r="H2575" s="39" t="str">
        <f aca="false">VLOOKUP(C2575,Products!$A$5:$D$24,3,FALSE())</f>
        <v>Furniture</v>
      </c>
      <c r="I2575" s="41" t="n">
        <f aca="false">VLOOKUP(C2575,Products!$A$5:$D$24,4,FALSE())</f>
        <v>85</v>
      </c>
      <c r="J2575" s="42" t="n">
        <f aca="false">DATE(YEAR(B2575),MONTH(B2575),1)</f>
        <v>45962</v>
      </c>
      <c r="K2575" s="41" t="n">
        <f aca="false">D2575*E2575</f>
        <v>746.2</v>
      </c>
      <c r="L2575" s="41" t="n">
        <f aca="false">D2575*I2575</f>
        <v>340</v>
      </c>
      <c r="M2575" s="41" t="n">
        <f aca="false">IFERROR(INDEX(Raw_Expenses!$C$5:$C$2979,MATCH(A2575,Raw_Expenses!$A$5:$A$2979,0)),0)</f>
        <v>44.62</v>
      </c>
      <c r="N2575" s="41" t="n">
        <f aca="false">L2575+M2575</f>
        <v>384.62</v>
      </c>
      <c r="O2575" s="41" t="n">
        <f aca="false">K2575-N2575</f>
        <v>361.58</v>
      </c>
      <c r="P2575" s="43" t="n">
        <f aca="false">IF(K2575=0,0,O2575/K2575)</f>
        <v>0.484561779683731</v>
      </c>
    </row>
    <row r="2576" customFormat="false" ht="15" hidden="false" customHeight="false" outlineLevel="0" collapsed="false">
      <c r="A2576" s="39" t="s">
        <v>2698</v>
      </c>
      <c r="B2576" s="40" t="n">
        <v>45986</v>
      </c>
      <c r="C2576" s="39" t="s">
        <v>130</v>
      </c>
      <c r="D2576" s="39" t="n">
        <v>3</v>
      </c>
      <c r="E2576" s="41" t="n">
        <v>8.9</v>
      </c>
      <c r="F2576" s="39" t="s">
        <v>105</v>
      </c>
      <c r="G2576" s="39" t="str">
        <f aca="false">VLOOKUP(C2576,Products!$A$5:$D$24,2,FALSE())</f>
        <v>Notebook Set</v>
      </c>
      <c r="H2576" s="39" t="str">
        <f aca="false">VLOOKUP(C2576,Products!$A$5:$D$24,3,FALSE())</f>
        <v>Stationery</v>
      </c>
      <c r="I2576" s="41" t="n">
        <f aca="false">VLOOKUP(C2576,Products!$A$5:$D$24,4,FALSE())</f>
        <v>3</v>
      </c>
      <c r="J2576" s="42" t="n">
        <f aca="false">DATE(YEAR(B2576),MONTH(B2576),1)</f>
        <v>45962</v>
      </c>
      <c r="K2576" s="41" t="n">
        <f aca="false">D2576*E2576</f>
        <v>26.7</v>
      </c>
      <c r="L2576" s="41" t="n">
        <f aca="false">D2576*I2576</f>
        <v>9</v>
      </c>
      <c r="M2576" s="41" t="n">
        <f aca="false">IFERROR(INDEX(Raw_Expenses!$C$5:$C$2979,MATCH(A2576,Raw_Expenses!$A$5:$A$2979,0)),0)</f>
        <v>2.25</v>
      </c>
      <c r="N2576" s="41" t="n">
        <f aca="false">L2576+M2576</f>
        <v>11.25</v>
      </c>
      <c r="O2576" s="41" t="n">
        <f aca="false">K2576-N2576</f>
        <v>15.45</v>
      </c>
      <c r="P2576" s="43" t="n">
        <f aca="false">IF(K2576=0,0,O2576/K2576)</f>
        <v>0.578651685393259</v>
      </c>
    </row>
    <row r="2577" customFormat="false" ht="15" hidden="false" customHeight="false" outlineLevel="0" collapsed="false">
      <c r="A2577" s="39" t="s">
        <v>2699</v>
      </c>
      <c r="B2577" s="40" t="n">
        <v>45986</v>
      </c>
      <c r="C2577" s="39" t="s">
        <v>169</v>
      </c>
      <c r="D2577" s="39" t="n">
        <v>2</v>
      </c>
      <c r="E2577" s="41" t="n">
        <v>28.58</v>
      </c>
      <c r="F2577" s="39" t="s">
        <v>115</v>
      </c>
      <c r="G2577" s="39" t="str">
        <f aca="false">VLOOKUP(C2577,Products!$A$5:$D$24,2,FALSE())</f>
        <v>Laptop Stand</v>
      </c>
      <c r="H2577" s="39" t="str">
        <f aca="false">VLOOKUP(C2577,Products!$A$5:$D$24,3,FALSE())</f>
        <v>Accessories</v>
      </c>
      <c r="I2577" s="41" t="n">
        <f aca="false">VLOOKUP(C2577,Products!$A$5:$D$24,4,FALSE())</f>
        <v>11</v>
      </c>
      <c r="J2577" s="42" t="n">
        <f aca="false">DATE(YEAR(B2577),MONTH(B2577),1)</f>
        <v>45962</v>
      </c>
      <c r="K2577" s="41" t="n">
        <f aca="false">D2577*E2577</f>
        <v>57.16</v>
      </c>
      <c r="L2577" s="41" t="n">
        <f aca="false">D2577*I2577</f>
        <v>22</v>
      </c>
      <c r="M2577" s="41" t="n">
        <f aca="false">IFERROR(INDEX(Raw_Expenses!$C$5:$C$2979,MATCH(A2577,Raw_Expenses!$A$5:$A$2979,0)),0)</f>
        <v>2.79</v>
      </c>
      <c r="N2577" s="41" t="n">
        <f aca="false">L2577+M2577</f>
        <v>24.79</v>
      </c>
      <c r="O2577" s="41" t="n">
        <f aca="false">K2577-N2577</f>
        <v>32.37</v>
      </c>
      <c r="P2577" s="43" t="n">
        <f aca="false">IF(K2577=0,0,O2577/K2577)</f>
        <v>0.56630510846746</v>
      </c>
    </row>
    <row r="2578" customFormat="false" ht="15" hidden="false" customHeight="false" outlineLevel="0" collapsed="false">
      <c r="A2578" s="39" t="s">
        <v>2700</v>
      </c>
      <c r="B2578" s="40" t="n">
        <v>45986</v>
      </c>
      <c r="C2578" s="39" t="s">
        <v>110</v>
      </c>
      <c r="D2578" s="39" t="n">
        <v>1</v>
      </c>
      <c r="E2578" s="41" t="n">
        <v>13.07</v>
      </c>
      <c r="F2578" s="39" t="s">
        <v>118</v>
      </c>
      <c r="G2578" s="39" t="str">
        <f aca="false">VLOOKUP(C2578,Products!$A$5:$D$24,2,FALSE())</f>
        <v>Phone Stand</v>
      </c>
      <c r="H2578" s="39" t="str">
        <f aca="false">VLOOKUP(C2578,Products!$A$5:$D$24,3,FALSE())</f>
        <v>Accessories</v>
      </c>
      <c r="I2578" s="41" t="n">
        <f aca="false">VLOOKUP(C2578,Products!$A$5:$D$24,4,FALSE())</f>
        <v>4</v>
      </c>
      <c r="J2578" s="42" t="n">
        <f aca="false">DATE(YEAR(B2578),MONTH(B2578),1)</f>
        <v>45962</v>
      </c>
      <c r="K2578" s="41" t="n">
        <f aca="false">D2578*E2578</f>
        <v>13.07</v>
      </c>
      <c r="L2578" s="41" t="n">
        <f aca="false">D2578*I2578</f>
        <v>4</v>
      </c>
      <c r="M2578" s="41" t="n">
        <f aca="false">IFERROR(INDEX(Raw_Expenses!$C$5:$C$2979,MATCH(A2578,Raw_Expenses!$A$5:$A$2979,0)),0)</f>
        <v>0.86</v>
      </c>
      <c r="N2578" s="41" t="n">
        <f aca="false">L2578+M2578</f>
        <v>4.86</v>
      </c>
      <c r="O2578" s="41" t="n">
        <f aca="false">K2578-N2578</f>
        <v>8.21</v>
      </c>
      <c r="P2578" s="43" t="n">
        <f aca="false">IF(K2578=0,0,O2578/K2578)</f>
        <v>0.628156082631982</v>
      </c>
    </row>
    <row r="2579" customFormat="false" ht="15" hidden="false" customHeight="false" outlineLevel="0" collapsed="false">
      <c r="A2579" s="39" t="s">
        <v>2701</v>
      </c>
      <c r="B2579" s="40" t="n">
        <v>45986</v>
      </c>
      <c r="C2579" s="39" t="s">
        <v>133</v>
      </c>
      <c r="D2579" s="39" t="n">
        <v>2</v>
      </c>
      <c r="E2579" s="41" t="n">
        <v>8.65</v>
      </c>
      <c r="F2579" s="39" t="s">
        <v>105</v>
      </c>
      <c r="G2579" s="39" t="str">
        <f aca="false">VLOOKUP(C2579,Products!$A$5:$D$24,2,FALSE())</f>
        <v>Printer Paper Ream</v>
      </c>
      <c r="H2579" s="39" t="str">
        <f aca="false">VLOOKUP(C2579,Products!$A$5:$D$24,3,FALSE())</f>
        <v>Stationery</v>
      </c>
      <c r="I2579" s="41" t="n">
        <f aca="false">VLOOKUP(C2579,Products!$A$5:$D$24,4,FALSE())</f>
        <v>4</v>
      </c>
      <c r="J2579" s="42" t="n">
        <f aca="false">DATE(YEAR(B2579),MONTH(B2579),1)</f>
        <v>45962</v>
      </c>
      <c r="K2579" s="41" t="n">
        <f aca="false">D2579*E2579</f>
        <v>17.3</v>
      </c>
      <c r="L2579" s="41" t="n">
        <f aca="false">D2579*I2579</f>
        <v>8</v>
      </c>
      <c r="M2579" s="41" t="n">
        <f aca="false">IFERROR(INDEX(Raw_Expenses!$C$5:$C$2979,MATCH(A2579,Raw_Expenses!$A$5:$A$2979,0)),0)</f>
        <v>1.18</v>
      </c>
      <c r="N2579" s="41" t="n">
        <f aca="false">L2579+M2579</f>
        <v>9.18</v>
      </c>
      <c r="O2579" s="41" t="n">
        <f aca="false">K2579-N2579</f>
        <v>8.12</v>
      </c>
      <c r="P2579" s="43" t="n">
        <f aca="false">IF(K2579=0,0,O2579/K2579)</f>
        <v>0.469364161849711</v>
      </c>
    </row>
    <row r="2580" customFormat="false" ht="15" hidden="false" customHeight="false" outlineLevel="0" collapsed="false">
      <c r="A2580" s="39" t="s">
        <v>2702</v>
      </c>
      <c r="B2580" s="40" t="n">
        <v>45986</v>
      </c>
      <c r="C2580" s="39" t="s">
        <v>183</v>
      </c>
      <c r="D2580" s="39" t="n">
        <v>1</v>
      </c>
      <c r="E2580" s="41" t="n">
        <v>185.11</v>
      </c>
      <c r="F2580" s="39" t="s">
        <v>105</v>
      </c>
      <c r="G2580" s="39" t="str">
        <f aca="false">VLOOKUP(C2580,Products!$A$5:$D$24,2,FALSE())</f>
        <v>Office Chair</v>
      </c>
      <c r="H2580" s="39" t="str">
        <f aca="false">VLOOKUP(C2580,Products!$A$5:$D$24,3,FALSE())</f>
        <v>Furniture</v>
      </c>
      <c r="I2580" s="41" t="n">
        <f aca="false">VLOOKUP(C2580,Products!$A$5:$D$24,4,FALSE())</f>
        <v>85</v>
      </c>
      <c r="J2580" s="42" t="n">
        <f aca="false">DATE(YEAR(B2580),MONTH(B2580),1)</f>
        <v>45962</v>
      </c>
      <c r="K2580" s="41" t="n">
        <f aca="false">D2580*E2580</f>
        <v>185.11</v>
      </c>
      <c r="L2580" s="41" t="n">
        <f aca="false">D2580*I2580</f>
        <v>85</v>
      </c>
      <c r="M2580" s="41" t="n">
        <f aca="false">IFERROR(INDEX(Raw_Expenses!$C$5:$C$2979,MATCH(A2580,Raw_Expenses!$A$5:$A$2979,0)),0)</f>
        <v>13.78</v>
      </c>
      <c r="N2580" s="41" t="n">
        <f aca="false">L2580+M2580</f>
        <v>98.78</v>
      </c>
      <c r="O2580" s="41" t="n">
        <f aca="false">K2580-N2580</f>
        <v>86.33</v>
      </c>
      <c r="P2580" s="43" t="n">
        <f aca="false">IF(K2580=0,0,O2580/K2580)</f>
        <v>0.466371346766787</v>
      </c>
    </row>
    <row r="2581" customFormat="false" ht="15" hidden="false" customHeight="false" outlineLevel="0" collapsed="false">
      <c r="A2581" s="39" t="s">
        <v>2703</v>
      </c>
      <c r="B2581" s="40" t="n">
        <v>45986</v>
      </c>
      <c r="C2581" s="39" t="s">
        <v>107</v>
      </c>
      <c r="D2581" s="39" t="n">
        <v>2</v>
      </c>
      <c r="E2581" s="41" t="n">
        <v>32.5</v>
      </c>
      <c r="F2581" s="39" t="s">
        <v>118</v>
      </c>
      <c r="G2581" s="39" t="str">
        <f aca="false">VLOOKUP(C2581,Products!$A$5:$D$24,2,FALSE())</f>
        <v>USB-C Hub</v>
      </c>
      <c r="H2581" s="39" t="str">
        <f aca="false">VLOOKUP(C2581,Products!$A$5:$D$24,3,FALSE())</f>
        <v>Electronics</v>
      </c>
      <c r="I2581" s="41" t="n">
        <f aca="false">VLOOKUP(C2581,Products!$A$5:$D$24,4,FALSE())</f>
        <v>14</v>
      </c>
      <c r="J2581" s="42" t="n">
        <f aca="false">DATE(YEAR(B2581),MONTH(B2581),1)</f>
        <v>45962</v>
      </c>
      <c r="K2581" s="41" t="n">
        <f aca="false">D2581*E2581</f>
        <v>65</v>
      </c>
      <c r="L2581" s="41" t="n">
        <f aca="false">D2581*I2581</f>
        <v>28</v>
      </c>
      <c r="M2581" s="41" t="n">
        <f aca="false">IFERROR(INDEX(Raw_Expenses!$C$5:$C$2979,MATCH(A2581,Raw_Expenses!$A$5:$A$2979,0)),0)</f>
        <v>5.42</v>
      </c>
      <c r="N2581" s="41" t="n">
        <f aca="false">L2581+M2581</f>
        <v>33.42</v>
      </c>
      <c r="O2581" s="41" t="n">
        <f aca="false">K2581-N2581</f>
        <v>31.58</v>
      </c>
      <c r="P2581" s="43" t="n">
        <f aca="false">IF(K2581=0,0,O2581/K2581)</f>
        <v>0.485846153846154</v>
      </c>
    </row>
    <row r="2582" customFormat="false" ht="15" hidden="false" customHeight="false" outlineLevel="0" collapsed="false">
      <c r="A2582" s="39" t="s">
        <v>2704</v>
      </c>
      <c r="B2582" s="40" t="n">
        <v>45986</v>
      </c>
      <c r="C2582" s="39" t="s">
        <v>104</v>
      </c>
      <c r="D2582" s="39" t="n">
        <v>3</v>
      </c>
      <c r="E2582" s="41" t="n">
        <v>14.79</v>
      </c>
      <c r="F2582" s="39" t="s">
        <v>115</v>
      </c>
      <c r="G2582" s="39" t="str">
        <f aca="false">VLOOKUP(C2582,Products!$A$5:$D$24,2,FALSE())</f>
        <v>Water Bottle</v>
      </c>
      <c r="H2582" s="39" t="str">
        <f aca="false">VLOOKUP(C2582,Products!$A$5:$D$24,3,FALSE())</f>
        <v>Accessories</v>
      </c>
      <c r="I2582" s="41" t="n">
        <f aca="false">VLOOKUP(C2582,Products!$A$5:$D$24,4,FALSE())</f>
        <v>5</v>
      </c>
      <c r="J2582" s="42" t="n">
        <f aca="false">DATE(YEAR(B2582),MONTH(B2582),1)</f>
        <v>45962</v>
      </c>
      <c r="K2582" s="41" t="n">
        <f aca="false">D2582*E2582</f>
        <v>44.37</v>
      </c>
      <c r="L2582" s="41" t="n">
        <f aca="false">D2582*I2582</f>
        <v>15</v>
      </c>
      <c r="M2582" s="41" t="n">
        <f aca="false">IFERROR(INDEX(Raw_Expenses!$C$5:$C$2979,MATCH(A2582,Raw_Expenses!$A$5:$A$2979,0)),0)</f>
        <v>3.95</v>
      </c>
      <c r="N2582" s="41" t="n">
        <f aca="false">L2582+M2582</f>
        <v>18.95</v>
      </c>
      <c r="O2582" s="41" t="n">
        <f aca="false">K2582-N2582</f>
        <v>25.42</v>
      </c>
      <c r="P2582" s="43" t="n">
        <f aca="false">IF(K2582=0,0,O2582/K2582)</f>
        <v>0.572909623619563</v>
      </c>
    </row>
    <row r="2583" customFormat="false" ht="15" hidden="false" customHeight="false" outlineLevel="0" collapsed="false">
      <c r="A2583" s="39" t="s">
        <v>2705</v>
      </c>
      <c r="B2583" s="40" t="n">
        <v>45986</v>
      </c>
      <c r="C2583" s="39" t="s">
        <v>110</v>
      </c>
      <c r="D2583" s="39" t="n">
        <v>4</v>
      </c>
      <c r="E2583" s="41" t="n">
        <v>13.47</v>
      </c>
      <c r="F2583" s="39" t="s">
        <v>105</v>
      </c>
      <c r="G2583" s="39" t="str">
        <f aca="false">VLOOKUP(C2583,Products!$A$5:$D$24,2,FALSE())</f>
        <v>Phone Stand</v>
      </c>
      <c r="H2583" s="39" t="str">
        <f aca="false">VLOOKUP(C2583,Products!$A$5:$D$24,3,FALSE())</f>
        <v>Accessories</v>
      </c>
      <c r="I2583" s="41" t="n">
        <f aca="false">VLOOKUP(C2583,Products!$A$5:$D$24,4,FALSE())</f>
        <v>4</v>
      </c>
      <c r="J2583" s="42" t="n">
        <f aca="false">DATE(YEAR(B2583),MONTH(B2583),1)</f>
        <v>45962</v>
      </c>
      <c r="K2583" s="41" t="n">
        <f aca="false">D2583*E2583</f>
        <v>53.88</v>
      </c>
      <c r="L2583" s="41" t="n">
        <f aca="false">D2583*I2583</f>
        <v>16</v>
      </c>
      <c r="M2583" s="41" t="n">
        <f aca="false">IFERROR(INDEX(Raw_Expenses!$C$5:$C$2979,MATCH(A2583,Raw_Expenses!$A$5:$A$2979,0)),0)</f>
        <v>2.62</v>
      </c>
      <c r="N2583" s="41" t="n">
        <f aca="false">L2583+M2583</f>
        <v>18.62</v>
      </c>
      <c r="O2583" s="41" t="n">
        <f aca="false">K2583-N2583</f>
        <v>35.26</v>
      </c>
      <c r="P2583" s="43" t="n">
        <f aca="false">IF(K2583=0,0,O2583/K2583)</f>
        <v>0.65441722345954</v>
      </c>
    </row>
    <row r="2584" customFormat="false" ht="15" hidden="false" customHeight="false" outlineLevel="0" collapsed="false">
      <c r="A2584" s="39" t="s">
        <v>2706</v>
      </c>
      <c r="B2584" s="40" t="n">
        <v>45986</v>
      </c>
      <c r="C2584" s="39" t="s">
        <v>139</v>
      </c>
      <c r="D2584" s="39" t="n">
        <v>8</v>
      </c>
      <c r="E2584" s="41" t="n">
        <v>128.86</v>
      </c>
      <c r="F2584" s="39" t="s">
        <v>105</v>
      </c>
      <c r="G2584" s="39" t="str">
        <f aca="false">VLOOKUP(C2584,Products!$A$5:$D$24,2,FALSE())</f>
        <v>Noise-Cancelling Headphones</v>
      </c>
      <c r="H2584" s="39" t="str">
        <f aca="false">VLOOKUP(C2584,Products!$A$5:$D$24,3,FALSE())</f>
        <v>Electronics</v>
      </c>
      <c r="I2584" s="41" t="n">
        <f aca="false">VLOOKUP(C2584,Products!$A$5:$D$24,4,FALSE())</f>
        <v>55</v>
      </c>
      <c r="J2584" s="42" t="n">
        <f aca="false">DATE(YEAR(B2584),MONTH(B2584),1)</f>
        <v>45962</v>
      </c>
      <c r="K2584" s="41" t="n">
        <f aca="false">D2584*E2584</f>
        <v>1030.88</v>
      </c>
      <c r="L2584" s="41" t="n">
        <f aca="false">D2584*I2584</f>
        <v>440</v>
      </c>
      <c r="M2584" s="41" t="n">
        <f aca="false">IFERROR(INDEX(Raw_Expenses!$C$5:$C$2979,MATCH(A2584,Raw_Expenses!$A$5:$A$2979,0)),0)</f>
        <v>52.48</v>
      </c>
      <c r="N2584" s="41" t="n">
        <f aca="false">L2584+M2584</f>
        <v>492.48</v>
      </c>
      <c r="O2584" s="41" t="n">
        <f aca="false">K2584-N2584</f>
        <v>538.4</v>
      </c>
      <c r="P2584" s="43" t="n">
        <f aca="false">IF(K2584=0,0,O2584/K2584)</f>
        <v>0.522272233431631</v>
      </c>
    </row>
    <row r="2585" customFormat="false" ht="15" hidden="false" customHeight="false" outlineLevel="0" collapsed="false">
      <c r="A2585" s="39" t="s">
        <v>2707</v>
      </c>
      <c r="B2585" s="40" t="n">
        <v>45986</v>
      </c>
      <c r="C2585" s="39" t="s">
        <v>144</v>
      </c>
      <c r="D2585" s="39" t="n">
        <v>4</v>
      </c>
      <c r="E2585" s="41" t="n">
        <v>57.06</v>
      </c>
      <c r="F2585" s="39" t="s">
        <v>105</v>
      </c>
      <c r="G2585" s="39" t="str">
        <f aca="false">VLOOKUP(C2585,Products!$A$5:$D$24,2,FALSE())</f>
        <v>Whiteboard</v>
      </c>
      <c r="H2585" s="39" t="str">
        <f aca="false">VLOOKUP(C2585,Products!$A$5:$D$24,3,FALSE())</f>
        <v>Furniture</v>
      </c>
      <c r="I2585" s="41" t="n">
        <f aca="false">VLOOKUP(C2585,Products!$A$5:$D$24,4,FALSE())</f>
        <v>28</v>
      </c>
      <c r="J2585" s="42" t="n">
        <f aca="false">DATE(YEAR(B2585),MONTH(B2585),1)</f>
        <v>45962</v>
      </c>
      <c r="K2585" s="41" t="n">
        <f aca="false">D2585*E2585</f>
        <v>228.24</v>
      </c>
      <c r="L2585" s="41" t="n">
        <f aca="false">D2585*I2585</f>
        <v>112</v>
      </c>
      <c r="M2585" s="41" t="n">
        <f aca="false">IFERROR(INDEX(Raw_Expenses!$C$5:$C$2979,MATCH(A2585,Raw_Expenses!$A$5:$A$2979,0)),0)</f>
        <v>13</v>
      </c>
      <c r="N2585" s="41" t="n">
        <f aca="false">L2585+M2585</f>
        <v>125</v>
      </c>
      <c r="O2585" s="41" t="n">
        <f aca="false">K2585-N2585</f>
        <v>103.24</v>
      </c>
      <c r="P2585" s="43" t="n">
        <f aca="false">IF(K2585=0,0,O2585/K2585)</f>
        <v>0.452330879775675</v>
      </c>
    </row>
    <row r="2586" customFormat="false" ht="15" hidden="false" customHeight="false" outlineLevel="0" collapsed="false">
      <c r="A2586" s="39" t="s">
        <v>2708</v>
      </c>
      <c r="B2586" s="40" t="n">
        <v>45987</v>
      </c>
      <c r="C2586" s="39" t="s">
        <v>130</v>
      </c>
      <c r="D2586" s="39" t="n">
        <v>2</v>
      </c>
      <c r="E2586" s="41" t="n">
        <v>8.92</v>
      </c>
      <c r="F2586" s="39" t="s">
        <v>105</v>
      </c>
      <c r="G2586" s="39" t="str">
        <f aca="false">VLOOKUP(C2586,Products!$A$5:$D$24,2,FALSE())</f>
        <v>Notebook Set</v>
      </c>
      <c r="H2586" s="39" t="str">
        <f aca="false">VLOOKUP(C2586,Products!$A$5:$D$24,3,FALSE())</f>
        <v>Stationery</v>
      </c>
      <c r="I2586" s="41" t="n">
        <f aca="false">VLOOKUP(C2586,Products!$A$5:$D$24,4,FALSE())</f>
        <v>3</v>
      </c>
      <c r="J2586" s="42" t="n">
        <f aca="false">DATE(YEAR(B2586),MONTH(B2586),1)</f>
        <v>45962</v>
      </c>
      <c r="K2586" s="41" t="n">
        <f aca="false">D2586*E2586</f>
        <v>17.84</v>
      </c>
      <c r="L2586" s="41" t="n">
        <f aca="false">D2586*I2586</f>
        <v>6</v>
      </c>
      <c r="M2586" s="41" t="n">
        <f aca="false">IFERROR(INDEX(Raw_Expenses!$C$5:$C$2979,MATCH(A2586,Raw_Expenses!$A$5:$A$2979,0)),0)</f>
        <v>1.19</v>
      </c>
      <c r="N2586" s="41" t="n">
        <f aca="false">L2586+M2586</f>
        <v>7.19</v>
      </c>
      <c r="O2586" s="41" t="n">
        <f aca="false">K2586-N2586</f>
        <v>10.65</v>
      </c>
      <c r="P2586" s="43" t="n">
        <f aca="false">IF(K2586=0,0,O2586/K2586)</f>
        <v>0.596973094170404</v>
      </c>
    </row>
    <row r="2587" customFormat="false" ht="15" hidden="false" customHeight="false" outlineLevel="0" collapsed="false">
      <c r="A2587" s="39" t="s">
        <v>2709</v>
      </c>
      <c r="B2587" s="40" t="n">
        <v>45987</v>
      </c>
      <c r="C2587" s="39" t="s">
        <v>130</v>
      </c>
      <c r="D2587" s="39" t="n">
        <v>3</v>
      </c>
      <c r="E2587" s="41" t="n">
        <v>8.48</v>
      </c>
      <c r="F2587" s="39" t="s">
        <v>105</v>
      </c>
      <c r="G2587" s="39" t="str">
        <f aca="false">VLOOKUP(C2587,Products!$A$5:$D$24,2,FALSE())</f>
        <v>Notebook Set</v>
      </c>
      <c r="H2587" s="39" t="str">
        <f aca="false">VLOOKUP(C2587,Products!$A$5:$D$24,3,FALSE())</f>
        <v>Stationery</v>
      </c>
      <c r="I2587" s="41" t="n">
        <f aca="false">VLOOKUP(C2587,Products!$A$5:$D$24,4,FALSE())</f>
        <v>3</v>
      </c>
      <c r="J2587" s="42" t="n">
        <f aca="false">DATE(YEAR(B2587),MONTH(B2587),1)</f>
        <v>45962</v>
      </c>
      <c r="K2587" s="41" t="n">
        <f aca="false">D2587*E2587</f>
        <v>25.44</v>
      </c>
      <c r="L2587" s="41" t="n">
        <f aca="false">D2587*I2587</f>
        <v>9</v>
      </c>
      <c r="M2587" s="41" t="n">
        <f aca="false">IFERROR(INDEX(Raw_Expenses!$C$5:$C$2979,MATCH(A2587,Raw_Expenses!$A$5:$A$2979,0)),0)</f>
        <v>1.97</v>
      </c>
      <c r="N2587" s="41" t="n">
        <f aca="false">L2587+M2587</f>
        <v>10.97</v>
      </c>
      <c r="O2587" s="41" t="n">
        <f aca="false">K2587-N2587</f>
        <v>14.47</v>
      </c>
      <c r="P2587" s="43" t="n">
        <f aca="false">IF(K2587=0,0,O2587/K2587)</f>
        <v>0.568789308176101</v>
      </c>
    </row>
    <row r="2588" customFormat="false" ht="15" hidden="false" customHeight="false" outlineLevel="0" collapsed="false">
      <c r="A2588" s="39" t="s">
        <v>2710</v>
      </c>
      <c r="B2588" s="40" t="n">
        <v>45987</v>
      </c>
      <c r="C2588" s="39" t="s">
        <v>136</v>
      </c>
      <c r="D2588" s="39" t="n">
        <v>2</v>
      </c>
      <c r="E2588" s="41" t="n">
        <v>78.94</v>
      </c>
      <c r="F2588" s="39" t="s">
        <v>105</v>
      </c>
      <c r="G2588" s="39" t="str">
        <f aca="false">VLOOKUP(C2588,Products!$A$5:$D$24,2,FALSE())</f>
        <v>Mechanical Keyboard</v>
      </c>
      <c r="H2588" s="39" t="str">
        <f aca="false">VLOOKUP(C2588,Products!$A$5:$D$24,3,FALSE())</f>
        <v>Electronics</v>
      </c>
      <c r="I2588" s="41" t="n">
        <f aca="false">VLOOKUP(C2588,Products!$A$5:$D$24,4,FALSE())</f>
        <v>38</v>
      </c>
      <c r="J2588" s="42" t="n">
        <f aca="false">DATE(YEAR(B2588),MONTH(B2588),1)</f>
        <v>45962</v>
      </c>
      <c r="K2588" s="41" t="n">
        <f aca="false">D2588*E2588</f>
        <v>157.88</v>
      </c>
      <c r="L2588" s="41" t="n">
        <f aca="false">D2588*I2588</f>
        <v>76</v>
      </c>
      <c r="M2588" s="41" t="n">
        <f aca="false">IFERROR(INDEX(Raw_Expenses!$C$5:$C$2979,MATCH(A2588,Raw_Expenses!$A$5:$A$2979,0)),0)</f>
        <v>13.6</v>
      </c>
      <c r="N2588" s="41" t="n">
        <f aca="false">L2588+M2588</f>
        <v>89.6</v>
      </c>
      <c r="O2588" s="41" t="n">
        <f aca="false">K2588-N2588</f>
        <v>68.28</v>
      </c>
      <c r="P2588" s="43" t="n">
        <f aca="false">IF(K2588=0,0,O2588/K2588)</f>
        <v>0.432480364834051</v>
      </c>
    </row>
    <row r="2589" customFormat="false" ht="15" hidden="false" customHeight="false" outlineLevel="0" collapsed="false">
      <c r="A2589" s="39" t="s">
        <v>2711</v>
      </c>
      <c r="B2589" s="40" t="n">
        <v>45987</v>
      </c>
      <c r="C2589" s="39" t="s">
        <v>112</v>
      </c>
      <c r="D2589" s="39" t="n">
        <v>2</v>
      </c>
      <c r="E2589" s="41" t="n">
        <v>53.17</v>
      </c>
      <c r="F2589" s="39" t="s">
        <v>105</v>
      </c>
      <c r="G2589" s="39" t="str">
        <f aca="false">VLOOKUP(C2589,Products!$A$5:$D$24,2,FALSE())</f>
        <v>HD Webcam</v>
      </c>
      <c r="H2589" s="39" t="str">
        <f aca="false">VLOOKUP(C2589,Products!$A$5:$D$24,3,FALSE())</f>
        <v>Electronics</v>
      </c>
      <c r="I2589" s="41" t="n">
        <f aca="false">VLOOKUP(C2589,Products!$A$5:$D$24,4,FALSE())</f>
        <v>22</v>
      </c>
      <c r="J2589" s="42" t="n">
        <f aca="false">DATE(YEAR(B2589),MONTH(B2589),1)</f>
        <v>45962</v>
      </c>
      <c r="K2589" s="41" t="n">
        <f aca="false">D2589*E2589</f>
        <v>106.34</v>
      </c>
      <c r="L2589" s="41" t="n">
        <f aca="false">D2589*I2589</f>
        <v>44</v>
      </c>
      <c r="M2589" s="41" t="n">
        <f aca="false">IFERROR(INDEX(Raw_Expenses!$C$5:$C$2979,MATCH(A2589,Raw_Expenses!$A$5:$A$2979,0)),0)</f>
        <v>8.89</v>
      </c>
      <c r="N2589" s="41" t="n">
        <f aca="false">L2589+M2589</f>
        <v>52.89</v>
      </c>
      <c r="O2589" s="41" t="n">
        <f aca="false">K2589-N2589</f>
        <v>53.45</v>
      </c>
      <c r="P2589" s="43" t="n">
        <f aca="false">IF(K2589=0,0,O2589/K2589)</f>
        <v>0.502633063757758</v>
      </c>
    </row>
    <row r="2590" customFormat="false" ht="15" hidden="false" customHeight="false" outlineLevel="0" collapsed="false">
      <c r="A2590" s="39" t="s">
        <v>2712</v>
      </c>
      <c r="B2590" s="40" t="n">
        <v>45987</v>
      </c>
      <c r="C2590" s="39" t="s">
        <v>177</v>
      </c>
      <c r="D2590" s="39" t="n">
        <v>4</v>
      </c>
      <c r="E2590" s="41" t="n">
        <v>43.32</v>
      </c>
      <c r="F2590" s="39" t="s">
        <v>115</v>
      </c>
      <c r="G2590" s="39" t="str">
        <f aca="false">VLOOKUP(C2590,Products!$A$5:$D$24,2,FALSE())</f>
        <v>Backpack</v>
      </c>
      <c r="H2590" s="39" t="str">
        <f aca="false">VLOOKUP(C2590,Products!$A$5:$D$24,3,FALSE())</f>
        <v>Accessories</v>
      </c>
      <c r="I2590" s="41" t="n">
        <f aca="false">VLOOKUP(C2590,Products!$A$5:$D$24,4,FALSE())</f>
        <v>17</v>
      </c>
      <c r="J2590" s="42" t="n">
        <f aca="false">DATE(YEAR(B2590),MONTH(B2590),1)</f>
        <v>45962</v>
      </c>
      <c r="K2590" s="41" t="n">
        <f aca="false">D2590*E2590</f>
        <v>173.28</v>
      </c>
      <c r="L2590" s="41" t="n">
        <f aca="false">D2590*I2590</f>
        <v>68</v>
      </c>
      <c r="M2590" s="41" t="n">
        <f aca="false">IFERROR(INDEX(Raw_Expenses!$C$5:$C$2979,MATCH(A2590,Raw_Expenses!$A$5:$A$2979,0)),0)</f>
        <v>12.97</v>
      </c>
      <c r="N2590" s="41" t="n">
        <f aca="false">L2590+M2590</f>
        <v>80.97</v>
      </c>
      <c r="O2590" s="41" t="n">
        <f aca="false">K2590-N2590</f>
        <v>92.31</v>
      </c>
      <c r="P2590" s="43" t="n">
        <f aca="false">IF(K2590=0,0,O2590/K2590)</f>
        <v>0.5327216066482</v>
      </c>
    </row>
    <row r="2591" customFormat="false" ht="15" hidden="false" customHeight="false" outlineLevel="0" collapsed="false">
      <c r="A2591" s="39" t="s">
        <v>2713</v>
      </c>
      <c r="B2591" s="40" t="n">
        <v>45987</v>
      </c>
      <c r="C2591" s="39" t="s">
        <v>107</v>
      </c>
      <c r="D2591" s="39" t="n">
        <v>2</v>
      </c>
      <c r="E2591" s="41" t="n">
        <v>34.13</v>
      </c>
      <c r="F2591" s="39" t="s">
        <v>118</v>
      </c>
      <c r="G2591" s="39" t="str">
        <f aca="false">VLOOKUP(C2591,Products!$A$5:$D$24,2,FALSE())</f>
        <v>USB-C Hub</v>
      </c>
      <c r="H2591" s="39" t="str">
        <f aca="false">VLOOKUP(C2591,Products!$A$5:$D$24,3,FALSE())</f>
        <v>Electronics</v>
      </c>
      <c r="I2591" s="41" t="n">
        <f aca="false">VLOOKUP(C2591,Products!$A$5:$D$24,4,FALSE())</f>
        <v>14</v>
      </c>
      <c r="J2591" s="42" t="n">
        <f aca="false">DATE(YEAR(B2591),MONTH(B2591),1)</f>
        <v>45962</v>
      </c>
      <c r="K2591" s="41" t="n">
        <f aca="false">D2591*E2591</f>
        <v>68.26</v>
      </c>
      <c r="L2591" s="41" t="n">
        <f aca="false">D2591*I2591</f>
        <v>28</v>
      </c>
      <c r="M2591" s="41" t="n">
        <f aca="false">IFERROR(INDEX(Raw_Expenses!$C$5:$C$2979,MATCH(A2591,Raw_Expenses!$A$5:$A$2979,0)),0)</f>
        <v>3.67</v>
      </c>
      <c r="N2591" s="41" t="n">
        <f aca="false">L2591+M2591</f>
        <v>31.67</v>
      </c>
      <c r="O2591" s="41" t="n">
        <f aca="false">K2591-N2591</f>
        <v>36.59</v>
      </c>
      <c r="P2591" s="43" t="n">
        <f aca="false">IF(K2591=0,0,O2591/K2591)</f>
        <v>0.536038675651919</v>
      </c>
    </row>
    <row r="2592" customFormat="false" ht="15" hidden="false" customHeight="false" outlineLevel="0" collapsed="false">
      <c r="A2592" s="39" t="s">
        <v>2714</v>
      </c>
      <c r="B2592" s="40" t="n">
        <v>45987</v>
      </c>
      <c r="C2592" s="39" t="s">
        <v>117</v>
      </c>
      <c r="D2592" s="39" t="n">
        <v>1</v>
      </c>
      <c r="E2592" s="41" t="n">
        <v>29.81</v>
      </c>
      <c r="F2592" s="39" t="s">
        <v>108</v>
      </c>
      <c r="G2592" s="39" t="str">
        <f aca="false">VLOOKUP(C2592,Products!$A$5:$D$24,2,FALSE())</f>
        <v>Desk Lamp</v>
      </c>
      <c r="H2592" s="39" t="str">
        <f aca="false">VLOOKUP(C2592,Products!$A$5:$D$24,3,FALSE())</f>
        <v>Furniture</v>
      </c>
      <c r="I2592" s="41" t="n">
        <f aca="false">VLOOKUP(C2592,Products!$A$5:$D$24,4,FALSE())</f>
        <v>13</v>
      </c>
      <c r="J2592" s="42" t="n">
        <f aca="false">DATE(YEAR(B2592),MONTH(B2592),1)</f>
        <v>45962</v>
      </c>
      <c r="K2592" s="41" t="n">
        <f aca="false">D2592*E2592</f>
        <v>29.81</v>
      </c>
      <c r="L2592" s="41" t="n">
        <f aca="false">D2592*I2592</f>
        <v>13</v>
      </c>
      <c r="M2592" s="41" t="n">
        <f aca="false">IFERROR(INDEX(Raw_Expenses!$C$5:$C$2979,MATCH(A2592,Raw_Expenses!$A$5:$A$2979,0)),0)</f>
        <v>1.59</v>
      </c>
      <c r="N2592" s="41" t="n">
        <f aca="false">L2592+M2592</f>
        <v>14.59</v>
      </c>
      <c r="O2592" s="41" t="n">
        <f aca="false">K2592-N2592</f>
        <v>15.22</v>
      </c>
      <c r="P2592" s="43" t="n">
        <f aca="false">IF(K2592=0,0,O2592/K2592)</f>
        <v>0.510566923851057</v>
      </c>
    </row>
    <row r="2593" customFormat="false" ht="15" hidden="false" customHeight="false" outlineLevel="0" collapsed="false">
      <c r="A2593" s="39" t="s">
        <v>2715</v>
      </c>
      <c r="B2593" s="40" t="n">
        <v>45987</v>
      </c>
      <c r="C2593" s="39" t="s">
        <v>121</v>
      </c>
      <c r="D2593" s="39" t="n">
        <v>2</v>
      </c>
      <c r="E2593" s="41" t="n">
        <v>111.33</v>
      </c>
      <c r="F2593" s="39" t="s">
        <v>108</v>
      </c>
      <c r="G2593" s="39" t="str">
        <f aca="false">VLOOKUP(C2593,Products!$A$5:$D$24,2,FALSE())</f>
        <v>External SSD 1TB</v>
      </c>
      <c r="H2593" s="39" t="str">
        <f aca="false">VLOOKUP(C2593,Products!$A$5:$D$24,3,FALSE())</f>
        <v>Electronics</v>
      </c>
      <c r="I2593" s="41" t="n">
        <f aca="false">VLOOKUP(C2593,Products!$A$5:$D$24,4,FALSE())</f>
        <v>62</v>
      </c>
      <c r="J2593" s="42" t="n">
        <f aca="false">DATE(YEAR(B2593),MONTH(B2593),1)</f>
        <v>45962</v>
      </c>
      <c r="K2593" s="41" t="n">
        <f aca="false">D2593*E2593</f>
        <v>222.66</v>
      </c>
      <c r="L2593" s="41" t="n">
        <f aca="false">D2593*I2593</f>
        <v>124</v>
      </c>
      <c r="M2593" s="41" t="n">
        <f aca="false">IFERROR(INDEX(Raw_Expenses!$C$5:$C$2979,MATCH(A2593,Raw_Expenses!$A$5:$A$2979,0)),0)</f>
        <v>10.72</v>
      </c>
      <c r="N2593" s="41" t="n">
        <f aca="false">L2593+M2593</f>
        <v>134.72</v>
      </c>
      <c r="O2593" s="41" t="n">
        <f aca="false">K2593-N2593</f>
        <v>87.94</v>
      </c>
      <c r="P2593" s="43" t="n">
        <f aca="false">IF(K2593=0,0,O2593/K2593)</f>
        <v>0.394951944669002</v>
      </c>
    </row>
    <row r="2594" customFormat="false" ht="15" hidden="false" customHeight="false" outlineLevel="0" collapsed="false">
      <c r="A2594" s="39" t="s">
        <v>2716</v>
      </c>
      <c r="B2594" s="40" t="n">
        <v>45987</v>
      </c>
      <c r="C2594" s="39" t="s">
        <v>144</v>
      </c>
      <c r="D2594" s="39" t="n">
        <v>5</v>
      </c>
      <c r="E2594" s="41" t="n">
        <v>55.38</v>
      </c>
      <c r="F2594" s="39" t="s">
        <v>118</v>
      </c>
      <c r="G2594" s="39" t="str">
        <f aca="false">VLOOKUP(C2594,Products!$A$5:$D$24,2,FALSE())</f>
        <v>Whiteboard</v>
      </c>
      <c r="H2594" s="39" t="str">
        <f aca="false">VLOOKUP(C2594,Products!$A$5:$D$24,3,FALSE())</f>
        <v>Furniture</v>
      </c>
      <c r="I2594" s="41" t="n">
        <f aca="false">VLOOKUP(C2594,Products!$A$5:$D$24,4,FALSE())</f>
        <v>28</v>
      </c>
      <c r="J2594" s="42" t="n">
        <f aca="false">DATE(YEAR(B2594),MONTH(B2594),1)</f>
        <v>45962</v>
      </c>
      <c r="K2594" s="41" t="n">
        <f aca="false">D2594*E2594</f>
        <v>276.9</v>
      </c>
      <c r="L2594" s="41" t="n">
        <f aca="false">D2594*I2594</f>
        <v>140</v>
      </c>
      <c r="M2594" s="41" t="n">
        <f aca="false">IFERROR(INDEX(Raw_Expenses!$C$5:$C$2979,MATCH(A2594,Raw_Expenses!$A$5:$A$2979,0)),0)</f>
        <v>14.31</v>
      </c>
      <c r="N2594" s="41" t="n">
        <f aca="false">L2594+M2594</f>
        <v>154.31</v>
      </c>
      <c r="O2594" s="41" t="n">
        <f aca="false">K2594-N2594</f>
        <v>122.59</v>
      </c>
      <c r="P2594" s="43" t="n">
        <f aca="false">IF(K2594=0,0,O2594/K2594)</f>
        <v>0.442723004694836</v>
      </c>
    </row>
    <row r="2595" customFormat="false" ht="15" hidden="false" customHeight="false" outlineLevel="0" collapsed="false">
      <c r="A2595" s="39" t="s">
        <v>2717</v>
      </c>
      <c r="B2595" s="40" t="n">
        <v>45987</v>
      </c>
      <c r="C2595" s="39" t="s">
        <v>130</v>
      </c>
      <c r="D2595" s="39" t="n">
        <v>1</v>
      </c>
      <c r="E2595" s="41" t="n">
        <v>8.84</v>
      </c>
      <c r="F2595" s="39" t="s">
        <v>115</v>
      </c>
      <c r="G2595" s="39" t="str">
        <f aca="false">VLOOKUP(C2595,Products!$A$5:$D$24,2,FALSE())</f>
        <v>Notebook Set</v>
      </c>
      <c r="H2595" s="39" t="str">
        <f aca="false">VLOOKUP(C2595,Products!$A$5:$D$24,3,FALSE())</f>
        <v>Stationery</v>
      </c>
      <c r="I2595" s="41" t="n">
        <f aca="false">VLOOKUP(C2595,Products!$A$5:$D$24,4,FALSE())</f>
        <v>3</v>
      </c>
      <c r="J2595" s="42" t="n">
        <f aca="false">DATE(YEAR(B2595),MONTH(B2595),1)</f>
        <v>45962</v>
      </c>
      <c r="K2595" s="41" t="n">
        <f aca="false">D2595*E2595</f>
        <v>8.84</v>
      </c>
      <c r="L2595" s="41" t="n">
        <f aca="false">D2595*I2595</f>
        <v>3</v>
      </c>
      <c r="M2595" s="41" t="n">
        <f aca="false">IFERROR(INDEX(Raw_Expenses!$C$5:$C$2979,MATCH(A2595,Raw_Expenses!$A$5:$A$2979,0)),0)</f>
        <v>0.55</v>
      </c>
      <c r="N2595" s="41" t="n">
        <f aca="false">L2595+M2595</f>
        <v>3.55</v>
      </c>
      <c r="O2595" s="41" t="n">
        <f aca="false">K2595-N2595</f>
        <v>5.29</v>
      </c>
      <c r="P2595" s="43" t="n">
        <f aca="false">IF(K2595=0,0,O2595/K2595)</f>
        <v>0.59841628959276</v>
      </c>
    </row>
    <row r="2596" customFormat="false" ht="15" hidden="false" customHeight="false" outlineLevel="0" collapsed="false">
      <c r="A2596" s="39" t="s">
        <v>2718</v>
      </c>
      <c r="B2596" s="40" t="n">
        <v>45987</v>
      </c>
      <c r="C2596" s="39" t="s">
        <v>169</v>
      </c>
      <c r="D2596" s="39" t="n">
        <v>2</v>
      </c>
      <c r="E2596" s="41" t="n">
        <v>28.54</v>
      </c>
      <c r="F2596" s="39" t="s">
        <v>118</v>
      </c>
      <c r="G2596" s="39" t="str">
        <f aca="false">VLOOKUP(C2596,Products!$A$5:$D$24,2,FALSE())</f>
        <v>Laptop Stand</v>
      </c>
      <c r="H2596" s="39" t="str">
        <f aca="false">VLOOKUP(C2596,Products!$A$5:$D$24,3,FALSE())</f>
        <v>Accessories</v>
      </c>
      <c r="I2596" s="41" t="n">
        <f aca="false">VLOOKUP(C2596,Products!$A$5:$D$24,4,FALSE())</f>
        <v>11</v>
      </c>
      <c r="J2596" s="42" t="n">
        <f aca="false">DATE(YEAR(B2596),MONTH(B2596),1)</f>
        <v>45962</v>
      </c>
      <c r="K2596" s="41" t="n">
        <f aca="false">D2596*E2596</f>
        <v>57.08</v>
      </c>
      <c r="L2596" s="41" t="n">
        <f aca="false">D2596*I2596</f>
        <v>22</v>
      </c>
      <c r="M2596" s="41" t="n">
        <f aca="false">IFERROR(INDEX(Raw_Expenses!$C$5:$C$2979,MATCH(A2596,Raw_Expenses!$A$5:$A$2979,0)),0)</f>
        <v>5.1</v>
      </c>
      <c r="N2596" s="41" t="n">
        <f aca="false">L2596+M2596</f>
        <v>27.1</v>
      </c>
      <c r="O2596" s="41" t="n">
        <f aca="false">K2596-N2596</f>
        <v>29.98</v>
      </c>
      <c r="P2596" s="43" t="n">
        <f aca="false">IF(K2596=0,0,O2596/K2596)</f>
        <v>0.525227750525578</v>
      </c>
    </row>
    <row r="2597" customFormat="false" ht="15" hidden="false" customHeight="false" outlineLevel="0" collapsed="false">
      <c r="A2597" s="39" t="s">
        <v>2719</v>
      </c>
      <c r="B2597" s="40" t="n">
        <v>45987</v>
      </c>
      <c r="C2597" s="39" t="s">
        <v>112</v>
      </c>
      <c r="D2597" s="39" t="n">
        <v>2</v>
      </c>
      <c r="E2597" s="41" t="n">
        <v>50.98</v>
      </c>
      <c r="F2597" s="39" t="s">
        <v>108</v>
      </c>
      <c r="G2597" s="39" t="str">
        <f aca="false">VLOOKUP(C2597,Products!$A$5:$D$24,2,FALSE())</f>
        <v>HD Webcam</v>
      </c>
      <c r="H2597" s="39" t="str">
        <f aca="false">VLOOKUP(C2597,Products!$A$5:$D$24,3,FALSE())</f>
        <v>Electronics</v>
      </c>
      <c r="I2597" s="41" t="n">
        <f aca="false">VLOOKUP(C2597,Products!$A$5:$D$24,4,FALSE())</f>
        <v>22</v>
      </c>
      <c r="J2597" s="42" t="n">
        <f aca="false">DATE(YEAR(B2597),MONTH(B2597),1)</f>
        <v>45962</v>
      </c>
      <c r="K2597" s="41" t="n">
        <f aca="false">D2597*E2597</f>
        <v>101.96</v>
      </c>
      <c r="L2597" s="41" t="n">
        <f aca="false">D2597*I2597</f>
        <v>44</v>
      </c>
      <c r="M2597" s="41" t="n">
        <f aca="false">IFERROR(INDEX(Raw_Expenses!$C$5:$C$2979,MATCH(A2597,Raw_Expenses!$A$5:$A$2979,0)),0)</f>
        <v>8.66</v>
      </c>
      <c r="N2597" s="41" t="n">
        <f aca="false">L2597+M2597</f>
        <v>52.66</v>
      </c>
      <c r="O2597" s="41" t="n">
        <f aca="false">K2597-N2597</f>
        <v>49.3</v>
      </c>
      <c r="P2597" s="43" t="n">
        <f aca="false">IF(K2597=0,0,O2597/K2597)</f>
        <v>0.48352295017654</v>
      </c>
    </row>
    <row r="2598" customFormat="false" ht="15" hidden="false" customHeight="false" outlineLevel="0" collapsed="false">
      <c r="A2598" s="39" t="s">
        <v>2720</v>
      </c>
      <c r="B2598" s="40" t="n">
        <v>45987</v>
      </c>
      <c r="C2598" s="39" t="s">
        <v>121</v>
      </c>
      <c r="D2598" s="39" t="n">
        <v>3</v>
      </c>
      <c r="E2598" s="41" t="n">
        <v>114.68</v>
      </c>
      <c r="F2598" s="39" t="s">
        <v>105</v>
      </c>
      <c r="G2598" s="39" t="str">
        <f aca="false">VLOOKUP(C2598,Products!$A$5:$D$24,2,FALSE())</f>
        <v>External SSD 1TB</v>
      </c>
      <c r="H2598" s="39" t="str">
        <f aca="false">VLOOKUP(C2598,Products!$A$5:$D$24,3,FALSE())</f>
        <v>Electronics</v>
      </c>
      <c r="I2598" s="41" t="n">
        <f aca="false">VLOOKUP(C2598,Products!$A$5:$D$24,4,FALSE())</f>
        <v>62</v>
      </c>
      <c r="J2598" s="42" t="n">
        <f aca="false">DATE(YEAR(B2598),MONTH(B2598),1)</f>
        <v>45962</v>
      </c>
      <c r="K2598" s="41" t="n">
        <f aca="false">D2598*E2598</f>
        <v>344.04</v>
      </c>
      <c r="L2598" s="41" t="n">
        <f aca="false">D2598*I2598</f>
        <v>186</v>
      </c>
      <c r="M2598" s="41" t="n">
        <f aca="false">IFERROR(INDEX(Raw_Expenses!$C$5:$C$2979,MATCH(A2598,Raw_Expenses!$A$5:$A$2979,0)),0)</f>
        <v>15.05</v>
      </c>
      <c r="N2598" s="41" t="n">
        <f aca="false">L2598+M2598</f>
        <v>201.05</v>
      </c>
      <c r="O2598" s="41" t="n">
        <f aca="false">K2598-N2598</f>
        <v>142.99</v>
      </c>
      <c r="P2598" s="43" t="n">
        <f aca="false">IF(K2598=0,0,O2598/K2598)</f>
        <v>0.41562027671201</v>
      </c>
    </row>
    <row r="2599" customFormat="false" ht="15" hidden="false" customHeight="false" outlineLevel="0" collapsed="false">
      <c r="A2599" s="39" t="s">
        <v>2721</v>
      </c>
      <c r="B2599" s="40" t="n">
        <v>45987</v>
      </c>
      <c r="C2599" s="39" t="s">
        <v>133</v>
      </c>
      <c r="D2599" s="39" t="n">
        <v>5</v>
      </c>
      <c r="E2599" s="41" t="n">
        <v>8.6</v>
      </c>
      <c r="F2599" s="39" t="s">
        <v>115</v>
      </c>
      <c r="G2599" s="39" t="str">
        <f aca="false">VLOOKUP(C2599,Products!$A$5:$D$24,2,FALSE())</f>
        <v>Printer Paper Ream</v>
      </c>
      <c r="H2599" s="39" t="str">
        <f aca="false">VLOOKUP(C2599,Products!$A$5:$D$24,3,FALSE())</f>
        <v>Stationery</v>
      </c>
      <c r="I2599" s="41" t="n">
        <f aca="false">VLOOKUP(C2599,Products!$A$5:$D$24,4,FALSE())</f>
        <v>4</v>
      </c>
      <c r="J2599" s="42" t="n">
        <f aca="false">DATE(YEAR(B2599),MONTH(B2599),1)</f>
        <v>45962</v>
      </c>
      <c r="K2599" s="41" t="n">
        <f aca="false">D2599*E2599</f>
        <v>43</v>
      </c>
      <c r="L2599" s="41" t="n">
        <f aca="false">D2599*I2599</f>
        <v>20</v>
      </c>
      <c r="M2599" s="41" t="n">
        <f aca="false">IFERROR(INDEX(Raw_Expenses!$C$5:$C$2979,MATCH(A2599,Raw_Expenses!$A$5:$A$2979,0)),0)</f>
        <v>3.04</v>
      </c>
      <c r="N2599" s="41" t="n">
        <f aca="false">L2599+M2599</f>
        <v>23.04</v>
      </c>
      <c r="O2599" s="41" t="n">
        <f aca="false">K2599-N2599</f>
        <v>19.96</v>
      </c>
      <c r="P2599" s="43" t="n">
        <f aca="false">IF(K2599=0,0,O2599/K2599)</f>
        <v>0.464186046511628</v>
      </c>
    </row>
    <row r="2600" customFormat="false" ht="15" hidden="false" customHeight="false" outlineLevel="0" collapsed="false">
      <c r="A2600" s="39" t="s">
        <v>2722</v>
      </c>
      <c r="B2600" s="40" t="n">
        <v>45987</v>
      </c>
      <c r="C2600" s="39" t="s">
        <v>107</v>
      </c>
      <c r="D2600" s="39" t="n">
        <v>1</v>
      </c>
      <c r="E2600" s="41" t="n">
        <v>33.21</v>
      </c>
      <c r="F2600" s="39" t="s">
        <v>105</v>
      </c>
      <c r="G2600" s="39" t="str">
        <f aca="false">VLOOKUP(C2600,Products!$A$5:$D$24,2,FALSE())</f>
        <v>USB-C Hub</v>
      </c>
      <c r="H2600" s="39" t="str">
        <f aca="false">VLOOKUP(C2600,Products!$A$5:$D$24,3,FALSE())</f>
        <v>Electronics</v>
      </c>
      <c r="I2600" s="41" t="n">
        <f aca="false">VLOOKUP(C2600,Products!$A$5:$D$24,4,FALSE())</f>
        <v>14</v>
      </c>
      <c r="J2600" s="42" t="n">
        <f aca="false">DATE(YEAR(B2600),MONTH(B2600),1)</f>
        <v>45962</v>
      </c>
      <c r="K2600" s="41" t="n">
        <f aca="false">D2600*E2600</f>
        <v>33.21</v>
      </c>
      <c r="L2600" s="41" t="n">
        <f aca="false">D2600*I2600</f>
        <v>14</v>
      </c>
      <c r="M2600" s="41" t="n">
        <f aca="false">IFERROR(INDEX(Raw_Expenses!$C$5:$C$2979,MATCH(A2600,Raw_Expenses!$A$5:$A$2979,0)),0)</f>
        <v>2.18</v>
      </c>
      <c r="N2600" s="41" t="n">
        <f aca="false">L2600+M2600</f>
        <v>16.18</v>
      </c>
      <c r="O2600" s="41" t="n">
        <f aca="false">K2600-N2600</f>
        <v>17.03</v>
      </c>
      <c r="P2600" s="43" t="n">
        <f aca="false">IF(K2600=0,0,O2600/K2600)</f>
        <v>0.512797350195724</v>
      </c>
    </row>
    <row r="2601" customFormat="false" ht="15" hidden="false" customHeight="false" outlineLevel="0" collapsed="false">
      <c r="A2601" s="39" t="s">
        <v>2723</v>
      </c>
      <c r="B2601" s="40" t="n">
        <v>45988</v>
      </c>
      <c r="C2601" s="39" t="s">
        <v>133</v>
      </c>
      <c r="D2601" s="39" t="n">
        <v>4</v>
      </c>
      <c r="E2601" s="41" t="n">
        <v>8.64</v>
      </c>
      <c r="F2601" s="39" t="s">
        <v>108</v>
      </c>
      <c r="G2601" s="39" t="str">
        <f aca="false">VLOOKUP(C2601,Products!$A$5:$D$24,2,FALSE())</f>
        <v>Printer Paper Ream</v>
      </c>
      <c r="H2601" s="39" t="str">
        <f aca="false">VLOOKUP(C2601,Products!$A$5:$D$24,3,FALSE())</f>
        <v>Stationery</v>
      </c>
      <c r="I2601" s="41" t="n">
        <f aca="false">VLOOKUP(C2601,Products!$A$5:$D$24,4,FALSE())</f>
        <v>4</v>
      </c>
      <c r="J2601" s="42" t="n">
        <f aca="false">DATE(YEAR(B2601),MONTH(B2601),1)</f>
        <v>45962</v>
      </c>
      <c r="K2601" s="41" t="n">
        <f aca="false">D2601*E2601</f>
        <v>34.56</v>
      </c>
      <c r="L2601" s="41" t="n">
        <f aca="false">D2601*I2601</f>
        <v>16</v>
      </c>
      <c r="M2601" s="41" t="n">
        <f aca="false">IFERROR(INDEX(Raw_Expenses!$C$5:$C$2979,MATCH(A2601,Raw_Expenses!$A$5:$A$2979,0)),0)</f>
        <v>1.98</v>
      </c>
      <c r="N2601" s="41" t="n">
        <f aca="false">L2601+M2601</f>
        <v>17.98</v>
      </c>
      <c r="O2601" s="41" t="n">
        <f aca="false">K2601-N2601</f>
        <v>16.58</v>
      </c>
      <c r="P2601" s="43" t="n">
        <f aca="false">IF(K2601=0,0,O2601/K2601)</f>
        <v>0.47974537037037</v>
      </c>
    </row>
    <row r="2602" customFormat="false" ht="15" hidden="false" customHeight="false" outlineLevel="0" collapsed="false">
      <c r="A2602" s="39" t="s">
        <v>2724</v>
      </c>
      <c r="B2602" s="40" t="n">
        <v>45988</v>
      </c>
      <c r="C2602" s="39" t="s">
        <v>169</v>
      </c>
      <c r="D2602" s="39" t="n">
        <v>1</v>
      </c>
      <c r="E2602" s="41" t="n">
        <v>28.97</v>
      </c>
      <c r="F2602" s="39" t="s">
        <v>115</v>
      </c>
      <c r="G2602" s="39" t="str">
        <f aca="false">VLOOKUP(C2602,Products!$A$5:$D$24,2,FALSE())</f>
        <v>Laptop Stand</v>
      </c>
      <c r="H2602" s="39" t="str">
        <f aca="false">VLOOKUP(C2602,Products!$A$5:$D$24,3,FALSE())</f>
        <v>Accessories</v>
      </c>
      <c r="I2602" s="41" t="n">
        <f aca="false">VLOOKUP(C2602,Products!$A$5:$D$24,4,FALSE())</f>
        <v>11</v>
      </c>
      <c r="J2602" s="42" t="n">
        <f aca="false">DATE(YEAR(B2602),MONTH(B2602),1)</f>
        <v>45962</v>
      </c>
      <c r="K2602" s="41" t="n">
        <f aca="false">D2602*E2602</f>
        <v>28.97</v>
      </c>
      <c r="L2602" s="41" t="n">
        <f aca="false">D2602*I2602</f>
        <v>11</v>
      </c>
      <c r="M2602" s="41" t="n">
        <f aca="false">IFERROR(INDEX(Raw_Expenses!$C$5:$C$2979,MATCH(A2602,Raw_Expenses!$A$5:$A$2979,0)),0)</f>
        <v>1.86</v>
      </c>
      <c r="N2602" s="41" t="n">
        <f aca="false">L2602+M2602</f>
        <v>12.86</v>
      </c>
      <c r="O2602" s="41" t="n">
        <f aca="false">K2602-N2602</f>
        <v>16.11</v>
      </c>
      <c r="P2602" s="43" t="n">
        <f aca="false">IF(K2602=0,0,O2602/K2602)</f>
        <v>0.556092509492579</v>
      </c>
    </row>
    <row r="2603" customFormat="false" ht="15" hidden="false" customHeight="false" outlineLevel="0" collapsed="false">
      <c r="A2603" s="39" t="s">
        <v>2725</v>
      </c>
      <c r="B2603" s="40" t="n">
        <v>45988</v>
      </c>
      <c r="C2603" s="39" t="s">
        <v>130</v>
      </c>
      <c r="D2603" s="39" t="n">
        <v>3</v>
      </c>
      <c r="E2603" s="41" t="n">
        <v>8.59</v>
      </c>
      <c r="F2603" s="39" t="s">
        <v>115</v>
      </c>
      <c r="G2603" s="39" t="str">
        <f aca="false">VLOOKUP(C2603,Products!$A$5:$D$24,2,FALSE())</f>
        <v>Notebook Set</v>
      </c>
      <c r="H2603" s="39" t="str">
        <f aca="false">VLOOKUP(C2603,Products!$A$5:$D$24,3,FALSE())</f>
        <v>Stationery</v>
      </c>
      <c r="I2603" s="41" t="n">
        <f aca="false">VLOOKUP(C2603,Products!$A$5:$D$24,4,FALSE())</f>
        <v>3</v>
      </c>
      <c r="J2603" s="42" t="n">
        <f aca="false">DATE(YEAR(B2603),MONTH(B2603),1)</f>
        <v>45962</v>
      </c>
      <c r="K2603" s="41" t="n">
        <f aca="false">D2603*E2603</f>
        <v>25.77</v>
      </c>
      <c r="L2603" s="41" t="n">
        <f aca="false">D2603*I2603</f>
        <v>9</v>
      </c>
      <c r="M2603" s="41" t="n">
        <f aca="false">IFERROR(INDEX(Raw_Expenses!$C$5:$C$2979,MATCH(A2603,Raw_Expenses!$A$5:$A$2979,0)),0)</f>
        <v>1.15</v>
      </c>
      <c r="N2603" s="41" t="n">
        <f aca="false">L2603+M2603</f>
        <v>10.15</v>
      </c>
      <c r="O2603" s="41" t="n">
        <f aca="false">K2603-N2603</f>
        <v>15.62</v>
      </c>
      <c r="P2603" s="43" t="n">
        <f aca="false">IF(K2603=0,0,O2603/K2603)</f>
        <v>0.606131160263873</v>
      </c>
    </row>
    <row r="2604" customFormat="false" ht="15" hidden="false" customHeight="false" outlineLevel="0" collapsed="false">
      <c r="A2604" s="39" t="s">
        <v>2726</v>
      </c>
      <c r="B2604" s="40" t="n">
        <v>45988</v>
      </c>
      <c r="C2604" s="39" t="s">
        <v>169</v>
      </c>
      <c r="D2604" s="39" t="n">
        <v>1</v>
      </c>
      <c r="E2604" s="41" t="n">
        <v>27.52</v>
      </c>
      <c r="F2604" s="39" t="s">
        <v>108</v>
      </c>
      <c r="G2604" s="39" t="str">
        <f aca="false">VLOOKUP(C2604,Products!$A$5:$D$24,2,FALSE())</f>
        <v>Laptop Stand</v>
      </c>
      <c r="H2604" s="39" t="str">
        <f aca="false">VLOOKUP(C2604,Products!$A$5:$D$24,3,FALSE())</f>
        <v>Accessories</v>
      </c>
      <c r="I2604" s="41" t="n">
        <f aca="false">VLOOKUP(C2604,Products!$A$5:$D$24,4,FALSE())</f>
        <v>11</v>
      </c>
      <c r="J2604" s="42" t="n">
        <f aca="false">DATE(YEAR(B2604),MONTH(B2604),1)</f>
        <v>45962</v>
      </c>
      <c r="K2604" s="41" t="n">
        <f aca="false">D2604*E2604</f>
        <v>27.52</v>
      </c>
      <c r="L2604" s="41" t="n">
        <f aca="false">D2604*I2604</f>
        <v>11</v>
      </c>
      <c r="M2604" s="41" t="n">
        <f aca="false">IFERROR(INDEX(Raw_Expenses!$C$5:$C$2979,MATCH(A2604,Raw_Expenses!$A$5:$A$2979,0)),0)</f>
        <v>2.47</v>
      </c>
      <c r="N2604" s="41" t="n">
        <f aca="false">L2604+M2604</f>
        <v>13.47</v>
      </c>
      <c r="O2604" s="41" t="n">
        <f aca="false">K2604-N2604</f>
        <v>14.05</v>
      </c>
      <c r="P2604" s="43" t="n">
        <f aca="false">IF(K2604=0,0,O2604/K2604)</f>
        <v>0.510537790697674</v>
      </c>
    </row>
    <row r="2605" customFormat="false" ht="15" hidden="false" customHeight="false" outlineLevel="0" collapsed="false">
      <c r="A2605" s="39" t="s">
        <v>2727</v>
      </c>
      <c r="B2605" s="40" t="n">
        <v>45988</v>
      </c>
      <c r="C2605" s="39" t="s">
        <v>183</v>
      </c>
      <c r="D2605" s="39" t="n">
        <v>1</v>
      </c>
      <c r="E2605" s="41" t="n">
        <v>175.11</v>
      </c>
      <c r="F2605" s="39" t="s">
        <v>105</v>
      </c>
      <c r="G2605" s="39" t="str">
        <f aca="false">VLOOKUP(C2605,Products!$A$5:$D$24,2,FALSE())</f>
        <v>Office Chair</v>
      </c>
      <c r="H2605" s="39" t="str">
        <f aca="false">VLOOKUP(C2605,Products!$A$5:$D$24,3,FALSE())</f>
        <v>Furniture</v>
      </c>
      <c r="I2605" s="41" t="n">
        <f aca="false">VLOOKUP(C2605,Products!$A$5:$D$24,4,FALSE())</f>
        <v>85</v>
      </c>
      <c r="J2605" s="42" t="n">
        <f aca="false">DATE(YEAR(B2605),MONTH(B2605),1)</f>
        <v>45962</v>
      </c>
      <c r="K2605" s="41" t="n">
        <f aca="false">D2605*E2605</f>
        <v>175.11</v>
      </c>
      <c r="L2605" s="41" t="n">
        <f aca="false">D2605*I2605</f>
        <v>85</v>
      </c>
      <c r="M2605" s="41" t="n">
        <f aca="false">IFERROR(INDEX(Raw_Expenses!$C$5:$C$2979,MATCH(A2605,Raw_Expenses!$A$5:$A$2979,0)),0)</f>
        <v>15.58</v>
      </c>
      <c r="N2605" s="41" t="n">
        <f aca="false">L2605+M2605</f>
        <v>100.58</v>
      </c>
      <c r="O2605" s="41" t="n">
        <f aca="false">K2605-N2605</f>
        <v>74.53</v>
      </c>
      <c r="P2605" s="43" t="n">
        <f aca="false">IF(K2605=0,0,O2605/K2605)</f>
        <v>0.42561818285649</v>
      </c>
    </row>
    <row r="2606" customFormat="false" ht="15" hidden="false" customHeight="false" outlineLevel="0" collapsed="false">
      <c r="A2606" s="39" t="s">
        <v>2728</v>
      </c>
      <c r="B2606" s="40" t="n">
        <v>45988</v>
      </c>
      <c r="C2606" s="39" t="s">
        <v>139</v>
      </c>
      <c r="D2606" s="39" t="n">
        <v>4</v>
      </c>
      <c r="E2606" s="41" t="n">
        <v>125.26</v>
      </c>
      <c r="F2606" s="39" t="s">
        <v>108</v>
      </c>
      <c r="G2606" s="39" t="str">
        <f aca="false">VLOOKUP(C2606,Products!$A$5:$D$24,2,FALSE())</f>
        <v>Noise-Cancelling Headphones</v>
      </c>
      <c r="H2606" s="39" t="str">
        <f aca="false">VLOOKUP(C2606,Products!$A$5:$D$24,3,FALSE())</f>
        <v>Electronics</v>
      </c>
      <c r="I2606" s="41" t="n">
        <f aca="false">VLOOKUP(C2606,Products!$A$5:$D$24,4,FALSE())</f>
        <v>55</v>
      </c>
      <c r="J2606" s="42" t="n">
        <f aca="false">DATE(YEAR(B2606),MONTH(B2606),1)</f>
        <v>45962</v>
      </c>
      <c r="K2606" s="41" t="n">
        <f aca="false">D2606*E2606</f>
        <v>501.04</v>
      </c>
      <c r="L2606" s="41" t="n">
        <f aca="false">D2606*I2606</f>
        <v>220</v>
      </c>
      <c r="M2606" s="41" t="n">
        <f aca="false">IFERROR(INDEX(Raw_Expenses!$C$5:$C$2979,MATCH(A2606,Raw_Expenses!$A$5:$A$2979,0)),0)</f>
        <v>41.78</v>
      </c>
      <c r="N2606" s="41" t="n">
        <f aca="false">L2606+M2606</f>
        <v>261.78</v>
      </c>
      <c r="O2606" s="41" t="n">
        <f aca="false">K2606-N2606</f>
        <v>239.26</v>
      </c>
      <c r="P2606" s="43" t="n">
        <f aca="false">IF(K2606=0,0,O2606/K2606)</f>
        <v>0.477526744371707</v>
      </c>
    </row>
    <row r="2607" customFormat="false" ht="15" hidden="false" customHeight="false" outlineLevel="0" collapsed="false">
      <c r="A2607" s="39" t="s">
        <v>2729</v>
      </c>
      <c r="B2607" s="40" t="n">
        <v>45988</v>
      </c>
      <c r="C2607" s="39" t="s">
        <v>104</v>
      </c>
      <c r="D2607" s="39" t="n">
        <v>1</v>
      </c>
      <c r="E2607" s="41" t="n">
        <v>14.88</v>
      </c>
      <c r="F2607" s="39" t="s">
        <v>105</v>
      </c>
      <c r="G2607" s="39" t="str">
        <f aca="false">VLOOKUP(C2607,Products!$A$5:$D$24,2,FALSE())</f>
        <v>Water Bottle</v>
      </c>
      <c r="H2607" s="39" t="str">
        <f aca="false">VLOOKUP(C2607,Products!$A$5:$D$24,3,FALSE())</f>
        <v>Accessories</v>
      </c>
      <c r="I2607" s="41" t="n">
        <f aca="false">VLOOKUP(C2607,Products!$A$5:$D$24,4,FALSE())</f>
        <v>5</v>
      </c>
      <c r="J2607" s="42" t="n">
        <f aca="false">DATE(YEAR(B2607),MONTH(B2607),1)</f>
        <v>45962</v>
      </c>
      <c r="K2607" s="41" t="n">
        <f aca="false">D2607*E2607</f>
        <v>14.88</v>
      </c>
      <c r="L2607" s="41" t="n">
        <f aca="false">D2607*I2607</f>
        <v>5</v>
      </c>
      <c r="M2607" s="41" t="n">
        <f aca="false">IFERROR(INDEX(Raw_Expenses!$C$5:$C$2979,MATCH(A2607,Raw_Expenses!$A$5:$A$2979,0)),0)</f>
        <v>0.83</v>
      </c>
      <c r="N2607" s="41" t="n">
        <f aca="false">L2607+M2607</f>
        <v>5.83</v>
      </c>
      <c r="O2607" s="41" t="n">
        <f aca="false">K2607-N2607</f>
        <v>9.05</v>
      </c>
      <c r="P2607" s="43" t="n">
        <f aca="false">IF(K2607=0,0,O2607/K2607)</f>
        <v>0.608198924731183</v>
      </c>
    </row>
    <row r="2608" customFormat="false" ht="15" hidden="false" customHeight="false" outlineLevel="0" collapsed="false">
      <c r="A2608" s="39" t="s">
        <v>2730</v>
      </c>
      <c r="B2608" s="40" t="n">
        <v>45988</v>
      </c>
      <c r="C2608" s="39" t="s">
        <v>114</v>
      </c>
      <c r="D2608" s="39" t="n">
        <v>3</v>
      </c>
      <c r="E2608" s="41" t="n">
        <v>5.8</v>
      </c>
      <c r="F2608" s="39" t="s">
        <v>108</v>
      </c>
      <c r="G2608" s="39" t="str">
        <f aca="false">VLOOKUP(C2608,Products!$A$5:$D$24,2,FALSE())</f>
        <v>Gel Pen Pack</v>
      </c>
      <c r="H2608" s="39" t="str">
        <f aca="false">VLOOKUP(C2608,Products!$A$5:$D$24,3,FALSE())</f>
        <v>Stationery</v>
      </c>
      <c r="I2608" s="41" t="n">
        <f aca="false">VLOOKUP(C2608,Products!$A$5:$D$24,4,FALSE())</f>
        <v>2</v>
      </c>
      <c r="J2608" s="42" t="n">
        <f aca="false">DATE(YEAR(B2608),MONTH(B2608),1)</f>
        <v>45962</v>
      </c>
      <c r="K2608" s="41" t="n">
        <f aca="false">D2608*E2608</f>
        <v>17.4</v>
      </c>
      <c r="L2608" s="41" t="n">
        <f aca="false">D2608*I2608</f>
        <v>6</v>
      </c>
      <c r="M2608" s="41" t="n">
        <f aca="false">IFERROR(INDEX(Raw_Expenses!$C$5:$C$2979,MATCH(A2608,Raw_Expenses!$A$5:$A$2979,0)),0)</f>
        <v>1.41</v>
      </c>
      <c r="N2608" s="41" t="n">
        <f aca="false">L2608+M2608</f>
        <v>7.41</v>
      </c>
      <c r="O2608" s="41" t="n">
        <f aca="false">K2608-N2608</f>
        <v>9.99</v>
      </c>
      <c r="P2608" s="43" t="n">
        <f aca="false">IF(K2608=0,0,O2608/K2608)</f>
        <v>0.574137931034483</v>
      </c>
    </row>
    <row r="2609" customFormat="false" ht="15" hidden="false" customHeight="false" outlineLevel="0" collapsed="false">
      <c r="A2609" s="39" t="s">
        <v>2731</v>
      </c>
      <c r="B2609" s="40" t="n">
        <v>45988</v>
      </c>
      <c r="C2609" s="39" t="s">
        <v>133</v>
      </c>
      <c r="D2609" s="39" t="n">
        <v>4</v>
      </c>
      <c r="E2609" s="41" t="n">
        <v>8.6</v>
      </c>
      <c r="F2609" s="39" t="s">
        <v>108</v>
      </c>
      <c r="G2609" s="39" t="str">
        <f aca="false">VLOOKUP(C2609,Products!$A$5:$D$24,2,FALSE())</f>
        <v>Printer Paper Ream</v>
      </c>
      <c r="H2609" s="39" t="str">
        <f aca="false">VLOOKUP(C2609,Products!$A$5:$D$24,3,FALSE())</f>
        <v>Stationery</v>
      </c>
      <c r="I2609" s="41" t="n">
        <f aca="false">VLOOKUP(C2609,Products!$A$5:$D$24,4,FALSE())</f>
        <v>4</v>
      </c>
      <c r="J2609" s="42" t="n">
        <f aca="false">DATE(YEAR(B2609),MONTH(B2609),1)</f>
        <v>45962</v>
      </c>
      <c r="K2609" s="41" t="n">
        <f aca="false">D2609*E2609</f>
        <v>34.4</v>
      </c>
      <c r="L2609" s="41" t="n">
        <f aca="false">D2609*I2609</f>
        <v>16</v>
      </c>
      <c r="M2609" s="41" t="n">
        <f aca="false">IFERROR(INDEX(Raw_Expenses!$C$5:$C$2979,MATCH(A2609,Raw_Expenses!$A$5:$A$2979,0)),0)</f>
        <v>2.28</v>
      </c>
      <c r="N2609" s="41" t="n">
        <f aca="false">L2609+M2609</f>
        <v>18.28</v>
      </c>
      <c r="O2609" s="41" t="n">
        <f aca="false">K2609-N2609</f>
        <v>16.12</v>
      </c>
      <c r="P2609" s="43" t="n">
        <f aca="false">IF(K2609=0,0,O2609/K2609)</f>
        <v>0.468604651162791</v>
      </c>
    </row>
    <row r="2610" customFormat="false" ht="15" hidden="false" customHeight="false" outlineLevel="0" collapsed="false">
      <c r="A2610" s="39" t="s">
        <v>2732</v>
      </c>
      <c r="B2610" s="40" t="n">
        <v>45989</v>
      </c>
      <c r="C2610" s="39" t="s">
        <v>169</v>
      </c>
      <c r="D2610" s="39" t="n">
        <v>1</v>
      </c>
      <c r="E2610" s="41" t="n">
        <v>26.69</v>
      </c>
      <c r="F2610" s="39" t="s">
        <v>115</v>
      </c>
      <c r="G2610" s="39" t="str">
        <f aca="false">VLOOKUP(C2610,Products!$A$5:$D$24,2,FALSE())</f>
        <v>Laptop Stand</v>
      </c>
      <c r="H2610" s="39" t="str">
        <f aca="false">VLOOKUP(C2610,Products!$A$5:$D$24,3,FALSE())</f>
        <v>Accessories</v>
      </c>
      <c r="I2610" s="41" t="n">
        <f aca="false">VLOOKUP(C2610,Products!$A$5:$D$24,4,FALSE())</f>
        <v>11</v>
      </c>
      <c r="J2610" s="42" t="n">
        <f aca="false">DATE(YEAR(B2610),MONTH(B2610),1)</f>
        <v>45962</v>
      </c>
      <c r="K2610" s="41" t="n">
        <f aca="false">D2610*E2610</f>
        <v>26.69</v>
      </c>
      <c r="L2610" s="41" t="n">
        <f aca="false">D2610*I2610</f>
        <v>11</v>
      </c>
      <c r="M2610" s="41" t="n">
        <f aca="false">IFERROR(INDEX(Raw_Expenses!$C$5:$C$2979,MATCH(A2610,Raw_Expenses!$A$5:$A$2979,0)),0)</f>
        <v>2.31</v>
      </c>
      <c r="N2610" s="41" t="n">
        <f aca="false">L2610+M2610</f>
        <v>13.31</v>
      </c>
      <c r="O2610" s="41" t="n">
        <f aca="false">K2610-N2610</f>
        <v>13.38</v>
      </c>
      <c r="P2610" s="43" t="n">
        <f aca="false">IF(K2610=0,0,O2610/K2610)</f>
        <v>0.501311352566504</v>
      </c>
    </row>
    <row r="2611" customFormat="false" ht="15" hidden="false" customHeight="false" outlineLevel="0" collapsed="false">
      <c r="A2611" s="39" t="s">
        <v>2733</v>
      </c>
      <c r="B2611" s="40" t="n">
        <v>45989</v>
      </c>
      <c r="C2611" s="39" t="s">
        <v>130</v>
      </c>
      <c r="D2611" s="39" t="n">
        <v>3</v>
      </c>
      <c r="E2611" s="41" t="n">
        <v>8.91</v>
      </c>
      <c r="F2611" s="39" t="s">
        <v>118</v>
      </c>
      <c r="G2611" s="39" t="str">
        <f aca="false">VLOOKUP(C2611,Products!$A$5:$D$24,2,FALSE())</f>
        <v>Notebook Set</v>
      </c>
      <c r="H2611" s="39" t="str">
        <f aca="false">VLOOKUP(C2611,Products!$A$5:$D$24,3,FALSE())</f>
        <v>Stationery</v>
      </c>
      <c r="I2611" s="41" t="n">
        <f aca="false">VLOOKUP(C2611,Products!$A$5:$D$24,4,FALSE())</f>
        <v>3</v>
      </c>
      <c r="J2611" s="42" t="n">
        <f aca="false">DATE(YEAR(B2611),MONTH(B2611),1)</f>
        <v>45962</v>
      </c>
      <c r="K2611" s="41" t="n">
        <f aca="false">D2611*E2611</f>
        <v>26.73</v>
      </c>
      <c r="L2611" s="41" t="n">
        <f aca="false">D2611*I2611</f>
        <v>9</v>
      </c>
      <c r="M2611" s="41" t="n">
        <f aca="false">IFERROR(INDEX(Raw_Expenses!$C$5:$C$2979,MATCH(A2611,Raw_Expenses!$A$5:$A$2979,0)),0)</f>
        <v>1.81</v>
      </c>
      <c r="N2611" s="41" t="n">
        <f aca="false">L2611+M2611</f>
        <v>10.81</v>
      </c>
      <c r="O2611" s="41" t="n">
        <f aca="false">K2611-N2611</f>
        <v>15.92</v>
      </c>
      <c r="P2611" s="43" t="n">
        <f aca="false">IF(K2611=0,0,O2611/K2611)</f>
        <v>0.595585484474373</v>
      </c>
    </row>
    <row r="2612" customFormat="false" ht="15" hidden="false" customHeight="false" outlineLevel="0" collapsed="false">
      <c r="A2612" s="39" t="s">
        <v>2734</v>
      </c>
      <c r="B2612" s="40" t="n">
        <v>45989</v>
      </c>
      <c r="C2612" s="39" t="s">
        <v>126</v>
      </c>
      <c r="D2612" s="39" t="n">
        <v>6</v>
      </c>
      <c r="E2612" s="41" t="n">
        <v>24.58</v>
      </c>
      <c r="F2612" s="39" t="s">
        <v>118</v>
      </c>
      <c r="G2612" s="39" t="str">
        <f aca="false">VLOOKUP(C2612,Products!$A$5:$D$24,2,FALSE())</f>
        <v>Wireless Mouse</v>
      </c>
      <c r="H2612" s="39" t="str">
        <f aca="false">VLOOKUP(C2612,Products!$A$5:$D$24,3,FALSE())</f>
        <v>Electronics</v>
      </c>
      <c r="I2612" s="41" t="n">
        <f aca="false">VLOOKUP(C2612,Products!$A$5:$D$24,4,FALSE())</f>
        <v>12</v>
      </c>
      <c r="J2612" s="42" t="n">
        <f aca="false">DATE(YEAR(B2612),MONTH(B2612),1)</f>
        <v>45962</v>
      </c>
      <c r="K2612" s="41" t="n">
        <f aca="false">D2612*E2612</f>
        <v>147.48</v>
      </c>
      <c r="L2612" s="41" t="n">
        <f aca="false">D2612*I2612</f>
        <v>72</v>
      </c>
      <c r="M2612" s="41" t="n">
        <f aca="false">IFERROR(INDEX(Raw_Expenses!$C$5:$C$2979,MATCH(A2612,Raw_Expenses!$A$5:$A$2979,0)),0)</f>
        <v>11.06</v>
      </c>
      <c r="N2612" s="41" t="n">
        <f aca="false">L2612+M2612</f>
        <v>83.06</v>
      </c>
      <c r="O2612" s="41" t="n">
        <f aca="false">K2612-N2612</f>
        <v>64.42</v>
      </c>
      <c r="P2612" s="43" t="n">
        <f aca="false">IF(K2612=0,0,O2612/K2612)</f>
        <v>0.436804990507187</v>
      </c>
    </row>
    <row r="2613" customFormat="false" ht="15" hidden="false" customHeight="false" outlineLevel="0" collapsed="false">
      <c r="A2613" s="39" t="s">
        <v>2735</v>
      </c>
      <c r="B2613" s="40" t="n">
        <v>45989</v>
      </c>
      <c r="C2613" s="39" t="s">
        <v>114</v>
      </c>
      <c r="D2613" s="39" t="n">
        <v>4</v>
      </c>
      <c r="E2613" s="41" t="n">
        <v>5.63</v>
      </c>
      <c r="F2613" s="39" t="s">
        <v>118</v>
      </c>
      <c r="G2613" s="39" t="str">
        <f aca="false">VLOOKUP(C2613,Products!$A$5:$D$24,2,FALSE())</f>
        <v>Gel Pen Pack</v>
      </c>
      <c r="H2613" s="39" t="str">
        <f aca="false">VLOOKUP(C2613,Products!$A$5:$D$24,3,FALSE())</f>
        <v>Stationery</v>
      </c>
      <c r="I2613" s="41" t="n">
        <f aca="false">VLOOKUP(C2613,Products!$A$5:$D$24,4,FALSE())</f>
        <v>2</v>
      </c>
      <c r="J2613" s="42" t="n">
        <f aca="false">DATE(YEAR(B2613),MONTH(B2613),1)</f>
        <v>45962</v>
      </c>
      <c r="K2613" s="41" t="n">
        <f aca="false">D2613*E2613</f>
        <v>22.52</v>
      </c>
      <c r="L2613" s="41" t="n">
        <f aca="false">D2613*I2613</f>
        <v>8</v>
      </c>
      <c r="M2613" s="41" t="n">
        <f aca="false">IFERROR(INDEX(Raw_Expenses!$C$5:$C$2979,MATCH(A2613,Raw_Expenses!$A$5:$A$2979,0)),0)</f>
        <v>0.93</v>
      </c>
      <c r="N2613" s="41" t="n">
        <f aca="false">L2613+M2613</f>
        <v>8.93</v>
      </c>
      <c r="O2613" s="41" t="n">
        <f aca="false">K2613-N2613</f>
        <v>13.59</v>
      </c>
      <c r="P2613" s="43" t="n">
        <f aca="false">IF(K2613=0,0,O2613/K2613)</f>
        <v>0.603463587921847</v>
      </c>
    </row>
    <row r="2614" customFormat="false" ht="15" hidden="false" customHeight="false" outlineLevel="0" collapsed="false">
      <c r="A2614" s="39" t="s">
        <v>2736</v>
      </c>
      <c r="B2614" s="40" t="n">
        <v>45989</v>
      </c>
      <c r="C2614" s="39" t="s">
        <v>177</v>
      </c>
      <c r="D2614" s="39" t="n">
        <v>1</v>
      </c>
      <c r="E2614" s="41" t="n">
        <v>42.86</v>
      </c>
      <c r="F2614" s="39" t="s">
        <v>118</v>
      </c>
      <c r="G2614" s="39" t="str">
        <f aca="false">VLOOKUP(C2614,Products!$A$5:$D$24,2,FALSE())</f>
        <v>Backpack</v>
      </c>
      <c r="H2614" s="39" t="str">
        <f aca="false">VLOOKUP(C2614,Products!$A$5:$D$24,3,FALSE())</f>
        <v>Accessories</v>
      </c>
      <c r="I2614" s="41" t="n">
        <f aca="false">VLOOKUP(C2614,Products!$A$5:$D$24,4,FALSE())</f>
        <v>17</v>
      </c>
      <c r="J2614" s="42" t="n">
        <f aca="false">DATE(YEAR(B2614),MONTH(B2614),1)</f>
        <v>45962</v>
      </c>
      <c r="K2614" s="41" t="n">
        <f aca="false">D2614*E2614</f>
        <v>42.86</v>
      </c>
      <c r="L2614" s="41" t="n">
        <f aca="false">D2614*I2614</f>
        <v>17</v>
      </c>
      <c r="M2614" s="41" t="n">
        <f aca="false">IFERROR(INDEX(Raw_Expenses!$C$5:$C$2979,MATCH(A2614,Raw_Expenses!$A$5:$A$2979,0)),0)</f>
        <v>1.89</v>
      </c>
      <c r="N2614" s="41" t="n">
        <f aca="false">L2614+M2614</f>
        <v>18.89</v>
      </c>
      <c r="O2614" s="41" t="n">
        <f aca="false">K2614-N2614</f>
        <v>23.97</v>
      </c>
      <c r="P2614" s="43" t="n">
        <f aca="false">IF(K2614=0,0,O2614/K2614)</f>
        <v>0.559262715818945</v>
      </c>
    </row>
    <row r="2615" customFormat="false" ht="15" hidden="false" customHeight="false" outlineLevel="0" collapsed="false">
      <c r="A2615" s="39" t="s">
        <v>2737</v>
      </c>
      <c r="B2615" s="40" t="n">
        <v>45989</v>
      </c>
      <c r="C2615" s="39" t="s">
        <v>169</v>
      </c>
      <c r="D2615" s="39" t="n">
        <v>5</v>
      </c>
      <c r="E2615" s="41" t="n">
        <v>28.24</v>
      </c>
      <c r="F2615" s="39" t="s">
        <v>105</v>
      </c>
      <c r="G2615" s="39" t="str">
        <f aca="false">VLOOKUP(C2615,Products!$A$5:$D$24,2,FALSE())</f>
        <v>Laptop Stand</v>
      </c>
      <c r="H2615" s="39" t="str">
        <f aca="false">VLOOKUP(C2615,Products!$A$5:$D$24,3,FALSE())</f>
        <v>Accessories</v>
      </c>
      <c r="I2615" s="41" t="n">
        <f aca="false">VLOOKUP(C2615,Products!$A$5:$D$24,4,FALSE())</f>
        <v>11</v>
      </c>
      <c r="J2615" s="42" t="n">
        <f aca="false">DATE(YEAR(B2615),MONTH(B2615),1)</f>
        <v>45962</v>
      </c>
      <c r="K2615" s="41" t="n">
        <f aca="false">D2615*E2615</f>
        <v>141.2</v>
      </c>
      <c r="L2615" s="41" t="n">
        <f aca="false">D2615*I2615</f>
        <v>55</v>
      </c>
      <c r="M2615" s="41" t="n">
        <f aca="false">IFERROR(INDEX(Raw_Expenses!$C$5:$C$2979,MATCH(A2615,Raw_Expenses!$A$5:$A$2979,0)),0)</f>
        <v>7.62</v>
      </c>
      <c r="N2615" s="41" t="n">
        <f aca="false">L2615+M2615</f>
        <v>62.62</v>
      </c>
      <c r="O2615" s="41" t="n">
        <f aca="false">K2615-N2615</f>
        <v>78.58</v>
      </c>
      <c r="P2615" s="43" t="n">
        <f aca="false">IF(K2615=0,0,O2615/K2615)</f>
        <v>0.556515580736544</v>
      </c>
    </row>
    <row r="2616" customFormat="false" ht="15" hidden="false" customHeight="false" outlineLevel="0" collapsed="false">
      <c r="A2616" s="39" t="s">
        <v>2738</v>
      </c>
      <c r="B2616" s="40" t="n">
        <v>45989</v>
      </c>
      <c r="C2616" s="39" t="s">
        <v>136</v>
      </c>
      <c r="D2616" s="39" t="n">
        <v>1</v>
      </c>
      <c r="E2616" s="41" t="n">
        <v>75.99</v>
      </c>
      <c r="F2616" s="39" t="s">
        <v>105</v>
      </c>
      <c r="G2616" s="39" t="str">
        <f aca="false">VLOOKUP(C2616,Products!$A$5:$D$24,2,FALSE())</f>
        <v>Mechanical Keyboard</v>
      </c>
      <c r="H2616" s="39" t="str">
        <f aca="false">VLOOKUP(C2616,Products!$A$5:$D$24,3,FALSE())</f>
        <v>Electronics</v>
      </c>
      <c r="I2616" s="41" t="n">
        <f aca="false">VLOOKUP(C2616,Products!$A$5:$D$24,4,FALSE())</f>
        <v>38</v>
      </c>
      <c r="J2616" s="42" t="n">
        <f aca="false">DATE(YEAR(B2616),MONTH(B2616),1)</f>
        <v>45962</v>
      </c>
      <c r="K2616" s="41" t="n">
        <f aca="false">D2616*E2616</f>
        <v>75.99</v>
      </c>
      <c r="L2616" s="41" t="n">
        <f aca="false">D2616*I2616</f>
        <v>38</v>
      </c>
      <c r="M2616" s="41" t="n">
        <f aca="false">IFERROR(INDEX(Raw_Expenses!$C$5:$C$2979,MATCH(A2616,Raw_Expenses!$A$5:$A$2979,0)),0)</f>
        <v>4.86</v>
      </c>
      <c r="N2616" s="41" t="n">
        <f aca="false">L2616+M2616</f>
        <v>42.86</v>
      </c>
      <c r="O2616" s="41" t="n">
        <f aca="false">K2616-N2616</f>
        <v>33.13</v>
      </c>
      <c r="P2616" s="43" t="n">
        <f aca="false">IF(K2616=0,0,O2616/K2616)</f>
        <v>0.435978418212923</v>
      </c>
    </row>
    <row r="2617" customFormat="false" ht="15" hidden="false" customHeight="false" outlineLevel="0" collapsed="false">
      <c r="A2617" s="39" t="s">
        <v>2739</v>
      </c>
      <c r="B2617" s="40" t="n">
        <v>45989</v>
      </c>
      <c r="C2617" s="39" t="s">
        <v>136</v>
      </c>
      <c r="D2617" s="39" t="n">
        <v>2</v>
      </c>
      <c r="E2617" s="41" t="n">
        <v>75.94</v>
      </c>
      <c r="F2617" s="39" t="s">
        <v>118</v>
      </c>
      <c r="G2617" s="39" t="str">
        <f aca="false">VLOOKUP(C2617,Products!$A$5:$D$24,2,FALSE())</f>
        <v>Mechanical Keyboard</v>
      </c>
      <c r="H2617" s="39" t="str">
        <f aca="false">VLOOKUP(C2617,Products!$A$5:$D$24,3,FALSE())</f>
        <v>Electronics</v>
      </c>
      <c r="I2617" s="41" t="n">
        <f aca="false">VLOOKUP(C2617,Products!$A$5:$D$24,4,FALSE())</f>
        <v>38</v>
      </c>
      <c r="J2617" s="42" t="n">
        <f aca="false">DATE(YEAR(B2617),MONTH(B2617),1)</f>
        <v>45962</v>
      </c>
      <c r="K2617" s="41" t="n">
        <f aca="false">D2617*E2617</f>
        <v>151.88</v>
      </c>
      <c r="L2617" s="41" t="n">
        <f aca="false">D2617*I2617</f>
        <v>76</v>
      </c>
      <c r="M2617" s="41" t="n">
        <f aca="false">IFERROR(INDEX(Raw_Expenses!$C$5:$C$2979,MATCH(A2617,Raw_Expenses!$A$5:$A$2979,0)),0)</f>
        <v>9.57</v>
      </c>
      <c r="N2617" s="41" t="n">
        <f aca="false">L2617+M2617</f>
        <v>85.57</v>
      </c>
      <c r="O2617" s="41" t="n">
        <f aca="false">K2617-N2617</f>
        <v>66.31</v>
      </c>
      <c r="P2617" s="43" t="n">
        <f aca="false">IF(K2617=0,0,O2617/K2617)</f>
        <v>0.436594680010535</v>
      </c>
    </row>
    <row r="2618" customFormat="false" ht="15" hidden="false" customHeight="false" outlineLevel="0" collapsed="false">
      <c r="A2618" s="39" t="s">
        <v>2740</v>
      </c>
      <c r="B2618" s="40" t="n">
        <v>45989</v>
      </c>
      <c r="C2618" s="39" t="s">
        <v>126</v>
      </c>
      <c r="D2618" s="39" t="n">
        <v>1</v>
      </c>
      <c r="E2618" s="41" t="n">
        <v>23.74</v>
      </c>
      <c r="F2618" s="39" t="s">
        <v>115</v>
      </c>
      <c r="G2618" s="39" t="str">
        <f aca="false">VLOOKUP(C2618,Products!$A$5:$D$24,2,FALSE())</f>
        <v>Wireless Mouse</v>
      </c>
      <c r="H2618" s="39" t="str">
        <f aca="false">VLOOKUP(C2618,Products!$A$5:$D$24,3,FALSE())</f>
        <v>Electronics</v>
      </c>
      <c r="I2618" s="41" t="n">
        <f aca="false">VLOOKUP(C2618,Products!$A$5:$D$24,4,FALSE())</f>
        <v>12</v>
      </c>
      <c r="J2618" s="42" t="n">
        <f aca="false">DATE(YEAR(B2618),MONTH(B2618),1)</f>
        <v>45962</v>
      </c>
      <c r="K2618" s="41" t="n">
        <f aca="false">D2618*E2618</f>
        <v>23.74</v>
      </c>
      <c r="L2618" s="41" t="n">
        <f aca="false">D2618*I2618</f>
        <v>12</v>
      </c>
      <c r="M2618" s="41" t="n">
        <f aca="false">IFERROR(INDEX(Raw_Expenses!$C$5:$C$2979,MATCH(A2618,Raw_Expenses!$A$5:$A$2979,0)),0)</f>
        <v>1.68</v>
      </c>
      <c r="N2618" s="41" t="n">
        <f aca="false">L2618+M2618</f>
        <v>13.68</v>
      </c>
      <c r="O2618" s="41" t="n">
        <f aca="false">K2618-N2618</f>
        <v>10.06</v>
      </c>
      <c r="P2618" s="43" t="n">
        <f aca="false">IF(K2618=0,0,O2618/K2618)</f>
        <v>0.423757371524853</v>
      </c>
    </row>
    <row r="2619" customFormat="false" ht="15" hidden="false" customHeight="false" outlineLevel="0" collapsed="false">
      <c r="A2619" s="39" t="s">
        <v>2741</v>
      </c>
      <c r="B2619" s="40" t="n">
        <v>45989</v>
      </c>
      <c r="C2619" s="39" t="s">
        <v>117</v>
      </c>
      <c r="D2619" s="39" t="n">
        <v>2</v>
      </c>
      <c r="E2619" s="41" t="n">
        <v>30.97</v>
      </c>
      <c r="F2619" s="39" t="s">
        <v>115</v>
      </c>
      <c r="G2619" s="39" t="str">
        <f aca="false">VLOOKUP(C2619,Products!$A$5:$D$24,2,FALSE())</f>
        <v>Desk Lamp</v>
      </c>
      <c r="H2619" s="39" t="str">
        <f aca="false">VLOOKUP(C2619,Products!$A$5:$D$24,3,FALSE())</f>
        <v>Furniture</v>
      </c>
      <c r="I2619" s="41" t="n">
        <f aca="false">VLOOKUP(C2619,Products!$A$5:$D$24,4,FALSE())</f>
        <v>13</v>
      </c>
      <c r="J2619" s="42" t="n">
        <f aca="false">DATE(YEAR(B2619),MONTH(B2619),1)</f>
        <v>45962</v>
      </c>
      <c r="K2619" s="41" t="n">
        <f aca="false">D2619*E2619</f>
        <v>61.94</v>
      </c>
      <c r="L2619" s="41" t="n">
        <f aca="false">D2619*I2619</f>
        <v>26</v>
      </c>
      <c r="M2619" s="41" t="n">
        <f aca="false">IFERROR(INDEX(Raw_Expenses!$C$5:$C$2979,MATCH(A2619,Raw_Expenses!$A$5:$A$2979,0)),0)</f>
        <v>4.4</v>
      </c>
      <c r="N2619" s="41" t="n">
        <f aca="false">L2619+M2619</f>
        <v>30.4</v>
      </c>
      <c r="O2619" s="41" t="n">
        <f aca="false">K2619-N2619</f>
        <v>31.54</v>
      </c>
      <c r="P2619" s="43" t="n">
        <f aca="false">IF(K2619=0,0,O2619/K2619)</f>
        <v>0.50920245398773</v>
      </c>
    </row>
    <row r="2620" customFormat="false" ht="15" hidden="false" customHeight="false" outlineLevel="0" collapsed="false">
      <c r="A2620" s="39" t="s">
        <v>2742</v>
      </c>
      <c r="B2620" s="40" t="n">
        <v>45989</v>
      </c>
      <c r="C2620" s="39" t="s">
        <v>126</v>
      </c>
      <c r="D2620" s="39" t="n">
        <v>2</v>
      </c>
      <c r="E2620" s="41" t="n">
        <v>24.33</v>
      </c>
      <c r="F2620" s="39" t="s">
        <v>118</v>
      </c>
      <c r="G2620" s="39" t="str">
        <f aca="false">VLOOKUP(C2620,Products!$A$5:$D$24,2,FALSE())</f>
        <v>Wireless Mouse</v>
      </c>
      <c r="H2620" s="39" t="str">
        <f aca="false">VLOOKUP(C2620,Products!$A$5:$D$24,3,FALSE())</f>
        <v>Electronics</v>
      </c>
      <c r="I2620" s="41" t="n">
        <f aca="false">VLOOKUP(C2620,Products!$A$5:$D$24,4,FALSE())</f>
        <v>12</v>
      </c>
      <c r="J2620" s="42" t="n">
        <f aca="false">DATE(YEAR(B2620),MONTH(B2620),1)</f>
        <v>45962</v>
      </c>
      <c r="K2620" s="41" t="n">
        <f aca="false">D2620*E2620</f>
        <v>48.66</v>
      </c>
      <c r="L2620" s="41" t="n">
        <f aca="false">D2620*I2620</f>
        <v>24</v>
      </c>
      <c r="M2620" s="41" t="n">
        <f aca="false">IFERROR(INDEX(Raw_Expenses!$C$5:$C$2979,MATCH(A2620,Raw_Expenses!$A$5:$A$2979,0)),0)</f>
        <v>2.34</v>
      </c>
      <c r="N2620" s="41" t="n">
        <f aca="false">L2620+M2620</f>
        <v>26.34</v>
      </c>
      <c r="O2620" s="41" t="n">
        <f aca="false">K2620-N2620</f>
        <v>22.32</v>
      </c>
      <c r="P2620" s="43" t="n">
        <f aca="false">IF(K2620=0,0,O2620/K2620)</f>
        <v>0.458692971639951</v>
      </c>
    </row>
    <row r="2621" customFormat="false" ht="15" hidden="false" customHeight="false" outlineLevel="0" collapsed="false">
      <c r="A2621" s="39" t="s">
        <v>2743</v>
      </c>
      <c r="B2621" s="40" t="n">
        <v>45989</v>
      </c>
      <c r="C2621" s="39" t="s">
        <v>114</v>
      </c>
      <c r="D2621" s="39" t="n">
        <v>5</v>
      </c>
      <c r="E2621" s="41" t="n">
        <v>5.53</v>
      </c>
      <c r="F2621" s="39" t="s">
        <v>105</v>
      </c>
      <c r="G2621" s="39" t="str">
        <f aca="false">VLOOKUP(C2621,Products!$A$5:$D$24,2,FALSE())</f>
        <v>Gel Pen Pack</v>
      </c>
      <c r="H2621" s="39" t="str">
        <f aca="false">VLOOKUP(C2621,Products!$A$5:$D$24,3,FALSE())</f>
        <v>Stationery</v>
      </c>
      <c r="I2621" s="41" t="n">
        <f aca="false">VLOOKUP(C2621,Products!$A$5:$D$24,4,FALSE())</f>
        <v>2</v>
      </c>
      <c r="J2621" s="42" t="n">
        <f aca="false">DATE(YEAR(B2621),MONTH(B2621),1)</f>
        <v>45962</v>
      </c>
      <c r="K2621" s="41" t="n">
        <f aca="false">D2621*E2621</f>
        <v>27.65</v>
      </c>
      <c r="L2621" s="41" t="n">
        <f aca="false">D2621*I2621</f>
        <v>10</v>
      </c>
      <c r="M2621" s="41" t="n">
        <f aca="false">IFERROR(INDEX(Raw_Expenses!$C$5:$C$2979,MATCH(A2621,Raw_Expenses!$A$5:$A$2979,0)),0)</f>
        <v>1.75</v>
      </c>
      <c r="N2621" s="41" t="n">
        <f aca="false">L2621+M2621</f>
        <v>11.75</v>
      </c>
      <c r="O2621" s="41" t="n">
        <f aca="false">K2621-N2621</f>
        <v>15.9</v>
      </c>
      <c r="P2621" s="43" t="n">
        <f aca="false">IF(K2621=0,0,O2621/K2621)</f>
        <v>0.5750452079566</v>
      </c>
    </row>
    <row r="2622" customFormat="false" ht="15" hidden="false" customHeight="false" outlineLevel="0" collapsed="false">
      <c r="A2622" s="39" t="s">
        <v>2744</v>
      </c>
      <c r="B2622" s="40" t="n">
        <v>45989</v>
      </c>
      <c r="C2622" s="39" t="s">
        <v>130</v>
      </c>
      <c r="D2622" s="39" t="n">
        <v>2</v>
      </c>
      <c r="E2622" s="41" t="n">
        <v>8.39</v>
      </c>
      <c r="F2622" s="39" t="s">
        <v>118</v>
      </c>
      <c r="G2622" s="39" t="str">
        <f aca="false">VLOOKUP(C2622,Products!$A$5:$D$24,2,FALSE())</f>
        <v>Notebook Set</v>
      </c>
      <c r="H2622" s="39" t="str">
        <f aca="false">VLOOKUP(C2622,Products!$A$5:$D$24,3,FALSE())</f>
        <v>Stationery</v>
      </c>
      <c r="I2622" s="41" t="n">
        <f aca="false">VLOOKUP(C2622,Products!$A$5:$D$24,4,FALSE())</f>
        <v>3</v>
      </c>
      <c r="J2622" s="42" t="n">
        <f aca="false">DATE(YEAR(B2622),MONTH(B2622),1)</f>
        <v>45962</v>
      </c>
      <c r="K2622" s="41" t="n">
        <f aca="false">D2622*E2622</f>
        <v>16.78</v>
      </c>
      <c r="L2622" s="41" t="n">
        <f aca="false">D2622*I2622</f>
        <v>6</v>
      </c>
      <c r="M2622" s="41" t="n">
        <f aca="false">IFERROR(INDEX(Raw_Expenses!$C$5:$C$2979,MATCH(A2622,Raw_Expenses!$A$5:$A$2979,0)),0)</f>
        <v>1.42</v>
      </c>
      <c r="N2622" s="41" t="n">
        <f aca="false">L2622+M2622</f>
        <v>7.42</v>
      </c>
      <c r="O2622" s="41" t="n">
        <f aca="false">K2622-N2622</f>
        <v>9.36</v>
      </c>
      <c r="P2622" s="43" t="n">
        <f aca="false">IF(K2622=0,0,O2622/K2622)</f>
        <v>0.557806912991657</v>
      </c>
    </row>
    <row r="2623" customFormat="false" ht="15" hidden="false" customHeight="false" outlineLevel="0" collapsed="false">
      <c r="A2623" s="39" t="s">
        <v>2745</v>
      </c>
      <c r="B2623" s="40" t="n">
        <v>45992</v>
      </c>
      <c r="C2623" s="39" t="s">
        <v>126</v>
      </c>
      <c r="D2623" s="39" t="n">
        <v>3</v>
      </c>
      <c r="E2623" s="41" t="n">
        <v>23.95</v>
      </c>
      <c r="F2623" s="39" t="s">
        <v>115</v>
      </c>
      <c r="G2623" s="39" t="str">
        <f aca="false">VLOOKUP(C2623,Products!$A$5:$D$24,2,FALSE())</f>
        <v>Wireless Mouse</v>
      </c>
      <c r="H2623" s="39" t="str">
        <f aca="false">VLOOKUP(C2623,Products!$A$5:$D$24,3,FALSE())</f>
        <v>Electronics</v>
      </c>
      <c r="I2623" s="41" t="n">
        <f aca="false">VLOOKUP(C2623,Products!$A$5:$D$24,4,FALSE())</f>
        <v>12</v>
      </c>
      <c r="J2623" s="42" t="n">
        <f aca="false">DATE(YEAR(B2623),MONTH(B2623),1)</f>
        <v>45992</v>
      </c>
      <c r="K2623" s="41" t="n">
        <f aca="false">D2623*E2623</f>
        <v>71.85</v>
      </c>
      <c r="L2623" s="41" t="n">
        <f aca="false">D2623*I2623</f>
        <v>36</v>
      </c>
      <c r="M2623" s="41" t="n">
        <f aca="false">IFERROR(INDEX(Raw_Expenses!$C$5:$C$2979,MATCH(A2623,Raw_Expenses!$A$5:$A$2979,0)),0)</f>
        <v>6.1</v>
      </c>
      <c r="N2623" s="41" t="n">
        <f aca="false">L2623+M2623</f>
        <v>42.1</v>
      </c>
      <c r="O2623" s="41" t="n">
        <f aca="false">K2623-N2623</f>
        <v>29.75</v>
      </c>
      <c r="P2623" s="43" t="n">
        <f aca="false">IF(K2623=0,0,O2623/K2623)</f>
        <v>0.414057063326374</v>
      </c>
    </row>
    <row r="2624" customFormat="false" ht="15" hidden="false" customHeight="false" outlineLevel="0" collapsed="false">
      <c r="A2624" s="39" t="s">
        <v>2746</v>
      </c>
      <c r="B2624" s="40" t="n">
        <v>45992</v>
      </c>
      <c r="C2624" s="39" t="s">
        <v>126</v>
      </c>
      <c r="D2624" s="39" t="n">
        <v>1</v>
      </c>
      <c r="E2624" s="41" t="n">
        <v>23.63</v>
      </c>
      <c r="F2624" s="39" t="s">
        <v>108</v>
      </c>
      <c r="G2624" s="39" t="str">
        <f aca="false">VLOOKUP(C2624,Products!$A$5:$D$24,2,FALSE())</f>
        <v>Wireless Mouse</v>
      </c>
      <c r="H2624" s="39" t="str">
        <f aca="false">VLOOKUP(C2624,Products!$A$5:$D$24,3,FALSE())</f>
        <v>Electronics</v>
      </c>
      <c r="I2624" s="41" t="n">
        <f aca="false">VLOOKUP(C2624,Products!$A$5:$D$24,4,FALSE())</f>
        <v>12</v>
      </c>
      <c r="J2624" s="42" t="n">
        <f aca="false">DATE(YEAR(B2624),MONTH(B2624),1)</f>
        <v>45992</v>
      </c>
      <c r="K2624" s="41" t="n">
        <f aca="false">D2624*E2624</f>
        <v>23.63</v>
      </c>
      <c r="L2624" s="41" t="n">
        <f aca="false">D2624*I2624</f>
        <v>12</v>
      </c>
      <c r="M2624" s="41" t="n">
        <f aca="false">IFERROR(INDEX(Raw_Expenses!$C$5:$C$2979,MATCH(A2624,Raw_Expenses!$A$5:$A$2979,0)),0)</f>
        <v>1.88</v>
      </c>
      <c r="N2624" s="41" t="n">
        <f aca="false">L2624+M2624</f>
        <v>13.88</v>
      </c>
      <c r="O2624" s="41" t="n">
        <f aca="false">K2624-N2624</f>
        <v>9.75</v>
      </c>
      <c r="P2624" s="43" t="n">
        <f aca="false">IF(K2624=0,0,O2624/K2624)</f>
        <v>0.412611087600508</v>
      </c>
    </row>
    <row r="2625" customFormat="false" ht="15" hidden="false" customHeight="false" outlineLevel="0" collapsed="false">
      <c r="A2625" s="39" t="s">
        <v>2747</v>
      </c>
      <c r="B2625" s="40" t="n">
        <v>45992</v>
      </c>
      <c r="C2625" s="39" t="s">
        <v>107</v>
      </c>
      <c r="D2625" s="39" t="n">
        <v>1</v>
      </c>
      <c r="E2625" s="41" t="n">
        <v>33.18</v>
      </c>
      <c r="F2625" s="39" t="s">
        <v>108</v>
      </c>
      <c r="G2625" s="39" t="str">
        <f aca="false">VLOOKUP(C2625,Products!$A$5:$D$24,2,FALSE())</f>
        <v>USB-C Hub</v>
      </c>
      <c r="H2625" s="39" t="str">
        <f aca="false">VLOOKUP(C2625,Products!$A$5:$D$24,3,FALSE())</f>
        <v>Electronics</v>
      </c>
      <c r="I2625" s="41" t="n">
        <f aca="false">VLOOKUP(C2625,Products!$A$5:$D$24,4,FALSE())</f>
        <v>14</v>
      </c>
      <c r="J2625" s="42" t="n">
        <f aca="false">DATE(YEAR(B2625),MONTH(B2625),1)</f>
        <v>45992</v>
      </c>
      <c r="K2625" s="41" t="n">
        <f aca="false">D2625*E2625</f>
        <v>33.18</v>
      </c>
      <c r="L2625" s="41" t="n">
        <f aca="false">D2625*I2625</f>
        <v>14</v>
      </c>
      <c r="M2625" s="41" t="n">
        <f aca="false">IFERROR(INDEX(Raw_Expenses!$C$5:$C$2979,MATCH(A2625,Raw_Expenses!$A$5:$A$2979,0)),0)</f>
        <v>2.37</v>
      </c>
      <c r="N2625" s="41" t="n">
        <f aca="false">L2625+M2625</f>
        <v>16.37</v>
      </c>
      <c r="O2625" s="41" t="n">
        <f aca="false">K2625-N2625</f>
        <v>16.81</v>
      </c>
      <c r="P2625" s="43" t="n">
        <f aca="false">IF(K2625=0,0,O2625/K2625)</f>
        <v>0.506630500301386</v>
      </c>
    </row>
    <row r="2626" customFormat="false" ht="15" hidden="false" customHeight="false" outlineLevel="0" collapsed="false">
      <c r="A2626" s="39" t="s">
        <v>2748</v>
      </c>
      <c r="B2626" s="40" t="n">
        <v>45992</v>
      </c>
      <c r="C2626" s="39" t="s">
        <v>126</v>
      </c>
      <c r="D2626" s="39" t="n">
        <v>3</v>
      </c>
      <c r="E2626" s="41" t="n">
        <v>23.23</v>
      </c>
      <c r="F2626" s="39" t="s">
        <v>108</v>
      </c>
      <c r="G2626" s="39" t="str">
        <f aca="false">VLOOKUP(C2626,Products!$A$5:$D$24,2,FALSE())</f>
        <v>Wireless Mouse</v>
      </c>
      <c r="H2626" s="39" t="str">
        <f aca="false">VLOOKUP(C2626,Products!$A$5:$D$24,3,FALSE())</f>
        <v>Electronics</v>
      </c>
      <c r="I2626" s="41" t="n">
        <f aca="false">VLOOKUP(C2626,Products!$A$5:$D$24,4,FALSE())</f>
        <v>12</v>
      </c>
      <c r="J2626" s="42" t="n">
        <f aca="false">DATE(YEAR(B2626),MONTH(B2626),1)</f>
        <v>45992</v>
      </c>
      <c r="K2626" s="41" t="n">
        <f aca="false">D2626*E2626</f>
        <v>69.69</v>
      </c>
      <c r="L2626" s="41" t="n">
        <f aca="false">D2626*I2626</f>
        <v>36</v>
      </c>
      <c r="M2626" s="41" t="n">
        <f aca="false">IFERROR(INDEX(Raw_Expenses!$C$5:$C$2979,MATCH(A2626,Raw_Expenses!$A$5:$A$2979,0)),0)</f>
        <v>3.9</v>
      </c>
      <c r="N2626" s="41" t="n">
        <f aca="false">L2626+M2626</f>
        <v>39.9</v>
      </c>
      <c r="O2626" s="41" t="n">
        <f aca="false">K2626-N2626</f>
        <v>29.79</v>
      </c>
      <c r="P2626" s="43" t="n">
        <f aca="false">IF(K2626=0,0,O2626/K2626)</f>
        <v>0.427464485578993</v>
      </c>
    </row>
    <row r="2627" customFormat="false" ht="15" hidden="false" customHeight="false" outlineLevel="0" collapsed="false">
      <c r="A2627" s="39" t="s">
        <v>2749</v>
      </c>
      <c r="B2627" s="40" t="n">
        <v>45992</v>
      </c>
      <c r="C2627" s="39" t="s">
        <v>114</v>
      </c>
      <c r="D2627" s="39" t="n">
        <v>4</v>
      </c>
      <c r="E2627" s="41" t="n">
        <v>5.81</v>
      </c>
      <c r="F2627" s="39" t="s">
        <v>115</v>
      </c>
      <c r="G2627" s="39" t="str">
        <f aca="false">VLOOKUP(C2627,Products!$A$5:$D$24,2,FALSE())</f>
        <v>Gel Pen Pack</v>
      </c>
      <c r="H2627" s="39" t="str">
        <f aca="false">VLOOKUP(C2627,Products!$A$5:$D$24,3,FALSE())</f>
        <v>Stationery</v>
      </c>
      <c r="I2627" s="41" t="n">
        <f aca="false">VLOOKUP(C2627,Products!$A$5:$D$24,4,FALSE())</f>
        <v>2</v>
      </c>
      <c r="J2627" s="42" t="n">
        <f aca="false">DATE(YEAR(B2627),MONTH(B2627),1)</f>
        <v>45992</v>
      </c>
      <c r="K2627" s="41" t="n">
        <f aca="false">D2627*E2627</f>
        <v>23.24</v>
      </c>
      <c r="L2627" s="41" t="n">
        <f aca="false">D2627*I2627</f>
        <v>8</v>
      </c>
      <c r="M2627" s="41" t="n">
        <f aca="false">IFERROR(INDEX(Raw_Expenses!$C$5:$C$2979,MATCH(A2627,Raw_Expenses!$A$5:$A$2979,0)),0)</f>
        <v>1.74</v>
      </c>
      <c r="N2627" s="41" t="n">
        <f aca="false">L2627+M2627</f>
        <v>9.74</v>
      </c>
      <c r="O2627" s="41" t="n">
        <f aca="false">K2627-N2627</f>
        <v>13.5</v>
      </c>
      <c r="P2627" s="43" t="n">
        <f aca="false">IF(K2627=0,0,O2627/K2627)</f>
        <v>0.580895008605852</v>
      </c>
    </row>
    <row r="2628" customFormat="false" ht="15" hidden="false" customHeight="false" outlineLevel="0" collapsed="false">
      <c r="A2628" s="39" t="s">
        <v>2750</v>
      </c>
      <c r="B2628" s="40" t="n">
        <v>45992</v>
      </c>
      <c r="C2628" s="39" t="s">
        <v>130</v>
      </c>
      <c r="D2628" s="39" t="n">
        <v>2</v>
      </c>
      <c r="E2628" s="41" t="n">
        <v>8.32</v>
      </c>
      <c r="F2628" s="39" t="s">
        <v>105</v>
      </c>
      <c r="G2628" s="39" t="str">
        <f aca="false">VLOOKUP(C2628,Products!$A$5:$D$24,2,FALSE())</f>
        <v>Notebook Set</v>
      </c>
      <c r="H2628" s="39" t="str">
        <f aca="false">VLOOKUP(C2628,Products!$A$5:$D$24,3,FALSE())</f>
        <v>Stationery</v>
      </c>
      <c r="I2628" s="41" t="n">
        <f aca="false">VLOOKUP(C2628,Products!$A$5:$D$24,4,FALSE())</f>
        <v>3</v>
      </c>
      <c r="J2628" s="42" t="n">
        <f aca="false">DATE(YEAR(B2628),MONTH(B2628),1)</f>
        <v>45992</v>
      </c>
      <c r="K2628" s="41" t="n">
        <f aca="false">D2628*E2628</f>
        <v>16.64</v>
      </c>
      <c r="L2628" s="41" t="n">
        <f aca="false">D2628*I2628</f>
        <v>6</v>
      </c>
      <c r="M2628" s="41" t="n">
        <f aca="false">IFERROR(INDEX(Raw_Expenses!$C$5:$C$2979,MATCH(A2628,Raw_Expenses!$A$5:$A$2979,0)),0)</f>
        <v>1.46</v>
      </c>
      <c r="N2628" s="41" t="n">
        <f aca="false">L2628+M2628</f>
        <v>7.46</v>
      </c>
      <c r="O2628" s="41" t="n">
        <f aca="false">K2628-N2628</f>
        <v>9.18</v>
      </c>
      <c r="P2628" s="43" t="n">
        <f aca="false">IF(K2628=0,0,O2628/K2628)</f>
        <v>0.551682692307692</v>
      </c>
    </row>
    <row r="2629" customFormat="false" ht="15" hidden="false" customHeight="false" outlineLevel="0" collapsed="false">
      <c r="A2629" s="39" t="s">
        <v>2751</v>
      </c>
      <c r="B2629" s="40" t="n">
        <v>45992</v>
      </c>
      <c r="C2629" s="39" t="s">
        <v>126</v>
      </c>
      <c r="D2629" s="39" t="n">
        <v>1</v>
      </c>
      <c r="E2629" s="41" t="n">
        <v>23.02</v>
      </c>
      <c r="F2629" s="39" t="s">
        <v>118</v>
      </c>
      <c r="G2629" s="39" t="str">
        <f aca="false">VLOOKUP(C2629,Products!$A$5:$D$24,2,FALSE())</f>
        <v>Wireless Mouse</v>
      </c>
      <c r="H2629" s="39" t="str">
        <f aca="false">VLOOKUP(C2629,Products!$A$5:$D$24,3,FALSE())</f>
        <v>Electronics</v>
      </c>
      <c r="I2629" s="41" t="n">
        <f aca="false">VLOOKUP(C2629,Products!$A$5:$D$24,4,FALSE())</f>
        <v>12</v>
      </c>
      <c r="J2629" s="42" t="n">
        <f aca="false">DATE(YEAR(B2629),MONTH(B2629),1)</f>
        <v>45992</v>
      </c>
      <c r="K2629" s="41" t="n">
        <f aca="false">D2629*E2629</f>
        <v>23.02</v>
      </c>
      <c r="L2629" s="41" t="n">
        <f aca="false">D2629*I2629</f>
        <v>12</v>
      </c>
      <c r="M2629" s="41" t="n">
        <f aca="false">IFERROR(INDEX(Raw_Expenses!$C$5:$C$2979,MATCH(A2629,Raw_Expenses!$A$5:$A$2979,0)),0)</f>
        <v>1.13</v>
      </c>
      <c r="N2629" s="41" t="n">
        <f aca="false">L2629+M2629</f>
        <v>13.13</v>
      </c>
      <c r="O2629" s="41" t="n">
        <f aca="false">K2629-N2629</f>
        <v>9.89</v>
      </c>
      <c r="P2629" s="43" t="n">
        <f aca="false">IF(K2629=0,0,O2629/K2629)</f>
        <v>0.429626411815812</v>
      </c>
    </row>
    <row r="2630" customFormat="false" ht="15" hidden="false" customHeight="false" outlineLevel="0" collapsed="false">
      <c r="A2630" s="39" t="s">
        <v>2752</v>
      </c>
      <c r="B2630" s="40" t="n">
        <v>45992</v>
      </c>
      <c r="C2630" s="39" t="s">
        <v>139</v>
      </c>
      <c r="D2630" s="39" t="n">
        <v>2</v>
      </c>
      <c r="E2630" s="41" t="n">
        <v>120.82</v>
      </c>
      <c r="F2630" s="39" t="s">
        <v>105</v>
      </c>
      <c r="G2630" s="39" t="str">
        <f aca="false">VLOOKUP(C2630,Products!$A$5:$D$24,2,FALSE())</f>
        <v>Noise-Cancelling Headphones</v>
      </c>
      <c r="H2630" s="39" t="str">
        <f aca="false">VLOOKUP(C2630,Products!$A$5:$D$24,3,FALSE())</f>
        <v>Electronics</v>
      </c>
      <c r="I2630" s="41" t="n">
        <f aca="false">VLOOKUP(C2630,Products!$A$5:$D$24,4,FALSE())</f>
        <v>55</v>
      </c>
      <c r="J2630" s="42" t="n">
        <f aca="false">DATE(YEAR(B2630),MONTH(B2630),1)</f>
        <v>45992</v>
      </c>
      <c r="K2630" s="41" t="n">
        <f aca="false">D2630*E2630</f>
        <v>241.64</v>
      </c>
      <c r="L2630" s="41" t="n">
        <f aca="false">D2630*I2630</f>
        <v>110</v>
      </c>
      <c r="M2630" s="41" t="n">
        <f aca="false">IFERROR(INDEX(Raw_Expenses!$C$5:$C$2979,MATCH(A2630,Raw_Expenses!$A$5:$A$2979,0)),0)</f>
        <v>14.91</v>
      </c>
      <c r="N2630" s="41" t="n">
        <f aca="false">L2630+M2630</f>
        <v>124.91</v>
      </c>
      <c r="O2630" s="41" t="n">
        <f aca="false">K2630-N2630</f>
        <v>116.73</v>
      </c>
      <c r="P2630" s="43" t="n">
        <f aca="false">IF(K2630=0,0,O2630/K2630)</f>
        <v>0.483073994371793</v>
      </c>
    </row>
    <row r="2631" customFormat="false" ht="15" hidden="false" customHeight="false" outlineLevel="0" collapsed="false">
      <c r="A2631" s="39" t="s">
        <v>2753</v>
      </c>
      <c r="B2631" s="40" t="n">
        <v>45992</v>
      </c>
      <c r="C2631" s="39" t="s">
        <v>130</v>
      </c>
      <c r="D2631" s="39" t="n">
        <v>3</v>
      </c>
      <c r="E2631" s="41" t="n">
        <v>8.5</v>
      </c>
      <c r="F2631" s="39" t="s">
        <v>118</v>
      </c>
      <c r="G2631" s="39" t="str">
        <f aca="false">VLOOKUP(C2631,Products!$A$5:$D$24,2,FALSE())</f>
        <v>Notebook Set</v>
      </c>
      <c r="H2631" s="39" t="str">
        <f aca="false">VLOOKUP(C2631,Products!$A$5:$D$24,3,FALSE())</f>
        <v>Stationery</v>
      </c>
      <c r="I2631" s="41" t="n">
        <f aca="false">VLOOKUP(C2631,Products!$A$5:$D$24,4,FALSE())</f>
        <v>3</v>
      </c>
      <c r="J2631" s="42" t="n">
        <f aca="false">DATE(YEAR(B2631),MONTH(B2631),1)</f>
        <v>45992</v>
      </c>
      <c r="K2631" s="41" t="n">
        <f aca="false">D2631*E2631</f>
        <v>25.5</v>
      </c>
      <c r="L2631" s="41" t="n">
        <f aca="false">D2631*I2631</f>
        <v>9</v>
      </c>
      <c r="M2631" s="41" t="n">
        <f aca="false">IFERROR(INDEX(Raw_Expenses!$C$5:$C$2979,MATCH(A2631,Raw_Expenses!$A$5:$A$2979,0)),0)</f>
        <v>1.36</v>
      </c>
      <c r="N2631" s="41" t="n">
        <f aca="false">L2631+M2631</f>
        <v>10.36</v>
      </c>
      <c r="O2631" s="41" t="n">
        <f aca="false">K2631-N2631</f>
        <v>15.14</v>
      </c>
      <c r="P2631" s="43" t="n">
        <f aca="false">IF(K2631=0,0,O2631/K2631)</f>
        <v>0.593725490196079</v>
      </c>
    </row>
    <row r="2632" customFormat="false" ht="15" hidden="false" customHeight="false" outlineLevel="0" collapsed="false">
      <c r="A2632" s="39" t="s">
        <v>2754</v>
      </c>
      <c r="B2632" s="40" t="n">
        <v>45992</v>
      </c>
      <c r="C2632" s="39" t="s">
        <v>169</v>
      </c>
      <c r="D2632" s="39" t="n">
        <v>4</v>
      </c>
      <c r="E2632" s="41" t="n">
        <v>26.92</v>
      </c>
      <c r="F2632" s="39" t="s">
        <v>105</v>
      </c>
      <c r="G2632" s="39" t="str">
        <f aca="false">VLOOKUP(C2632,Products!$A$5:$D$24,2,FALSE())</f>
        <v>Laptop Stand</v>
      </c>
      <c r="H2632" s="39" t="str">
        <f aca="false">VLOOKUP(C2632,Products!$A$5:$D$24,3,FALSE())</f>
        <v>Accessories</v>
      </c>
      <c r="I2632" s="41" t="n">
        <f aca="false">VLOOKUP(C2632,Products!$A$5:$D$24,4,FALSE())</f>
        <v>11</v>
      </c>
      <c r="J2632" s="42" t="n">
        <f aca="false">DATE(YEAR(B2632),MONTH(B2632),1)</f>
        <v>45992</v>
      </c>
      <c r="K2632" s="41" t="n">
        <f aca="false">D2632*E2632</f>
        <v>107.68</v>
      </c>
      <c r="L2632" s="41" t="n">
        <f aca="false">D2632*I2632</f>
        <v>44</v>
      </c>
      <c r="M2632" s="41" t="n">
        <f aca="false">IFERROR(INDEX(Raw_Expenses!$C$5:$C$2979,MATCH(A2632,Raw_Expenses!$A$5:$A$2979,0)),0)</f>
        <v>7.9</v>
      </c>
      <c r="N2632" s="41" t="n">
        <f aca="false">L2632+M2632</f>
        <v>51.9</v>
      </c>
      <c r="O2632" s="41" t="n">
        <f aca="false">K2632-N2632</f>
        <v>55.78</v>
      </c>
      <c r="P2632" s="43" t="n">
        <f aca="false">IF(K2632=0,0,O2632/K2632)</f>
        <v>0.518016344725112</v>
      </c>
    </row>
    <row r="2633" customFormat="false" ht="15" hidden="false" customHeight="false" outlineLevel="0" collapsed="false">
      <c r="A2633" s="39" t="s">
        <v>2755</v>
      </c>
      <c r="B2633" s="40" t="n">
        <v>45992</v>
      </c>
      <c r="C2633" s="39" t="s">
        <v>144</v>
      </c>
      <c r="D2633" s="39" t="n">
        <v>1</v>
      </c>
      <c r="E2633" s="41" t="n">
        <v>56.34</v>
      </c>
      <c r="F2633" s="39" t="s">
        <v>108</v>
      </c>
      <c r="G2633" s="39" t="str">
        <f aca="false">VLOOKUP(C2633,Products!$A$5:$D$24,2,FALSE())</f>
        <v>Whiteboard</v>
      </c>
      <c r="H2633" s="39" t="str">
        <f aca="false">VLOOKUP(C2633,Products!$A$5:$D$24,3,FALSE())</f>
        <v>Furniture</v>
      </c>
      <c r="I2633" s="41" t="n">
        <f aca="false">VLOOKUP(C2633,Products!$A$5:$D$24,4,FALSE())</f>
        <v>28</v>
      </c>
      <c r="J2633" s="42" t="n">
        <f aca="false">DATE(YEAR(B2633),MONTH(B2633),1)</f>
        <v>45992</v>
      </c>
      <c r="K2633" s="41" t="n">
        <f aca="false">D2633*E2633</f>
        <v>56.34</v>
      </c>
      <c r="L2633" s="41" t="n">
        <f aca="false">D2633*I2633</f>
        <v>28</v>
      </c>
      <c r="M2633" s="41" t="n">
        <f aca="false">IFERROR(INDEX(Raw_Expenses!$C$5:$C$2979,MATCH(A2633,Raw_Expenses!$A$5:$A$2979,0)),0)</f>
        <v>3.71</v>
      </c>
      <c r="N2633" s="41" t="n">
        <f aca="false">L2633+M2633</f>
        <v>31.71</v>
      </c>
      <c r="O2633" s="41" t="n">
        <f aca="false">K2633-N2633</f>
        <v>24.63</v>
      </c>
      <c r="P2633" s="43" t="n">
        <f aca="false">IF(K2633=0,0,O2633/K2633)</f>
        <v>0.43716719914803</v>
      </c>
    </row>
    <row r="2634" customFormat="false" ht="15" hidden="false" customHeight="false" outlineLevel="0" collapsed="false">
      <c r="A2634" s="39" t="s">
        <v>2756</v>
      </c>
      <c r="B2634" s="40" t="n">
        <v>45992</v>
      </c>
      <c r="C2634" s="39" t="s">
        <v>104</v>
      </c>
      <c r="D2634" s="39" t="n">
        <v>2</v>
      </c>
      <c r="E2634" s="41" t="n">
        <v>15.95</v>
      </c>
      <c r="F2634" s="39" t="s">
        <v>118</v>
      </c>
      <c r="G2634" s="39" t="str">
        <f aca="false">VLOOKUP(C2634,Products!$A$5:$D$24,2,FALSE())</f>
        <v>Water Bottle</v>
      </c>
      <c r="H2634" s="39" t="str">
        <f aca="false">VLOOKUP(C2634,Products!$A$5:$D$24,3,FALSE())</f>
        <v>Accessories</v>
      </c>
      <c r="I2634" s="41" t="n">
        <f aca="false">VLOOKUP(C2634,Products!$A$5:$D$24,4,FALSE())</f>
        <v>5</v>
      </c>
      <c r="J2634" s="42" t="n">
        <f aca="false">DATE(YEAR(B2634),MONTH(B2634),1)</f>
        <v>45992</v>
      </c>
      <c r="K2634" s="41" t="n">
        <f aca="false">D2634*E2634</f>
        <v>31.9</v>
      </c>
      <c r="L2634" s="41" t="n">
        <f aca="false">D2634*I2634</f>
        <v>10</v>
      </c>
      <c r="M2634" s="41" t="n">
        <f aca="false">IFERROR(INDEX(Raw_Expenses!$C$5:$C$2979,MATCH(A2634,Raw_Expenses!$A$5:$A$2979,0)),0)</f>
        <v>1.8</v>
      </c>
      <c r="N2634" s="41" t="n">
        <f aca="false">L2634+M2634</f>
        <v>11.8</v>
      </c>
      <c r="O2634" s="41" t="n">
        <f aca="false">K2634-N2634</f>
        <v>20.1</v>
      </c>
      <c r="P2634" s="43" t="n">
        <f aca="false">IF(K2634=0,0,O2634/K2634)</f>
        <v>0.630094043887147</v>
      </c>
    </row>
    <row r="2635" customFormat="false" ht="15" hidden="false" customHeight="false" outlineLevel="0" collapsed="false">
      <c r="A2635" s="39" t="s">
        <v>2757</v>
      </c>
      <c r="B2635" s="40" t="n">
        <v>45992</v>
      </c>
      <c r="C2635" s="39" t="s">
        <v>117</v>
      </c>
      <c r="D2635" s="39" t="n">
        <v>1</v>
      </c>
      <c r="E2635" s="41" t="n">
        <v>31.32</v>
      </c>
      <c r="F2635" s="39" t="s">
        <v>105</v>
      </c>
      <c r="G2635" s="39" t="str">
        <f aca="false">VLOOKUP(C2635,Products!$A$5:$D$24,2,FALSE())</f>
        <v>Desk Lamp</v>
      </c>
      <c r="H2635" s="39" t="str">
        <f aca="false">VLOOKUP(C2635,Products!$A$5:$D$24,3,FALSE())</f>
        <v>Furniture</v>
      </c>
      <c r="I2635" s="41" t="n">
        <f aca="false">VLOOKUP(C2635,Products!$A$5:$D$24,4,FALSE())</f>
        <v>13</v>
      </c>
      <c r="J2635" s="42" t="n">
        <f aca="false">DATE(YEAR(B2635),MONTH(B2635),1)</f>
        <v>45992</v>
      </c>
      <c r="K2635" s="41" t="n">
        <f aca="false">D2635*E2635</f>
        <v>31.32</v>
      </c>
      <c r="L2635" s="41" t="n">
        <f aca="false">D2635*I2635</f>
        <v>13</v>
      </c>
      <c r="M2635" s="41" t="n">
        <f aca="false">IFERROR(INDEX(Raw_Expenses!$C$5:$C$2979,MATCH(A2635,Raw_Expenses!$A$5:$A$2979,0)),0)</f>
        <v>1.77</v>
      </c>
      <c r="N2635" s="41" t="n">
        <f aca="false">L2635+M2635</f>
        <v>14.77</v>
      </c>
      <c r="O2635" s="41" t="n">
        <f aca="false">K2635-N2635</f>
        <v>16.55</v>
      </c>
      <c r="P2635" s="43" t="n">
        <f aca="false">IF(K2635=0,0,O2635/K2635)</f>
        <v>0.528416347381865</v>
      </c>
    </row>
    <row r="2636" customFormat="false" ht="15" hidden="false" customHeight="false" outlineLevel="0" collapsed="false">
      <c r="A2636" s="39" t="s">
        <v>2758</v>
      </c>
      <c r="B2636" s="40" t="n">
        <v>45993</v>
      </c>
      <c r="C2636" s="39" t="s">
        <v>183</v>
      </c>
      <c r="D2636" s="39" t="n">
        <v>3</v>
      </c>
      <c r="E2636" s="41" t="n">
        <v>187.38</v>
      </c>
      <c r="F2636" s="39" t="s">
        <v>108</v>
      </c>
      <c r="G2636" s="39" t="str">
        <f aca="false">VLOOKUP(C2636,Products!$A$5:$D$24,2,FALSE())</f>
        <v>Office Chair</v>
      </c>
      <c r="H2636" s="39" t="str">
        <f aca="false">VLOOKUP(C2636,Products!$A$5:$D$24,3,FALSE())</f>
        <v>Furniture</v>
      </c>
      <c r="I2636" s="41" t="n">
        <f aca="false">VLOOKUP(C2636,Products!$A$5:$D$24,4,FALSE())</f>
        <v>85</v>
      </c>
      <c r="J2636" s="42" t="n">
        <f aca="false">DATE(YEAR(B2636),MONTH(B2636),1)</f>
        <v>45992</v>
      </c>
      <c r="K2636" s="41" t="n">
        <f aca="false">D2636*E2636</f>
        <v>562.14</v>
      </c>
      <c r="L2636" s="41" t="n">
        <f aca="false">D2636*I2636</f>
        <v>255</v>
      </c>
      <c r="M2636" s="41" t="n">
        <f aca="false">IFERROR(INDEX(Raw_Expenses!$C$5:$C$2979,MATCH(A2636,Raw_Expenses!$A$5:$A$2979,0)),0)</f>
        <v>45.8</v>
      </c>
      <c r="N2636" s="41" t="n">
        <f aca="false">L2636+M2636</f>
        <v>300.8</v>
      </c>
      <c r="O2636" s="41" t="n">
        <f aca="false">K2636-N2636</f>
        <v>261.34</v>
      </c>
      <c r="P2636" s="43" t="n">
        <f aca="false">IF(K2636=0,0,O2636/K2636)</f>
        <v>0.464901981712741</v>
      </c>
    </row>
    <row r="2637" customFormat="false" ht="15" hidden="false" customHeight="false" outlineLevel="0" collapsed="false">
      <c r="A2637" s="39" t="s">
        <v>2759</v>
      </c>
      <c r="B2637" s="40" t="n">
        <v>45993</v>
      </c>
      <c r="C2637" s="39" t="s">
        <v>110</v>
      </c>
      <c r="D2637" s="39" t="n">
        <v>6</v>
      </c>
      <c r="E2637" s="41" t="n">
        <v>13.34</v>
      </c>
      <c r="F2637" s="39" t="s">
        <v>105</v>
      </c>
      <c r="G2637" s="39" t="str">
        <f aca="false">VLOOKUP(C2637,Products!$A$5:$D$24,2,FALSE())</f>
        <v>Phone Stand</v>
      </c>
      <c r="H2637" s="39" t="str">
        <f aca="false">VLOOKUP(C2637,Products!$A$5:$D$24,3,FALSE())</f>
        <v>Accessories</v>
      </c>
      <c r="I2637" s="41" t="n">
        <f aca="false">VLOOKUP(C2637,Products!$A$5:$D$24,4,FALSE())</f>
        <v>4</v>
      </c>
      <c r="J2637" s="42" t="n">
        <f aca="false">DATE(YEAR(B2637),MONTH(B2637),1)</f>
        <v>45992</v>
      </c>
      <c r="K2637" s="41" t="n">
        <f aca="false">D2637*E2637</f>
        <v>80.04</v>
      </c>
      <c r="L2637" s="41" t="n">
        <f aca="false">D2637*I2637</f>
        <v>24</v>
      </c>
      <c r="M2637" s="41" t="n">
        <f aca="false">IFERROR(INDEX(Raw_Expenses!$C$5:$C$2979,MATCH(A2637,Raw_Expenses!$A$5:$A$2979,0)),0)</f>
        <v>6.79</v>
      </c>
      <c r="N2637" s="41" t="n">
        <f aca="false">L2637+M2637</f>
        <v>30.79</v>
      </c>
      <c r="O2637" s="41" t="n">
        <f aca="false">K2637-N2637</f>
        <v>49.25</v>
      </c>
      <c r="P2637" s="43" t="n">
        <f aca="false">IF(K2637=0,0,O2637/K2637)</f>
        <v>0.615317341329335</v>
      </c>
    </row>
    <row r="2638" customFormat="false" ht="15" hidden="false" customHeight="false" outlineLevel="0" collapsed="false">
      <c r="A2638" s="39" t="s">
        <v>2760</v>
      </c>
      <c r="B2638" s="40" t="n">
        <v>45993</v>
      </c>
      <c r="C2638" s="39" t="s">
        <v>133</v>
      </c>
      <c r="D2638" s="39" t="n">
        <v>4</v>
      </c>
      <c r="E2638" s="41" t="n">
        <v>8.88</v>
      </c>
      <c r="F2638" s="39" t="s">
        <v>108</v>
      </c>
      <c r="G2638" s="39" t="str">
        <f aca="false">VLOOKUP(C2638,Products!$A$5:$D$24,2,FALSE())</f>
        <v>Printer Paper Ream</v>
      </c>
      <c r="H2638" s="39" t="str">
        <f aca="false">VLOOKUP(C2638,Products!$A$5:$D$24,3,FALSE())</f>
        <v>Stationery</v>
      </c>
      <c r="I2638" s="41" t="n">
        <f aca="false">VLOOKUP(C2638,Products!$A$5:$D$24,4,FALSE())</f>
        <v>4</v>
      </c>
      <c r="J2638" s="42" t="n">
        <f aca="false">DATE(YEAR(B2638),MONTH(B2638),1)</f>
        <v>45992</v>
      </c>
      <c r="K2638" s="41" t="n">
        <f aca="false">D2638*E2638</f>
        <v>35.52</v>
      </c>
      <c r="L2638" s="41" t="n">
        <f aca="false">D2638*I2638</f>
        <v>16</v>
      </c>
      <c r="M2638" s="41" t="n">
        <f aca="false">IFERROR(INDEX(Raw_Expenses!$C$5:$C$2979,MATCH(A2638,Raw_Expenses!$A$5:$A$2979,0)),0)</f>
        <v>1.73</v>
      </c>
      <c r="N2638" s="41" t="n">
        <f aca="false">L2638+M2638</f>
        <v>17.73</v>
      </c>
      <c r="O2638" s="41" t="n">
        <f aca="false">K2638-N2638</f>
        <v>17.79</v>
      </c>
      <c r="P2638" s="43" t="n">
        <f aca="false">IF(K2638=0,0,O2638/K2638)</f>
        <v>0.500844594594595</v>
      </c>
    </row>
    <row r="2639" customFormat="false" ht="15" hidden="false" customHeight="false" outlineLevel="0" collapsed="false">
      <c r="A2639" s="39" t="s">
        <v>2761</v>
      </c>
      <c r="B2639" s="40" t="n">
        <v>45993</v>
      </c>
      <c r="C2639" s="39" t="s">
        <v>133</v>
      </c>
      <c r="D2639" s="39" t="n">
        <v>2</v>
      </c>
      <c r="E2639" s="41" t="n">
        <v>8.58</v>
      </c>
      <c r="F2639" s="39" t="s">
        <v>115</v>
      </c>
      <c r="G2639" s="39" t="str">
        <f aca="false">VLOOKUP(C2639,Products!$A$5:$D$24,2,FALSE())</f>
        <v>Printer Paper Ream</v>
      </c>
      <c r="H2639" s="39" t="str">
        <f aca="false">VLOOKUP(C2639,Products!$A$5:$D$24,3,FALSE())</f>
        <v>Stationery</v>
      </c>
      <c r="I2639" s="41" t="n">
        <f aca="false">VLOOKUP(C2639,Products!$A$5:$D$24,4,FALSE())</f>
        <v>4</v>
      </c>
      <c r="J2639" s="42" t="n">
        <f aca="false">DATE(YEAR(B2639),MONTH(B2639),1)</f>
        <v>45992</v>
      </c>
      <c r="K2639" s="41" t="n">
        <f aca="false">D2639*E2639</f>
        <v>17.16</v>
      </c>
      <c r="L2639" s="41" t="n">
        <f aca="false">D2639*I2639</f>
        <v>8</v>
      </c>
      <c r="M2639" s="41" t="n">
        <f aca="false">IFERROR(INDEX(Raw_Expenses!$C$5:$C$2979,MATCH(A2639,Raw_Expenses!$A$5:$A$2979,0)),0)</f>
        <v>1.21</v>
      </c>
      <c r="N2639" s="41" t="n">
        <f aca="false">L2639+M2639</f>
        <v>9.21</v>
      </c>
      <c r="O2639" s="41" t="n">
        <f aca="false">K2639-N2639</f>
        <v>7.95</v>
      </c>
      <c r="P2639" s="43" t="n">
        <f aca="false">IF(K2639=0,0,O2639/K2639)</f>
        <v>0.463286713286713</v>
      </c>
    </row>
    <row r="2640" customFormat="false" ht="15" hidden="false" customHeight="false" outlineLevel="0" collapsed="false">
      <c r="A2640" s="39" t="s">
        <v>2762</v>
      </c>
      <c r="B2640" s="40" t="n">
        <v>45993</v>
      </c>
      <c r="C2640" s="39" t="s">
        <v>183</v>
      </c>
      <c r="D2640" s="39" t="n">
        <v>2</v>
      </c>
      <c r="E2640" s="41" t="n">
        <v>183.47</v>
      </c>
      <c r="F2640" s="39" t="s">
        <v>115</v>
      </c>
      <c r="G2640" s="39" t="str">
        <f aca="false">VLOOKUP(C2640,Products!$A$5:$D$24,2,FALSE())</f>
        <v>Office Chair</v>
      </c>
      <c r="H2640" s="39" t="str">
        <f aca="false">VLOOKUP(C2640,Products!$A$5:$D$24,3,FALSE())</f>
        <v>Furniture</v>
      </c>
      <c r="I2640" s="41" t="n">
        <f aca="false">VLOOKUP(C2640,Products!$A$5:$D$24,4,FALSE())</f>
        <v>85</v>
      </c>
      <c r="J2640" s="42" t="n">
        <f aca="false">DATE(YEAR(B2640),MONTH(B2640),1)</f>
        <v>45992</v>
      </c>
      <c r="K2640" s="41" t="n">
        <f aca="false">D2640*E2640</f>
        <v>366.94</v>
      </c>
      <c r="L2640" s="41" t="n">
        <f aca="false">D2640*I2640</f>
        <v>170</v>
      </c>
      <c r="M2640" s="41" t="n">
        <f aca="false">IFERROR(INDEX(Raw_Expenses!$C$5:$C$2979,MATCH(A2640,Raw_Expenses!$A$5:$A$2979,0)),0)</f>
        <v>24.39</v>
      </c>
      <c r="N2640" s="41" t="n">
        <f aca="false">L2640+M2640</f>
        <v>194.39</v>
      </c>
      <c r="O2640" s="41" t="n">
        <f aca="false">K2640-N2640</f>
        <v>172.55</v>
      </c>
      <c r="P2640" s="43" t="n">
        <f aca="false">IF(K2640=0,0,O2640/K2640)</f>
        <v>0.470240366272415</v>
      </c>
    </row>
    <row r="2641" customFormat="false" ht="15" hidden="false" customHeight="false" outlineLevel="0" collapsed="false">
      <c r="A2641" s="39" t="s">
        <v>2763</v>
      </c>
      <c r="B2641" s="40" t="n">
        <v>45993</v>
      </c>
      <c r="C2641" s="39" t="s">
        <v>162</v>
      </c>
      <c r="D2641" s="39" t="n">
        <v>5</v>
      </c>
      <c r="E2641" s="41" t="n">
        <v>65.57</v>
      </c>
      <c r="F2641" s="39" t="s">
        <v>105</v>
      </c>
      <c r="G2641" s="39" t="str">
        <f aca="false">VLOOKUP(C2641,Products!$A$5:$D$24,2,FALSE())</f>
        <v>Bluetooth Speaker</v>
      </c>
      <c r="H2641" s="39" t="str">
        <f aca="false">VLOOKUP(C2641,Products!$A$5:$D$24,3,FALSE())</f>
        <v>Electronics</v>
      </c>
      <c r="I2641" s="41" t="n">
        <f aca="false">VLOOKUP(C2641,Products!$A$5:$D$24,4,FALSE())</f>
        <v>28</v>
      </c>
      <c r="J2641" s="42" t="n">
        <f aca="false">DATE(YEAR(B2641),MONTH(B2641),1)</f>
        <v>45992</v>
      </c>
      <c r="K2641" s="41" t="n">
        <f aca="false">D2641*E2641</f>
        <v>327.85</v>
      </c>
      <c r="L2641" s="41" t="n">
        <f aca="false">D2641*I2641</f>
        <v>140</v>
      </c>
      <c r="M2641" s="41" t="n">
        <f aca="false">IFERROR(INDEX(Raw_Expenses!$C$5:$C$2979,MATCH(A2641,Raw_Expenses!$A$5:$A$2979,0)),0)</f>
        <v>27.18</v>
      </c>
      <c r="N2641" s="41" t="n">
        <f aca="false">L2641+M2641</f>
        <v>167.18</v>
      </c>
      <c r="O2641" s="41" t="n">
        <f aca="false">K2641-N2641</f>
        <v>160.67</v>
      </c>
      <c r="P2641" s="43" t="n">
        <f aca="false">IF(K2641=0,0,O2641/K2641)</f>
        <v>0.490071679121549</v>
      </c>
    </row>
    <row r="2642" customFormat="false" ht="15" hidden="false" customHeight="false" outlineLevel="0" collapsed="false">
      <c r="A2642" s="39" t="s">
        <v>2764</v>
      </c>
      <c r="B2642" s="40" t="n">
        <v>45993</v>
      </c>
      <c r="C2642" s="39" t="s">
        <v>121</v>
      </c>
      <c r="D2642" s="39" t="n">
        <v>1</v>
      </c>
      <c r="E2642" s="41" t="n">
        <v>113.76</v>
      </c>
      <c r="F2642" s="39" t="s">
        <v>108</v>
      </c>
      <c r="G2642" s="39" t="str">
        <f aca="false">VLOOKUP(C2642,Products!$A$5:$D$24,2,FALSE())</f>
        <v>External SSD 1TB</v>
      </c>
      <c r="H2642" s="39" t="str">
        <f aca="false">VLOOKUP(C2642,Products!$A$5:$D$24,3,FALSE())</f>
        <v>Electronics</v>
      </c>
      <c r="I2642" s="41" t="n">
        <f aca="false">VLOOKUP(C2642,Products!$A$5:$D$24,4,FALSE())</f>
        <v>62</v>
      </c>
      <c r="J2642" s="42" t="n">
        <f aca="false">DATE(YEAR(B2642),MONTH(B2642),1)</f>
        <v>45992</v>
      </c>
      <c r="K2642" s="41" t="n">
        <f aca="false">D2642*E2642</f>
        <v>113.76</v>
      </c>
      <c r="L2642" s="41" t="n">
        <f aca="false">D2642*I2642</f>
        <v>62</v>
      </c>
      <c r="M2642" s="41" t="n">
        <f aca="false">IFERROR(INDEX(Raw_Expenses!$C$5:$C$2979,MATCH(A2642,Raw_Expenses!$A$5:$A$2979,0)),0)</f>
        <v>4.72</v>
      </c>
      <c r="N2642" s="41" t="n">
        <f aca="false">L2642+M2642</f>
        <v>66.72</v>
      </c>
      <c r="O2642" s="41" t="n">
        <f aca="false">K2642-N2642</f>
        <v>47.04</v>
      </c>
      <c r="P2642" s="43" t="n">
        <f aca="false">IF(K2642=0,0,O2642/K2642)</f>
        <v>0.413502109704641</v>
      </c>
    </row>
    <row r="2643" customFormat="false" ht="15" hidden="false" customHeight="false" outlineLevel="0" collapsed="false">
      <c r="A2643" s="39" t="s">
        <v>2765</v>
      </c>
      <c r="B2643" s="40" t="n">
        <v>45994</v>
      </c>
      <c r="C2643" s="39" t="s">
        <v>126</v>
      </c>
      <c r="D2643" s="39" t="n">
        <v>6</v>
      </c>
      <c r="E2643" s="41" t="n">
        <v>23.75</v>
      </c>
      <c r="F2643" s="39" t="s">
        <v>108</v>
      </c>
      <c r="G2643" s="39" t="str">
        <f aca="false">VLOOKUP(C2643,Products!$A$5:$D$24,2,FALSE())</f>
        <v>Wireless Mouse</v>
      </c>
      <c r="H2643" s="39" t="str">
        <f aca="false">VLOOKUP(C2643,Products!$A$5:$D$24,3,FALSE())</f>
        <v>Electronics</v>
      </c>
      <c r="I2643" s="41" t="n">
        <f aca="false">VLOOKUP(C2643,Products!$A$5:$D$24,4,FALSE())</f>
        <v>12</v>
      </c>
      <c r="J2643" s="42" t="n">
        <f aca="false">DATE(YEAR(B2643),MONTH(B2643),1)</f>
        <v>45992</v>
      </c>
      <c r="K2643" s="41" t="n">
        <f aca="false">D2643*E2643</f>
        <v>142.5</v>
      </c>
      <c r="L2643" s="41" t="n">
        <f aca="false">D2643*I2643</f>
        <v>72</v>
      </c>
      <c r="M2643" s="41" t="n">
        <f aca="false">IFERROR(INDEX(Raw_Expenses!$C$5:$C$2979,MATCH(A2643,Raw_Expenses!$A$5:$A$2979,0)),0)</f>
        <v>6.36</v>
      </c>
      <c r="N2643" s="41" t="n">
        <f aca="false">L2643+M2643</f>
        <v>78.36</v>
      </c>
      <c r="O2643" s="41" t="n">
        <f aca="false">K2643-N2643</f>
        <v>64.14</v>
      </c>
      <c r="P2643" s="43" t="n">
        <f aca="false">IF(K2643=0,0,O2643/K2643)</f>
        <v>0.450105263157895</v>
      </c>
    </row>
    <row r="2644" customFormat="false" ht="15" hidden="false" customHeight="false" outlineLevel="0" collapsed="false">
      <c r="A2644" s="39" t="s">
        <v>2766</v>
      </c>
      <c r="B2644" s="40" t="n">
        <v>45994</v>
      </c>
      <c r="C2644" s="39" t="s">
        <v>107</v>
      </c>
      <c r="D2644" s="39" t="n">
        <v>3</v>
      </c>
      <c r="E2644" s="41" t="n">
        <v>33.95</v>
      </c>
      <c r="F2644" s="39" t="s">
        <v>115</v>
      </c>
      <c r="G2644" s="39" t="str">
        <f aca="false">VLOOKUP(C2644,Products!$A$5:$D$24,2,FALSE())</f>
        <v>USB-C Hub</v>
      </c>
      <c r="H2644" s="39" t="str">
        <f aca="false">VLOOKUP(C2644,Products!$A$5:$D$24,3,FALSE())</f>
        <v>Electronics</v>
      </c>
      <c r="I2644" s="41" t="n">
        <f aca="false">VLOOKUP(C2644,Products!$A$5:$D$24,4,FALSE())</f>
        <v>14</v>
      </c>
      <c r="J2644" s="42" t="n">
        <f aca="false">DATE(YEAR(B2644),MONTH(B2644),1)</f>
        <v>45992</v>
      </c>
      <c r="K2644" s="41" t="n">
        <f aca="false">D2644*E2644</f>
        <v>101.85</v>
      </c>
      <c r="L2644" s="41" t="n">
        <f aca="false">D2644*I2644</f>
        <v>42</v>
      </c>
      <c r="M2644" s="41" t="n">
        <f aca="false">IFERROR(INDEX(Raw_Expenses!$C$5:$C$2979,MATCH(A2644,Raw_Expenses!$A$5:$A$2979,0)),0)</f>
        <v>5.84</v>
      </c>
      <c r="N2644" s="41" t="n">
        <f aca="false">L2644+M2644</f>
        <v>47.84</v>
      </c>
      <c r="O2644" s="41" t="n">
        <f aca="false">K2644-N2644</f>
        <v>54.01</v>
      </c>
      <c r="P2644" s="43" t="n">
        <f aca="false">IF(K2644=0,0,O2644/K2644)</f>
        <v>0.530289641629848</v>
      </c>
    </row>
    <row r="2645" customFormat="false" ht="15" hidden="false" customHeight="false" outlineLevel="0" collapsed="false">
      <c r="A2645" s="39" t="s">
        <v>2767</v>
      </c>
      <c r="B2645" s="40" t="n">
        <v>45994</v>
      </c>
      <c r="C2645" s="39" t="s">
        <v>130</v>
      </c>
      <c r="D2645" s="39" t="n">
        <v>1</v>
      </c>
      <c r="E2645" s="41" t="n">
        <v>8.68</v>
      </c>
      <c r="F2645" s="39" t="s">
        <v>108</v>
      </c>
      <c r="G2645" s="39" t="str">
        <f aca="false">VLOOKUP(C2645,Products!$A$5:$D$24,2,FALSE())</f>
        <v>Notebook Set</v>
      </c>
      <c r="H2645" s="39" t="str">
        <f aca="false">VLOOKUP(C2645,Products!$A$5:$D$24,3,FALSE())</f>
        <v>Stationery</v>
      </c>
      <c r="I2645" s="41" t="n">
        <f aca="false">VLOOKUP(C2645,Products!$A$5:$D$24,4,FALSE())</f>
        <v>3</v>
      </c>
      <c r="J2645" s="42" t="n">
        <f aca="false">DATE(YEAR(B2645),MONTH(B2645),1)</f>
        <v>45992</v>
      </c>
      <c r="K2645" s="41" t="n">
        <f aca="false">D2645*E2645</f>
        <v>8.68</v>
      </c>
      <c r="L2645" s="41" t="n">
        <f aca="false">D2645*I2645</f>
        <v>3</v>
      </c>
      <c r="M2645" s="41" t="n">
        <f aca="false">IFERROR(INDEX(Raw_Expenses!$C$5:$C$2979,MATCH(A2645,Raw_Expenses!$A$5:$A$2979,0)),0)</f>
        <v>0.41</v>
      </c>
      <c r="N2645" s="41" t="n">
        <f aca="false">L2645+M2645</f>
        <v>3.41</v>
      </c>
      <c r="O2645" s="41" t="n">
        <f aca="false">K2645-N2645</f>
        <v>5.27</v>
      </c>
      <c r="P2645" s="43" t="n">
        <f aca="false">IF(K2645=0,0,O2645/K2645)</f>
        <v>0.607142857142857</v>
      </c>
    </row>
    <row r="2646" customFormat="false" ht="15" hidden="false" customHeight="false" outlineLevel="0" collapsed="false">
      <c r="A2646" s="39" t="s">
        <v>2768</v>
      </c>
      <c r="B2646" s="40" t="n">
        <v>45994</v>
      </c>
      <c r="C2646" s="39" t="s">
        <v>169</v>
      </c>
      <c r="D2646" s="39" t="n">
        <v>5</v>
      </c>
      <c r="E2646" s="41" t="n">
        <v>26.71</v>
      </c>
      <c r="F2646" s="39" t="s">
        <v>108</v>
      </c>
      <c r="G2646" s="39" t="str">
        <f aca="false">VLOOKUP(C2646,Products!$A$5:$D$24,2,FALSE())</f>
        <v>Laptop Stand</v>
      </c>
      <c r="H2646" s="39" t="str">
        <f aca="false">VLOOKUP(C2646,Products!$A$5:$D$24,3,FALSE())</f>
        <v>Accessories</v>
      </c>
      <c r="I2646" s="41" t="n">
        <f aca="false">VLOOKUP(C2646,Products!$A$5:$D$24,4,FALSE())</f>
        <v>11</v>
      </c>
      <c r="J2646" s="42" t="n">
        <f aca="false">DATE(YEAR(B2646),MONTH(B2646),1)</f>
        <v>45992</v>
      </c>
      <c r="K2646" s="41" t="n">
        <f aca="false">D2646*E2646</f>
        <v>133.55</v>
      </c>
      <c r="L2646" s="41" t="n">
        <f aca="false">D2646*I2646</f>
        <v>55</v>
      </c>
      <c r="M2646" s="41" t="n">
        <f aca="false">IFERROR(INDEX(Raw_Expenses!$C$5:$C$2979,MATCH(A2646,Raw_Expenses!$A$5:$A$2979,0)),0)</f>
        <v>10.49</v>
      </c>
      <c r="N2646" s="41" t="n">
        <f aca="false">L2646+M2646</f>
        <v>65.49</v>
      </c>
      <c r="O2646" s="41" t="n">
        <f aca="false">K2646-N2646</f>
        <v>68.06</v>
      </c>
      <c r="P2646" s="43" t="n">
        <f aca="false">IF(K2646=0,0,O2646/K2646)</f>
        <v>0.509621864470236</v>
      </c>
    </row>
    <row r="2647" customFormat="false" ht="15" hidden="false" customHeight="false" outlineLevel="0" collapsed="false">
      <c r="A2647" s="39" t="s">
        <v>2769</v>
      </c>
      <c r="B2647" s="40" t="n">
        <v>45994</v>
      </c>
      <c r="C2647" s="39" t="s">
        <v>117</v>
      </c>
      <c r="D2647" s="39" t="n">
        <v>2</v>
      </c>
      <c r="E2647" s="41" t="n">
        <v>30.84</v>
      </c>
      <c r="F2647" s="39" t="s">
        <v>118</v>
      </c>
      <c r="G2647" s="39" t="str">
        <f aca="false">VLOOKUP(C2647,Products!$A$5:$D$24,2,FALSE())</f>
        <v>Desk Lamp</v>
      </c>
      <c r="H2647" s="39" t="str">
        <f aca="false">VLOOKUP(C2647,Products!$A$5:$D$24,3,FALSE())</f>
        <v>Furniture</v>
      </c>
      <c r="I2647" s="41" t="n">
        <f aca="false">VLOOKUP(C2647,Products!$A$5:$D$24,4,FALSE())</f>
        <v>13</v>
      </c>
      <c r="J2647" s="42" t="n">
        <f aca="false">DATE(YEAR(B2647),MONTH(B2647),1)</f>
        <v>45992</v>
      </c>
      <c r="K2647" s="41" t="n">
        <f aca="false">D2647*E2647</f>
        <v>61.68</v>
      </c>
      <c r="L2647" s="41" t="n">
        <f aca="false">D2647*I2647</f>
        <v>26</v>
      </c>
      <c r="M2647" s="41" t="n">
        <f aca="false">IFERROR(INDEX(Raw_Expenses!$C$5:$C$2979,MATCH(A2647,Raw_Expenses!$A$5:$A$2979,0)),0)</f>
        <v>3.1</v>
      </c>
      <c r="N2647" s="41" t="n">
        <f aca="false">L2647+M2647</f>
        <v>29.1</v>
      </c>
      <c r="O2647" s="41" t="n">
        <f aca="false">K2647-N2647</f>
        <v>32.58</v>
      </c>
      <c r="P2647" s="43" t="n">
        <f aca="false">IF(K2647=0,0,O2647/K2647)</f>
        <v>0.528210116731518</v>
      </c>
    </row>
    <row r="2648" customFormat="false" ht="15" hidden="false" customHeight="false" outlineLevel="0" collapsed="false">
      <c r="A2648" s="39" t="s">
        <v>2770</v>
      </c>
      <c r="B2648" s="40" t="n">
        <v>45994</v>
      </c>
      <c r="C2648" s="39" t="s">
        <v>114</v>
      </c>
      <c r="D2648" s="39" t="n">
        <v>2</v>
      </c>
      <c r="E2648" s="41" t="n">
        <v>5.98</v>
      </c>
      <c r="F2648" s="39" t="s">
        <v>108</v>
      </c>
      <c r="G2648" s="39" t="str">
        <f aca="false">VLOOKUP(C2648,Products!$A$5:$D$24,2,FALSE())</f>
        <v>Gel Pen Pack</v>
      </c>
      <c r="H2648" s="39" t="str">
        <f aca="false">VLOOKUP(C2648,Products!$A$5:$D$24,3,FALSE())</f>
        <v>Stationery</v>
      </c>
      <c r="I2648" s="41" t="n">
        <f aca="false">VLOOKUP(C2648,Products!$A$5:$D$24,4,FALSE())</f>
        <v>2</v>
      </c>
      <c r="J2648" s="42" t="n">
        <f aca="false">DATE(YEAR(B2648),MONTH(B2648),1)</f>
        <v>45992</v>
      </c>
      <c r="K2648" s="41" t="n">
        <f aca="false">D2648*E2648</f>
        <v>11.96</v>
      </c>
      <c r="L2648" s="41" t="n">
        <f aca="false">D2648*I2648</f>
        <v>4</v>
      </c>
      <c r="M2648" s="41" t="n">
        <f aca="false">IFERROR(INDEX(Raw_Expenses!$C$5:$C$2979,MATCH(A2648,Raw_Expenses!$A$5:$A$2979,0)),0)</f>
        <v>0.64</v>
      </c>
      <c r="N2648" s="41" t="n">
        <f aca="false">L2648+M2648</f>
        <v>4.64</v>
      </c>
      <c r="O2648" s="41" t="n">
        <f aca="false">K2648-N2648</f>
        <v>7.32</v>
      </c>
      <c r="P2648" s="43" t="n">
        <f aca="false">IF(K2648=0,0,O2648/K2648)</f>
        <v>0.612040133779264</v>
      </c>
    </row>
    <row r="2649" customFormat="false" ht="15" hidden="false" customHeight="false" outlineLevel="0" collapsed="false">
      <c r="A2649" s="39" t="s">
        <v>2771</v>
      </c>
      <c r="B2649" s="40" t="n">
        <v>45994</v>
      </c>
      <c r="C2649" s="39" t="s">
        <v>183</v>
      </c>
      <c r="D2649" s="39" t="n">
        <v>1</v>
      </c>
      <c r="E2649" s="41" t="n">
        <v>174.33</v>
      </c>
      <c r="F2649" s="39" t="s">
        <v>118</v>
      </c>
      <c r="G2649" s="39" t="str">
        <f aca="false">VLOOKUP(C2649,Products!$A$5:$D$24,2,FALSE())</f>
        <v>Office Chair</v>
      </c>
      <c r="H2649" s="39" t="str">
        <f aca="false">VLOOKUP(C2649,Products!$A$5:$D$24,3,FALSE())</f>
        <v>Furniture</v>
      </c>
      <c r="I2649" s="41" t="n">
        <f aca="false">VLOOKUP(C2649,Products!$A$5:$D$24,4,FALSE())</f>
        <v>85</v>
      </c>
      <c r="J2649" s="42" t="n">
        <f aca="false">DATE(YEAR(B2649),MONTH(B2649),1)</f>
        <v>45992</v>
      </c>
      <c r="K2649" s="41" t="n">
        <f aca="false">D2649*E2649</f>
        <v>174.33</v>
      </c>
      <c r="L2649" s="41" t="n">
        <f aca="false">D2649*I2649</f>
        <v>85</v>
      </c>
      <c r="M2649" s="41" t="n">
        <f aca="false">IFERROR(INDEX(Raw_Expenses!$C$5:$C$2979,MATCH(A2649,Raw_Expenses!$A$5:$A$2979,0)),0)</f>
        <v>7.66</v>
      </c>
      <c r="N2649" s="41" t="n">
        <f aca="false">L2649+M2649</f>
        <v>92.66</v>
      </c>
      <c r="O2649" s="41" t="n">
        <f aca="false">K2649-N2649</f>
        <v>81.67</v>
      </c>
      <c r="P2649" s="43" t="n">
        <f aca="false">IF(K2649=0,0,O2649/K2649)</f>
        <v>0.468479320828314</v>
      </c>
    </row>
    <row r="2650" customFormat="false" ht="15" hidden="false" customHeight="false" outlineLevel="0" collapsed="false">
      <c r="A2650" s="39" t="s">
        <v>2772</v>
      </c>
      <c r="B2650" s="40" t="n">
        <v>45994</v>
      </c>
      <c r="C2650" s="39" t="s">
        <v>114</v>
      </c>
      <c r="D2650" s="39" t="n">
        <v>2</v>
      </c>
      <c r="E2650" s="41" t="n">
        <v>5.84</v>
      </c>
      <c r="F2650" s="39" t="s">
        <v>105</v>
      </c>
      <c r="G2650" s="39" t="str">
        <f aca="false">VLOOKUP(C2650,Products!$A$5:$D$24,2,FALSE())</f>
        <v>Gel Pen Pack</v>
      </c>
      <c r="H2650" s="39" t="str">
        <f aca="false">VLOOKUP(C2650,Products!$A$5:$D$24,3,FALSE())</f>
        <v>Stationery</v>
      </c>
      <c r="I2650" s="41" t="n">
        <f aca="false">VLOOKUP(C2650,Products!$A$5:$D$24,4,FALSE())</f>
        <v>2</v>
      </c>
      <c r="J2650" s="42" t="n">
        <f aca="false">DATE(YEAR(B2650),MONTH(B2650),1)</f>
        <v>45992</v>
      </c>
      <c r="K2650" s="41" t="n">
        <f aca="false">D2650*E2650</f>
        <v>11.68</v>
      </c>
      <c r="L2650" s="41" t="n">
        <f aca="false">D2650*I2650</f>
        <v>4</v>
      </c>
      <c r="M2650" s="41" t="n">
        <f aca="false">IFERROR(INDEX(Raw_Expenses!$C$5:$C$2979,MATCH(A2650,Raw_Expenses!$A$5:$A$2979,0)),0)</f>
        <v>0.81</v>
      </c>
      <c r="N2650" s="41" t="n">
        <f aca="false">L2650+M2650</f>
        <v>4.81</v>
      </c>
      <c r="O2650" s="41" t="n">
        <f aca="false">K2650-N2650</f>
        <v>6.87</v>
      </c>
      <c r="P2650" s="43" t="n">
        <f aca="false">IF(K2650=0,0,O2650/K2650)</f>
        <v>0.588184931506849</v>
      </c>
    </row>
    <row r="2651" customFormat="false" ht="15" hidden="false" customHeight="false" outlineLevel="0" collapsed="false">
      <c r="A2651" s="39" t="s">
        <v>2773</v>
      </c>
      <c r="B2651" s="40" t="n">
        <v>45994</v>
      </c>
      <c r="C2651" s="39" t="s">
        <v>110</v>
      </c>
      <c r="D2651" s="39" t="n">
        <v>2</v>
      </c>
      <c r="E2651" s="41" t="n">
        <v>12.97</v>
      </c>
      <c r="F2651" s="39" t="s">
        <v>105</v>
      </c>
      <c r="G2651" s="39" t="str">
        <f aca="false">VLOOKUP(C2651,Products!$A$5:$D$24,2,FALSE())</f>
        <v>Phone Stand</v>
      </c>
      <c r="H2651" s="39" t="str">
        <f aca="false">VLOOKUP(C2651,Products!$A$5:$D$24,3,FALSE())</f>
        <v>Accessories</v>
      </c>
      <c r="I2651" s="41" t="n">
        <f aca="false">VLOOKUP(C2651,Products!$A$5:$D$24,4,FALSE())</f>
        <v>4</v>
      </c>
      <c r="J2651" s="42" t="n">
        <f aca="false">DATE(YEAR(B2651),MONTH(B2651),1)</f>
        <v>45992</v>
      </c>
      <c r="K2651" s="41" t="n">
        <f aca="false">D2651*E2651</f>
        <v>25.94</v>
      </c>
      <c r="L2651" s="41" t="n">
        <f aca="false">D2651*I2651</f>
        <v>8</v>
      </c>
      <c r="M2651" s="41" t="n">
        <f aca="false">IFERROR(INDEX(Raw_Expenses!$C$5:$C$2979,MATCH(A2651,Raw_Expenses!$A$5:$A$2979,0)),0)</f>
        <v>1.51</v>
      </c>
      <c r="N2651" s="41" t="n">
        <f aca="false">L2651+M2651</f>
        <v>9.51</v>
      </c>
      <c r="O2651" s="41" t="n">
        <f aca="false">K2651-N2651</f>
        <v>16.43</v>
      </c>
      <c r="P2651" s="43" t="n">
        <f aca="false">IF(K2651=0,0,O2651/K2651)</f>
        <v>0.633384734001542</v>
      </c>
    </row>
    <row r="2652" customFormat="false" ht="15" hidden="false" customHeight="false" outlineLevel="0" collapsed="false">
      <c r="A2652" s="39" t="s">
        <v>2774</v>
      </c>
      <c r="B2652" s="40" t="n">
        <v>45994</v>
      </c>
      <c r="C2652" s="39" t="s">
        <v>183</v>
      </c>
      <c r="D2652" s="39" t="n">
        <v>1</v>
      </c>
      <c r="E2652" s="41" t="n">
        <v>176.82</v>
      </c>
      <c r="F2652" s="39" t="s">
        <v>115</v>
      </c>
      <c r="G2652" s="39" t="str">
        <f aca="false">VLOOKUP(C2652,Products!$A$5:$D$24,2,FALSE())</f>
        <v>Office Chair</v>
      </c>
      <c r="H2652" s="39" t="str">
        <f aca="false">VLOOKUP(C2652,Products!$A$5:$D$24,3,FALSE())</f>
        <v>Furniture</v>
      </c>
      <c r="I2652" s="41" t="n">
        <f aca="false">VLOOKUP(C2652,Products!$A$5:$D$24,4,FALSE())</f>
        <v>85</v>
      </c>
      <c r="J2652" s="42" t="n">
        <f aca="false">DATE(YEAR(B2652),MONTH(B2652),1)</f>
        <v>45992</v>
      </c>
      <c r="K2652" s="41" t="n">
        <f aca="false">D2652*E2652</f>
        <v>176.82</v>
      </c>
      <c r="L2652" s="41" t="n">
        <f aca="false">D2652*I2652</f>
        <v>85</v>
      </c>
      <c r="M2652" s="41" t="n">
        <f aca="false">IFERROR(INDEX(Raw_Expenses!$C$5:$C$2979,MATCH(A2652,Raw_Expenses!$A$5:$A$2979,0)),0)</f>
        <v>11.75</v>
      </c>
      <c r="N2652" s="41" t="n">
        <f aca="false">L2652+M2652</f>
        <v>96.75</v>
      </c>
      <c r="O2652" s="41" t="n">
        <f aca="false">K2652-N2652</f>
        <v>80.07</v>
      </c>
      <c r="P2652" s="43" t="n">
        <f aca="false">IF(K2652=0,0,O2652/K2652)</f>
        <v>0.452833389888022</v>
      </c>
    </row>
    <row r="2653" customFormat="false" ht="15" hidden="false" customHeight="false" outlineLevel="0" collapsed="false">
      <c r="A2653" s="39" t="s">
        <v>2775</v>
      </c>
      <c r="B2653" s="40" t="n">
        <v>45994</v>
      </c>
      <c r="C2653" s="39" t="s">
        <v>117</v>
      </c>
      <c r="D2653" s="39" t="n">
        <v>1</v>
      </c>
      <c r="E2653" s="41" t="n">
        <v>30.85</v>
      </c>
      <c r="F2653" s="39" t="s">
        <v>108</v>
      </c>
      <c r="G2653" s="39" t="str">
        <f aca="false">VLOOKUP(C2653,Products!$A$5:$D$24,2,FALSE())</f>
        <v>Desk Lamp</v>
      </c>
      <c r="H2653" s="39" t="str">
        <f aca="false">VLOOKUP(C2653,Products!$A$5:$D$24,3,FALSE())</f>
        <v>Furniture</v>
      </c>
      <c r="I2653" s="41" t="n">
        <f aca="false">VLOOKUP(C2653,Products!$A$5:$D$24,4,FALSE())</f>
        <v>13</v>
      </c>
      <c r="J2653" s="42" t="n">
        <f aca="false">DATE(YEAR(B2653),MONTH(B2653),1)</f>
        <v>45992</v>
      </c>
      <c r="K2653" s="41" t="n">
        <f aca="false">D2653*E2653</f>
        <v>30.85</v>
      </c>
      <c r="L2653" s="41" t="n">
        <f aca="false">D2653*I2653</f>
        <v>13</v>
      </c>
      <c r="M2653" s="41" t="n">
        <f aca="false">IFERROR(INDEX(Raw_Expenses!$C$5:$C$2979,MATCH(A2653,Raw_Expenses!$A$5:$A$2979,0)),0)</f>
        <v>2.64</v>
      </c>
      <c r="N2653" s="41" t="n">
        <f aca="false">L2653+M2653</f>
        <v>15.64</v>
      </c>
      <c r="O2653" s="41" t="n">
        <f aca="false">K2653-N2653</f>
        <v>15.21</v>
      </c>
      <c r="P2653" s="43" t="n">
        <f aca="false">IF(K2653=0,0,O2653/K2653)</f>
        <v>0.493030794165316</v>
      </c>
    </row>
    <row r="2654" customFormat="false" ht="15" hidden="false" customHeight="false" outlineLevel="0" collapsed="false">
      <c r="A2654" s="39" t="s">
        <v>2776</v>
      </c>
      <c r="B2654" s="40" t="n">
        <v>45994</v>
      </c>
      <c r="C2654" s="39" t="s">
        <v>126</v>
      </c>
      <c r="D2654" s="39" t="n">
        <v>4</v>
      </c>
      <c r="E2654" s="41" t="n">
        <v>23.12</v>
      </c>
      <c r="F2654" s="39" t="s">
        <v>105</v>
      </c>
      <c r="G2654" s="39" t="str">
        <f aca="false">VLOOKUP(C2654,Products!$A$5:$D$24,2,FALSE())</f>
        <v>Wireless Mouse</v>
      </c>
      <c r="H2654" s="39" t="str">
        <f aca="false">VLOOKUP(C2654,Products!$A$5:$D$24,3,FALSE())</f>
        <v>Electronics</v>
      </c>
      <c r="I2654" s="41" t="n">
        <f aca="false">VLOOKUP(C2654,Products!$A$5:$D$24,4,FALSE())</f>
        <v>12</v>
      </c>
      <c r="J2654" s="42" t="n">
        <f aca="false">DATE(YEAR(B2654),MONTH(B2654),1)</f>
        <v>45992</v>
      </c>
      <c r="K2654" s="41" t="n">
        <f aca="false">D2654*E2654</f>
        <v>92.48</v>
      </c>
      <c r="L2654" s="41" t="n">
        <f aca="false">D2654*I2654</f>
        <v>48</v>
      </c>
      <c r="M2654" s="41" t="n">
        <f aca="false">IFERROR(INDEX(Raw_Expenses!$C$5:$C$2979,MATCH(A2654,Raw_Expenses!$A$5:$A$2979,0)),0)</f>
        <v>7.67</v>
      </c>
      <c r="N2654" s="41" t="n">
        <f aca="false">L2654+M2654</f>
        <v>55.67</v>
      </c>
      <c r="O2654" s="41" t="n">
        <f aca="false">K2654-N2654</f>
        <v>36.81</v>
      </c>
      <c r="P2654" s="43" t="n">
        <f aca="false">IF(K2654=0,0,O2654/K2654)</f>
        <v>0.398032006920415</v>
      </c>
    </row>
    <row r="2655" customFormat="false" ht="15" hidden="false" customHeight="false" outlineLevel="0" collapsed="false">
      <c r="A2655" s="39" t="s">
        <v>2777</v>
      </c>
      <c r="B2655" s="40" t="n">
        <v>45994</v>
      </c>
      <c r="C2655" s="39" t="s">
        <v>126</v>
      </c>
      <c r="D2655" s="39" t="n">
        <v>2</v>
      </c>
      <c r="E2655" s="41" t="n">
        <v>23.47</v>
      </c>
      <c r="F2655" s="39" t="s">
        <v>105</v>
      </c>
      <c r="G2655" s="39" t="str">
        <f aca="false">VLOOKUP(C2655,Products!$A$5:$D$24,2,FALSE())</f>
        <v>Wireless Mouse</v>
      </c>
      <c r="H2655" s="39" t="str">
        <f aca="false">VLOOKUP(C2655,Products!$A$5:$D$24,3,FALSE())</f>
        <v>Electronics</v>
      </c>
      <c r="I2655" s="41" t="n">
        <f aca="false">VLOOKUP(C2655,Products!$A$5:$D$24,4,FALSE())</f>
        <v>12</v>
      </c>
      <c r="J2655" s="42" t="n">
        <f aca="false">DATE(YEAR(B2655),MONTH(B2655),1)</f>
        <v>45992</v>
      </c>
      <c r="K2655" s="41" t="n">
        <f aca="false">D2655*E2655</f>
        <v>46.94</v>
      </c>
      <c r="L2655" s="41" t="n">
        <f aca="false">D2655*I2655</f>
        <v>24</v>
      </c>
      <c r="M2655" s="41" t="n">
        <f aca="false">IFERROR(INDEX(Raw_Expenses!$C$5:$C$2979,MATCH(A2655,Raw_Expenses!$A$5:$A$2979,0)),0)</f>
        <v>3.18</v>
      </c>
      <c r="N2655" s="41" t="n">
        <f aca="false">L2655+M2655</f>
        <v>27.18</v>
      </c>
      <c r="O2655" s="41" t="n">
        <f aca="false">K2655-N2655</f>
        <v>19.76</v>
      </c>
      <c r="P2655" s="43" t="n">
        <f aca="false">IF(K2655=0,0,O2655/K2655)</f>
        <v>0.42096293140179</v>
      </c>
    </row>
    <row r="2656" customFormat="false" ht="15" hidden="false" customHeight="false" outlineLevel="0" collapsed="false">
      <c r="A2656" s="39" t="s">
        <v>2778</v>
      </c>
      <c r="B2656" s="40" t="n">
        <v>45994</v>
      </c>
      <c r="C2656" s="39" t="s">
        <v>107</v>
      </c>
      <c r="D2656" s="39" t="n">
        <v>4</v>
      </c>
      <c r="E2656" s="41" t="n">
        <v>34.86</v>
      </c>
      <c r="F2656" s="39" t="s">
        <v>108</v>
      </c>
      <c r="G2656" s="39" t="str">
        <f aca="false">VLOOKUP(C2656,Products!$A$5:$D$24,2,FALSE())</f>
        <v>USB-C Hub</v>
      </c>
      <c r="H2656" s="39" t="str">
        <f aca="false">VLOOKUP(C2656,Products!$A$5:$D$24,3,FALSE())</f>
        <v>Electronics</v>
      </c>
      <c r="I2656" s="41" t="n">
        <f aca="false">VLOOKUP(C2656,Products!$A$5:$D$24,4,FALSE())</f>
        <v>14</v>
      </c>
      <c r="J2656" s="42" t="n">
        <f aca="false">DATE(YEAR(B2656),MONTH(B2656),1)</f>
        <v>45992</v>
      </c>
      <c r="K2656" s="41" t="n">
        <f aca="false">D2656*E2656</f>
        <v>139.44</v>
      </c>
      <c r="L2656" s="41" t="n">
        <f aca="false">D2656*I2656</f>
        <v>56</v>
      </c>
      <c r="M2656" s="41" t="n">
        <f aca="false">IFERROR(INDEX(Raw_Expenses!$C$5:$C$2979,MATCH(A2656,Raw_Expenses!$A$5:$A$2979,0)),0)</f>
        <v>10.87</v>
      </c>
      <c r="N2656" s="41" t="n">
        <f aca="false">L2656+M2656</f>
        <v>66.87</v>
      </c>
      <c r="O2656" s="41" t="n">
        <f aca="false">K2656-N2656</f>
        <v>72.57</v>
      </c>
      <c r="P2656" s="43" t="n">
        <f aca="false">IF(K2656=0,0,O2656/K2656)</f>
        <v>0.520438898450947</v>
      </c>
    </row>
    <row r="2657" customFormat="false" ht="15" hidden="false" customHeight="false" outlineLevel="0" collapsed="false">
      <c r="A2657" s="39" t="s">
        <v>2779</v>
      </c>
      <c r="B2657" s="40" t="n">
        <v>45994</v>
      </c>
      <c r="C2657" s="39" t="s">
        <v>139</v>
      </c>
      <c r="D2657" s="39" t="n">
        <v>3</v>
      </c>
      <c r="E2657" s="41" t="n">
        <v>128.36</v>
      </c>
      <c r="F2657" s="39" t="s">
        <v>115</v>
      </c>
      <c r="G2657" s="39" t="str">
        <f aca="false">VLOOKUP(C2657,Products!$A$5:$D$24,2,FALSE())</f>
        <v>Noise-Cancelling Headphones</v>
      </c>
      <c r="H2657" s="39" t="str">
        <f aca="false">VLOOKUP(C2657,Products!$A$5:$D$24,3,FALSE())</f>
        <v>Electronics</v>
      </c>
      <c r="I2657" s="41" t="n">
        <f aca="false">VLOOKUP(C2657,Products!$A$5:$D$24,4,FALSE())</f>
        <v>55</v>
      </c>
      <c r="J2657" s="42" t="n">
        <f aca="false">DATE(YEAR(B2657),MONTH(B2657),1)</f>
        <v>45992</v>
      </c>
      <c r="K2657" s="41" t="n">
        <f aca="false">D2657*E2657</f>
        <v>385.08</v>
      </c>
      <c r="L2657" s="41" t="n">
        <f aca="false">D2657*I2657</f>
        <v>165</v>
      </c>
      <c r="M2657" s="41" t="n">
        <f aca="false">IFERROR(INDEX(Raw_Expenses!$C$5:$C$2979,MATCH(A2657,Raw_Expenses!$A$5:$A$2979,0)),0)</f>
        <v>29.51</v>
      </c>
      <c r="N2657" s="41" t="n">
        <f aca="false">L2657+M2657</f>
        <v>194.51</v>
      </c>
      <c r="O2657" s="41" t="n">
        <f aca="false">K2657-N2657</f>
        <v>190.57</v>
      </c>
      <c r="P2657" s="43" t="n">
        <f aca="false">IF(K2657=0,0,O2657/K2657)</f>
        <v>0.494884179910668</v>
      </c>
    </row>
    <row r="2658" customFormat="false" ht="15" hidden="false" customHeight="false" outlineLevel="0" collapsed="false">
      <c r="A2658" s="39" t="s">
        <v>2780</v>
      </c>
      <c r="B2658" s="40" t="n">
        <v>45994</v>
      </c>
      <c r="C2658" s="39" t="s">
        <v>162</v>
      </c>
      <c r="D2658" s="39" t="n">
        <v>1</v>
      </c>
      <c r="E2658" s="41" t="n">
        <v>64.08</v>
      </c>
      <c r="F2658" s="39" t="s">
        <v>105</v>
      </c>
      <c r="G2658" s="39" t="str">
        <f aca="false">VLOOKUP(C2658,Products!$A$5:$D$24,2,FALSE())</f>
        <v>Bluetooth Speaker</v>
      </c>
      <c r="H2658" s="39" t="str">
        <f aca="false">VLOOKUP(C2658,Products!$A$5:$D$24,3,FALSE())</f>
        <v>Electronics</v>
      </c>
      <c r="I2658" s="41" t="n">
        <f aca="false">VLOOKUP(C2658,Products!$A$5:$D$24,4,FALSE())</f>
        <v>28</v>
      </c>
      <c r="J2658" s="42" t="n">
        <f aca="false">DATE(YEAR(B2658),MONTH(B2658),1)</f>
        <v>45992</v>
      </c>
      <c r="K2658" s="41" t="n">
        <f aca="false">D2658*E2658</f>
        <v>64.08</v>
      </c>
      <c r="L2658" s="41" t="n">
        <f aca="false">D2658*I2658</f>
        <v>28</v>
      </c>
      <c r="M2658" s="41" t="n">
        <f aca="false">IFERROR(INDEX(Raw_Expenses!$C$5:$C$2979,MATCH(A2658,Raw_Expenses!$A$5:$A$2979,0)),0)</f>
        <v>3.42</v>
      </c>
      <c r="N2658" s="41" t="n">
        <f aca="false">L2658+M2658</f>
        <v>31.42</v>
      </c>
      <c r="O2658" s="41" t="n">
        <f aca="false">K2658-N2658</f>
        <v>32.66</v>
      </c>
      <c r="P2658" s="43" t="n">
        <f aca="false">IF(K2658=0,0,O2658/K2658)</f>
        <v>0.509675405742821</v>
      </c>
    </row>
    <row r="2659" customFormat="false" ht="15" hidden="false" customHeight="false" outlineLevel="0" collapsed="false">
      <c r="A2659" s="39" t="s">
        <v>2781</v>
      </c>
      <c r="B2659" s="40" t="n">
        <v>45994</v>
      </c>
      <c r="C2659" s="39" t="s">
        <v>162</v>
      </c>
      <c r="D2659" s="39" t="n">
        <v>3</v>
      </c>
      <c r="E2659" s="41" t="n">
        <v>68.7</v>
      </c>
      <c r="F2659" s="39" t="s">
        <v>108</v>
      </c>
      <c r="G2659" s="39" t="str">
        <f aca="false">VLOOKUP(C2659,Products!$A$5:$D$24,2,FALSE())</f>
        <v>Bluetooth Speaker</v>
      </c>
      <c r="H2659" s="39" t="str">
        <f aca="false">VLOOKUP(C2659,Products!$A$5:$D$24,3,FALSE())</f>
        <v>Electronics</v>
      </c>
      <c r="I2659" s="41" t="n">
        <f aca="false">VLOOKUP(C2659,Products!$A$5:$D$24,4,FALSE())</f>
        <v>28</v>
      </c>
      <c r="J2659" s="42" t="n">
        <f aca="false">DATE(YEAR(B2659),MONTH(B2659),1)</f>
        <v>45992</v>
      </c>
      <c r="K2659" s="41" t="n">
        <f aca="false">D2659*E2659</f>
        <v>206.1</v>
      </c>
      <c r="L2659" s="41" t="n">
        <f aca="false">D2659*I2659</f>
        <v>84</v>
      </c>
      <c r="M2659" s="41" t="n">
        <f aca="false">IFERROR(INDEX(Raw_Expenses!$C$5:$C$2979,MATCH(A2659,Raw_Expenses!$A$5:$A$2979,0)),0)</f>
        <v>17.12</v>
      </c>
      <c r="N2659" s="41" t="n">
        <f aca="false">L2659+M2659</f>
        <v>101.12</v>
      </c>
      <c r="O2659" s="41" t="n">
        <f aca="false">K2659-N2659</f>
        <v>104.98</v>
      </c>
      <c r="P2659" s="43" t="n">
        <f aca="false">IF(K2659=0,0,O2659/K2659)</f>
        <v>0.509364386220282</v>
      </c>
    </row>
    <row r="2660" customFormat="false" ht="15" hidden="false" customHeight="false" outlineLevel="0" collapsed="false">
      <c r="A2660" s="39" t="s">
        <v>2782</v>
      </c>
      <c r="B2660" s="40" t="n">
        <v>45994</v>
      </c>
      <c r="C2660" s="39" t="s">
        <v>305</v>
      </c>
      <c r="D2660" s="39" t="n">
        <v>3</v>
      </c>
      <c r="E2660" s="41" t="n">
        <v>329.75</v>
      </c>
      <c r="F2660" s="39" t="s">
        <v>108</v>
      </c>
      <c r="G2660" s="39" t="str">
        <f aca="false">VLOOKUP(C2660,Products!$A$5:$D$24,2,FALSE())</f>
        <v>Standing Desk</v>
      </c>
      <c r="H2660" s="39" t="str">
        <f aca="false">VLOOKUP(C2660,Products!$A$5:$D$24,3,FALSE())</f>
        <v>Furniture</v>
      </c>
      <c r="I2660" s="41" t="n">
        <f aca="false">VLOOKUP(C2660,Products!$A$5:$D$24,4,FALSE())</f>
        <v>160</v>
      </c>
      <c r="J2660" s="42" t="n">
        <f aca="false">DATE(YEAR(B2660),MONTH(B2660),1)</f>
        <v>45992</v>
      </c>
      <c r="K2660" s="41" t="n">
        <f aca="false">D2660*E2660</f>
        <v>989.25</v>
      </c>
      <c r="L2660" s="41" t="n">
        <f aca="false">D2660*I2660</f>
        <v>480</v>
      </c>
      <c r="M2660" s="41" t="n">
        <f aca="false">IFERROR(INDEX(Raw_Expenses!$C$5:$C$2979,MATCH(A2660,Raw_Expenses!$A$5:$A$2979,0)),0)</f>
        <v>51.93</v>
      </c>
      <c r="N2660" s="41" t="n">
        <f aca="false">L2660+M2660</f>
        <v>531.93</v>
      </c>
      <c r="O2660" s="41" t="n">
        <f aca="false">K2660-N2660</f>
        <v>457.32</v>
      </c>
      <c r="P2660" s="43" t="n">
        <f aca="false">IF(K2660=0,0,O2660/K2660)</f>
        <v>0.462289613343442</v>
      </c>
    </row>
    <row r="2661" customFormat="false" ht="15" hidden="false" customHeight="false" outlineLevel="0" collapsed="false">
      <c r="A2661" s="39" t="s">
        <v>2783</v>
      </c>
      <c r="B2661" s="40" t="n">
        <v>45994</v>
      </c>
      <c r="C2661" s="39" t="s">
        <v>128</v>
      </c>
      <c r="D2661" s="39" t="n">
        <v>2</v>
      </c>
      <c r="E2661" s="41" t="n">
        <v>37.51</v>
      </c>
      <c r="F2661" s="39" t="s">
        <v>118</v>
      </c>
      <c r="G2661" s="39" t="str">
        <f aca="false">VLOOKUP(C2661,Products!$A$5:$D$24,2,FALSE())</f>
        <v>Ergonomic Footrest</v>
      </c>
      <c r="H2661" s="39" t="str">
        <f aca="false">VLOOKUP(C2661,Products!$A$5:$D$24,3,FALSE())</f>
        <v>Furniture</v>
      </c>
      <c r="I2661" s="41" t="n">
        <f aca="false">VLOOKUP(C2661,Products!$A$5:$D$24,4,FALSE())</f>
        <v>15</v>
      </c>
      <c r="J2661" s="42" t="n">
        <f aca="false">DATE(YEAR(B2661),MONTH(B2661),1)</f>
        <v>45992</v>
      </c>
      <c r="K2661" s="41" t="n">
        <f aca="false">D2661*E2661</f>
        <v>75.02</v>
      </c>
      <c r="L2661" s="41" t="n">
        <f aca="false">D2661*I2661</f>
        <v>30</v>
      </c>
      <c r="M2661" s="41" t="n">
        <f aca="false">IFERROR(INDEX(Raw_Expenses!$C$5:$C$2979,MATCH(A2661,Raw_Expenses!$A$5:$A$2979,0)),0)</f>
        <v>3.73</v>
      </c>
      <c r="N2661" s="41" t="n">
        <f aca="false">L2661+M2661</f>
        <v>33.73</v>
      </c>
      <c r="O2661" s="41" t="n">
        <f aca="false">K2661-N2661</f>
        <v>41.29</v>
      </c>
      <c r="P2661" s="43" t="n">
        <f aca="false">IF(K2661=0,0,O2661/K2661)</f>
        <v>0.550386563583045</v>
      </c>
    </row>
    <row r="2662" customFormat="false" ht="15" hidden="false" customHeight="false" outlineLevel="0" collapsed="false">
      <c r="A2662" s="39" t="s">
        <v>2784</v>
      </c>
      <c r="B2662" s="40" t="n">
        <v>45994</v>
      </c>
      <c r="C2662" s="39" t="s">
        <v>130</v>
      </c>
      <c r="D2662" s="39" t="n">
        <v>1</v>
      </c>
      <c r="E2662" s="41" t="n">
        <v>8.34</v>
      </c>
      <c r="F2662" s="39" t="s">
        <v>105</v>
      </c>
      <c r="G2662" s="39" t="str">
        <f aca="false">VLOOKUP(C2662,Products!$A$5:$D$24,2,FALSE())</f>
        <v>Notebook Set</v>
      </c>
      <c r="H2662" s="39" t="str">
        <f aca="false">VLOOKUP(C2662,Products!$A$5:$D$24,3,FALSE())</f>
        <v>Stationery</v>
      </c>
      <c r="I2662" s="41" t="n">
        <f aca="false">VLOOKUP(C2662,Products!$A$5:$D$24,4,FALSE())</f>
        <v>3</v>
      </c>
      <c r="J2662" s="42" t="n">
        <f aca="false">DATE(YEAR(B2662),MONTH(B2662),1)</f>
        <v>45992</v>
      </c>
      <c r="K2662" s="41" t="n">
        <f aca="false">D2662*E2662</f>
        <v>8.34</v>
      </c>
      <c r="L2662" s="41" t="n">
        <f aca="false">D2662*I2662</f>
        <v>3</v>
      </c>
      <c r="M2662" s="41" t="n">
        <f aca="false">IFERROR(INDEX(Raw_Expenses!$C$5:$C$2979,MATCH(A2662,Raw_Expenses!$A$5:$A$2979,0)),0)</f>
        <v>0.34</v>
      </c>
      <c r="N2662" s="41" t="n">
        <f aca="false">L2662+M2662</f>
        <v>3.34</v>
      </c>
      <c r="O2662" s="41" t="n">
        <f aca="false">K2662-N2662</f>
        <v>5</v>
      </c>
      <c r="P2662" s="43" t="n">
        <f aca="false">IF(K2662=0,0,O2662/K2662)</f>
        <v>0.599520383693046</v>
      </c>
    </row>
    <row r="2663" customFormat="false" ht="15" hidden="false" customHeight="false" outlineLevel="0" collapsed="false">
      <c r="A2663" s="39" t="s">
        <v>2785</v>
      </c>
      <c r="B2663" s="40" t="n">
        <v>45995</v>
      </c>
      <c r="C2663" s="39" t="s">
        <v>153</v>
      </c>
      <c r="D2663" s="39" t="n">
        <v>6</v>
      </c>
      <c r="E2663" s="41" t="n">
        <v>174.94</v>
      </c>
      <c r="F2663" s="39" t="s">
        <v>108</v>
      </c>
      <c r="G2663" s="39" t="str">
        <f aca="false">VLOOKUP(C2663,Products!$A$5:$D$24,2,FALSE())</f>
        <v>24-inch Monitor</v>
      </c>
      <c r="H2663" s="39" t="str">
        <f aca="false">VLOOKUP(C2663,Products!$A$5:$D$24,3,FALSE())</f>
        <v>Electronics</v>
      </c>
      <c r="I2663" s="41" t="n">
        <f aca="false">VLOOKUP(C2663,Products!$A$5:$D$24,4,FALSE())</f>
        <v>90</v>
      </c>
      <c r="J2663" s="42" t="n">
        <f aca="false">DATE(YEAR(B2663),MONTH(B2663),1)</f>
        <v>45992</v>
      </c>
      <c r="K2663" s="41" t="n">
        <f aca="false">D2663*E2663</f>
        <v>1049.64</v>
      </c>
      <c r="L2663" s="41" t="n">
        <f aca="false">D2663*I2663</f>
        <v>540</v>
      </c>
      <c r="M2663" s="41" t="n">
        <f aca="false">IFERROR(INDEX(Raw_Expenses!$C$5:$C$2979,MATCH(A2663,Raw_Expenses!$A$5:$A$2979,0)),0)</f>
        <v>42.96</v>
      </c>
      <c r="N2663" s="41" t="n">
        <f aca="false">L2663+M2663</f>
        <v>582.96</v>
      </c>
      <c r="O2663" s="41" t="n">
        <f aca="false">K2663-N2663</f>
        <v>466.68</v>
      </c>
      <c r="P2663" s="43" t="n">
        <f aca="false">IF(K2663=0,0,O2663/K2663)</f>
        <v>0.444609580427575</v>
      </c>
    </row>
    <row r="2664" customFormat="false" ht="15" hidden="false" customHeight="false" outlineLevel="0" collapsed="false">
      <c r="A2664" s="39" t="s">
        <v>2786</v>
      </c>
      <c r="B2664" s="40" t="n">
        <v>45995</v>
      </c>
      <c r="C2664" s="39" t="s">
        <v>136</v>
      </c>
      <c r="D2664" s="39" t="n">
        <v>2</v>
      </c>
      <c r="E2664" s="41" t="n">
        <v>77.31</v>
      </c>
      <c r="F2664" s="39" t="s">
        <v>108</v>
      </c>
      <c r="G2664" s="39" t="str">
        <f aca="false">VLOOKUP(C2664,Products!$A$5:$D$24,2,FALSE())</f>
        <v>Mechanical Keyboard</v>
      </c>
      <c r="H2664" s="39" t="str">
        <f aca="false">VLOOKUP(C2664,Products!$A$5:$D$24,3,FALSE())</f>
        <v>Electronics</v>
      </c>
      <c r="I2664" s="41" t="n">
        <f aca="false">VLOOKUP(C2664,Products!$A$5:$D$24,4,FALSE())</f>
        <v>38</v>
      </c>
      <c r="J2664" s="42" t="n">
        <f aca="false">DATE(YEAR(B2664),MONTH(B2664),1)</f>
        <v>45992</v>
      </c>
      <c r="K2664" s="41" t="n">
        <f aca="false">D2664*E2664</f>
        <v>154.62</v>
      </c>
      <c r="L2664" s="41" t="n">
        <f aca="false">D2664*I2664</f>
        <v>76</v>
      </c>
      <c r="M2664" s="41" t="n">
        <f aca="false">IFERROR(INDEX(Raw_Expenses!$C$5:$C$2979,MATCH(A2664,Raw_Expenses!$A$5:$A$2979,0)),0)</f>
        <v>9.69</v>
      </c>
      <c r="N2664" s="41" t="n">
        <f aca="false">L2664+M2664</f>
        <v>85.69</v>
      </c>
      <c r="O2664" s="41" t="n">
        <f aca="false">K2664-N2664</f>
        <v>68.93</v>
      </c>
      <c r="P2664" s="43" t="n">
        <f aca="false">IF(K2664=0,0,O2664/K2664)</f>
        <v>0.445802612857328</v>
      </c>
    </row>
    <row r="2665" customFormat="false" ht="15" hidden="false" customHeight="false" outlineLevel="0" collapsed="false">
      <c r="A2665" s="39" t="s">
        <v>2787</v>
      </c>
      <c r="B2665" s="40" t="n">
        <v>45995</v>
      </c>
      <c r="C2665" s="39" t="s">
        <v>130</v>
      </c>
      <c r="D2665" s="39" t="n">
        <v>5</v>
      </c>
      <c r="E2665" s="41" t="n">
        <v>8.81</v>
      </c>
      <c r="F2665" s="39" t="s">
        <v>108</v>
      </c>
      <c r="G2665" s="39" t="str">
        <f aca="false">VLOOKUP(C2665,Products!$A$5:$D$24,2,FALSE())</f>
        <v>Notebook Set</v>
      </c>
      <c r="H2665" s="39" t="str">
        <f aca="false">VLOOKUP(C2665,Products!$A$5:$D$24,3,FALSE())</f>
        <v>Stationery</v>
      </c>
      <c r="I2665" s="41" t="n">
        <f aca="false">VLOOKUP(C2665,Products!$A$5:$D$24,4,FALSE())</f>
        <v>3</v>
      </c>
      <c r="J2665" s="42" t="n">
        <f aca="false">DATE(YEAR(B2665),MONTH(B2665),1)</f>
        <v>45992</v>
      </c>
      <c r="K2665" s="41" t="n">
        <f aca="false">D2665*E2665</f>
        <v>44.05</v>
      </c>
      <c r="L2665" s="41" t="n">
        <f aca="false">D2665*I2665</f>
        <v>15</v>
      </c>
      <c r="M2665" s="41" t="n">
        <f aca="false">IFERROR(INDEX(Raw_Expenses!$C$5:$C$2979,MATCH(A2665,Raw_Expenses!$A$5:$A$2979,0)),0)</f>
        <v>2.79</v>
      </c>
      <c r="N2665" s="41" t="n">
        <f aca="false">L2665+M2665</f>
        <v>17.79</v>
      </c>
      <c r="O2665" s="41" t="n">
        <f aca="false">K2665-N2665</f>
        <v>26.26</v>
      </c>
      <c r="P2665" s="43" t="n">
        <f aca="false">IF(K2665=0,0,O2665/K2665)</f>
        <v>0.596140749148695</v>
      </c>
    </row>
    <row r="2666" customFormat="false" ht="15" hidden="false" customHeight="false" outlineLevel="0" collapsed="false">
      <c r="A2666" s="39" t="s">
        <v>2788</v>
      </c>
      <c r="B2666" s="40" t="n">
        <v>45995</v>
      </c>
      <c r="C2666" s="39" t="s">
        <v>144</v>
      </c>
      <c r="D2666" s="39" t="n">
        <v>6</v>
      </c>
      <c r="E2666" s="41" t="n">
        <v>57.56</v>
      </c>
      <c r="F2666" s="39" t="s">
        <v>115</v>
      </c>
      <c r="G2666" s="39" t="str">
        <f aca="false">VLOOKUP(C2666,Products!$A$5:$D$24,2,FALSE())</f>
        <v>Whiteboard</v>
      </c>
      <c r="H2666" s="39" t="str">
        <f aca="false">VLOOKUP(C2666,Products!$A$5:$D$24,3,FALSE())</f>
        <v>Furniture</v>
      </c>
      <c r="I2666" s="41" t="n">
        <f aca="false">VLOOKUP(C2666,Products!$A$5:$D$24,4,FALSE())</f>
        <v>28</v>
      </c>
      <c r="J2666" s="42" t="n">
        <f aca="false">DATE(YEAR(B2666),MONTH(B2666),1)</f>
        <v>45992</v>
      </c>
      <c r="K2666" s="41" t="n">
        <f aca="false">D2666*E2666</f>
        <v>345.36</v>
      </c>
      <c r="L2666" s="41" t="n">
        <f aca="false">D2666*I2666</f>
        <v>168</v>
      </c>
      <c r="M2666" s="41" t="n">
        <f aca="false">IFERROR(INDEX(Raw_Expenses!$C$5:$C$2979,MATCH(A2666,Raw_Expenses!$A$5:$A$2979,0)),0)</f>
        <v>14.66</v>
      </c>
      <c r="N2666" s="41" t="n">
        <f aca="false">L2666+M2666</f>
        <v>182.66</v>
      </c>
      <c r="O2666" s="41" t="n">
        <f aca="false">K2666-N2666</f>
        <v>162.7</v>
      </c>
      <c r="P2666" s="43" t="n">
        <f aca="false">IF(K2666=0,0,O2666/K2666)</f>
        <v>0.47110261755849</v>
      </c>
    </row>
    <row r="2667" customFormat="false" ht="15" hidden="false" customHeight="false" outlineLevel="0" collapsed="false">
      <c r="A2667" s="39" t="s">
        <v>2789</v>
      </c>
      <c r="B2667" s="40" t="n">
        <v>45995</v>
      </c>
      <c r="C2667" s="39" t="s">
        <v>107</v>
      </c>
      <c r="D2667" s="39" t="n">
        <v>2</v>
      </c>
      <c r="E2667" s="41" t="n">
        <v>32.23</v>
      </c>
      <c r="F2667" s="39" t="s">
        <v>108</v>
      </c>
      <c r="G2667" s="39" t="str">
        <f aca="false">VLOOKUP(C2667,Products!$A$5:$D$24,2,FALSE())</f>
        <v>USB-C Hub</v>
      </c>
      <c r="H2667" s="39" t="str">
        <f aca="false">VLOOKUP(C2667,Products!$A$5:$D$24,3,FALSE())</f>
        <v>Electronics</v>
      </c>
      <c r="I2667" s="41" t="n">
        <f aca="false">VLOOKUP(C2667,Products!$A$5:$D$24,4,FALSE())</f>
        <v>14</v>
      </c>
      <c r="J2667" s="42" t="n">
        <f aca="false">DATE(YEAR(B2667),MONTH(B2667),1)</f>
        <v>45992</v>
      </c>
      <c r="K2667" s="41" t="n">
        <f aca="false">D2667*E2667</f>
        <v>64.46</v>
      </c>
      <c r="L2667" s="41" t="n">
        <f aca="false">D2667*I2667</f>
        <v>28</v>
      </c>
      <c r="M2667" s="41" t="n">
        <f aca="false">IFERROR(INDEX(Raw_Expenses!$C$5:$C$2979,MATCH(A2667,Raw_Expenses!$A$5:$A$2979,0)),0)</f>
        <v>4.58</v>
      </c>
      <c r="N2667" s="41" t="n">
        <f aca="false">L2667+M2667</f>
        <v>32.58</v>
      </c>
      <c r="O2667" s="41" t="n">
        <f aca="false">K2667-N2667</f>
        <v>31.88</v>
      </c>
      <c r="P2667" s="43" t="n">
        <f aca="false">IF(K2667=0,0,O2667/K2667)</f>
        <v>0.494570276140242</v>
      </c>
    </row>
    <row r="2668" customFormat="false" ht="15" hidden="false" customHeight="false" outlineLevel="0" collapsed="false">
      <c r="A2668" s="39" t="s">
        <v>2790</v>
      </c>
      <c r="B2668" s="40" t="n">
        <v>45995</v>
      </c>
      <c r="C2668" s="39" t="s">
        <v>130</v>
      </c>
      <c r="D2668" s="39" t="n">
        <v>1</v>
      </c>
      <c r="E2668" s="41" t="n">
        <v>8.33</v>
      </c>
      <c r="F2668" s="39" t="s">
        <v>115</v>
      </c>
      <c r="G2668" s="39" t="str">
        <f aca="false">VLOOKUP(C2668,Products!$A$5:$D$24,2,FALSE())</f>
        <v>Notebook Set</v>
      </c>
      <c r="H2668" s="39" t="str">
        <f aca="false">VLOOKUP(C2668,Products!$A$5:$D$24,3,FALSE())</f>
        <v>Stationery</v>
      </c>
      <c r="I2668" s="41" t="n">
        <f aca="false">VLOOKUP(C2668,Products!$A$5:$D$24,4,FALSE())</f>
        <v>3</v>
      </c>
      <c r="J2668" s="42" t="n">
        <f aca="false">DATE(YEAR(B2668),MONTH(B2668),1)</f>
        <v>45992</v>
      </c>
      <c r="K2668" s="41" t="n">
        <f aca="false">D2668*E2668</f>
        <v>8.33</v>
      </c>
      <c r="L2668" s="41" t="n">
        <f aca="false">D2668*I2668</f>
        <v>3</v>
      </c>
      <c r="M2668" s="41" t="n">
        <f aca="false">IFERROR(INDEX(Raw_Expenses!$C$5:$C$2979,MATCH(A2668,Raw_Expenses!$A$5:$A$2979,0)),0)</f>
        <v>0.43</v>
      </c>
      <c r="N2668" s="41" t="n">
        <f aca="false">L2668+M2668</f>
        <v>3.43</v>
      </c>
      <c r="O2668" s="41" t="n">
        <f aca="false">K2668-N2668</f>
        <v>4.9</v>
      </c>
      <c r="P2668" s="43" t="n">
        <f aca="false">IF(K2668=0,0,O2668/K2668)</f>
        <v>0.588235294117647</v>
      </c>
    </row>
    <row r="2669" customFormat="false" ht="15" hidden="false" customHeight="false" outlineLevel="0" collapsed="false">
      <c r="A2669" s="39" t="s">
        <v>2791</v>
      </c>
      <c r="B2669" s="40" t="n">
        <v>45995</v>
      </c>
      <c r="C2669" s="39" t="s">
        <v>126</v>
      </c>
      <c r="D2669" s="39" t="n">
        <v>2</v>
      </c>
      <c r="E2669" s="41" t="n">
        <v>24.58</v>
      </c>
      <c r="F2669" s="39" t="s">
        <v>115</v>
      </c>
      <c r="G2669" s="39" t="str">
        <f aca="false">VLOOKUP(C2669,Products!$A$5:$D$24,2,FALSE())</f>
        <v>Wireless Mouse</v>
      </c>
      <c r="H2669" s="39" t="str">
        <f aca="false">VLOOKUP(C2669,Products!$A$5:$D$24,3,FALSE())</f>
        <v>Electronics</v>
      </c>
      <c r="I2669" s="41" t="n">
        <f aca="false">VLOOKUP(C2669,Products!$A$5:$D$24,4,FALSE())</f>
        <v>12</v>
      </c>
      <c r="J2669" s="42" t="n">
        <f aca="false">DATE(YEAR(B2669),MONTH(B2669),1)</f>
        <v>45992</v>
      </c>
      <c r="K2669" s="41" t="n">
        <f aca="false">D2669*E2669</f>
        <v>49.16</v>
      </c>
      <c r="L2669" s="41" t="n">
        <f aca="false">D2669*I2669</f>
        <v>24</v>
      </c>
      <c r="M2669" s="41" t="n">
        <f aca="false">IFERROR(INDEX(Raw_Expenses!$C$5:$C$2979,MATCH(A2669,Raw_Expenses!$A$5:$A$2979,0)),0)</f>
        <v>3.42</v>
      </c>
      <c r="N2669" s="41" t="n">
        <f aca="false">L2669+M2669</f>
        <v>27.42</v>
      </c>
      <c r="O2669" s="41" t="n">
        <f aca="false">K2669-N2669</f>
        <v>21.74</v>
      </c>
      <c r="P2669" s="43" t="n">
        <f aca="false">IF(K2669=0,0,O2669/K2669)</f>
        <v>0.442229454841334</v>
      </c>
    </row>
    <row r="2670" customFormat="false" ht="15" hidden="false" customHeight="false" outlineLevel="0" collapsed="false">
      <c r="A2670" s="39" t="s">
        <v>2792</v>
      </c>
      <c r="B2670" s="40" t="n">
        <v>45995</v>
      </c>
      <c r="C2670" s="39" t="s">
        <v>110</v>
      </c>
      <c r="D2670" s="39" t="n">
        <v>2</v>
      </c>
      <c r="E2670" s="41" t="n">
        <v>13.82</v>
      </c>
      <c r="F2670" s="39" t="s">
        <v>105</v>
      </c>
      <c r="G2670" s="39" t="str">
        <f aca="false">VLOOKUP(C2670,Products!$A$5:$D$24,2,FALSE())</f>
        <v>Phone Stand</v>
      </c>
      <c r="H2670" s="39" t="str">
        <f aca="false">VLOOKUP(C2670,Products!$A$5:$D$24,3,FALSE())</f>
        <v>Accessories</v>
      </c>
      <c r="I2670" s="41" t="n">
        <f aca="false">VLOOKUP(C2670,Products!$A$5:$D$24,4,FALSE())</f>
        <v>4</v>
      </c>
      <c r="J2670" s="42" t="n">
        <f aca="false">DATE(YEAR(B2670),MONTH(B2670),1)</f>
        <v>45992</v>
      </c>
      <c r="K2670" s="41" t="n">
        <f aca="false">D2670*E2670</f>
        <v>27.64</v>
      </c>
      <c r="L2670" s="41" t="n">
        <f aca="false">D2670*I2670</f>
        <v>8</v>
      </c>
      <c r="M2670" s="41" t="n">
        <f aca="false">IFERROR(INDEX(Raw_Expenses!$C$5:$C$2979,MATCH(A2670,Raw_Expenses!$A$5:$A$2979,0)),0)</f>
        <v>1.38</v>
      </c>
      <c r="N2670" s="41" t="n">
        <f aca="false">L2670+M2670</f>
        <v>9.38</v>
      </c>
      <c r="O2670" s="41" t="n">
        <f aca="false">K2670-N2670</f>
        <v>18.26</v>
      </c>
      <c r="P2670" s="43" t="n">
        <f aca="false">IF(K2670=0,0,O2670/K2670)</f>
        <v>0.660636758321274</v>
      </c>
    </row>
    <row r="2671" customFormat="false" ht="15" hidden="false" customHeight="false" outlineLevel="0" collapsed="false">
      <c r="A2671" s="39" t="s">
        <v>2793</v>
      </c>
      <c r="B2671" s="40" t="n">
        <v>45995</v>
      </c>
      <c r="C2671" s="39" t="s">
        <v>117</v>
      </c>
      <c r="D2671" s="39" t="n">
        <v>1</v>
      </c>
      <c r="E2671" s="41" t="n">
        <v>31.44</v>
      </c>
      <c r="F2671" s="39" t="s">
        <v>108</v>
      </c>
      <c r="G2671" s="39" t="str">
        <f aca="false">VLOOKUP(C2671,Products!$A$5:$D$24,2,FALSE())</f>
        <v>Desk Lamp</v>
      </c>
      <c r="H2671" s="39" t="str">
        <f aca="false">VLOOKUP(C2671,Products!$A$5:$D$24,3,FALSE())</f>
        <v>Furniture</v>
      </c>
      <c r="I2671" s="41" t="n">
        <f aca="false">VLOOKUP(C2671,Products!$A$5:$D$24,4,FALSE())</f>
        <v>13</v>
      </c>
      <c r="J2671" s="42" t="n">
        <f aca="false">DATE(YEAR(B2671),MONTH(B2671),1)</f>
        <v>45992</v>
      </c>
      <c r="K2671" s="41" t="n">
        <f aca="false">D2671*E2671</f>
        <v>31.44</v>
      </c>
      <c r="L2671" s="41" t="n">
        <f aca="false">D2671*I2671</f>
        <v>13</v>
      </c>
      <c r="M2671" s="41" t="n">
        <f aca="false">IFERROR(INDEX(Raw_Expenses!$C$5:$C$2979,MATCH(A2671,Raw_Expenses!$A$5:$A$2979,0)),0)</f>
        <v>2.45</v>
      </c>
      <c r="N2671" s="41" t="n">
        <f aca="false">L2671+M2671</f>
        <v>15.45</v>
      </c>
      <c r="O2671" s="41" t="n">
        <f aca="false">K2671-N2671</f>
        <v>15.99</v>
      </c>
      <c r="P2671" s="43" t="n">
        <f aca="false">IF(K2671=0,0,O2671/K2671)</f>
        <v>0.508587786259542</v>
      </c>
    </row>
    <row r="2672" customFormat="false" ht="15" hidden="false" customHeight="false" outlineLevel="0" collapsed="false">
      <c r="A2672" s="39" t="s">
        <v>2794</v>
      </c>
      <c r="B2672" s="40" t="n">
        <v>45995</v>
      </c>
      <c r="C2672" s="39" t="s">
        <v>139</v>
      </c>
      <c r="D2672" s="39" t="n">
        <v>6</v>
      </c>
      <c r="E2672" s="41" t="n">
        <v>122.37</v>
      </c>
      <c r="F2672" s="39" t="s">
        <v>105</v>
      </c>
      <c r="G2672" s="39" t="str">
        <f aca="false">VLOOKUP(C2672,Products!$A$5:$D$24,2,FALSE())</f>
        <v>Noise-Cancelling Headphones</v>
      </c>
      <c r="H2672" s="39" t="str">
        <f aca="false">VLOOKUP(C2672,Products!$A$5:$D$24,3,FALSE())</f>
        <v>Electronics</v>
      </c>
      <c r="I2672" s="41" t="n">
        <f aca="false">VLOOKUP(C2672,Products!$A$5:$D$24,4,FALSE())</f>
        <v>55</v>
      </c>
      <c r="J2672" s="42" t="n">
        <f aca="false">DATE(YEAR(B2672),MONTH(B2672),1)</f>
        <v>45992</v>
      </c>
      <c r="K2672" s="41" t="n">
        <f aca="false">D2672*E2672</f>
        <v>734.22</v>
      </c>
      <c r="L2672" s="41" t="n">
        <f aca="false">D2672*I2672</f>
        <v>330</v>
      </c>
      <c r="M2672" s="41" t="n">
        <f aca="false">IFERROR(INDEX(Raw_Expenses!$C$5:$C$2979,MATCH(A2672,Raw_Expenses!$A$5:$A$2979,0)),0)</f>
        <v>60.13</v>
      </c>
      <c r="N2672" s="41" t="n">
        <f aca="false">L2672+M2672</f>
        <v>390.13</v>
      </c>
      <c r="O2672" s="41" t="n">
        <f aca="false">K2672-N2672</f>
        <v>344.09</v>
      </c>
      <c r="P2672" s="43" t="n">
        <f aca="false">IF(K2672=0,0,O2672/K2672)</f>
        <v>0.468646999536924</v>
      </c>
    </row>
    <row r="2673" customFormat="false" ht="15" hidden="false" customHeight="false" outlineLevel="0" collapsed="false">
      <c r="A2673" s="39" t="s">
        <v>2795</v>
      </c>
      <c r="B2673" s="40" t="n">
        <v>45995</v>
      </c>
      <c r="C2673" s="39" t="s">
        <v>117</v>
      </c>
      <c r="D2673" s="39" t="n">
        <v>8</v>
      </c>
      <c r="E2673" s="41" t="n">
        <v>30.62</v>
      </c>
      <c r="F2673" s="39" t="s">
        <v>115</v>
      </c>
      <c r="G2673" s="39" t="str">
        <f aca="false">VLOOKUP(C2673,Products!$A$5:$D$24,2,FALSE())</f>
        <v>Desk Lamp</v>
      </c>
      <c r="H2673" s="39" t="str">
        <f aca="false">VLOOKUP(C2673,Products!$A$5:$D$24,3,FALSE())</f>
        <v>Furniture</v>
      </c>
      <c r="I2673" s="41" t="n">
        <f aca="false">VLOOKUP(C2673,Products!$A$5:$D$24,4,FALSE())</f>
        <v>13</v>
      </c>
      <c r="J2673" s="42" t="n">
        <f aca="false">DATE(YEAR(B2673),MONTH(B2673),1)</f>
        <v>45992</v>
      </c>
      <c r="K2673" s="41" t="n">
        <f aca="false">D2673*E2673</f>
        <v>244.96</v>
      </c>
      <c r="L2673" s="41" t="n">
        <f aca="false">D2673*I2673</f>
        <v>104</v>
      </c>
      <c r="M2673" s="41" t="n">
        <f aca="false">IFERROR(INDEX(Raw_Expenses!$C$5:$C$2979,MATCH(A2673,Raw_Expenses!$A$5:$A$2979,0)),0)</f>
        <v>19.32</v>
      </c>
      <c r="N2673" s="41" t="n">
        <f aca="false">L2673+M2673</f>
        <v>123.32</v>
      </c>
      <c r="O2673" s="41" t="n">
        <f aca="false">K2673-N2673</f>
        <v>121.64</v>
      </c>
      <c r="P2673" s="43" t="n">
        <f aca="false">IF(K2673=0,0,O2673/K2673)</f>
        <v>0.496570868713259</v>
      </c>
    </row>
    <row r="2674" customFormat="false" ht="15" hidden="false" customHeight="false" outlineLevel="0" collapsed="false">
      <c r="A2674" s="39" t="s">
        <v>2796</v>
      </c>
      <c r="B2674" s="40" t="n">
        <v>45995</v>
      </c>
      <c r="C2674" s="39" t="s">
        <v>107</v>
      </c>
      <c r="D2674" s="39" t="n">
        <v>4</v>
      </c>
      <c r="E2674" s="41" t="n">
        <v>32.74</v>
      </c>
      <c r="F2674" s="39" t="s">
        <v>115</v>
      </c>
      <c r="G2674" s="39" t="str">
        <f aca="false">VLOOKUP(C2674,Products!$A$5:$D$24,2,FALSE())</f>
        <v>USB-C Hub</v>
      </c>
      <c r="H2674" s="39" t="str">
        <f aca="false">VLOOKUP(C2674,Products!$A$5:$D$24,3,FALSE())</f>
        <v>Electronics</v>
      </c>
      <c r="I2674" s="41" t="n">
        <f aca="false">VLOOKUP(C2674,Products!$A$5:$D$24,4,FALSE())</f>
        <v>14</v>
      </c>
      <c r="J2674" s="42" t="n">
        <f aca="false">DATE(YEAR(B2674),MONTH(B2674),1)</f>
        <v>45992</v>
      </c>
      <c r="K2674" s="41" t="n">
        <f aca="false">D2674*E2674</f>
        <v>130.96</v>
      </c>
      <c r="L2674" s="41" t="n">
        <f aca="false">D2674*I2674</f>
        <v>56</v>
      </c>
      <c r="M2674" s="41" t="n">
        <f aca="false">IFERROR(INDEX(Raw_Expenses!$C$5:$C$2979,MATCH(A2674,Raw_Expenses!$A$5:$A$2979,0)),0)</f>
        <v>5.28</v>
      </c>
      <c r="N2674" s="41" t="n">
        <f aca="false">L2674+M2674</f>
        <v>61.28</v>
      </c>
      <c r="O2674" s="41" t="n">
        <f aca="false">K2674-N2674</f>
        <v>69.68</v>
      </c>
      <c r="P2674" s="43" t="n">
        <f aca="false">IF(K2674=0,0,O2674/K2674)</f>
        <v>0.532070861331704</v>
      </c>
    </row>
    <row r="2675" customFormat="false" ht="15" hidden="false" customHeight="false" outlineLevel="0" collapsed="false">
      <c r="A2675" s="39" t="s">
        <v>2797</v>
      </c>
      <c r="B2675" s="40" t="n">
        <v>45995</v>
      </c>
      <c r="C2675" s="39" t="s">
        <v>136</v>
      </c>
      <c r="D2675" s="39" t="n">
        <v>6</v>
      </c>
      <c r="E2675" s="41" t="n">
        <v>78.85</v>
      </c>
      <c r="F2675" s="39" t="s">
        <v>115</v>
      </c>
      <c r="G2675" s="39" t="str">
        <f aca="false">VLOOKUP(C2675,Products!$A$5:$D$24,2,FALSE())</f>
        <v>Mechanical Keyboard</v>
      </c>
      <c r="H2675" s="39" t="str">
        <f aca="false">VLOOKUP(C2675,Products!$A$5:$D$24,3,FALSE())</f>
        <v>Electronics</v>
      </c>
      <c r="I2675" s="41" t="n">
        <f aca="false">VLOOKUP(C2675,Products!$A$5:$D$24,4,FALSE())</f>
        <v>38</v>
      </c>
      <c r="J2675" s="42" t="n">
        <f aca="false">DATE(YEAR(B2675),MONTH(B2675),1)</f>
        <v>45992</v>
      </c>
      <c r="K2675" s="41" t="n">
        <f aca="false">D2675*E2675</f>
        <v>473.1</v>
      </c>
      <c r="L2675" s="41" t="n">
        <f aca="false">D2675*I2675</f>
        <v>228</v>
      </c>
      <c r="M2675" s="41" t="n">
        <f aca="false">IFERROR(INDEX(Raw_Expenses!$C$5:$C$2979,MATCH(A2675,Raw_Expenses!$A$5:$A$2979,0)),0)</f>
        <v>38.64</v>
      </c>
      <c r="N2675" s="41" t="n">
        <f aca="false">L2675+M2675</f>
        <v>266.64</v>
      </c>
      <c r="O2675" s="41" t="n">
        <f aca="false">K2675-N2675</f>
        <v>206.46</v>
      </c>
      <c r="P2675" s="43" t="n">
        <f aca="false">IF(K2675=0,0,O2675/K2675)</f>
        <v>0.436398224476855</v>
      </c>
    </row>
    <row r="2676" customFormat="false" ht="15" hidden="false" customHeight="false" outlineLevel="0" collapsed="false">
      <c r="A2676" s="39" t="s">
        <v>2798</v>
      </c>
      <c r="B2676" s="40" t="n">
        <v>45995</v>
      </c>
      <c r="C2676" s="39" t="s">
        <v>104</v>
      </c>
      <c r="D2676" s="39" t="n">
        <v>1</v>
      </c>
      <c r="E2676" s="41" t="n">
        <v>15.74</v>
      </c>
      <c r="F2676" s="39" t="s">
        <v>105</v>
      </c>
      <c r="G2676" s="39" t="str">
        <f aca="false">VLOOKUP(C2676,Products!$A$5:$D$24,2,FALSE())</f>
        <v>Water Bottle</v>
      </c>
      <c r="H2676" s="39" t="str">
        <f aca="false">VLOOKUP(C2676,Products!$A$5:$D$24,3,FALSE())</f>
        <v>Accessories</v>
      </c>
      <c r="I2676" s="41" t="n">
        <f aca="false">VLOOKUP(C2676,Products!$A$5:$D$24,4,FALSE())</f>
        <v>5</v>
      </c>
      <c r="J2676" s="42" t="n">
        <f aca="false">DATE(YEAR(B2676),MONTH(B2676),1)</f>
        <v>45992</v>
      </c>
      <c r="K2676" s="41" t="n">
        <f aca="false">D2676*E2676</f>
        <v>15.74</v>
      </c>
      <c r="L2676" s="41" t="n">
        <f aca="false">D2676*I2676</f>
        <v>5</v>
      </c>
      <c r="M2676" s="41" t="n">
        <f aca="false">IFERROR(INDEX(Raw_Expenses!$C$5:$C$2979,MATCH(A2676,Raw_Expenses!$A$5:$A$2979,0)),0)</f>
        <v>1.02</v>
      </c>
      <c r="N2676" s="41" t="n">
        <f aca="false">L2676+M2676</f>
        <v>6.02</v>
      </c>
      <c r="O2676" s="41" t="n">
        <f aca="false">K2676-N2676</f>
        <v>9.72</v>
      </c>
      <c r="P2676" s="43" t="n">
        <f aca="false">IF(K2676=0,0,O2676/K2676)</f>
        <v>0.617534942820839</v>
      </c>
    </row>
    <row r="2677" customFormat="false" ht="15" hidden="false" customHeight="false" outlineLevel="0" collapsed="false">
      <c r="A2677" s="39" t="s">
        <v>2799</v>
      </c>
      <c r="B2677" s="40" t="n">
        <v>45995</v>
      </c>
      <c r="C2677" s="39" t="s">
        <v>104</v>
      </c>
      <c r="D2677" s="39" t="n">
        <v>5</v>
      </c>
      <c r="E2677" s="41" t="n">
        <v>14.95</v>
      </c>
      <c r="F2677" s="39" t="s">
        <v>108</v>
      </c>
      <c r="G2677" s="39" t="str">
        <f aca="false">VLOOKUP(C2677,Products!$A$5:$D$24,2,FALSE())</f>
        <v>Water Bottle</v>
      </c>
      <c r="H2677" s="39" t="str">
        <f aca="false">VLOOKUP(C2677,Products!$A$5:$D$24,3,FALSE())</f>
        <v>Accessories</v>
      </c>
      <c r="I2677" s="41" t="n">
        <f aca="false">VLOOKUP(C2677,Products!$A$5:$D$24,4,FALSE())</f>
        <v>5</v>
      </c>
      <c r="J2677" s="42" t="n">
        <f aca="false">DATE(YEAR(B2677),MONTH(B2677),1)</f>
        <v>45992</v>
      </c>
      <c r="K2677" s="41" t="n">
        <f aca="false">D2677*E2677</f>
        <v>74.75</v>
      </c>
      <c r="L2677" s="41" t="n">
        <f aca="false">D2677*I2677</f>
        <v>25</v>
      </c>
      <c r="M2677" s="41" t="n">
        <f aca="false">IFERROR(INDEX(Raw_Expenses!$C$5:$C$2979,MATCH(A2677,Raw_Expenses!$A$5:$A$2979,0)),0)</f>
        <v>4.09</v>
      </c>
      <c r="N2677" s="41" t="n">
        <f aca="false">L2677+M2677</f>
        <v>29.09</v>
      </c>
      <c r="O2677" s="41" t="n">
        <f aca="false">K2677-N2677</f>
        <v>45.66</v>
      </c>
      <c r="P2677" s="43" t="n">
        <f aca="false">IF(K2677=0,0,O2677/K2677)</f>
        <v>0.610836120401338</v>
      </c>
    </row>
    <row r="2678" customFormat="false" ht="15" hidden="false" customHeight="false" outlineLevel="0" collapsed="false">
      <c r="A2678" s="39" t="s">
        <v>2800</v>
      </c>
      <c r="B2678" s="40" t="n">
        <v>45995</v>
      </c>
      <c r="C2678" s="39" t="s">
        <v>162</v>
      </c>
      <c r="D2678" s="39" t="n">
        <v>1</v>
      </c>
      <c r="E2678" s="41" t="n">
        <v>63.54</v>
      </c>
      <c r="F2678" s="39" t="s">
        <v>108</v>
      </c>
      <c r="G2678" s="39" t="str">
        <f aca="false">VLOOKUP(C2678,Products!$A$5:$D$24,2,FALSE())</f>
        <v>Bluetooth Speaker</v>
      </c>
      <c r="H2678" s="39" t="str">
        <f aca="false">VLOOKUP(C2678,Products!$A$5:$D$24,3,FALSE())</f>
        <v>Electronics</v>
      </c>
      <c r="I2678" s="41" t="n">
        <f aca="false">VLOOKUP(C2678,Products!$A$5:$D$24,4,FALSE())</f>
        <v>28</v>
      </c>
      <c r="J2678" s="42" t="n">
        <f aca="false">DATE(YEAR(B2678),MONTH(B2678),1)</f>
        <v>45992</v>
      </c>
      <c r="K2678" s="41" t="n">
        <f aca="false">D2678*E2678</f>
        <v>63.54</v>
      </c>
      <c r="L2678" s="41" t="n">
        <f aca="false">D2678*I2678</f>
        <v>28</v>
      </c>
      <c r="M2678" s="41" t="n">
        <f aca="false">IFERROR(INDEX(Raw_Expenses!$C$5:$C$2979,MATCH(A2678,Raw_Expenses!$A$5:$A$2979,0)),0)</f>
        <v>2.78</v>
      </c>
      <c r="N2678" s="41" t="n">
        <f aca="false">L2678+M2678</f>
        <v>30.78</v>
      </c>
      <c r="O2678" s="41" t="n">
        <f aca="false">K2678-N2678</f>
        <v>32.76</v>
      </c>
      <c r="P2678" s="43" t="n">
        <f aca="false">IF(K2678=0,0,O2678/K2678)</f>
        <v>0.515580736543909</v>
      </c>
    </row>
    <row r="2679" customFormat="false" ht="15" hidden="false" customHeight="false" outlineLevel="0" collapsed="false">
      <c r="A2679" s="39" t="s">
        <v>2801</v>
      </c>
      <c r="B2679" s="40" t="n">
        <v>45996</v>
      </c>
      <c r="C2679" s="39" t="s">
        <v>177</v>
      </c>
      <c r="D2679" s="39" t="n">
        <v>2</v>
      </c>
      <c r="E2679" s="41" t="n">
        <v>42.56</v>
      </c>
      <c r="F2679" s="39" t="s">
        <v>105</v>
      </c>
      <c r="G2679" s="39" t="str">
        <f aca="false">VLOOKUP(C2679,Products!$A$5:$D$24,2,FALSE())</f>
        <v>Backpack</v>
      </c>
      <c r="H2679" s="39" t="str">
        <f aca="false">VLOOKUP(C2679,Products!$A$5:$D$24,3,FALSE())</f>
        <v>Accessories</v>
      </c>
      <c r="I2679" s="41" t="n">
        <f aca="false">VLOOKUP(C2679,Products!$A$5:$D$24,4,FALSE())</f>
        <v>17</v>
      </c>
      <c r="J2679" s="42" t="n">
        <f aca="false">DATE(YEAR(B2679),MONTH(B2679),1)</f>
        <v>45992</v>
      </c>
      <c r="K2679" s="41" t="n">
        <f aca="false">D2679*E2679</f>
        <v>85.12</v>
      </c>
      <c r="L2679" s="41" t="n">
        <f aca="false">D2679*I2679</f>
        <v>34</v>
      </c>
      <c r="M2679" s="41" t="n">
        <f aca="false">IFERROR(INDEX(Raw_Expenses!$C$5:$C$2979,MATCH(A2679,Raw_Expenses!$A$5:$A$2979,0)),0)</f>
        <v>4.56</v>
      </c>
      <c r="N2679" s="41" t="n">
        <f aca="false">L2679+M2679</f>
        <v>38.56</v>
      </c>
      <c r="O2679" s="41" t="n">
        <f aca="false">K2679-N2679</f>
        <v>46.56</v>
      </c>
      <c r="P2679" s="43" t="n">
        <f aca="false">IF(K2679=0,0,O2679/K2679)</f>
        <v>0.546992481203008</v>
      </c>
    </row>
    <row r="2680" customFormat="false" ht="15" hidden="false" customHeight="false" outlineLevel="0" collapsed="false">
      <c r="A2680" s="39" t="s">
        <v>2802</v>
      </c>
      <c r="B2680" s="40" t="n">
        <v>45996</v>
      </c>
      <c r="C2680" s="39" t="s">
        <v>107</v>
      </c>
      <c r="D2680" s="39" t="n">
        <v>3</v>
      </c>
      <c r="E2680" s="41" t="n">
        <v>34.84</v>
      </c>
      <c r="F2680" s="39" t="s">
        <v>115</v>
      </c>
      <c r="G2680" s="39" t="str">
        <f aca="false">VLOOKUP(C2680,Products!$A$5:$D$24,2,FALSE())</f>
        <v>USB-C Hub</v>
      </c>
      <c r="H2680" s="39" t="str">
        <f aca="false">VLOOKUP(C2680,Products!$A$5:$D$24,3,FALSE())</f>
        <v>Electronics</v>
      </c>
      <c r="I2680" s="41" t="n">
        <f aca="false">VLOOKUP(C2680,Products!$A$5:$D$24,4,FALSE())</f>
        <v>14</v>
      </c>
      <c r="J2680" s="42" t="n">
        <f aca="false">DATE(YEAR(B2680),MONTH(B2680),1)</f>
        <v>45992</v>
      </c>
      <c r="K2680" s="41" t="n">
        <f aca="false">D2680*E2680</f>
        <v>104.52</v>
      </c>
      <c r="L2680" s="41" t="n">
        <f aca="false">D2680*I2680</f>
        <v>42</v>
      </c>
      <c r="M2680" s="41" t="n">
        <f aca="false">IFERROR(INDEX(Raw_Expenses!$C$5:$C$2979,MATCH(A2680,Raw_Expenses!$A$5:$A$2979,0)),0)</f>
        <v>7.91</v>
      </c>
      <c r="N2680" s="41" t="n">
        <f aca="false">L2680+M2680</f>
        <v>49.91</v>
      </c>
      <c r="O2680" s="41" t="n">
        <f aca="false">K2680-N2680</f>
        <v>54.61</v>
      </c>
      <c r="P2680" s="43" t="n">
        <f aca="false">IF(K2680=0,0,O2680/K2680)</f>
        <v>0.522483735170302</v>
      </c>
    </row>
    <row r="2681" customFormat="false" ht="15" hidden="false" customHeight="false" outlineLevel="0" collapsed="false">
      <c r="A2681" s="39" t="s">
        <v>2803</v>
      </c>
      <c r="B2681" s="40" t="n">
        <v>45996</v>
      </c>
      <c r="C2681" s="39" t="s">
        <v>162</v>
      </c>
      <c r="D2681" s="39" t="n">
        <v>5</v>
      </c>
      <c r="E2681" s="41" t="n">
        <v>63.81</v>
      </c>
      <c r="F2681" s="39" t="s">
        <v>115</v>
      </c>
      <c r="G2681" s="39" t="str">
        <f aca="false">VLOOKUP(C2681,Products!$A$5:$D$24,2,FALSE())</f>
        <v>Bluetooth Speaker</v>
      </c>
      <c r="H2681" s="39" t="str">
        <f aca="false">VLOOKUP(C2681,Products!$A$5:$D$24,3,FALSE())</f>
        <v>Electronics</v>
      </c>
      <c r="I2681" s="41" t="n">
        <f aca="false">VLOOKUP(C2681,Products!$A$5:$D$24,4,FALSE())</f>
        <v>28</v>
      </c>
      <c r="J2681" s="42" t="n">
        <f aca="false">DATE(YEAR(B2681),MONTH(B2681),1)</f>
        <v>45992</v>
      </c>
      <c r="K2681" s="41" t="n">
        <f aca="false">D2681*E2681</f>
        <v>319.05</v>
      </c>
      <c r="L2681" s="41" t="n">
        <f aca="false">D2681*I2681</f>
        <v>140</v>
      </c>
      <c r="M2681" s="41" t="n">
        <f aca="false">IFERROR(INDEX(Raw_Expenses!$C$5:$C$2979,MATCH(A2681,Raw_Expenses!$A$5:$A$2979,0)),0)</f>
        <v>25.33</v>
      </c>
      <c r="N2681" s="41" t="n">
        <f aca="false">L2681+M2681</f>
        <v>165.33</v>
      </c>
      <c r="O2681" s="41" t="n">
        <f aca="false">K2681-N2681</f>
        <v>153.72</v>
      </c>
      <c r="P2681" s="43" t="n">
        <f aca="false">IF(K2681=0,0,O2681/K2681)</f>
        <v>0.481805359661495</v>
      </c>
    </row>
    <row r="2682" customFormat="false" ht="15" hidden="false" customHeight="false" outlineLevel="0" collapsed="false">
      <c r="A2682" s="39" t="s">
        <v>2804</v>
      </c>
      <c r="B2682" s="40" t="n">
        <v>45996</v>
      </c>
      <c r="C2682" s="39" t="s">
        <v>114</v>
      </c>
      <c r="D2682" s="39" t="n">
        <v>1</v>
      </c>
      <c r="E2682" s="41" t="n">
        <v>5.63</v>
      </c>
      <c r="F2682" s="39" t="s">
        <v>105</v>
      </c>
      <c r="G2682" s="39" t="str">
        <f aca="false">VLOOKUP(C2682,Products!$A$5:$D$24,2,FALSE())</f>
        <v>Gel Pen Pack</v>
      </c>
      <c r="H2682" s="39" t="str">
        <f aca="false">VLOOKUP(C2682,Products!$A$5:$D$24,3,FALSE())</f>
        <v>Stationery</v>
      </c>
      <c r="I2682" s="41" t="n">
        <f aca="false">VLOOKUP(C2682,Products!$A$5:$D$24,4,FALSE())</f>
        <v>2</v>
      </c>
      <c r="J2682" s="42" t="n">
        <f aca="false">DATE(YEAR(B2682),MONTH(B2682),1)</f>
        <v>45992</v>
      </c>
      <c r="K2682" s="41" t="n">
        <f aca="false">D2682*E2682</f>
        <v>5.63</v>
      </c>
      <c r="L2682" s="41" t="n">
        <f aca="false">D2682*I2682</f>
        <v>2</v>
      </c>
      <c r="M2682" s="41" t="n">
        <f aca="false">IFERROR(INDEX(Raw_Expenses!$C$5:$C$2979,MATCH(A2682,Raw_Expenses!$A$5:$A$2979,0)),0)</f>
        <v>0.31</v>
      </c>
      <c r="N2682" s="41" t="n">
        <f aca="false">L2682+M2682</f>
        <v>2.31</v>
      </c>
      <c r="O2682" s="41" t="n">
        <f aca="false">K2682-N2682</f>
        <v>3.32</v>
      </c>
      <c r="P2682" s="43" t="n">
        <f aca="false">IF(K2682=0,0,O2682/K2682)</f>
        <v>0.589698046181172</v>
      </c>
    </row>
    <row r="2683" customFormat="false" ht="15" hidden="false" customHeight="false" outlineLevel="0" collapsed="false">
      <c r="A2683" s="39" t="s">
        <v>2805</v>
      </c>
      <c r="B2683" s="40" t="n">
        <v>45996</v>
      </c>
      <c r="C2683" s="39" t="s">
        <v>177</v>
      </c>
      <c r="D2683" s="39" t="n">
        <v>2</v>
      </c>
      <c r="E2683" s="41" t="n">
        <v>43.57</v>
      </c>
      <c r="F2683" s="39" t="s">
        <v>105</v>
      </c>
      <c r="G2683" s="39" t="str">
        <f aca="false">VLOOKUP(C2683,Products!$A$5:$D$24,2,FALSE())</f>
        <v>Backpack</v>
      </c>
      <c r="H2683" s="39" t="str">
        <f aca="false">VLOOKUP(C2683,Products!$A$5:$D$24,3,FALSE())</f>
        <v>Accessories</v>
      </c>
      <c r="I2683" s="41" t="n">
        <f aca="false">VLOOKUP(C2683,Products!$A$5:$D$24,4,FALSE())</f>
        <v>17</v>
      </c>
      <c r="J2683" s="42" t="n">
        <f aca="false">DATE(YEAR(B2683),MONTH(B2683),1)</f>
        <v>45992</v>
      </c>
      <c r="K2683" s="41" t="n">
        <f aca="false">D2683*E2683</f>
        <v>87.14</v>
      </c>
      <c r="L2683" s="41" t="n">
        <f aca="false">D2683*I2683</f>
        <v>34</v>
      </c>
      <c r="M2683" s="41" t="n">
        <f aca="false">IFERROR(INDEX(Raw_Expenses!$C$5:$C$2979,MATCH(A2683,Raw_Expenses!$A$5:$A$2979,0)),0)</f>
        <v>5.55</v>
      </c>
      <c r="N2683" s="41" t="n">
        <f aca="false">L2683+M2683</f>
        <v>39.55</v>
      </c>
      <c r="O2683" s="41" t="n">
        <f aca="false">K2683-N2683</f>
        <v>47.59</v>
      </c>
      <c r="P2683" s="43" t="n">
        <f aca="false">IF(K2683=0,0,O2683/K2683)</f>
        <v>0.546132660087216</v>
      </c>
    </row>
    <row r="2684" customFormat="false" ht="15" hidden="false" customHeight="false" outlineLevel="0" collapsed="false">
      <c r="A2684" s="39" t="s">
        <v>2806</v>
      </c>
      <c r="B2684" s="40" t="n">
        <v>45996</v>
      </c>
      <c r="C2684" s="39" t="s">
        <v>136</v>
      </c>
      <c r="D2684" s="39" t="n">
        <v>2</v>
      </c>
      <c r="E2684" s="41" t="n">
        <v>75.36</v>
      </c>
      <c r="F2684" s="39" t="s">
        <v>118</v>
      </c>
      <c r="G2684" s="39" t="str">
        <f aca="false">VLOOKUP(C2684,Products!$A$5:$D$24,2,FALSE())</f>
        <v>Mechanical Keyboard</v>
      </c>
      <c r="H2684" s="39" t="str">
        <f aca="false">VLOOKUP(C2684,Products!$A$5:$D$24,3,FALSE())</f>
        <v>Electronics</v>
      </c>
      <c r="I2684" s="41" t="n">
        <f aca="false">VLOOKUP(C2684,Products!$A$5:$D$24,4,FALSE())</f>
        <v>38</v>
      </c>
      <c r="J2684" s="42" t="n">
        <f aca="false">DATE(YEAR(B2684),MONTH(B2684),1)</f>
        <v>45992</v>
      </c>
      <c r="K2684" s="41" t="n">
        <f aca="false">D2684*E2684</f>
        <v>150.72</v>
      </c>
      <c r="L2684" s="41" t="n">
        <f aca="false">D2684*I2684</f>
        <v>76</v>
      </c>
      <c r="M2684" s="41" t="n">
        <f aca="false">IFERROR(INDEX(Raw_Expenses!$C$5:$C$2979,MATCH(A2684,Raw_Expenses!$A$5:$A$2979,0)),0)</f>
        <v>10.41</v>
      </c>
      <c r="N2684" s="41" t="n">
        <f aca="false">L2684+M2684</f>
        <v>86.41</v>
      </c>
      <c r="O2684" s="41" t="n">
        <f aca="false">K2684-N2684</f>
        <v>64.31</v>
      </c>
      <c r="P2684" s="43" t="n">
        <f aca="false">IF(K2684=0,0,O2684/K2684)</f>
        <v>0.426685244161359</v>
      </c>
    </row>
    <row r="2685" customFormat="false" ht="15" hidden="false" customHeight="false" outlineLevel="0" collapsed="false">
      <c r="A2685" s="39" t="s">
        <v>2807</v>
      </c>
      <c r="B2685" s="40" t="n">
        <v>45996</v>
      </c>
      <c r="C2685" s="39" t="s">
        <v>114</v>
      </c>
      <c r="D2685" s="39" t="n">
        <v>2</v>
      </c>
      <c r="E2685" s="41" t="n">
        <v>5.87</v>
      </c>
      <c r="F2685" s="39" t="s">
        <v>105</v>
      </c>
      <c r="G2685" s="39" t="str">
        <f aca="false">VLOOKUP(C2685,Products!$A$5:$D$24,2,FALSE())</f>
        <v>Gel Pen Pack</v>
      </c>
      <c r="H2685" s="39" t="str">
        <f aca="false">VLOOKUP(C2685,Products!$A$5:$D$24,3,FALSE())</f>
        <v>Stationery</v>
      </c>
      <c r="I2685" s="41" t="n">
        <f aca="false">VLOOKUP(C2685,Products!$A$5:$D$24,4,FALSE())</f>
        <v>2</v>
      </c>
      <c r="J2685" s="42" t="n">
        <f aca="false">DATE(YEAR(B2685),MONTH(B2685),1)</f>
        <v>45992</v>
      </c>
      <c r="K2685" s="41" t="n">
        <f aca="false">D2685*E2685</f>
        <v>11.74</v>
      </c>
      <c r="L2685" s="41" t="n">
        <f aca="false">D2685*I2685</f>
        <v>4</v>
      </c>
      <c r="M2685" s="41" t="n">
        <f aca="false">IFERROR(INDEX(Raw_Expenses!$C$5:$C$2979,MATCH(A2685,Raw_Expenses!$A$5:$A$2979,0)),0)</f>
        <v>0.76</v>
      </c>
      <c r="N2685" s="41" t="n">
        <f aca="false">L2685+M2685</f>
        <v>4.76</v>
      </c>
      <c r="O2685" s="41" t="n">
        <f aca="false">K2685-N2685</f>
        <v>6.98</v>
      </c>
      <c r="P2685" s="43" t="n">
        <f aca="false">IF(K2685=0,0,O2685/K2685)</f>
        <v>0.594548551959114</v>
      </c>
    </row>
    <row r="2686" customFormat="false" ht="15" hidden="false" customHeight="false" outlineLevel="0" collapsed="false">
      <c r="A2686" s="39" t="s">
        <v>2808</v>
      </c>
      <c r="B2686" s="40" t="n">
        <v>45997</v>
      </c>
      <c r="C2686" s="39" t="s">
        <v>169</v>
      </c>
      <c r="D2686" s="39" t="n">
        <v>4</v>
      </c>
      <c r="E2686" s="41" t="n">
        <v>28.72</v>
      </c>
      <c r="F2686" s="39" t="s">
        <v>115</v>
      </c>
      <c r="G2686" s="39" t="str">
        <f aca="false">VLOOKUP(C2686,Products!$A$5:$D$24,2,FALSE())</f>
        <v>Laptop Stand</v>
      </c>
      <c r="H2686" s="39" t="str">
        <f aca="false">VLOOKUP(C2686,Products!$A$5:$D$24,3,FALSE())</f>
        <v>Accessories</v>
      </c>
      <c r="I2686" s="41" t="n">
        <f aca="false">VLOOKUP(C2686,Products!$A$5:$D$24,4,FALSE())</f>
        <v>11</v>
      </c>
      <c r="J2686" s="42" t="n">
        <f aca="false">DATE(YEAR(B2686),MONTH(B2686),1)</f>
        <v>45992</v>
      </c>
      <c r="K2686" s="41" t="n">
        <f aca="false">D2686*E2686</f>
        <v>114.88</v>
      </c>
      <c r="L2686" s="41" t="n">
        <f aca="false">D2686*I2686</f>
        <v>44</v>
      </c>
      <c r="M2686" s="41" t="n">
        <f aca="false">IFERROR(INDEX(Raw_Expenses!$C$5:$C$2979,MATCH(A2686,Raw_Expenses!$A$5:$A$2979,0)),0)</f>
        <v>9.18</v>
      </c>
      <c r="N2686" s="41" t="n">
        <f aca="false">L2686+M2686</f>
        <v>53.18</v>
      </c>
      <c r="O2686" s="41" t="n">
        <f aca="false">K2686-N2686</f>
        <v>61.7</v>
      </c>
      <c r="P2686" s="43" t="n">
        <f aca="false">IF(K2686=0,0,O2686/K2686)</f>
        <v>0.53708217270195</v>
      </c>
    </row>
    <row r="2687" customFormat="false" ht="15" hidden="false" customHeight="false" outlineLevel="0" collapsed="false">
      <c r="A2687" s="39" t="s">
        <v>2809</v>
      </c>
      <c r="B2687" s="40" t="n">
        <v>45997</v>
      </c>
      <c r="C2687" s="39" t="s">
        <v>107</v>
      </c>
      <c r="D2687" s="39" t="n">
        <v>4</v>
      </c>
      <c r="E2687" s="41" t="n">
        <v>33.26</v>
      </c>
      <c r="F2687" s="39" t="s">
        <v>105</v>
      </c>
      <c r="G2687" s="39" t="str">
        <f aca="false">VLOOKUP(C2687,Products!$A$5:$D$24,2,FALSE())</f>
        <v>USB-C Hub</v>
      </c>
      <c r="H2687" s="39" t="str">
        <f aca="false">VLOOKUP(C2687,Products!$A$5:$D$24,3,FALSE())</f>
        <v>Electronics</v>
      </c>
      <c r="I2687" s="41" t="n">
        <f aca="false">VLOOKUP(C2687,Products!$A$5:$D$24,4,FALSE())</f>
        <v>14</v>
      </c>
      <c r="J2687" s="42" t="n">
        <f aca="false">DATE(YEAR(B2687),MONTH(B2687),1)</f>
        <v>45992</v>
      </c>
      <c r="K2687" s="41" t="n">
        <f aca="false">D2687*E2687</f>
        <v>133.04</v>
      </c>
      <c r="L2687" s="41" t="n">
        <f aca="false">D2687*I2687</f>
        <v>56</v>
      </c>
      <c r="M2687" s="41" t="n">
        <f aca="false">IFERROR(INDEX(Raw_Expenses!$C$5:$C$2979,MATCH(A2687,Raw_Expenses!$A$5:$A$2979,0)),0)</f>
        <v>10.57</v>
      </c>
      <c r="N2687" s="41" t="n">
        <f aca="false">L2687+M2687</f>
        <v>66.57</v>
      </c>
      <c r="O2687" s="41" t="n">
        <f aca="false">K2687-N2687</f>
        <v>66.47</v>
      </c>
      <c r="P2687" s="43" t="n">
        <f aca="false">IF(K2687=0,0,O2687/K2687)</f>
        <v>0.499624173180998</v>
      </c>
    </row>
    <row r="2688" customFormat="false" ht="15" hidden="false" customHeight="false" outlineLevel="0" collapsed="false">
      <c r="A2688" s="39" t="s">
        <v>2810</v>
      </c>
      <c r="B2688" s="40" t="n">
        <v>45997</v>
      </c>
      <c r="C2688" s="39" t="s">
        <v>136</v>
      </c>
      <c r="D2688" s="39" t="n">
        <v>3</v>
      </c>
      <c r="E2688" s="41" t="n">
        <v>78.28</v>
      </c>
      <c r="F2688" s="39" t="s">
        <v>105</v>
      </c>
      <c r="G2688" s="39" t="str">
        <f aca="false">VLOOKUP(C2688,Products!$A$5:$D$24,2,FALSE())</f>
        <v>Mechanical Keyboard</v>
      </c>
      <c r="H2688" s="39" t="str">
        <f aca="false">VLOOKUP(C2688,Products!$A$5:$D$24,3,FALSE())</f>
        <v>Electronics</v>
      </c>
      <c r="I2688" s="41" t="n">
        <f aca="false">VLOOKUP(C2688,Products!$A$5:$D$24,4,FALSE())</f>
        <v>38</v>
      </c>
      <c r="J2688" s="42" t="n">
        <f aca="false">DATE(YEAR(B2688),MONTH(B2688),1)</f>
        <v>45992</v>
      </c>
      <c r="K2688" s="41" t="n">
        <f aca="false">D2688*E2688</f>
        <v>234.84</v>
      </c>
      <c r="L2688" s="41" t="n">
        <f aca="false">D2688*I2688</f>
        <v>114</v>
      </c>
      <c r="M2688" s="41" t="n">
        <f aca="false">IFERROR(INDEX(Raw_Expenses!$C$5:$C$2979,MATCH(A2688,Raw_Expenses!$A$5:$A$2979,0)),0)</f>
        <v>9.56</v>
      </c>
      <c r="N2688" s="41" t="n">
        <f aca="false">L2688+M2688</f>
        <v>123.56</v>
      </c>
      <c r="O2688" s="41" t="n">
        <f aca="false">K2688-N2688</f>
        <v>111.28</v>
      </c>
      <c r="P2688" s="43" t="n">
        <f aca="false">IF(K2688=0,0,O2688/K2688)</f>
        <v>0.473854539260773</v>
      </c>
    </row>
    <row r="2689" customFormat="false" ht="15" hidden="false" customHeight="false" outlineLevel="0" collapsed="false">
      <c r="A2689" s="39" t="s">
        <v>2811</v>
      </c>
      <c r="B2689" s="40" t="n">
        <v>45997</v>
      </c>
      <c r="C2689" s="39" t="s">
        <v>130</v>
      </c>
      <c r="D2689" s="39" t="n">
        <v>4</v>
      </c>
      <c r="E2689" s="41" t="n">
        <v>8.9</v>
      </c>
      <c r="F2689" s="39" t="s">
        <v>108</v>
      </c>
      <c r="G2689" s="39" t="str">
        <f aca="false">VLOOKUP(C2689,Products!$A$5:$D$24,2,FALSE())</f>
        <v>Notebook Set</v>
      </c>
      <c r="H2689" s="39" t="str">
        <f aca="false">VLOOKUP(C2689,Products!$A$5:$D$24,3,FALSE())</f>
        <v>Stationery</v>
      </c>
      <c r="I2689" s="41" t="n">
        <f aca="false">VLOOKUP(C2689,Products!$A$5:$D$24,4,FALSE())</f>
        <v>3</v>
      </c>
      <c r="J2689" s="42" t="n">
        <f aca="false">DATE(YEAR(B2689),MONTH(B2689),1)</f>
        <v>45992</v>
      </c>
      <c r="K2689" s="41" t="n">
        <f aca="false">D2689*E2689</f>
        <v>35.6</v>
      </c>
      <c r="L2689" s="41" t="n">
        <f aca="false">D2689*I2689</f>
        <v>12</v>
      </c>
      <c r="M2689" s="41" t="n">
        <f aca="false">IFERROR(INDEX(Raw_Expenses!$C$5:$C$2979,MATCH(A2689,Raw_Expenses!$A$5:$A$2979,0)),0)</f>
        <v>1.79</v>
      </c>
      <c r="N2689" s="41" t="n">
        <f aca="false">L2689+M2689</f>
        <v>13.79</v>
      </c>
      <c r="O2689" s="41" t="n">
        <f aca="false">K2689-N2689</f>
        <v>21.81</v>
      </c>
      <c r="P2689" s="43" t="n">
        <f aca="false">IF(K2689=0,0,O2689/K2689)</f>
        <v>0.612640449438202</v>
      </c>
    </row>
    <row r="2690" customFormat="false" ht="15" hidden="false" customHeight="false" outlineLevel="0" collapsed="false">
      <c r="A2690" s="39" t="s">
        <v>2812</v>
      </c>
      <c r="B2690" s="40" t="n">
        <v>45997</v>
      </c>
      <c r="C2690" s="39" t="s">
        <v>162</v>
      </c>
      <c r="D2690" s="39" t="n">
        <v>2</v>
      </c>
      <c r="E2690" s="41" t="n">
        <v>63.85</v>
      </c>
      <c r="F2690" s="39" t="s">
        <v>108</v>
      </c>
      <c r="G2690" s="39" t="str">
        <f aca="false">VLOOKUP(C2690,Products!$A$5:$D$24,2,FALSE())</f>
        <v>Bluetooth Speaker</v>
      </c>
      <c r="H2690" s="39" t="str">
        <f aca="false">VLOOKUP(C2690,Products!$A$5:$D$24,3,FALSE())</f>
        <v>Electronics</v>
      </c>
      <c r="I2690" s="41" t="n">
        <f aca="false">VLOOKUP(C2690,Products!$A$5:$D$24,4,FALSE())</f>
        <v>28</v>
      </c>
      <c r="J2690" s="42" t="n">
        <f aca="false">DATE(YEAR(B2690),MONTH(B2690),1)</f>
        <v>45992</v>
      </c>
      <c r="K2690" s="41" t="n">
        <f aca="false">D2690*E2690</f>
        <v>127.7</v>
      </c>
      <c r="L2690" s="41" t="n">
        <f aca="false">D2690*I2690</f>
        <v>56</v>
      </c>
      <c r="M2690" s="41" t="n">
        <f aca="false">IFERROR(INDEX(Raw_Expenses!$C$5:$C$2979,MATCH(A2690,Raw_Expenses!$A$5:$A$2979,0)),0)</f>
        <v>10.32</v>
      </c>
      <c r="N2690" s="41" t="n">
        <f aca="false">L2690+M2690</f>
        <v>66.32</v>
      </c>
      <c r="O2690" s="41" t="n">
        <f aca="false">K2690-N2690</f>
        <v>61.38</v>
      </c>
      <c r="P2690" s="43" t="n">
        <f aca="false">IF(K2690=0,0,O2690/K2690)</f>
        <v>0.480657791699295</v>
      </c>
    </row>
    <row r="2691" customFormat="false" ht="15" hidden="false" customHeight="false" outlineLevel="0" collapsed="false">
      <c r="A2691" s="39" t="s">
        <v>2813</v>
      </c>
      <c r="B2691" s="40" t="n">
        <v>45997</v>
      </c>
      <c r="C2691" s="39" t="s">
        <v>126</v>
      </c>
      <c r="D2691" s="39" t="n">
        <v>1</v>
      </c>
      <c r="E2691" s="41" t="n">
        <v>23.96</v>
      </c>
      <c r="F2691" s="39" t="s">
        <v>108</v>
      </c>
      <c r="G2691" s="39" t="str">
        <f aca="false">VLOOKUP(C2691,Products!$A$5:$D$24,2,FALSE())</f>
        <v>Wireless Mouse</v>
      </c>
      <c r="H2691" s="39" t="str">
        <f aca="false">VLOOKUP(C2691,Products!$A$5:$D$24,3,FALSE())</f>
        <v>Electronics</v>
      </c>
      <c r="I2691" s="41" t="n">
        <f aca="false">VLOOKUP(C2691,Products!$A$5:$D$24,4,FALSE())</f>
        <v>12</v>
      </c>
      <c r="J2691" s="42" t="n">
        <f aca="false">DATE(YEAR(B2691),MONTH(B2691),1)</f>
        <v>45992</v>
      </c>
      <c r="K2691" s="41" t="n">
        <f aca="false">D2691*E2691</f>
        <v>23.96</v>
      </c>
      <c r="L2691" s="41" t="n">
        <f aca="false">D2691*I2691</f>
        <v>12</v>
      </c>
      <c r="M2691" s="41" t="n">
        <f aca="false">IFERROR(INDEX(Raw_Expenses!$C$5:$C$2979,MATCH(A2691,Raw_Expenses!$A$5:$A$2979,0)),0)</f>
        <v>1.5</v>
      </c>
      <c r="N2691" s="41" t="n">
        <f aca="false">L2691+M2691</f>
        <v>13.5</v>
      </c>
      <c r="O2691" s="41" t="n">
        <f aca="false">K2691-N2691</f>
        <v>10.46</v>
      </c>
      <c r="P2691" s="43" t="n">
        <f aca="false">IF(K2691=0,0,O2691/K2691)</f>
        <v>0.436560934891486</v>
      </c>
    </row>
    <row r="2692" customFormat="false" ht="15" hidden="false" customHeight="false" outlineLevel="0" collapsed="false">
      <c r="A2692" s="39" t="s">
        <v>2814</v>
      </c>
      <c r="B2692" s="40" t="n">
        <v>45997</v>
      </c>
      <c r="C2692" s="39" t="s">
        <v>183</v>
      </c>
      <c r="D2692" s="39" t="n">
        <v>1</v>
      </c>
      <c r="E2692" s="41" t="n">
        <v>184.48</v>
      </c>
      <c r="F2692" s="39" t="s">
        <v>115</v>
      </c>
      <c r="G2692" s="39" t="str">
        <f aca="false">VLOOKUP(C2692,Products!$A$5:$D$24,2,FALSE())</f>
        <v>Office Chair</v>
      </c>
      <c r="H2692" s="39" t="str">
        <f aca="false">VLOOKUP(C2692,Products!$A$5:$D$24,3,FALSE())</f>
        <v>Furniture</v>
      </c>
      <c r="I2692" s="41" t="n">
        <f aca="false">VLOOKUP(C2692,Products!$A$5:$D$24,4,FALSE())</f>
        <v>85</v>
      </c>
      <c r="J2692" s="42" t="n">
        <f aca="false">DATE(YEAR(B2692),MONTH(B2692),1)</f>
        <v>45992</v>
      </c>
      <c r="K2692" s="41" t="n">
        <f aca="false">D2692*E2692</f>
        <v>184.48</v>
      </c>
      <c r="L2692" s="41" t="n">
        <f aca="false">D2692*I2692</f>
        <v>85</v>
      </c>
      <c r="M2692" s="41" t="n">
        <f aca="false">IFERROR(INDEX(Raw_Expenses!$C$5:$C$2979,MATCH(A2692,Raw_Expenses!$A$5:$A$2979,0)),0)</f>
        <v>14.28</v>
      </c>
      <c r="N2692" s="41" t="n">
        <f aca="false">L2692+M2692</f>
        <v>99.28</v>
      </c>
      <c r="O2692" s="41" t="n">
        <f aca="false">K2692-N2692</f>
        <v>85.2</v>
      </c>
      <c r="P2692" s="43" t="n">
        <f aca="false">IF(K2692=0,0,O2692/K2692)</f>
        <v>0.461838681699913</v>
      </c>
    </row>
    <row r="2693" customFormat="false" ht="15" hidden="false" customHeight="false" outlineLevel="0" collapsed="false">
      <c r="A2693" s="39" t="s">
        <v>2815</v>
      </c>
      <c r="B2693" s="40" t="n">
        <v>45997</v>
      </c>
      <c r="C2693" s="39" t="s">
        <v>126</v>
      </c>
      <c r="D2693" s="39" t="n">
        <v>4</v>
      </c>
      <c r="E2693" s="41" t="n">
        <v>23.29</v>
      </c>
      <c r="F2693" s="39" t="s">
        <v>105</v>
      </c>
      <c r="G2693" s="39" t="str">
        <f aca="false">VLOOKUP(C2693,Products!$A$5:$D$24,2,FALSE())</f>
        <v>Wireless Mouse</v>
      </c>
      <c r="H2693" s="39" t="str">
        <f aca="false">VLOOKUP(C2693,Products!$A$5:$D$24,3,FALSE())</f>
        <v>Electronics</v>
      </c>
      <c r="I2693" s="41" t="n">
        <f aca="false">VLOOKUP(C2693,Products!$A$5:$D$24,4,FALSE())</f>
        <v>12</v>
      </c>
      <c r="J2693" s="42" t="n">
        <f aca="false">DATE(YEAR(B2693),MONTH(B2693),1)</f>
        <v>45992</v>
      </c>
      <c r="K2693" s="41" t="n">
        <f aca="false">D2693*E2693</f>
        <v>93.16</v>
      </c>
      <c r="L2693" s="41" t="n">
        <f aca="false">D2693*I2693</f>
        <v>48</v>
      </c>
      <c r="M2693" s="41" t="n">
        <f aca="false">IFERROR(INDEX(Raw_Expenses!$C$5:$C$2979,MATCH(A2693,Raw_Expenses!$A$5:$A$2979,0)),0)</f>
        <v>4.16</v>
      </c>
      <c r="N2693" s="41" t="n">
        <f aca="false">L2693+M2693</f>
        <v>52.16</v>
      </c>
      <c r="O2693" s="41" t="n">
        <f aca="false">K2693-N2693</f>
        <v>41</v>
      </c>
      <c r="P2693" s="43" t="n">
        <f aca="false">IF(K2693=0,0,O2693/K2693)</f>
        <v>0.440103048518678</v>
      </c>
    </row>
    <row r="2694" customFormat="false" ht="15" hidden="false" customHeight="false" outlineLevel="0" collapsed="false">
      <c r="A2694" s="39" t="s">
        <v>2816</v>
      </c>
      <c r="B2694" s="40" t="n">
        <v>45997</v>
      </c>
      <c r="C2694" s="39" t="s">
        <v>107</v>
      </c>
      <c r="D2694" s="39" t="n">
        <v>1</v>
      </c>
      <c r="E2694" s="41" t="n">
        <v>33.97</v>
      </c>
      <c r="F2694" s="39" t="s">
        <v>115</v>
      </c>
      <c r="G2694" s="39" t="str">
        <f aca="false">VLOOKUP(C2694,Products!$A$5:$D$24,2,FALSE())</f>
        <v>USB-C Hub</v>
      </c>
      <c r="H2694" s="39" t="str">
        <f aca="false">VLOOKUP(C2694,Products!$A$5:$D$24,3,FALSE())</f>
        <v>Electronics</v>
      </c>
      <c r="I2694" s="41" t="n">
        <f aca="false">VLOOKUP(C2694,Products!$A$5:$D$24,4,FALSE())</f>
        <v>14</v>
      </c>
      <c r="J2694" s="42" t="n">
        <f aca="false">DATE(YEAR(B2694),MONTH(B2694),1)</f>
        <v>45992</v>
      </c>
      <c r="K2694" s="41" t="n">
        <f aca="false">D2694*E2694</f>
        <v>33.97</v>
      </c>
      <c r="L2694" s="41" t="n">
        <f aca="false">D2694*I2694</f>
        <v>14</v>
      </c>
      <c r="M2694" s="41" t="n">
        <f aca="false">IFERROR(INDEX(Raw_Expenses!$C$5:$C$2979,MATCH(A2694,Raw_Expenses!$A$5:$A$2979,0)),0)</f>
        <v>2.32</v>
      </c>
      <c r="N2694" s="41" t="n">
        <f aca="false">L2694+M2694</f>
        <v>16.32</v>
      </c>
      <c r="O2694" s="41" t="n">
        <f aca="false">K2694-N2694</f>
        <v>17.65</v>
      </c>
      <c r="P2694" s="43" t="n">
        <f aca="false">IF(K2694=0,0,O2694/K2694)</f>
        <v>0.519576096555785</v>
      </c>
    </row>
    <row r="2695" customFormat="false" ht="15" hidden="false" customHeight="false" outlineLevel="0" collapsed="false">
      <c r="A2695" s="39" t="s">
        <v>2817</v>
      </c>
      <c r="B2695" s="40" t="n">
        <v>45997</v>
      </c>
      <c r="C2695" s="39" t="s">
        <v>177</v>
      </c>
      <c r="D2695" s="39" t="n">
        <v>3</v>
      </c>
      <c r="E2695" s="41" t="n">
        <v>44.99</v>
      </c>
      <c r="F2695" s="39" t="s">
        <v>105</v>
      </c>
      <c r="G2695" s="39" t="str">
        <f aca="false">VLOOKUP(C2695,Products!$A$5:$D$24,2,FALSE())</f>
        <v>Backpack</v>
      </c>
      <c r="H2695" s="39" t="str">
        <f aca="false">VLOOKUP(C2695,Products!$A$5:$D$24,3,FALSE())</f>
        <v>Accessories</v>
      </c>
      <c r="I2695" s="41" t="n">
        <f aca="false">VLOOKUP(C2695,Products!$A$5:$D$24,4,FALSE())</f>
        <v>17</v>
      </c>
      <c r="J2695" s="42" t="n">
        <f aca="false">DATE(YEAR(B2695),MONTH(B2695),1)</f>
        <v>45992</v>
      </c>
      <c r="K2695" s="41" t="n">
        <f aca="false">D2695*E2695</f>
        <v>134.97</v>
      </c>
      <c r="L2695" s="41" t="n">
        <f aca="false">D2695*I2695</f>
        <v>51</v>
      </c>
      <c r="M2695" s="41" t="n">
        <f aca="false">IFERROR(INDEX(Raw_Expenses!$C$5:$C$2979,MATCH(A2695,Raw_Expenses!$A$5:$A$2979,0)),0)</f>
        <v>7.92</v>
      </c>
      <c r="N2695" s="41" t="n">
        <f aca="false">L2695+M2695</f>
        <v>58.92</v>
      </c>
      <c r="O2695" s="41" t="n">
        <f aca="false">K2695-N2695</f>
        <v>76.05</v>
      </c>
      <c r="P2695" s="43" t="n">
        <f aca="false">IF(K2695=0,0,O2695/K2695)</f>
        <v>0.563458546343632</v>
      </c>
    </row>
    <row r="2696" customFormat="false" ht="15" hidden="false" customHeight="false" outlineLevel="0" collapsed="false">
      <c r="A2696" s="39" t="s">
        <v>2818</v>
      </c>
      <c r="B2696" s="40" t="n">
        <v>45997</v>
      </c>
      <c r="C2696" s="39" t="s">
        <v>130</v>
      </c>
      <c r="D2696" s="39" t="n">
        <v>3</v>
      </c>
      <c r="E2696" s="41" t="n">
        <v>8.39</v>
      </c>
      <c r="F2696" s="39" t="s">
        <v>118</v>
      </c>
      <c r="G2696" s="39" t="str">
        <f aca="false">VLOOKUP(C2696,Products!$A$5:$D$24,2,FALSE())</f>
        <v>Notebook Set</v>
      </c>
      <c r="H2696" s="39" t="str">
        <f aca="false">VLOOKUP(C2696,Products!$A$5:$D$24,3,FALSE())</f>
        <v>Stationery</v>
      </c>
      <c r="I2696" s="41" t="n">
        <f aca="false">VLOOKUP(C2696,Products!$A$5:$D$24,4,FALSE())</f>
        <v>3</v>
      </c>
      <c r="J2696" s="42" t="n">
        <f aca="false">DATE(YEAR(B2696),MONTH(B2696),1)</f>
        <v>45992</v>
      </c>
      <c r="K2696" s="41" t="n">
        <f aca="false">D2696*E2696</f>
        <v>25.17</v>
      </c>
      <c r="L2696" s="41" t="n">
        <f aca="false">D2696*I2696</f>
        <v>9</v>
      </c>
      <c r="M2696" s="41" t="n">
        <f aca="false">IFERROR(INDEX(Raw_Expenses!$C$5:$C$2979,MATCH(A2696,Raw_Expenses!$A$5:$A$2979,0)),0)</f>
        <v>1.59</v>
      </c>
      <c r="N2696" s="41" t="n">
        <f aca="false">L2696+M2696</f>
        <v>10.59</v>
      </c>
      <c r="O2696" s="41" t="n">
        <f aca="false">K2696-N2696</f>
        <v>14.58</v>
      </c>
      <c r="P2696" s="43" t="n">
        <f aca="false">IF(K2696=0,0,O2696/K2696)</f>
        <v>0.579261025029797</v>
      </c>
    </row>
    <row r="2697" customFormat="false" ht="15" hidden="false" customHeight="false" outlineLevel="0" collapsed="false">
      <c r="A2697" s="39" t="s">
        <v>2819</v>
      </c>
      <c r="B2697" s="40" t="n">
        <v>45998</v>
      </c>
      <c r="C2697" s="39" t="s">
        <v>117</v>
      </c>
      <c r="D2697" s="39" t="n">
        <v>3</v>
      </c>
      <c r="E2697" s="41" t="n">
        <v>31.96</v>
      </c>
      <c r="F2697" s="39" t="s">
        <v>115</v>
      </c>
      <c r="G2697" s="39" t="str">
        <f aca="false">VLOOKUP(C2697,Products!$A$5:$D$24,2,FALSE())</f>
        <v>Desk Lamp</v>
      </c>
      <c r="H2697" s="39" t="str">
        <f aca="false">VLOOKUP(C2697,Products!$A$5:$D$24,3,FALSE())</f>
        <v>Furniture</v>
      </c>
      <c r="I2697" s="41" t="n">
        <f aca="false">VLOOKUP(C2697,Products!$A$5:$D$24,4,FALSE())</f>
        <v>13</v>
      </c>
      <c r="J2697" s="42" t="n">
        <f aca="false">DATE(YEAR(B2697),MONTH(B2697),1)</f>
        <v>45992</v>
      </c>
      <c r="K2697" s="41" t="n">
        <f aca="false">D2697*E2697</f>
        <v>95.88</v>
      </c>
      <c r="L2697" s="41" t="n">
        <f aca="false">D2697*I2697</f>
        <v>39</v>
      </c>
      <c r="M2697" s="41" t="n">
        <f aca="false">IFERROR(INDEX(Raw_Expenses!$C$5:$C$2979,MATCH(A2697,Raw_Expenses!$A$5:$A$2979,0)),0)</f>
        <v>8.37</v>
      </c>
      <c r="N2697" s="41" t="n">
        <f aca="false">L2697+M2697</f>
        <v>47.37</v>
      </c>
      <c r="O2697" s="41" t="n">
        <f aca="false">K2697-N2697</f>
        <v>48.51</v>
      </c>
      <c r="P2697" s="43" t="n">
        <f aca="false">IF(K2697=0,0,O2697/K2697)</f>
        <v>0.505944931163955</v>
      </c>
    </row>
    <row r="2698" customFormat="false" ht="15" hidden="false" customHeight="false" outlineLevel="0" collapsed="false">
      <c r="A2698" s="39" t="s">
        <v>2820</v>
      </c>
      <c r="B2698" s="40" t="n">
        <v>45998</v>
      </c>
      <c r="C2698" s="39" t="s">
        <v>153</v>
      </c>
      <c r="D2698" s="39" t="n">
        <v>1</v>
      </c>
      <c r="E2698" s="41" t="n">
        <v>176.26</v>
      </c>
      <c r="F2698" s="39" t="s">
        <v>105</v>
      </c>
      <c r="G2698" s="39" t="str">
        <f aca="false">VLOOKUP(C2698,Products!$A$5:$D$24,2,FALSE())</f>
        <v>24-inch Monitor</v>
      </c>
      <c r="H2698" s="39" t="str">
        <f aca="false">VLOOKUP(C2698,Products!$A$5:$D$24,3,FALSE())</f>
        <v>Electronics</v>
      </c>
      <c r="I2698" s="41" t="n">
        <f aca="false">VLOOKUP(C2698,Products!$A$5:$D$24,4,FALSE())</f>
        <v>90</v>
      </c>
      <c r="J2698" s="42" t="n">
        <f aca="false">DATE(YEAR(B2698),MONTH(B2698),1)</f>
        <v>45992</v>
      </c>
      <c r="K2698" s="41" t="n">
        <f aca="false">D2698*E2698</f>
        <v>176.26</v>
      </c>
      <c r="L2698" s="41" t="n">
        <f aca="false">D2698*I2698</f>
        <v>90</v>
      </c>
      <c r="M2698" s="41" t="n">
        <f aca="false">IFERROR(INDEX(Raw_Expenses!$C$5:$C$2979,MATCH(A2698,Raw_Expenses!$A$5:$A$2979,0)),0)</f>
        <v>12.3</v>
      </c>
      <c r="N2698" s="41" t="n">
        <f aca="false">L2698+M2698</f>
        <v>102.3</v>
      </c>
      <c r="O2698" s="41" t="n">
        <f aca="false">K2698-N2698</f>
        <v>73.96</v>
      </c>
      <c r="P2698" s="43" t="n">
        <f aca="false">IF(K2698=0,0,O2698/K2698)</f>
        <v>0.419607398161806</v>
      </c>
    </row>
    <row r="2699" customFormat="false" ht="15" hidden="false" customHeight="false" outlineLevel="0" collapsed="false">
      <c r="A2699" s="39" t="s">
        <v>2821</v>
      </c>
      <c r="B2699" s="40" t="n">
        <v>45998</v>
      </c>
      <c r="C2699" s="39" t="s">
        <v>104</v>
      </c>
      <c r="D2699" s="39" t="n">
        <v>2</v>
      </c>
      <c r="E2699" s="41" t="n">
        <v>15.91</v>
      </c>
      <c r="F2699" s="39" t="s">
        <v>108</v>
      </c>
      <c r="G2699" s="39" t="str">
        <f aca="false">VLOOKUP(C2699,Products!$A$5:$D$24,2,FALSE())</f>
        <v>Water Bottle</v>
      </c>
      <c r="H2699" s="39" t="str">
        <f aca="false">VLOOKUP(C2699,Products!$A$5:$D$24,3,FALSE())</f>
        <v>Accessories</v>
      </c>
      <c r="I2699" s="41" t="n">
        <f aca="false">VLOOKUP(C2699,Products!$A$5:$D$24,4,FALSE())</f>
        <v>5</v>
      </c>
      <c r="J2699" s="42" t="n">
        <f aca="false">DATE(YEAR(B2699),MONTH(B2699),1)</f>
        <v>45992</v>
      </c>
      <c r="K2699" s="41" t="n">
        <f aca="false">D2699*E2699</f>
        <v>31.82</v>
      </c>
      <c r="L2699" s="41" t="n">
        <f aca="false">D2699*I2699</f>
        <v>10</v>
      </c>
      <c r="M2699" s="41" t="n">
        <f aca="false">IFERROR(INDEX(Raw_Expenses!$C$5:$C$2979,MATCH(A2699,Raw_Expenses!$A$5:$A$2979,0)),0)</f>
        <v>2.55</v>
      </c>
      <c r="N2699" s="41" t="n">
        <f aca="false">L2699+M2699</f>
        <v>12.55</v>
      </c>
      <c r="O2699" s="41" t="n">
        <f aca="false">K2699-N2699</f>
        <v>19.27</v>
      </c>
      <c r="P2699" s="43" t="n">
        <f aca="false">IF(K2699=0,0,O2699/K2699)</f>
        <v>0.605593966059082</v>
      </c>
    </row>
    <row r="2700" customFormat="false" ht="15" hidden="false" customHeight="false" outlineLevel="0" collapsed="false">
      <c r="A2700" s="39" t="s">
        <v>2822</v>
      </c>
      <c r="B2700" s="40" t="n">
        <v>45998</v>
      </c>
      <c r="C2700" s="39" t="s">
        <v>107</v>
      </c>
      <c r="D2700" s="39" t="n">
        <v>2</v>
      </c>
      <c r="E2700" s="41" t="n">
        <v>34.22</v>
      </c>
      <c r="F2700" s="39" t="s">
        <v>115</v>
      </c>
      <c r="G2700" s="39" t="str">
        <f aca="false">VLOOKUP(C2700,Products!$A$5:$D$24,2,FALSE())</f>
        <v>USB-C Hub</v>
      </c>
      <c r="H2700" s="39" t="str">
        <f aca="false">VLOOKUP(C2700,Products!$A$5:$D$24,3,FALSE())</f>
        <v>Electronics</v>
      </c>
      <c r="I2700" s="41" t="n">
        <f aca="false">VLOOKUP(C2700,Products!$A$5:$D$24,4,FALSE())</f>
        <v>14</v>
      </c>
      <c r="J2700" s="42" t="n">
        <f aca="false">DATE(YEAR(B2700),MONTH(B2700),1)</f>
        <v>45992</v>
      </c>
      <c r="K2700" s="41" t="n">
        <f aca="false">D2700*E2700</f>
        <v>68.44</v>
      </c>
      <c r="L2700" s="41" t="n">
        <f aca="false">D2700*I2700</f>
        <v>28</v>
      </c>
      <c r="M2700" s="41" t="n">
        <f aca="false">IFERROR(INDEX(Raw_Expenses!$C$5:$C$2979,MATCH(A2700,Raw_Expenses!$A$5:$A$2979,0)),0)</f>
        <v>3.43</v>
      </c>
      <c r="N2700" s="41" t="n">
        <f aca="false">L2700+M2700</f>
        <v>31.43</v>
      </c>
      <c r="O2700" s="41" t="n">
        <f aca="false">K2700-N2700</f>
        <v>37.01</v>
      </c>
      <c r="P2700" s="43" t="n">
        <f aca="false">IF(K2700=0,0,O2700/K2700)</f>
        <v>0.540765634132086</v>
      </c>
    </row>
    <row r="2701" customFormat="false" ht="15" hidden="false" customHeight="false" outlineLevel="0" collapsed="false">
      <c r="A2701" s="39" t="s">
        <v>2823</v>
      </c>
      <c r="B2701" s="40" t="n">
        <v>45998</v>
      </c>
      <c r="C2701" s="39" t="s">
        <v>110</v>
      </c>
      <c r="D2701" s="39" t="n">
        <v>4</v>
      </c>
      <c r="E2701" s="41" t="n">
        <v>13.38</v>
      </c>
      <c r="F2701" s="39" t="s">
        <v>105</v>
      </c>
      <c r="G2701" s="39" t="str">
        <f aca="false">VLOOKUP(C2701,Products!$A$5:$D$24,2,FALSE())</f>
        <v>Phone Stand</v>
      </c>
      <c r="H2701" s="39" t="str">
        <f aca="false">VLOOKUP(C2701,Products!$A$5:$D$24,3,FALSE())</f>
        <v>Accessories</v>
      </c>
      <c r="I2701" s="41" t="n">
        <f aca="false">VLOOKUP(C2701,Products!$A$5:$D$24,4,FALSE())</f>
        <v>4</v>
      </c>
      <c r="J2701" s="42" t="n">
        <f aca="false">DATE(YEAR(B2701),MONTH(B2701),1)</f>
        <v>45992</v>
      </c>
      <c r="K2701" s="41" t="n">
        <f aca="false">D2701*E2701</f>
        <v>53.52</v>
      </c>
      <c r="L2701" s="41" t="n">
        <f aca="false">D2701*I2701</f>
        <v>16</v>
      </c>
      <c r="M2701" s="41" t="n">
        <f aca="false">IFERROR(INDEX(Raw_Expenses!$C$5:$C$2979,MATCH(A2701,Raw_Expenses!$A$5:$A$2979,0)),0)</f>
        <v>3.57</v>
      </c>
      <c r="N2701" s="41" t="n">
        <f aca="false">L2701+M2701</f>
        <v>19.57</v>
      </c>
      <c r="O2701" s="41" t="n">
        <f aca="false">K2701-N2701</f>
        <v>33.95</v>
      </c>
      <c r="P2701" s="43" t="n">
        <f aca="false">IF(K2701=0,0,O2701/K2701)</f>
        <v>0.634342301943199</v>
      </c>
    </row>
    <row r="2702" customFormat="false" ht="15" hidden="false" customHeight="false" outlineLevel="0" collapsed="false">
      <c r="A2702" s="39" t="s">
        <v>2824</v>
      </c>
      <c r="B2702" s="40" t="n">
        <v>45998</v>
      </c>
      <c r="C2702" s="39" t="s">
        <v>114</v>
      </c>
      <c r="D2702" s="39" t="n">
        <v>4</v>
      </c>
      <c r="E2702" s="41" t="n">
        <v>5.75</v>
      </c>
      <c r="F2702" s="39" t="s">
        <v>108</v>
      </c>
      <c r="G2702" s="39" t="str">
        <f aca="false">VLOOKUP(C2702,Products!$A$5:$D$24,2,FALSE())</f>
        <v>Gel Pen Pack</v>
      </c>
      <c r="H2702" s="39" t="str">
        <f aca="false">VLOOKUP(C2702,Products!$A$5:$D$24,3,FALSE())</f>
        <v>Stationery</v>
      </c>
      <c r="I2702" s="41" t="n">
        <f aca="false">VLOOKUP(C2702,Products!$A$5:$D$24,4,FALSE())</f>
        <v>2</v>
      </c>
      <c r="J2702" s="42" t="n">
        <f aca="false">DATE(YEAR(B2702),MONTH(B2702),1)</f>
        <v>45992</v>
      </c>
      <c r="K2702" s="41" t="n">
        <f aca="false">D2702*E2702</f>
        <v>23</v>
      </c>
      <c r="L2702" s="41" t="n">
        <f aca="false">D2702*I2702</f>
        <v>8</v>
      </c>
      <c r="M2702" s="41" t="n">
        <f aca="false">IFERROR(INDEX(Raw_Expenses!$C$5:$C$2979,MATCH(A2702,Raw_Expenses!$A$5:$A$2979,0)),0)</f>
        <v>1.81</v>
      </c>
      <c r="N2702" s="41" t="n">
        <f aca="false">L2702+M2702</f>
        <v>9.81</v>
      </c>
      <c r="O2702" s="41" t="n">
        <f aca="false">K2702-N2702</f>
        <v>13.19</v>
      </c>
      <c r="P2702" s="43" t="n">
        <f aca="false">IF(K2702=0,0,O2702/K2702)</f>
        <v>0.573478260869565</v>
      </c>
    </row>
    <row r="2703" customFormat="false" ht="15" hidden="false" customHeight="false" outlineLevel="0" collapsed="false">
      <c r="A2703" s="39" t="s">
        <v>2825</v>
      </c>
      <c r="B2703" s="40" t="n">
        <v>45998</v>
      </c>
      <c r="C2703" s="39" t="s">
        <v>107</v>
      </c>
      <c r="D2703" s="39" t="n">
        <v>2</v>
      </c>
      <c r="E2703" s="41" t="n">
        <v>33.03</v>
      </c>
      <c r="F2703" s="39" t="s">
        <v>108</v>
      </c>
      <c r="G2703" s="39" t="str">
        <f aca="false">VLOOKUP(C2703,Products!$A$5:$D$24,2,FALSE())</f>
        <v>USB-C Hub</v>
      </c>
      <c r="H2703" s="39" t="str">
        <f aca="false">VLOOKUP(C2703,Products!$A$5:$D$24,3,FALSE())</f>
        <v>Electronics</v>
      </c>
      <c r="I2703" s="41" t="n">
        <f aca="false">VLOOKUP(C2703,Products!$A$5:$D$24,4,FALSE())</f>
        <v>14</v>
      </c>
      <c r="J2703" s="42" t="n">
        <f aca="false">DATE(YEAR(B2703),MONTH(B2703),1)</f>
        <v>45992</v>
      </c>
      <c r="K2703" s="41" t="n">
        <f aca="false">D2703*E2703</f>
        <v>66.06</v>
      </c>
      <c r="L2703" s="41" t="n">
        <f aca="false">D2703*I2703</f>
        <v>28</v>
      </c>
      <c r="M2703" s="41" t="n">
        <f aca="false">IFERROR(INDEX(Raw_Expenses!$C$5:$C$2979,MATCH(A2703,Raw_Expenses!$A$5:$A$2979,0)),0)</f>
        <v>3.02</v>
      </c>
      <c r="N2703" s="41" t="n">
        <f aca="false">L2703+M2703</f>
        <v>31.02</v>
      </c>
      <c r="O2703" s="41" t="n">
        <f aca="false">K2703-N2703</f>
        <v>35.04</v>
      </c>
      <c r="P2703" s="43" t="n">
        <f aca="false">IF(K2703=0,0,O2703/K2703)</f>
        <v>0.530426884650318</v>
      </c>
    </row>
    <row r="2704" customFormat="false" ht="15" hidden="false" customHeight="false" outlineLevel="0" collapsed="false">
      <c r="A2704" s="39" t="s">
        <v>2826</v>
      </c>
      <c r="B2704" s="40" t="n">
        <v>45998</v>
      </c>
      <c r="C2704" s="39" t="s">
        <v>133</v>
      </c>
      <c r="D2704" s="39" t="n">
        <v>2</v>
      </c>
      <c r="E2704" s="41" t="n">
        <v>8.48</v>
      </c>
      <c r="F2704" s="39" t="s">
        <v>105</v>
      </c>
      <c r="G2704" s="39" t="str">
        <f aca="false">VLOOKUP(C2704,Products!$A$5:$D$24,2,FALSE())</f>
        <v>Printer Paper Ream</v>
      </c>
      <c r="H2704" s="39" t="str">
        <f aca="false">VLOOKUP(C2704,Products!$A$5:$D$24,3,FALSE())</f>
        <v>Stationery</v>
      </c>
      <c r="I2704" s="41" t="n">
        <f aca="false">VLOOKUP(C2704,Products!$A$5:$D$24,4,FALSE())</f>
        <v>4</v>
      </c>
      <c r="J2704" s="42" t="n">
        <f aca="false">DATE(YEAR(B2704),MONTH(B2704),1)</f>
        <v>45992</v>
      </c>
      <c r="K2704" s="41" t="n">
        <f aca="false">D2704*E2704</f>
        <v>16.96</v>
      </c>
      <c r="L2704" s="41" t="n">
        <f aca="false">D2704*I2704</f>
        <v>8</v>
      </c>
      <c r="M2704" s="41" t="n">
        <f aca="false">IFERROR(INDEX(Raw_Expenses!$C$5:$C$2979,MATCH(A2704,Raw_Expenses!$A$5:$A$2979,0)),0)</f>
        <v>1.32</v>
      </c>
      <c r="N2704" s="41" t="n">
        <f aca="false">L2704+M2704</f>
        <v>9.32</v>
      </c>
      <c r="O2704" s="41" t="n">
        <f aca="false">K2704-N2704</f>
        <v>7.64</v>
      </c>
      <c r="P2704" s="43" t="n">
        <f aca="false">IF(K2704=0,0,O2704/K2704)</f>
        <v>0.450471698113208</v>
      </c>
    </row>
    <row r="2705" customFormat="false" ht="15" hidden="false" customHeight="false" outlineLevel="0" collapsed="false">
      <c r="A2705" s="39" t="s">
        <v>2827</v>
      </c>
      <c r="B2705" s="40" t="n">
        <v>45998</v>
      </c>
      <c r="C2705" s="39" t="s">
        <v>121</v>
      </c>
      <c r="D2705" s="39" t="n">
        <v>1</v>
      </c>
      <c r="E2705" s="41" t="n">
        <v>117.27</v>
      </c>
      <c r="F2705" s="39" t="s">
        <v>108</v>
      </c>
      <c r="G2705" s="39" t="str">
        <f aca="false">VLOOKUP(C2705,Products!$A$5:$D$24,2,FALSE())</f>
        <v>External SSD 1TB</v>
      </c>
      <c r="H2705" s="39" t="str">
        <f aca="false">VLOOKUP(C2705,Products!$A$5:$D$24,3,FALSE())</f>
        <v>Electronics</v>
      </c>
      <c r="I2705" s="41" t="n">
        <f aca="false">VLOOKUP(C2705,Products!$A$5:$D$24,4,FALSE())</f>
        <v>62</v>
      </c>
      <c r="J2705" s="42" t="n">
        <f aca="false">DATE(YEAR(B2705),MONTH(B2705),1)</f>
        <v>45992</v>
      </c>
      <c r="K2705" s="41" t="n">
        <f aca="false">D2705*E2705</f>
        <v>117.27</v>
      </c>
      <c r="L2705" s="41" t="n">
        <f aca="false">D2705*I2705</f>
        <v>62</v>
      </c>
      <c r="M2705" s="41" t="n">
        <f aca="false">IFERROR(INDEX(Raw_Expenses!$C$5:$C$2979,MATCH(A2705,Raw_Expenses!$A$5:$A$2979,0)),0)</f>
        <v>5.65</v>
      </c>
      <c r="N2705" s="41" t="n">
        <f aca="false">L2705+M2705</f>
        <v>67.65</v>
      </c>
      <c r="O2705" s="41" t="n">
        <f aca="false">K2705-N2705</f>
        <v>49.62</v>
      </c>
      <c r="P2705" s="43" t="n">
        <f aca="false">IF(K2705=0,0,O2705/K2705)</f>
        <v>0.423126119212075</v>
      </c>
    </row>
    <row r="2706" customFormat="false" ht="15" hidden="false" customHeight="false" outlineLevel="0" collapsed="false">
      <c r="A2706" s="39" t="s">
        <v>2828</v>
      </c>
      <c r="B2706" s="40" t="n">
        <v>45998</v>
      </c>
      <c r="C2706" s="39" t="s">
        <v>117</v>
      </c>
      <c r="D2706" s="39" t="n">
        <v>4</v>
      </c>
      <c r="E2706" s="41" t="n">
        <v>31.19</v>
      </c>
      <c r="F2706" s="39" t="s">
        <v>115</v>
      </c>
      <c r="G2706" s="39" t="str">
        <f aca="false">VLOOKUP(C2706,Products!$A$5:$D$24,2,FALSE())</f>
        <v>Desk Lamp</v>
      </c>
      <c r="H2706" s="39" t="str">
        <f aca="false">VLOOKUP(C2706,Products!$A$5:$D$24,3,FALSE())</f>
        <v>Furniture</v>
      </c>
      <c r="I2706" s="41" t="n">
        <f aca="false">VLOOKUP(C2706,Products!$A$5:$D$24,4,FALSE())</f>
        <v>13</v>
      </c>
      <c r="J2706" s="42" t="n">
        <f aca="false">DATE(YEAR(B2706),MONTH(B2706),1)</f>
        <v>45992</v>
      </c>
      <c r="K2706" s="41" t="n">
        <f aca="false">D2706*E2706</f>
        <v>124.76</v>
      </c>
      <c r="L2706" s="41" t="n">
        <f aca="false">D2706*I2706</f>
        <v>52</v>
      </c>
      <c r="M2706" s="41" t="n">
        <f aca="false">IFERROR(INDEX(Raw_Expenses!$C$5:$C$2979,MATCH(A2706,Raw_Expenses!$A$5:$A$2979,0)),0)</f>
        <v>8.31</v>
      </c>
      <c r="N2706" s="41" t="n">
        <f aca="false">L2706+M2706</f>
        <v>60.31</v>
      </c>
      <c r="O2706" s="41" t="n">
        <f aca="false">K2706-N2706</f>
        <v>64.45</v>
      </c>
      <c r="P2706" s="43" t="n">
        <f aca="false">IF(K2706=0,0,O2706/K2706)</f>
        <v>0.516591856364219</v>
      </c>
    </row>
    <row r="2707" customFormat="false" ht="15" hidden="false" customHeight="false" outlineLevel="0" collapsed="false">
      <c r="A2707" s="39" t="s">
        <v>2829</v>
      </c>
      <c r="B2707" s="40" t="n">
        <v>45998</v>
      </c>
      <c r="C2707" s="39" t="s">
        <v>112</v>
      </c>
      <c r="D2707" s="39" t="n">
        <v>2</v>
      </c>
      <c r="E2707" s="41" t="n">
        <v>53.85</v>
      </c>
      <c r="F2707" s="39" t="s">
        <v>108</v>
      </c>
      <c r="G2707" s="39" t="str">
        <f aca="false">VLOOKUP(C2707,Products!$A$5:$D$24,2,FALSE())</f>
        <v>HD Webcam</v>
      </c>
      <c r="H2707" s="39" t="str">
        <f aca="false">VLOOKUP(C2707,Products!$A$5:$D$24,3,FALSE())</f>
        <v>Electronics</v>
      </c>
      <c r="I2707" s="41" t="n">
        <f aca="false">VLOOKUP(C2707,Products!$A$5:$D$24,4,FALSE())</f>
        <v>22</v>
      </c>
      <c r="J2707" s="42" t="n">
        <f aca="false">DATE(YEAR(B2707),MONTH(B2707),1)</f>
        <v>45992</v>
      </c>
      <c r="K2707" s="41" t="n">
        <f aca="false">D2707*E2707</f>
        <v>107.7</v>
      </c>
      <c r="L2707" s="41" t="n">
        <f aca="false">D2707*I2707</f>
        <v>44</v>
      </c>
      <c r="M2707" s="41" t="n">
        <f aca="false">IFERROR(INDEX(Raw_Expenses!$C$5:$C$2979,MATCH(A2707,Raw_Expenses!$A$5:$A$2979,0)),0)</f>
        <v>6.73</v>
      </c>
      <c r="N2707" s="41" t="n">
        <f aca="false">L2707+M2707</f>
        <v>50.73</v>
      </c>
      <c r="O2707" s="41" t="n">
        <f aca="false">K2707-N2707</f>
        <v>56.97</v>
      </c>
      <c r="P2707" s="43" t="n">
        <f aca="false">IF(K2707=0,0,O2707/K2707)</f>
        <v>0.528969359331476</v>
      </c>
    </row>
    <row r="2708" customFormat="false" ht="15" hidden="false" customHeight="false" outlineLevel="0" collapsed="false">
      <c r="A2708" s="39" t="s">
        <v>2830</v>
      </c>
      <c r="B2708" s="40" t="n">
        <v>45998</v>
      </c>
      <c r="C2708" s="39" t="s">
        <v>117</v>
      </c>
      <c r="D2708" s="39" t="n">
        <v>4</v>
      </c>
      <c r="E2708" s="41" t="n">
        <v>31.43</v>
      </c>
      <c r="F2708" s="39" t="s">
        <v>105</v>
      </c>
      <c r="G2708" s="39" t="str">
        <f aca="false">VLOOKUP(C2708,Products!$A$5:$D$24,2,FALSE())</f>
        <v>Desk Lamp</v>
      </c>
      <c r="H2708" s="39" t="str">
        <f aca="false">VLOOKUP(C2708,Products!$A$5:$D$24,3,FALSE())</f>
        <v>Furniture</v>
      </c>
      <c r="I2708" s="41" t="n">
        <f aca="false">VLOOKUP(C2708,Products!$A$5:$D$24,4,FALSE())</f>
        <v>13</v>
      </c>
      <c r="J2708" s="42" t="n">
        <f aca="false">DATE(YEAR(B2708),MONTH(B2708),1)</f>
        <v>45992</v>
      </c>
      <c r="K2708" s="41" t="n">
        <f aca="false">D2708*E2708</f>
        <v>125.72</v>
      </c>
      <c r="L2708" s="41" t="n">
        <f aca="false">D2708*I2708</f>
        <v>52</v>
      </c>
      <c r="M2708" s="41" t="n">
        <f aca="false">IFERROR(INDEX(Raw_Expenses!$C$5:$C$2979,MATCH(A2708,Raw_Expenses!$A$5:$A$2979,0)),0)</f>
        <v>7.31</v>
      </c>
      <c r="N2708" s="41" t="n">
        <f aca="false">L2708+M2708</f>
        <v>59.31</v>
      </c>
      <c r="O2708" s="41" t="n">
        <f aca="false">K2708-N2708</f>
        <v>66.41</v>
      </c>
      <c r="P2708" s="43" t="n">
        <f aca="false">IF(K2708=0,0,O2708/K2708)</f>
        <v>0.528237352847598</v>
      </c>
    </row>
    <row r="2709" customFormat="false" ht="15" hidden="false" customHeight="false" outlineLevel="0" collapsed="false">
      <c r="A2709" s="39" t="s">
        <v>2831</v>
      </c>
      <c r="B2709" s="40" t="n">
        <v>45999</v>
      </c>
      <c r="C2709" s="39" t="s">
        <v>144</v>
      </c>
      <c r="D2709" s="39" t="n">
        <v>2</v>
      </c>
      <c r="E2709" s="41" t="n">
        <v>58.58</v>
      </c>
      <c r="F2709" s="39" t="s">
        <v>118</v>
      </c>
      <c r="G2709" s="39" t="str">
        <f aca="false">VLOOKUP(C2709,Products!$A$5:$D$24,2,FALSE())</f>
        <v>Whiteboard</v>
      </c>
      <c r="H2709" s="39" t="str">
        <f aca="false">VLOOKUP(C2709,Products!$A$5:$D$24,3,FALSE())</f>
        <v>Furniture</v>
      </c>
      <c r="I2709" s="41" t="n">
        <f aca="false">VLOOKUP(C2709,Products!$A$5:$D$24,4,FALSE())</f>
        <v>28</v>
      </c>
      <c r="J2709" s="42" t="n">
        <f aca="false">DATE(YEAR(B2709),MONTH(B2709),1)</f>
        <v>45992</v>
      </c>
      <c r="K2709" s="41" t="n">
        <f aca="false">D2709*E2709</f>
        <v>117.16</v>
      </c>
      <c r="L2709" s="41" t="n">
        <f aca="false">D2709*I2709</f>
        <v>56</v>
      </c>
      <c r="M2709" s="41" t="n">
        <f aca="false">IFERROR(INDEX(Raw_Expenses!$C$5:$C$2979,MATCH(A2709,Raw_Expenses!$A$5:$A$2979,0)),0)</f>
        <v>5.36</v>
      </c>
      <c r="N2709" s="41" t="n">
        <f aca="false">L2709+M2709</f>
        <v>61.36</v>
      </c>
      <c r="O2709" s="41" t="n">
        <f aca="false">K2709-N2709</f>
        <v>55.8</v>
      </c>
      <c r="P2709" s="43" t="n">
        <f aca="false">IF(K2709=0,0,O2709/K2709)</f>
        <v>0.476271765107545</v>
      </c>
    </row>
    <row r="2710" customFormat="false" ht="15" hidden="false" customHeight="false" outlineLevel="0" collapsed="false">
      <c r="A2710" s="39" t="s">
        <v>2832</v>
      </c>
      <c r="B2710" s="40" t="n">
        <v>45999</v>
      </c>
      <c r="C2710" s="39" t="s">
        <v>107</v>
      </c>
      <c r="D2710" s="39" t="n">
        <v>2</v>
      </c>
      <c r="E2710" s="41" t="n">
        <v>34.97</v>
      </c>
      <c r="F2710" s="39" t="s">
        <v>115</v>
      </c>
      <c r="G2710" s="39" t="str">
        <f aca="false">VLOOKUP(C2710,Products!$A$5:$D$24,2,FALSE())</f>
        <v>USB-C Hub</v>
      </c>
      <c r="H2710" s="39" t="str">
        <f aca="false">VLOOKUP(C2710,Products!$A$5:$D$24,3,FALSE())</f>
        <v>Electronics</v>
      </c>
      <c r="I2710" s="41" t="n">
        <f aca="false">VLOOKUP(C2710,Products!$A$5:$D$24,4,FALSE())</f>
        <v>14</v>
      </c>
      <c r="J2710" s="42" t="n">
        <f aca="false">DATE(YEAR(B2710),MONTH(B2710),1)</f>
        <v>45992</v>
      </c>
      <c r="K2710" s="41" t="n">
        <f aca="false">D2710*E2710</f>
        <v>69.94</v>
      </c>
      <c r="L2710" s="41" t="n">
        <f aca="false">D2710*I2710</f>
        <v>28</v>
      </c>
      <c r="M2710" s="41" t="n">
        <f aca="false">IFERROR(INDEX(Raw_Expenses!$C$5:$C$2979,MATCH(A2710,Raw_Expenses!$A$5:$A$2979,0)),0)</f>
        <v>6.1</v>
      </c>
      <c r="N2710" s="41" t="n">
        <f aca="false">L2710+M2710</f>
        <v>34.1</v>
      </c>
      <c r="O2710" s="41" t="n">
        <f aca="false">K2710-N2710</f>
        <v>35.84</v>
      </c>
      <c r="P2710" s="43" t="n">
        <f aca="false">IF(K2710=0,0,O2710/K2710)</f>
        <v>0.512439233628825</v>
      </c>
    </row>
    <row r="2711" customFormat="false" ht="15" hidden="false" customHeight="false" outlineLevel="0" collapsed="false">
      <c r="A2711" s="39" t="s">
        <v>2833</v>
      </c>
      <c r="B2711" s="40" t="n">
        <v>45999</v>
      </c>
      <c r="C2711" s="39" t="s">
        <v>110</v>
      </c>
      <c r="D2711" s="39" t="n">
        <v>2</v>
      </c>
      <c r="E2711" s="41" t="n">
        <v>13.69</v>
      </c>
      <c r="F2711" s="39" t="s">
        <v>118</v>
      </c>
      <c r="G2711" s="39" t="str">
        <f aca="false">VLOOKUP(C2711,Products!$A$5:$D$24,2,FALSE())</f>
        <v>Phone Stand</v>
      </c>
      <c r="H2711" s="39" t="str">
        <f aca="false">VLOOKUP(C2711,Products!$A$5:$D$24,3,FALSE())</f>
        <v>Accessories</v>
      </c>
      <c r="I2711" s="41" t="n">
        <f aca="false">VLOOKUP(C2711,Products!$A$5:$D$24,4,FALSE())</f>
        <v>4</v>
      </c>
      <c r="J2711" s="42" t="n">
        <f aca="false">DATE(YEAR(B2711),MONTH(B2711),1)</f>
        <v>45992</v>
      </c>
      <c r="K2711" s="41" t="n">
        <f aca="false">D2711*E2711</f>
        <v>27.38</v>
      </c>
      <c r="L2711" s="41" t="n">
        <f aca="false">D2711*I2711</f>
        <v>8</v>
      </c>
      <c r="M2711" s="41" t="n">
        <f aca="false">IFERROR(INDEX(Raw_Expenses!$C$5:$C$2979,MATCH(A2711,Raw_Expenses!$A$5:$A$2979,0)),0)</f>
        <v>1.54</v>
      </c>
      <c r="N2711" s="41" t="n">
        <f aca="false">L2711+M2711</f>
        <v>9.54</v>
      </c>
      <c r="O2711" s="41" t="n">
        <f aca="false">K2711-N2711</f>
        <v>17.84</v>
      </c>
      <c r="P2711" s="43" t="n">
        <f aca="false">IF(K2711=0,0,O2711/K2711)</f>
        <v>0.651570489408327</v>
      </c>
    </row>
    <row r="2712" customFormat="false" ht="15" hidden="false" customHeight="false" outlineLevel="0" collapsed="false">
      <c r="A2712" s="39" t="s">
        <v>2834</v>
      </c>
      <c r="B2712" s="40" t="n">
        <v>45999</v>
      </c>
      <c r="C2712" s="39" t="s">
        <v>107</v>
      </c>
      <c r="D2712" s="39" t="n">
        <v>1</v>
      </c>
      <c r="E2712" s="41" t="n">
        <v>34.34</v>
      </c>
      <c r="F2712" s="39" t="s">
        <v>105</v>
      </c>
      <c r="G2712" s="39" t="str">
        <f aca="false">VLOOKUP(C2712,Products!$A$5:$D$24,2,FALSE())</f>
        <v>USB-C Hub</v>
      </c>
      <c r="H2712" s="39" t="str">
        <f aca="false">VLOOKUP(C2712,Products!$A$5:$D$24,3,FALSE())</f>
        <v>Electronics</v>
      </c>
      <c r="I2712" s="41" t="n">
        <f aca="false">VLOOKUP(C2712,Products!$A$5:$D$24,4,FALSE())</f>
        <v>14</v>
      </c>
      <c r="J2712" s="42" t="n">
        <f aca="false">DATE(YEAR(B2712),MONTH(B2712),1)</f>
        <v>45992</v>
      </c>
      <c r="K2712" s="41" t="n">
        <f aca="false">D2712*E2712</f>
        <v>34.34</v>
      </c>
      <c r="L2712" s="41" t="n">
        <f aca="false">D2712*I2712</f>
        <v>14</v>
      </c>
      <c r="M2712" s="41" t="n">
        <f aca="false">IFERROR(INDEX(Raw_Expenses!$C$5:$C$2979,MATCH(A2712,Raw_Expenses!$A$5:$A$2979,0)),0)</f>
        <v>1.97</v>
      </c>
      <c r="N2712" s="41" t="n">
        <f aca="false">L2712+M2712</f>
        <v>15.97</v>
      </c>
      <c r="O2712" s="41" t="n">
        <f aca="false">K2712-N2712</f>
        <v>18.37</v>
      </c>
      <c r="P2712" s="43" t="n">
        <f aca="false">IF(K2712=0,0,O2712/K2712)</f>
        <v>0.534944670937682</v>
      </c>
    </row>
    <row r="2713" customFormat="false" ht="15" hidden="false" customHeight="false" outlineLevel="0" collapsed="false">
      <c r="A2713" s="39" t="s">
        <v>2835</v>
      </c>
      <c r="B2713" s="40" t="n">
        <v>45999</v>
      </c>
      <c r="C2713" s="39" t="s">
        <v>112</v>
      </c>
      <c r="D2713" s="39" t="n">
        <v>1</v>
      </c>
      <c r="E2713" s="41" t="n">
        <v>51.23</v>
      </c>
      <c r="F2713" s="39" t="s">
        <v>108</v>
      </c>
      <c r="G2713" s="39" t="str">
        <f aca="false">VLOOKUP(C2713,Products!$A$5:$D$24,2,FALSE())</f>
        <v>HD Webcam</v>
      </c>
      <c r="H2713" s="39" t="str">
        <f aca="false">VLOOKUP(C2713,Products!$A$5:$D$24,3,FALSE())</f>
        <v>Electronics</v>
      </c>
      <c r="I2713" s="41" t="n">
        <f aca="false">VLOOKUP(C2713,Products!$A$5:$D$24,4,FALSE())</f>
        <v>22</v>
      </c>
      <c r="J2713" s="42" t="n">
        <f aca="false">DATE(YEAR(B2713),MONTH(B2713),1)</f>
        <v>45992</v>
      </c>
      <c r="K2713" s="41" t="n">
        <f aca="false">D2713*E2713</f>
        <v>51.23</v>
      </c>
      <c r="L2713" s="41" t="n">
        <f aca="false">D2713*I2713</f>
        <v>22</v>
      </c>
      <c r="M2713" s="41" t="n">
        <f aca="false">IFERROR(INDEX(Raw_Expenses!$C$5:$C$2979,MATCH(A2713,Raw_Expenses!$A$5:$A$2979,0)),0)</f>
        <v>2.22</v>
      </c>
      <c r="N2713" s="41" t="n">
        <f aca="false">L2713+M2713</f>
        <v>24.22</v>
      </c>
      <c r="O2713" s="41" t="n">
        <f aca="false">K2713-N2713</f>
        <v>27.01</v>
      </c>
      <c r="P2713" s="43" t="n">
        <f aca="false">IF(K2713=0,0,O2713/K2713)</f>
        <v>0.52723013859067</v>
      </c>
    </row>
    <row r="2714" customFormat="false" ht="15" hidden="false" customHeight="false" outlineLevel="0" collapsed="false">
      <c r="A2714" s="39" t="s">
        <v>2836</v>
      </c>
      <c r="B2714" s="40" t="n">
        <v>45999</v>
      </c>
      <c r="C2714" s="39" t="s">
        <v>130</v>
      </c>
      <c r="D2714" s="39" t="n">
        <v>1</v>
      </c>
      <c r="E2714" s="41" t="n">
        <v>8.9</v>
      </c>
      <c r="F2714" s="39" t="s">
        <v>115</v>
      </c>
      <c r="G2714" s="39" t="str">
        <f aca="false">VLOOKUP(C2714,Products!$A$5:$D$24,2,FALSE())</f>
        <v>Notebook Set</v>
      </c>
      <c r="H2714" s="39" t="str">
        <f aca="false">VLOOKUP(C2714,Products!$A$5:$D$24,3,FALSE())</f>
        <v>Stationery</v>
      </c>
      <c r="I2714" s="41" t="n">
        <f aca="false">VLOOKUP(C2714,Products!$A$5:$D$24,4,FALSE())</f>
        <v>3</v>
      </c>
      <c r="J2714" s="42" t="n">
        <f aca="false">DATE(YEAR(B2714),MONTH(B2714),1)</f>
        <v>45992</v>
      </c>
      <c r="K2714" s="41" t="n">
        <f aca="false">D2714*E2714</f>
        <v>8.9</v>
      </c>
      <c r="L2714" s="41" t="n">
        <f aca="false">D2714*I2714</f>
        <v>3</v>
      </c>
      <c r="M2714" s="41" t="n">
        <f aca="false">IFERROR(INDEX(Raw_Expenses!$C$5:$C$2979,MATCH(A2714,Raw_Expenses!$A$5:$A$2979,0)),0)</f>
        <v>0.38</v>
      </c>
      <c r="N2714" s="41" t="n">
        <f aca="false">L2714+M2714</f>
        <v>3.38</v>
      </c>
      <c r="O2714" s="41" t="n">
        <f aca="false">K2714-N2714</f>
        <v>5.52</v>
      </c>
      <c r="P2714" s="43" t="n">
        <f aca="false">IF(K2714=0,0,O2714/K2714)</f>
        <v>0.620224719101124</v>
      </c>
    </row>
    <row r="2715" customFormat="false" ht="15" hidden="false" customHeight="false" outlineLevel="0" collapsed="false">
      <c r="A2715" s="39" t="s">
        <v>2837</v>
      </c>
      <c r="B2715" s="40" t="n">
        <v>45999</v>
      </c>
      <c r="C2715" s="39" t="s">
        <v>130</v>
      </c>
      <c r="D2715" s="39" t="n">
        <v>2</v>
      </c>
      <c r="E2715" s="41" t="n">
        <v>8.61</v>
      </c>
      <c r="F2715" s="39" t="s">
        <v>118</v>
      </c>
      <c r="G2715" s="39" t="str">
        <f aca="false">VLOOKUP(C2715,Products!$A$5:$D$24,2,FALSE())</f>
        <v>Notebook Set</v>
      </c>
      <c r="H2715" s="39" t="str">
        <f aca="false">VLOOKUP(C2715,Products!$A$5:$D$24,3,FALSE())</f>
        <v>Stationery</v>
      </c>
      <c r="I2715" s="41" t="n">
        <f aca="false">VLOOKUP(C2715,Products!$A$5:$D$24,4,FALSE())</f>
        <v>3</v>
      </c>
      <c r="J2715" s="42" t="n">
        <f aca="false">DATE(YEAR(B2715),MONTH(B2715),1)</f>
        <v>45992</v>
      </c>
      <c r="K2715" s="41" t="n">
        <f aca="false">D2715*E2715</f>
        <v>17.22</v>
      </c>
      <c r="L2715" s="41" t="n">
        <f aca="false">D2715*I2715</f>
        <v>6</v>
      </c>
      <c r="M2715" s="41" t="n">
        <f aca="false">IFERROR(INDEX(Raw_Expenses!$C$5:$C$2979,MATCH(A2715,Raw_Expenses!$A$5:$A$2979,0)),0)</f>
        <v>1.39</v>
      </c>
      <c r="N2715" s="41" t="n">
        <f aca="false">L2715+M2715</f>
        <v>7.39</v>
      </c>
      <c r="O2715" s="41" t="n">
        <f aca="false">K2715-N2715</f>
        <v>9.83</v>
      </c>
      <c r="P2715" s="43" t="n">
        <f aca="false">IF(K2715=0,0,O2715/K2715)</f>
        <v>0.570847851335656</v>
      </c>
    </row>
    <row r="2716" customFormat="false" ht="15" hidden="false" customHeight="false" outlineLevel="0" collapsed="false">
      <c r="A2716" s="39" t="s">
        <v>2838</v>
      </c>
      <c r="B2716" s="40" t="n">
        <v>45999</v>
      </c>
      <c r="C2716" s="39" t="s">
        <v>130</v>
      </c>
      <c r="D2716" s="39" t="n">
        <v>3</v>
      </c>
      <c r="E2716" s="41" t="n">
        <v>8.54</v>
      </c>
      <c r="F2716" s="39" t="s">
        <v>105</v>
      </c>
      <c r="G2716" s="39" t="str">
        <f aca="false">VLOOKUP(C2716,Products!$A$5:$D$24,2,FALSE())</f>
        <v>Notebook Set</v>
      </c>
      <c r="H2716" s="39" t="str">
        <f aca="false">VLOOKUP(C2716,Products!$A$5:$D$24,3,FALSE())</f>
        <v>Stationery</v>
      </c>
      <c r="I2716" s="41" t="n">
        <f aca="false">VLOOKUP(C2716,Products!$A$5:$D$24,4,FALSE())</f>
        <v>3</v>
      </c>
      <c r="J2716" s="42" t="n">
        <f aca="false">DATE(YEAR(B2716),MONTH(B2716),1)</f>
        <v>45992</v>
      </c>
      <c r="K2716" s="41" t="n">
        <f aca="false">D2716*E2716</f>
        <v>25.62</v>
      </c>
      <c r="L2716" s="41" t="n">
        <f aca="false">D2716*I2716</f>
        <v>9</v>
      </c>
      <c r="M2716" s="41" t="n">
        <f aca="false">IFERROR(INDEX(Raw_Expenses!$C$5:$C$2979,MATCH(A2716,Raw_Expenses!$A$5:$A$2979,0)),0)</f>
        <v>1.27</v>
      </c>
      <c r="N2716" s="41" t="n">
        <f aca="false">L2716+M2716</f>
        <v>10.27</v>
      </c>
      <c r="O2716" s="41" t="n">
        <f aca="false">K2716-N2716</f>
        <v>15.35</v>
      </c>
      <c r="P2716" s="43" t="n">
        <f aca="false">IF(K2716=0,0,O2716/K2716)</f>
        <v>0.599141295862607</v>
      </c>
    </row>
    <row r="2717" customFormat="false" ht="15" hidden="false" customHeight="false" outlineLevel="0" collapsed="false">
      <c r="A2717" s="39" t="s">
        <v>2839</v>
      </c>
      <c r="B2717" s="40" t="n">
        <v>45999</v>
      </c>
      <c r="C2717" s="39" t="s">
        <v>162</v>
      </c>
      <c r="D2717" s="39" t="n">
        <v>3</v>
      </c>
      <c r="E2717" s="41" t="n">
        <v>67.25</v>
      </c>
      <c r="F2717" s="39" t="s">
        <v>118</v>
      </c>
      <c r="G2717" s="39" t="str">
        <f aca="false">VLOOKUP(C2717,Products!$A$5:$D$24,2,FALSE())</f>
        <v>Bluetooth Speaker</v>
      </c>
      <c r="H2717" s="39" t="str">
        <f aca="false">VLOOKUP(C2717,Products!$A$5:$D$24,3,FALSE())</f>
        <v>Electronics</v>
      </c>
      <c r="I2717" s="41" t="n">
        <f aca="false">VLOOKUP(C2717,Products!$A$5:$D$24,4,FALSE())</f>
        <v>28</v>
      </c>
      <c r="J2717" s="42" t="n">
        <f aca="false">DATE(YEAR(B2717),MONTH(B2717),1)</f>
        <v>45992</v>
      </c>
      <c r="K2717" s="41" t="n">
        <f aca="false">D2717*E2717</f>
        <v>201.75</v>
      </c>
      <c r="L2717" s="41" t="n">
        <f aca="false">D2717*I2717</f>
        <v>84</v>
      </c>
      <c r="M2717" s="41" t="n">
        <f aca="false">IFERROR(INDEX(Raw_Expenses!$C$5:$C$2979,MATCH(A2717,Raw_Expenses!$A$5:$A$2979,0)),0)</f>
        <v>9.68</v>
      </c>
      <c r="N2717" s="41" t="n">
        <f aca="false">L2717+M2717</f>
        <v>93.68</v>
      </c>
      <c r="O2717" s="41" t="n">
        <f aca="false">K2717-N2717</f>
        <v>108.07</v>
      </c>
      <c r="P2717" s="43" t="n">
        <f aca="false">IF(K2717=0,0,O2717/K2717)</f>
        <v>0.535662949194548</v>
      </c>
    </row>
    <row r="2718" customFormat="false" ht="15" hidden="false" customHeight="false" outlineLevel="0" collapsed="false">
      <c r="A2718" s="39" t="s">
        <v>2840</v>
      </c>
      <c r="B2718" s="40" t="n">
        <v>45999</v>
      </c>
      <c r="C2718" s="39" t="s">
        <v>126</v>
      </c>
      <c r="D2718" s="39" t="n">
        <v>4</v>
      </c>
      <c r="E2718" s="41" t="n">
        <v>23.08</v>
      </c>
      <c r="F2718" s="39" t="s">
        <v>108</v>
      </c>
      <c r="G2718" s="39" t="str">
        <f aca="false">VLOOKUP(C2718,Products!$A$5:$D$24,2,FALSE())</f>
        <v>Wireless Mouse</v>
      </c>
      <c r="H2718" s="39" t="str">
        <f aca="false">VLOOKUP(C2718,Products!$A$5:$D$24,3,FALSE())</f>
        <v>Electronics</v>
      </c>
      <c r="I2718" s="41" t="n">
        <f aca="false">VLOOKUP(C2718,Products!$A$5:$D$24,4,FALSE())</f>
        <v>12</v>
      </c>
      <c r="J2718" s="42" t="n">
        <f aca="false">DATE(YEAR(B2718),MONTH(B2718),1)</f>
        <v>45992</v>
      </c>
      <c r="K2718" s="41" t="n">
        <f aca="false">D2718*E2718</f>
        <v>92.32</v>
      </c>
      <c r="L2718" s="41" t="n">
        <f aca="false">D2718*I2718</f>
        <v>48</v>
      </c>
      <c r="M2718" s="41" t="n">
        <f aca="false">IFERROR(INDEX(Raw_Expenses!$C$5:$C$2979,MATCH(A2718,Raw_Expenses!$A$5:$A$2979,0)),0)</f>
        <v>6.28</v>
      </c>
      <c r="N2718" s="41" t="n">
        <f aca="false">L2718+M2718</f>
        <v>54.28</v>
      </c>
      <c r="O2718" s="41" t="n">
        <f aca="false">K2718-N2718</f>
        <v>38.04</v>
      </c>
      <c r="P2718" s="43" t="n">
        <f aca="false">IF(K2718=0,0,O2718/K2718)</f>
        <v>0.412045060658579</v>
      </c>
    </row>
    <row r="2719" customFormat="false" ht="15" hidden="false" customHeight="false" outlineLevel="0" collapsed="false">
      <c r="A2719" s="39" t="s">
        <v>2841</v>
      </c>
      <c r="B2719" s="40" t="n">
        <v>45999</v>
      </c>
      <c r="C2719" s="39" t="s">
        <v>136</v>
      </c>
      <c r="D2719" s="39" t="n">
        <v>3</v>
      </c>
      <c r="E2719" s="41" t="n">
        <v>78.62</v>
      </c>
      <c r="F2719" s="39" t="s">
        <v>115</v>
      </c>
      <c r="G2719" s="39" t="str">
        <f aca="false">VLOOKUP(C2719,Products!$A$5:$D$24,2,FALSE())</f>
        <v>Mechanical Keyboard</v>
      </c>
      <c r="H2719" s="39" t="str">
        <f aca="false">VLOOKUP(C2719,Products!$A$5:$D$24,3,FALSE())</f>
        <v>Electronics</v>
      </c>
      <c r="I2719" s="41" t="n">
        <f aca="false">VLOOKUP(C2719,Products!$A$5:$D$24,4,FALSE())</f>
        <v>38</v>
      </c>
      <c r="J2719" s="42" t="n">
        <f aca="false">DATE(YEAR(B2719),MONTH(B2719),1)</f>
        <v>45992</v>
      </c>
      <c r="K2719" s="41" t="n">
        <f aca="false">D2719*E2719</f>
        <v>235.86</v>
      </c>
      <c r="L2719" s="41" t="n">
        <f aca="false">D2719*I2719</f>
        <v>114</v>
      </c>
      <c r="M2719" s="41" t="n">
        <f aca="false">IFERROR(INDEX(Raw_Expenses!$C$5:$C$2979,MATCH(A2719,Raw_Expenses!$A$5:$A$2979,0)),0)</f>
        <v>20.93</v>
      </c>
      <c r="N2719" s="41" t="n">
        <f aca="false">L2719+M2719</f>
        <v>134.93</v>
      </c>
      <c r="O2719" s="41" t="n">
        <f aca="false">K2719-N2719</f>
        <v>100.93</v>
      </c>
      <c r="P2719" s="43" t="n">
        <f aca="false">IF(K2719=0,0,O2719/K2719)</f>
        <v>0.427923344356822</v>
      </c>
    </row>
    <row r="2720" customFormat="false" ht="15" hidden="false" customHeight="false" outlineLevel="0" collapsed="false">
      <c r="A2720" s="39" t="s">
        <v>2842</v>
      </c>
      <c r="B2720" s="40" t="n">
        <v>45999</v>
      </c>
      <c r="C2720" s="39" t="s">
        <v>104</v>
      </c>
      <c r="D2720" s="39" t="n">
        <v>1</v>
      </c>
      <c r="E2720" s="41" t="n">
        <v>14.94</v>
      </c>
      <c r="F2720" s="39" t="s">
        <v>118</v>
      </c>
      <c r="G2720" s="39" t="str">
        <f aca="false">VLOOKUP(C2720,Products!$A$5:$D$24,2,FALSE())</f>
        <v>Water Bottle</v>
      </c>
      <c r="H2720" s="39" t="str">
        <f aca="false">VLOOKUP(C2720,Products!$A$5:$D$24,3,FALSE())</f>
        <v>Accessories</v>
      </c>
      <c r="I2720" s="41" t="n">
        <f aca="false">VLOOKUP(C2720,Products!$A$5:$D$24,4,FALSE())</f>
        <v>5</v>
      </c>
      <c r="J2720" s="42" t="n">
        <f aca="false">DATE(YEAR(B2720),MONTH(B2720),1)</f>
        <v>45992</v>
      </c>
      <c r="K2720" s="41" t="n">
        <f aca="false">D2720*E2720</f>
        <v>14.94</v>
      </c>
      <c r="L2720" s="41" t="n">
        <f aca="false">D2720*I2720</f>
        <v>5</v>
      </c>
      <c r="M2720" s="41" t="n">
        <f aca="false">IFERROR(INDEX(Raw_Expenses!$C$5:$C$2979,MATCH(A2720,Raw_Expenses!$A$5:$A$2979,0)),0)</f>
        <v>1.33</v>
      </c>
      <c r="N2720" s="41" t="n">
        <f aca="false">L2720+M2720</f>
        <v>6.33</v>
      </c>
      <c r="O2720" s="41" t="n">
        <f aca="false">K2720-N2720</f>
        <v>8.61</v>
      </c>
      <c r="P2720" s="43" t="n">
        <f aca="false">IF(K2720=0,0,O2720/K2720)</f>
        <v>0.576305220883534</v>
      </c>
    </row>
    <row r="2721" customFormat="false" ht="15" hidden="false" customHeight="false" outlineLevel="0" collapsed="false">
      <c r="A2721" s="39" t="s">
        <v>2843</v>
      </c>
      <c r="B2721" s="40" t="n">
        <v>45999</v>
      </c>
      <c r="C2721" s="39" t="s">
        <v>183</v>
      </c>
      <c r="D2721" s="39" t="n">
        <v>1</v>
      </c>
      <c r="E2721" s="41" t="n">
        <v>183.24</v>
      </c>
      <c r="F2721" s="39" t="s">
        <v>108</v>
      </c>
      <c r="G2721" s="39" t="str">
        <f aca="false">VLOOKUP(C2721,Products!$A$5:$D$24,2,FALSE())</f>
        <v>Office Chair</v>
      </c>
      <c r="H2721" s="39" t="str">
        <f aca="false">VLOOKUP(C2721,Products!$A$5:$D$24,3,FALSE())</f>
        <v>Furniture</v>
      </c>
      <c r="I2721" s="41" t="n">
        <f aca="false">VLOOKUP(C2721,Products!$A$5:$D$24,4,FALSE())</f>
        <v>85</v>
      </c>
      <c r="J2721" s="42" t="n">
        <f aca="false">DATE(YEAR(B2721),MONTH(B2721),1)</f>
        <v>45992</v>
      </c>
      <c r="K2721" s="41" t="n">
        <f aca="false">D2721*E2721</f>
        <v>183.24</v>
      </c>
      <c r="L2721" s="41" t="n">
        <f aca="false">D2721*I2721</f>
        <v>85</v>
      </c>
      <c r="M2721" s="41" t="n">
        <f aca="false">IFERROR(INDEX(Raw_Expenses!$C$5:$C$2979,MATCH(A2721,Raw_Expenses!$A$5:$A$2979,0)),0)</f>
        <v>13.39</v>
      </c>
      <c r="N2721" s="41" t="n">
        <f aca="false">L2721+M2721</f>
        <v>98.39</v>
      </c>
      <c r="O2721" s="41" t="n">
        <f aca="false">K2721-N2721</f>
        <v>84.85</v>
      </c>
      <c r="P2721" s="43" t="n">
        <f aca="false">IF(K2721=0,0,O2721/K2721)</f>
        <v>0.463053918358437</v>
      </c>
    </row>
    <row r="2722" customFormat="false" ht="15" hidden="false" customHeight="false" outlineLevel="0" collapsed="false">
      <c r="A2722" s="39" t="s">
        <v>2844</v>
      </c>
      <c r="B2722" s="40" t="n">
        <v>45999</v>
      </c>
      <c r="C2722" s="39" t="s">
        <v>136</v>
      </c>
      <c r="D2722" s="39" t="n">
        <v>1</v>
      </c>
      <c r="E2722" s="41" t="n">
        <v>77.62</v>
      </c>
      <c r="F2722" s="39" t="s">
        <v>105</v>
      </c>
      <c r="G2722" s="39" t="str">
        <f aca="false">VLOOKUP(C2722,Products!$A$5:$D$24,2,FALSE())</f>
        <v>Mechanical Keyboard</v>
      </c>
      <c r="H2722" s="39" t="str">
        <f aca="false">VLOOKUP(C2722,Products!$A$5:$D$24,3,FALSE())</f>
        <v>Electronics</v>
      </c>
      <c r="I2722" s="41" t="n">
        <f aca="false">VLOOKUP(C2722,Products!$A$5:$D$24,4,FALSE())</f>
        <v>38</v>
      </c>
      <c r="J2722" s="42" t="n">
        <f aca="false">DATE(YEAR(B2722),MONTH(B2722),1)</f>
        <v>45992</v>
      </c>
      <c r="K2722" s="41" t="n">
        <f aca="false">D2722*E2722</f>
        <v>77.62</v>
      </c>
      <c r="L2722" s="41" t="n">
        <f aca="false">D2722*I2722</f>
        <v>38</v>
      </c>
      <c r="M2722" s="41" t="n">
        <f aca="false">IFERROR(INDEX(Raw_Expenses!$C$5:$C$2979,MATCH(A2722,Raw_Expenses!$A$5:$A$2979,0)),0)</f>
        <v>3.22</v>
      </c>
      <c r="N2722" s="41" t="n">
        <f aca="false">L2722+M2722</f>
        <v>41.22</v>
      </c>
      <c r="O2722" s="41" t="n">
        <f aca="false">K2722-N2722</f>
        <v>36.4</v>
      </c>
      <c r="P2722" s="43" t="n">
        <f aca="false">IF(K2722=0,0,O2722/K2722)</f>
        <v>0.468951301211028</v>
      </c>
    </row>
    <row r="2723" customFormat="false" ht="15" hidden="false" customHeight="false" outlineLevel="0" collapsed="false">
      <c r="A2723" s="39" t="s">
        <v>2845</v>
      </c>
      <c r="B2723" s="40" t="n">
        <v>45999</v>
      </c>
      <c r="C2723" s="39" t="s">
        <v>112</v>
      </c>
      <c r="D2723" s="39" t="n">
        <v>3</v>
      </c>
      <c r="E2723" s="41" t="n">
        <v>50.64</v>
      </c>
      <c r="F2723" s="39" t="s">
        <v>108</v>
      </c>
      <c r="G2723" s="39" t="str">
        <f aca="false">VLOOKUP(C2723,Products!$A$5:$D$24,2,FALSE())</f>
        <v>HD Webcam</v>
      </c>
      <c r="H2723" s="39" t="str">
        <f aca="false">VLOOKUP(C2723,Products!$A$5:$D$24,3,FALSE())</f>
        <v>Electronics</v>
      </c>
      <c r="I2723" s="41" t="n">
        <f aca="false">VLOOKUP(C2723,Products!$A$5:$D$24,4,FALSE())</f>
        <v>22</v>
      </c>
      <c r="J2723" s="42" t="n">
        <f aca="false">DATE(YEAR(B2723),MONTH(B2723),1)</f>
        <v>45992</v>
      </c>
      <c r="K2723" s="41" t="n">
        <f aca="false">D2723*E2723</f>
        <v>151.92</v>
      </c>
      <c r="L2723" s="41" t="n">
        <f aca="false">D2723*I2723</f>
        <v>66</v>
      </c>
      <c r="M2723" s="41" t="n">
        <f aca="false">IFERROR(INDEX(Raw_Expenses!$C$5:$C$2979,MATCH(A2723,Raw_Expenses!$A$5:$A$2979,0)),0)</f>
        <v>6.56</v>
      </c>
      <c r="N2723" s="41" t="n">
        <f aca="false">L2723+M2723</f>
        <v>72.56</v>
      </c>
      <c r="O2723" s="41" t="n">
        <f aca="false">K2723-N2723</f>
        <v>79.36</v>
      </c>
      <c r="P2723" s="43" t="n">
        <f aca="false">IF(K2723=0,0,O2723/K2723)</f>
        <v>0.522380200105319</v>
      </c>
    </row>
    <row r="2724" customFormat="false" ht="15" hidden="false" customHeight="false" outlineLevel="0" collapsed="false">
      <c r="A2724" s="39" t="s">
        <v>2846</v>
      </c>
      <c r="B2724" s="40" t="n">
        <v>45999</v>
      </c>
      <c r="C2724" s="39" t="s">
        <v>169</v>
      </c>
      <c r="D2724" s="39" t="n">
        <v>2</v>
      </c>
      <c r="E2724" s="41" t="n">
        <v>28.96</v>
      </c>
      <c r="F2724" s="39" t="s">
        <v>115</v>
      </c>
      <c r="G2724" s="39" t="str">
        <f aca="false">VLOOKUP(C2724,Products!$A$5:$D$24,2,FALSE())</f>
        <v>Laptop Stand</v>
      </c>
      <c r="H2724" s="39" t="str">
        <f aca="false">VLOOKUP(C2724,Products!$A$5:$D$24,3,FALSE())</f>
        <v>Accessories</v>
      </c>
      <c r="I2724" s="41" t="n">
        <f aca="false">VLOOKUP(C2724,Products!$A$5:$D$24,4,FALSE())</f>
        <v>11</v>
      </c>
      <c r="J2724" s="42" t="n">
        <f aca="false">DATE(YEAR(B2724),MONTH(B2724),1)</f>
        <v>45992</v>
      </c>
      <c r="K2724" s="41" t="n">
        <f aca="false">D2724*E2724</f>
        <v>57.92</v>
      </c>
      <c r="L2724" s="41" t="n">
        <f aca="false">D2724*I2724</f>
        <v>22</v>
      </c>
      <c r="M2724" s="41" t="n">
        <f aca="false">IFERROR(INDEX(Raw_Expenses!$C$5:$C$2979,MATCH(A2724,Raw_Expenses!$A$5:$A$2979,0)),0)</f>
        <v>4.09</v>
      </c>
      <c r="N2724" s="41" t="n">
        <f aca="false">L2724+M2724</f>
        <v>26.09</v>
      </c>
      <c r="O2724" s="41" t="n">
        <f aca="false">K2724-N2724</f>
        <v>31.83</v>
      </c>
      <c r="P2724" s="43" t="n">
        <f aca="false">IF(K2724=0,0,O2724/K2724)</f>
        <v>0.549551104972376</v>
      </c>
    </row>
    <row r="2725" customFormat="false" ht="15" hidden="false" customHeight="false" outlineLevel="0" collapsed="false">
      <c r="A2725" s="39" t="s">
        <v>2847</v>
      </c>
      <c r="B2725" s="40" t="n">
        <v>45999</v>
      </c>
      <c r="C2725" s="39" t="s">
        <v>128</v>
      </c>
      <c r="D2725" s="39" t="n">
        <v>2</v>
      </c>
      <c r="E2725" s="41" t="n">
        <v>36.39</v>
      </c>
      <c r="F2725" s="39" t="s">
        <v>115</v>
      </c>
      <c r="G2725" s="39" t="str">
        <f aca="false">VLOOKUP(C2725,Products!$A$5:$D$24,2,FALSE())</f>
        <v>Ergonomic Footrest</v>
      </c>
      <c r="H2725" s="39" t="str">
        <f aca="false">VLOOKUP(C2725,Products!$A$5:$D$24,3,FALSE())</f>
        <v>Furniture</v>
      </c>
      <c r="I2725" s="41" t="n">
        <f aca="false">VLOOKUP(C2725,Products!$A$5:$D$24,4,FALSE())</f>
        <v>15</v>
      </c>
      <c r="J2725" s="42" t="n">
        <f aca="false">DATE(YEAR(B2725),MONTH(B2725),1)</f>
        <v>45992</v>
      </c>
      <c r="K2725" s="41" t="n">
        <f aca="false">D2725*E2725</f>
        <v>72.78</v>
      </c>
      <c r="L2725" s="41" t="n">
        <f aca="false">D2725*I2725</f>
        <v>30</v>
      </c>
      <c r="M2725" s="41" t="n">
        <f aca="false">IFERROR(INDEX(Raw_Expenses!$C$5:$C$2979,MATCH(A2725,Raw_Expenses!$A$5:$A$2979,0)),0)</f>
        <v>5.99</v>
      </c>
      <c r="N2725" s="41" t="n">
        <f aca="false">L2725+M2725</f>
        <v>35.99</v>
      </c>
      <c r="O2725" s="41" t="n">
        <f aca="false">K2725-N2725</f>
        <v>36.79</v>
      </c>
      <c r="P2725" s="43" t="n">
        <f aca="false">IF(K2725=0,0,O2725/K2725)</f>
        <v>0.505496015388843</v>
      </c>
    </row>
    <row r="2726" customFormat="false" ht="15" hidden="false" customHeight="false" outlineLevel="0" collapsed="false">
      <c r="A2726" s="39" t="s">
        <v>2848</v>
      </c>
      <c r="B2726" s="40" t="n">
        <v>45999</v>
      </c>
      <c r="C2726" s="39" t="s">
        <v>144</v>
      </c>
      <c r="D2726" s="39" t="n">
        <v>3</v>
      </c>
      <c r="E2726" s="41" t="n">
        <v>54.73</v>
      </c>
      <c r="F2726" s="39" t="s">
        <v>118</v>
      </c>
      <c r="G2726" s="39" t="str">
        <f aca="false">VLOOKUP(C2726,Products!$A$5:$D$24,2,FALSE())</f>
        <v>Whiteboard</v>
      </c>
      <c r="H2726" s="39" t="str">
        <f aca="false">VLOOKUP(C2726,Products!$A$5:$D$24,3,FALSE())</f>
        <v>Furniture</v>
      </c>
      <c r="I2726" s="41" t="n">
        <f aca="false">VLOOKUP(C2726,Products!$A$5:$D$24,4,FALSE())</f>
        <v>28</v>
      </c>
      <c r="J2726" s="42" t="n">
        <f aca="false">DATE(YEAR(B2726),MONTH(B2726),1)</f>
        <v>45992</v>
      </c>
      <c r="K2726" s="41" t="n">
        <f aca="false">D2726*E2726</f>
        <v>164.19</v>
      </c>
      <c r="L2726" s="41" t="n">
        <f aca="false">D2726*I2726</f>
        <v>84</v>
      </c>
      <c r="M2726" s="41" t="n">
        <f aca="false">IFERROR(INDEX(Raw_Expenses!$C$5:$C$2979,MATCH(A2726,Raw_Expenses!$A$5:$A$2979,0)),0)</f>
        <v>10.12</v>
      </c>
      <c r="N2726" s="41" t="n">
        <f aca="false">L2726+M2726</f>
        <v>94.12</v>
      </c>
      <c r="O2726" s="41" t="n">
        <f aca="false">K2726-N2726</f>
        <v>70.07</v>
      </c>
      <c r="P2726" s="43" t="n">
        <f aca="false">IF(K2726=0,0,O2726/K2726)</f>
        <v>0.426761678543151</v>
      </c>
    </row>
    <row r="2727" customFormat="false" ht="15" hidden="false" customHeight="false" outlineLevel="0" collapsed="false">
      <c r="A2727" s="39" t="s">
        <v>2849</v>
      </c>
      <c r="B2727" s="40" t="n">
        <v>46000</v>
      </c>
      <c r="C2727" s="39" t="s">
        <v>177</v>
      </c>
      <c r="D2727" s="39" t="n">
        <v>4</v>
      </c>
      <c r="E2727" s="41" t="n">
        <v>43.08</v>
      </c>
      <c r="F2727" s="39" t="s">
        <v>115</v>
      </c>
      <c r="G2727" s="39" t="str">
        <f aca="false">VLOOKUP(C2727,Products!$A$5:$D$24,2,FALSE())</f>
        <v>Backpack</v>
      </c>
      <c r="H2727" s="39" t="str">
        <f aca="false">VLOOKUP(C2727,Products!$A$5:$D$24,3,FALSE())</f>
        <v>Accessories</v>
      </c>
      <c r="I2727" s="41" t="n">
        <f aca="false">VLOOKUP(C2727,Products!$A$5:$D$24,4,FALSE())</f>
        <v>17</v>
      </c>
      <c r="J2727" s="42" t="n">
        <f aca="false">DATE(YEAR(B2727),MONTH(B2727),1)</f>
        <v>45992</v>
      </c>
      <c r="K2727" s="41" t="n">
        <f aca="false">D2727*E2727</f>
        <v>172.32</v>
      </c>
      <c r="L2727" s="41" t="n">
        <f aca="false">D2727*I2727</f>
        <v>68</v>
      </c>
      <c r="M2727" s="41" t="n">
        <f aca="false">IFERROR(INDEX(Raw_Expenses!$C$5:$C$2979,MATCH(A2727,Raw_Expenses!$A$5:$A$2979,0)),0)</f>
        <v>13.6</v>
      </c>
      <c r="N2727" s="41" t="n">
        <f aca="false">L2727+M2727</f>
        <v>81.6</v>
      </c>
      <c r="O2727" s="41" t="n">
        <f aca="false">K2727-N2727</f>
        <v>90.72</v>
      </c>
      <c r="P2727" s="43" t="n">
        <f aca="false">IF(K2727=0,0,O2727/K2727)</f>
        <v>0.526462395543176</v>
      </c>
    </row>
    <row r="2728" customFormat="false" ht="15" hidden="false" customHeight="false" outlineLevel="0" collapsed="false">
      <c r="A2728" s="39" t="s">
        <v>2850</v>
      </c>
      <c r="B2728" s="40" t="n">
        <v>46000</v>
      </c>
      <c r="C2728" s="39" t="s">
        <v>169</v>
      </c>
      <c r="D2728" s="39" t="n">
        <v>1</v>
      </c>
      <c r="E2728" s="41" t="n">
        <v>28.67</v>
      </c>
      <c r="F2728" s="39" t="s">
        <v>118</v>
      </c>
      <c r="G2728" s="39" t="str">
        <f aca="false">VLOOKUP(C2728,Products!$A$5:$D$24,2,FALSE())</f>
        <v>Laptop Stand</v>
      </c>
      <c r="H2728" s="39" t="str">
        <f aca="false">VLOOKUP(C2728,Products!$A$5:$D$24,3,FALSE())</f>
        <v>Accessories</v>
      </c>
      <c r="I2728" s="41" t="n">
        <f aca="false">VLOOKUP(C2728,Products!$A$5:$D$24,4,FALSE())</f>
        <v>11</v>
      </c>
      <c r="J2728" s="42" t="n">
        <f aca="false">DATE(YEAR(B2728),MONTH(B2728),1)</f>
        <v>45992</v>
      </c>
      <c r="K2728" s="41" t="n">
        <f aca="false">D2728*E2728</f>
        <v>28.67</v>
      </c>
      <c r="L2728" s="41" t="n">
        <f aca="false">D2728*I2728</f>
        <v>11</v>
      </c>
      <c r="M2728" s="41" t="n">
        <f aca="false">IFERROR(INDEX(Raw_Expenses!$C$5:$C$2979,MATCH(A2728,Raw_Expenses!$A$5:$A$2979,0)),0)</f>
        <v>0</v>
      </c>
      <c r="N2728" s="41" t="n">
        <f aca="false">L2728+M2728</f>
        <v>11</v>
      </c>
      <c r="O2728" s="41" t="n">
        <f aca="false">K2728-N2728</f>
        <v>17.67</v>
      </c>
      <c r="P2728" s="43" t="n">
        <f aca="false">IF(K2728=0,0,O2728/K2728)</f>
        <v>0.61632368329264</v>
      </c>
    </row>
    <row r="2729" customFormat="false" ht="15" hidden="false" customHeight="false" outlineLevel="0" collapsed="false">
      <c r="A2729" s="39" t="s">
        <v>2851</v>
      </c>
      <c r="B2729" s="40" t="n">
        <v>46000</v>
      </c>
      <c r="C2729" s="39" t="s">
        <v>305</v>
      </c>
      <c r="D2729" s="39" t="n">
        <v>6</v>
      </c>
      <c r="E2729" s="41" t="n">
        <v>348.6</v>
      </c>
      <c r="F2729" s="39" t="s">
        <v>115</v>
      </c>
      <c r="G2729" s="39" t="str">
        <f aca="false">VLOOKUP(C2729,Products!$A$5:$D$24,2,FALSE())</f>
        <v>Standing Desk</v>
      </c>
      <c r="H2729" s="39" t="str">
        <f aca="false">VLOOKUP(C2729,Products!$A$5:$D$24,3,FALSE())</f>
        <v>Furniture</v>
      </c>
      <c r="I2729" s="41" t="n">
        <f aca="false">VLOOKUP(C2729,Products!$A$5:$D$24,4,FALSE())</f>
        <v>160</v>
      </c>
      <c r="J2729" s="42" t="n">
        <f aca="false">DATE(YEAR(B2729),MONTH(B2729),1)</f>
        <v>45992</v>
      </c>
      <c r="K2729" s="41" t="n">
        <f aca="false">D2729*E2729</f>
        <v>2091.6</v>
      </c>
      <c r="L2729" s="41" t="n">
        <f aca="false">D2729*I2729</f>
        <v>960</v>
      </c>
      <c r="M2729" s="41" t="n">
        <f aca="false">IFERROR(INDEX(Raw_Expenses!$C$5:$C$2979,MATCH(A2729,Raw_Expenses!$A$5:$A$2979,0)),0)</f>
        <v>90.81</v>
      </c>
      <c r="N2729" s="41" t="n">
        <f aca="false">L2729+M2729</f>
        <v>1050.81</v>
      </c>
      <c r="O2729" s="41" t="n">
        <f aca="false">K2729-N2729</f>
        <v>1040.79</v>
      </c>
      <c r="P2729" s="43" t="n">
        <f aca="false">IF(K2729=0,0,O2729/K2729)</f>
        <v>0.497604704532416</v>
      </c>
    </row>
    <row r="2730" customFormat="false" ht="15" hidden="false" customHeight="false" outlineLevel="0" collapsed="false">
      <c r="A2730" s="39" t="s">
        <v>2852</v>
      </c>
      <c r="B2730" s="40" t="n">
        <v>46000</v>
      </c>
      <c r="C2730" s="39" t="s">
        <v>130</v>
      </c>
      <c r="D2730" s="39" t="n">
        <v>5</v>
      </c>
      <c r="E2730" s="41" t="n">
        <v>8.32</v>
      </c>
      <c r="F2730" s="39" t="s">
        <v>118</v>
      </c>
      <c r="G2730" s="39" t="str">
        <f aca="false">VLOOKUP(C2730,Products!$A$5:$D$24,2,FALSE())</f>
        <v>Notebook Set</v>
      </c>
      <c r="H2730" s="39" t="str">
        <f aca="false">VLOOKUP(C2730,Products!$A$5:$D$24,3,FALSE())</f>
        <v>Stationery</v>
      </c>
      <c r="I2730" s="41" t="n">
        <f aca="false">VLOOKUP(C2730,Products!$A$5:$D$24,4,FALSE())</f>
        <v>3</v>
      </c>
      <c r="J2730" s="42" t="n">
        <f aca="false">DATE(YEAR(B2730),MONTH(B2730),1)</f>
        <v>45992</v>
      </c>
      <c r="K2730" s="41" t="n">
        <f aca="false">D2730*E2730</f>
        <v>41.6</v>
      </c>
      <c r="L2730" s="41" t="n">
        <f aca="false">D2730*I2730</f>
        <v>15</v>
      </c>
      <c r="M2730" s="41" t="n">
        <f aca="false">IFERROR(INDEX(Raw_Expenses!$C$5:$C$2979,MATCH(A2730,Raw_Expenses!$A$5:$A$2979,0)),0)</f>
        <v>3.17</v>
      </c>
      <c r="N2730" s="41" t="n">
        <f aca="false">L2730+M2730</f>
        <v>18.17</v>
      </c>
      <c r="O2730" s="41" t="n">
        <f aca="false">K2730-N2730</f>
        <v>23.43</v>
      </c>
      <c r="P2730" s="43" t="n">
        <f aca="false">IF(K2730=0,0,O2730/K2730)</f>
        <v>0.563221153846154</v>
      </c>
    </row>
    <row r="2731" customFormat="false" ht="15" hidden="false" customHeight="false" outlineLevel="0" collapsed="false">
      <c r="A2731" s="39" t="s">
        <v>2853</v>
      </c>
      <c r="B2731" s="40" t="n">
        <v>46000</v>
      </c>
      <c r="C2731" s="39" t="s">
        <v>112</v>
      </c>
      <c r="D2731" s="39" t="n">
        <v>2</v>
      </c>
      <c r="E2731" s="41" t="n">
        <v>54.08</v>
      </c>
      <c r="F2731" s="39" t="s">
        <v>115</v>
      </c>
      <c r="G2731" s="39" t="str">
        <f aca="false">VLOOKUP(C2731,Products!$A$5:$D$24,2,FALSE())</f>
        <v>HD Webcam</v>
      </c>
      <c r="H2731" s="39" t="str">
        <f aca="false">VLOOKUP(C2731,Products!$A$5:$D$24,3,FALSE())</f>
        <v>Electronics</v>
      </c>
      <c r="I2731" s="41" t="n">
        <f aca="false">VLOOKUP(C2731,Products!$A$5:$D$24,4,FALSE())</f>
        <v>22</v>
      </c>
      <c r="J2731" s="42" t="n">
        <f aca="false">DATE(YEAR(B2731),MONTH(B2731),1)</f>
        <v>45992</v>
      </c>
      <c r="K2731" s="41" t="n">
        <f aca="false">D2731*E2731</f>
        <v>108.16</v>
      </c>
      <c r="L2731" s="41" t="n">
        <f aca="false">D2731*I2731</f>
        <v>44</v>
      </c>
      <c r="M2731" s="41" t="n">
        <f aca="false">IFERROR(INDEX(Raw_Expenses!$C$5:$C$2979,MATCH(A2731,Raw_Expenses!$A$5:$A$2979,0)),0)</f>
        <v>9.59</v>
      </c>
      <c r="N2731" s="41" t="n">
        <f aca="false">L2731+M2731</f>
        <v>53.59</v>
      </c>
      <c r="O2731" s="41" t="n">
        <f aca="false">K2731-N2731</f>
        <v>54.57</v>
      </c>
      <c r="P2731" s="43" t="n">
        <f aca="false">IF(K2731=0,0,O2731/K2731)</f>
        <v>0.504530325443787</v>
      </c>
    </row>
    <row r="2732" customFormat="false" ht="15" hidden="false" customHeight="false" outlineLevel="0" collapsed="false">
      <c r="A2732" s="39" t="s">
        <v>2854</v>
      </c>
      <c r="B2732" s="40" t="n">
        <v>46000</v>
      </c>
      <c r="C2732" s="39" t="s">
        <v>117</v>
      </c>
      <c r="D2732" s="39" t="n">
        <v>4</v>
      </c>
      <c r="E2732" s="41" t="n">
        <v>31.32</v>
      </c>
      <c r="F2732" s="39" t="s">
        <v>108</v>
      </c>
      <c r="G2732" s="39" t="str">
        <f aca="false">VLOOKUP(C2732,Products!$A$5:$D$24,2,FALSE())</f>
        <v>Desk Lamp</v>
      </c>
      <c r="H2732" s="39" t="str">
        <f aca="false">VLOOKUP(C2732,Products!$A$5:$D$24,3,FALSE())</f>
        <v>Furniture</v>
      </c>
      <c r="I2732" s="41" t="n">
        <f aca="false">VLOOKUP(C2732,Products!$A$5:$D$24,4,FALSE())</f>
        <v>13</v>
      </c>
      <c r="J2732" s="42" t="n">
        <f aca="false">DATE(YEAR(B2732),MONTH(B2732),1)</f>
        <v>45992</v>
      </c>
      <c r="K2732" s="41" t="n">
        <f aca="false">D2732*E2732</f>
        <v>125.28</v>
      </c>
      <c r="L2732" s="41" t="n">
        <f aca="false">D2732*I2732</f>
        <v>52</v>
      </c>
      <c r="M2732" s="41" t="n">
        <f aca="false">IFERROR(INDEX(Raw_Expenses!$C$5:$C$2979,MATCH(A2732,Raw_Expenses!$A$5:$A$2979,0)),0)</f>
        <v>6.57</v>
      </c>
      <c r="N2732" s="41" t="n">
        <f aca="false">L2732+M2732</f>
        <v>58.57</v>
      </c>
      <c r="O2732" s="41" t="n">
        <f aca="false">K2732-N2732</f>
        <v>66.71</v>
      </c>
      <c r="P2732" s="43" t="n">
        <f aca="false">IF(K2732=0,0,O2732/K2732)</f>
        <v>0.532487228607918</v>
      </c>
    </row>
    <row r="2733" customFormat="false" ht="15" hidden="false" customHeight="false" outlineLevel="0" collapsed="false">
      <c r="A2733" s="39" t="s">
        <v>2855</v>
      </c>
      <c r="B2733" s="40" t="n">
        <v>46000</v>
      </c>
      <c r="C2733" s="39" t="s">
        <v>126</v>
      </c>
      <c r="D2733" s="39" t="n">
        <v>3</v>
      </c>
      <c r="E2733" s="41" t="n">
        <v>24.92</v>
      </c>
      <c r="F2733" s="39" t="s">
        <v>105</v>
      </c>
      <c r="G2733" s="39" t="str">
        <f aca="false">VLOOKUP(C2733,Products!$A$5:$D$24,2,FALSE())</f>
        <v>Wireless Mouse</v>
      </c>
      <c r="H2733" s="39" t="str">
        <f aca="false">VLOOKUP(C2733,Products!$A$5:$D$24,3,FALSE())</f>
        <v>Electronics</v>
      </c>
      <c r="I2733" s="41" t="n">
        <f aca="false">VLOOKUP(C2733,Products!$A$5:$D$24,4,FALSE())</f>
        <v>12</v>
      </c>
      <c r="J2733" s="42" t="n">
        <f aca="false">DATE(YEAR(B2733),MONTH(B2733),1)</f>
        <v>45992</v>
      </c>
      <c r="K2733" s="41" t="n">
        <f aca="false">D2733*E2733</f>
        <v>74.76</v>
      </c>
      <c r="L2733" s="41" t="n">
        <f aca="false">D2733*I2733</f>
        <v>36</v>
      </c>
      <c r="M2733" s="41" t="n">
        <f aca="false">IFERROR(INDEX(Raw_Expenses!$C$5:$C$2979,MATCH(A2733,Raw_Expenses!$A$5:$A$2979,0)),0)</f>
        <v>3.53</v>
      </c>
      <c r="N2733" s="41" t="n">
        <f aca="false">L2733+M2733</f>
        <v>39.53</v>
      </c>
      <c r="O2733" s="41" t="n">
        <f aca="false">K2733-N2733</f>
        <v>35.23</v>
      </c>
      <c r="P2733" s="43" t="n">
        <f aca="false">IF(K2733=0,0,O2733/K2733)</f>
        <v>0.471241305510968</v>
      </c>
    </row>
    <row r="2734" customFormat="false" ht="15" hidden="false" customHeight="false" outlineLevel="0" collapsed="false">
      <c r="A2734" s="39" t="s">
        <v>2856</v>
      </c>
      <c r="B2734" s="40" t="n">
        <v>46000</v>
      </c>
      <c r="C2734" s="39" t="s">
        <v>114</v>
      </c>
      <c r="D2734" s="39" t="n">
        <v>3</v>
      </c>
      <c r="E2734" s="41" t="n">
        <v>5.62</v>
      </c>
      <c r="F2734" s="39" t="s">
        <v>118</v>
      </c>
      <c r="G2734" s="39" t="str">
        <f aca="false">VLOOKUP(C2734,Products!$A$5:$D$24,2,FALSE())</f>
        <v>Gel Pen Pack</v>
      </c>
      <c r="H2734" s="39" t="str">
        <f aca="false">VLOOKUP(C2734,Products!$A$5:$D$24,3,FALSE())</f>
        <v>Stationery</v>
      </c>
      <c r="I2734" s="41" t="n">
        <f aca="false">VLOOKUP(C2734,Products!$A$5:$D$24,4,FALSE())</f>
        <v>2</v>
      </c>
      <c r="J2734" s="42" t="n">
        <f aca="false">DATE(YEAR(B2734),MONTH(B2734),1)</f>
        <v>45992</v>
      </c>
      <c r="K2734" s="41" t="n">
        <f aca="false">D2734*E2734</f>
        <v>16.86</v>
      </c>
      <c r="L2734" s="41" t="n">
        <f aca="false">D2734*I2734</f>
        <v>6</v>
      </c>
      <c r="M2734" s="41" t="n">
        <f aca="false">IFERROR(INDEX(Raw_Expenses!$C$5:$C$2979,MATCH(A2734,Raw_Expenses!$A$5:$A$2979,0)),0)</f>
        <v>1.13</v>
      </c>
      <c r="N2734" s="41" t="n">
        <f aca="false">L2734+M2734</f>
        <v>7.13</v>
      </c>
      <c r="O2734" s="41" t="n">
        <f aca="false">K2734-N2734</f>
        <v>9.73</v>
      </c>
      <c r="P2734" s="43" t="n">
        <f aca="false">IF(K2734=0,0,O2734/K2734)</f>
        <v>0.577105575326216</v>
      </c>
    </row>
    <row r="2735" customFormat="false" ht="15" hidden="false" customHeight="false" outlineLevel="0" collapsed="false">
      <c r="A2735" s="39" t="s">
        <v>2857</v>
      </c>
      <c r="B2735" s="40" t="n">
        <v>46000</v>
      </c>
      <c r="C2735" s="39" t="s">
        <v>114</v>
      </c>
      <c r="D2735" s="39" t="n">
        <v>3</v>
      </c>
      <c r="E2735" s="41" t="n">
        <v>5.58</v>
      </c>
      <c r="F2735" s="39" t="s">
        <v>108</v>
      </c>
      <c r="G2735" s="39" t="str">
        <f aca="false">VLOOKUP(C2735,Products!$A$5:$D$24,2,FALSE())</f>
        <v>Gel Pen Pack</v>
      </c>
      <c r="H2735" s="39" t="str">
        <f aca="false">VLOOKUP(C2735,Products!$A$5:$D$24,3,FALSE())</f>
        <v>Stationery</v>
      </c>
      <c r="I2735" s="41" t="n">
        <f aca="false">VLOOKUP(C2735,Products!$A$5:$D$24,4,FALSE())</f>
        <v>2</v>
      </c>
      <c r="J2735" s="42" t="n">
        <f aca="false">DATE(YEAR(B2735),MONTH(B2735),1)</f>
        <v>45992</v>
      </c>
      <c r="K2735" s="41" t="n">
        <f aca="false">D2735*E2735</f>
        <v>16.74</v>
      </c>
      <c r="L2735" s="41" t="n">
        <f aca="false">D2735*I2735</f>
        <v>6</v>
      </c>
      <c r="M2735" s="41" t="n">
        <f aca="false">IFERROR(INDEX(Raw_Expenses!$C$5:$C$2979,MATCH(A2735,Raw_Expenses!$A$5:$A$2979,0)),0)</f>
        <v>1.22</v>
      </c>
      <c r="N2735" s="41" t="n">
        <f aca="false">L2735+M2735</f>
        <v>7.22</v>
      </c>
      <c r="O2735" s="41" t="n">
        <f aca="false">K2735-N2735</f>
        <v>9.52</v>
      </c>
      <c r="P2735" s="43" t="n">
        <f aca="false">IF(K2735=0,0,O2735/K2735)</f>
        <v>0.568697729988053</v>
      </c>
    </row>
    <row r="2736" customFormat="false" ht="15" hidden="false" customHeight="false" outlineLevel="0" collapsed="false">
      <c r="A2736" s="39" t="s">
        <v>2858</v>
      </c>
      <c r="B2736" s="40" t="n">
        <v>46000</v>
      </c>
      <c r="C2736" s="39" t="s">
        <v>130</v>
      </c>
      <c r="D2736" s="39" t="n">
        <v>3</v>
      </c>
      <c r="E2736" s="41" t="n">
        <v>8.64</v>
      </c>
      <c r="F2736" s="39" t="s">
        <v>105</v>
      </c>
      <c r="G2736" s="39" t="str">
        <f aca="false">VLOOKUP(C2736,Products!$A$5:$D$24,2,FALSE())</f>
        <v>Notebook Set</v>
      </c>
      <c r="H2736" s="39" t="str">
        <f aca="false">VLOOKUP(C2736,Products!$A$5:$D$24,3,FALSE())</f>
        <v>Stationery</v>
      </c>
      <c r="I2736" s="41" t="n">
        <f aca="false">VLOOKUP(C2736,Products!$A$5:$D$24,4,FALSE())</f>
        <v>3</v>
      </c>
      <c r="J2736" s="42" t="n">
        <f aca="false">DATE(YEAR(B2736),MONTH(B2736),1)</f>
        <v>45992</v>
      </c>
      <c r="K2736" s="41" t="n">
        <f aca="false">D2736*E2736</f>
        <v>25.92</v>
      </c>
      <c r="L2736" s="41" t="n">
        <f aca="false">D2736*I2736</f>
        <v>9</v>
      </c>
      <c r="M2736" s="41" t="n">
        <f aca="false">IFERROR(INDEX(Raw_Expenses!$C$5:$C$2979,MATCH(A2736,Raw_Expenses!$A$5:$A$2979,0)),0)</f>
        <v>1.32</v>
      </c>
      <c r="N2736" s="41" t="n">
        <f aca="false">L2736+M2736</f>
        <v>10.32</v>
      </c>
      <c r="O2736" s="41" t="n">
        <f aca="false">K2736-N2736</f>
        <v>15.6</v>
      </c>
      <c r="P2736" s="43" t="n">
        <f aca="false">IF(K2736=0,0,O2736/K2736)</f>
        <v>0.601851851851852</v>
      </c>
    </row>
    <row r="2737" customFormat="false" ht="15" hidden="false" customHeight="false" outlineLevel="0" collapsed="false">
      <c r="A2737" s="39" t="s">
        <v>2859</v>
      </c>
      <c r="B2737" s="40" t="n">
        <v>46000</v>
      </c>
      <c r="C2737" s="39" t="s">
        <v>162</v>
      </c>
      <c r="D2737" s="39" t="n">
        <v>1</v>
      </c>
      <c r="E2737" s="41" t="n">
        <v>66.22</v>
      </c>
      <c r="F2737" s="39" t="s">
        <v>118</v>
      </c>
      <c r="G2737" s="39" t="str">
        <f aca="false">VLOOKUP(C2737,Products!$A$5:$D$24,2,FALSE())</f>
        <v>Bluetooth Speaker</v>
      </c>
      <c r="H2737" s="39" t="str">
        <f aca="false">VLOOKUP(C2737,Products!$A$5:$D$24,3,FALSE())</f>
        <v>Electronics</v>
      </c>
      <c r="I2737" s="41" t="n">
        <f aca="false">VLOOKUP(C2737,Products!$A$5:$D$24,4,FALSE())</f>
        <v>28</v>
      </c>
      <c r="J2737" s="42" t="n">
        <f aca="false">DATE(YEAR(B2737),MONTH(B2737),1)</f>
        <v>45992</v>
      </c>
      <c r="K2737" s="41" t="n">
        <f aca="false">D2737*E2737</f>
        <v>66.22</v>
      </c>
      <c r="L2737" s="41" t="n">
        <f aca="false">D2737*I2737</f>
        <v>28</v>
      </c>
      <c r="M2737" s="41" t="n">
        <f aca="false">IFERROR(INDEX(Raw_Expenses!$C$5:$C$2979,MATCH(A2737,Raw_Expenses!$A$5:$A$2979,0)),0)</f>
        <v>5.77</v>
      </c>
      <c r="N2737" s="41" t="n">
        <f aca="false">L2737+M2737</f>
        <v>33.77</v>
      </c>
      <c r="O2737" s="41" t="n">
        <f aca="false">K2737-N2737</f>
        <v>32.45</v>
      </c>
      <c r="P2737" s="43" t="n">
        <f aca="false">IF(K2737=0,0,O2737/K2737)</f>
        <v>0.490033222591362</v>
      </c>
    </row>
    <row r="2738" customFormat="false" ht="15" hidden="false" customHeight="false" outlineLevel="0" collapsed="false">
      <c r="A2738" s="39" t="s">
        <v>2860</v>
      </c>
      <c r="B2738" s="40" t="n">
        <v>46000</v>
      </c>
      <c r="C2738" s="39" t="s">
        <v>110</v>
      </c>
      <c r="D2738" s="39" t="n">
        <v>1</v>
      </c>
      <c r="E2738" s="41" t="n">
        <v>13.8</v>
      </c>
      <c r="F2738" s="39" t="s">
        <v>105</v>
      </c>
      <c r="G2738" s="39" t="str">
        <f aca="false">VLOOKUP(C2738,Products!$A$5:$D$24,2,FALSE())</f>
        <v>Phone Stand</v>
      </c>
      <c r="H2738" s="39" t="str">
        <f aca="false">VLOOKUP(C2738,Products!$A$5:$D$24,3,FALSE())</f>
        <v>Accessories</v>
      </c>
      <c r="I2738" s="41" t="n">
        <f aca="false">VLOOKUP(C2738,Products!$A$5:$D$24,4,FALSE())</f>
        <v>4</v>
      </c>
      <c r="J2738" s="42" t="n">
        <f aca="false">DATE(YEAR(B2738),MONTH(B2738),1)</f>
        <v>45992</v>
      </c>
      <c r="K2738" s="41" t="n">
        <f aca="false">D2738*E2738</f>
        <v>13.8</v>
      </c>
      <c r="L2738" s="41" t="n">
        <f aca="false">D2738*I2738</f>
        <v>4</v>
      </c>
      <c r="M2738" s="41" t="n">
        <f aca="false">IFERROR(INDEX(Raw_Expenses!$C$5:$C$2979,MATCH(A2738,Raw_Expenses!$A$5:$A$2979,0)),0)</f>
        <v>0.57</v>
      </c>
      <c r="N2738" s="41" t="n">
        <f aca="false">L2738+M2738</f>
        <v>4.57</v>
      </c>
      <c r="O2738" s="41" t="n">
        <f aca="false">K2738-N2738</f>
        <v>9.23</v>
      </c>
      <c r="P2738" s="43" t="n">
        <f aca="false">IF(K2738=0,0,O2738/K2738)</f>
        <v>0.668840579710145</v>
      </c>
    </row>
    <row r="2739" customFormat="false" ht="15" hidden="false" customHeight="false" outlineLevel="0" collapsed="false">
      <c r="A2739" s="39" t="s">
        <v>2861</v>
      </c>
      <c r="B2739" s="40" t="n">
        <v>46000</v>
      </c>
      <c r="C2739" s="39" t="s">
        <v>114</v>
      </c>
      <c r="D2739" s="39" t="n">
        <v>2</v>
      </c>
      <c r="E2739" s="41" t="n">
        <v>5.95</v>
      </c>
      <c r="F2739" s="39" t="s">
        <v>105</v>
      </c>
      <c r="G2739" s="39" t="str">
        <f aca="false">VLOOKUP(C2739,Products!$A$5:$D$24,2,FALSE())</f>
        <v>Gel Pen Pack</v>
      </c>
      <c r="H2739" s="39" t="str">
        <f aca="false">VLOOKUP(C2739,Products!$A$5:$D$24,3,FALSE())</f>
        <v>Stationery</v>
      </c>
      <c r="I2739" s="41" t="n">
        <f aca="false">VLOOKUP(C2739,Products!$A$5:$D$24,4,FALSE())</f>
        <v>2</v>
      </c>
      <c r="J2739" s="42" t="n">
        <f aca="false">DATE(YEAR(B2739),MONTH(B2739),1)</f>
        <v>45992</v>
      </c>
      <c r="K2739" s="41" t="n">
        <f aca="false">D2739*E2739</f>
        <v>11.9</v>
      </c>
      <c r="L2739" s="41" t="n">
        <f aca="false">D2739*I2739</f>
        <v>4</v>
      </c>
      <c r="M2739" s="41" t="n">
        <f aca="false">IFERROR(INDEX(Raw_Expenses!$C$5:$C$2979,MATCH(A2739,Raw_Expenses!$A$5:$A$2979,0)),0)</f>
        <v>0.71</v>
      </c>
      <c r="N2739" s="41" t="n">
        <f aca="false">L2739+M2739</f>
        <v>4.71</v>
      </c>
      <c r="O2739" s="41" t="n">
        <f aca="false">K2739-N2739</f>
        <v>7.19</v>
      </c>
      <c r="P2739" s="43" t="n">
        <f aca="false">IF(K2739=0,0,O2739/K2739)</f>
        <v>0.604201680672269</v>
      </c>
    </row>
    <row r="2740" customFormat="false" ht="15" hidden="false" customHeight="false" outlineLevel="0" collapsed="false">
      <c r="A2740" s="39" t="s">
        <v>2862</v>
      </c>
      <c r="B2740" s="40" t="n">
        <v>46000</v>
      </c>
      <c r="C2740" s="39" t="s">
        <v>153</v>
      </c>
      <c r="D2740" s="39" t="n">
        <v>3</v>
      </c>
      <c r="E2740" s="41" t="n">
        <v>177.66</v>
      </c>
      <c r="F2740" s="39" t="s">
        <v>118</v>
      </c>
      <c r="G2740" s="39" t="str">
        <f aca="false">VLOOKUP(C2740,Products!$A$5:$D$24,2,FALSE())</f>
        <v>24-inch Monitor</v>
      </c>
      <c r="H2740" s="39" t="str">
        <f aca="false">VLOOKUP(C2740,Products!$A$5:$D$24,3,FALSE())</f>
        <v>Electronics</v>
      </c>
      <c r="I2740" s="41" t="n">
        <f aca="false">VLOOKUP(C2740,Products!$A$5:$D$24,4,FALSE())</f>
        <v>90</v>
      </c>
      <c r="J2740" s="42" t="n">
        <f aca="false">DATE(YEAR(B2740),MONTH(B2740),1)</f>
        <v>45992</v>
      </c>
      <c r="K2740" s="41" t="n">
        <f aca="false">D2740*E2740</f>
        <v>532.98</v>
      </c>
      <c r="L2740" s="41" t="n">
        <f aca="false">D2740*I2740</f>
        <v>270</v>
      </c>
      <c r="M2740" s="41" t="n">
        <f aca="false">IFERROR(INDEX(Raw_Expenses!$C$5:$C$2979,MATCH(A2740,Raw_Expenses!$A$5:$A$2979,0)),0)</f>
        <v>24.12</v>
      </c>
      <c r="N2740" s="41" t="n">
        <f aca="false">L2740+M2740</f>
        <v>294.12</v>
      </c>
      <c r="O2740" s="41" t="n">
        <f aca="false">K2740-N2740</f>
        <v>238.86</v>
      </c>
      <c r="P2740" s="43" t="n">
        <f aca="false">IF(K2740=0,0,O2740/K2740)</f>
        <v>0.448159405606214</v>
      </c>
    </row>
    <row r="2741" customFormat="false" ht="15" hidden="false" customHeight="false" outlineLevel="0" collapsed="false">
      <c r="A2741" s="39" t="s">
        <v>2863</v>
      </c>
      <c r="B2741" s="40" t="n">
        <v>46000</v>
      </c>
      <c r="C2741" s="39" t="s">
        <v>139</v>
      </c>
      <c r="D2741" s="39" t="n">
        <v>2</v>
      </c>
      <c r="E2741" s="41" t="n">
        <v>126.76</v>
      </c>
      <c r="F2741" s="39" t="s">
        <v>115</v>
      </c>
      <c r="G2741" s="39" t="str">
        <f aca="false">VLOOKUP(C2741,Products!$A$5:$D$24,2,FALSE())</f>
        <v>Noise-Cancelling Headphones</v>
      </c>
      <c r="H2741" s="39" t="str">
        <f aca="false">VLOOKUP(C2741,Products!$A$5:$D$24,3,FALSE())</f>
        <v>Electronics</v>
      </c>
      <c r="I2741" s="41" t="n">
        <f aca="false">VLOOKUP(C2741,Products!$A$5:$D$24,4,FALSE())</f>
        <v>55</v>
      </c>
      <c r="J2741" s="42" t="n">
        <f aca="false">DATE(YEAR(B2741),MONTH(B2741),1)</f>
        <v>45992</v>
      </c>
      <c r="K2741" s="41" t="n">
        <f aca="false">D2741*E2741</f>
        <v>253.52</v>
      </c>
      <c r="L2741" s="41" t="n">
        <f aca="false">D2741*I2741</f>
        <v>110</v>
      </c>
      <c r="M2741" s="41" t="n">
        <f aca="false">IFERROR(INDEX(Raw_Expenses!$C$5:$C$2979,MATCH(A2741,Raw_Expenses!$A$5:$A$2979,0)),0)</f>
        <v>13.04</v>
      </c>
      <c r="N2741" s="41" t="n">
        <f aca="false">L2741+M2741</f>
        <v>123.04</v>
      </c>
      <c r="O2741" s="41" t="n">
        <f aca="false">K2741-N2741</f>
        <v>130.48</v>
      </c>
      <c r="P2741" s="43" t="n">
        <f aca="false">IF(K2741=0,0,O2741/K2741)</f>
        <v>0.514673398548438</v>
      </c>
    </row>
    <row r="2742" customFormat="false" ht="15" hidden="false" customHeight="false" outlineLevel="0" collapsed="false">
      <c r="A2742" s="39" t="s">
        <v>2864</v>
      </c>
      <c r="B2742" s="40" t="n">
        <v>46000</v>
      </c>
      <c r="C2742" s="39" t="s">
        <v>136</v>
      </c>
      <c r="D2742" s="39" t="n">
        <v>4</v>
      </c>
      <c r="E2742" s="41" t="n">
        <v>77.06</v>
      </c>
      <c r="F2742" s="39" t="s">
        <v>108</v>
      </c>
      <c r="G2742" s="39" t="str">
        <f aca="false">VLOOKUP(C2742,Products!$A$5:$D$24,2,FALSE())</f>
        <v>Mechanical Keyboard</v>
      </c>
      <c r="H2742" s="39" t="str">
        <f aca="false">VLOOKUP(C2742,Products!$A$5:$D$24,3,FALSE())</f>
        <v>Electronics</v>
      </c>
      <c r="I2742" s="41" t="n">
        <f aca="false">VLOOKUP(C2742,Products!$A$5:$D$24,4,FALSE())</f>
        <v>38</v>
      </c>
      <c r="J2742" s="42" t="n">
        <f aca="false">DATE(YEAR(B2742),MONTH(B2742),1)</f>
        <v>45992</v>
      </c>
      <c r="K2742" s="41" t="n">
        <f aca="false">D2742*E2742</f>
        <v>308.24</v>
      </c>
      <c r="L2742" s="41" t="n">
        <f aca="false">D2742*I2742</f>
        <v>152</v>
      </c>
      <c r="M2742" s="41" t="n">
        <f aca="false">IFERROR(INDEX(Raw_Expenses!$C$5:$C$2979,MATCH(A2742,Raw_Expenses!$A$5:$A$2979,0)),0)</f>
        <v>21.91</v>
      </c>
      <c r="N2742" s="41" t="n">
        <f aca="false">L2742+M2742</f>
        <v>173.91</v>
      </c>
      <c r="O2742" s="41" t="n">
        <f aca="false">K2742-N2742</f>
        <v>134.33</v>
      </c>
      <c r="P2742" s="43" t="n">
        <f aca="false">IF(K2742=0,0,O2742/K2742)</f>
        <v>0.435796781728523</v>
      </c>
    </row>
    <row r="2743" customFormat="false" ht="15" hidden="false" customHeight="false" outlineLevel="0" collapsed="false">
      <c r="A2743" s="39" t="s">
        <v>2865</v>
      </c>
      <c r="B2743" s="40" t="n">
        <v>46000</v>
      </c>
      <c r="C2743" s="39" t="s">
        <v>110</v>
      </c>
      <c r="D2743" s="39" t="n">
        <v>1</v>
      </c>
      <c r="E2743" s="41" t="n">
        <v>13.4</v>
      </c>
      <c r="F2743" s="39" t="s">
        <v>108</v>
      </c>
      <c r="G2743" s="39" t="str">
        <f aca="false">VLOOKUP(C2743,Products!$A$5:$D$24,2,FALSE())</f>
        <v>Phone Stand</v>
      </c>
      <c r="H2743" s="39" t="str">
        <f aca="false">VLOOKUP(C2743,Products!$A$5:$D$24,3,FALSE())</f>
        <v>Accessories</v>
      </c>
      <c r="I2743" s="41" t="n">
        <f aca="false">VLOOKUP(C2743,Products!$A$5:$D$24,4,FALSE())</f>
        <v>4</v>
      </c>
      <c r="J2743" s="42" t="n">
        <f aca="false">DATE(YEAR(B2743),MONTH(B2743),1)</f>
        <v>45992</v>
      </c>
      <c r="K2743" s="41" t="n">
        <f aca="false">D2743*E2743</f>
        <v>13.4</v>
      </c>
      <c r="L2743" s="41" t="n">
        <f aca="false">D2743*I2743</f>
        <v>4</v>
      </c>
      <c r="M2743" s="41" t="n">
        <f aca="false">IFERROR(INDEX(Raw_Expenses!$C$5:$C$2979,MATCH(A2743,Raw_Expenses!$A$5:$A$2979,0)),0)</f>
        <v>0.7</v>
      </c>
      <c r="N2743" s="41" t="n">
        <f aca="false">L2743+M2743</f>
        <v>4.7</v>
      </c>
      <c r="O2743" s="41" t="n">
        <f aca="false">K2743-N2743</f>
        <v>8.7</v>
      </c>
      <c r="P2743" s="43" t="n">
        <f aca="false">IF(K2743=0,0,O2743/K2743)</f>
        <v>0.649253731343284</v>
      </c>
    </row>
    <row r="2744" customFormat="false" ht="15" hidden="false" customHeight="false" outlineLevel="0" collapsed="false">
      <c r="A2744" s="39" t="s">
        <v>2866</v>
      </c>
      <c r="B2744" s="40" t="n">
        <v>46000</v>
      </c>
      <c r="C2744" s="39" t="s">
        <v>114</v>
      </c>
      <c r="D2744" s="39" t="n">
        <v>1</v>
      </c>
      <c r="E2744" s="41" t="n">
        <v>5.64</v>
      </c>
      <c r="F2744" s="39" t="s">
        <v>118</v>
      </c>
      <c r="G2744" s="39" t="str">
        <f aca="false">VLOOKUP(C2744,Products!$A$5:$D$24,2,FALSE())</f>
        <v>Gel Pen Pack</v>
      </c>
      <c r="H2744" s="39" t="str">
        <f aca="false">VLOOKUP(C2744,Products!$A$5:$D$24,3,FALSE())</f>
        <v>Stationery</v>
      </c>
      <c r="I2744" s="41" t="n">
        <f aca="false">VLOOKUP(C2744,Products!$A$5:$D$24,4,FALSE())</f>
        <v>2</v>
      </c>
      <c r="J2744" s="42" t="n">
        <f aca="false">DATE(YEAR(B2744),MONTH(B2744),1)</f>
        <v>45992</v>
      </c>
      <c r="K2744" s="41" t="n">
        <f aca="false">D2744*E2744</f>
        <v>5.64</v>
      </c>
      <c r="L2744" s="41" t="n">
        <f aca="false">D2744*I2744</f>
        <v>2</v>
      </c>
      <c r="M2744" s="41" t="n">
        <f aca="false">IFERROR(INDEX(Raw_Expenses!$C$5:$C$2979,MATCH(A2744,Raw_Expenses!$A$5:$A$2979,0)),0)</f>
        <v>0.34</v>
      </c>
      <c r="N2744" s="41" t="n">
        <f aca="false">L2744+M2744</f>
        <v>2.34</v>
      </c>
      <c r="O2744" s="41" t="n">
        <f aca="false">K2744-N2744</f>
        <v>3.3</v>
      </c>
      <c r="P2744" s="43" t="n">
        <f aca="false">IF(K2744=0,0,O2744/K2744)</f>
        <v>0.585106382978723</v>
      </c>
    </row>
    <row r="2745" customFormat="false" ht="15" hidden="false" customHeight="false" outlineLevel="0" collapsed="false">
      <c r="A2745" s="39" t="s">
        <v>2867</v>
      </c>
      <c r="B2745" s="40" t="n">
        <v>46000</v>
      </c>
      <c r="C2745" s="39" t="s">
        <v>169</v>
      </c>
      <c r="D2745" s="39" t="n">
        <v>5</v>
      </c>
      <c r="E2745" s="41" t="n">
        <v>27.03</v>
      </c>
      <c r="F2745" s="39" t="s">
        <v>115</v>
      </c>
      <c r="G2745" s="39" t="str">
        <f aca="false">VLOOKUP(C2745,Products!$A$5:$D$24,2,FALSE())</f>
        <v>Laptop Stand</v>
      </c>
      <c r="H2745" s="39" t="str">
        <f aca="false">VLOOKUP(C2745,Products!$A$5:$D$24,3,FALSE())</f>
        <v>Accessories</v>
      </c>
      <c r="I2745" s="41" t="n">
        <f aca="false">VLOOKUP(C2745,Products!$A$5:$D$24,4,FALSE())</f>
        <v>11</v>
      </c>
      <c r="J2745" s="42" t="n">
        <f aca="false">DATE(YEAR(B2745),MONTH(B2745),1)</f>
        <v>45992</v>
      </c>
      <c r="K2745" s="41" t="n">
        <f aca="false">D2745*E2745</f>
        <v>135.15</v>
      </c>
      <c r="L2745" s="41" t="n">
        <f aca="false">D2745*I2745</f>
        <v>55</v>
      </c>
      <c r="M2745" s="41" t="n">
        <f aca="false">IFERROR(INDEX(Raw_Expenses!$C$5:$C$2979,MATCH(A2745,Raw_Expenses!$A$5:$A$2979,0)),0)</f>
        <v>7.75</v>
      </c>
      <c r="N2745" s="41" t="n">
        <f aca="false">L2745+M2745</f>
        <v>62.75</v>
      </c>
      <c r="O2745" s="41" t="n">
        <f aca="false">K2745-N2745</f>
        <v>72.4</v>
      </c>
      <c r="P2745" s="43" t="n">
        <f aca="false">IF(K2745=0,0,O2745/K2745)</f>
        <v>0.535701072881983</v>
      </c>
    </row>
    <row r="2746" customFormat="false" ht="15" hidden="false" customHeight="false" outlineLevel="0" collapsed="false">
      <c r="A2746" s="39" t="s">
        <v>2868</v>
      </c>
      <c r="B2746" s="40" t="n">
        <v>46001</v>
      </c>
      <c r="C2746" s="39" t="s">
        <v>104</v>
      </c>
      <c r="D2746" s="39" t="n">
        <v>1</v>
      </c>
      <c r="E2746" s="41" t="n">
        <v>14.84</v>
      </c>
      <c r="F2746" s="39" t="s">
        <v>118</v>
      </c>
      <c r="G2746" s="39" t="str">
        <f aca="false">VLOOKUP(C2746,Products!$A$5:$D$24,2,FALSE())</f>
        <v>Water Bottle</v>
      </c>
      <c r="H2746" s="39" t="str">
        <f aca="false">VLOOKUP(C2746,Products!$A$5:$D$24,3,FALSE())</f>
        <v>Accessories</v>
      </c>
      <c r="I2746" s="41" t="n">
        <f aca="false">VLOOKUP(C2746,Products!$A$5:$D$24,4,FALSE())</f>
        <v>5</v>
      </c>
      <c r="J2746" s="42" t="n">
        <f aca="false">DATE(YEAR(B2746),MONTH(B2746),1)</f>
        <v>45992</v>
      </c>
      <c r="K2746" s="41" t="n">
        <f aca="false">D2746*E2746</f>
        <v>14.84</v>
      </c>
      <c r="L2746" s="41" t="n">
        <f aca="false">D2746*I2746</f>
        <v>5</v>
      </c>
      <c r="M2746" s="41" t="n">
        <f aca="false">IFERROR(INDEX(Raw_Expenses!$C$5:$C$2979,MATCH(A2746,Raw_Expenses!$A$5:$A$2979,0)),0)</f>
        <v>0.65</v>
      </c>
      <c r="N2746" s="41" t="n">
        <f aca="false">L2746+M2746</f>
        <v>5.65</v>
      </c>
      <c r="O2746" s="41" t="n">
        <f aca="false">K2746-N2746</f>
        <v>9.19</v>
      </c>
      <c r="P2746" s="43" t="n">
        <f aca="false">IF(K2746=0,0,O2746/K2746)</f>
        <v>0.619272237196766</v>
      </c>
    </row>
    <row r="2747" customFormat="false" ht="15" hidden="false" customHeight="false" outlineLevel="0" collapsed="false">
      <c r="A2747" s="39" t="s">
        <v>2869</v>
      </c>
      <c r="B2747" s="40" t="n">
        <v>46001</v>
      </c>
      <c r="C2747" s="39" t="s">
        <v>169</v>
      </c>
      <c r="D2747" s="39" t="n">
        <v>2</v>
      </c>
      <c r="E2747" s="41" t="n">
        <v>28.48</v>
      </c>
      <c r="F2747" s="39" t="s">
        <v>108</v>
      </c>
      <c r="G2747" s="39" t="str">
        <f aca="false">VLOOKUP(C2747,Products!$A$5:$D$24,2,FALSE())</f>
        <v>Laptop Stand</v>
      </c>
      <c r="H2747" s="39" t="str">
        <f aca="false">VLOOKUP(C2747,Products!$A$5:$D$24,3,FALSE())</f>
        <v>Accessories</v>
      </c>
      <c r="I2747" s="41" t="n">
        <f aca="false">VLOOKUP(C2747,Products!$A$5:$D$24,4,FALSE())</f>
        <v>11</v>
      </c>
      <c r="J2747" s="42" t="n">
        <f aca="false">DATE(YEAR(B2747),MONTH(B2747),1)</f>
        <v>45992</v>
      </c>
      <c r="K2747" s="41" t="n">
        <f aca="false">D2747*E2747</f>
        <v>56.96</v>
      </c>
      <c r="L2747" s="41" t="n">
        <f aca="false">D2747*I2747</f>
        <v>22</v>
      </c>
      <c r="M2747" s="41" t="n">
        <f aca="false">IFERROR(INDEX(Raw_Expenses!$C$5:$C$2979,MATCH(A2747,Raw_Expenses!$A$5:$A$2979,0)),0)</f>
        <v>3.12</v>
      </c>
      <c r="N2747" s="41" t="n">
        <f aca="false">L2747+M2747</f>
        <v>25.12</v>
      </c>
      <c r="O2747" s="41" t="n">
        <f aca="false">K2747-N2747</f>
        <v>31.84</v>
      </c>
      <c r="P2747" s="43" t="n">
        <f aca="false">IF(K2747=0,0,O2747/K2747)</f>
        <v>0.558988764044944</v>
      </c>
    </row>
    <row r="2748" customFormat="false" ht="15" hidden="false" customHeight="false" outlineLevel="0" collapsed="false">
      <c r="A2748" s="39" t="s">
        <v>2870</v>
      </c>
      <c r="B2748" s="40" t="n">
        <v>46001</v>
      </c>
      <c r="C2748" s="39" t="s">
        <v>162</v>
      </c>
      <c r="D2748" s="39" t="n">
        <v>3</v>
      </c>
      <c r="E2748" s="41" t="n">
        <v>67.9</v>
      </c>
      <c r="F2748" s="39" t="s">
        <v>118</v>
      </c>
      <c r="G2748" s="39" t="str">
        <f aca="false">VLOOKUP(C2748,Products!$A$5:$D$24,2,FALSE())</f>
        <v>Bluetooth Speaker</v>
      </c>
      <c r="H2748" s="39" t="str">
        <f aca="false">VLOOKUP(C2748,Products!$A$5:$D$24,3,FALSE())</f>
        <v>Electronics</v>
      </c>
      <c r="I2748" s="41" t="n">
        <f aca="false">VLOOKUP(C2748,Products!$A$5:$D$24,4,FALSE())</f>
        <v>28</v>
      </c>
      <c r="J2748" s="42" t="n">
        <f aca="false">DATE(YEAR(B2748),MONTH(B2748),1)</f>
        <v>45992</v>
      </c>
      <c r="K2748" s="41" t="n">
        <f aca="false">D2748*E2748</f>
        <v>203.7</v>
      </c>
      <c r="L2748" s="41" t="n">
        <f aca="false">D2748*I2748</f>
        <v>84</v>
      </c>
      <c r="M2748" s="41" t="n">
        <f aca="false">IFERROR(INDEX(Raw_Expenses!$C$5:$C$2979,MATCH(A2748,Raw_Expenses!$A$5:$A$2979,0)),0)</f>
        <v>10.88</v>
      </c>
      <c r="N2748" s="41" t="n">
        <f aca="false">L2748+M2748</f>
        <v>94.88</v>
      </c>
      <c r="O2748" s="41" t="n">
        <f aca="false">K2748-N2748</f>
        <v>108.82</v>
      </c>
      <c r="P2748" s="43" t="n">
        <f aca="false">IF(K2748=0,0,O2748/K2748)</f>
        <v>0.534216985763378</v>
      </c>
    </row>
    <row r="2749" customFormat="false" ht="15" hidden="false" customHeight="false" outlineLevel="0" collapsed="false">
      <c r="A2749" s="39" t="s">
        <v>2871</v>
      </c>
      <c r="B2749" s="40" t="n">
        <v>46001</v>
      </c>
      <c r="C2749" s="39" t="s">
        <v>177</v>
      </c>
      <c r="D2749" s="39" t="n">
        <v>1</v>
      </c>
      <c r="E2749" s="41" t="n">
        <v>44.89</v>
      </c>
      <c r="F2749" s="39" t="s">
        <v>108</v>
      </c>
      <c r="G2749" s="39" t="str">
        <f aca="false">VLOOKUP(C2749,Products!$A$5:$D$24,2,FALSE())</f>
        <v>Backpack</v>
      </c>
      <c r="H2749" s="39" t="str">
        <f aca="false">VLOOKUP(C2749,Products!$A$5:$D$24,3,FALSE())</f>
        <v>Accessories</v>
      </c>
      <c r="I2749" s="41" t="n">
        <f aca="false">VLOOKUP(C2749,Products!$A$5:$D$24,4,FALSE())</f>
        <v>17</v>
      </c>
      <c r="J2749" s="42" t="n">
        <f aca="false">DATE(YEAR(B2749),MONTH(B2749),1)</f>
        <v>45992</v>
      </c>
      <c r="K2749" s="41" t="n">
        <f aca="false">D2749*E2749</f>
        <v>44.89</v>
      </c>
      <c r="L2749" s="41" t="n">
        <f aca="false">D2749*I2749</f>
        <v>17</v>
      </c>
      <c r="M2749" s="41" t="n">
        <f aca="false">IFERROR(INDEX(Raw_Expenses!$C$5:$C$2979,MATCH(A2749,Raw_Expenses!$A$5:$A$2979,0)),0)</f>
        <v>2.43</v>
      </c>
      <c r="N2749" s="41" t="n">
        <f aca="false">L2749+M2749</f>
        <v>19.43</v>
      </c>
      <c r="O2749" s="41" t="n">
        <f aca="false">K2749-N2749</f>
        <v>25.46</v>
      </c>
      <c r="P2749" s="43" t="n">
        <f aca="false">IF(K2749=0,0,O2749/K2749)</f>
        <v>0.567164179104478</v>
      </c>
    </row>
    <row r="2750" customFormat="false" ht="15" hidden="false" customHeight="false" outlineLevel="0" collapsed="false">
      <c r="A2750" s="39" t="s">
        <v>2872</v>
      </c>
      <c r="B2750" s="40" t="n">
        <v>46001</v>
      </c>
      <c r="C2750" s="39" t="s">
        <v>126</v>
      </c>
      <c r="D2750" s="39" t="n">
        <v>3</v>
      </c>
      <c r="E2750" s="41" t="n">
        <v>24.35</v>
      </c>
      <c r="F2750" s="39" t="s">
        <v>108</v>
      </c>
      <c r="G2750" s="39" t="str">
        <f aca="false">VLOOKUP(C2750,Products!$A$5:$D$24,2,FALSE())</f>
        <v>Wireless Mouse</v>
      </c>
      <c r="H2750" s="39" t="str">
        <f aca="false">VLOOKUP(C2750,Products!$A$5:$D$24,3,FALSE())</f>
        <v>Electronics</v>
      </c>
      <c r="I2750" s="41" t="n">
        <f aca="false">VLOOKUP(C2750,Products!$A$5:$D$24,4,FALSE())</f>
        <v>12</v>
      </c>
      <c r="J2750" s="42" t="n">
        <f aca="false">DATE(YEAR(B2750),MONTH(B2750),1)</f>
        <v>45992</v>
      </c>
      <c r="K2750" s="41" t="n">
        <f aca="false">D2750*E2750</f>
        <v>73.05</v>
      </c>
      <c r="L2750" s="41" t="n">
        <f aca="false">D2750*I2750</f>
        <v>36</v>
      </c>
      <c r="M2750" s="41" t="n">
        <f aca="false">IFERROR(INDEX(Raw_Expenses!$C$5:$C$2979,MATCH(A2750,Raw_Expenses!$A$5:$A$2979,0)),0)</f>
        <v>2.97</v>
      </c>
      <c r="N2750" s="41" t="n">
        <f aca="false">L2750+M2750</f>
        <v>38.97</v>
      </c>
      <c r="O2750" s="41" t="n">
        <f aca="false">K2750-N2750</f>
        <v>34.08</v>
      </c>
      <c r="P2750" s="43" t="n">
        <f aca="false">IF(K2750=0,0,O2750/K2750)</f>
        <v>0.46652977412731</v>
      </c>
    </row>
    <row r="2751" customFormat="false" ht="15" hidden="false" customHeight="false" outlineLevel="0" collapsed="false">
      <c r="A2751" s="39" t="s">
        <v>2873</v>
      </c>
      <c r="B2751" s="40" t="n">
        <v>46001</v>
      </c>
      <c r="C2751" s="39" t="s">
        <v>126</v>
      </c>
      <c r="D2751" s="39" t="n">
        <v>1</v>
      </c>
      <c r="E2751" s="41" t="n">
        <v>24.64</v>
      </c>
      <c r="F2751" s="39" t="s">
        <v>105</v>
      </c>
      <c r="G2751" s="39" t="str">
        <f aca="false">VLOOKUP(C2751,Products!$A$5:$D$24,2,FALSE())</f>
        <v>Wireless Mouse</v>
      </c>
      <c r="H2751" s="39" t="str">
        <f aca="false">VLOOKUP(C2751,Products!$A$5:$D$24,3,FALSE())</f>
        <v>Electronics</v>
      </c>
      <c r="I2751" s="41" t="n">
        <f aca="false">VLOOKUP(C2751,Products!$A$5:$D$24,4,FALSE())</f>
        <v>12</v>
      </c>
      <c r="J2751" s="42" t="n">
        <f aca="false">DATE(YEAR(B2751),MONTH(B2751),1)</f>
        <v>45992</v>
      </c>
      <c r="K2751" s="41" t="n">
        <f aca="false">D2751*E2751</f>
        <v>24.64</v>
      </c>
      <c r="L2751" s="41" t="n">
        <f aca="false">D2751*I2751</f>
        <v>12</v>
      </c>
      <c r="M2751" s="41" t="n">
        <f aca="false">IFERROR(INDEX(Raw_Expenses!$C$5:$C$2979,MATCH(A2751,Raw_Expenses!$A$5:$A$2979,0)),0)</f>
        <v>1.73</v>
      </c>
      <c r="N2751" s="41" t="n">
        <f aca="false">L2751+M2751</f>
        <v>13.73</v>
      </c>
      <c r="O2751" s="41" t="n">
        <f aca="false">K2751-N2751</f>
        <v>10.91</v>
      </c>
      <c r="P2751" s="43" t="n">
        <f aca="false">IF(K2751=0,0,O2751/K2751)</f>
        <v>0.442775974025974</v>
      </c>
    </row>
    <row r="2752" customFormat="false" ht="15" hidden="false" customHeight="false" outlineLevel="0" collapsed="false">
      <c r="A2752" s="39" t="s">
        <v>2874</v>
      </c>
      <c r="B2752" s="40" t="n">
        <v>46002</v>
      </c>
      <c r="C2752" s="39" t="s">
        <v>136</v>
      </c>
      <c r="D2752" s="39" t="n">
        <v>2</v>
      </c>
      <c r="E2752" s="41" t="n">
        <v>75.72</v>
      </c>
      <c r="F2752" s="39" t="s">
        <v>108</v>
      </c>
      <c r="G2752" s="39" t="str">
        <f aca="false">VLOOKUP(C2752,Products!$A$5:$D$24,2,FALSE())</f>
        <v>Mechanical Keyboard</v>
      </c>
      <c r="H2752" s="39" t="str">
        <f aca="false">VLOOKUP(C2752,Products!$A$5:$D$24,3,FALSE())</f>
        <v>Electronics</v>
      </c>
      <c r="I2752" s="41" t="n">
        <f aca="false">VLOOKUP(C2752,Products!$A$5:$D$24,4,FALSE())</f>
        <v>38</v>
      </c>
      <c r="J2752" s="42" t="n">
        <f aca="false">DATE(YEAR(B2752),MONTH(B2752),1)</f>
        <v>45992</v>
      </c>
      <c r="K2752" s="41" t="n">
        <f aca="false">D2752*E2752</f>
        <v>151.44</v>
      </c>
      <c r="L2752" s="41" t="n">
        <f aca="false">D2752*I2752</f>
        <v>76</v>
      </c>
      <c r="M2752" s="41" t="n">
        <f aca="false">IFERROR(INDEX(Raw_Expenses!$C$5:$C$2979,MATCH(A2752,Raw_Expenses!$A$5:$A$2979,0)),0)</f>
        <v>13.08</v>
      </c>
      <c r="N2752" s="41" t="n">
        <f aca="false">L2752+M2752</f>
        <v>89.08</v>
      </c>
      <c r="O2752" s="41" t="n">
        <f aca="false">K2752-N2752</f>
        <v>62.36</v>
      </c>
      <c r="P2752" s="43" t="n">
        <f aca="false">IF(K2752=0,0,O2752/K2752)</f>
        <v>0.411780243000528</v>
      </c>
    </row>
    <row r="2753" customFormat="false" ht="15" hidden="false" customHeight="false" outlineLevel="0" collapsed="false">
      <c r="A2753" s="39" t="s">
        <v>2875</v>
      </c>
      <c r="B2753" s="40" t="n">
        <v>46002</v>
      </c>
      <c r="C2753" s="39" t="s">
        <v>117</v>
      </c>
      <c r="D2753" s="39" t="n">
        <v>5</v>
      </c>
      <c r="E2753" s="41" t="n">
        <v>31.09</v>
      </c>
      <c r="F2753" s="39" t="s">
        <v>118</v>
      </c>
      <c r="G2753" s="39" t="str">
        <f aca="false">VLOOKUP(C2753,Products!$A$5:$D$24,2,FALSE())</f>
        <v>Desk Lamp</v>
      </c>
      <c r="H2753" s="39" t="str">
        <f aca="false">VLOOKUP(C2753,Products!$A$5:$D$24,3,FALSE())</f>
        <v>Furniture</v>
      </c>
      <c r="I2753" s="41" t="n">
        <f aca="false">VLOOKUP(C2753,Products!$A$5:$D$24,4,FALSE())</f>
        <v>13</v>
      </c>
      <c r="J2753" s="42" t="n">
        <f aca="false">DATE(YEAR(B2753),MONTH(B2753),1)</f>
        <v>45992</v>
      </c>
      <c r="K2753" s="41" t="n">
        <f aca="false">D2753*E2753</f>
        <v>155.45</v>
      </c>
      <c r="L2753" s="41" t="n">
        <f aca="false">D2753*I2753</f>
        <v>65</v>
      </c>
      <c r="M2753" s="41" t="n">
        <f aca="false">IFERROR(INDEX(Raw_Expenses!$C$5:$C$2979,MATCH(A2753,Raw_Expenses!$A$5:$A$2979,0)),0)</f>
        <v>13.43</v>
      </c>
      <c r="N2753" s="41" t="n">
        <f aca="false">L2753+M2753</f>
        <v>78.43</v>
      </c>
      <c r="O2753" s="41" t="n">
        <f aca="false">K2753-N2753</f>
        <v>77.02</v>
      </c>
      <c r="P2753" s="43" t="n">
        <f aca="false">IF(K2753=0,0,O2753/K2753)</f>
        <v>0.49546477967192</v>
      </c>
    </row>
    <row r="2754" customFormat="false" ht="15" hidden="false" customHeight="false" outlineLevel="0" collapsed="false">
      <c r="A2754" s="39" t="s">
        <v>2876</v>
      </c>
      <c r="B2754" s="40" t="n">
        <v>46002</v>
      </c>
      <c r="C2754" s="39" t="s">
        <v>305</v>
      </c>
      <c r="D2754" s="39" t="n">
        <v>1</v>
      </c>
      <c r="E2754" s="41" t="n">
        <v>335.29</v>
      </c>
      <c r="F2754" s="39" t="s">
        <v>108</v>
      </c>
      <c r="G2754" s="39" t="str">
        <f aca="false">VLOOKUP(C2754,Products!$A$5:$D$24,2,FALSE())</f>
        <v>Standing Desk</v>
      </c>
      <c r="H2754" s="39" t="str">
        <f aca="false">VLOOKUP(C2754,Products!$A$5:$D$24,3,FALSE())</f>
        <v>Furniture</v>
      </c>
      <c r="I2754" s="41" t="n">
        <f aca="false">VLOOKUP(C2754,Products!$A$5:$D$24,4,FALSE())</f>
        <v>160</v>
      </c>
      <c r="J2754" s="42" t="n">
        <f aca="false">DATE(YEAR(B2754),MONTH(B2754),1)</f>
        <v>45992</v>
      </c>
      <c r="K2754" s="41" t="n">
        <f aca="false">D2754*E2754</f>
        <v>335.29</v>
      </c>
      <c r="L2754" s="41" t="n">
        <f aca="false">D2754*I2754</f>
        <v>160</v>
      </c>
      <c r="M2754" s="41" t="n">
        <f aca="false">IFERROR(INDEX(Raw_Expenses!$C$5:$C$2979,MATCH(A2754,Raw_Expenses!$A$5:$A$2979,0)),0)</f>
        <v>15.97</v>
      </c>
      <c r="N2754" s="41" t="n">
        <f aca="false">L2754+M2754</f>
        <v>175.97</v>
      </c>
      <c r="O2754" s="41" t="n">
        <f aca="false">K2754-N2754</f>
        <v>159.32</v>
      </c>
      <c r="P2754" s="43" t="n">
        <f aca="false">IF(K2754=0,0,O2754/K2754)</f>
        <v>0.475170747710937</v>
      </c>
    </row>
    <row r="2755" customFormat="false" ht="15" hidden="false" customHeight="false" outlineLevel="0" collapsed="false">
      <c r="A2755" s="39" t="s">
        <v>2877</v>
      </c>
      <c r="B2755" s="40" t="n">
        <v>46002</v>
      </c>
      <c r="C2755" s="39" t="s">
        <v>117</v>
      </c>
      <c r="D2755" s="39" t="n">
        <v>1</v>
      </c>
      <c r="E2755" s="41" t="n">
        <v>30.91</v>
      </c>
      <c r="F2755" s="39" t="s">
        <v>108</v>
      </c>
      <c r="G2755" s="39" t="str">
        <f aca="false">VLOOKUP(C2755,Products!$A$5:$D$24,2,FALSE())</f>
        <v>Desk Lamp</v>
      </c>
      <c r="H2755" s="39" t="str">
        <f aca="false">VLOOKUP(C2755,Products!$A$5:$D$24,3,FALSE())</f>
        <v>Furniture</v>
      </c>
      <c r="I2755" s="41" t="n">
        <f aca="false">VLOOKUP(C2755,Products!$A$5:$D$24,4,FALSE())</f>
        <v>13</v>
      </c>
      <c r="J2755" s="42" t="n">
        <f aca="false">DATE(YEAR(B2755),MONTH(B2755),1)</f>
        <v>45992</v>
      </c>
      <c r="K2755" s="41" t="n">
        <f aca="false">D2755*E2755</f>
        <v>30.91</v>
      </c>
      <c r="L2755" s="41" t="n">
        <f aca="false">D2755*I2755</f>
        <v>13</v>
      </c>
      <c r="M2755" s="41" t="n">
        <f aca="false">IFERROR(INDEX(Raw_Expenses!$C$5:$C$2979,MATCH(A2755,Raw_Expenses!$A$5:$A$2979,0)),0)</f>
        <v>2.47</v>
      </c>
      <c r="N2755" s="41" t="n">
        <f aca="false">L2755+M2755</f>
        <v>15.47</v>
      </c>
      <c r="O2755" s="41" t="n">
        <f aca="false">K2755-N2755</f>
        <v>15.44</v>
      </c>
      <c r="P2755" s="43" t="n">
        <f aca="false">IF(K2755=0,0,O2755/K2755)</f>
        <v>0.49951472015529</v>
      </c>
    </row>
    <row r="2756" customFormat="false" ht="15" hidden="false" customHeight="false" outlineLevel="0" collapsed="false">
      <c r="A2756" s="39" t="s">
        <v>2878</v>
      </c>
      <c r="B2756" s="40" t="n">
        <v>46002</v>
      </c>
      <c r="C2756" s="39" t="s">
        <v>183</v>
      </c>
      <c r="D2756" s="39" t="n">
        <v>1</v>
      </c>
      <c r="E2756" s="41" t="n">
        <v>186.06</v>
      </c>
      <c r="F2756" s="39" t="s">
        <v>105</v>
      </c>
      <c r="G2756" s="39" t="str">
        <f aca="false">VLOOKUP(C2756,Products!$A$5:$D$24,2,FALSE())</f>
        <v>Office Chair</v>
      </c>
      <c r="H2756" s="39" t="str">
        <f aca="false">VLOOKUP(C2756,Products!$A$5:$D$24,3,FALSE())</f>
        <v>Furniture</v>
      </c>
      <c r="I2756" s="41" t="n">
        <f aca="false">VLOOKUP(C2756,Products!$A$5:$D$24,4,FALSE())</f>
        <v>85</v>
      </c>
      <c r="J2756" s="42" t="n">
        <f aca="false">DATE(YEAR(B2756),MONTH(B2756),1)</f>
        <v>45992</v>
      </c>
      <c r="K2756" s="41" t="n">
        <f aca="false">D2756*E2756</f>
        <v>186.06</v>
      </c>
      <c r="L2756" s="41" t="n">
        <f aca="false">D2756*I2756</f>
        <v>85</v>
      </c>
      <c r="M2756" s="41" t="n">
        <f aca="false">IFERROR(INDEX(Raw_Expenses!$C$5:$C$2979,MATCH(A2756,Raw_Expenses!$A$5:$A$2979,0)),0)</f>
        <v>12.55</v>
      </c>
      <c r="N2756" s="41" t="n">
        <f aca="false">L2756+M2756</f>
        <v>97.55</v>
      </c>
      <c r="O2756" s="41" t="n">
        <f aca="false">K2756-N2756</f>
        <v>88.51</v>
      </c>
      <c r="P2756" s="43" t="n">
        <f aca="false">IF(K2756=0,0,O2756/K2756)</f>
        <v>0.475706761259809</v>
      </c>
    </row>
    <row r="2757" customFormat="false" ht="15" hidden="false" customHeight="false" outlineLevel="0" collapsed="false">
      <c r="A2757" s="39" t="s">
        <v>2879</v>
      </c>
      <c r="B2757" s="40" t="n">
        <v>46002</v>
      </c>
      <c r="C2757" s="39" t="s">
        <v>114</v>
      </c>
      <c r="D2757" s="39" t="n">
        <v>1</v>
      </c>
      <c r="E2757" s="41" t="n">
        <v>5.94</v>
      </c>
      <c r="F2757" s="39" t="s">
        <v>108</v>
      </c>
      <c r="G2757" s="39" t="str">
        <f aca="false">VLOOKUP(C2757,Products!$A$5:$D$24,2,FALSE())</f>
        <v>Gel Pen Pack</v>
      </c>
      <c r="H2757" s="39" t="str">
        <f aca="false">VLOOKUP(C2757,Products!$A$5:$D$24,3,FALSE())</f>
        <v>Stationery</v>
      </c>
      <c r="I2757" s="41" t="n">
        <f aca="false">VLOOKUP(C2757,Products!$A$5:$D$24,4,FALSE())</f>
        <v>2</v>
      </c>
      <c r="J2757" s="42" t="n">
        <f aca="false">DATE(YEAR(B2757),MONTH(B2757),1)</f>
        <v>45992</v>
      </c>
      <c r="K2757" s="41" t="n">
        <f aca="false">D2757*E2757</f>
        <v>5.94</v>
      </c>
      <c r="L2757" s="41" t="n">
        <f aca="false">D2757*I2757</f>
        <v>2</v>
      </c>
      <c r="M2757" s="41" t="n">
        <f aca="false">IFERROR(INDEX(Raw_Expenses!$C$5:$C$2979,MATCH(A2757,Raw_Expenses!$A$5:$A$2979,0)),0)</f>
        <v>0.44</v>
      </c>
      <c r="N2757" s="41" t="n">
        <f aca="false">L2757+M2757</f>
        <v>2.44</v>
      </c>
      <c r="O2757" s="41" t="n">
        <f aca="false">K2757-N2757</f>
        <v>3.5</v>
      </c>
      <c r="P2757" s="43" t="n">
        <f aca="false">IF(K2757=0,0,O2757/K2757)</f>
        <v>0.589225589225589</v>
      </c>
    </row>
    <row r="2758" customFormat="false" ht="15" hidden="false" customHeight="false" outlineLevel="0" collapsed="false">
      <c r="A2758" s="39" t="s">
        <v>2880</v>
      </c>
      <c r="B2758" s="40" t="n">
        <v>46002</v>
      </c>
      <c r="C2758" s="39" t="s">
        <v>177</v>
      </c>
      <c r="D2758" s="39" t="n">
        <v>3</v>
      </c>
      <c r="E2758" s="41" t="n">
        <v>44.48</v>
      </c>
      <c r="F2758" s="39" t="s">
        <v>115</v>
      </c>
      <c r="G2758" s="39" t="str">
        <f aca="false">VLOOKUP(C2758,Products!$A$5:$D$24,2,FALSE())</f>
        <v>Backpack</v>
      </c>
      <c r="H2758" s="39" t="str">
        <f aca="false">VLOOKUP(C2758,Products!$A$5:$D$24,3,FALSE())</f>
        <v>Accessories</v>
      </c>
      <c r="I2758" s="41" t="n">
        <f aca="false">VLOOKUP(C2758,Products!$A$5:$D$24,4,FALSE())</f>
        <v>17</v>
      </c>
      <c r="J2758" s="42" t="n">
        <f aca="false">DATE(YEAR(B2758),MONTH(B2758),1)</f>
        <v>45992</v>
      </c>
      <c r="K2758" s="41" t="n">
        <f aca="false">D2758*E2758</f>
        <v>133.44</v>
      </c>
      <c r="L2758" s="41" t="n">
        <f aca="false">D2758*I2758</f>
        <v>51</v>
      </c>
      <c r="M2758" s="41" t="n">
        <f aca="false">IFERROR(INDEX(Raw_Expenses!$C$5:$C$2979,MATCH(A2758,Raw_Expenses!$A$5:$A$2979,0)),0)</f>
        <v>8.52</v>
      </c>
      <c r="N2758" s="41" t="n">
        <f aca="false">L2758+M2758</f>
        <v>59.52</v>
      </c>
      <c r="O2758" s="41" t="n">
        <f aca="false">K2758-N2758</f>
        <v>73.92</v>
      </c>
      <c r="P2758" s="43" t="n">
        <f aca="false">IF(K2758=0,0,O2758/K2758)</f>
        <v>0.553956834532374</v>
      </c>
    </row>
    <row r="2759" customFormat="false" ht="15" hidden="false" customHeight="false" outlineLevel="0" collapsed="false">
      <c r="A2759" s="39" t="s">
        <v>2881</v>
      </c>
      <c r="B2759" s="40" t="n">
        <v>46002</v>
      </c>
      <c r="C2759" s="39" t="s">
        <v>130</v>
      </c>
      <c r="D2759" s="39" t="n">
        <v>1</v>
      </c>
      <c r="E2759" s="41" t="n">
        <v>8.81</v>
      </c>
      <c r="F2759" s="39" t="s">
        <v>105</v>
      </c>
      <c r="G2759" s="39" t="str">
        <f aca="false">VLOOKUP(C2759,Products!$A$5:$D$24,2,FALSE())</f>
        <v>Notebook Set</v>
      </c>
      <c r="H2759" s="39" t="str">
        <f aca="false">VLOOKUP(C2759,Products!$A$5:$D$24,3,FALSE())</f>
        <v>Stationery</v>
      </c>
      <c r="I2759" s="41" t="n">
        <f aca="false">VLOOKUP(C2759,Products!$A$5:$D$24,4,FALSE())</f>
        <v>3</v>
      </c>
      <c r="J2759" s="42" t="n">
        <f aca="false">DATE(YEAR(B2759),MONTH(B2759),1)</f>
        <v>45992</v>
      </c>
      <c r="K2759" s="41" t="n">
        <f aca="false">D2759*E2759</f>
        <v>8.81</v>
      </c>
      <c r="L2759" s="41" t="n">
        <f aca="false">D2759*I2759</f>
        <v>3</v>
      </c>
      <c r="M2759" s="41" t="n">
        <f aca="false">IFERROR(INDEX(Raw_Expenses!$C$5:$C$2979,MATCH(A2759,Raw_Expenses!$A$5:$A$2979,0)),0)</f>
        <v>0.43</v>
      </c>
      <c r="N2759" s="41" t="n">
        <f aca="false">L2759+M2759</f>
        <v>3.43</v>
      </c>
      <c r="O2759" s="41" t="n">
        <f aca="false">K2759-N2759</f>
        <v>5.38</v>
      </c>
      <c r="P2759" s="43" t="n">
        <f aca="false">IF(K2759=0,0,O2759/K2759)</f>
        <v>0.61066969353008</v>
      </c>
    </row>
    <row r="2760" customFormat="false" ht="15" hidden="false" customHeight="false" outlineLevel="0" collapsed="false">
      <c r="A2760" s="39" t="s">
        <v>2882</v>
      </c>
      <c r="B2760" s="40" t="n">
        <v>46002</v>
      </c>
      <c r="C2760" s="39" t="s">
        <v>114</v>
      </c>
      <c r="D2760" s="39" t="n">
        <v>5</v>
      </c>
      <c r="E2760" s="41" t="n">
        <v>5.78</v>
      </c>
      <c r="F2760" s="39" t="s">
        <v>115</v>
      </c>
      <c r="G2760" s="39" t="str">
        <f aca="false">VLOOKUP(C2760,Products!$A$5:$D$24,2,FALSE())</f>
        <v>Gel Pen Pack</v>
      </c>
      <c r="H2760" s="39" t="str">
        <f aca="false">VLOOKUP(C2760,Products!$A$5:$D$24,3,FALSE())</f>
        <v>Stationery</v>
      </c>
      <c r="I2760" s="41" t="n">
        <f aca="false">VLOOKUP(C2760,Products!$A$5:$D$24,4,FALSE())</f>
        <v>2</v>
      </c>
      <c r="J2760" s="42" t="n">
        <f aca="false">DATE(YEAR(B2760),MONTH(B2760),1)</f>
        <v>45992</v>
      </c>
      <c r="K2760" s="41" t="n">
        <f aca="false">D2760*E2760</f>
        <v>28.9</v>
      </c>
      <c r="L2760" s="41" t="n">
        <f aca="false">D2760*I2760</f>
        <v>10</v>
      </c>
      <c r="M2760" s="41" t="n">
        <f aca="false">IFERROR(INDEX(Raw_Expenses!$C$5:$C$2979,MATCH(A2760,Raw_Expenses!$A$5:$A$2979,0)),0)</f>
        <v>2.19</v>
      </c>
      <c r="N2760" s="41" t="n">
        <f aca="false">L2760+M2760</f>
        <v>12.19</v>
      </c>
      <c r="O2760" s="41" t="n">
        <f aca="false">K2760-N2760</f>
        <v>16.71</v>
      </c>
      <c r="P2760" s="43" t="n">
        <f aca="false">IF(K2760=0,0,O2760/K2760)</f>
        <v>0.578200692041523</v>
      </c>
    </row>
    <row r="2761" customFormat="false" ht="15" hidden="false" customHeight="false" outlineLevel="0" collapsed="false">
      <c r="A2761" s="39" t="s">
        <v>2883</v>
      </c>
      <c r="B2761" s="40" t="n">
        <v>46002</v>
      </c>
      <c r="C2761" s="39" t="s">
        <v>104</v>
      </c>
      <c r="D2761" s="39" t="n">
        <v>2</v>
      </c>
      <c r="E2761" s="41" t="n">
        <v>14.87</v>
      </c>
      <c r="F2761" s="39" t="s">
        <v>105</v>
      </c>
      <c r="G2761" s="39" t="str">
        <f aca="false">VLOOKUP(C2761,Products!$A$5:$D$24,2,FALSE())</f>
        <v>Water Bottle</v>
      </c>
      <c r="H2761" s="39" t="str">
        <f aca="false">VLOOKUP(C2761,Products!$A$5:$D$24,3,FALSE())</f>
        <v>Accessories</v>
      </c>
      <c r="I2761" s="41" t="n">
        <f aca="false">VLOOKUP(C2761,Products!$A$5:$D$24,4,FALSE())</f>
        <v>5</v>
      </c>
      <c r="J2761" s="42" t="n">
        <f aca="false">DATE(YEAR(B2761),MONTH(B2761),1)</f>
        <v>45992</v>
      </c>
      <c r="K2761" s="41" t="n">
        <f aca="false">D2761*E2761</f>
        <v>29.74</v>
      </c>
      <c r="L2761" s="41" t="n">
        <f aca="false">D2761*I2761</f>
        <v>10</v>
      </c>
      <c r="M2761" s="41" t="n">
        <f aca="false">IFERROR(INDEX(Raw_Expenses!$C$5:$C$2979,MATCH(A2761,Raw_Expenses!$A$5:$A$2979,0)),0)</f>
        <v>1.56</v>
      </c>
      <c r="N2761" s="41" t="n">
        <f aca="false">L2761+M2761</f>
        <v>11.56</v>
      </c>
      <c r="O2761" s="41" t="n">
        <f aca="false">K2761-N2761</f>
        <v>18.18</v>
      </c>
      <c r="P2761" s="43" t="n">
        <f aca="false">IF(K2761=0,0,O2761/K2761)</f>
        <v>0.611297915265636</v>
      </c>
    </row>
    <row r="2762" customFormat="false" ht="15" hidden="false" customHeight="false" outlineLevel="0" collapsed="false">
      <c r="A2762" s="39" t="s">
        <v>2884</v>
      </c>
      <c r="B2762" s="40" t="n">
        <v>46002</v>
      </c>
      <c r="C2762" s="39" t="s">
        <v>104</v>
      </c>
      <c r="D2762" s="39" t="n">
        <v>2</v>
      </c>
      <c r="E2762" s="41" t="n">
        <v>15.52</v>
      </c>
      <c r="F2762" s="39" t="s">
        <v>105</v>
      </c>
      <c r="G2762" s="39" t="str">
        <f aca="false">VLOOKUP(C2762,Products!$A$5:$D$24,2,FALSE())</f>
        <v>Water Bottle</v>
      </c>
      <c r="H2762" s="39" t="str">
        <f aca="false">VLOOKUP(C2762,Products!$A$5:$D$24,3,FALSE())</f>
        <v>Accessories</v>
      </c>
      <c r="I2762" s="41" t="n">
        <f aca="false">VLOOKUP(C2762,Products!$A$5:$D$24,4,FALSE())</f>
        <v>5</v>
      </c>
      <c r="J2762" s="42" t="n">
        <f aca="false">DATE(YEAR(B2762),MONTH(B2762),1)</f>
        <v>45992</v>
      </c>
      <c r="K2762" s="41" t="n">
        <f aca="false">D2762*E2762</f>
        <v>31.04</v>
      </c>
      <c r="L2762" s="41" t="n">
        <f aca="false">D2762*I2762</f>
        <v>10</v>
      </c>
      <c r="M2762" s="41" t="n">
        <f aca="false">IFERROR(INDEX(Raw_Expenses!$C$5:$C$2979,MATCH(A2762,Raw_Expenses!$A$5:$A$2979,0)),0)</f>
        <v>2.19</v>
      </c>
      <c r="N2762" s="41" t="n">
        <f aca="false">L2762+M2762</f>
        <v>12.19</v>
      </c>
      <c r="O2762" s="41" t="n">
        <f aca="false">K2762-N2762</f>
        <v>18.85</v>
      </c>
      <c r="P2762" s="43" t="n">
        <f aca="false">IF(K2762=0,0,O2762/K2762)</f>
        <v>0.607280927835052</v>
      </c>
    </row>
    <row r="2763" customFormat="false" ht="15" hidden="false" customHeight="false" outlineLevel="0" collapsed="false">
      <c r="A2763" s="39" t="s">
        <v>2885</v>
      </c>
      <c r="B2763" s="40" t="n">
        <v>46003</v>
      </c>
      <c r="C2763" s="39" t="s">
        <v>162</v>
      </c>
      <c r="D2763" s="39" t="n">
        <v>3</v>
      </c>
      <c r="E2763" s="41" t="n">
        <v>65.42</v>
      </c>
      <c r="F2763" s="39" t="s">
        <v>118</v>
      </c>
      <c r="G2763" s="39" t="str">
        <f aca="false">VLOOKUP(C2763,Products!$A$5:$D$24,2,FALSE())</f>
        <v>Bluetooth Speaker</v>
      </c>
      <c r="H2763" s="39" t="str">
        <f aca="false">VLOOKUP(C2763,Products!$A$5:$D$24,3,FALSE())</f>
        <v>Electronics</v>
      </c>
      <c r="I2763" s="41" t="n">
        <f aca="false">VLOOKUP(C2763,Products!$A$5:$D$24,4,FALSE())</f>
        <v>28</v>
      </c>
      <c r="J2763" s="42" t="n">
        <f aca="false">DATE(YEAR(B2763),MONTH(B2763),1)</f>
        <v>45992</v>
      </c>
      <c r="K2763" s="41" t="n">
        <f aca="false">D2763*E2763</f>
        <v>196.26</v>
      </c>
      <c r="L2763" s="41" t="n">
        <f aca="false">D2763*I2763</f>
        <v>84</v>
      </c>
      <c r="M2763" s="41" t="n">
        <f aca="false">IFERROR(INDEX(Raw_Expenses!$C$5:$C$2979,MATCH(A2763,Raw_Expenses!$A$5:$A$2979,0)),0)</f>
        <v>15.59</v>
      </c>
      <c r="N2763" s="41" t="n">
        <f aca="false">L2763+M2763</f>
        <v>99.59</v>
      </c>
      <c r="O2763" s="41" t="n">
        <f aca="false">K2763-N2763</f>
        <v>96.67</v>
      </c>
      <c r="P2763" s="43" t="n">
        <f aca="false">IF(K2763=0,0,O2763/K2763)</f>
        <v>0.492560888617141</v>
      </c>
    </row>
    <row r="2764" customFormat="false" ht="15" hidden="false" customHeight="false" outlineLevel="0" collapsed="false">
      <c r="A2764" s="39" t="s">
        <v>2886</v>
      </c>
      <c r="B2764" s="40" t="n">
        <v>46003</v>
      </c>
      <c r="C2764" s="39" t="s">
        <v>153</v>
      </c>
      <c r="D2764" s="39" t="n">
        <v>2</v>
      </c>
      <c r="E2764" s="41" t="n">
        <v>171.94</v>
      </c>
      <c r="F2764" s="39" t="s">
        <v>105</v>
      </c>
      <c r="G2764" s="39" t="str">
        <f aca="false">VLOOKUP(C2764,Products!$A$5:$D$24,2,FALSE())</f>
        <v>24-inch Monitor</v>
      </c>
      <c r="H2764" s="39" t="str">
        <f aca="false">VLOOKUP(C2764,Products!$A$5:$D$24,3,FALSE())</f>
        <v>Electronics</v>
      </c>
      <c r="I2764" s="41" t="n">
        <f aca="false">VLOOKUP(C2764,Products!$A$5:$D$24,4,FALSE())</f>
        <v>90</v>
      </c>
      <c r="J2764" s="42" t="n">
        <f aca="false">DATE(YEAR(B2764),MONTH(B2764),1)</f>
        <v>45992</v>
      </c>
      <c r="K2764" s="41" t="n">
        <f aca="false">D2764*E2764</f>
        <v>343.88</v>
      </c>
      <c r="L2764" s="41" t="n">
        <f aca="false">D2764*I2764</f>
        <v>180</v>
      </c>
      <c r="M2764" s="41" t="n">
        <f aca="false">IFERROR(INDEX(Raw_Expenses!$C$5:$C$2979,MATCH(A2764,Raw_Expenses!$A$5:$A$2979,0)),0)</f>
        <v>19.42</v>
      </c>
      <c r="N2764" s="41" t="n">
        <f aca="false">L2764+M2764</f>
        <v>199.42</v>
      </c>
      <c r="O2764" s="41" t="n">
        <f aca="false">K2764-N2764</f>
        <v>144.46</v>
      </c>
      <c r="P2764" s="43" t="n">
        <f aca="false">IF(K2764=0,0,O2764/K2764)</f>
        <v>0.420088402931255</v>
      </c>
    </row>
    <row r="2765" customFormat="false" ht="15" hidden="false" customHeight="false" outlineLevel="0" collapsed="false">
      <c r="A2765" s="39" t="s">
        <v>2887</v>
      </c>
      <c r="B2765" s="40" t="n">
        <v>46003</v>
      </c>
      <c r="C2765" s="39" t="s">
        <v>305</v>
      </c>
      <c r="D2765" s="39" t="n">
        <v>1</v>
      </c>
      <c r="E2765" s="41" t="n">
        <v>338.3</v>
      </c>
      <c r="F2765" s="39" t="s">
        <v>118</v>
      </c>
      <c r="G2765" s="39" t="str">
        <f aca="false">VLOOKUP(C2765,Products!$A$5:$D$24,2,FALSE())</f>
        <v>Standing Desk</v>
      </c>
      <c r="H2765" s="39" t="str">
        <f aca="false">VLOOKUP(C2765,Products!$A$5:$D$24,3,FALSE())</f>
        <v>Furniture</v>
      </c>
      <c r="I2765" s="41" t="n">
        <f aca="false">VLOOKUP(C2765,Products!$A$5:$D$24,4,FALSE())</f>
        <v>160</v>
      </c>
      <c r="J2765" s="42" t="n">
        <f aca="false">DATE(YEAR(B2765),MONTH(B2765),1)</f>
        <v>45992</v>
      </c>
      <c r="K2765" s="41" t="n">
        <f aca="false">D2765*E2765</f>
        <v>338.3</v>
      </c>
      <c r="L2765" s="41" t="n">
        <f aca="false">D2765*I2765</f>
        <v>160</v>
      </c>
      <c r="M2765" s="41" t="n">
        <f aca="false">IFERROR(INDEX(Raw_Expenses!$C$5:$C$2979,MATCH(A2765,Raw_Expenses!$A$5:$A$2979,0)),0)</f>
        <v>19.18</v>
      </c>
      <c r="N2765" s="41" t="n">
        <f aca="false">L2765+M2765</f>
        <v>179.18</v>
      </c>
      <c r="O2765" s="41" t="n">
        <f aca="false">K2765-N2765</f>
        <v>159.12</v>
      </c>
      <c r="P2765" s="43" t="n">
        <f aca="false">IF(K2765=0,0,O2765/K2765)</f>
        <v>0.47035175879397</v>
      </c>
    </row>
    <row r="2766" customFormat="false" ht="15" hidden="false" customHeight="false" outlineLevel="0" collapsed="false">
      <c r="A2766" s="39" t="s">
        <v>2888</v>
      </c>
      <c r="B2766" s="40" t="n">
        <v>46003</v>
      </c>
      <c r="C2766" s="39" t="s">
        <v>169</v>
      </c>
      <c r="D2766" s="39" t="n">
        <v>5</v>
      </c>
      <c r="E2766" s="41" t="n">
        <v>27.61</v>
      </c>
      <c r="F2766" s="39" t="s">
        <v>108</v>
      </c>
      <c r="G2766" s="39" t="str">
        <f aca="false">VLOOKUP(C2766,Products!$A$5:$D$24,2,FALSE())</f>
        <v>Laptop Stand</v>
      </c>
      <c r="H2766" s="39" t="str">
        <f aca="false">VLOOKUP(C2766,Products!$A$5:$D$24,3,FALSE())</f>
        <v>Accessories</v>
      </c>
      <c r="I2766" s="41" t="n">
        <f aca="false">VLOOKUP(C2766,Products!$A$5:$D$24,4,FALSE())</f>
        <v>11</v>
      </c>
      <c r="J2766" s="42" t="n">
        <f aca="false">DATE(YEAR(B2766),MONTH(B2766),1)</f>
        <v>45992</v>
      </c>
      <c r="K2766" s="41" t="n">
        <f aca="false">D2766*E2766</f>
        <v>138.05</v>
      </c>
      <c r="L2766" s="41" t="n">
        <f aca="false">D2766*I2766</f>
        <v>55</v>
      </c>
      <c r="M2766" s="41" t="n">
        <f aca="false">IFERROR(INDEX(Raw_Expenses!$C$5:$C$2979,MATCH(A2766,Raw_Expenses!$A$5:$A$2979,0)),0)</f>
        <v>11.88</v>
      </c>
      <c r="N2766" s="41" t="n">
        <f aca="false">L2766+M2766</f>
        <v>66.88</v>
      </c>
      <c r="O2766" s="41" t="n">
        <f aca="false">K2766-N2766</f>
        <v>71.17</v>
      </c>
      <c r="P2766" s="43" t="n">
        <f aca="false">IF(K2766=0,0,O2766/K2766)</f>
        <v>0.515537848605578</v>
      </c>
    </row>
    <row r="2767" customFormat="false" ht="15" hidden="false" customHeight="false" outlineLevel="0" collapsed="false">
      <c r="A2767" s="39" t="s">
        <v>2889</v>
      </c>
      <c r="B2767" s="40" t="n">
        <v>46003</v>
      </c>
      <c r="C2767" s="39" t="s">
        <v>126</v>
      </c>
      <c r="D2767" s="39" t="n">
        <v>3</v>
      </c>
      <c r="E2767" s="41" t="n">
        <v>24.91</v>
      </c>
      <c r="F2767" s="39" t="s">
        <v>115</v>
      </c>
      <c r="G2767" s="39" t="str">
        <f aca="false">VLOOKUP(C2767,Products!$A$5:$D$24,2,FALSE())</f>
        <v>Wireless Mouse</v>
      </c>
      <c r="H2767" s="39" t="str">
        <f aca="false">VLOOKUP(C2767,Products!$A$5:$D$24,3,FALSE())</f>
        <v>Electronics</v>
      </c>
      <c r="I2767" s="41" t="n">
        <f aca="false">VLOOKUP(C2767,Products!$A$5:$D$24,4,FALSE())</f>
        <v>12</v>
      </c>
      <c r="J2767" s="42" t="n">
        <f aca="false">DATE(YEAR(B2767),MONTH(B2767),1)</f>
        <v>45992</v>
      </c>
      <c r="K2767" s="41" t="n">
        <f aca="false">D2767*E2767</f>
        <v>74.73</v>
      </c>
      <c r="L2767" s="41" t="n">
        <f aca="false">D2767*I2767</f>
        <v>36</v>
      </c>
      <c r="M2767" s="41" t="n">
        <f aca="false">IFERROR(INDEX(Raw_Expenses!$C$5:$C$2979,MATCH(A2767,Raw_Expenses!$A$5:$A$2979,0)),0)</f>
        <v>5.57</v>
      </c>
      <c r="N2767" s="41" t="n">
        <f aca="false">L2767+M2767</f>
        <v>41.57</v>
      </c>
      <c r="O2767" s="41" t="n">
        <f aca="false">K2767-N2767</f>
        <v>33.16</v>
      </c>
      <c r="P2767" s="43" t="n">
        <f aca="false">IF(K2767=0,0,O2767/K2767)</f>
        <v>0.443730764084036</v>
      </c>
    </row>
    <row r="2768" customFormat="false" ht="15" hidden="false" customHeight="false" outlineLevel="0" collapsed="false">
      <c r="A2768" s="39" t="s">
        <v>2890</v>
      </c>
      <c r="B2768" s="40" t="n">
        <v>46003</v>
      </c>
      <c r="C2768" s="39" t="s">
        <v>107</v>
      </c>
      <c r="D2768" s="39" t="n">
        <v>2</v>
      </c>
      <c r="E2768" s="41" t="n">
        <v>34.71</v>
      </c>
      <c r="F2768" s="39" t="s">
        <v>115</v>
      </c>
      <c r="G2768" s="39" t="str">
        <f aca="false">VLOOKUP(C2768,Products!$A$5:$D$24,2,FALSE())</f>
        <v>USB-C Hub</v>
      </c>
      <c r="H2768" s="39" t="str">
        <f aca="false">VLOOKUP(C2768,Products!$A$5:$D$24,3,FALSE())</f>
        <v>Electronics</v>
      </c>
      <c r="I2768" s="41" t="n">
        <f aca="false">VLOOKUP(C2768,Products!$A$5:$D$24,4,FALSE())</f>
        <v>14</v>
      </c>
      <c r="J2768" s="42" t="n">
        <f aca="false">DATE(YEAR(B2768),MONTH(B2768),1)</f>
        <v>45992</v>
      </c>
      <c r="K2768" s="41" t="n">
        <f aca="false">D2768*E2768</f>
        <v>69.42</v>
      </c>
      <c r="L2768" s="41" t="n">
        <f aca="false">D2768*I2768</f>
        <v>28</v>
      </c>
      <c r="M2768" s="41" t="n">
        <f aca="false">IFERROR(INDEX(Raw_Expenses!$C$5:$C$2979,MATCH(A2768,Raw_Expenses!$A$5:$A$2979,0)),0)</f>
        <v>4.67</v>
      </c>
      <c r="N2768" s="41" t="n">
        <f aca="false">L2768+M2768</f>
        <v>32.67</v>
      </c>
      <c r="O2768" s="41" t="n">
        <f aca="false">K2768-N2768</f>
        <v>36.75</v>
      </c>
      <c r="P2768" s="43" t="n">
        <f aca="false">IF(K2768=0,0,O2768/K2768)</f>
        <v>0.529386343993086</v>
      </c>
    </row>
    <row r="2769" customFormat="false" ht="15" hidden="false" customHeight="false" outlineLevel="0" collapsed="false">
      <c r="A2769" s="39" t="s">
        <v>2891</v>
      </c>
      <c r="B2769" s="40" t="n">
        <v>46003</v>
      </c>
      <c r="C2769" s="39" t="s">
        <v>177</v>
      </c>
      <c r="D2769" s="39" t="n">
        <v>2</v>
      </c>
      <c r="E2769" s="41" t="n">
        <v>41.64</v>
      </c>
      <c r="F2769" s="39" t="s">
        <v>108</v>
      </c>
      <c r="G2769" s="39" t="str">
        <f aca="false">VLOOKUP(C2769,Products!$A$5:$D$24,2,FALSE())</f>
        <v>Backpack</v>
      </c>
      <c r="H2769" s="39" t="str">
        <f aca="false">VLOOKUP(C2769,Products!$A$5:$D$24,3,FALSE())</f>
        <v>Accessories</v>
      </c>
      <c r="I2769" s="41" t="n">
        <f aca="false">VLOOKUP(C2769,Products!$A$5:$D$24,4,FALSE())</f>
        <v>17</v>
      </c>
      <c r="J2769" s="42" t="n">
        <f aca="false">DATE(YEAR(B2769),MONTH(B2769),1)</f>
        <v>45992</v>
      </c>
      <c r="K2769" s="41" t="n">
        <f aca="false">D2769*E2769</f>
        <v>83.28</v>
      </c>
      <c r="L2769" s="41" t="n">
        <f aca="false">D2769*I2769</f>
        <v>34</v>
      </c>
      <c r="M2769" s="41" t="n">
        <f aca="false">IFERROR(INDEX(Raw_Expenses!$C$5:$C$2979,MATCH(A2769,Raw_Expenses!$A$5:$A$2979,0)),0)</f>
        <v>4.94</v>
      </c>
      <c r="N2769" s="41" t="n">
        <f aca="false">L2769+M2769</f>
        <v>38.94</v>
      </c>
      <c r="O2769" s="41" t="n">
        <f aca="false">K2769-N2769</f>
        <v>44.34</v>
      </c>
      <c r="P2769" s="43" t="n">
        <f aca="false">IF(K2769=0,0,O2769/K2769)</f>
        <v>0.532420749279539</v>
      </c>
    </row>
    <row r="2770" customFormat="false" ht="15" hidden="false" customHeight="false" outlineLevel="0" collapsed="false">
      <c r="A2770" s="39" t="s">
        <v>2892</v>
      </c>
      <c r="B2770" s="40" t="n">
        <v>46003</v>
      </c>
      <c r="C2770" s="39" t="s">
        <v>136</v>
      </c>
      <c r="D2770" s="39" t="n">
        <v>2</v>
      </c>
      <c r="E2770" s="41" t="n">
        <v>74.35</v>
      </c>
      <c r="F2770" s="39" t="s">
        <v>118</v>
      </c>
      <c r="G2770" s="39" t="str">
        <f aca="false">VLOOKUP(C2770,Products!$A$5:$D$24,2,FALSE())</f>
        <v>Mechanical Keyboard</v>
      </c>
      <c r="H2770" s="39" t="str">
        <f aca="false">VLOOKUP(C2770,Products!$A$5:$D$24,3,FALSE())</f>
        <v>Electronics</v>
      </c>
      <c r="I2770" s="41" t="n">
        <f aca="false">VLOOKUP(C2770,Products!$A$5:$D$24,4,FALSE())</f>
        <v>38</v>
      </c>
      <c r="J2770" s="42" t="n">
        <f aca="false">DATE(YEAR(B2770),MONTH(B2770),1)</f>
        <v>45992</v>
      </c>
      <c r="K2770" s="41" t="n">
        <f aca="false">D2770*E2770</f>
        <v>148.7</v>
      </c>
      <c r="L2770" s="41" t="n">
        <f aca="false">D2770*I2770</f>
        <v>76</v>
      </c>
      <c r="M2770" s="41" t="n">
        <f aca="false">IFERROR(INDEX(Raw_Expenses!$C$5:$C$2979,MATCH(A2770,Raw_Expenses!$A$5:$A$2979,0)),0)</f>
        <v>11.17</v>
      </c>
      <c r="N2770" s="41" t="n">
        <f aca="false">L2770+M2770</f>
        <v>87.17</v>
      </c>
      <c r="O2770" s="41" t="n">
        <f aca="false">K2770-N2770</f>
        <v>61.53</v>
      </c>
      <c r="P2770" s="43" t="n">
        <f aca="false">IF(K2770=0,0,O2770/K2770)</f>
        <v>0.4137861466039</v>
      </c>
    </row>
    <row r="2771" customFormat="false" ht="15" hidden="false" customHeight="false" outlineLevel="0" collapsed="false">
      <c r="A2771" s="39" t="s">
        <v>2893</v>
      </c>
      <c r="B2771" s="40" t="n">
        <v>46003</v>
      </c>
      <c r="C2771" s="39" t="s">
        <v>126</v>
      </c>
      <c r="D2771" s="39" t="n">
        <v>2</v>
      </c>
      <c r="E2771" s="41" t="n">
        <v>23.48</v>
      </c>
      <c r="F2771" s="39" t="s">
        <v>108</v>
      </c>
      <c r="G2771" s="39" t="str">
        <f aca="false">VLOOKUP(C2771,Products!$A$5:$D$24,2,FALSE())</f>
        <v>Wireless Mouse</v>
      </c>
      <c r="H2771" s="39" t="str">
        <f aca="false">VLOOKUP(C2771,Products!$A$5:$D$24,3,FALSE())</f>
        <v>Electronics</v>
      </c>
      <c r="I2771" s="41" t="n">
        <f aca="false">VLOOKUP(C2771,Products!$A$5:$D$24,4,FALSE())</f>
        <v>12</v>
      </c>
      <c r="J2771" s="42" t="n">
        <f aca="false">DATE(YEAR(B2771),MONTH(B2771),1)</f>
        <v>45992</v>
      </c>
      <c r="K2771" s="41" t="n">
        <f aca="false">D2771*E2771</f>
        <v>46.96</v>
      </c>
      <c r="L2771" s="41" t="n">
        <f aca="false">D2771*I2771</f>
        <v>24</v>
      </c>
      <c r="M2771" s="41" t="n">
        <f aca="false">IFERROR(INDEX(Raw_Expenses!$C$5:$C$2979,MATCH(A2771,Raw_Expenses!$A$5:$A$2979,0)),0)</f>
        <v>1.95</v>
      </c>
      <c r="N2771" s="41" t="n">
        <f aca="false">L2771+M2771</f>
        <v>25.95</v>
      </c>
      <c r="O2771" s="41" t="n">
        <f aca="false">K2771-N2771</f>
        <v>21.01</v>
      </c>
      <c r="P2771" s="43" t="n">
        <f aca="false">IF(K2771=0,0,O2771/K2771)</f>
        <v>0.447402044293015</v>
      </c>
    </row>
    <row r="2772" customFormat="false" ht="15" hidden="false" customHeight="false" outlineLevel="0" collapsed="false">
      <c r="A2772" s="39" t="s">
        <v>2894</v>
      </c>
      <c r="B2772" s="40" t="n">
        <v>46003</v>
      </c>
      <c r="C2772" s="39" t="s">
        <v>117</v>
      </c>
      <c r="D2772" s="39" t="n">
        <v>1</v>
      </c>
      <c r="E2772" s="41" t="n">
        <v>30.66</v>
      </c>
      <c r="F2772" s="39" t="s">
        <v>105</v>
      </c>
      <c r="G2772" s="39" t="str">
        <f aca="false">VLOOKUP(C2772,Products!$A$5:$D$24,2,FALSE())</f>
        <v>Desk Lamp</v>
      </c>
      <c r="H2772" s="39" t="str">
        <f aca="false">VLOOKUP(C2772,Products!$A$5:$D$24,3,FALSE())</f>
        <v>Furniture</v>
      </c>
      <c r="I2772" s="41" t="n">
        <f aca="false">VLOOKUP(C2772,Products!$A$5:$D$24,4,FALSE())</f>
        <v>13</v>
      </c>
      <c r="J2772" s="42" t="n">
        <f aca="false">DATE(YEAR(B2772),MONTH(B2772),1)</f>
        <v>45992</v>
      </c>
      <c r="K2772" s="41" t="n">
        <f aca="false">D2772*E2772</f>
        <v>30.66</v>
      </c>
      <c r="L2772" s="41" t="n">
        <f aca="false">D2772*I2772</f>
        <v>13</v>
      </c>
      <c r="M2772" s="41" t="n">
        <f aca="false">IFERROR(INDEX(Raw_Expenses!$C$5:$C$2979,MATCH(A2772,Raw_Expenses!$A$5:$A$2979,0)),0)</f>
        <v>2.07</v>
      </c>
      <c r="N2772" s="41" t="n">
        <f aca="false">L2772+M2772</f>
        <v>15.07</v>
      </c>
      <c r="O2772" s="41" t="n">
        <f aca="false">K2772-N2772</f>
        <v>15.59</v>
      </c>
      <c r="P2772" s="43" t="n">
        <f aca="false">IF(K2772=0,0,O2772/K2772)</f>
        <v>0.508480104370515</v>
      </c>
    </row>
    <row r="2773" customFormat="false" ht="15" hidden="false" customHeight="false" outlineLevel="0" collapsed="false">
      <c r="A2773" s="39" t="s">
        <v>2895</v>
      </c>
      <c r="B2773" s="40" t="n">
        <v>46003</v>
      </c>
      <c r="C2773" s="39" t="s">
        <v>169</v>
      </c>
      <c r="D2773" s="39" t="n">
        <v>1</v>
      </c>
      <c r="E2773" s="41" t="n">
        <v>27.48</v>
      </c>
      <c r="F2773" s="39" t="s">
        <v>118</v>
      </c>
      <c r="G2773" s="39" t="str">
        <f aca="false">VLOOKUP(C2773,Products!$A$5:$D$24,2,FALSE())</f>
        <v>Laptop Stand</v>
      </c>
      <c r="H2773" s="39" t="str">
        <f aca="false">VLOOKUP(C2773,Products!$A$5:$D$24,3,FALSE())</f>
        <v>Accessories</v>
      </c>
      <c r="I2773" s="41" t="n">
        <f aca="false">VLOOKUP(C2773,Products!$A$5:$D$24,4,FALSE())</f>
        <v>11</v>
      </c>
      <c r="J2773" s="42" t="n">
        <f aca="false">DATE(YEAR(B2773),MONTH(B2773),1)</f>
        <v>45992</v>
      </c>
      <c r="K2773" s="41" t="n">
        <f aca="false">D2773*E2773</f>
        <v>27.48</v>
      </c>
      <c r="L2773" s="41" t="n">
        <f aca="false">D2773*I2773</f>
        <v>11</v>
      </c>
      <c r="M2773" s="41" t="n">
        <f aca="false">IFERROR(INDEX(Raw_Expenses!$C$5:$C$2979,MATCH(A2773,Raw_Expenses!$A$5:$A$2979,0)),0)</f>
        <v>2.29</v>
      </c>
      <c r="N2773" s="41" t="n">
        <f aca="false">L2773+M2773</f>
        <v>13.29</v>
      </c>
      <c r="O2773" s="41" t="n">
        <f aca="false">K2773-N2773</f>
        <v>14.19</v>
      </c>
      <c r="P2773" s="43" t="n">
        <f aca="false">IF(K2773=0,0,O2773/K2773)</f>
        <v>0.516375545851529</v>
      </c>
    </row>
    <row r="2774" customFormat="false" ht="15" hidden="false" customHeight="false" outlineLevel="0" collapsed="false">
      <c r="A2774" s="39" t="s">
        <v>2896</v>
      </c>
      <c r="B2774" s="40" t="n">
        <v>46003</v>
      </c>
      <c r="C2774" s="39" t="s">
        <v>169</v>
      </c>
      <c r="D2774" s="39" t="n">
        <v>1</v>
      </c>
      <c r="E2774" s="41" t="n">
        <v>28.95</v>
      </c>
      <c r="F2774" s="39" t="s">
        <v>115</v>
      </c>
      <c r="G2774" s="39" t="str">
        <f aca="false">VLOOKUP(C2774,Products!$A$5:$D$24,2,FALSE())</f>
        <v>Laptop Stand</v>
      </c>
      <c r="H2774" s="39" t="str">
        <f aca="false">VLOOKUP(C2774,Products!$A$5:$D$24,3,FALSE())</f>
        <v>Accessories</v>
      </c>
      <c r="I2774" s="41" t="n">
        <f aca="false">VLOOKUP(C2774,Products!$A$5:$D$24,4,FALSE())</f>
        <v>11</v>
      </c>
      <c r="J2774" s="42" t="n">
        <f aca="false">DATE(YEAR(B2774),MONTH(B2774),1)</f>
        <v>45992</v>
      </c>
      <c r="K2774" s="41" t="n">
        <f aca="false">D2774*E2774</f>
        <v>28.95</v>
      </c>
      <c r="L2774" s="41" t="n">
        <f aca="false">D2774*I2774</f>
        <v>11</v>
      </c>
      <c r="M2774" s="41" t="n">
        <f aca="false">IFERROR(INDEX(Raw_Expenses!$C$5:$C$2979,MATCH(A2774,Raw_Expenses!$A$5:$A$2979,0)),0)</f>
        <v>1.45</v>
      </c>
      <c r="N2774" s="41" t="n">
        <f aca="false">L2774+M2774</f>
        <v>12.45</v>
      </c>
      <c r="O2774" s="41" t="n">
        <f aca="false">K2774-N2774</f>
        <v>16.5</v>
      </c>
      <c r="P2774" s="43" t="n">
        <f aca="false">IF(K2774=0,0,O2774/K2774)</f>
        <v>0.569948186528497</v>
      </c>
    </row>
    <row r="2775" customFormat="false" ht="15" hidden="false" customHeight="false" outlineLevel="0" collapsed="false">
      <c r="A2775" s="39" t="s">
        <v>2897</v>
      </c>
      <c r="B2775" s="40" t="n">
        <v>46004</v>
      </c>
      <c r="C2775" s="39" t="s">
        <v>121</v>
      </c>
      <c r="D2775" s="39" t="n">
        <v>2</v>
      </c>
      <c r="E2775" s="41" t="n">
        <v>109.97</v>
      </c>
      <c r="F2775" s="39" t="s">
        <v>108</v>
      </c>
      <c r="G2775" s="39" t="str">
        <f aca="false">VLOOKUP(C2775,Products!$A$5:$D$24,2,FALSE())</f>
        <v>External SSD 1TB</v>
      </c>
      <c r="H2775" s="39" t="str">
        <f aca="false">VLOOKUP(C2775,Products!$A$5:$D$24,3,FALSE())</f>
        <v>Electronics</v>
      </c>
      <c r="I2775" s="41" t="n">
        <f aca="false">VLOOKUP(C2775,Products!$A$5:$D$24,4,FALSE())</f>
        <v>62</v>
      </c>
      <c r="J2775" s="42" t="n">
        <f aca="false">DATE(YEAR(B2775),MONTH(B2775),1)</f>
        <v>45992</v>
      </c>
      <c r="K2775" s="41" t="n">
        <f aca="false">D2775*E2775</f>
        <v>219.94</v>
      </c>
      <c r="L2775" s="41" t="n">
        <f aca="false">D2775*I2775</f>
        <v>124</v>
      </c>
      <c r="M2775" s="41" t="n">
        <f aca="false">IFERROR(INDEX(Raw_Expenses!$C$5:$C$2979,MATCH(A2775,Raw_Expenses!$A$5:$A$2979,0)),0)</f>
        <v>17.32</v>
      </c>
      <c r="N2775" s="41" t="n">
        <f aca="false">L2775+M2775</f>
        <v>141.32</v>
      </c>
      <c r="O2775" s="41" t="n">
        <f aca="false">K2775-N2775</f>
        <v>78.62</v>
      </c>
      <c r="P2775" s="43" t="n">
        <f aca="false">IF(K2775=0,0,O2775/K2775)</f>
        <v>0.357461125761571</v>
      </c>
    </row>
    <row r="2776" customFormat="false" ht="15" hidden="false" customHeight="false" outlineLevel="0" collapsed="false">
      <c r="A2776" s="39" t="s">
        <v>2898</v>
      </c>
      <c r="B2776" s="40" t="n">
        <v>46004</v>
      </c>
      <c r="C2776" s="39" t="s">
        <v>144</v>
      </c>
      <c r="D2776" s="39" t="n">
        <v>3</v>
      </c>
      <c r="E2776" s="41" t="n">
        <v>54.3</v>
      </c>
      <c r="F2776" s="39" t="s">
        <v>105</v>
      </c>
      <c r="G2776" s="39" t="str">
        <f aca="false">VLOOKUP(C2776,Products!$A$5:$D$24,2,FALSE())</f>
        <v>Whiteboard</v>
      </c>
      <c r="H2776" s="39" t="str">
        <f aca="false">VLOOKUP(C2776,Products!$A$5:$D$24,3,FALSE())</f>
        <v>Furniture</v>
      </c>
      <c r="I2776" s="41" t="n">
        <f aca="false">VLOOKUP(C2776,Products!$A$5:$D$24,4,FALSE())</f>
        <v>28</v>
      </c>
      <c r="J2776" s="42" t="n">
        <f aca="false">DATE(YEAR(B2776),MONTH(B2776),1)</f>
        <v>45992</v>
      </c>
      <c r="K2776" s="41" t="n">
        <f aca="false">D2776*E2776</f>
        <v>162.9</v>
      </c>
      <c r="L2776" s="41" t="n">
        <f aca="false">D2776*I2776</f>
        <v>84</v>
      </c>
      <c r="M2776" s="41" t="n">
        <f aca="false">IFERROR(INDEX(Raw_Expenses!$C$5:$C$2979,MATCH(A2776,Raw_Expenses!$A$5:$A$2979,0)),0)</f>
        <v>13.46</v>
      </c>
      <c r="N2776" s="41" t="n">
        <f aca="false">L2776+M2776</f>
        <v>97.46</v>
      </c>
      <c r="O2776" s="41" t="n">
        <f aca="false">K2776-N2776</f>
        <v>65.44</v>
      </c>
      <c r="P2776" s="43" t="n">
        <f aca="false">IF(K2776=0,0,O2776/K2776)</f>
        <v>0.401718845917741</v>
      </c>
    </row>
    <row r="2777" customFormat="false" ht="15" hidden="false" customHeight="false" outlineLevel="0" collapsed="false">
      <c r="A2777" s="39" t="s">
        <v>2899</v>
      </c>
      <c r="B2777" s="40" t="n">
        <v>46004</v>
      </c>
      <c r="C2777" s="39" t="s">
        <v>177</v>
      </c>
      <c r="D2777" s="39" t="n">
        <v>1</v>
      </c>
      <c r="E2777" s="41" t="n">
        <v>43.71</v>
      </c>
      <c r="F2777" s="39" t="s">
        <v>115</v>
      </c>
      <c r="G2777" s="39" t="str">
        <f aca="false">VLOOKUP(C2777,Products!$A$5:$D$24,2,FALSE())</f>
        <v>Backpack</v>
      </c>
      <c r="H2777" s="39" t="str">
        <f aca="false">VLOOKUP(C2777,Products!$A$5:$D$24,3,FALSE())</f>
        <v>Accessories</v>
      </c>
      <c r="I2777" s="41" t="n">
        <f aca="false">VLOOKUP(C2777,Products!$A$5:$D$24,4,FALSE())</f>
        <v>17</v>
      </c>
      <c r="J2777" s="42" t="n">
        <f aca="false">DATE(YEAR(B2777),MONTH(B2777),1)</f>
        <v>45992</v>
      </c>
      <c r="K2777" s="41" t="n">
        <f aca="false">D2777*E2777</f>
        <v>43.71</v>
      </c>
      <c r="L2777" s="41" t="n">
        <f aca="false">D2777*I2777</f>
        <v>17</v>
      </c>
      <c r="M2777" s="41" t="n">
        <f aca="false">IFERROR(INDEX(Raw_Expenses!$C$5:$C$2979,MATCH(A2777,Raw_Expenses!$A$5:$A$2979,0)),0)</f>
        <v>2.32</v>
      </c>
      <c r="N2777" s="41" t="n">
        <f aca="false">L2777+M2777</f>
        <v>19.32</v>
      </c>
      <c r="O2777" s="41" t="n">
        <f aca="false">K2777-N2777</f>
        <v>24.39</v>
      </c>
      <c r="P2777" s="43" t="n">
        <f aca="false">IF(K2777=0,0,O2777/K2777)</f>
        <v>0.557995881949211</v>
      </c>
    </row>
    <row r="2778" customFormat="false" ht="15" hidden="false" customHeight="false" outlineLevel="0" collapsed="false">
      <c r="A2778" s="39" t="s">
        <v>2900</v>
      </c>
      <c r="B2778" s="40" t="n">
        <v>46004</v>
      </c>
      <c r="C2778" s="39" t="s">
        <v>177</v>
      </c>
      <c r="D2778" s="39" t="n">
        <v>6</v>
      </c>
      <c r="E2778" s="41" t="n">
        <v>42.08</v>
      </c>
      <c r="F2778" s="39" t="s">
        <v>108</v>
      </c>
      <c r="G2778" s="39" t="str">
        <f aca="false">VLOOKUP(C2778,Products!$A$5:$D$24,2,FALSE())</f>
        <v>Backpack</v>
      </c>
      <c r="H2778" s="39" t="str">
        <f aca="false">VLOOKUP(C2778,Products!$A$5:$D$24,3,FALSE())</f>
        <v>Accessories</v>
      </c>
      <c r="I2778" s="41" t="n">
        <f aca="false">VLOOKUP(C2778,Products!$A$5:$D$24,4,FALSE())</f>
        <v>17</v>
      </c>
      <c r="J2778" s="42" t="n">
        <f aca="false">DATE(YEAR(B2778),MONTH(B2778),1)</f>
        <v>45992</v>
      </c>
      <c r="K2778" s="41" t="n">
        <f aca="false">D2778*E2778</f>
        <v>252.48</v>
      </c>
      <c r="L2778" s="41" t="n">
        <f aca="false">D2778*I2778</f>
        <v>102</v>
      </c>
      <c r="M2778" s="41" t="n">
        <f aca="false">IFERROR(INDEX(Raw_Expenses!$C$5:$C$2979,MATCH(A2778,Raw_Expenses!$A$5:$A$2979,0)),0)</f>
        <v>10.21</v>
      </c>
      <c r="N2778" s="41" t="n">
        <f aca="false">L2778+M2778</f>
        <v>112.21</v>
      </c>
      <c r="O2778" s="41" t="n">
        <f aca="false">K2778-N2778</f>
        <v>140.27</v>
      </c>
      <c r="P2778" s="43" t="n">
        <f aca="false">IF(K2778=0,0,O2778/K2778)</f>
        <v>0.55556875792142</v>
      </c>
    </row>
    <row r="2779" customFormat="false" ht="15" hidden="false" customHeight="false" outlineLevel="0" collapsed="false">
      <c r="A2779" s="39" t="s">
        <v>2901</v>
      </c>
      <c r="B2779" s="40" t="n">
        <v>46004</v>
      </c>
      <c r="C2779" s="39" t="s">
        <v>114</v>
      </c>
      <c r="D2779" s="39" t="n">
        <v>2</v>
      </c>
      <c r="E2779" s="41" t="n">
        <v>5.66</v>
      </c>
      <c r="F2779" s="39" t="s">
        <v>108</v>
      </c>
      <c r="G2779" s="39" t="str">
        <f aca="false">VLOOKUP(C2779,Products!$A$5:$D$24,2,FALSE())</f>
        <v>Gel Pen Pack</v>
      </c>
      <c r="H2779" s="39" t="str">
        <f aca="false">VLOOKUP(C2779,Products!$A$5:$D$24,3,FALSE())</f>
        <v>Stationery</v>
      </c>
      <c r="I2779" s="41" t="n">
        <f aca="false">VLOOKUP(C2779,Products!$A$5:$D$24,4,FALSE())</f>
        <v>2</v>
      </c>
      <c r="J2779" s="42" t="n">
        <f aca="false">DATE(YEAR(B2779),MONTH(B2779),1)</f>
        <v>45992</v>
      </c>
      <c r="K2779" s="41" t="n">
        <f aca="false">D2779*E2779</f>
        <v>11.32</v>
      </c>
      <c r="L2779" s="41" t="n">
        <f aca="false">D2779*I2779</f>
        <v>4</v>
      </c>
      <c r="M2779" s="41" t="n">
        <f aca="false">IFERROR(INDEX(Raw_Expenses!$C$5:$C$2979,MATCH(A2779,Raw_Expenses!$A$5:$A$2979,0)),0)</f>
        <v>0.99</v>
      </c>
      <c r="N2779" s="41" t="n">
        <f aca="false">L2779+M2779</f>
        <v>4.99</v>
      </c>
      <c r="O2779" s="41" t="n">
        <f aca="false">K2779-N2779</f>
        <v>6.33</v>
      </c>
      <c r="P2779" s="43" t="n">
        <f aca="false">IF(K2779=0,0,O2779/K2779)</f>
        <v>0.559187279151943</v>
      </c>
    </row>
    <row r="2780" customFormat="false" ht="15" hidden="false" customHeight="false" outlineLevel="0" collapsed="false">
      <c r="A2780" s="39" t="s">
        <v>2902</v>
      </c>
      <c r="B2780" s="40" t="n">
        <v>46004</v>
      </c>
      <c r="C2780" s="39" t="s">
        <v>104</v>
      </c>
      <c r="D2780" s="39" t="n">
        <v>4</v>
      </c>
      <c r="E2780" s="41" t="n">
        <v>15.8</v>
      </c>
      <c r="F2780" s="39" t="s">
        <v>105</v>
      </c>
      <c r="G2780" s="39" t="str">
        <f aca="false">VLOOKUP(C2780,Products!$A$5:$D$24,2,FALSE())</f>
        <v>Water Bottle</v>
      </c>
      <c r="H2780" s="39" t="str">
        <f aca="false">VLOOKUP(C2780,Products!$A$5:$D$24,3,FALSE())</f>
        <v>Accessories</v>
      </c>
      <c r="I2780" s="41" t="n">
        <f aca="false">VLOOKUP(C2780,Products!$A$5:$D$24,4,FALSE())</f>
        <v>5</v>
      </c>
      <c r="J2780" s="42" t="n">
        <f aca="false">DATE(YEAR(B2780),MONTH(B2780),1)</f>
        <v>45992</v>
      </c>
      <c r="K2780" s="41" t="n">
        <f aca="false">D2780*E2780</f>
        <v>63.2</v>
      </c>
      <c r="L2780" s="41" t="n">
        <f aca="false">D2780*I2780</f>
        <v>20</v>
      </c>
      <c r="M2780" s="41" t="n">
        <f aca="false">IFERROR(INDEX(Raw_Expenses!$C$5:$C$2979,MATCH(A2780,Raw_Expenses!$A$5:$A$2979,0)),0)</f>
        <v>3.75</v>
      </c>
      <c r="N2780" s="41" t="n">
        <f aca="false">L2780+M2780</f>
        <v>23.75</v>
      </c>
      <c r="O2780" s="41" t="n">
        <f aca="false">K2780-N2780</f>
        <v>39.45</v>
      </c>
      <c r="P2780" s="43" t="n">
        <f aca="false">IF(K2780=0,0,O2780/K2780)</f>
        <v>0.624208860759494</v>
      </c>
    </row>
    <row r="2781" customFormat="false" ht="15" hidden="false" customHeight="false" outlineLevel="0" collapsed="false">
      <c r="A2781" s="39" t="s">
        <v>2903</v>
      </c>
      <c r="B2781" s="40" t="n">
        <v>46004</v>
      </c>
      <c r="C2781" s="39" t="s">
        <v>177</v>
      </c>
      <c r="D2781" s="39" t="n">
        <v>8</v>
      </c>
      <c r="E2781" s="41" t="n">
        <v>43.61</v>
      </c>
      <c r="F2781" s="39" t="s">
        <v>115</v>
      </c>
      <c r="G2781" s="39" t="str">
        <f aca="false">VLOOKUP(C2781,Products!$A$5:$D$24,2,FALSE())</f>
        <v>Backpack</v>
      </c>
      <c r="H2781" s="39" t="str">
        <f aca="false">VLOOKUP(C2781,Products!$A$5:$D$24,3,FALSE())</f>
        <v>Accessories</v>
      </c>
      <c r="I2781" s="41" t="n">
        <f aca="false">VLOOKUP(C2781,Products!$A$5:$D$24,4,FALSE())</f>
        <v>17</v>
      </c>
      <c r="J2781" s="42" t="n">
        <f aca="false">DATE(YEAR(B2781),MONTH(B2781),1)</f>
        <v>45992</v>
      </c>
      <c r="K2781" s="41" t="n">
        <f aca="false">D2781*E2781</f>
        <v>348.88</v>
      </c>
      <c r="L2781" s="41" t="n">
        <f aca="false">D2781*I2781</f>
        <v>136</v>
      </c>
      <c r="M2781" s="41" t="n">
        <f aca="false">IFERROR(INDEX(Raw_Expenses!$C$5:$C$2979,MATCH(A2781,Raw_Expenses!$A$5:$A$2979,0)),0)</f>
        <v>14.48</v>
      </c>
      <c r="N2781" s="41" t="n">
        <f aca="false">L2781+M2781</f>
        <v>150.48</v>
      </c>
      <c r="O2781" s="41" t="n">
        <f aca="false">K2781-N2781</f>
        <v>198.4</v>
      </c>
      <c r="P2781" s="43" t="n">
        <f aca="false">IF(K2781=0,0,O2781/K2781)</f>
        <v>0.568676908965834</v>
      </c>
    </row>
    <row r="2782" customFormat="false" ht="15" hidden="false" customHeight="false" outlineLevel="0" collapsed="false">
      <c r="A2782" s="39" t="s">
        <v>2904</v>
      </c>
      <c r="B2782" s="40" t="n">
        <v>46004</v>
      </c>
      <c r="C2782" s="39" t="s">
        <v>133</v>
      </c>
      <c r="D2782" s="39" t="n">
        <v>1</v>
      </c>
      <c r="E2782" s="41" t="n">
        <v>8.65</v>
      </c>
      <c r="F2782" s="39" t="s">
        <v>118</v>
      </c>
      <c r="G2782" s="39" t="str">
        <f aca="false">VLOOKUP(C2782,Products!$A$5:$D$24,2,FALSE())</f>
        <v>Printer Paper Ream</v>
      </c>
      <c r="H2782" s="39" t="str">
        <f aca="false">VLOOKUP(C2782,Products!$A$5:$D$24,3,FALSE())</f>
        <v>Stationery</v>
      </c>
      <c r="I2782" s="41" t="n">
        <f aca="false">VLOOKUP(C2782,Products!$A$5:$D$24,4,FALSE())</f>
        <v>4</v>
      </c>
      <c r="J2782" s="42" t="n">
        <f aca="false">DATE(YEAR(B2782),MONTH(B2782),1)</f>
        <v>45992</v>
      </c>
      <c r="K2782" s="41" t="n">
        <f aca="false">D2782*E2782</f>
        <v>8.65</v>
      </c>
      <c r="L2782" s="41" t="n">
        <f aca="false">D2782*I2782</f>
        <v>4</v>
      </c>
      <c r="M2782" s="41" t="n">
        <f aca="false">IFERROR(INDEX(Raw_Expenses!$C$5:$C$2979,MATCH(A2782,Raw_Expenses!$A$5:$A$2979,0)),0)</f>
        <v>0.5</v>
      </c>
      <c r="N2782" s="41" t="n">
        <f aca="false">L2782+M2782</f>
        <v>4.5</v>
      </c>
      <c r="O2782" s="41" t="n">
        <f aca="false">K2782-N2782</f>
        <v>4.15</v>
      </c>
      <c r="P2782" s="43" t="n">
        <f aca="false">IF(K2782=0,0,O2782/K2782)</f>
        <v>0.479768786127168</v>
      </c>
    </row>
    <row r="2783" customFormat="false" ht="15" hidden="false" customHeight="false" outlineLevel="0" collapsed="false">
      <c r="A2783" s="39" t="s">
        <v>2905</v>
      </c>
      <c r="B2783" s="40" t="n">
        <v>46004</v>
      </c>
      <c r="C2783" s="39" t="s">
        <v>110</v>
      </c>
      <c r="D2783" s="39" t="n">
        <v>1</v>
      </c>
      <c r="E2783" s="41" t="n">
        <v>13.84</v>
      </c>
      <c r="F2783" s="39" t="s">
        <v>118</v>
      </c>
      <c r="G2783" s="39" t="str">
        <f aca="false">VLOOKUP(C2783,Products!$A$5:$D$24,2,FALSE())</f>
        <v>Phone Stand</v>
      </c>
      <c r="H2783" s="39" t="str">
        <f aca="false">VLOOKUP(C2783,Products!$A$5:$D$24,3,FALSE())</f>
        <v>Accessories</v>
      </c>
      <c r="I2783" s="41" t="n">
        <f aca="false">VLOOKUP(C2783,Products!$A$5:$D$24,4,FALSE())</f>
        <v>4</v>
      </c>
      <c r="J2783" s="42" t="n">
        <f aca="false">DATE(YEAR(B2783),MONTH(B2783),1)</f>
        <v>45992</v>
      </c>
      <c r="K2783" s="41" t="n">
        <f aca="false">D2783*E2783</f>
        <v>13.84</v>
      </c>
      <c r="L2783" s="41" t="n">
        <f aca="false">D2783*I2783</f>
        <v>4</v>
      </c>
      <c r="M2783" s="41" t="n">
        <f aca="false">IFERROR(INDEX(Raw_Expenses!$C$5:$C$2979,MATCH(A2783,Raw_Expenses!$A$5:$A$2979,0)),0)</f>
        <v>0.76</v>
      </c>
      <c r="N2783" s="41" t="n">
        <f aca="false">L2783+M2783</f>
        <v>4.76</v>
      </c>
      <c r="O2783" s="41" t="n">
        <f aca="false">K2783-N2783</f>
        <v>9.08</v>
      </c>
      <c r="P2783" s="43" t="n">
        <f aca="false">IF(K2783=0,0,O2783/K2783)</f>
        <v>0.65606936416185</v>
      </c>
    </row>
    <row r="2784" customFormat="false" ht="15" hidden="false" customHeight="false" outlineLevel="0" collapsed="false">
      <c r="A2784" s="39" t="s">
        <v>2906</v>
      </c>
      <c r="B2784" s="40" t="n">
        <v>46004</v>
      </c>
      <c r="C2784" s="39" t="s">
        <v>107</v>
      </c>
      <c r="D2784" s="39" t="n">
        <v>3</v>
      </c>
      <c r="E2784" s="41" t="n">
        <v>34.03</v>
      </c>
      <c r="F2784" s="39" t="s">
        <v>118</v>
      </c>
      <c r="G2784" s="39" t="str">
        <f aca="false">VLOOKUP(C2784,Products!$A$5:$D$24,2,FALSE())</f>
        <v>USB-C Hub</v>
      </c>
      <c r="H2784" s="39" t="str">
        <f aca="false">VLOOKUP(C2784,Products!$A$5:$D$24,3,FALSE())</f>
        <v>Electronics</v>
      </c>
      <c r="I2784" s="41" t="n">
        <f aca="false">VLOOKUP(C2784,Products!$A$5:$D$24,4,FALSE())</f>
        <v>14</v>
      </c>
      <c r="J2784" s="42" t="n">
        <f aca="false">DATE(YEAR(B2784),MONTH(B2784),1)</f>
        <v>45992</v>
      </c>
      <c r="K2784" s="41" t="n">
        <f aca="false">D2784*E2784</f>
        <v>102.09</v>
      </c>
      <c r="L2784" s="41" t="n">
        <f aca="false">D2784*I2784</f>
        <v>42</v>
      </c>
      <c r="M2784" s="41" t="n">
        <f aca="false">IFERROR(INDEX(Raw_Expenses!$C$5:$C$2979,MATCH(A2784,Raw_Expenses!$A$5:$A$2979,0)),0)</f>
        <v>7.99</v>
      </c>
      <c r="N2784" s="41" t="n">
        <f aca="false">L2784+M2784</f>
        <v>49.99</v>
      </c>
      <c r="O2784" s="41" t="n">
        <f aca="false">K2784-N2784</f>
        <v>52.1</v>
      </c>
      <c r="P2784" s="43" t="n">
        <f aca="false">IF(K2784=0,0,O2784/K2784)</f>
        <v>0.510334019002841</v>
      </c>
    </row>
    <row r="2785" customFormat="false" ht="15" hidden="false" customHeight="false" outlineLevel="0" collapsed="false">
      <c r="A2785" s="39" t="s">
        <v>2907</v>
      </c>
      <c r="B2785" s="40" t="n">
        <v>46004</v>
      </c>
      <c r="C2785" s="39" t="s">
        <v>130</v>
      </c>
      <c r="D2785" s="39" t="n">
        <v>4</v>
      </c>
      <c r="E2785" s="41" t="n">
        <v>8.96</v>
      </c>
      <c r="F2785" s="39" t="s">
        <v>105</v>
      </c>
      <c r="G2785" s="39" t="str">
        <f aca="false">VLOOKUP(C2785,Products!$A$5:$D$24,2,FALSE())</f>
        <v>Notebook Set</v>
      </c>
      <c r="H2785" s="39" t="str">
        <f aca="false">VLOOKUP(C2785,Products!$A$5:$D$24,3,FALSE())</f>
        <v>Stationery</v>
      </c>
      <c r="I2785" s="41" t="n">
        <f aca="false">VLOOKUP(C2785,Products!$A$5:$D$24,4,FALSE())</f>
        <v>3</v>
      </c>
      <c r="J2785" s="42" t="n">
        <f aca="false">DATE(YEAR(B2785),MONTH(B2785),1)</f>
        <v>45992</v>
      </c>
      <c r="K2785" s="41" t="n">
        <f aca="false">D2785*E2785</f>
        <v>35.84</v>
      </c>
      <c r="L2785" s="41" t="n">
        <f aca="false">D2785*I2785</f>
        <v>12</v>
      </c>
      <c r="M2785" s="41" t="n">
        <f aca="false">IFERROR(INDEX(Raw_Expenses!$C$5:$C$2979,MATCH(A2785,Raw_Expenses!$A$5:$A$2979,0)),0)</f>
        <v>2.91</v>
      </c>
      <c r="N2785" s="41" t="n">
        <f aca="false">L2785+M2785</f>
        <v>14.91</v>
      </c>
      <c r="O2785" s="41" t="n">
        <f aca="false">K2785-N2785</f>
        <v>20.93</v>
      </c>
      <c r="P2785" s="43" t="n">
        <f aca="false">IF(K2785=0,0,O2785/K2785)</f>
        <v>0.583984375</v>
      </c>
    </row>
    <row r="2786" customFormat="false" ht="15" hidden="false" customHeight="false" outlineLevel="0" collapsed="false">
      <c r="A2786" s="39" t="s">
        <v>2908</v>
      </c>
      <c r="B2786" s="40" t="n">
        <v>46004</v>
      </c>
      <c r="C2786" s="39" t="s">
        <v>169</v>
      </c>
      <c r="D2786" s="39" t="n">
        <v>2</v>
      </c>
      <c r="E2786" s="41" t="n">
        <v>27.25</v>
      </c>
      <c r="F2786" s="39" t="s">
        <v>105</v>
      </c>
      <c r="G2786" s="39" t="str">
        <f aca="false">VLOOKUP(C2786,Products!$A$5:$D$24,2,FALSE())</f>
        <v>Laptop Stand</v>
      </c>
      <c r="H2786" s="39" t="str">
        <f aca="false">VLOOKUP(C2786,Products!$A$5:$D$24,3,FALSE())</f>
        <v>Accessories</v>
      </c>
      <c r="I2786" s="41" t="n">
        <f aca="false">VLOOKUP(C2786,Products!$A$5:$D$24,4,FALSE())</f>
        <v>11</v>
      </c>
      <c r="J2786" s="42" t="n">
        <f aca="false">DATE(YEAR(B2786),MONTH(B2786),1)</f>
        <v>45992</v>
      </c>
      <c r="K2786" s="41" t="n">
        <f aca="false">D2786*E2786</f>
        <v>54.5</v>
      </c>
      <c r="L2786" s="41" t="n">
        <f aca="false">D2786*I2786</f>
        <v>22</v>
      </c>
      <c r="M2786" s="41" t="n">
        <f aca="false">IFERROR(INDEX(Raw_Expenses!$C$5:$C$2979,MATCH(A2786,Raw_Expenses!$A$5:$A$2979,0)),0)</f>
        <v>2.53</v>
      </c>
      <c r="N2786" s="41" t="n">
        <f aca="false">L2786+M2786</f>
        <v>24.53</v>
      </c>
      <c r="O2786" s="41" t="n">
        <f aca="false">K2786-N2786</f>
        <v>29.97</v>
      </c>
      <c r="P2786" s="43" t="n">
        <f aca="false">IF(K2786=0,0,O2786/K2786)</f>
        <v>0.549908256880734</v>
      </c>
    </row>
    <row r="2787" customFormat="false" ht="15" hidden="false" customHeight="false" outlineLevel="0" collapsed="false">
      <c r="A2787" s="39" t="s">
        <v>2909</v>
      </c>
      <c r="B2787" s="40" t="n">
        <v>46004</v>
      </c>
      <c r="C2787" s="39" t="s">
        <v>117</v>
      </c>
      <c r="D2787" s="39" t="n">
        <v>1</v>
      </c>
      <c r="E2787" s="41" t="n">
        <v>30.65</v>
      </c>
      <c r="F2787" s="39" t="s">
        <v>105</v>
      </c>
      <c r="G2787" s="39" t="str">
        <f aca="false">VLOOKUP(C2787,Products!$A$5:$D$24,2,FALSE())</f>
        <v>Desk Lamp</v>
      </c>
      <c r="H2787" s="39" t="str">
        <f aca="false">VLOOKUP(C2787,Products!$A$5:$D$24,3,FALSE())</f>
        <v>Furniture</v>
      </c>
      <c r="I2787" s="41" t="n">
        <f aca="false">VLOOKUP(C2787,Products!$A$5:$D$24,4,FALSE())</f>
        <v>13</v>
      </c>
      <c r="J2787" s="42" t="n">
        <f aca="false">DATE(YEAR(B2787),MONTH(B2787),1)</f>
        <v>45992</v>
      </c>
      <c r="K2787" s="41" t="n">
        <f aca="false">D2787*E2787</f>
        <v>30.65</v>
      </c>
      <c r="L2787" s="41" t="n">
        <f aca="false">D2787*I2787</f>
        <v>13</v>
      </c>
      <c r="M2787" s="41" t="n">
        <f aca="false">IFERROR(INDEX(Raw_Expenses!$C$5:$C$2979,MATCH(A2787,Raw_Expenses!$A$5:$A$2979,0)),0)</f>
        <v>1.34</v>
      </c>
      <c r="N2787" s="41" t="n">
        <f aca="false">L2787+M2787</f>
        <v>14.34</v>
      </c>
      <c r="O2787" s="41" t="n">
        <f aca="false">K2787-N2787</f>
        <v>16.31</v>
      </c>
      <c r="P2787" s="43" t="n">
        <f aca="false">IF(K2787=0,0,O2787/K2787)</f>
        <v>0.532137030995106</v>
      </c>
    </row>
    <row r="2788" customFormat="false" ht="15" hidden="false" customHeight="false" outlineLevel="0" collapsed="false">
      <c r="A2788" s="39" t="s">
        <v>2910</v>
      </c>
      <c r="B2788" s="40" t="n">
        <v>46004</v>
      </c>
      <c r="C2788" s="39" t="s">
        <v>104</v>
      </c>
      <c r="D2788" s="39" t="n">
        <v>1</v>
      </c>
      <c r="E2788" s="41" t="n">
        <v>14.91</v>
      </c>
      <c r="F2788" s="39" t="s">
        <v>118</v>
      </c>
      <c r="G2788" s="39" t="str">
        <f aca="false">VLOOKUP(C2788,Products!$A$5:$D$24,2,FALSE())</f>
        <v>Water Bottle</v>
      </c>
      <c r="H2788" s="39" t="str">
        <f aca="false">VLOOKUP(C2788,Products!$A$5:$D$24,3,FALSE())</f>
        <v>Accessories</v>
      </c>
      <c r="I2788" s="41" t="n">
        <f aca="false">VLOOKUP(C2788,Products!$A$5:$D$24,4,FALSE())</f>
        <v>5</v>
      </c>
      <c r="J2788" s="42" t="n">
        <f aca="false">DATE(YEAR(B2788),MONTH(B2788),1)</f>
        <v>45992</v>
      </c>
      <c r="K2788" s="41" t="n">
        <f aca="false">D2788*E2788</f>
        <v>14.91</v>
      </c>
      <c r="L2788" s="41" t="n">
        <f aca="false">D2788*I2788</f>
        <v>5</v>
      </c>
      <c r="M2788" s="41" t="n">
        <f aca="false">IFERROR(INDEX(Raw_Expenses!$C$5:$C$2979,MATCH(A2788,Raw_Expenses!$A$5:$A$2979,0)),0)</f>
        <v>1.18</v>
      </c>
      <c r="N2788" s="41" t="n">
        <f aca="false">L2788+M2788</f>
        <v>6.18</v>
      </c>
      <c r="O2788" s="41" t="n">
        <f aca="false">K2788-N2788</f>
        <v>8.73</v>
      </c>
      <c r="P2788" s="43" t="n">
        <f aca="false">IF(K2788=0,0,O2788/K2788)</f>
        <v>0.585513078470825</v>
      </c>
    </row>
    <row r="2789" customFormat="false" ht="15" hidden="false" customHeight="false" outlineLevel="0" collapsed="false">
      <c r="A2789" s="39" t="s">
        <v>2911</v>
      </c>
      <c r="B2789" s="40" t="n">
        <v>46004</v>
      </c>
      <c r="C2789" s="39" t="s">
        <v>128</v>
      </c>
      <c r="D2789" s="39" t="n">
        <v>2</v>
      </c>
      <c r="E2789" s="41" t="n">
        <v>36.37</v>
      </c>
      <c r="F2789" s="39" t="s">
        <v>105</v>
      </c>
      <c r="G2789" s="39" t="str">
        <f aca="false">VLOOKUP(C2789,Products!$A$5:$D$24,2,FALSE())</f>
        <v>Ergonomic Footrest</v>
      </c>
      <c r="H2789" s="39" t="str">
        <f aca="false">VLOOKUP(C2789,Products!$A$5:$D$24,3,FALSE())</f>
        <v>Furniture</v>
      </c>
      <c r="I2789" s="41" t="n">
        <f aca="false">VLOOKUP(C2789,Products!$A$5:$D$24,4,FALSE())</f>
        <v>15</v>
      </c>
      <c r="J2789" s="42" t="n">
        <f aca="false">DATE(YEAR(B2789),MONTH(B2789),1)</f>
        <v>45992</v>
      </c>
      <c r="K2789" s="41" t="n">
        <f aca="false">D2789*E2789</f>
        <v>72.74</v>
      </c>
      <c r="L2789" s="41" t="n">
        <f aca="false">D2789*I2789</f>
        <v>30</v>
      </c>
      <c r="M2789" s="41" t="n">
        <f aca="false">IFERROR(INDEX(Raw_Expenses!$C$5:$C$2979,MATCH(A2789,Raw_Expenses!$A$5:$A$2979,0)),0)</f>
        <v>4.47</v>
      </c>
      <c r="N2789" s="41" t="n">
        <f aca="false">L2789+M2789</f>
        <v>34.47</v>
      </c>
      <c r="O2789" s="41" t="n">
        <f aca="false">K2789-N2789</f>
        <v>38.27</v>
      </c>
      <c r="P2789" s="43" t="n">
        <f aca="false">IF(K2789=0,0,O2789/K2789)</f>
        <v>0.526120428924938</v>
      </c>
    </row>
    <row r="2790" customFormat="false" ht="15" hidden="false" customHeight="false" outlineLevel="0" collapsed="false">
      <c r="A2790" s="39" t="s">
        <v>2912</v>
      </c>
      <c r="B2790" s="40" t="n">
        <v>46004</v>
      </c>
      <c r="C2790" s="39" t="s">
        <v>133</v>
      </c>
      <c r="D2790" s="39" t="n">
        <v>2</v>
      </c>
      <c r="E2790" s="41" t="n">
        <v>8.52</v>
      </c>
      <c r="F2790" s="39" t="s">
        <v>115</v>
      </c>
      <c r="G2790" s="39" t="str">
        <f aca="false">VLOOKUP(C2790,Products!$A$5:$D$24,2,FALSE())</f>
        <v>Printer Paper Ream</v>
      </c>
      <c r="H2790" s="39" t="str">
        <f aca="false">VLOOKUP(C2790,Products!$A$5:$D$24,3,FALSE())</f>
        <v>Stationery</v>
      </c>
      <c r="I2790" s="41" t="n">
        <f aca="false">VLOOKUP(C2790,Products!$A$5:$D$24,4,FALSE())</f>
        <v>4</v>
      </c>
      <c r="J2790" s="42" t="n">
        <f aca="false">DATE(YEAR(B2790),MONTH(B2790),1)</f>
        <v>45992</v>
      </c>
      <c r="K2790" s="41" t="n">
        <f aca="false">D2790*E2790</f>
        <v>17.04</v>
      </c>
      <c r="L2790" s="41" t="n">
        <f aca="false">D2790*I2790</f>
        <v>8</v>
      </c>
      <c r="M2790" s="41" t="n">
        <f aca="false">IFERROR(INDEX(Raw_Expenses!$C$5:$C$2979,MATCH(A2790,Raw_Expenses!$A$5:$A$2979,0)),0)</f>
        <v>0.88</v>
      </c>
      <c r="N2790" s="41" t="n">
        <f aca="false">L2790+M2790</f>
        <v>8.88</v>
      </c>
      <c r="O2790" s="41" t="n">
        <f aca="false">K2790-N2790</f>
        <v>8.16</v>
      </c>
      <c r="P2790" s="43" t="n">
        <f aca="false">IF(K2790=0,0,O2790/K2790)</f>
        <v>0.47887323943662</v>
      </c>
    </row>
    <row r="2791" customFormat="false" ht="15" hidden="false" customHeight="false" outlineLevel="0" collapsed="false">
      <c r="A2791" s="39" t="s">
        <v>2913</v>
      </c>
      <c r="B2791" s="40" t="n">
        <v>46004</v>
      </c>
      <c r="C2791" s="39" t="s">
        <v>126</v>
      </c>
      <c r="D2791" s="39" t="n">
        <v>2</v>
      </c>
      <c r="E2791" s="41" t="n">
        <v>23.91</v>
      </c>
      <c r="F2791" s="39" t="s">
        <v>105</v>
      </c>
      <c r="G2791" s="39" t="str">
        <f aca="false">VLOOKUP(C2791,Products!$A$5:$D$24,2,FALSE())</f>
        <v>Wireless Mouse</v>
      </c>
      <c r="H2791" s="39" t="str">
        <f aca="false">VLOOKUP(C2791,Products!$A$5:$D$24,3,FALSE())</f>
        <v>Electronics</v>
      </c>
      <c r="I2791" s="41" t="n">
        <f aca="false">VLOOKUP(C2791,Products!$A$5:$D$24,4,FALSE())</f>
        <v>12</v>
      </c>
      <c r="J2791" s="42" t="n">
        <f aca="false">DATE(YEAR(B2791),MONTH(B2791),1)</f>
        <v>45992</v>
      </c>
      <c r="K2791" s="41" t="n">
        <f aca="false">D2791*E2791</f>
        <v>47.82</v>
      </c>
      <c r="L2791" s="41" t="n">
        <f aca="false">D2791*I2791</f>
        <v>24</v>
      </c>
      <c r="M2791" s="41" t="n">
        <f aca="false">IFERROR(INDEX(Raw_Expenses!$C$5:$C$2979,MATCH(A2791,Raw_Expenses!$A$5:$A$2979,0)),0)</f>
        <v>1.96</v>
      </c>
      <c r="N2791" s="41" t="n">
        <f aca="false">L2791+M2791</f>
        <v>25.96</v>
      </c>
      <c r="O2791" s="41" t="n">
        <f aca="false">K2791-N2791</f>
        <v>21.86</v>
      </c>
      <c r="P2791" s="43" t="n">
        <f aca="false">IF(K2791=0,0,O2791/K2791)</f>
        <v>0.457130907570054</v>
      </c>
    </row>
    <row r="2792" customFormat="false" ht="15" hidden="false" customHeight="false" outlineLevel="0" collapsed="false">
      <c r="A2792" s="39" t="s">
        <v>2914</v>
      </c>
      <c r="B2792" s="40" t="n">
        <v>46004</v>
      </c>
      <c r="C2792" s="39" t="s">
        <v>114</v>
      </c>
      <c r="D2792" s="39" t="n">
        <v>2</v>
      </c>
      <c r="E2792" s="41" t="n">
        <v>5.99</v>
      </c>
      <c r="F2792" s="39" t="s">
        <v>115</v>
      </c>
      <c r="G2792" s="39" t="str">
        <f aca="false">VLOOKUP(C2792,Products!$A$5:$D$24,2,FALSE())</f>
        <v>Gel Pen Pack</v>
      </c>
      <c r="H2792" s="39" t="str">
        <f aca="false">VLOOKUP(C2792,Products!$A$5:$D$24,3,FALSE())</f>
        <v>Stationery</v>
      </c>
      <c r="I2792" s="41" t="n">
        <f aca="false">VLOOKUP(C2792,Products!$A$5:$D$24,4,FALSE())</f>
        <v>2</v>
      </c>
      <c r="J2792" s="42" t="n">
        <f aca="false">DATE(YEAR(B2792),MONTH(B2792),1)</f>
        <v>45992</v>
      </c>
      <c r="K2792" s="41" t="n">
        <f aca="false">D2792*E2792</f>
        <v>11.98</v>
      </c>
      <c r="L2792" s="41" t="n">
        <f aca="false">D2792*I2792</f>
        <v>4</v>
      </c>
      <c r="M2792" s="41" t="n">
        <f aca="false">IFERROR(INDEX(Raw_Expenses!$C$5:$C$2979,MATCH(A2792,Raw_Expenses!$A$5:$A$2979,0)),0)</f>
        <v>0.84</v>
      </c>
      <c r="N2792" s="41" t="n">
        <f aca="false">L2792+M2792</f>
        <v>4.84</v>
      </c>
      <c r="O2792" s="41" t="n">
        <f aca="false">K2792-N2792</f>
        <v>7.14</v>
      </c>
      <c r="P2792" s="43" t="n">
        <f aca="false">IF(K2792=0,0,O2792/K2792)</f>
        <v>0.595993322203673</v>
      </c>
    </row>
    <row r="2793" customFormat="false" ht="15" hidden="false" customHeight="false" outlineLevel="0" collapsed="false">
      <c r="A2793" s="39" t="s">
        <v>2915</v>
      </c>
      <c r="B2793" s="40" t="n">
        <v>46005</v>
      </c>
      <c r="C2793" s="39" t="s">
        <v>104</v>
      </c>
      <c r="D2793" s="39" t="n">
        <v>3</v>
      </c>
      <c r="E2793" s="41" t="n">
        <v>14.97</v>
      </c>
      <c r="F2793" s="39" t="s">
        <v>118</v>
      </c>
      <c r="G2793" s="39" t="str">
        <f aca="false">VLOOKUP(C2793,Products!$A$5:$D$24,2,FALSE())</f>
        <v>Water Bottle</v>
      </c>
      <c r="H2793" s="39" t="str">
        <f aca="false">VLOOKUP(C2793,Products!$A$5:$D$24,3,FALSE())</f>
        <v>Accessories</v>
      </c>
      <c r="I2793" s="41" t="n">
        <f aca="false">VLOOKUP(C2793,Products!$A$5:$D$24,4,FALSE())</f>
        <v>5</v>
      </c>
      <c r="J2793" s="42" t="n">
        <f aca="false">DATE(YEAR(B2793),MONTH(B2793),1)</f>
        <v>45992</v>
      </c>
      <c r="K2793" s="41" t="n">
        <f aca="false">D2793*E2793</f>
        <v>44.91</v>
      </c>
      <c r="L2793" s="41" t="n">
        <f aca="false">D2793*I2793</f>
        <v>15</v>
      </c>
      <c r="M2793" s="41" t="n">
        <f aca="false">IFERROR(INDEX(Raw_Expenses!$C$5:$C$2979,MATCH(A2793,Raw_Expenses!$A$5:$A$2979,0)),0)</f>
        <v>2.18</v>
      </c>
      <c r="N2793" s="41" t="n">
        <f aca="false">L2793+M2793</f>
        <v>17.18</v>
      </c>
      <c r="O2793" s="41" t="n">
        <f aca="false">K2793-N2793</f>
        <v>27.73</v>
      </c>
      <c r="P2793" s="43" t="n">
        <f aca="false">IF(K2793=0,0,O2793/K2793)</f>
        <v>0.617457136495213</v>
      </c>
    </row>
    <row r="2794" customFormat="false" ht="15" hidden="false" customHeight="false" outlineLevel="0" collapsed="false">
      <c r="A2794" s="39" t="s">
        <v>2916</v>
      </c>
      <c r="B2794" s="40" t="n">
        <v>46005</v>
      </c>
      <c r="C2794" s="39" t="s">
        <v>144</v>
      </c>
      <c r="D2794" s="39" t="n">
        <v>1</v>
      </c>
      <c r="E2794" s="41" t="n">
        <v>57.93</v>
      </c>
      <c r="F2794" s="39" t="s">
        <v>105</v>
      </c>
      <c r="G2794" s="39" t="str">
        <f aca="false">VLOOKUP(C2794,Products!$A$5:$D$24,2,FALSE())</f>
        <v>Whiteboard</v>
      </c>
      <c r="H2794" s="39" t="str">
        <f aca="false">VLOOKUP(C2794,Products!$A$5:$D$24,3,FALSE())</f>
        <v>Furniture</v>
      </c>
      <c r="I2794" s="41" t="n">
        <f aca="false">VLOOKUP(C2794,Products!$A$5:$D$24,4,FALSE())</f>
        <v>28</v>
      </c>
      <c r="J2794" s="42" t="n">
        <f aca="false">DATE(YEAR(B2794),MONTH(B2794),1)</f>
        <v>45992</v>
      </c>
      <c r="K2794" s="41" t="n">
        <f aca="false">D2794*E2794</f>
        <v>57.93</v>
      </c>
      <c r="L2794" s="41" t="n">
        <f aca="false">D2794*I2794</f>
        <v>28</v>
      </c>
      <c r="M2794" s="41" t="n">
        <f aca="false">IFERROR(INDEX(Raw_Expenses!$C$5:$C$2979,MATCH(A2794,Raw_Expenses!$A$5:$A$2979,0)),0)</f>
        <v>3.6</v>
      </c>
      <c r="N2794" s="41" t="n">
        <f aca="false">L2794+M2794</f>
        <v>31.6</v>
      </c>
      <c r="O2794" s="41" t="n">
        <f aca="false">K2794-N2794</f>
        <v>26.33</v>
      </c>
      <c r="P2794" s="43" t="n">
        <f aca="false">IF(K2794=0,0,O2794/K2794)</f>
        <v>0.454514068703608</v>
      </c>
    </row>
    <row r="2795" customFormat="false" ht="15" hidden="false" customHeight="false" outlineLevel="0" collapsed="false">
      <c r="A2795" s="39" t="s">
        <v>2917</v>
      </c>
      <c r="B2795" s="40" t="n">
        <v>46005</v>
      </c>
      <c r="C2795" s="39" t="s">
        <v>183</v>
      </c>
      <c r="D2795" s="39" t="n">
        <v>1</v>
      </c>
      <c r="E2795" s="41" t="n">
        <v>177.61</v>
      </c>
      <c r="F2795" s="39" t="s">
        <v>108</v>
      </c>
      <c r="G2795" s="39" t="str">
        <f aca="false">VLOOKUP(C2795,Products!$A$5:$D$24,2,FALSE())</f>
        <v>Office Chair</v>
      </c>
      <c r="H2795" s="39" t="str">
        <f aca="false">VLOOKUP(C2795,Products!$A$5:$D$24,3,FALSE())</f>
        <v>Furniture</v>
      </c>
      <c r="I2795" s="41" t="n">
        <f aca="false">VLOOKUP(C2795,Products!$A$5:$D$24,4,FALSE())</f>
        <v>85</v>
      </c>
      <c r="J2795" s="42" t="n">
        <f aca="false">DATE(YEAR(B2795),MONTH(B2795),1)</f>
        <v>45992</v>
      </c>
      <c r="K2795" s="41" t="n">
        <f aca="false">D2795*E2795</f>
        <v>177.61</v>
      </c>
      <c r="L2795" s="41" t="n">
        <f aca="false">D2795*I2795</f>
        <v>85</v>
      </c>
      <c r="M2795" s="41" t="n">
        <f aca="false">IFERROR(INDEX(Raw_Expenses!$C$5:$C$2979,MATCH(A2795,Raw_Expenses!$A$5:$A$2979,0)),0)</f>
        <v>15.66</v>
      </c>
      <c r="N2795" s="41" t="n">
        <f aca="false">L2795+M2795</f>
        <v>100.66</v>
      </c>
      <c r="O2795" s="41" t="n">
        <f aca="false">K2795-N2795</f>
        <v>76.95</v>
      </c>
      <c r="P2795" s="43" t="n">
        <f aca="false">IF(K2795=0,0,O2795/K2795)</f>
        <v>0.433252632171612</v>
      </c>
    </row>
    <row r="2796" customFormat="false" ht="15" hidden="false" customHeight="false" outlineLevel="0" collapsed="false">
      <c r="A2796" s="39" t="s">
        <v>2918</v>
      </c>
      <c r="B2796" s="40" t="n">
        <v>46005</v>
      </c>
      <c r="C2796" s="39" t="s">
        <v>130</v>
      </c>
      <c r="D2796" s="39" t="n">
        <v>1</v>
      </c>
      <c r="E2796" s="41" t="n">
        <v>8.45</v>
      </c>
      <c r="F2796" s="39" t="s">
        <v>105</v>
      </c>
      <c r="G2796" s="39" t="str">
        <f aca="false">VLOOKUP(C2796,Products!$A$5:$D$24,2,FALSE())</f>
        <v>Notebook Set</v>
      </c>
      <c r="H2796" s="39" t="str">
        <f aca="false">VLOOKUP(C2796,Products!$A$5:$D$24,3,FALSE())</f>
        <v>Stationery</v>
      </c>
      <c r="I2796" s="41" t="n">
        <f aca="false">VLOOKUP(C2796,Products!$A$5:$D$24,4,FALSE())</f>
        <v>3</v>
      </c>
      <c r="J2796" s="42" t="n">
        <f aca="false">DATE(YEAR(B2796),MONTH(B2796),1)</f>
        <v>45992</v>
      </c>
      <c r="K2796" s="41" t="n">
        <f aca="false">D2796*E2796</f>
        <v>8.45</v>
      </c>
      <c r="L2796" s="41" t="n">
        <f aca="false">D2796*I2796</f>
        <v>3</v>
      </c>
      <c r="M2796" s="41" t="n">
        <f aca="false">IFERROR(INDEX(Raw_Expenses!$C$5:$C$2979,MATCH(A2796,Raw_Expenses!$A$5:$A$2979,0)),0)</f>
        <v>0.36</v>
      </c>
      <c r="N2796" s="41" t="n">
        <f aca="false">L2796+M2796</f>
        <v>3.36</v>
      </c>
      <c r="O2796" s="41" t="n">
        <f aca="false">K2796-N2796</f>
        <v>5.09</v>
      </c>
      <c r="P2796" s="43" t="n">
        <f aca="false">IF(K2796=0,0,O2796/K2796)</f>
        <v>0.602366863905326</v>
      </c>
    </row>
    <row r="2797" customFormat="false" ht="15" hidden="false" customHeight="false" outlineLevel="0" collapsed="false">
      <c r="A2797" s="39" t="s">
        <v>2919</v>
      </c>
      <c r="B2797" s="40" t="n">
        <v>46005</v>
      </c>
      <c r="C2797" s="39" t="s">
        <v>107</v>
      </c>
      <c r="D2797" s="39" t="n">
        <v>2</v>
      </c>
      <c r="E2797" s="41" t="n">
        <v>34.14</v>
      </c>
      <c r="F2797" s="39" t="s">
        <v>105</v>
      </c>
      <c r="G2797" s="39" t="str">
        <f aca="false">VLOOKUP(C2797,Products!$A$5:$D$24,2,FALSE())</f>
        <v>USB-C Hub</v>
      </c>
      <c r="H2797" s="39" t="str">
        <f aca="false">VLOOKUP(C2797,Products!$A$5:$D$24,3,FALSE())</f>
        <v>Electronics</v>
      </c>
      <c r="I2797" s="41" t="n">
        <f aca="false">VLOOKUP(C2797,Products!$A$5:$D$24,4,FALSE())</f>
        <v>14</v>
      </c>
      <c r="J2797" s="42" t="n">
        <f aca="false">DATE(YEAR(B2797),MONTH(B2797),1)</f>
        <v>45992</v>
      </c>
      <c r="K2797" s="41" t="n">
        <f aca="false">D2797*E2797</f>
        <v>68.28</v>
      </c>
      <c r="L2797" s="41" t="n">
        <f aca="false">D2797*I2797</f>
        <v>28</v>
      </c>
      <c r="M2797" s="41" t="n">
        <f aca="false">IFERROR(INDEX(Raw_Expenses!$C$5:$C$2979,MATCH(A2797,Raw_Expenses!$A$5:$A$2979,0)),0)</f>
        <v>4.81</v>
      </c>
      <c r="N2797" s="41" t="n">
        <f aca="false">L2797+M2797</f>
        <v>32.81</v>
      </c>
      <c r="O2797" s="41" t="n">
        <f aca="false">K2797-N2797</f>
        <v>35.47</v>
      </c>
      <c r="P2797" s="43" t="n">
        <f aca="false">IF(K2797=0,0,O2797/K2797)</f>
        <v>0.519478617457528</v>
      </c>
    </row>
    <row r="2798" customFormat="false" ht="15" hidden="false" customHeight="false" outlineLevel="0" collapsed="false">
      <c r="A2798" s="39" t="s">
        <v>2920</v>
      </c>
      <c r="B2798" s="40" t="n">
        <v>46005</v>
      </c>
      <c r="C2798" s="39" t="s">
        <v>117</v>
      </c>
      <c r="D2798" s="39" t="n">
        <v>2</v>
      </c>
      <c r="E2798" s="41" t="n">
        <v>30.83</v>
      </c>
      <c r="F2798" s="39" t="s">
        <v>118</v>
      </c>
      <c r="G2798" s="39" t="str">
        <f aca="false">VLOOKUP(C2798,Products!$A$5:$D$24,2,FALSE())</f>
        <v>Desk Lamp</v>
      </c>
      <c r="H2798" s="39" t="str">
        <f aca="false">VLOOKUP(C2798,Products!$A$5:$D$24,3,FALSE())</f>
        <v>Furniture</v>
      </c>
      <c r="I2798" s="41" t="n">
        <f aca="false">VLOOKUP(C2798,Products!$A$5:$D$24,4,FALSE())</f>
        <v>13</v>
      </c>
      <c r="J2798" s="42" t="n">
        <f aca="false">DATE(YEAR(B2798),MONTH(B2798),1)</f>
        <v>45992</v>
      </c>
      <c r="K2798" s="41" t="n">
        <f aca="false">D2798*E2798</f>
        <v>61.66</v>
      </c>
      <c r="L2798" s="41" t="n">
        <f aca="false">D2798*I2798</f>
        <v>26</v>
      </c>
      <c r="M2798" s="41" t="n">
        <f aca="false">IFERROR(INDEX(Raw_Expenses!$C$5:$C$2979,MATCH(A2798,Raw_Expenses!$A$5:$A$2979,0)),0)</f>
        <v>5.27</v>
      </c>
      <c r="N2798" s="41" t="n">
        <f aca="false">L2798+M2798</f>
        <v>31.27</v>
      </c>
      <c r="O2798" s="41" t="n">
        <f aca="false">K2798-N2798</f>
        <v>30.39</v>
      </c>
      <c r="P2798" s="43" t="n">
        <f aca="false">IF(K2798=0,0,O2798/K2798)</f>
        <v>0.492864093415504</v>
      </c>
    </row>
    <row r="2799" customFormat="false" ht="15" hidden="false" customHeight="false" outlineLevel="0" collapsed="false">
      <c r="A2799" s="39" t="s">
        <v>2921</v>
      </c>
      <c r="B2799" s="40" t="n">
        <v>46005</v>
      </c>
      <c r="C2799" s="39" t="s">
        <v>126</v>
      </c>
      <c r="D2799" s="39" t="n">
        <v>2</v>
      </c>
      <c r="E2799" s="41" t="n">
        <v>23.31</v>
      </c>
      <c r="F2799" s="39" t="s">
        <v>108</v>
      </c>
      <c r="G2799" s="39" t="str">
        <f aca="false">VLOOKUP(C2799,Products!$A$5:$D$24,2,FALSE())</f>
        <v>Wireless Mouse</v>
      </c>
      <c r="H2799" s="39" t="str">
        <f aca="false">VLOOKUP(C2799,Products!$A$5:$D$24,3,FALSE())</f>
        <v>Electronics</v>
      </c>
      <c r="I2799" s="41" t="n">
        <f aca="false">VLOOKUP(C2799,Products!$A$5:$D$24,4,FALSE())</f>
        <v>12</v>
      </c>
      <c r="J2799" s="42" t="n">
        <f aca="false">DATE(YEAR(B2799),MONTH(B2799),1)</f>
        <v>45992</v>
      </c>
      <c r="K2799" s="41" t="n">
        <f aca="false">D2799*E2799</f>
        <v>46.62</v>
      </c>
      <c r="L2799" s="41" t="n">
        <f aca="false">D2799*I2799</f>
        <v>24</v>
      </c>
      <c r="M2799" s="41" t="n">
        <f aca="false">IFERROR(INDEX(Raw_Expenses!$C$5:$C$2979,MATCH(A2799,Raw_Expenses!$A$5:$A$2979,0)),0)</f>
        <v>3.06</v>
      </c>
      <c r="N2799" s="41" t="n">
        <f aca="false">L2799+M2799</f>
        <v>27.06</v>
      </c>
      <c r="O2799" s="41" t="n">
        <f aca="false">K2799-N2799</f>
        <v>19.56</v>
      </c>
      <c r="P2799" s="43" t="n">
        <f aca="false">IF(K2799=0,0,O2799/K2799)</f>
        <v>0.41956241956242</v>
      </c>
    </row>
    <row r="2800" customFormat="false" ht="15" hidden="false" customHeight="false" outlineLevel="0" collapsed="false">
      <c r="A2800" s="39" t="s">
        <v>2922</v>
      </c>
      <c r="B2800" s="40" t="n">
        <v>46005</v>
      </c>
      <c r="C2800" s="39" t="s">
        <v>110</v>
      </c>
      <c r="D2800" s="39" t="n">
        <v>3</v>
      </c>
      <c r="E2800" s="41" t="n">
        <v>13.44</v>
      </c>
      <c r="F2800" s="39" t="s">
        <v>105</v>
      </c>
      <c r="G2800" s="39" t="str">
        <f aca="false">VLOOKUP(C2800,Products!$A$5:$D$24,2,FALSE())</f>
        <v>Phone Stand</v>
      </c>
      <c r="H2800" s="39" t="str">
        <f aca="false">VLOOKUP(C2800,Products!$A$5:$D$24,3,FALSE())</f>
        <v>Accessories</v>
      </c>
      <c r="I2800" s="41" t="n">
        <f aca="false">VLOOKUP(C2800,Products!$A$5:$D$24,4,FALSE())</f>
        <v>4</v>
      </c>
      <c r="J2800" s="42" t="n">
        <f aca="false">DATE(YEAR(B2800),MONTH(B2800),1)</f>
        <v>45992</v>
      </c>
      <c r="K2800" s="41" t="n">
        <f aca="false">D2800*E2800</f>
        <v>40.32</v>
      </c>
      <c r="L2800" s="41" t="n">
        <f aca="false">D2800*I2800</f>
        <v>12</v>
      </c>
      <c r="M2800" s="41" t="n">
        <f aca="false">IFERROR(INDEX(Raw_Expenses!$C$5:$C$2979,MATCH(A2800,Raw_Expenses!$A$5:$A$2979,0)),0)</f>
        <v>3.53</v>
      </c>
      <c r="N2800" s="41" t="n">
        <f aca="false">L2800+M2800</f>
        <v>15.53</v>
      </c>
      <c r="O2800" s="41" t="n">
        <f aca="false">K2800-N2800</f>
        <v>24.79</v>
      </c>
      <c r="P2800" s="43" t="n">
        <f aca="false">IF(K2800=0,0,O2800/K2800)</f>
        <v>0.614831349206349</v>
      </c>
    </row>
    <row r="2801" customFormat="false" ht="15" hidden="false" customHeight="false" outlineLevel="0" collapsed="false">
      <c r="A2801" s="39" t="s">
        <v>2923</v>
      </c>
      <c r="B2801" s="40" t="n">
        <v>46005</v>
      </c>
      <c r="C2801" s="39" t="s">
        <v>104</v>
      </c>
      <c r="D2801" s="39" t="n">
        <v>1</v>
      </c>
      <c r="E2801" s="41" t="n">
        <v>15.87</v>
      </c>
      <c r="F2801" s="39" t="s">
        <v>105</v>
      </c>
      <c r="G2801" s="39" t="str">
        <f aca="false">VLOOKUP(C2801,Products!$A$5:$D$24,2,FALSE())</f>
        <v>Water Bottle</v>
      </c>
      <c r="H2801" s="39" t="str">
        <f aca="false">VLOOKUP(C2801,Products!$A$5:$D$24,3,FALSE())</f>
        <v>Accessories</v>
      </c>
      <c r="I2801" s="41" t="n">
        <f aca="false">VLOOKUP(C2801,Products!$A$5:$D$24,4,FALSE())</f>
        <v>5</v>
      </c>
      <c r="J2801" s="42" t="n">
        <f aca="false">DATE(YEAR(B2801),MONTH(B2801),1)</f>
        <v>45992</v>
      </c>
      <c r="K2801" s="41" t="n">
        <f aca="false">D2801*E2801</f>
        <v>15.87</v>
      </c>
      <c r="L2801" s="41" t="n">
        <f aca="false">D2801*I2801</f>
        <v>5</v>
      </c>
      <c r="M2801" s="41" t="n">
        <f aca="false">IFERROR(INDEX(Raw_Expenses!$C$5:$C$2979,MATCH(A2801,Raw_Expenses!$A$5:$A$2979,0)),0)</f>
        <v>0.95</v>
      </c>
      <c r="N2801" s="41" t="n">
        <f aca="false">L2801+M2801</f>
        <v>5.95</v>
      </c>
      <c r="O2801" s="41" t="n">
        <f aca="false">K2801-N2801</f>
        <v>9.92</v>
      </c>
      <c r="P2801" s="43" t="n">
        <f aca="false">IF(K2801=0,0,O2801/K2801)</f>
        <v>0.625078764965343</v>
      </c>
    </row>
    <row r="2802" customFormat="false" ht="15" hidden="false" customHeight="false" outlineLevel="0" collapsed="false">
      <c r="A2802" s="39" t="s">
        <v>2924</v>
      </c>
      <c r="B2802" s="40" t="n">
        <v>46005</v>
      </c>
      <c r="C2802" s="39" t="s">
        <v>144</v>
      </c>
      <c r="D2802" s="39" t="n">
        <v>4</v>
      </c>
      <c r="E2802" s="41" t="n">
        <v>58.05</v>
      </c>
      <c r="F2802" s="39" t="s">
        <v>108</v>
      </c>
      <c r="G2802" s="39" t="str">
        <f aca="false">VLOOKUP(C2802,Products!$A$5:$D$24,2,FALSE())</f>
        <v>Whiteboard</v>
      </c>
      <c r="H2802" s="39" t="str">
        <f aca="false">VLOOKUP(C2802,Products!$A$5:$D$24,3,FALSE())</f>
        <v>Furniture</v>
      </c>
      <c r="I2802" s="41" t="n">
        <f aca="false">VLOOKUP(C2802,Products!$A$5:$D$24,4,FALSE())</f>
        <v>28</v>
      </c>
      <c r="J2802" s="42" t="n">
        <f aca="false">DATE(YEAR(B2802),MONTH(B2802),1)</f>
        <v>45992</v>
      </c>
      <c r="K2802" s="41" t="n">
        <f aca="false">D2802*E2802</f>
        <v>232.2</v>
      </c>
      <c r="L2802" s="41" t="n">
        <f aca="false">D2802*I2802</f>
        <v>112</v>
      </c>
      <c r="M2802" s="41" t="n">
        <f aca="false">IFERROR(INDEX(Raw_Expenses!$C$5:$C$2979,MATCH(A2802,Raw_Expenses!$A$5:$A$2979,0)),0)</f>
        <v>14.57</v>
      </c>
      <c r="N2802" s="41" t="n">
        <f aca="false">L2802+M2802</f>
        <v>126.57</v>
      </c>
      <c r="O2802" s="41" t="n">
        <f aca="false">K2802-N2802</f>
        <v>105.63</v>
      </c>
      <c r="P2802" s="43" t="n">
        <f aca="false">IF(K2802=0,0,O2802/K2802)</f>
        <v>0.454909560723514</v>
      </c>
    </row>
    <row r="2803" customFormat="false" ht="15" hidden="false" customHeight="false" outlineLevel="0" collapsed="false">
      <c r="A2803" s="39" t="s">
        <v>2925</v>
      </c>
      <c r="B2803" s="40" t="n">
        <v>46005</v>
      </c>
      <c r="C2803" s="39" t="s">
        <v>136</v>
      </c>
      <c r="D2803" s="39" t="n">
        <v>2</v>
      </c>
      <c r="E2803" s="41" t="n">
        <v>76.98</v>
      </c>
      <c r="F2803" s="39" t="s">
        <v>108</v>
      </c>
      <c r="G2803" s="39" t="str">
        <f aca="false">VLOOKUP(C2803,Products!$A$5:$D$24,2,FALSE())</f>
        <v>Mechanical Keyboard</v>
      </c>
      <c r="H2803" s="39" t="str">
        <f aca="false">VLOOKUP(C2803,Products!$A$5:$D$24,3,FALSE())</f>
        <v>Electronics</v>
      </c>
      <c r="I2803" s="41" t="n">
        <f aca="false">VLOOKUP(C2803,Products!$A$5:$D$24,4,FALSE())</f>
        <v>38</v>
      </c>
      <c r="J2803" s="42" t="n">
        <f aca="false">DATE(YEAR(B2803),MONTH(B2803),1)</f>
        <v>45992</v>
      </c>
      <c r="K2803" s="41" t="n">
        <f aca="false">D2803*E2803</f>
        <v>153.96</v>
      </c>
      <c r="L2803" s="41" t="n">
        <f aca="false">D2803*I2803</f>
        <v>76</v>
      </c>
      <c r="M2803" s="41" t="n">
        <f aca="false">IFERROR(INDEX(Raw_Expenses!$C$5:$C$2979,MATCH(A2803,Raw_Expenses!$A$5:$A$2979,0)),0)</f>
        <v>7.97</v>
      </c>
      <c r="N2803" s="41" t="n">
        <f aca="false">L2803+M2803</f>
        <v>83.97</v>
      </c>
      <c r="O2803" s="41" t="n">
        <f aca="false">K2803-N2803</f>
        <v>69.99</v>
      </c>
      <c r="P2803" s="43" t="n">
        <f aca="false">IF(K2803=0,0,O2803/K2803)</f>
        <v>0.454598597038192</v>
      </c>
    </row>
    <row r="2804" customFormat="false" ht="15" hidden="false" customHeight="false" outlineLevel="0" collapsed="false">
      <c r="A2804" s="39" t="s">
        <v>2926</v>
      </c>
      <c r="B2804" s="40" t="n">
        <v>46005</v>
      </c>
      <c r="C2804" s="39" t="s">
        <v>177</v>
      </c>
      <c r="D2804" s="39" t="n">
        <v>2</v>
      </c>
      <c r="E2804" s="41" t="n">
        <v>44.22</v>
      </c>
      <c r="F2804" s="39" t="s">
        <v>118</v>
      </c>
      <c r="G2804" s="39" t="str">
        <f aca="false">VLOOKUP(C2804,Products!$A$5:$D$24,2,FALSE())</f>
        <v>Backpack</v>
      </c>
      <c r="H2804" s="39" t="str">
        <f aca="false">VLOOKUP(C2804,Products!$A$5:$D$24,3,FALSE())</f>
        <v>Accessories</v>
      </c>
      <c r="I2804" s="41" t="n">
        <f aca="false">VLOOKUP(C2804,Products!$A$5:$D$24,4,FALSE())</f>
        <v>17</v>
      </c>
      <c r="J2804" s="42" t="n">
        <f aca="false">DATE(YEAR(B2804),MONTH(B2804),1)</f>
        <v>45992</v>
      </c>
      <c r="K2804" s="41" t="n">
        <f aca="false">D2804*E2804</f>
        <v>88.44</v>
      </c>
      <c r="L2804" s="41" t="n">
        <f aca="false">D2804*I2804</f>
        <v>34</v>
      </c>
      <c r="M2804" s="41" t="n">
        <f aca="false">IFERROR(INDEX(Raw_Expenses!$C$5:$C$2979,MATCH(A2804,Raw_Expenses!$A$5:$A$2979,0)),0)</f>
        <v>4.56</v>
      </c>
      <c r="N2804" s="41" t="n">
        <f aca="false">L2804+M2804</f>
        <v>38.56</v>
      </c>
      <c r="O2804" s="41" t="n">
        <f aca="false">K2804-N2804</f>
        <v>49.88</v>
      </c>
      <c r="P2804" s="43" t="n">
        <f aca="false">IF(K2804=0,0,O2804/K2804)</f>
        <v>0.563998190863863</v>
      </c>
    </row>
    <row r="2805" customFormat="false" ht="15" hidden="false" customHeight="false" outlineLevel="0" collapsed="false">
      <c r="A2805" s="39" t="s">
        <v>2927</v>
      </c>
      <c r="B2805" s="40" t="n">
        <v>46005</v>
      </c>
      <c r="C2805" s="39" t="s">
        <v>133</v>
      </c>
      <c r="D2805" s="39" t="n">
        <v>5</v>
      </c>
      <c r="E2805" s="41" t="n">
        <v>8.94</v>
      </c>
      <c r="F2805" s="39" t="s">
        <v>108</v>
      </c>
      <c r="G2805" s="39" t="str">
        <f aca="false">VLOOKUP(C2805,Products!$A$5:$D$24,2,FALSE())</f>
        <v>Printer Paper Ream</v>
      </c>
      <c r="H2805" s="39" t="str">
        <f aca="false">VLOOKUP(C2805,Products!$A$5:$D$24,3,FALSE())</f>
        <v>Stationery</v>
      </c>
      <c r="I2805" s="41" t="n">
        <f aca="false">VLOOKUP(C2805,Products!$A$5:$D$24,4,FALSE())</f>
        <v>4</v>
      </c>
      <c r="J2805" s="42" t="n">
        <f aca="false">DATE(YEAR(B2805),MONTH(B2805),1)</f>
        <v>45992</v>
      </c>
      <c r="K2805" s="41" t="n">
        <f aca="false">D2805*E2805</f>
        <v>44.7</v>
      </c>
      <c r="L2805" s="41" t="n">
        <f aca="false">D2805*I2805</f>
        <v>20</v>
      </c>
      <c r="M2805" s="41" t="n">
        <f aca="false">IFERROR(INDEX(Raw_Expenses!$C$5:$C$2979,MATCH(A2805,Raw_Expenses!$A$5:$A$2979,0)),0)</f>
        <v>3.36</v>
      </c>
      <c r="N2805" s="41" t="n">
        <f aca="false">L2805+M2805</f>
        <v>23.36</v>
      </c>
      <c r="O2805" s="41" t="n">
        <f aca="false">K2805-N2805</f>
        <v>21.34</v>
      </c>
      <c r="P2805" s="43" t="n">
        <f aca="false">IF(K2805=0,0,O2805/K2805)</f>
        <v>0.477404921700224</v>
      </c>
    </row>
    <row r="2806" customFormat="false" ht="15" hidden="false" customHeight="false" outlineLevel="0" collapsed="false">
      <c r="A2806" s="39" t="s">
        <v>2928</v>
      </c>
      <c r="B2806" s="40" t="n">
        <v>46005</v>
      </c>
      <c r="C2806" s="39" t="s">
        <v>169</v>
      </c>
      <c r="D2806" s="39" t="n">
        <v>6</v>
      </c>
      <c r="E2806" s="41" t="n">
        <v>27.79</v>
      </c>
      <c r="F2806" s="39" t="s">
        <v>115</v>
      </c>
      <c r="G2806" s="39" t="str">
        <f aca="false">VLOOKUP(C2806,Products!$A$5:$D$24,2,FALSE())</f>
        <v>Laptop Stand</v>
      </c>
      <c r="H2806" s="39" t="str">
        <f aca="false">VLOOKUP(C2806,Products!$A$5:$D$24,3,FALSE())</f>
        <v>Accessories</v>
      </c>
      <c r="I2806" s="41" t="n">
        <f aca="false">VLOOKUP(C2806,Products!$A$5:$D$24,4,FALSE())</f>
        <v>11</v>
      </c>
      <c r="J2806" s="42" t="n">
        <f aca="false">DATE(YEAR(B2806),MONTH(B2806),1)</f>
        <v>45992</v>
      </c>
      <c r="K2806" s="41" t="n">
        <f aca="false">D2806*E2806</f>
        <v>166.74</v>
      </c>
      <c r="L2806" s="41" t="n">
        <f aca="false">D2806*I2806</f>
        <v>66</v>
      </c>
      <c r="M2806" s="41" t="n">
        <f aca="false">IFERROR(INDEX(Raw_Expenses!$C$5:$C$2979,MATCH(A2806,Raw_Expenses!$A$5:$A$2979,0)),0)</f>
        <v>7.3</v>
      </c>
      <c r="N2806" s="41" t="n">
        <f aca="false">L2806+M2806</f>
        <v>73.3</v>
      </c>
      <c r="O2806" s="41" t="n">
        <f aca="false">K2806-N2806</f>
        <v>93.44</v>
      </c>
      <c r="P2806" s="43" t="n">
        <f aca="false">IF(K2806=0,0,O2806/K2806)</f>
        <v>0.560393426892168</v>
      </c>
    </row>
    <row r="2807" customFormat="false" ht="15" hidden="false" customHeight="false" outlineLevel="0" collapsed="false">
      <c r="A2807" s="39" t="s">
        <v>2929</v>
      </c>
      <c r="B2807" s="40" t="n">
        <v>46005</v>
      </c>
      <c r="C2807" s="39" t="s">
        <v>110</v>
      </c>
      <c r="D2807" s="39" t="n">
        <v>5</v>
      </c>
      <c r="E2807" s="41" t="n">
        <v>13.96</v>
      </c>
      <c r="F2807" s="39" t="s">
        <v>108</v>
      </c>
      <c r="G2807" s="39" t="str">
        <f aca="false">VLOOKUP(C2807,Products!$A$5:$D$24,2,FALSE())</f>
        <v>Phone Stand</v>
      </c>
      <c r="H2807" s="39" t="str">
        <f aca="false">VLOOKUP(C2807,Products!$A$5:$D$24,3,FALSE())</f>
        <v>Accessories</v>
      </c>
      <c r="I2807" s="41" t="n">
        <f aca="false">VLOOKUP(C2807,Products!$A$5:$D$24,4,FALSE())</f>
        <v>4</v>
      </c>
      <c r="J2807" s="42" t="n">
        <f aca="false">DATE(YEAR(B2807),MONTH(B2807),1)</f>
        <v>45992</v>
      </c>
      <c r="K2807" s="41" t="n">
        <f aca="false">D2807*E2807</f>
        <v>69.8</v>
      </c>
      <c r="L2807" s="41" t="n">
        <f aca="false">D2807*I2807</f>
        <v>20</v>
      </c>
      <c r="M2807" s="41" t="n">
        <f aca="false">IFERROR(INDEX(Raw_Expenses!$C$5:$C$2979,MATCH(A2807,Raw_Expenses!$A$5:$A$2979,0)),0)</f>
        <v>3.66</v>
      </c>
      <c r="N2807" s="41" t="n">
        <f aca="false">L2807+M2807</f>
        <v>23.66</v>
      </c>
      <c r="O2807" s="41" t="n">
        <f aca="false">K2807-N2807</f>
        <v>46.14</v>
      </c>
      <c r="P2807" s="43" t="n">
        <f aca="false">IF(K2807=0,0,O2807/K2807)</f>
        <v>0.661031518624642</v>
      </c>
    </row>
    <row r="2808" customFormat="false" ht="15" hidden="false" customHeight="false" outlineLevel="0" collapsed="false">
      <c r="A2808" s="39" t="s">
        <v>2930</v>
      </c>
      <c r="B2808" s="40" t="n">
        <v>46005</v>
      </c>
      <c r="C2808" s="39" t="s">
        <v>144</v>
      </c>
      <c r="D2808" s="39" t="n">
        <v>1</v>
      </c>
      <c r="E2808" s="41" t="n">
        <v>57.69</v>
      </c>
      <c r="F2808" s="39" t="s">
        <v>115</v>
      </c>
      <c r="G2808" s="39" t="str">
        <f aca="false">VLOOKUP(C2808,Products!$A$5:$D$24,2,FALSE())</f>
        <v>Whiteboard</v>
      </c>
      <c r="H2808" s="39" t="str">
        <f aca="false">VLOOKUP(C2808,Products!$A$5:$D$24,3,FALSE())</f>
        <v>Furniture</v>
      </c>
      <c r="I2808" s="41" t="n">
        <f aca="false">VLOOKUP(C2808,Products!$A$5:$D$24,4,FALSE())</f>
        <v>28</v>
      </c>
      <c r="J2808" s="42" t="n">
        <f aca="false">DATE(YEAR(B2808),MONTH(B2808),1)</f>
        <v>45992</v>
      </c>
      <c r="K2808" s="41" t="n">
        <f aca="false">D2808*E2808</f>
        <v>57.69</v>
      </c>
      <c r="L2808" s="41" t="n">
        <f aca="false">D2808*I2808</f>
        <v>28</v>
      </c>
      <c r="M2808" s="41" t="n">
        <f aca="false">IFERROR(INDEX(Raw_Expenses!$C$5:$C$2979,MATCH(A2808,Raw_Expenses!$A$5:$A$2979,0)),0)</f>
        <v>3.33</v>
      </c>
      <c r="N2808" s="41" t="n">
        <f aca="false">L2808+M2808</f>
        <v>31.33</v>
      </c>
      <c r="O2808" s="41" t="n">
        <f aca="false">K2808-N2808</f>
        <v>26.36</v>
      </c>
      <c r="P2808" s="43" t="n">
        <f aca="false">IF(K2808=0,0,O2808/K2808)</f>
        <v>0.456924943664413</v>
      </c>
    </row>
    <row r="2809" customFormat="false" ht="15" hidden="false" customHeight="false" outlineLevel="0" collapsed="false">
      <c r="A2809" s="39" t="s">
        <v>2931</v>
      </c>
      <c r="B2809" s="40" t="n">
        <v>46006</v>
      </c>
      <c r="C2809" s="39" t="s">
        <v>169</v>
      </c>
      <c r="D2809" s="39" t="n">
        <v>3</v>
      </c>
      <c r="E2809" s="41" t="n">
        <v>28.24</v>
      </c>
      <c r="F2809" s="39" t="s">
        <v>105</v>
      </c>
      <c r="G2809" s="39" t="str">
        <f aca="false">VLOOKUP(C2809,Products!$A$5:$D$24,2,FALSE())</f>
        <v>Laptop Stand</v>
      </c>
      <c r="H2809" s="39" t="str">
        <f aca="false">VLOOKUP(C2809,Products!$A$5:$D$24,3,FALSE())</f>
        <v>Accessories</v>
      </c>
      <c r="I2809" s="41" t="n">
        <f aca="false">VLOOKUP(C2809,Products!$A$5:$D$24,4,FALSE())</f>
        <v>11</v>
      </c>
      <c r="J2809" s="42" t="n">
        <f aca="false">DATE(YEAR(B2809),MONTH(B2809),1)</f>
        <v>45992</v>
      </c>
      <c r="K2809" s="41" t="n">
        <f aca="false">D2809*E2809</f>
        <v>84.72</v>
      </c>
      <c r="L2809" s="41" t="n">
        <f aca="false">D2809*I2809</f>
        <v>33</v>
      </c>
      <c r="M2809" s="41" t="n">
        <f aca="false">IFERROR(INDEX(Raw_Expenses!$C$5:$C$2979,MATCH(A2809,Raw_Expenses!$A$5:$A$2979,0)),0)</f>
        <v>6.46</v>
      </c>
      <c r="N2809" s="41" t="n">
        <f aca="false">L2809+M2809</f>
        <v>39.46</v>
      </c>
      <c r="O2809" s="41" t="n">
        <f aca="false">K2809-N2809</f>
        <v>45.26</v>
      </c>
      <c r="P2809" s="43" t="n">
        <f aca="false">IF(K2809=0,0,O2809/K2809)</f>
        <v>0.534230406043437</v>
      </c>
    </row>
    <row r="2810" customFormat="false" ht="15" hidden="false" customHeight="false" outlineLevel="0" collapsed="false">
      <c r="A2810" s="39" t="s">
        <v>2932</v>
      </c>
      <c r="B2810" s="40" t="n">
        <v>46006</v>
      </c>
      <c r="C2810" s="39" t="s">
        <v>130</v>
      </c>
      <c r="D2810" s="39" t="n">
        <v>1</v>
      </c>
      <c r="E2810" s="41" t="n">
        <v>8.71</v>
      </c>
      <c r="F2810" s="39" t="s">
        <v>105</v>
      </c>
      <c r="G2810" s="39" t="str">
        <f aca="false">VLOOKUP(C2810,Products!$A$5:$D$24,2,FALSE())</f>
        <v>Notebook Set</v>
      </c>
      <c r="H2810" s="39" t="str">
        <f aca="false">VLOOKUP(C2810,Products!$A$5:$D$24,3,FALSE())</f>
        <v>Stationery</v>
      </c>
      <c r="I2810" s="41" t="n">
        <f aca="false">VLOOKUP(C2810,Products!$A$5:$D$24,4,FALSE())</f>
        <v>3</v>
      </c>
      <c r="J2810" s="42" t="n">
        <f aca="false">DATE(YEAR(B2810),MONTH(B2810),1)</f>
        <v>45992</v>
      </c>
      <c r="K2810" s="41" t="n">
        <f aca="false">D2810*E2810</f>
        <v>8.71</v>
      </c>
      <c r="L2810" s="41" t="n">
        <f aca="false">D2810*I2810</f>
        <v>3</v>
      </c>
      <c r="M2810" s="41" t="n">
        <f aca="false">IFERROR(INDEX(Raw_Expenses!$C$5:$C$2979,MATCH(A2810,Raw_Expenses!$A$5:$A$2979,0)),0)</f>
        <v>0</v>
      </c>
      <c r="N2810" s="41" t="n">
        <f aca="false">L2810+M2810</f>
        <v>3</v>
      </c>
      <c r="O2810" s="41" t="n">
        <f aca="false">K2810-N2810</f>
        <v>5.71</v>
      </c>
      <c r="P2810" s="43" t="n">
        <f aca="false">IF(K2810=0,0,O2810/K2810)</f>
        <v>0.65556831228473</v>
      </c>
    </row>
    <row r="2811" customFormat="false" ht="15" hidden="false" customHeight="false" outlineLevel="0" collapsed="false">
      <c r="A2811" s="39" t="s">
        <v>2933</v>
      </c>
      <c r="B2811" s="40" t="n">
        <v>46006</v>
      </c>
      <c r="C2811" s="39" t="s">
        <v>114</v>
      </c>
      <c r="D2811" s="39" t="n">
        <v>2</v>
      </c>
      <c r="E2811" s="41" t="n">
        <v>5.62</v>
      </c>
      <c r="F2811" s="39" t="s">
        <v>115</v>
      </c>
      <c r="G2811" s="39" t="str">
        <f aca="false">VLOOKUP(C2811,Products!$A$5:$D$24,2,FALSE())</f>
        <v>Gel Pen Pack</v>
      </c>
      <c r="H2811" s="39" t="str">
        <f aca="false">VLOOKUP(C2811,Products!$A$5:$D$24,3,FALSE())</f>
        <v>Stationery</v>
      </c>
      <c r="I2811" s="41" t="n">
        <f aca="false">VLOOKUP(C2811,Products!$A$5:$D$24,4,FALSE())</f>
        <v>2</v>
      </c>
      <c r="J2811" s="42" t="n">
        <f aca="false">DATE(YEAR(B2811),MONTH(B2811),1)</f>
        <v>45992</v>
      </c>
      <c r="K2811" s="41" t="n">
        <f aca="false">D2811*E2811</f>
        <v>11.24</v>
      </c>
      <c r="L2811" s="41" t="n">
        <f aca="false">D2811*I2811</f>
        <v>4</v>
      </c>
      <c r="M2811" s="41" t="n">
        <f aca="false">IFERROR(INDEX(Raw_Expenses!$C$5:$C$2979,MATCH(A2811,Raw_Expenses!$A$5:$A$2979,0)),0)</f>
        <v>0.97</v>
      </c>
      <c r="N2811" s="41" t="n">
        <f aca="false">L2811+M2811</f>
        <v>4.97</v>
      </c>
      <c r="O2811" s="41" t="n">
        <f aca="false">K2811-N2811</f>
        <v>6.27</v>
      </c>
      <c r="P2811" s="43" t="n">
        <f aca="false">IF(K2811=0,0,O2811/K2811)</f>
        <v>0.557829181494662</v>
      </c>
    </row>
    <row r="2812" customFormat="false" ht="15" hidden="false" customHeight="false" outlineLevel="0" collapsed="false">
      <c r="A2812" s="39" t="s">
        <v>2934</v>
      </c>
      <c r="B2812" s="40" t="n">
        <v>46006</v>
      </c>
      <c r="C2812" s="39" t="s">
        <v>114</v>
      </c>
      <c r="D2812" s="39" t="n">
        <v>2</v>
      </c>
      <c r="E2812" s="41" t="n">
        <v>5.82</v>
      </c>
      <c r="F2812" s="39" t="s">
        <v>105</v>
      </c>
      <c r="G2812" s="39" t="str">
        <f aca="false">VLOOKUP(C2812,Products!$A$5:$D$24,2,FALSE())</f>
        <v>Gel Pen Pack</v>
      </c>
      <c r="H2812" s="39" t="str">
        <f aca="false">VLOOKUP(C2812,Products!$A$5:$D$24,3,FALSE())</f>
        <v>Stationery</v>
      </c>
      <c r="I2812" s="41" t="n">
        <f aca="false">VLOOKUP(C2812,Products!$A$5:$D$24,4,FALSE())</f>
        <v>2</v>
      </c>
      <c r="J2812" s="42" t="n">
        <f aca="false">DATE(YEAR(B2812),MONTH(B2812),1)</f>
        <v>45992</v>
      </c>
      <c r="K2812" s="41" t="n">
        <f aca="false">D2812*E2812</f>
        <v>11.64</v>
      </c>
      <c r="L2812" s="41" t="n">
        <f aca="false">D2812*I2812</f>
        <v>4</v>
      </c>
      <c r="M2812" s="41" t="n">
        <f aca="false">IFERROR(INDEX(Raw_Expenses!$C$5:$C$2979,MATCH(A2812,Raw_Expenses!$A$5:$A$2979,0)),0)</f>
        <v>0.51</v>
      </c>
      <c r="N2812" s="41" t="n">
        <f aca="false">L2812+M2812</f>
        <v>4.51</v>
      </c>
      <c r="O2812" s="41" t="n">
        <f aca="false">K2812-N2812</f>
        <v>7.13</v>
      </c>
      <c r="P2812" s="43" t="n">
        <f aca="false">IF(K2812=0,0,O2812/K2812)</f>
        <v>0.612542955326461</v>
      </c>
    </row>
    <row r="2813" customFormat="false" ht="15" hidden="false" customHeight="false" outlineLevel="0" collapsed="false">
      <c r="A2813" s="39" t="s">
        <v>2935</v>
      </c>
      <c r="B2813" s="40" t="n">
        <v>46006</v>
      </c>
      <c r="C2813" s="39" t="s">
        <v>133</v>
      </c>
      <c r="D2813" s="39" t="n">
        <v>3</v>
      </c>
      <c r="E2813" s="41" t="n">
        <v>8.39</v>
      </c>
      <c r="F2813" s="39" t="s">
        <v>108</v>
      </c>
      <c r="G2813" s="39" t="str">
        <f aca="false">VLOOKUP(C2813,Products!$A$5:$D$24,2,FALSE())</f>
        <v>Printer Paper Ream</v>
      </c>
      <c r="H2813" s="39" t="str">
        <f aca="false">VLOOKUP(C2813,Products!$A$5:$D$24,3,FALSE())</f>
        <v>Stationery</v>
      </c>
      <c r="I2813" s="41" t="n">
        <f aca="false">VLOOKUP(C2813,Products!$A$5:$D$24,4,FALSE())</f>
        <v>4</v>
      </c>
      <c r="J2813" s="42" t="n">
        <f aca="false">DATE(YEAR(B2813),MONTH(B2813),1)</f>
        <v>45992</v>
      </c>
      <c r="K2813" s="41" t="n">
        <f aca="false">D2813*E2813</f>
        <v>25.17</v>
      </c>
      <c r="L2813" s="41" t="n">
        <f aca="false">D2813*I2813</f>
        <v>12</v>
      </c>
      <c r="M2813" s="41" t="n">
        <f aca="false">IFERROR(INDEX(Raw_Expenses!$C$5:$C$2979,MATCH(A2813,Raw_Expenses!$A$5:$A$2979,0)),0)</f>
        <v>1.12</v>
      </c>
      <c r="N2813" s="41" t="n">
        <f aca="false">L2813+M2813</f>
        <v>13.12</v>
      </c>
      <c r="O2813" s="41" t="n">
        <f aca="false">K2813-N2813</f>
        <v>12.05</v>
      </c>
      <c r="P2813" s="43" t="n">
        <f aca="false">IF(K2813=0,0,O2813/K2813)</f>
        <v>0.478744537147398</v>
      </c>
    </row>
    <row r="2814" customFormat="false" ht="15" hidden="false" customHeight="false" outlineLevel="0" collapsed="false">
      <c r="A2814" s="39" t="s">
        <v>2936</v>
      </c>
      <c r="B2814" s="40" t="n">
        <v>46006</v>
      </c>
      <c r="C2814" s="39" t="s">
        <v>130</v>
      </c>
      <c r="D2814" s="39" t="n">
        <v>1</v>
      </c>
      <c r="E2814" s="41" t="n">
        <v>8.59</v>
      </c>
      <c r="F2814" s="39" t="s">
        <v>115</v>
      </c>
      <c r="G2814" s="39" t="str">
        <f aca="false">VLOOKUP(C2814,Products!$A$5:$D$24,2,FALSE())</f>
        <v>Notebook Set</v>
      </c>
      <c r="H2814" s="39" t="str">
        <f aca="false">VLOOKUP(C2814,Products!$A$5:$D$24,3,FALSE())</f>
        <v>Stationery</v>
      </c>
      <c r="I2814" s="41" t="n">
        <f aca="false">VLOOKUP(C2814,Products!$A$5:$D$24,4,FALSE())</f>
        <v>3</v>
      </c>
      <c r="J2814" s="42" t="n">
        <f aca="false">DATE(YEAR(B2814),MONTH(B2814),1)</f>
        <v>45992</v>
      </c>
      <c r="K2814" s="41" t="n">
        <f aca="false">D2814*E2814</f>
        <v>8.59</v>
      </c>
      <c r="L2814" s="41" t="n">
        <f aca="false">D2814*I2814</f>
        <v>3</v>
      </c>
      <c r="M2814" s="41" t="n">
        <f aca="false">IFERROR(INDEX(Raw_Expenses!$C$5:$C$2979,MATCH(A2814,Raw_Expenses!$A$5:$A$2979,0)),0)</f>
        <v>0.65</v>
      </c>
      <c r="N2814" s="41" t="n">
        <f aca="false">L2814+M2814</f>
        <v>3.65</v>
      </c>
      <c r="O2814" s="41" t="n">
        <f aca="false">K2814-N2814</f>
        <v>4.94</v>
      </c>
      <c r="P2814" s="43" t="n">
        <f aca="false">IF(K2814=0,0,O2814/K2814)</f>
        <v>0.575087310826542</v>
      </c>
    </row>
    <row r="2815" customFormat="false" ht="15" hidden="false" customHeight="false" outlineLevel="0" collapsed="false">
      <c r="A2815" s="39" t="s">
        <v>2937</v>
      </c>
      <c r="B2815" s="40" t="n">
        <v>46006</v>
      </c>
      <c r="C2815" s="39" t="s">
        <v>112</v>
      </c>
      <c r="D2815" s="39" t="n">
        <v>6</v>
      </c>
      <c r="E2815" s="41" t="n">
        <v>53.67</v>
      </c>
      <c r="F2815" s="39" t="s">
        <v>105</v>
      </c>
      <c r="G2815" s="39" t="str">
        <f aca="false">VLOOKUP(C2815,Products!$A$5:$D$24,2,FALSE())</f>
        <v>HD Webcam</v>
      </c>
      <c r="H2815" s="39" t="str">
        <f aca="false">VLOOKUP(C2815,Products!$A$5:$D$24,3,FALSE())</f>
        <v>Electronics</v>
      </c>
      <c r="I2815" s="41" t="n">
        <f aca="false">VLOOKUP(C2815,Products!$A$5:$D$24,4,FALSE())</f>
        <v>22</v>
      </c>
      <c r="J2815" s="42" t="n">
        <f aca="false">DATE(YEAR(B2815),MONTH(B2815),1)</f>
        <v>45992</v>
      </c>
      <c r="K2815" s="41" t="n">
        <f aca="false">D2815*E2815</f>
        <v>322.02</v>
      </c>
      <c r="L2815" s="41" t="n">
        <f aca="false">D2815*I2815</f>
        <v>132</v>
      </c>
      <c r="M2815" s="41" t="n">
        <f aca="false">IFERROR(INDEX(Raw_Expenses!$C$5:$C$2979,MATCH(A2815,Raw_Expenses!$A$5:$A$2979,0)),0)</f>
        <v>20.49</v>
      </c>
      <c r="N2815" s="41" t="n">
        <f aca="false">L2815+M2815</f>
        <v>152.49</v>
      </c>
      <c r="O2815" s="41" t="n">
        <f aca="false">K2815-N2815</f>
        <v>169.53</v>
      </c>
      <c r="P2815" s="43" t="n">
        <f aca="false">IF(K2815=0,0,O2815/K2815)</f>
        <v>0.526457983976151</v>
      </c>
    </row>
    <row r="2816" customFormat="false" ht="15" hidden="false" customHeight="false" outlineLevel="0" collapsed="false">
      <c r="A2816" s="39" t="s">
        <v>2938</v>
      </c>
      <c r="B2816" s="40" t="n">
        <v>46006</v>
      </c>
      <c r="C2816" s="39" t="s">
        <v>112</v>
      </c>
      <c r="D2816" s="39" t="n">
        <v>2</v>
      </c>
      <c r="E2816" s="41" t="n">
        <v>54.09</v>
      </c>
      <c r="F2816" s="39" t="s">
        <v>118</v>
      </c>
      <c r="G2816" s="39" t="str">
        <f aca="false">VLOOKUP(C2816,Products!$A$5:$D$24,2,FALSE())</f>
        <v>HD Webcam</v>
      </c>
      <c r="H2816" s="39" t="str">
        <f aca="false">VLOOKUP(C2816,Products!$A$5:$D$24,3,FALSE())</f>
        <v>Electronics</v>
      </c>
      <c r="I2816" s="41" t="n">
        <f aca="false">VLOOKUP(C2816,Products!$A$5:$D$24,4,FALSE())</f>
        <v>22</v>
      </c>
      <c r="J2816" s="42" t="n">
        <f aca="false">DATE(YEAR(B2816),MONTH(B2816),1)</f>
        <v>45992</v>
      </c>
      <c r="K2816" s="41" t="n">
        <f aca="false">D2816*E2816</f>
        <v>108.18</v>
      </c>
      <c r="L2816" s="41" t="n">
        <f aca="false">D2816*I2816</f>
        <v>44</v>
      </c>
      <c r="M2816" s="41" t="n">
        <f aca="false">IFERROR(INDEX(Raw_Expenses!$C$5:$C$2979,MATCH(A2816,Raw_Expenses!$A$5:$A$2979,0)),0)</f>
        <v>4.79</v>
      </c>
      <c r="N2816" s="41" t="n">
        <f aca="false">L2816+M2816</f>
        <v>48.79</v>
      </c>
      <c r="O2816" s="41" t="n">
        <f aca="false">K2816-N2816</f>
        <v>59.39</v>
      </c>
      <c r="P2816" s="43" t="n">
        <f aca="false">IF(K2816=0,0,O2816/K2816)</f>
        <v>0.548992420040673</v>
      </c>
    </row>
    <row r="2817" customFormat="false" ht="15" hidden="false" customHeight="false" outlineLevel="0" collapsed="false">
      <c r="A2817" s="39" t="s">
        <v>2939</v>
      </c>
      <c r="B2817" s="40" t="n">
        <v>46006</v>
      </c>
      <c r="C2817" s="39" t="s">
        <v>110</v>
      </c>
      <c r="D2817" s="39" t="n">
        <v>2</v>
      </c>
      <c r="E2817" s="41" t="n">
        <v>13.22</v>
      </c>
      <c r="F2817" s="39" t="s">
        <v>105</v>
      </c>
      <c r="G2817" s="39" t="str">
        <f aca="false">VLOOKUP(C2817,Products!$A$5:$D$24,2,FALSE())</f>
        <v>Phone Stand</v>
      </c>
      <c r="H2817" s="39" t="str">
        <f aca="false">VLOOKUP(C2817,Products!$A$5:$D$24,3,FALSE())</f>
        <v>Accessories</v>
      </c>
      <c r="I2817" s="41" t="n">
        <f aca="false">VLOOKUP(C2817,Products!$A$5:$D$24,4,FALSE())</f>
        <v>4</v>
      </c>
      <c r="J2817" s="42" t="n">
        <f aca="false">DATE(YEAR(B2817),MONTH(B2817),1)</f>
        <v>45992</v>
      </c>
      <c r="K2817" s="41" t="n">
        <f aca="false">D2817*E2817</f>
        <v>26.44</v>
      </c>
      <c r="L2817" s="41" t="n">
        <f aca="false">D2817*I2817</f>
        <v>8</v>
      </c>
      <c r="M2817" s="41" t="n">
        <f aca="false">IFERROR(INDEX(Raw_Expenses!$C$5:$C$2979,MATCH(A2817,Raw_Expenses!$A$5:$A$2979,0)),0)</f>
        <v>1.81</v>
      </c>
      <c r="N2817" s="41" t="n">
        <f aca="false">L2817+M2817</f>
        <v>9.81</v>
      </c>
      <c r="O2817" s="41" t="n">
        <f aca="false">K2817-N2817</f>
        <v>16.63</v>
      </c>
      <c r="P2817" s="43" t="n">
        <f aca="false">IF(K2817=0,0,O2817/K2817)</f>
        <v>0.628971255673222</v>
      </c>
    </row>
    <row r="2818" customFormat="false" ht="15" hidden="false" customHeight="false" outlineLevel="0" collapsed="false">
      <c r="A2818" s="39" t="s">
        <v>2940</v>
      </c>
      <c r="B2818" s="40" t="n">
        <v>46006</v>
      </c>
      <c r="C2818" s="39" t="s">
        <v>117</v>
      </c>
      <c r="D2818" s="39" t="n">
        <v>4</v>
      </c>
      <c r="E2818" s="41" t="n">
        <v>30.46</v>
      </c>
      <c r="F2818" s="39" t="s">
        <v>118</v>
      </c>
      <c r="G2818" s="39" t="str">
        <f aca="false">VLOOKUP(C2818,Products!$A$5:$D$24,2,FALSE())</f>
        <v>Desk Lamp</v>
      </c>
      <c r="H2818" s="39" t="str">
        <f aca="false">VLOOKUP(C2818,Products!$A$5:$D$24,3,FALSE())</f>
        <v>Furniture</v>
      </c>
      <c r="I2818" s="41" t="n">
        <f aca="false">VLOOKUP(C2818,Products!$A$5:$D$24,4,FALSE())</f>
        <v>13</v>
      </c>
      <c r="J2818" s="42" t="n">
        <f aca="false">DATE(YEAR(B2818),MONTH(B2818),1)</f>
        <v>45992</v>
      </c>
      <c r="K2818" s="41" t="n">
        <f aca="false">D2818*E2818</f>
        <v>121.84</v>
      </c>
      <c r="L2818" s="41" t="n">
        <f aca="false">D2818*I2818</f>
        <v>52</v>
      </c>
      <c r="M2818" s="41" t="n">
        <f aca="false">IFERROR(INDEX(Raw_Expenses!$C$5:$C$2979,MATCH(A2818,Raw_Expenses!$A$5:$A$2979,0)),0)</f>
        <v>5.74</v>
      </c>
      <c r="N2818" s="41" t="n">
        <f aca="false">L2818+M2818</f>
        <v>57.74</v>
      </c>
      <c r="O2818" s="41" t="n">
        <f aca="false">K2818-N2818</f>
        <v>64.1</v>
      </c>
      <c r="P2818" s="43" t="n">
        <f aca="false">IF(K2818=0,0,O2818/K2818)</f>
        <v>0.526099803020355</v>
      </c>
    </row>
    <row r="2819" customFormat="false" ht="15" hidden="false" customHeight="false" outlineLevel="0" collapsed="false">
      <c r="A2819" s="39" t="s">
        <v>2941</v>
      </c>
      <c r="B2819" s="40" t="n">
        <v>46006</v>
      </c>
      <c r="C2819" s="39" t="s">
        <v>133</v>
      </c>
      <c r="D2819" s="39" t="n">
        <v>1</v>
      </c>
      <c r="E2819" s="41" t="n">
        <v>8.8</v>
      </c>
      <c r="F2819" s="39" t="s">
        <v>108</v>
      </c>
      <c r="G2819" s="39" t="str">
        <f aca="false">VLOOKUP(C2819,Products!$A$5:$D$24,2,FALSE())</f>
        <v>Printer Paper Ream</v>
      </c>
      <c r="H2819" s="39" t="str">
        <f aca="false">VLOOKUP(C2819,Products!$A$5:$D$24,3,FALSE())</f>
        <v>Stationery</v>
      </c>
      <c r="I2819" s="41" t="n">
        <f aca="false">VLOOKUP(C2819,Products!$A$5:$D$24,4,FALSE())</f>
        <v>4</v>
      </c>
      <c r="J2819" s="42" t="n">
        <f aca="false">DATE(YEAR(B2819),MONTH(B2819),1)</f>
        <v>45992</v>
      </c>
      <c r="K2819" s="41" t="n">
        <f aca="false">D2819*E2819</f>
        <v>8.8</v>
      </c>
      <c r="L2819" s="41" t="n">
        <f aca="false">D2819*I2819</f>
        <v>4</v>
      </c>
      <c r="M2819" s="41" t="n">
        <f aca="false">IFERROR(INDEX(Raw_Expenses!$C$5:$C$2979,MATCH(A2819,Raw_Expenses!$A$5:$A$2979,0)),0)</f>
        <v>0.43</v>
      </c>
      <c r="N2819" s="41" t="n">
        <f aca="false">L2819+M2819</f>
        <v>4.43</v>
      </c>
      <c r="O2819" s="41" t="n">
        <f aca="false">K2819-N2819</f>
        <v>4.37</v>
      </c>
      <c r="P2819" s="43" t="n">
        <f aca="false">IF(K2819=0,0,O2819/K2819)</f>
        <v>0.496590909090909</v>
      </c>
    </row>
    <row r="2820" customFormat="false" ht="15" hidden="false" customHeight="false" outlineLevel="0" collapsed="false">
      <c r="A2820" s="39" t="s">
        <v>2942</v>
      </c>
      <c r="B2820" s="40" t="n">
        <v>46006</v>
      </c>
      <c r="C2820" s="39" t="s">
        <v>112</v>
      </c>
      <c r="D2820" s="39" t="n">
        <v>2</v>
      </c>
      <c r="E2820" s="41" t="n">
        <v>53.34</v>
      </c>
      <c r="F2820" s="39" t="s">
        <v>108</v>
      </c>
      <c r="G2820" s="39" t="str">
        <f aca="false">VLOOKUP(C2820,Products!$A$5:$D$24,2,FALSE())</f>
        <v>HD Webcam</v>
      </c>
      <c r="H2820" s="39" t="str">
        <f aca="false">VLOOKUP(C2820,Products!$A$5:$D$24,3,FALSE())</f>
        <v>Electronics</v>
      </c>
      <c r="I2820" s="41" t="n">
        <f aca="false">VLOOKUP(C2820,Products!$A$5:$D$24,4,FALSE())</f>
        <v>22</v>
      </c>
      <c r="J2820" s="42" t="n">
        <f aca="false">DATE(YEAR(B2820),MONTH(B2820),1)</f>
        <v>45992</v>
      </c>
      <c r="K2820" s="41" t="n">
        <f aca="false">D2820*E2820</f>
        <v>106.68</v>
      </c>
      <c r="L2820" s="41" t="n">
        <f aca="false">D2820*I2820</f>
        <v>44</v>
      </c>
      <c r="M2820" s="41" t="n">
        <f aca="false">IFERROR(INDEX(Raw_Expenses!$C$5:$C$2979,MATCH(A2820,Raw_Expenses!$A$5:$A$2979,0)),0)</f>
        <v>4.74</v>
      </c>
      <c r="N2820" s="41" t="n">
        <f aca="false">L2820+M2820</f>
        <v>48.74</v>
      </c>
      <c r="O2820" s="41" t="n">
        <f aca="false">K2820-N2820</f>
        <v>57.94</v>
      </c>
      <c r="P2820" s="43" t="n">
        <f aca="false">IF(K2820=0,0,O2820/K2820)</f>
        <v>0.543119610048744</v>
      </c>
    </row>
    <row r="2821" customFormat="false" ht="15" hidden="false" customHeight="false" outlineLevel="0" collapsed="false">
      <c r="A2821" s="39" t="s">
        <v>2943</v>
      </c>
      <c r="B2821" s="40" t="n">
        <v>46006</v>
      </c>
      <c r="C2821" s="39" t="s">
        <v>104</v>
      </c>
      <c r="D2821" s="39" t="n">
        <v>3</v>
      </c>
      <c r="E2821" s="41" t="n">
        <v>14.97</v>
      </c>
      <c r="F2821" s="39" t="s">
        <v>108</v>
      </c>
      <c r="G2821" s="39" t="str">
        <f aca="false">VLOOKUP(C2821,Products!$A$5:$D$24,2,FALSE())</f>
        <v>Water Bottle</v>
      </c>
      <c r="H2821" s="39" t="str">
        <f aca="false">VLOOKUP(C2821,Products!$A$5:$D$24,3,FALSE())</f>
        <v>Accessories</v>
      </c>
      <c r="I2821" s="41" t="n">
        <f aca="false">VLOOKUP(C2821,Products!$A$5:$D$24,4,FALSE())</f>
        <v>5</v>
      </c>
      <c r="J2821" s="42" t="n">
        <f aca="false">DATE(YEAR(B2821),MONTH(B2821),1)</f>
        <v>45992</v>
      </c>
      <c r="K2821" s="41" t="n">
        <f aca="false">D2821*E2821</f>
        <v>44.91</v>
      </c>
      <c r="L2821" s="41" t="n">
        <f aca="false">D2821*I2821</f>
        <v>15</v>
      </c>
      <c r="M2821" s="41" t="n">
        <f aca="false">IFERROR(INDEX(Raw_Expenses!$C$5:$C$2979,MATCH(A2821,Raw_Expenses!$A$5:$A$2979,0)),0)</f>
        <v>4.01</v>
      </c>
      <c r="N2821" s="41" t="n">
        <f aca="false">L2821+M2821</f>
        <v>19.01</v>
      </c>
      <c r="O2821" s="41" t="n">
        <f aca="false">K2821-N2821</f>
        <v>25.9</v>
      </c>
      <c r="P2821" s="43" t="n">
        <f aca="false">IF(K2821=0,0,O2821/K2821)</f>
        <v>0.576708973502561</v>
      </c>
    </row>
    <row r="2822" customFormat="false" ht="15" hidden="false" customHeight="false" outlineLevel="0" collapsed="false">
      <c r="A2822" s="39" t="s">
        <v>2944</v>
      </c>
      <c r="B2822" s="40" t="n">
        <v>46006</v>
      </c>
      <c r="C2822" s="39" t="s">
        <v>177</v>
      </c>
      <c r="D2822" s="39" t="n">
        <v>6</v>
      </c>
      <c r="E2822" s="41" t="n">
        <v>42.41</v>
      </c>
      <c r="F2822" s="39" t="s">
        <v>118</v>
      </c>
      <c r="G2822" s="39" t="str">
        <f aca="false">VLOOKUP(C2822,Products!$A$5:$D$24,2,FALSE())</f>
        <v>Backpack</v>
      </c>
      <c r="H2822" s="39" t="str">
        <f aca="false">VLOOKUP(C2822,Products!$A$5:$D$24,3,FALSE())</f>
        <v>Accessories</v>
      </c>
      <c r="I2822" s="41" t="n">
        <f aca="false">VLOOKUP(C2822,Products!$A$5:$D$24,4,FALSE())</f>
        <v>17</v>
      </c>
      <c r="J2822" s="42" t="n">
        <f aca="false">DATE(YEAR(B2822),MONTH(B2822),1)</f>
        <v>45992</v>
      </c>
      <c r="K2822" s="41" t="n">
        <f aca="false">D2822*E2822</f>
        <v>254.46</v>
      </c>
      <c r="L2822" s="41" t="n">
        <f aca="false">D2822*I2822</f>
        <v>102</v>
      </c>
      <c r="M2822" s="41" t="n">
        <f aca="false">IFERROR(INDEX(Raw_Expenses!$C$5:$C$2979,MATCH(A2822,Raw_Expenses!$A$5:$A$2979,0)),0)</f>
        <v>15.68</v>
      </c>
      <c r="N2822" s="41" t="n">
        <f aca="false">L2822+M2822</f>
        <v>117.68</v>
      </c>
      <c r="O2822" s="41" t="n">
        <f aca="false">K2822-N2822</f>
        <v>136.78</v>
      </c>
      <c r="P2822" s="43" t="n">
        <f aca="false">IF(K2822=0,0,O2822/K2822)</f>
        <v>0.537530456653305</v>
      </c>
    </row>
    <row r="2823" customFormat="false" ht="15" hidden="false" customHeight="false" outlineLevel="0" collapsed="false">
      <c r="A2823" s="39" t="s">
        <v>2945</v>
      </c>
      <c r="B2823" s="40" t="n">
        <v>46006</v>
      </c>
      <c r="C2823" s="39" t="s">
        <v>130</v>
      </c>
      <c r="D2823" s="39" t="n">
        <v>2</v>
      </c>
      <c r="E2823" s="41" t="n">
        <v>8.97</v>
      </c>
      <c r="F2823" s="39" t="s">
        <v>118</v>
      </c>
      <c r="G2823" s="39" t="str">
        <f aca="false">VLOOKUP(C2823,Products!$A$5:$D$24,2,FALSE())</f>
        <v>Notebook Set</v>
      </c>
      <c r="H2823" s="39" t="str">
        <f aca="false">VLOOKUP(C2823,Products!$A$5:$D$24,3,FALSE())</f>
        <v>Stationery</v>
      </c>
      <c r="I2823" s="41" t="n">
        <f aca="false">VLOOKUP(C2823,Products!$A$5:$D$24,4,FALSE())</f>
        <v>3</v>
      </c>
      <c r="J2823" s="42" t="n">
        <f aca="false">DATE(YEAR(B2823),MONTH(B2823),1)</f>
        <v>45992</v>
      </c>
      <c r="K2823" s="41" t="n">
        <f aca="false">D2823*E2823</f>
        <v>17.94</v>
      </c>
      <c r="L2823" s="41" t="n">
        <f aca="false">D2823*I2823</f>
        <v>6</v>
      </c>
      <c r="M2823" s="41" t="n">
        <f aca="false">IFERROR(INDEX(Raw_Expenses!$C$5:$C$2979,MATCH(A2823,Raw_Expenses!$A$5:$A$2979,0)),0)</f>
        <v>1.13</v>
      </c>
      <c r="N2823" s="41" t="n">
        <f aca="false">L2823+M2823</f>
        <v>7.13</v>
      </c>
      <c r="O2823" s="41" t="n">
        <f aca="false">K2823-N2823</f>
        <v>10.81</v>
      </c>
      <c r="P2823" s="43" t="n">
        <f aca="false">IF(K2823=0,0,O2823/K2823)</f>
        <v>0.602564102564103</v>
      </c>
    </row>
    <row r="2824" customFormat="false" ht="15" hidden="false" customHeight="false" outlineLevel="0" collapsed="false">
      <c r="A2824" s="39" t="s">
        <v>2946</v>
      </c>
      <c r="B2824" s="40" t="n">
        <v>46007</v>
      </c>
      <c r="C2824" s="39" t="s">
        <v>177</v>
      </c>
      <c r="D2824" s="39" t="n">
        <v>2</v>
      </c>
      <c r="E2824" s="41" t="n">
        <v>42.63</v>
      </c>
      <c r="F2824" s="39" t="s">
        <v>115</v>
      </c>
      <c r="G2824" s="39" t="str">
        <f aca="false">VLOOKUP(C2824,Products!$A$5:$D$24,2,FALSE())</f>
        <v>Backpack</v>
      </c>
      <c r="H2824" s="39" t="str">
        <f aca="false">VLOOKUP(C2824,Products!$A$5:$D$24,3,FALSE())</f>
        <v>Accessories</v>
      </c>
      <c r="I2824" s="41" t="n">
        <f aca="false">VLOOKUP(C2824,Products!$A$5:$D$24,4,FALSE())</f>
        <v>17</v>
      </c>
      <c r="J2824" s="42" t="n">
        <f aca="false">DATE(YEAR(B2824),MONTH(B2824),1)</f>
        <v>45992</v>
      </c>
      <c r="K2824" s="41" t="n">
        <f aca="false">D2824*E2824</f>
        <v>85.26</v>
      </c>
      <c r="L2824" s="41" t="n">
        <f aca="false">D2824*I2824</f>
        <v>34</v>
      </c>
      <c r="M2824" s="41" t="n">
        <f aca="false">IFERROR(INDEX(Raw_Expenses!$C$5:$C$2979,MATCH(A2824,Raw_Expenses!$A$5:$A$2979,0)),0)</f>
        <v>3.6</v>
      </c>
      <c r="N2824" s="41" t="n">
        <f aca="false">L2824+M2824</f>
        <v>37.6</v>
      </c>
      <c r="O2824" s="41" t="n">
        <f aca="false">K2824-N2824</f>
        <v>47.66</v>
      </c>
      <c r="P2824" s="43" t="n">
        <f aca="false">IF(K2824=0,0,O2824/K2824)</f>
        <v>0.558996012197983</v>
      </c>
    </row>
    <row r="2825" customFormat="false" ht="15" hidden="false" customHeight="false" outlineLevel="0" collapsed="false">
      <c r="A2825" s="39" t="s">
        <v>2947</v>
      </c>
      <c r="B2825" s="40" t="n">
        <v>46007</v>
      </c>
      <c r="C2825" s="39" t="s">
        <v>133</v>
      </c>
      <c r="D2825" s="39" t="n">
        <v>2</v>
      </c>
      <c r="E2825" s="41" t="n">
        <v>8.76</v>
      </c>
      <c r="F2825" s="39" t="s">
        <v>108</v>
      </c>
      <c r="G2825" s="39" t="str">
        <f aca="false">VLOOKUP(C2825,Products!$A$5:$D$24,2,FALSE())</f>
        <v>Printer Paper Ream</v>
      </c>
      <c r="H2825" s="39" t="str">
        <f aca="false">VLOOKUP(C2825,Products!$A$5:$D$24,3,FALSE())</f>
        <v>Stationery</v>
      </c>
      <c r="I2825" s="41" t="n">
        <f aca="false">VLOOKUP(C2825,Products!$A$5:$D$24,4,FALSE())</f>
        <v>4</v>
      </c>
      <c r="J2825" s="42" t="n">
        <f aca="false">DATE(YEAR(B2825),MONTH(B2825),1)</f>
        <v>45992</v>
      </c>
      <c r="K2825" s="41" t="n">
        <f aca="false">D2825*E2825</f>
        <v>17.52</v>
      </c>
      <c r="L2825" s="41" t="n">
        <f aca="false">D2825*I2825</f>
        <v>8</v>
      </c>
      <c r="M2825" s="41" t="n">
        <f aca="false">IFERROR(INDEX(Raw_Expenses!$C$5:$C$2979,MATCH(A2825,Raw_Expenses!$A$5:$A$2979,0)),0)</f>
        <v>1.33</v>
      </c>
      <c r="N2825" s="41" t="n">
        <f aca="false">L2825+M2825</f>
        <v>9.33</v>
      </c>
      <c r="O2825" s="41" t="n">
        <f aca="false">K2825-N2825</f>
        <v>8.19</v>
      </c>
      <c r="P2825" s="43" t="n">
        <f aca="false">IF(K2825=0,0,O2825/K2825)</f>
        <v>0.467465753424658</v>
      </c>
    </row>
    <row r="2826" customFormat="false" ht="15" hidden="false" customHeight="false" outlineLevel="0" collapsed="false">
      <c r="A2826" s="39" t="s">
        <v>2948</v>
      </c>
      <c r="B2826" s="40" t="n">
        <v>46007</v>
      </c>
      <c r="C2826" s="39" t="s">
        <v>183</v>
      </c>
      <c r="D2826" s="39" t="n">
        <v>3</v>
      </c>
      <c r="E2826" s="41" t="n">
        <v>184</v>
      </c>
      <c r="F2826" s="39" t="s">
        <v>118</v>
      </c>
      <c r="G2826" s="39" t="str">
        <f aca="false">VLOOKUP(C2826,Products!$A$5:$D$24,2,FALSE())</f>
        <v>Office Chair</v>
      </c>
      <c r="H2826" s="39" t="str">
        <f aca="false">VLOOKUP(C2826,Products!$A$5:$D$24,3,FALSE())</f>
        <v>Furniture</v>
      </c>
      <c r="I2826" s="41" t="n">
        <f aca="false">VLOOKUP(C2826,Products!$A$5:$D$24,4,FALSE())</f>
        <v>85</v>
      </c>
      <c r="J2826" s="42" t="n">
        <f aca="false">DATE(YEAR(B2826),MONTH(B2826),1)</f>
        <v>45992</v>
      </c>
      <c r="K2826" s="41" t="n">
        <f aca="false">D2826*E2826</f>
        <v>552</v>
      </c>
      <c r="L2826" s="41" t="n">
        <f aca="false">D2826*I2826</f>
        <v>255</v>
      </c>
      <c r="M2826" s="41" t="n">
        <f aca="false">IFERROR(INDEX(Raw_Expenses!$C$5:$C$2979,MATCH(A2826,Raw_Expenses!$A$5:$A$2979,0)),0)</f>
        <v>33.85</v>
      </c>
      <c r="N2826" s="41" t="n">
        <f aca="false">L2826+M2826</f>
        <v>288.85</v>
      </c>
      <c r="O2826" s="41" t="n">
        <f aca="false">K2826-N2826</f>
        <v>263.15</v>
      </c>
      <c r="P2826" s="43" t="n">
        <f aca="false">IF(K2826=0,0,O2826/K2826)</f>
        <v>0.476721014492754</v>
      </c>
    </row>
    <row r="2827" customFormat="false" ht="15" hidden="false" customHeight="false" outlineLevel="0" collapsed="false">
      <c r="A2827" s="39" t="s">
        <v>2949</v>
      </c>
      <c r="B2827" s="40" t="n">
        <v>46007</v>
      </c>
      <c r="C2827" s="39" t="s">
        <v>121</v>
      </c>
      <c r="D2827" s="39" t="n">
        <v>1</v>
      </c>
      <c r="E2827" s="41" t="n">
        <v>114.23</v>
      </c>
      <c r="F2827" s="39" t="s">
        <v>118</v>
      </c>
      <c r="G2827" s="39" t="str">
        <f aca="false">VLOOKUP(C2827,Products!$A$5:$D$24,2,FALSE())</f>
        <v>External SSD 1TB</v>
      </c>
      <c r="H2827" s="39" t="str">
        <f aca="false">VLOOKUP(C2827,Products!$A$5:$D$24,3,FALSE())</f>
        <v>Electronics</v>
      </c>
      <c r="I2827" s="41" t="n">
        <f aca="false">VLOOKUP(C2827,Products!$A$5:$D$24,4,FALSE())</f>
        <v>62</v>
      </c>
      <c r="J2827" s="42" t="n">
        <f aca="false">DATE(YEAR(B2827),MONTH(B2827),1)</f>
        <v>45992</v>
      </c>
      <c r="K2827" s="41" t="n">
        <f aca="false">D2827*E2827</f>
        <v>114.23</v>
      </c>
      <c r="L2827" s="41" t="n">
        <f aca="false">D2827*I2827</f>
        <v>62</v>
      </c>
      <c r="M2827" s="41" t="n">
        <f aca="false">IFERROR(INDEX(Raw_Expenses!$C$5:$C$2979,MATCH(A2827,Raw_Expenses!$A$5:$A$2979,0)),0)</f>
        <v>6.57</v>
      </c>
      <c r="N2827" s="41" t="n">
        <f aca="false">L2827+M2827</f>
        <v>68.57</v>
      </c>
      <c r="O2827" s="41" t="n">
        <f aca="false">K2827-N2827</f>
        <v>45.66</v>
      </c>
      <c r="P2827" s="43" t="n">
        <f aca="false">IF(K2827=0,0,O2827/K2827)</f>
        <v>0.399719863433424</v>
      </c>
    </row>
    <row r="2828" customFormat="false" ht="15" hidden="false" customHeight="false" outlineLevel="0" collapsed="false">
      <c r="A2828" s="39" t="s">
        <v>2950</v>
      </c>
      <c r="B2828" s="40" t="n">
        <v>46007</v>
      </c>
      <c r="C2828" s="39" t="s">
        <v>169</v>
      </c>
      <c r="D2828" s="39" t="n">
        <v>3</v>
      </c>
      <c r="E2828" s="41" t="n">
        <v>28.45</v>
      </c>
      <c r="F2828" s="39" t="s">
        <v>118</v>
      </c>
      <c r="G2828" s="39" t="str">
        <f aca="false">VLOOKUP(C2828,Products!$A$5:$D$24,2,FALSE())</f>
        <v>Laptop Stand</v>
      </c>
      <c r="H2828" s="39" t="str">
        <f aca="false">VLOOKUP(C2828,Products!$A$5:$D$24,3,FALSE())</f>
        <v>Accessories</v>
      </c>
      <c r="I2828" s="41" t="n">
        <f aca="false">VLOOKUP(C2828,Products!$A$5:$D$24,4,FALSE())</f>
        <v>11</v>
      </c>
      <c r="J2828" s="42" t="n">
        <f aca="false">DATE(YEAR(B2828),MONTH(B2828),1)</f>
        <v>45992</v>
      </c>
      <c r="K2828" s="41" t="n">
        <f aca="false">D2828*E2828</f>
        <v>85.35</v>
      </c>
      <c r="L2828" s="41" t="n">
        <f aca="false">D2828*I2828</f>
        <v>33</v>
      </c>
      <c r="M2828" s="41" t="n">
        <f aca="false">IFERROR(INDEX(Raw_Expenses!$C$5:$C$2979,MATCH(A2828,Raw_Expenses!$A$5:$A$2979,0)),0)</f>
        <v>6.49</v>
      </c>
      <c r="N2828" s="41" t="n">
        <f aca="false">L2828+M2828</f>
        <v>39.49</v>
      </c>
      <c r="O2828" s="41" t="n">
        <f aca="false">K2828-N2828</f>
        <v>45.86</v>
      </c>
      <c r="P2828" s="43" t="n">
        <f aca="false">IF(K2828=0,0,O2828/K2828)</f>
        <v>0.537316930287053</v>
      </c>
    </row>
    <row r="2829" customFormat="false" ht="15" hidden="false" customHeight="false" outlineLevel="0" collapsed="false">
      <c r="A2829" s="39" t="s">
        <v>2951</v>
      </c>
      <c r="B2829" s="40" t="n">
        <v>46007</v>
      </c>
      <c r="C2829" s="39" t="s">
        <v>130</v>
      </c>
      <c r="D2829" s="39" t="n">
        <v>4</v>
      </c>
      <c r="E2829" s="41" t="n">
        <v>8.53</v>
      </c>
      <c r="F2829" s="39" t="s">
        <v>118</v>
      </c>
      <c r="G2829" s="39" t="str">
        <f aca="false">VLOOKUP(C2829,Products!$A$5:$D$24,2,FALSE())</f>
        <v>Notebook Set</v>
      </c>
      <c r="H2829" s="39" t="str">
        <f aca="false">VLOOKUP(C2829,Products!$A$5:$D$24,3,FALSE())</f>
        <v>Stationery</v>
      </c>
      <c r="I2829" s="41" t="n">
        <f aca="false">VLOOKUP(C2829,Products!$A$5:$D$24,4,FALSE())</f>
        <v>3</v>
      </c>
      <c r="J2829" s="42" t="n">
        <f aca="false">DATE(YEAR(B2829),MONTH(B2829),1)</f>
        <v>45992</v>
      </c>
      <c r="K2829" s="41" t="n">
        <f aca="false">D2829*E2829</f>
        <v>34.12</v>
      </c>
      <c r="L2829" s="41" t="n">
        <f aca="false">D2829*I2829</f>
        <v>12</v>
      </c>
      <c r="M2829" s="41" t="n">
        <f aca="false">IFERROR(INDEX(Raw_Expenses!$C$5:$C$2979,MATCH(A2829,Raw_Expenses!$A$5:$A$2979,0)),0)</f>
        <v>2.7</v>
      </c>
      <c r="N2829" s="41" t="n">
        <f aca="false">L2829+M2829</f>
        <v>14.7</v>
      </c>
      <c r="O2829" s="41" t="n">
        <f aca="false">K2829-N2829</f>
        <v>19.42</v>
      </c>
      <c r="P2829" s="43" t="n">
        <f aca="false">IF(K2829=0,0,O2829/K2829)</f>
        <v>0.569167643610785</v>
      </c>
    </row>
    <row r="2830" customFormat="false" ht="15" hidden="false" customHeight="false" outlineLevel="0" collapsed="false">
      <c r="A2830" s="39" t="s">
        <v>2952</v>
      </c>
      <c r="B2830" s="40" t="n">
        <v>46007</v>
      </c>
      <c r="C2830" s="39" t="s">
        <v>130</v>
      </c>
      <c r="D2830" s="39" t="n">
        <v>3</v>
      </c>
      <c r="E2830" s="41" t="n">
        <v>8.31</v>
      </c>
      <c r="F2830" s="39" t="s">
        <v>118</v>
      </c>
      <c r="G2830" s="39" t="str">
        <f aca="false">VLOOKUP(C2830,Products!$A$5:$D$24,2,FALSE())</f>
        <v>Notebook Set</v>
      </c>
      <c r="H2830" s="39" t="str">
        <f aca="false">VLOOKUP(C2830,Products!$A$5:$D$24,3,FALSE())</f>
        <v>Stationery</v>
      </c>
      <c r="I2830" s="41" t="n">
        <f aca="false">VLOOKUP(C2830,Products!$A$5:$D$24,4,FALSE())</f>
        <v>3</v>
      </c>
      <c r="J2830" s="42" t="n">
        <f aca="false">DATE(YEAR(B2830),MONTH(B2830),1)</f>
        <v>45992</v>
      </c>
      <c r="K2830" s="41" t="n">
        <f aca="false">D2830*E2830</f>
        <v>24.93</v>
      </c>
      <c r="L2830" s="41" t="n">
        <f aca="false">D2830*I2830</f>
        <v>9</v>
      </c>
      <c r="M2830" s="41" t="n">
        <f aca="false">IFERROR(INDEX(Raw_Expenses!$C$5:$C$2979,MATCH(A2830,Raw_Expenses!$A$5:$A$2979,0)),0)</f>
        <v>1.21</v>
      </c>
      <c r="N2830" s="41" t="n">
        <f aca="false">L2830+M2830</f>
        <v>10.21</v>
      </c>
      <c r="O2830" s="41" t="n">
        <f aca="false">K2830-N2830</f>
        <v>14.72</v>
      </c>
      <c r="P2830" s="43" t="n">
        <f aca="false">IF(K2830=0,0,O2830/K2830)</f>
        <v>0.59045326915363</v>
      </c>
    </row>
    <row r="2831" customFormat="false" ht="15" hidden="false" customHeight="false" outlineLevel="0" collapsed="false">
      <c r="A2831" s="39" t="s">
        <v>2953</v>
      </c>
      <c r="B2831" s="40" t="n">
        <v>46007</v>
      </c>
      <c r="C2831" s="39" t="s">
        <v>169</v>
      </c>
      <c r="D2831" s="39" t="n">
        <v>1</v>
      </c>
      <c r="E2831" s="41" t="n">
        <v>27.32</v>
      </c>
      <c r="F2831" s="39" t="s">
        <v>105</v>
      </c>
      <c r="G2831" s="39" t="str">
        <f aca="false">VLOOKUP(C2831,Products!$A$5:$D$24,2,FALSE())</f>
        <v>Laptop Stand</v>
      </c>
      <c r="H2831" s="39" t="str">
        <f aca="false">VLOOKUP(C2831,Products!$A$5:$D$24,3,FALSE())</f>
        <v>Accessories</v>
      </c>
      <c r="I2831" s="41" t="n">
        <f aca="false">VLOOKUP(C2831,Products!$A$5:$D$24,4,FALSE())</f>
        <v>11</v>
      </c>
      <c r="J2831" s="42" t="n">
        <f aca="false">DATE(YEAR(B2831),MONTH(B2831),1)</f>
        <v>45992</v>
      </c>
      <c r="K2831" s="41" t="n">
        <f aca="false">D2831*E2831</f>
        <v>27.32</v>
      </c>
      <c r="L2831" s="41" t="n">
        <f aca="false">D2831*I2831</f>
        <v>11</v>
      </c>
      <c r="M2831" s="41" t="n">
        <f aca="false">IFERROR(INDEX(Raw_Expenses!$C$5:$C$2979,MATCH(A2831,Raw_Expenses!$A$5:$A$2979,0)),0)</f>
        <v>2.33</v>
      </c>
      <c r="N2831" s="41" t="n">
        <f aca="false">L2831+M2831</f>
        <v>13.33</v>
      </c>
      <c r="O2831" s="41" t="n">
        <f aca="false">K2831-N2831</f>
        <v>13.99</v>
      </c>
      <c r="P2831" s="43" t="n">
        <f aca="false">IF(K2831=0,0,O2831/K2831)</f>
        <v>0.51207906295754</v>
      </c>
    </row>
    <row r="2832" customFormat="false" ht="15" hidden="false" customHeight="false" outlineLevel="0" collapsed="false">
      <c r="A2832" s="39" t="s">
        <v>2954</v>
      </c>
      <c r="B2832" s="40" t="n">
        <v>46007</v>
      </c>
      <c r="C2832" s="39" t="s">
        <v>183</v>
      </c>
      <c r="D2832" s="39" t="n">
        <v>1</v>
      </c>
      <c r="E2832" s="41" t="n">
        <v>186.92</v>
      </c>
      <c r="F2832" s="39" t="s">
        <v>118</v>
      </c>
      <c r="G2832" s="39" t="str">
        <f aca="false">VLOOKUP(C2832,Products!$A$5:$D$24,2,FALSE())</f>
        <v>Office Chair</v>
      </c>
      <c r="H2832" s="39" t="str">
        <f aca="false">VLOOKUP(C2832,Products!$A$5:$D$24,3,FALSE())</f>
        <v>Furniture</v>
      </c>
      <c r="I2832" s="41" t="n">
        <f aca="false">VLOOKUP(C2832,Products!$A$5:$D$24,4,FALSE())</f>
        <v>85</v>
      </c>
      <c r="J2832" s="42" t="n">
        <f aca="false">DATE(YEAR(B2832),MONTH(B2832),1)</f>
        <v>45992</v>
      </c>
      <c r="K2832" s="41" t="n">
        <f aca="false">D2832*E2832</f>
        <v>186.92</v>
      </c>
      <c r="L2832" s="41" t="n">
        <f aca="false">D2832*I2832</f>
        <v>85</v>
      </c>
      <c r="M2832" s="41" t="n">
        <f aca="false">IFERROR(INDEX(Raw_Expenses!$C$5:$C$2979,MATCH(A2832,Raw_Expenses!$A$5:$A$2979,0)),0)</f>
        <v>11</v>
      </c>
      <c r="N2832" s="41" t="n">
        <f aca="false">L2832+M2832</f>
        <v>96</v>
      </c>
      <c r="O2832" s="41" t="n">
        <f aca="false">K2832-N2832</f>
        <v>90.92</v>
      </c>
      <c r="P2832" s="43" t="n">
        <f aca="false">IF(K2832=0,0,O2832/K2832)</f>
        <v>0.486411298951423</v>
      </c>
    </row>
    <row r="2833" customFormat="false" ht="15" hidden="false" customHeight="false" outlineLevel="0" collapsed="false">
      <c r="A2833" s="39" t="s">
        <v>2955</v>
      </c>
      <c r="B2833" s="40" t="n">
        <v>46007</v>
      </c>
      <c r="C2833" s="39" t="s">
        <v>121</v>
      </c>
      <c r="D2833" s="39" t="n">
        <v>2</v>
      </c>
      <c r="E2833" s="41" t="n">
        <v>109.77</v>
      </c>
      <c r="F2833" s="39" t="s">
        <v>115</v>
      </c>
      <c r="G2833" s="39" t="str">
        <f aca="false">VLOOKUP(C2833,Products!$A$5:$D$24,2,FALSE())</f>
        <v>External SSD 1TB</v>
      </c>
      <c r="H2833" s="39" t="str">
        <f aca="false">VLOOKUP(C2833,Products!$A$5:$D$24,3,FALSE())</f>
        <v>Electronics</v>
      </c>
      <c r="I2833" s="41" t="n">
        <f aca="false">VLOOKUP(C2833,Products!$A$5:$D$24,4,FALSE())</f>
        <v>62</v>
      </c>
      <c r="J2833" s="42" t="n">
        <f aca="false">DATE(YEAR(B2833),MONTH(B2833),1)</f>
        <v>45992</v>
      </c>
      <c r="K2833" s="41" t="n">
        <f aca="false">D2833*E2833</f>
        <v>219.54</v>
      </c>
      <c r="L2833" s="41" t="n">
        <f aca="false">D2833*I2833</f>
        <v>124</v>
      </c>
      <c r="M2833" s="41" t="n">
        <f aca="false">IFERROR(INDEX(Raw_Expenses!$C$5:$C$2979,MATCH(A2833,Raw_Expenses!$A$5:$A$2979,0)),0)</f>
        <v>12.53</v>
      </c>
      <c r="N2833" s="41" t="n">
        <f aca="false">L2833+M2833</f>
        <v>136.53</v>
      </c>
      <c r="O2833" s="41" t="n">
        <f aca="false">K2833-N2833</f>
        <v>83.01</v>
      </c>
      <c r="P2833" s="43" t="n">
        <f aca="false">IF(K2833=0,0,O2833/K2833)</f>
        <v>0.378108772888767</v>
      </c>
    </row>
    <row r="2834" customFormat="false" ht="15" hidden="false" customHeight="false" outlineLevel="0" collapsed="false">
      <c r="A2834" s="39" t="s">
        <v>2956</v>
      </c>
      <c r="B2834" s="40" t="n">
        <v>46007</v>
      </c>
      <c r="C2834" s="39" t="s">
        <v>177</v>
      </c>
      <c r="D2834" s="39" t="n">
        <v>1</v>
      </c>
      <c r="E2834" s="41" t="n">
        <v>42.13</v>
      </c>
      <c r="F2834" s="39" t="s">
        <v>108</v>
      </c>
      <c r="G2834" s="39" t="str">
        <f aca="false">VLOOKUP(C2834,Products!$A$5:$D$24,2,FALSE())</f>
        <v>Backpack</v>
      </c>
      <c r="H2834" s="39" t="str">
        <f aca="false">VLOOKUP(C2834,Products!$A$5:$D$24,3,FALSE())</f>
        <v>Accessories</v>
      </c>
      <c r="I2834" s="41" t="n">
        <f aca="false">VLOOKUP(C2834,Products!$A$5:$D$24,4,FALSE())</f>
        <v>17</v>
      </c>
      <c r="J2834" s="42" t="n">
        <f aca="false">DATE(YEAR(B2834),MONTH(B2834),1)</f>
        <v>45992</v>
      </c>
      <c r="K2834" s="41" t="n">
        <f aca="false">D2834*E2834</f>
        <v>42.13</v>
      </c>
      <c r="L2834" s="41" t="n">
        <f aca="false">D2834*I2834</f>
        <v>17</v>
      </c>
      <c r="M2834" s="41" t="n">
        <f aca="false">IFERROR(INDEX(Raw_Expenses!$C$5:$C$2979,MATCH(A2834,Raw_Expenses!$A$5:$A$2979,0)),0)</f>
        <v>2.27</v>
      </c>
      <c r="N2834" s="41" t="n">
        <f aca="false">L2834+M2834</f>
        <v>19.27</v>
      </c>
      <c r="O2834" s="41" t="n">
        <f aca="false">K2834-N2834</f>
        <v>22.86</v>
      </c>
      <c r="P2834" s="43" t="n">
        <f aca="false">IF(K2834=0,0,O2834/K2834)</f>
        <v>0.542606218846428</v>
      </c>
    </row>
    <row r="2835" customFormat="false" ht="15" hidden="false" customHeight="false" outlineLevel="0" collapsed="false">
      <c r="A2835" s="39" t="s">
        <v>2957</v>
      </c>
      <c r="B2835" s="40" t="n">
        <v>46007</v>
      </c>
      <c r="C2835" s="39" t="s">
        <v>104</v>
      </c>
      <c r="D2835" s="39" t="n">
        <v>1</v>
      </c>
      <c r="E2835" s="41" t="n">
        <v>14.77</v>
      </c>
      <c r="F2835" s="39" t="s">
        <v>108</v>
      </c>
      <c r="G2835" s="39" t="str">
        <f aca="false">VLOOKUP(C2835,Products!$A$5:$D$24,2,FALSE())</f>
        <v>Water Bottle</v>
      </c>
      <c r="H2835" s="39" t="str">
        <f aca="false">VLOOKUP(C2835,Products!$A$5:$D$24,3,FALSE())</f>
        <v>Accessories</v>
      </c>
      <c r="I2835" s="41" t="n">
        <f aca="false">VLOOKUP(C2835,Products!$A$5:$D$24,4,FALSE())</f>
        <v>5</v>
      </c>
      <c r="J2835" s="42" t="n">
        <f aca="false">DATE(YEAR(B2835),MONTH(B2835),1)</f>
        <v>45992</v>
      </c>
      <c r="K2835" s="41" t="n">
        <f aca="false">D2835*E2835</f>
        <v>14.77</v>
      </c>
      <c r="L2835" s="41" t="n">
        <f aca="false">D2835*I2835</f>
        <v>5</v>
      </c>
      <c r="M2835" s="41" t="n">
        <f aca="false">IFERROR(INDEX(Raw_Expenses!$C$5:$C$2979,MATCH(A2835,Raw_Expenses!$A$5:$A$2979,0)),0)</f>
        <v>0.74</v>
      </c>
      <c r="N2835" s="41" t="n">
        <f aca="false">L2835+M2835</f>
        <v>5.74</v>
      </c>
      <c r="O2835" s="41" t="n">
        <f aca="false">K2835-N2835</f>
        <v>9.03</v>
      </c>
      <c r="P2835" s="43" t="n">
        <f aca="false">IF(K2835=0,0,O2835/K2835)</f>
        <v>0.611374407582938</v>
      </c>
    </row>
    <row r="2836" customFormat="false" ht="15" hidden="false" customHeight="false" outlineLevel="0" collapsed="false">
      <c r="A2836" s="39" t="s">
        <v>2958</v>
      </c>
      <c r="B2836" s="40" t="n">
        <v>46007</v>
      </c>
      <c r="C2836" s="39" t="s">
        <v>128</v>
      </c>
      <c r="D2836" s="39" t="n">
        <v>1</v>
      </c>
      <c r="E2836" s="41" t="n">
        <v>36.42</v>
      </c>
      <c r="F2836" s="39" t="s">
        <v>118</v>
      </c>
      <c r="G2836" s="39" t="str">
        <f aca="false">VLOOKUP(C2836,Products!$A$5:$D$24,2,FALSE())</f>
        <v>Ergonomic Footrest</v>
      </c>
      <c r="H2836" s="39" t="str">
        <f aca="false">VLOOKUP(C2836,Products!$A$5:$D$24,3,FALSE())</f>
        <v>Furniture</v>
      </c>
      <c r="I2836" s="41" t="n">
        <f aca="false">VLOOKUP(C2836,Products!$A$5:$D$24,4,FALSE())</f>
        <v>15</v>
      </c>
      <c r="J2836" s="42" t="n">
        <f aca="false">DATE(YEAR(B2836),MONTH(B2836),1)</f>
        <v>45992</v>
      </c>
      <c r="K2836" s="41" t="n">
        <f aca="false">D2836*E2836</f>
        <v>36.42</v>
      </c>
      <c r="L2836" s="41" t="n">
        <f aca="false">D2836*I2836</f>
        <v>15</v>
      </c>
      <c r="M2836" s="41" t="n">
        <f aca="false">IFERROR(INDEX(Raw_Expenses!$C$5:$C$2979,MATCH(A2836,Raw_Expenses!$A$5:$A$2979,0)),0)</f>
        <v>2.62</v>
      </c>
      <c r="N2836" s="41" t="n">
        <f aca="false">L2836+M2836</f>
        <v>17.62</v>
      </c>
      <c r="O2836" s="41" t="n">
        <f aca="false">K2836-N2836</f>
        <v>18.8</v>
      </c>
      <c r="P2836" s="43" t="n">
        <f aca="false">IF(K2836=0,0,O2836/K2836)</f>
        <v>0.516199890170236</v>
      </c>
    </row>
    <row r="2837" customFormat="false" ht="15" hidden="false" customHeight="false" outlineLevel="0" collapsed="false">
      <c r="A2837" s="39" t="s">
        <v>2959</v>
      </c>
      <c r="B2837" s="40" t="n">
        <v>46007</v>
      </c>
      <c r="C2837" s="39" t="s">
        <v>117</v>
      </c>
      <c r="D2837" s="39" t="n">
        <v>1</v>
      </c>
      <c r="E2837" s="41" t="n">
        <v>31.26</v>
      </c>
      <c r="F2837" s="39" t="s">
        <v>118</v>
      </c>
      <c r="G2837" s="39" t="str">
        <f aca="false">VLOOKUP(C2837,Products!$A$5:$D$24,2,FALSE())</f>
        <v>Desk Lamp</v>
      </c>
      <c r="H2837" s="39" t="str">
        <f aca="false">VLOOKUP(C2837,Products!$A$5:$D$24,3,FALSE())</f>
        <v>Furniture</v>
      </c>
      <c r="I2837" s="41" t="n">
        <f aca="false">VLOOKUP(C2837,Products!$A$5:$D$24,4,FALSE())</f>
        <v>13</v>
      </c>
      <c r="J2837" s="42" t="n">
        <f aca="false">DATE(YEAR(B2837),MONTH(B2837),1)</f>
        <v>45992</v>
      </c>
      <c r="K2837" s="41" t="n">
        <f aca="false">D2837*E2837</f>
        <v>31.26</v>
      </c>
      <c r="L2837" s="41" t="n">
        <f aca="false">D2837*I2837</f>
        <v>13</v>
      </c>
      <c r="M2837" s="41" t="n">
        <f aca="false">IFERROR(INDEX(Raw_Expenses!$C$5:$C$2979,MATCH(A2837,Raw_Expenses!$A$5:$A$2979,0)),0)</f>
        <v>2</v>
      </c>
      <c r="N2837" s="41" t="n">
        <f aca="false">L2837+M2837</f>
        <v>15</v>
      </c>
      <c r="O2837" s="41" t="n">
        <f aca="false">K2837-N2837</f>
        <v>16.26</v>
      </c>
      <c r="P2837" s="43" t="n">
        <f aca="false">IF(K2837=0,0,O2837/K2837)</f>
        <v>0.520153550863724</v>
      </c>
    </row>
    <row r="2838" customFormat="false" ht="15" hidden="false" customHeight="false" outlineLevel="0" collapsed="false">
      <c r="A2838" s="39" t="s">
        <v>2960</v>
      </c>
      <c r="B2838" s="40" t="n">
        <v>46007</v>
      </c>
      <c r="C2838" s="39" t="s">
        <v>133</v>
      </c>
      <c r="D2838" s="39" t="n">
        <v>6</v>
      </c>
      <c r="E2838" s="41" t="n">
        <v>8.88</v>
      </c>
      <c r="F2838" s="39" t="s">
        <v>105</v>
      </c>
      <c r="G2838" s="39" t="str">
        <f aca="false">VLOOKUP(C2838,Products!$A$5:$D$24,2,FALSE())</f>
        <v>Printer Paper Ream</v>
      </c>
      <c r="H2838" s="39" t="str">
        <f aca="false">VLOOKUP(C2838,Products!$A$5:$D$24,3,FALSE())</f>
        <v>Stationery</v>
      </c>
      <c r="I2838" s="41" t="n">
        <f aca="false">VLOOKUP(C2838,Products!$A$5:$D$24,4,FALSE())</f>
        <v>4</v>
      </c>
      <c r="J2838" s="42" t="n">
        <f aca="false">DATE(YEAR(B2838),MONTH(B2838),1)</f>
        <v>45992</v>
      </c>
      <c r="K2838" s="41" t="n">
        <f aca="false">D2838*E2838</f>
        <v>53.28</v>
      </c>
      <c r="L2838" s="41" t="n">
        <f aca="false">D2838*I2838</f>
        <v>24</v>
      </c>
      <c r="M2838" s="41" t="n">
        <f aca="false">IFERROR(INDEX(Raw_Expenses!$C$5:$C$2979,MATCH(A2838,Raw_Expenses!$A$5:$A$2979,0)),0)</f>
        <v>4.16</v>
      </c>
      <c r="N2838" s="41" t="n">
        <f aca="false">L2838+M2838</f>
        <v>28.16</v>
      </c>
      <c r="O2838" s="41" t="n">
        <f aca="false">K2838-N2838</f>
        <v>25.12</v>
      </c>
      <c r="P2838" s="43" t="n">
        <f aca="false">IF(K2838=0,0,O2838/K2838)</f>
        <v>0.471471471471472</v>
      </c>
    </row>
    <row r="2839" customFormat="false" ht="15" hidden="false" customHeight="false" outlineLevel="0" collapsed="false">
      <c r="A2839" s="39" t="s">
        <v>2961</v>
      </c>
      <c r="B2839" s="40" t="n">
        <v>46008</v>
      </c>
      <c r="C2839" s="39" t="s">
        <v>144</v>
      </c>
      <c r="D2839" s="39" t="n">
        <v>1</v>
      </c>
      <c r="E2839" s="41" t="n">
        <v>57.69</v>
      </c>
      <c r="F2839" s="39" t="s">
        <v>108</v>
      </c>
      <c r="G2839" s="39" t="str">
        <f aca="false">VLOOKUP(C2839,Products!$A$5:$D$24,2,FALSE())</f>
        <v>Whiteboard</v>
      </c>
      <c r="H2839" s="39" t="str">
        <f aca="false">VLOOKUP(C2839,Products!$A$5:$D$24,3,FALSE())</f>
        <v>Furniture</v>
      </c>
      <c r="I2839" s="41" t="n">
        <f aca="false">VLOOKUP(C2839,Products!$A$5:$D$24,4,FALSE())</f>
        <v>28</v>
      </c>
      <c r="J2839" s="42" t="n">
        <f aca="false">DATE(YEAR(B2839),MONTH(B2839),1)</f>
        <v>45992</v>
      </c>
      <c r="K2839" s="41" t="n">
        <f aca="false">D2839*E2839</f>
        <v>57.69</v>
      </c>
      <c r="L2839" s="41" t="n">
        <f aca="false">D2839*I2839</f>
        <v>28</v>
      </c>
      <c r="M2839" s="41" t="n">
        <f aca="false">IFERROR(INDEX(Raw_Expenses!$C$5:$C$2979,MATCH(A2839,Raw_Expenses!$A$5:$A$2979,0)),0)</f>
        <v>3.17</v>
      </c>
      <c r="N2839" s="41" t="n">
        <f aca="false">L2839+M2839</f>
        <v>31.17</v>
      </c>
      <c r="O2839" s="41" t="n">
        <f aca="false">K2839-N2839</f>
        <v>26.52</v>
      </c>
      <c r="P2839" s="43" t="n">
        <f aca="false">IF(K2839=0,0,O2839/K2839)</f>
        <v>0.459698387935517</v>
      </c>
    </row>
    <row r="2840" customFormat="false" ht="15" hidden="false" customHeight="false" outlineLevel="0" collapsed="false">
      <c r="A2840" s="39" t="s">
        <v>2962</v>
      </c>
      <c r="B2840" s="40" t="n">
        <v>46008</v>
      </c>
      <c r="C2840" s="39" t="s">
        <v>121</v>
      </c>
      <c r="D2840" s="39" t="n">
        <v>3</v>
      </c>
      <c r="E2840" s="41" t="n">
        <v>110.46</v>
      </c>
      <c r="F2840" s="39" t="s">
        <v>115</v>
      </c>
      <c r="G2840" s="39" t="str">
        <f aca="false">VLOOKUP(C2840,Products!$A$5:$D$24,2,FALSE())</f>
        <v>External SSD 1TB</v>
      </c>
      <c r="H2840" s="39" t="str">
        <f aca="false">VLOOKUP(C2840,Products!$A$5:$D$24,3,FALSE())</f>
        <v>Electronics</v>
      </c>
      <c r="I2840" s="41" t="n">
        <f aca="false">VLOOKUP(C2840,Products!$A$5:$D$24,4,FALSE())</f>
        <v>62</v>
      </c>
      <c r="J2840" s="42" t="n">
        <f aca="false">DATE(YEAR(B2840),MONTH(B2840),1)</f>
        <v>45992</v>
      </c>
      <c r="K2840" s="41" t="n">
        <f aca="false">D2840*E2840</f>
        <v>331.38</v>
      </c>
      <c r="L2840" s="41" t="n">
        <f aca="false">D2840*I2840</f>
        <v>186</v>
      </c>
      <c r="M2840" s="41" t="n">
        <f aca="false">IFERROR(INDEX(Raw_Expenses!$C$5:$C$2979,MATCH(A2840,Raw_Expenses!$A$5:$A$2979,0)),0)</f>
        <v>15.04</v>
      </c>
      <c r="N2840" s="41" t="n">
        <f aca="false">L2840+M2840</f>
        <v>201.04</v>
      </c>
      <c r="O2840" s="41" t="n">
        <f aca="false">K2840-N2840</f>
        <v>130.34</v>
      </c>
      <c r="P2840" s="43" t="n">
        <f aca="false">IF(K2840=0,0,O2840/K2840)</f>
        <v>0.39332488381918</v>
      </c>
    </row>
    <row r="2841" customFormat="false" ht="15" hidden="false" customHeight="false" outlineLevel="0" collapsed="false">
      <c r="A2841" s="39" t="s">
        <v>2963</v>
      </c>
      <c r="B2841" s="40" t="n">
        <v>46008</v>
      </c>
      <c r="C2841" s="39" t="s">
        <v>112</v>
      </c>
      <c r="D2841" s="39" t="n">
        <v>2</v>
      </c>
      <c r="E2841" s="41" t="n">
        <v>51.42</v>
      </c>
      <c r="F2841" s="39" t="s">
        <v>118</v>
      </c>
      <c r="G2841" s="39" t="str">
        <f aca="false">VLOOKUP(C2841,Products!$A$5:$D$24,2,FALSE())</f>
        <v>HD Webcam</v>
      </c>
      <c r="H2841" s="39" t="str">
        <f aca="false">VLOOKUP(C2841,Products!$A$5:$D$24,3,FALSE())</f>
        <v>Electronics</v>
      </c>
      <c r="I2841" s="41" t="n">
        <f aca="false">VLOOKUP(C2841,Products!$A$5:$D$24,4,FALSE())</f>
        <v>22</v>
      </c>
      <c r="J2841" s="42" t="n">
        <f aca="false">DATE(YEAR(B2841),MONTH(B2841),1)</f>
        <v>45992</v>
      </c>
      <c r="K2841" s="41" t="n">
        <f aca="false">D2841*E2841</f>
        <v>102.84</v>
      </c>
      <c r="L2841" s="41" t="n">
        <f aca="false">D2841*I2841</f>
        <v>44</v>
      </c>
      <c r="M2841" s="41" t="n">
        <f aca="false">IFERROR(INDEX(Raw_Expenses!$C$5:$C$2979,MATCH(A2841,Raw_Expenses!$A$5:$A$2979,0)),0)</f>
        <v>5.18</v>
      </c>
      <c r="N2841" s="41" t="n">
        <f aca="false">L2841+M2841</f>
        <v>49.18</v>
      </c>
      <c r="O2841" s="41" t="n">
        <f aca="false">K2841-N2841</f>
        <v>53.66</v>
      </c>
      <c r="P2841" s="43" t="n">
        <f aca="false">IF(K2841=0,0,O2841/K2841)</f>
        <v>0.521781408012447</v>
      </c>
    </row>
    <row r="2842" customFormat="false" ht="15" hidden="false" customHeight="false" outlineLevel="0" collapsed="false">
      <c r="A2842" s="39" t="s">
        <v>2964</v>
      </c>
      <c r="B2842" s="40" t="n">
        <v>46008</v>
      </c>
      <c r="C2842" s="39" t="s">
        <v>117</v>
      </c>
      <c r="D2842" s="39" t="n">
        <v>3</v>
      </c>
      <c r="E2842" s="41" t="n">
        <v>29.66</v>
      </c>
      <c r="F2842" s="39" t="s">
        <v>108</v>
      </c>
      <c r="G2842" s="39" t="str">
        <f aca="false">VLOOKUP(C2842,Products!$A$5:$D$24,2,FALSE())</f>
        <v>Desk Lamp</v>
      </c>
      <c r="H2842" s="39" t="str">
        <f aca="false">VLOOKUP(C2842,Products!$A$5:$D$24,3,FALSE())</f>
        <v>Furniture</v>
      </c>
      <c r="I2842" s="41" t="n">
        <f aca="false">VLOOKUP(C2842,Products!$A$5:$D$24,4,FALSE())</f>
        <v>13</v>
      </c>
      <c r="J2842" s="42" t="n">
        <f aca="false">DATE(YEAR(B2842),MONTH(B2842),1)</f>
        <v>45992</v>
      </c>
      <c r="K2842" s="41" t="n">
        <f aca="false">D2842*E2842</f>
        <v>88.98</v>
      </c>
      <c r="L2842" s="41" t="n">
        <f aca="false">D2842*I2842</f>
        <v>39</v>
      </c>
      <c r="M2842" s="41" t="n">
        <f aca="false">IFERROR(INDEX(Raw_Expenses!$C$5:$C$2979,MATCH(A2842,Raw_Expenses!$A$5:$A$2979,0)),0)</f>
        <v>3.77</v>
      </c>
      <c r="N2842" s="41" t="n">
        <f aca="false">L2842+M2842</f>
        <v>42.77</v>
      </c>
      <c r="O2842" s="41" t="n">
        <f aca="false">K2842-N2842</f>
        <v>46.21</v>
      </c>
      <c r="P2842" s="43" t="n">
        <f aca="false">IF(K2842=0,0,O2842/K2842)</f>
        <v>0.519330186558777</v>
      </c>
    </row>
    <row r="2843" customFormat="false" ht="15" hidden="false" customHeight="false" outlineLevel="0" collapsed="false">
      <c r="A2843" s="39" t="s">
        <v>2965</v>
      </c>
      <c r="B2843" s="40" t="n">
        <v>46008</v>
      </c>
      <c r="C2843" s="39" t="s">
        <v>183</v>
      </c>
      <c r="D2843" s="39" t="n">
        <v>3</v>
      </c>
      <c r="E2843" s="41" t="n">
        <v>176.11</v>
      </c>
      <c r="F2843" s="39" t="s">
        <v>108</v>
      </c>
      <c r="G2843" s="39" t="str">
        <f aca="false">VLOOKUP(C2843,Products!$A$5:$D$24,2,FALSE())</f>
        <v>Office Chair</v>
      </c>
      <c r="H2843" s="39" t="str">
        <f aca="false">VLOOKUP(C2843,Products!$A$5:$D$24,3,FALSE())</f>
        <v>Furniture</v>
      </c>
      <c r="I2843" s="41" t="n">
        <f aca="false">VLOOKUP(C2843,Products!$A$5:$D$24,4,FALSE())</f>
        <v>85</v>
      </c>
      <c r="J2843" s="42" t="n">
        <f aca="false">DATE(YEAR(B2843),MONTH(B2843),1)</f>
        <v>45992</v>
      </c>
      <c r="K2843" s="41" t="n">
        <f aca="false">D2843*E2843</f>
        <v>528.33</v>
      </c>
      <c r="L2843" s="41" t="n">
        <f aca="false">D2843*I2843</f>
        <v>255</v>
      </c>
      <c r="M2843" s="41" t="n">
        <f aca="false">IFERROR(INDEX(Raw_Expenses!$C$5:$C$2979,MATCH(A2843,Raw_Expenses!$A$5:$A$2979,0)),0)</f>
        <v>45.9</v>
      </c>
      <c r="N2843" s="41" t="n">
        <f aca="false">L2843+M2843</f>
        <v>300.9</v>
      </c>
      <c r="O2843" s="41" t="n">
        <f aca="false">K2843-N2843</f>
        <v>227.43</v>
      </c>
      <c r="P2843" s="43" t="n">
        <f aca="false">IF(K2843=0,0,O2843/K2843)</f>
        <v>0.430469592868094</v>
      </c>
    </row>
    <row r="2844" customFormat="false" ht="15" hidden="false" customHeight="false" outlineLevel="0" collapsed="false">
      <c r="A2844" s="39" t="s">
        <v>2966</v>
      </c>
      <c r="B2844" s="40" t="n">
        <v>46008</v>
      </c>
      <c r="C2844" s="39" t="s">
        <v>112</v>
      </c>
      <c r="D2844" s="39" t="n">
        <v>2</v>
      </c>
      <c r="E2844" s="41" t="n">
        <v>53.21</v>
      </c>
      <c r="F2844" s="39" t="s">
        <v>118</v>
      </c>
      <c r="G2844" s="39" t="str">
        <f aca="false">VLOOKUP(C2844,Products!$A$5:$D$24,2,FALSE())</f>
        <v>HD Webcam</v>
      </c>
      <c r="H2844" s="39" t="str">
        <f aca="false">VLOOKUP(C2844,Products!$A$5:$D$24,3,FALSE())</f>
        <v>Electronics</v>
      </c>
      <c r="I2844" s="41" t="n">
        <f aca="false">VLOOKUP(C2844,Products!$A$5:$D$24,4,FALSE())</f>
        <v>22</v>
      </c>
      <c r="J2844" s="42" t="n">
        <f aca="false">DATE(YEAR(B2844),MONTH(B2844),1)</f>
        <v>45992</v>
      </c>
      <c r="K2844" s="41" t="n">
        <f aca="false">D2844*E2844</f>
        <v>106.42</v>
      </c>
      <c r="L2844" s="41" t="n">
        <f aca="false">D2844*I2844</f>
        <v>44</v>
      </c>
      <c r="M2844" s="41" t="n">
        <f aca="false">IFERROR(INDEX(Raw_Expenses!$C$5:$C$2979,MATCH(A2844,Raw_Expenses!$A$5:$A$2979,0)),0)</f>
        <v>4.86</v>
      </c>
      <c r="N2844" s="41" t="n">
        <f aca="false">L2844+M2844</f>
        <v>48.86</v>
      </c>
      <c r="O2844" s="41" t="n">
        <f aca="false">K2844-N2844</f>
        <v>57.56</v>
      </c>
      <c r="P2844" s="43" t="n">
        <f aca="false">IF(K2844=0,0,O2844/K2844)</f>
        <v>0.54087577523022</v>
      </c>
    </row>
    <row r="2845" customFormat="false" ht="15" hidden="false" customHeight="false" outlineLevel="0" collapsed="false">
      <c r="A2845" s="39" t="s">
        <v>2967</v>
      </c>
      <c r="B2845" s="40" t="n">
        <v>46008</v>
      </c>
      <c r="C2845" s="39" t="s">
        <v>107</v>
      </c>
      <c r="D2845" s="39" t="n">
        <v>3</v>
      </c>
      <c r="E2845" s="41" t="n">
        <v>32.51</v>
      </c>
      <c r="F2845" s="39" t="s">
        <v>115</v>
      </c>
      <c r="G2845" s="39" t="str">
        <f aca="false">VLOOKUP(C2845,Products!$A$5:$D$24,2,FALSE())</f>
        <v>USB-C Hub</v>
      </c>
      <c r="H2845" s="39" t="str">
        <f aca="false">VLOOKUP(C2845,Products!$A$5:$D$24,3,FALSE())</f>
        <v>Electronics</v>
      </c>
      <c r="I2845" s="41" t="n">
        <f aca="false">VLOOKUP(C2845,Products!$A$5:$D$24,4,FALSE())</f>
        <v>14</v>
      </c>
      <c r="J2845" s="42" t="n">
        <f aca="false">DATE(YEAR(B2845),MONTH(B2845),1)</f>
        <v>45992</v>
      </c>
      <c r="K2845" s="41" t="n">
        <f aca="false">D2845*E2845</f>
        <v>97.53</v>
      </c>
      <c r="L2845" s="41" t="n">
        <f aca="false">D2845*I2845</f>
        <v>42</v>
      </c>
      <c r="M2845" s="41" t="n">
        <f aca="false">IFERROR(INDEX(Raw_Expenses!$C$5:$C$2979,MATCH(A2845,Raw_Expenses!$A$5:$A$2979,0)),0)</f>
        <v>4.58</v>
      </c>
      <c r="N2845" s="41" t="n">
        <f aca="false">L2845+M2845</f>
        <v>46.58</v>
      </c>
      <c r="O2845" s="41" t="n">
        <f aca="false">K2845-N2845</f>
        <v>50.95</v>
      </c>
      <c r="P2845" s="43" t="n">
        <f aca="false">IF(K2845=0,0,O2845/K2845)</f>
        <v>0.522403363067774</v>
      </c>
    </row>
    <row r="2846" customFormat="false" ht="15" hidden="false" customHeight="false" outlineLevel="0" collapsed="false">
      <c r="A2846" s="39" t="s">
        <v>2968</v>
      </c>
      <c r="B2846" s="40" t="n">
        <v>46008</v>
      </c>
      <c r="C2846" s="39" t="s">
        <v>126</v>
      </c>
      <c r="D2846" s="39" t="n">
        <v>1</v>
      </c>
      <c r="E2846" s="41" t="n">
        <v>24.25</v>
      </c>
      <c r="F2846" s="39" t="s">
        <v>118</v>
      </c>
      <c r="G2846" s="39" t="str">
        <f aca="false">VLOOKUP(C2846,Products!$A$5:$D$24,2,FALSE())</f>
        <v>Wireless Mouse</v>
      </c>
      <c r="H2846" s="39" t="str">
        <f aca="false">VLOOKUP(C2846,Products!$A$5:$D$24,3,FALSE())</f>
        <v>Electronics</v>
      </c>
      <c r="I2846" s="41" t="n">
        <f aca="false">VLOOKUP(C2846,Products!$A$5:$D$24,4,FALSE())</f>
        <v>12</v>
      </c>
      <c r="J2846" s="42" t="n">
        <f aca="false">DATE(YEAR(B2846),MONTH(B2846),1)</f>
        <v>45992</v>
      </c>
      <c r="K2846" s="41" t="n">
        <f aca="false">D2846*E2846</f>
        <v>24.25</v>
      </c>
      <c r="L2846" s="41" t="n">
        <f aca="false">D2846*I2846</f>
        <v>12</v>
      </c>
      <c r="M2846" s="41" t="n">
        <f aca="false">IFERROR(INDEX(Raw_Expenses!$C$5:$C$2979,MATCH(A2846,Raw_Expenses!$A$5:$A$2979,0)),0)</f>
        <v>1.74</v>
      </c>
      <c r="N2846" s="41" t="n">
        <f aca="false">L2846+M2846</f>
        <v>13.74</v>
      </c>
      <c r="O2846" s="41" t="n">
        <f aca="false">K2846-N2846</f>
        <v>10.51</v>
      </c>
      <c r="P2846" s="43" t="n">
        <f aca="false">IF(K2846=0,0,O2846/K2846)</f>
        <v>0.43340206185567</v>
      </c>
    </row>
    <row r="2847" customFormat="false" ht="15" hidden="false" customHeight="false" outlineLevel="0" collapsed="false">
      <c r="A2847" s="39" t="s">
        <v>2969</v>
      </c>
      <c r="B2847" s="40" t="n">
        <v>46008</v>
      </c>
      <c r="C2847" s="39" t="s">
        <v>117</v>
      </c>
      <c r="D2847" s="39" t="n">
        <v>3</v>
      </c>
      <c r="E2847" s="41" t="n">
        <v>31.6</v>
      </c>
      <c r="F2847" s="39" t="s">
        <v>118</v>
      </c>
      <c r="G2847" s="39" t="str">
        <f aca="false">VLOOKUP(C2847,Products!$A$5:$D$24,2,FALSE())</f>
        <v>Desk Lamp</v>
      </c>
      <c r="H2847" s="39" t="str">
        <f aca="false">VLOOKUP(C2847,Products!$A$5:$D$24,3,FALSE())</f>
        <v>Furniture</v>
      </c>
      <c r="I2847" s="41" t="n">
        <f aca="false">VLOOKUP(C2847,Products!$A$5:$D$24,4,FALSE())</f>
        <v>13</v>
      </c>
      <c r="J2847" s="42" t="n">
        <f aca="false">DATE(YEAR(B2847),MONTH(B2847),1)</f>
        <v>45992</v>
      </c>
      <c r="K2847" s="41" t="n">
        <f aca="false">D2847*E2847</f>
        <v>94.8</v>
      </c>
      <c r="L2847" s="41" t="n">
        <f aca="false">D2847*I2847</f>
        <v>39</v>
      </c>
      <c r="M2847" s="41" t="n">
        <f aca="false">IFERROR(INDEX(Raw_Expenses!$C$5:$C$2979,MATCH(A2847,Raw_Expenses!$A$5:$A$2979,0)),0)</f>
        <v>6.23</v>
      </c>
      <c r="N2847" s="41" t="n">
        <f aca="false">L2847+M2847</f>
        <v>45.23</v>
      </c>
      <c r="O2847" s="41" t="n">
        <f aca="false">K2847-N2847</f>
        <v>49.57</v>
      </c>
      <c r="P2847" s="43" t="n">
        <f aca="false">IF(K2847=0,0,O2847/K2847)</f>
        <v>0.52289029535865</v>
      </c>
    </row>
    <row r="2848" customFormat="false" ht="15" hidden="false" customHeight="false" outlineLevel="0" collapsed="false">
      <c r="A2848" s="39" t="s">
        <v>2970</v>
      </c>
      <c r="B2848" s="40" t="n">
        <v>46008</v>
      </c>
      <c r="C2848" s="39" t="s">
        <v>130</v>
      </c>
      <c r="D2848" s="39" t="n">
        <v>5</v>
      </c>
      <c r="E2848" s="41" t="n">
        <v>8.86</v>
      </c>
      <c r="F2848" s="39" t="s">
        <v>105</v>
      </c>
      <c r="G2848" s="39" t="str">
        <f aca="false">VLOOKUP(C2848,Products!$A$5:$D$24,2,FALSE())</f>
        <v>Notebook Set</v>
      </c>
      <c r="H2848" s="39" t="str">
        <f aca="false">VLOOKUP(C2848,Products!$A$5:$D$24,3,FALSE())</f>
        <v>Stationery</v>
      </c>
      <c r="I2848" s="41" t="n">
        <f aca="false">VLOOKUP(C2848,Products!$A$5:$D$24,4,FALSE())</f>
        <v>3</v>
      </c>
      <c r="J2848" s="42" t="n">
        <f aca="false">DATE(YEAR(B2848),MONTH(B2848),1)</f>
        <v>45992</v>
      </c>
      <c r="K2848" s="41" t="n">
        <f aca="false">D2848*E2848</f>
        <v>44.3</v>
      </c>
      <c r="L2848" s="41" t="n">
        <f aca="false">D2848*I2848</f>
        <v>15</v>
      </c>
      <c r="M2848" s="41" t="n">
        <f aca="false">IFERROR(INDEX(Raw_Expenses!$C$5:$C$2979,MATCH(A2848,Raw_Expenses!$A$5:$A$2979,0)),0)</f>
        <v>3.07</v>
      </c>
      <c r="N2848" s="41" t="n">
        <f aca="false">L2848+M2848</f>
        <v>18.07</v>
      </c>
      <c r="O2848" s="41" t="n">
        <f aca="false">K2848-N2848</f>
        <v>26.23</v>
      </c>
      <c r="P2848" s="43" t="n">
        <f aca="false">IF(K2848=0,0,O2848/K2848)</f>
        <v>0.592099322799097</v>
      </c>
    </row>
    <row r="2849" customFormat="false" ht="15" hidden="false" customHeight="false" outlineLevel="0" collapsed="false">
      <c r="A2849" s="39" t="s">
        <v>2971</v>
      </c>
      <c r="B2849" s="40" t="n">
        <v>46008</v>
      </c>
      <c r="C2849" s="39" t="s">
        <v>110</v>
      </c>
      <c r="D2849" s="39" t="n">
        <v>3</v>
      </c>
      <c r="E2849" s="41" t="n">
        <v>13.26</v>
      </c>
      <c r="F2849" s="39" t="s">
        <v>105</v>
      </c>
      <c r="G2849" s="39" t="str">
        <f aca="false">VLOOKUP(C2849,Products!$A$5:$D$24,2,FALSE())</f>
        <v>Phone Stand</v>
      </c>
      <c r="H2849" s="39" t="str">
        <f aca="false">VLOOKUP(C2849,Products!$A$5:$D$24,3,FALSE())</f>
        <v>Accessories</v>
      </c>
      <c r="I2849" s="41" t="n">
        <f aca="false">VLOOKUP(C2849,Products!$A$5:$D$24,4,FALSE())</f>
        <v>4</v>
      </c>
      <c r="J2849" s="42" t="n">
        <f aca="false">DATE(YEAR(B2849),MONTH(B2849),1)</f>
        <v>45992</v>
      </c>
      <c r="K2849" s="41" t="n">
        <f aca="false">D2849*E2849</f>
        <v>39.78</v>
      </c>
      <c r="L2849" s="41" t="n">
        <f aca="false">D2849*I2849</f>
        <v>12</v>
      </c>
      <c r="M2849" s="41" t="n">
        <f aca="false">IFERROR(INDEX(Raw_Expenses!$C$5:$C$2979,MATCH(A2849,Raw_Expenses!$A$5:$A$2979,0)),0)</f>
        <v>2.07</v>
      </c>
      <c r="N2849" s="41" t="n">
        <f aca="false">L2849+M2849</f>
        <v>14.07</v>
      </c>
      <c r="O2849" s="41" t="n">
        <f aca="false">K2849-N2849</f>
        <v>25.71</v>
      </c>
      <c r="P2849" s="43" t="n">
        <f aca="false">IF(K2849=0,0,O2849/K2849)</f>
        <v>0.646304675716441</v>
      </c>
    </row>
    <row r="2850" customFormat="false" ht="15" hidden="false" customHeight="false" outlineLevel="0" collapsed="false">
      <c r="A2850" s="39" t="s">
        <v>2972</v>
      </c>
      <c r="B2850" s="40" t="n">
        <v>46008</v>
      </c>
      <c r="C2850" s="39" t="s">
        <v>169</v>
      </c>
      <c r="D2850" s="39" t="n">
        <v>5</v>
      </c>
      <c r="E2850" s="41" t="n">
        <v>28.55</v>
      </c>
      <c r="F2850" s="39" t="s">
        <v>118</v>
      </c>
      <c r="G2850" s="39" t="str">
        <f aca="false">VLOOKUP(C2850,Products!$A$5:$D$24,2,FALSE())</f>
        <v>Laptop Stand</v>
      </c>
      <c r="H2850" s="39" t="str">
        <f aca="false">VLOOKUP(C2850,Products!$A$5:$D$24,3,FALSE())</f>
        <v>Accessories</v>
      </c>
      <c r="I2850" s="41" t="n">
        <f aca="false">VLOOKUP(C2850,Products!$A$5:$D$24,4,FALSE())</f>
        <v>11</v>
      </c>
      <c r="J2850" s="42" t="n">
        <f aca="false">DATE(YEAR(B2850),MONTH(B2850),1)</f>
        <v>45992</v>
      </c>
      <c r="K2850" s="41" t="n">
        <f aca="false">D2850*E2850</f>
        <v>142.75</v>
      </c>
      <c r="L2850" s="41" t="n">
        <f aca="false">D2850*I2850</f>
        <v>55</v>
      </c>
      <c r="M2850" s="41" t="n">
        <f aca="false">IFERROR(INDEX(Raw_Expenses!$C$5:$C$2979,MATCH(A2850,Raw_Expenses!$A$5:$A$2979,0)),0)</f>
        <v>10.26</v>
      </c>
      <c r="N2850" s="41" t="n">
        <f aca="false">L2850+M2850</f>
        <v>65.26</v>
      </c>
      <c r="O2850" s="41" t="n">
        <f aca="false">K2850-N2850</f>
        <v>77.49</v>
      </c>
      <c r="P2850" s="43" t="n">
        <f aca="false">IF(K2850=0,0,O2850/K2850)</f>
        <v>0.542837127845884</v>
      </c>
    </row>
    <row r="2851" customFormat="false" ht="15" hidden="false" customHeight="false" outlineLevel="0" collapsed="false">
      <c r="A2851" s="39" t="s">
        <v>2973</v>
      </c>
      <c r="B2851" s="40" t="n">
        <v>46009</v>
      </c>
      <c r="C2851" s="39" t="s">
        <v>177</v>
      </c>
      <c r="D2851" s="39" t="n">
        <v>5</v>
      </c>
      <c r="E2851" s="41" t="n">
        <v>42.68</v>
      </c>
      <c r="F2851" s="39" t="s">
        <v>115</v>
      </c>
      <c r="G2851" s="39" t="str">
        <f aca="false">VLOOKUP(C2851,Products!$A$5:$D$24,2,FALSE())</f>
        <v>Backpack</v>
      </c>
      <c r="H2851" s="39" t="str">
        <f aca="false">VLOOKUP(C2851,Products!$A$5:$D$24,3,FALSE())</f>
        <v>Accessories</v>
      </c>
      <c r="I2851" s="41" t="n">
        <f aca="false">VLOOKUP(C2851,Products!$A$5:$D$24,4,FALSE())</f>
        <v>17</v>
      </c>
      <c r="J2851" s="42" t="n">
        <f aca="false">DATE(YEAR(B2851),MONTH(B2851),1)</f>
        <v>45992</v>
      </c>
      <c r="K2851" s="41" t="n">
        <f aca="false">D2851*E2851</f>
        <v>213.4</v>
      </c>
      <c r="L2851" s="41" t="n">
        <f aca="false">D2851*I2851</f>
        <v>85</v>
      </c>
      <c r="M2851" s="41" t="n">
        <f aca="false">IFERROR(INDEX(Raw_Expenses!$C$5:$C$2979,MATCH(A2851,Raw_Expenses!$A$5:$A$2979,0)),0)</f>
        <v>11.56</v>
      </c>
      <c r="N2851" s="41" t="n">
        <f aca="false">L2851+M2851</f>
        <v>96.56</v>
      </c>
      <c r="O2851" s="41" t="n">
        <f aca="false">K2851-N2851</f>
        <v>116.84</v>
      </c>
      <c r="P2851" s="43" t="n">
        <f aca="false">IF(K2851=0,0,O2851/K2851)</f>
        <v>0.547516401124649</v>
      </c>
    </row>
    <row r="2852" customFormat="false" ht="15" hidden="false" customHeight="false" outlineLevel="0" collapsed="false">
      <c r="A2852" s="39" t="s">
        <v>2974</v>
      </c>
      <c r="B2852" s="40" t="n">
        <v>46009</v>
      </c>
      <c r="C2852" s="39" t="s">
        <v>162</v>
      </c>
      <c r="D2852" s="39" t="n">
        <v>1</v>
      </c>
      <c r="E2852" s="41" t="n">
        <v>65.36</v>
      </c>
      <c r="F2852" s="39" t="s">
        <v>105</v>
      </c>
      <c r="G2852" s="39" t="str">
        <f aca="false">VLOOKUP(C2852,Products!$A$5:$D$24,2,FALSE())</f>
        <v>Bluetooth Speaker</v>
      </c>
      <c r="H2852" s="39" t="str">
        <f aca="false">VLOOKUP(C2852,Products!$A$5:$D$24,3,FALSE())</f>
        <v>Electronics</v>
      </c>
      <c r="I2852" s="41" t="n">
        <f aca="false">VLOOKUP(C2852,Products!$A$5:$D$24,4,FALSE())</f>
        <v>28</v>
      </c>
      <c r="J2852" s="42" t="n">
        <f aca="false">DATE(YEAR(B2852),MONTH(B2852),1)</f>
        <v>45992</v>
      </c>
      <c r="K2852" s="41" t="n">
        <f aca="false">D2852*E2852</f>
        <v>65.36</v>
      </c>
      <c r="L2852" s="41" t="n">
        <f aca="false">D2852*I2852</f>
        <v>28</v>
      </c>
      <c r="M2852" s="41" t="n">
        <f aca="false">IFERROR(INDEX(Raw_Expenses!$C$5:$C$2979,MATCH(A2852,Raw_Expenses!$A$5:$A$2979,0)),0)</f>
        <v>5.19</v>
      </c>
      <c r="N2852" s="41" t="n">
        <f aca="false">L2852+M2852</f>
        <v>33.19</v>
      </c>
      <c r="O2852" s="41" t="n">
        <f aca="false">K2852-N2852</f>
        <v>32.17</v>
      </c>
      <c r="P2852" s="43" t="n">
        <f aca="false">IF(K2852=0,0,O2852/K2852)</f>
        <v>0.492197062423501</v>
      </c>
    </row>
    <row r="2853" customFormat="false" ht="15" hidden="false" customHeight="false" outlineLevel="0" collapsed="false">
      <c r="A2853" s="39" t="s">
        <v>2975</v>
      </c>
      <c r="B2853" s="40" t="n">
        <v>46009</v>
      </c>
      <c r="C2853" s="39" t="s">
        <v>139</v>
      </c>
      <c r="D2853" s="39" t="n">
        <v>6</v>
      </c>
      <c r="E2853" s="41" t="n">
        <v>127.43</v>
      </c>
      <c r="F2853" s="39" t="s">
        <v>105</v>
      </c>
      <c r="G2853" s="39" t="str">
        <f aca="false">VLOOKUP(C2853,Products!$A$5:$D$24,2,FALSE())</f>
        <v>Noise-Cancelling Headphones</v>
      </c>
      <c r="H2853" s="39" t="str">
        <f aca="false">VLOOKUP(C2853,Products!$A$5:$D$24,3,FALSE())</f>
        <v>Electronics</v>
      </c>
      <c r="I2853" s="41" t="n">
        <f aca="false">VLOOKUP(C2853,Products!$A$5:$D$24,4,FALSE())</f>
        <v>55</v>
      </c>
      <c r="J2853" s="42" t="n">
        <f aca="false">DATE(YEAR(B2853),MONTH(B2853),1)</f>
        <v>45992</v>
      </c>
      <c r="K2853" s="41" t="n">
        <f aca="false">D2853*E2853</f>
        <v>764.58</v>
      </c>
      <c r="L2853" s="41" t="n">
        <f aca="false">D2853*I2853</f>
        <v>330</v>
      </c>
      <c r="M2853" s="41" t="n">
        <f aca="false">IFERROR(INDEX(Raw_Expenses!$C$5:$C$2979,MATCH(A2853,Raw_Expenses!$A$5:$A$2979,0)),0)</f>
        <v>51.22</v>
      </c>
      <c r="N2853" s="41" t="n">
        <f aca="false">L2853+M2853</f>
        <v>381.22</v>
      </c>
      <c r="O2853" s="41" t="n">
        <f aca="false">K2853-N2853</f>
        <v>383.36</v>
      </c>
      <c r="P2853" s="43" t="n">
        <f aca="false">IF(K2853=0,0,O2853/K2853)</f>
        <v>0.501399461142065</v>
      </c>
    </row>
    <row r="2854" customFormat="false" ht="15" hidden="false" customHeight="false" outlineLevel="0" collapsed="false">
      <c r="A2854" s="39" t="s">
        <v>2976</v>
      </c>
      <c r="B2854" s="40" t="n">
        <v>46009</v>
      </c>
      <c r="C2854" s="39" t="s">
        <v>114</v>
      </c>
      <c r="D2854" s="39" t="n">
        <v>5</v>
      </c>
      <c r="E2854" s="41" t="n">
        <v>5.83</v>
      </c>
      <c r="F2854" s="39" t="s">
        <v>108</v>
      </c>
      <c r="G2854" s="39" t="str">
        <f aca="false">VLOOKUP(C2854,Products!$A$5:$D$24,2,FALSE())</f>
        <v>Gel Pen Pack</v>
      </c>
      <c r="H2854" s="39" t="str">
        <f aca="false">VLOOKUP(C2854,Products!$A$5:$D$24,3,FALSE())</f>
        <v>Stationery</v>
      </c>
      <c r="I2854" s="41" t="n">
        <f aca="false">VLOOKUP(C2854,Products!$A$5:$D$24,4,FALSE())</f>
        <v>2</v>
      </c>
      <c r="J2854" s="42" t="n">
        <f aca="false">DATE(YEAR(B2854),MONTH(B2854),1)</f>
        <v>45992</v>
      </c>
      <c r="K2854" s="41" t="n">
        <f aca="false">D2854*E2854</f>
        <v>29.15</v>
      </c>
      <c r="L2854" s="41" t="n">
        <f aca="false">D2854*I2854</f>
        <v>10</v>
      </c>
      <c r="M2854" s="41" t="n">
        <f aca="false">IFERROR(INDEX(Raw_Expenses!$C$5:$C$2979,MATCH(A2854,Raw_Expenses!$A$5:$A$2979,0)),0)</f>
        <v>2.17</v>
      </c>
      <c r="N2854" s="41" t="n">
        <f aca="false">L2854+M2854</f>
        <v>12.17</v>
      </c>
      <c r="O2854" s="41" t="n">
        <f aca="false">K2854-N2854</f>
        <v>16.98</v>
      </c>
      <c r="P2854" s="43" t="n">
        <f aca="false">IF(K2854=0,0,O2854/K2854)</f>
        <v>0.582504288164666</v>
      </c>
    </row>
    <row r="2855" customFormat="false" ht="15" hidden="false" customHeight="false" outlineLevel="0" collapsed="false">
      <c r="A2855" s="39" t="s">
        <v>2977</v>
      </c>
      <c r="B2855" s="40" t="n">
        <v>46009</v>
      </c>
      <c r="C2855" s="39" t="s">
        <v>130</v>
      </c>
      <c r="D2855" s="39" t="n">
        <v>2</v>
      </c>
      <c r="E2855" s="41" t="n">
        <v>8.39</v>
      </c>
      <c r="F2855" s="39" t="s">
        <v>105</v>
      </c>
      <c r="G2855" s="39" t="str">
        <f aca="false">VLOOKUP(C2855,Products!$A$5:$D$24,2,FALSE())</f>
        <v>Notebook Set</v>
      </c>
      <c r="H2855" s="39" t="str">
        <f aca="false">VLOOKUP(C2855,Products!$A$5:$D$24,3,FALSE())</f>
        <v>Stationery</v>
      </c>
      <c r="I2855" s="41" t="n">
        <f aca="false">VLOOKUP(C2855,Products!$A$5:$D$24,4,FALSE())</f>
        <v>3</v>
      </c>
      <c r="J2855" s="42" t="n">
        <f aca="false">DATE(YEAR(B2855),MONTH(B2855),1)</f>
        <v>45992</v>
      </c>
      <c r="K2855" s="41" t="n">
        <f aca="false">D2855*E2855</f>
        <v>16.78</v>
      </c>
      <c r="L2855" s="41" t="n">
        <f aca="false">D2855*I2855</f>
        <v>6</v>
      </c>
      <c r="M2855" s="41" t="n">
        <f aca="false">IFERROR(INDEX(Raw_Expenses!$C$5:$C$2979,MATCH(A2855,Raw_Expenses!$A$5:$A$2979,0)),0)</f>
        <v>1.3</v>
      </c>
      <c r="N2855" s="41" t="n">
        <f aca="false">L2855+M2855</f>
        <v>7.3</v>
      </c>
      <c r="O2855" s="41" t="n">
        <f aca="false">K2855-N2855</f>
        <v>9.48</v>
      </c>
      <c r="P2855" s="43" t="n">
        <f aca="false">IF(K2855=0,0,O2855/K2855)</f>
        <v>0.564958283671037</v>
      </c>
    </row>
    <row r="2856" customFormat="false" ht="15" hidden="false" customHeight="false" outlineLevel="0" collapsed="false">
      <c r="A2856" s="39" t="s">
        <v>2978</v>
      </c>
      <c r="B2856" s="40" t="n">
        <v>46009</v>
      </c>
      <c r="C2856" s="39" t="s">
        <v>133</v>
      </c>
      <c r="D2856" s="39" t="n">
        <v>1</v>
      </c>
      <c r="E2856" s="41" t="n">
        <v>8.43</v>
      </c>
      <c r="F2856" s="39" t="s">
        <v>105</v>
      </c>
      <c r="G2856" s="39" t="str">
        <f aca="false">VLOOKUP(C2856,Products!$A$5:$D$24,2,FALSE())</f>
        <v>Printer Paper Ream</v>
      </c>
      <c r="H2856" s="39" t="str">
        <f aca="false">VLOOKUP(C2856,Products!$A$5:$D$24,3,FALSE())</f>
        <v>Stationery</v>
      </c>
      <c r="I2856" s="41" t="n">
        <f aca="false">VLOOKUP(C2856,Products!$A$5:$D$24,4,FALSE())</f>
        <v>4</v>
      </c>
      <c r="J2856" s="42" t="n">
        <f aca="false">DATE(YEAR(B2856),MONTH(B2856),1)</f>
        <v>45992</v>
      </c>
      <c r="K2856" s="41" t="n">
        <f aca="false">D2856*E2856</f>
        <v>8.43</v>
      </c>
      <c r="L2856" s="41" t="n">
        <f aca="false">D2856*I2856</f>
        <v>4</v>
      </c>
      <c r="M2856" s="41" t="n">
        <f aca="false">IFERROR(INDEX(Raw_Expenses!$C$5:$C$2979,MATCH(A2856,Raw_Expenses!$A$5:$A$2979,0)),0)</f>
        <v>0.43</v>
      </c>
      <c r="N2856" s="41" t="n">
        <f aca="false">L2856+M2856</f>
        <v>4.43</v>
      </c>
      <c r="O2856" s="41" t="n">
        <f aca="false">K2856-N2856</f>
        <v>4</v>
      </c>
      <c r="P2856" s="43" t="n">
        <f aca="false">IF(K2856=0,0,O2856/K2856)</f>
        <v>0.474495848161329</v>
      </c>
    </row>
    <row r="2857" customFormat="false" ht="15" hidden="false" customHeight="false" outlineLevel="0" collapsed="false">
      <c r="A2857" s="39" t="s">
        <v>2979</v>
      </c>
      <c r="B2857" s="40" t="n">
        <v>46009</v>
      </c>
      <c r="C2857" s="39" t="s">
        <v>136</v>
      </c>
      <c r="D2857" s="39" t="n">
        <v>5</v>
      </c>
      <c r="E2857" s="41" t="n">
        <v>76.38</v>
      </c>
      <c r="F2857" s="39" t="s">
        <v>108</v>
      </c>
      <c r="G2857" s="39" t="str">
        <f aca="false">VLOOKUP(C2857,Products!$A$5:$D$24,2,FALSE())</f>
        <v>Mechanical Keyboard</v>
      </c>
      <c r="H2857" s="39" t="str">
        <f aca="false">VLOOKUP(C2857,Products!$A$5:$D$24,3,FALSE())</f>
        <v>Electronics</v>
      </c>
      <c r="I2857" s="41" t="n">
        <f aca="false">VLOOKUP(C2857,Products!$A$5:$D$24,4,FALSE())</f>
        <v>38</v>
      </c>
      <c r="J2857" s="42" t="n">
        <f aca="false">DATE(YEAR(B2857),MONTH(B2857),1)</f>
        <v>45992</v>
      </c>
      <c r="K2857" s="41" t="n">
        <f aca="false">D2857*E2857</f>
        <v>381.9</v>
      </c>
      <c r="L2857" s="41" t="n">
        <f aca="false">D2857*I2857</f>
        <v>190</v>
      </c>
      <c r="M2857" s="41" t="n">
        <f aca="false">IFERROR(INDEX(Raw_Expenses!$C$5:$C$2979,MATCH(A2857,Raw_Expenses!$A$5:$A$2979,0)),0)</f>
        <v>24.33</v>
      </c>
      <c r="N2857" s="41" t="n">
        <f aca="false">L2857+M2857</f>
        <v>214.33</v>
      </c>
      <c r="O2857" s="41" t="n">
        <f aca="false">K2857-N2857</f>
        <v>167.57</v>
      </c>
      <c r="P2857" s="43" t="n">
        <f aca="false">IF(K2857=0,0,O2857/K2857)</f>
        <v>0.438779785284106</v>
      </c>
    </row>
    <row r="2858" customFormat="false" ht="15" hidden="false" customHeight="false" outlineLevel="0" collapsed="false">
      <c r="A2858" s="39" t="s">
        <v>2980</v>
      </c>
      <c r="B2858" s="40" t="n">
        <v>46009</v>
      </c>
      <c r="C2858" s="39" t="s">
        <v>114</v>
      </c>
      <c r="D2858" s="39" t="n">
        <v>2</v>
      </c>
      <c r="E2858" s="41" t="n">
        <v>5.77</v>
      </c>
      <c r="F2858" s="39" t="s">
        <v>108</v>
      </c>
      <c r="G2858" s="39" t="str">
        <f aca="false">VLOOKUP(C2858,Products!$A$5:$D$24,2,FALSE())</f>
        <v>Gel Pen Pack</v>
      </c>
      <c r="H2858" s="39" t="str">
        <f aca="false">VLOOKUP(C2858,Products!$A$5:$D$24,3,FALSE())</f>
        <v>Stationery</v>
      </c>
      <c r="I2858" s="41" t="n">
        <f aca="false">VLOOKUP(C2858,Products!$A$5:$D$24,4,FALSE())</f>
        <v>2</v>
      </c>
      <c r="J2858" s="42" t="n">
        <f aca="false">DATE(YEAR(B2858),MONTH(B2858),1)</f>
        <v>45992</v>
      </c>
      <c r="K2858" s="41" t="n">
        <f aca="false">D2858*E2858</f>
        <v>11.54</v>
      </c>
      <c r="L2858" s="41" t="n">
        <f aca="false">D2858*I2858</f>
        <v>4</v>
      </c>
      <c r="M2858" s="41" t="n">
        <f aca="false">IFERROR(INDEX(Raw_Expenses!$C$5:$C$2979,MATCH(A2858,Raw_Expenses!$A$5:$A$2979,0)),0)</f>
        <v>0.82</v>
      </c>
      <c r="N2858" s="41" t="n">
        <f aca="false">L2858+M2858</f>
        <v>4.82</v>
      </c>
      <c r="O2858" s="41" t="n">
        <f aca="false">K2858-N2858</f>
        <v>6.72</v>
      </c>
      <c r="P2858" s="43" t="n">
        <f aca="false">IF(K2858=0,0,O2858/K2858)</f>
        <v>0.582322357019064</v>
      </c>
    </row>
    <row r="2859" customFormat="false" ht="15" hidden="false" customHeight="false" outlineLevel="0" collapsed="false">
      <c r="A2859" s="39" t="s">
        <v>2981</v>
      </c>
      <c r="B2859" s="40" t="n">
        <v>46009</v>
      </c>
      <c r="C2859" s="39" t="s">
        <v>139</v>
      </c>
      <c r="D2859" s="39" t="n">
        <v>2</v>
      </c>
      <c r="E2859" s="41" t="n">
        <v>127.66</v>
      </c>
      <c r="F2859" s="39" t="s">
        <v>105</v>
      </c>
      <c r="G2859" s="39" t="str">
        <f aca="false">VLOOKUP(C2859,Products!$A$5:$D$24,2,FALSE())</f>
        <v>Noise-Cancelling Headphones</v>
      </c>
      <c r="H2859" s="39" t="str">
        <f aca="false">VLOOKUP(C2859,Products!$A$5:$D$24,3,FALSE())</f>
        <v>Electronics</v>
      </c>
      <c r="I2859" s="41" t="n">
        <f aca="false">VLOOKUP(C2859,Products!$A$5:$D$24,4,FALSE())</f>
        <v>55</v>
      </c>
      <c r="J2859" s="42" t="n">
        <f aca="false">DATE(YEAR(B2859),MONTH(B2859),1)</f>
        <v>45992</v>
      </c>
      <c r="K2859" s="41" t="n">
        <f aca="false">D2859*E2859</f>
        <v>255.32</v>
      </c>
      <c r="L2859" s="41" t="n">
        <f aca="false">D2859*I2859</f>
        <v>110</v>
      </c>
      <c r="M2859" s="41" t="n">
        <f aca="false">IFERROR(INDEX(Raw_Expenses!$C$5:$C$2979,MATCH(A2859,Raw_Expenses!$A$5:$A$2979,0)),0)</f>
        <v>18.89</v>
      </c>
      <c r="N2859" s="41" t="n">
        <f aca="false">L2859+M2859</f>
        <v>128.89</v>
      </c>
      <c r="O2859" s="41" t="n">
        <f aca="false">K2859-N2859</f>
        <v>126.43</v>
      </c>
      <c r="P2859" s="43" t="n">
        <f aca="false">IF(K2859=0,0,O2859/K2859)</f>
        <v>0.49518251605828</v>
      </c>
    </row>
    <row r="2860" customFormat="false" ht="15" hidden="false" customHeight="false" outlineLevel="0" collapsed="false">
      <c r="A2860" s="39" t="s">
        <v>2982</v>
      </c>
      <c r="B2860" s="40" t="n">
        <v>46009</v>
      </c>
      <c r="C2860" s="39" t="s">
        <v>117</v>
      </c>
      <c r="D2860" s="39" t="n">
        <v>4</v>
      </c>
      <c r="E2860" s="41" t="n">
        <v>29.44</v>
      </c>
      <c r="F2860" s="39" t="s">
        <v>105</v>
      </c>
      <c r="G2860" s="39" t="str">
        <f aca="false">VLOOKUP(C2860,Products!$A$5:$D$24,2,FALSE())</f>
        <v>Desk Lamp</v>
      </c>
      <c r="H2860" s="39" t="str">
        <f aca="false">VLOOKUP(C2860,Products!$A$5:$D$24,3,FALSE())</f>
        <v>Furniture</v>
      </c>
      <c r="I2860" s="41" t="n">
        <f aca="false">VLOOKUP(C2860,Products!$A$5:$D$24,4,FALSE())</f>
        <v>13</v>
      </c>
      <c r="J2860" s="42" t="n">
        <f aca="false">DATE(YEAR(B2860),MONTH(B2860),1)</f>
        <v>45992</v>
      </c>
      <c r="K2860" s="41" t="n">
        <f aca="false">D2860*E2860</f>
        <v>117.76</v>
      </c>
      <c r="L2860" s="41" t="n">
        <f aca="false">D2860*I2860</f>
        <v>52</v>
      </c>
      <c r="M2860" s="41" t="n">
        <f aca="false">IFERROR(INDEX(Raw_Expenses!$C$5:$C$2979,MATCH(A2860,Raw_Expenses!$A$5:$A$2979,0)),0)</f>
        <v>9.47</v>
      </c>
      <c r="N2860" s="41" t="n">
        <f aca="false">L2860+M2860</f>
        <v>61.47</v>
      </c>
      <c r="O2860" s="41" t="n">
        <f aca="false">K2860-N2860</f>
        <v>56.29</v>
      </c>
      <c r="P2860" s="43" t="n">
        <f aca="false">IF(K2860=0,0,O2860/K2860)</f>
        <v>0.478006114130435</v>
      </c>
    </row>
    <row r="2861" customFormat="false" ht="15" hidden="false" customHeight="false" outlineLevel="0" collapsed="false">
      <c r="A2861" s="39" t="s">
        <v>2983</v>
      </c>
      <c r="B2861" s="40" t="n">
        <v>46009</v>
      </c>
      <c r="C2861" s="39" t="s">
        <v>126</v>
      </c>
      <c r="D2861" s="39" t="n">
        <v>1</v>
      </c>
      <c r="E2861" s="41" t="n">
        <v>23.59</v>
      </c>
      <c r="F2861" s="39" t="s">
        <v>115</v>
      </c>
      <c r="G2861" s="39" t="str">
        <f aca="false">VLOOKUP(C2861,Products!$A$5:$D$24,2,FALSE())</f>
        <v>Wireless Mouse</v>
      </c>
      <c r="H2861" s="39" t="str">
        <f aca="false">VLOOKUP(C2861,Products!$A$5:$D$24,3,FALSE())</f>
        <v>Electronics</v>
      </c>
      <c r="I2861" s="41" t="n">
        <f aca="false">VLOOKUP(C2861,Products!$A$5:$D$24,4,FALSE())</f>
        <v>12</v>
      </c>
      <c r="J2861" s="42" t="n">
        <f aca="false">DATE(YEAR(B2861),MONTH(B2861),1)</f>
        <v>45992</v>
      </c>
      <c r="K2861" s="41" t="n">
        <f aca="false">D2861*E2861</f>
        <v>23.59</v>
      </c>
      <c r="L2861" s="41" t="n">
        <f aca="false">D2861*I2861</f>
        <v>12</v>
      </c>
      <c r="M2861" s="41" t="n">
        <f aca="false">IFERROR(INDEX(Raw_Expenses!$C$5:$C$2979,MATCH(A2861,Raw_Expenses!$A$5:$A$2979,0)),0)</f>
        <v>0.96</v>
      </c>
      <c r="N2861" s="41" t="n">
        <f aca="false">L2861+M2861</f>
        <v>12.96</v>
      </c>
      <c r="O2861" s="41" t="n">
        <f aca="false">K2861-N2861</f>
        <v>10.63</v>
      </c>
      <c r="P2861" s="43" t="n">
        <f aca="false">IF(K2861=0,0,O2861/K2861)</f>
        <v>0.450614667231878</v>
      </c>
    </row>
    <row r="2862" customFormat="false" ht="15" hidden="false" customHeight="false" outlineLevel="0" collapsed="false">
      <c r="A2862" s="39" t="s">
        <v>2984</v>
      </c>
      <c r="B2862" s="40" t="n">
        <v>46009</v>
      </c>
      <c r="C2862" s="39" t="s">
        <v>169</v>
      </c>
      <c r="D2862" s="39" t="n">
        <v>6</v>
      </c>
      <c r="E2862" s="41" t="n">
        <v>27.6</v>
      </c>
      <c r="F2862" s="39" t="s">
        <v>115</v>
      </c>
      <c r="G2862" s="39" t="str">
        <f aca="false">VLOOKUP(C2862,Products!$A$5:$D$24,2,FALSE())</f>
        <v>Laptop Stand</v>
      </c>
      <c r="H2862" s="39" t="str">
        <f aca="false">VLOOKUP(C2862,Products!$A$5:$D$24,3,FALSE())</f>
        <v>Accessories</v>
      </c>
      <c r="I2862" s="41" t="n">
        <f aca="false">VLOOKUP(C2862,Products!$A$5:$D$24,4,FALSE())</f>
        <v>11</v>
      </c>
      <c r="J2862" s="42" t="n">
        <f aca="false">DATE(YEAR(B2862),MONTH(B2862),1)</f>
        <v>45992</v>
      </c>
      <c r="K2862" s="41" t="n">
        <f aca="false">D2862*E2862</f>
        <v>165.6</v>
      </c>
      <c r="L2862" s="41" t="n">
        <f aca="false">D2862*I2862</f>
        <v>66</v>
      </c>
      <c r="M2862" s="41" t="n">
        <f aca="false">IFERROR(INDEX(Raw_Expenses!$C$5:$C$2979,MATCH(A2862,Raw_Expenses!$A$5:$A$2979,0)),0)</f>
        <v>0</v>
      </c>
      <c r="N2862" s="41" t="n">
        <f aca="false">L2862+M2862</f>
        <v>66</v>
      </c>
      <c r="O2862" s="41" t="n">
        <f aca="false">K2862-N2862</f>
        <v>99.6</v>
      </c>
      <c r="P2862" s="43" t="n">
        <f aca="false">IF(K2862=0,0,O2862/K2862)</f>
        <v>0.601449275362319</v>
      </c>
    </row>
    <row r="2863" customFormat="false" ht="15" hidden="false" customHeight="false" outlineLevel="0" collapsed="false">
      <c r="A2863" s="39" t="s">
        <v>2985</v>
      </c>
      <c r="B2863" s="40" t="n">
        <v>46009</v>
      </c>
      <c r="C2863" s="39" t="s">
        <v>114</v>
      </c>
      <c r="D2863" s="39" t="n">
        <v>3</v>
      </c>
      <c r="E2863" s="41" t="n">
        <v>5.63</v>
      </c>
      <c r="F2863" s="39" t="s">
        <v>105</v>
      </c>
      <c r="G2863" s="39" t="str">
        <f aca="false">VLOOKUP(C2863,Products!$A$5:$D$24,2,FALSE())</f>
        <v>Gel Pen Pack</v>
      </c>
      <c r="H2863" s="39" t="str">
        <f aca="false">VLOOKUP(C2863,Products!$A$5:$D$24,3,FALSE())</f>
        <v>Stationery</v>
      </c>
      <c r="I2863" s="41" t="n">
        <f aca="false">VLOOKUP(C2863,Products!$A$5:$D$24,4,FALSE())</f>
        <v>2</v>
      </c>
      <c r="J2863" s="42" t="n">
        <f aca="false">DATE(YEAR(B2863),MONTH(B2863),1)</f>
        <v>45992</v>
      </c>
      <c r="K2863" s="41" t="n">
        <f aca="false">D2863*E2863</f>
        <v>16.89</v>
      </c>
      <c r="L2863" s="41" t="n">
        <f aca="false">D2863*I2863</f>
        <v>6</v>
      </c>
      <c r="M2863" s="41" t="n">
        <f aca="false">IFERROR(INDEX(Raw_Expenses!$C$5:$C$2979,MATCH(A2863,Raw_Expenses!$A$5:$A$2979,0)),0)</f>
        <v>0.74</v>
      </c>
      <c r="N2863" s="41" t="n">
        <f aca="false">L2863+M2863</f>
        <v>6.74</v>
      </c>
      <c r="O2863" s="41" t="n">
        <f aca="false">K2863-N2863</f>
        <v>10.15</v>
      </c>
      <c r="P2863" s="43" t="n">
        <f aca="false">IF(K2863=0,0,O2863/K2863)</f>
        <v>0.600947306098283</v>
      </c>
    </row>
    <row r="2864" customFormat="false" ht="15" hidden="false" customHeight="false" outlineLevel="0" collapsed="false">
      <c r="A2864" s="39" t="s">
        <v>2986</v>
      </c>
      <c r="B2864" s="40" t="n">
        <v>46009</v>
      </c>
      <c r="C2864" s="39" t="s">
        <v>169</v>
      </c>
      <c r="D2864" s="39" t="n">
        <v>4</v>
      </c>
      <c r="E2864" s="41" t="n">
        <v>28.31</v>
      </c>
      <c r="F2864" s="39" t="s">
        <v>108</v>
      </c>
      <c r="G2864" s="39" t="str">
        <f aca="false">VLOOKUP(C2864,Products!$A$5:$D$24,2,FALSE())</f>
        <v>Laptop Stand</v>
      </c>
      <c r="H2864" s="39" t="str">
        <f aca="false">VLOOKUP(C2864,Products!$A$5:$D$24,3,FALSE())</f>
        <v>Accessories</v>
      </c>
      <c r="I2864" s="41" t="n">
        <f aca="false">VLOOKUP(C2864,Products!$A$5:$D$24,4,FALSE())</f>
        <v>11</v>
      </c>
      <c r="J2864" s="42" t="n">
        <f aca="false">DATE(YEAR(B2864),MONTH(B2864),1)</f>
        <v>45992</v>
      </c>
      <c r="K2864" s="41" t="n">
        <f aca="false">D2864*E2864</f>
        <v>113.24</v>
      </c>
      <c r="L2864" s="41" t="n">
        <f aca="false">D2864*I2864</f>
        <v>44</v>
      </c>
      <c r="M2864" s="41" t="n">
        <f aca="false">IFERROR(INDEX(Raw_Expenses!$C$5:$C$2979,MATCH(A2864,Raw_Expenses!$A$5:$A$2979,0)),0)</f>
        <v>5.71</v>
      </c>
      <c r="N2864" s="41" t="n">
        <f aca="false">L2864+M2864</f>
        <v>49.71</v>
      </c>
      <c r="O2864" s="41" t="n">
        <f aca="false">K2864-N2864</f>
        <v>63.53</v>
      </c>
      <c r="P2864" s="43" t="n">
        <f aca="false">IF(K2864=0,0,O2864/K2864)</f>
        <v>0.561020840692335</v>
      </c>
    </row>
    <row r="2865" customFormat="false" ht="15" hidden="false" customHeight="false" outlineLevel="0" collapsed="false">
      <c r="A2865" s="39" t="s">
        <v>2987</v>
      </c>
      <c r="B2865" s="40" t="n">
        <v>46010</v>
      </c>
      <c r="C2865" s="39" t="s">
        <v>162</v>
      </c>
      <c r="D2865" s="39" t="n">
        <v>4</v>
      </c>
      <c r="E2865" s="41" t="n">
        <v>67.78</v>
      </c>
      <c r="F2865" s="39" t="s">
        <v>115</v>
      </c>
      <c r="G2865" s="39" t="str">
        <f aca="false">VLOOKUP(C2865,Products!$A$5:$D$24,2,FALSE())</f>
        <v>Bluetooth Speaker</v>
      </c>
      <c r="H2865" s="39" t="str">
        <f aca="false">VLOOKUP(C2865,Products!$A$5:$D$24,3,FALSE())</f>
        <v>Electronics</v>
      </c>
      <c r="I2865" s="41" t="n">
        <f aca="false">VLOOKUP(C2865,Products!$A$5:$D$24,4,FALSE())</f>
        <v>28</v>
      </c>
      <c r="J2865" s="42" t="n">
        <f aca="false">DATE(YEAR(B2865),MONTH(B2865),1)</f>
        <v>45992</v>
      </c>
      <c r="K2865" s="41" t="n">
        <f aca="false">D2865*E2865</f>
        <v>271.12</v>
      </c>
      <c r="L2865" s="41" t="n">
        <f aca="false">D2865*I2865</f>
        <v>112</v>
      </c>
      <c r="M2865" s="41" t="n">
        <f aca="false">IFERROR(INDEX(Raw_Expenses!$C$5:$C$2979,MATCH(A2865,Raw_Expenses!$A$5:$A$2979,0)),0)</f>
        <v>17.84</v>
      </c>
      <c r="N2865" s="41" t="n">
        <f aca="false">L2865+M2865</f>
        <v>129.84</v>
      </c>
      <c r="O2865" s="41" t="n">
        <f aca="false">K2865-N2865</f>
        <v>141.28</v>
      </c>
      <c r="P2865" s="43" t="n">
        <f aca="false">IF(K2865=0,0,O2865/K2865)</f>
        <v>0.521097668928888</v>
      </c>
    </row>
    <row r="2866" customFormat="false" ht="15" hidden="false" customHeight="false" outlineLevel="0" collapsed="false">
      <c r="A2866" s="39" t="s">
        <v>2988</v>
      </c>
      <c r="B2866" s="40" t="n">
        <v>46010</v>
      </c>
      <c r="C2866" s="39" t="s">
        <v>133</v>
      </c>
      <c r="D2866" s="39" t="n">
        <v>5</v>
      </c>
      <c r="E2866" s="41" t="n">
        <v>8.82</v>
      </c>
      <c r="F2866" s="39" t="s">
        <v>108</v>
      </c>
      <c r="G2866" s="39" t="str">
        <f aca="false">VLOOKUP(C2866,Products!$A$5:$D$24,2,FALSE())</f>
        <v>Printer Paper Ream</v>
      </c>
      <c r="H2866" s="39" t="str">
        <f aca="false">VLOOKUP(C2866,Products!$A$5:$D$24,3,FALSE())</f>
        <v>Stationery</v>
      </c>
      <c r="I2866" s="41" t="n">
        <f aca="false">VLOOKUP(C2866,Products!$A$5:$D$24,4,FALSE())</f>
        <v>4</v>
      </c>
      <c r="J2866" s="42" t="n">
        <f aca="false">DATE(YEAR(B2866),MONTH(B2866),1)</f>
        <v>45992</v>
      </c>
      <c r="K2866" s="41" t="n">
        <f aca="false">D2866*E2866</f>
        <v>44.1</v>
      </c>
      <c r="L2866" s="41" t="n">
        <f aca="false">D2866*I2866</f>
        <v>20</v>
      </c>
      <c r="M2866" s="41" t="n">
        <f aca="false">IFERROR(INDEX(Raw_Expenses!$C$5:$C$2979,MATCH(A2866,Raw_Expenses!$A$5:$A$2979,0)),0)</f>
        <v>2.88</v>
      </c>
      <c r="N2866" s="41" t="n">
        <f aca="false">L2866+M2866</f>
        <v>22.88</v>
      </c>
      <c r="O2866" s="41" t="n">
        <f aca="false">K2866-N2866</f>
        <v>21.22</v>
      </c>
      <c r="P2866" s="43" t="n">
        <f aca="false">IF(K2866=0,0,O2866/K2866)</f>
        <v>0.481179138321996</v>
      </c>
    </row>
    <row r="2867" customFormat="false" ht="15" hidden="false" customHeight="false" outlineLevel="0" collapsed="false">
      <c r="A2867" s="39" t="s">
        <v>2989</v>
      </c>
      <c r="B2867" s="40" t="n">
        <v>46010</v>
      </c>
      <c r="C2867" s="39" t="s">
        <v>126</v>
      </c>
      <c r="D2867" s="39" t="n">
        <v>1</v>
      </c>
      <c r="E2867" s="41" t="n">
        <v>23.74</v>
      </c>
      <c r="F2867" s="39" t="s">
        <v>118</v>
      </c>
      <c r="G2867" s="39" t="str">
        <f aca="false">VLOOKUP(C2867,Products!$A$5:$D$24,2,FALSE())</f>
        <v>Wireless Mouse</v>
      </c>
      <c r="H2867" s="39" t="str">
        <f aca="false">VLOOKUP(C2867,Products!$A$5:$D$24,3,FALSE())</f>
        <v>Electronics</v>
      </c>
      <c r="I2867" s="41" t="n">
        <f aca="false">VLOOKUP(C2867,Products!$A$5:$D$24,4,FALSE())</f>
        <v>12</v>
      </c>
      <c r="J2867" s="42" t="n">
        <f aca="false">DATE(YEAR(B2867),MONTH(B2867),1)</f>
        <v>45992</v>
      </c>
      <c r="K2867" s="41" t="n">
        <f aca="false">D2867*E2867</f>
        <v>23.74</v>
      </c>
      <c r="L2867" s="41" t="n">
        <f aca="false">D2867*I2867</f>
        <v>12</v>
      </c>
      <c r="M2867" s="41" t="n">
        <f aca="false">IFERROR(INDEX(Raw_Expenses!$C$5:$C$2979,MATCH(A2867,Raw_Expenses!$A$5:$A$2979,0)),0)</f>
        <v>1.66</v>
      </c>
      <c r="N2867" s="41" t="n">
        <f aca="false">L2867+M2867</f>
        <v>13.66</v>
      </c>
      <c r="O2867" s="41" t="n">
        <f aca="false">K2867-N2867</f>
        <v>10.08</v>
      </c>
      <c r="P2867" s="43" t="n">
        <f aca="false">IF(K2867=0,0,O2867/K2867)</f>
        <v>0.424599831508003</v>
      </c>
    </row>
    <row r="2868" customFormat="false" ht="15" hidden="false" customHeight="false" outlineLevel="0" collapsed="false">
      <c r="A2868" s="39" t="s">
        <v>2990</v>
      </c>
      <c r="B2868" s="40" t="n">
        <v>46010</v>
      </c>
      <c r="C2868" s="39" t="s">
        <v>162</v>
      </c>
      <c r="D2868" s="39" t="n">
        <v>1</v>
      </c>
      <c r="E2868" s="41" t="n">
        <v>64.48</v>
      </c>
      <c r="F2868" s="39" t="s">
        <v>108</v>
      </c>
      <c r="G2868" s="39" t="str">
        <f aca="false">VLOOKUP(C2868,Products!$A$5:$D$24,2,FALSE())</f>
        <v>Bluetooth Speaker</v>
      </c>
      <c r="H2868" s="39" t="str">
        <f aca="false">VLOOKUP(C2868,Products!$A$5:$D$24,3,FALSE())</f>
        <v>Electronics</v>
      </c>
      <c r="I2868" s="41" t="n">
        <f aca="false">VLOOKUP(C2868,Products!$A$5:$D$24,4,FALSE())</f>
        <v>28</v>
      </c>
      <c r="J2868" s="42" t="n">
        <f aca="false">DATE(YEAR(B2868),MONTH(B2868),1)</f>
        <v>45992</v>
      </c>
      <c r="K2868" s="41" t="n">
        <f aca="false">D2868*E2868</f>
        <v>64.48</v>
      </c>
      <c r="L2868" s="41" t="n">
        <f aca="false">D2868*I2868</f>
        <v>28</v>
      </c>
      <c r="M2868" s="41" t="n">
        <f aca="false">IFERROR(INDEX(Raw_Expenses!$C$5:$C$2979,MATCH(A2868,Raw_Expenses!$A$5:$A$2979,0)),0)</f>
        <v>3.38</v>
      </c>
      <c r="N2868" s="41" t="n">
        <f aca="false">L2868+M2868</f>
        <v>31.38</v>
      </c>
      <c r="O2868" s="41" t="n">
        <f aca="false">K2868-N2868</f>
        <v>33.1</v>
      </c>
      <c r="P2868" s="43" t="n">
        <f aca="false">IF(K2868=0,0,O2868/K2868)</f>
        <v>0.51333746898263</v>
      </c>
    </row>
    <row r="2869" customFormat="false" ht="15" hidden="false" customHeight="false" outlineLevel="0" collapsed="false">
      <c r="A2869" s="39" t="s">
        <v>2991</v>
      </c>
      <c r="B2869" s="40" t="n">
        <v>46010</v>
      </c>
      <c r="C2869" s="39" t="s">
        <v>110</v>
      </c>
      <c r="D2869" s="39" t="n">
        <v>5</v>
      </c>
      <c r="E2869" s="41" t="n">
        <v>13.62</v>
      </c>
      <c r="F2869" s="39" t="s">
        <v>108</v>
      </c>
      <c r="G2869" s="39" t="str">
        <f aca="false">VLOOKUP(C2869,Products!$A$5:$D$24,2,FALSE())</f>
        <v>Phone Stand</v>
      </c>
      <c r="H2869" s="39" t="str">
        <f aca="false">VLOOKUP(C2869,Products!$A$5:$D$24,3,FALSE())</f>
        <v>Accessories</v>
      </c>
      <c r="I2869" s="41" t="n">
        <f aca="false">VLOOKUP(C2869,Products!$A$5:$D$24,4,FALSE())</f>
        <v>4</v>
      </c>
      <c r="J2869" s="42" t="n">
        <f aca="false">DATE(YEAR(B2869),MONTH(B2869),1)</f>
        <v>45992</v>
      </c>
      <c r="K2869" s="41" t="n">
        <f aca="false">D2869*E2869</f>
        <v>68.1</v>
      </c>
      <c r="L2869" s="41" t="n">
        <f aca="false">D2869*I2869</f>
        <v>20</v>
      </c>
      <c r="M2869" s="41" t="n">
        <f aca="false">IFERROR(INDEX(Raw_Expenses!$C$5:$C$2979,MATCH(A2869,Raw_Expenses!$A$5:$A$2979,0)),0)</f>
        <v>3.4</v>
      </c>
      <c r="N2869" s="41" t="n">
        <f aca="false">L2869+M2869</f>
        <v>23.4</v>
      </c>
      <c r="O2869" s="41" t="n">
        <f aca="false">K2869-N2869</f>
        <v>44.7</v>
      </c>
      <c r="P2869" s="43" t="n">
        <f aca="false">IF(K2869=0,0,O2869/K2869)</f>
        <v>0.656387665198238</v>
      </c>
    </row>
    <row r="2870" customFormat="false" ht="15" hidden="false" customHeight="false" outlineLevel="0" collapsed="false">
      <c r="A2870" s="39" t="s">
        <v>2992</v>
      </c>
      <c r="B2870" s="40" t="n">
        <v>46010</v>
      </c>
      <c r="C2870" s="39" t="s">
        <v>128</v>
      </c>
      <c r="D2870" s="39" t="n">
        <v>1</v>
      </c>
      <c r="E2870" s="41" t="n">
        <v>38.67</v>
      </c>
      <c r="F2870" s="39" t="s">
        <v>118</v>
      </c>
      <c r="G2870" s="39" t="str">
        <f aca="false">VLOOKUP(C2870,Products!$A$5:$D$24,2,FALSE())</f>
        <v>Ergonomic Footrest</v>
      </c>
      <c r="H2870" s="39" t="str">
        <f aca="false">VLOOKUP(C2870,Products!$A$5:$D$24,3,FALSE())</f>
        <v>Furniture</v>
      </c>
      <c r="I2870" s="41" t="n">
        <f aca="false">VLOOKUP(C2870,Products!$A$5:$D$24,4,FALSE())</f>
        <v>15</v>
      </c>
      <c r="J2870" s="42" t="n">
        <f aca="false">DATE(YEAR(B2870),MONTH(B2870),1)</f>
        <v>45992</v>
      </c>
      <c r="K2870" s="41" t="n">
        <f aca="false">D2870*E2870</f>
        <v>38.67</v>
      </c>
      <c r="L2870" s="41" t="n">
        <f aca="false">D2870*I2870</f>
        <v>15</v>
      </c>
      <c r="M2870" s="41" t="n">
        <f aca="false">IFERROR(INDEX(Raw_Expenses!$C$5:$C$2979,MATCH(A2870,Raw_Expenses!$A$5:$A$2979,0)),0)</f>
        <v>1.66</v>
      </c>
      <c r="N2870" s="41" t="n">
        <f aca="false">L2870+M2870</f>
        <v>16.66</v>
      </c>
      <c r="O2870" s="41" t="n">
        <f aca="false">K2870-N2870</f>
        <v>22.01</v>
      </c>
      <c r="P2870" s="43" t="n">
        <f aca="false">IF(K2870=0,0,O2870/K2870)</f>
        <v>0.569175071114559</v>
      </c>
    </row>
    <row r="2871" customFormat="false" ht="15" hidden="false" customHeight="false" outlineLevel="0" collapsed="false">
      <c r="A2871" s="39" t="s">
        <v>2993</v>
      </c>
      <c r="B2871" s="40" t="n">
        <v>46010</v>
      </c>
      <c r="C2871" s="39" t="s">
        <v>107</v>
      </c>
      <c r="D2871" s="39" t="n">
        <v>2</v>
      </c>
      <c r="E2871" s="41" t="n">
        <v>34.61</v>
      </c>
      <c r="F2871" s="39" t="s">
        <v>115</v>
      </c>
      <c r="G2871" s="39" t="str">
        <f aca="false">VLOOKUP(C2871,Products!$A$5:$D$24,2,FALSE())</f>
        <v>USB-C Hub</v>
      </c>
      <c r="H2871" s="39" t="str">
        <f aca="false">VLOOKUP(C2871,Products!$A$5:$D$24,3,FALSE())</f>
        <v>Electronics</v>
      </c>
      <c r="I2871" s="41" t="n">
        <f aca="false">VLOOKUP(C2871,Products!$A$5:$D$24,4,FALSE())</f>
        <v>14</v>
      </c>
      <c r="J2871" s="42" t="n">
        <f aca="false">DATE(YEAR(B2871),MONTH(B2871),1)</f>
        <v>45992</v>
      </c>
      <c r="K2871" s="41" t="n">
        <f aca="false">D2871*E2871</f>
        <v>69.22</v>
      </c>
      <c r="L2871" s="41" t="n">
        <f aca="false">D2871*I2871</f>
        <v>28</v>
      </c>
      <c r="M2871" s="41" t="n">
        <f aca="false">IFERROR(INDEX(Raw_Expenses!$C$5:$C$2979,MATCH(A2871,Raw_Expenses!$A$5:$A$2979,0)),0)</f>
        <v>3.36</v>
      </c>
      <c r="N2871" s="41" t="n">
        <f aca="false">L2871+M2871</f>
        <v>31.36</v>
      </c>
      <c r="O2871" s="41" t="n">
        <f aca="false">K2871-N2871</f>
        <v>37.86</v>
      </c>
      <c r="P2871" s="43" t="n">
        <f aca="false">IF(K2871=0,0,O2871/K2871)</f>
        <v>0.546951748049697</v>
      </c>
    </row>
    <row r="2872" customFormat="false" ht="15" hidden="false" customHeight="false" outlineLevel="0" collapsed="false">
      <c r="A2872" s="39" t="s">
        <v>2994</v>
      </c>
      <c r="B2872" s="40" t="n">
        <v>46010</v>
      </c>
      <c r="C2872" s="39" t="s">
        <v>139</v>
      </c>
      <c r="D2872" s="39" t="n">
        <v>1</v>
      </c>
      <c r="E2872" s="41" t="n">
        <v>128.81</v>
      </c>
      <c r="F2872" s="39" t="s">
        <v>108</v>
      </c>
      <c r="G2872" s="39" t="str">
        <f aca="false">VLOOKUP(C2872,Products!$A$5:$D$24,2,FALSE())</f>
        <v>Noise-Cancelling Headphones</v>
      </c>
      <c r="H2872" s="39" t="str">
        <f aca="false">VLOOKUP(C2872,Products!$A$5:$D$24,3,FALSE())</f>
        <v>Electronics</v>
      </c>
      <c r="I2872" s="41" t="n">
        <f aca="false">VLOOKUP(C2872,Products!$A$5:$D$24,4,FALSE())</f>
        <v>55</v>
      </c>
      <c r="J2872" s="42" t="n">
        <f aca="false">DATE(YEAR(B2872),MONTH(B2872),1)</f>
        <v>45992</v>
      </c>
      <c r="K2872" s="41" t="n">
        <f aca="false">D2872*E2872</f>
        <v>128.81</v>
      </c>
      <c r="L2872" s="41" t="n">
        <f aca="false">D2872*I2872</f>
        <v>55</v>
      </c>
      <c r="M2872" s="41" t="n">
        <f aca="false">IFERROR(INDEX(Raw_Expenses!$C$5:$C$2979,MATCH(A2872,Raw_Expenses!$A$5:$A$2979,0)),0)</f>
        <v>11.53</v>
      </c>
      <c r="N2872" s="41" t="n">
        <f aca="false">L2872+M2872</f>
        <v>66.53</v>
      </c>
      <c r="O2872" s="41" t="n">
        <f aca="false">K2872-N2872</f>
        <v>62.28</v>
      </c>
      <c r="P2872" s="43" t="n">
        <f aca="false">IF(K2872=0,0,O2872/K2872)</f>
        <v>0.483502833630929</v>
      </c>
    </row>
    <row r="2873" customFormat="false" ht="15" hidden="false" customHeight="false" outlineLevel="0" collapsed="false">
      <c r="A2873" s="39" t="s">
        <v>2995</v>
      </c>
      <c r="B2873" s="40" t="n">
        <v>46010</v>
      </c>
      <c r="C2873" s="39" t="s">
        <v>133</v>
      </c>
      <c r="D2873" s="39" t="n">
        <v>5</v>
      </c>
      <c r="E2873" s="41" t="n">
        <v>8.68</v>
      </c>
      <c r="F2873" s="39" t="s">
        <v>118</v>
      </c>
      <c r="G2873" s="39" t="str">
        <f aca="false">VLOOKUP(C2873,Products!$A$5:$D$24,2,FALSE())</f>
        <v>Printer Paper Ream</v>
      </c>
      <c r="H2873" s="39" t="str">
        <f aca="false">VLOOKUP(C2873,Products!$A$5:$D$24,3,FALSE())</f>
        <v>Stationery</v>
      </c>
      <c r="I2873" s="41" t="n">
        <f aca="false">VLOOKUP(C2873,Products!$A$5:$D$24,4,FALSE())</f>
        <v>4</v>
      </c>
      <c r="J2873" s="42" t="n">
        <f aca="false">DATE(YEAR(B2873),MONTH(B2873),1)</f>
        <v>45992</v>
      </c>
      <c r="K2873" s="41" t="n">
        <f aca="false">D2873*E2873</f>
        <v>43.4</v>
      </c>
      <c r="L2873" s="41" t="n">
        <f aca="false">D2873*I2873</f>
        <v>20</v>
      </c>
      <c r="M2873" s="41" t="n">
        <f aca="false">IFERROR(INDEX(Raw_Expenses!$C$5:$C$2979,MATCH(A2873,Raw_Expenses!$A$5:$A$2979,0)),0)</f>
        <v>2.58</v>
      </c>
      <c r="N2873" s="41" t="n">
        <f aca="false">L2873+M2873</f>
        <v>22.58</v>
      </c>
      <c r="O2873" s="41" t="n">
        <f aca="false">K2873-N2873</f>
        <v>20.82</v>
      </c>
      <c r="P2873" s="43" t="n">
        <f aca="false">IF(K2873=0,0,O2873/K2873)</f>
        <v>0.479723502304148</v>
      </c>
    </row>
    <row r="2874" customFormat="false" ht="15" hidden="false" customHeight="false" outlineLevel="0" collapsed="false">
      <c r="A2874" s="39" t="s">
        <v>2996</v>
      </c>
      <c r="B2874" s="40" t="n">
        <v>46011</v>
      </c>
      <c r="C2874" s="39" t="s">
        <v>114</v>
      </c>
      <c r="D2874" s="39" t="n">
        <v>2</v>
      </c>
      <c r="E2874" s="41" t="n">
        <v>5.9</v>
      </c>
      <c r="F2874" s="39" t="s">
        <v>115</v>
      </c>
      <c r="G2874" s="39" t="str">
        <f aca="false">VLOOKUP(C2874,Products!$A$5:$D$24,2,FALSE())</f>
        <v>Gel Pen Pack</v>
      </c>
      <c r="H2874" s="39" t="str">
        <f aca="false">VLOOKUP(C2874,Products!$A$5:$D$24,3,FALSE())</f>
        <v>Stationery</v>
      </c>
      <c r="I2874" s="41" t="n">
        <f aca="false">VLOOKUP(C2874,Products!$A$5:$D$24,4,FALSE())</f>
        <v>2</v>
      </c>
      <c r="J2874" s="42" t="n">
        <f aca="false">DATE(YEAR(B2874),MONTH(B2874),1)</f>
        <v>45992</v>
      </c>
      <c r="K2874" s="41" t="n">
        <f aca="false">D2874*E2874</f>
        <v>11.8</v>
      </c>
      <c r="L2874" s="41" t="n">
        <f aca="false">D2874*I2874</f>
        <v>4</v>
      </c>
      <c r="M2874" s="41" t="n">
        <f aca="false">IFERROR(INDEX(Raw_Expenses!$C$5:$C$2979,MATCH(A2874,Raw_Expenses!$A$5:$A$2979,0)),0)</f>
        <v>0</v>
      </c>
      <c r="N2874" s="41" t="n">
        <f aca="false">L2874+M2874</f>
        <v>4</v>
      </c>
      <c r="O2874" s="41" t="n">
        <f aca="false">K2874-N2874</f>
        <v>7.8</v>
      </c>
      <c r="P2874" s="43" t="n">
        <f aca="false">IF(K2874=0,0,O2874/K2874)</f>
        <v>0.661016949152542</v>
      </c>
    </row>
    <row r="2875" customFormat="false" ht="15" hidden="false" customHeight="false" outlineLevel="0" collapsed="false">
      <c r="A2875" s="39" t="s">
        <v>2997</v>
      </c>
      <c r="B2875" s="40" t="n">
        <v>46011</v>
      </c>
      <c r="C2875" s="39" t="s">
        <v>136</v>
      </c>
      <c r="D2875" s="39" t="n">
        <v>2</v>
      </c>
      <c r="E2875" s="41" t="n">
        <v>75.9</v>
      </c>
      <c r="F2875" s="39" t="s">
        <v>108</v>
      </c>
      <c r="G2875" s="39" t="str">
        <f aca="false">VLOOKUP(C2875,Products!$A$5:$D$24,2,FALSE())</f>
        <v>Mechanical Keyboard</v>
      </c>
      <c r="H2875" s="39" t="str">
        <f aca="false">VLOOKUP(C2875,Products!$A$5:$D$24,3,FALSE())</f>
        <v>Electronics</v>
      </c>
      <c r="I2875" s="41" t="n">
        <f aca="false">VLOOKUP(C2875,Products!$A$5:$D$24,4,FALSE())</f>
        <v>38</v>
      </c>
      <c r="J2875" s="42" t="n">
        <f aca="false">DATE(YEAR(B2875),MONTH(B2875),1)</f>
        <v>45992</v>
      </c>
      <c r="K2875" s="41" t="n">
        <f aca="false">D2875*E2875</f>
        <v>151.8</v>
      </c>
      <c r="L2875" s="41" t="n">
        <f aca="false">D2875*I2875</f>
        <v>76</v>
      </c>
      <c r="M2875" s="41" t="n">
        <f aca="false">IFERROR(INDEX(Raw_Expenses!$C$5:$C$2979,MATCH(A2875,Raw_Expenses!$A$5:$A$2979,0)),0)</f>
        <v>12.66</v>
      </c>
      <c r="N2875" s="41" t="n">
        <f aca="false">L2875+M2875</f>
        <v>88.66</v>
      </c>
      <c r="O2875" s="41" t="n">
        <f aca="false">K2875-N2875</f>
        <v>63.14</v>
      </c>
      <c r="P2875" s="43" t="n">
        <f aca="false">IF(K2875=0,0,O2875/K2875)</f>
        <v>0.415942028985507</v>
      </c>
    </row>
    <row r="2876" customFormat="false" ht="15" hidden="false" customHeight="false" outlineLevel="0" collapsed="false">
      <c r="A2876" s="39" t="s">
        <v>2998</v>
      </c>
      <c r="B2876" s="40" t="n">
        <v>46011</v>
      </c>
      <c r="C2876" s="39" t="s">
        <v>114</v>
      </c>
      <c r="D2876" s="39" t="n">
        <v>4</v>
      </c>
      <c r="E2876" s="41" t="n">
        <v>5.81</v>
      </c>
      <c r="F2876" s="39" t="s">
        <v>115</v>
      </c>
      <c r="G2876" s="39" t="str">
        <f aca="false">VLOOKUP(C2876,Products!$A$5:$D$24,2,FALSE())</f>
        <v>Gel Pen Pack</v>
      </c>
      <c r="H2876" s="39" t="str">
        <f aca="false">VLOOKUP(C2876,Products!$A$5:$D$24,3,FALSE())</f>
        <v>Stationery</v>
      </c>
      <c r="I2876" s="41" t="n">
        <f aca="false">VLOOKUP(C2876,Products!$A$5:$D$24,4,FALSE())</f>
        <v>2</v>
      </c>
      <c r="J2876" s="42" t="n">
        <f aca="false">DATE(YEAR(B2876),MONTH(B2876),1)</f>
        <v>45992</v>
      </c>
      <c r="K2876" s="41" t="n">
        <f aca="false">D2876*E2876</f>
        <v>23.24</v>
      </c>
      <c r="L2876" s="41" t="n">
        <f aca="false">D2876*I2876</f>
        <v>8</v>
      </c>
      <c r="M2876" s="41" t="n">
        <f aca="false">IFERROR(INDEX(Raw_Expenses!$C$5:$C$2979,MATCH(A2876,Raw_Expenses!$A$5:$A$2979,0)),0)</f>
        <v>1.63</v>
      </c>
      <c r="N2876" s="41" t="n">
        <f aca="false">L2876+M2876</f>
        <v>9.63</v>
      </c>
      <c r="O2876" s="41" t="n">
        <f aca="false">K2876-N2876</f>
        <v>13.61</v>
      </c>
      <c r="P2876" s="43" t="n">
        <f aca="false">IF(K2876=0,0,O2876/K2876)</f>
        <v>0.585628227194492</v>
      </c>
    </row>
    <row r="2877" customFormat="false" ht="15" hidden="false" customHeight="false" outlineLevel="0" collapsed="false">
      <c r="A2877" s="39" t="s">
        <v>2999</v>
      </c>
      <c r="B2877" s="40" t="n">
        <v>46011</v>
      </c>
      <c r="C2877" s="39" t="s">
        <v>128</v>
      </c>
      <c r="D2877" s="39" t="n">
        <v>1</v>
      </c>
      <c r="E2877" s="41" t="n">
        <v>36.94</v>
      </c>
      <c r="F2877" s="39" t="s">
        <v>105</v>
      </c>
      <c r="G2877" s="39" t="str">
        <f aca="false">VLOOKUP(C2877,Products!$A$5:$D$24,2,FALSE())</f>
        <v>Ergonomic Footrest</v>
      </c>
      <c r="H2877" s="39" t="str">
        <f aca="false">VLOOKUP(C2877,Products!$A$5:$D$24,3,FALSE())</f>
        <v>Furniture</v>
      </c>
      <c r="I2877" s="41" t="n">
        <f aca="false">VLOOKUP(C2877,Products!$A$5:$D$24,4,FALSE())</f>
        <v>15</v>
      </c>
      <c r="J2877" s="42" t="n">
        <f aca="false">DATE(YEAR(B2877),MONTH(B2877),1)</f>
        <v>45992</v>
      </c>
      <c r="K2877" s="41" t="n">
        <f aca="false">D2877*E2877</f>
        <v>36.94</v>
      </c>
      <c r="L2877" s="41" t="n">
        <f aca="false">D2877*I2877</f>
        <v>15</v>
      </c>
      <c r="M2877" s="41" t="n">
        <f aca="false">IFERROR(INDEX(Raw_Expenses!$C$5:$C$2979,MATCH(A2877,Raw_Expenses!$A$5:$A$2979,0)),0)</f>
        <v>1.66</v>
      </c>
      <c r="N2877" s="41" t="n">
        <f aca="false">L2877+M2877</f>
        <v>16.66</v>
      </c>
      <c r="O2877" s="41" t="n">
        <f aca="false">K2877-N2877</f>
        <v>20.28</v>
      </c>
      <c r="P2877" s="43" t="n">
        <f aca="false">IF(K2877=0,0,O2877/K2877)</f>
        <v>0.54899837574445</v>
      </c>
    </row>
    <row r="2878" customFormat="false" ht="15" hidden="false" customHeight="false" outlineLevel="0" collapsed="false">
      <c r="A2878" s="39" t="s">
        <v>3000</v>
      </c>
      <c r="B2878" s="40" t="n">
        <v>46011</v>
      </c>
      <c r="C2878" s="39" t="s">
        <v>153</v>
      </c>
      <c r="D2878" s="39" t="n">
        <v>2</v>
      </c>
      <c r="E2878" s="41" t="n">
        <v>172</v>
      </c>
      <c r="F2878" s="39" t="s">
        <v>105</v>
      </c>
      <c r="G2878" s="39" t="str">
        <f aca="false">VLOOKUP(C2878,Products!$A$5:$D$24,2,FALSE())</f>
        <v>24-inch Monitor</v>
      </c>
      <c r="H2878" s="39" t="str">
        <f aca="false">VLOOKUP(C2878,Products!$A$5:$D$24,3,FALSE())</f>
        <v>Electronics</v>
      </c>
      <c r="I2878" s="41" t="n">
        <f aca="false">VLOOKUP(C2878,Products!$A$5:$D$24,4,FALSE())</f>
        <v>90</v>
      </c>
      <c r="J2878" s="42" t="n">
        <f aca="false">DATE(YEAR(B2878),MONTH(B2878),1)</f>
        <v>45992</v>
      </c>
      <c r="K2878" s="41" t="n">
        <f aca="false">D2878*E2878</f>
        <v>344</v>
      </c>
      <c r="L2878" s="41" t="n">
        <f aca="false">D2878*I2878</f>
        <v>180</v>
      </c>
      <c r="M2878" s="41" t="n">
        <f aca="false">IFERROR(INDEX(Raw_Expenses!$C$5:$C$2979,MATCH(A2878,Raw_Expenses!$A$5:$A$2979,0)),0)</f>
        <v>17.14</v>
      </c>
      <c r="N2878" s="41" t="n">
        <f aca="false">L2878+M2878</f>
        <v>197.14</v>
      </c>
      <c r="O2878" s="41" t="n">
        <f aca="false">K2878-N2878</f>
        <v>146.86</v>
      </c>
      <c r="P2878" s="43" t="n">
        <f aca="false">IF(K2878=0,0,O2878/K2878)</f>
        <v>0.426918604651163</v>
      </c>
    </row>
    <row r="2879" customFormat="false" ht="15" hidden="false" customHeight="false" outlineLevel="0" collapsed="false">
      <c r="A2879" s="39" t="s">
        <v>3001</v>
      </c>
      <c r="B2879" s="40" t="n">
        <v>46011</v>
      </c>
      <c r="C2879" s="39" t="s">
        <v>177</v>
      </c>
      <c r="D2879" s="39" t="n">
        <v>4</v>
      </c>
      <c r="E2879" s="41" t="n">
        <v>43.16</v>
      </c>
      <c r="F2879" s="39" t="s">
        <v>105</v>
      </c>
      <c r="G2879" s="39" t="str">
        <f aca="false">VLOOKUP(C2879,Products!$A$5:$D$24,2,FALSE())</f>
        <v>Backpack</v>
      </c>
      <c r="H2879" s="39" t="str">
        <f aca="false">VLOOKUP(C2879,Products!$A$5:$D$24,3,FALSE())</f>
        <v>Accessories</v>
      </c>
      <c r="I2879" s="41" t="n">
        <f aca="false">VLOOKUP(C2879,Products!$A$5:$D$24,4,FALSE())</f>
        <v>17</v>
      </c>
      <c r="J2879" s="42" t="n">
        <f aca="false">DATE(YEAR(B2879),MONTH(B2879),1)</f>
        <v>45992</v>
      </c>
      <c r="K2879" s="41" t="n">
        <f aca="false">D2879*E2879</f>
        <v>172.64</v>
      </c>
      <c r="L2879" s="41" t="n">
        <f aca="false">D2879*I2879</f>
        <v>68</v>
      </c>
      <c r="M2879" s="41" t="n">
        <f aca="false">IFERROR(INDEX(Raw_Expenses!$C$5:$C$2979,MATCH(A2879,Raw_Expenses!$A$5:$A$2979,0)),0)</f>
        <v>12.48</v>
      </c>
      <c r="N2879" s="41" t="n">
        <f aca="false">L2879+M2879</f>
        <v>80.48</v>
      </c>
      <c r="O2879" s="41" t="n">
        <f aca="false">K2879-N2879</f>
        <v>92.16</v>
      </c>
      <c r="P2879" s="43" t="n">
        <f aca="false">IF(K2879=0,0,O2879/K2879)</f>
        <v>0.533827618164968</v>
      </c>
    </row>
    <row r="2880" customFormat="false" ht="15" hidden="false" customHeight="false" outlineLevel="0" collapsed="false">
      <c r="A2880" s="39" t="s">
        <v>3002</v>
      </c>
      <c r="B2880" s="40" t="n">
        <v>46011</v>
      </c>
      <c r="C2880" s="39" t="s">
        <v>128</v>
      </c>
      <c r="D2880" s="39" t="n">
        <v>5</v>
      </c>
      <c r="E2880" s="41" t="n">
        <v>37.07</v>
      </c>
      <c r="F2880" s="39" t="s">
        <v>108</v>
      </c>
      <c r="G2880" s="39" t="str">
        <f aca="false">VLOOKUP(C2880,Products!$A$5:$D$24,2,FALSE())</f>
        <v>Ergonomic Footrest</v>
      </c>
      <c r="H2880" s="39" t="str">
        <f aca="false">VLOOKUP(C2880,Products!$A$5:$D$24,3,FALSE())</f>
        <v>Furniture</v>
      </c>
      <c r="I2880" s="41" t="n">
        <f aca="false">VLOOKUP(C2880,Products!$A$5:$D$24,4,FALSE())</f>
        <v>15</v>
      </c>
      <c r="J2880" s="42" t="n">
        <f aca="false">DATE(YEAR(B2880),MONTH(B2880),1)</f>
        <v>45992</v>
      </c>
      <c r="K2880" s="41" t="n">
        <f aca="false">D2880*E2880</f>
        <v>185.35</v>
      </c>
      <c r="L2880" s="41" t="n">
        <f aca="false">D2880*I2880</f>
        <v>75</v>
      </c>
      <c r="M2880" s="41" t="n">
        <f aca="false">IFERROR(INDEX(Raw_Expenses!$C$5:$C$2979,MATCH(A2880,Raw_Expenses!$A$5:$A$2979,0)),0)</f>
        <v>15.23</v>
      </c>
      <c r="N2880" s="41" t="n">
        <f aca="false">L2880+M2880</f>
        <v>90.23</v>
      </c>
      <c r="O2880" s="41" t="n">
        <f aca="false">K2880-N2880</f>
        <v>95.12</v>
      </c>
      <c r="P2880" s="43" t="n">
        <f aca="false">IF(K2880=0,0,O2880/K2880)</f>
        <v>0.513191259778797</v>
      </c>
    </row>
    <row r="2881" customFormat="false" ht="15" hidden="false" customHeight="false" outlineLevel="0" collapsed="false">
      <c r="A2881" s="39" t="s">
        <v>3003</v>
      </c>
      <c r="B2881" s="40" t="n">
        <v>46011</v>
      </c>
      <c r="C2881" s="39" t="s">
        <v>110</v>
      </c>
      <c r="D2881" s="39" t="n">
        <v>2</v>
      </c>
      <c r="E2881" s="41" t="n">
        <v>13.42</v>
      </c>
      <c r="F2881" s="39" t="s">
        <v>115</v>
      </c>
      <c r="G2881" s="39" t="str">
        <f aca="false">VLOOKUP(C2881,Products!$A$5:$D$24,2,FALSE())</f>
        <v>Phone Stand</v>
      </c>
      <c r="H2881" s="39" t="str">
        <f aca="false">VLOOKUP(C2881,Products!$A$5:$D$24,3,FALSE())</f>
        <v>Accessories</v>
      </c>
      <c r="I2881" s="41" t="n">
        <f aca="false">VLOOKUP(C2881,Products!$A$5:$D$24,4,FALSE())</f>
        <v>4</v>
      </c>
      <c r="J2881" s="42" t="n">
        <f aca="false">DATE(YEAR(B2881),MONTH(B2881),1)</f>
        <v>45992</v>
      </c>
      <c r="K2881" s="41" t="n">
        <f aca="false">D2881*E2881</f>
        <v>26.84</v>
      </c>
      <c r="L2881" s="41" t="n">
        <f aca="false">D2881*I2881</f>
        <v>8</v>
      </c>
      <c r="M2881" s="41" t="n">
        <f aca="false">IFERROR(INDEX(Raw_Expenses!$C$5:$C$2979,MATCH(A2881,Raw_Expenses!$A$5:$A$2979,0)),0)</f>
        <v>2.15</v>
      </c>
      <c r="N2881" s="41" t="n">
        <f aca="false">L2881+M2881</f>
        <v>10.15</v>
      </c>
      <c r="O2881" s="41" t="n">
        <f aca="false">K2881-N2881</f>
        <v>16.69</v>
      </c>
      <c r="P2881" s="43" t="n">
        <f aca="false">IF(K2881=0,0,O2881/K2881)</f>
        <v>0.621833084947839</v>
      </c>
    </row>
    <row r="2882" customFormat="false" ht="15" hidden="false" customHeight="false" outlineLevel="0" collapsed="false">
      <c r="A2882" s="39" t="s">
        <v>3004</v>
      </c>
      <c r="B2882" s="40" t="n">
        <v>46011</v>
      </c>
      <c r="C2882" s="39" t="s">
        <v>305</v>
      </c>
      <c r="D2882" s="39" t="n">
        <v>3</v>
      </c>
      <c r="E2882" s="41" t="n">
        <v>342.47</v>
      </c>
      <c r="F2882" s="39" t="s">
        <v>118</v>
      </c>
      <c r="G2882" s="39" t="str">
        <f aca="false">VLOOKUP(C2882,Products!$A$5:$D$24,2,FALSE())</f>
        <v>Standing Desk</v>
      </c>
      <c r="H2882" s="39" t="str">
        <f aca="false">VLOOKUP(C2882,Products!$A$5:$D$24,3,FALSE())</f>
        <v>Furniture</v>
      </c>
      <c r="I2882" s="41" t="n">
        <f aca="false">VLOOKUP(C2882,Products!$A$5:$D$24,4,FALSE())</f>
        <v>160</v>
      </c>
      <c r="J2882" s="42" t="n">
        <f aca="false">DATE(YEAR(B2882),MONTH(B2882),1)</f>
        <v>45992</v>
      </c>
      <c r="K2882" s="41" t="n">
        <f aca="false">D2882*E2882</f>
        <v>1027.41</v>
      </c>
      <c r="L2882" s="41" t="n">
        <f aca="false">D2882*I2882</f>
        <v>480</v>
      </c>
      <c r="M2882" s="41" t="n">
        <f aca="false">IFERROR(INDEX(Raw_Expenses!$C$5:$C$2979,MATCH(A2882,Raw_Expenses!$A$5:$A$2979,0)),0)</f>
        <v>74.4</v>
      </c>
      <c r="N2882" s="41" t="n">
        <f aca="false">L2882+M2882</f>
        <v>554.4</v>
      </c>
      <c r="O2882" s="41" t="n">
        <f aca="false">K2882-N2882</f>
        <v>473.01</v>
      </c>
      <c r="P2882" s="43" t="n">
        <f aca="false">IF(K2882=0,0,O2882/K2882)</f>
        <v>0.46039069115543</v>
      </c>
    </row>
    <row r="2883" customFormat="false" ht="15" hidden="false" customHeight="false" outlineLevel="0" collapsed="false">
      <c r="A2883" s="39" t="s">
        <v>3005</v>
      </c>
      <c r="B2883" s="40" t="n">
        <v>46011</v>
      </c>
      <c r="C2883" s="39" t="s">
        <v>162</v>
      </c>
      <c r="D2883" s="39" t="n">
        <v>2</v>
      </c>
      <c r="E2883" s="41" t="n">
        <v>66.47</v>
      </c>
      <c r="F2883" s="39" t="s">
        <v>118</v>
      </c>
      <c r="G2883" s="39" t="str">
        <f aca="false">VLOOKUP(C2883,Products!$A$5:$D$24,2,FALSE())</f>
        <v>Bluetooth Speaker</v>
      </c>
      <c r="H2883" s="39" t="str">
        <f aca="false">VLOOKUP(C2883,Products!$A$5:$D$24,3,FALSE())</f>
        <v>Electronics</v>
      </c>
      <c r="I2883" s="41" t="n">
        <f aca="false">VLOOKUP(C2883,Products!$A$5:$D$24,4,FALSE())</f>
        <v>28</v>
      </c>
      <c r="J2883" s="42" t="n">
        <f aca="false">DATE(YEAR(B2883),MONTH(B2883),1)</f>
        <v>45992</v>
      </c>
      <c r="K2883" s="41" t="n">
        <f aca="false">D2883*E2883</f>
        <v>132.94</v>
      </c>
      <c r="L2883" s="41" t="n">
        <f aca="false">D2883*I2883</f>
        <v>56</v>
      </c>
      <c r="M2883" s="41" t="n">
        <f aca="false">IFERROR(INDEX(Raw_Expenses!$C$5:$C$2979,MATCH(A2883,Raw_Expenses!$A$5:$A$2979,0)),0)</f>
        <v>7.06</v>
      </c>
      <c r="N2883" s="41" t="n">
        <f aca="false">L2883+M2883</f>
        <v>63.06</v>
      </c>
      <c r="O2883" s="41" t="n">
        <f aca="false">K2883-N2883</f>
        <v>69.88</v>
      </c>
      <c r="P2883" s="43" t="n">
        <f aca="false">IF(K2883=0,0,O2883/K2883)</f>
        <v>0.525650669474951</v>
      </c>
    </row>
    <row r="2884" customFormat="false" ht="15" hidden="false" customHeight="false" outlineLevel="0" collapsed="false">
      <c r="A2884" s="39" t="s">
        <v>3006</v>
      </c>
      <c r="B2884" s="40" t="n">
        <v>46011</v>
      </c>
      <c r="C2884" s="39" t="s">
        <v>110</v>
      </c>
      <c r="D2884" s="39" t="n">
        <v>2</v>
      </c>
      <c r="E2884" s="41" t="n">
        <v>13.93</v>
      </c>
      <c r="F2884" s="39" t="s">
        <v>105</v>
      </c>
      <c r="G2884" s="39" t="str">
        <f aca="false">VLOOKUP(C2884,Products!$A$5:$D$24,2,FALSE())</f>
        <v>Phone Stand</v>
      </c>
      <c r="H2884" s="39" t="str">
        <f aca="false">VLOOKUP(C2884,Products!$A$5:$D$24,3,FALSE())</f>
        <v>Accessories</v>
      </c>
      <c r="I2884" s="41" t="n">
        <f aca="false">VLOOKUP(C2884,Products!$A$5:$D$24,4,FALSE())</f>
        <v>4</v>
      </c>
      <c r="J2884" s="42" t="n">
        <f aca="false">DATE(YEAR(B2884),MONTH(B2884),1)</f>
        <v>45992</v>
      </c>
      <c r="K2884" s="41" t="n">
        <f aca="false">D2884*E2884</f>
        <v>27.86</v>
      </c>
      <c r="L2884" s="41" t="n">
        <f aca="false">D2884*I2884</f>
        <v>8</v>
      </c>
      <c r="M2884" s="41" t="n">
        <f aca="false">IFERROR(INDEX(Raw_Expenses!$C$5:$C$2979,MATCH(A2884,Raw_Expenses!$A$5:$A$2979,0)),0)</f>
        <v>1.19</v>
      </c>
      <c r="N2884" s="41" t="n">
        <f aca="false">L2884+M2884</f>
        <v>9.19</v>
      </c>
      <c r="O2884" s="41" t="n">
        <f aca="false">K2884-N2884</f>
        <v>18.67</v>
      </c>
      <c r="P2884" s="43" t="n">
        <f aca="false">IF(K2884=0,0,O2884/K2884)</f>
        <v>0.67013639626705</v>
      </c>
    </row>
    <row r="2885" customFormat="false" ht="15" hidden="false" customHeight="false" outlineLevel="0" collapsed="false">
      <c r="A2885" s="39" t="s">
        <v>3007</v>
      </c>
      <c r="B2885" s="40" t="n">
        <v>46011</v>
      </c>
      <c r="C2885" s="39" t="s">
        <v>136</v>
      </c>
      <c r="D2885" s="39" t="n">
        <v>1</v>
      </c>
      <c r="E2885" s="41" t="n">
        <v>75.93</v>
      </c>
      <c r="F2885" s="39" t="s">
        <v>118</v>
      </c>
      <c r="G2885" s="39" t="str">
        <f aca="false">VLOOKUP(C2885,Products!$A$5:$D$24,2,FALSE())</f>
        <v>Mechanical Keyboard</v>
      </c>
      <c r="H2885" s="39" t="str">
        <f aca="false">VLOOKUP(C2885,Products!$A$5:$D$24,3,FALSE())</f>
        <v>Electronics</v>
      </c>
      <c r="I2885" s="41" t="n">
        <f aca="false">VLOOKUP(C2885,Products!$A$5:$D$24,4,FALSE())</f>
        <v>38</v>
      </c>
      <c r="J2885" s="42" t="n">
        <f aca="false">DATE(YEAR(B2885),MONTH(B2885),1)</f>
        <v>45992</v>
      </c>
      <c r="K2885" s="41" t="n">
        <f aca="false">D2885*E2885</f>
        <v>75.93</v>
      </c>
      <c r="L2885" s="41" t="n">
        <f aca="false">D2885*I2885</f>
        <v>38</v>
      </c>
      <c r="M2885" s="41" t="n">
        <f aca="false">IFERROR(INDEX(Raw_Expenses!$C$5:$C$2979,MATCH(A2885,Raw_Expenses!$A$5:$A$2979,0)),0)</f>
        <v>4.55</v>
      </c>
      <c r="N2885" s="41" t="n">
        <f aca="false">L2885+M2885</f>
        <v>42.55</v>
      </c>
      <c r="O2885" s="41" t="n">
        <f aca="false">K2885-N2885</f>
        <v>33.38</v>
      </c>
      <c r="P2885" s="43" t="n">
        <f aca="false">IF(K2885=0,0,O2885/K2885)</f>
        <v>0.439615435269327</v>
      </c>
    </row>
    <row r="2886" customFormat="false" ht="15" hidden="false" customHeight="false" outlineLevel="0" collapsed="false">
      <c r="A2886" s="39" t="s">
        <v>3008</v>
      </c>
      <c r="B2886" s="40" t="n">
        <v>46011</v>
      </c>
      <c r="C2886" s="39" t="s">
        <v>117</v>
      </c>
      <c r="D2886" s="39" t="n">
        <v>6</v>
      </c>
      <c r="E2886" s="41" t="n">
        <v>31.14</v>
      </c>
      <c r="F2886" s="39" t="s">
        <v>118</v>
      </c>
      <c r="G2886" s="39" t="str">
        <f aca="false">VLOOKUP(C2886,Products!$A$5:$D$24,2,FALSE())</f>
        <v>Desk Lamp</v>
      </c>
      <c r="H2886" s="39" t="str">
        <f aca="false">VLOOKUP(C2886,Products!$A$5:$D$24,3,FALSE())</f>
        <v>Furniture</v>
      </c>
      <c r="I2886" s="41" t="n">
        <f aca="false">VLOOKUP(C2886,Products!$A$5:$D$24,4,FALSE())</f>
        <v>13</v>
      </c>
      <c r="J2886" s="42" t="n">
        <f aca="false">DATE(YEAR(B2886),MONTH(B2886),1)</f>
        <v>45992</v>
      </c>
      <c r="K2886" s="41" t="n">
        <f aca="false">D2886*E2886</f>
        <v>186.84</v>
      </c>
      <c r="L2886" s="41" t="n">
        <f aca="false">D2886*I2886</f>
        <v>78</v>
      </c>
      <c r="M2886" s="41" t="n">
        <f aca="false">IFERROR(INDEX(Raw_Expenses!$C$5:$C$2979,MATCH(A2886,Raw_Expenses!$A$5:$A$2979,0)),0)</f>
        <v>13.09</v>
      </c>
      <c r="N2886" s="41" t="n">
        <f aca="false">L2886+M2886</f>
        <v>91.09</v>
      </c>
      <c r="O2886" s="41" t="n">
        <f aca="false">K2886-N2886</f>
        <v>95.75</v>
      </c>
      <c r="P2886" s="43" t="n">
        <f aca="false">IF(K2886=0,0,O2886/K2886)</f>
        <v>0.512470563048598</v>
      </c>
    </row>
    <row r="2887" customFormat="false" ht="15" hidden="false" customHeight="false" outlineLevel="0" collapsed="false">
      <c r="A2887" s="39" t="s">
        <v>3009</v>
      </c>
      <c r="B2887" s="40" t="n">
        <v>46011</v>
      </c>
      <c r="C2887" s="39" t="s">
        <v>128</v>
      </c>
      <c r="D2887" s="39" t="n">
        <v>4</v>
      </c>
      <c r="E2887" s="41" t="n">
        <v>35.99</v>
      </c>
      <c r="F2887" s="39" t="s">
        <v>105</v>
      </c>
      <c r="G2887" s="39" t="str">
        <f aca="false">VLOOKUP(C2887,Products!$A$5:$D$24,2,FALSE())</f>
        <v>Ergonomic Footrest</v>
      </c>
      <c r="H2887" s="39" t="str">
        <f aca="false">VLOOKUP(C2887,Products!$A$5:$D$24,3,FALSE())</f>
        <v>Furniture</v>
      </c>
      <c r="I2887" s="41" t="n">
        <f aca="false">VLOOKUP(C2887,Products!$A$5:$D$24,4,FALSE())</f>
        <v>15</v>
      </c>
      <c r="J2887" s="42" t="n">
        <f aca="false">DATE(YEAR(B2887),MONTH(B2887),1)</f>
        <v>45992</v>
      </c>
      <c r="K2887" s="41" t="n">
        <f aca="false">D2887*E2887</f>
        <v>143.96</v>
      </c>
      <c r="L2887" s="41" t="n">
        <f aca="false">D2887*I2887</f>
        <v>60</v>
      </c>
      <c r="M2887" s="41" t="n">
        <f aca="false">IFERROR(INDEX(Raw_Expenses!$C$5:$C$2979,MATCH(A2887,Raw_Expenses!$A$5:$A$2979,0)),0)</f>
        <v>7.06</v>
      </c>
      <c r="N2887" s="41" t="n">
        <f aca="false">L2887+M2887</f>
        <v>67.06</v>
      </c>
      <c r="O2887" s="41" t="n">
        <f aca="false">K2887-N2887</f>
        <v>76.9</v>
      </c>
      <c r="P2887" s="43" t="n">
        <f aca="false">IF(K2887=0,0,O2887/K2887)</f>
        <v>0.534176160044457</v>
      </c>
    </row>
    <row r="2888" customFormat="false" ht="15" hidden="false" customHeight="false" outlineLevel="0" collapsed="false">
      <c r="A2888" s="39" t="s">
        <v>3010</v>
      </c>
      <c r="B2888" s="40" t="n">
        <v>46011</v>
      </c>
      <c r="C2888" s="39" t="s">
        <v>183</v>
      </c>
      <c r="D2888" s="39" t="n">
        <v>1</v>
      </c>
      <c r="E2888" s="41" t="n">
        <v>180.88</v>
      </c>
      <c r="F2888" s="39" t="s">
        <v>108</v>
      </c>
      <c r="G2888" s="39" t="str">
        <f aca="false">VLOOKUP(C2888,Products!$A$5:$D$24,2,FALSE())</f>
        <v>Office Chair</v>
      </c>
      <c r="H2888" s="39" t="str">
        <f aca="false">VLOOKUP(C2888,Products!$A$5:$D$24,3,FALSE())</f>
        <v>Furniture</v>
      </c>
      <c r="I2888" s="41" t="n">
        <f aca="false">VLOOKUP(C2888,Products!$A$5:$D$24,4,FALSE())</f>
        <v>85</v>
      </c>
      <c r="J2888" s="42" t="n">
        <f aca="false">DATE(YEAR(B2888),MONTH(B2888),1)</f>
        <v>45992</v>
      </c>
      <c r="K2888" s="41" t="n">
        <f aca="false">D2888*E2888</f>
        <v>180.88</v>
      </c>
      <c r="L2888" s="41" t="n">
        <f aca="false">D2888*I2888</f>
        <v>85</v>
      </c>
      <c r="M2888" s="41" t="n">
        <f aca="false">IFERROR(INDEX(Raw_Expenses!$C$5:$C$2979,MATCH(A2888,Raw_Expenses!$A$5:$A$2979,0)),0)</f>
        <v>15.24</v>
      </c>
      <c r="N2888" s="41" t="n">
        <f aca="false">L2888+M2888</f>
        <v>100.24</v>
      </c>
      <c r="O2888" s="41" t="n">
        <f aca="false">K2888-N2888</f>
        <v>80.64</v>
      </c>
      <c r="P2888" s="43" t="n">
        <f aca="false">IF(K2888=0,0,O2888/K2888)</f>
        <v>0.445820433436533</v>
      </c>
    </row>
    <row r="2889" customFormat="false" ht="15" hidden="false" customHeight="false" outlineLevel="0" collapsed="false">
      <c r="A2889" s="39" t="s">
        <v>3011</v>
      </c>
      <c r="B2889" s="40" t="n">
        <v>46011</v>
      </c>
      <c r="C2889" s="39" t="s">
        <v>128</v>
      </c>
      <c r="D2889" s="39" t="n">
        <v>4</v>
      </c>
      <c r="E2889" s="41" t="n">
        <v>38.2</v>
      </c>
      <c r="F2889" s="39" t="s">
        <v>115</v>
      </c>
      <c r="G2889" s="39" t="str">
        <f aca="false">VLOOKUP(C2889,Products!$A$5:$D$24,2,FALSE())</f>
        <v>Ergonomic Footrest</v>
      </c>
      <c r="H2889" s="39" t="str">
        <f aca="false">VLOOKUP(C2889,Products!$A$5:$D$24,3,FALSE())</f>
        <v>Furniture</v>
      </c>
      <c r="I2889" s="41" t="n">
        <f aca="false">VLOOKUP(C2889,Products!$A$5:$D$24,4,FALSE())</f>
        <v>15</v>
      </c>
      <c r="J2889" s="42" t="n">
        <f aca="false">DATE(YEAR(B2889),MONTH(B2889),1)</f>
        <v>45992</v>
      </c>
      <c r="K2889" s="41" t="n">
        <f aca="false">D2889*E2889</f>
        <v>152.8</v>
      </c>
      <c r="L2889" s="41" t="n">
        <f aca="false">D2889*I2889</f>
        <v>60</v>
      </c>
      <c r="M2889" s="41" t="n">
        <f aca="false">IFERROR(INDEX(Raw_Expenses!$C$5:$C$2979,MATCH(A2889,Raw_Expenses!$A$5:$A$2979,0)),0)</f>
        <v>9.29</v>
      </c>
      <c r="N2889" s="41" t="n">
        <f aca="false">L2889+M2889</f>
        <v>69.29</v>
      </c>
      <c r="O2889" s="41" t="n">
        <f aca="false">K2889-N2889</f>
        <v>83.51</v>
      </c>
      <c r="P2889" s="43" t="n">
        <f aca="false">IF(K2889=0,0,O2889/K2889)</f>
        <v>0.546531413612566</v>
      </c>
    </row>
    <row r="2890" customFormat="false" ht="15" hidden="false" customHeight="false" outlineLevel="0" collapsed="false">
      <c r="A2890" s="39" t="s">
        <v>3012</v>
      </c>
      <c r="B2890" s="40" t="n">
        <v>46011</v>
      </c>
      <c r="C2890" s="39" t="s">
        <v>126</v>
      </c>
      <c r="D2890" s="39" t="n">
        <v>3</v>
      </c>
      <c r="E2890" s="41" t="n">
        <v>23.96</v>
      </c>
      <c r="F2890" s="39" t="s">
        <v>105</v>
      </c>
      <c r="G2890" s="39" t="str">
        <f aca="false">VLOOKUP(C2890,Products!$A$5:$D$24,2,FALSE())</f>
        <v>Wireless Mouse</v>
      </c>
      <c r="H2890" s="39" t="str">
        <f aca="false">VLOOKUP(C2890,Products!$A$5:$D$24,3,FALSE())</f>
        <v>Electronics</v>
      </c>
      <c r="I2890" s="41" t="n">
        <f aca="false">VLOOKUP(C2890,Products!$A$5:$D$24,4,FALSE())</f>
        <v>12</v>
      </c>
      <c r="J2890" s="42" t="n">
        <f aca="false">DATE(YEAR(B2890),MONTH(B2890),1)</f>
        <v>45992</v>
      </c>
      <c r="K2890" s="41" t="n">
        <f aca="false">D2890*E2890</f>
        <v>71.88</v>
      </c>
      <c r="L2890" s="41" t="n">
        <f aca="false">D2890*I2890</f>
        <v>36</v>
      </c>
      <c r="M2890" s="41" t="n">
        <f aca="false">IFERROR(INDEX(Raw_Expenses!$C$5:$C$2979,MATCH(A2890,Raw_Expenses!$A$5:$A$2979,0)),0)</f>
        <v>6.03</v>
      </c>
      <c r="N2890" s="41" t="n">
        <f aca="false">L2890+M2890</f>
        <v>42.03</v>
      </c>
      <c r="O2890" s="41" t="n">
        <f aca="false">K2890-N2890</f>
        <v>29.85</v>
      </c>
      <c r="P2890" s="43" t="n">
        <f aca="false">IF(K2890=0,0,O2890/K2890)</f>
        <v>0.415275459098497</v>
      </c>
    </row>
    <row r="2891" customFormat="false" ht="15" hidden="false" customHeight="false" outlineLevel="0" collapsed="false">
      <c r="A2891" s="39" t="s">
        <v>3013</v>
      </c>
      <c r="B2891" s="40" t="n">
        <v>46011</v>
      </c>
      <c r="C2891" s="39" t="s">
        <v>162</v>
      </c>
      <c r="D2891" s="39" t="n">
        <v>3</v>
      </c>
      <c r="E2891" s="41" t="n">
        <v>68.64</v>
      </c>
      <c r="F2891" s="39" t="s">
        <v>108</v>
      </c>
      <c r="G2891" s="39" t="str">
        <f aca="false">VLOOKUP(C2891,Products!$A$5:$D$24,2,FALSE())</f>
        <v>Bluetooth Speaker</v>
      </c>
      <c r="H2891" s="39" t="str">
        <f aca="false">VLOOKUP(C2891,Products!$A$5:$D$24,3,FALSE())</f>
        <v>Electronics</v>
      </c>
      <c r="I2891" s="41" t="n">
        <f aca="false">VLOOKUP(C2891,Products!$A$5:$D$24,4,FALSE())</f>
        <v>28</v>
      </c>
      <c r="J2891" s="42" t="n">
        <f aca="false">DATE(YEAR(B2891),MONTH(B2891),1)</f>
        <v>45992</v>
      </c>
      <c r="K2891" s="41" t="n">
        <f aca="false">D2891*E2891</f>
        <v>205.92</v>
      </c>
      <c r="L2891" s="41" t="n">
        <f aca="false">D2891*I2891</f>
        <v>84</v>
      </c>
      <c r="M2891" s="41" t="n">
        <f aca="false">IFERROR(INDEX(Raw_Expenses!$C$5:$C$2979,MATCH(A2891,Raw_Expenses!$A$5:$A$2979,0)),0)</f>
        <v>17.49</v>
      </c>
      <c r="N2891" s="41" t="n">
        <f aca="false">L2891+M2891</f>
        <v>101.49</v>
      </c>
      <c r="O2891" s="41" t="n">
        <f aca="false">K2891-N2891</f>
        <v>104.43</v>
      </c>
      <c r="P2891" s="43" t="n">
        <f aca="false">IF(K2891=0,0,O2891/K2891)</f>
        <v>0.507138694638695</v>
      </c>
    </row>
    <row r="2892" customFormat="false" ht="15" hidden="false" customHeight="false" outlineLevel="0" collapsed="false">
      <c r="A2892" s="39" t="s">
        <v>3014</v>
      </c>
      <c r="B2892" s="40" t="n">
        <v>46011</v>
      </c>
      <c r="C2892" s="39" t="s">
        <v>133</v>
      </c>
      <c r="D2892" s="39" t="n">
        <v>2</v>
      </c>
      <c r="E2892" s="41" t="n">
        <v>8.33</v>
      </c>
      <c r="F2892" s="39" t="s">
        <v>105</v>
      </c>
      <c r="G2892" s="39" t="str">
        <f aca="false">VLOOKUP(C2892,Products!$A$5:$D$24,2,FALSE())</f>
        <v>Printer Paper Ream</v>
      </c>
      <c r="H2892" s="39" t="str">
        <f aca="false">VLOOKUP(C2892,Products!$A$5:$D$24,3,FALSE())</f>
        <v>Stationery</v>
      </c>
      <c r="I2892" s="41" t="n">
        <f aca="false">VLOOKUP(C2892,Products!$A$5:$D$24,4,FALSE())</f>
        <v>4</v>
      </c>
      <c r="J2892" s="42" t="n">
        <f aca="false">DATE(YEAR(B2892),MONTH(B2892),1)</f>
        <v>45992</v>
      </c>
      <c r="K2892" s="41" t="n">
        <f aca="false">D2892*E2892</f>
        <v>16.66</v>
      </c>
      <c r="L2892" s="41" t="n">
        <f aca="false">D2892*I2892</f>
        <v>8</v>
      </c>
      <c r="M2892" s="41" t="n">
        <f aca="false">IFERROR(INDEX(Raw_Expenses!$C$5:$C$2979,MATCH(A2892,Raw_Expenses!$A$5:$A$2979,0)),0)</f>
        <v>1.21</v>
      </c>
      <c r="N2892" s="41" t="n">
        <f aca="false">L2892+M2892</f>
        <v>9.21</v>
      </c>
      <c r="O2892" s="41" t="n">
        <f aca="false">K2892-N2892</f>
        <v>7.45</v>
      </c>
      <c r="P2892" s="43" t="n">
        <f aca="false">IF(K2892=0,0,O2892/K2892)</f>
        <v>0.447178871548619</v>
      </c>
    </row>
    <row r="2893" customFormat="false" ht="15" hidden="false" customHeight="false" outlineLevel="0" collapsed="false">
      <c r="A2893" s="39" t="s">
        <v>3015</v>
      </c>
      <c r="B2893" s="40" t="n">
        <v>46012</v>
      </c>
      <c r="C2893" s="39" t="s">
        <v>107</v>
      </c>
      <c r="D2893" s="39" t="n">
        <v>2</v>
      </c>
      <c r="E2893" s="41" t="n">
        <v>32.46</v>
      </c>
      <c r="F2893" s="39" t="s">
        <v>118</v>
      </c>
      <c r="G2893" s="39" t="str">
        <f aca="false">VLOOKUP(C2893,Products!$A$5:$D$24,2,FALSE())</f>
        <v>USB-C Hub</v>
      </c>
      <c r="H2893" s="39" t="str">
        <f aca="false">VLOOKUP(C2893,Products!$A$5:$D$24,3,FALSE())</f>
        <v>Electronics</v>
      </c>
      <c r="I2893" s="41" t="n">
        <f aca="false">VLOOKUP(C2893,Products!$A$5:$D$24,4,FALSE())</f>
        <v>14</v>
      </c>
      <c r="J2893" s="42" t="n">
        <f aca="false">DATE(YEAR(B2893),MONTH(B2893),1)</f>
        <v>45992</v>
      </c>
      <c r="K2893" s="41" t="n">
        <f aca="false">D2893*E2893</f>
        <v>64.92</v>
      </c>
      <c r="L2893" s="41" t="n">
        <f aca="false">D2893*I2893</f>
        <v>28</v>
      </c>
      <c r="M2893" s="41" t="n">
        <f aca="false">IFERROR(INDEX(Raw_Expenses!$C$5:$C$2979,MATCH(A2893,Raw_Expenses!$A$5:$A$2979,0)),0)</f>
        <v>4.52</v>
      </c>
      <c r="N2893" s="41" t="n">
        <f aca="false">L2893+M2893</f>
        <v>32.52</v>
      </c>
      <c r="O2893" s="41" t="n">
        <f aca="false">K2893-N2893</f>
        <v>32.4</v>
      </c>
      <c r="P2893" s="43" t="n">
        <f aca="false">IF(K2893=0,0,O2893/K2893)</f>
        <v>0.499075785582255</v>
      </c>
    </row>
    <row r="2894" customFormat="false" ht="15" hidden="false" customHeight="false" outlineLevel="0" collapsed="false">
      <c r="A2894" s="39" t="s">
        <v>3016</v>
      </c>
      <c r="B2894" s="40" t="n">
        <v>46012</v>
      </c>
      <c r="C2894" s="39" t="s">
        <v>110</v>
      </c>
      <c r="D2894" s="39" t="n">
        <v>1</v>
      </c>
      <c r="E2894" s="41" t="n">
        <v>13.14</v>
      </c>
      <c r="F2894" s="39" t="s">
        <v>118</v>
      </c>
      <c r="G2894" s="39" t="str">
        <f aca="false">VLOOKUP(C2894,Products!$A$5:$D$24,2,FALSE())</f>
        <v>Phone Stand</v>
      </c>
      <c r="H2894" s="39" t="str">
        <f aca="false">VLOOKUP(C2894,Products!$A$5:$D$24,3,FALSE())</f>
        <v>Accessories</v>
      </c>
      <c r="I2894" s="41" t="n">
        <f aca="false">VLOOKUP(C2894,Products!$A$5:$D$24,4,FALSE())</f>
        <v>4</v>
      </c>
      <c r="J2894" s="42" t="n">
        <f aca="false">DATE(YEAR(B2894),MONTH(B2894),1)</f>
        <v>45992</v>
      </c>
      <c r="K2894" s="41" t="n">
        <f aca="false">D2894*E2894</f>
        <v>13.14</v>
      </c>
      <c r="L2894" s="41" t="n">
        <f aca="false">D2894*I2894</f>
        <v>4</v>
      </c>
      <c r="M2894" s="41" t="n">
        <f aca="false">IFERROR(INDEX(Raw_Expenses!$C$5:$C$2979,MATCH(A2894,Raw_Expenses!$A$5:$A$2979,0)),0)</f>
        <v>0.57</v>
      </c>
      <c r="N2894" s="41" t="n">
        <f aca="false">L2894+M2894</f>
        <v>4.57</v>
      </c>
      <c r="O2894" s="41" t="n">
        <f aca="false">K2894-N2894</f>
        <v>8.57</v>
      </c>
      <c r="P2894" s="43" t="n">
        <f aca="false">IF(K2894=0,0,O2894/K2894)</f>
        <v>0.65220700152207</v>
      </c>
    </row>
    <row r="2895" customFormat="false" ht="15" hidden="false" customHeight="false" outlineLevel="0" collapsed="false">
      <c r="A2895" s="39" t="s">
        <v>3017</v>
      </c>
      <c r="B2895" s="40" t="n">
        <v>46012</v>
      </c>
      <c r="C2895" s="39" t="s">
        <v>130</v>
      </c>
      <c r="D2895" s="39" t="n">
        <v>3</v>
      </c>
      <c r="E2895" s="41" t="n">
        <v>8.91</v>
      </c>
      <c r="F2895" s="39" t="s">
        <v>108</v>
      </c>
      <c r="G2895" s="39" t="str">
        <f aca="false">VLOOKUP(C2895,Products!$A$5:$D$24,2,FALSE())</f>
        <v>Notebook Set</v>
      </c>
      <c r="H2895" s="39" t="str">
        <f aca="false">VLOOKUP(C2895,Products!$A$5:$D$24,3,FALSE())</f>
        <v>Stationery</v>
      </c>
      <c r="I2895" s="41" t="n">
        <f aca="false">VLOOKUP(C2895,Products!$A$5:$D$24,4,FALSE())</f>
        <v>3</v>
      </c>
      <c r="J2895" s="42" t="n">
        <f aca="false">DATE(YEAR(B2895),MONTH(B2895),1)</f>
        <v>45992</v>
      </c>
      <c r="K2895" s="41" t="n">
        <f aca="false">D2895*E2895</f>
        <v>26.73</v>
      </c>
      <c r="L2895" s="41" t="n">
        <f aca="false">D2895*I2895</f>
        <v>9</v>
      </c>
      <c r="M2895" s="41" t="n">
        <f aca="false">IFERROR(INDEX(Raw_Expenses!$C$5:$C$2979,MATCH(A2895,Raw_Expenses!$A$5:$A$2979,0)),0)</f>
        <v>2.23</v>
      </c>
      <c r="N2895" s="41" t="n">
        <f aca="false">L2895+M2895</f>
        <v>11.23</v>
      </c>
      <c r="O2895" s="41" t="n">
        <f aca="false">K2895-N2895</f>
        <v>15.5</v>
      </c>
      <c r="P2895" s="43" t="n">
        <f aca="false">IF(K2895=0,0,O2895/K2895)</f>
        <v>0.579872802095024</v>
      </c>
    </row>
    <row r="2896" customFormat="false" ht="15" hidden="false" customHeight="false" outlineLevel="0" collapsed="false">
      <c r="A2896" s="39" t="s">
        <v>3018</v>
      </c>
      <c r="B2896" s="40" t="n">
        <v>46012</v>
      </c>
      <c r="C2896" s="39" t="s">
        <v>130</v>
      </c>
      <c r="D2896" s="39" t="n">
        <v>1</v>
      </c>
      <c r="E2896" s="41" t="n">
        <v>8.83</v>
      </c>
      <c r="F2896" s="39" t="s">
        <v>108</v>
      </c>
      <c r="G2896" s="39" t="str">
        <f aca="false">VLOOKUP(C2896,Products!$A$5:$D$24,2,FALSE())</f>
        <v>Notebook Set</v>
      </c>
      <c r="H2896" s="39" t="str">
        <f aca="false">VLOOKUP(C2896,Products!$A$5:$D$24,3,FALSE())</f>
        <v>Stationery</v>
      </c>
      <c r="I2896" s="41" t="n">
        <f aca="false">VLOOKUP(C2896,Products!$A$5:$D$24,4,FALSE())</f>
        <v>3</v>
      </c>
      <c r="J2896" s="42" t="n">
        <f aca="false">DATE(YEAR(B2896),MONTH(B2896),1)</f>
        <v>45992</v>
      </c>
      <c r="K2896" s="41" t="n">
        <f aca="false">D2896*E2896</f>
        <v>8.83</v>
      </c>
      <c r="L2896" s="41" t="n">
        <f aca="false">D2896*I2896</f>
        <v>3</v>
      </c>
      <c r="M2896" s="41" t="n">
        <f aca="false">IFERROR(INDEX(Raw_Expenses!$C$5:$C$2979,MATCH(A2896,Raw_Expenses!$A$5:$A$2979,0)),0)</f>
        <v>0.39</v>
      </c>
      <c r="N2896" s="41" t="n">
        <f aca="false">L2896+M2896</f>
        <v>3.39</v>
      </c>
      <c r="O2896" s="41" t="n">
        <f aca="false">K2896-N2896</f>
        <v>5.44</v>
      </c>
      <c r="P2896" s="43" t="n">
        <f aca="false">IF(K2896=0,0,O2896/K2896)</f>
        <v>0.61608154020385</v>
      </c>
    </row>
    <row r="2897" customFormat="false" ht="15" hidden="false" customHeight="false" outlineLevel="0" collapsed="false">
      <c r="A2897" s="39" t="s">
        <v>3019</v>
      </c>
      <c r="B2897" s="40" t="n">
        <v>46012</v>
      </c>
      <c r="C2897" s="39" t="s">
        <v>121</v>
      </c>
      <c r="D2897" s="39" t="n">
        <v>1</v>
      </c>
      <c r="E2897" s="41" t="n">
        <v>114.97</v>
      </c>
      <c r="F2897" s="39" t="s">
        <v>118</v>
      </c>
      <c r="G2897" s="39" t="str">
        <f aca="false">VLOOKUP(C2897,Products!$A$5:$D$24,2,FALSE())</f>
        <v>External SSD 1TB</v>
      </c>
      <c r="H2897" s="39" t="str">
        <f aca="false">VLOOKUP(C2897,Products!$A$5:$D$24,3,FALSE())</f>
        <v>Electronics</v>
      </c>
      <c r="I2897" s="41" t="n">
        <f aca="false">VLOOKUP(C2897,Products!$A$5:$D$24,4,FALSE())</f>
        <v>62</v>
      </c>
      <c r="J2897" s="42" t="n">
        <f aca="false">DATE(YEAR(B2897),MONTH(B2897),1)</f>
        <v>45992</v>
      </c>
      <c r="K2897" s="41" t="n">
        <f aca="false">D2897*E2897</f>
        <v>114.97</v>
      </c>
      <c r="L2897" s="41" t="n">
        <f aca="false">D2897*I2897</f>
        <v>62</v>
      </c>
      <c r="M2897" s="41" t="n">
        <f aca="false">IFERROR(INDEX(Raw_Expenses!$C$5:$C$2979,MATCH(A2897,Raw_Expenses!$A$5:$A$2979,0)),0)</f>
        <v>10.09</v>
      </c>
      <c r="N2897" s="41" t="n">
        <f aca="false">L2897+M2897</f>
        <v>72.09</v>
      </c>
      <c r="O2897" s="41" t="n">
        <f aca="false">K2897-N2897</f>
        <v>42.88</v>
      </c>
      <c r="P2897" s="43" t="n">
        <f aca="false">IF(K2897=0,0,O2897/K2897)</f>
        <v>0.37296686092024</v>
      </c>
    </row>
    <row r="2898" customFormat="false" ht="15" hidden="false" customHeight="false" outlineLevel="0" collapsed="false">
      <c r="A2898" s="39" t="s">
        <v>3020</v>
      </c>
      <c r="B2898" s="40" t="n">
        <v>46012</v>
      </c>
      <c r="C2898" s="39" t="s">
        <v>114</v>
      </c>
      <c r="D2898" s="39" t="n">
        <v>1</v>
      </c>
      <c r="E2898" s="41" t="n">
        <v>5.97</v>
      </c>
      <c r="F2898" s="39" t="s">
        <v>115</v>
      </c>
      <c r="G2898" s="39" t="str">
        <f aca="false">VLOOKUP(C2898,Products!$A$5:$D$24,2,FALSE())</f>
        <v>Gel Pen Pack</v>
      </c>
      <c r="H2898" s="39" t="str">
        <f aca="false">VLOOKUP(C2898,Products!$A$5:$D$24,3,FALSE())</f>
        <v>Stationery</v>
      </c>
      <c r="I2898" s="41" t="n">
        <f aca="false">VLOOKUP(C2898,Products!$A$5:$D$24,4,FALSE())</f>
        <v>2</v>
      </c>
      <c r="J2898" s="42" t="n">
        <f aca="false">DATE(YEAR(B2898),MONTH(B2898),1)</f>
        <v>45992</v>
      </c>
      <c r="K2898" s="41" t="n">
        <f aca="false">D2898*E2898</f>
        <v>5.97</v>
      </c>
      <c r="L2898" s="41" t="n">
        <f aca="false">D2898*I2898</f>
        <v>2</v>
      </c>
      <c r="M2898" s="41" t="n">
        <f aca="false">IFERROR(INDEX(Raw_Expenses!$C$5:$C$2979,MATCH(A2898,Raw_Expenses!$A$5:$A$2979,0)),0)</f>
        <v>0.29</v>
      </c>
      <c r="N2898" s="41" t="n">
        <f aca="false">L2898+M2898</f>
        <v>2.29</v>
      </c>
      <c r="O2898" s="41" t="n">
        <f aca="false">K2898-N2898</f>
        <v>3.68</v>
      </c>
      <c r="P2898" s="43" t="n">
        <f aca="false">IF(K2898=0,0,O2898/K2898)</f>
        <v>0.61641541038526</v>
      </c>
    </row>
    <row r="2899" customFormat="false" ht="15" hidden="false" customHeight="false" outlineLevel="0" collapsed="false">
      <c r="A2899" s="39" t="s">
        <v>3021</v>
      </c>
      <c r="B2899" s="40" t="n">
        <v>46012</v>
      </c>
      <c r="C2899" s="39" t="s">
        <v>104</v>
      </c>
      <c r="D2899" s="39" t="n">
        <v>4</v>
      </c>
      <c r="E2899" s="41" t="n">
        <v>15.78</v>
      </c>
      <c r="F2899" s="39" t="s">
        <v>118</v>
      </c>
      <c r="G2899" s="39" t="str">
        <f aca="false">VLOOKUP(C2899,Products!$A$5:$D$24,2,FALSE())</f>
        <v>Water Bottle</v>
      </c>
      <c r="H2899" s="39" t="str">
        <f aca="false">VLOOKUP(C2899,Products!$A$5:$D$24,3,FALSE())</f>
        <v>Accessories</v>
      </c>
      <c r="I2899" s="41" t="n">
        <f aca="false">VLOOKUP(C2899,Products!$A$5:$D$24,4,FALSE())</f>
        <v>5</v>
      </c>
      <c r="J2899" s="42" t="n">
        <f aca="false">DATE(YEAR(B2899),MONTH(B2899),1)</f>
        <v>45992</v>
      </c>
      <c r="K2899" s="41" t="n">
        <f aca="false">D2899*E2899</f>
        <v>63.12</v>
      </c>
      <c r="L2899" s="41" t="n">
        <f aca="false">D2899*I2899</f>
        <v>20</v>
      </c>
      <c r="M2899" s="41" t="n">
        <f aca="false">IFERROR(INDEX(Raw_Expenses!$C$5:$C$2979,MATCH(A2899,Raw_Expenses!$A$5:$A$2979,0)),0)</f>
        <v>3.51</v>
      </c>
      <c r="N2899" s="41" t="n">
        <f aca="false">L2899+M2899</f>
        <v>23.51</v>
      </c>
      <c r="O2899" s="41" t="n">
        <f aca="false">K2899-N2899</f>
        <v>39.61</v>
      </c>
      <c r="P2899" s="43" t="n">
        <f aca="false">IF(K2899=0,0,O2899/K2899)</f>
        <v>0.627534854245881</v>
      </c>
    </row>
    <row r="2900" customFormat="false" ht="15" hidden="false" customHeight="false" outlineLevel="0" collapsed="false">
      <c r="A2900" s="39" t="s">
        <v>3022</v>
      </c>
      <c r="B2900" s="40" t="n">
        <v>46012</v>
      </c>
      <c r="C2900" s="39" t="s">
        <v>133</v>
      </c>
      <c r="D2900" s="39" t="n">
        <v>4</v>
      </c>
      <c r="E2900" s="41" t="n">
        <v>8.79</v>
      </c>
      <c r="F2900" s="39" t="s">
        <v>118</v>
      </c>
      <c r="G2900" s="39" t="str">
        <f aca="false">VLOOKUP(C2900,Products!$A$5:$D$24,2,FALSE())</f>
        <v>Printer Paper Ream</v>
      </c>
      <c r="H2900" s="39" t="str">
        <f aca="false">VLOOKUP(C2900,Products!$A$5:$D$24,3,FALSE())</f>
        <v>Stationery</v>
      </c>
      <c r="I2900" s="41" t="n">
        <f aca="false">VLOOKUP(C2900,Products!$A$5:$D$24,4,FALSE())</f>
        <v>4</v>
      </c>
      <c r="J2900" s="42" t="n">
        <f aca="false">DATE(YEAR(B2900),MONTH(B2900),1)</f>
        <v>45992</v>
      </c>
      <c r="K2900" s="41" t="n">
        <f aca="false">D2900*E2900</f>
        <v>35.16</v>
      </c>
      <c r="L2900" s="41" t="n">
        <f aca="false">D2900*I2900</f>
        <v>16</v>
      </c>
      <c r="M2900" s="41" t="n">
        <f aca="false">IFERROR(INDEX(Raw_Expenses!$C$5:$C$2979,MATCH(A2900,Raw_Expenses!$A$5:$A$2979,0)),0)</f>
        <v>1.64</v>
      </c>
      <c r="N2900" s="41" t="n">
        <f aca="false">L2900+M2900</f>
        <v>17.64</v>
      </c>
      <c r="O2900" s="41" t="n">
        <f aca="false">K2900-N2900</f>
        <v>17.52</v>
      </c>
      <c r="P2900" s="43" t="n">
        <f aca="false">IF(K2900=0,0,O2900/K2900)</f>
        <v>0.498293515358362</v>
      </c>
    </row>
    <row r="2901" customFormat="false" ht="15" hidden="false" customHeight="false" outlineLevel="0" collapsed="false">
      <c r="A2901" s="39" t="s">
        <v>3023</v>
      </c>
      <c r="B2901" s="40" t="n">
        <v>46012</v>
      </c>
      <c r="C2901" s="39" t="s">
        <v>107</v>
      </c>
      <c r="D2901" s="39" t="n">
        <v>1</v>
      </c>
      <c r="E2901" s="41" t="n">
        <v>32.89</v>
      </c>
      <c r="F2901" s="39" t="s">
        <v>108</v>
      </c>
      <c r="G2901" s="39" t="str">
        <f aca="false">VLOOKUP(C2901,Products!$A$5:$D$24,2,FALSE())</f>
        <v>USB-C Hub</v>
      </c>
      <c r="H2901" s="39" t="str">
        <f aca="false">VLOOKUP(C2901,Products!$A$5:$D$24,3,FALSE())</f>
        <v>Electronics</v>
      </c>
      <c r="I2901" s="41" t="n">
        <f aca="false">VLOOKUP(C2901,Products!$A$5:$D$24,4,FALSE())</f>
        <v>14</v>
      </c>
      <c r="J2901" s="42" t="n">
        <f aca="false">DATE(YEAR(B2901),MONTH(B2901),1)</f>
        <v>45992</v>
      </c>
      <c r="K2901" s="41" t="n">
        <f aca="false">D2901*E2901</f>
        <v>32.89</v>
      </c>
      <c r="L2901" s="41" t="n">
        <f aca="false">D2901*I2901</f>
        <v>14</v>
      </c>
      <c r="M2901" s="41" t="n">
        <f aca="false">IFERROR(INDEX(Raw_Expenses!$C$5:$C$2979,MATCH(A2901,Raw_Expenses!$A$5:$A$2979,0)),0)</f>
        <v>1.79</v>
      </c>
      <c r="N2901" s="41" t="n">
        <f aca="false">L2901+M2901</f>
        <v>15.79</v>
      </c>
      <c r="O2901" s="41" t="n">
        <f aca="false">K2901-N2901</f>
        <v>17.1</v>
      </c>
      <c r="P2901" s="43" t="n">
        <f aca="false">IF(K2901=0,0,O2901/K2901)</f>
        <v>0.519914867740955</v>
      </c>
    </row>
    <row r="2902" customFormat="false" ht="15" hidden="false" customHeight="false" outlineLevel="0" collapsed="false">
      <c r="A2902" s="39" t="s">
        <v>3024</v>
      </c>
      <c r="B2902" s="40" t="n">
        <v>46012</v>
      </c>
      <c r="C2902" s="39" t="s">
        <v>133</v>
      </c>
      <c r="D2902" s="39" t="n">
        <v>2</v>
      </c>
      <c r="E2902" s="41" t="n">
        <v>8.44</v>
      </c>
      <c r="F2902" s="39" t="s">
        <v>108</v>
      </c>
      <c r="G2902" s="39" t="str">
        <f aca="false">VLOOKUP(C2902,Products!$A$5:$D$24,2,FALSE())</f>
        <v>Printer Paper Ream</v>
      </c>
      <c r="H2902" s="39" t="str">
        <f aca="false">VLOOKUP(C2902,Products!$A$5:$D$24,3,FALSE())</f>
        <v>Stationery</v>
      </c>
      <c r="I2902" s="41" t="n">
        <f aca="false">VLOOKUP(C2902,Products!$A$5:$D$24,4,FALSE())</f>
        <v>4</v>
      </c>
      <c r="J2902" s="42" t="n">
        <f aca="false">DATE(YEAR(B2902),MONTH(B2902),1)</f>
        <v>45992</v>
      </c>
      <c r="K2902" s="41" t="n">
        <f aca="false">D2902*E2902</f>
        <v>16.88</v>
      </c>
      <c r="L2902" s="41" t="n">
        <f aca="false">D2902*I2902</f>
        <v>8</v>
      </c>
      <c r="M2902" s="41" t="n">
        <f aca="false">IFERROR(INDEX(Raw_Expenses!$C$5:$C$2979,MATCH(A2902,Raw_Expenses!$A$5:$A$2979,0)),0)</f>
        <v>0.85</v>
      </c>
      <c r="N2902" s="41" t="n">
        <f aca="false">L2902+M2902</f>
        <v>8.85</v>
      </c>
      <c r="O2902" s="41" t="n">
        <f aca="false">K2902-N2902</f>
        <v>8.03</v>
      </c>
      <c r="P2902" s="43" t="n">
        <f aca="false">IF(K2902=0,0,O2902/K2902)</f>
        <v>0.475710900473934</v>
      </c>
    </row>
    <row r="2903" customFormat="false" ht="15" hidden="false" customHeight="false" outlineLevel="0" collapsed="false">
      <c r="A2903" s="39" t="s">
        <v>3025</v>
      </c>
      <c r="B2903" s="40" t="n">
        <v>46012</v>
      </c>
      <c r="C2903" s="39" t="s">
        <v>114</v>
      </c>
      <c r="D2903" s="39" t="n">
        <v>1</v>
      </c>
      <c r="E2903" s="41" t="n">
        <v>5.65</v>
      </c>
      <c r="F2903" s="39" t="s">
        <v>105</v>
      </c>
      <c r="G2903" s="39" t="str">
        <f aca="false">VLOOKUP(C2903,Products!$A$5:$D$24,2,FALSE())</f>
        <v>Gel Pen Pack</v>
      </c>
      <c r="H2903" s="39" t="str">
        <f aca="false">VLOOKUP(C2903,Products!$A$5:$D$24,3,FALSE())</f>
        <v>Stationery</v>
      </c>
      <c r="I2903" s="41" t="n">
        <f aca="false">VLOOKUP(C2903,Products!$A$5:$D$24,4,FALSE())</f>
        <v>2</v>
      </c>
      <c r="J2903" s="42" t="n">
        <f aca="false">DATE(YEAR(B2903),MONTH(B2903),1)</f>
        <v>45992</v>
      </c>
      <c r="K2903" s="41" t="n">
        <f aca="false">D2903*E2903</f>
        <v>5.65</v>
      </c>
      <c r="L2903" s="41" t="n">
        <f aca="false">D2903*I2903</f>
        <v>2</v>
      </c>
      <c r="M2903" s="41" t="n">
        <f aca="false">IFERROR(INDEX(Raw_Expenses!$C$5:$C$2979,MATCH(A2903,Raw_Expenses!$A$5:$A$2979,0)),0)</f>
        <v>0.48</v>
      </c>
      <c r="N2903" s="41" t="n">
        <f aca="false">L2903+M2903</f>
        <v>2.48</v>
      </c>
      <c r="O2903" s="41" t="n">
        <f aca="false">K2903-N2903</f>
        <v>3.17</v>
      </c>
      <c r="P2903" s="43" t="n">
        <f aca="false">IF(K2903=0,0,O2903/K2903)</f>
        <v>0.561061946902655</v>
      </c>
    </row>
    <row r="2904" customFormat="false" ht="15" hidden="false" customHeight="false" outlineLevel="0" collapsed="false">
      <c r="A2904" s="39" t="s">
        <v>3026</v>
      </c>
      <c r="B2904" s="40" t="n">
        <v>46012</v>
      </c>
      <c r="C2904" s="39" t="s">
        <v>130</v>
      </c>
      <c r="D2904" s="39" t="n">
        <v>5</v>
      </c>
      <c r="E2904" s="41" t="n">
        <v>8.91</v>
      </c>
      <c r="F2904" s="39" t="s">
        <v>118</v>
      </c>
      <c r="G2904" s="39" t="str">
        <f aca="false">VLOOKUP(C2904,Products!$A$5:$D$24,2,FALSE())</f>
        <v>Notebook Set</v>
      </c>
      <c r="H2904" s="39" t="str">
        <f aca="false">VLOOKUP(C2904,Products!$A$5:$D$24,3,FALSE())</f>
        <v>Stationery</v>
      </c>
      <c r="I2904" s="41" t="n">
        <f aca="false">VLOOKUP(C2904,Products!$A$5:$D$24,4,FALSE())</f>
        <v>3</v>
      </c>
      <c r="J2904" s="42" t="n">
        <f aca="false">DATE(YEAR(B2904),MONTH(B2904),1)</f>
        <v>45992</v>
      </c>
      <c r="K2904" s="41" t="n">
        <f aca="false">D2904*E2904</f>
        <v>44.55</v>
      </c>
      <c r="L2904" s="41" t="n">
        <f aca="false">D2904*I2904</f>
        <v>15</v>
      </c>
      <c r="M2904" s="41" t="n">
        <f aca="false">IFERROR(INDEX(Raw_Expenses!$C$5:$C$2979,MATCH(A2904,Raw_Expenses!$A$5:$A$2979,0)),0)</f>
        <v>3.91</v>
      </c>
      <c r="N2904" s="41" t="n">
        <f aca="false">L2904+M2904</f>
        <v>18.91</v>
      </c>
      <c r="O2904" s="41" t="n">
        <f aca="false">K2904-N2904</f>
        <v>25.64</v>
      </c>
      <c r="P2904" s="43" t="n">
        <f aca="false">IF(K2904=0,0,O2904/K2904)</f>
        <v>0.575533108866442</v>
      </c>
    </row>
    <row r="2905" customFormat="false" ht="15" hidden="false" customHeight="false" outlineLevel="0" collapsed="false">
      <c r="A2905" s="39" t="s">
        <v>3027</v>
      </c>
      <c r="B2905" s="40" t="n">
        <v>46012</v>
      </c>
      <c r="C2905" s="39" t="s">
        <v>112</v>
      </c>
      <c r="D2905" s="39" t="n">
        <v>4</v>
      </c>
      <c r="E2905" s="41" t="n">
        <v>53.14</v>
      </c>
      <c r="F2905" s="39" t="s">
        <v>118</v>
      </c>
      <c r="G2905" s="39" t="str">
        <f aca="false">VLOOKUP(C2905,Products!$A$5:$D$24,2,FALSE())</f>
        <v>HD Webcam</v>
      </c>
      <c r="H2905" s="39" t="str">
        <f aca="false">VLOOKUP(C2905,Products!$A$5:$D$24,3,FALSE())</f>
        <v>Electronics</v>
      </c>
      <c r="I2905" s="41" t="n">
        <f aca="false">VLOOKUP(C2905,Products!$A$5:$D$24,4,FALSE())</f>
        <v>22</v>
      </c>
      <c r="J2905" s="42" t="n">
        <f aca="false">DATE(YEAR(B2905),MONTH(B2905),1)</f>
        <v>45992</v>
      </c>
      <c r="K2905" s="41" t="n">
        <f aca="false">D2905*E2905</f>
        <v>212.56</v>
      </c>
      <c r="L2905" s="41" t="n">
        <f aca="false">D2905*I2905</f>
        <v>88</v>
      </c>
      <c r="M2905" s="41" t="n">
        <f aca="false">IFERROR(INDEX(Raw_Expenses!$C$5:$C$2979,MATCH(A2905,Raw_Expenses!$A$5:$A$2979,0)),0)</f>
        <v>17.17</v>
      </c>
      <c r="N2905" s="41" t="n">
        <f aca="false">L2905+M2905</f>
        <v>105.17</v>
      </c>
      <c r="O2905" s="41" t="n">
        <f aca="false">K2905-N2905</f>
        <v>107.39</v>
      </c>
      <c r="P2905" s="43" t="n">
        <f aca="false">IF(K2905=0,0,O2905/K2905)</f>
        <v>0.505222054949191</v>
      </c>
    </row>
    <row r="2906" customFormat="false" ht="15" hidden="false" customHeight="false" outlineLevel="0" collapsed="false">
      <c r="A2906" s="39" t="s">
        <v>3028</v>
      </c>
      <c r="B2906" s="40" t="n">
        <v>46012</v>
      </c>
      <c r="C2906" s="39" t="s">
        <v>107</v>
      </c>
      <c r="D2906" s="39" t="n">
        <v>4</v>
      </c>
      <c r="E2906" s="41" t="n">
        <v>33.66</v>
      </c>
      <c r="F2906" s="39" t="s">
        <v>105</v>
      </c>
      <c r="G2906" s="39" t="str">
        <f aca="false">VLOOKUP(C2906,Products!$A$5:$D$24,2,FALSE())</f>
        <v>USB-C Hub</v>
      </c>
      <c r="H2906" s="39" t="str">
        <f aca="false">VLOOKUP(C2906,Products!$A$5:$D$24,3,FALSE())</f>
        <v>Electronics</v>
      </c>
      <c r="I2906" s="41" t="n">
        <f aca="false">VLOOKUP(C2906,Products!$A$5:$D$24,4,FALSE())</f>
        <v>14</v>
      </c>
      <c r="J2906" s="42" t="n">
        <f aca="false">DATE(YEAR(B2906),MONTH(B2906),1)</f>
        <v>45992</v>
      </c>
      <c r="K2906" s="41" t="n">
        <f aca="false">D2906*E2906</f>
        <v>134.64</v>
      </c>
      <c r="L2906" s="41" t="n">
        <f aca="false">D2906*I2906</f>
        <v>56</v>
      </c>
      <c r="M2906" s="41" t="n">
        <f aca="false">IFERROR(INDEX(Raw_Expenses!$C$5:$C$2979,MATCH(A2906,Raw_Expenses!$A$5:$A$2979,0)),0)</f>
        <v>5.52</v>
      </c>
      <c r="N2906" s="41" t="n">
        <f aca="false">L2906+M2906</f>
        <v>61.52</v>
      </c>
      <c r="O2906" s="41" t="n">
        <f aca="false">K2906-N2906</f>
        <v>73.12</v>
      </c>
      <c r="P2906" s="43" t="n">
        <f aca="false">IF(K2906=0,0,O2906/K2906)</f>
        <v>0.543077837195484</v>
      </c>
    </row>
    <row r="2907" customFormat="false" ht="15" hidden="false" customHeight="false" outlineLevel="0" collapsed="false">
      <c r="A2907" s="39" t="s">
        <v>3029</v>
      </c>
      <c r="B2907" s="40" t="n">
        <v>46012</v>
      </c>
      <c r="C2907" s="39" t="s">
        <v>130</v>
      </c>
      <c r="D2907" s="39" t="n">
        <v>1</v>
      </c>
      <c r="E2907" s="41" t="n">
        <v>8.85</v>
      </c>
      <c r="F2907" s="39" t="s">
        <v>108</v>
      </c>
      <c r="G2907" s="39" t="str">
        <f aca="false">VLOOKUP(C2907,Products!$A$5:$D$24,2,FALSE())</f>
        <v>Notebook Set</v>
      </c>
      <c r="H2907" s="39" t="str">
        <f aca="false">VLOOKUP(C2907,Products!$A$5:$D$24,3,FALSE())</f>
        <v>Stationery</v>
      </c>
      <c r="I2907" s="41" t="n">
        <f aca="false">VLOOKUP(C2907,Products!$A$5:$D$24,4,FALSE())</f>
        <v>3</v>
      </c>
      <c r="J2907" s="42" t="n">
        <f aca="false">DATE(YEAR(B2907),MONTH(B2907),1)</f>
        <v>45992</v>
      </c>
      <c r="K2907" s="41" t="n">
        <f aca="false">D2907*E2907</f>
        <v>8.85</v>
      </c>
      <c r="L2907" s="41" t="n">
        <f aca="false">D2907*I2907</f>
        <v>3</v>
      </c>
      <c r="M2907" s="41" t="n">
        <f aca="false">IFERROR(INDEX(Raw_Expenses!$C$5:$C$2979,MATCH(A2907,Raw_Expenses!$A$5:$A$2979,0)),0)</f>
        <v>0.53</v>
      </c>
      <c r="N2907" s="41" t="n">
        <f aca="false">L2907+M2907</f>
        <v>3.53</v>
      </c>
      <c r="O2907" s="41" t="n">
        <f aca="false">K2907-N2907</f>
        <v>5.32</v>
      </c>
      <c r="P2907" s="43" t="n">
        <f aca="false">IF(K2907=0,0,O2907/K2907)</f>
        <v>0.601129943502825</v>
      </c>
    </row>
    <row r="2908" customFormat="false" ht="15" hidden="false" customHeight="false" outlineLevel="0" collapsed="false">
      <c r="A2908" s="39" t="s">
        <v>3030</v>
      </c>
      <c r="B2908" s="40" t="n">
        <v>46012</v>
      </c>
      <c r="C2908" s="39" t="s">
        <v>110</v>
      </c>
      <c r="D2908" s="39" t="n">
        <v>2</v>
      </c>
      <c r="E2908" s="41" t="n">
        <v>13.69</v>
      </c>
      <c r="F2908" s="39" t="s">
        <v>118</v>
      </c>
      <c r="G2908" s="39" t="str">
        <f aca="false">VLOOKUP(C2908,Products!$A$5:$D$24,2,FALSE())</f>
        <v>Phone Stand</v>
      </c>
      <c r="H2908" s="39" t="str">
        <f aca="false">VLOOKUP(C2908,Products!$A$5:$D$24,3,FALSE())</f>
        <v>Accessories</v>
      </c>
      <c r="I2908" s="41" t="n">
        <f aca="false">VLOOKUP(C2908,Products!$A$5:$D$24,4,FALSE())</f>
        <v>4</v>
      </c>
      <c r="J2908" s="42" t="n">
        <f aca="false">DATE(YEAR(B2908),MONTH(B2908),1)</f>
        <v>45992</v>
      </c>
      <c r="K2908" s="41" t="n">
        <f aca="false">D2908*E2908</f>
        <v>27.38</v>
      </c>
      <c r="L2908" s="41" t="n">
        <f aca="false">D2908*I2908</f>
        <v>8</v>
      </c>
      <c r="M2908" s="41" t="n">
        <f aca="false">IFERROR(INDEX(Raw_Expenses!$C$5:$C$2979,MATCH(A2908,Raw_Expenses!$A$5:$A$2979,0)),0)</f>
        <v>1.24</v>
      </c>
      <c r="N2908" s="41" t="n">
        <f aca="false">L2908+M2908</f>
        <v>9.24</v>
      </c>
      <c r="O2908" s="41" t="n">
        <f aca="false">K2908-N2908</f>
        <v>18.14</v>
      </c>
      <c r="P2908" s="43" t="n">
        <f aca="false">IF(K2908=0,0,O2908/K2908)</f>
        <v>0.662527392257122</v>
      </c>
    </row>
    <row r="2909" customFormat="false" ht="15" hidden="false" customHeight="false" outlineLevel="0" collapsed="false">
      <c r="A2909" s="39" t="s">
        <v>3031</v>
      </c>
      <c r="B2909" s="40" t="n">
        <v>46012</v>
      </c>
      <c r="C2909" s="39" t="s">
        <v>117</v>
      </c>
      <c r="D2909" s="39" t="n">
        <v>2</v>
      </c>
      <c r="E2909" s="41" t="n">
        <v>30.36</v>
      </c>
      <c r="F2909" s="39" t="s">
        <v>118</v>
      </c>
      <c r="G2909" s="39" t="str">
        <f aca="false">VLOOKUP(C2909,Products!$A$5:$D$24,2,FALSE())</f>
        <v>Desk Lamp</v>
      </c>
      <c r="H2909" s="39" t="str">
        <f aca="false">VLOOKUP(C2909,Products!$A$5:$D$24,3,FALSE())</f>
        <v>Furniture</v>
      </c>
      <c r="I2909" s="41" t="n">
        <f aca="false">VLOOKUP(C2909,Products!$A$5:$D$24,4,FALSE())</f>
        <v>13</v>
      </c>
      <c r="J2909" s="42" t="n">
        <f aca="false">DATE(YEAR(B2909),MONTH(B2909),1)</f>
        <v>45992</v>
      </c>
      <c r="K2909" s="41" t="n">
        <f aca="false">D2909*E2909</f>
        <v>60.72</v>
      </c>
      <c r="L2909" s="41" t="n">
        <f aca="false">D2909*I2909</f>
        <v>26</v>
      </c>
      <c r="M2909" s="41" t="n">
        <f aca="false">IFERROR(INDEX(Raw_Expenses!$C$5:$C$2979,MATCH(A2909,Raw_Expenses!$A$5:$A$2979,0)),0)</f>
        <v>3.67</v>
      </c>
      <c r="N2909" s="41" t="n">
        <f aca="false">L2909+M2909</f>
        <v>29.67</v>
      </c>
      <c r="O2909" s="41" t="n">
        <f aca="false">K2909-N2909</f>
        <v>31.05</v>
      </c>
      <c r="P2909" s="43" t="n">
        <f aca="false">IF(K2909=0,0,O2909/K2909)</f>
        <v>0.511363636363636</v>
      </c>
    </row>
    <row r="2910" customFormat="false" ht="15" hidden="false" customHeight="false" outlineLevel="0" collapsed="false">
      <c r="A2910" s="39" t="s">
        <v>3032</v>
      </c>
      <c r="B2910" s="40" t="n">
        <v>46012</v>
      </c>
      <c r="C2910" s="39" t="s">
        <v>112</v>
      </c>
      <c r="D2910" s="39" t="n">
        <v>2</v>
      </c>
      <c r="E2910" s="41" t="n">
        <v>54.7</v>
      </c>
      <c r="F2910" s="39" t="s">
        <v>108</v>
      </c>
      <c r="G2910" s="39" t="str">
        <f aca="false">VLOOKUP(C2910,Products!$A$5:$D$24,2,FALSE())</f>
        <v>HD Webcam</v>
      </c>
      <c r="H2910" s="39" t="str">
        <f aca="false">VLOOKUP(C2910,Products!$A$5:$D$24,3,FALSE())</f>
        <v>Electronics</v>
      </c>
      <c r="I2910" s="41" t="n">
        <f aca="false">VLOOKUP(C2910,Products!$A$5:$D$24,4,FALSE())</f>
        <v>22</v>
      </c>
      <c r="J2910" s="42" t="n">
        <f aca="false">DATE(YEAR(B2910),MONTH(B2910),1)</f>
        <v>45992</v>
      </c>
      <c r="K2910" s="41" t="n">
        <f aca="false">D2910*E2910</f>
        <v>109.4</v>
      </c>
      <c r="L2910" s="41" t="n">
        <f aca="false">D2910*I2910</f>
        <v>44</v>
      </c>
      <c r="M2910" s="41" t="n">
        <f aca="false">IFERROR(INDEX(Raw_Expenses!$C$5:$C$2979,MATCH(A2910,Raw_Expenses!$A$5:$A$2979,0)),0)</f>
        <v>4.52</v>
      </c>
      <c r="N2910" s="41" t="n">
        <f aca="false">L2910+M2910</f>
        <v>48.52</v>
      </c>
      <c r="O2910" s="41" t="n">
        <f aca="false">K2910-N2910</f>
        <v>60.88</v>
      </c>
      <c r="P2910" s="43" t="n">
        <f aca="false">IF(K2910=0,0,O2910/K2910)</f>
        <v>0.556489945155393</v>
      </c>
    </row>
    <row r="2911" customFormat="false" ht="15" hidden="false" customHeight="false" outlineLevel="0" collapsed="false">
      <c r="A2911" s="39" t="s">
        <v>3033</v>
      </c>
      <c r="B2911" s="40" t="n">
        <v>46013</v>
      </c>
      <c r="C2911" s="39" t="s">
        <v>114</v>
      </c>
      <c r="D2911" s="39" t="n">
        <v>3</v>
      </c>
      <c r="E2911" s="41" t="n">
        <v>5.61</v>
      </c>
      <c r="F2911" s="39" t="s">
        <v>118</v>
      </c>
      <c r="G2911" s="39" t="str">
        <f aca="false">VLOOKUP(C2911,Products!$A$5:$D$24,2,FALSE())</f>
        <v>Gel Pen Pack</v>
      </c>
      <c r="H2911" s="39" t="str">
        <f aca="false">VLOOKUP(C2911,Products!$A$5:$D$24,3,FALSE())</f>
        <v>Stationery</v>
      </c>
      <c r="I2911" s="41" t="n">
        <f aca="false">VLOOKUP(C2911,Products!$A$5:$D$24,4,FALSE())</f>
        <v>2</v>
      </c>
      <c r="J2911" s="42" t="n">
        <f aca="false">DATE(YEAR(B2911),MONTH(B2911),1)</f>
        <v>45992</v>
      </c>
      <c r="K2911" s="41" t="n">
        <f aca="false">D2911*E2911</f>
        <v>16.83</v>
      </c>
      <c r="L2911" s="41" t="n">
        <f aca="false">D2911*I2911</f>
        <v>6</v>
      </c>
      <c r="M2911" s="41" t="n">
        <f aca="false">IFERROR(INDEX(Raw_Expenses!$C$5:$C$2979,MATCH(A2911,Raw_Expenses!$A$5:$A$2979,0)),0)</f>
        <v>1.44</v>
      </c>
      <c r="N2911" s="41" t="n">
        <f aca="false">L2911+M2911</f>
        <v>7.44</v>
      </c>
      <c r="O2911" s="41" t="n">
        <f aca="false">K2911-N2911</f>
        <v>9.39</v>
      </c>
      <c r="P2911" s="43" t="n">
        <f aca="false">IF(K2911=0,0,O2911/K2911)</f>
        <v>0.557932263814617</v>
      </c>
    </row>
    <row r="2912" customFormat="false" ht="15" hidden="false" customHeight="false" outlineLevel="0" collapsed="false">
      <c r="A2912" s="39" t="s">
        <v>3034</v>
      </c>
      <c r="B2912" s="40" t="n">
        <v>46013</v>
      </c>
      <c r="C2912" s="39" t="s">
        <v>126</v>
      </c>
      <c r="D2912" s="39" t="n">
        <v>2</v>
      </c>
      <c r="E2912" s="41" t="n">
        <v>23.55</v>
      </c>
      <c r="F2912" s="39" t="s">
        <v>118</v>
      </c>
      <c r="G2912" s="39" t="str">
        <f aca="false">VLOOKUP(C2912,Products!$A$5:$D$24,2,FALSE())</f>
        <v>Wireless Mouse</v>
      </c>
      <c r="H2912" s="39" t="str">
        <f aca="false">VLOOKUP(C2912,Products!$A$5:$D$24,3,FALSE())</f>
        <v>Electronics</v>
      </c>
      <c r="I2912" s="41" t="n">
        <f aca="false">VLOOKUP(C2912,Products!$A$5:$D$24,4,FALSE())</f>
        <v>12</v>
      </c>
      <c r="J2912" s="42" t="n">
        <f aca="false">DATE(YEAR(B2912),MONTH(B2912),1)</f>
        <v>45992</v>
      </c>
      <c r="K2912" s="41" t="n">
        <f aca="false">D2912*E2912</f>
        <v>47.1</v>
      </c>
      <c r="L2912" s="41" t="n">
        <f aca="false">D2912*I2912</f>
        <v>24</v>
      </c>
      <c r="M2912" s="41" t="n">
        <f aca="false">IFERROR(INDEX(Raw_Expenses!$C$5:$C$2979,MATCH(A2912,Raw_Expenses!$A$5:$A$2979,0)),0)</f>
        <v>3.04</v>
      </c>
      <c r="N2912" s="41" t="n">
        <f aca="false">L2912+M2912</f>
        <v>27.04</v>
      </c>
      <c r="O2912" s="41" t="n">
        <f aca="false">K2912-N2912</f>
        <v>20.06</v>
      </c>
      <c r="P2912" s="43" t="n">
        <f aca="false">IF(K2912=0,0,O2912/K2912)</f>
        <v>0.425902335456476</v>
      </c>
    </row>
    <row r="2913" customFormat="false" ht="15" hidden="false" customHeight="false" outlineLevel="0" collapsed="false">
      <c r="A2913" s="39" t="s">
        <v>3035</v>
      </c>
      <c r="B2913" s="40" t="n">
        <v>46013</v>
      </c>
      <c r="C2913" s="39" t="s">
        <v>107</v>
      </c>
      <c r="D2913" s="39" t="n">
        <v>3</v>
      </c>
      <c r="E2913" s="41" t="n">
        <v>33</v>
      </c>
      <c r="F2913" s="39" t="s">
        <v>108</v>
      </c>
      <c r="G2913" s="39" t="str">
        <f aca="false">VLOOKUP(C2913,Products!$A$5:$D$24,2,FALSE())</f>
        <v>USB-C Hub</v>
      </c>
      <c r="H2913" s="39" t="str">
        <f aca="false">VLOOKUP(C2913,Products!$A$5:$D$24,3,FALSE())</f>
        <v>Electronics</v>
      </c>
      <c r="I2913" s="41" t="n">
        <f aca="false">VLOOKUP(C2913,Products!$A$5:$D$24,4,FALSE())</f>
        <v>14</v>
      </c>
      <c r="J2913" s="42" t="n">
        <f aca="false">DATE(YEAR(B2913),MONTH(B2913),1)</f>
        <v>45992</v>
      </c>
      <c r="K2913" s="41" t="n">
        <f aca="false">D2913*E2913</f>
        <v>99</v>
      </c>
      <c r="L2913" s="41" t="n">
        <f aca="false">D2913*I2913</f>
        <v>42</v>
      </c>
      <c r="M2913" s="41" t="n">
        <f aca="false">IFERROR(INDEX(Raw_Expenses!$C$5:$C$2979,MATCH(A2913,Raw_Expenses!$A$5:$A$2979,0)),0)</f>
        <v>6.33</v>
      </c>
      <c r="N2913" s="41" t="n">
        <f aca="false">L2913+M2913</f>
        <v>48.33</v>
      </c>
      <c r="O2913" s="41" t="n">
        <f aca="false">K2913-N2913</f>
        <v>50.67</v>
      </c>
      <c r="P2913" s="43" t="n">
        <f aca="false">IF(K2913=0,0,O2913/K2913)</f>
        <v>0.511818181818182</v>
      </c>
    </row>
    <row r="2914" customFormat="false" ht="15" hidden="false" customHeight="false" outlineLevel="0" collapsed="false">
      <c r="A2914" s="39" t="s">
        <v>3036</v>
      </c>
      <c r="B2914" s="40" t="n">
        <v>46013</v>
      </c>
      <c r="C2914" s="39" t="s">
        <v>114</v>
      </c>
      <c r="D2914" s="39" t="n">
        <v>4</v>
      </c>
      <c r="E2914" s="41" t="n">
        <v>5.89</v>
      </c>
      <c r="F2914" s="39" t="s">
        <v>108</v>
      </c>
      <c r="G2914" s="39" t="str">
        <f aca="false">VLOOKUP(C2914,Products!$A$5:$D$24,2,FALSE())</f>
        <v>Gel Pen Pack</v>
      </c>
      <c r="H2914" s="39" t="str">
        <f aca="false">VLOOKUP(C2914,Products!$A$5:$D$24,3,FALSE())</f>
        <v>Stationery</v>
      </c>
      <c r="I2914" s="41" t="n">
        <f aca="false">VLOOKUP(C2914,Products!$A$5:$D$24,4,FALSE())</f>
        <v>2</v>
      </c>
      <c r="J2914" s="42" t="n">
        <f aca="false">DATE(YEAR(B2914),MONTH(B2914),1)</f>
        <v>45992</v>
      </c>
      <c r="K2914" s="41" t="n">
        <f aca="false">D2914*E2914</f>
        <v>23.56</v>
      </c>
      <c r="L2914" s="41" t="n">
        <f aca="false">D2914*I2914</f>
        <v>8</v>
      </c>
      <c r="M2914" s="41" t="n">
        <f aca="false">IFERROR(INDEX(Raw_Expenses!$C$5:$C$2979,MATCH(A2914,Raw_Expenses!$A$5:$A$2979,0)),0)</f>
        <v>1.71</v>
      </c>
      <c r="N2914" s="41" t="n">
        <f aca="false">L2914+M2914</f>
        <v>9.71</v>
      </c>
      <c r="O2914" s="41" t="n">
        <f aca="false">K2914-N2914</f>
        <v>13.85</v>
      </c>
      <c r="P2914" s="43" t="n">
        <f aca="false">IF(K2914=0,0,O2914/K2914)</f>
        <v>0.58786078098472</v>
      </c>
    </row>
    <row r="2915" customFormat="false" ht="15" hidden="false" customHeight="false" outlineLevel="0" collapsed="false">
      <c r="A2915" s="39" t="s">
        <v>3037</v>
      </c>
      <c r="B2915" s="40" t="n">
        <v>46013</v>
      </c>
      <c r="C2915" s="39" t="s">
        <v>133</v>
      </c>
      <c r="D2915" s="39" t="n">
        <v>5</v>
      </c>
      <c r="E2915" s="41" t="n">
        <v>8.53</v>
      </c>
      <c r="F2915" s="39" t="s">
        <v>118</v>
      </c>
      <c r="G2915" s="39" t="str">
        <f aca="false">VLOOKUP(C2915,Products!$A$5:$D$24,2,FALSE())</f>
        <v>Printer Paper Ream</v>
      </c>
      <c r="H2915" s="39" t="str">
        <f aca="false">VLOOKUP(C2915,Products!$A$5:$D$24,3,FALSE())</f>
        <v>Stationery</v>
      </c>
      <c r="I2915" s="41" t="n">
        <f aca="false">VLOOKUP(C2915,Products!$A$5:$D$24,4,FALSE())</f>
        <v>4</v>
      </c>
      <c r="J2915" s="42" t="n">
        <f aca="false">DATE(YEAR(B2915),MONTH(B2915),1)</f>
        <v>45992</v>
      </c>
      <c r="K2915" s="41" t="n">
        <f aca="false">D2915*E2915</f>
        <v>42.65</v>
      </c>
      <c r="L2915" s="41" t="n">
        <f aca="false">D2915*I2915</f>
        <v>20</v>
      </c>
      <c r="M2915" s="41" t="n">
        <f aca="false">IFERROR(INDEX(Raw_Expenses!$C$5:$C$2979,MATCH(A2915,Raw_Expenses!$A$5:$A$2979,0)),0)</f>
        <v>2.19</v>
      </c>
      <c r="N2915" s="41" t="n">
        <f aca="false">L2915+M2915</f>
        <v>22.19</v>
      </c>
      <c r="O2915" s="41" t="n">
        <f aca="false">K2915-N2915</f>
        <v>20.46</v>
      </c>
      <c r="P2915" s="43" t="n">
        <f aca="false">IF(K2915=0,0,O2915/K2915)</f>
        <v>0.479718640093787</v>
      </c>
    </row>
    <row r="2916" customFormat="false" ht="15" hidden="false" customHeight="false" outlineLevel="0" collapsed="false">
      <c r="A2916" s="39" t="s">
        <v>3038</v>
      </c>
      <c r="B2916" s="40" t="n">
        <v>46013</v>
      </c>
      <c r="C2916" s="39" t="s">
        <v>136</v>
      </c>
      <c r="D2916" s="39" t="n">
        <v>2</v>
      </c>
      <c r="E2916" s="41" t="n">
        <v>75.11</v>
      </c>
      <c r="F2916" s="39" t="s">
        <v>108</v>
      </c>
      <c r="G2916" s="39" t="str">
        <f aca="false">VLOOKUP(C2916,Products!$A$5:$D$24,2,FALSE())</f>
        <v>Mechanical Keyboard</v>
      </c>
      <c r="H2916" s="39" t="str">
        <f aca="false">VLOOKUP(C2916,Products!$A$5:$D$24,3,FALSE())</f>
        <v>Electronics</v>
      </c>
      <c r="I2916" s="41" t="n">
        <f aca="false">VLOOKUP(C2916,Products!$A$5:$D$24,4,FALSE())</f>
        <v>38</v>
      </c>
      <c r="J2916" s="42" t="n">
        <f aca="false">DATE(YEAR(B2916),MONTH(B2916),1)</f>
        <v>45992</v>
      </c>
      <c r="K2916" s="41" t="n">
        <f aca="false">D2916*E2916</f>
        <v>150.22</v>
      </c>
      <c r="L2916" s="41" t="n">
        <f aca="false">D2916*I2916</f>
        <v>76</v>
      </c>
      <c r="M2916" s="41" t="n">
        <f aca="false">IFERROR(INDEX(Raw_Expenses!$C$5:$C$2979,MATCH(A2916,Raw_Expenses!$A$5:$A$2979,0)),0)</f>
        <v>12.89</v>
      </c>
      <c r="N2916" s="41" t="n">
        <f aca="false">L2916+M2916</f>
        <v>88.89</v>
      </c>
      <c r="O2916" s="41" t="n">
        <f aca="false">K2916-N2916</f>
        <v>61.33</v>
      </c>
      <c r="P2916" s="43" t="n">
        <f aca="false">IF(K2916=0,0,O2916/K2916)</f>
        <v>0.408267873785115</v>
      </c>
    </row>
    <row r="2917" customFormat="false" ht="15" hidden="false" customHeight="false" outlineLevel="0" collapsed="false">
      <c r="A2917" s="39" t="s">
        <v>3039</v>
      </c>
      <c r="B2917" s="40" t="n">
        <v>46013</v>
      </c>
      <c r="C2917" s="39" t="s">
        <v>121</v>
      </c>
      <c r="D2917" s="39" t="n">
        <v>2</v>
      </c>
      <c r="E2917" s="41" t="n">
        <v>111.08</v>
      </c>
      <c r="F2917" s="39" t="s">
        <v>108</v>
      </c>
      <c r="G2917" s="39" t="str">
        <f aca="false">VLOOKUP(C2917,Products!$A$5:$D$24,2,FALSE())</f>
        <v>External SSD 1TB</v>
      </c>
      <c r="H2917" s="39" t="str">
        <f aca="false">VLOOKUP(C2917,Products!$A$5:$D$24,3,FALSE())</f>
        <v>Electronics</v>
      </c>
      <c r="I2917" s="41" t="n">
        <f aca="false">VLOOKUP(C2917,Products!$A$5:$D$24,4,FALSE())</f>
        <v>62</v>
      </c>
      <c r="J2917" s="42" t="n">
        <f aca="false">DATE(YEAR(B2917),MONTH(B2917),1)</f>
        <v>45992</v>
      </c>
      <c r="K2917" s="41" t="n">
        <f aca="false">D2917*E2917</f>
        <v>222.16</v>
      </c>
      <c r="L2917" s="41" t="n">
        <f aca="false">D2917*I2917</f>
        <v>124</v>
      </c>
      <c r="M2917" s="41" t="n">
        <f aca="false">IFERROR(INDEX(Raw_Expenses!$C$5:$C$2979,MATCH(A2917,Raw_Expenses!$A$5:$A$2979,0)),0)</f>
        <v>15.46</v>
      </c>
      <c r="N2917" s="41" t="n">
        <f aca="false">L2917+M2917</f>
        <v>139.46</v>
      </c>
      <c r="O2917" s="41" t="n">
        <f aca="false">K2917-N2917</f>
        <v>82.7</v>
      </c>
      <c r="P2917" s="43" t="n">
        <f aca="false">IF(K2917=0,0,O2917/K2917)</f>
        <v>0.372254231184732</v>
      </c>
    </row>
    <row r="2918" customFormat="false" ht="15" hidden="false" customHeight="false" outlineLevel="0" collapsed="false">
      <c r="A2918" s="39" t="s">
        <v>3040</v>
      </c>
      <c r="B2918" s="40" t="n">
        <v>46013</v>
      </c>
      <c r="C2918" s="39" t="s">
        <v>121</v>
      </c>
      <c r="D2918" s="39" t="n">
        <v>3</v>
      </c>
      <c r="E2918" s="41" t="n">
        <v>118.28</v>
      </c>
      <c r="F2918" s="39" t="s">
        <v>108</v>
      </c>
      <c r="G2918" s="39" t="str">
        <f aca="false">VLOOKUP(C2918,Products!$A$5:$D$24,2,FALSE())</f>
        <v>External SSD 1TB</v>
      </c>
      <c r="H2918" s="39" t="str">
        <f aca="false">VLOOKUP(C2918,Products!$A$5:$D$24,3,FALSE())</f>
        <v>Electronics</v>
      </c>
      <c r="I2918" s="41" t="n">
        <f aca="false">VLOOKUP(C2918,Products!$A$5:$D$24,4,FALSE())</f>
        <v>62</v>
      </c>
      <c r="J2918" s="42" t="n">
        <f aca="false">DATE(YEAR(B2918),MONTH(B2918),1)</f>
        <v>45992</v>
      </c>
      <c r="K2918" s="41" t="n">
        <f aca="false">D2918*E2918</f>
        <v>354.84</v>
      </c>
      <c r="L2918" s="41" t="n">
        <f aca="false">D2918*I2918</f>
        <v>186</v>
      </c>
      <c r="M2918" s="41" t="n">
        <f aca="false">IFERROR(INDEX(Raw_Expenses!$C$5:$C$2979,MATCH(A2918,Raw_Expenses!$A$5:$A$2979,0)),0)</f>
        <v>14.31</v>
      </c>
      <c r="N2918" s="41" t="n">
        <f aca="false">L2918+M2918</f>
        <v>200.31</v>
      </c>
      <c r="O2918" s="41" t="n">
        <f aca="false">K2918-N2918</f>
        <v>154.53</v>
      </c>
      <c r="P2918" s="43" t="n">
        <f aca="false">IF(K2918=0,0,O2918/K2918)</f>
        <v>0.435492052756172</v>
      </c>
    </row>
    <row r="2919" customFormat="false" ht="15" hidden="false" customHeight="false" outlineLevel="0" collapsed="false">
      <c r="A2919" s="39" t="s">
        <v>3041</v>
      </c>
      <c r="B2919" s="40" t="n">
        <v>46013</v>
      </c>
      <c r="C2919" s="39" t="s">
        <v>144</v>
      </c>
      <c r="D2919" s="39" t="n">
        <v>5</v>
      </c>
      <c r="E2919" s="41" t="n">
        <v>58.37</v>
      </c>
      <c r="F2919" s="39" t="s">
        <v>108</v>
      </c>
      <c r="G2919" s="39" t="str">
        <f aca="false">VLOOKUP(C2919,Products!$A$5:$D$24,2,FALSE())</f>
        <v>Whiteboard</v>
      </c>
      <c r="H2919" s="39" t="str">
        <f aca="false">VLOOKUP(C2919,Products!$A$5:$D$24,3,FALSE())</f>
        <v>Furniture</v>
      </c>
      <c r="I2919" s="41" t="n">
        <f aca="false">VLOOKUP(C2919,Products!$A$5:$D$24,4,FALSE())</f>
        <v>28</v>
      </c>
      <c r="J2919" s="42" t="n">
        <f aca="false">DATE(YEAR(B2919),MONTH(B2919),1)</f>
        <v>45992</v>
      </c>
      <c r="K2919" s="41" t="n">
        <f aca="false">D2919*E2919</f>
        <v>291.85</v>
      </c>
      <c r="L2919" s="41" t="n">
        <f aca="false">D2919*I2919</f>
        <v>140</v>
      </c>
      <c r="M2919" s="41" t="n">
        <f aca="false">IFERROR(INDEX(Raw_Expenses!$C$5:$C$2979,MATCH(A2919,Raw_Expenses!$A$5:$A$2979,0)),0)</f>
        <v>23.83</v>
      </c>
      <c r="N2919" s="41" t="n">
        <f aca="false">L2919+M2919</f>
        <v>163.83</v>
      </c>
      <c r="O2919" s="41" t="n">
        <f aca="false">K2919-N2919</f>
        <v>128.02</v>
      </c>
      <c r="P2919" s="43" t="n">
        <f aca="false">IF(K2919=0,0,O2919/K2919)</f>
        <v>0.438649991433956</v>
      </c>
    </row>
    <row r="2920" customFormat="false" ht="15" hidden="false" customHeight="false" outlineLevel="0" collapsed="false">
      <c r="A2920" s="39" t="s">
        <v>3042</v>
      </c>
      <c r="B2920" s="40" t="n">
        <v>46013</v>
      </c>
      <c r="C2920" s="39" t="s">
        <v>117</v>
      </c>
      <c r="D2920" s="39" t="n">
        <v>3</v>
      </c>
      <c r="E2920" s="41" t="n">
        <v>31.79</v>
      </c>
      <c r="F2920" s="39" t="s">
        <v>115</v>
      </c>
      <c r="G2920" s="39" t="str">
        <f aca="false">VLOOKUP(C2920,Products!$A$5:$D$24,2,FALSE())</f>
        <v>Desk Lamp</v>
      </c>
      <c r="H2920" s="39" t="str">
        <f aca="false">VLOOKUP(C2920,Products!$A$5:$D$24,3,FALSE())</f>
        <v>Furniture</v>
      </c>
      <c r="I2920" s="41" t="n">
        <f aca="false">VLOOKUP(C2920,Products!$A$5:$D$24,4,FALSE())</f>
        <v>13</v>
      </c>
      <c r="J2920" s="42" t="n">
        <f aca="false">DATE(YEAR(B2920),MONTH(B2920),1)</f>
        <v>45992</v>
      </c>
      <c r="K2920" s="41" t="n">
        <f aca="false">D2920*E2920</f>
        <v>95.37</v>
      </c>
      <c r="L2920" s="41" t="n">
        <f aca="false">D2920*I2920</f>
        <v>39</v>
      </c>
      <c r="M2920" s="41" t="n">
        <f aca="false">IFERROR(INDEX(Raw_Expenses!$C$5:$C$2979,MATCH(A2920,Raw_Expenses!$A$5:$A$2979,0)),0)</f>
        <v>8.01</v>
      </c>
      <c r="N2920" s="41" t="n">
        <f aca="false">L2920+M2920</f>
        <v>47.01</v>
      </c>
      <c r="O2920" s="41" t="n">
        <f aca="false">K2920-N2920</f>
        <v>48.36</v>
      </c>
      <c r="P2920" s="43" t="n">
        <f aca="false">IF(K2920=0,0,O2920/K2920)</f>
        <v>0.507077697389116</v>
      </c>
    </row>
    <row r="2921" customFormat="false" ht="15" hidden="false" customHeight="false" outlineLevel="0" collapsed="false">
      <c r="A2921" s="39" t="s">
        <v>3043</v>
      </c>
      <c r="B2921" s="40" t="n">
        <v>46013</v>
      </c>
      <c r="C2921" s="39" t="s">
        <v>117</v>
      </c>
      <c r="D2921" s="39" t="n">
        <v>1</v>
      </c>
      <c r="E2921" s="41" t="n">
        <v>31.05</v>
      </c>
      <c r="F2921" s="39" t="s">
        <v>115</v>
      </c>
      <c r="G2921" s="39" t="str">
        <f aca="false">VLOOKUP(C2921,Products!$A$5:$D$24,2,FALSE())</f>
        <v>Desk Lamp</v>
      </c>
      <c r="H2921" s="39" t="str">
        <f aca="false">VLOOKUP(C2921,Products!$A$5:$D$24,3,FALSE())</f>
        <v>Furniture</v>
      </c>
      <c r="I2921" s="41" t="n">
        <f aca="false">VLOOKUP(C2921,Products!$A$5:$D$24,4,FALSE())</f>
        <v>13</v>
      </c>
      <c r="J2921" s="42" t="n">
        <f aca="false">DATE(YEAR(B2921),MONTH(B2921),1)</f>
        <v>45992</v>
      </c>
      <c r="K2921" s="41" t="n">
        <f aca="false">D2921*E2921</f>
        <v>31.05</v>
      </c>
      <c r="L2921" s="41" t="n">
        <f aca="false">D2921*I2921</f>
        <v>13</v>
      </c>
      <c r="M2921" s="41" t="n">
        <f aca="false">IFERROR(INDEX(Raw_Expenses!$C$5:$C$2979,MATCH(A2921,Raw_Expenses!$A$5:$A$2979,0)),0)</f>
        <v>2.33</v>
      </c>
      <c r="N2921" s="41" t="n">
        <f aca="false">L2921+M2921</f>
        <v>15.33</v>
      </c>
      <c r="O2921" s="41" t="n">
        <f aca="false">K2921-N2921</f>
        <v>15.72</v>
      </c>
      <c r="P2921" s="43" t="n">
        <f aca="false">IF(K2921=0,0,O2921/K2921)</f>
        <v>0.506280193236715</v>
      </c>
    </row>
    <row r="2922" customFormat="false" ht="15" hidden="false" customHeight="false" outlineLevel="0" collapsed="false">
      <c r="A2922" s="39" t="s">
        <v>3044</v>
      </c>
      <c r="B2922" s="40" t="n">
        <v>46014</v>
      </c>
      <c r="C2922" s="39" t="s">
        <v>126</v>
      </c>
      <c r="D2922" s="39" t="n">
        <v>1</v>
      </c>
      <c r="E2922" s="41" t="n">
        <v>23.63</v>
      </c>
      <c r="F2922" s="39" t="s">
        <v>105</v>
      </c>
      <c r="G2922" s="39" t="str">
        <f aca="false">VLOOKUP(C2922,Products!$A$5:$D$24,2,FALSE())</f>
        <v>Wireless Mouse</v>
      </c>
      <c r="H2922" s="39" t="str">
        <f aca="false">VLOOKUP(C2922,Products!$A$5:$D$24,3,FALSE())</f>
        <v>Electronics</v>
      </c>
      <c r="I2922" s="41" t="n">
        <f aca="false">VLOOKUP(C2922,Products!$A$5:$D$24,4,FALSE())</f>
        <v>12</v>
      </c>
      <c r="J2922" s="42" t="n">
        <f aca="false">DATE(YEAR(B2922),MONTH(B2922),1)</f>
        <v>45992</v>
      </c>
      <c r="K2922" s="41" t="n">
        <f aca="false">D2922*E2922</f>
        <v>23.63</v>
      </c>
      <c r="L2922" s="41" t="n">
        <f aca="false">D2922*I2922</f>
        <v>12</v>
      </c>
      <c r="M2922" s="41" t="n">
        <f aca="false">IFERROR(INDEX(Raw_Expenses!$C$5:$C$2979,MATCH(A2922,Raw_Expenses!$A$5:$A$2979,0)),0)</f>
        <v>1.11</v>
      </c>
      <c r="N2922" s="41" t="n">
        <f aca="false">L2922+M2922</f>
        <v>13.11</v>
      </c>
      <c r="O2922" s="41" t="n">
        <f aca="false">K2922-N2922</f>
        <v>10.52</v>
      </c>
      <c r="P2922" s="43" t="n">
        <f aca="false">IF(K2922=0,0,O2922/K2922)</f>
        <v>0.445196783749471</v>
      </c>
    </row>
    <row r="2923" customFormat="false" ht="15" hidden="false" customHeight="false" outlineLevel="0" collapsed="false">
      <c r="A2923" s="39" t="s">
        <v>3045</v>
      </c>
      <c r="B2923" s="40" t="n">
        <v>46014</v>
      </c>
      <c r="C2923" s="39" t="s">
        <v>128</v>
      </c>
      <c r="D2923" s="39" t="n">
        <v>3</v>
      </c>
      <c r="E2923" s="41" t="n">
        <v>38.33</v>
      </c>
      <c r="F2923" s="39" t="s">
        <v>108</v>
      </c>
      <c r="G2923" s="39" t="str">
        <f aca="false">VLOOKUP(C2923,Products!$A$5:$D$24,2,FALSE())</f>
        <v>Ergonomic Footrest</v>
      </c>
      <c r="H2923" s="39" t="str">
        <f aca="false">VLOOKUP(C2923,Products!$A$5:$D$24,3,FALSE())</f>
        <v>Furniture</v>
      </c>
      <c r="I2923" s="41" t="n">
        <f aca="false">VLOOKUP(C2923,Products!$A$5:$D$24,4,FALSE())</f>
        <v>15</v>
      </c>
      <c r="J2923" s="42" t="n">
        <f aca="false">DATE(YEAR(B2923),MONTH(B2923),1)</f>
        <v>45992</v>
      </c>
      <c r="K2923" s="41" t="n">
        <f aca="false">D2923*E2923</f>
        <v>114.99</v>
      </c>
      <c r="L2923" s="41" t="n">
        <f aca="false">D2923*I2923</f>
        <v>45</v>
      </c>
      <c r="M2923" s="41" t="n">
        <f aca="false">IFERROR(INDEX(Raw_Expenses!$C$5:$C$2979,MATCH(A2923,Raw_Expenses!$A$5:$A$2979,0)),0)</f>
        <v>9.56</v>
      </c>
      <c r="N2923" s="41" t="n">
        <f aca="false">L2923+M2923</f>
        <v>54.56</v>
      </c>
      <c r="O2923" s="41" t="n">
        <f aca="false">K2923-N2923</f>
        <v>60.43</v>
      </c>
      <c r="P2923" s="43" t="n">
        <f aca="false">IF(K2923=0,0,O2923/K2923)</f>
        <v>0.525523958605096</v>
      </c>
    </row>
    <row r="2924" customFormat="false" ht="15" hidden="false" customHeight="false" outlineLevel="0" collapsed="false">
      <c r="A2924" s="39" t="s">
        <v>3046</v>
      </c>
      <c r="B2924" s="40" t="n">
        <v>46014</v>
      </c>
      <c r="C2924" s="39" t="s">
        <v>117</v>
      </c>
      <c r="D2924" s="39" t="n">
        <v>2</v>
      </c>
      <c r="E2924" s="41" t="n">
        <v>30.88</v>
      </c>
      <c r="F2924" s="39" t="s">
        <v>108</v>
      </c>
      <c r="G2924" s="39" t="str">
        <f aca="false">VLOOKUP(C2924,Products!$A$5:$D$24,2,FALSE())</f>
        <v>Desk Lamp</v>
      </c>
      <c r="H2924" s="39" t="str">
        <f aca="false">VLOOKUP(C2924,Products!$A$5:$D$24,3,FALSE())</f>
        <v>Furniture</v>
      </c>
      <c r="I2924" s="41" t="n">
        <f aca="false">VLOOKUP(C2924,Products!$A$5:$D$24,4,FALSE())</f>
        <v>13</v>
      </c>
      <c r="J2924" s="42" t="n">
        <f aca="false">DATE(YEAR(B2924),MONTH(B2924),1)</f>
        <v>45992</v>
      </c>
      <c r="K2924" s="41" t="n">
        <f aca="false">D2924*E2924</f>
        <v>61.76</v>
      </c>
      <c r="L2924" s="41" t="n">
        <f aca="false">D2924*I2924</f>
        <v>26</v>
      </c>
      <c r="M2924" s="41" t="n">
        <f aca="false">IFERROR(INDEX(Raw_Expenses!$C$5:$C$2979,MATCH(A2924,Raw_Expenses!$A$5:$A$2979,0)),0)</f>
        <v>4.41</v>
      </c>
      <c r="N2924" s="41" t="n">
        <f aca="false">L2924+M2924</f>
        <v>30.41</v>
      </c>
      <c r="O2924" s="41" t="n">
        <f aca="false">K2924-N2924</f>
        <v>31.35</v>
      </c>
      <c r="P2924" s="43" t="n">
        <f aca="false">IF(K2924=0,0,O2924/K2924)</f>
        <v>0.507610103626943</v>
      </c>
    </row>
    <row r="2925" customFormat="false" ht="15" hidden="false" customHeight="false" outlineLevel="0" collapsed="false">
      <c r="A2925" s="39" t="s">
        <v>3047</v>
      </c>
      <c r="B2925" s="40" t="n">
        <v>46014</v>
      </c>
      <c r="C2925" s="39" t="s">
        <v>133</v>
      </c>
      <c r="D2925" s="39" t="n">
        <v>3</v>
      </c>
      <c r="E2925" s="41" t="n">
        <v>8.8</v>
      </c>
      <c r="F2925" s="39" t="s">
        <v>115</v>
      </c>
      <c r="G2925" s="39" t="str">
        <f aca="false">VLOOKUP(C2925,Products!$A$5:$D$24,2,FALSE())</f>
        <v>Printer Paper Ream</v>
      </c>
      <c r="H2925" s="39" t="str">
        <f aca="false">VLOOKUP(C2925,Products!$A$5:$D$24,3,FALSE())</f>
        <v>Stationery</v>
      </c>
      <c r="I2925" s="41" t="n">
        <f aca="false">VLOOKUP(C2925,Products!$A$5:$D$24,4,FALSE())</f>
        <v>4</v>
      </c>
      <c r="J2925" s="42" t="n">
        <f aca="false">DATE(YEAR(B2925),MONTH(B2925),1)</f>
        <v>45992</v>
      </c>
      <c r="K2925" s="41" t="n">
        <f aca="false">D2925*E2925</f>
        <v>26.4</v>
      </c>
      <c r="L2925" s="41" t="n">
        <f aca="false">D2925*I2925</f>
        <v>12</v>
      </c>
      <c r="M2925" s="41" t="n">
        <f aca="false">IFERROR(INDEX(Raw_Expenses!$C$5:$C$2979,MATCH(A2925,Raw_Expenses!$A$5:$A$2979,0)),0)</f>
        <v>2.07</v>
      </c>
      <c r="N2925" s="41" t="n">
        <f aca="false">L2925+M2925</f>
        <v>14.07</v>
      </c>
      <c r="O2925" s="41" t="n">
        <f aca="false">K2925-N2925</f>
        <v>12.33</v>
      </c>
      <c r="P2925" s="43" t="n">
        <f aca="false">IF(K2925=0,0,O2925/K2925)</f>
        <v>0.467045454545455</v>
      </c>
    </row>
    <row r="2926" customFormat="false" ht="15" hidden="false" customHeight="false" outlineLevel="0" collapsed="false">
      <c r="A2926" s="39" t="s">
        <v>3048</v>
      </c>
      <c r="B2926" s="40" t="n">
        <v>46014</v>
      </c>
      <c r="C2926" s="39" t="s">
        <v>136</v>
      </c>
      <c r="D2926" s="39" t="n">
        <v>1</v>
      </c>
      <c r="E2926" s="41" t="n">
        <v>72.84</v>
      </c>
      <c r="F2926" s="39" t="s">
        <v>108</v>
      </c>
      <c r="G2926" s="39" t="str">
        <f aca="false">VLOOKUP(C2926,Products!$A$5:$D$24,2,FALSE())</f>
        <v>Mechanical Keyboard</v>
      </c>
      <c r="H2926" s="39" t="str">
        <f aca="false">VLOOKUP(C2926,Products!$A$5:$D$24,3,FALSE())</f>
        <v>Electronics</v>
      </c>
      <c r="I2926" s="41" t="n">
        <f aca="false">VLOOKUP(C2926,Products!$A$5:$D$24,4,FALSE())</f>
        <v>38</v>
      </c>
      <c r="J2926" s="42" t="n">
        <f aca="false">DATE(YEAR(B2926),MONTH(B2926),1)</f>
        <v>45992</v>
      </c>
      <c r="K2926" s="41" t="n">
        <f aca="false">D2926*E2926</f>
        <v>72.84</v>
      </c>
      <c r="L2926" s="41" t="n">
        <f aca="false">D2926*I2926</f>
        <v>38</v>
      </c>
      <c r="M2926" s="41" t="n">
        <f aca="false">IFERROR(INDEX(Raw_Expenses!$C$5:$C$2979,MATCH(A2926,Raw_Expenses!$A$5:$A$2979,0)),0)</f>
        <v>6.22</v>
      </c>
      <c r="N2926" s="41" t="n">
        <f aca="false">L2926+M2926</f>
        <v>44.22</v>
      </c>
      <c r="O2926" s="41" t="n">
        <f aca="false">K2926-N2926</f>
        <v>28.62</v>
      </c>
      <c r="P2926" s="43" t="n">
        <f aca="false">IF(K2926=0,0,O2926/K2926)</f>
        <v>0.392915980230643</v>
      </c>
    </row>
    <row r="2927" customFormat="false" ht="15" hidden="false" customHeight="false" outlineLevel="0" collapsed="false">
      <c r="A2927" s="39" t="s">
        <v>3049</v>
      </c>
      <c r="B2927" s="40" t="n">
        <v>46014</v>
      </c>
      <c r="C2927" s="39" t="s">
        <v>126</v>
      </c>
      <c r="D2927" s="39" t="n">
        <v>3</v>
      </c>
      <c r="E2927" s="41" t="n">
        <v>23.14</v>
      </c>
      <c r="F2927" s="39" t="s">
        <v>108</v>
      </c>
      <c r="G2927" s="39" t="str">
        <f aca="false">VLOOKUP(C2927,Products!$A$5:$D$24,2,FALSE())</f>
        <v>Wireless Mouse</v>
      </c>
      <c r="H2927" s="39" t="str">
        <f aca="false">VLOOKUP(C2927,Products!$A$5:$D$24,3,FALSE())</f>
        <v>Electronics</v>
      </c>
      <c r="I2927" s="41" t="n">
        <f aca="false">VLOOKUP(C2927,Products!$A$5:$D$24,4,FALSE())</f>
        <v>12</v>
      </c>
      <c r="J2927" s="42" t="n">
        <f aca="false">DATE(YEAR(B2927),MONTH(B2927),1)</f>
        <v>45992</v>
      </c>
      <c r="K2927" s="41" t="n">
        <f aca="false">D2927*E2927</f>
        <v>69.42</v>
      </c>
      <c r="L2927" s="41" t="n">
        <f aca="false">D2927*I2927</f>
        <v>36</v>
      </c>
      <c r="M2927" s="41" t="n">
        <f aca="false">IFERROR(INDEX(Raw_Expenses!$C$5:$C$2979,MATCH(A2927,Raw_Expenses!$A$5:$A$2979,0)),0)</f>
        <v>4.56</v>
      </c>
      <c r="N2927" s="41" t="n">
        <f aca="false">L2927+M2927</f>
        <v>40.56</v>
      </c>
      <c r="O2927" s="41" t="n">
        <f aca="false">K2927-N2927</f>
        <v>28.86</v>
      </c>
      <c r="P2927" s="43" t="n">
        <f aca="false">IF(K2927=0,0,O2927/K2927)</f>
        <v>0.415730337078652</v>
      </c>
    </row>
    <row r="2928" customFormat="false" ht="15" hidden="false" customHeight="false" outlineLevel="0" collapsed="false">
      <c r="A2928" s="39" t="s">
        <v>3050</v>
      </c>
      <c r="B2928" s="40" t="n">
        <v>46014</v>
      </c>
      <c r="C2928" s="39" t="s">
        <v>183</v>
      </c>
      <c r="D2928" s="39" t="n">
        <v>3</v>
      </c>
      <c r="E2928" s="41" t="n">
        <v>176.56</v>
      </c>
      <c r="F2928" s="39" t="s">
        <v>118</v>
      </c>
      <c r="G2928" s="39" t="str">
        <f aca="false">VLOOKUP(C2928,Products!$A$5:$D$24,2,FALSE())</f>
        <v>Office Chair</v>
      </c>
      <c r="H2928" s="39" t="str">
        <f aca="false">VLOOKUP(C2928,Products!$A$5:$D$24,3,FALSE())</f>
        <v>Furniture</v>
      </c>
      <c r="I2928" s="41" t="n">
        <f aca="false">VLOOKUP(C2928,Products!$A$5:$D$24,4,FALSE())</f>
        <v>85</v>
      </c>
      <c r="J2928" s="42" t="n">
        <f aca="false">DATE(YEAR(B2928),MONTH(B2928),1)</f>
        <v>45992</v>
      </c>
      <c r="K2928" s="41" t="n">
        <f aca="false">D2928*E2928</f>
        <v>529.68</v>
      </c>
      <c r="L2928" s="41" t="n">
        <f aca="false">D2928*I2928</f>
        <v>255</v>
      </c>
      <c r="M2928" s="41" t="n">
        <f aca="false">IFERROR(INDEX(Raw_Expenses!$C$5:$C$2979,MATCH(A2928,Raw_Expenses!$A$5:$A$2979,0)),0)</f>
        <v>33.94</v>
      </c>
      <c r="N2928" s="41" t="n">
        <f aca="false">L2928+M2928</f>
        <v>288.94</v>
      </c>
      <c r="O2928" s="41" t="n">
        <f aca="false">K2928-N2928</f>
        <v>240.74</v>
      </c>
      <c r="P2928" s="43" t="n">
        <f aca="false">IF(K2928=0,0,O2928/K2928)</f>
        <v>0.454500830690228</v>
      </c>
    </row>
    <row r="2929" customFormat="false" ht="15" hidden="false" customHeight="false" outlineLevel="0" collapsed="false">
      <c r="A2929" s="39" t="s">
        <v>3051</v>
      </c>
      <c r="B2929" s="40" t="n">
        <v>46014</v>
      </c>
      <c r="C2929" s="39" t="s">
        <v>169</v>
      </c>
      <c r="D2929" s="39" t="n">
        <v>2</v>
      </c>
      <c r="E2929" s="41" t="n">
        <v>27.87</v>
      </c>
      <c r="F2929" s="39" t="s">
        <v>115</v>
      </c>
      <c r="G2929" s="39" t="str">
        <f aca="false">VLOOKUP(C2929,Products!$A$5:$D$24,2,FALSE())</f>
        <v>Laptop Stand</v>
      </c>
      <c r="H2929" s="39" t="str">
        <f aca="false">VLOOKUP(C2929,Products!$A$5:$D$24,3,FALSE())</f>
        <v>Accessories</v>
      </c>
      <c r="I2929" s="41" t="n">
        <f aca="false">VLOOKUP(C2929,Products!$A$5:$D$24,4,FALSE())</f>
        <v>11</v>
      </c>
      <c r="J2929" s="42" t="n">
        <f aca="false">DATE(YEAR(B2929),MONTH(B2929),1)</f>
        <v>45992</v>
      </c>
      <c r="K2929" s="41" t="n">
        <f aca="false">D2929*E2929</f>
        <v>55.74</v>
      </c>
      <c r="L2929" s="41" t="n">
        <f aca="false">D2929*I2929</f>
        <v>22</v>
      </c>
      <c r="M2929" s="41" t="n">
        <f aca="false">IFERROR(INDEX(Raw_Expenses!$C$5:$C$2979,MATCH(A2929,Raw_Expenses!$A$5:$A$2979,0)),0)</f>
        <v>4.79</v>
      </c>
      <c r="N2929" s="41" t="n">
        <f aca="false">L2929+M2929</f>
        <v>26.79</v>
      </c>
      <c r="O2929" s="41" t="n">
        <f aca="false">K2929-N2929</f>
        <v>28.95</v>
      </c>
      <c r="P2929" s="43" t="n">
        <f aca="false">IF(K2929=0,0,O2929/K2929)</f>
        <v>0.519375672766416</v>
      </c>
    </row>
    <row r="2930" customFormat="false" ht="15" hidden="false" customHeight="false" outlineLevel="0" collapsed="false">
      <c r="A2930" s="39" t="s">
        <v>3052</v>
      </c>
      <c r="B2930" s="40" t="n">
        <v>46014</v>
      </c>
      <c r="C2930" s="39" t="s">
        <v>130</v>
      </c>
      <c r="D2930" s="39" t="n">
        <v>2</v>
      </c>
      <c r="E2930" s="41" t="n">
        <v>8.73</v>
      </c>
      <c r="F2930" s="39" t="s">
        <v>115</v>
      </c>
      <c r="G2930" s="39" t="str">
        <f aca="false">VLOOKUP(C2930,Products!$A$5:$D$24,2,FALSE())</f>
        <v>Notebook Set</v>
      </c>
      <c r="H2930" s="39" t="str">
        <f aca="false">VLOOKUP(C2930,Products!$A$5:$D$24,3,FALSE())</f>
        <v>Stationery</v>
      </c>
      <c r="I2930" s="41" t="n">
        <f aca="false">VLOOKUP(C2930,Products!$A$5:$D$24,4,FALSE())</f>
        <v>3</v>
      </c>
      <c r="J2930" s="42" t="n">
        <f aca="false">DATE(YEAR(B2930),MONTH(B2930),1)</f>
        <v>45992</v>
      </c>
      <c r="K2930" s="41" t="n">
        <f aca="false">D2930*E2930</f>
        <v>17.46</v>
      </c>
      <c r="L2930" s="41" t="n">
        <f aca="false">D2930*I2930</f>
        <v>6</v>
      </c>
      <c r="M2930" s="41" t="n">
        <f aca="false">IFERROR(INDEX(Raw_Expenses!$C$5:$C$2979,MATCH(A2930,Raw_Expenses!$A$5:$A$2979,0)),0)</f>
        <v>1.44</v>
      </c>
      <c r="N2930" s="41" t="n">
        <f aca="false">L2930+M2930</f>
        <v>7.44</v>
      </c>
      <c r="O2930" s="41" t="n">
        <f aca="false">K2930-N2930</f>
        <v>10.02</v>
      </c>
      <c r="P2930" s="43" t="n">
        <f aca="false">IF(K2930=0,0,O2930/K2930)</f>
        <v>0.573883161512028</v>
      </c>
    </row>
    <row r="2931" customFormat="false" ht="15" hidden="false" customHeight="false" outlineLevel="0" collapsed="false">
      <c r="A2931" s="39" t="s">
        <v>3053</v>
      </c>
      <c r="B2931" s="40" t="n">
        <v>46014</v>
      </c>
      <c r="C2931" s="39" t="s">
        <v>128</v>
      </c>
      <c r="D2931" s="39" t="n">
        <v>1</v>
      </c>
      <c r="E2931" s="41" t="n">
        <v>38.87</v>
      </c>
      <c r="F2931" s="39" t="s">
        <v>118</v>
      </c>
      <c r="G2931" s="39" t="str">
        <f aca="false">VLOOKUP(C2931,Products!$A$5:$D$24,2,FALSE())</f>
        <v>Ergonomic Footrest</v>
      </c>
      <c r="H2931" s="39" t="str">
        <f aca="false">VLOOKUP(C2931,Products!$A$5:$D$24,3,FALSE())</f>
        <v>Furniture</v>
      </c>
      <c r="I2931" s="41" t="n">
        <f aca="false">VLOOKUP(C2931,Products!$A$5:$D$24,4,FALSE())</f>
        <v>15</v>
      </c>
      <c r="J2931" s="42" t="n">
        <f aca="false">DATE(YEAR(B2931),MONTH(B2931),1)</f>
        <v>45992</v>
      </c>
      <c r="K2931" s="41" t="n">
        <f aca="false">D2931*E2931</f>
        <v>38.87</v>
      </c>
      <c r="L2931" s="41" t="n">
        <f aca="false">D2931*I2931</f>
        <v>15</v>
      </c>
      <c r="M2931" s="41" t="n">
        <f aca="false">IFERROR(INDEX(Raw_Expenses!$C$5:$C$2979,MATCH(A2931,Raw_Expenses!$A$5:$A$2979,0)),0)</f>
        <v>1.78</v>
      </c>
      <c r="N2931" s="41" t="n">
        <f aca="false">L2931+M2931</f>
        <v>16.78</v>
      </c>
      <c r="O2931" s="41" t="n">
        <f aca="false">K2931-N2931</f>
        <v>22.09</v>
      </c>
      <c r="P2931" s="43" t="n">
        <f aca="false">IF(K2931=0,0,O2931/K2931)</f>
        <v>0.568304605093903</v>
      </c>
    </row>
    <row r="2932" customFormat="false" ht="15" hidden="false" customHeight="false" outlineLevel="0" collapsed="false">
      <c r="A2932" s="39" t="s">
        <v>3054</v>
      </c>
      <c r="B2932" s="40" t="n">
        <v>46015</v>
      </c>
      <c r="C2932" s="39" t="s">
        <v>114</v>
      </c>
      <c r="D2932" s="39" t="n">
        <v>2</v>
      </c>
      <c r="E2932" s="41" t="n">
        <v>5.78</v>
      </c>
      <c r="F2932" s="39" t="s">
        <v>118</v>
      </c>
      <c r="G2932" s="39" t="str">
        <f aca="false">VLOOKUP(C2932,Products!$A$5:$D$24,2,FALSE())</f>
        <v>Gel Pen Pack</v>
      </c>
      <c r="H2932" s="39" t="str">
        <f aca="false">VLOOKUP(C2932,Products!$A$5:$D$24,3,FALSE())</f>
        <v>Stationery</v>
      </c>
      <c r="I2932" s="41" t="n">
        <f aca="false">VLOOKUP(C2932,Products!$A$5:$D$24,4,FALSE())</f>
        <v>2</v>
      </c>
      <c r="J2932" s="42" t="n">
        <f aca="false">DATE(YEAR(B2932),MONTH(B2932),1)</f>
        <v>45992</v>
      </c>
      <c r="K2932" s="41" t="n">
        <f aca="false">D2932*E2932</f>
        <v>11.56</v>
      </c>
      <c r="L2932" s="41" t="n">
        <f aca="false">D2932*I2932</f>
        <v>4</v>
      </c>
      <c r="M2932" s="41" t="n">
        <f aca="false">IFERROR(INDEX(Raw_Expenses!$C$5:$C$2979,MATCH(A2932,Raw_Expenses!$A$5:$A$2979,0)),0)</f>
        <v>0.77</v>
      </c>
      <c r="N2932" s="41" t="n">
        <f aca="false">L2932+M2932</f>
        <v>4.77</v>
      </c>
      <c r="O2932" s="41" t="n">
        <f aca="false">K2932-N2932</f>
        <v>6.79</v>
      </c>
      <c r="P2932" s="43" t="n">
        <f aca="false">IF(K2932=0,0,O2932/K2932)</f>
        <v>0.587370242214533</v>
      </c>
    </row>
    <row r="2933" customFormat="false" ht="15" hidden="false" customHeight="false" outlineLevel="0" collapsed="false">
      <c r="A2933" s="39" t="s">
        <v>3055</v>
      </c>
      <c r="B2933" s="40" t="n">
        <v>46015</v>
      </c>
      <c r="C2933" s="39" t="s">
        <v>104</v>
      </c>
      <c r="D2933" s="39" t="n">
        <v>2</v>
      </c>
      <c r="E2933" s="41" t="n">
        <v>15.84</v>
      </c>
      <c r="F2933" s="39" t="s">
        <v>105</v>
      </c>
      <c r="G2933" s="39" t="str">
        <f aca="false">VLOOKUP(C2933,Products!$A$5:$D$24,2,FALSE())</f>
        <v>Water Bottle</v>
      </c>
      <c r="H2933" s="39" t="str">
        <f aca="false">VLOOKUP(C2933,Products!$A$5:$D$24,3,FALSE())</f>
        <v>Accessories</v>
      </c>
      <c r="I2933" s="41" t="n">
        <f aca="false">VLOOKUP(C2933,Products!$A$5:$D$24,4,FALSE())</f>
        <v>5</v>
      </c>
      <c r="J2933" s="42" t="n">
        <f aca="false">DATE(YEAR(B2933),MONTH(B2933),1)</f>
        <v>45992</v>
      </c>
      <c r="K2933" s="41" t="n">
        <f aca="false">D2933*E2933</f>
        <v>31.68</v>
      </c>
      <c r="L2933" s="41" t="n">
        <f aca="false">D2933*I2933</f>
        <v>10</v>
      </c>
      <c r="M2933" s="41" t="n">
        <f aca="false">IFERROR(INDEX(Raw_Expenses!$C$5:$C$2979,MATCH(A2933,Raw_Expenses!$A$5:$A$2979,0)),0)</f>
        <v>2.28</v>
      </c>
      <c r="N2933" s="41" t="n">
        <f aca="false">L2933+M2933</f>
        <v>12.28</v>
      </c>
      <c r="O2933" s="41" t="n">
        <f aca="false">K2933-N2933</f>
        <v>19.4</v>
      </c>
      <c r="P2933" s="43" t="n">
        <f aca="false">IF(K2933=0,0,O2933/K2933)</f>
        <v>0.612373737373737</v>
      </c>
    </row>
    <row r="2934" customFormat="false" ht="15" hidden="false" customHeight="false" outlineLevel="0" collapsed="false">
      <c r="A2934" s="39" t="s">
        <v>3056</v>
      </c>
      <c r="B2934" s="40" t="n">
        <v>46015</v>
      </c>
      <c r="C2934" s="39" t="s">
        <v>114</v>
      </c>
      <c r="D2934" s="39" t="n">
        <v>1</v>
      </c>
      <c r="E2934" s="41" t="n">
        <v>5.67</v>
      </c>
      <c r="F2934" s="39" t="s">
        <v>115</v>
      </c>
      <c r="G2934" s="39" t="str">
        <f aca="false">VLOOKUP(C2934,Products!$A$5:$D$24,2,FALSE())</f>
        <v>Gel Pen Pack</v>
      </c>
      <c r="H2934" s="39" t="str">
        <f aca="false">VLOOKUP(C2934,Products!$A$5:$D$24,3,FALSE())</f>
        <v>Stationery</v>
      </c>
      <c r="I2934" s="41" t="n">
        <f aca="false">VLOOKUP(C2934,Products!$A$5:$D$24,4,FALSE())</f>
        <v>2</v>
      </c>
      <c r="J2934" s="42" t="n">
        <f aca="false">DATE(YEAR(B2934),MONTH(B2934),1)</f>
        <v>45992</v>
      </c>
      <c r="K2934" s="41" t="n">
        <f aca="false">D2934*E2934</f>
        <v>5.67</v>
      </c>
      <c r="L2934" s="41" t="n">
        <f aca="false">D2934*I2934</f>
        <v>2</v>
      </c>
      <c r="M2934" s="41" t="n">
        <f aca="false">IFERROR(INDEX(Raw_Expenses!$C$5:$C$2979,MATCH(A2934,Raw_Expenses!$A$5:$A$2979,0)),0)</f>
        <v>0.3</v>
      </c>
      <c r="N2934" s="41" t="n">
        <f aca="false">L2934+M2934</f>
        <v>2.3</v>
      </c>
      <c r="O2934" s="41" t="n">
        <f aca="false">K2934-N2934</f>
        <v>3.37</v>
      </c>
      <c r="P2934" s="43" t="n">
        <f aca="false">IF(K2934=0,0,O2934/K2934)</f>
        <v>0.594356261022928</v>
      </c>
    </row>
    <row r="2935" customFormat="false" ht="15" hidden="false" customHeight="false" outlineLevel="0" collapsed="false">
      <c r="A2935" s="39" t="s">
        <v>3057</v>
      </c>
      <c r="B2935" s="40" t="n">
        <v>46015</v>
      </c>
      <c r="C2935" s="39" t="s">
        <v>114</v>
      </c>
      <c r="D2935" s="39" t="n">
        <v>2</v>
      </c>
      <c r="E2935" s="41" t="n">
        <v>5.83</v>
      </c>
      <c r="F2935" s="39" t="s">
        <v>118</v>
      </c>
      <c r="G2935" s="39" t="str">
        <f aca="false">VLOOKUP(C2935,Products!$A$5:$D$24,2,FALSE())</f>
        <v>Gel Pen Pack</v>
      </c>
      <c r="H2935" s="39" t="str">
        <f aca="false">VLOOKUP(C2935,Products!$A$5:$D$24,3,FALSE())</f>
        <v>Stationery</v>
      </c>
      <c r="I2935" s="41" t="n">
        <f aca="false">VLOOKUP(C2935,Products!$A$5:$D$24,4,FALSE())</f>
        <v>2</v>
      </c>
      <c r="J2935" s="42" t="n">
        <f aca="false">DATE(YEAR(B2935),MONTH(B2935),1)</f>
        <v>45992</v>
      </c>
      <c r="K2935" s="41" t="n">
        <f aca="false">D2935*E2935</f>
        <v>11.66</v>
      </c>
      <c r="L2935" s="41" t="n">
        <f aca="false">D2935*I2935</f>
        <v>4</v>
      </c>
      <c r="M2935" s="41" t="n">
        <f aca="false">IFERROR(INDEX(Raw_Expenses!$C$5:$C$2979,MATCH(A2935,Raw_Expenses!$A$5:$A$2979,0)),0)</f>
        <v>0.64</v>
      </c>
      <c r="N2935" s="41" t="n">
        <f aca="false">L2935+M2935</f>
        <v>4.64</v>
      </c>
      <c r="O2935" s="41" t="n">
        <f aca="false">K2935-N2935</f>
        <v>7.02</v>
      </c>
      <c r="P2935" s="43" t="n">
        <f aca="false">IF(K2935=0,0,O2935/K2935)</f>
        <v>0.602058319039451</v>
      </c>
    </row>
    <row r="2936" customFormat="false" ht="15" hidden="false" customHeight="false" outlineLevel="0" collapsed="false">
      <c r="A2936" s="39" t="s">
        <v>3058</v>
      </c>
      <c r="B2936" s="40" t="n">
        <v>46015</v>
      </c>
      <c r="C2936" s="39" t="s">
        <v>162</v>
      </c>
      <c r="D2936" s="39" t="n">
        <v>2</v>
      </c>
      <c r="E2936" s="41" t="n">
        <v>63.98</v>
      </c>
      <c r="F2936" s="39" t="s">
        <v>105</v>
      </c>
      <c r="G2936" s="39" t="str">
        <f aca="false">VLOOKUP(C2936,Products!$A$5:$D$24,2,FALSE())</f>
        <v>Bluetooth Speaker</v>
      </c>
      <c r="H2936" s="39" t="str">
        <f aca="false">VLOOKUP(C2936,Products!$A$5:$D$24,3,FALSE())</f>
        <v>Electronics</v>
      </c>
      <c r="I2936" s="41" t="n">
        <f aca="false">VLOOKUP(C2936,Products!$A$5:$D$24,4,FALSE())</f>
        <v>28</v>
      </c>
      <c r="J2936" s="42" t="n">
        <f aca="false">DATE(YEAR(B2936),MONTH(B2936),1)</f>
        <v>45992</v>
      </c>
      <c r="K2936" s="41" t="n">
        <f aca="false">D2936*E2936</f>
        <v>127.96</v>
      </c>
      <c r="L2936" s="41" t="n">
        <f aca="false">D2936*I2936</f>
        <v>56</v>
      </c>
      <c r="M2936" s="41" t="n">
        <f aca="false">IFERROR(INDEX(Raw_Expenses!$C$5:$C$2979,MATCH(A2936,Raw_Expenses!$A$5:$A$2979,0)),0)</f>
        <v>10.86</v>
      </c>
      <c r="N2936" s="41" t="n">
        <f aca="false">L2936+M2936</f>
        <v>66.86</v>
      </c>
      <c r="O2936" s="41" t="n">
        <f aca="false">K2936-N2936</f>
        <v>61.1</v>
      </c>
      <c r="P2936" s="43" t="n">
        <f aca="false">IF(K2936=0,0,O2936/K2936)</f>
        <v>0.477492966552048</v>
      </c>
    </row>
    <row r="2937" customFormat="false" ht="15" hidden="false" customHeight="false" outlineLevel="0" collapsed="false">
      <c r="A2937" s="39" t="s">
        <v>3059</v>
      </c>
      <c r="B2937" s="40" t="n">
        <v>46015</v>
      </c>
      <c r="C2937" s="39" t="s">
        <v>104</v>
      </c>
      <c r="D2937" s="39" t="n">
        <v>4</v>
      </c>
      <c r="E2937" s="41" t="n">
        <v>15.04</v>
      </c>
      <c r="F2937" s="39" t="s">
        <v>115</v>
      </c>
      <c r="G2937" s="39" t="str">
        <f aca="false">VLOOKUP(C2937,Products!$A$5:$D$24,2,FALSE())</f>
        <v>Water Bottle</v>
      </c>
      <c r="H2937" s="39" t="str">
        <f aca="false">VLOOKUP(C2937,Products!$A$5:$D$24,3,FALSE())</f>
        <v>Accessories</v>
      </c>
      <c r="I2937" s="41" t="n">
        <f aca="false">VLOOKUP(C2937,Products!$A$5:$D$24,4,FALSE())</f>
        <v>5</v>
      </c>
      <c r="J2937" s="42" t="n">
        <f aca="false">DATE(YEAR(B2937),MONTH(B2937),1)</f>
        <v>45992</v>
      </c>
      <c r="K2937" s="41" t="n">
        <f aca="false">D2937*E2937</f>
        <v>60.16</v>
      </c>
      <c r="L2937" s="41" t="n">
        <f aca="false">D2937*I2937</f>
        <v>20</v>
      </c>
      <c r="M2937" s="41" t="n">
        <f aca="false">IFERROR(INDEX(Raw_Expenses!$C$5:$C$2979,MATCH(A2937,Raw_Expenses!$A$5:$A$2979,0)),0)</f>
        <v>5.21</v>
      </c>
      <c r="N2937" s="41" t="n">
        <f aca="false">L2937+M2937</f>
        <v>25.21</v>
      </c>
      <c r="O2937" s="41" t="n">
        <f aca="false">K2937-N2937</f>
        <v>34.95</v>
      </c>
      <c r="P2937" s="43" t="n">
        <f aca="false">IF(K2937=0,0,O2937/K2937)</f>
        <v>0.58095079787234</v>
      </c>
    </row>
    <row r="2938" customFormat="false" ht="15" hidden="false" customHeight="false" outlineLevel="0" collapsed="false">
      <c r="A2938" s="39" t="s">
        <v>3060</v>
      </c>
      <c r="B2938" s="40" t="n">
        <v>46015</v>
      </c>
      <c r="C2938" s="39" t="s">
        <v>130</v>
      </c>
      <c r="D2938" s="39" t="n">
        <v>6</v>
      </c>
      <c r="E2938" s="41" t="n">
        <v>8.55</v>
      </c>
      <c r="F2938" s="39" t="s">
        <v>105</v>
      </c>
      <c r="G2938" s="39" t="str">
        <f aca="false">VLOOKUP(C2938,Products!$A$5:$D$24,2,FALSE())</f>
        <v>Notebook Set</v>
      </c>
      <c r="H2938" s="39" t="str">
        <f aca="false">VLOOKUP(C2938,Products!$A$5:$D$24,3,FALSE())</f>
        <v>Stationery</v>
      </c>
      <c r="I2938" s="41" t="n">
        <f aca="false">VLOOKUP(C2938,Products!$A$5:$D$24,4,FALSE())</f>
        <v>3</v>
      </c>
      <c r="J2938" s="42" t="n">
        <f aca="false">DATE(YEAR(B2938),MONTH(B2938),1)</f>
        <v>45992</v>
      </c>
      <c r="K2938" s="41" t="n">
        <f aca="false">D2938*E2938</f>
        <v>51.3</v>
      </c>
      <c r="L2938" s="41" t="n">
        <f aca="false">D2938*I2938</f>
        <v>18</v>
      </c>
      <c r="M2938" s="41" t="n">
        <f aca="false">IFERROR(INDEX(Raw_Expenses!$C$5:$C$2979,MATCH(A2938,Raw_Expenses!$A$5:$A$2979,0)),0)</f>
        <v>2.87</v>
      </c>
      <c r="N2938" s="41" t="n">
        <f aca="false">L2938+M2938</f>
        <v>20.87</v>
      </c>
      <c r="O2938" s="41" t="n">
        <f aca="false">K2938-N2938</f>
        <v>30.43</v>
      </c>
      <c r="P2938" s="43" t="n">
        <f aca="false">IF(K2938=0,0,O2938/K2938)</f>
        <v>0.59317738791423</v>
      </c>
    </row>
    <row r="2939" customFormat="false" ht="15" hidden="false" customHeight="false" outlineLevel="0" collapsed="false">
      <c r="A2939" s="39" t="s">
        <v>3061</v>
      </c>
      <c r="B2939" s="40" t="n">
        <v>46015</v>
      </c>
      <c r="C2939" s="39" t="s">
        <v>117</v>
      </c>
      <c r="D2939" s="39" t="n">
        <v>1</v>
      </c>
      <c r="E2939" s="41" t="n">
        <v>30.02</v>
      </c>
      <c r="F2939" s="39" t="s">
        <v>118</v>
      </c>
      <c r="G2939" s="39" t="str">
        <f aca="false">VLOOKUP(C2939,Products!$A$5:$D$24,2,FALSE())</f>
        <v>Desk Lamp</v>
      </c>
      <c r="H2939" s="39" t="str">
        <f aca="false">VLOOKUP(C2939,Products!$A$5:$D$24,3,FALSE())</f>
        <v>Furniture</v>
      </c>
      <c r="I2939" s="41" t="n">
        <f aca="false">VLOOKUP(C2939,Products!$A$5:$D$24,4,FALSE())</f>
        <v>13</v>
      </c>
      <c r="J2939" s="42" t="n">
        <f aca="false">DATE(YEAR(B2939),MONTH(B2939),1)</f>
        <v>45992</v>
      </c>
      <c r="K2939" s="41" t="n">
        <f aca="false">D2939*E2939</f>
        <v>30.02</v>
      </c>
      <c r="L2939" s="41" t="n">
        <f aca="false">D2939*I2939</f>
        <v>13</v>
      </c>
      <c r="M2939" s="41" t="n">
        <f aca="false">IFERROR(INDEX(Raw_Expenses!$C$5:$C$2979,MATCH(A2939,Raw_Expenses!$A$5:$A$2979,0)),0)</f>
        <v>2.01</v>
      </c>
      <c r="N2939" s="41" t="n">
        <f aca="false">L2939+M2939</f>
        <v>15.01</v>
      </c>
      <c r="O2939" s="41" t="n">
        <f aca="false">K2939-N2939</f>
        <v>15.01</v>
      </c>
      <c r="P2939" s="43" t="n">
        <f aca="false">IF(K2939=0,0,O2939/K2939)</f>
        <v>0.5</v>
      </c>
    </row>
    <row r="2940" customFormat="false" ht="15" hidden="false" customHeight="false" outlineLevel="0" collapsed="false">
      <c r="A2940" s="39" t="s">
        <v>3062</v>
      </c>
      <c r="B2940" s="40" t="n">
        <v>46015</v>
      </c>
      <c r="C2940" s="39" t="s">
        <v>169</v>
      </c>
      <c r="D2940" s="39" t="n">
        <v>1</v>
      </c>
      <c r="E2940" s="41" t="n">
        <v>27.42</v>
      </c>
      <c r="F2940" s="39" t="s">
        <v>105</v>
      </c>
      <c r="G2940" s="39" t="str">
        <f aca="false">VLOOKUP(C2940,Products!$A$5:$D$24,2,FALSE())</f>
        <v>Laptop Stand</v>
      </c>
      <c r="H2940" s="39" t="str">
        <f aca="false">VLOOKUP(C2940,Products!$A$5:$D$24,3,FALSE())</f>
        <v>Accessories</v>
      </c>
      <c r="I2940" s="41" t="n">
        <f aca="false">VLOOKUP(C2940,Products!$A$5:$D$24,4,FALSE())</f>
        <v>11</v>
      </c>
      <c r="J2940" s="42" t="n">
        <f aca="false">DATE(YEAR(B2940),MONTH(B2940),1)</f>
        <v>45992</v>
      </c>
      <c r="K2940" s="41" t="n">
        <f aca="false">D2940*E2940</f>
        <v>27.42</v>
      </c>
      <c r="L2940" s="41" t="n">
        <f aca="false">D2940*I2940</f>
        <v>11</v>
      </c>
      <c r="M2940" s="41" t="n">
        <f aca="false">IFERROR(INDEX(Raw_Expenses!$C$5:$C$2979,MATCH(A2940,Raw_Expenses!$A$5:$A$2979,0)),0)</f>
        <v>2.47</v>
      </c>
      <c r="N2940" s="41" t="n">
        <f aca="false">L2940+M2940</f>
        <v>13.47</v>
      </c>
      <c r="O2940" s="41" t="n">
        <f aca="false">K2940-N2940</f>
        <v>13.95</v>
      </c>
      <c r="P2940" s="43" t="n">
        <f aca="false">IF(K2940=0,0,O2940/K2940)</f>
        <v>0.508752735229759</v>
      </c>
    </row>
    <row r="2941" customFormat="false" ht="15" hidden="false" customHeight="false" outlineLevel="0" collapsed="false">
      <c r="A2941" s="39" t="s">
        <v>3063</v>
      </c>
      <c r="B2941" s="40" t="n">
        <v>46015</v>
      </c>
      <c r="C2941" s="39" t="s">
        <v>133</v>
      </c>
      <c r="D2941" s="39" t="n">
        <v>2</v>
      </c>
      <c r="E2941" s="41" t="n">
        <v>8.65</v>
      </c>
      <c r="F2941" s="39" t="s">
        <v>108</v>
      </c>
      <c r="G2941" s="39" t="str">
        <f aca="false">VLOOKUP(C2941,Products!$A$5:$D$24,2,FALSE())</f>
        <v>Printer Paper Ream</v>
      </c>
      <c r="H2941" s="39" t="str">
        <f aca="false">VLOOKUP(C2941,Products!$A$5:$D$24,3,FALSE())</f>
        <v>Stationery</v>
      </c>
      <c r="I2941" s="41" t="n">
        <f aca="false">VLOOKUP(C2941,Products!$A$5:$D$24,4,FALSE())</f>
        <v>4</v>
      </c>
      <c r="J2941" s="42" t="n">
        <f aca="false">DATE(YEAR(B2941),MONTH(B2941),1)</f>
        <v>45992</v>
      </c>
      <c r="K2941" s="41" t="n">
        <f aca="false">D2941*E2941</f>
        <v>17.3</v>
      </c>
      <c r="L2941" s="41" t="n">
        <f aca="false">D2941*I2941</f>
        <v>8</v>
      </c>
      <c r="M2941" s="41" t="n">
        <f aca="false">IFERROR(INDEX(Raw_Expenses!$C$5:$C$2979,MATCH(A2941,Raw_Expenses!$A$5:$A$2979,0)),0)</f>
        <v>1.52</v>
      </c>
      <c r="N2941" s="41" t="n">
        <f aca="false">L2941+M2941</f>
        <v>9.52</v>
      </c>
      <c r="O2941" s="41" t="n">
        <f aca="false">K2941-N2941</f>
        <v>7.78</v>
      </c>
      <c r="P2941" s="43" t="n">
        <f aca="false">IF(K2941=0,0,O2941/K2941)</f>
        <v>0.44971098265896</v>
      </c>
    </row>
    <row r="2942" customFormat="false" ht="15" hidden="false" customHeight="false" outlineLevel="0" collapsed="false">
      <c r="A2942" s="39" t="s">
        <v>3064</v>
      </c>
      <c r="B2942" s="40" t="n">
        <v>46016</v>
      </c>
      <c r="C2942" s="39" t="s">
        <v>126</v>
      </c>
      <c r="D2942" s="39" t="n">
        <v>3</v>
      </c>
      <c r="E2942" s="41" t="n">
        <v>23.72</v>
      </c>
      <c r="F2942" s="39" t="s">
        <v>108</v>
      </c>
      <c r="G2942" s="39" t="str">
        <f aca="false">VLOOKUP(C2942,Products!$A$5:$D$24,2,FALSE())</f>
        <v>Wireless Mouse</v>
      </c>
      <c r="H2942" s="39" t="str">
        <f aca="false">VLOOKUP(C2942,Products!$A$5:$D$24,3,FALSE())</f>
        <v>Electronics</v>
      </c>
      <c r="I2942" s="41" t="n">
        <f aca="false">VLOOKUP(C2942,Products!$A$5:$D$24,4,FALSE())</f>
        <v>12</v>
      </c>
      <c r="J2942" s="42" t="n">
        <f aca="false">DATE(YEAR(B2942),MONTH(B2942),1)</f>
        <v>45992</v>
      </c>
      <c r="K2942" s="41" t="n">
        <f aca="false">D2942*E2942</f>
        <v>71.16</v>
      </c>
      <c r="L2942" s="41" t="n">
        <f aca="false">D2942*I2942</f>
        <v>36</v>
      </c>
      <c r="M2942" s="41" t="n">
        <f aca="false">IFERROR(INDEX(Raw_Expenses!$C$5:$C$2979,MATCH(A2942,Raw_Expenses!$A$5:$A$2979,0)),0)</f>
        <v>5.09</v>
      </c>
      <c r="N2942" s="41" t="n">
        <f aca="false">L2942+M2942</f>
        <v>41.09</v>
      </c>
      <c r="O2942" s="41" t="n">
        <f aca="false">K2942-N2942</f>
        <v>30.07</v>
      </c>
      <c r="P2942" s="43" t="n">
        <f aca="false">IF(K2942=0,0,O2942/K2942)</f>
        <v>0.4225688589095</v>
      </c>
    </row>
    <row r="2943" customFormat="false" ht="15" hidden="false" customHeight="false" outlineLevel="0" collapsed="false">
      <c r="A2943" s="39" t="s">
        <v>3065</v>
      </c>
      <c r="B2943" s="40" t="n">
        <v>46016</v>
      </c>
      <c r="C2943" s="39" t="s">
        <v>114</v>
      </c>
      <c r="D2943" s="39" t="n">
        <v>1</v>
      </c>
      <c r="E2943" s="41" t="n">
        <v>5.86</v>
      </c>
      <c r="F2943" s="39" t="s">
        <v>115</v>
      </c>
      <c r="G2943" s="39" t="str">
        <f aca="false">VLOOKUP(C2943,Products!$A$5:$D$24,2,FALSE())</f>
        <v>Gel Pen Pack</v>
      </c>
      <c r="H2943" s="39" t="str">
        <f aca="false">VLOOKUP(C2943,Products!$A$5:$D$24,3,FALSE())</f>
        <v>Stationery</v>
      </c>
      <c r="I2943" s="41" t="n">
        <f aca="false">VLOOKUP(C2943,Products!$A$5:$D$24,4,FALSE())</f>
        <v>2</v>
      </c>
      <c r="J2943" s="42" t="n">
        <f aca="false">DATE(YEAR(B2943),MONTH(B2943),1)</f>
        <v>45992</v>
      </c>
      <c r="K2943" s="41" t="n">
        <f aca="false">D2943*E2943</f>
        <v>5.86</v>
      </c>
      <c r="L2943" s="41" t="n">
        <f aca="false">D2943*I2943</f>
        <v>2</v>
      </c>
      <c r="M2943" s="41" t="n">
        <f aca="false">IFERROR(INDEX(Raw_Expenses!$C$5:$C$2979,MATCH(A2943,Raw_Expenses!$A$5:$A$2979,0)),0)</f>
        <v>0.42</v>
      </c>
      <c r="N2943" s="41" t="n">
        <f aca="false">L2943+M2943</f>
        <v>2.42</v>
      </c>
      <c r="O2943" s="41" t="n">
        <f aca="false">K2943-N2943</f>
        <v>3.44</v>
      </c>
      <c r="P2943" s="43" t="n">
        <f aca="false">IF(K2943=0,0,O2943/K2943)</f>
        <v>0.58703071672355</v>
      </c>
    </row>
    <row r="2944" customFormat="false" ht="15" hidden="false" customHeight="false" outlineLevel="0" collapsed="false">
      <c r="A2944" s="39" t="s">
        <v>3066</v>
      </c>
      <c r="B2944" s="40" t="n">
        <v>46016</v>
      </c>
      <c r="C2944" s="39" t="s">
        <v>104</v>
      </c>
      <c r="D2944" s="39" t="n">
        <v>2</v>
      </c>
      <c r="E2944" s="41" t="n">
        <v>15.77</v>
      </c>
      <c r="F2944" s="39" t="s">
        <v>115</v>
      </c>
      <c r="G2944" s="39" t="str">
        <f aca="false">VLOOKUP(C2944,Products!$A$5:$D$24,2,FALSE())</f>
        <v>Water Bottle</v>
      </c>
      <c r="H2944" s="39" t="str">
        <f aca="false">VLOOKUP(C2944,Products!$A$5:$D$24,3,FALSE())</f>
        <v>Accessories</v>
      </c>
      <c r="I2944" s="41" t="n">
        <f aca="false">VLOOKUP(C2944,Products!$A$5:$D$24,4,FALSE())</f>
        <v>5</v>
      </c>
      <c r="J2944" s="42" t="n">
        <f aca="false">DATE(YEAR(B2944),MONTH(B2944),1)</f>
        <v>45992</v>
      </c>
      <c r="K2944" s="41" t="n">
        <f aca="false">D2944*E2944</f>
        <v>31.54</v>
      </c>
      <c r="L2944" s="41" t="n">
        <f aca="false">D2944*I2944</f>
        <v>10</v>
      </c>
      <c r="M2944" s="41" t="n">
        <f aca="false">IFERROR(INDEX(Raw_Expenses!$C$5:$C$2979,MATCH(A2944,Raw_Expenses!$A$5:$A$2979,0)),0)</f>
        <v>2.78</v>
      </c>
      <c r="N2944" s="41" t="n">
        <f aca="false">L2944+M2944</f>
        <v>12.78</v>
      </c>
      <c r="O2944" s="41" t="n">
        <f aca="false">K2944-N2944</f>
        <v>18.76</v>
      </c>
      <c r="P2944" s="43" t="n">
        <f aca="false">IF(K2944=0,0,O2944/K2944)</f>
        <v>0.594800253646164</v>
      </c>
    </row>
    <row r="2945" customFormat="false" ht="15" hidden="false" customHeight="false" outlineLevel="0" collapsed="false">
      <c r="A2945" s="39" t="s">
        <v>3067</v>
      </c>
      <c r="B2945" s="40" t="n">
        <v>46016</v>
      </c>
      <c r="C2945" s="39" t="s">
        <v>162</v>
      </c>
      <c r="D2945" s="39" t="n">
        <v>5</v>
      </c>
      <c r="E2945" s="41" t="n">
        <v>65.69</v>
      </c>
      <c r="F2945" s="39" t="s">
        <v>115</v>
      </c>
      <c r="G2945" s="39" t="str">
        <f aca="false">VLOOKUP(C2945,Products!$A$5:$D$24,2,FALSE())</f>
        <v>Bluetooth Speaker</v>
      </c>
      <c r="H2945" s="39" t="str">
        <f aca="false">VLOOKUP(C2945,Products!$A$5:$D$24,3,FALSE())</f>
        <v>Electronics</v>
      </c>
      <c r="I2945" s="41" t="n">
        <f aca="false">VLOOKUP(C2945,Products!$A$5:$D$24,4,FALSE())</f>
        <v>28</v>
      </c>
      <c r="J2945" s="42" t="n">
        <f aca="false">DATE(YEAR(B2945),MONTH(B2945),1)</f>
        <v>45992</v>
      </c>
      <c r="K2945" s="41" t="n">
        <f aca="false">D2945*E2945</f>
        <v>328.45</v>
      </c>
      <c r="L2945" s="41" t="n">
        <f aca="false">D2945*I2945</f>
        <v>140</v>
      </c>
      <c r="M2945" s="41" t="n">
        <f aca="false">IFERROR(INDEX(Raw_Expenses!$C$5:$C$2979,MATCH(A2945,Raw_Expenses!$A$5:$A$2979,0)),0)</f>
        <v>18.03</v>
      </c>
      <c r="N2945" s="41" t="n">
        <f aca="false">L2945+M2945</f>
        <v>158.03</v>
      </c>
      <c r="O2945" s="41" t="n">
        <f aca="false">K2945-N2945</f>
        <v>170.42</v>
      </c>
      <c r="P2945" s="43" t="n">
        <f aca="false">IF(K2945=0,0,O2945/K2945)</f>
        <v>0.51886131831329</v>
      </c>
    </row>
    <row r="2946" customFormat="false" ht="15" hidden="false" customHeight="false" outlineLevel="0" collapsed="false">
      <c r="A2946" s="39" t="s">
        <v>3068</v>
      </c>
      <c r="B2946" s="40" t="n">
        <v>46016</v>
      </c>
      <c r="C2946" s="39" t="s">
        <v>162</v>
      </c>
      <c r="D2946" s="39" t="n">
        <v>2</v>
      </c>
      <c r="E2946" s="41" t="n">
        <v>64.61</v>
      </c>
      <c r="F2946" s="39" t="s">
        <v>115</v>
      </c>
      <c r="G2946" s="39" t="str">
        <f aca="false">VLOOKUP(C2946,Products!$A$5:$D$24,2,FALSE())</f>
        <v>Bluetooth Speaker</v>
      </c>
      <c r="H2946" s="39" t="str">
        <f aca="false">VLOOKUP(C2946,Products!$A$5:$D$24,3,FALSE())</f>
        <v>Electronics</v>
      </c>
      <c r="I2946" s="41" t="n">
        <f aca="false">VLOOKUP(C2946,Products!$A$5:$D$24,4,FALSE())</f>
        <v>28</v>
      </c>
      <c r="J2946" s="42" t="n">
        <f aca="false">DATE(YEAR(B2946),MONTH(B2946),1)</f>
        <v>45992</v>
      </c>
      <c r="K2946" s="41" t="n">
        <f aca="false">D2946*E2946</f>
        <v>129.22</v>
      </c>
      <c r="L2946" s="41" t="n">
        <f aca="false">D2946*I2946</f>
        <v>56</v>
      </c>
      <c r="M2946" s="41" t="n">
        <f aca="false">IFERROR(INDEX(Raw_Expenses!$C$5:$C$2979,MATCH(A2946,Raw_Expenses!$A$5:$A$2979,0)),0)</f>
        <v>7.61</v>
      </c>
      <c r="N2946" s="41" t="n">
        <f aca="false">L2946+M2946</f>
        <v>63.61</v>
      </c>
      <c r="O2946" s="41" t="n">
        <f aca="false">K2946-N2946</f>
        <v>65.61</v>
      </c>
      <c r="P2946" s="43" t="n">
        <f aca="false">IF(K2946=0,0,O2946/K2946)</f>
        <v>0.507738740133106</v>
      </c>
    </row>
    <row r="2947" customFormat="false" ht="15" hidden="false" customHeight="false" outlineLevel="0" collapsed="false">
      <c r="A2947" s="39" t="s">
        <v>3069</v>
      </c>
      <c r="B2947" s="40" t="n">
        <v>46016</v>
      </c>
      <c r="C2947" s="39" t="s">
        <v>136</v>
      </c>
      <c r="D2947" s="39" t="n">
        <v>2</v>
      </c>
      <c r="E2947" s="41" t="n">
        <v>76.08</v>
      </c>
      <c r="F2947" s="39" t="s">
        <v>118</v>
      </c>
      <c r="G2947" s="39" t="str">
        <f aca="false">VLOOKUP(C2947,Products!$A$5:$D$24,2,FALSE())</f>
        <v>Mechanical Keyboard</v>
      </c>
      <c r="H2947" s="39" t="str">
        <f aca="false">VLOOKUP(C2947,Products!$A$5:$D$24,3,FALSE())</f>
        <v>Electronics</v>
      </c>
      <c r="I2947" s="41" t="n">
        <f aca="false">VLOOKUP(C2947,Products!$A$5:$D$24,4,FALSE())</f>
        <v>38</v>
      </c>
      <c r="J2947" s="42" t="n">
        <f aca="false">DATE(YEAR(B2947),MONTH(B2947),1)</f>
        <v>45992</v>
      </c>
      <c r="K2947" s="41" t="n">
        <f aca="false">D2947*E2947</f>
        <v>152.16</v>
      </c>
      <c r="L2947" s="41" t="n">
        <f aca="false">D2947*I2947</f>
        <v>76</v>
      </c>
      <c r="M2947" s="41" t="n">
        <f aca="false">IFERROR(INDEX(Raw_Expenses!$C$5:$C$2979,MATCH(A2947,Raw_Expenses!$A$5:$A$2979,0)),0)</f>
        <v>6.17</v>
      </c>
      <c r="N2947" s="41" t="n">
        <f aca="false">L2947+M2947</f>
        <v>82.17</v>
      </c>
      <c r="O2947" s="41" t="n">
        <f aca="false">K2947-N2947</f>
        <v>69.99</v>
      </c>
      <c r="P2947" s="43" t="n">
        <f aca="false">IF(K2947=0,0,O2947/K2947)</f>
        <v>0.459976340694006</v>
      </c>
    </row>
    <row r="2948" customFormat="false" ht="15" hidden="false" customHeight="false" outlineLevel="0" collapsed="false">
      <c r="A2948" s="39" t="s">
        <v>3070</v>
      </c>
      <c r="B2948" s="40" t="n">
        <v>46016</v>
      </c>
      <c r="C2948" s="39" t="s">
        <v>169</v>
      </c>
      <c r="D2948" s="39" t="n">
        <v>1</v>
      </c>
      <c r="E2948" s="41" t="n">
        <v>27.43</v>
      </c>
      <c r="F2948" s="39" t="s">
        <v>118</v>
      </c>
      <c r="G2948" s="39" t="str">
        <f aca="false">VLOOKUP(C2948,Products!$A$5:$D$24,2,FALSE())</f>
        <v>Laptop Stand</v>
      </c>
      <c r="H2948" s="39" t="str">
        <f aca="false">VLOOKUP(C2948,Products!$A$5:$D$24,3,FALSE())</f>
        <v>Accessories</v>
      </c>
      <c r="I2948" s="41" t="n">
        <f aca="false">VLOOKUP(C2948,Products!$A$5:$D$24,4,FALSE())</f>
        <v>11</v>
      </c>
      <c r="J2948" s="42" t="n">
        <f aca="false">DATE(YEAR(B2948),MONTH(B2948),1)</f>
        <v>45992</v>
      </c>
      <c r="K2948" s="41" t="n">
        <f aca="false">D2948*E2948</f>
        <v>27.43</v>
      </c>
      <c r="L2948" s="41" t="n">
        <f aca="false">D2948*I2948</f>
        <v>11</v>
      </c>
      <c r="M2948" s="41" t="n">
        <f aca="false">IFERROR(INDEX(Raw_Expenses!$C$5:$C$2979,MATCH(A2948,Raw_Expenses!$A$5:$A$2979,0)),0)</f>
        <v>1.54</v>
      </c>
      <c r="N2948" s="41" t="n">
        <f aca="false">L2948+M2948</f>
        <v>12.54</v>
      </c>
      <c r="O2948" s="41" t="n">
        <f aca="false">K2948-N2948</f>
        <v>14.89</v>
      </c>
      <c r="P2948" s="43" t="n">
        <f aca="false">IF(K2948=0,0,O2948/K2948)</f>
        <v>0.542836310608823</v>
      </c>
    </row>
    <row r="2949" customFormat="false" ht="15" hidden="false" customHeight="false" outlineLevel="0" collapsed="false">
      <c r="A2949" s="39" t="s">
        <v>3071</v>
      </c>
      <c r="B2949" s="40" t="n">
        <v>46016</v>
      </c>
      <c r="C2949" s="39" t="s">
        <v>139</v>
      </c>
      <c r="D2949" s="39" t="n">
        <v>4</v>
      </c>
      <c r="E2949" s="41" t="n">
        <v>120</v>
      </c>
      <c r="F2949" s="39" t="s">
        <v>115</v>
      </c>
      <c r="G2949" s="39" t="str">
        <f aca="false">VLOOKUP(C2949,Products!$A$5:$D$24,2,FALSE())</f>
        <v>Noise-Cancelling Headphones</v>
      </c>
      <c r="H2949" s="39" t="str">
        <f aca="false">VLOOKUP(C2949,Products!$A$5:$D$24,3,FALSE())</f>
        <v>Electronics</v>
      </c>
      <c r="I2949" s="41" t="n">
        <f aca="false">VLOOKUP(C2949,Products!$A$5:$D$24,4,FALSE())</f>
        <v>55</v>
      </c>
      <c r="J2949" s="42" t="n">
        <f aca="false">DATE(YEAR(B2949),MONTH(B2949),1)</f>
        <v>45992</v>
      </c>
      <c r="K2949" s="41" t="n">
        <f aca="false">D2949*E2949</f>
        <v>480</v>
      </c>
      <c r="L2949" s="41" t="n">
        <f aca="false">D2949*I2949</f>
        <v>220</v>
      </c>
      <c r="M2949" s="41" t="n">
        <f aca="false">IFERROR(INDEX(Raw_Expenses!$C$5:$C$2979,MATCH(A2949,Raw_Expenses!$A$5:$A$2979,0)),0)</f>
        <v>30.51</v>
      </c>
      <c r="N2949" s="41" t="n">
        <f aca="false">L2949+M2949</f>
        <v>250.51</v>
      </c>
      <c r="O2949" s="41" t="n">
        <f aca="false">K2949-N2949</f>
        <v>229.49</v>
      </c>
      <c r="P2949" s="43" t="n">
        <f aca="false">IF(K2949=0,0,O2949/K2949)</f>
        <v>0.478104166666667</v>
      </c>
    </row>
    <row r="2950" customFormat="false" ht="15" hidden="false" customHeight="false" outlineLevel="0" collapsed="false">
      <c r="A2950" s="39" t="s">
        <v>3072</v>
      </c>
      <c r="B2950" s="40" t="n">
        <v>46016</v>
      </c>
      <c r="C2950" s="39" t="s">
        <v>117</v>
      </c>
      <c r="D2950" s="39" t="n">
        <v>2</v>
      </c>
      <c r="E2950" s="41" t="n">
        <v>30.39</v>
      </c>
      <c r="F2950" s="39" t="s">
        <v>105</v>
      </c>
      <c r="G2950" s="39" t="str">
        <f aca="false">VLOOKUP(C2950,Products!$A$5:$D$24,2,FALSE())</f>
        <v>Desk Lamp</v>
      </c>
      <c r="H2950" s="39" t="str">
        <f aca="false">VLOOKUP(C2950,Products!$A$5:$D$24,3,FALSE())</f>
        <v>Furniture</v>
      </c>
      <c r="I2950" s="41" t="n">
        <f aca="false">VLOOKUP(C2950,Products!$A$5:$D$24,4,FALSE())</f>
        <v>13</v>
      </c>
      <c r="J2950" s="42" t="n">
        <f aca="false">DATE(YEAR(B2950),MONTH(B2950),1)</f>
        <v>45992</v>
      </c>
      <c r="K2950" s="41" t="n">
        <f aca="false">D2950*E2950</f>
        <v>60.78</v>
      </c>
      <c r="L2950" s="41" t="n">
        <f aca="false">D2950*I2950</f>
        <v>26</v>
      </c>
      <c r="M2950" s="41" t="n">
        <f aca="false">IFERROR(INDEX(Raw_Expenses!$C$5:$C$2979,MATCH(A2950,Raw_Expenses!$A$5:$A$2979,0)),0)</f>
        <v>2.57</v>
      </c>
      <c r="N2950" s="41" t="n">
        <f aca="false">L2950+M2950</f>
        <v>28.57</v>
      </c>
      <c r="O2950" s="41" t="n">
        <f aca="false">K2950-N2950</f>
        <v>32.21</v>
      </c>
      <c r="P2950" s="43" t="n">
        <f aca="false">IF(K2950=0,0,O2950/K2950)</f>
        <v>0.529944060546232</v>
      </c>
    </row>
    <row r="2951" customFormat="false" ht="15" hidden="false" customHeight="false" outlineLevel="0" collapsed="false">
      <c r="A2951" s="39" t="s">
        <v>3073</v>
      </c>
      <c r="B2951" s="40" t="n">
        <v>46016</v>
      </c>
      <c r="C2951" s="39" t="s">
        <v>126</v>
      </c>
      <c r="D2951" s="39" t="n">
        <v>1</v>
      </c>
      <c r="E2951" s="41" t="n">
        <v>24.17</v>
      </c>
      <c r="F2951" s="39" t="s">
        <v>115</v>
      </c>
      <c r="G2951" s="39" t="str">
        <f aca="false">VLOOKUP(C2951,Products!$A$5:$D$24,2,FALSE())</f>
        <v>Wireless Mouse</v>
      </c>
      <c r="H2951" s="39" t="str">
        <f aca="false">VLOOKUP(C2951,Products!$A$5:$D$24,3,FALSE())</f>
        <v>Electronics</v>
      </c>
      <c r="I2951" s="41" t="n">
        <f aca="false">VLOOKUP(C2951,Products!$A$5:$D$24,4,FALSE())</f>
        <v>12</v>
      </c>
      <c r="J2951" s="42" t="n">
        <f aca="false">DATE(YEAR(B2951),MONTH(B2951),1)</f>
        <v>45992</v>
      </c>
      <c r="K2951" s="41" t="n">
        <f aca="false">D2951*E2951</f>
        <v>24.17</v>
      </c>
      <c r="L2951" s="41" t="n">
        <f aca="false">D2951*I2951</f>
        <v>12</v>
      </c>
      <c r="M2951" s="41" t="n">
        <f aca="false">IFERROR(INDEX(Raw_Expenses!$C$5:$C$2979,MATCH(A2951,Raw_Expenses!$A$5:$A$2979,0)),0)</f>
        <v>2.11</v>
      </c>
      <c r="N2951" s="41" t="n">
        <f aca="false">L2951+M2951</f>
        <v>14.11</v>
      </c>
      <c r="O2951" s="41" t="n">
        <f aca="false">K2951-N2951</f>
        <v>10.06</v>
      </c>
      <c r="P2951" s="43" t="n">
        <f aca="false">IF(K2951=0,0,O2951/K2951)</f>
        <v>0.416218452627224</v>
      </c>
    </row>
    <row r="2952" customFormat="false" ht="15" hidden="false" customHeight="false" outlineLevel="0" collapsed="false">
      <c r="A2952" s="39" t="s">
        <v>3074</v>
      </c>
      <c r="B2952" s="40" t="n">
        <v>46017</v>
      </c>
      <c r="C2952" s="39" t="s">
        <v>107</v>
      </c>
      <c r="D2952" s="39" t="n">
        <v>1</v>
      </c>
      <c r="E2952" s="41" t="n">
        <v>32.27</v>
      </c>
      <c r="F2952" s="39" t="s">
        <v>115</v>
      </c>
      <c r="G2952" s="39" t="str">
        <f aca="false">VLOOKUP(C2952,Products!$A$5:$D$24,2,FALSE())</f>
        <v>USB-C Hub</v>
      </c>
      <c r="H2952" s="39" t="str">
        <f aca="false">VLOOKUP(C2952,Products!$A$5:$D$24,3,FALSE())</f>
        <v>Electronics</v>
      </c>
      <c r="I2952" s="41" t="n">
        <f aca="false">VLOOKUP(C2952,Products!$A$5:$D$24,4,FALSE())</f>
        <v>14</v>
      </c>
      <c r="J2952" s="42" t="n">
        <f aca="false">DATE(YEAR(B2952),MONTH(B2952),1)</f>
        <v>45992</v>
      </c>
      <c r="K2952" s="41" t="n">
        <f aca="false">D2952*E2952</f>
        <v>32.27</v>
      </c>
      <c r="L2952" s="41" t="n">
        <f aca="false">D2952*I2952</f>
        <v>14</v>
      </c>
      <c r="M2952" s="41" t="n">
        <f aca="false">IFERROR(INDEX(Raw_Expenses!$C$5:$C$2979,MATCH(A2952,Raw_Expenses!$A$5:$A$2979,0)),0)</f>
        <v>2.84</v>
      </c>
      <c r="N2952" s="41" t="n">
        <f aca="false">L2952+M2952</f>
        <v>16.84</v>
      </c>
      <c r="O2952" s="41" t="n">
        <f aca="false">K2952-N2952</f>
        <v>15.43</v>
      </c>
      <c r="P2952" s="43" t="n">
        <f aca="false">IF(K2952=0,0,O2952/K2952)</f>
        <v>0.478153083359157</v>
      </c>
    </row>
    <row r="2953" customFormat="false" ht="15" hidden="false" customHeight="false" outlineLevel="0" collapsed="false">
      <c r="A2953" s="39" t="s">
        <v>3075</v>
      </c>
      <c r="B2953" s="40" t="n">
        <v>46017</v>
      </c>
      <c r="C2953" s="39" t="s">
        <v>114</v>
      </c>
      <c r="D2953" s="39" t="n">
        <v>1</v>
      </c>
      <c r="E2953" s="41" t="n">
        <v>5.67</v>
      </c>
      <c r="F2953" s="39" t="s">
        <v>108</v>
      </c>
      <c r="G2953" s="39" t="str">
        <f aca="false">VLOOKUP(C2953,Products!$A$5:$D$24,2,FALSE())</f>
        <v>Gel Pen Pack</v>
      </c>
      <c r="H2953" s="39" t="str">
        <f aca="false">VLOOKUP(C2953,Products!$A$5:$D$24,3,FALSE())</f>
        <v>Stationery</v>
      </c>
      <c r="I2953" s="41" t="n">
        <f aca="false">VLOOKUP(C2953,Products!$A$5:$D$24,4,FALSE())</f>
        <v>2</v>
      </c>
      <c r="J2953" s="42" t="n">
        <f aca="false">DATE(YEAR(B2953),MONTH(B2953),1)</f>
        <v>45992</v>
      </c>
      <c r="K2953" s="41" t="n">
        <f aca="false">D2953*E2953</f>
        <v>5.67</v>
      </c>
      <c r="L2953" s="41" t="n">
        <f aca="false">D2953*I2953</f>
        <v>2</v>
      </c>
      <c r="M2953" s="41" t="n">
        <f aca="false">IFERROR(INDEX(Raw_Expenses!$C$5:$C$2979,MATCH(A2953,Raw_Expenses!$A$5:$A$2979,0)),0)</f>
        <v>0.27</v>
      </c>
      <c r="N2953" s="41" t="n">
        <f aca="false">L2953+M2953</f>
        <v>2.27</v>
      </c>
      <c r="O2953" s="41" t="n">
        <f aca="false">K2953-N2953</f>
        <v>3.4</v>
      </c>
      <c r="P2953" s="43" t="n">
        <f aca="false">IF(K2953=0,0,O2953/K2953)</f>
        <v>0.599647266313933</v>
      </c>
    </row>
    <row r="2954" customFormat="false" ht="15" hidden="false" customHeight="false" outlineLevel="0" collapsed="false">
      <c r="A2954" s="39" t="s">
        <v>3076</v>
      </c>
      <c r="B2954" s="40" t="n">
        <v>46017</v>
      </c>
      <c r="C2954" s="39" t="s">
        <v>128</v>
      </c>
      <c r="D2954" s="39" t="n">
        <v>1</v>
      </c>
      <c r="E2954" s="41" t="n">
        <v>38.08</v>
      </c>
      <c r="F2954" s="39" t="s">
        <v>108</v>
      </c>
      <c r="G2954" s="39" t="str">
        <f aca="false">VLOOKUP(C2954,Products!$A$5:$D$24,2,FALSE())</f>
        <v>Ergonomic Footrest</v>
      </c>
      <c r="H2954" s="39" t="str">
        <f aca="false">VLOOKUP(C2954,Products!$A$5:$D$24,3,FALSE())</f>
        <v>Furniture</v>
      </c>
      <c r="I2954" s="41" t="n">
        <f aca="false">VLOOKUP(C2954,Products!$A$5:$D$24,4,FALSE())</f>
        <v>15</v>
      </c>
      <c r="J2954" s="42" t="n">
        <f aca="false">DATE(YEAR(B2954),MONTH(B2954),1)</f>
        <v>45992</v>
      </c>
      <c r="K2954" s="41" t="n">
        <f aca="false">D2954*E2954</f>
        <v>38.08</v>
      </c>
      <c r="L2954" s="41" t="n">
        <f aca="false">D2954*I2954</f>
        <v>15</v>
      </c>
      <c r="M2954" s="41" t="n">
        <f aca="false">IFERROR(INDEX(Raw_Expenses!$C$5:$C$2979,MATCH(A2954,Raw_Expenses!$A$5:$A$2979,0)),0)</f>
        <v>1.65</v>
      </c>
      <c r="N2954" s="41" t="n">
        <f aca="false">L2954+M2954</f>
        <v>16.65</v>
      </c>
      <c r="O2954" s="41" t="n">
        <f aca="false">K2954-N2954</f>
        <v>21.43</v>
      </c>
      <c r="P2954" s="43" t="n">
        <f aca="false">IF(K2954=0,0,O2954/K2954)</f>
        <v>0.562762605042017</v>
      </c>
    </row>
    <row r="2955" customFormat="false" ht="15" hidden="false" customHeight="false" outlineLevel="0" collapsed="false">
      <c r="A2955" s="39" t="s">
        <v>3077</v>
      </c>
      <c r="B2955" s="40" t="n">
        <v>46017</v>
      </c>
      <c r="C2955" s="39" t="s">
        <v>104</v>
      </c>
      <c r="D2955" s="39" t="n">
        <v>3</v>
      </c>
      <c r="E2955" s="41" t="n">
        <v>15.18</v>
      </c>
      <c r="F2955" s="39" t="s">
        <v>118</v>
      </c>
      <c r="G2955" s="39" t="str">
        <f aca="false">VLOOKUP(C2955,Products!$A$5:$D$24,2,FALSE())</f>
        <v>Water Bottle</v>
      </c>
      <c r="H2955" s="39" t="str">
        <f aca="false">VLOOKUP(C2955,Products!$A$5:$D$24,3,FALSE())</f>
        <v>Accessories</v>
      </c>
      <c r="I2955" s="41" t="n">
        <f aca="false">VLOOKUP(C2955,Products!$A$5:$D$24,4,FALSE())</f>
        <v>5</v>
      </c>
      <c r="J2955" s="42" t="n">
        <f aca="false">DATE(YEAR(B2955),MONTH(B2955),1)</f>
        <v>45992</v>
      </c>
      <c r="K2955" s="41" t="n">
        <f aca="false">D2955*E2955</f>
        <v>45.54</v>
      </c>
      <c r="L2955" s="41" t="n">
        <f aca="false">D2955*I2955</f>
        <v>15</v>
      </c>
      <c r="M2955" s="41" t="n">
        <f aca="false">IFERROR(INDEX(Raw_Expenses!$C$5:$C$2979,MATCH(A2955,Raw_Expenses!$A$5:$A$2979,0)),0)</f>
        <v>3.65</v>
      </c>
      <c r="N2955" s="41" t="n">
        <f aca="false">L2955+M2955</f>
        <v>18.65</v>
      </c>
      <c r="O2955" s="41" t="n">
        <f aca="false">K2955-N2955</f>
        <v>26.89</v>
      </c>
      <c r="P2955" s="43" t="n">
        <f aca="false">IF(K2955=0,0,O2955/K2955)</f>
        <v>0.590469916556873</v>
      </c>
    </row>
    <row r="2956" customFormat="false" ht="15" hidden="false" customHeight="false" outlineLevel="0" collapsed="false">
      <c r="A2956" s="39" t="s">
        <v>3078</v>
      </c>
      <c r="B2956" s="40" t="n">
        <v>46017</v>
      </c>
      <c r="C2956" s="39" t="s">
        <v>183</v>
      </c>
      <c r="D2956" s="39" t="n">
        <v>3</v>
      </c>
      <c r="E2956" s="41" t="n">
        <v>185.09</v>
      </c>
      <c r="F2956" s="39" t="s">
        <v>115</v>
      </c>
      <c r="G2956" s="39" t="str">
        <f aca="false">VLOOKUP(C2956,Products!$A$5:$D$24,2,FALSE())</f>
        <v>Office Chair</v>
      </c>
      <c r="H2956" s="39" t="str">
        <f aca="false">VLOOKUP(C2956,Products!$A$5:$D$24,3,FALSE())</f>
        <v>Furniture</v>
      </c>
      <c r="I2956" s="41" t="n">
        <f aca="false">VLOOKUP(C2956,Products!$A$5:$D$24,4,FALSE())</f>
        <v>85</v>
      </c>
      <c r="J2956" s="42" t="n">
        <f aca="false">DATE(YEAR(B2956),MONTH(B2956),1)</f>
        <v>45992</v>
      </c>
      <c r="K2956" s="41" t="n">
        <f aca="false">D2956*E2956</f>
        <v>555.27</v>
      </c>
      <c r="L2956" s="41" t="n">
        <f aca="false">D2956*I2956</f>
        <v>255</v>
      </c>
      <c r="M2956" s="41" t="n">
        <f aca="false">IFERROR(INDEX(Raw_Expenses!$C$5:$C$2979,MATCH(A2956,Raw_Expenses!$A$5:$A$2979,0)),0)</f>
        <v>43.98</v>
      </c>
      <c r="N2956" s="41" t="n">
        <f aca="false">L2956+M2956</f>
        <v>298.98</v>
      </c>
      <c r="O2956" s="41" t="n">
        <f aca="false">K2956-N2956</f>
        <v>256.29</v>
      </c>
      <c r="P2956" s="43" t="n">
        <f aca="false">IF(K2956=0,0,O2956/K2956)</f>
        <v>0.461559241450105</v>
      </c>
    </row>
    <row r="2957" customFormat="false" ht="15" hidden="false" customHeight="false" outlineLevel="0" collapsed="false">
      <c r="A2957" s="39" t="s">
        <v>3079</v>
      </c>
      <c r="B2957" s="40" t="n">
        <v>46017</v>
      </c>
      <c r="C2957" s="39" t="s">
        <v>305</v>
      </c>
      <c r="D2957" s="39" t="n">
        <v>1</v>
      </c>
      <c r="E2957" s="41" t="n">
        <v>339.64</v>
      </c>
      <c r="F2957" s="39" t="s">
        <v>115</v>
      </c>
      <c r="G2957" s="39" t="str">
        <f aca="false">VLOOKUP(C2957,Products!$A$5:$D$24,2,FALSE())</f>
        <v>Standing Desk</v>
      </c>
      <c r="H2957" s="39" t="str">
        <f aca="false">VLOOKUP(C2957,Products!$A$5:$D$24,3,FALSE())</f>
        <v>Furniture</v>
      </c>
      <c r="I2957" s="41" t="n">
        <f aca="false">VLOOKUP(C2957,Products!$A$5:$D$24,4,FALSE())</f>
        <v>160</v>
      </c>
      <c r="J2957" s="42" t="n">
        <f aca="false">DATE(YEAR(B2957),MONTH(B2957),1)</f>
        <v>45992</v>
      </c>
      <c r="K2957" s="41" t="n">
        <f aca="false">D2957*E2957</f>
        <v>339.64</v>
      </c>
      <c r="L2957" s="41" t="n">
        <f aca="false">D2957*I2957</f>
        <v>160</v>
      </c>
      <c r="M2957" s="41" t="n">
        <f aca="false">IFERROR(INDEX(Raw_Expenses!$C$5:$C$2979,MATCH(A2957,Raw_Expenses!$A$5:$A$2979,0)),0)</f>
        <v>16.96</v>
      </c>
      <c r="N2957" s="41" t="n">
        <f aca="false">L2957+M2957</f>
        <v>176.96</v>
      </c>
      <c r="O2957" s="41" t="n">
        <f aca="false">K2957-N2957</f>
        <v>162.68</v>
      </c>
      <c r="P2957" s="43" t="n">
        <f aca="false">IF(K2957=0,0,O2957/K2957)</f>
        <v>0.478977741137675</v>
      </c>
    </row>
    <row r="2958" customFormat="false" ht="15" hidden="false" customHeight="false" outlineLevel="0" collapsed="false">
      <c r="A2958" s="39" t="s">
        <v>3080</v>
      </c>
      <c r="B2958" s="40" t="n">
        <v>46017</v>
      </c>
      <c r="C2958" s="39" t="s">
        <v>121</v>
      </c>
      <c r="D2958" s="39" t="n">
        <v>4</v>
      </c>
      <c r="E2958" s="41" t="n">
        <v>112.51</v>
      </c>
      <c r="F2958" s="39" t="s">
        <v>115</v>
      </c>
      <c r="G2958" s="39" t="str">
        <f aca="false">VLOOKUP(C2958,Products!$A$5:$D$24,2,FALSE())</f>
        <v>External SSD 1TB</v>
      </c>
      <c r="H2958" s="39" t="str">
        <f aca="false">VLOOKUP(C2958,Products!$A$5:$D$24,3,FALSE())</f>
        <v>Electronics</v>
      </c>
      <c r="I2958" s="41" t="n">
        <f aca="false">VLOOKUP(C2958,Products!$A$5:$D$24,4,FALSE())</f>
        <v>62</v>
      </c>
      <c r="J2958" s="42" t="n">
        <f aca="false">DATE(YEAR(B2958),MONTH(B2958),1)</f>
        <v>45992</v>
      </c>
      <c r="K2958" s="41" t="n">
        <f aca="false">D2958*E2958</f>
        <v>450.04</v>
      </c>
      <c r="L2958" s="41" t="n">
        <f aca="false">D2958*I2958</f>
        <v>248</v>
      </c>
      <c r="M2958" s="41" t="n">
        <f aca="false">IFERROR(INDEX(Raw_Expenses!$C$5:$C$2979,MATCH(A2958,Raw_Expenses!$A$5:$A$2979,0)),0)</f>
        <v>23.69</v>
      </c>
      <c r="N2958" s="41" t="n">
        <f aca="false">L2958+M2958</f>
        <v>271.69</v>
      </c>
      <c r="O2958" s="41" t="n">
        <f aca="false">K2958-N2958</f>
        <v>178.35</v>
      </c>
      <c r="P2958" s="43" t="n">
        <f aca="false">IF(K2958=0,0,O2958/K2958)</f>
        <v>0.396298106834948</v>
      </c>
    </row>
    <row r="2959" customFormat="false" ht="15" hidden="false" customHeight="false" outlineLevel="0" collapsed="false">
      <c r="A2959" s="39" t="s">
        <v>3081</v>
      </c>
      <c r="B2959" s="40" t="n">
        <v>46017</v>
      </c>
      <c r="C2959" s="39" t="s">
        <v>130</v>
      </c>
      <c r="D2959" s="39" t="n">
        <v>2</v>
      </c>
      <c r="E2959" s="41" t="n">
        <v>8.36</v>
      </c>
      <c r="F2959" s="39" t="s">
        <v>108</v>
      </c>
      <c r="G2959" s="39" t="str">
        <f aca="false">VLOOKUP(C2959,Products!$A$5:$D$24,2,FALSE())</f>
        <v>Notebook Set</v>
      </c>
      <c r="H2959" s="39" t="str">
        <f aca="false">VLOOKUP(C2959,Products!$A$5:$D$24,3,FALSE())</f>
        <v>Stationery</v>
      </c>
      <c r="I2959" s="41" t="n">
        <f aca="false">VLOOKUP(C2959,Products!$A$5:$D$24,4,FALSE())</f>
        <v>3</v>
      </c>
      <c r="J2959" s="42" t="n">
        <f aca="false">DATE(YEAR(B2959),MONTH(B2959),1)</f>
        <v>45992</v>
      </c>
      <c r="K2959" s="41" t="n">
        <f aca="false">D2959*E2959</f>
        <v>16.72</v>
      </c>
      <c r="L2959" s="41" t="n">
        <f aca="false">D2959*I2959</f>
        <v>6</v>
      </c>
      <c r="M2959" s="41" t="n">
        <f aca="false">IFERROR(INDEX(Raw_Expenses!$C$5:$C$2979,MATCH(A2959,Raw_Expenses!$A$5:$A$2979,0)),0)</f>
        <v>0.7</v>
      </c>
      <c r="N2959" s="41" t="n">
        <f aca="false">L2959+M2959</f>
        <v>6.7</v>
      </c>
      <c r="O2959" s="41" t="n">
        <f aca="false">K2959-N2959</f>
        <v>10.02</v>
      </c>
      <c r="P2959" s="43" t="n">
        <f aca="false">IF(K2959=0,0,O2959/K2959)</f>
        <v>0.599282296650718</v>
      </c>
    </row>
    <row r="2960" customFormat="false" ht="15" hidden="false" customHeight="false" outlineLevel="0" collapsed="false">
      <c r="A2960" s="39" t="s">
        <v>3082</v>
      </c>
      <c r="B2960" s="40" t="n">
        <v>46017</v>
      </c>
      <c r="C2960" s="39" t="s">
        <v>162</v>
      </c>
      <c r="D2960" s="39" t="n">
        <v>6</v>
      </c>
      <c r="E2960" s="41" t="n">
        <v>67.8</v>
      </c>
      <c r="F2960" s="39" t="s">
        <v>118</v>
      </c>
      <c r="G2960" s="39" t="str">
        <f aca="false">VLOOKUP(C2960,Products!$A$5:$D$24,2,FALSE())</f>
        <v>Bluetooth Speaker</v>
      </c>
      <c r="H2960" s="39" t="str">
        <f aca="false">VLOOKUP(C2960,Products!$A$5:$D$24,3,FALSE())</f>
        <v>Electronics</v>
      </c>
      <c r="I2960" s="41" t="n">
        <f aca="false">VLOOKUP(C2960,Products!$A$5:$D$24,4,FALSE())</f>
        <v>28</v>
      </c>
      <c r="J2960" s="42" t="n">
        <f aca="false">DATE(YEAR(B2960),MONTH(B2960),1)</f>
        <v>45992</v>
      </c>
      <c r="K2960" s="41" t="n">
        <f aca="false">D2960*E2960</f>
        <v>406.8</v>
      </c>
      <c r="L2960" s="41" t="n">
        <f aca="false">D2960*I2960</f>
        <v>168</v>
      </c>
      <c r="M2960" s="41" t="n">
        <f aca="false">IFERROR(INDEX(Raw_Expenses!$C$5:$C$2979,MATCH(A2960,Raw_Expenses!$A$5:$A$2979,0)),0)</f>
        <v>28.34</v>
      </c>
      <c r="N2960" s="41" t="n">
        <f aca="false">L2960+M2960</f>
        <v>196.34</v>
      </c>
      <c r="O2960" s="41" t="n">
        <f aca="false">K2960-N2960</f>
        <v>210.46</v>
      </c>
      <c r="P2960" s="43" t="n">
        <f aca="false">IF(K2960=0,0,O2960/K2960)</f>
        <v>0.517354965585054</v>
      </c>
    </row>
    <row r="2961" customFormat="false" ht="15" hidden="false" customHeight="false" outlineLevel="0" collapsed="false">
      <c r="A2961" s="39" t="s">
        <v>3083</v>
      </c>
      <c r="B2961" s="40" t="n">
        <v>46017</v>
      </c>
      <c r="C2961" s="39" t="s">
        <v>133</v>
      </c>
      <c r="D2961" s="39" t="n">
        <v>1</v>
      </c>
      <c r="E2961" s="41" t="n">
        <v>8.78</v>
      </c>
      <c r="F2961" s="39" t="s">
        <v>105</v>
      </c>
      <c r="G2961" s="39" t="str">
        <f aca="false">VLOOKUP(C2961,Products!$A$5:$D$24,2,FALSE())</f>
        <v>Printer Paper Ream</v>
      </c>
      <c r="H2961" s="39" t="str">
        <f aca="false">VLOOKUP(C2961,Products!$A$5:$D$24,3,FALSE())</f>
        <v>Stationery</v>
      </c>
      <c r="I2961" s="41" t="n">
        <f aca="false">VLOOKUP(C2961,Products!$A$5:$D$24,4,FALSE())</f>
        <v>4</v>
      </c>
      <c r="J2961" s="42" t="n">
        <f aca="false">DATE(YEAR(B2961),MONTH(B2961),1)</f>
        <v>45992</v>
      </c>
      <c r="K2961" s="41" t="n">
        <f aca="false">D2961*E2961</f>
        <v>8.78</v>
      </c>
      <c r="L2961" s="41" t="n">
        <f aca="false">D2961*I2961</f>
        <v>4</v>
      </c>
      <c r="M2961" s="41" t="n">
        <f aca="false">IFERROR(INDEX(Raw_Expenses!$C$5:$C$2979,MATCH(A2961,Raw_Expenses!$A$5:$A$2979,0)),0)</f>
        <v>0.49</v>
      </c>
      <c r="N2961" s="41" t="n">
        <f aca="false">L2961+M2961</f>
        <v>4.49</v>
      </c>
      <c r="O2961" s="41" t="n">
        <f aca="false">K2961-N2961</f>
        <v>4.29</v>
      </c>
      <c r="P2961" s="43" t="n">
        <f aca="false">IF(K2961=0,0,O2961/K2961)</f>
        <v>0.488610478359909</v>
      </c>
    </row>
    <row r="2962" customFormat="false" ht="15" hidden="false" customHeight="false" outlineLevel="0" collapsed="false">
      <c r="A2962" s="39" t="s">
        <v>3084</v>
      </c>
      <c r="B2962" s="40" t="n">
        <v>46017</v>
      </c>
      <c r="C2962" s="39" t="s">
        <v>177</v>
      </c>
      <c r="D2962" s="39" t="n">
        <v>3</v>
      </c>
      <c r="E2962" s="41" t="n">
        <v>43.58</v>
      </c>
      <c r="F2962" s="39" t="s">
        <v>105</v>
      </c>
      <c r="G2962" s="39" t="str">
        <f aca="false">VLOOKUP(C2962,Products!$A$5:$D$24,2,FALSE())</f>
        <v>Backpack</v>
      </c>
      <c r="H2962" s="39" t="str">
        <f aca="false">VLOOKUP(C2962,Products!$A$5:$D$24,3,FALSE())</f>
        <v>Accessories</v>
      </c>
      <c r="I2962" s="41" t="n">
        <f aca="false">VLOOKUP(C2962,Products!$A$5:$D$24,4,FALSE())</f>
        <v>17</v>
      </c>
      <c r="J2962" s="42" t="n">
        <f aca="false">DATE(YEAR(B2962),MONTH(B2962),1)</f>
        <v>45992</v>
      </c>
      <c r="K2962" s="41" t="n">
        <f aca="false">D2962*E2962</f>
        <v>130.74</v>
      </c>
      <c r="L2962" s="41" t="n">
        <f aca="false">D2962*I2962</f>
        <v>51</v>
      </c>
      <c r="M2962" s="41" t="n">
        <f aca="false">IFERROR(INDEX(Raw_Expenses!$C$5:$C$2979,MATCH(A2962,Raw_Expenses!$A$5:$A$2979,0)),0)</f>
        <v>8.47</v>
      </c>
      <c r="N2962" s="41" t="n">
        <f aca="false">L2962+M2962</f>
        <v>59.47</v>
      </c>
      <c r="O2962" s="41" t="n">
        <f aca="false">K2962-N2962</f>
        <v>71.27</v>
      </c>
      <c r="P2962" s="43" t="n">
        <f aca="false">IF(K2962=0,0,O2962/K2962)</f>
        <v>0.545127734434756</v>
      </c>
    </row>
    <row r="2963" customFormat="false" ht="15" hidden="false" customHeight="false" outlineLevel="0" collapsed="false">
      <c r="A2963" s="39" t="s">
        <v>3085</v>
      </c>
      <c r="B2963" s="40" t="n">
        <v>46017</v>
      </c>
      <c r="C2963" s="39" t="s">
        <v>117</v>
      </c>
      <c r="D2963" s="39" t="n">
        <v>2</v>
      </c>
      <c r="E2963" s="41" t="n">
        <v>29.74</v>
      </c>
      <c r="F2963" s="39" t="s">
        <v>118</v>
      </c>
      <c r="G2963" s="39" t="str">
        <f aca="false">VLOOKUP(C2963,Products!$A$5:$D$24,2,FALSE())</f>
        <v>Desk Lamp</v>
      </c>
      <c r="H2963" s="39" t="str">
        <f aca="false">VLOOKUP(C2963,Products!$A$5:$D$24,3,FALSE())</f>
        <v>Furniture</v>
      </c>
      <c r="I2963" s="41" t="n">
        <f aca="false">VLOOKUP(C2963,Products!$A$5:$D$24,4,FALSE())</f>
        <v>13</v>
      </c>
      <c r="J2963" s="42" t="n">
        <f aca="false">DATE(YEAR(B2963),MONTH(B2963),1)</f>
        <v>45992</v>
      </c>
      <c r="K2963" s="41" t="n">
        <f aca="false">D2963*E2963</f>
        <v>59.48</v>
      </c>
      <c r="L2963" s="41" t="n">
        <f aca="false">D2963*I2963</f>
        <v>26</v>
      </c>
      <c r="M2963" s="41" t="n">
        <f aca="false">IFERROR(INDEX(Raw_Expenses!$C$5:$C$2979,MATCH(A2963,Raw_Expenses!$A$5:$A$2979,0)),0)</f>
        <v>4.87</v>
      </c>
      <c r="N2963" s="41" t="n">
        <f aca="false">L2963+M2963</f>
        <v>30.87</v>
      </c>
      <c r="O2963" s="41" t="n">
        <f aca="false">K2963-N2963</f>
        <v>28.61</v>
      </c>
      <c r="P2963" s="43" t="n">
        <f aca="false">IF(K2963=0,0,O2963/K2963)</f>
        <v>0.481002017484869</v>
      </c>
    </row>
    <row r="2964" customFormat="false" ht="15" hidden="false" customHeight="false" outlineLevel="0" collapsed="false">
      <c r="A2964" s="39" t="s">
        <v>3086</v>
      </c>
      <c r="B2964" s="40" t="n">
        <v>46017</v>
      </c>
      <c r="C2964" s="39" t="s">
        <v>162</v>
      </c>
      <c r="D2964" s="39" t="n">
        <v>3</v>
      </c>
      <c r="E2964" s="41" t="n">
        <v>68.03</v>
      </c>
      <c r="F2964" s="39" t="s">
        <v>108</v>
      </c>
      <c r="G2964" s="39" t="str">
        <f aca="false">VLOOKUP(C2964,Products!$A$5:$D$24,2,FALSE())</f>
        <v>Bluetooth Speaker</v>
      </c>
      <c r="H2964" s="39" t="str">
        <f aca="false">VLOOKUP(C2964,Products!$A$5:$D$24,3,FALSE())</f>
        <v>Electronics</v>
      </c>
      <c r="I2964" s="41" t="n">
        <f aca="false">VLOOKUP(C2964,Products!$A$5:$D$24,4,FALSE())</f>
        <v>28</v>
      </c>
      <c r="J2964" s="42" t="n">
        <f aca="false">DATE(YEAR(B2964),MONTH(B2964),1)</f>
        <v>45992</v>
      </c>
      <c r="K2964" s="41" t="n">
        <f aca="false">D2964*E2964</f>
        <v>204.09</v>
      </c>
      <c r="L2964" s="41" t="n">
        <f aca="false">D2964*I2964</f>
        <v>84</v>
      </c>
      <c r="M2964" s="41" t="n">
        <f aca="false">IFERROR(INDEX(Raw_Expenses!$C$5:$C$2979,MATCH(A2964,Raw_Expenses!$A$5:$A$2979,0)),0)</f>
        <v>13.35</v>
      </c>
      <c r="N2964" s="41" t="n">
        <f aca="false">L2964+M2964</f>
        <v>97.35</v>
      </c>
      <c r="O2964" s="41" t="n">
        <f aca="false">K2964-N2964</f>
        <v>106.74</v>
      </c>
      <c r="P2964" s="43" t="n">
        <f aca="false">IF(K2964=0,0,O2964/K2964)</f>
        <v>0.523004556813171</v>
      </c>
    </row>
    <row r="2965" customFormat="false" ht="15" hidden="false" customHeight="false" outlineLevel="0" collapsed="false">
      <c r="A2965" s="39" t="s">
        <v>3087</v>
      </c>
      <c r="B2965" s="40" t="n">
        <v>46017</v>
      </c>
      <c r="C2965" s="39" t="s">
        <v>183</v>
      </c>
      <c r="D2965" s="39" t="n">
        <v>2</v>
      </c>
      <c r="E2965" s="41" t="n">
        <v>179.29</v>
      </c>
      <c r="F2965" s="39" t="s">
        <v>108</v>
      </c>
      <c r="G2965" s="39" t="str">
        <f aca="false">VLOOKUP(C2965,Products!$A$5:$D$24,2,FALSE())</f>
        <v>Office Chair</v>
      </c>
      <c r="H2965" s="39" t="str">
        <f aca="false">VLOOKUP(C2965,Products!$A$5:$D$24,3,FALSE())</f>
        <v>Furniture</v>
      </c>
      <c r="I2965" s="41" t="n">
        <f aca="false">VLOOKUP(C2965,Products!$A$5:$D$24,4,FALSE())</f>
        <v>85</v>
      </c>
      <c r="J2965" s="42" t="n">
        <f aca="false">DATE(YEAR(B2965),MONTH(B2965),1)</f>
        <v>45992</v>
      </c>
      <c r="K2965" s="41" t="n">
        <f aca="false">D2965*E2965</f>
        <v>358.58</v>
      </c>
      <c r="L2965" s="41" t="n">
        <f aca="false">D2965*I2965</f>
        <v>170</v>
      </c>
      <c r="M2965" s="41" t="n">
        <f aca="false">IFERROR(INDEX(Raw_Expenses!$C$5:$C$2979,MATCH(A2965,Raw_Expenses!$A$5:$A$2979,0)),0)</f>
        <v>18.16</v>
      </c>
      <c r="N2965" s="41" t="n">
        <f aca="false">L2965+M2965</f>
        <v>188.16</v>
      </c>
      <c r="O2965" s="41" t="n">
        <f aca="false">K2965-N2965</f>
        <v>170.42</v>
      </c>
      <c r="P2965" s="43" t="n">
        <f aca="false">IF(K2965=0,0,O2965/K2965)</f>
        <v>0.475263539516984</v>
      </c>
    </row>
    <row r="2966" customFormat="false" ht="15" hidden="false" customHeight="false" outlineLevel="0" collapsed="false">
      <c r="A2966" s="39" t="s">
        <v>3088</v>
      </c>
      <c r="B2966" s="40" t="n">
        <v>46017</v>
      </c>
      <c r="C2966" s="39" t="s">
        <v>126</v>
      </c>
      <c r="D2966" s="39" t="n">
        <v>1</v>
      </c>
      <c r="E2966" s="41" t="n">
        <v>23.35</v>
      </c>
      <c r="F2966" s="39" t="s">
        <v>118</v>
      </c>
      <c r="G2966" s="39" t="str">
        <f aca="false">VLOOKUP(C2966,Products!$A$5:$D$24,2,FALSE())</f>
        <v>Wireless Mouse</v>
      </c>
      <c r="H2966" s="39" t="str">
        <f aca="false">VLOOKUP(C2966,Products!$A$5:$D$24,3,FALSE())</f>
        <v>Electronics</v>
      </c>
      <c r="I2966" s="41" t="n">
        <f aca="false">VLOOKUP(C2966,Products!$A$5:$D$24,4,FALSE())</f>
        <v>12</v>
      </c>
      <c r="J2966" s="42" t="n">
        <f aca="false">DATE(YEAR(B2966),MONTH(B2966),1)</f>
        <v>45992</v>
      </c>
      <c r="K2966" s="41" t="n">
        <f aca="false">D2966*E2966</f>
        <v>23.35</v>
      </c>
      <c r="L2966" s="41" t="n">
        <f aca="false">D2966*I2966</f>
        <v>12</v>
      </c>
      <c r="M2966" s="41" t="n">
        <f aca="false">IFERROR(INDEX(Raw_Expenses!$C$5:$C$2979,MATCH(A2966,Raw_Expenses!$A$5:$A$2979,0)),0)</f>
        <v>1.75</v>
      </c>
      <c r="N2966" s="41" t="n">
        <f aca="false">L2966+M2966</f>
        <v>13.75</v>
      </c>
      <c r="O2966" s="41" t="n">
        <f aca="false">K2966-N2966</f>
        <v>9.6</v>
      </c>
      <c r="P2966" s="43" t="n">
        <f aca="false">IF(K2966=0,0,O2966/K2966)</f>
        <v>0.411134903640257</v>
      </c>
    </row>
    <row r="2967" customFormat="false" ht="15" hidden="false" customHeight="false" outlineLevel="0" collapsed="false">
      <c r="A2967" s="39" t="s">
        <v>3089</v>
      </c>
      <c r="B2967" s="40" t="n">
        <v>46017</v>
      </c>
      <c r="C2967" s="39" t="s">
        <v>133</v>
      </c>
      <c r="D2967" s="39" t="n">
        <v>2</v>
      </c>
      <c r="E2967" s="41" t="n">
        <v>8.81</v>
      </c>
      <c r="F2967" s="39" t="s">
        <v>108</v>
      </c>
      <c r="G2967" s="39" t="str">
        <f aca="false">VLOOKUP(C2967,Products!$A$5:$D$24,2,FALSE())</f>
        <v>Printer Paper Ream</v>
      </c>
      <c r="H2967" s="39" t="str">
        <f aca="false">VLOOKUP(C2967,Products!$A$5:$D$24,3,FALSE())</f>
        <v>Stationery</v>
      </c>
      <c r="I2967" s="41" t="n">
        <f aca="false">VLOOKUP(C2967,Products!$A$5:$D$24,4,FALSE())</f>
        <v>4</v>
      </c>
      <c r="J2967" s="42" t="n">
        <f aca="false">DATE(YEAR(B2967),MONTH(B2967),1)</f>
        <v>45992</v>
      </c>
      <c r="K2967" s="41" t="n">
        <f aca="false">D2967*E2967</f>
        <v>17.62</v>
      </c>
      <c r="L2967" s="41" t="n">
        <f aca="false">D2967*I2967</f>
        <v>8</v>
      </c>
      <c r="M2967" s="41" t="n">
        <f aca="false">IFERROR(INDEX(Raw_Expenses!$C$5:$C$2979,MATCH(A2967,Raw_Expenses!$A$5:$A$2979,0)),0)</f>
        <v>1.44</v>
      </c>
      <c r="N2967" s="41" t="n">
        <f aca="false">L2967+M2967</f>
        <v>9.44</v>
      </c>
      <c r="O2967" s="41" t="n">
        <f aca="false">K2967-N2967</f>
        <v>8.18</v>
      </c>
      <c r="P2967" s="43" t="n">
        <f aca="false">IF(K2967=0,0,O2967/K2967)</f>
        <v>0.464245175936436</v>
      </c>
    </row>
    <row r="2968" customFormat="false" ht="15" hidden="false" customHeight="false" outlineLevel="0" collapsed="false">
      <c r="A2968" s="39" t="s">
        <v>3090</v>
      </c>
      <c r="B2968" s="40" t="n">
        <v>46017</v>
      </c>
      <c r="C2968" s="39" t="s">
        <v>121</v>
      </c>
      <c r="D2968" s="39" t="n">
        <v>3</v>
      </c>
      <c r="E2968" s="41" t="n">
        <v>113.83</v>
      </c>
      <c r="F2968" s="39" t="s">
        <v>115</v>
      </c>
      <c r="G2968" s="39" t="str">
        <f aca="false">VLOOKUP(C2968,Products!$A$5:$D$24,2,FALSE())</f>
        <v>External SSD 1TB</v>
      </c>
      <c r="H2968" s="39" t="str">
        <f aca="false">VLOOKUP(C2968,Products!$A$5:$D$24,3,FALSE())</f>
        <v>Electronics</v>
      </c>
      <c r="I2968" s="41" t="n">
        <f aca="false">VLOOKUP(C2968,Products!$A$5:$D$24,4,FALSE())</f>
        <v>62</v>
      </c>
      <c r="J2968" s="42" t="n">
        <f aca="false">DATE(YEAR(B2968),MONTH(B2968),1)</f>
        <v>45992</v>
      </c>
      <c r="K2968" s="41" t="n">
        <f aca="false">D2968*E2968</f>
        <v>341.49</v>
      </c>
      <c r="L2968" s="41" t="n">
        <f aca="false">D2968*I2968</f>
        <v>186</v>
      </c>
      <c r="M2968" s="41" t="n">
        <f aca="false">IFERROR(INDEX(Raw_Expenses!$C$5:$C$2979,MATCH(A2968,Raw_Expenses!$A$5:$A$2979,0)),0)</f>
        <v>16.7</v>
      </c>
      <c r="N2968" s="41" t="n">
        <f aca="false">L2968+M2968</f>
        <v>202.7</v>
      </c>
      <c r="O2968" s="41" t="n">
        <f aca="false">K2968-N2968</f>
        <v>138.79</v>
      </c>
      <c r="P2968" s="43" t="n">
        <f aca="false">IF(K2968=0,0,O2968/K2968)</f>
        <v>0.406424785498843</v>
      </c>
    </row>
    <row r="2969" customFormat="false" ht="15" hidden="false" customHeight="false" outlineLevel="0" collapsed="false">
      <c r="A2969" s="39" t="s">
        <v>3091</v>
      </c>
      <c r="B2969" s="40" t="n">
        <v>46017</v>
      </c>
      <c r="C2969" s="39" t="s">
        <v>128</v>
      </c>
      <c r="D2969" s="39" t="n">
        <v>5</v>
      </c>
      <c r="E2969" s="41" t="n">
        <v>36.85</v>
      </c>
      <c r="F2969" s="39" t="s">
        <v>118</v>
      </c>
      <c r="G2969" s="39" t="str">
        <f aca="false">VLOOKUP(C2969,Products!$A$5:$D$24,2,FALSE())</f>
        <v>Ergonomic Footrest</v>
      </c>
      <c r="H2969" s="39" t="str">
        <f aca="false">VLOOKUP(C2969,Products!$A$5:$D$24,3,FALSE())</f>
        <v>Furniture</v>
      </c>
      <c r="I2969" s="41" t="n">
        <f aca="false">VLOOKUP(C2969,Products!$A$5:$D$24,4,FALSE())</f>
        <v>15</v>
      </c>
      <c r="J2969" s="42" t="n">
        <f aca="false">DATE(YEAR(B2969),MONTH(B2969),1)</f>
        <v>45992</v>
      </c>
      <c r="K2969" s="41" t="n">
        <f aca="false">D2969*E2969</f>
        <v>184.25</v>
      </c>
      <c r="L2969" s="41" t="n">
        <f aca="false">D2969*I2969</f>
        <v>75</v>
      </c>
      <c r="M2969" s="41" t="n">
        <f aca="false">IFERROR(INDEX(Raw_Expenses!$C$5:$C$2979,MATCH(A2969,Raw_Expenses!$A$5:$A$2979,0)),0)</f>
        <v>16.46</v>
      </c>
      <c r="N2969" s="41" t="n">
        <f aca="false">L2969+M2969</f>
        <v>91.46</v>
      </c>
      <c r="O2969" s="41" t="n">
        <f aca="false">K2969-N2969</f>
        <v>92.79</v>
      </c>
      <c r="P2969" s="43" t="n">
        <f aca="false">IF(K2969=0,0,O2969/K2969)</f>
        <v>0.503609226594301</v>
      </c>
    </row>
    <row r="2970" customFormat="false" ht="15" hidden="false" customHeight="false" outlineLevel="0" collapsed="false">
      <c r="A2970" s="39" t="s">
        <v>3092</v>
      </c>
      <c r="B2970" s="40" t="n">
        <v>46017</v>
      </c>
      <c r="C2970" s="39" t="s">
        <v>130</v>
      </c>
      <c r="D2970" s="39" t="n">
        <v>3</v>
      </c>
      <c r="E2970" s="41" t="n">
        <v>8.79</v>
      </c>
      <c r="F2970" s="39" t="s">
        <v>118</v>
      </c>
      <c r="G2970" s="39" t="str">
        <f aca="false">VLOOKUP(C2970,Products!$A$5:$D$24,2,FALSE())</f>
        <v>Notebook Set</v>
      </c>
      <c r="H2970" s="39" t="str">
        <f aca="false">VLOOKUP(C2970,Products!$A$5:$D$24,3,FALSE())</f>
        <v>Stationery</v>
      </c>
      <c r="I2970" s="41" t="n">
        <f aca="false">VLOOKUP(C2970,Products!$A$5:$D$24,4,FALSE())</f>
        <v>3</v>
      </c>
      <c r="J2970" s="42" t="n">
        <f aca="false">DATE(YEAR(B2970),MONTH(B2970),1)</f>
        <v>45992</v>
      </c>
      <c r="K2970" s="41" t="n">
        <f aca="false">D2970*E2970</f>
        <v>26.37</v>
      </c>
      <c r="L2970" s="41" t="n">
        <f aca="false">D2970*I2970</f>
        <v>9</v>
      </c>
      <c r="M2970" s="41" t="n">
        <f aca="false">IFERROR(INDEX(Raw_Expenses!$C$5:$C$2979,MATCH(A2970,Raw_Expenses!$A$5:$A$2979,0)),0)</f>
        <v>1.06</v>
      </c>
      <c r="N2970" s="41" t="n">
        <f aca="false">L2970+M2970</f>
        <v>10.06</v>
      </c>
      <c r="O2970" s="41" t="n">
        <f aca="false">K2970-N2970</f>
        <v>16.31</v>
      </c>
      <c r="P2970" s="43" t="n">
        <f aca="false">IF(K2970=0,0,O2970/K2970)</f>
        <v>0.618505877891543</v>
      </c>
    </row>
    <row r="2971" customFormat="false" ht="15" hidden="false" customHeight="false" outlineLevel="0" collapsed="false">
      <c r="A2971" s="39" t="s">
        <v>3093</v>
      </c>
      <c r="B2971" s="40" t="n">
        <v>46018</v>
      </c>
      <c r="C2971" s="39" t="s">
        <v>139</v>
      </c>
      <c r="D2971" s="39" t="n">
        <v>1</v>
      </c>
      <c r="E2971" s="41" t="n">
        <v>123.47</v>
      </c>
      <c r="F2971" s="39" t="s">
        <v>105</v>
      </c>
      <c r="G2971" s="39" t="str">
        <f aca="false">VLOOKUP(C2971,Products!$A$5:$D$24,2,FALSE())</f>
        <v>Noise-Cancelling Headphones</v>
      </c>
      <c r="H2971" s="39" t="str">
        <f aca="false">VLOOKUP(C2971,Products!$A$5:$D$24,3,FALSE())</f>
        <v>Electronics</v>
      </c>
      <c r="I2971" s="41" t="n">
        <f aca="false">VLOOKUP(C2971,Products!$A$5:$D$24,4,FALSE())</f>
        <v>55</v>
      </c>
      <c r="J2971" s="42" t="n">
        <f aca="false">DATE(YEAR(B2971),MONTH(B2971),1)</f>
        <v>45992</v>
      </c>
      <c r="K2971" s="41" t="n">
        <f aca="false">D2971*E2971</f>
        <v>123.47</v>
      </c>
      <c r="L2971" s="41" t="n">
        <f aca="false">D2971*I2971</f>
        <v>55</v>
      </c>
      <c r="M2971" s="41" t="n">
        <f aca="false">IFERROR(INDEX(Raw_Expenses!$C$5:$C$2979,MATCH(A2971,Raw_Expenses!$A$5:$A$2979,0)),0)</f>
        <v>6.52</v>
      </c>
      <c r="N2971" s="41" t="n">
        <f aca="false">L2971+M2971</f>
        <v>61.52</v>
      </c>
      <c r="O2971" s="41" t="n">
        <f aca="false">K2971-N2971</f>
        <v>61.95</v>
      </c>
      <c r="P2971" s="43" t="n">
        <f aca="false">IF(K2971=0,0,O2971/K2971)</f>
        <v>0.501741313679436</v>
      </c>
    </row>
    <row r="2972" customFormat="false" ht="15" hidden="false" customHeight="false" outlineLevel="0" collapsed="false">
      <c r="A2972" s="39" t="s">
        <v>3094</v>
      </c>
      <c r="B2972" s="40" t="n">
        <v>46018</v>
      </c>
      <c r="C2972" s="39" t="s">
        <v>136</v>
      </c>
      <c r="D2972" s="39" t="n">
        <v>2</v>
      </c>
      <c r="E2972" s="41" t="n">
        <v>74.16</v>
      </c>
      <c r="F2972" s="39" t="s">
        <v>108</v>
      </c>
      <c r="G2972" s="39" t="str">
        <f aca="false">VLOOKUP(C2972,Products!$A$5:$D$24,2,FALSE())</f>
        <v>Mechanical Keyboard</v>
      </c>
      <c r="H2972" s="39" t="str">
        <f aca="false">VLOOKUP(C2972,Products!$A$5:$D$24,3,FALSE())</f>
        <v>Electronics</v>
      </c>
      <c r="I2972" s="41" t="n">
        <f aca="false">VLOOKUP(C2972,Products!$A$5:$D$24,4,FALSE())</f>
        <v>38</v>
      </c>
      <c r="J2972" s="42" t="n">
        <f aca="false">DATE(YEAR(B2972),MONTH(B2972),1)</f>
        <v>45992</v>
      </c>
      <c r="K2972" s="41" t="n">
        <f aca="false">D2972*E2972</f>
        <v>148.32</v>
      </c>
      <c r="L2972" s="41" t="n">
        <f aca="false">D2972*I2972</f>
        <v>76</v>
      </c>
      <c r="M2972" s="41" t="n">
        <f aca="false">IFERROR(INDEX(Raw_Expenses!$C$5:$C$2979,MATCH(A2972,Raw_Expenses!$A$5:$A$2979,0)),0)</f>
        <v>6.04</v>
      </c>
      <c r="N2972" s="41" t="n">
        <f aca="false">L2972+M2972</f>
        <v>82.04</v>
      </c>
      <c r="O2972" s="41" t="n">
        <f aca="false">K2972-N2972</f>
        <v>66.28</v>
      </c>
      <c r="P2972" s="43" t="n">
        <f aca="false">IF(K2972=0,0,O2972/K2972)</f>
        <v>0.446871628910464</v>
      </c>
    </row>
    <row r="2973" customFormat="false" ht="15" hidden="false" customHeight="false" outlineLevel="0" collapsed="false">
      <c r="A2973" s="39" t="s">
        <v>3095</v>
      </c>
      <c r="B2973" s="40" t="n">
        <v>46018</v>
      </c>
      <c r="C2973" s="39" t="s">
        <v>112</v>
      </c>
      <c r="D2973" s="39" t="n">
        <v>1</v>
      </c>
      <c r="E2973" s="41" t="n">
        <v>52.47</v>
      </c>
      <c r="F2973" s="39" t="s">
        <v>105</v>
      </c>
      <c r="G2973" s="39" t="str">
        <f aca="false">VLOOKUP(C2973,Products!$A$5:$D$24,2,FALSE())</f>
        <v>HD Webcam</v>
      </c>
      <c r="H2973" s="39" t="str">
        <f aca="false">VLOOKUP(C2973,Products!$A$5:$D$24,3,FALSE())</f>
        <v>Electronics</v>
      </c>
      <c r="I2973" s="41" t="n">
        <f aca="false">VLOOKUP(C2973,Products!$A$5:$D$24,4,FALSE())</f>
        <v>22</v>
      </c>
      <c r="J2973" s="42" t="n">
        <f aca="false">DATE(YEAR(B2973),MONTH(B2973),1)</f>
        <v>45992</v>
      </c>
      <c r="K2973" s="41" t="n">
        <f aca="false">D2973*E2973</f>
        <v>52.47</v>
      </c>
      <c r="L2973" s="41" t="n">
        <f aca="false">D2973*I2973</f>
        <v>22</v>
      </c>
      <c r="M2973" s="41" t="n">
        <f aca="false">IFERROR(INDEX(Raw_Expenses!$C$5:$C$2979,MATCH(A2973,Raw_Expenses!$A$5:$A$2979,0)),0)</f>
        <v>3.58</v>
      </c>
      <c r="N2973" s="41" t="n">
        <f aca="false">L2973+M2973</f>
        <v>25.58</v>
      </c>
      <c r="O2973" s="41" t="n">
        <f aca="false">K2973-N2973</f>
        <v>26.89</v>
      </c>
      <c r="P2973" s="43" t="n">
        <f aca="false">IF(K2973=0,0,O2973/K2973)</f>
        <v>0.512483323804079</v>
      </c>
    </row>
    <row r="2974" customFormat="false" ht="15" hidden="false" customHeight="false" outlineLevel="0" collapsed="false">
      <c r="A2974" s="39" t="s">
        <v>3096</v>
      </c>
      <c r="B2974" s="40" t="n">
        <v>46018</v>
      </c>
      <c r="C2974" s="39" t="s">
        <v>117</v>
      </c>
      <c r="D2974" s="39" t="n">
        <v>3</v>
      </c>
      <c r="E2974" s="41" t="n">
        <v>30.59</v>
      </c>
      <c r="F2974" s="39" t="s">
        <v>108</v>
      </c>
      <c r="G2974" s="39" t="str">
        <f aca="false">VLOOKUP(C2974,Products!$A$5:$D$24,2,FALSE())</f>
        <v>Desk Lamp</v>
      </c>
      <c r="H2974" s="39" t="str">
        <f aca="false">VLOOKUP(C2974,Products!$A$5:$D$24,3,FALSE())</f>
        <v>Furniture</v>
      </c>
      <c r="I2974" s="41" t="n">
        <f aca="false">VLOOKUP(C2974,Products!$A$5:$D$24,4,FALSE())</f>
        <v>13</v>
      </c>
      <c r="J2974" s="42" t="n">
        <f aca="false">DATE(YEAR(B2974),MONTH(B2974),1)</f>
        <v>45992</v>
      </c>
      <c r="K2974" s="41" t="n">
        <f aca="false">D2974*E2974</f>
        <v>91.77</v>
      </c>
      <c r="L2974" s="41" t="n">
        <f aca="false">D2974*I2974</f>
        <v>39</v>
      </c>
      <c r="M2974" s="41" t="n">
        <f aca="false">IFERROR(INDEX(Raw_Expenses!$C$5:$C$2979,MATCH(A2974,Raw_Expenses!$A$5:$A$2979,0)),0)</f>
        <v>4.21</v>
      </c>
      <c r="N2974" s="41" t="n">
        <f aca="false">L2974+M2974</f>
        <v>43.21</v>
      </c>
      <c r="O2974" s="41" t="n">
        <f aca="false">K2974-N2974</f>
        <v>48.56</v>
      </c>
      <c r="P2974" s="43" t="n">
        <f aca="false">IF(K2974=0,0,O2974/K2974)</f>
        <v>0.529148959354909</v>
      </c>
    </row>
    <row r="2975" customFormat="false" ht="15" hidden="false" customHeight="false" outlineLevel="0" collapsed="false">
      <c r="A2975" s="39" t="s">
        <v>3097</v>
      </c>
      <c r="B2975" s="40" t="n">
        <v>46018</v>
      </c>
      <c r="C2975" s="39" t="s">
        <v>107</v>
      </c>
      <c r="D2975" s="39" t="n">
        <v>3</v>
      </c>
      <c r="E2975" s="41" t="n">
        <v>32.86</v>
      </c>
      <c r="F2975" s="39" t="s">
        <v>118</v>
      </c>
      <c r="G2975" s="39" t="str">
        <f aca="false">VLOOKUP(C2975,Products!$A$5:$D$24,2,FALSE())</f>
        <v>USB-C Hub</v>
      </c>
      <c r="H2975" s="39" t="str">
        <f aca="false">VLOOKUP(C2975,Products!$A$5:$D$24,3,FALSE())</f>
        <v>Electronics</v>
      </c>
      <c r="I2975" s="41" t="n">
        <f aca="false">VLOOKUP(C2975,Products!$A$5:$D$24,4,FALSE())</f>
        <v>14</v>
      </c>
      <c r="J2975" s="42" t="n">
        <f aca="false">DATE(YEAR(B2975),MONTH(B2975),1)</f>
        <v>45992</v>
      </c>
      <c r="K2975" s="41" t="n">
        <f aca="false">D2975*E2975</f>
        <v>98.58</v>
      </c>
      <c r="L2975" s="41" t="n">
        <f aca="false">D2975*I2975</f>
        <v>42</v>
      </c>
      <c r="M2975" s="41" t="n">
        <f aca="false">IFERROR(INDEX(Raw_Expenses!$C$5:$C$2979,MATCH(A2975,Raw_Expenses!$A$5:$A$2979,0)),0)</f>
        <v>5.94</v>
      </c>
      <c r="N2975" s="41" t="n">
        <f aca="false">L2975+M2975</f>
        <v>47.94</v>
      </c>
      <c r="O2975" s="41" t="n">
        <f aca="false">K2975-N2975</f>
        <v>50.64</v>
      </c>
      <c r="P2975" s="43" t="n">
        <f aca="false">IF(K2975=0,0,O2975/K2975)</f>
        <v>0.513694461351187</v>
      </c>
    </row>
    <row r="2976" customFormat="false" ht="15" hidden="false" customHeight="false" outlineLevel="0" collapsed="false">
      <c r="A2976" s="39" t="s">
        <v>3098</v>
      </c>
      <c r="B2976" s="40" t="n">
        <v>46018</v>
      </c>
      <c r="C2976" s="39" t="s">
        <v>153</v>
      </c>
      <c r="D2976" s="39" t="n">
        <v>1</v>
      </c>
      <c r="E2976" s="41" t="n">
        <v>178.59</v>
      </c>
      <c r="F2976" s="39" t="s">
        <v>115</v>
      </c>
      <c r="G2976" s="39" t="str">
        <f aca="false">VLOOKUP(C2976,Products!$A$5:$D$24,2,FALSE())</f>
        <v>24-inch Monitor</v>
      </c>
      <c r="H2976" s="39" t="str">
        <f aca="false">VLOOKUP(C2976,Products!$A$5:$D$24,3,FALSE())</f>
        <v>Electronics</v>
      </c>
      <c r="I2976" s="41" t="n">
        <f aca="false">VLOOKUP(C2976,Products!$A$5:$D$24,4,FALSE())</f>
        <v>90</v>
      </c>
      <c r="J2976" s="42" t="n">
        <f aca="false">DATE(YEAR(B2976),MONTH(B2976),1)</f>
        <v>45992</v>
      </c>
      <c r="K2976" s="41" t="n">
        <f aca="false">D2976*E2976</f>
        <v>178.59</v>
      </c>
      <c r="L2976" s="41" t="n">
        <f aca="false">D2976*I2976</f>
        <v>90</v>
      </c>
      <c r="M2976" s="41" t="n">
        <f aca="false">IFERROR(INDEX(Raw_Expenses!$C$5:$C$2979,MATCH(A2976,Raw_Expenses!$A$5:$A$2979,0)),0)</f>
        <v>7.42</v>
      </c>
      <c r="N2976" s="41" t="n">
        <f aca="false">L2976+M2976</f>
        <v>97.42</v>
      </c>
      <c r="O2976" s="41" t="n">
        <f aca="false">K2976-N2976</f>
        <v>81.17</v>
      </c>
      <c r="P2976" s="43" t="n">
        <f aca="false">IF(K2976=0,0,O2976/K2976)</f>
        <v>0.454504731507923</v>
      </c>
    </row>
    <row r="2977" customFormat="false" ht="15" hidden="false" customHeight="false" outlineLevel="0" collapsed="false">
      <c r="A2977" s="39" t="s">
        <v>3099</v>
      </c>
      <c r="B2977" s="40" t="n">
        <v>46018</v>
      </c>
      <c r="C2977" s="39" t="s">
        <v>110</v>
      </c>
      <c r="D2977" s="39" t="n">
        <v>5</v>
      </c>
      <c r="E2977" s="41" t="n">
        <v>13.54</v>
      </c>
      <c r="F2977" s="39" t="s">
        <v>118</v>
      </c>
      <c r="G2977" s="39" t="str">
        <f aca="false">VLOOKUP(C2977,Products!$A$5:$D$24,2,FALSE())</f>
        <v>Phone Stand</v>
      </c>
      <c r="H2977" s="39" t="str">
        <f aca="false">VLOOKUP(C2977,Products!$A$5:$D$24,3,FALSE())</f>
        <v>Accessories</v>
      </c>
      <c r="I2977" s="41" t="n">
        <f aca="false">VLOOKUP(C2977,Products!$A$5:$D$24,4,FALSE())</f>
        <v>4</v>
      </c>
      <c r="J2977" s="42" t="n">
        <f aca="false">DATE(YEAR(B2977),MONTH(B2977),1)</f>
        <v>45992</v>
      </c>
      <c r="K2977" s="41" t="n">
        <f aca="false">D2977*E2977</f>
        <v>67.7</v>
      </c>
      <c r="L2977" s="41" t="n">
        <f aca="false">D2977*I2977</f>
        <v>20</v>
      </c>
      <c r="M2977" s="41" t="n">
        <f aca="false">IFERROR(INDEX(Raw_Expenses!$C$5:$C$2979,MATCH(A2977,Raw_Expenses!$A$5:$A$2979,0)),0)</f>
        <v>4.62</v>
      </c>
      <c r="N2977" s="41" t="n">
        <f aca="false">L2977+M2977</f>
        <v>24.62</v>
      </c>
      <c r="O2977" s="41" t="n">
        <f aca="false">K2977-N2977</f>
        <v>43.08</v>
      </c>
      <c r="P2977" s="43" t="n">
        <f aca="false">IF(K2977=0,0,O2977/K2977)</f>
        <v>0.636336779911374</v>
      </c>
    </row>
    <row r="2978" customFormat="false" ht="15" hidden="false" customHeight="false" outlineLevel="0" collapsed="false">
      <c r="A2978" s="39" t="s">
        <v>3100</v>
      </c>
      <c r="B2978" s="40" t="n">
        <v>46018</v>
      </c>
      <c r="C2978" s="39" t="s">
        <v>112</v>
      </c>
      <c r="D2978" s="39" t="n">
        <v>3</v>
      </c>
      <c r="E2978" s="41" t="n">
        <v>54.64</v>
      </c>
      <c r="F2978" s="39" t="s">
        <v>118</v>
      </c>
      <c r="G2978" s="39" t="str">
        <f aca="false">VLOOKUP(C2978,Products!$A$5:$D$24,2,FALSE())</f>
        <v>HD Webcam</v>
      </c>
      <c r="H2978" s="39" t="str">
        <f aca="false">VLOOKUP(C2978,Products!$A$5:$D$24,3,FALSE())</f>
        <v>Electronics</v>
      </c>
      <c r="I2978" s="41" t="n">
        <f aca="false">VLOOKUP(C2978,Products!$A$5:$D$24,4,FALSE())</f>
        <v>22</v>
      </c>
      <c r="J2978" s="42" t="n">
        <f aca="false">DATE(YEAR(B2978),MONTH(B2978),1)</f>
        <v>45992</v>
      </c>
      <c r="K2978" s="41" t="n">
        <f aca="false">D2978*E2978</f>
        <v>163.92</v>
      </c>
      <c r="L2978" s="41" t="n">
        <f aca="false">D2978*I2978</f>
        <v>66</v>
      </c>
      <c r="M2978" s="41" t="n">
        <f aca="false">IFERROR(INDEX(Raw_Expenses!$C$5:$C$2979,MATCH(A2978,Raw_Expenses!$A$5:$A$2979,0)),0)</f>
        <v>10.09</v>
      </c>
      <c r="N2978" s="41" t="n">
        <f aca="false">L2978+M2978</f>
        <v>76.09</v>
      </c>
      <c r="O2978" s="41" t="n">
        <f aca="false">K2978-N2978</f>
        <v>87.83</v>
      </c>
      <c r="P2978" s="43" t="n">
        <f aca="false">IF(K2978=0,0,O2978/K2978)</f>
        <v>0.535810151293314</v>
      </c>
    </row>
    <row r="2979" customFormat="false" ht="15" hidden="false" customHeight="false" outlineLevel="0" collapsed="false">
      <c r="A2979" s="39" t="s">
        <v>3101</v>
      </c>
      <c r="B2979" s="40" t="n">
        <v>46018</v>
      </c>
      <c r="C2979" s="39" t="s">
        <v>112</v>
      </c>
      <c r="D2979" s="39" t="n">
        <v>1</v>
      </c>
      <c r="E2979" s="41" t="n">
        <v>54.82</v>
      </c>
      <c r="F2979" s="39" t="s">
        <v>105</v>
      </c>
      <c r="G2979" s="39" t="str">
        <f aca="false">VLOOKUP(C2979,Products!$A$5:$D$24,2,FALSE())</f>
        <v>HD Webcam</v>
      </c>
      <c r="H2979" s="39" t="str">
        <f aca="false">VLOOKUP(C2979,Products!$A$5:$D$24,3,FALSE())</f>
        <v>Electronics</v>
      </c>
      <c r="I2979" s="41" t="n">
        <f aca="false">VLOOKUP(C2979,Products!$A$5:$D$24,4,FALSE())</f>
        <v>22</v>
      </c>
      <c r="J2979" s="42" t="n">
        <f aca="false">DATE(YEAR(B2979),MONTH(B2979),1)</f>
        <v>45992</v>
      </c>
      <c r="K2979" s="41" t="n">
        <f aca="false">D2979*E2979</f>
        <v>54.82</v>
      </c>
      <c r="L2979" s="41" t="n">
        <f aca="false">D2979*I2979</f>
        <v>22</v>
      </c>
      <c r="M2979" s="41" t="n">
        <f aca="false">IFERROR(INDEX(Raw_Expenses!$C$5:$C$2979,MATCH(A2979,Raw_Expenses!$A$5:$A$2979,0)),0)</f>
        <v>3.14</v>
      </c>
      <c r="N2979" s="41" t="n">
        <f aca="false">L2979+M2979</f>
        <v>25.14</v>
      </c>
      <c r="O2979" s="41" t="n">
        <f aca="false">K2979-N2979</f>
        <v>29.68</v>
      </c>
      <c r="P2979" s="43" t="n">
        <f aca="false">IF(K2979=0,0,O2979/K2979)</f>
        <v>0.541408245165998</v>
      </c>
    </row>
    <row r="2980" customFormat="false" ht="15" hidden="false" customHeight="false" outlineLevel="0" collapsed="false">
      <c r="A2980" s="39" t="s">
        <v>3102</v>
      </c>
      <c r="B2980" s="40" t="n">
        <v>46018</v>
      </c>
      <c r="C2980" s="39" t="s">
        <v>107</v>
      </c>
      <c r="D2980" s="39" t="n">
        <v>3</v>
      </c>
      <c r="E2980" s="41" t="n">
        <v>34.32</v>
      </c>
      <c r="F2980" s="39" t="s">
        <v>108</v>
      </c>
      <c r="G2980" s="39" t="str">
        <f aca="false">VLOOKUP(C2980,Products!$A$5:$D$24,2,FALSE())</f>
        <v>USB-C Hub</v>
      </c>
      <c r="H2980" s="39" t="str">
        <f aca="false">VLOOKUP(C2980,Products!$A$5:$D$24,3,FALSE())</f>
        <v>Electronics</v>
      </c>
      <c r="I2980" s="41" t="n">
        <f aca="false">VLOOKUP(C2980,Products!$A$5:$D$24,4,FALSE())</f>
        <v>14</v>
      </c>
      <c r="J2980" s="42" t="n">
        <f aca="false">DATE(YEAR(B2980),MONTH(B2980),1)</f>
        <v>45992</v>
      </c>
      <c r="K2980" s="41" t="n">
        <f aca="false">D2980*E2980</f>
        <v>102.96</v>
      </c>
      <c r="L2980" s="41" t="n">
        <f aca="false">D2980*I2980</f>
        <v>42</v>
      </c>
      <c r="M2980" s="41" t="n">
        <f aca="false">IFERROR(INDEX(Raw_Expenses!$C$5:$C$2979,MATCH(A2980,Raw_Expenses!$A$5:$A$2979,0)),0)</f>
        <v>6.87</v>
      </c>
      <c r="N2980" s="41" t="n">
        <f aca="false">L2980+M2980</f>
        <v>48.87</v>
      </c>
      <c r="O2980" s="41" t="n">
        <f aca="false">K2980-N2980</f>
        <v>54.09</v>
      </c>
      <c r="P2980" s="43" t="n">
        <f aca="false">IF(K2980=0,0,O2980/K2980)</f>
        <v>0.52534965034965</v>
      </c>
    </row>
    <row r="2981" customFormat="false" ht="15" hidden="false" customHeight="false" outlineLevel="0" collapsed="false">
      <c r="A2981" s="39" t="s">
        <v>3103</v>
      </c>
      <c r="B2981" s="40" t="n">
        <v>46019</v>
      </c>
      <c r="C2981" s="39" t="s">
        <v>110</v>
      </c>
      <c r="D2981" s="39" t="n">
        <v>3</v>
      </c>
      <c r="E2981" s="41" t="n">
        <v>13.36</v>
      </c>
      <c r="F2981" s="39" t="s">
        <v>108</v>
      </c>
      <c r="G2981" s="39" t="str">
        <f aca="false">VLOOKUP(C2981,Products!$A$5:$D$24,2,FALSE())</f>
        <v>Phone Stand</v>
      </c>
      <c r="H2981" s="39" t="str">
        <f aca="false">VLOOKUP(C2981,Products!$A$5:$D$24,3,FALSE())</f>
        <v>Accessories</v>
      </c>
      <c r="I2981" s="41" t="n">
        <f aca="false">VLOOKUP(C2981,Products!$A$5:$D$24,4,FALSE())</f>
        <v>4</v>
      </c>
      <c r="J2981" s="42" t="n">
        <f aca="false">DATE(YEAR(B2981),MONTH(B2981),1)</f>
        <v>45992</v>
      </c>
      <c r="K2981" s="41" t="n">
        <f aca="false">D2981*E2981</f>
        <v>40.08</v>
      </c>
      <c r="L2981" s="41" t="n">
        <f aca="false">D2981*I2981</f>
        <v>12</v>
      </c>
      <c r="M2981" s="41" t="n">
        <f aca="false">IFERROR(INDEX(Raw_Expenses!$C$5:$C$2979,MATCH(A2981,Raw_Expenses!$A$5:$A$2979,0)),0)</f>
        <v>2.37</v>
      </c>
      <c r="N2981" s="41" t="n">
        <f aca="false">L2981+M2981</f>
        <v>14.37</v>
      </c>
      <c r="O2981" s="41" t="n">
        <f aca="false">K2981-N2981</f>
        <v>25.71</v>
      </c>
      <c r="P2981" s="43" t="n">
        <f aca="false">IF(K2981=0,0,O2981/K2981)</f>
        <v>0.641467065868263</v>
      </c>
    </row>
    <row r="2982" customFormat="false" ht="15" hidden="false" customHeight="false" outlineLevel="0" collapsed="false">
      <c r="A2982" s="39" t="s">
        <v>3104</v>
      </c>
      <c r="B2982" s="40" t="n">
        <v>46019</v>
      </c>
      <c r="C2982" s="39" t="s">
        <v>139</v>
      </c>
      <c r="D2982" s="39" t="n">
        <v>5</v>
      </c>
      <c r="E2982" s="41" t="n">
        <v>119.36</v>
      </c>
      <c r="F2982" s="39" t="s">
        <v>108</v>
      </c>
      <c r="G2982" s="39" t="str">
        <f aca="false">VLOOKUP(C2982,Products!$A$5:$D$24,2,FALSE())</f>
        <v>Noise-Cancelling Headphones</v>
      </c>
      <c r="H2982" s="39" t="str">
        <f aca="false">VLOOKUP(C2982,Products!$A$5:$D$24,3,FALSE())</f>
        <v>Electronics</v>
      </c>
      <c r="I2982" s="41" t="n">
        <f aca="false">VLOOKUP(C2982,Products!$A$5:$D$24,4,FALSE())</f>
        <v>55</v>
      </c>
      <c r="J2982" s="42" t="n">
        <f aca="false">DATE(YEAR(B2982),MONTH(B2982),1)</f>
        <v>45992</v>
      </c>
      <c r="K2982" s="41" t="n">
        <f aca="false">D2982*E2982</f>
        <v>596.8</v>
      </c>
      <c r="L2982" s="41" t="n">
        <f aca="false">D2982*I2982</f>
        <v>275</v>
      </c>
      <c r="M2982" s="41" t="n">
        <f aca="false">IFERROR(INDEX(Raw_Expenses!$C$5:$C$2979,MATCH(A2982,Raw_Expenses!$A$5:$A$2979,0)),0)</f>
        <v>41.55</v>
      </c>
      <c r="N2982" s="41" t="n">
        <f aca="false">L2982+M2982</f>
        <v>316.55</v>
      </c>
      <c r="O2982" s="41" t="n">
        <f aca="false">K2982-N2982</f>
        <v>280.25</v>
      </c>
      <c r="P2982" s="43" t="n">
        <f aca="false">IF(K2982=0,0,O2982/K2982)</f>
        <v>0.469587801608579</v>
      </c>
    </row>
    <row r="2983" customFormat="false" ht="15" hidden="false" customHeight="false" outlineLevel="0" collapsed="false">
      <c r="A2983" s="39" t="s">
        <v>3105</v>
      </c>
      <c r="B2983" s="40" t="n">
        <v>46019</v>
      </c>
      <c r="C2983" s="39" t="s">
        <v>177</v>
      </c>
      <c r="D2983" s="39" t="n">
        <v>2</v>
      </c>
      <c r="E2983" s="41" t="n">
        <v>42</v>
      </c>
      <c r="F2983" s="39" t="s">
        <v>115</v>
      </c>
      <c r="G2983" s="39" t="str">
        <f aca="false">VLOOKUP(C2983,Products!$A$5:$D$24,2,FALSE())</f>
        <v>Backpack</v>
      </c>
      <c r="H2983" s="39" t="str">
        <f aca="false">VLOOKUP(C2983,Products!$A$5:$D$24,3,FALSE())</f>
        <v>Accessories</v>
      </c>
      <c r="I2983" s="41" t="n">
        <f aca="false">VLOOKUP(C2983,Products!$A$5:$D$24,4,FALSE())</f>
        <v>17</v>
      </c>
      <c r="J2983" s="42" t="n">
        <f aca="false">DATE(YEAR(B2983),MONTH(B2983),1)</f>
        <v>45992</v>
      </c>
      <c r="K2983" s="41" t="n">
        <f aca="false">D2983*E2983</f>
        <v>84</v>
      </c>
      <c r="L2983" s="41" t="n">
        <f aca="false">D2983*I2983</f>
        <v>34</v>
      </c>
      <c r="M2983" s="41" t="n">
        <f aca="false">IFERROR(INDEX(Raw_Expenses!$C$5:$C$2979,MATCH(A2983,Raw_Expenses!$A$5:$A$2979,0)),0)</f>
        <v>3.81</v>
      </c>
      <c r="N2983" s="41" t="n">
        <f aca="false">L2983+M2983</f>
        <v>37.81</v>
      </c>
      <c r="O2983" s="41" t="n">
        <f aca="false">K2983-N2983</f>
        <v>46.19</v>
      </c>
      <c r="P2983" s="43" t="n">
        <f aca="false">IF(K2983=0,0,O2983/K2983)</f>
        <v>0.549880952380952</v>
      </c>
    </row>
    <row r="2984" customFormat="false" ht="15" hidden="false" customHeight="false" outlineLevel="0" collapsed="false">
      <c r="A2984" s="39" t="s">
        <v>3106</v>
      </c>
      <c r="B2984" s="40" t="n">
        <v>46019</v>
      </c>
      <c r="C2984" s="39" t="s">
        <v>114</v>
      </c>
      <c r="D2984" s="39" t="n">
        <v>2</v>
      </c>
      <c r="E2984" s="41" t="n">
        <v>5.72</v>
      </c>
      <c r="F2984" s="39" t="s">
        <v>115</v>
      </c>
      <c r="G2984" s="39" t="str">
        <f aca="false">VLOOKUP(C2984,Products!$A$5:$D$24,2,FALSE())</f>
        <v>Gel Pen Pack</v>
      </c>
      <c r="H2984" s="39" t="str">
        <f aca="false">VLOOKUP(C2984,Products!$A$5:$D$24,3,FALSE())</f>
        <v>Stationery</v>
      </c>
      <c r="I2984" s="41" t="n">
        <f aca="false">VLOOKUP(C2984,Products!$A$5:$D$24,4,FALSE())</f>
        <v>2</v>
      </c>
      <c r="J2984" s="42" t="n">
        <f aca="false">DATE(YEAR(B2984),MONTH(B2984),1)</f>
        <v>45992</v>
      </c>
      <c r="K2984" s="41" t="n">
        <f aca="false">D2984*E2984</f>
        <v>11.44</v>
      </c>
      <c r="L2984" s="41" t="n">
        <f aca="false">D2984*I2984</f>
        <v>4</v>
      </c>
      <c r="M2984" s="41" t="n">
        <f aca="false">IFERROR(INDEX(Raw_Expenses!$C$5:$C$2979,MATCH(A2984,Raw_Expenses!$A$5:$A$2979,0)),0)</f>
        <v>0.64</v>
      </c>
      <c r="N2984" s="41" t="n">
        <f aca="false">L2984+M2984</f>
        <v>4.64</v>
      </c>
      <c r="O2984" s="41" t="n">
        <f aca="false">K2984-N2984</f>
        <v>6.8</v>
      </c>
      <c r="P2984" s="43" t="n">
        <f aca="false">IF(K2984=0,0,O2984/K2984)</f>
        <v>0.594405594405594</v>
      </c>
    </row>
    <row r="2985" customFormat="false" ht="15" hidden="false" customHeight="false" outlineLevel="0" collapsed="false">
      <c r="A2985" s="39" t="s">
        <v>3107</v>
      </c>
      <c r="B2985" s="40" t="n">
        <v>46019</v>
      </c>
      <c r="C2985" s="39" t="s">
        <v>117</v>
      </c>
      <c r="D2985" s="39" t="n">
        <v>5</v>
      </c>
      <c r="E2985" s="41" t="n">
        <v>31.52</v>
      </c>
      <c r="F2985" s="39" t="s">
        <v>105</v>
      </c>
      <c r="G2985" s="39" t="str">
        <f aca="false">VLOOKUP(C2985,Products!$A$5:$D$24,2,FALSE())</f>
        <v>Desk Lamp</v>
      </c>
      <c r="H2985" s="39" t="str">
        <f aca="false">VLOOKUP(C2985,Products!$A$5:$D$24,3,FALSE())</f>
        <v>Furniture</v>
      </c>
      <c r="I2985" s="41" t="n">
        <f aca="false">VLOOKUP(C2985,Products!$A$5:$D$24,4,FALSE())</f>
        <v>13</v>
      </c>
      <c r="J2985" s="42" t="n">
        <f aca="false">DATE(YEAR(B2985),MONTH(B2985),1)</f>
        <v>45992</v>
      </c>
      <c r="K2985" s="41" t="n">
        <f aca="false">D2985*E2985</f>
        <v>157.6</v>
      </c>
      <c r="L2985" s="41" t="n">
        <f aca="false">D2985*I2985</f>
        <v>65</v>
      </c>
      <c r="M2985" s="41" t="n">
        <f aca="false">IFERROR(INDEX(Raw_Expenses!$C$5:$C$2979,MATCH(A2985,Raw_Expenses!$A$5:$A$2979,0)),0)</f>
        <v>7.75</v>
      </c>
      <c r="N2985" s="41" t="n">
        <f aca="false">L2985+M2985</f>
        <v>72.75</v>
      </c>
      <c r="O2985" s="41" t="n">
        <f aca="false">K2985-N2985</f>
        <v>84.85</v>
      </c>
      <c r="P2985" s="43" t="n">
        <f aca="false">IF(K2985=0,0,O2985/K2985)</f>
        <v>0.538388324873096</v>
      </c>
    </row>
    <row r="2986" customFormat="false" ht="15" hidden="false" customHeight="false" outlineLevel="0" collapsed="false">
      <c r="A2986" s="39" t="s">
        <v>3108</v>
      </c>
      <c r="B2986" s="40" t="n">
        <v>46019</v>
      </c>
      <c r="C2986" s="39" t="s">
        <v>144</v>
      </c>
      <c r="D2986" s="39" t="n">
        <v>6</v>
      </c>
      <c r="E2986" s="41" t="n">
        <v>56.35</v>
      </c>
      <c r="F2986" s="39" t="s">
        <v>108</v>
      </c>
      <c r="G2986" s="39" t="str">
        <f aca="false">VLOOKUP(C2986,Products!$A$5:$D$24,2,FALSE())</f>
        <v>Whiteboard</v>
      </c>
      <c r="H2986" s="39" t="str">
        <f aca="false">VLOOKUP(C2986,Products!$A$5:$D$24,3,FALSE())</f>
        <v>Furniture</v>
      </c>
      <c r="I2986" s="41" t="n">
        <f aca="false">VLOOKUP(C2986,Products!$A$5:$D$24,4,FALSE())</f>
        <v>28</v>
      </c>
      <c r="J2986" s="42" t="n">
        <f aca="false">DATE(YEAR(B2986),MONTH(B2986),1)</f>
        <v>45992</v>
      </c>
      <c r="K2986" s="41" t="n">
        <f aca="false">D2986*E2986</f>
        <v>338.1</v>
      </c>
      <c r="L2986" s="41" t="n">
        <f aca="false">D2986*I2986</f>
        <v>168</v>
      </c>
      <c r="M2986" s="41" t="n">
        <f aca="false">IFERROR(INDEX(Raw_Expenses!$C$5:$C$2979,MATCH(A2986,Raw_Expenses!$A$5:$A$2979,0)),0)</f>
        <v>27.75</v>
      </c>
      <c r="N2986" s="41" t="n">
        <f aca="false">L2986+M2986</f>
        <v>195.75</v>
      </c>
      <c r="O2986" s="41" t="n">
        <f aca="false">K2986-N2986</f>
        <v>142.35</v>
      </c>
      <c r="P2986" s="43" t="n">
        <f aca="false">IF(K2986=0,0,O2986/K2986)</f>
        <v>0.421029281277729</v>
      </c>
    </row>
    <row r="2987" customFormat="false" ht="15" hidden="false" customHeight="false" outlineLevel="0" collapsed="false">
      <c r="A2987" s="39" t="s">
        <v>3109</v>
      </c>
      <c r="B2987" s="40" t="n">
        <v>46019</v>
      </c>
      <c r="C2987" s="39" t="s">
        <v>104</v>
      </c>
      <c r="D2987" s="39" t="n">
        <v>2</v>
      </c>
      <c r="E2987" s="41" t="n">
        <v>14.8</v>
      </c>
      <c r="F2987" s="39" t="s">
        <v>118</v>
      </c>
      <c r="G2987" s="39" t="str">
        <f aca="false">VLOOKUP(C2987,Products!$A$5:$D$24,2,FALSE())</f>
        <v>Water Bottle</v>
      </c>
      <c r="H2987" s="39" t="str">
        <f aca="false">VLOOKUP(C2987,Products!$A$5:$D$24,3,FALSE())</f>
        <v>Accessories</v>
      </c>
      <c r="I2987" s="41" t="n">
        <f aca="false">VLOOKUP(C2987,Products!$A$5:$D$24,4,FALSE())</f>
        <v>5</v>
      </c>
      <c r="J2987" s="42" t="n">
        <f aca="false">DATE(YEAR(B2987),MONTH(B2987),1)</f>
        <v>45992</v>
      </c>
      <c r="K2987" s="41" t="n">
        <f aca="false">D2987*E2987</f>
        <v>29.6</v>
      </c>
      <c r="L2987" s="41" t="n">
        <f aca="false">D2987*I2987</f>
        <v>10</v>
      </c>
      <c r="M2987" s="41" t="n">
        <f aca="false">IFERROR(INDEX(Raw_Expenses!$C$5:$C$2979,MATCH(A2987,Raw_Expenses!$A$5:$A$2979,0)),0)</f>
        <v>1.23</v>
      </c>
      <c r="N2987" s="41" t="n">
        <f aca="false">L2987+M2987</f>
        <v>11.23</v>
      </c>
      <c r="O2987" s="41" t="n">
        <f aca="false">K2987-N2987</f>
        <v>18.37</v>
      </c>
      <c r="P2987" s="43" t="n">
        <f aca="false">IF(K2987=0,0,O2987/K2987)</f>
        <v>0.620608108108108</v>
      </c>
    </row>
    <row r="2988" customFormat="false" ht="15" hidden="false" customHeight="false" outlineLevel="0" collapsed="false">
      <c r="A2988" s="39" t="s">
        <v>3110</v>
      </c>
      <c r="B2988" s="40" t="n">
        <v>46019</v>
      </c>
      <c r="C2988" s="39" t="s">
        <v>114</v>
      </c>
      <c r="D2988" s="39" t="n">
        <v>2</v>
      </c>
      <c r="E2988" s="41" t="n">
        <v>5.69</v>
      </c>
      <c r="F2988" s="39" t="s">
        <v>108</v>
      </c>
      <c r="G2988" s="39" t="str">
        <f aca="false">VLOOKUP(C2988,Products!$A$5:$D$24,2,FALSE())</f>
        <v>Gel Pen Pack</v>
      </c>
      <c r="H2988" s="39" t="str">
        <f aca="false">VLOOKUP(C2988,Products!$A$5:$D$24,3,FALSE())</f>
        <v>Stationery</v>
      </c>
      <c r="I2988" s="41" t="n">
        <f aca="false">VLOOKUP(C2988,Products!$A$5:$D$24,4,FALSE())</f>
        <v>2</v>
      </c>
      <c r="J2988" s="42" t="n">
        <f aca="false">DATE(YEAR(B2988),MONTH(B2988),1)</f>
        <v>45992</v>
      </c>
      <c r="K2988" s="41" t="n">
        <f aca="false">D2988*E2988</f>
        <v>11.38</v>
      </c>
      <c r="L2988" s="41" t="n">
        <f aca="false">D2988*I2988</f>
        <v>4</v>
      </c>
      <c r="M2988" s="41" t="n">
        <f aca="false">IFERROR(INDEX(Raw_Expenses!$C$5:$C$2979,MATCH(A2988,Raw_Expenses!$A$5:$A$2979,0)),0)</f>
        <v>0.57</v>
      </c>
      <c r="N2988" s="41" t="n">
        <f aca="false">L2988+M2988</f>
        <v>4.57</v>
      </c>
      <c r="O2988" s="41" t="n">
        <f aca="false">K2988-N2988</f>
        <v>6.81</v>
      </c>
      <c r="P2988" s="43" t="n">
        <f aca="false">IF(K2988=0,0,O2988/K2988)</f>
        <v>0.598418277680141</v>
      </c>
    </row>
    <row r="2989" customFormat="false" ht="15" hidden="false" customHeight="false" outlineLevel="0" collapsed="false">
      <c r="A2989" s="39" t="s">
        <v>3111</v>
      </c>
      <c r="B2989" s="40" t="n">
        <v>46019</v>
      </c>
      <c r="C2989" s="39" t="s">
        <v>130</v>
      </c>
      <c r="D2989" s="39" t="n">
        <v>2</v>
      </c>
      <c r="E2989" s="41" t="n">
        <v>8.91</v>
      </c>
      <c r="F2989" s="39" t="s">
        <v>118</v>
      </c>
      <c r="G2989" s="39" t="str">
        <f aca="false">VLOOKUP(C2989,Products!$A$5:$D$24,2,FALSE())</f>
        <v>Notebook Set</v>
      </c>
      <c r="H2989" s="39" t="str">
        <f aca="false">VLOOKUP(C2989,Products!$A$5:$D$24,3,FALSE())</f>
        <v>Stationery</v>
      </c>
      <c r="I2989" s="41" t="n">
        <f aca="false">VLOOKUP(C2989,Products!$A$5:$D$24,4,FALSE())</f>
        <v>3</v>
      </c>
      <c r="J2989" s="42" t="n">
        <f aca="false">DATE(YEAR(B2989),MONTH(B2989),1)</f>
        <v>45992</v>
      </c>
      <c r="K2989" s="41" t="n">
        <f aca="false">D2989*E2989</f>
        <v>17.82</v>
      </c>
      <c r="L2989" s="41" t="n">
        <f aca="false">D2989*I2989</f>
        <v>6</v>
      </c>
      <c r="M2989" s="41" t="n">
        <f aca="false">IFERROR(INDEX(Raw_Expenses!$C$5:$C$2979,MATCH(A2989,Raw_Expenses!$A$5:$A$2979,0)),0)</f>
        <v>1.42</v>
      </c>
      <c r="N2989" s="41" t="n">
        <f aca="false">L2989+M2989</f>
        <v>7.42</v>
      </c>
      <c r="O2989" s="41" t="n">
        <f aca="false">K2989-N2989</f>
        <v>10.4</v>
      </c>
      <c r="P2989" s="43" t="n">
        <f aca="false">IF(K2989=0,0,O2989/K2989)</f>
        <v>0.58361391694725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19.7" hidden="false" customHeight="false" outlineLevel="0" collapsed="false">
      <c r="A1" s="21" t="s">
        <v>3112</v>
      </c>
    </row>
    <row r="2" customFormat="false" ht="15" hidden="false" customHeight="false" outlineLevel="0" collapsed="false">
      <c r="A2" s="22" t="s">
        <v>3113</v>
      </c>
    </row>
    <row r="3" customFormat="false" ht="15" hidden="false" customHeight="false" outlineLevel="0" collapsed="false">
      <c r="A3" s="23"/>
      <c r="B3" s="23"/>
      <c r="C3" s="23"/>
    </row>
    <row r="4" customFormat="false" ht="30" hidden="false" customHeight="true" outlineLevel="0" collapsed="false">
      <c r="A4" s="6" t="s">
        <v>3114</v>
      </c>
      <c r="B4" s="6" t="s">
        <v>3115</v>
      </c>
      <c r="C4" s="6" t="s">
        <v>3116</v>
      </c>
    </row>
    <row r="5" customFormat="false" ht="15" hidden="false" customHeight="false" outlineLevel="0" collapsed="false">
      <c r="A5" s="36" t="s">
        <v>3117</v>
      </c>
      <c r="B5" s="44" t="n">
        <f aca="false">COUNTA(Raw_Sales!$A$5:$A$3074)</f>
        <v>3070</v>
      </c>
      <c r="C5" s="45" t="s">
        <v>3118</v>
      </c>
    </row>
    <row r="6" customFormat="false" ht="15" hidden="false" customHeight="false" outlineLevel="0" collapsed="false">
      <c r="A6" s="36" t="s">
        <v>3119</v>
      </c>
      <c r="B6" s="44" t="n">
        <f aca="false">COUNTIF(Raw_Sales!$I$5:$I$3074,"Duplicate")</f>
        <v>70</v>
      </c>
      <c r="C6" s="45" t="s">
        <v>3120</v>
      </c>
    </row>
    <row r="7" customFormat="false" ht="15" hidden="false" customHeight="false" outlineLevel="0" collapsed="false">
      <c r="A7" s="36" t="s">
        <v>3121</v>
      </c>
      <c r="B7" s="44" t="n">
        <f aca="false">SUMPRODUCT(--NOT(EXACT(Raw_Sales!$C$5:$C$3074,Raw_Sales!$G$5:$G$3074)))</f>
        <v>52</v>
      </c>
      <c r="C7" s="45" t="s">
        <v>3122</v>
      </c>
    </row>
    <row r="8" customFormat="false" ht="15" hidden="false" customHeight="false" outlineLevel="0" collapsed="false">
      <c r="A8" s="36" t="s">
        <v>3123</v>
      </c>
      <c r="B8" s="44" t="n">
        <f aca="false">COUNTIF(Raw_Sales!$J$5:$J$3074,"Exclude")</f>
        <v>15</v>
      </c>
      <c r="C8" s="45" t="s">
        <v>3124</v>
      </c>
    </row>
    <row r="9" customFormat="false" ht="15" hidden="false" customHeight="false" outlineLevel="0" collapsed="false">
      <c r="A9" s="36" t="s">
        <v>3125</v>
      </c>
      <c r="B9" s="44" t="n">
        <f aca="false">COUNTIF(Raw_Sales!$J$5:$J$3074,"Keep")</f>
        <v>2985</v>
      </c>
      <c r="C9" s="45" t="s">
        <v>3126</v>
      </c>
    </row>
    <row r="10" customFormat="false" ht="15" hidden="false" customHeight="false" outlineLevel="0" collapsed="false">
      <c r="A10" s="36" t="s">
        <v>3127</v>
      </c>
      <c r="B10" s="44" t="n">
        <f aca="false">COUNTA(Clean_Data!$A$5:$A$2989)</f>
        <v>2985</v>
      </c>
      <c r="C10" s="45" t="s">
        <v>3128</v>
      </c>
    </row>
    <row r="11" customFormat="false" ht="15" hidden="false" customHeight="false" outlineLevel="0" collapsed="false">
      <c r="A11" s="36" t="s">
        <v>3129</v>
      </c>
      <c r="B11" s="44" t="str">
        <f aca="false">IF(B9=B10,"OK – counts agree","CHECK – counts differ")</f>
        <v>OK – counts agree</v>
      </c>
      <c r="C11" s="45" t="s">
        <v>3130</v>
      </c>
    </row>
    <row r="12" customFormat="false" ht="15" hidden="false" customHeight="false" outlineLevel="0" collapsed="false">
      <c r="A12" s="36" t="s">
        <v>3131</v>
      </c>
      <c r="B12" s="44" t="n">
        <f aca="false">SUMPRODUCT(--ISNA(MATCH(Clean_Data!$A$5:$A$2989,Raw_Expenses!$A$5:$A$2979,0)))</f>
        <v>25</v>
      </c>
      <c r="C12" s="45" t="s">
        <v>3132</v>
      </c>
    </row>
    <row r="13" customFormat="false" ht="15" hidden="false" customHeight="false" outlineLevel="0" collapsed="false">
      <c r="A13" s="36" t="s">
        <v>3133</v>
      </c>
      <c r="B13" s="44" t="n">
        <f aca="false">COUNTA(Raw_Expenses!$A$5:$A$2979)</f>
        <v>2975</v>
      </c>
      <c r="C13" s="45" t="s">
        <v>3134</v>
      </c>
    </row>
    <row r="15" customFormat="false" ht="15" hidden="false" customHeight="false" outlineLevel="0" collapsed="false">
      <c r="A15" s="4" t="s">
        <v>3135</v>
      </c>
    </row>
    <row r="16" customFormat="false" ht="15" hidden="false" customHeight="false" outlineLevel="0" collapsed="false">
      <c r="A16" s="39" t="s">
        <v>3136</v>
      </c>
    </row>
    <row r="17" customFormat="false" ht="15" hidden="false" customHeight="false" outlineLevel="0" collapsed="false">
      <c r="A17" s="39" t="s">
        <v>3137</v>
      </c>
    </row>
    <row r="18" customFormat="false" ht="15" hidden="false" customHeight="false" outlineLevel="0" collapsed="false">
      <c r="A18" s="39" t="s">
        <v>3138</v>
      </c>
    </row>
    <row r="19" customFormat="false" ht="15" hidden="false" customHeight="false" outlineLevel="0" collapsed="false">
      <c r="A19" s="39" t="s">
        <v>3139</v>
      </c>
    </row>
    <row r="20" customFormat="false" ht="15" hidden="false" customHeight="false" outlineLevel="0" collapsed="false">
      <c r="A20" s="39" t="s">
        <v>3140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30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21" t="s">
        <v>3141</v>
      </c>
    </row>
    <row r="2" customFormat="false" ht="15" hidden="false" customHeight="false" outlineLevel="0" collapsed="false">
      <c r="A2" s="22" t="s">
        <v>3142</v>
      </c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  <c r="H3" s="23"/>
      <c r="I3" s="23"/>
      <c r="J3" s="23"/>
    </row>
    <row r="4" customFormat="false" ht="30" hidden="false" customHeight="true" outlineLevel="0" collapsed="false">
      <c r="A4" s="6" t="s">
        <v>97</v>
      </c>
      <c r="B4" s="6" t="s">
        <v>98</v>
      </c>
      <c r="C4" s="6" t="s">
        <v>3143</v>
      </c>
      <c r="D4" s="6" t="s">
        <v>99</v>
      </c>
      <c r="E4" s="6" t="s">
        <v>100</v>
      </c>
      <c r="F4" s="6" t="s">
        <v>101</v>
      </c>
      <c r="G4" s="6" t="s">
        <v>3144</v>
      </c>
      <c r="H4" s="6" t="s">
        <v>3145</v>
      </c>
      <c r="I4" s="6" t="s">
        <v>3146</v>
      </c>
      <c r="J4" s="6" t="s">
        <v>3147</v>
      </c>
    </row>
    <row r="5" customFormat="false" ht="15" hidden="false" customHeight="false" outlineLevel="0" collapsed="false">
      <c r="A5" s="39" t="s">
        <v>103</v>
      </c>
      <c r="B5" s="40" t="n">
        <v>45658</v>
      </c>
      <c r="C5" s="39" t="s">
        <v>104</v>
      </c>
      <c r="D5" s="39" t="n">
        <v>3</v>
      </c>
      <c r="E5" s="41" t="n">
        <v>15.73</v>
      </c>
      <c r="F5" s="39" t="s">
        <v>105</v>
      </c>
      <c r="G5" s="39" t="str">
        <f aca="false">UPPER(TRIM(C5))</f>
        <v>P015</v>
      </c>
      <c r="H5" s="39" t="str">
        <f aca="false">IF(ISNUMBER(MATCH(G5,Products!$A$5:$A$24,0)),"OK","Mismatch")</f>
        <v>OK</v>
      </c>
      <c r="I5" s="39" t="str">
        <f aca="false">IF(COUNTIF($A$5:A5,A5)&gt;1,"Duplicate","Unique")</f>
        <v>Unique</v>
      </c>
      <c r="J5" s="39" t="str">
        <f aca="false">IF(I5="Duplicate","Remove",IF(H5="Mismatch","Exclude","Keep"))</f>
        <v>Keep</v>
      </c>
    </row>
    <row r="6" customFormat="false" ht="15" hidden="false" customHeight="false" outlineLevel="0" collapsed="false">
      <c r="A6" s="39" t="s">
        <v>106</v>
      </c>
      <c r="B6" s="40" t="n">
        <v>45658</v>
      </c>
      <c r="C6" s="39" t="s">
        <v>107</v>
      </c>
      <c r="D6" s="39" t="n">
        <v>3</v>
      </c>
      <c r="E6" s="41" t="n">
        <v>32.29</v>
      </c>
      <c r="F6" s="39" t="s">
        <v>108</v>
      </c>
      <c r="G6" s="39" t="str">
        <f aca="false">UPPER(TRIM(C6))</f>
        <v>P003</v>
      </c>
      <c r="H6" s="39" t="str">
        <f aca="false">IF(ISNUMBER(MATCH(G6,Products!$A$5:$A$24,0)),"OK","Mismatch")</f>
        <v>OK</v>
      </c>
      <c r="I6" s="39" t="str">
        <f aca="false">IF(COUNTIF($A$5:A6,A6)&gt;1,"Duplicate","Unique")</f>
        <v>Unique</v>
      </c>
      <c r="J6" s="39" t="str">
        <f aca="false">IF(I6="Duplicate","Remove",IF(H6="Mismatch","Exclude","Keep"))</f>
        <v>Keep</v>
      </c>
    </row>
    <row r="7" customFormat="false" ht="15" hidden="false" customHeight="false" outlineLevel="0" collapsed="false">
      <c r="A7" s="39" t="s">
        <v>109</v>
      </c>
      <c r="B7" s="40" t="n">
        <v>45658</v>
      </c>
      <c r="C7" s="39" t="s">
        <v>110</v>
      </c>
      <c r="D7" s="39" t="n">
        <v>5</v>
      </c>
      <c r="E7" s="41" t="n">
        <v>13.36</v>
      </c>
      <c r="F7" s="39" t="s">
        <v>105</v>
      </c>
      <c r="G7" s="39" t="str">
        <f aca="false">UPPER(TRIM(C7))</f>
        <v>P016</v>
      </c>
      <c r="H7" s="39" t="str">
        <f aca="false">IF(ISNUMBER(MATCH(G7,Products!$A$5:$A$24,0)),"OK","Mismatch")</f>
        <v>OK</v>
      </c>
      <c r="I7" s="39" t="str">
        <f aca="false">IF(COUNTIF($A$5:A7,A7)&gt;1,"Duplicate","Unique")</f>
        <v>Unique</v>
      </c>
      <c r="J7" s="39" t="str">
        <f aca="false">IF(I7="Duplicate","Remove",IF(H7="Mismatch","Exclude","Keep"))</f>
        <v>Keep</v>
      </c>
    </row>
    <row r="8" customFormat="false" ht="15" hidden="false" customHeight="false" outlineLevel="0" collapsed="false">
      <c r="A8" s="39" t="s">
        <v>111</v>
      </c>
      <c r="B8" s="40" t="n">
        <v>45658</v>
      </c>
      <c r="C8" s="39" t="s">
        <v>112</v>
      </c>
      <c r="D8" s="39" t="n">
        <v>2</v>
      </c>
      <c r="E8" s="41" t="n">
        <v>54.82</v>
      </c>
      <c r="F8" s="39" t="s">
        <v>105</v>
      </c>
      <c r="G8" s="39" t="str">
        <f aca="false">UPPER(TRIM(C8))</f>
        <v>P005</v>
      </c>
      <c r="H8" s="39" t="str">
        <f aca="false">IF(ISNUMBER(MATCH(G8,Products!$A$5:$A$24,0)),"OK","Mismatch")</f>
        <v>OK</v>
      </c>
      <c r="I8" s="39" t="str">
        <f aca="false">IF(COUNTIF($A$5:A8,A8)&gt;1,"Duplicate","Unique")</f>
        <v>Unique</v>
      </c>
      <c r="J8" s="39" t="str">
        <f aca="false">IF(I8="Duplicate","Remove",IF(H8="Mismatch","Exclude","Keep"))</f>
        <v>Keep</v>
      </c>
    </row>
    <row r="9" customFormat="false" ht="15" hidden="false" customHeight="false" outlineLevel="0" collapsed="false">
      <c r="A9" s="39" t="s">
        <v>113</v>
      </c>
      <c r="B9" s="40" t="n">
        <v>45658</v>
      </c>
      <c r="C9" s="39" t="s">
        <v>114</v>
      </c>
      <c r="D9" s="39" t="n">
        <v>2</v>
      </c>
      <c r="E9" s="41" t="n">
        <v>5.91</v>
      </c>
      <c r="F9" s="39" t="s">
        <v>115</v>
      </c>
      <c r="G9" s="39" t="str">
        <f aca="false">UPPER(TRIM(C9))</f>
        <v>P012</v>
      </c>
      <c r="H9" s="39" t="str">
        <f aca="false">IF(ISNUMBER(MATCH(G9,Products!$A$5:$A$24,0)),"OK","Mismatch")</f>
        <v>OK</v>
      </c>
      <c r="I9" s="39" t="str">
        <f aca="false">IF(COUNTIF($A$5:A9,A9)&gt;1,"Duplicate","Unique")</f>
        <v>Unique</v>
      </c>
      <c r="J9" s="39" t="str">
        <f aca="false">IF(I9="Duplicate","Remove",IF(H9="Mismatch","Exclude","Keep"))</f>
        <v>Keep</v>
      </c>
    </row>
    <row r="10" customFormat="false" ht="15" hidden="false" customHeight="false" outlineLevel="0" collapsed="false">
      <c r="A10" s="39" t="s">
        <v>116</v>
      </c>
      <c r="B10" s="40" t="n">
        <v>45658</v>
      </c>
      <c r="C10" s="39" t="s">
        <v>117</v>
      </c>
      <c r="D10" s="39" t="n">
        <v>4</v>
      </c>
      <c r="E10" s="41" t="n">
        <v>29.73</v>
      </c>
      <c r="F10" s="39" t="s">
        <v>118</v>
      </c>
      <c r="G10" s="39" t="str">
        <f aca="false">UPPER(TRIM(C10))</f>
        <v>P009</v>
      </c>
      <c r="H10" s="39" t="str">
        <f aca="false">IF(ISNUMBER(MATCH(G10,Products!$A$5:$A$24,0)),"OK","Mismatch")</f>
        <v>OK</v>
      </c>
      <c r="I10" s="39" t="str">
        <f aca="false">IF(COUNTIF($A$5:A10,A10)&gt;1,"Duplicate","Unique")</f>
        <v>Unique</v>
      </c>
      <c r="J10" s="39" t="str">
        <f aca="false">IF(I10="Duplicate","Remove",IF(H10="Mismatch","Exclude","Keep"))</f>
        <v>Keep</v>
      </c>
    </row>
    <row r="11" customFormat="false" ht="15" hidden="false" customHeight="false" outlineLevel="0" collapsed="false">
      <c r="A11" s="39" t="s">
        <v>119</v>
      </c>
      <c r="B11" s="40" t="n">
        <v>45658</v>
      </c>
      <c r="C11" s="39" t="s">
        <v>117</v>
      </c>
      <c r="D11" s="39" t="n">
        <v>1</v>
      </c>
      <c r="E11" s="41" t="n">
        <v>30.8</v>
      </c>
      <c r="F11" s="39" t="s">
        <v>105</v>
      </c>
      <c r="G11" s="39" t="str">
        <f aca="false">UPPER(TRIM(C11))</f>
        <v>P009</v>
      </c>
      <c r="H11" s="39" t="str">
        <f aca="false">IF(ISNUMBER(MATCH(G11,Products!$A$5:$A$24,0)),"OK","Mismatch")</f>
        <v>OK</v>
      </c>
      <c r="I11" s="39" t="str">
        <f aca="false">IF(COUNTIF($A$5:A11,A11)&gt;1,"Duplicate","Unique")</f>
        <v>Unique</v>
      </c>
      <c r="J11" s="39" t="str">
        <f aca="false">IF(I11="Duplicate","Remove",IF(H11="Mismatch","Exclude","Keep"))</f>
        <v>Keep</v>
      </c>
    </row>
    <row r="12" customFormat="false" ht="15" hidden="false" customHeight="false" outlineLevel="0" collapsed="false">
      <c r="A12" s="39" t="s">
        <v>120</v>
      </c>
      <c r="B12" s="40" t="n">
        <v>45659</v>
      </c>
      <c r="C12" s="39" t="s">
        <v>121</v>
      </c>
      <c r="D12" s="39" t="n">
        <v>2</v>
      </c>
      <c r="E12" s="41" t="n">
        <v>115.64</v>
      </c>
      <c r="F12" s="39" t="s">
        <v>115</v>
      </c>
      <c r="G12" s="39" t="str">
        <f aca="false">UPPER(TRIM(C12))</f>
        <v>P018</v>
      </c>
      <c r="H12" s="39" t="str">
        <f aca="false">IF(ISNUMBER(MATCH(G12,Products!$A$5:$A$24,0)),"OK","Mismatch")</f>
        <v>OK</v>
      </c>
      <c r="I12" s="39" t="str">
        <f aca="false">IF(COUNTIF($A$5:A12,A12)&gt;1,"Duplicate","Unique")</f>
        <v>Unique</v>
      </c>
      <c r="J12" s="39" t="str">
        <f aca="false">IF(I12="Duplicate","Remove",IF(H12="Mismatch","Exclude","Keep"))</f>
        <v>Keep</v>
      </c>
    </row>
    <row r="13" customFormat="false" ht="15" hidden="false" customHeight="false" outlineLevel="0" collapsed="false">
      <c r="A13" s="39" t="s">
        <v>122</v>
      </c>
      <c r="B13" s="40" t="n">
        <v>45659</v>
      </c>
      <c r="C13" s="39" t="s">
        <v>104</v>
      </c>
      <c r="D13" s="39" t="n">
        <v>1</v>
      </c>
      <c r="E13" s="41" t="n">
        <v>15.92</v>
      </c>
      <c r="F13" s="39" t="s">
        <v>108</v>
      </c>
      <c r="G13" s="39" t="str">
        <f aca="false">UPPER(TRIM(C13))</f>
        <v>P015</v>
      </c>
      <c r="H13" s="39" t="str">
        <f aca="false">IF(ISNUMBER(MATCH(G13,Products!$A$5:$A$24,0)),"OK","Mismatch")</f>
        <v>OK</v>
      </c>
      <c r="I13" s="39" t="str">
        <f aca="false">IF(COUNTIF($A$5:A13,A13)&gt;1,"Duplicate","Unique")</f>
        <v>Unique</v>
      </c>
      <c r="J13" s="39" t="str">
        <f aca="false">IF(I13="Duplicate","Remove",IF(H13="Mismatch","Exclude","Keep"))</f>
        <v>Keep</v>
      </c>
    </row>
    <row r="14" customFormat="false" ht="15" hidden="false" customHeight="false" outlineLevel="0" collapsed="false">
      <c r="A14" s="39" t="s">
        <v>123</v>
      </c>
      <c r="B14" s="40" t="n">
        <v>45659</v>
      </c>
      <c r="C14" s="39" t="s">
        <v>110</v>
      </c>
      <c r="D14" s="39" t="n">
        <v>2</v>
      </c>
      <c r="E14" s="41" t="n">
        <v>13.66</v>
      </c>
      <c r="F14" s="39" t="s">
        <v>118</v>
      </c>
      <c r="G14" s="39" t="str">
        <f aca="false">UPPER(TRIM(C14))</f>
        <v>P016</v>
      </c>
      <c r="H14" s="39" t="str">
        <f aca="false">IF(ISNUMBER(MATCH(G14,Products!$A$5:$A$24,0)),"OK","Mismatch")</f>
        <v>OK</v>
      </c>
      <c r="I14" s="39" t="str">
        <f aca="false">IF(COUNTIF($A$5:A14,A14)&gt;1,"Duplicate","Unique")</f>
        <v>Unique</v>
      </c>
      <c r="J14" s="39" t="str">
        <f aca="false">IF(I14="Duplicate","Remove",IF(H14="Mismatch","Exclude","Keep"))</f>
        <v>Keep</v>
      </c>
    </row>
    <row r="15" customFormat="false" ht="15" hidden="false" customHeight="false" outlineLevel="0" collapsed="false">
      <c r="A15" s="39" t="s">
        <v>124</v>
      </c>
      <c r="B15" s="40" t="n">
        <v>45660</v>
      </c>
      <c r="C15" s="39" t="s">
        <v>107</v>
      </c>
      <c r="D15" s="39" t="n">
        <v>1</v>
      </c>
      <c r="E15" s="41" t="n">
        <v>34.04</v>
      </c>
      <c r="F15" s="39" t="s">
        <v>115</v>
      </c>
      <c r="G15" s="39" t="str">
        <f aca="false">UPPER(TRIM(C15))</f>
        <v>P003</v>
      </c>
      <c r="H15" s="39" t="str">
        <f aca="false">IF(ISNUMBER(MATCH(G15,Products!$A$5:$A$24,0)),"OK","Mismatch")</f>
        <v>OK</v>
      </c>
      <c r="I15" s="39" t="str">
        <f aca="false">IF(COUNTIF($A$5:A15,A15)&gt;1,"Duplicate","Unique")</f>
        <v>Unique</v>
      </c>
      <c r="J15" s="39" t="str">
        <f aca="false">IF(I15="Duplicate","Remove",IF(H15="Mismatch","Exclude","Keep"))</f>
        <v>Keep</v>
      </c>
    </row>
    <row r="16" customFormat="false" ht="15" hidden="false" customHeight="false" outlineLevel="0" collapsed="false">
      <c r="A16" s="39" t="s">
        <v>125</v>
      </c>
      <c r="B16" s="40" t="n">
        <v>45660</v>
      </c>
      <c r="C16" s="39" t="s">
        <v>126</v>
      </c>
      <c r="D16" s="39" t="n">
        <v>1</v>
      </c>
      <c r="E16" s="41" t="n">
        <v>23.2</v>
      </c>
      <c r="F16" s="39" t="s">
        <v>118</v>
      </c>
      <c r="G16" s="39" t="str">
        <f aca="false">UPPER(TRIM(C16))</f>
        <v>P001</v>
      </c>
      <c r="H16" s="39" t="str">
        <f aca="false">IF(ISNUMBER(MATCH(G16,Products!$A$5:$A$24,0)),"OK","Mismatch")</f>
        <v>OK</v>
      </c>
      <c r="I16" s="39" t="str">
        <f aca="false">IF(COUNTIF($A$5:A16,A16)&gt;1,"Duplicate","Unique")</f>
        <v>Unique</v>
      </c>
      <c r="J16" s="39" t="str">
        <f aca="false">IF(I16="Duplicate","Remove",IF(H16="Mismatch","Exclude","Keep"))</f>
        <v>Keep</v>
      </c>
    </row>
    <row r="17" customFormat="false" ht="15" hidden="false" customHeight="false" outlineLevel="0" collapsed="false">
      <c r="A17" s="39" t="s">
        <v>127</v>
      </c>
      <c r="B17" s="40" t="n">
        <v>45660</v>
      </c>
      <c r="C17" s="39" t="s">
        <v>128</v>
      </c>
      <c r="D17" s="39" t="n">
        <v>2</v>
      </c>
      <c r="E17" s="41" t="n">
        <v>37.09</v>
      </c>
      <c r="F17" s="39" t="s">
        <v>118</v>
      </c>
      <c r="G17" s="39" t="str">
        <f aca="false">UPPER(TRIM(C17))</f>
        <v>P020</v>
      </c>
      <c r="H17" s="39" t="str">
        <f aca="false">IF(ISNUMBER(MATCH(G17,Products!$A$5:$A$24,0)),"OK","Mismatch")</f>
        <v>OK</v>
      </c>
      <c r="I17" s="39" t="str">
        <f aca="false">IF(COUNTIF($A$5:A17,A17)&gt;1,"Duplicate","Unique")</f>
        <v>Unique</v>
      </c>
      <c r="J17" s="39" t="str">
        <f aca="false">IF(I17="Duplicate","Remove",IF(H17="Mismatch","Exclude","Keep"))</f>
        <v>Keep</v>
      </c>
    </row>
    <row r="18" customFormat="false" ht="15" hidden="false" customHeight="false" outlineLevel="0" collapsed="false">
      <c r="A18" s="39" t="s">
        <v>129</v>
      </c>
      <c r="B18" s="40" t="n">
        <v>45660</v>
      </c>
      <c r="C18" s="39" t="s">
        <v>130</v>
      </c>
      <c r="D18" s="39" t="n">
        <v>1</v>
      </c>
      <c r="E18" s="41" t="n">
        <v>8.87</v>
      </c>
      <c r="F18" s="39" t="s">
        <v>115</v>
      </c>
      <c r="G18" s="39" t="str">
        <f aca="false">UPPER(TRIM(C18))</f>
        <v>P011</v>
      </c>
      <c r="H18" s="39" t="str">
        <f aca="false">IF(ISNUMBER(MATCH(G18,Products!$A$5:$A$24,0)),"OK","Mismatch")</f>
        <v>OK</v>
      </c>
      <c r="I18" s="39" t="str">
        <f aca="false">IF(COUNTIF($A$5:A18,A18)&gt;1,"Duplicate","Unique")</f>
        <v>Unique</v>
      </c>
      <c r="J18" s="39" t="str">
        <f aca="false">IF(I18="Duplicate","Remove",IF(H18="Mismatch","Exclude","Keep"))</f>
        <v>Keep</v>
      </c>
    </row>
    <row r="19" customFormat="false" ht="15" hidden="false" customHeight="false" outlineLevel="0" collapsed="false">
      <c r="A19" s="39" t="s">
        <v>131</v>
      </c>
      <c r="B19" s="40" t="n">
        <v>45660</v>
      </c>
      <c r="C19" s="39" t="s">
        <v>114</v>
      </c>
      <c r="D19" s="39" t="n">
        <v>5</v>
      </c>
      <c r="E19" s="41" t="n">
        <v>5.65</v>
      </c>
      <c r="F19" s="39" t="s">
        <v>118</v>
      </c>
      <c r="G19" s="39" t="str">
        <f aca="false">UPPER(TRIM(C19))</f>
        <v>P012</v>
      </c>
      <c r="H19" s="39" t="str">
        <f aca="false">IF(ISNUMBER(MATCH(G19,Products!$A$5:$A$24,0)),"OK","Mismatch")</f>
        <v>OK</v>
      </c>
      <c r="I19" s="39" t="str">
        <f aca="false">IF(COUNTIF($A$5:A19,A19)&gt;1,"Duplicate","Unique")</f>
        <v>Unique</v>
      </c>
      <c r="J19" s="39" t="str">
        <f aca="false">IF(I19="Duplicate","Remove",IF(H19="Mismatch","Exclude","Keep"))</f>
        <v>Keep</v>
      </c>
    </row>
    <row r="20" customFormat="false" ht="15" hidden="false" customHeight="false" outlineLevel="0" collapsed="false">
      <c r="A20" s="39" t="s">
        <v>132</v>
      </c>
      <c r="B20" s="40" t="n">
        <v>45660</v>
      </c>
      <c r="C20" s="39" t="s">
        <v>133</v>
      </c>
      <c r="D20" s="39" t="n">
        <v>3</v>
      </c>
      <c r="E20" s="41" t="n">
        <v>8.94</v>
      </c>
      <c r="F20" s="39" t="s">
        <v>115</v>
      </c>
      <c r="G20" s="39" t="str">
        <f aca="false">UPPER(TRIM(C20))</f>
        <v>P019</v>
      </c>
      <c r="H20" s="39" t="str">
        <f aca="false">IF(ISNUMBER(MATCH(G20,Products!$A$5:$A$24,0)),"OK","Mismatch")</f>
        <v>OK</v>
      </c>
      <c r="I20" s="39" t="str">
        <f aca="false">IF(COUNTIF($A$5:A20,A20)&gt;1,"Duplicate","Unique")</f>
        <v>Unique</v>
      </c>
      <c r="J20" s="39" t="str">
        <f aca="false">IF(I20="Duplicate","Remove",IF(H20="Mismatch","Exclude","Keep"))</f>
        <v>Keep</v>
      </c>
    </row>
    <row r="21" customFormat="false" ht="15" hidden="false" customHeight="false" outlineLevel="0" collapsed="false">
      <c r="A21" s="39" t="s">
        <v>134</v>
      </c>
      <c r="B21" s="40" t="n">
        <v>45660</v>
      </c>
      <c r="C21" s="39" t="s">
        <v>114</v>
      </c>
      <c r="D21" s="39" t="n">
        <v>2</v>
      </c>
      <c r="E21" s="41" t="n">
        <v>5.62</v>
      </c>
      <c r="F21" s="39" t="s">
        <v>115</v>
      </c>
      <c r="G21" s="39" t="str">
        <f aca="false">UPPER(TRIM(C21))</f>
        <v>P012</v>
      </c>
      <c r="H21" s="39" t="str">
        <f aca="false">IF(ISNUMBER(MATCH(G21,Products!$A$5:$A$24,0)),"OK","Mismatch")</f>
        <v>OK</v>
      </c>
      <c r="I21" s="39" t="str">
        <f aca="false">IF(COUNTIF($A$5:A21,A21)&gt;1,"Duplicate","Unique")</f>
        <v>Unique</v>
      </c>
      <c r="J21" s="39" t="str">
        <f aca="false">IF(I21="Duplicate","Remove",IF(H21="Mismatch","Exclude","Keep"))</f>
        <v>Keep</v>
      </c>
    </row>
    <row r="22" customFormat="false" ht="15" hidden="false" customHeight="false" outlineLevel="0" collapsed="false">
      <c r="A22" s="39" t="s">
        <v>135</v>
      </c>
      <c r="B22" s="40" t="n">
        <v>45660</v>
      </c>
      <c r="C22" s="39" t="s">
        <v>136</v>
      </c>
      <c r="D22" s="39" t="n">
        <v>4</v>
      </c>
      <c r="E22" s="41" t="n">
        <v>78.77</v>
      </c>
      <c r="F22" s="39" t="s">
        <v>105</v>
      </c>
      <c r="G22" s="39" t="str">
        <f aca="false">UPPER(TRIM(C22))</f>
        <v>P002</v>
      </c>
      <c r="H22" s="39" t="str">
        <f aca="false">IF(ISNUMBER(MATCH(G22,Products!$A$5:$A$24,0)),"OK","Mismatch")</f>
        <v>OK</v>
      </c>
      <c r="I22" s="39" t="str">
        <f aca="false">IF(COUNTIF($A$5:A22,A22)&gt;1,"Duplicate","Unique")</f>
        <v>Unique</v>
      </c>
      <c r="J22" s="39" t="str">
        <f aca="false">IF(I22="Duplicate","Remove",IF(H22="Mismatch","Exclude","Keep"))</f>
        <v>Keep</v>
      </c>
    </row>
    <row r="23" customFormat="false" ht="15" hidden="false" customHeight="false" outlineLevel="0" collapsed="false">
      <c r="A23" s="39" t="s">
        <v>137</v>
      </c>
      <c r="B23" s="40" t="n">
        <v>45660</v>
      </c>
      <c r="C23" s="39" t="s">
        <v>133</v>
      </c>
      <c r="D23" s="39" t="n">
        <v>8</v>
      </c>
      <c r="E23" s="41" t="n">
        <v>8.46</v>
      </c>
      <c r="F23" s="39" t="s">
        <v>108</v>
      </c>
      <c r="G23" s="39" t="str">
        <f aca="false">UPPER(TRIM(C23))</f>
        <v>P019</v>
      </c>
      <c r="H23" s="39" t="str">
        <f aca="false">IF(ISNUMBER(MATCH(G23,Products!$A$5:$A$24,0)),"OK","Mismatch")</f>
        <v>OK</v>
      </c>
      <c r="I23" s="39" t="str">
        <f aca="false">IF(COUNTIF($A$5:A23,A23)&gt;1,"Duplicate","Unique")</f>
        <v>Unique</v>
      </c>
      <c r="J23" s="39" t="str">
        <f aca="false">IF(I23="Duplicate","Remove",IF(H23="Mismatch","Exclude","Keep"))</f>
        <v>Keep</v>
      </c>
    </row>
    <row r="24" customFormat="false" ht="15" hidden="false" customHeight="false" outlineLevel="0" collapsed="false">
      <c r="A24" s="39" t="s">
        <v>138</v>
      </c>
      <c r="B24" s="40" t="n">
        <v>45661</v>
      </c>
      <c r="C24" s="39" t="s">
        <v>139</v>
      </c>
      <c r="D24" s="39" t="n">
        <v>2</v>
      </c>
      <c r="E24" s="41" t="n">
        <v>123.45</v>
      </c>
      <c r="F24" s="39" t="s">
        <v>105</v>
      </c>
      <c r="G24" s="39" t="str">
        <f aca="false">UPPER(TRIM(C24))</f>
        <v>P006</v>
      </c>
      <c r="H24" s="39" t="str">
        <f aca="false">IF(ISNUMBER(MATCH(G24,Products!$A$5:$A$24,0)),"OK","Mismatch")</f>
        <v>OK</v>
      </c>
      <c r="I24" s="39" t="str">
        <f aca="false">IF(COUNTIF($A$5:A24,A24)&gt;1,"Duplicate","Unique")</f>
        <v>Unique</v>
      </c>
      <c r="J24" s="39" t="str">
        <f aca="false">IF(I24="Duplicate","Remove",IF(H24="Mismatch","Exclude","Keep"))</f>
        <v>Keep</v>
      </c>
    </row>
    <row r="25" customFormat="false" ht="15" hidden="false" customHeight="false" outlineLevel="0" collapsed="false">
      <c r="A25" s="39" t="s">
        <v>140</v>
      </c>
      <c r="B25" s="40" t="n">
        <v>45661</v>
      </c>
      <c r="C25" s="39" t="s">
        <v>126</v>
      </c>
      <c r="D25" s="39" t="n">
        <v>2</v>
      </c>
      <c r="E25" s="41" t="n">
        <v>24.71</v>
      </c>
      <c r="F25" s="39" t="s">
        <v>118</v>
      </c>
      <c r="G25" s="39" t="str">
        <f aca="false">UPPER(TRIM(C25))</f>
        <v>P001</v>
      </c>
      <c r="H25" s="39" t="str">
        <f aca="false">IF(ISNUMBER(MATCH(G25,Products!$A$5:$A$24,0)),"OK","Mismatch")</f>
        <v>OK</v>
      </c>
      <c r="I25" s="39" t="str">
        <f aca="false">IF(COUNTIF($A$5:A25,A25)&gt;1,"Duplicate","Unique")</f>
        <v>Unique</v>
      </c>
      <c r="J25" s="39" t="str">
        <f aca="false">IF(I25="Duplicate","Remove",IF(H25="Mismatch","Exclude","Keep"))</f>
        <v>Keep</v>
      </c>
    </row>
    <row r="26" customFormat="false" ht="15" hidden="false" customHeight="false" outlineLevel="0" collapsed="false">
      <c r="A26" s="39" t="s">
        <v>141</v>
      </c>
      <c r="B26" s="40" t="n">
        <v>45661</v>
      </c>
      <c r="C26" s="39" t="s">
        <v>130</v>
      </c>
      <c r="D26" s="39" t="n">
        <v>1</v>
      </c>
      <c r="E26" s="41" t="n">
        <v>8.92</v>
      </c>
      <c r="F26" s="39" t="s">
        <v>105</v>
      </c>
      <c r="G26" s="39" t="str">
        <f aca="false">UPPER(TRIM(C26))</f>
        <v>P011</v>
      </c>
      <c r="H26" s="39" t="str">
        <f aca="false">IF(ISNUMBER(MATCH(G26,Products!$A$5:$A$24,0)),"OK","Mismatch")</f>
        <v>OK</v>
      </c>
      <c r="I26" s="39" t="str">
        <f aca="false">IF(COUNTIF($A$5:A26,A26)&gt;1,"Duplicate","Unique")</f>
        <v>Unique</v>
      </c>
      <c r="J26" s="39" t="str">
        <f aca="false">IF(I26="Duplicate","Remove",IF(H26="Mismatch","Exclude","Keep"))</f>
        <v>Keep</v>
      </c>
    </row>
    <row r="27" customFormat="false" ht="15" hidden="false" customHeight="false" outlineLevel="0" collapsed="false">
      <c r="A27" s="39" t="s">
        <v>142</v>
      </c>
      <c r="B27" s="40" t="n">
        <v>45661</v>
      </c>
      <c r="C27" s="39" t="s">
        <v>126</v>
      </c>
      <c r="D27" s="39" t="n">
        <v>1</v>
      </c>
      <c r="E27" s="41" t="n">
        <v>24.58</v>
      </c>
      <c r="F27" s="39" t="s">
        <v>105</v>
      </c>
      <c r="G27" s="39" t="str">
        <f aca="false">UPPER(TRIM(C27))</f>
        <v>P001</v>
      </c>
      <c r="H27" s="39" t="str">
        <f aca="false">IF(ISNUMBER(MATCH(G27,Products!$A$5:$A$24,0)),"OK","Mismatch")</f>
        <v>OK</v>
      </c>
      <c r="I27" s="39" t="str">
        <f aca="false">IF(COUNTIF($A$5:A27,A27)&gt;1,"Duplicate","Unique")</f>
        <v>Unique</v>
      </c>
      <c r="J27" s="39" t="str">
        <f aca="false">IF(I27="Duplicate","Remove",IF(H27="Mismatch","Exclude","Keep"))</f>
        <v>Keep</v>
      </c>
    </row>
    <row r="28" customFormat="false" ht="15" hidden="false" customHeight="false" outlineLevel="0" collapsed="false">
      <c r="A28" s="39" t="s">
        <v>143</v>
      </c>
      <c r="B28" s="40" t="n">
        <v>45661</v>
      </c>
      <c r="C28" s="39" t="s">
        <v>144</v>
      </c>
      <c r="D28" s="39" t="n">
        <v>1</v>
      </c>
      <c r="E28" s="41" t="n">
        <v>56.08</v>
      </c>
      <c r="F28" s="39" t="s">
        <v>105</v>
      </c>
      <c r="G28" s="39" t="str">
        <f aca="false">UPPER(TRIM(C28))</f>
        <v>P013</v>
      </c>
      <c r="H28" s="39" t="str">
        <f aca="false">IF(ISNUMBER(MATCH(G28,Products!$A$5:$A$24,0)),"OK","Mismatch")</f>
        <v>OK</v>
      </c>
      <c r="I28" s="39" t="str">
        <f aca="false">IF(COUNTIF($A$5:A28,A28)&gt;1,"Duplicate","Unique")</f>
        <v>Unique</v>
      </c>
      <c r="J28" s="39" t="str">
        <f aca="false">IF(I28="Duplicate","Remove",IF(H28="Mismatch","Exclude","Keep"))</f>
        <v>Keep</v>
      </c>
    </row>
    <row r="29" customFormat="false" ht="15" hidden="false" customHeight="false" outlineLevel="0" collapsed="false">
      <c r="A29" s="39" t="s">
        <v>145</v>
      </c>
      <c r="B29" s="40" t="n">
        <v>45661</v>
      </c>
      <c r="C29" s="39" t="s">
        <v>130</v>
      </c>
      <c r="D29" s="39" t="n">
        <v>3</v>
      </c>
      <c r="E29" s="41" t="n">
        <v>8.46</v>
      </c>
      <c r="F29" s="39" t="s">
        <v>105</v>
      </c>
      <c r="G29" s="39" t="str">
        <f aca="false">UPPER(TRIM(C29))</f>
        <v>P011</v>
      </c>
      <c r="H29" s="39" t="str">
        <f aca="false">IF(ISNUMBER(MATCH(G29,Products!$A$5:$A$24,0)),"OK","Mismatch")</f>
        <v>OK</v>
      </c>
      <c r="I29" s="39" t="str">
        <f aca="false">IF(COUNTIF($A$5:A29,A29)&gt;1,"Duplicate","Unique")</f>
        <v>Unique</v>
      </c>
      <c r="J29" s="39" t="str">
        <f aca="false">IF(I29="Duplicate","Remove",IF(H29="Mismatch","Exclude","Keep"))</f>
        <v>Keep</v>
      </c>
    </row>
    <row r="30" customFormat="false" ht="15" hidden="false" customHeight="false" outlineLevel="0" collapsed="false">
      <c r="A30" s="39" t="s">
        <v>146</v>
      </c>
      <c r="B30" s="40" t="n">
        <v>45661</v>
      </c>
      <c r="C30" s="39" t="s">
        <v>144</v>
      </c>
      <c r="D30" s="39" t="n">
        <v>1</v>
      </c>
      <c r="E30" s="41" t="n">
        <v>56.12</v>
      </c>
      <c r="F30" s="39" t="s">
        <v>108</v>
      </c>
      <c r="G30" s="39" t="str">
        <f aca="false">UPPER(TRIM(C30))</f>
        <v>P013</v>
      </c>
      <c r="H30" s="39" t="str">
        <f aca="false">IF(ISNUMBER(MATCH(G30,Products!$A$5:$A$24,0)),"OK","Mismatch")</f>
        <v>OK</v>
      </c>
      <c r="I30" s="39" t="str">
        <f aca="false">IF(COUNTIF($A$5:A30,A30)&gt;1,"Duplicate","Unique")</f>
        <v>Unique</v>
      </c>
      <c r="J30" s="39" t="str">
        <f aca="false">IF(I30="Duplicate","Remove",IF(H30="Mismatch","Exclude","Keep"))</f>
        <v>Keep</v>
      </c>
    </row>
    <row r="31" customFormat="false" ht="15" hidden="false" customHeight="false" outlineLevel="0" collapsed="false">
      <c r="A31" s="39" t="s">
        <v>147</v>
      </c>
      <c r="B31" s="40" t="n">
        <v>45661</v>
      </c>
      <c r="C31" s="39" t="s">
        <v>144</v>
      </c>
      <c r="D31" s="39" t="n">
        <v>4</v>
      </c>
      <c r="E31" s="41" t="n">
        <v>57.97</v>
      </c>
      <c r="F31" s="39" t="s">
        <v>115</v>
      </c>
      <c r="G31" s="39" t="str">
        <f aca="false">UPPER(TRIM(C31))</f>
        <v>P013</v>
      </c>
      <c r="H31" s="39" t="str">
        <f aca="false">IF(ISNUMBER(MATCH(G31,Products!$A$5:$A$24,0)),"OK","Mismatch")</f>
        <v>OK</v>
      </c>
      <c r="I31" s="39" t="str">
        <f aca="false">IF(COUNTIF($A$5:A31,A31)&gt;1,"Duplicate","Unique")</f>
        <v>Unique</v>
      </c>
      <c r="J31" s="39" t="str">
        <f aca="false">IF(I31="Duplicate","Remove",IF(H31="Mismatch","Exclude","Keep"))</f>
        <v>Keep</v>
      </c>
    </row>
    <row r="32" customFormat="false" ht="15" hidden="false" customHeight="false" outlineLevel="0" collapsed="false">
      <c r="A32" s="39" t="s">
        <v>148</v>
      </c>
      <c r="B32" s="40" t="n">
        <v>45661</v>
      </c>
      <c r="C32" s="39" t="s">
        <v>133</v>
      </c>
      <c r="D32" s="39" t="n">
        <v>2</v>
      </c>
      <c r="E32" s="41" t="n">
        <v>8.42</v>
      </c>
      <c r="F32" s="39" t="s">
        <v>115</v>
      </c>
      <c r="G32" s="39" t="str">
        <f aca="false">UPPER(TRIM(C32))</f>
        <v>P019</v>
      </c>
      <c r="H32" s="39" t="str">
        <f aca="false">IF(ISNUMBER(MATCH(G32,Products!$A$5:$A$24,0)),"OK","Mismatch")</f>
        <v>OK</v>
      </c>
      <c r="I32" s="39" t="str">
        <f aca="false">IF(COUNTIF($A$5:A32,A32)&gt;1,"Duplicate","Unique")</f>
        <v>Unique</v>
      </c>
      <c r="J32" s="39" t="str">
        <f aca="false">IF(I32="Duplicate","Remove",IF(H32="Mismatch","Exclude","Keep"))</f>
        <v>Keep</v>
      </c>
    </row>
    <row r="33" customFormat="false" ht="15" hidden="false" customHeight="false" outlineLevel="0" collapsed="false">
      <c r="A33" s="39" t="s">
        <v>149</v>
      </c>
      <c r="B33" s="40" t="n">
        <v>45661</v>
      </c>
      <c r="C33" s="39" t="s">
        <v>121</v>
      </c>
      <c r="D33" s="39" t="n">
        <v>2</v>
      </c>
      <c r="E33" s="41" t="n">
        <v>118.86</v>
      </c>
      <c r="F33" s="39" t="s">
        <v>108</v>
      </c>
      <c r="G33" s="39" t="str">
        <f aca="false">UPPER(TRIM(C33))</f>
        <v>P018</v>
      </c>
      <c r="H33" s="39" t="str">
        <f aca="false">IF(ISNUMBER(MATCH(G33,Products!$A$5:$A$24,0)),"OK","Mismatch")</f>
        <v>OK</v>
      </c>
      <c r="I33" s="39" t="str">
        <f aca="false">IF(COUNTIF($A$5:A33,A33)&gt;1,"Duplicate","Unique")</f>
        <v>Unique</v>
      </c>
      <c r="J33" s="39" t="str">
        <f aca="false">IF(I33="Duplicate","Remove",IF(H33="Mismatch","Exclude","Keep"))</f>
        <v>Keep</v>
      </c>
    </row>
    <row r="34" customFormat="false" ht="15" hidden="false" customHeight="false" outlineLevel="0" collapsed="false">
      <c r="A34" s="39" t="s">
        <v>150</v>
      </c>
      <c r="B34" s="40" t="n">
        <v>45662</v>
      </c>
      <c r="C34" s="39" t="s">
        <v>144</v>
      </c>
      <c r="D34" s="39" t="n">
        <v>4</v>
      </c>
      <c r="E34" s="41" t="n">
        <v>58.59</v>
      </c>
      <c r="F34" s="39" t="s">
        <v>108</v>
      </c>
      <c r="G34" s="39" t="str">
        <f aca="false">UPPER(TRIM(C34))</f>
        <v>P013</v>
      </c>
      <c r="H34" s="39" t="str">
        <f aca="false">IF(ISNUMBER(MATCH(G34,Products!$A$5:$A$24,0)),"OK","Mismatch")</f>
        <v>OK</v>
      </c>
      <c r="I34" s="39" t="str">
        <f aca="false">IF(COUNTIF($A$5:A34,A34)&gt;1,"Duplicate","Unique")</f>
        <v>Unique</v>
      </c>
      <c r="J34" s="39" t="str">
        <f aca="false">IF(I34="Duplicate","Remove",IF(H34="Mismatch","Exclude","Keep"))</f>
        <v>Keep</v>
      </c>
    </row>
    <row r="35" customFormat="false" ht="15" hidden="false" customHeight="false" outlineLevel="0" collapsed="false">
      <c r="A35" s="39" t="s">
        <v>151</v>
      </c>
      <c r="B35" s="40" t="n">
        <v>45662</v>
      </c>
      <c r="C35" s="39" t="s">
        <v>114</v>
      </c>
      <c r="D35" s="39" t="n">
        <v>1</v>
      </c>
      <c r="E35" s="41" t="n">
        <v>5.55</v>
      </c>
      <c r="F35" s="39" t="s">
        <v>118</v>
      </c>
      <c r="G35" s="39" t="str">
        <f aca="false">UPPER(TRIM(C35))</f>
        <v>P012</v>
      </c>
      <c r="H35" s="39" t="str">
        <f aca="false">IF(ISNUMBER(MATCH(G35,Products!$A$5:$A$24,0)),"OK","Mismatch")</f>
        <v>OK</v>
      </c>
      <c r="I35" s="39" t="str">
        <f aca="false">IF(COUNTIF($A$5:A35,A35)&gt;1,"Duplicate","Unique")</f>
        <v>Unique</v>
      </c>
      <c r="J35" s="39" t="str">
        <f aca="false">IF(I35="Duplicate","Remove",IF(H35="Mismatch","Exclude","Keep"))</f>
        <v>Keep</v>
      </c>
    </row>
    <row r="36" customFormat="false" ht="15" hidden="false" customHeight="false" outlineLevel="0" collapsed="false">
      <c r="A36" s="39" t="s">
        <v>152</v>
      </c>
      <c r="B36" s="40" t="n">
        <v>45662</v>
      </c>
      <c r="C36" s="39" t="s">
        <v>153</v>
      </c>
      <c r="D36" s="39" t="n">
        <v>1</v>
      </c>
      <c r="E36" s="41" t="n">
        <v>172.75</v>
      </c>
      <c r="F36" s="39" t="s">
        <v>108</v>
      </c>
      <c r="G36" s="39" t="str">
        <f aca="false">UPPER(TRIM(C36))</f>
        <v>P010</v>
      </c>
      <c r="H36" s="39" t="str">
        <f aca="false">IF(ISNUMBER(MATCH(G36,Products!$A$5:$A$24,0)),"OK","Mismatch")</f>
        <v>OK</v>
      </c>
      <c r="I36" s="39" t="str">
        <f aca="false">IF(COUNTIF($A$5:A36,A36)&gt;1,"Duplicate","Unique")</f>
        <v>Unique</v>
      </c>
      <c r="J36" s="39" t="str">
        <f aca="false">IF(I36="Duplicate","Remove",IF(H36="Mismatch","Exclude","Keep"))</f>
        <v>Keep</v>
      </c>
    </row>
    <row r="37" customFormat="false" ht="15" hidden="false" customHeight="false" outlineLevel="0" collapsed="false">
      <c r="A37" s="39" t="s">
        <v>154</v>
      </c>
      <c r="B37" s="40" t="n">
        <v>45662</v>
      </c>
      <c r="C37" s="39" t="s">
        <v>136</v>
      </c>
      <c r="D37" s="39" t="n">
        <v>4</v>
      </c>
      <c r="E37" s="41" t="n">
        <v>76.91</v>
      </c>
      <c r="F37" s="39" t="s">
        <v>105</v>
      </c>
      <c r="G37" s="39" t="str">
        <f aca="false">UPPER(TRIM(C37))</f>
        <v>P002</v>
      </c>
      <c r="H37" s="39" t="str">
        <f aca="false">IF(ISNUMBER(MATCH(G37,Products!$A$5:$A$24,0)),"OK","Mismatch")</f>
        <v>OK</v>
      </c>
      <c r="I37" s="39" t="str">
        <f aca="false">IF(COUNTIF($A$5:A37,A37)&gt;1,"Duplicate","Unique")</f>
        <v>Unique</v>
      </c>
      <c r="J37" s="39" t="str">
        <f aca="false">IF(I37="Duplicate","Remove",IF(H37="Mismatch","Exclude","Keep"))</f>
        <v>Keep</v>
      </c>
    </row>
    <row r="38" customFormat="false" ht="15" hidden="false" customHeight="false" outlineLevel="0" collapsed="false">
      <c r="A38" s="39" t="s">
        <v>155</v>
      </c>
      <c r="B38" s="40" t="n">
        <v>45662</v>
      </c>
      <c r="C38" s="39" t="s">
        <v>139</v>
      </c>
      <c r="D38" s="39" t="n">
        <v>3</v>
      </c>
      <c r="E38" s="41" t="n">
        <v>121.78</v>
      </c>
      <c r="F38" s="39" t="s">
        <v>115</v>
      </c>
      <c r="G38" s="39" t="str">
        <f aca="false">UPPER(TRIM(C38))</f>
        <v>P006</v>
      </c>
      <c r="H38" s="39" t="str">
        <f aca="false">IF(ISNUMBER(MATCH(G38,Products!$A$5:$A$24,0)),"OK","Mismatch")</f>
        <v>OK</v>
      </c>
      <c r="I38" s="39" t="str">
        <f aca="false">IF(COUNTIF($A$5:A38,A38)&gt;1,"Duplicate","Unique")</f>
        <v>Unique</v>
      </c>
      <c r="J38" s="39" t="str">
        <f aca="false">IF(I38="Duplicate","Remove",IF(H38="Mismatch","Exclude","Keep"))</f>
        <v>Keep</v>
      </c>
    </row>
    <row r="39" customFormat="false" ht="15" hidden="false" customHeight="false" outlineLevel="0" collapsed="false">
      <c r="A39" s="39" t="s">
        <v>156</v>
      </c>
      <c r="B39" s="40" t="n">
        <v>45662</v>
      </c>
      <c r="C39" s="39" t="s">
        <v>3148</v>
      </c>
      <c r="D39" s="39" t="n">
        <v>2</v>
      </c>
      <c r="E39" s="41" t="n">
        <v>23.36</v>
      </c>
      <c r="F39" s="39" t="s">
        <v>115</v>
      </c>
      <c r="G39" s="39" t="str">
        <f aca="false">UPPER(TRIM(C39))</f>
        <v>P001</v>
      </c>
      <c r="H39" s="39" t="str">
        <f aca="false">IF(ISNUMBER(MATCH(G39,Products!$A$5:$A$24,0)),"OK","Mismatch")</f>
        <v>OK</v>
      </c>
      <c r="I39" s="39" t="str">
        <f aca="false">IF(COUNTIF($A$5:A39,A39)&gt;1,"Duplicate","Unique")</f>
        <v>Unique</v>
      </c>
      <c r="J39" s="39" t="str">
        <f aca="false">IF(I39="Duplicate","Remove",IF(H39="Mismatch","Exclude","Keep"))</f>
        <v>Keep</v>
      </c>
    </row>
    <row r="40" customFormat="false" ht="15" hidden="false" customHeight="false" outlineLevel="0" collapsed="false">
      <c r="A40" s="39" t="s">
        <v>157</v>
      </c>
      <c r="B40" s="40" t="n">
        <v>45662</v>
      </c>
      <c r="C40" s="39" t="s">
        <v>139</v>
      </c>
      <c r="D40" s="39" t="n">
        <v>1</v>
      </c>
      <c r="E40" s="41" t="n">
        <v>121.04</v>
      </c>
      <c r="F40" s="39" t="s">
        <v>118</v>
      </c>
      <c r="G40" s="39" t="str">
        <f aca="false">UPPER(TRIM(C40))</f>
        <v>P006</v>
      </c>
      <c r="H40" s="39" t="str">
        <f aca="false">IF(ISNUMBER(MATCH(G40,Products!$A$5:$A$24,0)),"OK","Mismatch")</f>
        <v>OK</v>
      </c>
      <c r="I40" s="39" t="str">
        <f aca="false">IF(COUNTIF($A$5:A40,A40)&gt;1,"Duplicate","Unique")</f>
        <v>Unique</v>
      </c>
      <c r="J40" s="39" t="str">
        <f aca="false">IF(I40="Duplicate","Remove",IF(H40="Mismatch","Exclude","Keep"))</f>
        <v>Keep</v>
      </c>
    </row>
    <row r="41" customFormat="false" ht="15" hidden="false" customHeight="false" outlineLevel="0" collapsed="false">
      <c r="A41" s="39" t="s">
        <v>158</v>
      </c>
      <c r="B41" s="40" t="n">
        <v>45663</v>
      </c>
      <c r="C41" s="39" t="s">
        <v>110</v>
      </c>
      <c r="D41" s="39" t="n">
        <v>3</v>
      </c>
      <c r="E41" s="41" t="n">
        <v>13.26</v>
      </c>
      <c r="F41" s="39" t="s">
        <v>118</v>
      </c>
      <c r="G41" s="39" t="str">
        <f aca="false">UPPER(TRIM(C41))</f>
        <v>P016</v>
      </c>
      <c r="H41" s="39" t="str">
        <f aca="false">IF(ISNUMBER(MATCH(G41,Products!$A$5:$A$24,0)),"OK","Mismatch")</f>
        <v>OK</v>
      </c>
      <c r="I41" s="39" t="str">
        <f aca="false">IF(COUNTIF($A$5:A41,A41)&gt;1,"Duplicate","Unique")</f>
        <v>Unique</v>
      </c>
      <c r="J41" s="39" t="str">
        <f aca="false">IF(I41="Duplicate","Remove",IF(H41="Mismatch","Exclude","Keep"))</f>
        <v>Keep</v>
      </c>
    </row>
    <row r="42" customFormat="false" ht="15" hidden="false" customHeight="false" outlineLevel="0" collapsed="false">
      <c r="A42" s="39" t="s">
        <v>159</v>
      </c>
      <c r="B42" s="40" t="n">
        <v>45663</v>
      </c>
      <c r="C42" s="39" t="s">
        <v>130</v>
      </c>
      <c r="D42" s="39" t="n">
        <v>1</v>
      </c>
      <c r="E42" s="41" t="n">
        <v>8.92</v>
      </c>
      <c r="F42" s="39" t="s">
        <v>108</v>
      </c>
      <c r="G42" s="39" t="str">
        <f aca="false">UPPER(TRIM(C42))</f>
        <v>P011</v>
      </c>
      <c r="H42" s="39" t="str">
        <f aca="false">IF(ISNUMBER(MATCH(G42,Products!$A$5:$A$24,0)),"OK","Mismatch")</f>
        <v>OK</v>
      </c>
      <c r="I42" s="39" t="str">
        <f aca="false">IF(COUNTIF($A$5:A42,A42)&gt;1,"Duplicate","Unique")</f>
        <v>Unique</v>
      </c>
      <c r="J42" s="39" t="str">
        <f aca="false">IF(I42="Duplicate","Remove",IF(H42="Mismatch","Exclude","Keep"))</f>
        <v>Keep</v>
      </c>
    </row>
    <row r="43" customFormat="false" ht="15" hidden="false" customHeight="false" outlineLevel="0" collapsed="false">
      <c r="A43" s="39" t="s">
        <v>160</v>
      </c>
      <c r="B43" s="40" t="n">
        <v>45663</v>
      </c>
      <c r="C43" s="39" t="s">
        <v>104</v>
      </c>
      <c r="D43" s="39" t="n">
        <v>1</v>
      </c>
      <c r="E43" s="41" t="n">
        <v>15.18</v>
      </c>
      <c r="F43" s="39" t="s">
        <v>115</v>
      </c>
      <c r="G43" s="39" t="str">
        <f aca="false">UPPER(TRIM(C43))</f>
        <v>P015</v>
      </c>
      <c r="H43" s="39" t="str">
        <f aca="false">IF(ISNUMBER(MATCH(G43,Products!$A$5:$A$24,0)),"OK","Mismatch")</f>
        <v>OK</v>
      </c>
      <c r="I43" s="39" t="str">
        <f aca="false">IF(COUNTIF($A$5:A43,A43)&gt;1,"Duplicate","Unique")</f>
        <v>Unique</v>
      </c>
      <c r="J43" s="39" t="str">
        <f aca="false">IF(I43="Duplicate","Remove",IF(H43="Mismatch","Exclude","Keep"))</f>
        <v>Keep</v>
      </c>
    </row>
    <row r="44" customFormat="false" ht="15" hidden="false" customHeight="false" outlineLevel="0" collapsed="false">
      <c r="A44" s="39" t="s">
        <v>161</v>
      </c>
      <c r="B44" s="40" t="n">
        <v>45663</v>
      </c>
      <c r="C44" s="39" t="s">
        <v>162</v>
      </c>
      <c r="D44" s="39" t="n">
        <v>3</v>
      </c>
      <c r="E44" s="41" t="n">
        <v>67.74</v>
      </c>
      <c r="F44" s="39" t="s">
        <v>118</v>
      </c>
      <c r="G44" s="39" t="str">
        <f aca="false">UPPER(TRIM(C44))</f>
        <v>P017</v>
      </c>
      <c r="H44" s="39" t="str">
        <f aca="false">IF(ISNUMBER(MATCH(G44,Products!$A$5:$A$24,0)),"OK","Mismatch")</f>
        <v>OK</v>
      </c>
      <c r="I44" s="39" t="str">
        <f aca="false">IF(COUNTIF($A$5:A44,A44)&gt;1,"Duplicate","Unique")</f>
        <v>Unique</v>
      </c>
      <c r="J44" s="39" t="str">
        <f aca="false">IF(I44="Duplicate","Remove",IF(H44="Mismatch","Exclude","Keep"))</f>
        <v>Keep</v>
      </c>
    </row>
    <row r="45" customFormat="false" ht="15" hidden="false" customHeight="false" outlineLevel="0" collapsed="false">
      <c r="A45" s="39" t="s">
        <v>163</v>
      </c>
      <c r="B45" s="40" t="n">
        <v>45664</v>
      </c>
      <c r="C45" s="39" t="s">
        <v>114</v>
      </c>
      <c r="D45" s="39" t="n">
        <v>2</v>
      </c>
      <c r="E45" s="41" t="n">
        <v>5.68</v>
      </c>
      <c r="F45" s="39" t="s">
        <v>105</v>
      </c>
      <c r="G45" s="39" t="str">
        <f aca="false">UPPER(TRIM(C45))</f>
        <v>P012</v>
      </c>
      <c r="H45" s="39" t="str">
        <f aca="false">IF(ISNUMBER(MATCH(G45,Products!$A$5:$A$24,0)),"OK","Mismatch")</f>
        <v>OK</v>
      </c>
      <c r="I45" s="39" t="str">
        <f aca="false">IF(COUNTIF($A$5:A45,A45)&gt;1,"Duplicate","Unique")</f>
        <v>Unique</v>
      </c>
      <c r="J45" s="39" t="str">
        <f aca="false">IF(I45="Duplicate","Remove",IF(H45="Mismatch","Exclude","Keep"))</f>
        <v>Keep</v>
      </c>
    </row>
    <row r="46" customFormat="false" ht="15" hidden="false" customHeight="false" outlineLevel="0" collapsed="false">
      <c r="A46" s="39" t="s">
        <v>164</v>
      </c>
      <c r="B46" s="40" t="n">
        <v>45664</v>
      </c>
      <c r="C46" s="39" t="s">
        <v>126</v>
      </c>
      <c r="D46" s="39" t="n">
        <v>1</v>
      </c>
      <c r="E46" s="41" t="n">
        <v>23.01</v>
      </c>
      <c r="F46" s="39" t="s">
        <v>118</v>
      </c>
      <c r="G46" s="39" t="str">
        <f aca="false">UPPER(TRIM(C46))</f>
        <v>P001</v>
      </c>
      <c r="H46" s="39" t="str">
        <f aca="false">IF(ISNUMBER(MATCH(G46,Products!$A$5:$A$24,0)),"OK","Mismatch")</f>
        <v>OK</v>
      </c>
      <c r="I46" s="39" t="str">
        <f aca="false">IF(COUNTIF($A$5:A46,A46)&gt;1,"Duplicate","Unique")</f>
        <v>Unique</v>
      </c>
      <c r="J46" s="39" t="str">
        <f aca="false">IF(I46="Duplicate","Remove",IF(H46="Mismatch","Exclude","Keep"))</f>
        <v>Keep</v>
      </c>
    </row>
    <row r="47" customFormat="false" ht="15" hidden="false" customHeight="false" outlineLevel="0" collapsed="false">
      <c r="A47" s="39" t="s">
        <v>165</v>
      </c>
      <c r="B47" s="40" t="n">
        <v>45664</v>
      </c>
      <c r="C47" s="39" t="s">
        <v>107</v>
      </c>
      <c r="D47" s="39" t="n">
        <v>1</v>
      </c>
      <c r="E47" s="41" t="n">
        <v>32.4</v>
      </c>
      <c r="F47" s="39" t="s">
        <v>118</v>
      </c>
      <c r="G47" s="39" t="str">
        <f aca="false">UPPER(TRIM(C47))</f>
        <v>P003</v>
      </c>
      <c r="H47" s="39" t="str">
        <f aca="false">IF(ISNUMBER(MATCH(G47,Products!$A$5:$A$24,0)),"OK","Mismatch")</f>
        <v>OK</v>
      </c>
      <c r="I47" s="39" t="str">
        <f aca="false">IF(COUNTIF($A$5:A47,A47)&gt;1,"Duplicate","Unique")</f>
        <v>Unique</v>
      </c>
      <c r="J47" s="39" t="str">
        <f aca="false">IF(I47="Duplicate","Remove",IF(H47="Mismatch","Exclude","Keep"))</f>
        <v>Keep</v>
      </c>
    </row>
    <row r="48" customFormat="false" ht="15" hidden="false" customHeight="false" outlineLevel="0" collapsed="false">
      <c r="A48" s="39" t="s">
        <v>166</v>
      </c>
      <c r="B48" s="40" t="n">
        <v>45664</v>
      </c>
      <c r="C48" s="39" t="s">
        <v>139</v>
      </c>
      <c r="D48" s="39" t="n">
        <v>3</v>
      </c>
      <c r="E48" s="41" t="n">
        <v>125.88</v>
      </c>
      <c r="F48" s="39" t="s">
        <v>115</v>
      </c>
      <c r="G48" s="39" t="str">
        <f aca="false">UPPER(TRIM(C48))</f>
        <v>P006</v>
      </c>
      <c r="H48" s="39" t="str">
        <f aca="false">IF(ISNUMBER(MATCH(G48,Products!$A$5:$A$24,0)),"OK","Mismatch")</f>
        <v>OK</v>
      </c>
      <c r="I48" s="39" t="str">
        <f aca="false">IF(COUNTIF($A$5:A48,A48)&gt;1,"Duplicate","Unique")</f>
        <v>Unique</v>
      </c>
      <c r="J48" s="39" t="str">
        <f aca="false">IF(I48="Duplicate","Remove",IF(H48="Mismatch","Exclude","Keep"))</f>
        <v>Keep</v>
      </c>
    </row>
    <row r="49" customFormat="false" ht="15" hidden="false" customHeight="false" outlineLevel="0" collapsed="false">
      <c r="A49" s="39" t="s">
        <v>167</v>
      </c>
      <c r="B49" s="40" t="n">
        <v>45664</v>
      </c>
      <c r="C49" s="39" t="s">
        <v>162</v>
      </c>
      <c r="D49" s="39" t="n">
        <v>5</v>
      </c>
      <c r="E49" s="41" t="n">
        <v>67.17</v>
      </c>
      <c r="F49" s="39" t="s">
        <v>115</v>
      </c>
      <c r="G49" s="39" t="str">
        <f aca="false">UPPER(TRIM(C49))</f>
        <v>P017</v>
      </c>
      <c r="H49" s="39" t="str">
        <f aca="false">IF(ISNUMBER(MATCH(G49,Products!$A$5:$A$24,0)),"OK","Mismatch")</f>
        <v>OK</v>
      </c>
      <c r="I49" s="39" t="str">
        <f aca="false">IF(COUNTIF($A$5:A49,A49)&gt;1,"Duplicate","Unique")</f>
        <v>Unique</v>
      </c>
      <c r="J49" s="39" t="str">
        <f aca="false">IF(I49="Duplicate","Remove",IF(H49="Mismatch","Exclude","Keep"))</f>
        <v>Keep</v>
      </c>
    </row>
    <row r="50" customFormat="false" ht="15" hidden="false" customHeight="false" outlineLevel="0" collapsed="false">
      <c r="A50" s="39" t="s">
        <v>168</v>
      </c>
      <c r="B50" s="40" t="n">
        <v>45664</v>
      </c>
      <c r="C50" s="39" t="s">
        <v>169</v>
      </c>
      <c r="D50" s="39" t="n">
        <v>1</v>
      </c>
      <c r="E50" s="41" t="n">
        <v>28.18</v>
      </c>
      <c r="F50" s="39" t="s">
        <v>108</v>
      </c>
      <c r="G50" s="39" t="str">
        <f aca="false">UPPER(TRIM(C50))</f>
        <v>P004</v>
      </c>
      <c r="H50" s="39" t="str">
        <f aca="false">IF(ISNUMBER(MATCH(G50,Products!$A$5:$A$24,0)),"OK","Mismatch")</f>
        <v>OK</v>
      </c>
      <c r="I50" s="39" t="str">
        <f aca="false">IF(COUNTIF($A$5:A50,A50)&gt;1,"Duplicate","Unique")</f>
        <v>Unique</v>
      </c>
      <c r="J50" s="39" t="str">
        <f aca="false">IF(I50="Duplicate","Remove",IF(H50="Mismatch","Exclude","Keep"))</f>
        <v>Keep</v>
      </c>
    </row>
    <row r="51" customFormat="false" ht="15" hidden="false" customHeight="false" outlineLevel="0" collapsed="false">
      <c r="A51" s="39" t="s">
        <v>170</v>
      </c>
      <c r="B51" s="40" t="n">
        <v>45664</v>
      </c>
      <c r="C51" s="39" t="s">
        <v>130</v>
      </c>
      <c r="D51" s="39" t="n">
        <v>5</v>
      </c>
      <c r="E51" s="41" t="n">
        <v>8.94</v>
      </c>
      <c r="F51" s="39" t="s">
        <v>105</v>
      </c>
      <c r="G51" s="39" t="str">
        <f aca="false">UPPER(TRIM(C51))</f>
        <v>P011</v>
      </c>
      <c r="H51" s="39" t="str">
        <f aca="false">IF(ISNUMBER(MATCH(G51,Products!$A$5:$A$24,0)),"OK","Mismatch")</f>
        <v>OK</v>
      </c>
      <c r="I51" s="39" t="str">
        <f aca="false">IF(COUNTIF($A$5:A51,A51)&gt;1,"Duplicate","Unique")</f>
        <v>Unique</v>
      </c>
      <c r="J51" s="39" t="str">
        <f aca="false">IF(I51="Duplicate","Remove",IF(H51="Mismatch","Exclude","Keep"))</f>
        <v>Keep</v>
      </c>
    </row>
    <row r="52" customFormat="false" ht="15" hidden="false" customHeight="false" outlineLevel="0" collapsed="false">
      <c r="A52" s="39" t="s">
        <v>171</v>
      </c>
      <c r="B52" s="40" t="n">
        <v>45664</v>
      </c>
      <c r="C52" s="39" t="s">
        <v>107</v>
      </c>
      <c r="D52" s="39" t="n">
        <v>4</v>
      </c>
      <c r="E52" s="41" t="n">
        <v>33.11</v>
      </c>
      <c r="F52" s="39" t="s">
        <v>108</v>
      </c>
      <c r="G52" s="39" t="str">
        <f aca="false">UPPER(TRIM(C52))</f>
        <v>P003</v>
      </c>
      <c r="H52" s="39" t="str">
        <f aca="false">IF(ISNUMBER(MATCH(G52,Products!$A$5:$A$24,0)),"OK","Mismatch")</f>
        <v>OK</v>
      </c>
      <c r="I52" s="39" t="str">
        <f aca="false">IF(COUNTIF($A$5:A52,A52)&gt;1,"Duplicate","Unique")</f>
        <v>Unique</v>
      </c>
      <c r="J52" s="39" t="str">
        <f aca="false">IF(I52="Duplicate","Remove",IF(H52="Mismatch","Exclude","Keep"))</f>
        <v>Keep</v>
      </c>
    </row>
    <row r="53" customFormat="false" ht="15" hidden="false" customHeight="false" outlineLevel="0" collapsed="false">
      <c r="A53" s="39" t="s">
        <v>172</v>
      </c>
      <c r="B53" s="40" t="n">
        <v>45665</v>
      </c>
      <c r="C53" s="39" t="s">
        <v>169</v>
      </c>
      <c r="D53" s="39" t="n">
        <v>2</v>
      </c>
      <c r="E53" s="41" t="n">
        <v>27.86</v>
      </c>
      <c r="F53" s="39" t="s">
        <v>118</v>
      </c>
      <c r="G53" s="39" t="str">
        <f aca="false">UPPER(TRIM(C53))</f>
        <v>P004</v>
      </c>
      <c r="H53" s="39" t="str">
        <f aca="false">IF(ISNUMBER(MATCH(G53,Products!$A$5:$A$24,0)),"OK","Mismatch")</f>
        <v>OK</v>
      </c>
      <c r="I53" s="39" t="str">
        <f aca="false">IF(COUNTIF($A$5:A53,A53)&gt;1,"Duplicate","Unique")</f>
        <v>Unique</v>
      </c>
      <c r="J53" s="39" t="str">
        <f aca="false">IF(I53="Duplicate","Remove",IF(H53="Mismatch","Exclude","Keep"))</f>
        <v>Keep</v>
      </c>
    </row>
    <row r="54" customFormat="false" ht="15" hidden="false" customHeight="false" outlineLevel="0" collapsed="false">
      <c r="A54" s="39" t="s">
        <v>173</v>
      </c>
      <c r="B54" s="40" t="n">
        <v>45665</v>
      </c>
      <c r="C54" s="39" t="s">
        <v>169</v>
      </c>
      <c r="D54" s="39" t="n">
        <v>1</v>
      </c>
      <c r="E54" s="41" t="n">
        <v>27.44</v>
      </c>
      <c r="F54" s="39" t="s">
        <v>105</v>
      </c>
      <c r="G54" s="39" t="str">
        <f aca="false">UPPER(TRIM(C54))</f>
        <v>P004</v>
      </c>
      <c r="H54" s="39" t="str">
        <f aca="false">IF(ISNUMBER(MATCH(G54,Products!$A$5:$A$24,0)),"OK","Mismatch")</f>
        <v>OK</v>
      </c>
      <c r="I54" s="39" t="str">
        <f aca="false">IF(COUNTIF($A$5:A54,A54)&gt;1,"Duplicate","Unique")</f>
        <v>Unique</v>
      </c>
      <c r="J54" s="39" t="str">
        <f aca="false">IF(I54="Duplicate","Remove",IF(H54="Mismatch","Exclude","Keep"))</f>
        <v>Keep</v>
      </c>
    </row>
    <row r="55" customFormat="false" ht="15" hidden="false" customHeight="false" outlineLevel="0" collapsed="false">
      <c r="A55" s="39" t="s">
        <v>174</v>
      </c>
      <c r="B55" s="40" t="n">
        <v>45665</v>
      </c>
      <c r="C55" s="39" t="s">
        <v>104</v>
      </c>
      <c r="D55" s="39" t="n">
        <v>5</v>
      </c>
      <c r="E55" s="41" t="n">
        <v>15.46</v>
      </c>
      <c r="F55" s="39" t="s">
        <v>118</v>
      </c>
      <c r="G55" s="39" t="str">
        <f aca="false">UPPER(TRIM(C55))</f>
        <v>P015</v>
      </c>
      <c r="H55" s="39" t="str">
        <f aca="false">IF(ISNUMBER(MATCH(G55,Products!$A$5:$A$24,0)),"OK","Mismatch")</f>
        <v>OK</v>
      </c>
      <c r="I55" s="39" t="str">
        <f aca="false">IF(COUNTIF($A$5:A55,A55)&gt;1,"Duplicate","Unique")</f>
        <v>Unique</v>
      </c>
      <c r="J55" s="39" t="str">
        <f aca="false">IF(I55="Duplicate","Remove",IF(H55="Mismatch","Exclude","Keep"))</f>
        <v>Keep</v>
      </c>
    </row>
    <row r="56" customFormat="false" ht="15" hidden="false" customHeight="false" outlineLevel="0" collapsed="false">
      <c r="A56" s="39" t="s">
        <v>175</v>
      </c>
      <c r="B56" s="40" t="n">
        <v>45665</v>
      </c>
      <c r="C56" s="39" t="s">
        <v>121</v>
      </c>
      <c r="D56" s="39" t="n">
        <v>2</v>
      </c>
      <c r="E56" s="41" t="n">
        <v>113.18</v>
      </c>
      <c r="F56" s="39" t="s">
        <v>118</v>
      </c>
      <c r="G56" s="39" t="str">
        <f aca="false">UPPER(TRIM(C56))</f>
        <v>P018</v>
      </c>
      <c r="H56" s="39" t="str">
        <f aca="false">IF(ISNUMBER(MATCH(G56,Products!$A$5:$A$24,0)),"OK","Mismatch")</f>
        <v>OK</v>
      </c>
      <c r="I56" s="39" t="str">
        <f aca="false">IF(COUNTIF($A$5:A56,A56)&gt;1,"Duplicate","Unique")</f>
        <v>Unique</v>
      </c>
      <c r="J56" s="39" t="str">
        <f aca="false">IF(I56="Duplicate","Remove",IF(H56="Mismatch","Exclude","Keep"))</f>
        <v>Keep</v>
      </c>
    </row>
    <row r="57" customFormat="false" ht="15" hidden="false" customHeight="false" outlineLevel="0" collapsed="false">
      <c r="A57" s="39" t="s">
        <v>176</v>
      </c>
      <c r="B57" s="40" t="n">
        <v>45665</v>
      </c>
      <c r="C57" s="39" t="s">
        <v>177</v>
      </c>
      <c r="D57" s="39" t="n">
        <v>3</v>
      </c>
      <c r="E57" s="41" t="n">
        <v>44.74</v>
      </c>
      <c r="F57" s="39" t="s">
        <v>108</v>
      </c>
      <c r="G57" s="39" t="str">
        <f aca="false">UPPER(TRIM(C57))</f>
        <v>P014</v>
      </c>
      <c r="H57" s="39" t="str">
        <f aca="false">IF(ISNUMBER(MATCH(G57,Products!$A$5:$A$24,0)),"OK","Mismatch")</f>
        <v>OK</v>
      </c>
      <c r="I57" s="39" t="str">
        <f aca="false">IF(COUNTIF($A$5:A57,A57)&gt;1,"Duplicate","Unique")</f>
        <v>Unique</v>
      </c>
      <c r="J57" s="39" t="str">
        <f aca="false">IF(I57="Duplicate","Remove",IF(H57="Mismatch","Exclude","Keep"))</f>
        <v>Keep</v>
      </c>
    </row>
    <row r="58" customFormat="false" ht="15" hidden="false" customHeight="false" outlineLevel="0" collapsed="false">
      <c r="A58" s="39" t="s">
        <v>178</v>
      </c>
      <c r="B58" s="40" t="n">
        <v>45665</v>
      </c>
      <c r="C58" s="39" t="s">
        <v>162</v>
      </c>
      <c r="D58" s="39" t="n">
        <v>2</v>
      </c>
      <c r="E58" s="41" t="n">
        <v>65.61</v>
      </c>
      <c r="F58" s="39" t="s">
        <v>118</v>
      </c>
      <c r="G58" s="39" t="str">
        <f aca="false">UPPER(TRIM(C58))</f>
        <v>P017</v>
      </c>
      <c r="H58" s="39" t="str">
        <f aca="false">IF(ISNUMBER(MATCH(G58,Products!$A$5:$A$24,0)),"OK","Mismatch")</f>
        <v>OK</v>
      </c>
      <c r="I58" s="39" t="str">
        <f aca="false">IF(COUNTIF($A$5:A58,A58)&gt;1,"Duplicate","Unique")</f>
        <v>Unique</v>
      </c>
      <c r="J58" s="39" t="str">
        <f aca="false">IF(I58="Duplicate","Remove",IF(H58="Mismatch","Exclude","Keep"))</f>
        <v>Keep</v>
      </c>
    </row>
    <row r="59" customFormat="false" ht="15" hidden="false" customHeight="false" outlineLevel="0" collapsed="false">
      <c r="A59" s="39" t="s">
        <v>179</v>
      </c>
      <c r="B59" s="40" t="n">
        <v>45665</v>
      </c>
      <c r="C59" s="39" t="s">
        <v>110</v>
      </c>
      <c r="D59" s="39" t="n">
        <v>5</v>
      </c>
      <c r="E59" s="41" t="n">
        <v>13.54</v>
      </c>
      <c r="F59" s="39" t="s">
        <v>118</v>
      </c>
      <c r="G59" s="39" t="str">
        <f aca="false">UPPER(TRIM(C59))</f>
        <v>P016</v>
      </c>
      <c r="H59" s="39" t="str">
        <f aca="false">IF(ISNUMBER(MATCH(G59,Products!$A$5:$A$24,0)),"OK","Mismatch")</f>
        <v>OK</v>
      </c>
      <c r="I59" s="39" t="str">
        <f aca="false">IF(COUNTIF($A$5:A59,A59)&gt;1,"Duplicate","Unique")</f>
        <v>Unique</v>
      </c>
      <c r="J59" s="39" t="str">
        <f aca="false">IF(I59="Duplicate","Remove",IF(H59="Mismatch","Exclude","Keep"))</f>
        <v>Keep</v>
      </c>
    </row>
    <row r="60" customFormat="false" ht="15" hidden="false" customHeight="false" outlineLevel="0" collapsed="false">
      <c r="A60" s="39" t="s">
        <v>180</v>
      </c>
      <c r="B60" s="40" t="n">
        <v>45665</v>
      </c>
      <c r="C60" s="39" t="s">
        <v>177</v>
      </c>
      <c r="D60" s="39" t="n">
        <v>5</v>
      </c>
      <c r="E60" s="41" t="n">
        <v>42.74</v>
      </c>
      <c r="F60" s="39" t="s">
        <v>108</v>
      </c>
      <c r="G60" s="39" t="str">
        <f aca="false">UPPER(TRIM(C60))</f>
        <v>P014</v>
      </c>
      <c r="H60" s="39" t="str">
        <f aca="false">IF(ISNUMBER(MATCH(G60,Products!$A$5:$A$24,0)),"OK","Mismatch")</f>
        <v>OK</v>
      </c>
      <c r="I60" s="39" t="str">
        <f aca="false">IF(COUNTIF($A$5:A60,A60)&gt;1,"Duplicate","Unique")</f>
        <v>Unique</v>
      </c>
      <c r="J60" s="39" t="str">
        <f aca="false">IF(I60="Duplicate","Remove",IF(H60="Mismatch","Exclude","Keep"))</f>
        <v>Keep</v>
      </c>
    </row>
    <row r="61" customFormat="false" ht="15" hidden="false" customHeight="false" outlineLevel="0" collapsed="false">
      <c r="A61" s="39" t="s">
        <v>181</v>
      </c>
      <c r="B61" s="40" t="n">
        <v>45665</v>
      </c>
      <c r="C61" s="39" t="s">
        <v>133</v>
      </c>
      <c r="D61" s="39" t="n">
        <v>5</v>
      </c>
      <c r="E61" s="41" t="n">
        <v>8.62</v>
      </c>
      <c r="F61" s="39" t="s">
        <v>115</v>
      </c>
      <c r="G61" s="39" t="str">
        <f aca="false">UPPER(TRIM(C61))</f>
        <v>P019</v>
      </c>
      <c r="H61" s="39" t="str">
        <f aca="false">IF(ISNUMBER(MATCH(G61,Products!$A$5:$A$24,0)),"OK","Mismatch")</f>
        <v>OK</v>
      </c>
      <c r="I61" s="39" t="str">
        <f aca="false">IF(COUNTIF($A$5:A61,A61)&gt;1,"Duplicate","Unique")</f>
        <v>Unique</v>
      </c>
      <c r="J61" s="39" t="str">
        <f aca="false">IF(I61="Duplicate","Remove",IF(H61="Mismatch","Exclude","Keep"))</f>
        <v>Keep</v>
      </c>
    </row>
    <row r="62" customFormat="false" ht="15" hidden="false" customHeight="false" outlineLevel="0" collapsed="false">
      <c r="A62" s="39" t="s">
        <v>182</v>
      </c>
      <c r="B62" s="40" t="n">
        <v>45665</v>
      </c>
      <c r="C62" s="39" t="s">
        <v>183</v>
      </c>
      <c r="D62" s="39" t="n">
        <v>2</v>
      </c>
      <c r="E62" s="41" t="n">
        <v>179.44</v>
      </c>
      <c r="F62" s="39" t="s">
        <v>115</v>
      </c>
      <c r="G62" s="39" t="str">
        <f aca="false">UPPER(TRIM(C62))</f>
        <v>P007</v>
      </c>
      <c r="H62" s="39" t="str">
        <f aca="false">IF(ISNUMBER(MATCH(G62,Products!$A$5:$A$24,0)),"OK","Mismatch")</f>
        <v>OK</v>
      </c>
      <c r="I62" s="39" t="str">
        <f aca="false">IF(COUNTIF($A$5:A62,A62)&gt;1,"Duplicate","Unique")</f>
        <v>Unique</v>
      </c>
      <c r="J62" s="39" t="str">
        <f aca="false">IF(I62="Duplicate","Remove",IF(H62="Mismatch","Exclude","Keep"))</f>
        <v>Keep</v>
      </c>
    </row>
    <row r="63" customFormat="false" ht="15" hidden="false" customHeight="false" outlineLevel="0" collapsed="false">
      <c r="A63" s="39" t="s">
        <v>184</v>
      </c>
      <c r="B63" s="40" t="n">
        <v>45665</v>
      </c>
      <c r="C63" s="39" t="s">
        <v>130</v>
      </c>
      <c r="D63" s="39" t="n">
        <v>5</v>
      </c>
      <c r="E63" s="41" t="n">
        <v>8.77</v>
      </c>
      <c r="F63" s="39" t="s">
        <v>105</v>
      </c>
      <c r="G63" s="39" t="str">
        <f aca="false">UPPER(TRIM(C63))</f>
        <v>P011</v>
      </c>
      <c r="H63" s="39" t="str">
        <f aca="false">IF(ISNUMBER(MATCH(G63,Products!$A$5:$A$24,0)),"OK","Mismatch")</f>
        <v>OK</v>
      </c>
      <c r="I63" s="39" t="str">
        <f aca="false">IF(COUNTIF($A$5:A63,A63)&gt;1,"Duplicate","Unique")</f>
        <v>Unique</v>
      </c>
      <c r="J63" s="39" t="str">
        <f aca="false">IF(I63="Duplicate","Remove",IF(H63="Mismatch","Exclude","Keep"))</f>
        <v>Keep</v>
      </c>
    </row>
    <row r="64" customFormat="false" ht="15" hidden="false" customHeight="false" outlineLevel="0" collapsed="false">
      <c r="A64" s="39" t="s">
        <v>185</v>
      </c>
      <c r="B64" s="40" t="n">
        <v>45665</v>
      </c>
      <c r="C64" s="39" t="s">
        <v>121</v>
      </c>
      <c r="D64" s="39" t="n">
        <v>1</v>
      </c>
      <c r="E64" s="41" t="n">
        <v>114.83</v>
      </c>
      <c r="F64" s="39" t="s">
        <v>105</v>
      </c>
      <c r="G64" s="39" t="str">
        <f aca="false">UPPER(TRIM(C64))</f>
        <v>P018</v>
      </c>
      <c r="H64" s="39" t="str">
        <f aca="false">IF(ISNUMBER(MATCH(G64,Products!$A$5:$A$24,0)),"OK","Mismatch")</f>
        <v>OK</v>
      </c>
      <c r="I64" s="39" t="str">
        <f aca="false">IF(COUNTIF($A$5:A64,A64)&gt;1,"Duplicate","Unique")</f>
        <v>Unique</v>
      </c>
      <c r="J64" s="39" t="str">
        <f aca="false">IF(I64="Duplicate","Remove",IF(H64="Mismatch","Exclude","Keep"))</f>
        <v>Keep</v>
      </c>
    </row>
    <row r="65" customFormat="false" ht="15" hidden="false" customHeight="false" outlineLevel="0" collapsed="false">
      <c r="A65" s="39" t="s">
        <v>186</v>
      </c>
      <c r="B65" s="40" t="n">
        <v>45666</v>
      </c>
      <c r="C65" s="39" t="s">
        <v>162</v>
      </c>
      <c r="D65" s="39" t="n">
        <v>4</v>
      </c>
      <c r="E65" s="41" t="n">
        <v>67.46</v>
      </c>
      <c r="F65" s="39" t="s">
        <v>105</v>
      </c>
      <c r="G65" s="39" t="str">
        <f aca="false">UPPER(TRIM(C65))</f>
        <v>P017</v>
      </c>
      <c r="H65" s="39" t="str">
        <f aca="false">IF(ISNUMBER(MATCH(G65,Products!$A$5:$A$24,0)),"OK","Mismatch")</f>
        <v>OK</v>
      </c>
      <c r="I65" s="39" t="str">
        <f aca="false">IF(COUNTIF($A$5:A65,A65)&gt;1,"Duplicate","Unique")</f>
        <v>Unique</v>
      </c>
      <c r="J65" s="39" t="str">
        <f aca="false">IF(I65="Duplicate","Remove",IF(H65="Mismatch","Exclude","Keep"))</f>
        <v>Keep</v>
      </c>
    </row>
    <row r="66" customFormat="false" ht="15" hidden="false" customHeight="false" outlineLevel="0" collapsed="false">
      <c r="A66" s="39" t="s">
        <v>187</v>
      </c>
      <c r="B66" s="40" t="n">
        <v>45666</v>
      </c>
      <c r="C66" s="39" t="s">
        <v>162</v>
      </c>
      <c r="D66" s="39" t="n">
        <v>2</v>
      </c>
      <c r="E66" s="41" t="n">
        <v>64.74</v>
      </c>
      <c r="F66" s="39" t="s">
        <v>115</v>
      </c>
      <c r="G66" s="39" t="str">
        <f aca="false">UPPER(TRIM(C66))</f>
        <v>P017</v>
      </c>
      <c r="H66" s="39" t="str">
        <f aca="false">IF(ISNUMBER(MATCH(G66,Products!$A$5:$A$24,0)),"OK","Mismatch")</f>
        <v>OK</v>
      </c>
      <c r="I66" s="39" t="str">
        <f aca="false">IF(COUNTIF($A$5:A66,A66)&gt;1,"Duplicate","Unique")</f>
        <v>Unique</v>
      </c>
      <c r="J66" s="39" t="str">
        <f aca="false">IF(I66="Duplicate","Remove",IF(H66="Mismatch","Exclude","Keep"))</f>
        <v>Keep</v>
      </c>
    </row>
    <row r="67" customFormat="false" ht="15" hidden="false" customHeight="false" outlineLevel="0" collapsed="false">
      <c r="A67" s="39" t="s">
        <v>188</v>
      </c>
      <c r="B67" s="40" t="n">
        <v>45666</v>
      </c>
      <c r="C67" s="39" t="s">
        <v>177</v>
      </c>
      <c r="D67" s="39" t="n">
        <v>1</v>
      </c>
      <c r="E67" s="41" t="n">
        <v>43.97</v>
      </c>
      <c r="F67" s="39" t="s">
        <v>115</v>
      </c>
      <c r="G67" s="39" t="str">
        <f aca="false">UPPER(TRIM(C67))</f>
        <v>P014</v>
      </c>
      <c r="H67" s="39" t="str">
        <f aca="false">IF(ISNUMBER(MATCH(G67,Products!$A$5:$A$24,0)),"OK","Mismatch")</f>
        <v>OK</v>
      </c>
      <c r="I67" s="39" t="str">
        <f aca="false">IF(COUNTIF($A$5:A67,A67)&gt;1,"Duplicate","Unique")</f>
        <v>Unique</v>
      </c>
      <c r="J67" s="39" t="str">
        <f aca="false">IF(I67="Duplicate","Remove",IF(H67="Mismatch","Exclude","Keep"))</f>
        <v>Keep</v>
      </c>
    </row>
    <row r="68" customFormat="false" ht="15" hidden="false" customHeight="false" outlineLevel="0" collapsed="false">
      <c r="A68" s="39" t="s">
        <v>189</v>
      </c>
      <c r="B68" s="40" t="n">
        <v>45666</v>
      </c>
      <c r="C68" s="39" t="s">
        <v>133</v>
      </c>
      <c r="D68" s="39" t="n">
        <v>2</v>
      </c>
      <c r="E68" s="41" t="n">
        <v>8.9</v>
      </c>
      <c r="F68" s="39" t="s">
        <v>105</v>
      </c>
      <c r="G68" s="39" t="str">
        <f aca="false">UPPER(TRIM(C68))</f>
        <v>P019</v>
      </c>
      <c r="H68" s="39" t="str">
        <f aca="false">IF(ISNUMBER(MATCH(G68,Products!$A$5:$A$24,0)),"OK","Mismatch")</f>
        <v>OK</v>
      </c>
      <c r="I68" s="39" t="str">
        <f aca="false">IF(COUNTIF($A$5:A68,A68)&gt;1,"Duplicate","Unique")</f>
        <v>Unique</v>
      </c>
      <c r="J68" s="39" t="str">
        <f aca="false">IF(I68="Duplicate","Remove",IF(H68="Mismatch","Exclude","Keep"))</f>
        <v>Keep</v>
      </c>
    </row>
    <row r="69" customFormat="false" ht="15" hidden="false" customHeight="false" outlineLevel="0" collapsed="false">
      <c r="A69" s="39" t="s">
        <v>190</v>
      </c>
      <c r="B69" s="40" t="n">
        <v>45666</v>
      </c>
      <c r="C69" s="39" t="s">
        <v>104</v>
      </c>
      <c r="D69" s="39" t="n">
        <v>2</v>
      </c>
      <c r="E69" s="41" t="n">
        <v>15.4</v>
      </c>
      <c r="F69" s="39" t="s">
        <v>118</v>
      </c>
      <c r="G69" s="39" t="str">
        <f aca="false">UPPER(TRIM(C69))</f>
        <v>P015</v>
      </c>
      <c r="H69" s="39" t="str">
        <f aca="false">IF(ISNUMBER(MATCH(G69,Products!$A$5:$A$24,0)),"OK","Mismatch")</f>
        <v>OK</v>
      </c>
      <c r="I69" s="39" t="str">
        <f aca="false">IF(COUNTIF($A$5:A69,A69)&gt;1,"Duplicate","Unique")</f>
        <v>Unique</v>
      </c>
      <c r="J69" s="39" t="str">
        <f aca="false">IF(I69="Duplicate","Remove",IF(H69="Mismatch","Exclude","Keep"))</f>
        <v>Keep</v>
      </c>
    </row>
    <row r="70" customFormat="false" ht="15" hidden="false" customHeight="false" outlineLevel="0" collapsed="false">
      <c r="A70" s="39" t="s">
        <v>191</v>
      </c>
      <c r="B70" s="40" t="n">
        <v>45666</v>
      </c>
      <c r="C70" s="39" t="s">
        <v>169</v>
      </c>
      <c r="D70" s="39" t="n">
        <v>2</v>
      </c>
      <c r="E70" s="41" t="n">
        <v>28.22</v>
      </c>
      <c r="F70" s="39" t="s">
        <v>108</v>
      </c>
      <c r="G70" s="39" t="str">
        <f aca="false">UPPER(TRIM(C70))</f>
        <v>P004</v>
      </c>
      <c r="H70" s="39" t="str">
        <f aca="false">IF(ISNUMBER(MATCH(G70,Products!$A$5:$A$24,0)),"OK","Mismatch")</f>
        <v>OK</v>
      </c>
      <c r="I70" s="39" t="str">
        <f aca="false">IF(COUNTIF($A$5:A70,A70)&gt;1,"Duplicate","Unique")</f>
        <v>Unique</v>
      </c>
      <c r="J70" s="39" t="str">
        <f aca="false">IF(I70="Duplicate","Remove",IF(H70="Mismatch","Exclude","Keep"))</f>
        <v>Keep</v>
      </c>
    </row>
    <row r="71" customFormat="false" ht="15" hidden="false" customHeight="false" outlineLevel="0" collapsed="false">
      <c r="A71" s="39" t="s">
        <v>192</v>
      </c>
      <c r="B71" s="40" t="n">
        <v>45666</v>
      </c>
      <c r="C71" s="39" t="s">
        <v>169</v>
      </c>
      <c r="D71" s="39" t="n">
        <v>2</v>
      </c>
      <c r="E71" s="41" t="n">
        <v>26.82</v>
      </c>
      <c r="F71" s="39" t="s">
        <v>108</v>
      </c>
      <c r="G71" s="39" t="str">
        <f aca="false">UPPER(TRIM(C71))</f>
        <v>P004</v>
      </c>
      <c r="H71" s="39" t="str">
        <f aca="false">IF(ISNUMBER(MATCH(G71,Products!$A$5:$A$24,0)),"OK","Mismatch")</f>
        <v>OK</v>
      </c>
      <c r="I71" s="39" t="str">
        <f aca="false">IF(COUNTIF($A$5:A71,A71)&gt;1,"Duplicate","Unique")</f>
        <v>Unique</v>
      </c>
      <c r="J71" s="39" t="str">
        <f aca="false">IF(I71="Duplicate","Remove",IF(H71="Mismatch","Exclude","Keep"))</f>
        <v>Keep</v>
      </c>
    </row>
    <row r="72" customFormat="false" ht="15" hidden="false" customHeight="false" outlineLevel="0" collapsed="false">
      <c r="A72" s="39" t="s">
        <v>193</v>
      </c>
      <c r="B72" s="40" t="n">
        <v>45666</v>
      </c>
      <c r="C72" s="39" t="s">
        <v>126</v>
      </c>
      <c r="D72" s="39" t="n">
        <v>1</v>
      </c>
      <c r="E72" s="41" t="n">
        <v>24.57</v>
      </c>
      <c r="F72" s="39" t="s">
        <v>105</v>
      </c>
      <c r="G72" s="39" t="str">
        <f aca="false">UPPER(TRIM(C72))</f>
        <v>P001</v>
      </c>
      <c r="H72" s="39" t="str">
        <f aca="false">IF(ISNUMBER(MATCH(G72,Products!$A$5:$A$24,0)),"OK","Mismatch")</f>
        <v>OK</v>
      </c>
      <c r="I72" s="39" t="str">
        <f aca="false">IF(COUNTIF($A$5:A72,A72)&gt;1,"Duplicate","Unique")</f>
        <v>Unique</v>
      </c>
      <c r="J72" s="39" t="str">
        <f aca="false">IF(I72="Duplicate","Remove",IF(H72="Mismatch","Exclude","Keep"))</f>
        <v>Keep</v>
      </c>
    </row>
    <row r="73" customFormat="false" ht="15" hidden="false" customHeight="false" outlineLevel="0" collapsed="false">
      <c r="A73" s="39" t="s">
        <v>194</v>
      </c>
      <c r="B73" s="40" t="n">
        <v>45666</v>
      </c>
      <c r="C73" s="39" t="s">
        <v>136</v>
      </c>
      <c r="D73" s="39" t="n">
        <v>1</v>
      </c>
      <c r="E73" s="41" t="n">
        <v>73.73</v>
      </c>
      <c r="F73" s="39" t="s">
        <v>105</v>
      </c>
      <c r="G73" s="39" t="str">
        <f aca="false">UPPER(TRIM(C73))</f>
        <v>P002</v>
      </c>
      <c r="H73" s="39" t="str">
        <f aca="false">IF(ISNUMBER(MATCH(G73,Products!$A$5:$A$24,0)),"OK","Mismatch")</f>
        <v>OK</v>
      </c>
      <c r="I73" s="39" t="str">
        <f aca="false">IF(COUNTIF($A$5:A73,A73)&gt;1,"Duplicate","Unique")</f>
        <v>Unique</v>
      </c>
      <c r="J73" s="39" t="str">
        <f aca="false">IF(I73="Duplicate","Remove",IF(H73="Mismatch","Exclude","Keep"))</f>
        <v>Keep</v>
      </c>
    </row>
    <row r="74" customFormat="false" ht="15" hidden="false" customHeight="false" outlineLevel="0" collapsed="false">
      <c r="A74" s="39" t="s">
        <v>195</v>
      </c>
      <c r="B74" s="40" t="n">
        <v>45666</v>
      </c>
      <c r="C74" s="39" t="s">
        <v>114</v>
      </c>
      <c r="D74" s="39" t="n">
        <v>3</v>
      </c>
      <c r="E74" s="41" t="n">
        <v>5.56</v>
      </c>
      <c r="F74" s="39" t="s">
        <v>118</v>
      </c>
      <c r="G74" s="39" t="str">
        <f aca="false">UPPER(TRIM(C74))</f>
        <v>P012</v>
      </c>
      <c r="H74" s="39" t="str">
        <f aca="false">IF(ISNUMBER(MATCH(G74,Products!$A$5:$A$24,0)),"OK","Mismatch")</f>
        <v>OK</v>
      </c>
      <c r="I74" s="39" t="str">
        <f aca="false">IF(COUNTIF($A$5:A74,A74)&gt;1,"Duplicate","Unique")</f>
        <v>Unique</v>
      </c>
      <c r="J74" s="39" t="str">
        <f aca="false">IF(I74="Duplicate","Remove",IF(H74="Mismatch","Exclude","Keep"))</f>
        <v>Keep</v>
      </c>
    </row>
    <row r="75" customFormat="false" ht="15" hidden="false" customHeight="false" outlineLevel="0" collapsed="false">
      <c r="A75" s="39" t="s">
        <v>196</v>
      </c>
      <c r="B75" s="40" t="n">
        <v>45667</v>
      </c>
      <c r="C75" s="39" t="s">
        <v>133</v>
      </c>
      <c r="D75" s="39" t="n">
        <v>1</v>
      </c>
      <c r="E75" s="41" t="n">
        <v>8.69</v>
      </c>
      <c r="F75" s="39" t="s">
        <v>115</v>
      </c>
      <c r="G75" s="39" t="str">
        <f aca="false">UPPER(TRIM(C75))</f>
        <v>P019</v>
      </c>
      <c r="H75" s="39" t="str">
        <f aca="false">IF(ISNUMBER(MATCH(G75,Products!$A$5:$A$24,0)),"OK","Mismatch")</f>
        <v>OK</v>
      </c>
      <c r="I75" s="39" t="str">
        <f aca="false">IF(COUNTIF($A$5:A75,A75)&gt;1,"Duplicate","Unique")</f>
        <v>Unique</v>
      </c>
      <c r="J75" s="39" t="str">
        <f aca="false">IF(I75="Duplicate","Remove",IF(H75="Mismatch","Exclude","Keep"))</f>
        <v>Keep</v>
      </c>
    </row>
    <row r="76" customFormat="false" ht="15" hidden="false" customHeight="false" outlineLevel="0" collapsed="false">
      <c r="A76" s="39" t="s">
        <v>197</v>
      </c>
      <c r="B76" s="40" t="n">
        <v>45667</v>
      </c>
      <c r="C76" s="39" t="s">
        <v>107</v>
      </c>
      <c r="D76" s="39" t="n">
        <v>4</v>
      </c>
      <c r="E76" s="41" t="n">
        <v>34.51</v>
      </c>
      <c r="F76" s="39" t="s">
        <v>118</v>
      </c>
      <c r="G76" s="39" t="str">
        <f aca="false">UPPER(TRIM(C76))</f>
        <v>P003</v>
      </c>
      <c r="H76" s="39" t="str">
        <f aca="false">IF(ISNUMBER(MATCH(G76,Products!$A$5:$A$24,0)),"OK","Mismatch")</f>
        <v>OK</v>
      </c>
      <c r="I76" s="39" t="str">
        <f aca="false">IF(COUNTIF($A$5:A76,A76)&gt;1,"Duplicate","Unique")</f>
        <v>Unique</v>
      </c>
      <c r="J76" s="39" t="str">
        <f aca="false">IF(I76="Duplicate","Remove",IF(H76="Mismatch","Exclude","Keep"))</f>
        <v>Keep</v>
      </c>
    </row>
    <row r="77" customFormat="false" ht="15" hidden="false" customHeight="false" outlineLevel="0" collapsed="false">
      <c r="A77" s="39" t="s">
        <v>198</v>
      </c>
      <c r="B77" s="40" t="n">
        <v>45667</v>
      </c>
      <c r="C77" s="39" t="s">
        <v>162</v>
      </c>
      <c r="D77" s="39" t="n">
        <v>2</v>
      </c>
      <c r="E77" s="41" t="n">
        <v>64.28</v>
      </c>
      <c r="F77" s="39" t="s">
        <v>105</v>
      </c>
      <c r="G77" s="39" t="str">
        <f aca="false">UPPER(TRIM(C77))</f>
        <v>P017</v>
      </c>
      <c r="H77" s="39" t="str">
        <f aca="false">IF(ISNUMBER(MATCH(G77,Products!$A$5:$A$24,0)),"OK","Mismatch")</f>
        <v>OK</v>
      </c>
      <c r="I77" s="39" t="str">
        <f aca="false">IF(COUNTIF($A$5:A77,A77)&gt;1,"Duplicate","Unique")</f>
        <v>Unique</v>
      </c>
      <c r="J77" s="39" t="str">
        <f aca="false">IF(I77="Duplicate","Remove",IF(H77="Mismatch","Exclude","Keep"))</f>
        <v>Keep</v>
      </c>
    </row>
    <row r="78" customFormat="false" ht="15" hidden="false" customHeight="false" outlineLevel="0" collapsed="false">
      <c r="A78" s="39" t="s">
        <v>199</v>
      </c>
      <c r="B78" s="40" t="n">
        <v>45667</v>
      </c>
      <c r="C78" s="39" t="s">
        <v>153</v>
      </c>
      <c r="D78" s="39" t="n">
        <v>5</v>
      </c>
      <c r="E78" s="41" t="n">
        <v>175.17</v>
      </c>
      <c r="F78" s="39" t="s">
        <v>105</v>
      </c>
      <c r="G78" s="39" t="str">
        <f aca="false">UPPER(TRIM(C78))</f>
        <v>P010</v>
      </c>
      <c r="H78" s="39" t="str">
        <f aca="false">IF(ISNUMBER(MATCH(G78,Products!$A$5:$A$24,0)),"OK","Mismatch")</f>
        <v>OK</v>
      </c>
      <c r="I78" s="39" t="str">
        <f aca="false">IF(COUNTIF($A$5:A78,A78)&gt;1,"Duplicate","Unique")</f>
        <v>Unique</v>
      </c>
      <c r="J78" s="39" t="str">
        <f aca="false">IF(I78="Duplicate","Remove",IF(H78="Mismatch","Exclude","Keep"))</f>
        <v>Keep</v>
      </c>
    </row>
    <row r="79" customFormat="false" ht="15" hidden="false" customHeight="false" outlineLevel="0" collapsed="false">
      <c r="A79" s="39" t="s">
        <v>200</v>
      </c>
      <c r="B79" s="40" t="n">
        <v>45667</v>
      </c>
      <c r="C79" s="39" t="s">
        <v>139</v>
      </c>
      <c r="D79" s="39" t="n">
        <v>5</v>
      </c>
      <c r="E79" s="41" t="n">
        <v>120.06</v>
      </c>
      <c r="F79" s="39" t="s">
        <v>108</v>
      </c>
      <c r="G79" s="39" t="str">
        <f aca="false">UPPER(TRIM(C79))</f>
        <v>P006</v>
      </c>
      <c r="H79" s="39" t="str">
        <f aca="false">IF(ISNUMBER(MATCH(G79,Products!$A$5:$A$24,0)),"OK","Mismatch")</f>
        <v>OK</v>
      </c>
      <c r="I79" s="39" t="str">
        <f aca="false">IF(COUNTIF($A$5:A79,A79)&gt;1,"Duplicate","Unique")</f>
        <v>Unique</v>
      </c>
      <c r="J79" s="39" t="str">
        <f aca="false">IF(I79="Duplicate","Remove",IF(H79="Mismatch","Exclude","Keep"))</f>
        <v>Keep</v>
      </c>
    </row>
    <row r="80" customFormat="false" ht="15" hidden="false" customHeight="false" outlineLevel="0" collapsed="false">
      <c r="A80" s="39" t="s">
        <v>201</v>
      </c>
      <c r="B80" s="40" t="n">
        <v>45667</v>
      </c>
      <c r="C80" s="39" t="s">
        <v>107</v>
      </c>
      <c r="D80" s="39" t="n">
        <v>4</v>
      </c>
      <c r="E80" s="41" t="n">
        <v>34.96</v>
      </c>
      <c r="F80" s="39" t="s">
        <v>105</v>
      </c>
      <c r="G80" s="39" t="str">
        <f aca="false">UPPER(TRIM(C80))</f>
        <v>P003</v>
      </c>
      <c r="H80" s="39" t="str">
        <f aca="false">IF(ISNUMBER(MATCH(G80,Products!$A$5:$A$24,0)),"OK","Mismatch")</f>
        <v>OK</v>
      </c>
      <c r="I80" s="39" t="str">
        <f aca="false">IF(COUNTIF($A$5:A80,A80)&gt;1,"Duplicate","Unique")</f>
        <v>Unique</v>
      </c>
      <c r="J80" s="39" t="str">
        <f aca="false">IF(I80="Duplicate","Remove",IF(H80="Mismatch","Exclude","Keep"))</f>
        <v>Keep</v>
      </c>
    </row>
    <row r="81" customFormat="false" ht="15" hidden="false" customHeight="false" outlineLevel="0" collapsed="false">
      <c r="A81" s="39" t="s">
        <v>202</v>
      </c>
      <c r="B81" s="40" t="n">
        <v>45667</v>
      </c>
      <c r="C81" s="39" t="s">
        <v>133</v>
      </c>
      <c r="D81" s="39" t="n">
        <v>1</v>
      </c>
      <c r="E81" s="41" t="n">
        <v>8.53</v>
      </c>
      <c r="F81" s="39" t="s">
        <v>115</v>
      </c>
      <c r="G81" s="39" t="str">
        <f aca="false">UPPER(TRIM(C81))</f>
        <v>P019</v>
      </c>
      <c r="H81" s="39" t="str">
        <f aca="false">IF(ISNUMBER(MATCH(G81,Products!$A$5:$A$24,0)),"OK","Mismatch")</f>
        <v>OK</v>
      </c>
      <c r="I81" s="39" t="str">
        <f aca="false">IF(COUNTIF($A$5:A81,A81)&gt;1,"Duplicate","Unique")</f>
        <v>Unique</v>
      </c>
      <c r="J81" s="39" t="str">
        <f aca="false">IF(I81="Duplicate","Remove",IF(H81="Mismatch","Exclude","Keep"))</f>
        <v>Keep</v>
      </c>
    </row>
    <row r="82" customFormat="false" ht="15" hidden="false" customHeight="false" outlineLevel="0" collapsed="false">
      <c r="A82" s="39" t="s">
        <v>203</v>
      </c>
      <c r="B82" s="40" t="n">
        <v>45668</v>
      </c>
      <c r="C82" s="39" t="s">
        <v>136</v>
      </c>
      <c r="D82" s="39" t="n">
        <v>3</v>
      </c>
      <c r="E82" s="41" t="n">
        <v>73.12</v>
      </c>
      <c r="F82" s="39" t="s">
        <v>105</v>
      </c>
      <c r="G82" s="39" t="str">
        <f aca="false">UPPER(TRIM(C82))</f>
        <v>P002</v>
      </c>
      <c r="H82" s="39" t="str">
        <f aca="false">IF(ISNUMBER(MATCH(G82,Products!$A$5:$A$24,0)),"OK","Mismatch")</f>
        <v>OK</v>
      </c>
      <c r="I82" s="39" t="str">
        <f aca="false">IF(COUNTIF($A$5:A82,A82)&gt;1,"Duplicate","Unique")</f>
        <v>Unique</v>
      </c>
      <c r="J82" s="39" t="str">
        <f aca="false">IF(I82="Duplicate","Remove",IF(H82="Mismatch","Exclude","Keep"))</f>
        <v>Keep</v>
      </c>
    </row>
    <row r="83" customFormat="false" ht="15" hidden="false" customHeight="false" outlineLevel="0" collapsed="false">
      <c r="A83" s="39" t="s">
        <v>204</v>
      </c>
      <c r="B83" s="40" t="n">
        <v>45668</v>
      </c>
      <c r="C83" s="39" t="s">
        <v>177</v>
      </c>
      <c r="D83" s="39" t="n">
        <v>1</v>
      </c>
      <c r="E83" s="41" t="n">
        <v>44.65</v>
      </c>
      <c r="F83" s="39" t="s">
        <v>105</v>
      </c>
      <c r="G83" s="39" t="str">
        <f aca="false">UPPER(TRIM(C83))</f>
        <v>P014</v>
      </c>
      <c r="H83" s="39" t="str">
        <f aca="false">IF(ISNUMBER(MATCH(G83,Products!$A$5:$A$24,0)),"OK","Mismatch")</f>
        <v>OK</v>
      </c>
      <c r="I83" s="39" t="str">
        <f aca="false">IF(COUNTIF($A$5:A83,A83)&gt;1,"Duplicate","Unique")</f>
        <v>Unique</v>
      </c>
      <c r="J83" s="39" t="str">
        <f aca="false">IF(I83="Duplicate","Remove",IF(H83="Mismatch","Exclude","Keep"))</f>
        <v>Keep</v>
      </c>
    </row>
    <row r="84" customFormat="false" ht="15" hidden="false" customHeight="false" outlineLevel="0" collapsed="false">
      <c r="A84" s="39" t="s">
        <v>205</v>
      </c>
      <c r="B84" s="40" t="n">
        <v>45668</v>
      </c>
      <c r="C84" s="39" t="s">
        <v>104</v>
      </c>
      <c r="D84" s="39" t="n">
        <v>5</v>
      </c>
      <c r="E84" s="41" t="n">
        <v>15.05</v>
      </c>
      <c r="F84" s="39" t="s">
        <v>118</v>
      </c>
      <c r="G84" s="39" t="str">
        <f aca="false">UPPER(TRIM(C84))</f>
        <v>P015</v>
      </c>
      <c r="H84" s="39" t="str">
        <f aca="false">IF(ISNUMBER(MATCH(G84,Products!$A$5:$A$24,0)),"OK","Mismatch")</f>
        <v>OK</v>
      </c>
      <c r="I84" s="39" t="str">
        <f aca="false">IF(COUNTIF($A$5:A84,A84)&gt;1,"Duplicate","Unique")</f>
        <v>Unique</v>
      </c>
      <c r="J84" s="39" t="str">
        <f aca="false">IF(I84="Duplicate","Remove",IF(H84="Mismatch","Exclude","Keep"))</f>
        <v>Keep</v>
      </c>
    </row>
    <row r="85" customFormat="false" ht="15" hidden="false" customHeight="false" outlineLevel="0" collapsed="false">
      <c r="A85" s="39" t="s">
        <v>206</v>
      </c>
      <c r="B85" s="40" t="n">
        <v>45668</v>
      </c>
      <c r="C85" s="39" t="s">
        <v>112</v>
      </c>
      <c r="D85" s="39" t="n">
        <v>1</v>
      </c>
      <c r="E85" s="41" t="n">
        <v>53.2</v>
      </c>
      <c r="F85" s="39" t="s">
        <v>118</v>
      </c>
      <c r="G85" s="39" t="str">
        <f aca="false">UPPER(TRIM(C85))</f>
        <v>P005</v>
      </c>
      <c r="H85" s="39" t="str">
        <f aca="false">IF(ISNUMBER(MATCH(G85,Products!$A$5:$A$24,0)),"OK","Mismatch")</f>
        <v>OK</v>
      </c>
      <c r="I85" s="39" t="str">
        <f aca="false">IF(COUNTIF($A$5:A85,A85)&gt;1,"Duplicate","Unique")</f>
        <v>Unique</v>
      </c>
      <c r="J85" s="39" t="str">
        <f aca="false">IF(I85="Duplicate","Remove",IF(H85="Mismatch","Exclude","Keep"))</f>
        <v>Keep</v>
      </c>
    </row>
    <row r="86" customFormat="false" ht="15" hidden="false" customHeight="false" outlineLevel="0" collapsed="false">
      <c r="A86" s="39" t="s">
        <v>207</v>
      </c>
      <c r="B86" s="40" t="n">
        <v>45668</v>
      </c>
      <c r="C86" s="39" t="s">
        <v>153</v>
      </c>
      <c r="D86" s="39" t="n">
        <v>1</v>
      </c>
      <c r="E86" s="41" t="n">
        <v>169.65</v>
      </c>
      <c r="F86" s="39" t="s">
        <v>108</v>
      </c>
      <c r="G86" s="39" t="str">
        <f aca="false">UPPER(TRIM(C86))</f>
        <v>P010</v>
      </c>
      <c r="H86" s="39" t="str">
        <f aca="false">IF(ISNUMBER(MATCH(G86,Products!$A$5:$A$24,0)),"OK","Mismatch")</f>
        <v>OK</v>
      </c>
      <c r="I86" s="39" t="str">
        <f aca="false">IF(COUNTIF($A$5:A86,A86)&gt;1,"Duplicate","Unique")</f>
        <v>Unique</v>
      </c>
      <c r="J86" s="39" t="str">
        <f aca="false">IF(I86="Duplicate","Remove",IF(H86="Mismatch","Exclude","Keep"))</f>
        <v>Keep</v>
      </c>
    </row>
    <row r="87" customFormat="false" ht="15" hidden="false" customHeight="false" outlineLevel="0" collapsed="false">
      <c r="A87" s="39" t="s">
        <v>208</v>
      </c>
      <c r="B87" s="40" t="n">
        <v>45668</v>
      </c>
      <c r="C87" s="39" t="s">
        <v>112</v>
      </c>
      <c r="D87" s="39" t="n">
        <v>5</v>
      </c>
      <c r="E87" s="41" t="n">
        <v>53.24</v>
      </c>
      <c r="F87" s="39" t="s">
        <v>108</v>
      </c>
      <c r="G87" s="39" t="str">
        <f aca="false">UPPER(TRIM(C87))</f>
        <v>P005</v>
      </c>
      <c r="H87" s="39" t="str">
        <f aca="false">IF(ISNUMBER(MATCH(G87,Products!$A$5:$A$24,0)),"OK","Mismatch")</f>
        <v>OK</v>
      </c>
      <c r="I87" s="39" t="str">
        <f aca="false">IF(COUNTIF($A$5:A87,A87)&gt;1,"Duplicate","Unique")</f>
        <v>Unique</v>
      </c>
      <c r="J87" s="39" t="str">
        <f aca="false">IF(I87="Duplicate","Remove",IF(H87="Mismatch","Exclude","Keep"))</f>
        <v>Keep</v>
      </c>
    </row>
    <row r="88" customFormat="false" ht="15" hidden="false" customHeight="false" outlineLevel="0" collapsed="false">
      <c r="A88" s="39" t="s">
        <v>209</v>
      </c>
      <c r="B88" s="40" t="n">
        <v>45668</v>
      </c>
      <c r="C88" s="39" t="s">
        <v>104</v>
      </c>
      <c r="D88" s="39" t="n">
        <v>1</v>
      </c>
      <c r="E88" s="41" t="n">
        <v>15.57</v>
      </c>
      <c r="F88" s="39" t="s">
        <v>108</v>
      </c>
      <c r="G88" s="39" t="str">
        <f aca="false">UPPER(TRIM(C88))</f>
        <v>P015</v>
      </c>
      <c r="H88" s="39" t="str">
        <f aca="false">IF(ISNUMBER(MATCH(G88,Products!$A$5:$A$24,0)),"OK","Mismatch")</f>
        <v>OK</v>
      </c>
      <c r="I88" s="39" t="str">
        <f aca="false">IF(COUNTIF($A$5:A88,A88)&gt;1,"Duplicate","Unique")</f>
        <v>Unique</v>
      </c>
      <c r="J88" s="39" t="str">
        <f aca="false">IF(I88="Duplicate","Remove",IF(H88="Mismatch","Exclude","Keep"))</f>
        <v>Keep</v>
      </c>
    </row>
    <row r="89" customFormat="false" ht="15" hidden="false" customHeight="false" outlineLevel="0" collapsed="false">
      <c r="A89" s="39" t="s">
        <v>210</v>
      </c>
      <c r="B89" s="40" t="n">
        <v>45668</v>
      </c>
      <c r="C89" s="39" t="s">
        <v>144</v>
      </c>
      <c r="D89" s="39" t="n">
        <v>1</v>
      </c>
      <c r="E89" s="41" t="n">
        <v>55.33</v>
      </c>
      <c r="F89" s="39" t="s">
        <v>108</v>
      </c>
      <c r="G89" s="39" t="str">
        <f aca="false">UPPER(TRIM(C89))</f>
        <v>P013</v>
      </c>
      <c r="H89" s="39" t="str">
        <f aca="false">IF(ISNUMBER(MATCH(G89,Products!$A$5:$A$24,0)),"OK","Mismatch")</f>
        <v>OK</v>
      </c>
      <c r="I89" s="39" t="str">
        <f aca="false">IF(COUNTIF($A$5:A89,A89)&gt;1,"Duplicate","Unique")</f>
        <v>Unique</v>
      </c>
      <c r="J89" s="39" t="str">
        <f aca="false">IF(I89="Duplicate","Remove",IF(H89="Mismatch","Exclude","Keep"))</f>
        <v>Keep</v>
      </c>
    </row>
    <row r="90" customFormat="false" ht="15" hidden="false" customHeight="false" outlineLevel="0" collapsed="false">
      <c r="A90" s="39" t="s">
        <v>211</v>
      </c>
      <c r="B90" s="40" t="n">
        <v>45668</v>
      </c>
      <c r="C90" s="39" t="s">
        <v>114</v>
      </c>
      <c r="D90" s="39" t="n">
        <v>6</v>
      </c>
      <c r="E90" s="41" t="n">
        <v>5.76</v>
      </c>
      <c r="F90" s="39" t="s">
        <v>115</v>
      </c>
      <c r="G90" s="39" t="str">
        <f aca="false">UPPER(TRIM(C90))</f>
        <v>P012</v>
      </c>
      <c r="H90" s="39" t="str">
        <f aca="false">IF(ISNUMBER(MATCH(G90,Products!$A$5:$A$24,0)),"OK","Mismatch")</f>
        <v>OK</v>
      </c>
      <c r="I90" s="39" t="str">
        <f aca="false">IF(COUNTIF($A$5:A90,A90)&gt;1,"Duplicate","Unique")</f>
        <v>Unique</v>
      </c>
      <c r="J90" s="39" t="str">
        <f aca="false">IF(I90="Duplicate","Remove",IF(H90="Mismatch","Exclude","Keep"))</f>
        <v>Keep</v>
      </c>
    </row>
    <row r="91" customFormat="false" ht="15" hidden="false" customHeight="false" outlineLevel="0" collapsed="false">
      <c r="A91" s="39" t="s">
        <v>212</v>
      </c>
      <c r="B91" s="40" t="n">
        <v>45669</v>
      </c>
      <c r="C91" s="39" t="s">
        <v>112</v>
      </c>
      <c r="D91" s="39" t="n">
        <v>6</v>
      </c>
      <c r="E91" s="41" t="n">
        <v>55</v>
      </c>
      <c r="F91" s="39" t="s">
        <v>118</v>
      </c>
      <c r="G91" s="39" t="str">
        <f aca="false">UPPER(TRIM(C91))</f>
        <v>P005</v>
      </c>
      <c r="H91" s="39" t="str">
        <f aca="false">IF(ISNUMBER(MATCH(G91,Products!$A$5:$A$24,0)),"OK","Mismatch")</f>
        <v>OK</v>
      </c>
      <c r="I91" s="39" t="str">
        <f aca="false">IF(COUNTIF($A$5:A91,A91)&gt;1,"Duplicate","Unique")</f>
        <v>Unique</v>
      </c>
      <c r="J91" s="39" t="str">
        <f aca="false">IF(I91="Duplicate","Remove",IF(H91="Mismatch","Exclude","Keep"))</f>
        <v>Keep</v>
      </c>
    </row>
    <row r="92" customFormat="false" ht="15" hidden="false" customHeight="false" outlineLevel="0" collapsed="false">
      <c r="A92" s="39" t="s">
        <v>213</v>
      </c>
      <c r="B92" s="40" t="n">
        <v>45669</v>
      </c>
      <c r="C92" s="39" t="s">
        <v>126</v>
      </c>
      <c r="D92" s="39" t="n">
        <v>4</v>
      </c>
      <c r="E92" s="41" t="n">
        <v>23.5</v>
      </c>
      <c r="F92" s="39" t="s">
        <v>105</v>
      </c>
      <c r="G92" s="39" t="str">
        <f aca="false">UPPER(TRIM(C92))</f>
        <v>P001</v>
      </c>
      <c r="H92" s="39" t="str">
        <f aca="false">IF(ISNUMBER(MATCH(G92,Products!$A$5:$A$24,0)),"OK","Mismatch")</f>
        <v>OK</v>
      </c>
      <c r="I92" s="39" t="str">
        <f aca="false">IF(COUNTIF($A$5:A92,A92)&gt;1,"Duplicate","Unique")</f>
        <v>Unique</v>
      </c>
      <c r="J92" s="39" t="str">
        <f aca="false">IF(I92="Duplicate","Remove",IF(H92="Mismatch","Exclude","Keep"))</f>
        <v>Keep</v>
      </c>
    </row>
    <row r="93" customFormat="false" ht="15" hidden="false" customHeight="false" outlineLevel="0" collapsed="false">
      <c r="A93" s="39" t="s">
        <v>214</v>
      </c>
      <c r="B93" s="40" t="n">
        <v>45669</v>
      </c>
      <c r="C93" s="39" t="s">
        <v>162</v>
      </c>
      <c r="D93" s="39" t="n">
        <v>1</v>
      </c>
      <c r="E93" s="41" t="n">
        <v>67</v>
      </c>
      <c r="F93" s="39" t="s">
        <v>118</v>
      </c>
      <c r="G93" s="39" t="str">
        <f aca="false">UPPER(TRIM(C93))</f>
        <v>P017</v>
      </c>
      <c r="H93" s="39" t="str">
        <f aca="false">IF(ISNUMBER(MATCH(G93,Products!$A$5:$A$24,0)),"OK","Mismatch")</f>
        <v>OK</v>
      </c>
      <c r="I93" s="39" t="str">
        <f aca="false">IF(COUNTIF($A$5:A93,A93)&gt;1,"Duplicate","Unique")</f>
        <v>Unique</v>
      </c>
      <c r="J93" s="39" t="str">
        <f aca="false">IF(I93="Duplicate","Remove",IF(H93="Mismatch","Exclude","Keep"))</f>
        <v>Keep</v>
      </c>
    </row>
    <row r="94" customFormat="false" ht="15" hidden="false" customHeight="false" outlineLevel="0" collapsed="false">
      <c r="A94" s="39" t="s">
        <v>215</v>
      </c>
      <c r="B94" s="40" t="n">
        <v>45670</v>
      </c>
      <c r="C94" s="39" t="s">
        <v>104</v>
      </c>
      <c r="D94" s="39" t="n">
        <v>1</v>
      </c>
      <c r="E94" s="41" t="n">
        <v>15.76</v>
      </c>
      <c r="F94" s="39" t="s">
        <v>108</v>
      </c>
      <c r="G94" s="39" t="str">
        <f aca="false">UPPER(TRIM(C94))</f>
        <v>P015</v>
      </c>
      <c r="H94" s="39" t="str">
        <f aca="false">IF(ISNUMBER(MATCH(G94,Products!$A$5:$A$24,0)),"OK","Mismatch")</f>
        <v>OK</v>
      </c>
      <c r="I94" s="39" t="str">
        <f aca="false">IF(COUNTIF($A$5:A94,A94)&gt;1,"Duplicate","Unique")</f>
        <v>Unique</v>
      </c>
      <c r="J94" s="39" t="str">
        <f aca="false">IF(I94="Duplicate","Remove",IF(H94="Mismatch","Exclude","Keep"))</f>
        <v>Keep</v>
      </c>
    </row>
    <row r="95" customFormat="false" ht="15" hidden="false" customHeight="false" outlineLevel="0" collapsed="false">
      <c r="A95" s="39" t="s">
        <v>216</v>
      </c>
      <c r="B95" s="40" t="n">
        <v>45670</v>
      </c>
      <c r="C95" s="39" t="s">
        <v>130</v>
      </c>
      <c r="D95" s="39" t="n">
        <v>2</v>
      </c>
      <c r="E95" s="41" t="n">
        <v>8.65</v>
      </c>
      <c r="F95" s="39" t="s">
        <v>115</v>
      </c>
      <c r="G95" s="39" t="str">
        <f aca="false">UPPER(TRIM(C95))</f>
        <v>P011</v>
      </c>
      <c r="H95" s="39" t="str">
        <f aca="false">IF(ISNUMBER(MATCH(G95,Products!$A$5:$A$24,0)),"OK","Mismatch")</f>
        <v>OK</v>
      </c>
      <c r="I95" s="39" t="str">
        <f aca="false">IF(COUNTIF($A$5:A95,A95)&gt;1,"Duplicate","Unique")</f>
        <v>Unique</v>
      </c>
      <c r="J95" s="39" t="str">
        <f aca="false">IF(I95="Duplicate","Remove",IF(H95="Mismatch","Exclude","Keep"))</f>
        <v>Keep</v>
      </c>
    </row>
    <row r="96" customFormat="false" ht="15" hidden="false" customHeight="false" outlineLevel="0" collapsed="false">
      <c r="A96" s="39" t="s">
        <v>217</v>
      </c>
      <c r="B96" s="40" t="n">
        <v>45670</v>
      </c>
      <c r="C96" s="39" t="s">
        <v>126</v>
      </c>
      <c r="D96" s="39" t="n">
        <v>3</v>
      </c>
      <c r="E96" s="41" t="n">
        <v>24.16</v>
      </c>
      <c r="F96" s="39" t="s">
        <v>105</v>
      </c>
      <c r="G96" s="39" t="str">
        <f aca="false">UPPER(TRIM(C96))</f>
        <v>P001</v>
      </c>
      <c r="H96" s="39" t="str">
        <f aca="false">IF(ISNUMBER(MATCH(G96,Products!$A$5:$A$24,0)),"OK","Mismatch")</f>
        <v>OK</v>
      </c>
      <c r="I96" s="39" t="str">
        <f aca="false">IF(COUNTIF($A$5:A96,A96)&gt;1,"Duplicate","Unique")</f>
        <v>Unique</v>
      </c>
      <c r="J96" s="39" t="str">
        <f aca="false">IF(I96="Duplicate","Remove",IF(H96="Mismatch","Exclude","Keep"))</f>
        <v>Keep</v>
      </c>
    </row>
    <row r="97" customFormat="false" ht="15" hidden="false" customHeight="false" outlineLevel="0" collapsed="false">
      <c r="A97" s="39" t="s">
        <v>218</v>
      </c>
      <c r="B97" s="40" t="n">
        <v>45670</v>
      </c>
      <c r="C97" s="39" t="s">
        <v>112</v>
      </c>
      <c r="D97" s="39" t="n">
        <v>5</v>
      </c>
      <c r="E97" s="41" t="n">
        <v>52.71</v>
      </c>
      <c r="F97" s="39" t="s">
        <v>105</v>
      </c>
      <c r="G97" s="39" t="str">
        <f aca="false">UPPER(TRIM(C97))</f>
        <v>P005</v>
      </c>
      <c r="H97" s="39" t="str">
        <f aca="false">IF(ISNUMBER(MATCH(G97,Products!$A$5:$A$24,0)),"OK","Mismatch")</f>
        <v>OK</v>
      </c>
      <c r="I97" s="39" t="str">
        <f aca="false">IF(COUNTIF($A$5:A97,A97)&gt;1,"Duplicate","Unique")</f>
        <v>Unique</v>
      </c>
      <c r="J97" s="39" t="str">
        <f aca="false">IF(I97="Duplicate","Remove",IF(H97="Mismatch","Exclude","Keep"))</f>
        <v>Keep</v>
      </c>
    </row>
    <row r="98" customFormat="false" ht="15" hidden="false" customHeight="false" outlineLevel="0" collapsed="false">
      <c r="A98" s="39" t="s">
        <v>219</v>
      </c>
      <c r="B98" s="40" t="n">
        <v>45670</v>
      </c>
      <c r="C98" s="39" t="s">
        <v>126</v>
      </c>
      <c r="D98" s="39" t="n">
        <v>1</v>
      </c>
      <c r="E98" s="41" t="n">
        <v>24.83</v>
      </c>
      <c r="F98" s="39" t="s">
        <v>105</v>
      </c>
      <c r="G98" s="39" t="str">
        <f aca="false">UPPER(TRIM(C98))</f>
        <v>P001</v>
      </c>
      <c r="H98" s="39" t="str">
        <f aca="false">IF(ISNUMBER(MATCH(G98,Products!$A$5:$A$24,0)),"OK","Mismatch")</f>
        <v>OK</v>
      </c>
      <c r="I98" s="39" t="str">
        <f aca="false">IF(COUNTIF($A$5:A98,A98)&gt;1,"Duplicate","Unique")</f>
        <v>Unique</v>
      </c>
      <c r="J98" s="39" t="str">
        <f aca="false">IF(I98="Duplicate","Remove",IF(H98="Mismatch","Exclude","Keep"))</f>
        <v>Keep</v>
      </c>
    </row>
    <row r="99" customFormat="false" ht="15" hidden="false" customHeight="false" outlineLevel="0" collapsed="false">
      <c r="A99" s="39" t="s">
        <v>220</v>
      </c>
      <c r="B99" s="40" t="n">
        <v>45670</v>
      </c>
      <c r="C99" s="39" t="s">
        <v>112</v>
      </c>
      <c r="D99" s="39" t="n">
        <v>8</v>
      </c>
      <c r="E99" s="41" t="n">
        <v>52.82</v>
      </c>
      <c r="F99" s="39" t="s">
        <v>115</v>
      </c>
      <c r="G99" s="39" t="str">
        <f aca="false">UPPER(TRIM(C99))</f>
        <v>P005</v>
      </c>
      <c r="H99" s="39" t="str">
        <f aca="false">IF(ISNUMBER(MATCH(G99,Products!$A$5:$A$24,0)),"OK","Mismatch")</f>
        <v>OK</v>
      </c>
      <c r="I99" s="39" t="str">
        <f aca="false">IF(COUNTIF($A$5:A99,A99)&gt;1,"Duplicate","Unique")</f>
        <v>Unique</v>
      </c>
      <c r="J99" s="39" t="str">
        <f aca="false">IF(I99="Duplicate","Remove",IF(H99="Mismatch","Exclude","Keep"))</f>
        <v>Keep</v>
      </c>
    </row>
    <row r="100" customFormat="false" ht="15" hidden="false" customHeight="false" outlineLevel="0" collapsed="false">
      <c r="A100" s="39" t="s">
        <v>221</v>
      </c>
      <c r="B100" s="40" t="n">
        <v>45670</v>
      </c>
      <c r="C100" s="39" t="s">
        <v>114</v>
      </c>
      <c r="D100" s="39" t="n">
        <v>1</v>
      </c>
      <c r="E100" s="41" t="n">
        <v>5.91</v>
      </c>
      <c r="F100" s="39" t="s">
        <v>108</v>
      </c>
      <c r="G100" s="39" t="str">
        <f aca="false">UPPER(TRIM(C100))</f>
        <v>P012</v>
      </c>
      <c r="H100" s="39" t="str">
        <f aca="false">IF(ISNUMBER(MATCH(G100,Products!$A$5:$A$24,0)),"OK","Mismatch")</f>
        <v>OK</v>
      </c>
      <c r="I100" s="39" t="str">
        <f aca="false">IF(COUNTIF($A$5:A100,A100)&gt;1,"Duplicate","Unique")</f>
        <v>Unique</v>
      </c>
      <c r="J100" s="39" t="str">
        <f aca="false">IF(I100="Duplicate","Remove",IF(H100="Mismatch","Exclude","Keep"))</f>
        <v>Keep</v>
      </c>
    </row>
    <row r="101" customFormat="false" ht="15" hidden="false" customHeight="false" outlineLevel="0" collapsed="false">
      <c r="A101" s="39" t="s">
        <v>222</v>
      </c>
      <c r="B101" s="40" t="n">
        <v>45671</v>
      </c>
      <c r="C101" s="39" t="s">
        <v>112</v>
      </c>
      <c r="D101" s="39" t="n">
        <v>1</v>
      </c>
      <c r="E101" s="41" t="n">
        <v>51.57</v>
      </c>
      <c r="F101" s="39" t="s">
        <v>115</v>
      </c>
      <c r="G101" s="39" t="str">
        <f aca="false">UPPER(TRIM(C101))</f>
        <v>P005</v>
      </c>
      <c r="H101" s="39" t="str">
        <f aca="false">IF(ISNUMBER(MATCH(G101,Products!$A$5:$A$24,0)),"OK","Mismatch")</f>
        <v>OK</v>
      </c>
      <c r="I101" s="39" t="str">
        <f aca="false">IF(COUNTIF($A$5:A101,A101)&gt;1,"Duplicate","Unique")</f>
        <v>Unique</v>
      </c>
      <c r="J101" s="39" t="str">
        <f aca="false">IF(I101="Duplicate","Remove",IF(H101="Mismatch","Exclude","Keep"))</f>
        <v>Keep</v>
      </c>
    </row>
    <row r="102" customFormat="false" ht="15" hidden="false" customHeight="false" outlineLevel="0" collapsed="false">
      <c r="A102" s="39" t="s">
        <v>223</v>
      </c>
      <c r="B102" s="40" t="n">
        <v>45671</v>
      </c>
      <c r="C102" s="39" t="s">
        <v>177</v>
      </c>
      <c r="D102" s="39" t="n">
        <v>2</v>
      </c>
      <c r="E102" s="41" t="n">
        <v>42.29</v>
      </c>
      <c r="F102" s="39" t="s">
        <v>108</v>
      </c>
      <c r="G102" s="39" t="str">
        <f aca="false">UPPER(TRIM(C102))</f>
        <v>P014</v>
      </c>
      <c r="H102" s="39" t="str">
        <f aca="false">IF(ISNUMBER(MATCH(G102,Products!$A$5:$A$24,0)),"OK","Mismatch")</f>
        <v>OK</v>
      </c>
      <c r="I102" s="39" t="str">
        <f aca="false">IF(COUNTIF($A$5:A102,A102)&gt;1,"Duplicate","Unique")</f>
        <v>Unique</v>
      </c>
      <c r="J102" s="39" t="str">
        <f aca="false">IF(I102="Duplicate","Remove",IF(H102="Mismatch","Exclude","Keep"))</f>
        <v>Keep</v>
      </c>
    </row>
    <row r="103" customFormat="false" ht="15" hidden="false" customHeight="false" outlineLevel="0" collapsed="false">
      <c r="A103" s="39" t="s">
        <v>224</v>
      </c>
      <c r="B103" s="40" t="n">
        <v>45671</v>
      </c>
      <c r="C103" s="39" t="s">
        <v>177</v>
      </c>
      <c r="D103" s="39" t="n">
        <v>2</v>
      </c>
      <c r="E103" s="41" t="n">
        <v>41.67</v>
      </c>
      <c r="F103" s="39" t="s">
        <v>105</v>
      </c>
      <c r="G103" s="39" t="str">
        <f aca="false">UPPER(TRIM(C103))</f>
        <v>P014</v>
      </c>
      <c r="H103" s="39" t="str">
        <f aca="false">IF(ISNUMBER(MATCH(G103,Products!$A$5:$A$24,0)),"OK","Mismatch")</f>
        <v>OK</v>
      </c>
      <c r="I103" s="39" t="str">
        <f aca="false">IF(COUNTIF($A$5:A103,A103)&gt;1,"Duplicate","Unique")</f>
        <v>Unique</v>
      </c>
      <c r="J103" s="39" t="str">
        <f aca="false">IF(I103="Duplicate","Remove",IF(H103="Mismatch","Exclude","Keep"))</f>
        <v>Keep</v>
      </c>
    </row>
    <row r="104" customFormat="false" ht="15" hidden="false" customHeight="false" outlineLevel="0" collapsed="false">
      <c r="A104" s="39" t="s">
        <v>225</v>
      </c>
      <c r="B104" s="40" t="n">
        <v>45671</v>
      </c>
      <c r="C104" s="39" t="s">
        <v>114</v>
      </c>
      <c r="D104" s="39" t="n">
        <v>6</v>
      </c>
      <c r="E104" s="41" t="n">
        <v>5.62</v>
      </c>
      <c r="F104" s="39" t="s">
        <v>105</v>
      </c>
      <c r="G104" s="39" t="str">
        <f aca="false">UPPER(TRIM(C104))</f>
        <v>P012</v>
      </c>
      <c r="H104" s="39" t="str">
        <f aca="false">IF(ISNUMBER(MATCH(G104,Products!$A$5:$A$24,0)),"OK","Mismatch")</f>
        <v>OK</v>
      </c>
      <c r="I104" s="39" t="str">
        <f aca="false">IF(COUNTIF($A$5:A104,A104)&gt;1,"Duplicate","Unique")</f>
        <v>Unique</v>
      </c>
      <c r="J104" s="39" t="str">
        <f aca="false">IF(I104="Duplicate","Remove",IF(H104="Mismatch","Exclude","Keep"))</f>
        <v>Keep</v>
      </c>
    </row>
    <row r="105" customFormat="false" ht="15" hidden="false" customHeight="false" outlineLevel="0" collapsed="false">
      <c r="A105" s="39" t="s">
        <v>226</v>
      </c>
      <c r="B105" s="40" t="n">
        <v>45671</v>
      </c>
      <c r="C105" s="39" t="s">
        <v>117</v>
      </c>
      <c r="D105" s="39" t="n">
        <v>4</v>
      </c>
      <c r="E105" s="41" t="n">
        <v>29.66</v>
      </c>
      <c r="F105" s="39" t="s">
        <v>118</v>
      </c>
      <c r="G105" s="39" t="str">
        <f aca="false">UPPER(TRIM(C105))</f>
        <v>P009</v>
      </c>
      <c r="H105" s="39" t="str">
        <f aca="false">IF(ISNUMBER(MATCH(G105,Products!$A$5:$A$24,0)),"OK","Mismatch")</f>
        <v>OK</v>
      </c>
      <c r="I105" s="39" t="str">
        <f aca="false">IF(COUNTIF($A$5:A105,A105)&gt;1,"Duplicate","Unique")</f>
        <v>Unique</v>
      </c>
      <c r="J105" s="39" t="str">
        <f aca="false">IF(I105="Duplicate","Remove",IF(H105="Mismatch","Exclude","Keep"))</f>
        <v>Keep</v>
      </c>
    </row>
    <row r="106" customFormat="false" ht="15" hidden="false" customHeight="false" outlineLevel="0" collapsed="false">
      <c r="A106" s="39" t="s">
        <v>226</v>
      </c>
      <c r="B106" s="40" t="n">
        <v>45671</v>
      </c>
      <c r="C106" s="39" t="s">
        <v>117</v>
      </c>
      <c r="D106" s="39" t="n">
        <v>4</v>
      </c>
      <c r="E106" s="41" t="n">
        <v>29.66</v>
      </c>
      <c r="F106" s="39" t="s">
        <v>118</v>
      </c>
      <c r="G106" s="39" t="str">
        <f aca="false">UPPER(TRIM(C106))</f>
        <v>P009</v>
      </c>
      <c r="H106" s="39" t="str">
        <f aca="false">IF(ISNUMBER(MATCH(G106,Products!$A$5:$A$24,0)),"OK","Mismatch")</f>
        <v>OK</v>
      </c>
      <c r="I106" s="39" t="str">
        <f aca="false">IF(COUNTIF($A$5:A106,A106)&gt;1,"Duplicate","Unique")</f>
        <v>Duplicate</v>
      </c>
      <c r="J106" s="39" t="str">
        <f aca="false">IF(I106="Duplicate","Remove",IF(H106="Mismatch","Exclude","Keep"))</f>
        <v>Remove</v>
      </c>
    </row>
    <row r="107" customFormat="false" ht="15" hidden="false" customHeight="false" outlineLevel="0" collapsed="false">
      <c r="A107" s="39" t="s">
        <v>227</v>
      </c>
      <c r="B107" s="40" t="n">
        <v>45671</v>
      </c>
      <c r="C107" s="39" t="s">
        <v>107</v>
      </c>
      <c r="D107" s="39" t="n">
        <v>3</v>
      </c>
      <c r="E107" s="41" t="n">
        <v>34.88</v>
      </c>
      <c r="F107" s="39" t="s">
        <v>105</v>
      </c>
      <c r="G107" s="39" t="str">
        <f aca="false">UPPER(TRIM(C107))</f>
        <v>P003</v>
      </c>
      <c r="H107" s="39" t="str">
        <f aca="false">IF(ISNUMBER(MATCH(G107,Products!$A$5:$A$24,0)),"OK","Mismatch")</f>
        <v>OK</v>
      </c>
      <c r="I107" s="39" t="str">
        <f aca="false">IF(COUNTIF($A$5:A107,A107)&gt;1,"Duplicate","Unique")</f>
        <v>Unique</v>
      </c>
      <c r="J107" s="39" t="str">
        <f aca="false">IF(I107="Duplicate","Remove",IF(H107="Mismatch","Exclude","Keep"))</f>
        <v>Keep</v>
      </c>
    </row>
    <row r="108" customFormat="false" ht="15" hidden="false" customHeight="false" outlineLevel="0" collapsed="false">
      <c r="A108" s="39" t="s">
        <v>228</v>
      </c>
      <c r="B108" s="40" t="n">
        <v>45672</v>
      </c>
      <c r="C108" s="39" t="s">
        <v>153</v>
      </c>
      <c r="D108" s="39" t="n">
        <v>1</v>
      </c>
      <c r="E108" s="41" t="n">
        <v>178.25</v>
      </c>
      <c r="F108" s="39" t="s">
        <v>105</v>
      </c>
      <c r="G108" s="39" t="str">
        <f aca="false">UPPER(TRIM(C108))</f>
        <v>P010</v>
      </c>
      <c r="H108" s="39" t="str">
        <f aca="false">IF(ISNUMBER(MATCH(G108,Products!$A$5:$A$24,0)),"OK","Mismatch")</f>
        <v>OK</v>
      </c>
      <c r="I108" s="39" t="str">
        <f aca="false">IF(COUNTIF($A$5:A108,A108)&gt;1,"Duplicate","Unique")</f>
        <v>Unique</v>
      </c>
      <c r="J108" s="39" t="str">
        <f aca="false">IF(I108="Duplicate","Remove",IF(H108="Mismatch","Exclude","Keep"))</f>
        <v>Keep</v>
      </c>
    </row>
    <row r="109" customFormat="false" ht="15" hidden="false" customHeight="false" outlineLevel="0" collapsed="false">
      <c r="A109" s="39" t="s">
        <v>229</v>
      </c>
      <c r="B109" s="40" t="n">
        <v>45672</v>
      </c>
      <c r="C109" s="39" t="s">
        <v>128</v>
      </c>
      <c r="D109" s="39" t="n">
        <v>1</v>
      </c>
      <c r="E109" s="41" t="n">
        <v>37.26</v>
      </c>
      <c r="F109" s="39" t="s">
        <v>118</v>
      </c>
      <c r="G109" s="39" t="str">
        <f aca="false">UPPER(TRIM(C109))</f>
        <v>P020</v>
      </c>
      <c r="H109" s="39" t="str">
        <f aca="false">IF(ISNUMBER(MATCH(G109,Products!$A$5:$A$24,0)),"OK","Mismatch")</f>
        <v>OK</v>
      </c>
      <c r="I109" s="39" t="str">
        <f aca="false">IF(COUNTIF($A$5:A109,A109)&gt;1,"Duplicate","Unique")</f>
        <v>Unique</v>
      </c>
      <c r="J109" s="39" t="str">
        <f aca="false">IF(I109="Duplicate","Remove",IF(H109="Mismatch","Exclude","Keep"))</f>
        <v>Keep</v>
      </c>
    </row>
    <row r="110" customFormat="false" ht="15" hidden="false" customHeight="false" outlineLevel="0" collapsed="false">
      <c r="A110" s="39" t="s">
        <v>230</v>
      </c>
      <c r="B110" s="40" t="n">
        <v>45672</v>
      </c>
      <c r="C110" s="39" t="s">
        <v>126</v>
      </c>
      <c r="D110" s="39" t="n">
        <v>1</v>
      </c>
      <c r="E110" s="41" t="n">
        <v>23.59</v>
      </c>
      <c r="F110" s="39" t="s">
        <v>108</v>
      </c>
      <c r="G110" s="39" t="str">
        <f aca="false">UPPER(TRIM(C110))</f>
        <v>P001</v>
      </c>
      <c r="H110" s="39" t="str">
        <f aca="false">IF(ISNUMBER(MATCH(G110,Products!$A$5:$A$24,0)),"OK","Mismatch")</f>
        <v>OK</v>
      </c>
      <c r="I110" s="39" t="str">
        <f aca="false">IF(COUNTIF($A$5:A110,A110)&gt;1,"Duplicate","Unique")</f>
        <v>Unique</v>
      </c>
      <c r="J110" s="39" t="str">
        <f aca="false">IF(I110="Duplicate","Remove",IF(H110="Mismatch","Exclude","Keep"))</f>
        <v>Keep</v>
      </c>
    </row>
    <row r="111" customFormat="false" ht="15" hidden="false" customHeight="false" outlineLevel="0" collapsed="false">
      <c r="A111" s="39" t="s">
        <v>231</v>
      </c>
      <c r="B111" s="40" t="n">
        <v>45672</v>
      </c>
      <c r="C111" s="39" t="s">
        <v>107</v>
      </c>
      <c r="D111" s="39" t="n">
        <v>1</v>
      </c>
      <c r="E111" s="41" t="n">
        <v>32.2</v>
      </c>
      <c r="F111" s="39" t="s">
        <v>118</v>
      </c>
      <c r="G111" s="39" t="str">
        <f aca="false">UPPER(TRIM(C111))</f>
        <v>P003</v>
      </c>
      <c r="H111" s="39" t="str">
        <f aca="false">IF(ISNUMBER(MATCH(G111,Products!$A$5:$A$24,0)),"OK","Mismatch")</f>
        <v>OK</v>
      </c>
      <c r="I111" s="39" t="str">
        <f aca="false">IF(COUNTIF($A$5:A111,A111)&gt;1,"Duplicate","Unique")</f>
        <v>Unique</v>
      </c>
      <c r="J111" s="39" t="str">
        <f aca="false">IF(I111="Duplicate","Remove",IF(H111="Mismatch","Exclude","Keep"))</f>
        <v>Keep</v>
      </c>
    </row>
    <row r="112" customFormat="false" ht="15" hidden="false" customHeight="false" outlineLevel="0" collapsed="false">
      <c r="A112" s="39" t="s">
        <v>232</v>
      </c>
      <c r="B112" s="40" t="n">
        <v>45672</v>
      </c>
      <c r="C112" s="39" t="s">
        <v>162</v>
      </c>
      <c r="D112" s="39" t="n">
        <v>2</v>
      </c>
      <c r="E112" s="41" t="n">
        <v>63.74</v>
      </c>
      <c r="F112" s="39" t="s">
        <v>105</v>
      </c>
      <c r="G112" s="39" t="str">
        <f aca="false">UPPER(TRIM(C112))</f>
        <v>P017</v>
      </c>
      <c r="H112" s="39" t="str">
        <f aca="false">IF(ISNUMBER(MATCH(G112,Products!$A$5:$A$24,0)),"OK","Mismatch")</f>
        <v>OK</v>
      </c>
      <c r="I112" s="39" t="str">
        <f aca="false">IF(COUNTIF($A$5:A112,A112)&gt;1,"Duplicate","Unique")</f>
        <v>Unique</v>
      </c>
      <c r="J112" s="39" t="str">
        <f aca="false">IF(I112="Duplicate","Remove",IF(H112="Mismatch","Exclude","Keep"))</f>
        <v>Keep</v>
      </c>
    </row>
    <row r="113" customFormat="false" ht="15" hidden="false" customHeight="false" outlineLevel="0" collapsed="false">
      <c r="A113" s="39" t="s">
        <v>233</v>
      </c>
      <c r="B113" s="40" t="n">
        <v>45672</v>
      </c>
      <c r="C113" s="39" t="s">
        <v>169</v>
      </c>
      <c r="D113" s="39" t="n">
        <v>1</v>
      </c>
      <c r="E113" s="41" t="n">
        <v>28.45</v>
      </c>
      <c r="F113" s="39" t="s">
        <v>115</v>
      </c>
      <c r="G113" s="39" t="str">
        <f aca="false">UPPER(TRIM(C113))</f>
        <v>P004</v>
      </c>
      <c r="H113" s="39" t="str">
        <f aca="false">IF(ISNUMBER(MATCH(G113,Products!$A$5:$A$24,0)),"OK","Mismatch")</f>
        <v>OK</v>
      </c>
      <c r="I113" s="39" t="str">
        <f aca="false">IF(COUNTIF($A$5:A113,A113)&gt;1,"Duplicate","Unique")</f>
        <v>Unique</v>
      </c>
      <c r="J113" s="39" t="str">
        <f aca="false">IF(I113="Duplicate","Remove",IF(H113="Mismatch","Exclude","Keep"))</f>
        <v>Keep</v>
      </c>
    </row>
    <row r="114" customFormat="false" ht="15" hidden="false" customHeight="false" outlineLevel="0" collapsed="false">
      <c r="A114" s="39" t="s">
        <v>234</v>
      </c>
      <c r="B114" s="40" t="n">
        <v>45672</v>
      </c>
      <c r="C114" s="39" t="s">
        <v>104</v>
      </c>
      <c r="D114" s="39" t="n">
        <v>2</v>
      </c>
      <c r="E114" s="41" t="n">
        <v>15.68</v>
      </c>
      <c r="F114" s="39" t="s">
        <v>105</v>
      </c>
      <c r="G114" s="39" t="str">
        <f aca="false">UPPER(TRIM(C114))</f>
        <v>P015</v>
      </c>
      <c r="H114" s="39" t="str">
        <f aca="false">IF(ISNUMBER(MATCH(G114,Products!$A$5:$A$24,0)),"OK","Mismatch")</f>
        <v>OK</v>
      </c>
      <c r="I114" s="39" t="str">
        <f aca="false">IF(COUNTIF($A$5:A114,A114)&gt;1,"Duplicate","Unique")</f>
        <v>Unique</v>
      </c>
      <c r="J114" s="39" t="str">
        <f aca="false">IF(I114="Duplicate","Remove",IF(H114="Mismatch","Exclude","Keep"))</f>
        <v>Keep</v>
      </c>
    </row>
    <row r="115" customFormat="false" ht="15" hidden="false" customHeight="false" outlineLevel="0" collapsed="false">
      <c r="A115" s="39" t="s">
        <v>235</v>
      </c>
      <c r="B115" s="40" t="n">
        <v>45672</v>
      </c>
      <c r="C115" s="39" t="s">
        <v>114</v>
      </c>
      <c r="D115" s="39" t="n">
        <v>2</v>
      </c>
      <c r="E115" s="41" t="n">
        <v>5.67</v>
      </c>
      <c r="F115" s="39" t="s">
        <v>115</v>
      </c>
      <c r="G115" s="39" t="str">
        <f aca="false">UPPER(TRIM(C115))</f>
        <v>P012</v>
      </c>
      <c r="H115" s="39" t="str">
        <f aca="false">IF(ISNUMBER(MATCH(G115,Products!$A$5:$A$24,0)),"OK","Mismatch")</f>
        <v>OK</v>
      </c>
      <c r="I115" s="39" t="str">
        <f aca="false">IF(COUNTIF($A$5:A115,A115)&gt;1,"Duplicate","Unique")</f>
        <v>Unique</v>
      </c>
      <c r="J115" s="39" t="str">
        <f aca="false">IF(I115="Duplicate","Remove",IF(H115="Mismatch","Exclude","Keep"))</f>
        <v>Keep</v>
      </c>
    </row>
    <row r="116" customFormat="false" ht="15" hidden="false" customHeight="false" outlineLevel="0" collapsed="false">
      <c r="A116" s="39" t="s">
        <v>236</v>
      </c>
      <c r="B116" s="40" t="n">
        <v>45672</v>
      </c>
      <c r="C116" s="39" t="s">
        <v>177</v>
      </c>
      <c r="D116" s="39" t="n">
        <v>5</v>
      </c>
      <c r="E116" s="41" t="n">
        <v>44.65</v>
      </c>
      <c r="F116" s="39" t="s">
        <v>105</v>
      </c>
      <c r="G116" s="39" t="str">
        <f aca="false">UPPER(TRIM(C116))</f>
        <v>P014</v>
      </c>
      <c r="H116" s="39" t="str">
        <f aca="false">IF(ISNUMBER(MATCH(G116,Products!$A$5:$A$24,0)),"OK","Mismatch")</f>
        <v>OK</v>
      </c>
      <c r="I116" s="39" t="str">
        <f aca="false">IF(COUNTIF($A$5:A116,A116)&gt;1,"Duplicate","Unique")</f>
        <v>Unique</v>
      </c>
      <c r="J116" s="39" t="str">
        <f aca="false">IF(I116="Duplicate","Remove",IF(H116="Mismatch","Exclude","Keep"))</f>
        <v>Keep</v>
      </c>
    </row>
    <row r="117" customFormat="false" ht="15" hidden="false" customHeight="false" outlineLevel="0" collapsed="false">
      <c r="A117" s="39" t="s">
        <v>237</v>
      </c>
      <c r="B117" s="40" t="n">
        <v>45672</v>
      </c>
      <c r="C117" s="39" t="s">
        <v>128</v>
      </c>
      <c r="D117" s="39" t="n">
        <v>2</v>
      </c>
      <c r="E117" s="41" t="n">
        <v>37.8</v>
      </c>
      <c r="F117" s="39" t="s">
        <v>108</v>
      </c>
      <c r="G117" s="39" t="str">
        <f aca="false">UPPER(TRIM(C117))</f>
        <v>P020</v>
      </c>
      <c r="H117" s="39" t="str">
        <f aca="false">IF(ISNUMBER(MATCH(G117,Products!$A$5:$A$24,0)),"OK","Mismatch")</f>
        <v>OK</v>
      </c>
      <c r="I117" s="39" t="str">
        <f aca="false">IF(COUNTIF($A$5:A117,A117)&gt;1,"Duplicate","Unique")</f>
        <v>Unique</v>
      </c>
      <c r="J117" s="39" t="str">
        <f aca="false">IF(I117="Duplicate","Remove",IF(H117="Mismatch","Exclude","Keep"))</f>
        <v>Keep</v>
      </c>
    </row>
    <row r="118" customFormat="false" ht="15" hidden="false" customHeight="false" outlineLevel="0" collapsed="false">
      <c r="A118" s="39" t="s">
        <v>238</v>
      </c>
      <c r="B118" s="40" t="n">
        <v>45673</v>
      </c>
      <c r="C118" s="39" t="s">
        <v>136</v>
      </c>
      <c r="D118" s="39" t="n">
        <v>6</v>
      </c>
      <c r="E118" s="41" t="n">
        <v>73.08</v>
      </c>
      <c r="F118" s="39" t="s">
        <v>115</v>
      </c>
      <c r="G118" s="39" t="str">
        <f aca="false">UPPER(TRIM(C118))</f>
        <v>P002</v>
      </c>
      <c r="H118" s="39" t="str">
        <f aca="false">IF(ISNUMBER(MATCH(G118,Products!$A$5:$A$24,0)),"OK","Mismatch")</f>
        <v>OK</v>
      </c>
      <c r="I118" s="39" t="str">
        <f aca="false">IF(COUNTIF($A$5:A118,A118)&gt;1,"Duplicate","Unique")</f>
        <v>Unique</v>
      </c>
      <c r="J118" s="39" t="str">
        <f aca="false">IF(I118="Duplicate","Remove",IF(H118="Mismatch","Exclude","Keep"))</f>
        <v>Keep</v>
      </c>
    </row>
    <row r="119" customFormat="false" ht="15" hidden="false" customHeight="false" outlineLevel="0" collapsed="false">
      <c r="A119" s="39" t="s">
        <v>239</v>
      </c>
      <c r="B119" s="40" t="n">
        <v>45673</v>
      </c>
      <c r="C119" s="39" t="s">
        <v>107</v>
      </c>
      <c r="D119" s="39" t="n">
        <v>2</v>
      </c>
      <c r="E119" s="41" t="n">
        <v>32.38</v>
      </c>
      <c r="F119" s="39" t="s">
        <v>105</v>
      </c>
      <c r="G119" s="39" t="str">
        <f aca="false">UPPER(TRIM(C119))</f>
        <v>P003</v>
      </c>
      <c r="H119" s="39" t="str">
        <f aca="false">IF(ISNUMBER(MATCH(G119,Products!$A$5:$A$24,0)),"OK","Mismatch")</f>
        <v>OK</v>
      </c>
      <c r="I119" s="39" t="str">
        <f aca="false">IF(COUNTIF($A$5:A119,A119)&gt;1,"Duplicate","Unique")</f>
        <v>Unique</v>
      </c>
      <c r="J119" s="39" t="str">
        <f aca="false">IF(I119="Duplicate","Remove",IF(H119="Mismatch","Exclude","Keep"))</f>
        <v>Keep</v>
      </c>
    </row>
    <row r="120" customFormat="false" ht="15" hidden="false" customHeight="false" outlineLevel="0" collapsed="false">
      <c r="A120" s="39" t="s">
        <v>240</v>
      </c>
      <c r="B120" s="40" t="n">
        <v>45673</v>
      </c>
      <c r="C120" s="39" t="s">
        <v>136</v>
      </c>
      <c r="D120" s="39" t="n">
        <v>2</v>
      </c>
      <c r="E120" s="41" t="n">
        <v>74.99</v>
      </c>
      <c r="F120" s="39" t="s">
        <v>108</v>
      </c>
      <c r="G120" s="39" t="str">
        <f aca="false">UPPER(TRIM(C120))</f>
        <v>P002</v>
      </c>
      <c r="H120" s="39" t="str">
        <f aca="false">IF(ISNUMBER(MATCH(G120,Products!$A$5:$A$24,0)),"OK","Mismatch")</f>
        <v>OK</v>
      </c>
      <c r="I120" s="39" t="str">
        <f aca="false">IF(COUNTIF($A$5:A120,A120)&gt;1,"Duplicate","Unique")</f>
        <v>Unique</v>
      </c>
      <c r="J120" s="39" t="str">
        <f aca="false">IF(I120="Duplicate","Remove",IF(H120="Mismatch","Exclude","Keep"))</f>
        <v>Keep</v>
      </c>
    </row>
    <row r="121" customFormat="false" ht="15" hidden="false" customHeight="false" outlineLevel="0" collapsed="false">
      <c r="A121" s="39" t="s">
        <v>241</v>
      </c>
      <c r="B121" s="40" t="n">
        <v>45673</v>
      </c>
      <c r="C121" s="39" t="s">
        <v>114</v>
      </c>
      <c r="D121" s="39" t="n">
        <v>2</v>
      </c>
      <c r="E121" s="41" t="n">
        <v>5.77</v>
      </c>
      <c r="F121" s="39" t="s">
        <v>115</v>
      </c>
      <c r="G121" s="39" t="str">
        <f aca="false">UPPER(TRIM(C121))</f>
        <v>P012</v>
      </c>
      <c r="H121" s="39" t="str">
        <f aca="false">IF(ISNUMBER(MATCH(G121,Products!$A$5:$A$24,0)),"OK","Mismatch")</f>
        <v>OK</v>
      </c>
      <c r="I121" s="39" t="str">
        <f aca="false">IF(COUNTIF($A$5:A121,A121)&gt;1,"Duplicate","Unique")</f>
        <v>Unique</v>
      </c>
      <c r="J121" s="39" t="str">
        <f aca="false">IF(I121="Duplicate","Remove",IF(H121="Mismatch","Exclude","Keep"))</f>
        <v>Keep</v>
      </c>
    </row>
    <row r="122" customFormat="false" ht="15" hidden="false" customHeight="false" outlineLevel="0" collapsed="false">
      <c r="A122" s="39" t="s">
        <v>242</v>
      </c>
      <c r="B122" s="40" t="n">
        <v>45673</v>
      </c>
      <c r="C122" s="39" t="s">
        <v>130</v>
      </c>
      <c r="D122" s="39" t="n">
        <v>6</v>
      </c>
      <c r="E122" s="41" t="n">
        <v>8.33</v>
      </c>
      <c r="F122" s="39" t="s">
        <v>105</v>
      </c>
      <c r="G122" s="39" t="str">
        <f aca="false">UPPER(TRIM(C122))</f>
        <v>P011</v>
      </c>
      <c r="H122" s="39" t="str">
        <f aca="false">IF(ISNUMBER(MATCH(G122,Products!$A$5:$A$24,0)),"OK","Mismatch")</f>
        <v>OK</v>
      </c>
      <c r="I122" s="39" t="str">
        <f aca="false">IF(COUNTIF($A$5:A122,A122)&gt;1,"Duplicate","Unique")</f>
        <v>Unique</v>
      </c>
      <c r="J122" s="39" t="str">
        <f aca="false">IF(I122="Duplicate","Remove",IF(H122="Mismatch","Exclude","Keep"))</f>
        <v>Keep</v>
      </c>
    </row>
    <row r="123" customFormat="false" ht="15" hidden="false" customHeight="false" outlineLevel="0" collapsed="false">
      <c r="A123" s="39" t="s">
        <v>243</v>
      </c>
      <c r="B123" s="40" t="n">
        <v>45673</v>
      </c>
      <c r="C123" s="39" t="s">
        <v>177</v>
      </c>
      <c r="D123" s="39" t="n">
        <v>4</v>
      </c>
      <c r="E123" s="41" t="n">
        <v>41.45</v>
      </c>
      <c r="F123" s="39" t="s">
        <v>118</v>
      </c>
      <c r="G123" s="39" t="str">
        <f aca="false">UPPER(TRIM(C123))</f>
        <v>P014</v>
      </c>
      <c r="H123" s="39" t="str">
        <f aca="false">IF(ISNUMBER(MATCH(G123,Products!$A$5:$A$24,0)),"OK","Mismatch")</f>
        <v>OK</v>
      </c>
      <c r="I123" s="39" t="str">
        <f aca="false">IF(COUNTIF($A$5:A123,A123)&gt;1,"Duplicate","Unique")</f>
        <v>Unique</v>
      </c>
      <c r="J123" s="39" t="str">
        <f aca="false">IF(I123="Duplicate","Remove",IF(H123="Mismatch","Exclude","Keep"))</f>
        <v>Keep</v>
      </c>
    </row>
    <row r="124" customFormat="false" ht="15" hidden="false" customHeight="false" outlineLevel="0" collapsed="false">
      <c r="A124" s="39" t="s">
        <v>244</v>
      </c>
      <c r="B124" s="40" t="n">
        <v>45673</v>
      </c>
      <c r="C124" s="39" t="s">
        <v>107</v>
      </c>
      <c r="D124" s="39" t="n">
        <v>2</v>
      </c>
      <c r="E124" s="41" t="n">
        <v>32.57</v>
      </c>
      <c r="F124" s="39" t="s">
        <v>108</v>
      </c>
      <c r="G124" s="39" t="str">
        <f aca="false">UPPER(TRIM(C124))</f>
        <v>P003</v>
      </c>
      <c r="H124" s="39" t="str">
        <f aca="false">IF(ISNUMBER(MATCH(G124,Products!$A$5:$A$24,0)),"OK","Mismatch")</f>
        <v>OK</v>
      </c>
      <c r="I124" s="39" t="str">
        <f aca="false">IF(COUNTIF($A$5:A124,A124)&gt;1,"Duplicate","Unique")</f>
        <v>Unique</v>
      </c>
      <c r="J124" s="39" t="str">
        <f aca="false">IF(I124="Duplicate","Remove",IF(H124="Mismatch","Exclude","Keep"))</f>
        <v>Keep</v>
      </c>
    </row>
    <row r="125" customFormat="false" ht="15" hidden="false" customHeight="false" outlineLevel="0" collapsed="false">
      <c r="A125" s="39" t="s">
        <v>245</v>
      </c>
      <c r="B125" s="40" t="n">
        <v>45673</v>
      </c>
      <c r="C125" s="39" t="s">
        <v>153</v>
      </c>
      <c r="D125" s="39" t="n">
        <v>3</v>
      </c>
      <c r="E125" s="41" t="n">
        <v>165.82</v>
      </c>
      <c r="F125" s="39" t="s">
        <v>105</v>
      </c>
      <c r="G125" s="39" t="str">
        <f aca="false">UPPER(TRIM(C125))</f>
        <v>P010</v>
      </c>
      <c r="H125" s="39" t="str">
        <f aca="false">IF(ISNUMBER(MATCH(G125,Products!$A$5:$A$24,0)),"OK","Mismatch")</f>
        <v>OK</v>
      </c>
      <c r="I125" s="39" t="str">
        <f aca="false">IF(COUNTIF($A$5:A125,A125)&gt;1,"Duplicate","Unique")</f>
        <v>Unique</v>
      </c>
      <c r="J125" s="39" t="str">
        <f aca="false">IF(I125="Duplicate","Remove",IF(H125="Mismatch","Exclude","Keep"))</f>
        <v>Keep</v>
      </c>
    </row>
    <row r="126" customFormat="false" ht="15" hidden="false" customHeight="false" outlineLevel="0" collapsed="false">
      <c r="A126" s="39" t="s">
        <v>246</v>
      </c>
      <c r="B126" s="40" t="n">
        <v>45673</v>
      </c>
      <c r="C126" s="39" t="s">
        <v>128</v>
      </c>
      <c r="D126" s="39" t="n">
        <v>1</v>
      </c>
      <c r="E126" s="41" t="n">
        <v>37.33</v>
      </c>
      <c r="F126" s="39" t="s">
        <v>105</v>
      </c>
      <c r="G126" s="39" t="str">
        <f aca="false">UPPER(TRIM(C126))</f>
        <v>P020</v>
      </c>
      <c r="H126" s="39" t="str">
        <f aca="false">IF(ISNUMBER(MATCH(G126,Products!$A$5:$A$24,0)),"OK","Mismatch")</f>
        <v>OK</v>
      </c>
      <c r="I126" s="39" t="str">
        <f aca="false">IF(COUNTIF($A$5:A126,A126)&gt;1,"Duplicate","Unique")</f>
        <v>Unique</v>
      </c>
      <c r="J126" s="39" t="str">
        <f aca="false">IF(I126="Duplicate","Remove",IF(H126="Mismatch","Exclude","Keep"))</f>
        <v>Keep</v>
      </c>
    </row>
    <row r="127" customFormat="false" ht="15" hidden="false" customHeight="false" outlineLevel="0" collapsed="false">
      <c r="A127" s="39" t="s">
        <v>247</v>
      </c>
      <c r="B127" s="40" t="n">
        <v>45674</v>
      </c>
      <c r="C127" s="39" t="s">
        <v>183</v>
      </c>
      <c r="D127" s="39" t="n">
        <v>3</v>
      </c>
      <c r="E127" s="41" t="n">
        <v>183.68</v>
      </c>
      <c r="F127" s="39" t="s">
        <v>105</v>
      </c>
      <c r="G127" s="39" t="str">
        <f aca="false">UPPER(TRIM(C127))</f>
        <v>P007</v>
      </c>
      <c r="H127" s="39" t="str">
        <f aca="false">IF(ISNUMBER(MATCH(G127,Products!$A$5:$A$24,0)),"OK","Mismatch")</f>
        <v>OK</v>
      </c>
      <c r="I127" s="39" t="str">
        <f aca="false">IF(COUNTIF($A$5:A127,A127)&gt;1,"Duplicate","Unique")</f>
        <v>Unique</v>
      </c>
      <c r="J127" s="39" t="str">
        <f aca="false">IF(I127="Duplicate","Remove",IF(H127="Mismatch","Exclude","Keep"))</f>
        <v>Keep</v>
      </c>
    </row>
    <row r="128" customFormat="false" ht="15" hidden="false" customHeight="false" outlineLevel="0" collapsed="false">
      <c r="A128" s="39" t="s">
        <v>248</v>
      </c>
      <c r="B128" s="40" t="n">
        <v>45674</v>
      </c>
      <c r="C128" s="39" t="s">
        <v>107</v>
      </c>
      <c r="D128" s="39" t="n">
        <v>1</v>
      </c>
      <c r="E128" s="41" t="n">
        <v>34.71</v>
      </c>
      <c r="F128" s="39" t="s">
        <v>118</v>
      </c>
      <c r="G128" s="39" t="str">
        <f aca="false">UPPER(TRIM(C128))</f>
        <v>P003</v>
      </c>
      <c r="H128" s="39" t="str">
        <f aca="false">IF(ISNUMBER(MATCH(G128,Products!$A$5:$A$24,0)),"OK","Mismatch")</f>
        <v>OK</v>
      </c>
      <c r="I128" s="39" t="str">
        <f aca="false">IF(COUNTIF($A$5:A128,A128)&gt;1,"Duplicate","Unique")</f>
        <v>Unique</v>
      </c>
      <c r="J128" s="39" t="str">
        <f aca="false">IF(I128="Duplicate","Remove",IF(H128="Mismatch","Exclude","Keep"))</f>
        <v>Keep</v>
      </c>
    </row>
    <row r="129" customFormat="false" ht="15" hidden="false" customHeight="false" outlineLevel="0" collapsed="false">
      <c r="A129" s="39" t="s">
        <v>249</v>
      </c>
      <c r="B129" s="40" t="n">
        <v>45674</v>
      </c>
      <c r="C129" s="39" t="s">
        <v>117</v>
      </c>
      <c r="D129" s="39" t="n">
        <v>2</v>
      </c>
      <c r="E129" s="41" t="n">
        <v>29.85</v>
      </c>
      <c r="F129" s="39" t="s">
        <v>118</v>
      </c>
      <c r="G129" s="39" t="str">
        <f aca="false">UPPER(TRIM(C129))</f>
        <v>P009</v>
      </c>
      <c r="H129" s="39" t="str">
        <f aca="false">IF(ISNUMBER(MATCH(G129,Products!$A$5:$A$24,0)),"OK","Mismatch")</f>
        <v>OK</v>
      </c>
      <c r="I129" s="39" t="str">
        <f aca="false">IF(COUNTIF($A$5:A129,A129)&gt;1,"Duplicate","Unique")</f>
        <v>Unique</v>
      </c>
      <c r="J129" s="39" t="str">
        <f aca="false">IF(I129="Duplicate","Remove",IF(H129="Mismatch","Exclude","Keep"))</f>
        <v>Keep</v>
      </c>
    </row>
    <row r="130" customFormat="false" ht="15" hidden="false" customHeight="false" outlineLevel="0" collapsed="false">
      <c r="A130" s="39" t="s">
        <v>250</v>
      </c>
      <c r="B130" s="40" t="n">
        <v>45674</v>
      </c>
      <c r="C130" s="39" t="s">
        <v>136</v>
      </c>
      <c r="D130" s="39" t="n">
        <v>2</v>
      </c>
      <c r="E130" s="41" t="n">
        <v>78.13</v>
      </c>
      <c r="F130" s="39" t="s">
        <v>118</v>
      </c>
      <c r="G130" s="39" t="str">
        <f aca="false">UPPER(TRIM(C130))</f>
        <v>P002</v>
      </c>
      <c r="H130" s="39" t="str">
        <f aca="false">IF(ISNUMBER(MATCH(G130,Products!$A$5:$A$24,0)),"OK","Mismatch")</f>
        <v>OK</v>
      </c>
      <c r="I130" s="39" t="str">
        <f aca="false">IF(COUNTIF($A$5:A130,A130)&gt;1,"Duplicate","Unique")</f>
        <v>Unique</v>
      </c>
      <c r="J130" s="39" t="str">
        <f aca="false">IF(I130="Duplicate","Remove",IF(H130="Mismatch","Exclude","Keep"))</f>
        <v>Keep</v>
      </c>
    </row>
    <row r="131" customFormat="false" ht="15" hidden="false" customHeight="false" outlineLevel="0" collapsed="false">
      <c r="A131" s="39" t="s">
        <v>251</v>
      </c>
      <c r="B131" s="40" t="n">
        <v>45674</v>
      </c>
      <c r="C131" s="39" t="s">
        <v>117</v>
      </c>
      <c r="D131" s="39" t="n">
        <v>3</v>
      </c>
      <c r="E131" s="41" t="n">
        <v>30.82</v>
      </c>
      <c r="F131" s="39" t="s">
        <v>118</v>
      </c>
      <c r="G131" s="39" t="str">
        <f aca="false">UPPER(TRIM(C131))</f>
        <v>P009</v>
      </c>
      <c r="H131" s="39" t="str">
        <f aca="false">IF(ISNUMBER(MATCH(G131,Products!$A$5:$A$24,0)),"OK","Mismatch")</f>
        <v>OK</v>
      </c>
      <c r="I131" s="39" t="str">
        <f aca="false">IF(COUNTIF($A$5:A131,A131)&gt;1,"Duplicate","Unique")</f>
        <v>Unique</v>
      </c>
      <c r="J131" s="39" t="str">
        <f aca="false">IF(I131="Duplicate","Remove",IF(H131="Mismatch","Exclude","Keep"))</f>
        <v>Keep</v>
      </c>
    </row>
    <row r="132" customFormat="false" ht="15" hidden="false" customHeight="false" outlineLevel="0" collapsed="false">
      <c r="A132" s="39" t="s">
        <v>252</v>
      </c>
      <c r="B132" s="40" t="n">
        <v>45674</v>
      </c>
      <c r="C132" s="39" t="s">
        <v>162</v>
      </c>
      <c r="D132" s="39" t="n">
        <v>1</v>
      </c>
      <c r="E132" s="41" t="n">
        <v>68.63</v>
      </c>
      <c r="F132" s="39" t="s">
        <v>105</v>
      </c>
      <c r="G132" s="39" t="str">
        <f aca="false">UPPER(TRIM(C132))</f>
        <v>P017</v>
      </c>
      <c r="H132" s="39" t="str">
        <f aca="false">IF(ISNUMBER(MATCH(G132,Products!$A$5:$A$24,0)),"OK","Mismatch")</f>
        <v>OK</v>
      </c>
      <c r="I132" s="39" t="str">
        <f aca="false">IF(COUNTIF($A$5:A132,A132)&gt;1,"Duplicate","Unique")</f>
        <v>Unique</v>
      </c>
      <c r="J132" s="39" t="str">
        <f aca="false">IF(I132="Duplicate","Remove",IF(H132="Mismatch","Exclude","Keep"))</f>
        <v>Keep</v>
      </c>
    </row>
    <row r="133" customFormat="false" ht="15" hidden="false" customHeight="false" outlineLevel="0" collapsed="false">
      <c r="A133" s="39" t="s">
        <v>253</v>
      </c>
      <c r="B133" s="40" t="n">
        <v>45675</v>
      </c>
      <c r="C133" s="39" t="s">
        <v>133</v>
      </c>
      <c r="D133" s="39" t="n">
        <v>5</v>
      </c>
      <c r="E133" s="41" t="n">
        <v>8.31</v>
      </c>
      <c r="F133" s="39" t="s">
        <v>118</v>
      </c>
      <c r="G133" s="39" t="str">
        <f aca="false">UPPER(TRIM(C133))</f>
        <v>P019</v>
      </c>
      <c r="H133" s="39" t="str">
        <f aca="false">IF(ISNUMBER(MATCH(G133,Products!$A$5:$A$24,0)),"OK","Mismatch")</f>
        <v>OK</v>
      </c>
      <c r="I133" s="39" t="str">
        <f aca="false">IF(COUNTIF($A$5:A133,A133)&gt;1,"Duplicate","Unique")</f>
        <v>Unique</v>
      </c>
      <c r="J133" s="39" t="str">
        <f aca="false">IF(I133="Duplicate","Remove",IF(H133="Mismatch","Exclude","Keep"))</f>
        <v>Keep</v>
      </c>
    </row>
    <row r="134" customFormat="false" ht="15" hidden="false" customHeight="false" outlineLevel="0" collapsed="false">
      <c r="A134" s="39" t="s">
        <v>253</v>
      </c>
      <c r="B134" s="40" t="n">
        <v>45675</v>
      </c>
      <c r="C134" s="39" t="s">
        <v>133</v>
      </c>
      <c r="D134" s="39" t="n">
        <v>5</v>
      </c>
      <c r="E134" s="41" t="n">
        <v>8.31</v>
      </c>
      <c r="F134" s="39" t="s">
        <v>118</v>
      </c>
      <c r="G134" s="39" t="str">
        <f aca="false">UPPER(TRIM(C134))</f>
        <v>P019</v>
      </c>
      <c r="H134" s="39" t="str">
        <f aca="false">IF(ISNUMBER(MATCH(G134,Products!$A$5:$A$24,0)),"OK","Mismatch")</f>
        <v>OK</v>
      </c>
      <c r="I134" s="39" t="str">
        <f aca="false">IF(COUNTIF($A$5:A134,A134)&gt;1,"Duplicate","Unique")</f>
        <v>Duplicate</v>
      </c>
      <c r="J134" s="39" t="str">
        <f aca="false">IF(I134="Duplicate","Remove",IF(H134="Mismatch","Exclude","Keep"))</f>
        <v>Remove</v>
      </c>
    </row>
    <row r="135" customFormat="false" ht="15" hidden="false" customHeight="false" outlineLevel="0" collapsed="false">
      <c r="A135" s="39" t="s">
        <v>254</v>
      </c>
      <c r="B135" s="40" t="n">
        <v>45675</v>
      </c>
      <c r="C135" s="39" t="s">
        <v>121</v>
      </c>
      <c r="D135" s="39" t="n">
        <v>6</v>
      </c>
      <c r="E135" s="41" t="n">
        <v>114.65</v>
      </c>
      <c r="F135" s="39" t="s">
        <v>108</v>
      </c>
      <c r="G135" s="39" t="str">
        <f aca="false">UPPER(TRIM(C135))</f>
        <v>P018</v>
      </c>
      <c r="H135" s="39" t="str">
        <f aca="false">IF(ISNUMBER(MATCH(G135,Products!$A$5:$A$24,0)),"OK","Mismatch")</f>
        <v>OK</v>
      </c>
      <c r="I135" s="39" t="str">
        <f aca="false">IF(COUNTIF($A$5:A135,A135)&gt;1,"Duplicate","Unique")</f>
        <v>Unique</v>
      </c>
      <c r="J135" s="39" t="str">
        <f aca="false">IF(I135="Duplicate","Remove",IF(H135="Mismatch","Exclude","Keep"))</f>
        <v>Keep</v>
      </c>
    </row>
    <row r="136" customFormat="false" ht="15" hidden="false" customHeight="false" outlineLevel="0" collapsed="false">
      <c r="A136" s="39" t="s">
        <v>255</v>
      </c>
      <c r="B136" s="40" t="n">
        <v>45675</v>
      </c>
      <c r="C136" s="39" t="s">
        <v>114</v>
      </c>
      <c r="D136" s="39" t="n">
        <v>6</v>
      </c>
      <c r="E136" s="41" t="n">
        <v>5.9</v>
      </c>
      <c r="F136" s="39" t="s">
        <v>118</v>
      </c>
      <c r="G136" s="39" t="str">
        <f aca="false">UPPER(TRIM(C136))</f>
        <v>P012</v>
      </c>
      <c r="H136" s="39" t="str">
        <f aca="false">IF(ISNUMBER(MATCH(G136,Products!$A$5:$A$24,0)),"OK","Mismatch")</f>
        <v>OK</v>
      </c>
      <c r="I136" s="39" t="str">
        <f aca="false">IF(COUNTIF($A$5:A136,A136)&gt;1,"Duplicate","Unique")</f>
        <v>Unique</v>
      </c>
      <c r="J136" s="39" t="str">
        <f aca="false">IF(I136="Duplicate","Remove",IF(H136="Mismatch","Exclude","Keep"))</f>
        <v>Keep</v>
      </c>
    </row>
    <row r="137" customFormat="false" ht="15" hidden="false" customHeight="false" outlineLevel="0" collapsed="false">
      <c r="A137" s="39" t="s">
        <v>256</v>
      </c>
      <c r="B137" s="40" t="n">
        <v>45676</v>
      </c>
      <c r="C137" s="39" t="s">
        <v>117</v>
      </c>
      <c r="D137" s="39" t="n">
        <v>1</v>
      </c>
      <c r="E137" s="41" t="n">
        <v>31.87</v>
      </c>
      <c r="F137" s="39" t="s">
        <v>115</v>
      </c>
      <c r="G137" s="39" t="str">
        <f aca="false">UPPER(TRIM(C137))</f>
        <v>P009</v>
      </c>
      <c r="H137" s="39" t="str">
        <f aca="false">IF(ISNUMBER(MATCH(G137,Products!$A$5:$A$24,0)),"OK","Mismatch")</f>
        <v>OK</v>
      </c>
      <c r="I137" s="39" t="str">
        <f aca="false">IF(COUNTIF($A$5:A137,A137)&gt;1,"Duplicate","Unique")</f>
        <v>Unique</v>
      </c>
      <c r="J137" s="39" t="str">
        <f aca="false">IF(I137="Duplicate","Remove",IF(H137="Mismatch","Exclude","Keep"))</f>
        <v>Keep</v>
      </c>
    </row>
    <row r="138" customFormat="false" ht="15" hidden="false" customHeight="false" outlineLevel="0" collapsed="false">
      <c r="A138" s="39" t="s">
        <v>257</v>
      </c>
      <c r="B138" s="40" t="n">
        <v>45676</v>
      </c>
      <c r="C138" s="39" t="s">
        <v>107</v>
      </c>
      <c r="D138" s="39" t="n">
        <v>1</v>
      </c>
      <c r="E138" s="41" t="n">
        <v>33</v>
      </c>
      <c r="F138" s="39" t="s">
        <v>105</v>
      </c>
      <c r="G138" s="39" t="str">
        <f aca="false">UPPER(TRIM(C138))</f>
        <v>P003</v>
      </c>
      <c r="H138" s="39" t="str">
        <f aca="false">IF(ISNUMBER(MATCH(G138,Products!$A$5:$A$24,0)),"OK","Mismatch")</f>
        <v>OK</v>
      </c>
      <c r="I138" s="39" t="str">
        <f aca="false">IF(COUNTIF($A$5:A138,A138)&gt;1,"Duplicate","Unique")</f>
        <v>Unique</v>
      </c>
      <c r="J138" s="39" t="str">
        <f aca="false">IF(I138="Duplicate","Remove",IF(H138="Mismatch","Exclude","Keep"))</f>
        <v>Keep</v>
      </c>
    </row>
    <row r="139" customFormat="false" ht="15" hidden="false" customHeight="false" outlineLevel="0" collapsed="false">
      <c r="A139" s="39" t="s">
        <v>258</v>
      </c>
      <c r="B139" s="40" t="n">
        <v>45676</v>
      </c>
      <c r="C139" s="39" t="s">
        <v>133</v>
      </c>
      <c r="D139" s="39" t="n">
        <v>1</v>
      </c>
      <c r="E139" s="41" t="n">
        <v>8.5</v>
      </c>
      <c r="F139" s="39" t="s">
        <v>115</v>
      </c>
      <c r="G139" s="39" t="str">
        <f aca="false">UPPER(TRIM(C139))</f>
        <v>P019</v>
      </c>
      <c r="H139" s="39" t="str">
        <f aca="false">IF(ISNUMBER(MATCH(G139,Products!$A$5:$A$24,0)),"OK","Mismatch")</f>
        <v>OK</v>
      </c>
      <c r="I139" s="39" t="str">
        <f aca="false">IF(COUNTIF($A$5:A139,A139)&gt;1,"Duplicate","Unique")</f>
        <v>Unique</v>
      </c>
      <c r="J139" s="39" t="str">
        <f aca="false">IF(I139="Duplicate","Remove",IF(H139="Mismatch","Exclude","Keep"))</f>
        <v>Keep</v>
      </c>
    </row>
    <row r="140" customFormat="false" ht="15" hidden="false" customHeight="false" outlineLevel="0" collapsed="false">
      <c r="A140" s="39" t="s">
        <v>259</v>
      </c>
      <c r="B140" s="40" t="n">
        <v>45676</v>
      </c>
      <c r="C140" s="39" t="s">
        <v>183</v>
      </c>
      <c r="D140" s="39" t="n">
        <v>1</v>
      </c>
      <c r="E140" s="41" t="n">
        <v>181.14</v>
      </c>
      <c r="F140" s="39" t="s">
        <v>115</v>
      </c>
      <c r="G140" s="39" t="str">
        <f aca="false">UPPER(TRIM(C140))</f>
        <v>P007</v>
      </c>
      <c r="H140" s="39" t="str">
        <f aca="false">IF(ISNUMBER(MATCH(G140,Products!$A$5:$A$24,0)),"OK","Mismatch")</f>
        <v>OK</v>
      </c>
      <c r="I140" s="39" t="str">
        <f aca="false">IF(COUNTIF($A$5:A140,A140)&gt;1,"Duplicate","Unique")</f>
        <v>Unique</v>
      </c>
      <c r="J140" s="39" t="str">
        <f aca="false">IF(I140="Duplicate","Remove",IF(H140="Mismatch","Exclude","Keep"))</f>
        <v>Keep</v>
      </c>
    </row>
    <row r="141" customFormat="false" ht="15" hidden="false" customHeight="false" outlineLevel="0" collapsed="false">
      <c r="A141" s="39" t="s">
        <v>260</v>
      </c>
      <c r="B141" s="40" t="n">
        <v>45676</v>
      </c>
      <c r="C141" s="39" t="s">
        <v>126</v>
      </c>
      <c r="D141" s="39" t="n">
        <v>1</v>
      </c>
      <c r="E141" s="41" t="n">
        <v>23.19</v>
      </c>
      <c r="F141" s="39" t="s">
        <v>105</v>
      </c>
      <c r="G141" s="39" t="str">
        <f aca="false">UPPER(TRIM(C141))</f>
        <v>P001</v>
      </c>
      <c r="H141" s="39" t="str">
        <f aca="false">IF(ISNUMBER(MATCH(G141,Products!$A$5:$A$24,0)),"OK","Mismatch")</f>
        <v>OK</v>
      </c>
      <c r="I141" s="39" t="str">
        <f aca="false">IF(COUNTIF($A$5:A141,A141)&gt;1,"Duplicate","Unique")</f>
        <v>Unique</v>
      </c>
      <c r="J141" s="39" t="str">
        <f aca="false">IF(I141="Duplicate","Remove",IF(H141="Mismatch","Exclude","Keep"))</f>
        <v>Keep</v>
      </c>
    </row>
    <row r="142" customFormat="false" ht="15" hidden="false" customHeight="false" outlineLevel="0" collapsed="false">
      <c r="A142" s="39" t="s">
        <v>261</v>
      </c>
      <c r="B142" s="40" t="n">
        <v>45676</v>
      </c>
      <c r="C142" s="39" t="s">
        <v>133</v>
      </c>
      <c r="D142" s="39" t="n">
        <v>2</v>
      </c>
      <c r="E142" s="41" t="n">
        <v>8.8</v>
      </c>
      <c r="F142" s="39" t="s">
        <v>105</v>
      </c>
      <c r="G142" s="39" t="str">
        <f aca="false">UPPER(TRIM(C142))</f>
        <v>P019</v>
      </c>
      <c r="H142" s="39" t="str">
        <f aca="false">IF(ISNUMBER(MATCH(G142,Products!$A$5:$A$24,0)),"OK","Mismatch")</f>
        <v>OK</v>
      </c>
      <c r="I142" s="39" t="str">
        <f aca="false">IF(COUNTIF($A$5:A142,A142)&gt;1,"Duplicate","Unique")</f>
        <v>Unique</v>
      </c>
      <c r="J142" s="39" t="str">
        <f aca="false">IF(I142="Duplicate","Remove",IF(H142="Mismatch","Exclude","Keep"))</f>
        <v>Keep</v>
      </c>
    </row>
    <row r="143" customFormat="false" ht="15" hidden="false" customHeight="false" outlineLevel="0" collapsed="false">
      <c r="A143" s="39" t="s">
        <v>262</v>
      </c>
      <c r="B143" s="40" t="n">
        <v>45676</v>
      </c>
      <c r="C143" s="39" t="s">
        <v>133</v>
      </c>
      <c r="D143" s="39" t="n">
        <v>2</v>
      </c>
      <c r="E143" s="41" t="n">
        <v>8.8</v>
      </c>
      <c r="F143" s="39" t="s">
        <v>108</v>
      </c>
      <c r="G143" s="39" t="str">
        <f aca="false">UPPER(TRIM(C143))</f>
        <v>P019</v>
      </c>
      <c r="H143" s="39" t="str">
        <f aca="false">IF(ISNUMBER(MATCH(G143,Products!$A$5:$A$24,0)),"OK","Mismatch")</f>
        <v>OK</v>
      </c>
      <c r="I143" s="39" t="str">
        <f aca="false">IF(COUNTIF($A$5:A143,A143)&gt;1,"Duplicate","Unique")</f>
        <v>Unique</v>
      </c>
      <c r="J143" s="39" t="str">
        <f aca="false">IF(I143="Duplicate","Remove",IF(H143="Mismatch","Exclude","Keep"))</f>
        <v>Keep</v>
      </c>
    </row>
    <row r="144" customFormat="false" ht="15" hidden="false" customHeight="false" outlineLevel="0" collapsed="false">
      <c r="A144" s="39" t="s">
        <v>263</v>
      </c>
      <c r="B144" s="40" t="n">
        <v>45676</v>
      </c>
      <c r="C144" s="39" t="s">
        <v>183</v>
      </c>
      <c r="D144" s="39" t="n">
        <v>4</v>
      </c>
      <c r="E144" s="41" t="n">
        <v>183.65</v>
      </c>
      <c r="F144" s="39" t="s">
        <v>118</v>
      </c>
      <c r="G144" s="39" t="str">
        <f aca="false">UPPER(TRIM(C144))</f>
        <v>P007</v>
      </c>
      <c r="H144" s="39" t="str">
        <f aca="false">IF(ISNUMBER(MATCH(G144,Products!$A$5:$A$24,0)),"OK","Mismatch")</f>
        <v>OK</v>
      </c>
      <c r="I144" s="39" t="str">
        <f aca="false">IF(COUNTIF($A$5:A144,A144)&gt;1,"Duplicate","Unique")</f>
        <v>Unique</v>
      </c>
      <c r="J144" s="39" t="str">
        <f aca="false">IF(I144="Duplicate","Remove",IF(H144="Mismatch","Exclude","Keep"))</f>
        <v>Keep</v>
      </c>
    </row>
    <row r="145" customFormat="false" ht="15" hidden="false" customHeight="false" outlineLevel="0" collapsed="false">
      <c r="A145" s="39" t="s">
        <v>264</v>
      </c>
      <c r="B145" s="40" t="n">
        <v>45676</v>
      </c>
      <c r="C145" s="39" t="s">
        <v>126</v>
      </c>
      <c r="D145" s="39" t="n">
        <v>2</v>
      </c>
      <c r="E145" s="41" t="n">
        <v>24.11</v>
      </c>
      <c r="F145" s="39" t="s">
        <v>105</v>
      </c>
      <c r="G145" s="39" t="str">
        <f aca="false">UPPER(TRIM(C145))</f>
        <v>P001</v>
      </c>
      <c r="H145" s="39" t="str">
        <f aca="false">IF(ISNUMBER(MATCH(G145,Products!$A$5:$A$24,0)),"OK","Mismatch")</f>
        <v>OK</v>
      </c>
      <c r="I145" s="39" t="str">
        <f aca="false">IF(COUNTIF($A$5:A145,A145)&gt;1,"Duplicate","Unique")</f>
        <v>Unique</v>
      </c>
      <c r="J145" s="39" t="str">
        <f aca="false">IF(I145="Duplicate","Remove",IF(H145="Mismatch","Exclude","Keep"))</f>
        <v>Keep</v>
      </c>
    </row>
    <row r="146" customFormat="false" ht="15" hidden="false" customHeight="false" outlineLevel="0" collapsed="false">
      <c r="A146" s="39" t="s">
        <v>265</v>
      </c>
      <c r="B146" s="40" t="n">
        <v>45677</v>
      </c>
      <c r="C146" s="39" t="s">
        <v>162</v>
      </c>
      <c r="D146" s="39" t="n">
        <v>4</v>
      </c>
      <c r="E146" s="41" t="n">
        <v>65.14</v>
      </c>
      <c r="F146" s="39" t="s">
        <v>118</v>
      </c>
      <c r="G146" s="39" t="str">
        <f aca="false">UPPER(TRIM(C146))</f>
        <v>P017</v>
      </c>
      <c r="H146" s="39" t="str">
        <f aca="false">IF(ISNUMBER(MATCH(G146,Products!$A$5:$A$24,0)),"OK","Mismatch")</f>
        <v>OK</v>
      </c>
      <c r="I146" s="39" t="str">
        <f aca="false">IF(COUNTIF($A$5:A146,A146)&gt;1,"Duplicate","Unique")</f>
        <v>Unique</v>
      </c>
      <c r="J146" s="39" t="str">
        <f aca="false">IF(I146="Duplicate","Remove",IF(H146="Mismatch","Exclude","Keep"))</f>
        <v>Keep</v>
      </c>
    </row>
    <row r="147" customFormat="false" ht="15" hidden="false" customHeight="false" outlineLevel="0" collapsed="false">
      <c r="A147" s="39" t="s">
        <v>266</v>
      </c>
      <c r="B147" s="40" t="n">
        <v>45677</v>
      </c>
      <c r="C147" s="39" t="s">
        <v>130</v>
      </c>
      <c r="D147" s="39" t="n">
        <v>1</v>
      </c>
      <c r="E147" s="41" t="n">
        <v>8.47</v>
      </c>
      <c r="F147" s="39" t="s">
        <v>105</v>
      </c>
      <c r="G147" s="39" t="str">
        <f aca="false">UPPER(TRIM(C147))</f>
        <v>P011</v>
      </c>
      <c r="H147" s="39" t="str">
        <f aca="false">IF(ISNUMBER(MATCH(G147,Products!$A$5:$A$24,0)),"OK","Mismatch")</f>
        <v>OK</v>
      </c>
      <c r="I147" s="39" t="str">
        <f aca="false">IF(COUNTIF($A$5:A147,A147)&gt;1,"Duplicate","Unique")</f>
        <v>Unique</v>
      </c>
      <c r="J147" s="39" t="str">
        <f aca="false">IF(I147="Duplicate","Remove",IF(H147="Mismatch","Exclude","Keep"))</f>
        <v>Keep</v>
      </c>
    </row>
    <row r="148" customFormat="false" ht="15" hidden="false" customHeight="false" outlineLevel="0" collapsed="false">
      <c r="A148" s="39" t="s">
        <v>267</v>
      </c>
      <c r="B148" s="40" t="n">
        <v>45677</v>
      </c>
      <c r="C148" s="39" t="s">
        <v>153</v>
      </c>
      <c r="D148" s="39" t="n">
        <v>1</v>
      </c>
      <c r="E148" s="41" t="n">
        <v>175.91</v>
      </c>
      <c r="F148" s="39" t="s">
        <v>118</v>
      </c>
      <c r="G148" s="39" t="str">
        <f aca="false">UPPER(TRIM(C148))</f>
        <v>P010</v>
      </c>
      <c r="H148" s="39" t="str">
        <f aca="false">IF(ISNUMBER(MATCH(G148,Products!$A$5:$A$24,0)),"OK","Mismatch")</f>
        <v>OK</v>
      </c>
      <c r="I148" s="39" t="str">
        <f aca="false">IF(COUNTIF($A$5:A148,A148)&gt;1,"Duplicate","Unique")</f>
        <v>Unique</v>
      </c>
      <c r="J148" s="39" t="str">
        <f aca="false">IF(I148="Duplicate","Remove",IF(H148="Mismatch","Exclude","Keep"))</f>
        <v>Keep</v>
      </c>
    </row>
    <row r="149" customFormat="false" ht="15" hidden="false" customHeight="false" outlineLevel="0" collapsed="false">
      <c r="A149" s="39" t="s">
        <v>268</v>
      </c>
      <c r="B149" s="40" t="n">
        <v>45677</v>
      </c>
      <c r="C149" s="39" t="s">
        <v>128</v>
      </c>
      <c r="D149" s="39" t="n">
        <v>2</v>
      </c>
      <c r="E149" s="41" t="n">
        <v>36.65</v>
      </c>
      <c r="F149" s="39" t="s">
        <v>105</v>
      </c>
      <c r="G149" s="39" t="str">
        <f aca="false">UPPER(TRIM(C149))</f>
        <v>P020</v>
      </c>
      <c r="H149" s="39" t="str">
        <f aca="false">IF(ISNUMBER(MATCH(G149,Products!$A$5:$A$24,0)),"OK","Mismatch")</f>
        <v>OK</v>
      </c>
      <c r="I149" s="39" t="str">
        <f aca="false">IF(COUNTIF($A$5:A149,A149)&gt;1,"Duplicate","Unique")</f>
        <v>Unique</v>
      </c>
      <c r="J149" s="39" t="str">
        <f aca="false">IF(I149="Duplicate","Remove",IF(H149="Mismatch","Exclude","Keep"))</f>
        <v>Keep</v>
      </c>
    </row>
    <row r="150" customFormat="false" ht="15" hidden="false" customHeight="false" outlineLevel="0" collapsed="false">
      <c r="A150" s="39" t="s">
        <v>269</v>
      </c>
      <c r="B150" s="40" t="n">
        <v>45677</v>
      </c>
      <c r="C150" s="39" t="s">
        <v>117</v>
      </c>
      <c r="D150" s="39" t="n">
        <v>1</v>
      </c>
      <c r="E150" s="41" t="n">
        <v>31.22</v>
      </c>
      <c r="F150" s="39" t="s">
        <v>105</v>
      </c>
      <c r="G150" s="39" t="str">
        <f aca="false">UPPER(TRIM(C150))</f>
        <v>P009</v>
      </c>
      <c r="H150" s="39" t="str">
        <f aca="false">IF(ISNUMBER(MATCH(G150,Products!$A$5:$A$24,0)),"OK","Mismatch")</f>
        <v>OK</v>
      </c>
      <c r="I150" s="39" t="str">
        <f aca="false">IF(COUNTIF($A$5:A150,A150)&gt;1,"Duplicate","Unique")</f>
        <v>Unique</v>
      </c>
      <c r="J150" s="39" t="str">
        <f aca="false">IF(I150="Duplicate","Remove",IF(H150="Mismatch","Exclude","Keep"))</f>
        <v>Keep</v>
      </c>
    </row>
    <row r="151" customFormat="false" ht="15" hidden="false" customHeight="false" outlineLevel="0" collapsed="false">
      <c r="A151" s="39" t="s">
        <v>270</v>
      </c>
      <c r="B151" s="40" t="n">
        <v>45678</v>
      </c>
      <c r="C151" s="39" t="s">
        <v>112</v>
      </c>
      <c r="D151" s="39" t="n">
        <v>4</v>
      </c>
      <c r="E151" s="41" t="n">
        <v>54.36</v>
      </c>
      <c r="F151" s="39" t="s">
        <v>105</v>
      </c>
      <c r="G151" s="39" t="str">
        <f aca="false">UPPER(TRIM(C151))</f>
        <v>P005</v>
      </c>
      <c r="H151" s="39" t="str">
        <f aca="false">IF(ISNUMBER(MATCH(G151,Products!$A$5:$A$24,0)),"OK","Mismatch")</f>
        <v>OK</v>
      </c>
      <c r="I151" s="39" t="str">
        <f aca="false">IF(COUNTIF($A$5:A151,A151)&gt;1,"Duplicate","Unique")</f>
        <v>Unique</v>
      </c>
      <c r="J151" s="39" t="str">
        <f aca="false">IF(I151="Duplicate","Remove",IF(H151="Mismatch","Exclude","Keep"))</f>
        <v>Keep</v>
      </c>
    </row>
    <row r="152" customFormat="false" ht="15" hidden="false" customHeight="false" outlineLevel="0" collapsed="false">
      <c r="A152" s="39" t="s">
        <v>271</v>
      </c>
      <c r="B152" s="40" t="n">
        <v>45678</v>
      </c>
      <c r="C152" s="39" t="s">
        <v>136</v>
      </c>
      <c r="D152" s="39" t="n">
        <v>3</v>
      </c>
      <c r="E152" s="41" t="n">
        <v>76.44</v>
      </c>
      <c r="F152" s="39" t="s">
        <v>118</v>
      </c>
      <c r="G152" s="39" t="str">
        <f aca="false">UPPER(TRIM(C152))</f>
        <v>P002</v>
      </c>
      <c r="H152" s="39" t="str">
        <f aca="false">IF(ISNUMBER(MATCH(G152,Products!$A$5:$A$24,0)),"OK","Mismatch")</f>
        <v>OK</v>
      </c>
      <c r="I152" s="39" t="str">
        <f aca="false">IF(COUNTIF($A$5:A152,A152)&gt;1,"Duplicate","Unique")</f>
        <v>Unique</v>
      </c>
      <c r="J152" s="39" t="str">
        <f aca="false">IF(I152="Duplicate","Remove",IF(H152="Mismatch","Exclude","Keep"))</f>
        <v>Keep</v>
      </c>
    </row>
    <row r="153" customFormat="false" ht="15" hidden="false" customHeight="false" outlineLevel="0" collapsed="false">
      <c r="A153" s="39" t="s">
        <v>272</v>
      </c>
      <c r="B153" s="40" t="n">
        <v>45678</v>
      </c>
      <c r="C153" s="39" t="s">
        <v>126</v>
      </c>
      <c r="D153" s="39" t="n">
        <v>4</v>
      </c>
      <c r="E153" s="41" t="n">
        <v>23.95</v>
      </c>
      <c r="F153" s="39" t="s">
        <v>115</v>
      </c>
      <c r="G153" s="39" t="str">
        <f aca="false">UPPER(TRIM(C153))</f>
        <v>P001</v>
      </c>
      <c r="H153" s="39" t="str">
        <f aca="false">IF(ISNUMBER(MATCH(G153,Products!$A$5:$A$24,0)),"OK","Mismatch")</f>
        <v>OK</v>
      </c>
      <c r="I153" s="39" t="str">
        <f aca="false">IF(COUNTIF($A$5:A153,A153)&gt;1,"Duplicate","Unique")</f>
        <v>Unique</v>
      </c>
      <c r="J153" s="39" t="str">
        <f aca="false">IF(I153="Duplicate","Remove",IF(H153="Mismatch","Exclude","Keep"))</f>
        <v>Keep</v>
      </c>
    </row>
    <row r="154" customFormat="false" ht="15" hidden="false" customHeight="false" outlineLevel="0" collapsed="false">
      <c r="A154" s="39" t="s">
        <v>272</v>
      </c>
      <c r="B154" s="40" t="n">
        <v>45678</v>
      </c>
      <c r="C154" s="39" t="s">
        <v>126</v>
      </c>
      <c r="D154" s="39" t="n">
        <v>4</v>
      </c>
      <c r="E154" s="41" t="n">
        <v>23.95</v>
      </c>
      <c r="F154" s="39" t="s">
        <v>115</v>
      </c>
      <c r="G154" s="39" t="str">
        <f aca="false">UPPER(TRIM(C154))</f>
        <v>P001</v>
      </c>
      <c r="H154" s="39" t="str">
        <f aca="false">IF(ISNUMBER(MATCH(G154,Products!$A$5:$A$24,0)),"OK","Mismatch")</f>
        <v>OK</v>
      </c>
      <c r="I154" s="39" t="str">
        <f aca="false">IF(COUNTIF($A$5:A154,A154)&gt;1,"Duplicate","Unique")</f>
        <v>Duplicate</v>
      </c>
      <c r="J154" s="39" t="str">
        <f aca="false">IF(I154="Duplicate","Remove",IF(H154="Mismatch","Exclude","Keep"))</f>
        <v>Remove</v>
      </c>
    </row>
    <row r="155" customFormat="false" ht="15" hidden="false" customHeight="false" outlineLevel="0" collapsed="false">
      <c r="A155" s="39" t="s">
        <v>273</v>
      </c>
      <c r="B155" s="40" t="n">
        <v>45678</v>
      </c>
      <c r="C155" s="39" t="s">
        <v>169</v>
      </c>
      <c r="D155" s="39" t="n">
        <v>4</v>
      </c>
      <c r="E155" s="41" t="n">
        <v>27.38</v>
      </c>
      <c r="F155" s="39" t="s">
        <v>105</v>
      </c>
      <c r="G155" s="39" t="str">
        <f aca="false">UPPER(TRIM(C155))</f>
        <v>P004</v>
      </c>
      <c r="H155" s="39" t="str">
        <f aca="false">IF(ISNUMBER(MATCH(G155,Products!$A$5:$A$24,0)),"OK","Mismatch")</f>
        <v>OK</v>
      </c>
      <c r="I155" s="39" t="str">
        <f aca="false">IF(COUNTIF($A$5:A155,A155)&gt;1,"Duplicate","Unique")</f>
        <v>Unique</v>
      </c>
      <c r="J155" s="39" t="str">
        <f aca="false">IF(I155="Duplicate","Remove",IF(H155="Mismatch","Exclude","Keep"))</f>
        <v>Keep</v>
      </c>
    </row>
    <row r="156" customFormat="false" ht="15" hidden="false" customHeight="false" outlineLevel="0" collapsed="false">
      <c r="A156" s="39" t="s">
        <v>273</v>
      </c>
      <c r="B156" s="40" t="n">
        <v>45678</v>
      </c>
      <c r="C156" s="39" t="s">
        <v>169</v>
      </c>
      <c r="D156" s="39" t="n">
        <v>4</v>
      </c>
      <c r="E156" s="41" t="n">
        <v>27.38</v>
      </c>
      <c r="F156" s="39" t="s">
        <v>105</v>
      </c>
      <c r="G156" s="39" t="str">
        <f aca="false">UPPER(TRIM(C156))</f>
        <v>P004</v>
      </c>
      <c r="H156" s="39" t="str">
        <f aca="false">IF(ISNUMBER(MATCH(G156,Products!$A$5:$A$24,0)),"OK","Mismatch")</f>
        <v>OK</v>
      </c>
      <c r="I156" s="39" t="str">
        <f aca="false">IF(COUNTIF($A$5:A156,A156)&gt;1,"Duplicate","Unique")</f>
        <v>Duplicate</v>
      </c>
      <c r="J156" s="39" t="str">
        <f aca="false">IF(I156="Duplicate","Remove",IF(H156="Mismatch","Exclude","Keep"))</f>
        <v>Remove</v>
      </c>
    </row>
    <row r="157" customFormat="false" ht="15" hidden="false" customHeight="false" outlineLevel="0" collapsed="false">
      <c r="A157" s="39" t="s">
        <v>274</v>
      </c>
      <c r="B157" s="40" t="n">
        <v>45678</v>
      </c>
      <c r="C157" s="39" t="s">
        <v>107</v>
      </c>
      <c r="D157" s="39" t="n">
        <v>1</v>
      </c>
      <c r="E157" s="41" t="n">
        <v>33.57</v>
      </c>
      <c r="F157" s="39" t="s">
        <v>118</v>
      </c>
      <c r="G157" s="39" t="str">
        <f aca="false">UPPER(TRIM(C157))</f>
        <v>P003</v>
      </c>
      <c r="H157" s="39" t="str">
        <f aca="false">IF(ISNUMBER(MATCH(G157,Products!$A$5:$A$24,0)),"OK","Mismatch")</f>
        <v>OK</v>
      </c>
      <c r="I157" s="39" t="str">
        <f aca="false">IF(COUNTIF($A$5:A157,A157)&gt;1,"Duplicate","Unique")</f>
        <v>Unique</v>
      </c>
      <c r="J157" s="39" t="str">
        <f aca="false">IF(I157="Duplicate","Remove",IF(H157="Mismatch","Exclude","Keep"))</f>
        <v>Keep</v>
      </c>
    </row>
    <row r="158" customFormat="false" ht="15" hidden="false" customHeight="false" outlineLevel="0" collapsed="false">
      <c r="A158" s="39" t="s">
        <v>275</v>
      </c>
      <c r="B158" s="40" t="n">
        <v>45679</v>
      </c>
      <c r="C158" s="39" t="s">
        <v>169</v>
      </c>
      <c r="D158" s="39" t="n">
        <v>3</v>
      </c>
      <c r="E158" s="41" t="n">
        <v>28.67</v>
      </c>
      <c r="F158" s="39" t="s">
        <v>105</v>
      </c>
      <c r="G158" s="39" t="str">
        <f aca="false">UPPER(TRIM(C158))</f>
        <v>P004</v>
      </c>
      <c r="H158" s="39" t="str">
        <f aca="false">IF(ISNUMBER(MATCH(G158,Products!$A$5:$A$24,0)),"OK","Mismatch")</f>
        <v>OK</v>
      </c>
      <c r="I158" s="39" t="str">
        <f aca="false">IF(COUNTIF($A$5:A158,A158)&gt;1,"Duplicate","Unique")</f>
        <v>Unique</v>
      </c>
      <c r="J158" s="39" t="str">
        <f aca="false">IF(I158="Duplicate","Remove",IF(H158="Mismatch","Exclude","Keep"))</f>
        <v>Keep</v>
      </c>
    </row>
    <row r="159" customFormat="false" ht="15" hidden="false" customHeight="false" outlineLevel="0" collapsed="false">
      <c r="A159" s="39" t="s">
        <v>276</v>
      </c>
      <c r="B159" s="40" t="n">
        <v>45679</v>
      </c>
      <c r="C159" s="39" t="s">
        <v>117</v>
      </c>
      <c r="D159" s="39" t="n">
        <v>2</v>
      </c>
      <c r="E159" s="41" t="n">
        <v>30.19</v>
      </c>
      <c r="F159" s="39" t="s">
        <v>105</v>
      </c>
      <c r="G159" s="39" t="str">
        <f aca="false">UPPER(TRIM(C159))</f>
        <v>P009</v>
      </c>
      <c r="H159" s="39" t="str">
        <f aca="false">IF(ISNUMBER(MATCH(G159,Products!$A$5:$A$24,0)),"OK","Mismatch")</f>
        <v>OK</v>
      </c>
      <c r="I159" s="39" t="str">
        <f aca="false">IF(COUNTIF($A$5:A159,A159)&gt;1,"Duplicate","Unique")</f>
        <v>Unique</v>
      </c>
      <c r="J159" s="39" t="str">
        <f aca="false">IF(I159="Duplicate","Remove",IF(H159="Mismatch","Exclude","Keep"))</f>
        <v>Keep</v>
      </c>
    </row>
    <row r="160" customFormat="false" ht="15" hidden="false" customHeight="false" outlineLevel="0" collapsed="false">
      <c r="A160" s="39" t="s">
        <v>277</v>
      </c>
      <c r="B160" s="40" t="n">
        <v>45679</v>
      </c>
      <c r="C160" s="39" t="s">
        <v>162</v>
      </c>
      <c r="D160" s="39" t="n">
        <v>1</v>
      </c>
      <c r="E160" s="41" t="n">
        <v>66.99</v>
      </c>
      <c r="F160" s="39" t="s">
        <v>105</v>
      </c>
      <c r="G160" s="39" t="str">
        <f aca="false">UPPER(TRIM(C160))</f>
        <v>P017</v>
      </c>
      <c r="H160" s="39" t="str">
        <f aca="false">IF(ISNUMBER(MATCH(G160,Products!$A$5:$A$24,0)),"OK","Mismatch")</f>
        <v>OK</v>
      </c>
      <c r="I160" s="39" t="str">
        <f aca="false">IF(COUNTIF($A$5:A160,A160)&gt;1,"Duplicate","Unique")</f>
        <v>Unique</v>
      </c>
      <c r="J160" s="39" t="str">
        <f aca="false">IF(I160="Duplicate","Remove",IF(H160="Mismatch","Exclude","Keep"))</f>
        <v>Keep</v>
      </c>
    </row>
    <row r="161" customFormat="false" ht="15" hidden="false" customHeight="false" outlineLevel="0" collapsed="false">
      <c r="A161" s="39" t="s">
        <v>278</v>
      </c>
      <c r="B161" s="40" t="n">
        <v>45679</v>
      </c>
      <c r="C161" s="39" t="s">
        <v>177</v>
      </c>
      <c r="D161" s="39" t="n">
        <v>2</v>
      </c>
      <c r="E161" s="41" t="n">
        <v>41.69</v>
      </c>
      <c r="F161" s="39" t="s">
        <v>105</v>
      </c>
      <c r="G161" s="39" t="str">
        <f aca="false">UPPER(TRIM(C161))</f>
        <v>P014</v>
      </c>
      <c r="H161" s="39" t="str">
        <f aca="false">IF(ISNUMBER(MATCH(G161,Products!$A$5:$A$24,0)),"OK","Mismatch")</f>
        <v>OK</v>
      </c>
      <c r="I161" s="39" t="str">
        <f aca="false">IF(COUNTIF($A$5:A161,A161)&gt;1,"Duplicate","Unique")</f>
        <v>Unique</v>
      </c>
      <c r="J161" s="39" t="str">
        <f aca="false">IF(I161="Duplicate","Remove",IF(H161="Mismatch","Exclude","Keep"))</f>
        <v>Keep</v>
      </c>
    </row>
    <row r="162" customFormat="false" ht="15" hidden="false" customHeight="false" outlineLevel="0" collapsed="false">
      <c r="A162" s="39" t="s">
        <v>279</v>
      </c>
      <c r="B162" s="40" t="n">
        <v>45679</v>
      </c>
      <c r="C162" s="39" t="s">
        <v>153</v>
      </c>
      <c r="D162" s="39" t="n">
        <v>2</v>
      </c>
      <c r="E162" s="41" t="n">
        <v>175.45</v>
      </c>
      <c r="F162" s="39" t="s">
        <v>108</v>
      </c>
      <c r="G162" s="39" t="str">
        <f aca="false">UPPER(TRIM(C162))</f>
        <v>P010</v>
      </c>
      <c r="H162" s="39" t="str">
        <f aca="false">IF(ISNUMBER(MATCH(G162,Products!$A$5:$A$24,0)),"OK","Mismatch")</f>
        <v>OK</v>
      </c>
      <c r="I162" s="39" t="str">
        <f aca="false">IF(COUNTIF($A$5:A162,A162)&gt;1,"Duplicate","Unique")</f>
        <v>Unique</v>
      </c>
      <c r="J162" s="39" t="str">
        <f aca="false">IF(I162="Duplicate","Remove",IF(H162="Mismatch","Exclude","Keep"))</f>
        <v>Keep</v>
      </c>
    </row>
    <row r="163" customFormat="false" ht="15" hidden="false" customHeight="false" outlineLevel="0" collapsed="false">
      <c r="A163" s="39" t="s">
        <v>280</v>
      </c>
      <c r="B163" s="40" t="n">
        <v>45679</v>
      </c>
      <c r="C163" s="39" t="s">
        <v>177</v>
      </c>
      <c r="D163" s="39" t="n">
        <v>1</v>
      </c>
      <c r="E163" s="41" t="n">
        <v>43.67</v>
      </c>
      <c r="F163" s="39" t="s">
        <v>105</v>
      </c>
      <c r="G163" s="39" t="str">
        <f aca="false">UPPER(TRIM(C163))</f>
        <v>P014</v>
      </c>
      <c r="H163" s="39" t="str">
        <f aca="false">IF(ISNUMBER(MATCH(G163,Products!$A$5:$A$24,0)),"OK","Mismatch")</f>
        <v>OK</v>
      </c>
      <c r="I163" s="39" t="str">
        <f aca="false">IF(COUNTIF($A$5:A163,A163)&gt;1,"Duplicate","Unique")</f>
        <v>Unique</v>
      </c>
      <c r="J163" s="39" t="str">
        <f aca="false">IF(I163="Duplicate","Remove",IF(H163="Mismatch","Exclude","Keep"))</f>
        <v>Keep</v>
      </c>
    </row>
    <row r="164" customFormat="false" ht="15" hidden="false" customHeight="false" outlineLevel="0" collapsed="false">
      <c r="A164" s="39" t="s">
        <v>281</v>
      </c>
      <c r="B164" s="40" t="n">
        <v>45679</v>
      </c>
      <c r="C164" s="39" t="s">
        <v>112</v>
      </c>
      <c r="D164" s="39" t="n">
        <v>3</v>
      </c>
      <c r="E164" s="41" t="n">
        <v>53.11</v>
      </c>
      <c r="F164" s="39" t="s">
        <v>115</v>
      </c>
      <c r="G164" s="39" t="str">
        <f aca="false">UPPER(TRIM(C164))</f>
        <v>P005</v>
      </c>
      <c r="H164" s="39" t="str">
        <f aca="false">IF(ISNUMBER(MATCH(G164,Products!$A$5:$A$24,0)),"OK","Mismatch")</f>
        <v>OK</v>
      </c>
      <c r="I164" s="39" t="str">
        <f aca="false">IF(COUNTIF($A$5:A164,A164)&gt;1,"Duplicate","Unique")</f>
        <v>Unique</v>
      </c>
      <c r="J164" s="39" t="str">
        <f aca="false">IF(I164="Duplicate","Remove",IF(H164="Mismatch","Exclude","Keep"))</f>
        <v>Keep</v>
      </c>
    </row>
    <row r="165" customFormat="false" ht="15" hidden="false" customHeight="false" outlineLevel="0" collapsed="false">
      <c r="A165" s="39" t="s">
        <v>282</v>
      </c>
      <c r="B165" s="40" t="n">
        <v>45679</v>
      </c>
      <c r="C165" s="39" t="s">
        <v>117</v>
      </c>
      <c r="D165" s="39" t="n">
        <v>2</v>
      </c>
      <c r="E165" s="41" t="n">
        <v>31.41</v>
      </c>
      <c r="F165" s="39" t="s">
        <v>105</v>
      </c>
      <c r="G165" s="39" t="str">
        <f aca="false">UPPER(TRIM(C165))</f>
        <v>P009</v>
      </c>
      <c r="H165" s="39" t="str">
        <f aca="false">IF(ISNUMBER(MATCH(G165,Products!$A$5:$A$24,0)),"OK","Mismatch")</f>
        <v>OK</v>
      </c>
      <c r="I165" s="39" t="str">
        <f aca="false">IF(COUNTIF($A$5:A165,A165)&gt;1,"Duplicate","Unique")</f>
        <v>Unique</v>
      </c>
      <c r="J165" s="39" t="str">
        <f aca="false">IF(I165="Duplicate","Remove",IF(H165="Mismatch","Exclude","Keep"))</f>
        <v>Keep</v>
      </c>
    </row>
    <row r="166" customFormat="false" ht="15" hidden="false" customHeight="false" outlineLevel="0" collapsed="false">
      <c r="A166" s="39" t="s">
        <v>283</v>
      </c>
      <c r="B166" s="40" t="n">
        <v>45679</v>
      </c>
      <c r="C166" s="39" t="s">
        <v>121</v>
      </c>
      <c r="D166" s="39" t="n">
        <v>6</v>
      </c>
      <c r="E166" s="41" t="n">
        <v>110.64</v>
      </c>
      <c r="F166" s="39" t="s">
        <v>105</v>
      </c>
      <c r="G166" s="39" t="str">
        <f aca="false">UPPER(TRIM(C166))</f>
        <v>P018</v>
      </c>
      <c r="H166" s="39" t="str">
        <f aca="false">IF(ISNUMBER(MATCH(G166,Products!$A$5:$A$24,0)),"OK","Mismatch")</f>
        <v>OK</v>
      </c>
      <c r="I166" s="39" t="str">
        <f aca="false">IF(COUNTIF($A$5:A166,A166)&gt;1,"Duplicate","Unique")</f>
        <v>Unique</v>
      </c>
      <c r="J166" s="39" t="str">
        <f aca="false">IF(I166="Duplicate","Remove",IF(H166="Mismatch","Exclude","Keep"))</f>
        <v>Keep</v>
      </c>
    </row>
    <row r="167" customFormat="false" ht="15" hidden="false" customHeight="false" outlineLevel="0" collapsed="false">
      <c r="A167" s="39" t="s">
        <v>284</v>
      </c>
      <c r="B167" s="40" t="n">
        <v>45680</v>
      </c>
      <c r="C167" s="39" t="s">
        <v>126</v>
      </c>
      <c r="D167" s="39" t="n">
        <v>1</v>
      </c>
      <c r="E167" s="41" t="n">
        <v>23.61</v>
      </c>
      <c r="F167" s="39" t="s">
        <v>115</v>
      </c>
      <c r="G167" s="39" t="str">
        <f aca="false">UPPER(TRIM(C167))</f>
        <v>P001</v>
      </c>
      <c r="H167" s="39" t="str">
        <f aca="false">IF(ISNUMBER(MATCH(G167,Products!$A$5:$A$24,0)),"OK","Mismatch")</f>
        <v>OK</v>
      </c>
      <c r="I167" s="39" t="str">
        <f aca="false">IF(COUNTIF($A$5:A167,A167)&gt;1,"Duplicate","Unique")</f>
        <v>Unique</v>
      </c>
      <c r="J167" s="39" t="str">
        <f aca="false">IF(I167="Duplicate","Remove",IF(H167="Mismatch","Exclude","Keep"))</f>
        <v>Keep</v>
      </c>
    </row>
    <row r="168" customFormat="false" ht="15" hidden="false" customHeight="false" outlineLevel="0" collapsed="false">
      <c r="A168" s="39" t="s">
        <v>285</v>
      </c>
      <c r="B168" s="40" t="n">
        <v>45680</v>
      </c>
      <c r="C168" s="39" t="s">
        <v>177</v>
      </c>
      <c r="D168" s="39" t="n">
        <v>2</v>
      </c>
      <c r="E168" s="41" t="n">
        <v>43.16</v>
      </c>
      <c r="F168" s="39" t="s">
        <v>108</v>
      </c>
      <c r="G168" s="39" t="str">
        <f aca="false">UPPER(TRIM(C168))</f>
        <v>P014</v>
      </c>
      <c r="H168" s="39" t="str">
        <f aca="false">IF(ISNUMBER(MATCH(G168,Products!$A$5:$A$24,0)),"OK","Mismatch")</f>
        <v>OK</v>
      </c>
      <c r="I168" s="39" t="str">
        <f aca="false">IF(COUNTIF($A$5:A168,A168)&gt;1,"Duplicate","Unique")</f>
        <v>Unique</v>
      </c>
      <c r="J168" s="39" t="str">
        <f aca="false">IF(I168="Duplicate","Remove",IF(H168="Mismatch","Exclude","Keep"))</f>
        <v>Keep</v>
      </c>
    </row>
    <row r="169" customFormat="false" ht="15" hidden="false" customHeight="false" outlineLevel="0" collapsed="false">
      <c r="A169" s="39" t="s">
        <v>286</v>
      </c>
      <c r="B169" s="40" t="n">
        <v>45680</v>
      </c>
      <c r="C169" s="39" t="s">
        <v>169</v>
      </c>
      <c r="D169" s="39" t="n">
        <v>8</v>
      </c>
      <c r="E169" s="41" t="n">
        <v>28.53</v>
      </c>
      <c r="F169" s="39" t="s">
        <v>118</v>
      </c>
      <c r="G169" s="39" t="str">
        <f aca="false">UPPER(TRIM(C169))</f>
        <v>P004</v>
      </c>
      <c r="H169" s="39" t="str">
        <f aca="false">IF(ISNUMBER(MATCH(G169,Products!$A$5:$A$24,0)),"OK","Mismatch")</f>
        <v>OK</v>
      </c>
      <c r="I169" s="39" t="str">
        <f aca="false">IF(COUNTIF($A$5:A169,A169)&gt;1,"Duplicate","Unique")</f>
        <v>Unique</v>
      </c>
      <c r="J169" s="39" t="str">
        <f aca="false">IF(I169="Duplicate","Remove",IF(H169="Mismatch","Exclude","Keep"))</f>
        <v>Keep</v>
      </c>
    </row>
    <row r="170" customFormat="false" ht="15" hidden="false" customHeight="false" outlineLevel="0" collapsed="false">
      <c r="A170" s="39" t="s">
        <v>287</v>
      </c>
      <c r="B170" s="40" t="n">
        <v>45680</v>
      </c>
      <c r="C170" s="39" t="s">
        <v>126</v>
      </c>
      <c r="D170" s="39" t="n">
        <v>4</v>
      </c>
      <c r="E170" s="41" t="n">
        <v>24.19</v>
      </c>
      <c r="F170" s="39" t="s">
        <v>115</v>
      </c>
      <c r="G170" s="39" t="str">
        <f aca="false">UPPER(TRIM(C170))</f>
        <v>P001</v>
      </c>
      <c r="H170" s="39" t="str">
        <f aca="false">IF(ISNUMBER(MATCH(G170,Products!$A$5:$A$24,0)),"OK","Mismatch")</f>
        <v>OK</v>
      </c>
      <c r="I170" s="39" t="str">
        <f aca="false">IF(COUNTIF($A$5:A170,A170)&gt;1,"Duplicate","Unique")</f>
        <v>Unique</v>
      </c>
      <c r="J170" s="39" t="str">
        <f aca="false">IF(I170="Duplicate","Remove",IF(H170="Mismatch","Exclude","Keep"))</f>
        <v>Keep</v>
      </c>
    </row>
    <row r="171" customFormat="false" ht="15" hidden="false" customHeight="false" outlineLevel="0" collapsed="false">
      <c r="A171" s="39" t="s">
        <v>288</v>
      </c>
      <c r="B171" s="40" t="n">
        <v>45680</v>
      </c>
      <c r="C171" s="39" t="s">
        <v>128</v>
      </c>
      <c r="D171" s="39" t="n">
        <v>1</v>
      </c>
      <c r="E171" s="41" t="n">
        <v>37.66</v>
      </c>
      <c r="F171" s="39" t="s">
        <v>108</v>
      </c>
      <c r="G171" s="39" t="str">
        <f aca="false">UPPER(TRIM(C171))</f>
        <v>P020</v>
      </c>
      <c r="H171" s="39" t="str">
        <f aca="false">IF(ISNUMBER(MATCH(G171,Products!$A$5:$A$24,0)),"OK","Mismatch")</f>
        <v>OK</v>
      </c>
      <c r="I171" s="39" t="str">
        <f aca="false">IF(COUNTIF($A$5:A171,A171)&gt;1,"Duplicate","Unique")</f>
        <v>Unique</v>
      </c>
      <c r="J171" s="39" t="str">
        <f aca="false">IF(I171="Duplicate","Remove",IF(H171="Mismatch","Exclude","Keep"))</f>
        <v>Keep</v>
      </c>
    </row>
    <row r="172" customFormat="false" ht="15" hidden="false" customHeight="false" outlineLevel="0" collapsed="false">
      <c r="A172" s="39" t="s">
        <v>289</v>
      </c>
      <c r="B172" s="40" t="n">
        <v>45680</v>
      </c>
      <c r="C172" s="39" t="s">
        <v>104</v>
      </c>
      <c r="D172" s="39" t="n">
        <v>3</v>
      </c>
      <c r="E172" s="41" t="n">
        <v>15.05</v>
      </c>
      <c r="F172" s="39" t="s">
        <v>108</v>
      </c>
      <c r="G172" s="39" t="str">
        <f aca="false">UPPER(TRIM(C172))</f>
        <v>P015</v>
      </c>
      <c r="H172" s="39" t="str">
        <f aca="false">IF(ISNUMBER(MATCH(G172,Products!$A$5:$A$24,0)),"OK","Mismatch")</f>
        <v>OK</v>
      </c>
      <c r="I172" s="39" t="str">
        <f aca="false">IF(COUNTIF($A$5:A172,A172)&gt;1,"Duplicate","Unique")</f>
        <v>Unique</v>
      </c>
      <c r="J172" s="39" t="str">
        <f aca="false">IF(I172="Duplicate","Remove",IF(H172="Mismatch","Exclude","Keep"))</f>
        <v>Keep</v>
      </c>
    </row>
    <row r="173" customFormat="false" ht="15" hidden="false" customHeight="false" outlineLevel="0" collapsed="false">
      <c r="A173" s="39" t="s">
        <v>290</v>
      </c>
      <c r="B173" s="40" t="n">
        <v>45680</v>
      </c>
      <c r="C173" s="39" t="s">
        <v>133</v>
      </c>
      <c r="D173" s="39" t="n">
        <v>1</v>
      </c>
      <c r="E173" s="41" t="n">
        <v>8.58</v>
      </c>
      <c r="F173" s="39" t="s">
        <v>105</v>
      </c>
      <c r="G173" s="39" t="str">
        <f aca="false">UPPER(TRIM(C173))</f>
        <v>P019</v>
      </c>
      <c r="H173" s="39" t="str">
        <f aca="false">IF(ISNUMBER(MATCH(G173,Products!$A$5:$A$24,0)),"OK","Mismatch")</f>
        <v>OK</v>
      </c>
      <c r="I173" s="39" t="str">
        <f aca="false">IF(COUNTIF($A$5:A173,A173)&gt;1,"Duplicate","Unique")</f>
        <v>Unique</v>
      </c>
      <c r="J173" s="39" t="str">
        <f aca="false">IF(I173="Duplicate","Remove",IF(H173="Mismatch","Exclude","Keep"))</f>
        <v>Keep</v>
      </c>
    </row>
    <row r="174" customFormat="false" ht="15" hidden="false" customHeight="false" outlineLevel="0" collapsed="false">
      <c r="A174" s="39" t="s">
        <v>291</v>
      </c>
      <c r="B174" s="40" t="n">
        <v>45680</v>
      </c>
      <c r="C174" s="39" t="s">
        <v>139</v>
      </c>
      <c r="D174" s="39" t="n">
        <v>3</v>
      </c>
      <c r="E174" s="41" t="n">
        <v>128.72</v>
      </c>
      <c r="F174" s="39" t="s">
        <v>105</v>
      </c>
      <c r="G174" s="39" t="str">
        <f aca="false">UPPER(TRIM(C174))</f>
        <v>P006</v>
      </c>
      <c r="H174" s="39" t="str">
        <f aca="false">IF(ISNUMBER(MATCH(G174,Products!$A$5:$A$24,0)),"OK","Mismatch")</f>
        <v>OK</v>
      </c>
      <c r="I174" s="39" t="str">
        <f aca="false">IF(COUNTIF($A$5:A174,A174)&gt;1,"Duplicate","Unique")</f>
        <v>Unique</v>
      </c>
      <c r="J174" s="39" t="str">
        <f aca="false">IF(I174="Duplicate","Remove",IF(H174="Mismatch","Exclude","Keep"))</f>
        <v>Keep</v>
      </c>
    </row>
    <row r="175" customFormat="false" ht="15" hidden="false" customHeight="false" outlineLevel="0" collapsed="false">
      <c r="A175" s="39" t="s">
        <v>292</v>
      </c>
      <c r="B175" s="40" t="n">
        <v>45681</v>
      </c>
      <c r="C175" s="39" t="s">
        <v>121</v>
      </c>
      <c r="D175" s="39" t="n">
        <v>3</v>
      </c>
      <c r="E175" s="41" t="n">
        <v>118.4</v>
      </c>
      <c r="F175" s="39" t="s">
        <v>108</v>
      </c>
      <c r="G175" s="39" t="str">
        <f aca="false">UPPER(TRIM(C175))</f>
        <v>P018</v>
      </c>
      <c r="H175" s="39" t="str">
        <f aca="false">IF(ISNUMBER(MATCH(G175,Products!$A$5:$A$24,0)),"OK","Mismatch")</f>
        <v>OK</v>
      </c>
      <c r="I175" s="39" t="str">
        <f aca="false">IF(COUNTIF($A$5:A175,A175)&gt;1,"Duplicate","Unique")</f>
        <v>Unique</v>
      </c>
      <c r="J175" s="39" t="str">
        <f aca="false">IF(I175="Duplicate","Remove",IF(H175="Mismatch","Exclude","Keep"))</f>
        <v>Keep</v>
      </c>
    </row>
    <row r="176" customFormat="false" ht="15" hidden="false" customHeight="false" outlineLevel="0" collapsed="false">
      <c r="A176" s="39" t="s">
        <v>293</v>
      </c>
      <c r="B176" s="40" t="n">
        <v>45681</v>
      </c>
      <c r="C176" s="39" t="s">
        <v>104</v>
      </c>
      <c r="D176" s="39" t="n">
        <v>2</v>
      </c>
      <c r="E176" s="41" t="n">
        <v>15.53</v>
      </c>
      <c r="F176" s="39" t="s">
        <v>105</v>
      </c>
      <c r="G176" s="39" t="str">
        <f aca="false">UPPER(TRIM(C176))</f>
        <v>P015</v>
      </c>
      <c r="H176" s="39" t="str">
        <f aca="false">IF(ISNUMBER(MATCH(G176,Products!$A$5:$A$24,0)),"OK","Mismatch")</f>
        <v>OK</v>
      </c>
      <c r="I176" s="39" t="str">
        <f aca="false">IF(COUNTIF($A$5:A176,A176)&gt;1,"Duplicate","Unique")</f>
        <v>Unique</v>
      </c>
      <c r="J176" s="39" t="str">
        <f aca="false">IF(I176="Duplicate","Remove",IF(H176="Mismatch","Exclude","Keep"))</f>
        <v>Keep</v>
      </c>
    </row>
    <row r="177" customFormat="false" ht="15" hidden="false" customHeight="false" outlineLevel="0" collapsed="false">
      <c r="A177" s="39" t="s">
        <v>294</v>
      </c>
      <c r="B177" s="40" t="n">
        <v>45681</v>
      </c>
      <c r="C177" s="39" t="s">
        <v>130</v>
      </c>
      <c r="D177" s="39" t="n">
        <v>8</v>
      </c>
      <c r="E177" s="41" t="n">
        <v>8.7</v>
      </c>
      <c r="F177" s="39" t="s">
        <v>115</v>
      </c>
      <c r="G177" s="39" t="str">
        <f aca="false">UPPER(TRIM(C177))</f>
        <v>P011</v>
      </c>
      <c r="H177" s="39" t="str">
        <f aca="false">IF(ISNUMBER(MATCH(G177,Products!$A$5:$A$24,0)),"OK","Mismatch")</f>
        <v>OK</v>
      </c>
      <c r="I177" s="39" t="str">
        <f aca="false">IF(COUNTIF($A$5:A177,A177)&gt;1,"Duplicate","Unique")</f>
        <v>Unique</v>
      </c>
      <c r="J177" s="39" t="str">
        <f aca="false">IF(I177="Duplicate","Remove",IF(H177="Mismatch","Exclude","Keep"))</f>
        <v>Keep</v>
      </c>
    </row>
    <row r="178" customFormat="false" ht="15" hidden="false" customHeight="false" outlineLevel="0" collapsed="false">
      <c r="A178" s="39" t="s">
        <v>295</v>
      </c>
      <c r="B178" s="40" t="n">
        <v>45681</v>
      </c>
      <c r="C178" s="39" t="s">
        <v>128</v>
      </c>
      <c r="D178" s="39" t="n">
        <v>3</v>
      </c>
      <c r="E178" s="41" t="n">
        <v>38.66</v>
      </c>
      <c r="F178" s="39" t="s">
        <v>108</v>
      </c>
      <c r="G178" s="39" t="str">
        <f aca="false">UPPER(TRIM(C178))</f>
        <v>P020</v>
      </c>
      <c r="H178" s="39" t="str">
        <f aca="false">IF(ISNUMBER(MATCH(G178,Products!$A$5:$A$24,0)),"OK","Mismatch")</f>
        <v>OK</v>
      </c>
      <c r="I178" s="39" t="str">
        <f aca="false">IF(COUNTIF($A$5:A178,A178)&gt;1,"Duplicate","Unique")</f>
        <v>Unique</v>
      </c>
      <c r="J178" s="39" t="str">
        <f aca="false">IF(I178="Duplicate","Remove",IF(H178="Mismatch","Exclude","Keep"))</f>
        <v>Keep</v>
      </c>
    </row>
    <row r="179" customFormat="false" ht="15" hidden="false" customHeight="false" outlineLevel="0" collapsed="false">
      <c r="A179" s="39" t="s">
        <v>296</v>
      </c>
      <c r="B179" s="40" t="n">
        <v>45681</v>
      </c>
      <c r="C179" s="39" t="s">
        <v>153</v>
      </c>
      <c r="D179" s="39" t="n">
        <v>6</v>
      </c>
      <c r="E179" s="41" t="n">
        <v>178.06</v>
      </c>
      <c r="F179" s="39" t="s">
        <v>115</v>
      </c>
      <c r="G179" s="39" t="str">
        <f aca="false">UPPER(TRIM(C179))</f>
        <v>P010</v>
      </c>
      <c r="H179" s="39" t="str">
        <f aca="false">IF(ISNUMBER(MATCH(G179,Products!$A$5:$A$24,0)),"OK","Mismatch")</f>
        <v>OK</v>
      </c>
      <c r="I179" s="39" t="str">
        <f aca="false">IF(COUNTIF($A$5:A179,A179)&gt;1,"Duplicate","Unique")</f>
        <v>Unique</v>
      </c>
      <c r="J179" s="39" t="str">
        <f aca="false">IF(I179="Duplicate","Remove",IF(H179="Mismatch","Exclude","Keep"))</f>
        <v>Keep</v>
      </c>
    </row>
    <row r="180" customFormat="false" ht="15" hidden="false" customHeight="false" outlineLevel="0" collapsed="false">
      <c r="A180" s="39" t="s">
        <v>297</v>
      </c>
      <c r="B180" s="40" t="n">
        <v>45681</v>
      </c>
      <c r="C180" s="39" t="s">
        <v>112</v>
      </c>
      <c r="D180" s="39" t="n">
        <v>2</v>
      </c>
      <c r="E180" s="41" t="n">
        <v>54.34</v>
      </c>
      <c r="F180" s="39" t="s">
        <v>118</v>
      </c>
      <c r="G180" s="39" t="str">
        <f aca="false">UPPER(TRIM(C180))</f>
        <v>P005</v>
      </c>
      <c r="H180" s="39" t="str">
        <f aca="false">IF(ISNUMBER(MATCH(G180,Products!$A$5:$A$24,0)),"OK","Mismatch")</f>
        <v>OK</v>
      </c>
      <c r="I180" s="39" t="str">
        <f aca="false">IF(COUNTIF($A$5:A180,A180)&gt;1,"Duplicate","Unique")</f>
        <v>Unique</v>
      </c>
      <c r="J180" s="39" t="str">
        <f aca="false">IF(I180="Duplicate","Remove",IF(H180="Mismatch","Exclude","Keep"))</f>
        <v>Keep</v>
      </c>
    </row>
    <row r="181" customFormat="false" ht="15" hidden="false" customHeight="false" outlineLevel="0" collapsed="false">
      <c r="A181" s="39" t="s">
        <v>298</v>
      </c>
      <c r="B181" s="40" t="n">
        <v>45682</v>
      </c>
      <c r="C181" s="39" t="s">
        <v>114</v>
      </c>
      <c r="D181" s="39" t="n">
        <v>1</v>
      </c>
      <c r="E181" s="41" t="n">
        <v>5.54</v>
      </c>
      <c r="F181" s="39" t="s">
        <v>108</v>
      </c>
      <c r="G181" s="39" t="str">
        <f aca="false">UPPER(TRIM(C181))</f>
        <v>P012</v>
      </c>
      <c r="H181" s="39" t="str">
        <f aca="false">IF(ISNUMBER(MATCH(G181,Products!$A$5:$A$24,0)),"OK","Mismatch")</f>
        <v>OK</v>
      </c>
      <c r="I181" s="39" t="str">
        <f aca="false">IF(COUNTIF($A$5:A181,A181)&gt;1,"Duplicate","Unique")</f>
        <v>Unique</v>
      </c>
      <c r="J181" s="39" t="str">
        <f aca="false">IF(I181="Duplicate","Remove",IF(H181="Mismatch","Exclude","Keep"))</f>
        <v>Keep</v>
      </c>
    </row>
    <row r="182" customFormat="false" ht="15" hidden="false" customHeight="false" outlineLevel="0" collapsed="false">
      <c r="A182" s="39" t="s">
        <v>299</v>
      </c>
      <c r="B182" s="40" t="n">
        <v>45682</v>
      </c>
      <c r="C182" s="39" t="s">
        <v>139</v>
      </c>
      <c r="D182" s="39" t="n">
        <v>1</v>
      </c>
      <c r="E182" s="41" t="n">
        <v>128.98</v>
      </c>
      <c r="F182" s="39" t="s">
        <v>105</v>
      </c>
      <c r="G182" s="39" t="str">
        <f aca="false">UPPER(TRIM(C182))</f>
        <v>P006</v>
      </c>
      <c r="H182" s="39" t="str">
        <f aca="false">IF(ISNUMBER(MATCH(G182,Products!$A$5:$A$24,0)),"OK","Mismatch")</f>
        <v>OK</v>
      </c>
      <c r="I182" s="39" t="str">
        <f aca="false">IF(COUNTIF($A$5:A182,A182)&gt;1,"Duplicate","Unique")</f>
        <v>Unique</v>
      </c>
      <c r="J182" s="39" t="str">
        <f aca="false">IF(I182="Duplicate","Remove",IF(H182="Mismatch","Exclude","Keep"))</f>
        <v>Keep</v>
      </c>
    </row>
    <row r="183" customFormat="false" ht="15" hidden="false" customHeight="false" outlineLevel="0" collapsed="false">
      <c r="A183" s="39" t="s">
        <v>300</v>
      </c>
      <c r="B183" s="40" t="n">
        <v>45682</v>
      </c>
      <c r="C183" s="39" t="s">
        <v>130</v>
      </c>
      <c r="D183" s="39" t="n">
        <v>4</v>
      </c>
      <c r="E183" s="41" t="n">
        <v>8.75</v>
      </c>
      <c r="F183" s="39" t="s">
        <v>118</v>
      </c>
      <c r="G183" s="39" t="str">
        <f aca="false">UPPER(TRIM(C183))</f>
        <v>P011</v>
      </c>
      <c r="H183" s="39" t="str">
        <f aca="false">IF(ISNUMBER(MATCH(G183,Products!$A$5:$A$24,0)),"OK","Mismatch")</f>
        <v>OK</v>
      </c>
      <c r="I183" s="39" t="str">
        <f aca="false">IF(COUNTIF($A$5:A183,A183)&gt;1,"Duplicate","Unique")</f>
        <v>Unique</v>
      </c>
      <c r="J183" s="39" t="str">
        <f aca="false">IF(I183="Duplicate","Remove",IF(H183="Mismatch","Exclude","Keep"))</f>
        <v>Keep</v>
      </c>
    </row>
    <row r="184" customFormat="false" ht="15" hidden="false" customHeight="false" outlineLevel="0" collapsed="false">
      <c r="A184" s="39" t="s">
        <v>301</v>
      </c>
      <c r="B184" s="40" t="n">
        <v>45682</v>
      </c>
      <c r="C184" s="39" t="s">
        <v>128</v>
      </c>
      <c r="D184" s="39" t="n">
        <v>3</v>
      </c>
      <c r="E184" s="41" t="n">
        <v>37.91</v>
      </c>
      <c r="F184" s="39" t="s">
        <v>108</v>
      </c>
      <c r="G184" s="39" t="str">
        <f aca="false">UPPER(TRIM(C184))</f>
        <v>P020</v>
      </c>
      <c r="H184" s="39" t="str">
        <f aca="false">IF(ISNUMBER(MATCH(G184,Products!$A$5:$A$24,0)),"OK","Mismatch")</f>
        <v>OK</v>
      </c>
      <c r="I184" s="39" t="str">
        <f aca="false">IF(COUNTIF($A$5:A184,A184)&gt;1,"Duplicate","Unique")</f>
        <v>Unique</v>
      </c>
      <c r="J184" s="39" t="str">
        <f aca="false">IF(I184="Duplicate","Remove",IF(H184="Mismatch","Exclude","Keep"))</f>
        <v>Keep</v>
      </c>
    </row>
    <row r="185" customFormat="false" ht="15" hidden="false" customHeight="false" outlineLevel="0" collapsed="false">
      <c r="A185" s="39" t="s">
        <v>302</v>
      </c>
      <c r="B185" s="40" t="n">
        <v>45682</v>
      </c>
      <c r="C185" s="39" t="s">
        <v>126</v>
      </c>
      <c r="D185" s="39" t="n">
        <v>4</v>
      </c>
      <c r="E185" s="41" t="n">
        <v>23.28</v>
      </c>
      <c r="F185" s="39" t="s">
        <v>105</v>
      </c>
      <c r="G185" s="39" t="str">
        <f aca="false">UPPER(TRIM(C185))</f>
        <v>P001</v>
      </c>
      <c r="H185" s="39" t="str">
        <f aca="false">IF(ISNUMBER(MATCH(G185,Products!$A$5:$A$24,0)),"OK","Mismatch")</f>
        <v>OK</v>
      </c>
      <c r="I185" s="39" t="str">
        <f aca="false">IF(COUNTIF($A$5:A185,A185)&gt;1,"Duplicate","Unique")</f>
        <v>Unique</v>
      </c>
      <c r="J185" s="39" t="str">
        <f aca="false">IF(I185="Duplicate","Remove",IF(H185="Mismatch","Exclude","Keep"))</f>
        <v>Keep</v>
      </c>
    </row>
    <row r="186" customFormat="false" ht="15" hidden="false" customHeight="false" outlineLevel="0" collapsed="false">
      <c r="A186" s="39" t="s">
        <v>303</v>
      </c>
      <c r="B186" s="40" t="n">
        <v>45682</v>
      </c>
      <c r="C186" s="39" t="s">
        <v>183</v>
      </c>
      <c r="D186" s="39" t="n">
        <v>1</v>
      </c>
      <c r="E186" s="41" t="n">
        <v>188.93</v>
      </c>
      <c r="F186" s="39" t="s">
        <v>118</v>
      </c>
      <c r="G186" s="39" t="str">
        <f aca="false">UPPER(TRIM(C186))</f>
        <v>P007</v>
      </c>
      <c r="H186" s="39" t="str">
        <f aca="false">IF(ISNUMBER(MATCH(G186,Products!$A$5:$A$24,0)),"OK","Mismatch")</f>
        <v>OK</v>
      </c>
      <c r="I186" s="39" t="str">
        <f aca="false">IF(COUNTIF($A$5:A186,A186)&gt;1,"Duplicate","Unique")</f>
        <v>Unique</v>
      </c>
      <c r="J186" s="39" t="str">
        <f aca="false">IF(I186="Duplicate","Remove",IF(H186="Mismatch","Exclude","Keep"))</f>
        <v>Keep</v>
      </c>
    </row>
    <row r="187" customFormat="false" ht="15" hidden="false" customHeight="false" outlineLevel="0" collapsed="false">
      <c r="A187" s="39" t="s">
        <v>304</v>
      </c>
      <c r="B187" s="40" t="n">
        <v>45683</v>
      </c>
      <c r="C187" s="39" t="s">
        <v>305</v>
      </c>
      <c r="D187" s="39" t="n">
        <v>4</v>
      </c>
      <c r="E187" s="41" t="n">
        <v>322.27</v>
      </c>
      <c r="F187" s="39" t="s">
        <v>105</v>
      </c>
      <c r="G187" s="39" t="str">
        <f aca="false">UPPER(TRIM(C187))</f>
        <v>P008</v>
      </c>
      <c r="H187" s="39" t="str">
        <f aca="false">IF(ISNUMBER(MATCH(G187,Products!$A$5:$A$24,0)),"OK","Mismatch")</f>
        <v>OK</v>
      </c>
      <c r="I187" s="39" t="str">
        <f aca="false">IF(COUNTIF($A$5:A187,A187)&gt;1,"Duplicate","Unique")</f>
        <v>Unique</v>
      </c>
      <c r="J187" s="39" t="str">
        <f aca="false">IF(I187="Duplicate","Remove",IF(H187="Mismatch","Exclude","Keep"))</f>
        <v>Keep</v>
      </c>
    </row>
    <row r="188" customFormat="false" ht="15" hidden="false" customHeight="false" outlineLevel="0" collapsed="false">
      <c r="A188" s="39" t="s">
        <v>306</v>
      </c>
      <c r="B188" s="40" t="n">
        <v>45683</v>
      </c>
      <c r="C188" s="39" t="s">
        <v>121</v>
      </c>
      <c r="D188" s="39" t="n">
        <v>2</v>
      </c>
      <c r="E188" s="41" t="n">
        <v>111.38</v>
      </c>
      <c r="F188" s="39" t="s">
        <v>118</v>
      </c>
      <c r="G188" s="39" t="str">
        <f aca="false">UPPER(TRIM(C188))</f>
        <v>P018</v>
      </c>
      <c r="H188" s="39" t="str">
        <f aca="false">IF(ISNUMBER(MATCH(G188,Products!$A$5:$A$24,0)),"OK","Mismatch")</f>
        <v>OK</v>
      </c>
      <c r="I188" s="39" t="str">
        <f aca="false">IF(COUNTIF($A$5:A188,A188)&gt;1,"Duplicate","Unique")</f>
        <v>Unique</v>
      </c>
      <c r="J188" s="39" t="str">
        <f aca="false">IF(I188="Duplicate","Remove",IF(H188="Mismatch","Exclude","Keep"))</f>
        <v>Keep</v>
      </c>
    </row>
    <row r="189" customFormat="false" ht="15" hidden="false" customHeight="false" outlineLevel="0" collapsed="false">
      <c r="A189" s="39" t="s">
        <v>307</v>
      </c>
      <c r="B189" s="40" t="n">
        <v>45683</v>
      </c>
      <c r="C189" s="39" t="s">
        <v>139</v>
      </c>
      <c r="D189" s="39" t="n">
        <v>4</v>
      </c>
      <c r="E189" s="41" t="n">
        <v>122.54</v>
      </c>
      <c r="F189" s="39" t="s">
        <v>115</v>
      </c>
      <c r="G189" s="39" t="str">
        <f aca="false">UPPER(TRIM(C189))</f>
        <v>P006</v>
      </c>
      <c r="H189" s="39" t="str">
        <f aca="false">IF(ISNUMBER(MATCH(G189,Products!$A$5:$A$24,0)),"OK","Mismatch")</f>
        <v>OK</v>
      </c>
      <c r="I189" s="39" t="str">
        <f aca="false">IF(COUNTIF($A$5:A189,A189)&gt;1,"Duplicate","Unique")</f>
        <v>Unique</v>
      </c>
      <c r="J189" s="39" t="str">
        <f aca="false">IF(I189="Duplicate","Remove",IF(H189="Mismatch","Exclude","Keep"))</f>
        <v>Keep</v>
      </c>
    </row>
    <row r="190" customFormat="false" ht="15" hidden="false" customHeight="false" outlineLevel="0" collapsed="false">
      <c r="A190" s="39" t="s">
        <v>308</v>
      </c>
      <c r="B190" s="40" t="n">
        <v>45683</v>
      </c>
      <c r="C190" s="39" t="s">
        <v>133</v>
      </c>
      <c r="D190" s="39" t="n">
        <v>1</v>
      </c>
      <c r="E190" s="41" t="n">
        <v>8.45</v>
      </c>
      <c r="F190" s="39" t="s">
        <v>108</v>
      </c>
      <c r="G190" s="39" t="str">
        <f aca="false">UPPER(TRIM(C190))</f>
        <v>P019</v>
      </c>
      <c r="H190" s="39" t="str">
        <f aca="false">IF(ISNUMBER(MATCH(G190,Products!$A$5:$A$24,0)),"OK","Mismatch")</f>
        <v>OK</v>
      </c>
      <c r="I190" s="39" t="str">
        <f aca="false">IF(COUNTIF($A$5:A190,A190)&gt;1,"Duplicate","Unique")</f>
        <v>Unique</v>
      </c>
      <c r="J190" s="39" t="str">
        <f aca="false">IF(I190="Duplicate","Remove",IF(H190="Mismatch","Exclude","Keep"))</f>
        <v>Keep</v>
      </c>
    </row>
    <row r="191" customFormat="false" ht="15" hidden="false" customHeight="false" outlineLevel="0" collapsed="false">
      <c r="A191" s="39" t="s">
        <v>309</v>
      </c>
      <c r="B191" s="40" t="n">
        <v>45683</v>
      </c>
      <c r="C191" s="39" t="s">
        <v>104</v>
      </c>
      <c r="D191" s="39" t="n">
        <v>1</v>
      </c>
      <c r="E191" s="41" t="n">
        <v>15.73</v>
      </c>
      <c r="F191" s="39" t="s">
        <v>115</v>
      </c>
      <c r="G191" s="39" t="str">
        <f aca="false">UPPER(TRIM(C191))</f>
        <v>P015</v>
      </c>
      <c r="H191" s="39" t="str">
        <f aca="false">IF(ISNUMBER(MATCH(G191,Products!$A$5:$A$24,0)),"OK","Mismatch")</f>
        <v>OK</v>
      </c>
      <c r="I191" s="39" t="str">
        <f aca="false">IF(COUNTIF($A$5:A191,A191)&gt;1,"Duplicate","Unique")</f>
        <v>Unique</v>
      </c>
      <c r="J191" s="39" t="str">
        <f aca="false">IF(I191="Duplicate","Remove",IF(H191="Mismatch","Exclude","Keep"))</f>
        <v>Keep</v>
      </c>
    </row>
    <row r="192" customFormat="false" ht="15" hidden="false" customHeight="false" outlineLevel="0" collapsed="false">
      <c r="A192" s="39" t="s">
        <v>310</v>
      </c>
      <c r="B192" s="40" t="n">
        <v>45683</v>
      </c>
      <c r="C192" s="39" t="s">
        <v>177</v>
      </c>
      <c r="D192" s="39" t="n">
        <v>1</v>
      </c>
      <c r="E192" s="41" t="n">
        <v>43.9</v>
      </c>
      <c r="F192" s="39" t="s">
        <v>108</v>
      </c>
      <c r="G192" s="39" t="str">
        <f aca="false">UPPER(TRIM(C192))</f>
        <v>P014</v>
      </c>
      <c r="H192" s="39" t="str">
        <f aca="false">IF(ISNUMBER(MATCH(G192,Products!$A$5:$A$24,0)),"OK","Mismatch")</f>
        <v>OK</v>
      </c>
      <c r="I192" s="39" t="str">
        <f aca="false">IF(COUNTIF($A$5:A192,A192)&gt;1,"Duplicate","Unique")</f>
        <v>Unique</v>
      </c>
      <c r="J192" s="39" t="str">
        <f aca="false">IF(I192="Duplicate","Remove",IF(H192="Mismatch","Exclude","Keep"))</f>
        <v>Keep</v>
      </c>
    </row>
    <row r="193" customFormat="false" ht="15" hidden="false" customHeight="false" outlineLevel="0" collapsed="false">
      <c r="A193" s="39" t="s">
        <v>311</v>
      </c>
      <c r="B193" s="40" t="n">
        <v>45683</v>
      </c>
      <c r="C193" s="39" t="s">
        <v>104</v>
      </c>
      <c r="D193" s="39" t="n">
        <v>2</v>
      </c>
      <c r="E193" s="41" t="n">
        <v>15.94</v>
      </c>
      <c r="F193" s="39" t="s">
        <v>118</v>
      </c>
      <c r="G193" s="39" t="str">
        <f aca="false">UPPER(TRIM(C193))</f>
        <v>P015</v>
      </c>
      <c r="H193" s="39" t="str">
        <f aca="false">IF(ISNUMBER(MATCH(G193,Products!$A$5:$A$24,0)),"OK","Mismatch")</f>
        <v>OK</v>
      </c>
      <c r="I193" s="39" t="str">
        <f aca="false">IF(COUNTIF($A$5:A193,A193)&gt;1,"Duplicate","Unique")</f>
        <v>Unique</v>
      </c>
      <c r="J193" s="39" t="str">
        <f aca="false">IF(I193="Duplicate","Remove",IF(H193="Mismatch","Exclude","Keep"))</f>
        <v>Keep</v>
      </c>
    </row>
    <row r="194" customFormat="false" ht="15" hidden="false" customHeight="false" outlineLevel="0" collapsed="false">
      <c r="A194" s="39" t="s">
        <v>312</v>
      </c>
      <c r="B194" s="40" t="n">
        <v>45683</v>
      </c>
      <c r="C194" s="39" t="s">
        <v>139</v>
      </c>
      <c r="D194" s="39" t="n">
        <v>1</v>
      </c>
      <c r="E194" s="41" t="n">
        <v>128.72</v>
      </c>
      <c r="F194" s="39" t="s">
        <v>118</v>
      </c>
      <c r="G194" s="39" t="str">
        <f aca="false">UPPER(TRIM(C194))</f>
        <v>P006</v>
      </c>
      <c r="H194" s="39" t="str">
        <f aca="false">IF(ISNUMBER(MATCH(G194,Products!$A$5:$A$24,0)),"OK","Mismatch")</f>
        <v>OK</v>
      </c>
      <c r="I194" s="39" t="str">
        <f aca="false">IF(COUNTIF($A$5:A194,A194)&gt;1,"Duplicate","Unique")</f>
        <v>Unique</v>
      </c>
      <c r="J194" s="39" t="str">
        <f aca="false">IF(I194="Duplicate","Remove",IF(H194="Mismatch","Exclude","Keep"))</f>
        <v>Keep</v>
      </c>
    </row>
    <row r="195" customFormat="false" ht="15" hidden="false" customHeight="false" outlineLevel="0" collapsed="false">
      <c r="A195" s="39" t="s">
        <v>313</v>
      </c>
      <c r="B195" s="40" t="n">
        <v>45683</v>
      </c>
      <c r="C195" s="39" t="s">
        <v>136</v>
      </c>
      <c r="D195" s="39" t="n">
        <v>2</v>
      </c>
      <c r="E195" s="41" t="n">
        <v>73.49</v>
      </c>
      <c r="F195" s="39" t="s">
        <v>118</v>
      </c>
      <c r="G195" s="39" t="str">
        <f aca="false">UPPER(TRIM(C195))</f>
        <v>P002</v>
      </c>
      <c r="H195" s="39" t="str">
        <f aca="false">IF(ISNUMBER(MATCH(G195,Products!$A$5:$A$24,0)),"OK","Mismatch")</f>
        <v>OK</v>
      </c>
      <c r="I195" s="39" t="str">
        <f aca="false">IF(COUNTIF($A$5:A195,A195)&gt;1,"Duplicate","Unique")</f>
        <v>Unique</v>
      </c>
      <c r="J195" s="39" t="str">
        <f aca="false">IF(I195="Duplicate","Remove",IF(H195="Mismatch","Exclude","Keep"))</f>
        <v>Keep</v>
      </c>
    </row>
    <row r="196" customFormat="false" ht="15" hidden="false" customHeight="false" outlineLevel="0" collapsed="false">
      <c r="A196" s="39" t="s">
        <v>314</v>
      </c>
      <c r="B196" s="40" t="n">
        <v>45684</v>
      </c>
      <c r="C196" s="39" t="s">
        <v>177</v>
      </c>
      <c r="D196" s="39" t="n">
        <v>6</v>
      </c>
      <c r="E196" s="41" t="n">
        <v>43.98</v>
      </c>
      <c r="F196" s="39" t="s">
        <v>115</v>
      </c>
      <c r="G196" s="39" t="str">
        <f aca="false">UPPER(TRIM(C196))</f>
        <v>P014</v>
      </c>
      <c r="H196" s="39" t="str">
        <f aca="false">IF(ISNUMBER(MATCH(G196,Products!$A$5:$A$24,0)),"OK","Mismatch")</f>
        <v>OK</v>
      </c>
      <c r="I196" s="39" t="str">
        <f aca="false">IF(COUNTIF($A$5:A196,A196)&gt;1,"Duplicate","Unique")</f>
        <v>Unique</v>
      </c>
      <c r="J196" s="39" t="str">
        <f aca="false">IF(I196="Duplicate","Remove",IF(H196="Mismatch","Exclude","Keep"))</f>
        <v>Keep</v>
      </c>
    </row>
    <row r="197" customFormat="false" ht="15" hidden="false" customHeight="false" outlineLevel="0" collapsed="false">
      <c r="A197" s="39" t="s">
        <v>315</v>
      </c>
      <c r="B197" s="40" t="n">
        <v>45684</v>
      </c>
      <c r="C197" s="39" t="s">
        <v>121</v>
      </c>
      <c r="D197" s="39" t="n">
        <v>6</v>
      </c>
      <c r="E197" s="41" t="n">
        <v>110.94</v>
      </c>
      <c r="F197" s="39" t="s">
        <v>105</v>
      </c>
      <c r="G197" s="39" t="str">
        <f aca="false">UPPER(TRIM(C197))</f>
        <v>P018</v>
      </c>
      <c r="H197" s="39" t="str">
        <f aca="false">IF(ISNUMBER(MATCH(G197,Products!$A$5:$A$24,0)),"OK","Mismatch")</f>
        <v>OK</v>
      </c>
      <c r="I197" s="39" t="str">
        <f aca="false">IF(COUNTIF($A$5:A197,A197)&gt;1,"Duplicate","Unique")</f>
        <v>Unique</v>
      </c>
      <c r="J197" s="39" t="str">
        <f aca="false">IF(I197="Duplicate","Remove",IF(H197="Mismatch","Exclude","Keep"))</f>
        <v>Keep</v>
      </c>
    </row>
    <row r="198" customFormat="false" ht="15" hidden="false" customHeight="false" outlineLevel="0" collapsed="false">
      <c r="A198" s="39" t="s">
        <v>316</v>
      </c>
      <c r="B198" s="40" t="n">
        <v>45684</v>
      </c>
      <c r="C198" s="39" t="s">
        <v>136</v>
      </c>
      <c r="D198" s="39" t="n">
        <v>2</v>
      </c>
      <c r="E198" s="41" t="n">
        <v>77.23</v>
      </c>
      <c r="F198" s="39" t="s">
        <v>105</v>
      </c>
      <c r="G198" s="39" t="str">
        <f aca="false">UPPER(TRIM(C198))</f>
        <v>P002</v>
      </c>
      <c r="H198" s="39" t="str">
        <f aca="false">IF(ISNUMBER(MATCH(G198,Products!$A$5:$A$24,0)),"OK","Mismatch")</f>
        <v>OK</v>
      </c>
      <c r="I198" s="39" t="str">
        <f aca="false">IF(COUNTIF($A$5:A198,A198)&gt;1,"Duplicate","Unique")</f>
        <v>Unique</v>
      </c>
      <c r="J198" s="39" t="str">
        <f aca="false">IF(I198="Duplicate","Remove",IF(H198="Mismatch","Exclude","Keep"))</f>
        <v>Keep</v>
      </c>
    </row>
    <row r="199" customFormat="false" ht="15" hidden="false" customHeight="false" outlineLevel="0" collapsed="false">
      <c r="A199" s="39" t="s">
        <v>317</v>
      </c>
      <c r="B199" s="40" t="n">
        <v>45684</v>
      </c>
      <c r="C199" s="39" t="s">
        <v>117</v>
      </c>
      <c r="D199" s="39" t="n">
        <v>3</v>
      </c>
      <c r="E199" s="41" t="n">
        <v>30.7</v>
      </c>
      <c r="F199" s="39" t="s">
        <v>118</v>
      </c>
      <c r="G199" s="39" t="str">
        <f aca="false">UPPER(TRIM(C199))</f>
        <v>P009</v>
      </c>
      <c r="H199" s="39" t="str">
        <f aca="false">IF(ISNUMBER(MATCH(G199,Products!$A$5:$A$24,0)),"OK","Mismatch")</f>
        <v>OK</v>
      </c>
      <c r="I199" s="39" t="str">
        <f aca="false">IF(COUNTIF($A$5:A199,A199)&gt;1,"Duplicate","Unique")</f>
        <v>Unique</v>
      </c>
      <c r="J199" s="39" t="str">
        <f aca="false">IF(I199="Duplicate","Remove",IF(H199="Mismatch","Exclude","Keep"))</f>
        <v>Keep</v>
      </c>
    </row>
    <row r="200" customFormat="false" ht="15" hidden="false" customHeight="false" outlineLevel="0" collapsed="false">
      <c r="A200" s="39" t="s">
        <v>318</v>
      </c>
      <c r="B200" s="40" t="n">
        <v>45684</v>
      </c>
      <c r="C200" s="39" t="s">
        <v>107</v>
      </c>
      <c r="D200" s="39" t="n">
        <v>2</v>
      </c>
      <c r="E200" s="41" t="n">
        <v>33.19</v>
      </c>
      <c r="F200" s="39" t="s">
        <v>108</v>
      </c>
      <c r="G200" s="39" t="str">
        <f aca="false">UPPER(TRIM(C200))</f>
        <v>P003</v>
      </c>
      <c r="H200" s="39" t="str">
        <f aca="false">IF(ISNUMBER(MATCH(G200,Products!$A$5:$A$24,0)),"OK","Mismatch")</f>
        <v>OK</v>
      </c>
      <c r="I200" s="39" t="str">
        <f aca="false">IF(COUNTIF($A$5:A200,A200)&gt;1,"Duplicate","Unique")</f>
        <v>Unique</v>
      </c>
      <c r="J200" s="39" t="str">
        <f aca="false">IF(I200="Duplicate","Remove",IF(H200="Mismatch","Exclude","Keep"))</f>
        <v>Keep</v>
      </c>
    </row>
    <row r="201" customFormat="false" ht="15" hidden="false" customHeight="false" outlineLevel="0" collapsed="false">
      <c r="A201" s="39" t="s">
        <v>319</v>
      </c>
      <c r="B201" s="40" t="n">
        <v>45684</v>
      </c>
      <c r="C201" s="39" t="s">
        <v>107</v>
      </c>
      <c r="D201" s="39" t="n">
        <v>8</v>
      </c>
      <c r="E201" s="41" t="n">
        <v>33.29</v>
      </c>
      <c r="F201" s="39" t="s">
        <v>118</v>
      </c>
      <c r="G201" s="39" t="str">
        <f aca="false">UPPER(TRIM(C201))</f>
        <v>P003</v>
      </c>
      <c r="H201" s="39" t="str">
        <f aca="false">IF(ISNUMBER(MATCH(G201,Products!$A$5:$A$24,0)),"OK","Mismatch")</f>
        <v>OK</v>
      </c>
      <c r="I201" s="39" t="str">
        <f aca="false">IF(COUNTIF($A$5:A201,A201)&gt;1,"Duplicate","Unique")</f>
        <v>Unique</v>
      </c>
      <c r="J201" s="39" t="str">
        <f aca="false">IF(I201="Duplicate","Remove",IF(H201="Mismatch","Exclude","Keep"))</f>
        <v>Keep</v>
      </c>
    </row>
    <row r="202" customFormat="false" ht="15" hidden="false" customHeight="false" outlineLevel="0" collapsed="false">
      <c r="A202" s="39" t="s">
        <v>320</v>
      </c>
      <c r="B202" s="40" t="n">
        <v>45684</v>
      </c>
      <c r="C202" s="39" t="s">
        <v>169</v>
      </c>
      <c r="D202" s="39" t="n">
        <v>5</v>
      </c>
      <c r="E202" s="41" t="n">
        <v>28.39</v>
      </c>
      <c r="F202" s="39" t="s">
        <v>105</v>
      </c>
      <c r="G202" s="39" t="str">
        <f aca="false">UPPER(TRIM(C202))</f>
        <v>P004</v>
      </c>
      <c r="H202" s="39" t="str">
        <f aca="false">IF(ISNUMBER(MATCH(G202,Products!$A$5:$A$24,0)),"OK","Mismatch")</f>
        <v>OK</v>
      </c>
      <c r="I202" s="39" t="str">
        <f aca="false">IF(COUNTIF($A$5:A202,A202)&gt;1,"Duplicate","Unique")</f>
        <v>Unique</v>
      </c>
      <c r="J202" s="39" t="str">
        <f aca="false">IF(I202="Duplicate","Remove",IF(H202="Mismatch","Exclude","Keep"))</f>
        <v>Keep</v>
      </c>
    </row>
    <row r="203" customFormat="false" ht="15" hidden="false" customHeight="false" outlineLevel="0" collapsed="false">
      <c r="A203" s="39" t="s">
        <v>321</v>
      </c>
      <c r="B203" s="40" t="n">
        <v>45684</v>
      </c>
      <c r="C203" s="39" t="s">
        <v>104</v>
      </c>
      <c r="D203" s="39" t="n">
        <v>3</v>
      </c>
      <c r="E203" s="41" t="n">
        <v>14.93</v>
      </c>
      <c r="F203" s="39" t="s">
        <v>108</v>
      </c>
      <c r="G203" s="39" t="str">
        <f aca="false">UPPER(TRIM(C203))</f>
        <v>P015</v>
      </c>
      <c r="H203" s="39" t="str">
        <f aca="false">IF(ISNUMBER(MATCH(G203,Products!$A$5:$A$24,0)),"OK","Mismatch")</f>
        <v>OK</v>
      </c>
      <c r="I203" s="39" t="str">
        <f aca="false">IF(COUNTIF($A$5:A203,A203)&gt;1,"Duplicate","Unique")</f>
        <v>Unique</v>
      </c>
      <c r="J203" s="39" t="str">
        <f aca="false">IF(I203="Duplicate","Remove",IF(H203="Mismatch","Exclude","Keep"))</f>
        <v>Keep</v>
      </c>
    </row>
    <row r="204" customFormat="false" ht="15" hidden="false" customHeight="false" outlineLevel="0" collapsed="false">
      <c r="A204" s="39" t="s">
        <v>322</v>
      </c>
      <c r="B204" s="40" t="n">
        <v>45684</v>
      </c>
      <c r="C204" s="39" t="s">
        <v>177</v>
      </c>
      <c r="D204" s="39" t="n">
        <v>1</v>
      </c>
      <c r="E204" s="41" t="n">
        <v>43.36</v>
      </c>
      <c r="F204" s="39" t="s">
        <v>118</v>
      </c>
      <c r="G204" s="39" t="str">
        <f aca="false">UPPER(TRIM(C204))</f>
        <v>P014</v>
      </c>
      <c r="H204" s="39" t="str">
        <f aca="false">IF(ISNUMBER(MATCH(G204,Products!$A$5:$A$24,0)),"OK","Mismatch")</f>
        <v>OK</v>
      </c>
      <c r="I204" s="39" t="str">
        <f aca="false">IF(COUNTIF($A$5:A204,A204)&gt;1,"Duplicate","Unique")</f>
        <v>Unique</v>
      </c>
      <c r="J204" s="39" t="str">
        <f aca="false">IF(I204="Duplicate","Remove",IF(H204="Mismatch","Exclude","Keep"))</f>
        <v>Keep</v>
      </c>
    </row>
    <row r="205" customFormat="false" ht="15" hidden="false" customHeight="false" outlineLevel="0" collapsed="false">
      <c r="A205" s="39" t="s">
        <v>323</v>
      </c>
      <c r="B205" s="40" t="n">
        <v>45685</v>
      </c>
      <c r="C205" s="39" t="s">
        <v>114</v>
      </c>
      <c r="D205" s="39" t="n">
        <v>2</v>
      </c>
      <c r="E205" s="41" t="n">
        <v>5.74</v>
      </c>
      <c r="F205" s="39" t="s">
        <v>115</v>
      </c>
      <c r="G205" s="39" t="str">
        <f aca="false">UPPER(TRIM(C205))</f>
        <v>P012</v>
      </c>
      <c r="H205" s="39" t="str">
        <f aca="false">IF(ISNUMBER(MATCH(G205,Products!$A$5:$A$24,0)),"OK","Mismatch")</f>
        <v>OK</v>
      </c>
      <c r="I205" s="39" t="str">
        <f aca="false">IF(COUNTIF($A$5:A205,A205)&gt;1,"Duplicate","Unique")</f>
        <v>Unique</v>
      </c>
      <c r="J205" s="39" t="str">
        <f aca="false">IF(I205="Duplicate","Remove",IF(H205="Mismatch","Exclude","Keep"))</f>
        <v>Keep</v>
      </c>
    </row>
    <row r="206" customFormat="false" ht="15" hidden="false" customHeight="false" outlineLevel="0" collapsed="false">
      <c r="A206" s="39" t="s">
        <v>324</v>
      </c>
      <c r="B206" s="40" t="n">
        <v>45685</v>
      </c>
      <c r="C206" s="39" t="s">
        <v>114</v>
      </c>
      <c r="D206" s="39" t="n">
        <v>4</v>
      </c>
      <c r="E206" s="41" t="n">
        <v>5.54</v>
      </c>
      <c r="F206" s="39" t="s">
        <v>118</v>
      </c>
      <c r="G206" s="39" t="str">
        <f aca="false">UPPER(TRIM(C206))</f>
        <v>P012</v>
      </c>
      <c r="H206" s="39" t="str">
        <f aca="false">IF(ISNUMBER(MATCH(G206,Products!$A$5:$A$24,0)),"OK","Mismatch")</f>
        <v>OK</v>
      </c>
      <c r="I206" s="39" t="str">
        <f aca="false">IF(COUNTIF($A$5:A206,A206)&gt;1,"Duplicate","Unique")</f>
        <v>Unique</v>
      </c>
      <c r="J206" s="39" t="str">
        <f aca="false">IF(I206="Duplicate","Remove",IF(H206="Mismatch","Exclude","Keep"))</f>
        <v>Keep</v>
      </c>
    </row>
    <row r="207" customFormat="false" ht="15" hidden="false" customHeight="false" outlineLevel="0" collapsed="false">
      <c r="A207" s="39" t="s">
        <v>325</v>
      </c>
      <c r="B207" s="40" t="n">
        <v>45685</v>
      </c>
      <c r="C207" s="39" t="s">
        <v>121</v>
      </c>
      <c r="D207" s="39" t="n">
        <v>8</v>
      </c>
      <c r="E207" s="41" t="n">
        <v>114.56</v>
      </c>
      <c r="F207" s="39" t="s">
        <v>115</v>
      </c>
      <c r="G207" s="39" t="str">
        <f aca="false">UPPER(TRIM(C207))</f>
        <v>P018</v>
      </c>
      <c r="H207" s="39" t="str">
        <f aca="false">IF(ISNUMBER(MATCH(G207,Products!$A$5:$A$24,0)),"OK","Mismatch")</f>
        <v>OK</v>
      </c>
      <c r="I207" s="39" t="str">
        <f aca="false">IF(COUNTIF($A$5:A207,A207)&gt;1,"Duplicate","Unique")</f>
        <v>Unique</v>
      </c>
      <c r="J207" s="39" t="str">
        <f aca="false">IF(I207="Duplicate","Remove",IF(H207="Mismatch","Exclude","Keep"))</f>
        <v>Keep</v>
      </c>
    </row>
    <row r="208" customFormat="false" ht="15" hidden="false" customHeight="false" outlineLevel="0" collapsed="false">
      <c r="A208" s="39" t="s">
        <v>326</v>
      </c>
      <c r="B208" s="40" t="n">
        <v>45685</v>
      </c>
      <c r="C208" s="39" t="s">
        <v>130</v>
      </c>
      <c r="D208" s="39" t="n">
        <v>2</v>
      </c>
      <c r="E208" s="41" t="n">
        <v>8.39</v>
      </c>
      <c r="F208" s="39" t="s">
        <v>118</v>
      </c>
      <c r="G208" s="39" t="str">
        <f aca="false">UPPER(TRIM(C208))</f>
        <v>P011</v>
      </c>
      <c r="H208" s="39" t="str">
        <f aca="false">IF(ISNUMBER(MATCH(G208,Products!$A$5:$A$24,0)),"OK","Mismatch")</f>
        <v>OK</v>
      </c>
      <c r="I208" s="39" t="str">
        <f aca="false">IF(COUNTIF($A$5:A208,A208)&gt;1,"Duplicate","Unique")</f>
        <v>Unique</v>
      </c>
      <c r="J208" s="39" t="str">
        <f aca="false">IF(I208="Duplicate","Remove",IF(H208="Mismatch","Exclude","Keep"))</f>
        <v>Keep</v>
      </c>
    </row>
    <row r="209" customFormat="false" ht="15" hidden="false" customHeight="false" outlineLevel="0" collapsed="false">
      <c r="A209" s="39" t="s">
        <v>327</v>
      </c>
      <c r="B209" s="40" t="n">
        <v>45685</v>
      </c>
      <c r="C209" s="39" t="s">
        <v>107</v>
      </c>
      <c r="D209" s="39" t="n">
        <v>1</v>
      </c>
      <c r="E209" s="41" t="n">
        <v>34.38</v>
      </c>
      <c r="F209" s="39" t="s">
        <v>108</v>
      </c>
      <c r="G209" s="39" t="str">
        <f aca="false">UPPER(TRIM(C209))</f>
        <v>P003</v>
      </c>
      <c r="H209" s="39" t="str">
        <f aca="false">IF(ISNUMBER(MATCH(G209,Products!$A$5:$A$24,0)),"OK","Mismatch")</f>
        <v>OK</v>
      </c>
      <c r="I209" s="39" t="str">
        <f aca="false">IF(COUNTIF($A$5:A209,A209)&gt;1,"Duplicate","Unique")</f>
        <v>Unique</v>
      </c>
      <c r="J209" s="39" t="str">
        <f aca="false">IF(I209="Duplicate","Remove",IF(H209="Mismatch","Exclude","Keep"))</f>
        <v>Keep</v>
      </c>
    </row>
    <row r="210" customFormat="false" ht="15" hidden="false" customHeight="false" outlineLevel="0" collapsed="false">
      <c r="A210" s="39" t="s">
        <v>328</v>
      </c>
      <c r="B210" s="40" t="n">
        <v>45685</v>
      </c>
      <c r="C210" s="39" t="s">
        <v>305</v>
      </c>
      <c r="D210" s="39" t="n">
        <v>4</v>
      </c>
      <c r="E210" s="41" t="n">
        <v>334.74</v>
      </c>
      <c r="F210" s="39" t="s">
        <v>105</v>
      </c>
      <c r="G210" s="39" t="str">
        <f aca="false">UPPER(TRIM(C210))</f>
        <v>P008</v>
      </c>
      <c r="H210" s="39" t="str">
        <f aca="false">IF(ISNUMBER(MATCH(G210,Products!$A$5:$A$24,0)),"OK","Mismatch")</f>
        <v>OK</v>
      </c>
      <c r="I210" s="39" t="str">
        <f aca="false">IF(COUNTIF($A$5:A210,A210)&gt;1,"Duplicate","Unique")</f>
        <v>Unique</v>
      </c>
      <c r="J210" s="39" t="str">
        <f aca="false">IF(I210="Duplicate","Remove",IF(H210="Mismatch","Exclude","Keep"))</f>
        <v>Keep</v>
      </c>
    </row>
    <row r="211" customFormat="false" ht="15" hidden="false" customHeight="false" outlineLevel="0" collapsed="false">
      <c r="A211" s="39" t="s">
        <v>329</v>
      </c>
      <c r="B211" s="40" t="n">
        <v>45689</v>
      </c>
      <c r="C211" s="39" t="s">
        <v>162</v>
      </c>
      <c r="D211" s="39" t="n">
        <v>1</v>
      </c>
      <c r="E211" s="41" t="n">
        <v>64.22</v>
      </c>
      <c r="F211" s="39" t="s">
        <v>115</v>
      </c>
      <c r="G211" s="39" t="str">
        <f aca="false">UPPER(TRIM(C211))</f>
        <v>P017</v>
      </c>
      <c r="H211" s="39" t="str">
        <f aca="false">IF(ISNUMBER(MATCH(G211,Products!$A$5:$A$24,0)),"OK","Mismatch")</f>
        <v>OK</v>
      </c>
      <c r="I211" s="39" t="str">
        <f aca="false">IF(COUNTIF($A$5:A211,A211)&gt;1,"Duplicate","Unique")</f>
        <v>Unique</v>
      </c>
      <c r="J211" s="39" t="str">
        <f aca="false">IF(I211="Duplicate","Remove",IF(H211="Mismatch","Exclude","Keep"))</f>
        <v>Keep</v>
      </c>
    </row>
    <row r="212" customFormat="false" ht="15" hidden="false" customHeight="false" outlineLevel="0" collapsed="false">
      <c r="A212" s="39" t="s">
        <v>330</v>
      </c>
      <c r="B212" s="40" t="n">
        <v>45689</v>
      </c>
      <c r="C212" s="39" t="s">
        <v>110</v>
      </c>
      <c r="D212" s="39" t="n">
        <v>4</v>
      </c>
      <c r="E212" s="41" t="n">
        <v>13.46</v>
      </c>
      <c r="F212" s="39" t="s">
        <v>115</v>
      </c>
      <c r="G212" s="39" t="str">
        <f aca="false">UPPER(TRIM(C212))</f>
        <v>P016</v>
      </c>
      <c r="H212" s="39" t="str">
        <f aca="false">IF(ISNUMBER(MATCH(G212,Products!$A$5:$A$24,0)),"OK","Mismatch")</f>
        <v>OK</v>
      </c>
      <c r="I212" s="39" t="str">
        <f aca="false">IF(COUNTIF($A$5:A212,A212)&gt;1,"Duplicate","Unique")</f>
        <v>Unique</v>
      </c>
      <c r="J212" s="39" t="str">
        <f aca="false">IF(I212="Duplicate","Remove",IF(H212="Mismatch","Exclude","Keep"))</f>
        <v>Keep</v>
      </c>
    </row>
    <row r="213" customFormat="false" ht="15" hidden="false" customHeight="false" outlineLevel="0" collapsed="false">
      <c r="A213" s="39" t="s">
        <v>331</v>
      </c>
      <c r="B213" s="40" t="n">
        <v>45689</v>
      </c>
      <c r="C213" s="39" t="s">
        <v>130</v>
      </c>
      <c r="D213" s="39" t="n">
        <v>3</v>
      </c>
      <c r="E213" s="41" t="n">
        <v>8.79</v>
      </c>
      <c r="F213" s="39" t="s">
        <v>118</v>
      </c>
      <c r="G213" s="39" t="str">
        <f aca="false">UPPER(TRIM(C213))</f>
        <v>P011</v>
      </c>
      <c r="H213" s="39" t="str">
        <f aca="false">IF(ISNUMBER(MATCH(G213,Products!$A$5:$A$24,0)),"OK","Mismatch")</f>
        <v>OK</v>
      </c>
      <c r="I213" s="39" t="str">
        <f aca="false">IF(COUNTIF($A$5:A213,A213)&gt;1,"Duplicate","Unique")</f>
        <v>Unique</v>
      </c>
      <c r="J213" s="39" t="str">
        <f aca="false">IF(I213="Duplicate","Remove",IF(H213="Mismatch","Exclude","Keep"))</f>
        <v>Keep</v>
      </c>
    </row>
    <row r="214" customFormat="false" ht="15" hidden="false" customHeight="false" outlineLevel="0" collapsed="false">
      <c r="A214" s="39" t="s">
        <v>332</v>
      </c>
      <c r="B214" s="40" t="n">
        <v>45689</v>
      </c>
      <c r="C214" s="39" t="s">
        <v>112</v>
      </c>
      <c r="D214" s="39" t="n">
        <v>1</v>
      </c>
      <c r="E214" s="41" t="n">
        <v>50.95</v>
      </c>
      <c r="F214" s="39" t="s">
        <v>105</v>
      </c>
      <c r="G214" s="39" t="str">
        <f aca="false">UPPER(TRIM(C214))</f>
        <v>P005</v>
      </c>
      <c r="H214" s="39" t="str">
        <f aca="false">IF(ISNUMBER(MATCH(G214,Products!$A$5:$A$24,0)),"OK","Mismatch")</f>
        <v>OK</v>
      </c>
      <c r="I214" s="39" t="str">
        <f aca="false">IF(COUNTIF($A$5:A214,A214)&gt;1,"Duplicate","Unique")</f>
        <v>Unique</v>
      </c>
      <c r="J214" s="39" t="str">
        <f aca="false">IF(I214="Duplicate","Remove",IF(H214="Mismatch","Exclude","Keep"))</f>
        <v>Keep</v>
      </c>
    </row>
    <row r="215" customFormat="false" ht="15" hidden="false" customHeight="false" outlineLevel="0" collapsed="false">
      <c r="A215" s="39" t="s">
        <v>333</v>
      </c>
      <c r="B215" s="40" t="n">
        <v>45689</v>
      </c>
      <c r="C215" s="39" t="s">
        <v>117</v>
      </c>
      <c r="D215" s="39" t="n">
        <v>1</v>
      </c>
      <c r="E215" s="41" t="n">
        <v>31.09</v>
      </c>
      <c r="F215" s="39" t="s">
        <v>108</v>
      </c>
      <c r="G215" s="39" t="str">
        <f aca="false">UPPER(TRIM(C215))</f>
        <v>P009</v>
      </c>
      <c r="H215" s="39" t="str">
        <f aca="false">IF(ISNUMBER(MATCH(G215,Products!$A$5:$A$24,0)),"OK","Mismatch")</f>
        <v>OK</v>
      </c>
      <c r="I215" s="39" t="str">
        <f aca="false">IF(COUNTIF($A$5:A215,A215)&gt;1,"Duplicate","Unique")</f>
        <v>Unique</v>
      </c>
      <c r="J215" s="39" t="str">
        <f aca="false">IF(I215="Duplicate","Remove",IF(H215="Mismatch","Exclude","Keep"))</f>
        <v>Keep</v>
      </c>
    </row>
    <row r="216" customFormat="false" ht="15" hidden="false" customHeight="false" outlineLevel="0" collapsed="false">
      <c r="A216" s="39" t="s">
        <v>334</v>
      </c>
      <c r="B216" s="40" t="n">
        <v>45689</v>
      </c>
      <c r="C216" s="39" t="s">
        <v>177</v>
      </c>
      <c r="D216" s="39" t="n">
        <v>3</v>
      </c>
      <c r="E216" s="41" t="n">
        <v>43.69</v>
      </c>
      <c r="F216" s="39" t="s">
        <v>108</v>
      </c>
      <c r="G216" s="39" t="str">
        <f aca="false">UPPER(TRIM(C216))</f>
        <v>P014</v>
      </c>
      <c r="H216" s="39" t="str">
        <f aca="false">IF(ISNUMBER(MATCH(G216,Products!$A$5:$A$24,0)),"OK","Mismatch")</f>
        <v>OK</v>
      </c>
      <c r="I216" s="39" t="str">
        <f aca="false">IF(COUNTIF($A$5:A216,A216)&gt;1,"Duplicate","Unique")</f>
        <v>Unique</v>
      </c>
      <c r="J216" s="39" t="str">
        <f aca="false">IF(I216="Duplicate","Remove",IF(H216="Mismatch","Exclude","Keep"))</f>
        <v>Keep</v>
      </c>
    </row>
    <row r="217" customFormat="false" ht="15" hidden="false" customHeight="false" outlineLevel="0" collapsed="false">
      <c r="A217" s="39" t="s">
        <v>335</v>
      </c>
      <c r="B217" s="40" t="n">
        <v>45689</v>
      </c>
      <c r="C217" s="39" t="s">
        <v>114</v>
      </c>
      <c r="D217" s="39" t="n">
        <v>3</v>
      </c>
      <c r="E217" s="41" t="n">
        <v>5.81</v>
      </c>
      <c r="F217" s="39" t="s">
        <v>115</v>
      </c>
      <c r="G217" s="39" t="str">
        <f aca="false">UPPER(TRIM(C217))</f>
        <v>P012</v>
      </c>
      <c r="H217" s="39" t="str">
        <f aca="false">IF(ISNUMBER(MATCH(G217,Products!$A$5:$A$24,0)),"OK","Mismatch")</f>
        <v>OK</v>
      </c>
      <c r="I217" s="39" t="str">
        <f aca="false">IF(COUNTIF($A$5:A217,A217)&gt;1,"Duplicate","Unique")</f>
        <v>Unique</v>
      </c>
      <c r="J217" s="39" t="str">
        <f aca="false">IF(I217="Duplicate","Remove",IF(H217="Mismatch","Exclude","Keep"))</f>
        <v>Keep</v>
      </c>
    </row>
    <row r="218" customFormat="false" ht="15" hidden="false" customHeight="false" outlineLevel="0" collapsed="false">
      <c r="A218" s="39" t="s">
        <v>336</v>
      </c>
      <c r="B218" s="40" t="n">
        <v>45689</v>
      </c>
      <c r="C218" s="39" t="s">
        <v>128</v>
      </c>
      <c r="D218" s="39" t="n">
        <v>2</v>
      </c>
      <c r="E218" s="41" t="n">
        <v>38.32</v>
      </c>
      <c r="F218" s="39" t="s">
        <v>108</v>
      </c>
      <c r="G218" s="39" t="str">
        <f aca="false">UPPER(TRIM(C218))</f>
        <v>P020</v>
      </c>
      <c r="H218" s="39" t="str">
        <f aca="false">IF(ISNUMBER(MATCH(G218,Products!$A$5:$A$24,0)),"OK","Mismatch")</f>
        <v>OK</v>
      </c>
      <c r="I218" s="39" t="str">
        <f aca="false">IF(COUNTIF($A$5:A218,A218)&gt;1,"Duplicate","Unique")</f>
        <v>Unique</v>
      </c>
      <c r="J218" s="39" t="str">
        <f aca="false">IF(I218="Duplicate","Remove",IF(H218="Mismatch","Exclude","Keep"))</f>
        <v>Keep</v>
      </c>
    </row>
    <row r="219" customFormat="false" ht="15" hidden="false" customHeight="false" outlineLevel="0" collapsed="false">
      <c r="A219" s="39" t="s">
        <v>337</v>
      </c>
      <c r="B219" s="40" t="n">
        <v>45690</v>
      </c>
      <c r="C219" s="39" t="s">
        <v>130</v>
      </c>
      <c r="D219" s="39" t="n">
        <v>8</v>
      </c>
      <c r="E219" s="41" t="n">
        <v>8.62</v>
      </c>
      <c r="F219" s="39" t="s">
        <v>108</v>
      </c>
      <c r="G219" s="39" t="str">
        <f aca="false">UPPER(TRIM(C219))</f>
        <v>P011</v>
      </c>
      <c r="H219" s="39" t="str">
        <f aca="false">IF(ISNUMBER(MATCH(G219,Products!$A$5:$A$24,0)),"OK","Mismatch")</f>
        <v>OK</v>
      </c>
      <c r="I219" s="39" t="str">
        <f aca="false">IF(COUNTIF($A$5:A219,A219)&gt;1,"Duplicate","Unique")</f>
        <v>Unique</v>
      </c>
      <c r="J219" s="39" t="str">
        <f aca="false">IF(I219="Duplicate","Remove",IF(H219="Mismatch","Exclude","Keep"))</f>
        <v>Keep</v>
      </c>
    </row>
    <row r="220" customFormat="false" ht="15" hidden="false" customHeight="false" outlineLevel="0" collapsed="false">
      <c r="A220" s="39" t="s">
        <v>338</v>
      </c>
      <c r="B220" s="40" t="n">
        <v>45690</v>
      </c>
      <c r="C220" s="39" t="s">
        <v>121</v>
      </c>
      <c r="D220" s="39" t="n">
        <v>3</v>
      </c>
      <c r="E220" s="41" t="n">
        <v>111.08</v>
      </c>
      <c r="F220" s="39" t="s">
        <v>108</v>
      </c>
      <c r="G220" s="39" t="str">
        <f aca="false">UPPER(TRIM(C220))</f>
        <v>P018</v>
      </c>
      <c r="H220" s="39" t="str">
        <f aca="false">IF(ISNUMBER(MATCH(G220,Products!$A$5:$A$24,0)),"OK","Mismatch")</f>
        <v>OK</v>
      </c>
      <c r="I220" s="39" t="str">
        <f aca="false">IF(COUNTIF($A$5:A220,A220)&gt;1,"Duplicate","Unique")</f>
        <v>Unique</v>
      </c>
      <c r="J220" s="39" t="str">
        <f aca="false">IF(I220="Duplicate","Remove",IF(H220="Mismatch","Exclude","Keep"))</f>
        <v>Keep</v>
      </c>
    </row>
    <row r="221" customFormat="false" ht="15" hidden="false" customHeight="false" outlineLevel="0" collapsed="false">
      <c r="A221" s="39" t="s">
        <v>339</v>
      </c>
      <c r="B221" s="40" t="n">
        <v>45690</v>
      </c>
      <c r="C221" s="39" t="s">
        <v>112</v>
      </c>
      <c r="D221" s="39" t="n">
        <v>2</v>
      </c>
      <c r="E221" s="41" t="n">
        <v>50.88</v>
      </c>
      <c r="F221" s="39" t="s">
        <v>118</v>
      </c>
      <c r="G221" s="39" t="str">
        <f aca="false">UPPER(TRIM(C221))</f>
        <v>P005</v>
      </c>
      <c r="H221" s="39" t="str">
        <f aca="false">IF(ISNUMBER(MATCH(G221,Products!$A$5:$A$24,0)),"OK","Mismatch")</f>
        <v>OK</v>
      </c>
      <c r="I221" s="39" t="str">
        <f aca="false">IF(COUNTIF($A$5:A221,A221)&gt;1,"Duplicate","Unique")</f>
        <v>Unique</v>
      </c>
      <c r="J221" s="39" t="str">
        <f aca="false">IF(I221="Duplicate","Remove",IF(H221="Mismatch","Exclude","Keep"))</f>
        <v>Keep</v>
      </c>
    </row>
    <row r="222" customFormat="false" ht="15" hidden="false" customHeight="false" outlineLevel="0" collapsed="false">
      <c r="A222" s="39" t="s">
        <v>340</v>
      </c>
      <c r="B222" s="40" t="n">
        <v>45690</v>
      </c>
      <c r="C222" s="39" t="s">
        <v>110</v>
      </c>
      <c r="D222" s="39" t="n">
        <v>2</v>
      </c>
      <c r="E222" s="41" t="n">
        <v>13.34</v>
      </c>
      <c r="F222" s="39" t="s">
        <v>105</v>
      </c>
      <c r="G222" s="39" t="str">
        <f aca="false">UPPER(TRIM(C222))</f>
        <v>P016</v>
      </c>
      <c r="H222" s="39" t="str">
        <f aca="false">IF(ISNUMBER(MATCH(G222,Products!$A$5:$A$24,0)),"OK","Mismatch")</f>
        <v>OK</v>
      </c>
      <c r="I222" s="39" t="str">
        <f aca="false">IF(COUNTIF($A$5:A222,A222)&gt;1,"Duplicate","Unique")</f>
        <v>Unique</v>
      </c>
      <c r="J222" s="39" t="str">
        <f aca="false">IF(I222="Duplicate","Remove",IF(H222="Mismatch","Exclude","Keep"))</f>
        <v>Keep</v>
      </c>
    </row>
    <row r="223" customFormat="false" ht="15" hidden="false" customHeight="false" outlineLevel="0" collapsed="false">
      <c r="A223" s="39" t="s">
        <v>341</v>
      </c>
      <c r="B223" s="40" t="n">
        <v>45690</v>
      </c>
      <c r="C223" s="39" t="s">
        <v>130</v>
      </c>
      <c r="D223" s="39" t="n">
        <v>3</v>
      </c>
      <c r="E223" s="41" t="n">
        <v>8.7</v>
      </c>
      <c r="F223" s="39" t="s">
        <v>115</v>
      </c>
      <c r="G223" s="39" t="str">
        <f aca="false">UPPER(TRIM(C223))</f>
        <v>P011</v>
      </c>
      <c r="H223" s="39" t="str">
        <f aca="false">IF(ISNUMBER(MATCH(G223,Products!$A$5:$A$24,0)),"OK","Mismatch")</f>
        <v>OK</v>
      </c>
      <c r="I223" s="39" t="str">
        <f aca="false">IF(COUNTIF($A$5:A223,A223)&gt;1,"Duplicate","Unique")</f>
        <v>Unique</v>
      </c>
      <c r="J223" s="39" t="str">
        <f aca="false">IF(I223="Duplicate","Remove",IF(H223="Mismatch","Exclude","Keep"))</f>
        <v>Keep</v>
      </c>
    </row>
    <row r="224" customFormat="false" ht="15" hidden="false" customHeight="false" outlineLevel="0" collapsed="false">
      <c r="A224" s="39" t="s">
        <v>342</v>
      </c>
      <c r="B224" s="40" t="n">
        <v>45690</v>
      </c>
      <c r="C224" s="39" t="s">
        <v>133</v>
      </c>
      <c r="D224" s="39" t="n">
        <v>4</v>
      </c>
      <c r="E224" s="41" t="n">
        <v>8.84</v>
      </c>
      <c r="F224" s="39" t="s">
        <v>118</v>
      </c>
      <c r="G224" s="39" t="str">
        <f aca="false">UPPER(TRIM(C224))</f>
        <v>P019</v>
      </c>
      <c r="H224" s="39" t="str">
        <f aca="false">IF(ISNUMBER(MATCH(G224,Products!$A$5:$A$24,0)),"OK","Mismatch")</f>
        <v>OK</v>
      </c>
      <c r="I224" s="39" t="str">
        <f aca="false">IF(COUNTIF($A$5:A224,A224)&gt;1,"Duplicate","Unique")</f>
        <v>Unique</v>
      </c>
      <c r="J224" s="39" t="str">
        <f aca="false">IF(I224="Duplicate","Remove",IF(H224="Mismatch","Exclude","Keep"))</f>
        <v>Keep</v>
      </c>
    </row>
    <row r="225" customFormat="false" ht="15" hidden="false" customHeight="false" outlineLevel="0" collapsed="false">
      <c r="A225" s="39" t="s">
        <v>343</v>
      </c>
      <c r="B225" s="40" t="n">
        <v>45690</v>
      </c>
      <c r="C225" s="39" t="s">
        <v>112</v>
      </c>
      <c r="D225" s="39" t="n">
        <v>2</v>
      </c>
      <c r="E225" s="41" t="n">
        <v>54.01</v>
      </c>
      <c r="F225" s="39" t="s">
        <v>115</v>
      </c>
      <c r="G225" s="39" t="str">
        <f aca="false">UPPER(TRIM(C225))</f>
        <v>P005</v>
      </c>
      <c r="H225" s="39" t="str">
        <f aca="false">IF(ISNUMBER(MATCH(G225,Products!$A$5:$A$24,0)),"OK","Mismatch")</f>
        <v>OK</v>
      </c>
      <c r="I225" s="39" t="str">
        <f aca="false">IF(COUNTIF($A$5:A225,A225)&gt;1,"Duplicate","Unique")</f>
        <v>Unique</v>
      </c>
      <c r="J225" s="39" t="str">
        <f aca="false">IF(I225="Duplicate","Remove",IF(H225="Mismatch","Exclude","Keep"))</f>
        <v>Keep</v>
      </c>
    </row>
    <row r="226" customFormat="false" ht="15" hidden="false" customHeight="false" outlineLevel="0" collapsed="false">
      <c r="A226" s="39" t="s">
        <v>344</v>
      </c>
      <c r="B226" s="40" t="n">
        <v>45690</v>
      </c>
      <c r="C226" s="39" t="s">
        <v>130</v>
      </c>
      <c r="D226" s="39" t="n">
        <v>5</v>
      </c>
      <c r="E226" s="41" t="n">
        <v>8.77</v>
      </c>
      <c r="F226" s="39" t="s">
        <v>108</v>
      </c>
      <c r="G226" s="39" t="str">
        <f aca="false">UPPER(TRIM(C226))</f>
        <v>P011</v>
      </c>
      <c r="H226" s="39" t="str">
        <f aca="false">IF(ISNUMBER(MATCH(G226,Products!$A$5:$A$24,0)),"OK","Mismatch")</f>
        <v>OK</v>
      </c>
      <c r="I226" s="39" t="str">
        <f aca="false">IF(COUNTIF($A$5:A226,A226)&gt;1,"Duplicate","Unique")</f>
        <v>Unique</v>
      </c>
      <c r="J226" s="39" t="str">
        <f aca="false">IF(I226="Duplicate","Remove",IF(H226="Mismatch","Exclude","Keep"))</f>
        <v>Keep</v>
      </c>
    </row>
    <row r="227" customFormat="false" ht="15" hidden="false" customHeight="false" outlineLevel="0" collapsed="false">
      <c r="A227" s="39" t="s">
        <v>345</v>
      </c>
      <c r="B227" s="40" t="n">
        <v>45690</v>
      </c>
      <c r="C227" s="39" t="s">
        <v>117</v>
      </c>
      <c r="D227" s="39" t="n">
        <v>3</v>
      </c>
      <c r="E227" s="41" t="n">
        <v>31.07</v>
      </c>
      <c r="F227" s="39" t="s">
        <v>118</v>
      </c>
      <c r="G227" s="39" t="str">
        <f aca="false">UPPER(TRIM(C227))</f>
        <v>P009</v>
      </c>
      <c r="H227" s="39" t="str">
        <f aca="false">IF(ISNUMBER(MATCH(G227,Products!$A$5:$A$24,0)),"OK","Mismatch")</f>
        <v>OK</v>
      </c>
      <c r="I227" s="39" t="str">
        <f aca="false">IF(COUNTIF($A$5:A227,A227)&gt;1,"Duplicate","Unique")</f>
        <v>Unique</v>
      </c>
      <c r="J227" s="39" t="str">
        <f aca="false">IF(I227="Duplicate","Remove",IF(H227="Mismatch","Exclude","Keep"))</f>
        <v>Keep</v>
      </c>
    </row>
    <row r="228" customFormat="false" ht="15" hidden="false" customHeight="false" outlineLevel="0" collapsed="false">
      <c r="A228" s="39" t="s">
        <v>346</v>
      </c>
      <c r="B228" s="40" t="n">
        <v>45690</v>
      </c>
      <c r="C228" s="39" t="s">
        <v>121</v>
      </c>
      <c r="D228" s="39" t="n">
        <v>2</v>
      </c>
      <c r="E228" s="41" t="n">
        <v>116.49</v>
      </c>
      <c r="F228" s="39" t="s">
        <v>105</v>
      </c>
      <c r="G228" s="39" t="str">
        <f aca="false">UPPER(TRIM(C228))</f>
        <v>P018</v>
      </c>
      <c r="H228" s="39" t="str">
        <f aca="false">IF(ISNUMBER(MATCH(G228,Products!$A$5:$A$24,0)),"OK","Mismatch")</f>
        <v>OK</v>
      </c>
      <c r="I228" s="39" t="str">
        <f aca="false">IF(COUNTIF($A$5:A228,A228)&gt;1,"Duplicate","Unique")</f>
        <v>Unique</v>
      </c>
      <c r="J228" s="39" t="str">
        <f aca="false">IF(I228="Duplicate","Remove",IF(H228="Mismatch","Exclude","Keep"))</f>
        <v>Keep</v>
      </c>
    </row>
    <row r="229" customFormat="false" ht="15" hidden="false" customHeight="false" outlineLevel="0" collapsed="false">
      <c r="A229" s="39" t="s">
        <v>347</v>
      </c>
      <c r="B229" s="40" t="n">
        <v>45690</v>
      </c>
      <c r="C229" s="39" t="s">
        <v>162</v>
      </c>
      <c r="D229" s="39" t="n">
        <v>5</v>
      </c>
      <c r="E229" s="41" t="n">
        <v>68.7</v>
      </c>
      <c r="F229" s="39" t="s">
        <v>108</v>
      </c>
      <c r="G229" s="39" t="str">
        <f aca="false">UPPER(TRIM(C229))</f>
        <v>P017</v>
      </c>
      <c r="H229" s="39" t="str">
        <f aca="false">IF(ISNUMBER(MATCH(G229,Products!$A$5:$A$24,0)),"OK","Mismatch")</f>
        <v>OK</v>
      </c>
      <c r="I229" s="39" t="str">
        <f aca="false">IF(COUNTIF($A$5:A229,A229)&gt;1,"Duplicate","Unique")</f>
        <v>Unique</v>
      </c>
      <c r="J229" s="39" t="str">
        <f aca="false">IF(I229="Duplicate","Remove",IF(H229="Mismatch","Exclude","Keep"))</f>
        <v>Keep</v>
      </c>
    </row>
    <row r="230" customFormat="false" ht="15" hidden="false" customHeight="false" outlineLevel="0" collapsed="false">
      <c r="A230" s="39" t="s">
        <v>348</v>
      </c>
      <c r="B230" s="40" t="n">
        <v>45690</v>
      </c>
      <c r="C230" s="39" t="s">
        <v>121</v>
      </c>
      <c r="D230" s="39" t="n">
        <v>5</v>
      </c>
      <c r="E230" s="41" t="n">
        <v>118.26</v>
      </c>
      <c r="F230" s="39" t="s">
        <v>108</v>
      </c>
      <c r="G230" s="39" t="str">
        <f aca="false">UPPER(TRIM(C230))</f>
        <v>P018</v>
      </c>
      <c r="H230" s="39" t="str">
        <f aca="false">IF(ISNUMBER(MATCH(G230,Products!$A$5:$A$24,0)),"OK","Mismatch")</f>
        <v>OK</v>
      </c>
      <c r="I230" s="39" t="str">
        <f aca="false">IF(COUNTIF($A$5:A230,A230)&gt;1,"Duplicate","Unique")</f>
        <v>Unique</v>
      </c>
      <c r="J230" s="39" t="str">
        <f aca="false">IF(I230="Duplicate","Remove",IF(H230="Mismatch","Exclude","Keep"))</f>
        <v>Keep</v>
      </c>
    </row>
    <row r="231" customFormat="false" ht="15" hidden="false" customHeight="false" outlineLevel="0" collapsed="false">
      <c r="A231" s="39" t="s">
        <v>349</v>
      </c>
      <c r="B231" s="40" t="n">
        <v>45690</v>
      </c>
      <c r="C231" s="39" t="s">
        <v>104</v>
      </c>
      <c r="D231" s="39" t="n">
        <v>1</v>
      </c>
      <c r="E231" s="41" t="n">
        <v>15.05</v>
      </c>
      <c r="F231" s="39" t="s">
        <v>108</v>
      </c>
      <c r="G231" s="39" t="str">
        <f aca="false">UPPER(TRIM(C231))</f>
        <v>P015</v>
      </c>
      <c r="H231" s="39" t="str">
        <f aca="false">IF(ISNUMBER(MATCH(G231,Products!$A$5:$A$24,0)),"OK","Mismatch")</f>
        <v>OK</v>
      </c>
      <c r="I231" s="39" t="str">
        <f aca="false">IF(COUNTIF($A$5:A231,A231)&gt;1,"Duplicate","Unique")</f>
        <v>Unique</v>
      </c>
      <c r="J231" s="39" t="str">
        <f aca="false">IF(I231="Duplicate","Remove",IF(H231="Mismatch","Exclude","Keep"))</f>
        <v>Keep</v>
      </c>
    </row>
    <row r="232" customFormat="false" ht="15" hidden="false" customHeight="false" outlineLevel="0" collapsed="false">
      <c r="A232" s="39" t="s">
        <v>350</v>
      </c>
      <c r="B232" s="40" t="n">
        <v>45690</v>
      </c>
      <c r="C232" s="39" t="s">
        <v>305</v>
      </c>
      <c r="D232" s="39" t="n">
        <v>6</v>
      </c>
      <c r="E232" s="41" t="n">
        <v>328.06</v>
      </c>
      <c r="F232" s="39" t="s">
        <v>115</v>
      </c>
      <c r="G232" s="39" t="str">
        <f aca="false">UPPER(TRIM(C232))</f>
        <v>P008</v>
      </c>
      <c r="H232" s="39" t="str">
        <f aca="false">IF(ISNUMBER(MATCH(G232,Products!$A$5:$A$24,0)),"OK","Mismatch")</f>
        <v>OK</v>
      </c>
      <c r="I232" s="39" t="str">
        <f aca="false">IF(COUNTIF($A$5:A232,A232)&gt;1,"Duplicate","Unique")</f>
        <v>Unique</v>
      </c>
      <c r="J232" s="39" t="str">
        <f aca="false">IF(I232="Duplicate","Remove",IF(H232="Mismatch","Exclude","Keep"))</f>
        <v>Keep</v>
      </c>
    </row>
    <row r="233" customFormat="false" ht="15" hidden="false" customHeight="false" outlineLevel="0" collapsed="false">
      <c r="A233" s="39" t="s">
        <v>351</v>
      </c>
      <c r="B233" s="40" t="n">
        <v>45690</v>
      </c>
      <c r="C233" s="39" t="s">
        <v>169</v>
      </c>
      <c r="D233" s="39" t="n">
        <v>3</v>
      </c>
      <c r="E233" s="41" t="n">
        <v>28.91</v>
      </c>
      <c r="F233" s="39" t="s">
        <v>108</v>
      </c>
      <c r="G233" s="39" t="str">
        <f aca="false">UPPER(TRIM(C233))</f>
        <v>P004</v>
      </c>
      <c r="H233" s="39" t="str">
        <f aca="false">IF(ISNUMBER(MATCH(G233,Products!$A$5:$A$24,0)),"OK","Mismatch")</f>
        <v>OK</v>
      </c>
      <c r="I233" s="39" t="str">
        <f aca="false">IF(COUNTIF($A$5:A233,A233)&gt;1,"Duplicate","Unique")</f>
        <v>Unique</v>
      </c>
      <c r="J233" s="39" t="str">
        <f aca="false">IF(I233="Duplicate","Remove",IF(H233="Mismatch","Exclude","Keep"))</f>
        <v>Keep</v>
      </c>
    </row>
    <row r="234" customFormat="false" ht="15" hidden="false" customHeight="false" outlineLevel="0" collapsed="false">
      <c r="A234" s="39" t="s">
        <v>352</v>
      </c>
      <c r="B234" s="40" t="n">
        <v>45691</v>
      </c>
      <c r="C234" s="39" t="s">
        <v>153</v>
      </c>
      <c r="D234" s="39" t="n">
        <v>1</v>
      </c>
      <c r="E234" s="41" t="n">
        <v>171.06</v>
      </c>
      <c r="F234" s="39" t="s">
        <v>105</v>
      </c>
      <c r="G234" s="39" t="str">
        <f aca="false">UPPER(TRIM(C234))</f>
        <v>P010</v>
      </c>
      <c r="H234" s="39" t="str">
        <f aca="false">IF(ISNUMBER(MATCH(G234,Products!$A$5:$A$24,0)),"OK","Mismatch")</f>
        <v>OK</v>
      </c>
      <c r="I234" s="39" t="str">
        <f aca="false">IF(COUNTIF($A$5:A234,A234)&gt;1,"Duplicate","Unique")</f>
        <v>Unique</v>
      </c>
      <c r="J234" s="39" t="str">
        <f aca="false">IF(I234="Duplicate","Remove",IF(H234="Mismatch","Exclude","Keep"))</f>
        <v>Keep</v>
      </c>
    </row>
    <row r="235" customFormat="false" ht="15" hidden="false" customHeight="false" outlineLevel="0" collapsed="false">
      <c r="A235" s="39" t="s">
        <v>353</v>
      </c>
      <c r="B235" s="40" t="n">
        <v>45691</v>
      </c>
      <c r="C235" s="39" t="s">
        <v>114</v>
      </c>
      <c r="D235" s="39" t="n">
        <v>3</v>
      </c>
      <c r="E235" s="41" t="n">
        <v>5.85</v>
      </c>
      <c r="F235" s="39" t="s">
        <v>115</v>
      </c>
      <c r="G235" s="39" t="str">
        <f aca="false">UPPER(TRIM(C235))</f>
        <v>P012</v>
      </c>
      <c r="H235" s="39" t="str">
        <f aca="false">IF(ISNUMBER(MATCH(G235,Products!$A$5:$A$24,0)),"OK","Mismatch")</f>
        <v>OK</v>
      </c>
      <c r="I235" s="39" t="str">
        <f aca="false">IF(COUNTIF($A$5:A235,A235)&gt;1,"Duplicate","Unique")</f>
        <v>Unique</v>
      </c>
      <c r="J235" s="39" t="str">
        <f aca="false">IF(I235="Duplicate","Remove",IF(H235="Mismatch","Exclude","Keep"))</f>
        <v>Keep</v>
      </c>
    </row>
    <row r="236" customFormat="false" ht="15" hidden="false" customHeight="false" outlineLevel="0" collapsed="false">
      <c r="A236" s="39" t="s">
        <v>354</v>
      </c>
      <c r="B236" s="40" t="n">
        <v>45691</v>
      </c>
      <c r="C236" s="39" t="s">
        <v>126</v>
      </c>
      <c r="D236" s="39" t="n">
        <v>3</v>
      </c>
      <c r="E236" s="41" t="n">
        <v>23.41</v>
      </c>
      <c r="F236" s="39" t="s">
        <v>115</v>
      </c>
      <c r="G236" s="39" t="str">
        <f aca="false">UPPER(TRIM(C236))</f>
        <v>P001</v>
      </c>
      <c r="H236" s="39" t="str">
        <f aca="false">IF(ISNUMBER(MATCH(G236,Products!$A$5:$A$24,0)),"OK","Mismatch")</f>
        <v>OK</v>
      </c>
      <c r="I236" s="39" t="str">
        <f aca="false">IF(COUNTIF($A$5:A236,A236)&gt;1,"Duplicate","Unique")</f>
        <v>Unique</v>
      </c>
      <c r="J236" s="39" t="str">
        <f aca="false">IF(I236="Duplicate","Remove",IF(H236="Mismatch","Exclude","Keep"))</f>
        <v>Keep</v>
      </c>
    </row>
    <row r="237" customFormat="false" ht="15" hidden="false" customHeight="false" outlineLevel="0" collapsed="false">
      <c r="A237" s="39" t="s">
        <v>355</v>
      </c>
      <c r="B237" s="40" t="n">
        <v>45691</v>
      </c>
      <c r="C237" s="39" t="s">
        <v>133</v>
      </c>
      <c r="D237" s="39" t="n">
        <v>3</v>
      </c>
      <c r="E237" s="41" t="n">
        <v>8.64</v>
      </c>
      <c r="F237" s="39" t="s">
        <v>115</v>
      </c>
      <c r="G237" s="39" t="str">
        <f aca="false">UPPER(TRIM(C237))</f>
        <v>P019</v>
      </c>
      <c r="H237" s="39" t="str">
        <f aca="false">IF(ISNUMBER(MATCH(G237,Products!$A$5:$A$24,0)),"OK","Mismatch")</f>
        <v>OK</v>
      </c>
      <c r="I237" s="39" t="str">
        <f aca="false">IF(COUNTIF($A$5:A237,A237)&gt;1,"Duplicate","Unique")</f>
        <v>Unique</v>
      </c>
      <c r="J237" s="39" t="str">
        <f aca="false">IF(I237="Duplicate","Remove",IF(H237="Mismatch","Exclude","Keep"))</f>
        <v>Keep</v>
      </c>
    </row>
    <row r="238" customFormat="false" ht="15" hidden="false" customHeight="false" outlineLevel="0" collapsed="false">
      <c r="A238" s="39" t="s">
        <v>356</v>
      </c>
      <c r="B238" s="40" t="n">
        <v>45691</v>
      </c>
      <c r="C238" s="39" t="s">
        <v>139</v>
      </c>
      <c r="D238" s="39" t="n">
        <v>2</v>
      </c>
      <c r="E238" s="41" t="n">
        <v>120.19</v>
      </c>
      <c r="F238" s="39" t="s">
        <v>115</v>
      </c>
      <c r="G238" s="39" t="str">
        <f aca="false">UPPER(TRIM(C238))</f>
        <v>P006</v>
      </c>
      <c r="H238" s="39" t="str">
        <f aca="false">IF(ISNUMBER(MATCH(G238,Products!$A$5:$A$24,0)),"OK","Mismatch")</f>
        <v>OK</v>
      </c>
      <c r="I238" s="39" t="str">
        <f aca="false">IF(COUNTIF($A$5:A238,A238)&gt;1,"Duplicate","Unique")</f>
        <v>Unique</v>
      </c>
      <c r="J238" s="39" t="str">
        <f aca="false">IF(I238="Duplicate","Remove",IF(H238="Mismatch","Exclude","Keep"))</f>
        <v>Keep</v>
      </c>
    </row>
    <row r="239" customFormat="false" ht="15" hidden="false" customHeight="false" outlineLevel="0" collapsed="false">
      <c r="A239" s="39" t="s">
        <v>357</v>
      </c>
      <c r="B239" s="40" t="n">
        <v>45691</v>
      </c>
      <c r="C239" s="39" t="s">
        <v>117</v>
      </c>
      <c r="D239" s="39" t="n">
        <v>4</v>
      </c>
      <c r="E239" s="41" t="n">
        <v>31.87</v>
      </c>
      <c r="F239" s="39" t="s">
        <v>108</v>
      </c>
      <c r="G239" s="39" t="str">
        <f aca="false">UPPER(TRIM(C239))</f>
        <v>P009</v>
      </c>
      <c r="H239" s="39" t="str">
        <f aca="false">IF(ISNUMBER(MATCH(G239,Products!$A$5:$A$24,0)),"OK","Mismatch")</f>
        <v>OK</v>
      </c>
      <c r="I239" s="39" t="str">
        <f aca="false">IF(COUNTIF($A$5:A239,A239)&gt;1,"Duplicate","Unique")</f>
        <v>Unique</v>
      </c>
      <c r="J239" s="39" t="str">
        <f aca="false">IF(I239="Duplicate","Remove",IF(H239="Mismatch","Exclude","Keep"))</f>
        <v>Keep</v>
      </c>
    </row>
    <row r="240" customFormat="false" ht="15" hidden="false" customHeight="false" outlineLevel="0" collapsed="false">
      <c r="A240" s="39" t="s">
        <v>358</v>
      </c>
      <c r="B240" s="40" t="n">
        <v>45691</v>
      </c>
      <c r="C240" s="39" t="s">
        <v>110</v>
      </c>
      <c r="D240" s="39" t="n">
        <v>1</v>
      </c>
      <c r="E240" s="41" t="n">
        <v>13.96</v>
      </c>
      <c r="F240" s="39" t="s">
        <v>115</v>
      </c>
      <c r="G240" s="39" t="str">
        <f aca="false">UPPER(TRIM(C240))</f>
        <v>P016</v>
      </c>
      <c r="H240" s="39" t="str">
        <f aca="false">IF(ISNUMBER(MATCH(G240,Products!$A$5:$A$24,0)),"OK","Mismatch")</f>
        <v>OK</v>
      </c>
      <c r="I240" s="39" t="str">
        <f aca="false">IF(COUNTIF($A$5:A240,A240)&gt;1,"Duplicate","Unique")</f>
        <v>Unique</v>
      </c>
      <c r="J240" s="39" t="str">
        <f aca="false">IF(I240="Duplicate","Remove",IF(H240="Mismatch","Exclude","Keep"))</f>
        <v>Keep</v>
      </c>
    </row>
    <row r="241" customFormat="false" ht="15" hidden="false" customHeight="false" outlineLevel="0" collapsed="false">
      <c r="A241" s="39" t="s">
        <v>359</v>
      </c>
      <c r="B241" s="40" t="n">
        <v>45691</v>
      </c>
      <c r="C241" s="39" t="s">
        <v>3149</v>
      </c>
      <c r="D241" s="39" t="n">
        <v>2</v>
      </c>
      <c r="E241" s="41" t="n">
        <v>13.97</v>
      </c>
      <c r="F241" s="39" t="s">
        <v>118</v>
      </c>
      <c r="G241" s="39" t="str">
        <f aca="false">UPPER(TRIM(C241))</f>
        <v>P016</v>
      </c>
      <c r="H241" s="39" t="str">
        <f aca="false">IF(ISNUMBER(MATCH(G241,Products!$A$5:$A$24,0)),"OK","Mismatch")</f>
        <v>OK</v>
      </c>
      <c r="I241" s="39" t="str">
        <f aca="false">IF(COUNTIF($A$5:A241,A241)&gt;1,"Duplicate","Unique")</f>
        <v>Unique</v>
      </c>
      <c r="J241" s="39" t="str">
        <f aca="false">IF(I241="Duplicate","Remove",IF(H241="Mismatch","Exclude","Keep"))</f>
        <v>Keep</v>
      </c>
    </row>
    <row r="242" customFormat="false" ht="15" hidden="false" customHeight="false" outlineLevel="0" collapsed="false">
      <c r="A242" s="39" t="s">
        <v>360</v>
      </c>
      <c r="B242" s="40" t="n">
        <v>45692</v>
      </c>
      <c r="C242" s="39" t="s">
        <v>3150</v>
      </c>
      <c r="D242" s="39" t="n">
        <v>4</v>
      </c>
      <c r="E242" s="41" t="n">
        <v>32.5</v>
      </c>
      <c r="F242" s="39" t="s">
        <v>115</v>
      </c>
      <c r="G242" s="39" t="str">
        <f aca="false">UPPER(TRIM(C242))</f>
        <v>P003</v>
      </c>
      <c r="H242" s="39" t="str">
        <f aca="false">IF(ISNUMBER(MATCH(G242,Products!$A$5:$A$24,0)),"OK","Mismatch")</f>
        <v>OK</v>
      </c>
      <c r="I242" s="39" t="str">
        <f aca="false">IF(COUNTIF($A$5:A242,A242)&gt;1,"Duplicate","Unique")</f>
        <v>Unique</v>
      </c>
      <c r="J242" s="39" t="str">
        <f aca="false">IF(I242="Duplicate","Remove",IF(H242="Mismatch","Exclude","Keep"))</f>
        <v>Keep</v>
      </c>
    </row>
    <row r="243" customFormat="false" ht="15" hidden="false" customHeight="false" outlineLevel="0" collapsed="false">
      <c r="A243" s="39" t="s">
        <v>361</v>
      </c>
      <c r="B243" s="40" t="n">
        <v>45692</v>
      </c>
      <c r="C243" s="39" t="s">
        <v>130</v>
      </c>
      <c r="D243" s="39" t="n">
        <v>1</v>
      </c>
      <c r="E243" s="41" t="n">
        <v>8.7</v>
      </c>
      <c r="F243" s="39" t="s">
        <v>108</v>
      </c>
      <c r="G243" s="39" t="str">
        <f aca="false">UPPER(TRIM(C243))</f>
        <v>P011</v>
      </c>
      <c r="H243" s="39" t="str">
        <f aca="false">IF(ISNUMBER(MATCH(G243,Products!$A$5:$A$24,0)),"OK","Mismatch")</f>
        <v>OK</v>
      </c>
      <c r="I243" s="39" t="str">
        <f aca="false">IF(COUNTIF($A$5:A243,A243)&gt;1,"Duplicate","Unique")</f>
        <v>Unique</v>
      </c>
      <c r="J243" s="39" t="str">
        <f aca="false">IF(I243="Duplicate","Remove",IF(H243="Mismatch","Exclude","Keep"))</f>
        <v>Keep</v>
      </c>
    </row>
    <row r="244" customFormat="false" ht="15" hidden="false" customHeight="false" outlineLevel="0" collapsed="false">
      <c r="A244" s="39" t="s">
        <v>362</v>
      </c>
      <c r="B244" s="40" t="n">
        <v>45692</v>
      </c>
      <c r="C244" s="39" t="s">
        <v>128</v>
      </c>
      <c r="D244" s="39" t="n">
        <v>4</v>
      </c>
      <c r="E244" s="41" t="n">
        <v>37.72</v>
      </c>
      <c r="F244" s="39" t="s">
        <v>118</v>
      </c>
      <c r="G244" s="39" t="str">
        <f aca="false">UPPER(TRIM(C244))</f>
        <v>P020</v>
      </c>
      <c r="H244" s="39" t="str">
        <f aca="false">IF(ISNUMBER(MATCH(G244,Products!$A$5:$A$24,0)),"OK","Mismatch")</f>
        <v>OK</v>
      </c>
      <c r="I244" s="39" t="str">
        <f aca="false">IF(COUNTIF($A$5:A244,A244)&gt;1,"Duplicate","Unique")</f>
        <v>Unique</v>
      </c>
      <c r="J244" s="39" t="str">
        <f aca="false">IF(I244="Duplicate","Remove",IF(H244="Mismatch","Exclude","Keep"))</f>
        <v>Keep</v>
      </c>
    </row>
    <row r="245" customFormat="false" ht="15" hidden="false" customHeight="false" outlineLevel="0" collapsed="false">
      <c r="A245" s="39" t="s">
        <v>363</v>
      </c>
      <c r="B245" s="40" t="n">
        <v>45692</v>
      </c>
      <c r="C245" s="39" t="s">
        <v>107</v>
      </c>
      <c r="D245" s="39" t="n">
        <v>1</v>
      </c>
      <c r="E245" s="41" t="n">
        <v>32.99</v>
      </c>
      <c r="F245" s="39" t="s">
        <v>105</v>
      </c>
      <c r="G245" s="39" t="str">
        <f aca="false">UPPER(TRIM(C245))</f>
        <v>P003</v>
      </c>
      <c r="H245" s="39" t="str">
        <f aca="false">IF(ISNUMBER(MATCH(G245,Products!$A$5:$A$24,0)),"OK","Mismatch")</f>
        <v>OK</v>
      </c>
      <c r="I245" s="39" t="str">
        <f aca="false">IF(COUNTIF($A$5:A245,A245)&gt;1,"Duplicate","Unique")</f>
        <v>Unique</v>
      </c>
      <c r="J245" s="39" t="str">
        <f aca="false">IF(I245="Duplicate","Remove",IF(H245="Mismatch","Exclude","Keep"))</f>
        <v>Keep</v>
      </c>
    </row>
    <row r="246" customFormat="false" ht="15" hidden="false" customHeight="false" outlineLevel="0" collapsed="false">
      <c r="A246" s="39" t="s">
        <v>364</v>
      </c>
      <c r="B246" s="40" t="n">
        <v>45693</v>
      </c>
      <c r="C246" s="39" t="s">
        <v>133</v>
      </c>
      <c r="D246" s="39" t="n">
        <v>2</v>
      </c>
      <c r="E246" s="41" t="n">
        <v>8.37</v>
      </c>
      <c r="F246" s="39" t="s">
        <v>118</v>
      </c>
      <c r="G246" s="39" t="str">
        <f aca="false">UPPER(TRIM(C246))</f>
        <v>P019</v>
      </c>
      <c r="H246" s="39" t="str">
        <f aca="false">IF(ISNUMBER(MATCH(G246,Products!$A$5:$A$24,0)),"OK","Mismatch")</f>
        <v>OK</v>
      </c>
      <c r="I246" s="39" t="str">
        <f aca="false">IF(COUNTIF($A$5:A246,A246)&gt;1,"Duplicate","Unique")</f>
        <v>Unique</v>
      </c>
      <c r="J246" s="39" t="str">
        <f aca="false">IF(I246="Duplicate","Remove",IF(H246="Mismatch","Exclude","Keep"))</f>
        <v>Keep</v>
      </c>
    </row>
    <row r="247" customFormat="false" ht="15" hidden="false" customHeight="false" outlineLevel="0" collapsed="false">
      <c r="A247" s="39" t="s">
        <v>365</v>
      </c>
      <c r="B247" s="40" t="n">
        <v>45693</v>
      </c>
      <c r="C247" s="39" t="s">
        <v>139</v>
      </c>
      <c r="D247" s="39" t="n">
        <v>1</v>
      </c>
      <c r="E247" s="41" t="n">
        <v>119.36</v>
      </c>
      <c r="F247" s="39" t="s">
        <v>108</v>
      </c>
      <c r="G247" s="39" t="str">
        <f aca="false">UPPER(TRIM(C247))</f>
        <v>P006</v>
      </c>
      <c r="H247" s="39" t="str">
        <f aca="false">IF(ISNUMBER(MATCH(G247,Products!$A$5:$A$24,0)),"OK","Mismatch")</f>
        <v>OK</v>
      </c>
      <c r="I247" s="39" t="str">
        <f aca="false">IF(COUNTIF($A$5:A247,A247)&gt;1,"Duplicate","Unique")</f>
        <v>Unique</v>
      </c>
      <c r="J247" s="39" t="str">
        <f aca="false">IF(I247="Duplicate","Remove",IF(H247="Mismatch","Exclude","Keep"))</f>
        <v>Keep</v>
      </c>
    </row>
    <row r="248" customFormat="false" ht="15" hidden="false" customHeight="false" outlineLevel="0" collapsed="false">
      <c r="A248" s="39" t="s">
        <v>366</v>
      </c>
      <c r="B248" s="40" t="n">
        <v>45693</v>
      </c>
      <c r="C248" s="39" t="s">
        <v>121</v>
      </c>
      <c r="D248" s="39" t="n">
        <v>3</v>
      </c>
      <c r="E248" s="41" t="n">
        <v>113.77</v>
      </c>
      <c r="F248" s="39" t="s">
        <v>115</v>
      </c>
      <c r="G248" s="39" t="str">
        <f aca="false">UPPER(TRIM(C248))</f>
        <v>P018</v>
      </c>
      <c r="H248" s="39" t="str">
        <f aca="false">IF(ISNUMBER(MATCH(G248,Products!$A$5:$A$24,0)),"OK","Mismatch")</f>
        <v>OK</v>
      </c>
      <c r="I248" s="39" t="str">
        <f aca="false">IF(COUNTIF($A$5:A248,A248)&gt;1,"Duplicate","Unique")</f>
        <v>Unique</v>
      </c>
      <c r="J248" s="39" t="str">
        <f aca="false">IF(I248="Duplicate","Remove",IF(H248="Mismatch","Exclude","Keep"))</f>
        <v>Keep</v>
      </c>
    </row>
    <row r="249" customFormat="false" ht="15" hidden="false" customHeight="false" outlineLevel="0" collapsed="false">
      <c r="A249" s="39" t="s">
        <v>367</v>
      </c>
      <c r="B249" s="40" t="n">
        <v>45693</v>
      </c>
      <c r="C249" s="39" t="s">
        <v>139</v>
      </c>
      <c r="D249" s="39" t="n">
        <v>1</v>
      </c>
      <c r="E249" s="41" t="n">
        <v>128.13</v>
      </c>
      <c r="F249" s="39" t="s">
        <v>118</v>
      </c>
      <c r="G249" s="39" t="str">
        <f aca="false">UPPER(TRIM(C249))</f>
        <v>P006</v>
      </c>
      <c r="H249" s="39" t="str">
        <f aca="false">IF(ISNUMBER(MATCH(G249,Products!$A$5:$A$24,0)),"OK","Mismatch")</f>
        <v>OK</v>
      </c>
      <c r="I249" s="39" t="str">
        <f aca="false">IF(COUNTIF($A$5:A249,A249)&gt;1,"Duplicate","Unique")</f>
        <v>Unique</v>
      </c>
      <c r="J249" s="39" t="str">
        <f aca="false">IF(I249="Duplicate","Remove",IF(H249="Mismatch","Exclude","Keep"))</f>
        <v>Keep</v>
      </c>
    </row>
    <row r="250" customFormat="false" ht="15" hidden="false" customHeight="false" outlineLevel="0" collapsed="false">
      <c r="A250" s="39" t="s">
        <v>368</v>
      </c>
      <c r="B250" s="40" t="n">
        <v>45694</v>
      </c>
      <c r="C250" s="39" t="s">
        <v>133</v>
      </c>
      <c r="D250" s="39" t="n">
        <v>3</v>
      </c>
      <c r="E250" s="41" t="n">
        <v>8.31</v>
      </c>
      <c r="F250" s="39" t="s">
        <v>105</v>
      </c>
      <c r="G250" s="39" t="str">
        <f aca="false">UPPER(TRIM(C250))</f>
        <v>P019</v>
      </c>
      <c r="H250" s="39" t="str">
        <f aca="false">IF(ISNUMBER(MATCH(G250,Products!$A$5:$A$24,0)),"OK","Mismatch")</f>
        <v>OK</v>
      </c>
      <c r="I250" s="39" t="str">
        <f aca="false">IF(COUNTIF($A$5:A250,A250)&gt;1,"Duplicate","Unique")</f>
        <v>Unique</v>
      </c>
      <c r="J250" s="39" t="str">
        <f aca="false">IF(I250="Duplicate","Remove",IF(H250="Mismatch","Exclude","Keep"))</f>
        <v>Keep</v>
      </c>
    </row>
    <row r="251" customFormat="false" ht="15" hidden="false" customHeight="false" outlineLevel="0" collapsed="false">
      <c r="A251" s="39" t="s">
        <v>369</v>
      </c>
      <c r="B251" s="40" t="n">
        <v>45694</v>
      </c>
      <c r="C251" s="39" t="s">
        <v>126</v>
      </c>
      <c r="D251" s="39" t="n">
        <v>5</v>
      </c>
      <c r="E251" s="41" t="n">
        <v>23.73</v>
      </c>
      <c r="F251" s="39" t="s">
        <v>115</v>
      </c>
      <c r="G251" s="39" t="str">
        <f aca="false">UPPER(TRIM(C251))</f>
        <v>P001</v>
      </c>
      <c r="H251" s="39" t="str">
        <f aca="false">IF(ISNUMBER(MATCH(G251,Products!$A$5:$A$24,0)),"OK","Mismatch")</f>
        <v>OK</v>
      </c>
      <c r="I251" s="39" t="str">
        <f aca="false">IF(COUNTIF($A$5:A251,A251)&gt;1,"Duplicate","Unique")</f>
        <v>Unique</v>
      </c>
      <c r="J251" s="39" t="str">
        <f aca="false">IF(I251="Duplicate","Remove",IF(H251="Mismatch","Exclude","Keep"))</f>
        <v>Keep</v>
      </c>
    </row>
    <row r="252" customFormat="false" ht="15" hidden="false" customHeight="false" outlineLevel="0" collapsed="false">
      <c r="A252" s="39" t="s">
        <v>370</v>
      </c>
      <c r="B252" s="40" t="n">
        <v>45694</v>
      </c>
      <c r="C252" s="39" t="s">
        <v>104</v>
      </c>
      <c r="D252" s="39" t="n">
        <v>2</v>
      </c>
      <c r="E252" s="41" t="n">
        <v>15.94</v>
      </c>
      <c r="F252" s="39" t="s">
        <v>115</v>
      </c>
      <c r="G252" s="39" t="str">
        <f aca="false">UPPER(TRIM(C252))</f>
        <v>P015</v>
      </c>
      <c r="H252" s="39" t="str">
        <f aca="false">IF(ISNUMBER(MATCH(G252,Products!$A$5:$A$24,0)),"OK","Mismatch")</f>
        <v>OK</v>
      </c>
      <c r="I252" s="39" t="str">
        <f aca="false">IF(COUNTIF($A$5:A252,A252)&gt;1,"Duplicate","Unique")</f>
        <v>Unique</v>
      </c>
      <c r="J252" s="39" t="str">
        <f aca="false">IF(I252="Duplicate","Remove",IF(H252="Mismatch","Exclude","Keep"))</f>
        <v>Keep</v>
      </c>
    </row>
    <row r="253" customFormat="false" ht="15" hidden="false" customHeight="false" outlineLevel="0" collapsed="false">
      <c r="A253" s="39" t="s">
        <v>371</v>
      </c>
      <c r="B253" s="40" t="n">
        <v>45694</v>
      </c>
      <c r="C253" s="39" t="s">
        <v>133</v>
      </c>
      <c r="D253" s="39" t="n">
        <v>1</v>
      </c>
      <c r="E253" s="41" t="n">
        <v>8.99</v>
      </c>
      <c r="F253" s="39" t="s">
        <v>108</v>
      </c>
      <c r="G253" s="39" t="str">
        <f aca="false">UPPER(TRIM(C253))</f>
        <v>P019</v>
      </c>
      <c r="H253" s="39" t="str">
        <f aca="false">IF(ISNUMBER(MATCH(G253,Products!$A$5:$A$24,0)),"OK","Mismatch")</f>
        <v>OK</v>
      </c>
      <c r="I253" s="39" t="str">
        <f aca="false">IF(COUNTIF($A$5:A253,A253)&gt;1,"Duplicate","Unique")</f>
        <v>Unique</v>
      </c>
      <c r="J253" s="39" t="str">
        <f aca="false">IF(I253="Duplicate","Remove",IF(H253="Mismatch","Exclude","Keep"))</f>
        <v>Keep</v>
      </c>
    </row>
    <row r="254" customFormat="false" ht="15" hidden="false" customHeight="false" outlineLevel="0" collapsed="false">
      <c r="A254" s="39" t="s">
        <v>372</v>
      </c>
      <c r="B254" s="40" t="n">
        <v>45694</v>
      </c>
      <c r="C254" s="39" t="s">
        <v>114</v>
      </c>
      <c r="D254" s="39" t="n">
        <v>2</v>
      </c>
      <c r="E254" s="41" t="n">
        <v>5.8</v>
      </c>
      <c r="F254" s="39" t="s">
        <v>108</v>
      </c>
      <c r="G254" s="39" t="str">
        <f aca="false">UPPER(TRIM(C254))</f>
        <v>P012</v>
      </c>
      <c r="H254" s="39" t="str">
        <f aca="false">IF(ISNUMBER(MATCH(G254,Products!$A$5:$A$24,0)),"OK","Mismatch")</f>
        <v>OK</v>
      </c>
      <c r="I254" s="39" t="str">
        <f aca="false">IF(COUNTIF($A$5:A254,A254)&gt;1,"Duplicate","Unique")</f>
        <v>Unique</v>
      </c>
      <c r="J254" s="39" t="str">
        <f aca="false">IF(I254="Duplicate","Remove",IF(H254="Mismatch","Exclude","Keep"))</f>
        <v>Keep</v>
      </c>
    </row>
    <row r="255" customFormat="false" ht="15" hidden="false" customHeight="false" outlineLevel="0" collapsed="false">
      <c r="A255" s="39" t="s">
        <v>373</v>
      </c>
      <c r="B255" s="40" t="n">
        <v>45694</v>
      </c>
      <c r="C255" s="39" t="s">
        <v>104</v>
      </c>
      <c r="D255" s="39" t="n">
        <v>2</v>
      </c>
      <c r="E255" s="41" t="n">
        <v>15.69</v>
      </c>
      <c r="F255" s="39" t="s">
        <v>108</v>
      </c>
      <c r="G255" s="39" t="str">
        <f aca="false">UPPER(TRIM(C255))</f>
        <v>P015</v>
      </c>
      <c r="H255" s="39" t="str">
        <f aca="false">IF(ISNUMBER(MATCH(G255,Products!$A$5:$A$24,0)),"OK","Mismatch")</f>
        <v>OK</v>
      </c>
      <c r="I255" s="39" t="str">
        <f aca="false">IF(COUNTIF($A$5:A255,A255)&gt;1,"Duplicate","Unique")</f>
        <v>Unique</v>
      </c>
      <c r="J255" s="39" t="str">
        <f aca="false">IF(I255="Duplicate","Remove",IF(H255="Mismatch","Exclude","Keep"))</f>
        <v>Keep</v>
      </c>
    </row>
    <row r="256" customFormat="false" ht="15" hidden="false" customHeight="false" outlineLevel="0" collapsed="false">
      <c r="A256" s="39" t="s">
        <v>374</v>
      </c>
      <c r="B256" s="40" t="n">
        <v>45694</v>
      </c>
      <c r="C256" s="39" t="s">
        <v>153</v>
      </c>
      <c r="D256" s="39" t="n">
        <v>2</v>
      </c>
      <c r="E256" s="41" t="n">
        <v>168.49</v>
      </c>
      <c r="F256" s="39" t="s">
        <v>105</v>
      </c>
      <c r="G256" s="39" t="str">
        <f aca="false">UPPER(TRIM(C256))</f>
        <v>P010</v>
      </c>
      <c r="H256" s="39" t="str">
        <f aca="false">IF(ISNUMBER(MATCH(G256,Products!$A$5:$A$24,0)),"OK","Mismatch")</f>
        <v>OK</v>
      </c>
      <c r="I256" s="39" t="str">
        <f aca="false">IF(COUNTIF($A$5:A256,A256)&gt;1,"Duplicate","Unique")</f>
        <v>Unique</v>
      </c>
      <c r="J256" s="39" t="str">
        <f aca="false">IF(I256="Duplicate","Remove",IF(H256="Mismatch","Exclude","Keep"))</f>
        <v>Keep</v>
      </c>
    </row>
    <row r="257" customFormat="false" ht="15" hidden="false" customHeight="false" outlineLevel="0" collapsed="false">
      <c r="A257" s="39" t="s">
        <v>375</v>
      </c>
      <c r="B257" s="40" t="n">
        <v>45695</v>
      </c>
      <c r="C257" s="39" t="s">
        <v>104</v>
      </c>
      <c r="D257" s="39" t="n">
        <v>1</v>
      </c>
      <c r="E257" s="41" t="n">
        <v>14.87</v>
      </c>
      <c r="F257" s="39" t="s">
        <v>118</v>
      </c>
      <c r="G257" s="39" t="str">
        <f aca="false">UPPER(TRIM(C257))</f>
        <v>P015</v>
      </c>
      <c r="H257" s="39" t="str">
        <f aca="false">IF(ISNUMBER(MATCH(G257,Products!$A$5:$A$24,0)),"OK","Mismatch")</f>
        <v>OK</v>
      </c>
      <c r="I257" s="39" t="str">
        <f aca="false">IF(COUNTIF($A$5:A257,A257)&gt;1,"Duplicate","Unique")</f>
        <v>Unique</v>
      </c>
      <c r="J257" s="39" t="str">
        <f aca="false">IF(I257="Duplicate","Remove",IF(H257="Mismatch","Exclude","Keep"))</f>
        <v>Keep</v>
      </c>
    </row>
    <row r="258" customFormat="false" ht="15" hidden="false" customHeight="false" outlineLevel="0" collapsed="false">
      <c r="A258" s="39" t="s">
        <v>376</v>
      </c>
      <c r="B258" s="40" t="n">
        <v>45695</v>
      </c>
      <c r="C258" s="39" t="s">
        <v>144</v>
      </c>
      <c r="D258" s="39" t="n">
        <v>6</v>
      </c>
      <c r="E258" s="41" t="n">
        <v>55.17</v>
      </c>
      <c r="F258" s="39" t="s">
        <v>115</v>
      </c>
      <c r="G258" s="39" t="str">
        <f aca="false">UPPER(TRIM(C258))</f>
        <v>P013</v>
      </c>
      <c r="H258" s="39" t="str">
        <f aca="false">IF(ISNUMBER(MATCH(G258,Products!$A$5:$A$24,0)),"OK","Mismatch")</f>
        <v>OK</v>
      </c>
      <c r="I258" s="39" t="str">
        <f aca="false">IF(COUNTIF($A$5:A258,A258)&gt;1,"Duplicate","Unique")</f>
        <v>Unique</v>
      </c>
      <c r="J258" s="39" t="str">
        <f aca="false">IF(I258="Duplicate","Remove",IF(H258="Mismatch","Exclude","Keep"))</f>
        <v>Keep</v>
      </c>
    </row>
    <row r="259" customFormat="false" ht="15" hidden="false" customHeight="false" outlineLevel="0" collapsed="false">
      <c r="A259" s="39" t="s">
        <v>377</v>
      </c>
      <c r="B259" s="40" t="n">
        <v>45695</v>
      </c>
      <c r="C259" s="39" t="s">
        <v>107</v>
      </c>
      <c r="D259" s="39" t="n">
        <v>2</v>
      </c>
      <c r="E259" s="41" t="n">
        <v>33.93</v>
      </c>
      <c r="F259" s="39" t="s">
        <v>118</v>
      </c>
      <c r="G259" s="39" t="str">
        <f aca="false">UPPER(TRIM(C259))</f>
        <v>P003</v>
      </c>
      <c r="H259" s="39" t="str">
        <f aca="false">IF(ISNUMBER(MATCH(G259,Products!$A$5:$A$24,0)),"OK","Mismatch")</f>
        <v>OK</v>
      </c>
      <c r="I259" s="39" t="str">
        <f aca="false">IF(COUNTIF($A$5:A259,A259)&gt;1,"Duplicate","Unique")</f>
        <v>Unique</v>
      </c>
      <c r="J259" s="39" t="str">
        <f aca="false">IF(I259="Duplicate","Remove",IF(H259="Mismatch","Exclude","Keep"))</f>
        <v>Keep</v>
      </c>
    </row>
    <row r="260" customFormat="false" ht="15" hidden="false" customHeight="false" outlineLevel="0" collapsed="false">
      <c r="A260" s="39" t="s">
        <v>378</v>
      </c>
      <c r="B260" s="40" t="n">
        <v>45695</v>
      </c>
      <c r="C260" s="39" t="s">
        <v>177</v>
      </c>
      <c r="D260" s="39" t="n">
        <v>1</v>
      </c>
      <c r="E260" s="41" t="n">
        <v>43</v>
      </c>
      <c r="F260" s="39" t="s">
        <v>118</v>
      </c>
      <c r="G260" s="39" t="str">
        <f aca="false">UPPER(TRIM(C260))</f>
        <v>P014</v>
      </c>
      <c r="H260" s="39" t="str">
        <f aca="false">IF(ISNUMBER(MATCH(G260,Products!$A$5:$A$24,0)),"OK","Mismatch")</f>
        <v>OK</v>
      </c>
      <c r="I260" s="39" t="str">
        <f aca="false">IF(COUNTIF($A$5:A260,A260)&gt;1,"Duplicate","Unique")</f>
        <v>Unique</v>
      </c>
      <c r="J260" s="39" t="str">
        <f aca="false">IF(I260="Duplicate","Remove",IF(H260="Mismatch","Exclude","Keep"))</f>
        <v>Keep</v>
      </c>
    </row>
    <row r="261" customFormat="false" ht="15" hidden="false" customHeight="false" outlineLevel="0" collapsed="false">
      <c r="A261" s="39" t="s">
        <v>379</v>
      </c>
      <c r="B261" s="40" t="n">
        <v>45695</v>
      </c>
      <c r="C261" s="39" t="s">
        <v>133</v>
      </c>
      <c r="D261" s="39" t="n">
        <v>2</v>
      </c>
      <c r="E261" s="41" t="n">
        <v>8.29</v>
      </c>
      <c r="F261" s="39" t="s">
        <v>118</v>
      </c>
      <c r="G261" s="39" t="str">
        <f aca="false">UPPER(TRIM(C261))</f>
        <v>P019</v>
      </c>
      <c r="H261" s="39" t="str">
        <f aca="false">IF(ISNUMBER(MATCH(G261,Products!$A$5:$A$24,0)),"OK","Mismatch")</f>
        <v>OK</v>
      </c>
      <c r="I261" s="39" t="str">
        <f aca="false">IF(COUNTIF($A$5:A261,A261)&gt;1,"Duplicate","Unique")</f>
        <v>Unique</v>
      </c>
      <c r="J261" s="39" t="str">
        <f aca="false">IF(I261="Duplicate","Remove",IF(H261="Mismatch","Exclude","Keep"))</f>
        <v>Keep</v>
      </c>
    </row>
    <row r="262" customFormat="false" ht="15" hidden="false" customHeight="false" outlineLevel="0" collapsed="false">
      <c r="A262" s="39" t="s">
        <v>380</v>
      </c>
      <c r="B262" s="40" t="n">
        <v>45695</v>
      </c>
      <c r="C262" s="39" t="s">
        <v>104</v>
      </c>
      <c r="D262" s="39" t="n">
        <v>2</v>
      </c>
      <c r="E262" s="41" t="n">
        <v>14.92</v>
      </c>
      <c r="F262" s="39" t="s">
        <v>115</v>
      </c>
      <c r="G262" s="39" t="str">
        <f aca="false">UPPER(TRIM(C262))</f>
        <v>P015</v>
      </c>
      <c r="H262" s="39" t="str">
        <f aca="false">IF(ISNUMBER(MATCH(G262,Products!$A$5:$A$24,0)),"OK","Mismatch")</f>
        <v>OK</v>
      </c>
      <c r="I262" s="39" t="str">
        <f aca="false">IF(COUNTIF($A$5:A262,A262)&gt;1,"Duplicate","Unique")</f>
        <v>Unique</v>
      </c>
      <c r="J262" s="39" t="str">
        <f aca="false">IF(I262="Duplicate","Remove",IF(H262="Mismatch","Exclude","Keep"))</f>
        <v>Keep</v>
      </c>
    </row>
    <row r="263" customFormat="false" ht="15" hidden="false" customHeight="false" outlineLevel="0" collapsed="false">
      <c r="A263" s="39" t="s">
        <v>381</v>
      </c>
      <c r="B263" s="40" t="n">
        <v>45695</v>
      </c>
      <c r="C263" s="39" t="s">
        <v>104</v>
      </c>
      <c r="D263" s="39" t="n">
        <v>3</v>
      </c>
      <c r="E263" s="41" t="n">
        <v>15.99</v>
      </c>
      <c r="F263" s="39" t="s">
        <v>118</v>
      </c>
      <c r="G263" s="39" t="str">
        <f aca="false">UPPER(TRIM(C263))</f>
        <v>P015</v>
      </c>
      <c r="H263" s="39" t="str">
        <f aca="false">IF(ISNUMBER(MATCH(G263,Products!$A$5:$A$24,0)),"OK","Mismatch")</f>
        <v>OK</v>
      </c>
      <c r="I263" s="39" t="str">
        <f aca="false">IF(COUNTIF($A$5:A263,A263)&gt;1,"Duplicate","Unique")</f>
        <v>Unique</v>
      </c>
      <c r="J263" s="39" t="str">
        <f aca="false">IF(I263="Duplicate","Remove",IF(H263="Mismatch","Exclude","Keep"))</f>
        <v>Keep</v>
      </c>
    </row>
    <row r="264" customFormat="false" ht="15" hidden="false" customHeight="false" outlineLevel="0" collapsed="false">
      <c r="A264" s="39" t="s">
        <v>381</v>
      </c>
      <c r="B264" s="40" t="n">
        <v>45695</v>
      </c>
      <c r="C264" s="39" t="s">
        <v>104</v>
      </c>
      <c r="D264" s="39" t="n">
        <v>3</v>
      </c>
      <c r="E264" s="41" t="n">
        <v>15.99</v>
      </c>
      <c r="F264" s="39" t="s">
        <v>118</v>
      </c>
      <c r="G264" s="39" t="str">
        <f aca="false">UPPER(TRIM(C264))</f>
        <v>P015</v>
      </c>
      <c r="H264" s="39" t="str">
        <f aca="false">IF(ISNUMBER(MATCH(G264,Products!$A$5:$A$24,0)),"OK","Mismatch")</f>
        <v>OK</v>
      </c>
      <c r="I264" s="39" t="str">
        <f aca="false">IF(COUNTIF($A$5:A264,A264)&gt;1,"Duplicate","Unique")</f>
        <v>Duplicate</v>
      </c>
      <c r="J264" s="39" t="str">
        <f aca="false">IF(I264="Duplicate","Remove",IF(H264="Mismatch","Exclude","Keep"))</f>
        <v>Remove</v>
      </c>
    </row>
    <row r="265" customFormat="false" ht="15" hidden="false" customHeight="false" outlineLevel="0" collapsed="false">
      <c r="A265" s="39" t="s">
        <v>382</v>
      </c>
      <c r="B265" s="40" t="n">
        <v>45695</v>
      </c>
      <c r="C265" s="39" t="s">
        <v>177</v>
      </c>
      <c r="D265" s="39" t="n">
        <v>1</v>
      </c>
      <c r="E265" s="41" t="n">
        <v>44.31</v>
      </c>
      <c r="F265" s="39" t="s">
        <v>118</v>
      </c>
      <c r="G265" s="39" t="str">
        <f aca="false">UPPER(TRIM(C265))</f>
        <v>P014</v>
      </c>
      <c r="H265" s="39" t="str">
        <f aca="false">IF(ISNUMBER(MATCH(G265,Products!$A$5:$A$24,0)),"OK","Mismatch")</f>
        <v>OK</v>
      </c>
      <c r="I265" s="39" t="str">
        <f aca="false">IF(COUNTIF($A$5:A265,A265)&gt;1,"Duplicate","Unique")</f>
        <v>Unique</v>
      </c>
      <c r="J265" s="39" t="str">
        <f aca="false">IF(I265="Duplicate","Remove",IF(H265="Mismatch","Exclude","Keep"))</f>
        <v>Keep</v>
      </c>
    </row>
    <row r="266" customFormat="false" ht="15" hidden="false" customHeight="false" outlineLevel="0" collapsed="false">
      <c r="A266" s="39" t="s">
        <v>383</v>
      </c>
      <c r="B266" s="40" t="n">
        <v>45695</v>
      </c>
      <c r="C266" s="39" t="s">
        <v>107</v>
      </c>
      <c r="D266" s="39" t="n">
        <v>3</v>
      </c>
      <c r="E266" s="41" t="n">
        <v>34.94</v>
      </c>
      <c r="F266" s="39" t="s">
        <v>105</v>
      </c>
      <c r="G266" s="39" t="str">
        <f aca="false">UPPER(TRIM(C266))</f>
        <v>P003</v>
      </c>
      <c r="H266" s="39" t="str">
        <f aca="false">IF(ISNUMBER(MATCH(G266,Products!$A$5:$A$24,0)),"OK","Mismatch")</f>
        <v>OK</v>
      </c>
      <c r="I266" s="39" t="str">
        <f aca="false">IF(COUNTIF($A$5:A266,A266)&gt;1,"Duplicate","Unique")</f>
        <v>Unique</v>
      </c>
      <c r="J266" s="39" t="str">
        <f aca="false">IF(I266="Duplicate","Remove",IF(H266="Mismatch","Exclude","Keep"))</f>
        <v>Keep</v>
      </c>
    </row>
    <row r="267" customFormat="false" ht="15" hidden="false" customHeight="false" outlineLevel="0" collapsed="false">
      <c r="A267" s="39" t="s">
        <v>384</v>
      </c>
      <c r="B267" s="40" t="n">
        <v>45695</v>
      </c>
      <c r="C267" s="39" t="s">
        <v>162</v>
      </c>
      <c r="D267" s="39" t="n">
        <v>4</v>
      </c>
      <c r="E267" s="41" t="n">
        <v>68.14</v>
      </c>
      <c r="F267" s="39" t="s">
        <v>115</v>
      </c>
      <c r="G267" s="39" t="str">
        <f aca="false">UPPER(TRIM(C267))</f>
        <v>P017</v>
      </c>
      <c r="H267" s="39" t="str">
        <f aca="false">IF(ISNUMBER(MATCH(G267,Products!$A$5:$A$24,0)),"OK","Mismatch")</f>
        <v>OK</v>
      </c>
      <c r="I267" s="39" t="str">
        <f aca="false">IF(COUNTIF($A$5:A267,A267)&gt;1,"Duplicate","Unique")</f>
        <v>Unique</v>
      </c>
      <c r="J267" s="39" t="str">
        <f aca="false">IF(I267="Duplicate","Remove",IF(H267="Mismatch","Exclude","Keep"))</f>
        <v>Keep</v>
      </c>
    </row>
    <row r="268" customFormat="false" ht="15" hidden="false" customHeight="false" outlineLevel="0" collapsed="false">
      <c r="A268" s="39" t="s">
        <v>385</v>
      </c>
      <c r="B268" s="40" t="n">
        <v>45696</v>
      </c>
      <c r="C268" s="39" t="s">
        <v>107</v>
      </c>
      <c r="D268" s="39" t="n">
        <v>1</v>
      </c>
      <c r="E268" s="41" t="n">
        <v>33.45</v>
      </c>
      <c r="F268" s="39" t="s">
        <v>115</v>
      </c>
      <c r="G268" s="39" t="str">
        <f aca="false">UPPER(TRIM(C268))</f>
        <v>P003</v>
      </c>
      <c r="H268" s="39" t="str">
        <f aca="false">IF(ISNUMBER(MATCH(G268,Products!$A$5:$A$24,0)),"OK","Mismatch")</f>
        <v>OK</v>
      </c>
      <c r="I268" s="39" t="str">
        <f aca="false">IF(COUNTIF($A$5:A268,A268)&gt;1,"Duplicate","Unique")</f>
        <v>Unique</v>
      </c>
      <c r="J268" s="39" t="str">
        <f aca="false">IF(I268="Duplicate","Remove",IF(H268="Mismatch","Exclude","Keep"))</f>
        <v>Keep</v>
      </c>
    </row>
    <row r="269" customFormat="false" ht="15" hidden="false" customHeight="false" outlineLevel="0" collapsed="false">
      <c r="A269" s="39" t="s">
        <v>386</v>
      </c>
      <c r="B269" s="40" t="n">
        <v>45696</v>
      </c>
      <c r="C269" s="39" t="s">
        <v>130</v>
      </c>
      <c r="D269" s="39" t="n">
        <v>2</v>
      </c>
      <c r="E269" s="41" t="n">
        <v>8.94</v>
      </c>
      <c r="F269" s="39" t="s">
        <v>115</v>
      </c>
      <c r="G269" s="39" t="str">
        <f aca="false">UPPER(TRIM(C269))</f>
        <v>P011</v>
      </c>
      <c r="H269" s="39" t="str">
        <f aca="false">IF(ISNUMBER(MATCH(G269,Products!$A$5:$A$24,0)),"OK","Mismatch")</f>
        <v>OK</v>
      </c>
      <c r="I269" s="39" t="str">
        <f aca="false">IF(COUNTIF($A$5:A269,A269)&gt;1,"Duplicate","Unique")</f>
        <v>Unique</v>
      </c>
      <c r="J269" s="39" t="str">
        <f aca="false">IF(I269="Duplicate","Remove",IF(H269="Mismatch","Exclude","Keep"))</f>
        <v>Keep</v>
      </c>
    </row>
    <row r="270" customFormat="false" ht="15" hidden="false" customHeight="false" outlineLevel="0" collapsed="false">
      <c r="A270" s="39" t="s">
        <v>387</v>
      </c>
      <c r="B270" s="40" t="n">
        <v>45696</v>
      </c>
      <c r="C270" s="39" t="s">
        <v>162</v>
      </c>
      <c r="D270" s="39" t="n">
        <v>3</v>
      </c>
      <c r="E270" s="41" t="n">
        <v>64.59</v>
      </c>
      <c r="F270" s="39" t="s">
        <v>118</v>
      </c>
      <c r="G270" s="39" t="str">
        <f aca="false">UPPER(TRIM(C270))</f>
        <v>P017</v>
      </c>
      <c r="H270" s="39" t="str">
        <f aca="false">IF(ISNUMBER(MATCH(G270,Products!$A$5:$A$24,0)),"OK","Mismatch")</f>
        <v>OK</v>
      </c>
      <c r="I270" s="39" t="str">
        <f aca="false">IF(COUNTIF($A$5:A270,A270)&gt;1,"Duplicate","Unique")</f>
        <v>Unique</v>
      </c>
      <c r="J270" s="39" t="str">
        <f aca="false">IF(I270="Duplicate","Remove",IF(H270="Mismatch","Exclude","Keep"))</f>
        <v>Keep</v>
      </c>
    </row>
    <row r="271" customFormat="false" ht="15" hidden="false" customHeight="false" outlineLevel="0" collapsed="false">
      <c r="A271" s="39" t="s">
        <v>388</v>
      </c>
      <c r="B271" s="40" t="n">
        <v>45696</v>
      </c>
      <c r="C271" s="39" t="s">
        <v>110</v>
      </c>
      <c r="D271" s="39" t="n">
        <v>2</v>
      </c>
      <c r="E271" s="41" t="n">
        <v>13.43</v>
      </c>
      <c r="F271" s="39" t="s">
        <v>108</v>
      </c>
      <c r="G271" s="39" t="str">
        <f aca="false">UPPER(TRIM(C271))</f>
        <v>P016</v>
      </c>
      <c r="H271" s="39" t="str">
        <f aca="false">IF(ISNUMBER(MATCH(G271,Products!$A$5:$A$24,0)),"OK","Mismatch")</f>
        <v>OK</v>
      </c>
      <c r="I271" s="39" t="str">
        <f aca="false">IF(COUNTIF($A$5:A271,A271)&gt;1,"Duplicate","Unique")</f>
        <v>Unique</v>
      </c>
      <c r="J271" s="39" t="str">
        <f aca="false">IF(I271="Duplicate","Remove",IF(H271="Mismatch","Exclude","Keep"))</f>
        <v>Keep</v>
      </c>
    </row>
    <row r="272" customFormat="false" ht="15" hidden="false" customHeight="false" outlineLevel="0" collapsed="false">
      <c r="A272" s="39" t="s">
        <v>389</v>
      </c>
      <c r="B272" s="40" t="n">
        <v>45696</v>
      </c>
      <c r="C272" s="39" t="s">
        <v>126</v>
      </c>
      <c r="D272" s="39" t="n">
        <v>1</v>
      </c>
      <c r="E272" s="41" t="n">
        <v>24.92</v>
      </c>
      <c r="F272" s="39" t="s">
        <v>105</v>
      </c>
      <c r="G272" s="39" t="str">
        <f aca="false">UPPER(TRIM(C272))</f>
        <v>P001</v>
      </c>
      <c r="H272" s="39" t="str">
        <f aca="false">IF(ISNUMBER(MATCH(G272,Products!$A$5:$A$24,0)),"OK","Mismatch")</f>
        <v>OK</v>
      </c>
      <c r="I272" s="39" t="str">
        <f aca="false">IF(COUNTIF($A$5:A272,A272)&gt;1,"Duplicate","Unique")</f>
        <v>Unique</v>
      </c>
      <c r="J272" s="39" t="str">
        <f aca="false">IF(I272="Duplicate","Remove",IF(H272="Mismatch","Exclude","Keep"))</f>
        <v>Keep</v>
      </c>
    </row>
    <row r="273" customFormat="false" ht="15" hidden="false" customHeight="false" outlineLevel="0" collapsed="false">
      <c r="A273" s="39" t="s">
        <v>390</v>
      </c>
      <c r="B273" s="40" t="n">
        <v>45696</v>
      </c>
      <c r="C273" s="39" t="s">
        <v>104</v>
      </c>
      <c r="D273" s="39" t="n">
        <v>5</v>
      </c>
      <c r="E273" s="41" t="n">
        <v>15.98</v>
      </c>
      <c r="F273" s="39" t="s">
        <v>115</v>
      </c>
      <c r="G273" s="39" t="str">
        <f aca="false">UPPER(TRIM(C273))</f>
        <v>P015</v>
      </c>
      <c r="H273" s="39" t="str">
        <f aca="false">IF(ISNUMBER(MATCH(G273,Products!$A$5:$A$24,0)),"OK","Mismatch")</f>
        <v>OK</v>
      </c>
      <c r="I273" s="39" t="str">
        <f aca="false">IF(COUNTIF($A$5:A273,A273)&gt;1,"Duplicate","Unique")</f>
        <v>Unique</v>
      </c>
      <c r="J273" s="39" t="str">
        <f aca="false">IF(I273="Duplicate","Remove",IF(H273="Mismatch","Exclude","Keep"))</f>
        <v>Keep</v>
      </c>
    </row>
    <row r="274" customFormat="false" ht="15" hidden="false" customHeight="false" outlineLevel="0" collapsed="false">
      <c r="A274" s="39" t="s">
        <v>391</v>
      </c>
      <c r="B274" s="40" t="n">
        <v>45696</v>
      </c>
      <c r="C274" s="39" t="s">
        <v>114</v>
      </c>
      <c r="D274" s="39" t="n">
        <v>2</v>
      </c>
      <c r="E274" s="41" t="n">
        <v>6</v>
      </c>
      <c r="F274" s="39" t="s">
        <v>108</v>
      </c>
      <c r="G274" s="39" t="str">
        <f aca="false">UPPER(TRIM(C274))</f>
        <v>P012</v>
      </c>
      <c r="H274" s="39" t="str">
        <f aca="false">IF(ISNUMBER(MATCH(G274,Products!$A$5:$A$24,0)),"OK","Mismatch")</f>
        <v>OK</v>
      </c>
      <c r="I274" s="39" t="str">
        <f aca="false">IF(COUNTIF($A$5:A274,A274)&gt;1,"Duplicate","Unique")</f>
        <v>Unique</v>
      </c>
      <c r="J274" s="39" t="str">
        <f aca="false">IF(I274="Duplicate","Remove",IF(H274="Mismatch","Exclude","Keep"))</f>
        <v>Keep</v>
      </c>
    </row>
    <row r="275" customFormat="false" ht="15" hidden="false" customHeight="false" outlineLevel="0" collapsed="false">
      <c r="A275" s="39" t="s">
        <v>392</v>
      </c>
      <c r="B275" s="40" t="n">
        <v>45696</v>
      </c>
      <c r="C275" s="39" t="s">
        <v>162</v>
      </c>
      <c r="D275" s="39" t="n">
        <v>3</v>
      </c>
      <c r="E275" s="41" t="n">
        <v>67.2</v>
      </c>
      <c r="F275" s="39" t="s">
        <v>105</v>
      </c>
      <c r="G275" s="39" t="str">
        <f aca="false">UPPER(TRIM(C275))</f>
        <v>P017</v>
      </c>
      <c r="H275" s="39" t="str">
        <f aca="false">IF(ISNUMBER(MATCH(G275,Products!$A$5:$A$24,0)),"OK","Mismatch")</f>
        <v>OK</v>
      </c>
      <c r="I275" s="39" t="str">
        <f aca="false">IF(COUNTIF($A$5:A275,A275)&gt;1,"Duplicate","Unique")</f>
        <v>Unique</v>
      </c>
      <c r="J275" s="39" t="str">
        <f aca="false">IF(I275="Duplicate","Remove",IF(H275="Mismatch","Exclude","Keep"))</f>
        <v>Keep</v>
      </c>
    </row>
    <row r="276" customFormat="false" ht="15" hidden="false" customHeight="false" outlineLevel="0" collapsed="false">
      <c r="A276" s="39" t="s">
        <v>393</v>
      </c>
      <c r="B276" s="40" t="n">
        <v>45697</v>
      </c>
      <c r="C276" s="39" t="s">
        <v>183</v>
      </c>
      <c r="D276" s="39" t="n">
        <v>3</v>
      </c>
      <c r="E276" s="41" t="n">
        <v>184.99</v>
      </c>
      <c r="F276" s="39" t="s">
        <v>105</v>
      </c>
      <c r="G276" s="39" t="str">
        <f aca="false">UPPER(TRIM(C276))</f>
        <v>P007</v>
      </c>
      <c r="H276" s="39" t="str">
        <f aca="false">IF(ISNUMBER(MATCH(G276,Products!$A$5:$A$24,0)),"OK","Mismatch")</f>
        <v>OK</v>
      </c>
      <c r="I276" s="39" t="str">
        <f aca="false">IF(COUNTIF($A$5:A276,A276)&gt;1,"Duplicate","Unique")</f>
        <v>Unique</v>
      </c>
      <c r="J276" s="39" t="str">
        <f aca="false">IF(I276="Duplicate","Remove",IF(H276="Mismatch","Exclude","Keep"))</f>
        <v>Keep</v>
      </c>
    </row>
    <row r="277" customFormat="false" ht="15" hidden="false" customHeight="false" outlineLevel="0" collapsed="false">
      <c r="A277" s="39" t="s">
        <v>394</v>
      </c>
      <c r="B277" s="40" t="n">
        <v>45697</v>
      </c>
      <c r="C277" s="39" t="s">
        <v>133</v>
      </c>
      <c r="D277" s="39" t="n">
        <v>1</v>
      </c>
      <c r="E277" s="41" t="n">
        <v>8.64</v>
      </c>
      <c r="F277" s="39" t="s">
        <v>105</v>
      </c>
      <c r="G277" s="39" t="str">
        <f aca="false">UPPER(TRIM(C277))</f>
        <v>P019</v>
      </c>
      <c r="H277" s="39" t="str">
        <f aca="false">IF(ISNUMBER(MATCH(G277,Products!$A$5:$A$24,0)),"OK","Mismatch")</f>
        <v>OK</v>
      </c>
      <c r="I277" s="39" t="str">
        <f aca="false">IF(COUNTIF($A$5:A277,A277)&gt;1,"Duplicate","Unique")</f>
        <v>Unique</v>
      </c>
      <c r="J277" s="39" t="str">
        <f aca="false">IF(I277="Duplicate","Remove",IF(H277="Mismatch","Exclude","Keep"))</f>
        <v>Keep</v>
      </c>
    </row>
    <row r="278" customFormat="false" ht="15" hidden="false" customHeight="false" outlineLevel="0" collapsed="false">
      <c r="A278" s="39" t="s">
        <v>395</v>
      </c>
      <c r="B278" s="40" t="n">
        <v>45697</v>
      </c>
      <c r="C278" s="39" t="s">
        <v>117</v>
      </c>
      <c r="D278" s="39" t="n">
        <v>3</v>
      </c>
      <c r="E278" s="41" t="n">
        <v>30.34</v>
      </c>
      <c r="F278" s="39" t="s">
        <v>108</v>
      </c>
      <c r="G278" s="39" t="str">
        <f aca="false">UPPER(TRIM(C278))</f>
        <v>P009</v>
      </c>
      <c r="H278" s="39" t="str">
        <f aca="false">IF(ISNUMBER(MATCH(G278,Products!$A$5:$A$24,0)),"OK","Mismatch")</f>
        <v>OK</v>
      </c>
      <c r="I278" s="39" t="str">
        <f aca="false">IF(COUNTIF($A$5:A278,A278)&gt;1,"Duplicate","Unique")</f>
        <v>Unique</v>
      </c>
      <c r="J278" s="39" t="str">
        <f aca="false">IF(I278="Duplicate","Remove",IF(H278="Mismatch","Exclude","Keep"))</f>
        <v>Keep</v>
      </c>
    </row>
    <row r="279" customFormat="false" ht="15" hidden="false" customHeight="false" outlineLevel="0" collapsed="false">
      <c r="A279" s="39" t="s">
        <v>396</v>
      </c>
      <c r="B279" s="40" t="n">
        <v>45697</v>
      </c>
      <c r="C279" s="39" t="s">
        <v>112</v>
      </c>
      <c r="D279" s="39" t="n">
        <v>2</v>
      </c>
      <c r="E279" s="41" t="n">
        <v>52.76</v>
      </c>
      <c r="F279" s="39" t="s">
        <v>105</v>
      </c>
      <c r="G279" s="39" t="str">
        <f aca="false">UPPER(TRIM(C279))</f>
        <v>P005</v>
      </c>
      <c r="H279" s="39" t="str">
        <f aca="false">IF(ISNUMBER(MATCH(G279,Products!$A$5:$A$24,0)),"OK","Mismatch")</f>
        <v>OK</v>
      </c>
      <c r="I279" s="39" t="str">
        <f aca="false">IF(COUNTIF($A$5:A279,A279)&gt;1,"Duplicate","Unique")</f>
        <v>Unique</v>
      </c>
      <c r="J279" s="39" t="str">
        <f aca="false">IF(I279="Duplicate","Remove",IF(H279="Mismatch","Exclude","Keep"))</f>
        <v>Keep</v>
      </c>
    </row>
    <row r="280" customFormat="false" ht="15" hidden="false" customHeight="false" outlineLevel="0" collapsed="false">
      <c r="A280" s="39" t="s">
        <v>397</v>
      </c>
      <c r="B280" s="40" t="n">
        <v>45698</v>
      </c>
      <c r="C280" s="39" t="s">
        <v>114</v>
      </c>
      <c r="D280" s="39" t="n">
        <v>1</v>
      </c>
      <c r="E280" s="41" t="n">
        <v>5.99</v>
      </c>
      <c r="F280" s="39" t="s">
        <v>118</v>
      </c>
      <c r="G280" s="39" t="str">
        <f aca="false">UPPER(TRIM(C280))</f>
        <v>P012</v>
      </c>
      <c r="H280" s="39" t="str">
        <f aca="false">IF(ISNUMBER(MATCH(G280,Products!$A$5:$A$24,0)),"OK","Mismatch")</f>
        <v>OK</v>
      </c>
      <c r="I280" s="39" t="str">
        <f aca="false">IF(COUNTIF($A$5:A280,A280)&gt;1,"Duplicate","Unique")</f>
        <v>Unique</v>
      </c>
      <c r="J280" s="39" t="str">
        <f aca="false">IF(I280="Duplicate","Remove",IF(H280="Mismatch","Exclude","Keep"))</f>
        <v>Keep</v>
      </c>
    </row>
    <row r="281" customFormat="false" ht="15" hidden="false" customHeight="false" outlineLevel="0" collapsed="false">
      <c r="A281" s="39" t="s">
        <v>398</v>
      </c>
      <c r="B281" s="40" t="n">
        <v>45698</v>
      </c>
      <c r="C281" s="39" t="s">
        <v>104</v>
      </c>
      <c r="D281" s="39" t="n">
        <v>2</v>
      </c>
      <c r="E281" s="41" t="n">
        <v>14.89</v>
      </c>
      <c r="F281" s="39" t="s">
        <v>115</v>
      </c>
      <c r="G281" s="39" t="str">
        <f aca="false">UPPER(TRIM(C281))</f>
        <v>P015</v>
      </c>
      <c r="H281" s="39" t="str">
        <f aca="false">IF(ISNUMBER(MATCH(G281,Products!$A$5:$A$24,0)),"OK","Mismatch")</f>
        <v>OK</v>
      </c>
      <c r="I281" s="39" t="str">
        <f aca="false">IF(COUNTIF($A$5:A281,A281)&gt;1,"Duplicate","Unique")</f>
        <v>Unique</v>
      </c>
      <c r="J281" s="39" t="str">
        <f aca="false">IF(I281="Duplicate","Remove",IF(H281="Mismatch","Exclude","Keep"))</f>
        <v>Keep</v>
      </c>
    </row>
    <row r="282" customFormat="false" ht="15" hidden="false" customHeight="false" outlineLevel="0" collapsed="false">
      <c r="A282" s="39" t="s">
        <v>399</v>
      </c>
      <c r="B282" s="40" t="n">
        <v>45698</v>
      </c>
      <c r="C282" s="39" t="s">
        <v>126</v>
      </c>
      <c r="D282" s="39" t="n">
        <v>1</v>
      </c>
      <c r="E282" s="41" t="n">
        <v>24.14</v>
      </c>
      <c r="F282" s="39" t="s">
        <v>105</v>
      </c>
      <c r="G282" s="39" t="str">
        <f aca="false">UPPER(TRIM(C282))</f>
        <v>P001</v>
      </c>
      <c r="H282" s="39" t="str">
        <f aca="false">IF(ISNUMBER(MATCH(G282,Products!$A$5:$A$24,0)),"OK","Mismatch")</f>
        <v>OK</v>
      </c>
      <c r="I282" s="39" t="str">
        <f aca="false">IF(COUNTIF($A$5:A282,A282)&gt;1,"Duplicate","Unique")</f>
        <v>Unique</v>
      </c>
      <c r="J282" s="39" t="str">
        <f aca="false">IF(I282="Duplicate","Remove",IF(H282="Mismatch","Exclude","Keep"))</f>
        <v>Keep</v>
      </c>
    </row>
    <row r="283" customFormat="false" ht="15" hidden="false" customHeight="false" outlineLevel="0" collapsed="false">
      <c r="A283" s="39" t="s">
        <v>400</v>
      </c>
      <c r="B283" s="40" t="n">
        <v>45698</v>
      </c>
      <c r="C283" s="39" t="s">
        <v>177</v>
      </c>
      <c r="D283" s="39" t="n">
        <v>4</v>
      </c>
      <c r="E283" s="41" t="n">
        <v>44.24</v>
      </c>
      <c r="F283" s="39" t="s">
        <v>118</v>
      </c>
      <c r="G283" s="39" t="str">
        <f aca="false">UPPER(TRIM(C283))</f>
        <v>P014</v>
      </c>
      <c r="H283" s="39" t="str">
        <f aca="false">IF(ISNUMBER(MATCH(G283,Products!$A$5:$A$24,0)),"OK","Mismatch")</f>
        <v>OK</v>
      </c>
      <c r="I283" s="39" t="str">
        <f aca="false">IF(COUNTIF($A$5:A283,A283)&gt;1,"Duplicate","Unique")</f>
        <v>Unique</v>
      </c>
      <c r="J283" s="39" t="str">
        <f aca="false">IF(I283="Duplicate","Remove",IF(H283="Mismatch","Exclude","Keep"))</f>
        <v>Keep</v>
      </c>
    </row>
    <row r="284" customFormat="false" ht="15" hidden="false" customHeight="false" outlineLevel="0" collapsed="false">
      <c r="A284" s="39" t="s">
        <v>401</v>
      </c>
      <c r="B284" s="40" t="n">
        <v>45698</v>
      </c>
      <c r="C284" s="39" t="s">
        <v>130</v>
      </c>
      <c r="D284" s="39" t="n">
        <v>4</v>
      </c>
      <c r="E284" s="41" t="n">
        <v>8.48</v>
      </c>
      <c r="F284" s="39" t="s">
        <v>118</v>
      </c>
      <c r="G284" s="39" t="str">
        <f aca="false">UPPER(TRIM(C284))</f>
        <v>P011</v>
      </c>
      <c r="H284" s="39" t="str">
        <f aca="false">IF(ISNUMBER(MATCH(G284,Products!$A$5:$A$24,0)),"OK","Mismatch")</f>
        <v>OK</v>
      </c>
      <c r="I284" s="39" t="str">
        <f aca="false">IF(COUNTIF($A$5:A284,A284)&gt;1,"Duplicate","Unique")</f>
        <v>Unique</v>
      </c>
      <c r="J284" s="39" t="str">
        <f aca="false">IF(I284="Duplicate","Remove",IF(H284="Mismatch","Exclude","Keep"))</f>
        <v>Keep</v>
      </c>
    </row>
    <row r="285" customFormat="false" ht="15" hidden="false" customHeight="false" outlineLevel="0" collapsed="false">
      <c r="A285" s="39" t="s">
        <v>402</v>
      </c>
      <c r="B285" s="40" t="n">
        <v>45699</v>
      </c>
      <c r="C285" s="39" t="s">
        <v>121</v>
      </c>
      <c r="D285" s="39" t="n">
        <v>1</v>
      </c>
      <c r="E285" s="41" t="n">
        <v>113.87</v>
      </c>
      <c r="F285" s="39" t="s">
        <v>115</v>
      </c>
      <c r="G285" s="39" t="str">
        <f aca="false">UPPER(TRIM(C285))</f>
        <v>P018</v>
      </c>
      <c r="H285" s="39" t="str">
        <f aca="false">IF(ISNUMBER(MATCH(G285,Products!$A$5:$A$24,0)),"OK","Mismatch")</f>
        <v>OK</v>
      </c>
      <c r="I285" s="39" t="str">
        <f aca="false">IF(COUNTIF($A$5:A285,A285)&gt;1,"Duplicate","Unique")</f>
        <v>Unique</v>
      </c>
      <c r="J285" s="39" t="str">
        <f aca="false">IF(I285="Duplicate","Remove",IF(H285="Mismatch","Exclude","Keep"))</f>
        <v>Keep</v>
      </c>
    </row>
    <row r="286" customFormat="false" ht="15" hidden="false" customHeight="false" outlineLevel="0" collapsed="false">
      <c r="A286" s="39" t="s">
        <v>403</v>
      </c>
      <c r="B286" s="40" t="n">
        <v>45699</v>
      </c>
      <c r="C286" s="39" t="s">
        <v>130</v>
      </c>
      <c r="D286" s="39" t="n">
        <v>5</v>
      </c>
      <c r="E286" s="41" t="n">
        <v>8.88</v>
      </c>
      <c r="F286" s="39" t="s">
        <v>105</v>
      </c>
      <c r="G286" s="39" t="str">
        <f aca="false">UPPER(TRIM(C286))</f>
        <v>P011</v>
      </c>
      <c r="H286" s="39" t="str">
        <f aca="false">IF(ISNUMBER(MATCH(G286,Products!$A$5:$A$24,0)),"OK","Mismatch")</f>
        <v>OK</v>
      </c>
      <c r="I286" s="39" t="str">
        <f aca="false">IF(COUNTIF($A$5:A286,A286)&gt;1,"Duplicate","Unique")</f>
        <v>Unique</v>
      </c>
      <c r="J286" s="39" t="str">
        <f aca="false">IF(I286="Duplicate","Remove",IF(H286="Mismatch","Exclude","Keep"))</f>
        <v>Keep</v>
      </c>
    </row>
    <row r="287" customFormat="false" ht="15" hidden="false" customHeight="false" outlineLevel="0" collapsed="false">
      <c r="A287" s="39" t="s">
        <v>404</v>
      </c>
      <c r="B287" s="40" t="n">
        <v>45699</v>
      </c>
      <c r="C287" s="39" t="s">
        <v>169</v>
      </c>
      <c r="D287" s="39" t="n">
        <v>3</v>
      </c>
      <c r="E287" s="41" t="n">
        <v>28.6</v>
      </c>
      <c r="F287" s="39" t="s">
        <v>118</v>
      </c>
      <c r="G287" s="39" t="str">
        <f aca="false">UPPER(TRIM(C287))</f>
        <v>P004</v>
      </c>
      <c r="H287" s="39" t="str">
        <f aca="false">IF(ISNUMBER(MATCH(G287,Products!$A$5:$A$24,0)),"OK","Mismatch")</f>
        <v>OK</v>
      </c>
      <c r="I287" s="39" t="str">
        <f aca="false">IF(COUNTIF($A$5:A287,A287)&gt;1,"Duplicate","Unique")</f>
        <v>Unique</v>
      </c>
      <c r="J287" s="39" t="str">
        <f aca="false">IF(I287="Duplicate","Remove",IF(H287="Mismatch","Exclude","Keep"))</f>
        <v>Keep</v>
      </c>
    </row>
    <row r="288" customFormat="false" ht="15" hidden="false" customHeight="false" outlineLevel="0" collapsed="false">
      <c r="A288" s="39" t="s">
        <v>405</v>
      </c>
      <c r="B288" s="40" t="n">
        <v>45699</v>
      </c>
      <c r="C288" s="39" t="s">
        <v>133</v>
      </c>
      <c r="D288" s="39" t="n">
        <v>1</v>
      </c>
      <c r="E288" s="41" t="n">
        <v>8.36</v>
      </c>
      <c r="F288" s="39" t="s">
        <v>105</v>
      </c>
      <c r="G288" s="39" t="str">
        <f aca="false">UPPER(TRIM(C288))</f>
        <v>P019</v>
      </c>
      <c r="H288" s="39" t="str">
        <f aca="false">IF(ISNUMBER(MATCH(G288,Products!$A$5:$A$24,0)),"OK","Mismatch")</f>
        <v>OK</v>
      </c>
      <c r="I288" s="39" t="str">
        <f aca="false">IF(COUNTIF($A$5:A288,A288)&gt;1,"Duplicate","Unique")</f>
        <v>Unique</v>
      </c>
      <c r="J288" s="39" t="str">
        <f aca="false">IF(I288="Duplicate","Remove",IF(H288="Mismatch","Exclude","Keep"))</f>
        <v>Keep</v>
      </c>
    </row>
    <row r="289" customFormat="false" ht="15" hidden="false" customHeight="false" outlineLevel="0" collapsed="false">
      <c r="A289" s="39" t="s">
        <v>406</v>
      </c>
      <c r="B289" s="40" t="n">
        <v>45699</v>
      </c>
      <c r="C289" s="39" t="s">
        <v>126</v>
      </c>
      <c r="D289" s="39" t="n">
        <v>2</v>
      </c>
      <c r="E289" s="41" t="n">
        <v>24.96</v>
      </c>
      <c r="F289" s="39" t="s">
        <v>115</v>
      </c>
      <c r="G289" s="39" t="str">
        <f aca="false">UPPER(TRIM(C289))</f>
        <v>P001</v>
      </c>
      <c r="H289" s="39" t="str">
        <f aca="false">IF(ISNUMBER(MATCH(G289,Products!$A$5:$A$24,0)),"OK","Mismatch")</f>
        <v>OK</v>
      </c>
      <c r="I289" s="39" t="str">
        <f aca="false">IF(COUNTIF($A$5:A289,A289)&gt;1,"Duplicate","Unique")</f>
        <v>Unique</v>
      </c>
      <c r="J289" s="39" t="str">
        <f aca="false">IF(I289="Duplicate","Remove",IF(H289="Mismatch","Exclude","Keep"))</f>
        <v>Keep</v>
      </c>
    </row>
    <row r="290" customFormat="false" ht="15" hidden="false" customHeight="false" outlineLevel="0" collapsed="false">
      <c r="A290" s="39" t="s">
        <v>407</v>
      </c>
      <c r="B290" s="40" t="n">
        <v>45700</v>
      </c>
      <c r="C290" s="39" t="s">
        <v>169</v>
      </c>
      <c r="D290" s="39" t="n">
        <v>3</v>
      </c>
      <c r="E290" s="41" t="n">
        <v>27.79</v>
      </c>
      <c r="F290" s="39" t="s">
        <v>105</v>
      </c>
      <c r="G290" s="39" t="str">
        <f aca="false">UPPER(TRIM(C290))</f>
        <v>P004</v>
      </c>
      <c r="H290" s="39" t="str">
        <f aca="false">IF(ISNUMBER(MATCH(G290,Products!$A$5:$A$24,0)),"OK","Mismatch")</f>
        <v>OK</v>
      </c>
      <c r="I290" s="39" t="str">
        <f aca="false">IF(COUNTIF($A$5:A290,A290)&gt;1,"Duplicate","Unique")</f>
        <v>Unique</v>
      </c>
      <c r="J290" s="39" t="str">
        <f aca="false">IF(I290="Duplicate","Remove",IF(H290="Mismatch","Exclude","Keep"))</f>
        <v>Keep</v>
      </c>
    </row>
    <row r="291" customFormat="false" ht="15" hidden="false" customHeight="false" outlineLevel="0" collapsed="false">
      <c r="A291" s="39" t="s">
        <v>408</v>
      </c>
      <c r="B291" s="40" t="n">
        <v>45700</v>
      </c>
      <c r="C291" s="39" t="s">
        <v>162</v>
      </c>
      <c r="D291" s="39" t="n">
        <v>1</v>
      </c>
      <c r="E291" s="41" t="n">
        <v>68.06</v>
      </c>
      <c r="F291" s="39" t="s">
        <v>115</v>
      </c>
      <c r="G291" s="39" t="str">
        <f aca="false">UPPER(TRIM(C291))</f>
        <v>P017</v>
      </c>
      <c r="H291" s="39" t="str">
        <f aca="false">IF(ISNUMBER(MATCH(G291,Products!$A$5:$A$24,0)),"OK","Mismatch")</f>
        <v>OK</v>
      </c>
      <c r="I291" s="39" t="str">
        <f aca="false">IF(COUNTIF($A$5:A291,A291)&gt;1,"Duplicate","Unique")</f>
        <v>Unique</v>
      </c>
      <c r="J291" s="39" t="str">
        <f aca="false">IF(I291="Duplicate","Remove",IF(H291="Mismatch","Exclude","Keep"))</f>
        <v>Keep</v>
      </c>
    </row>
    <row r="292" customFormat="false" ht="15" hidden="false" customHeight="false" outlineLevel="0" collapsed="false">
      <c r="A292" s="39" t="s">
        <v>409</v>
      </c>
      <c r="B292" s="40" t="n">
        <v>45700</v>
      </c>
      <c r="C292" s="39" t="s">
        <v>107</v>
      </c>
      <c r="D292" s="39" t="n">
        <v>1</v>
      </c>
      <c r="E292" s="41" t="n">
        <v>34.64</v>
      </c>
      <c r="F292" s="39" t="s">
        <v>105</v>
      </c>
      <c r="G292" s="39" t="str">
        <f aca="false">UPPER(TRIM(C292))</f>
        <v>P003</v>
      </c>
      <c r="H292" s="39" t="str">
        <f aca="false">IF(ISNUMBER(MATCH(G292,Products!$A$5:$A$24,0)),"OK","Mismatch")</f>
        <v>OK</v>
      </c>
      <c r="I292" s="39" t="str">
        <f aca="false">IF(COUNTIF($A$5:A292,A292)&gt;1,"Duplicate","Unique")</f>
        <v>Unique</v>
      </c>
      <c r="J292" s="39" t="str">
        <f aca="false">IF(I292="Duplicate","Remove",IF(H292="Mismatch","Exclude","Keep"))</f>
        <v>Keep</v>
      </c>
    </row>
    <row r="293" customFormat="false" ht="15" hidden="false" customHeight="false" outlineLevel="0" collapsed="false">
      <c r="A293" s="39" t="s">
        <v>410</v>
      </c>
      <c r="B293" s="40" t="n">
        <v>45700</v>
      </c>
      <c r="C293" s="39" t="s">
        <v>110</v>
      </c>
      <c r="D293" s="39" t="n">
        <v>1</v>
      </c>
      <c r="E293" s="41" t="n">
        <v>13.75</v>
      </c>
      <c r="F293" s="39" t="s">
        <v>108</v>
      </c>
      <c r="G293" s="39" t="str">
        <f aca="false">UPPER(TRIM(C293))</f>
        <v>P016</v>
      </c>
      <c r="H293" s="39" t="str">
        <f aca="false">IF(ISNUMBER(MATCH(G293,Products!$A$5:$A$24,0)),"OK","Mismatch")</f>
        <v>OK</v>
      </c>
      <c r="I293" s="39" t="str">
        <f aca="false">IF(COUNTIF($A$5:A293,A293)&gt;1,"Duplicate","Unique")</f>
        <v>Unique</v>
      </c>
      <c r="J293" s="39" t="str">
        <f aca="false">IF(I293="Duplicate","Remove",IF(H293="Mismatch","Exclude","Keep"))</f>
        <v>Keep</v>
      </c>
    </row>
    <row r="294" customFormat="false" ht="15" hidden="false" customHeight="false" outlineLevel="0" collapsed="false">
      <c r="A294" s="39" t="s">
        <v>411</v>
      </c>
      <c r="B294" s="40" t="n">
        <v>45701</v>
      </c>
      <c r="C294" s="39" t="s">
        <v>104</v>
      </c>
      <c r="D294" s="39" t="n">
        <v>5</v>
      </c>
      <c r="E294" s="41" t="n">
        <v>15.68</v>
      </c>
      <c r="F294" s="39" t="s">
        <v>105</v>
      </c>
      <c r="G294" s="39" t="str">
        <f aca="false">UPPER(TRIM(C294))</f>
        <v>P015</v>
      </c>
      <c r="H294" s="39" t="str">
        <f aca="false">IF(ISNUMBER(MATCH(G294,Products!$A$5:$A$24,0)),"OK","Mismatch")</f>
        <v>OK</v>
      </c>
      <c r="I294" s="39" t="str">
        <f aca="false">IF(COUNTIF($A$5:A294,A294)&gt;1,"Duplicate","Unique")</f>
        <v>Unique</v>
      </c>
      <c r="J294" s="39" t="str">
        <f aca="false">IF(I294="Duplicate","Remove",IF(H294="Mismatch","Exclude","Keep"))</f>
        <v>Keep</v>
      </c>
    </row>
    <row r="295" customFormat="false" ht="15" hidden="false" customHeight="false" outlineLevel="0" collapsed="false">
      <c r="A295" s="39" t="s">
        <v>412</v>
      </c>
      <c r="B295" s="40" t="n">
        <v>45701</v>
      </c>
      <c r="C295" s="39" t="s">
        <v>136</v>
      </c>
      <c r="D295" s="39" t="n">
        <v>2</v>
      </c>
      <c r="E295" s="41" t="n">
        <v>77.6</v>
      </c>
      <c r="F295" s="39" t="s">
        <v>115</v>
      </c>
      <c r="G295" s="39" t="str">
        <f aca="false">UPPER(TRIM(C295))</f>
        <v>P002</v>
      </c>
      <c r="H295" s="39" t="str">
        <f aca="false">IF(ISNUMBER(MATCH(G295,Products!$A$5:$A$24,0)),"OK","Mismatch")</f>
        <v>OK</v>
      </c>
      <c r="I295" s="39" t="str">
        <f aca="false">IF(COUNTIF($A$5:A295,A295)&gt;1,"Duplicate","Unique")</f>
        <v>Unique</v>
      </c>
      <c r="J295" s="39" t="str">
        <f aca="false">IF(I295="Duplicate","Remove",IF(H295="Mismatch","Exclude","Keep"))</f>
        <v>Keep</v>
      </c>
    </row>
    <row r="296" customFormat="false" ht="15" hidden="false" customHeight="false" outlineLevel="0" collapsed="false">
      <c r="A296" s="39" t="s">
        <v>413</v>
      </c>
      <c r="B296" s="40" t="n">
        <v>45701</v>
      </c>
      <c r="C296" s="39" t="s">
        <v>169</v>
      </c>
      <c r="D296" s="39" t="n">
        <v>4</v>
      </c>
      <c r="E296" s="41" t="n">
        <v>27.86</v>
      </c>
      <c r="F296" s="39" t="s">
        <v>108</v>
      </c>
      <c r="G296" s="39" t="str">
        <f aca="false">UPPER(TRIM(C296))</f>
        <v>P004</v>
      </c>
      <c r="H296" s="39" t="str">
        <f aca="false">IF(ISNUMBER(MATCH(G296,Products!$A$5:$A$24,0)),"OK","Mismatch")</f>
        <v>OK</v>
      </c>
      <c r="I296" s="39" t="str">
        <f aca="false">IF(COUNTIF($A$5:A296,A296)&gt;1,"Duplicate","Unique")</f>
        <v>Unique</v>
      </c>
      <c r="J296" s="39" t="str">
        <f aca="false">IF(I296="Duplicate","Remove",IF(H296="Mismatch","Exclude","Keep"))</f>
        <v>Keep</v>
      </c>
    </row>
    <row r="297" customFormat="false" ht="15" hidden="false" customHeight="false" outlineLevel="0" collapsed="false">
      <c r="A297" s="39" t="s">
        <v>414</v>
      </c>
      <c r="B297" s="40" t="n">
        <v>45702</v>
      </c>
      <c r="C297" s="39" t="s">
        <v>169</v>
      </c>
      <c r="D297" s="39" t="n">
        <v>1</v>
      </c>
      <c r="E297" s="41" t="n">
        <v>28.29</v>
      </c>
      <c r="F297" s="39" t="s">
        <v>105</v>
      </c>
      <c r="G297" s="39" t="str">
        <f aca="false">UPPER(TRIM(C297))</f>
        <v>P004</v>
      </c>
      <c r="H297" s="39" t="str">
        <f aca="false">IF(ISNUMBER(MATCH(G297,Products!$A$5:$A$24,0)),"OK","Mismatch")</f>
        <v>OK</v>
      </c>
      <c r="I297" s="39" t="str">
        <f aca="false">IF(COUNTIF($A$5:A297,A297)&gt;1,"Duplicate","Unique")</f>
        <v>Unique</v>
      </c>
      <c r="J297" s="39" t="str">
        <f aca="false">IF(I297="Duplicate","Remove",IF(H297="Mismatch","Exclude","Keep"))</f>
        <v>Keep</v>
      </c>
    </row>
    <row r="298" customFormat="false" ht="15" hidden="false" customHeight="false" outlineLevel="0" collapsed="false">
      <c r="A298" s="39" t="s">
        <v>415</v>
      </c>
      <c r="B298" s="40" t="n">
        <v>45702</v>
      </c>
      <c r="C298" s="39" t="s">
        <v>107</v>
      </c>
      <c r="D298" s="39" t="n">
        <v>6</v>
      </c>
      <c r="E298" s="41" t="n">
        <v>34.61</v>
      </c>
      <c r="F298" s="39" t="s">
        <v>118</v>
      </c>
      <c r="G298" s="39" t="str">
        <f aca="false">UPPER(TRIM(C298))</f>
        <v>P003</v>
      </c>
      <c r="H298" s="39" t="str">
        <f aca="false">IF(ISNUMBER(MATCH(G298,Products!$A$5:$A$24,0)),"OK","Mismatch")</f>
        <v>OK</v>
      </c>
      <c r="I298" s="39" t="str">
        <f aca="false">IF(COUNTIF($A$5:A298,A298)&gt;1,"Duplicate","Unique")</f>
        <v>Unique</v>
      </c>
      <c r="J298" s="39" t="str">
        <f aca="false">IF(I298="Duplicate","Remove",IF(H298="Mismatch","Exclude","Keep"))</f>
        <v>Keep</v>
      </c>
    </row>
    <row r="299" customFormat="false" ht="15" hidden="false" customHeight="false" outlineLevel="0" collapsed="false">
      <c r="A299" s="39" t="s">
        <v>416</v>
      </c>
      <c r="B299" s="40" t="n">
        <v>45702</v>
      </c>
      <c r="C299" s="39" t="s">
        <v>169</v>
      </c>
      <c r="D299" s="39" t="n">
        <v>6</v>
      </c>
      <c r="E299" s="41" t="n">
        <v>28.09</v>
      </c>
      <c r="F299" s="39" t="s">
        <v>105</v>
      </c>
      <c r="G299" s="39" t="str">
        <f aca="false">UPPER(TRIM(C299))</f>
        <v>P004</v>
      </c>
      <c r="H299" s="39" t="str">
        <f aca="false">IF(ISNUMBER(MATCH(G299,Products!$A$5:$A$24,0)),"OK","Mismatch")</f>
        <v>OK</v>
      </c>
      <c r="I299" s="39" t="str">
        <f aca="false">IF(COUNTIF($A$5:A299,A299)&gt;1,"Duplicate","Unique")</f>
        <v>Unique</v>
      </c>
      <c r="J299" s="39" t="str">
        <f aca="false">IF(I299="Duplicate","Remove",IF(H299="Mismatch","Exclude","Keep"))</f>
        <v>Keep</v>
      </c>
    </row>
    <row r="300" customFormat="false" ht="15" hidden="false" customHeight="false" outlineLevel="0" collapsed="false">
      <c r="A300" s="39" t="s">
        <v>417</v>
      </c>
      <c r="B300" s="40" t="n">
        <v>45703</v>
      </c>
      <c r="C300" s="39" t="s">
        <v>110</v>
      </c>
      <c r="D300" s="39" t="n">
        <v>3</v>
      </c>
      <c r="E300" s="41" t="n">
        <v>12.91</v>
      </c>
      <c r="F300" s="39" t="s">
        <v>115</v>
      </c>
      <c r="G300" s="39" t="str">
        <f aca="false">UPPER(TRIM(C300))</f>
        <v>P016</v>
      </c>
      <c r="H300" s="39" t="str">
        <f aca="false">IF(ISNUMBER(MATCH(G300,Products!$A$5:$A$24,0)),"OK","Mismatch")</f>
        <v>OK</v>
      </c>
      <c r="I300" s="39" t="str">
        <f aca="false">IF(COUNTIF($A$5:A300,A300)&gt;1,"Duplicate","Unique")</f>
        <v>Unique</v>
      </c>
      <c r="J300" s="39" t="str">
        <f aca="false">IF(I300="Duplicate","Remove",IF(H300="Mismatch","Exclude","Keep"))</f>
        <v>Keep</v>
      </c>
    </row>
    <row r="301" customFormat="false" ht="15" hidden="false" customHeight="false" outlineLevel="0" collapsed="false">
      <c r="A301" s="39" t="s">
        <v>418</v>
      </c>
      <c r="B301" s="40" t="n">
        <v>45703</v>
      </c>
      <c r="C301" s="39" t="s">
        <v>104</v>
      </c>
      <c r="D301" s="39" t="n">
        <v>2</v>
      </c>
      <c r="E301" s="41" t="n">
        <v>15.88</v>
      </c>
      <c r="F301" s="39" t="s">
        <v>118</v>
      </c>
      <c r="G301" s="39" t="str">
        <f aca="false">UPPER(TRIM(C301))</f>
        <v>P015</v>
      </c>
      <c r="H301" s="39" t="str">
        <f aca="false">IF(ISNUMBER(MATCH(G301,Products!$A$5:$A$24,0)),"OK","Mismatch")</f>
        <v>OK</v>
      </c>
      <c r="I301" s="39" t="str">
        <f aca="false">IF(COUNTIF($A$5:A301,A301)&gt;1,"Duplicate","Unique")</f>
        <v>Unique</v>
      </c>
      <c r="J301" s="39" t="str">
        <f aca="false">IF(I301="Duplicate","Remove",IF(H301="Mismatch","Exclude","Keep"))</f>
        <v>Keep</v>
      </c>
    </row>
    <row r="302" customFormat="false" ht="15" hidden="false" customHeight="false" outlineLevel="0" collapsed="false">
      <c r="A302" s="39" t="s">
        <v>419</v>
      </c>
      <c r="B302" s="40" t="n">
        <v>45703</v>
      </c>
      <c r="C302" s="39" t="s">
        <v>162</v>
      </c>
      <c r="D302" s="39" t="n">
        <v>1</v>
      </c>
      <c r="E302" s="41" t="n">
        <v>68.01</v>
      </c>
      <c r="F302" s="39" t="s">
        <v>118</v>
      </c>
      <c r="G302" s="39" t="str">
        <f aca="false">UPPER(TRIM(C302))</f>
        <v>P017</v>
      </c>
      <c r="H302" s="39" t="str">
        <f aca="false">IF(ISNUMBER(MATCH(G302,Products!$A$5:$A$24,0)),"OK","Mismatch")</f>
        <v>OK</v>
      </c>
      <c r="I302" s="39" t="str">
        <f aca="false">IF(COUNTIF($A$5:A302,A302)&gt;1,"Duplicate","Unique")</f>
        <v>Unique</v>
      </c>
      <c r="J302" s="39" t="str">
        <f aca="false">IF(I302="Duplicate","Remove",IF(H302="Mismatch","Exclude","Keep"))</f>
        <v>Keep</v>
      </c>
    </row>
    <row r="303" customFormat="false" ht="15" hidden="false" customHeight="false" outlineLevel="0" collapsed="false">
      <c r="A303" s="39" t="s">
        <v>420</v>
      </c>
      <c r="B303" s="40" t="n">
        <v>45704</v>
      </c>
      <c r="C303" s="39" t="s">
        <v>128</v>
      </c>
      <c r="D303" s="39" t="n">
        <v>3</v>
      </c>
      <c r="E303" s="41" t="n">
        <v>38.5</v>
      </c>
      <c r="F303" s="39" t="s">
        <v>118</v>
      </c>
      <c r="G303" s="39" t="str">
        <f aca="false">UPPER(TRIM(C303))</f>
        <v>P020</v>
      </c>
      <c r="H303" s="39" t="str">
        <f aca="false">IF(ISNUMBER(MATCH(G303,Products!$A$5:$A$24,0)),"OK","Mismatch")</f>
        <v>OK</v>
      </c>
      <c r="I303" s="39" t="str">
        <f aca="false">IF(COUNTIF($A$5:A303,A303)&gt;1,"Duplicate","Unique")</f>
        <v>Unique</v>
      </c>
      <c r="J303" s="39" t="str">
        <f aca="false">IF(I303="Duplicate","Remove",IF(H303="Mismatch","Exclude","Keep"))</f>
        <v>Keep</v>
      </c>
    </row>
    <row r="304" customFormat="false" ht="15" hidden="false" customHeight="false" outlineLevel="0" collapsed="false">
      <c r="A304" s="39" t="s">
        <v>421</v>
      </c>
      <c r="B304" s="40" t="n">
        <v>45704</v>
      </c>
      <c r="C304" s="39" t="s">
        <v>130</v>
      </c>
      <c r="D304" s="39" t="n">
        <v>6</v>
      </c>
      <c r="E304" s="41" t="n">
        <v>8.76</v>
      </c>
      <c r="F304" s="39" t="s">
        <v>108</v>
      </c>
      <c r="G304" s="39" t="str">
        <f aca="false">UPPER(TRIM(C304))</f>
        <v>P011</v>
      </c>
      <c r="H304" s="39" t="str">
        <f aca="false">IF(ISNUMBER(MATCH(G304,Products!$A$5:$A$24,0)),"OK","Mismatch")</f>
        <v>OK</v>
      </c>
      <c r="I304" s="39" t="str">
        <f aca="false">IF(COUNTIF($A$5:A304,A304)&gt;1,"Duplicate","Unique")</f>
        <v>Unique</v>
      </c>
      <c r="J304" s="39" t="str">
        <f aca="false">IF(I304="Duplicate","Remove",IF(H304="Mismatch","Exclude","Keep"))</f>
        <v>Keep</v>
      </c>
    </row>
    <row r="305" customFormat="false" ht="15" hidden="false" customHeight="false" outlineLevel="0" collapsed="false">
      <c r="A305" s="39" t="s">
        <v>422</v>
      </c>
      <c r="B305" s="40" t="n">
        <v>45704</v>
      </c>
      <c r="C305" s="39" t="s">
        <v>177</v>
      </c>
      <c r="D305" s="39" t="n">
        <v>1</v>
      </c>
      <c r="E305" s="41" t="n">
        <v>44.89</v>
      </c>
      <c r="F305" s="39" t="s">
        <v>108</v>
      </c>
      <c r="G305" s="39" t="str">
        <f aca="false">UPPER(TRIM(C305))</f>
        <v>P014</v>
      </c>
      <c r="H305" s="39" t="str">
        <f aca="false">IF(ISNUMBER(MATCH(G305,Products!$A$5:$A$24,0)),"OK","Mismatch")</f>
        <v>OK</v>
      </c>
      <c r="I305" s="39" t="str">
        <f aca="false">IF(COUNTIF($A$5:A305,A305)&gt;1,"Duplicate","Unique")</f>
        <v>Unique</v>
      </c>
      <c r="J305" s="39" t="str">
        <f aca="false">IF(I305="Duplicate","Remove",IF(H305="Mismatch","Exclude","Keep"))</f>
        <v>Keep</v>
      </c>
    </row>
    <row r="306" customFormat="false" ht="15" hidden="false" customHeight="false" outlineLevel="0" collapsed="false">
      <c r="A306" s="39" t="s">
        <v>423</v>
      </c>
      <c r="B306" s="40" t="n">
        <v>45704</v>
      </c>
      <c r="C306" s="39" t="s">
        <v>126</v>
      </c>
      <c r="D306" s="39" t="n">
        <v>1</v>
      </c>
      <c r="E306" s="41" t="n">
        <v>23.55</v>
      </c>
      <c r="F306" s="39" t="s">
        <v>115</v>
      </c>
      <c r="G306" s="39" t="str">
        <f aca="false">UPPER(TRIM(C306))</f>
        <v>P001</v>
      </c>
      <c r="H306" s="39" t="str">
        <f aca="false">IF(ISNUMBER(MATCH(G306,Products!$A$5:$A$24,0)),"OK","Mismatch")</f>
        <v>OK</v>
      </c>
      <c r="I306" s="39" t="str">
        <f aca="false">IF(COUNTIF($A$5:A306,A306)&gt;1,"Duplicate","Unique")</f>
        <v>Unique</v>
      </c>
      <c r="J306" s="39" t="str">
        <f aca="false">IF(I306="Duplicate","Remove",IF(H306="Mismatch","Exclude","Keep"))</f>
        <v>Keep</v>
      </c>
    </row>
    <row r="307" customFormat="false" ht="15" hidden="false" customHeight="false" outlineLevel="0" collapsed="false">
      <c r="A307" s="39" t="s">
        <v>424</v>
      </c>
      <c r="B307" s="40" t="n">
        <v>45704</v>
      </c>
      <c r="C307" s="39" t="s">
        <v>117</v>
      </c>
      <c r="D307" s="39" t="n">
        <v>5</v>
      </c>
      <c r="E307" s="41" t="n">
        <v>31.45</v>
      </c>
      <c r="F307" s="39" t="s">
        <v>115</v>
      </c>
      <c r="G307" s="39" t="str">
        <f aca="false">UPPER(TRIM(C307))</f>
        <v>P009</v>
      </c>
      <c r="H307" s="39" t="str">
        <f aca="false">IF(ISNUMBER(MATCH(G307,Products!$A$5:$A$24,0)),"OK","Mismatch")</f>
        <v>OK</v>
      </c>
      <c r="I307" s="39" t="str">
        <f aca="false">IF(COUNTIF($A$5:A307,A307)&gt;1,"Duplicate","Unique")</f>
        <v>Unique</v>
      </c>
      <c r="J307" s="39" t="str">
        <f aca="false">IF(I307="Duplicate","Remove",IF(H307="Mismatch","Exclude","Keep"))</f>
        <v>Keep</v>
      </c>
    </row>
    <row r="308" customFormat="false" ht="15" hidden="false" customHeight="false" outlineLevel="0" collapsed="false">
      <c r="A308" s="39" t="s">
        <v>425</v>
      </c>
      <c r="B308" s="40" t="n">
        <v>45704</v>
      </c>
      <c r="C308" s="39" t="s">
        <v>162</v>
      </c>
      <c r="D308" s="39" t="n">
        <v>2</v>
      </c>
      <c r="E308" s="41" t="n">
        <v>68.89</v>
      </c>
      <c r="F308" s="39" t="s">
        <v>108</v>
      </c>
      <c r="G308" s="39" t="str">
        <f aca="false">UPPER(TRIM(C308))</f>
        <v>P017</v>
      </c>
      <c r="H308" s="39" t="str">
        <f aca="false">IF(ISNUMBER(MATCH(G308,Products!$A$5:$A$24,0)),"OK","Mismatch")</f>
        <v>OK</v>
      </c>
      <c r="I308" s="39" t="str">
        <f aca="false">IF(COUNTIF($A$5:A308,A308)&gt;1,"Duplicate","Unique")</f>
        <v>Unique</v>
      </c>
      <c r="J308" s="39" t="str">
        <f aca="false">IF(I308="Duplicate","Remove",IF(H308="Mismatch","Exclude","Keep"))</f>
        <v>Keep</v>
      </c>
    </row>
    <row r="309" customFormat="false" ht="15" hidden="false" customHeight="false" outlineLevel="0" collapsed="false">
      <c r="A309" s="39" t="s">
        <v>426</v>
      </c>
      <c r="B309" s="40" t="n">
        <v>45705</v>
      </c>
      <c r="C309" s="39" t="s">
        <v>133</v>
      </c>
      <c r="D309" s="39" t="n">
        <v>6</v>
      </c>
      <c r="E309" s="41" t="n">
        <v>8.75</v>
      </c>
      <c r="F309" s="39" t="s">
        <v>118</v>
      </c>
      <c r="G309" s="39" t="str">
        <f aca="false">UPPER(TRIM(C309))</f>
        <v>P019</v>
      </c>
      <c r="H309" s="39" t="str">
        <f aca="false">IF(ISNUMBER(MATCH(G309,Products!$A$5:$A$24,0)),"OK","Mismatch")</f>
        <v>OK</v>
      </c>
      <c r="I309" s="39" t="str">
        <f aca="false">IF(COUNTIF($A$5:A309,A309)&gt;1,"Duplicate","Unique")</f>
        <v>Unique</v>
      </c>
      <c r="J309" s="39" t="str">
        <f aca="false">IF(I309="Duplicate","Remove",IF(H309="Mismatch","Exclude","Keep"))</f>
        <v>Keep</v>
      </c>
    </row>
    <row r="310" customFormat="false" ht="15" hidden="false" customHeight="false" outlineLevel="0" collapsed="false">
      <c r="A310" s="39" t="s">
        <v>427</v>
      </c>
      <c r="B310" s="40" t="n">
        <v>45705</v>
      </c>
      <c r="C310" s="39" t="s">
        <v>114</v>
      </c>
      <c r="D310" s="39" t="n">
        <v>1</v>
      </c>
      <c r="E310" s="41" t="n">
        <v>5.78</v>
      </c>
      <c r="F310" s="39" t="s">
        <v>108</v>
      </c>
      <c r="G310" s="39" t="str">
        <f aca="false">UPPER(TRIM(C310))</f>
        <v>P012</v>
      </c>
      <c r="H310" s="39" t="str">
        <f aca="false">IF(ISNUMBER(MATCH(G310,Products!$A$5:$A$24,0)),"OK","Mismatch")</f>
        <v>OK</v>
      </c>
      <c r="I310" s="39" t="str">
        <f aca="false">IF(COUNTIF($A$5:A310,A310)&gt;1,"Duplicate","Unique")</f>
        <v>Unique</v>
      </c>
      <c r="J310" s="39" t="str">
        <f aca="false">IF(I310="Duplicate","Remove",IF(H310="Mismatch","Exclude","Keep"))</f>
        <v>Keep</v>
      </c>
    </row>
    <row r="311" customFormat="false" ht="15" hidden="false" customHeight="false" outlineLevel="0" collapsed="false">
      <c r="A311" s="39" t="s">
        <v>428</v>
      </c>
      <c r="B311" s="40" t="n">
        <v>45705</v>
      </c>
      <c r="C311" s="39" t="s">
        <v>104</v>
      </c>
      <c r="D311" s="39" t="n">
        <v>1</v>
      </c>
      <c r="E311" s="41" t="n">
        <v>15.66</v>
      </c>
      <c r="F311" s="39" t="s">
        <v>118</v>
      </c>
      <c r="G311" s="39" t="str">
        <f aca="false">UPPER(TRIM(C311))</f>
        <v>P015</v>
      </c>
      <c r="H311" s="39" t="str">
        <f aca="false">IF(ISNUMBER(MATCH(G311,Products!$A$5:$A$24,0)),"OK","Mismatch")</f>
        <v>OK</v>
      </c>
      <c r="I311" s="39" t="str">
        <f aca="false">IF(COUNTIF($A$5:A311,A311)&gt;1,"Duplicate","Unique")</f>
        <v>Unique</v>
      </c>
      <c r="J311" s="39" t="str">
        <f aca="false">IF(I311="Duplicate","Remove",IF(H311="Mismatch","Exclude","Keep"))</f>
        <v>Keep</v>
      </c>
    </row>
    <row r="312" customFormat="false" ht="15" hidden="false" customHeight="false" outlineLevel="0" collapsed="false">
      <c r="A312" s="39" t="s">
        <v>429</v>
      </c>
      <c r="B312" s="40" t="n">
        <v>45705</v>
      </c>
      <c r="C312" s="39" t="s">
        <v>169</v>
      </c>
      <c r="D312" s="39" t="n">
        <v>2</v>
      </c>
      <c r="E312" s="41" t="n">
        <v>27.11</v>
      </c>
      <c r="F312" s="39" t="s">
        <v>118</v>
      </c>
      <c r="G312" s="39" t="str">
        <f aca="false">UPPER(TRIM(C312))</f>
        <v>P004</v>
      </c>
      <c r="H312" s="39" t="str">
        <f aca="false">IF(ISNUMBER(MATCH(G312,Products!$A$5:$A$24,0)),"OK","Mismatch")</f>
        <v>OK</v>
      </c>
      <c r="I312" s="39" t="str">
        <f aca="false">IF(COUNTIF($A$5:A312,A312)&gt;1,"Duplicate","Unique")</f>
        <v>Unique</v>
      </c>
      <c r="J312" s="39" t="str">
        <f aca="false">IF(I312="Duplicate","Remove",IF(H312="Mismatch","Exclude","Keep"))</f>
        <v>Keep</v>
      </c>
    </row>
    <row r="313" customFormat="false" ht="15" hidden="false" customHeight="false" outlineLevel="0" collapsed="false">
      <c r="A313" s="39" t="s">
        <v>430</v>
      </c>
      <c r="B313" s="40" t="n">
        <v>45706</v>
      </c>
      <c r="C313" s="39" t="s">
        <v>114</v>
      </c>
      <c r="D313" s="39" t="n">
        <v>1</v>
      </c>
      <c r="E313" s="41" t="n">
        <v>5.92</v>
      </c>
      <c r="F313" s="39" t="s">
        <v>118</v>
      </c>
      <c r="G313" s="39" t="str">
        <f aca="false">UPPER(TRIM(C313))</f>
        <v>P012</v>
      </c>
      <c r="H313" s="39" t="str">
        <f aca="false">IF(ISNUMBER(MATCH(G313,Products!$A$5:$A$24,0)),"OK","Mismatch")</f>
        <v>OK</v>
      </c>
      <c r="I313" s="39" t="str">
        <f aca="false">IF(COUNTIF($A$5:A313,A313)&gt;1,"Duplicate","Unique")</f>
        <v>Unique</v>
      </c>
      <c r="J313" s="39" t="str">
        <f aca="false">IF(I313="Duplicate","Remove",IF(H313="Mismatch","Exclude","Keep"))</f>
        <v>Keep</v>
      </c>
    </row>
    <row r="314" customFormat="false" ht="15" hidden="false" customHeight="false" outlineLevel="0" collapsed="false">
      <c r="A314" s="39" t="s">
        <v>431</v>
      </c>
      <c r="B314" s="40" t="n">
        <v>45706</v>
      </c>
      <c r="C314" s="39" t="s">
        <v>112</v>
      </c>
      <c r="D314" s="39" t="n">
        <v>3</v>
      </c>
      <c r="E314" s="41" t="n">
        <v>50.81</v>
      </c>
      <c r="F314" s="39" t="s">
        <v>118</v>
      </c>
      <c r="G314" s="39" t="str">
        <f aca="false">UPPER(TRIM(C314))</f>
        <v>P005</v>
      </c>
      <c r="H314" s="39" t="str">
        <f aca="false">IF(ISNUMBER(MATCH(G314,Products!$A$5:$A$24,0)),"OK","Mismatch")</f>
        <v>OK</v>
      </c>
      <c r="I314" s="39" t="str">
        <f aca="false">IF(COUNTIF($A$5:A314,A314)&gt;1,"Duplicate","Unique")</f>
        <v>Unique</v>
      </c>
      <c r="J314" s="39" t="str">
        <f aca="false">IF(I314="Duplicate","Remove",IF(H314="Mismatch","Exclude","Keep"))</f>
        <v>Keep</v>
      </c>
    </row>
    <row r="315" customFormat="false" ht="15" hidden="false" customHeight="false" outlineLevel="0" collapsed="false">
      <c r="A315" s="39" t="s">
        <v>432</v>
      </c>
      <c r="B315" s="40" t="n">
        <v>45706</v>
      </c>
      <c r="C315" s="39" t="s">
        <v>130</v>
      </c>
      <c r="D315" s="39" t="n">
        <v>4</v>
      </c>
      <c r="E315" s="41" t="n">
        <v>8.29</v>
      </c>
      <c r="F315" s="39" t="s">
        <v>115</v>
      </c>
      <c r="G315" s="39" t="str">
        <f aca="false">UPPER(TRIM(C315))</f>
        <v>P011</v>
      </c>
      <c r="H315" s="39" t="str">
        <f aca="false">IF(ISNUMBER(MATCH(G315,Products!$A$5:$A$24,0)),"OK","Mismatch")</f>
        <v>OK</v>
      </c>
      <c r="I315" s="39" t="str">
        <f aca="false">IF(COUNTIF($A$5:A315,A315)&gt;1,"Duplicate","Unique")</f>
        <v>Unique</v>
      </c>
      <c r="J315" s="39" t="str">
        <f aca="false">IF(I315="Duplicate","Remove",IF(H315="Mismatch","Exclude","Keep"))</f>
        <v>Keep</v>
      </c>
    </row>
    <row r="316" customFormat="false" ht="15" hidden="false" customHeight="false" outlineLevel="0" collapsed="false">
      <c r="A316" s="39" t="s">
        <v>433</v>
      </c>
      <c r="B316" s="40" t="n">
        <v>45706</v>
      </c>
      <c r="C316" s="39" t="s">
        <v>126</v>
      </c>
      <c r="D316" s="39" t="n">
        <v>2</v>
      </c>
      <c r="E316" s="41" t="n">
        <v>24.28</v>
      </c>
      <c r="F316" s="39" t="s">
        <v>115</v>
      </c>
      <c r="G316" s="39" t="str">
        <f aca="false">UPPER(TRIM(C316))</f>
        <v>P001</v>
      </c>
      <c r="H316" s="39" t="str">
        <f aca="false">IF(ISNUMBER(MATCH(G316,Products!$A$5:$A$24,0)),"OK","Mismatch")</f>
        <v>OK</v>
      </c>
      <c r="I316" s="39" t="str">
        <f aca="false">IF(COUNTIF($A$5:A316,A316)&gt;1,"Duplicate","Unique")</f>
        <v>Unique</v>
      </c>
      <c r="J316" s="39" t="str">
        <f aca="false">IF(I316="Duplicate","Remove",IF(H316="Mismatch","Exclude","Keep"))</f>
        <v>Keep</v>
      </c>
    </row>
    <row r="317" customFormat="false" ht="15" hidden="false" customHeight="false" outlineLevel="0" collapsed="false">
      <c r="A317" s="39" t="s">
        <v>434</v>
      </c>
      <c r="B317" s="40" t="n">
        <v>45706</v>
      </c>
      <c r="C317" s="39" t="s">
        <v>110</v>
      </c>
      <c r="D317" s="39" t="n">
        <v>2</v>
      </c>
      <c r="E317" s="41" t="n">
        <v>13.19</v>
      </c>
      <c r="F317" s="39" t="s">
        <v>105</v>
      </c>
      <c r="G317" s="39" t="str">
        <f aca="false">UPPER(TRIM(C317))</f>
        <v>P016</v>
      </c>
      <c r="H317" s="39" t="str">
        <f aca="false">IF(ISNUMBER(MATCH(G317,Products!$A$5:$A$24,0)),"OK","Mismatch")</f>
        <v>OK</v>
      </c>
      <c r="I317" s="39" t="str">
        <f aca="false">IF(COUNTIF($A$5:A317,A317)&gt;1,"Duplicate","Unique")</f>
        <v>Unique</v>
      </c>
      <c r="J317" s="39" t="str">
        <f aca="false">IF(I317="Duplicate","Remove",IF(H317="Mismatch","Exclude","Keep"))</f>
        <v>Keep</v>
      </c>
    </row>
    <row r="318" customFormat="false" ht="15" hidden="false" customHeight="false" outlineLevel="0" collapsed="false">
      <c r="A318" s="39" t="s">
        <v>435</v>
      </c>
      <c r="B318" s="40" t="n">
        <v>45706</v>
      </c>
      <c r="C318" s="39" t="s">
        <v>133</v>
      </c>
      <c r="D318" s="39" t="n">
        <v>8</v>
      </c>
      <c r="E318" s="41" t="n">
        <v>8.59</v>
      </c>
      <c r="F318" s="39" t="s">
        <v>105</v>
      </c>
      <c r="G318" s="39" t="str">
        <f aca="false">UPPER(TRIM(C318))</f>
        <v>P019</v>
      </c>
      <c r="H318" s="39" t="str">
        <f aca="false">IF(ISNUMBER(MATCH(G318,Products!$A$5:$A$24,0)),"OK","Mismatch")</f>
        <v>OK</v>
      </c>
      <c r="I318" s="39" t="str">
        <f aca="false">IF(COUNTIF($A$5:A318,A318)&gt;1,"Duplicate","Unique")</f>
        <v>Unique</v>
      </c>
      <c r="J318" s="39" t="str">
        <f aca="false">IF(I318="Duplicate","Remove",IF(H318="Mismatch","Exclude","Keep"))</f>
        <v>Keep</v>
      </c>
    </row>
    <row r="319" customFormat="false" ht="15" hidden="false" customHeight="false" outlineLevel="0" collapsed="false">
      <c r="A319" s="39" t="s">
        <v>436</v>
      </c>
      <c r="B319" s="40" t="n">
        <v>45707</v>
      </c>
      <c r="C319" s="39" t="s">
        <v>162</v>
      </c>
      <c r="D319" s="39" t="n">
        <v>4</v>
      </c>
      <c r="E319" s="41" t="n">
        <v>67.34</v>
      </c>
      <c r="F319" s="39" t="s">
        <v>108</v>
      </c>
      <c r="G319" s="39" t="str">
        <f aca="false">UPPER(TRIM(C319))</f>
        <v>P017</v>
      </c>
      <c r="H319" s="39" t="str">
        <f aca="false">IF(ISNUMBER(MATCH(G319,Products!$A$5:$A$24,0)),"OK","Mismatch")</f>
        <v>OK</v>
      </c>
      <c r="I319" s="39" t="str">
        <f aca="false">IF(COUNTIF($A$5:A319,A319)&gt;1,"Duplicate","Unique")</f>
        <v>Unique</v>
      </c>
      <c r="J319" s="39" t="str">
        <f aca="false">IF(I319="Duplicate","Remove",IF(H319="Mismatch","Exclude","Keep"))</f>
        <v>Keep</v>
      </c>
    </row>
    <row r="320" customFormat="false" ht="15" hidden="false" customHeight="false" outlineLevel="0" collapsed="false">
      <c r="A320" s="39" t="s">
        <v>437</v>
      </c>
      <c r="B320" s="40" t="n">
        <v>45707</v>
      </c>
      <c r="C320" s="39" t="s">
        <v>128</v>
      </c>
      <c r="D320" s="39" t="n">
        <v>3</v>
      </c>
      <c r="E320" s="41" t="n">
        <v>35.9</v>
      </c>
      <c r="F320" s="39" t="s">
        <v>118</v>
      </c>
      <c r="G320" s="39" t="str">
        <f aca="false">UPPER(TRIM(C320))</f>
        <v>P020</v>
      </c>
      <c r="H320" s="39" t="str">
        <f aca="false">IF(ISNUMBER(MATCH(G320,Products!$A$5:$A$24,0)),"OK","Mismatch")</f>
        <v>OK</v>
      </c>
      <c r="I320" s="39" t="str">
        <f aca="false">IF(COUNTIF($A$5:A320,A320)&gt;1,"Duplicate","Unique")</f>
        <v>Unique</v>
      </c>
      <c r="J320" s="39" t="str">
        <f aca="false">IF(I320="Duplicate","Remove",IF(H320="Mismatch","Exclude","Keep"))</f>
        <v>Keep</v>
      </c>
    </row>
    <row r="321" customFormat="false" ht="15" hidden="false" customHeight="false" outlineLevel="0" collapsed="false">
      <c r="A321" s="39" t="s">
        <v>438</v>
      </c>
      <c r="B321" s="40" t="n">
        <v>45707</v>
      </c>
      <c r="C321" s="39" t="s">
        <v>144</v>
      </c>
      <c r="D321" s="39" t="n">
        <v>1</v>
      </c>
      <c r="E321" s="41" t="n">
        <v>56.88</v>
      </c>
      <c r="F321" s="39" t="s">
        <v>118</v>
      </c>
      <c r="G321" s="39" t="str">
        <f aca="false">UPPER(TRIM(C321))</f>
        <v>P013</v>
      </c>
      <c r="H321" s="39" t="str">
        <f aca="false">IF(ISNUMBER(MATCH(G321,Products!$A$5:$A$24,0)),"OK","Mismatch")</f>
        <v>OK</v>
      </c>
      <c r="I321" s="39" t="str">
        <f aca="false">IF(COUNTIF($A$5:A321,A321)&gt;1,"Duplicate","Unique")</f>
        <v>Unique</v>
      </c>
      <c r="J321" s="39" t="str">
        <f aca="false">IF(I321="Duplicate","Remove",IF(H321="Mismatch","Exclude","Keep"))</f>
        <v>Keep</v>
      </c>
    </row>
    <row r="322" customFormat="false" ht="15" hidden="false" customHeight="false" outlineLevel="0" collapsed="false">
      <c r="A322" s="39" t="s">
        <v>439</v>
      </c>
      <c r="B322" s="40" t="n">
        <v>45707</v>
      </c>
      <c r="C322" s="39" t="s">
        <v>117</v>
      </c>
      <c r="D322" s="39" t="n">
        <v>2</v>
      </c>
      <c r="E322" s="41" t="n">
        <v>30.89</v>
      </c>
      <c r="F322" s="39" t="s">
        <v>105</v>
      </c>
      <c r="G322" s="39" t="str">
        <f aca="false">UPPER(TRIM(C322))</f>
        <v>P009</v>
      </c>
      <c r="H322" s="39" t="str">
        <f aca="false">IF(ISNUMBER(MATCH(G322,Products!$A$5:$A$24,0)),"OK","Mismatch")</f>
        <v>OK</v>
      </c>
      <c r="I322" s="39" t="str">
        <f aca="false">IF(COUNTIF($A$5:A322,A322)&gt;1,"Duplicate","Unique")</f>
        <v>Unique</v>
      </c>
      <c r="J322" s="39" t="str">
        <f aca="false">IF(I322="Duplicate","Remove",IF(H322="Mismatch","Exclude","Keep"))</f>
        <v>Keep</v>
      </c>
    </row>
    <row r="323" customFormat="false" ht="15" hidden="false" customHeight="false" outlineLevel="0" collapsed="false">
      <c r="A323" s="39" t="s">
        <v>440</v>
      </c>
      <c r="B323" s="40" t="n">
        <v>45707</v>
      </c>
      <c r="C323" s="39" t="s">
        <v>114</v>
      </c>
      <c r="D323" s="39" t="n">
        <v>6</v>
      </c>
      <c r="E323" s="41" t="n">
        <v>5.71</v>
      </c>
      <c r="F323" s="39" t="s">
        <v>108</v>
      </c>
      <c r="G323" s="39" t="str">
        <f aca="false">UPPER(TRIM(C323))</f>
        <v>P012</v>
      </c>
      <c r="H323" s="39" t="str">
        <f aca="false">IF(ISNUMBER(MATCH(G323,Products!$A$5:$A$24,0)),"OK","Mismatch")</f>
        <v>OK</v>
      </c>
      <c r="I323" s="39" t="str">
        <f aca="false">IF(COUNTIF($A$5:A323,A323)&gt;1,"Duplicate","Unique")</f>
        <v>Unique</v>
      </c>
      <c r="J323" s="39" t="str">
        <f aca="false">IF(I323="Duplicate","Remove",IF(H323="Mismatch","Exclude","Keep"))</f>
        <v>Keep</v>
      </c>
    </row>
    <row r="324" customFormat="false" ht="15" hidden="false" customHeight="false" outlineLevel="0" collapsed="false">
      <c r="A324" s="39" t="s">
        <v>441</v>
      </c>
      <c r="B324" s="40" t="n">
        <v>45707</v>
      </c>
      <c r="C324" s="39" t="s">
        <v>169</v>
      </c>
      <c r="D324" s="39" t="n">
        <v>8</v>
      </c>
      <c r="E324" s="41" t="n">
        <v>27.72</v>
      </c>
      <c r="F324" s="39" t="s">
        <v>105</v>
      </c>
      <c r="G324" s="39" t="str">
        <f aca="false">UPPER(TRIM(C324))</f>
        <v>P004</v>
      </c>
      <c r="H324" s="39" t="str">
        <f aca="false">IF(ISNUMBER(MATCH(G324,Products!$A$5:$A$24,0)),"OK","Mismatch")</f>
        <v>OK</v>
      </c>
      <c r="I324" s="39" t="str">
        <f aca="false">IF(COUNTIF($A$5:A324,A324)&gt;1,"Duplicate","Unique")</f>
        <v>Unique</v>
      </c>
      <c r="J324" s="39" t="str">
        <f aca="false">IF(I324="Duplicate","Remove",IF(H324="Mismatch","Exclude","Keep"))</f>
        <v>Keep</v>
      </c>
    </row>
    <row r="325" customFormat="false" ht="15" hidden="false" customHeight="false" outlineLevel="0" collapsed="false">
      <c r="A325" s="39" t="s">
        <v>442</v>
      </c>
      <c r="B325" s="40" t="n">
        <v>45707</v>
      </c>
      <c r="C325" s="39" t="s">
        <v>121</v>
      </c>
      <c r="D325" s="39" t="n">
        <v>1</v>
      </c>
      <c r="E325" s="41" t="n">
        <v>113.03</v>
      </c>
      <c r="F325" s="39" t="s">
        <v>108</v>
      </c>
      <c r="G325" s="39" t="str">
        <f aca="false">UPPER(TRIM(C325))</f>
        <v>P018</v>
      </c>
      <c r="H325" s="39" t="str">
        <f aca="false">IF(ISNUMBER(MATCH(G325,Products!$A$5:$A$24,0)),"OK","Mismatch")</f>
        <v>OK</v>
      </c>
      <c r="I325" s="39" t="str">
        <f aca="false">IF(COUNTIF($A$5:A325,A325)&gt;1,"Duplicate","Unique")</f>
        <v>Unique</v>
      </c>
      <c r="J325" s="39" t="str">
        <f aca="false">IF(I325="Duplicate","Remove",IF(H325="Mismatch","Exclude","Keep"))</f>
        <v>Keep</v>
      </c>
    </row>
    <row r="326" customFormat="false" ht="15" hidden="false" customHeight="false" outlineLevel="0" collapsed="false">
      <c r="A326" s="39" t="s">
        <v>443</v>
      </c>
      <c r="B326" s="40" t="n">
        <v>45707</v>
      </c>
      <c r="C326" s="39" t="s">
        <v>117</v>
      </c>
      <c r="D326" s="39" t="n">
        <v>6</v>
      </c>
      <c r="E326" s="41" t="n">
        <v>30.75</v>
      </c>
      <c r="F326" s="39" t="s">
        <v>118</v>
      </c>
      <c r="G326" s="39" t="str">
        <f aca="false">UPPER(TRIM(C326))</f>
        <v>P009</v>
      </c>
      <c r="H326" s="39" t="str">
        <f aca="false">IF(ISNUMBER(MATCH(G326,Products!$A$5:$A$24,0)),"OK","Mismatch")</f>
        <v>OK</v>
      </c>
      <c r="I326" s="39" t="str">
        <f aca="false">IF(COUNTIF($A$5:A326,A326)&gt;1,"Duplicate","Unique")</f>
        <v>Unique</v>
      </c>
      <c r="J326" s="39" t="str">
        <f aca="false">IF(I326="Duplicate","Remove",IF(H326="Mismatch","Exclude","Keep"))</f>
        <v>Keep</v>
      </c>
    </row>
    <row r="327" customFormat="false" ht="15" hidden="false" customHeight="false" outlineLevel="0" collapsed="false">
      <c r="A327" s="39" t="s">
        <v>444</v>
      </c>
      <c r="B327" s="40" t="n">
        <v>45707</v>
      </c>
      <c r="C327" s="39" t="s">
        <v>110</v>
      </c>
      <c r="D327" s="39" t="n">
        <v>3</v>
      </c>
      <c r="E327" s="41" t="n">
        <v>13.78</v>
      </c>
      <c r="F327" s="39" t="s">
        <v>118</v>
      </c>
      <c r="G327" s="39" t="str">
        <f aca="false">UPPER(TRIM(C327))</f>
        <v>P016</v>
      </c>
      <c r="H327" s="39" t="str">
        <f aca="false">IF(ISNUMBER(MATCH(G327,Products!$A$5:$A$24,0)),"OK","Mismatch")</f>
        <v>OK</v>
      </c>
      <c r="I327" s="39" t="str">
        <f aca="false">IF(COUNTIF($A$5:A327,A327)&gt;1,"Duplicate","Unique")</f>
        <v>Unique</v>
      </c>
      <c r="J327" s="39" t="str">
        <f aca="false">IF(I327="Duplicate","Remove",IF(H327="Mismatch","Exclude","Keep"))</f>
        <v>Keep</v>
      </c>
    </row>
    <row r="328" customFormat="false" ht="15" hidden="false" customHeight="false" outlineLevel="0" collapsed="false">
      <c r="A328" s="39" t="s">
        <v>445</v>
      </c>
      <c r="B328" s="40" t="n">
        <v>45707</v>
      </c>
      <c r="C328" s="39" t="s">
        <v>130</v>
      </c>
      <c r="D328" s="39" t="n">
        <v>3</v>
      </c>
      <c r="E328" s="41" t="n">
        <v>8.7</v>
      </c>
      <c r="F328" s="39" t="s">
        <v>105</v>
      </c>
      <c r="G328" s="39" t="str">
        <f aca="false">UPPER(TRIM(C328))</f>
        <v>P011</v>
      </c>
      <c r="H328" s="39" t="str">
        <f aca="false">IF(ISNUMBER(MATCH(G328,Products!$A$5:$A$24,0)),"OK","Mismatch")</f>
        <v>OK</v>
      </c>
      <c r="I328" s="39" t="str">
        <f aca="false">IF(COUNTIF($A$5:A328,A328)&gt;1,"Duplicate","Unique")</f>
        <v>Unique</v>
      </c>
      <c r="J328" s="39" t="str">
        <f aca="false">IF(I328="Duplicate","Remove",IF(H328="Mismatch","Exclude","Keep"))</f>
        <v>Keep</v>
      </c>
    </row>
    <row r="329" customFormat="false" ht="15" hidden="false" customHeight="false" outlineLevel="0" collapsed="false">
      <c r="A329" s="39" t="s">
        <v>446</v>
      </c>
      <c r="B329" s="40" t="n">
        <v>45707</v>
      </c>
      <c r="C329" s="39" t="s">
        <v>183</v>
      </c>
      <c r="D329" s="39" t="n">
        <v>4</v>
      </c>
      <c r="E329" s="41" t="n">
        <v>178.63</v>
      </c>
      <c r="F329" s="39" t="s">
        <v>105</v>
      </c>
      <c r="G329" s="39" t="str">
        <f aca="false">UPPER(TRIM(C329))</f>
        <v>P007</v>
      </c>
      <c r="H329" s="39" t="str">
        <f aca="false">IF(ISNUMBER(MATCH(G329,Products!$A$5:$A$24,0)),"OK","Mismatch")</f>
        <v>OK</v>
      </c>
      <c r="I329" s="39" t="str">
        <f aca="false">IF(COUNTIF($A$5:A329,A329)&gt;1,"Duplicate","Unique")</f>
        <v>Unique</v>
      </c>
      <c r="J329" s="39" t="str">
        <f aca="false">IF(I329="Duplicate","Remove",IF(H329="Mismatch","Exclude","Keep"))</f>
        <v>Keep</v>
      </c>
    </row>
    <row r="330" customFormat="false" ht="15" hidden="false" customHeight="false" outlineLevel="0" collapsed="false">
      <c r="A330" s="39" t="s">
        <v>447</v>
      </c>
      <c r="B330" s="40" t="n">
        <v>45708</v>
      </c>
      <c r="C330" s="39" t="s">
        <v>114</v>
      </c>
      <c r="D330" s="39" t="n">
        <v>1</v>
      </c>
      <c r="E330" s="41" t="n">
        <v>5.82</v>
      </c>
      <c r="F330" s="39" t="s">
        <v>118</v>
      </c>
      <c r="G330" s="39" t="str">
        <f aca="false">UPPER(TRIM(C330))</f>
        <v>P012</v>
      </c>
      <c r="H330" s="39" t="str">
        <f aca="false">IF(ISNUMBER(MATCH(G330,Products!$A$5:$A$24,0)),"OK","Mismatch")</f>
        <v>OK</v>
      </c>
      <c r="I330" s="39" t="str">
        <f aca="false">IF(COUNTIF($A$5:A330,A330)&gt;1,"Duplicate","Unique")</f>
        <v>Unique</v>
      </c>
      <c r="J330" s="39" t="str">
        <f aca="false">IF(I330="Duplicate","Remove",IF(H330="Mismatch","Exclude","Keep"))</f>
        <v>Keep</v>
      </c>
    </row>
    <row r="331" customFormat="false" ht="15" hidden="false" customHeight="false" outlineLevel="0" collapsed="false">
      <c r="A331" s="39" t="s">
        <v>448</v>
      </c>
      <c r="B331" s="40" t="n">
        <v>45708</v>
      </c>
      <c r="C331" s="39" t="s">
        <v>169</v>
      </c>
      <c r="D331" s="39" t="n">
        <v>3</v>
      </c>
      <c r="E331" s="41" t="n">
        <v>28.36</v>
      </c>
      <c r="F331" s="39" t="s">
        <v>108</v>
      </c>
      <c r="G331" s="39" t="str">
        <f aca="false">UPPER(TRIM(C331))</f>
        <v>P004</v>
      </c>
      <c r="H331" s="39" t="str">
        <f aca="false">IF(ISNUMBER(MATCH(G331,Products!$A$5:$A$24,0)),"OK","Mismatch")</f>
        <v>OK</v>
      </c>
      <c r="I331" s="39" t="str">
        <f aca="false">IF(COUNTIF($A$5:A331,A331)&gt;1,"Duplicate","Unique")</f>
        <v>Unique</v>
      </c>
      <c r="J331" s="39" t="str">
        <f aca="false">IF(I331="Duplicate","Remove",IF(H331="Mismatch","Exclude","Keep"))</f>
        <v>Keep</v>
      </c>
    </row>
    <row r="332" customFormat="false" ht="15" hidden="false" customHeight="false" outlineLevel="0" collapsed="false">
      <c r="A332" s="39" t="s">
        <v>449</v>
      </c>
      <c r="B332" s="40" t="n">
        <v>45708</v>
      </c>
      <c r="C332" s="39" t="s">
        <v>162</v>
      </c>
      <c r="D332" s="39" t="n">
        <v>1</v>
      </c>
      <c r="E332" s="41" t="n">
        <v>65.27</v>
      </c>
      <c r="F332" s="39" t="s">
        <v>108</v>
      </c>
      <c r="G332" s="39" t="str">
        <f aca="false">UPPER(TRIM(C332))</f>
        <v>P017</v>
      </c>
      <c r="H332" s="39" t="str">
        <f aca="false">IF(ISNUMBER(MATCH(G332,Products!$A$5:$A$24,0)),"OK","Mismatch")</f>
        <v>OK</v>
      </c>
      <c r="I332" s="39" t="str">
        <f aca="false">IF(COUNTIF($A$5:A332,A332)&gt;1,"Duplicate","Unique")</f>
        <v>Unique</v>
      </c>
      <c r="J332" s="39" t="str">
        <f aca="false">IF(I332="Duplicate","Remove",IF(H332="Mismatch","Exclude","Keep"))</f>
        <v>Keep</v>
      </c>
    </row>
    <row r="333" customFormat="false" ht="15" hidden="false" customHeight="false" outlineLevel="0" collapsed="false">
      <c r="A333" s="39" t="s">
        <v>450</v>
      </c>
      <c r="B333" s="40" t="n">
        <v>45708</v>
      </c>
      <c r="C333" s="39" t="s">
        <v>130</v>
      </c>
      <c r="D333" s="39" t="n">
        <v>5</v>
      </c>
      <c r="E333" s="41" t="n">
        <v>8.77</v>
      </c>
      <c r="F333" s="39" t="s">
        <v>115</v>
      </c>
      <c r="G333" s="39" t="str">
        <f aca="false">UPPER(TRIM(C333))</f>
        <v>P011</v>
      </c>
      <c r="H333" s="39" t="str">
        <f aca="false">IF(ISNUMBER(MATCH(G333,Products!$A$5:$A$24,0)),"OK","Mismatch")</f>
        <v>OK</v>
      </c>
      <c r="I333" s="39" t="str">
        <f aca="false">IF(COUNTIF($A$5:A333,A333)&gt;1,"Duplicate","Unique")</f>
        <v>Unique</v>
      </c>
      <c r="J333" s="39" t="str">
        <f aca="false">IF(I333="Duplicate","Remove",IF(H333="Mismatch","Exclude","Keep"))</f>
        <v>Keep</v>
      </c>
    </row>
    <row r="334" customFormat="false" ht="15" hidden="false" customHeight="false" outlineLevel="0" collapsed="false">
      <c r="A334" s="39" t="s">
        <v>451</v>
      </c>
      <c r="B334" s="40" t="n">
        <v>45708</v>
      </c>
      <c r="C334" s="39" t="s">
        <v>130</v>
      </c>
      <c r="D334" s="39" t="n">
        <v>5</v>
      </c>
      <c r="E334" s="41" t="n">
        <v>8.63</v>
      </c>
      <c r="F334" s="39" t="s">
        <v>115</v>
      </c>
      <c r="G334" s="39" t="str">
        <f aca="false">UPPER(TRIM(C334))</f>
        <v>P011</v>
      </c>
      <c r="H334" s="39" t="str">
        <f aca="false">IF(ISNUMBER(MATCH(G334,Products!$A$5:$A$24,0)),"OK","Mismatch")</f>
        <v>OK</v>
      </c>
      <c r="I334" s="39" t="str">
        <f aca="false">IF(COUNTIF($A$5:A334,A334)&gt;1,"Duplicate","Unique")</f>
        <v>Unique</v>
      </c>
      <c r="J334" s="39" t="str">
        <f aca="false">IF(I334="Duplicate","Remove",IF(H334="Mismatch","Exclude","Keep"))</f>
        <v>Keep</v>
      </c>
    </row>
    <row r="335" customFormat="false" ht="15" hidden="false" customHeight="false" outlineLevel="0" collapsed="false">
      <c r="A335" s="39" t="s">
        <v>452</v>
      </c>
      <c r="B335" s="40" t="n">
        <v>45708</v>
      </c>
      <c r="C335" s="39" t="s">
        <v>104</v>
      </c>
      <c r="D335" s="39" t="n">
        <v>1</v>
      </c>
      <c r="E335" s="41" t="n">
        <v>15.48</v>
      </c>
      <c r="F335" s="39" t="s">
        <v>108</v>
      </c>
      <c r="G335" s="39" t="str">
        <f aca="false">UPPER(TRIM(C335))</f>
        <v>P015</v>
      </c>
      <c r="H335" s="39" t="str">
        <f aca="false">IF(ISNUMBER(MATCH(G335,Products!$A$5:$A$24,0)),"OK","Mismatch")</f>
        <v>OK</v>
      </c>
      <c r="I335" s="39" t="str">
        <f aca="false">IF(COUNTIF($A$5:A335,A335)&gt;1,"Duplicate","Unique")</f>
        <v>Unique</v>
      </c>
      <c r="J335" s="39" t="str">
        <f aca="false">IF(I335="Duplicate","Remove",IF(H335="Mismatch","Exclude","Keep"))</f>
        <v>Keep</v>
      </c>
    </row>
    <row r="336" customFormat="false" ht="15" hidden="false" customHeight="false" outlineLevel="0" collapsed="false">
      <c r="A336" s="39" t="s">
        <v>453</v>
      </c>
      <c r="B336" s="40" t="n">
        <v>45709</v>
      </c>
      <c r="C336" s="39" t="s">
        <v>121</v>
      </c>
      <c r="D336" s="39" t="n">
        <v>1</v>
      </c>
      <c r="E336" s="41" t="n">
        <v>117.19</v>
      </c>
      <c r="F336" s="39" t="s">
        <v>105</v>
      </c>
      <c r="G336" s="39" t="str">
        <f aca="false">UPPER(TRIM(C336))</f>
        <v>P018</v>
      </c>
      <c r="H336" s="39" t="str">
        <f aca="false">IF(ISNUMBER(MATCH(G336,Products!$A$5:$A$24,0)),"OK","Mismatch")</f>
        <v>OK</v>
      </c>
      <c r="I336" s="39" t="str">
        <f aca="false">IF(COUNTIF($A$5:A336,A336)&gt;1,"Duplicate","Unique")</f>
        <v>Unique</v>
      </c>
      <c r="J336" s="39" t="str">
        <f aca="false">IF(I336="Duplicate","Remove",IF(H336="Mismatch","Exclude","Keep"))</f>
        <v>Keep</v>
      </c>
    </row>
    <row r="337" customFormat="false" ht="15" hidden="false" customHeight="false" outlineLevel="0" collapsed="false">
      <c r="A337" s="39" t="s">
        <v>454</v>
      </c>
      <c r="B337" s="40" t="n">
        <v>45709</v>
      </c>
      <c r="C337" s="39" t="s">
        <v>112</v>
      </c>
      <c r="D337" s="39" t="n">
        <v>1</v>
      </c>
      <c r="E337" s="41" t="n">
        <v>54.18</v>
      </c>
      <c r="F337" s="39" t="s">
        <v>115</v>
      </c>
      <c r="G337" s="39" t="str">
        <f aca="false">UPPER(TRIM(C337))</f>
        <v>P005</v>
      </c>
      <c r="H337" s="39" t="str">
        <f aca="false">IF(ISNUMBER(MATCH(G337,Products!$A$5:$A$24,0)),"OK","Mismatch")</f>
        <v>OK</v>
      </c>
      <c r="I337" s="39" t="str">
        <f aca="false">IF(COUNTIF($A$5:A337,A337)&gt;1,"Duplicate","Unique")</f>
        <v>Unique</v>
      </c>
      <c r="J337" s="39" t="str">
        <f aca="false">IF(I337="Duplicate","Remove",IF(H337="Mismatch","Exclude","Keep"))</f>
        <v>Keep</v>
      </c>
    </row>
    <row r="338" customFormat="false" ht="15" hidden="false" customHeight="false" outlineLevel="0" collapsed="false">
      <c r="A338" s="39" t="s">
        <v>455</v>
      </c>
      <c r="B338" s="40" t="n">
        <v>45709</v>
      </c>
      <c r="C338" s="39" t="s">
        <v>169</v>
      </c>
      <c r="D338" s="39" t="n">
        <v>5</v>
      </c>
      <c r="E338" s="41" t="n">
        <v>28.11</v>
      </c>
      <c r="F338" s="39" t="s">
        <v>115</v>
      </c>
      <c r="G338" s="39" t="str">
        <f aca="false">UPPER(TRIM(C338))</f>
        <v>P004</v>
      </c>
      <c r="H338" s="39" t="str">
        <f aca="false">IF(ISNUMBER(MATCH(G338,Products!$A$5:$A$24,0)),"OK","Mismatch")</f>
        <v>OK</v>
      </c>
      <c r="I338" s="39" t="str">
        <f aca="false">IF(COUNTIF($A$5:A338,A338)&gt;1,"Duplicate","Unique")</f>
        <v>Unique</v>
      </c>
      <c r="J338" s="39" t="str">
        <f aca="false">IF(I338="Duplicate","Remove",IF(H338="Mismatch","Exclude","Keep"))</f>
        <v>Keep</v>
      </c>
    </row>
    <row r="339" customFormat="false" ht="15" hidden="false" customHeight="false" outlineLevel="0" collapsed="false">
      <c r="A339" s="39" t="s">
        <v>456</v>
      </c>
      <c r="B339" s="40" t="n">
        <v>45709</v>
      </c>
      <c r="C339" s="39" t="s">
        <v>114</v>
      </c>
      <c r="D339" s="39" t="n">
        <v>1</v>
      </c>
      <c r="E339" s="41" t="n">
        <v>5.87</v>
      </c>
      <c r="F339" s="39" t="s">
        <v>115</v>
      </c>
      <c r="G339" s="39" t="str">
        <f aca="false">UPPER(TRIM(C339))</f>
        <v>P012</v>
      </c>
      <c r="H339" s="39" t="str">
        <f aca="false">IF(ISNUMBER(MATCH(G339,Products!$A$5:$A$24,0)),"OK","Mismatch")</f>
        <v>OK</v>
      </c>
      <c r="I339" s="39" t="str">
        <f aca="false">IF(COUNTIF($A$5:A339,A339)&gt;1,"Duplicate","Unique")</f>
        <v>Unique</v>
      </c>
      <c r="J339" s="39" t="str">
        <f aca="false">IF(I339="Duplicate","Remove",IF(H339="Mismatch","Exclude","Keep"))</f>
        <v>Keep</v>
      </c>
    </row>
    <row r="340" customFormat="false" ht="15" hidden="false" customHeight="false" outlineLevel="0" collapsed="false">
      <c r="A340" s="39" t="s">
        <v>457</v>
      </c>
      <c r="B340" s="40" t="n">
        <v>45709</v>
      </c>
      <c r="C340" s="39" t="s">
        <v>169</v>
      </c>
      <c r="D340" s="39" t="n">
        <v>3</v>
      </c>
      <c r="E340" s="41" t="n">
        <v>28.66</v>
      </c>
      <c r="F340" s="39" t="s">
        <v>118</v>
      </c>
      <c r="G340" s="39" t="str">
        <f aca="false">UPPER(TRIM(C340))</f>
        <v>P004</v>
      </c>
      <c r="H340" s="39" t="str">
        <f aca="false">IF(ISNUMBER(MATCH(G340,Products!$A$5:$A$24,0)),"OK","Mismatch")</f>
        <v>OK</v>
      </c>
      <c r="I340" s="39" t="str">
        <f aca="false">IF(COUNTIF($A$5:A340,A340)&gt;1,"Duplicate","Unique")</f>
        <v>Unique</v>
      </c>
      <c r="J340" s="39" t="str">
        <f aca="false">IF(I340="Duplicate","Remove",IF(H340="Mismatch","Exclude","Keep"))</f>
        <v>Keep</v>
      </c>
    </row>
    <row r="341" customFormat="false" ht="15" hidden="false" customHeight="false" outlineLevel="0" collapsed="false">
      <c r="A341" s="39" t="s">
        <v>458</v>
      </c>
      <c r="B341" s="40" t="n">
        <v>45709</v>
      </c>
      <c r="C341" s="39" t="s">
        <v>133</v>
      </c>
      <c r="D341" s="39" t="n">
        <v>2</v>
      </c>
      <c r="E341" s="41" t="n">
        <v>8.37</v>
      </c>
      <c r="F341" s="39" t="s">
        <v>105</v>
      </c>
      <c r="G341" s="39" t="str">
        <f aca="false">UPPER(TRIM(C341))</f>
        <v>P019</v>
      </c>
      <c r="H341" s="39" t="str">
        <f aca="false">IF(ISNUMBER(MATCH(G341,Products!$A$5:$A$24,0)),"OK","Mismatch")</f>
        <v>OK</v>
      </c>
      <c r="I341" s="39" t="str">
        <f aca="false">IF(COUNTIF($A$5:A341,A341)&gt;1,"Duplicate","Unique")</f>
        <v>Unique</v>
      </c>
      <c r="J341" s="39" t="str">
        <f aca="false">IF(I341="Duplicate","Remove",IF(H341="Mismatch","Exclude","Keep"))</f>
        <v>Keep</v>
      </c>
    </row>
    <row r="342" customFormat="false" ht="15" hidden="false" customHeight="false" outlineLevel="0" collapsed="false">
      <c r="A342" s="39" t="s">
        <v>459</v>
      </c>
      <c r="B342" s="40" t="n">
        <v>45709</v>
      </c>
      <c r="C342" s="39" t="s">
        <v>114</v>
      </c>
      <c r="D342" s="39" t="n">
        <v>2</v>
      </c>
      <c r="E342" s="41" t="n">
        <v>5.66</v>
      </c>
      <c r="F342" s="39" t="s">
        <v>108</v>
      </c>
      <c r="G342" s="39" t="str">
        <f aca="false">UPPER(TRIM(C342))</f>
        <v>P012</v>
      </c>
      <c r="H342" s="39" t="str">
        <f aca="false">IF(ISNUMBER(MATCH(G342,Products!$A$5:$A$24,0)),"OK","Mismatch")</f>
        <v>OK</v>
      </c>
      <c r="I342" s="39" t="str">
        <f aca="false">IF(COUNTIF($A$5:A342,A342)&gt;1,"Duplicate","Unique")</f>
        <v>Unique</v>
      </c>
      <c r="J342" s="39" t="str">
        <f aca="false">IF(I342="Duplicate","Remove",IF(H342="Mismatch","Exclude","Keep"))</f>
        <v>Keep</v>
      </c>
    </row>
    <row r="343" customFormat="false" ht="15" hidden="false" customHeight="false" outlineLevel="0" collapsed="false">
      <c r="A343" s="39" t="s">
        <v>460</v>
      </c>
      <c r="B343" s="40" t="n">
        <v>45709</v>
      </c>
      <c r="C343" s="39" t="s">
        <v>110</v>
      </c>
      <c r="D343" s="39" t="n">
        <v>5</v>
      </c>
      <c r="E343" s="41" t="n">
        <v>13.74</v>
      </c>
      <c r="F343" s="39" t="s">
        <v>115</v>
      </c>
      <c r="G343" s="39" t="str">
        <f aca="false">UPPER(TRIM(C343))</f>
        <v>P016</v>
      </c>
      <c r="H343" s="39" t="str">
        <f aca="false">IF(ISNUMBER(MATCH(G343,Products!$A$5:$A$24,0)),"OK","Mismatch")</f>
        <v>OK</v>
      </c>
      <c r="I343" s="39" t="str">
        <f aca="false">IF(COUNTIF($A$5:A343,A343)&gt;1,"Duplicate","Unique")</f>
        <v>Unique</v>
      </c>
      <c r="J343" s="39" t="str">
        <f aca="false">IF(I343="Duplicate","Remove",IF(H343="Mismatch","Exclude","Keep"))</f>
        <v>Keep</v>
      </c>
    </row>
    <row r="344" customFormat="false" ht="15" hidden="false" customHeight="false" outlineLevel="0" collapsed="false">
      <c r="A344" s="39" t="s">
        <v>461</v>
      </c>
      <c r="B344" s="40" t="n">
        <v>45710</v>
      </c>
      <c r="C344" s="39" t="s">
        <v>107</v>
      </c>
      <c r="D344" s="39" t="n">
        <v>4</v>
      </c>
      <c r="E344" s="41" t="n">
        <v>32.58</v>
      </c>
      <c r="F344" s="39" t="s">
        <v>108</v>
      </c>
      <c r="G344" s="39" t="str">
        <f aca="false">UPPER(TRIM(C344))</f>
        <v>P003</v>
      </c>
      <c r="H344" s="39" t="str">
        <f aca="false">IF(ISNUMBER(MATCH(G344,Products!$A$5:$A$24,0)),"OK","Mismatch")</f>
        <v>OK</v>
      </c>
      <c r="I344" s="39" t="str">
        <f aca="false">IF(COUNTIF($A$5:A344,A344)&gt;1,"Duplicate","Unique")</f>
        <v>Unique</v>
      </c>
      <c r="J344" s="39" t="str">
        <f aca="false">IF(I344="Duplicate","Remove",IF(H344="Mismatch","Exclude","Keep"))</f>
        <v>Keep</v>
      </c>
    </row>
    <row r="345" customFormat="false" ht="15" hidden="false" customHeight="false" outlineLevel="0" collapsed="false">
      <c r="A345" s="39" t="s">
        <v>462</v>
      </c>
      <c r="B345" s="40" t="n">
        <v>45710</v>
      </c>
      <c r="C345" s="39" t="s">
        <v>177</v>
      </c>
      <c r="D345" s="39" t="n">
        <v>2</v>
      </c>
      <c r="E345" s="41" t="n">
        <v>44.59</v>
      </c>
      <c r="F345" s="39" t="s">
        <v>115</v>
      </c>
      <c r="G345" s="39" t="str">
        <f aca="false">UPPER(TRIM(C345))</f>
        <v>P014</v>
      </c>
      <c r="H345" s="39" t="str">
        <f aca="false">IF(ISNUMBER(MATCH(G345,Products!$A$5:$A$24,0)),"OK","Mismatch")</f>
        <v>OK</v>
      </c>
      <c r="I345" s="39" t="str">
        <f aca="false">IF(COUNTIF($A$5:A345,A345)&gt;1,"Duplicate","Unique")</f>
        <v>Unique</v>
      </c>
      <c r="J345" s="39" t="str">
        <f aca="false">IF(I345="Duplicate","Remove",IF(H345="Mismatch","Exclude","Keep"))</f>
        <v>Keep</v>
      </c>
    </row>
    <row r="346" customFormat="false" ht="15" hidden="false" customHeight="false" outlineLevel="0" collapsed="false">
      <c r="A346" s="39" t="s">
        <v>463</v>
      </c>
      <c r="B346" s="40" t="n">
        <v>45710</v>
      </c>
      <c r="C346" s="39" t="s">
        <v>110</v>
      </c>
      <c r="D346" s="39" t="n">
        <v>3</v>
      </c>
      <c r="E346" s="41" t="n">
        <v>13.25</v>
      </c>
      <c r="F346" s="39" t="s">
        <v>115</v>
      </c>
      <c r="G346" s="39" t="str">
        <f aca="false">UPPER(TRIM(C346))</f>
        <v>P016</v>
      </c>
      <c r="H346" s="39" t="str">
        <f aca="false">IF(ISNUMBER(MATCH(G346,Products!$A$5:$A$24,0)),"OK","Mismatch")</f>
        <v>OK</v>
      </c>
      <c r="I346" s="39" t="str">
        <f aca="false">IF(COUNTIF($A$5:A346,A346)&gt;1,"Duplicate","Unique")</f>
        <v>Unique</v>
      </c>
      <c r="J346" s="39" t="str">
        <f aca="false">IF(I346="Duplicate","Remove",IF(H346="Mismatch","Exclude","Keep"))</f>
        <v>Keep</v>
      </c>
    </row>
    <row r="347" customFormat="false" ht="15" hidden="false" customHeight="false" outlineLevel="0" collapsed="false">
      <c r="A347" s="39" t="s">
        <v>464</v>
      </c>
      <c r="B347" s="40" t="n">
        <v>45710</v>
      </c>
      <c r="C347" s="39" t="s">
        <v>126</v>
      </c>
      <c r="D347" s="39" t="n">
        <v>2</v>
      </c>
      <c r="E347" s="41" t="n">
        <v>23.4</v>
      </c>
      <c r="F347" s="39" t="s">
        <v>118</v>
      </c>
      <c r="G347" s="39" t="str">
        <f aca="false">UPPER(TRIM(C347))</f>
        <v>P001</v>
      </c>
      <c r="H347" s="39" t="str">
        <f aca="false">IF(ISNUMBER(MATCH(G347,Products!$A$5:$A$24,0)),"OK","Mismatch")</f>
        <v>OK</v>
      </c>
      <c r="I347" s="39" t="str">
        <f aca="false">IF(COUNTIF($A$5:A347,A347)&gt;1,"Duplicate","Unique")</f>
        <v>Unique</v>
      </c>
      <c r="J347" s="39" t="str">
        <f aca="false">IF(I347="Duplicate","Remove",IF(H347="Mismatch","Exclude","Keep"))</f>
        <v>Keep</v>
      </c>
    </row>
    <row r="348" customFormat="false" ht="15" hidden="false" customHeight="false" outlineLevel="0" collapsed="false">
      <c r="A348" s="39" t="s">
        <v>465</v>
      </c>
      <c r="B348" s="40" t="n">
        <v>45710</v>
      </c>
      <c r="C348" s="39" t="s">
        <v>110</v>
      </c>
      <c r="D348" s="39" t="n">
        <v>4</v>
      </c>
      <c r="E348" s="41" t="n">
        <v>13.53</v>
      </c>
      <c r="F348" s="39" t="s">
        <v>105</v>
      </c>
      <c r="G348" s="39" t="str">
        <f aca="false">UPPER(TRIM(C348))</f>
        <v>P016</v>
      </c>
      <c r="H348" s="39" t="str">
        <f aca="false">IF(ISNUMBER(MATCH(G348,Products!$A$5:$A$24,0)),"OK","Mismatch")</f>
        <v>OK</v>
      </c>
      <c r="I348" s="39" t="str">
        <f aca="false">IF(COUNTIF($A$5:A348,A348)&gt;1,"Duplicate","Unique")</f>
        <v>Unique</v>
      </c>
      <c r="J348" s="39" t="str">
        <f aca="false">IF(I348="Duplicate","Remove",IF(H348="Mismatch","Exclude","Keep"))</f>
        <v>Keep</v>
      </c>
    </row>
    <row r="349" customFormat="false" ht="15" hidden="false" customHeight="false" outlineLevel="0" collapsed="false">
      <c r="A349" s="39" t="s">
        <v>466</v>
      </c>
      <c r="B349" s="40" t="n">
        <v>45710</v>
      </c>
      <c r="C349" s="39" t="s">
        <v>153</v>
      </c>
      <c r="D349" s="39" t="n">
        <v>1</v>
      </c>
      <c r="E349" s="41" t="n">
        <v>166.5</v>
      </c>
      <c r="F349" s="39" t="s">
        <v>105</v>
      </c>
      <c r="G349" s="39" t="str">
        <f aca="false">UPPER(TRIM(C349))</f>
        <v>P010</v>
      </c>
      <c r="H349" s="39" t="str">
        <f aca="false">IF(ISNUMBER(MATCH(G349,Products!$A$5:$A$24,0)),"OK","Mismatch")</f>
        <v>OK</v>
      </c>
      <c r="I349" s="39" t="str">
        <f aca="false">IF(COUNTIF($A$5:A349,A349)&gt;1,"Duplicate","Unique")</f>
        <v>Unique</v>
      </c>
      <c r="J349" s="39" t="str">
        <f aca="false">IF(I349="Duplicate","Remove",IF(H349="Mismatch","Exclude","Keep"))</f>
        <v>Keep</v>
      </c>
    </row>
    <row r="350" customFormat="false" ht="15" hidden="false" customHeight="false" outlineLevel="0" collapsed="false">
      <c r="A350" s="39" t="s">
        <v>467</v>
      </c>
      <c r="B350" s="40" t="n">
        <v>45710</v>
      </c>
      <c r="C350" s="39" t="s">
        <v>130</v>
      </c>
      <c r="D350" s="39" t="n">
        <v>5</v>
      </c>
      <c r="E350" s="41" t="n">
        <v>8.51</v>
      </c>
      <c r="F350" s="39" t="s">
        <v>105</v>
      </c>
      <c r="G350" s="39" t="str">
        <f aca="false">UPPER(TRIM(C350))</f>
        <v>P011</v>
      </c>
      <c r="H350" s="39" t="str">
        <f aca="false">IF(ISNUMBER(MATCH(G350,Products!$A$5:$A$24,0)),"OK","Mismatch")</f>
        <v>OK</v>
      </c>
      <c r="I350" s="39" t="str">
        <f aca="false">IF(COUNTIF($A$5:A350,A350)&gt;1,"Duplicate","Unique")</f>
        <v>Unique</v>
      </c>
      <c r="J350" s="39" t="str">
        <f aca="false">IF(I350="Duplicate","Remove",IF(H350="Mismatch","Exclude","Keep"))</f>
        <v>Keep</v>
      </c>
    </row>
    <row r="351" customFormat="false" ht="15" hidden="false" customHeight="false" outlineLevel="0" collapsed="false">
      <c r="A351" s="39" t="s">
        <v>468</v>
      </c>
      <c r="B351" s="40" t="n">
        <v>45711</v>
      </c>
      <c r="C351" s="39" t="s">
        <v>112</v>
      </c>
      <c r="D351" s="39" t="n">
        <v>4</v>
      </c>
      <c r="E351" s="41" t="n">
        <v>53.91</v>
      </c>
      <c r="F351" s="39" t="s">
        <v>108</v>
      </c>
      <c r="G351" s="39" t="str">
        <f aca="false">UPPER(TRIM(C351))</f>
        <v>P005</v>
      </c>
      <c r="H351" s="39" t="str">
        <f aca="false">IF(ISNUMBER(MATCH(G351,Products!$A$5:$A$24,0)),"OK","Mismatch")</f>
        <v>OK</v>
      </c>
      <c r="I351" s="39" t="str">
        <f aca="false">IF(COUNTIF($A$5:A351,A351)&gt;1,"Duplicate","Unique")</f>
        <v>Unique</v>
      </c>
      <c r="J351" s="39" t="str">
        <f aca="false">IF(I351="Duplicate","Remove",IF(H351="Mismatch","Exclude","Keep"))</f>
        <v>Keep</v>
      </c>
    </row>
    <row r="352" customFormat="false" ht="15" hidden="false" customHeight="false" outlineLevel="0" collapsed="false">
      <c r="A352" s="39" t="s">
        <v>469</v>
      </c>
      <c r="B352" s="40" t="n">
        <v>45711</v>
      </c>
      <c r="C352" s="39" t="s">
        <v>128</v>
      </c>
      <c r="D352" s="39" t="n">
        <v>5</v>
      </c>
      <c r="E352" s="41" t="n">
        <v>37.07</v>
      </c>
      <c r="F352" s="39" t="s">
        <v>118</v>
      </c>
      <c r="G352" s="39" t="str">
        <f aca="false">UPPER(TRIM(C352))</f>
        <v>P020</v>
      </c>
      <c r="H352" s="39" t="str">
        <f aca="false">IF(ISNUMBER(MATCH(G352,Products!$A$5:$A$24,0)),"OK","Mismatch")</f>
        <v>OK</v>
      </c>
      <c r="I352" s="39" t="str">
        <f aca="false">IF(COUNTIF($A$5:A352,A352)&gt;1,"Duplicate","Unique")</f>
        <v>Unique</v>
      </c>
      <c r="J352" s="39" t="str">
        <f aca="false">IF(I352="Duplicate","Remove",IF(H352="Mismatch","Exclude","Keep"))</f>
        <v>Keep</v>
      </c>
    </row>
    <row r="353" customFormat="false" ht="15" hidden="false" customHeight="false" outlineLevel="0" collapsed="false">
      <c r="A353" s="39" t="s">
        <v>470</v>
      </c>
      <c r="B353" s="40" t="n">
        <v>45711</v>
      </c>
      <c r="C353" s="39" t="s">
        <v>130</v>
      </c>
      <c r="D353" s="39" t="n">
        <v>3</v>
      </c>
      <c r="E353" s="41" t="n">
        <v>8.7</v>
      </c>
      <c r="F353" s="39" t="s">
        <v>105</v>
      </c>
      <c r="G353" s="39" t="str">
        <f aca="false">UPPER(TRIM(C353))</f>
        <v>P011</v>
      </c>
      <c r="H353" s="39" t="str">
        <f aca="false">IF(ISNUMBER(MATCH(G353,Products!$A$5:$A$24,0)),"OK","Mismatch")</f>
        <v>OK</v>
      </c>
      <c r="I353" s="39" t="str">
        <f aca="false">IF(COUNTIF($A$5:A353,A353)&gt;1,"Duplicate","Unique")</f>
        <v>Unique</v>
      </c>
      <c r="J353" s="39" t="str">
        <f aca="false">IF(I353="Duplicate","Remove",IF(H353="Mismatch","Exclude","Keep"))</f>
        <v>Keep</v>
      </c>
    </row>
    <row r="354" customFormat="false" ht="15" hidden="false" customHeight="false" outlineLevel="0" collapsed="false">
      <c r="A354" s="39" t="s">
        <v>471</v>
      </c>
      <c r="B354" s="40" t="n">
        <v>45711</v>
      </c>
      <c r="C354" s="39" t="s">
        <v>183</v>
      </c>
      <c r="D354" s="39" t="n">
        <v>5</v>
      </c>
      <c r="E354" s="41" t="n">
        <v>175.7</v>
      </c>
      <c r="F354" s="39" t="s">
        <v>108</v>
      </c>
      <c r="G354" s="39" t="str">
        <f aca="false">UPPER(TRIM(C354))</f>
        <v>P007</v>
      </c>
      <c r="H354" s="39" t="str">
        <f aca="false">IF(ISNUMBER(MATCH(G354,Products!$A$5:$A$24,0)),"OK","Mismatch")</f>
        <v>OK</v>
      </c>
      <c r="I354" s="39" t="str">
        <f aca="false">IF(COUNTIF($A$5:A354,A354)&gt;1,"Duplicate","Unique")</f>
        <v>Unique</v>
      </c>
      <c r="J354" s="39" t="str">
        <f aca="false">IF(I354="Duplicate","Remove",IF(H354="Mismatch","Exclude","Keep"))</f>
        <v>Keep</v>
      </c>
    </row>
    <row r="355" customFormat="false" ht="15" hidden="false" customHeight="false" outlineLevel="0" collapsed="false">
      <c r="A355" s="39" t="s">
        <v>472</v>
      </c>
      <c r="B355" s="40" t="n">
        <v>45711</v>
      </c>
      <c r="C355" s="39" t="s">
        <v>104</v>
      </c>
      <c r="D355" s="39" t="n">
        <v>2</v>
      </c>
      <c r="E355" s="41" t="n">
        <v>15.86</v>
      </c>
      <c r="F355" s="39" t="s">
        <v>115</v>
      </c>
      <c r="G355" s="39" t="str">
        <f aca="false">UPPER(TRIM(C355))</f>
        <v>P015</v>
      </c>
      <c r="H355" s="39" t="str">
        <f aca="false">IF(ISNUMBER(MATCH(G355,Products!$A$5:$A$24,0)),"OK","Mismatch")</f>
        <v>OK</v>
      </c>
      <c r="I355" s="39" t="str">
        <f aca="false">IF(COUNTIF($A$5:A355,A355)&gt;1,"Duplicate","Unique")</f>
        <v>Unique</v>
      </c>
      <c r="J355" s="39" t="str">
        <f aca="false">IF(I355="Duplicate","Remove",IF(H355="Mismatch","Exclude","Keep"))</f>
        <v>Keep</v>
      </c>
    </row>
    <row r="356" customFormat="false" ht="15" hidden="false" customHeight="false" outlineLevel="0" collapsed="false">
      <c r="A356" s="39" t="s">
        <v>473</v>
      </c>
      <c r="B356" s="40" t="n">
        <v>45712</v>
      </c>
      <c r="C356" s="39" t="s">
        <v>128</v>
      </c>
      <c r="D356" s="39" t="n">
        <v>1</v>
      </c>
      <c r="E356" s="41" t="n">
        <v>37.36</v>
      </c>
      <c r="F356" s="39" t="s">
        <v>118</v>
      </c>
      <c r="G356" s="39" t="str">
        <f aca="false">UPPER(TRIM(C356))</f>
        <v>P020</v>
      </c>
      <c r="H356" s="39" t="str">
        <f aca="false">IF(ISNUMBER(MATCH(G356,Products!$A$5:$A$24,0)),"OK","Mismatch")</f>
        <v>OK</v>
      </c>
      <c r="I356" s="39" t="str">
        <f aca="false">IF(COUNTIF($A$5:A356,A356)&gt;1,"Duplicate","Unique")</f>
        <v>Unique</v>
      </c>
      <c r="J356" s="39" t="str">
        <f aca="false">IF(I356="Duplicate","Remove",IF(H356="Mismatch","Exclude","Keep"))</f>
        <v>Keep</v>
      </c>
    </row>
    <row r="357" customFormat="false" ht="15" hidden="false" customHeight="false" outlineLevel="0" collapsed="false">
      <c r="A357" s="39" t="s">
        <v>474</v>
      </c>
      <c r="B357" s="40" t="n">
        <v>45712</v>
      </c>
      <c r="C357" s="39" t="s">
        <v>177</v>
      </c>
      <c r="D357" s="39" t="n">
        <v>2</v>
      </c>
      <c r="E357" s="41" t="n">
        <v>44.29</v>
      </c>
      <c r="F357" s="39" t="s">
        <v>115</v>
      </c>
      <c r="G357" s="39" t="str">
        <f aca="false">UPPER(TRIM(C357))</f>
        <v>P014</v>
      </c>
      <c r="H357" s="39" t="str">
        <f aca="false">IF(ISNUMBER(MATCH(G357,Products!$A$5:$A$24,0)),"OK","Mismatch")</f>
        <v>OK</v>
      </c>
      <c r="I357" s="39" t="str">
        <f aca="false">IF(COUNTIF($A$5:A357,A357)&gt;1,"Duplicate","Unique")</f>
        <v>Unique</v>
      </c>
      <c r="J357" s="39" t="str">
        <f aca="false">IF(I357="Duplicate","Remove",IF(H357="Mismatch","Exclude","Keep"))</f>
        <v>Keep</v>
      </c>
    </row>
    <row r="358" customFormat="false" ht="15" hidden="false" customHeight="false" outlineLevel="0" collapsed="false">
      <c r="A358" s="39" t="s">
        <v>475</v>
      </c>
      <c r="B358" s="40" t="n">
        <v>45712</v>
      </c>
      <c r="C358" s="39" t="s">
        <v>162</v>
      </c>
      <c r="D358" s="39" t="n">
        <v>3</v>
      </c>
      <c r="E358" s="41" t="n">
        <v>64.38</v>
      </c>
      <c r="F358" s="39" t="s">
        <v>118</v>
      </c>
      <c r="G358" s="39" t="str">
        <f aca="false">UPPER(TRIM(C358))</f>
        <v>P017</v>
      </c>
      <c r="H358" s="39" t="str">
        <f aca="false">IF(ISNUMBER(MATCH(G358,Products!$A$5:$A$24,0)),"OK","Mismatch")</f>
        <v>OK</v>
      </c>
      <c r="I358" s="39" t="str">
        <f aca="false">IF(COUNTIF($A$5:A358,A358)&gt;1,"Duplicate","Unique")</f>
        <v>Unique</v>
      </c>
      <c r="J358" s="39" t="str">
        <f aca="false">IF(I358="Duplicate","Remove",IF(H358="Mismatch","Exclude","Keep"))</f>
        <v>Keep</v>
      </c>
    </row>
    <row r="359" customFormat="false" ht="15" hidden="false" customHeight="false" outlineLevel="0" collapsed="false">
      <c r="A359" s="39" t="s">
        <v>476</v>
      </c>
      <c r="B359" s="40" t="n">
        <v>45712</v>
      </c>
      <c r="C359" s="39" t="s">
        <v>104</v>
      </c>
      <c r="D359" s="39" t="n">
        <v>4</v>
      </c>
      <c r="E359" s="41" t="n">
        <v>15</v>
      </c>
      <c r="F359" s="39" t="s">
        <v>115</v>
      </c>
      <c r="G359" s="39" t="str">
        <f aca="false">UPPER(TRIM(C359))</f>
        <v>P015</v>
      </c>
      <c r="H359" s="39" t="str">
        <f aca="false">IF(ISNUMBER(MATCH(G359,Products!$A$5:$A$24,0)),"OK","Mismatch")</f>
        <v>OK</v>
      </c>
      <c r="I359" s="39" t="str">
        <f aca="false">IF(COUNTIF($A$5:A359,A359)&gt;1,"Duplicate","Unique")</f>
        <v>Unique</v>
      </c>
      <c r="J359" s="39" t="str">
        <f aca="false">IF(I359="Duplicate","Remove",IF(H359="Mismatch","Exclude","Keep"))</f>
        <v>Keep</v>
      </c>
    </row>
    <row r="360" customFormat="false" ht="15" hidden="false" customHeight="false" outlineLevel="0" collapsed="false">
      <c r="A360" s="39" t="s">
        <v>477</v>
      </c>
      <c r="B360" s="40" t="n">
        <v>45712</v>
      </c>
      <c r="C360" s="39" t="s">
        <v>114</v>
      </c>
      <c r="D360" s="39" t="n">
        <v>2</v>
      </c>
      <c r="E360" s="41" t="n">
        <v>5.53</v>
      </c>
      <c r="F360" s="39" t="s">
        <v>108</v>
      </c>
      <c r="G360" s="39" t="str">
        <f aca="false">UPPER(TRIM(C360))</f>
        <v>P012</v>
      </c>
      <c r="H360" s="39" t="str">
        <f aca="false">IF(ISNUMBER(MATCH(G360,Products!$A$5:$A$24,0)),"OK","Mismatch")</f>
        <v>OK</v>
      </c>
      <c r="I360" s="39" t="str">
        <f aca="false">IF(COUNTIF($A$5:A360,A360)&gt;1,"Duplicate","Unique")</f>
        <v>Unique</v>
      </c>
      <c r="J360" s="39" t="str">
        <f aca="false">IF(I360="Duplicate","Remove",IF(H360="Mismatch","Exclude","Keep"))</f>
        <v>Keep</v>
      </c>
    </row>
    <row r="361" customFormat="false" ht="15" hidden="false" customHeight="false" outlineLevel="0" collapsed="false">
      <c r="A361" s="39" t="s">
        <v>478</v>
      </c>
      <c r="B361" s="40" t="n">
        <v>45712</v>
      </c>
      <c r="C361" s="39" t="s">
        <v>130</v>
      </c>
      <c r="D361" s="39" t="n">
        <v>1</v>
      </c>
      <c r="E361" s="41" t="n">
        <v>8.75</v>
      </c>
      <c r="F361" s="39" t="s">
        <v>108</v>
      </c>
      <c r="G361" s="39" t="str">
        <f aca="false">UPPER(TRIM(C361))</f>
        <v>P011</v>
      </c>
      <c r="H361" s="39" t="str">
        <f aca="false">IF(ISNUMBER(MATCH(G361,Products!$A$5:$A$24,0)),"OK","Mismatch")</f>
        <v>OK</v>
      </c>
      <c r="I361" s="39" t="str">
        <f aca="false">IF(COUNTIF($A$5:A361,A361)&gt;1,"Duplicate","Unique")</f>
        <v>Unique</v>
      </c>
      <c r="J361" s="39" t="str">
        <f aca="false">IF(I361="Duplicate","Remove",IF(H361="Mismatch","Exclude","Keep"))</f>
        <v>Keep</v>
      </c>
    </row>
    <row r="362" customFormat="false" ht="15" hidden="false" customHeight="false" outlineLevel="0" collapsed="false">
      <c r="A362" s="39" t="s">
        <v>479</v>
      </c>
      <c r="B362" s="40" t="n">
        <v>45713</v>
      </c>
      <c r="C362" s="39" t="s">
        <v>133</v>
      </c>
      <c r="D362" s="39" t="n">
        <v>4</v>
      </c>
      <c r="E362" s="41" t="n">
        <v>8.93</v>
      </c>
      <c r="F362" s="39" t="s">
        <v>118</v>
      </c>
      <c r="G362" s="39" t="str">
        <f aca="false">UPPER(TRIM(C362))</f>
        <v>P019</v>
      </c>
      <c r="H362" s="39" t="str">
        <f aca="false">IF(ISNUMBER(MATCH(G362,Products!$A$5:$A$24,0)),"OK","Mismatch")</f>
        <v>OK</v>
      </c>
      <c r="I362" s="39" t="str">
        <f aca="false">IF(COUNTIF($A$5:A362,A362)&gt;1,"Duplicate","Unique")</f>
        <v>Unique</v>
      </c>
      <c r="J362" s="39" t="str">
        <f aca="false">IF(I362="Duplicate","Remove",IF(H362="Mismatch","Exclude","Keep"))</f>
        <v>Keep</v>
      </c>
    </row>
    <row r="363" customFormat="false" ht="15" hidden="false" customHeight="false" outlineLevel="0" collapsed="false">
      <c r="A363" s="39" t="s">
        <v>480</v>
      </c>
      <c r="B363" s="40" t="n">
        <v>45713</v>
      </c>
      <c r="C363" s="39" t="s">
        <v>110</v>
      </c>
      <c r="D363" s="39" t="n">
        <v>4</v>
      </c>
      <c r="E363" s="41" t="n">
        <v>12.94</v>
      </c>
      <c r="F363" s="39" t="s">
        <v>105</v>
      </c>
      <c r="G363" s="39" t="str">
        <f aca="false">UPPER(TRIM(C363))</f>
        <v>P016</v>
      </c>
      <c r="H363" s="39" t="str">
        <f aca="false">IF(ISNUMBER(MATCH(G363,Products!$A$5:$A$24,0)),"OK","Mismatch")</f>
        <v>OK</v>
      </c>
      <c r="I363" s="39" t="str">
        <f aca="false">IF(COUNTIF($A$5:A363,A363)&gt;1,"Duplicate","Unique")</f>
        <v>Unique</v>
      </c>
      <c r="J363" s="39" t="str">
        <f aca="false">IF(I363="Duplicate","Remove",IF(H363="Mismatch","Exclude","Keep"))</f>
        <v>Keep</v>
      </c>
    </row>
    <row r="364" customFormat="false" ht="15" hidden="false" customHeight="false" outlineLevel="0" collapsed="false">
      <c r="A364" s="39" t="s">
        <v>481</v>
      </c>
      <c r="B364" s="40" t="n">
        <v>45713</v>
      </c>
      <c r="C364" s="39" t="s">
        <v>133</v>
      </c>
      <c r="D364" s="39" t="n">
        <v>3</v>
      </c>
      <c r="E364" s="41" t="n">
        <v>8.85</v>
      </c>
      <c r="F364" s="39" t="s">
        <v>105</v>
      </c>
      <c r="G364" s="39" t="str">
        <f aca="false">UPPER(TRIM(C364))</f>
        <v>P019</v>
      </c>
      <c r="H364" s="39" t="str">
        <f aca="false">IF(ISNUMBER(MATCH(G364,Products!$A$5:$A$24,0)),"OK","Mismatch")</f>
        <v>OK</v>
      </c>
      <c r="I364" s="39" t="str">
        <f aca="false">IF(COUNTIF($A$5:A364,A364)&gt;1,"Duplicate","Unique")</f>
        <v>Unique</v>
      </c>
      <c r="J364" s="39" t="str">
        <f aca="false">IF(I364="Duplicate","Remove",IF(H364="Mismatch","Exclude","Keep"))</f>
        <v>Keep</v>
      </c>
    </row>
    <row r="365" customFormat="false" ht="15" hidden="false" customHeight="false" outlineLevel="0" collapsed="false">
      <c r="A365" s="39" t="s">
        <v>482</v>
      </c>
      <c r="B365" s="40" t="n">
        <v>45713</v>
      </c>
      <c r="C365" s="39" t="s">
        <v>162</v>
      </c>
      <c r="D365" s="39" t="n">
        <v>4</v>
      </c>
      <c r="E365" s="41" t="n">
        <v>66.36</v>
      </c>
      <c r="F365" s="39" t="s">
        <v>115</v>
      </c>
      <c r="G365" s="39" t="str">
        <f aca="false">UPPER(TRIM(C365))</f>
        <v>P017</v>
      </c>
      <c r="H365" s="39" t="str">
        <f aca="false">IF(ISNUMBER(MATCH(G365,Products!$A$5:$A$24,0)),"OK","Mismatch")</f>
        <v>OK</v>
      </c>
      <c r="I365" s="39" t="str">
        <f aca="false">IF(COUNTIF($A$5:A365,A365)&gt;1,"Duplicate","Unique")</f>
        <v>Unique</v>
      </c>
      <c r="J365" s="39" t="str">
        <f aca="false">IF(I365="Duplicate","Remove",IF(H365="Mismatch","Exclude","Keep"))</f>
        <v>Keep</v>
      </c>
    </row>
    <row r="366" customFormat="false" ht="15" hidden="false" customHeight="false" outlineLevel="0" collapsed="false">
      <c r="A366" s="39" t="s">
        <v>483</v>
      </c>
      <c r="B366" s="40" t="n">
        <v>45713</v>
      </c>
      <c r="C366" s="39" t="s">
        <v>112</v>
      </c>
      <c r="D366" s="39" t="n">
        <v>2</v>
      </c>
      <c r="E366" s="41" t="n">
        <v>52.72</v>
      </c>
      <c r="F366" s="39" t="s">
        <v>115</v>
      </c>
      <c r="G366" s="39" t="str">
        <f aca="false">UPPER(TRIM(C366))</f>
        <v>P005</v>
      </c>
      <c r="H366" s="39" t="str">
        <f aca="false">IF(ISNUMBER(MATCH(G366,Products!$A$5:$A$24,0)),"OK","Mismatch")</f>
        <v>OK</v>
      </c>
      <c r="I366" s="39" t="str">
        <f aca="false">IF(COUNTIF($A$5:A366,A366)&gt;1,"Duplicate","Unique")</f>
        <v>Unique</v>
      </c>
      <c r="J366" s="39" t="str">
        <f aca="false">IF(I366="Duplicate","Remove",IF(H366="Mismatch","Exclude","Keep"))</f>
        <v>Keep</v>
      </c>
    </row>
    <row r="367" customFormat="false" ht="15" hidden="false" customHeight="false" outlineLevel="0" collapsed="false">
      <c r="A367" s="39" t="s">
        <v>484</v>
      </c>
      <c r="B367" s="40" t="n">
        <v>45713</v>
      </c>
      <c r="C367" s="39" t="s">
        <v>130</v>
      </c>
      <c r="D367" s="39" t="n">
        <v>3</v>
      </c>
      <c r="E367" s="41" t="n">
        <v>8.44</v>
      </c>
      <c r="F367" s="39" t="s">
        <v>118</v>
      </c>
      <c r="G367" s="39" t="str">
        <f aca="false">UPPER(TRIM(C367))</f>
        <v>P011</v>
      </c>
      <c r="H367" s="39" t="str">
        <f aca="false">IF(ISNUMBER(MATCH(G367,Products!$A$5:$A$24,0)),"OK","Mismatch")</f>
        <v>OK</v>
      </c>
      <c r="I367" s="39" t="str">
        <f aca="false">IF(COUNTIF($A$5:A367,A367)&gt;1,"Duplicate","Unique")</f>
        <v>Unique</v>
      </c>
      <c r="J367" s="39" t="str">
        <f aca="false">IF(I367="Duplicate","Remove",IF(H367="Mismatch","Exclude","Keep"))</f>
        <v>Keep</v>
      </c>
    </row>
    <row r="368" customFormat="false" ht="15" hidden="false" customHeight="false" outlineLevel="0" collapsed="false">
      <c r="A368" s="39" t="s">
        <v>485</v>
      </c>
      <c r="B368" s="40" t="n">
        <v>45713</v>
      </c>
      <c r="C368" s="39" t="s">
        <v>130</v>
      </c>
      <c r="D368" s="39" t="n">
        <v>4</v>
      </c>
      <c r="E368" s="41" t="n">
        <v>8.43</v>
      </c>
      <c r="F368" s="39" t="s">
        <v>108</v>
      </c>
      <c r="G368" s="39" t="str">
        <f aca="false">UPPER(TRIM(C368))</f>
        <v>P011</v>
      </c>
      <c r="H368" s="39" t="str">
        <f aca="false">IF(ISNUMBER(MATCH(G368,Products!$A$5:$A$24,0)),"OK","Mismatch")</f>
        <v>OK</v>
      </c>
      <c r="I368" s="39" t="str">
        <f aca="false">IF(COUNTIF($A$5:A368,A368)&gt;1,"Duplicate","Unique")</f>
        <v>Unique</v>
      </c>
      <c r="J368" s="39" t="str">
        <f aca="false">IF(I368="Duplicate","Remove",IF(H368="Mismatch","Exclude","Keep"))</f>
        <v>Keep</v>
      </c>
    </row>
    <row r="369" customFormat="false" ht="15" hidden="false" customHeight="false" outlineLevel="0" collapsed="false">
      <c r="A369" s="39" t="s">
        <v>486</v>
      </c>
      <c r="B369" s="40" t="n">
        <v>45713</v>
      </c>
      <c r="C369" s="39" t="s">
        <v>139</v>
      </c>
      <c r="D369" s="39" t="n">
        <v>2</v>
      </c>
      <c r="E369" s="41" t="n">
        <v>120.12</v>
      </c>
      <c r="F369" s="39" t="s">
        <v>118</v>
      </c>
      <c r="G369" s="39" t="str">
        <f aca="false">UPPER(TRIM(C369))</f>
        <v>P006</v>
      </c>
      <c r="H369" s="39" t="str">
        <f aca="false">IF(ISNUMBER(MATCH(G369,Products!$A$5:$A$24,0)),"OK","Mismatch")</f>
        <v>OK</v>
      </c>
      <c r="I369" s="39" t="str">
        <f aca="false">IF(COUNTIF($A$5:A369,A369)&gt;1,"Duplicate","Unique")</f>
        <v>Unique</v>
      </c>
      <c r="J369" s="39" t="str">
        <f aca="false">IF(I369="Duplicate","Remove",IF(H369="Mismatch","Exclude","Keep"))</f>
        <v>Keep</v>
      </c>
    </row>
    <row r="370" customFormat="false" ht="15" hidden="false" customHeight="false" outlineLevel="0" collapsed="false">
      <c r="A370" s="39" t="s">
        <v>486</v>
      </c>
      <c r="B370" s="40" t="n">
        <v>45713</v>
      </c>
      <c r="C370" s="39" t="s">
        <v>139</v>
      </c>
      <c r="D370" s="39" t="n">
        <v>2</v>
      </c>
      <c r="E370" s="41" t="n">
        <v>120.12</v>
      </c>
      <c r="F370" s="39" t="s">
        <v>118</v>
      </c>
      <c r="G370" s="39" t="str">
        <f aca="false">UPPER(TRIM(C370))</f>
        <v>P006</v>
      </c>
      <c r="H370" s="39" t="str">
        <f aca="false">IF(ISNUMBER(MATCH(G370,Products!$A$5:$A$24,0)),"OK","Mismatch")</f>
        <v>OK</v>
      </c>
      <c r="I370" s="39" t="str">
        <f aca="false">IF(COUNTIF($A$5:A370,A370)&gt;1,"Duplicate","Unique")</f>
        <v>Duplicate</v>
      </c>
      <c r="J370" s="39" t="str">
        <f aca="false">IF(I370="Duplicate","Remove",IF(H370="Mismatch","Exclude","Keep"))</f>
        <v>Remove</v>
      </c>
    </row>
    <row r="371" customFormat="false" ht="15" hidden="false" customHeight="false" outlineLevel="0" collapsed="false">
      <c r="A371" s="39" t="s">
        <v>487</v>
      </c>
      <c r="B371" s="40" t="n">
        <v>45713</v>
      </c>
      <c r="C371" s="39" t="s">
        <v>104</v>
      </c>
      <c r="D371" s="39" t="n">
        <v>3</v>
      </c>
      <c r="E371" s="41" t="n">
        <v>15.03</v>
      </c>
      <c r="F371" s="39" t="s">
        <v>108</v>
      </c>
      <c r="G371" s="39" t="str">
        <f aca="false">UPPER(TRIM(C371))</f>
        <v>P015</v>
      </c>
      <c r="H371" s="39" t="str">
        <f aca="false">IF(ISNUMBER(MATCH(G371,Products!$A$5:$A$24,0)),"OK","Mismatch")</f>
        <v>OK</v>
      </c>
      <c r="I371" s="39" t="str">
        <f aca="false">IF(COUNTIF($A$5:A371,A371)&gt;1,"Duplicate","Unique")</f>
        <v>Unique</v>
      </c>
      <c r="J371" s="39" t="str">
        <f aca="false">IF(I371="Duplicate","Remove",IF(H371="Mismatch","Exclude","Keep"))</f>
        <v>Keep</v>
      </c>
    </row>
    <row r="372" customFormat="false" ht="15" hidden="false" customHeight="false" outlineLevel="0" collapsed="false">
      <c r="A372" s="39" t="s">
        <v>488</v>
      </c>
      <c r="B372" s="40" t="n">
        <v>45714</v>
      </c>
      <c r="C372" s="39" t="s">
        <v>153</v>
      </c>
      <c r="D372" s="39" t="n">
        <v>5</v>
      </c>
      <c r="E372" s="41" t="n">
        <v>169.39</v>
      </c>
      <c r="F372" s="39" t="s">
        <v>115</v>
      </c>
      <c r="G372" s="39" t="str">
        <f aca="false">UPPER(TRIM(C372))</f>
        <v>P010</v>
      </c>
      <c r="H372" s="39" t="str">
        <f aca="false">IF(ISNUMBER(MATCH(G372,Products!$A$5:$A$24,0)),"OK","Mismatch")</f>
        <v>OK</v>
      </c>
      <c r="I372" s="39" t="str">
        <f aca="false">IF(COUNTIF($A$5:A372,A372)&gt;1,"Duplicate","Unique")</f>
        <v>Unique</v>
      </c>
      <c r="J372" s="39" t="str">
        <f aca="false">IF(I372="Duplicate","Remove",IF(H372="Mismatch","Exclude","Keep"))</f>
        <v>Keep</v>
      </c>
    </row>
    <row r="373" customFormat="false" ht="15" hidden="false" customHeight="false" outlineLevel="0" collapsed="false">
      <c r="A373" s="39" t="s">
        <v>489</v>
      </c>
      <c r="B373" s="40" t="n">
        <v>45714</v>
      </c>
      <c r="C373" s="39" t="s">
        <v>112</v>
      </c>
      <c r="D373" s="39" t="n">
        <v>6</v>
      </c>
      <c r="E373" s="41" t="n">
        <v>52.22</v>
      </c>
      <c r="F373" s="39" t="s">
        <v>108</v>
      </c>
      <c r="G373" s="39" t="str">
        <f aca="false">UPPER(TRIM(C373))</f>
        <v>P005</v>
      </c>
      <c r="H373" s="39" t="str">
        <f aca="false">IF(ISNUMBER(MATCH(G373,Products!$A$5:$A$24,0)),"OK","Mismatch")</f>
        <v>OK</v>
      </c>
      <c r="I373" s="39" t="str">
        <f aca="false">IF(COUNTIF($A$5:A373,A373)&gt;1,"Duplicate","Unique")</f>
        <v>Unique</v>
      </c>
      <c r="J373" s="39" t="str">
        <f aca="false">IF(I373="Duplicate","Remove",IF(H373="Mismatch","Exclude","Keep"))</f>
        <v>Keep</v>
      </c>
    </row>
    <row r="374" customFormat="false" ht="15" hidden="false" customHeight="false" outlineLevel="0" collapsed="false">
      <c r="A374" s="39" t="s">
        <v>490</v>
      </c>
      <c r="B374" s="40" t="n">
        <v>45715</v>
      </c>
      <c r="C374" s="39" t="s">
        <v>136</v>
      </c>
      <c r="D374" s="39" t="n">
        <v>1</v>
      </c>
      <c r="E374" s="41" t="n">
        <v>74.87</v>
      </c>
      <c r="F374" s="39" t="s">
        <v>118</v>
      </c>
      <c r="G374" s="39" t="str">
        <f aca="false">UPPER(TRIM(C374))</f>
        <v>P002</v>
      </c>
      <c r="H374" s="39" t="str">
        <f aca="false">IF(ISNUMBER(MATCH(G374,Products!$A$5:$A$24,0)),"OK","Mismatch")</f>
        <v>OK</v>
      </c>
      <c r="I374" s="39" t="str">
        <f aca="false">IF(COUNTIF($A$5:A374,A374)&gt;1,"Duplicate","Unique")</f>
        <v>Unique</v>
      </c>
      <c r="J374" s="39" t="str">
        <f aca="false">IF(I374="Duplicate","Remove",IF(H374="Mismatch","Exclude","Keep"))</f>
        <v>Keep</v>
      </c>
    </row>
    <row r="375" customFormat="false" ht="15" hidden="false" customHeight="false" outlineLevel="0" collapsed="false">
      <c r="A375" s="39" t="s">
        <v>491</v>
      </c>
      <c r="B375" s="40" t="n">
        <v>45715</v>
      </c>
      <c r="C375" s="39" t="s">
        <v>104</v>
      </c>
      <c r="D375" s="39" t="n">
        <v>2</v>
      </c>
      <c r="E375" s="41" t="n">
        <v>15.76</v>
      </c>
      <c r="F375" s="39" t="s">
        <v>115</v>
      </c>
      <c r="G375" s="39" t="str">
        <f aca="false">UPPER(TRIM(C375))</f>
        <v>P015</v>
      </c>
      <c r="H375" s="39" t="str">
        <f aca="false">IF(ISNUMBER(MATCH(G375,Products!$A$5:$A$24,0)),"OK","Mismatch")</f>
        <v>OK</v>
      </c>
      <c r="I375" s="39" t="str">
        <f aca="false">IF(COUNTIF($A$5:A375,A375)&gt;1,"Duplicate","Unique")</f>
        <v>Unique</v>
      </c>
      <c r="J375" s="39" t="str">
        <f aca="false">IF(I375="Duplicate","Remove",IF(H375="Mismatch","Exclude","Keep"))</f>
        <v>Keep</v>
      </c>
    </row>
    <row r="376" customFormat="false" ht="15" hidden="false" customHeight="false" outlineLevel="0" collapsed="false">
      <c r="A376" s="39" t="s">
        <v>492</v>
      </c>
      <c r="B376" s="40" t="n">
        <v>45715</v>
      </c>
      <c r="C376" s="39" t="s">
        <v>169</v>
      </c>
      <c r="D376" s="39" t="n">
        <v>2</v>
      </c>
      <c r="E376" s="41" t="n">
        <v>26.74</v>
      </c>
      <c r="F376" s="39" t="s">
        <v>115</v>
      </c>
      <c r="G376" s="39" t="str">
        <f aca="false">UPPER(TRIM(C376))</f>
        <v>P004</v>
      </c>
      <c r="H376" s="39" t="str">
        <f aca="false">IF(ISNUMBER(MATCH(G376,Products!$A$5:$A$24,0)),"OK","Mismatch")</f>
        <v>OK</v>
      </c>
      <c r="I376" s="39" t="str">
        <f aca="false">IF(COUNTIF($A$5:A376,A376)&gt;1,"Duplicate","Unique")</f>
        <v>Unique</v>
      </c>
      <c r="J376" s="39" t="str">
        <f aca="false">IF(I376="Duplicate","Remove",IF(H376="Mismatch","Exclude","Keep"))</f>
        <v>Keep</v>
      </c>
    </row>
    <row r="377" customFormat="false" ht="15" hidden="false" customHeight="false" outlineLevel="0" collapsed="false">
      <c r="A377" s="39" t="s">
        <v>493</v>
      </c>
      <c r="B377" s="40" t="n">
        <v>45715</v>
      </c>
      <c r="C377" s="39" t="s">
        <v>126</v>
      </c>
      <c r="D377" s="39" t="n">
        <v>1</v>
      </c>
      <c r="E377" s="41" t="n">
        <v>24.65</v>
      </c>
      <c r="F377" s="39" t="s">
        <v>105</v>
      </c>
      <c r="G377" s="39" t="str">
        <f aca="false">UPPER(TRIM(C377))</f>
        <v>P001</v>
      </c>
      <c r="H377" s="39" t="str">
        <f aca="false">IF(ISNUMBER(MATCH(G377,Products!$A$5:$A$24,0)),"OK","Mismatch")</f>
        <v>OK</v>
      </c>
      <c r="I377" s="39" t="str">
        <f aca="false">IF(COUNTIF($A$5:A377,A377)&gt;1,"Duplicate","Unique")</f>
        <v>Unique</v>
      </c>
      <c r="J377" s="39" t="str">
        <f aca="false">IF(I377="Duplicate","Remove",IF(H377="Mismatch","Exclude","Keep"))</f>
        <v>Keep</v>
      </c>
    </row>
    <row r="378" customFormat="false" ht="15" hidden="false" customHeight="false" outlineLevel="0" collapsed="false">
      <c r="A378" s="39" t="s">
        <v>494</v>
      </c>
      <c r="B378" s="40" t="n">
        <v>45716</v>
      </c>
      <c r="C378" s="39" t="s">
        <v>139</v>
      </c>
      <c r="D378" s="39" t="n">
        <v>2</v>
      </c>
      <c r="E378" s="41" t="n">
        <v>121.28</v>
      </c>
      <c r="F378" s="39" t="s">
        <v>118</v>
      </c>
      <c r="G378" s="39" t="str">
        <f aca="false">UPPER(TRIM(C378))</f>
        <v>P006</v>
      </c>
      <c r="H378" s="39" t="str">
        <f aca="false">IF(ISNUMBER(MATCH(G378,Products!$A$5:$A$24,0)),"OK","Mismatch")</f>
        <v>OK</v>
      </c>
      <c r="I378" s="39" t="str">
        <f aca="false">IF(COUNTIF($A$5:A378,A378)&gt;1,"Duplicate","Unique")</f>
        <v>Unique</v>
      </c>
      <c r="J378" s="39" t="str">
        <f aca="false">IF(I378="Duplicate","Remove",IF(H378="Mismatch","Exclude","Keep"))</f>
        <v>Keep</v>
      </c>
    </row>
    <row r="379" customFormat="false" ht="15" hidden="false" customHeight="false" outlineLevel="0" collapsed="false">
      <c r="A379" s="39" t="s">
        <v>495</v>
      </c>
      <c r="B379" s="40" t="n">
        <v>45716</v>
      </c>
      <c r="C379" s="39" t="s">
        <v>130</v>
      </c>
      <c r="D379" s="39" t="n">
        <v>6</v>
      </c>
      <c r="E379" s="41" t="n">
        <v>8.53</v>
      </c>
      <c r="F379" s="39" t="s">
        <v>118</v>
      </c>
      <c r="G379" s="39" t="str">
        <f aca="false">UPPER(TRIM(C379))</f>
        <v>P011</v>
      </c>
      <c r="H379" s="39" t="str">
        <f aca="false">IF(ISNUMBER(MATCH(G379,Products!$A$5:$A$24,0)),"OK","Mismatch")</f>
        <v>OK</v>
      </c>
      <c r="I379" s="39" t="str">
        <f aca="false">IF(COUNTIF($A$5:A379,A379)&gt;1,"Duplicate","Unique")</f>
        <v>Unique</v>
      </c>
      <c r="J379" s="39" t="str">
        <f aca="false">IF(I379="Duplicate","Remove",IF(H379="Mismatch","Exclude","Keep"))</f>
        <v>Keep</v>
      </c>
    </row>
    <row r="380" customFormat="false" ht="15" hidden="false" customHeight="false" outlineLevel="0" collapsed="false">
      <c r="A380" s="39" t="s">
        <v>496</v>
      </c>
      <c r="B380" s="40" t="n">
        <v>45716</v>
      </c>
      <c r="C380" s="39" t="s">
        <v>104</v>
      </c>
      <c r="D380" s="39" t="n">
        <v>8</v>
      </c>
      <c r="E380" s="41" t="n">
        <v>15.54</v>
      </c>
      <c r="F380" s="39" t="s">
        <v>108</v>
      </c>
      <c r="G380" s="39" t="str">
        <f aca="false">UPPER(TRIM(C380))</f>
        <v>P015</v>
      </c>
      <c r="H380" s="39" t="str">
        <f aca="false">IF(ISNUMBER(MATCH(G380,Products!$A$5:$A$24,0)),"OK","Mismatch")</f>
        <v>OK</v>
      </c>
      <c r="I380" s="39" t="str">
        <f aca="false">IF(COUNTIF($A$5:A380,A380)&gt;1,"Duplicate","Unique")</f>
        <v>Unique</v>
      </c>
      <c r="J380" s="39" t="str">
        <f aca="false">IF(I380="Duplicate","Remove",IF(H380="Mismatch","Exclude","Keep"))</f>
        <v>Keep</v>
      </c>
    </row>
    <row r="381" customFormat="false" ht="15" hidden="false" customHeight="false" outlineLevel="0" collapsed="false">
      <c r="A381" s="39" t="s">
        <v>497</v>
      </c>
      <c r="B381" s="40" t="n">
        <v>45716</v>
      </c>
      <c r="C381" s="39" t="s">
        <v>162</v>
      </c>
      <c r="D381" s="39" t="n">
        <v>1</v>
      </c>
      <c r="E381" s="41" t="n">
        <v>66.45</v>
      </c>
      <c r="F381" s="39" t="s">
        <v>105</v>
      </c>
      <c r="G381" s="39" t="str">
        <f aca="false">UPPER(TRIM(C381))</f>
        <v>P017</v>
      </c>
      <c r="H381" s="39" t="str">
        <f aca="false">IF(ISNUMBER(MATCH(G381,Products!$A$5:$A$24,0)),"OK","Mismatch")</f>
        <v>OK</v>
      </c>
      <c r="I381" s="39" t="str">
        <f aca="false">IF(COUNTIF($A$5:A381,A381)&gt;1,"Duplicate","Unique")</f>
        <v>Unique</v>
      </c>
      <c r="J381" s="39" t="str">
        <f aca="false">IF(I381="Duplicate","Remove",IF(H381="Mismatch","Exclude","Keep"))</f>
        <v>Keep</v>
      </c>
    </row>
    <row r="382" customFormat="false" ht="15" hidden="false" customHeight="false" outlineLevel="0" collapsed="false">
      <c r="A382" s="39" t="s">
        <v>498</v>
      </c>
      <c r="B382" s="40" t="n">
        <v>45716</v>
      </c>
      <c r="C382" s="39" t="s">
        <v>139</v>
      </c>
      <c r="D382" s="39" t="n">
        <v>2</v>
      </c>
      <c r="E382" s="41" t="n">
        <v>125.49</v>
      </c>
      <c r="F382" s="39" t="s">
        <v>118</v>
      </c>
      <c r="G382" s="39" t="str">
        <f aca="false">UPPER(TRIM(C382))</f>
        <v>P006</v>
      </c>
      <c r="H382" s="39" t="str">
        <f aca="false">IF(ISNUMBER(MATCH(G382,Products!$A$5:$A$24,0)),"OK","Mismatch")</f>
        <v>OK</v>
      </c>
      <c r="I382" s="39" t="str">
        <f aca="false">IF(COUNTIF($A$5:A382,A382)&gt;1,"Duplicate","Unique")</f>
        <v>Unique</v>
      </c>
      <c r="J382" s="39" t="str">
        <f aca="false">IF(I382="Duplicate","Remove",IF(H382="Mismatch","Exclude","Keep"))</f>
        <v>Keep</v>
      </c>
    </row>
    <row r="383" customFormat="false" ht="15" hidden="false" customHeight="false" outlineLevel="0" collapsed="false">
      <c r="A383" s="39" t="s">
        <v>499</v>
      </c>
      <c r="B383" s="40" t="n">
        <v>45716</v>
      </c>
      <c r="C383" s="39" t="s">
        <v>183</v>
      </c>
      <c r="D383" s="39" t="n">
        <v>4</v>
      </c>
      <c r="E383" s="41" t="n">
        <v>179.37</v>
      </c>
      <c r="F383" s="39" t="s">
        <v>108</v>
      </c>
      <c r="G383" s="39" t="str">
        <f aca="false">UPPER(TRIM(C383))</f>
        <v>P007</v>
      </c>
      <c r="H383" s="39" t="str">
        <f aca="false">IF(ISNUMBER(MATCH(G383,Products!$A$5:$A$24,0)),"OK","Mismatch")</f>
        <v>OK</v>
      </c>
      <c r="I383" s="39" t="str">
        <f aca="false">IF(COUNTIF($A$5:A383,A383)&gt;1,"Duplicate","Unique")</f>
        <v>Unique</v>
      </c>
      <c r="J383" s="39" t="str">
        <f aca="false">IF(I383="Duplicate","Remove",IF(H383="Mismatch","Exclude","Keep"))</f>
        <v>Keep</v>
      </c>
    </row>
    <row r="384" customFormat="false" ht="15" hidden="false" customHeight="false" outlineLevel="0" collapsed="false">
      <c r="A384" s="39" t="s">
        <v>500</v>
      </c>
      <c r="B384" s="40" t="n">
        <v>45716</v>
      </c>
      <c r="C384" s="39" t="s">
        <v>130</v>
      </c>
      <c r="D384" s="39" t="n">
        <v>3</v>
      </c>
      <c r="E384" s="41" t="n">
        <v>8.52</v>
      </c>
      <c r="F384" s="39" t="s">
        <v>105</v>
      </c>
      <c r="G384" s="39" t="str">
        <f aca="false">UPPER(TRIM(C384))</f>
        <v>P011</v>
      </c>
      <c r="H384" s="39" t="str">
        <f aca="false">IF(ISNUMBER(MATCH(G384,Products!$A$5:$A$24,0)),"OK","Mismatch")</f>
        <v>OK</v>
      </c>
      <c r="I384" s="39" t="str">
        <f aca="false">IF(COUNTIF($A$5:A384,A384)&gt;1,"Duplicate","Unique")</f>
        <v>Unique</v>
      </c>
      <c r="J384" s="39" t="str">
        <f aca="false">IF(I384="Duplicate","Remove",IF(H384="Mismatch","Exclude","Keep"))</f>
        <v>Keep</v>
      </c>
    </row>
    <row r="385" customFormat="false" ht="15" hidden="false" customHeight="false" outlineLevel="0" collapsed="false">
      <c r="A385" s="39" t="s">
        <v>501</v>
      </c>
      <c r="B385" s="40" t="n">
        <v>45716</v>
      </c>
      <c r="C385" s="39" t="s">
        <v>126</v>
      </c>
      <c r="D385" s="39" t="n">
        <v>1</v>
      </c>
      <c r="E385" s="41" t="n">
        <v>23.58</v>
      </c>
      <c r="F385" s="39" t="s">
        <v>115</v>
      </c>
      <c r="G385" s="39" t="str">
        <f aca="false">UPPER(TRIM(C385))</f>
        <v>P001</v>
      </c>
      <c r="H385" s="39" t="str">
        <f aca="false">IF(ISNUMBER(MATCH(G385,Products!$A$5:$A$24,0)),"OK","Mismatch")</f>
        <v>OK</v>
      </c>
      <c r="I385" s="39" t="str">
        <f aca="false">IF(COUNTIF($A$5:A385,A385)&gt;1,"Duplicate","Unique")</f>
        <v>Unique</v>
      </c>
      <c r="J385" s="39" t="str">
        <f aca="false">IF(I385="Duplicate","Remove",IF(H385="Mismatch","Exclude","Keep"))</f>
        <v>Keep</v>
      </c>
    </row>
    <row r="386" customFormat="false" ht="15" hidden="false" customHeight="false" outlineLevel="0" collapsed="false">
      <c r="A386" s="39" t="s">
        <v>502</v>
      </c>
      <c r="B386" s="40" t="n">
        <v>45716</v>
      </c>
      <c r="C386" s="39" t="s">
        <v>104</v>
      </c>
      <c r="D386" s="39" t="n">
        <v>3</v>
      </c>
      <c r="E386" s="41" t="n">
        <v>15.22</v>
      </c>
      <c r="F386" s="39" t="s">
        <v>115</v>
      </c>
      <c r="G386" s="39" t="str">
        <f aca="false">UPPER(TRIM(C386))</f>
        <v>P015</v>
      </c>
      <c r="H386" s="39" t="str">
        <f aca="false">IF(ISNUMBER(MATCH(G386,Products!$A$5:$A$24,0)),"OK","Mismatch")</f>
        <v>OK</v>
      </c>
      <c r="I386" s="39" t="str">
        <f aca="false">IF(COUNTIF($A$5:A386,A386)&gt;1,"Duplicate","Unique")</f>
        <v>Unique</v>
      </c>
      <c r="J386" s="39" t="str">
        <f aca="false">IF(I386="Duplicate","Remove",IF(H386="Mismatch","Exclude","Keep"))</f>
        <v>Keep</v>
      </c>
    </row>
    <row r="387" customFormat="false" ht="15" hidden="false" customHeight="false" outlineLevel="0" collapsed="false">
      <c r="A387" s="39" t="s">
        <v>503</v>
      </c>
      <c r="B387" s="40" t="n">
        <v>45717</v>
      </c>
      <c r="C387" s="39" t="s">
        <v>130</v>
      </c>
      <c r="D387" s="39" t="n">
        <v>5</v>
      </c>
      <c r="E387" s="41" t="n">
        <v>8.75</v>
      </c>
      <c r="F387" s="39" t="s">
        <v>105</v>
      </c>
      <c r="G387" s="39" t="str">
        <f aca="false">UPPER(TRIM(C387))</f>
        <v>P011</v>
      </c>
      <c r="H387" s="39" t="str">
        <f aca="false">IF(ISNUMBER(MATCH(G387,Products!$A$5:$A$24,0)),"OK","Mismatch")</f>
        <v>OK</v>
      </c>
      <c r="I387" s="39" t="str">
        <f aca="false">IF(COUNTIF($A$5:A387,A387)&gt;1,"Duplicate","Unique")</f>
        <v>Unique</v>
      </c>
      <c r="J387" s="39" t="str">
        <f aca="false">IF(I387="Duplicate","Remove",IF(H387="Mismatch","Exclude","Keep"))</f>
        <v>Keep</v>
      </c>
    </row>
    <row r="388" customFormat="false" ht="15" hidden="false" customHeight="false" outlineLevel="0" collapsed="false">
      <c r="A388" s="39" t="s">
        <v>504</v>
      </c>
      <c r="B388" s="40" t="n">
        <v>45717</v>
      </c>
      <c r="C388" s="39" t="s">
        <v>114</v>
      </c>
      <c r="D388" s="39" t="n">
        <v>2</v>
      </c>
      <c r="E388" s="41" t="n">
        <v>5.62</v>
      </c>
      <c r="F388" s="39" t="s">
        <v>118</v>
      </c>
      <c r="G388" s="39" t="str">
        <f aca="false">UPPER(TRIM(C388))</f>
        <v>P012</v>
      </c>
      <c r="H388" s="39" t="str">
        <f aca="false">IF(ISNUMBER(MATCH(G388,Products!$A$5:$A$24,0)),"OK","Mismatch")</f>
        <v>OK</v>
      </c>
      <c r="I388" s="39" t="str">
        <f aca="false">IF(COUNTIF($A$5:A388,A388)&gt;1,"Duplicate","Unique")</f>
        <v>Unique</v>
      </c>
      <c r="J388" s="39" t="str">
        <f aca="false">IF(I388="Duplicate","Remove",IF(H388="Mismatch","Exclude","Keep"))</f>
        <v>Keep</v>
      </c>
    </row>
    <row r="389" customFormat="false" ht="15" hidden="false" customHeight="false" outlineLevel="0" collapsed="false">
      <c r="A389" s="39" t="s">
        <v>505</v>
      </c>
      <c r="B389" s="40" t="n">
        <v>45717</v>
      </c>
      <c r="C389" s="39" t="s">
        <v>305</v>
      </c>
      <c r="D389" s="39" t="n">
        <v>5</v>
      </c>
      <c r="E389" s="41" t="n">
        <v>327.29</v>
      </c>
      <c r="F389" s="39" t="s">
        <v>105</v>
      </c>
      <c r="G389" s="39" t="str">
        <f aca="false">UPPER(TRIM(C389))</f>
        <v>P008</v>
      </c>
      <c r="H389" s="39" t="str">
        <f aca="false">IF(ISNUMBER(MATCH(G389,Products!$A$5:$A$24,0)),"OK","Mismatch")</f>
        <v>OK</v>
      </c>
      <c r="I389" s="39" t="str">
        <f aca="false">IF(COUNTIF($A$5:A389,A389)&gt;1,"Duplicate","Unique")</f>
        <v>Unique</v>
      </c>
      <c r="J389" s="39" t="str">
        <f aca="false">IF(I389="Duplicate","Remove",IF(H389="Mismatch","Exclude","Keep"))</f>
        <v>Keep</v>
      </c>
    </row>
    <row r="390" customFormat="false" ht="15" hidden="false" customHeight="false" outlineLevel="0" collapsed="false">
      <c r="A390" s="39" t="s">
        <v>506</v>
      </c>
      <c r="B390" s="40" t="n">
        <v>45717</v>
      </c>
      <c r="C390" s="39" t="s">
        <v>121</v>
      </c>
      <c r="D390" s="39" t="n">
        <v>1</v>
      </c>
      <c r="E390" s="41" t="n">
        <v>113.11</v>
      </c>
      <c r="F390" s="39" t="s">
        <v>108</v>
      </c>
      <c r="G390" s="39" t="str">
        <f aca="false">UPPER(TRIM(C390))</f>
        <v>P018</v>
      </c>
      <c r="H390" s="39" t="str">
        <f aca="false">IF(ISNUMBER(MATCH(G390,Products!$A$5:$A$24,0)),"OK","Mismatch")</f>
        <v>OK</v>
      </c>
      <c r="I390" s="39" t="str">
        <f aca="false">IF(COUNTIF($A$5:A390,A390)&gt;1,"Duplicate","Unique")</f>
        <v>Unique</v>
      </c>
      <c r="J390" s="39" t="str">
        <f aca="false">IF(I390="Duplicate","Remove",IF(H390="Mismatch","Exclude","Keep"))</f>
        <v>Keep</v>
      </c>
    </row>
    <row r="391" customFormat="false" ht="15" hidden="false" customHeight="false" outlineLevel="0" collapsed="false">
      <c r="A391" s="39" t="s">
        <v>507</v>
      </c>
      <c r="B391" s="40" t="n">
        <v>45717</v>
      </c>
      <c r="C391" s="39" t="s">
        <v>121</v>
      </c>
      <c r="D391" s="39" t="n">
        <v>4</v>
      </c>
      <c r="E391" s="41" t="n">
        <v>114.64</v>
      </c>
      <c r="F391" s="39" t="s">
        <v>105</v>
      </c>
      <c r="G391" s="39" t="str">
        <f aca="false">UPPER(TRIM(C391))</f>
        <v>P018</v>
      </c>
      <c r="H391" s="39" t="str">
        <f aca="false">IF(ISNUMBER(MATCH(G391,Products!$A$5:$A$24,0)),"OK","Mismatch")</f>
        <v>OK</v>
      </c>
      <c r="I391" s="39" t="str">
        <f aca="false">IF(COUNTIF($A$5:A391,A391)&gt;1,"Duplicate","Unique")</f>
        <v>Unique</v>
      </c>
      <c r="J391" s="39" t="str">
        <f aca="false">IF(I391="Duplicate","Remove",IF(H391="Mismatch","Exclude","Keep"))</f>
        <v>Keep</v>
      </c>
    </row>
    <row r="392" customFormat="false" ht="15" hidden="false" customHeight="false" outlineLevel="0" collapsed="false">
      <c r="A392" s="39" t="s">
        <v>508</v>
      </c>
      <c r="B392" s="40" t="n">
        <v>45717</v>
      </c>
      <c r="C392" s="39" t="s">
        <v>110</v>
      </c>
      <c r="D392" s="39" t="n">
        <v>1</v>
      </c>
      <c r="E392" s="41" t="n">
        <v>13.19</v>
      </c>
      <c r="F392" s="39" t="s">
        <v>108</v>
      </c>
      <c r="G392" s="39" t="str">
        <f aca="false">UPPER(TRIM(C392))</f>
        <v>P016</v>
      </c>
      <c r="H392" s="39" t="str">
        <f aca="false">IF(ISNUMBER(MATCH(G392,Products!$A$5:$A$24,0)),"OK","Mismatch")</f>
        <v>OK</v>
      </c>
      <c r="I392" s="39" t="str">
        <f aca="false">IF(COUNTIF($A$5:A392,A392)&gt;1,"Duplicate","Unique")</f>
        <v>Unique</v>
      </c>
      <c r="J392" s="39" t="str">
        <f aca="false">IF(I392="Duplicate","Remove",IF(H392="Mismatch","Exclude","Keep"))</f>
        <v>Keep</v>
      </c>
    </row>
    <row r="393" customFormat="false" ht="15" hidden="false" customHeight="false" outlineLevel="0" collapsed="false">
      <c r="A393" s="39" t="s">
        <v>509</v>
      </c>
      <c r="B393" s="40" t="n">
        <v>45718</v>
      </c>
      <c r="C393" s="39" t="s">
        <v>112</v>
      </c>
      <c r="D393" s="39" t="n">
        <v>6</v>
      </c>
      <c r="E393" s="41" t="n">
        <v>52.95</v>
      </c>
      <c r="F393" s="39" t="s">
        <v>105</v>
      </c>
      <c r="G393" s="39" t="str">
        <f aca="false">UPPER(TRIM(C393))</f>
        <v>P005</v>
      </c>
      <c r="H393" s="39" t="str">
        <f aca="false">IF(ISNUMBER(MATCH(G393,Products!$A$5:$A$24,0)),"OK","Mismatch")</f>
        <v>OK</v>
      </c>
      <c r="I393" s="39" t="str">
        <f aca="false">IF(COUNTIF($A$5:A393,A393)&gt;1,"Duplicate","Unique")</f>
        <v>Unique</v>
      </c>
      <c r="J393" s="39" t="str">
        <f aca="false">IF(I393="Duplicate","Remove",IF(H393="Mismatch","Exclude","Keep"))</f>
        <v>Keep</v>
      </c>
    </row>
    <row r="394" customFormat="false" ht="15" hidden="false" customHeight="false" outlineLevel="0" collapsed="false">
      <c r="A394" s="39" t="s">
        <v>510</v>
      </c>
      <c r="B394" s="40" t="n">
        <v>45718</v>
      </c>
      <c r="C394" s="39" t="s">
        <v>104</v>
      </c>
      <c r="D394" s="39" t="n">
        <v>2</v>
      </c>
      <c r="E394" s="41" t="n">
        <v>15.61</v>
      </c>
      <c r="F394" s="39" t="s">
        <v>105</v>
      </c>
      <c r="G394" s="39" t="str">
        <f aca="false">UPPER(TRIM(C394))</f>
        <v>P015</v>
      </c>
      <c r="H394" s="39" t="str">
        <f aca="false">IF(ISNUMBER(MATCH(G394,Products!$A$5:$A$24,0)),"OK","Mismatch")</f>
        <v>OK</v>
      </c>
      <c r="I394" s="39" t="str">
        <f aca="false">IF(COUNTIF($A$5:A394,A394)&gt;1,"Duplicate","Unique")</f>
        <v>Unique</v>
      </c>
      <c r="J394" s="39" t="str">
        <f aca="false">IF(I394="Duplicate","Remove",IF(H394="Mismatch","Exclude","Keep"))</f>
        <v>Keep</v>
      </c>
    </row>
    <row r="395" customFormat="false" ht="15" hidden="false" customHeight="false" outlineLevel="0" collapsed="false">
      <c r="A395" s="39" t="s">
        <v>511</v>
      </c>
      <c r="B395" s="40" t="n">
        <v>45718</v>
      </c>
      <c r="C395" s="39" t="s">
        <v>126</v>
      </c>
      <c r="D395" s="39" t="n">
        <v>3</v>
      </c>
      <c r="E395" s="41" t="n">
        <v>23.08</v>
      </c>
      <c r="F395" s="39" t="s">
        <v>115</v>
      </c>
      <c r="G395" s="39" t="str">
        <f aca="false">UPPER(TRIM(C395))</f>
        <v>P001</v>
      </c>
      <c r="H395" s="39" t="str">
        <f aca="false">IF(ISNUMBER(MATCH(G395,Products!$A$5:$A$24,0)),"OK","Mismatch")</f>
        <v>OK</v>
      </c>
      <c r="I395" s="39" t="str">
        <f aca="false">IF(COUNTIF($A$5:A395,A395)&gt;1,"Duplicate","Unique")</f>
        <v>Unique</v>
      </c>
      <c r="J395" s="39" t="str">
        <f aca="false">IF(I395="Duplicate","Remove",IF(H395="Mismatch","Exclude","Keep"))</f>
        <v>Keep</v>
      </c>
    </row>
    <row r="396" customFormat="false" ht="15" hidden="false" customHeight="false" outlineLevel="0" collapsed="false">
      <c r="A396" s="39" t="s">
        <v>512</v>
      </c>
      <c r="B396" s="40" t="n">
        <v>45718</v>
      </c>
      <c r="C396" s="39" t="s">
        <v>130</v>
      </c>
      <c r="D396" s="39" t="n">
        <v>1</v>
      </c>
      <c r="E396" s="41" t="n">
        <v>8.64</v>
      </c>
      <c r="F396" s="39" t="s">
        <v>108</v>
      </c>
      <c r="G396" s="39" t="str">
        <f aca="false">UPPER(TRIM(C396))</f>
        <v>P011</v>
      </c>
      <c r="H396" s="39" t="str">
        <f aca="false">IF(ISNUMBER(MATCH(G396,Products!$A$5:$A$24,0)),"OK","Mismatch")</f>
        <v>OK</v>
      </c>
      <c r="I396" s="39" t="str">
        <f aca="false">IF(COUNTIF($A$5:A396,A396)&gt;1,"Duplicate","Unique")</f>
        <v>Unique</v>
      </c>
      <c r="J396" s="39" t="str">
        <f aca="false">IF(I396="Duplicate","Remove",IF(H396="Mismatch","Exclude","Keep"))</f>
        <v>Keep</v>
      </c>
    </row>
    <row r="397" customFormat="false" ht="15" hidden="false" customHeight="false" outlineLevel="0" collapsed="false">
      <c r="A397" s="39" t="s">
        <v>513</v>
      </c>
      <c r="B397" s="40" t="n">
        <v>45718</v>
      </c>
      <c r="C397" s="39" t="s">
        <v>104</v>
      </c>
      <c r="D397" s="39" t="n">
        <v>3</v>
      </c>
      <c r="E397" s="41" t="n">
        <v>15.86</v>
      </c>
      <c r="F397" s="39" t="s">
        <v>108</v>
      </c>
      <c r="G397" s="39" t="str">
        <f aca="false">UPPER(TRIM(C397))</f>
        <v>P015</v>
      </c>
      <c r="H397" s="39" t="str">
        <f aca="false">IF(ISNUMBER(MATCH(G397,Products!$A$5:$A$24,0)),"OK","Mismatch")</f>
        <v>OK</v>
      </c>
      <c r="I397" s="39" t="str">
        <f aca="false">IF(COUNTIF($A$5:A397,A397)&gt;1,"Duplicate","Unique")</f>
        <v>Unique</v>
      </c>
      <c r="J397" s="39" t="str">
        <f aca="false">IF(I397="Duplicate","Remove",IF(H397="Mismatch","Exclude","Keep"))</f>
        <v>Keep</v>
      </c>
    </row>
    <row r="398" customFormat="false" ht="15" hidden="false" customHeight="false" outlineLevel="0" collapsed="false">
      <c r="A398" s="39" t="s">
        <v>514</v>
      </c>
      <c r="B398" s="40" t="n">
        <v>45718</v>
      </c>
      <c r="C398" s="39" t="s">
        <v>114</v>
      </c>
      <c r="D398" s="39" t="n">
        <v>2</v>
      </c>
      <c r="E398" s="41" t="n">
        <v>5.93</v>
      </c>
      <c r="F398" s="39" t="s">
        <v>118</v>
      </c>
      <c r="G398" s="39" t="str">
        <f aca="false">UPPER(TRIM(C398))</f>
        <v>P012</v>
      </c>
      <c r="H398" s="39" t="str">
        <f aca="false">IF(ISNUMBER(MATCH(G398,Products!$A$5:$A$24,0)),"OK","Mismatch")</f>
        <v>OK</v>
      </c>
      <c r="I398" s="39" t="str">
        <f aca="false">IF(COUNTIF($A$5:A398,A398)&gt;1,"Duplicate","Unique")</f>
        <v>Unique</v>
      </c>
      <c r="J398" s="39" t="str">
        <f aca="false">IF(I398="Duplicate","Remove",IF(H398="Mismatch","Exclude","Keep"))</f>
        <v>Keep</v>
      </c>
    </row>
    <row r="399" customFormat="false" ht="15" hidden="false" customHeight="false" outlineLevel="0" collapsed="false">
      <c r="A399" s="39" t="s">
        <v>515</v>
      </c>
      <c r="B399" s="40" t="n">
        <v>45718</v>
      </c>
      <c r="C399" s="39" t="s">
        <v>104</v>
      </c>
      <c r="D399" s="39" t="n">
        <v>1</v>
      </c>
      <c r="E399" s="41" t="n">
        <v>15.27</v>
      </c>
      <c r="F399" s="39" t="s">
        <v>118</v>
      </c>
      <c r="G399" s="39" t="str">
        <f aca="false">UPPER(TRIM(C399))</f>
        <v>P015</v>
      </c>
      <c r="H399" s="39" t="str">
        <f aca="false">IF(ISNUMBER(MATCH(G399,Products!$A$5:$A$24,0)),"OK","Mismatch")</f>
        <v>OK</v>
      </c>
      <c r="I399" s="39" t="str">
        <f aca="false">IF(COUNTIF($A$5:A399,A399)&gt;1,"Duplicate","Unique")</f>
        <v>Unique</v>
      </c>
      <c r="J399" s="39" t="str">
        <f aca="false">IF(I399="Duplicate","Remove",IF(H399="Mismatch","Exclude","Keep"))</f>
        <v>Keep</v>
      </c>
    </row>
    <row r="400" customFormat="false" ht="15" hidden="false" customHeight="false" outlineLevel="0" collapsed="false">
      <c r="A400" s="39" t="s">
        <v>516</v>
      </c>
      <c r="B400" s="40" t="n">
        <v>45719</v>
      </c>
      <c r="C400" s="39" t="s">
        <v>133</v>
      </c>
      <c r="D400" s="39" t="n">
        <v>1</v>
      </c>
      <c r="E400" s="41" t="n">
        <v>8.91</v>
      </c>
      <c r="F400" s="39" t="s">
        <v>105</v>
      </c>
      <c r="G400" s="39" t="str">
        <f aca="false">UPPER(TRIM(C400))</f>
        <v>P019</v>
      </c>
      <c r="H400" s="39" t="str">
        <f aca="false">IF(ISNUMBER(MATCH(G400,Products!$A$5:$A$24,0)),"OK","Mismatch")</f>
        <v>OK</v>
      </c>
      <c r="I400" s="39" t="str">
        <f aca="false">IF(COUNTIF($A$5:A400,A400)&gt;1,"Duplicate","Unique")</f>
        <v>Unique</v>
      </c>
      <c r="J400" s="39" t="str">
        <f aca="false">IF(I400="Duplicate","Remove",IF(H400="Mismatch","Exclude","Keep"))</f>
        <v>Keep</v>
      </c>
    </row>
    <row r="401" customFormat="false" ht="15" hidden="false" customHeight="false" outlineLevel="0" collapsed="false">
      <c r="A401" s="39" t="s">
        <v>517</v>
      </c>
      <c r="B401" s="40" t="n">
        <v>45719</v>
      </c>
      <c r="C401" s="39" t="s">
        <v>117</v>
      </c>
      <c r="D401" s="39" t="n">
        <v>2</v>
      </c>
      <c r="E401" s="41" t="n">
        <v>31.09</v>
      </c>
      <c r="F401" s="39" t="s">
        <v>115</v>
      </c>
      <c r="G401" s="39" t="str">
        <f aca="false">UPPER(TRIM(C401))</f>
        <v>P009</v>
      </c>
      <c r="H401" s="39" t="str">
        <f aca="false">IF(ISNUMBER(MATCH(G401,Products!$A$5:$A$24,0)),"OK","Mismatch")</f>
        <v>OK</v>
      </c>
      <c r="I401" s="39" t="str">
        <f aca="false">IF(COUNTIF($A$5:A401,A401)&gt;1,"Duplicate","Unique")</f>
        <v>Unique</v>
      </c>
      <c r="J401" s="39" t="str">
        <f aca="false">IF(I401="Duplicate","Remove",IF(H401="Mismatch","Exclude","Keep"))</f>
        <v>Keep</v>
      </c>
    </row>
    <row r="402" customFormat="false" ht="15" hidden="false" customHeight="false" outlineLevel="0" collapsed="false">
      <c r="A402" s="39" t="s">
        <v>518</v>
      </c>
      <c r="B402" s="40" t="n">
        <v>45719</v>
      </c>
      <c r="C402" s="39" t="s">
        <v>117</v>
      </c>
      <c r="D402" s="39" t="n">
        <v>3</v>
      </c>
      <c r="E402" s="41" t="n">
        <v>30.83</v>
      </c>
      <c r="F402" s="39" t="s">
        <v>108</v>
      </c>
      <c r="G402" s="39" t="str">
        <f aca="false">UPPER(TRIM(C402))</f>
        <v>P009</v>
      </c>
      <c r="H402" s="39" t="str">
        <f aca="false">IF(ISNUMBER(MATCH(G402,Products!$A$5:$A$24,0)),"OK","Mismatch")</f>
        <v>OK</v>
      </c>
      <c r="I402" s="39" t="str">
        <f aca="false">IF(COUNTIF($A$5:A402,A402)&gt;1,"Duplicate","Unique")</f>
        <v>Unique</v>
      </c>
      <c r="J402" s="39" t="str">
        <f aca="false">IF(I402="Duplicate","Remove",IF(H402="Mismatch","Exclude","Keep"))</f>
        <v>Keep</v>
      </c>
    </row>
    <row r="403" customFormat="false" ht="15" hidden="false" customHeight="false" outlineLevel="0" collapsed="false">
      <c r="A403" s="39" t="s">
        <v>519</v>
      </c>
      <c r="B403" s="40" t="n">
        <v>45719</v>
      </c>
      <c r="C403" s="39" t="s">
        <v>107</v>
      </c>
      <c r="D403" s="39" t="n">
        <v>1</v>
      </c>
      <c r="E403" s="41" t="n">
        <v>34.25</v>
      </c>
      <c r="F403" s="39" t="s">
        <v>115</v>
      </c>
      <c r="G403" s="39" t="str">
        <f aca="false">UPPER(TRIM(C403))</f>
        <v>P003</v>
      </c>
      <c r="H403" s="39" t="str">
        <f aca="false">IF(ISNUMBER(MATCH(G403,Products!$A$5:$A$24,0)),"OK","Mismatch")</f>
        <v>OK</v>
      </c>
      <c r="I403" s="39" t="str">
        <f aca="false">IF(COUNTIF($A$5:A403,A403)&gt;1,"Duplicate","Unique")</f>
        <v>Unique</v>
      </c>
      <c r="J403" s="39" t="str">
        <f aca="false">IF(I403="Duplicate","Remove",IF(H403="Mismatch","Exclude","Keep"))</f>
        <v>Keep</v>
      </c>
    </row>
    <row r="404" customFormat="false" ht="15" hidden="false" customHeight="false" outlineLevel="0" collapsed="false">
      <c r="A404" s="39" t="s">
        <v>520</v>
      </c>
      <c r="B404" s="40" t="n">
        <v>45719</v>
      </c>
      <c r="C404" s="39" t="s">
        <v>177</v>
      </c>
      <c r="D404" s="39" t="n">
        <v>2</v>
      </c>
      <c r="E404" s="41" t="n">
        <v>42.56</v>
      </c>
      <c r="F404" s="39" t="s">
        <v>115</v>
      </c>
      <c r="G404" s="39" t="str">
        <f aca="false">UPPER(TRIM(C404))</f>
        <v>P014</v>
      </c>
      <c r="H404" s="39" t="str">
        <f aca="false">IF(ISNUMBER(MATCH(G404,Products!$A$5:$A$24,0)),"OK","Mismatch")</f>
        <v>OK</v>
      </c>
      <c r="I404" s="39" t="str">
        <f aca="false">IF(COUNTIF($A$5:A404,A404)&gt;1,"Duplicate","Unique")</f>
        <v>Unique</v>
      </c>
      <c r="J404" s="39" t="str">
        <f aca="false">IF(I404="Duplicate","Remove",IF(H404="Mismatch","Exclude","Keep"))</f>
        <v>Keep</v>
      </c>
    </row>
    <row r="405" customFormat="false" ht="15" hidden="false" customHeight="false" outlineLevel="0" collapsed="false">
      <c r="A405" s="39" t="s">
        <v>521</v>
      </c>
      <c r="B405" s="40" t="n">
        <v>45719</v>
      </c>
      <c r="C405" s="39" t="s">
        <v>162</v>
      </c>
      <c r="D405" s="39" t="n">
        <v>1</v>
      </c>
      <c r="E405" s="41" t="n">
        <v>68.9</v>
      </c>
      <c r="F405" s="39" t="s">
        <v>108</v>
      </c>
      <c r="G405" s="39" t="str">
        <f aca="false">UPPER(TRIM(C405))</f>
        <v>P017</v>
      </c>
      <c r="H405" s="39" t="str">
        <f aca="false">IF(ISNUMBER(MATCH(G405,Products!$A$5:$A$24,0)),"OK","Mismatch")</f>
        <v>OK</v>
      </c>
      <c r="I405" s="39" t="str">
        <f aca="false">IF(COUNTIF($A$5:A405,A405)&gt;1,"Duplicate","Unique")</f>
        <v>Unique</v>
      </c>
      <c r="J405" s="39" t="str">
        <f aca="false">IF(I405="Duplicate","Remove",IF(H405="Mismatch","Exclude","Keep"))</f>
        <v>Keep</v>
      </c>
    </row>
    <row r="406" customFormat="false" ht="15" hidden="false" customHeight="false" outlineLevel="0" collapsed="false">
      <c r="A406" s="39" t="s">
        <v>522</v>
      </c>
      <c r="B406" s="40" t="n">
        <v>45719</v>
      </c>
      <c r="C406" s="39" t="s">
        <v>107</v>
      </c>
      <c r="D406" s="39" t="n">
        <v>1</v>
      </c>
      <c r="E406" s="41" t="n">
        <v>33.93</v>
      </c>
      <c r="F406" s="39" t="s">
        <v>115</v>
      </c>
      <c r="G406" s="39" t="str">
        <f aca="false">UPPER(TRIM(C406))</f>
        <v>P003</v>
      </c>
      <c r="H406" s="39" t="str">
        <f aca="false">IF(ISNUMBER(MATCH(G406,Products!$A$5:$A$24,0)),"OK","Mismatch")</f>
        <v>OK</v>
      </c>
      <c r="I406" s="39" t="str">
        <f aca="false">IF(COUNTIF($A$5:A406,A406)&gt;1,"Duplicate","Unique")</f>
        <v>Unique</v>
      </c>
      <c r="J406" s="39" t="str">
        <f aca="false">IF(I406="Duplicate","Remove",IF(H406="Mismatch","Exclude","Keep"))</f>
        <v>Keep</v>
      </c>
    </row>
    <row r="407" customFormat="false" ht="15" hidden="false" customHeight="false" outlineLevel="0" collapsed="false">
      <c r="A407" s="39" t="s">
        <v>523</v>
      </c>
      <c r="B407" s="40" t="n">
        <v>45719</v>
      </c>
      <c r="C407" s="39" t="s">
        <v>107</v>
      </c>
      <c r="D407" s="39" t="n">
        <v>2</v>
      </c>
      <c r="E407" s="41" t="n">
        <v>34.63</v>
      </c>
      <c r="F407" s="39" t="s">
        <v>105</v>
      </c>
      <c r="G407" s="39" t="str">
        <f aca="false">UPPER(TRIM(C407))</f>
        <v>P003</v>
      </c>
      <c r="H407" s="39" t="str">
        <f aca="false">IF(ISNUMBER(MATCH(G407,Products!$A$5:$A$24,0)),"OK","Mismatch")</f>
        <v>OK</v>
      </c>
      <c r="I407" s="39" t="str">
        <f aca="false">IF(COUNTIF($A$5:A407,A407)&gt;1,"Duplicate","Unique")</f>
        <v>Unique</v>
      </c>
      <c r="J407" s="39" t="str">
        <f aca="false">IF(I407="Duplicate","Remove",IF(H407="Mismatch","Exclude","Keep"))</f>
        <v>Keep</v>
      </c>
    </row>
    <row r="408" customFormat="false" ht="15" hidden="false" customHeight="false" outlineLevel="0" collapsed="false">
      <c r="A408" s="39" t="s">
        <v>524</v>
      </c>
      <c r="B408" s="40" t="n">
        <v>45720</v>
      </c>
      <c r="C408" s="39" t="s">
        <v>153</v>
      </c>
      <c r="D408" s="39" t="n">
        <v>3</v>
      </c>
      <c r="E408" s="41" t="n">
        <v>178.78</v>
      </c>
      <c r="F408" s="39" t="s">
        <v>118</v>
      </c>
      <c r="G408" s="39" t="str">
        <f aca="false">UPPER(TRIM(C408))</f>
        <v>P010</v>
      </c>
      <c r="H408" s="39" t="str">
        <f aca="false">IF(ISNUMBER(MATCH(G408,Products!$A$5:$A$24,0)),"OK","Mismatch")</f>
        <v>OK</v>
      </c>
      <c r="I408" s="39" t="str">
        <f aca="false">IF(COUNTIF($A$5:A408,A408)&gt;1,"Duplicate","Unique")</f>
        <v>Unique</v>
      </c>
      <c r="J408" s="39" t="str">
        <f aca="false">IF(I408="Duplicate","Remove",IF(H408="Mismatch","Exclude","Keep"))</f>
        <v>Keep</v>
      </c>
    </row>
    <row r="409" customFormat="false" ht="15" hidden="false" customHeight="false" outlineLevel="0" collapsed="false">
      <c r="A409" s="39" t="s">
        <v>525</v>
      </c>
      <c r="B409" s="40" t="n">
        <v>45720</v>
      </c>
      <c r="C409" s="39" t="s">
        <v>177</v>
      </c>
      <c r="D409" s="39" t="n">
        <v>2</v>
      </c>
      <c r="E409" s="41" t="n">
        <v>42.53</v>
      </c>
      <c r="F409" s="39" t="s">
        <v>115</v>
      </c>
      <c r="G409" s="39" t="str">
        <f aca="false">UPPER(TRIM(C409))</f>
        <v>P014</v>
      </c>
      <c r="H409" s="39" t="str">
        <f aca="false">IF(ISNUMBER(MATCH(G409,Products!$A$5:$A$24,0)),"OK","Mismatch")</f>
        <v>OK</v>
      </c>
      <c r="I409" s="39" t="str">
        <f aca="false">IF(COUNTIF($A$5:A409,A409)&gt;1,"Duplicate","Unique")</f>
        <v>Unique</v>
      </c>
      <c r="J409" s="39" t="str">
        <f aca="false">IF(I409="Duplicate","Remove",IF(H409="Mismatch","Exclude","Keep"))</f>
        <v>Keep</v>
      </c>
    </row>
    <row r="410" customFormat="false" ht="15" hidden="false" customHeight="false" outlineLevel="0" collapsed="false">
      <c r="A410" s="39" t="s">
        <v>526</v>
      </c>
      <c r="B410" s="40" t="n">
        <v>45720</v>
      </c>
      <c r="C410" s="39" t="s">
        <v>144</v>
      </c>
      <c r="D410" s="39" t="n">
        <v>3</v>
      </c>
      <c r="E410" s="41" t="n">
        <v>56.87</v>
      </c>
      <c r="F410" s="39" t="s">
        <v>108</v>
      </c>
      <c r="G410" s="39" t="str">
        <f aca="false">UPPER(TRIM(C410))</f>
        <v>P013</v>
      </c>
      <c r="H410" s="39" t="str">
        <f aca="false">IF(ISNUMBER(MATCH(G410,Products!$A$5:$A$24,0)),"OK","Mismatch")</f>
        <v>OK</v>
      </c>
      <c r="I410" s="39" t="str">
        <f aca="false">IF(COUNTIF($A$5:A410,A410)&gt;1,"Duplicate","Unique")</f>
        <v>Unique</v>
      </c>
      <c r="J410" s="39" t="str">
        <f aca="false">IF(I410="Duplicate","Remove",IF(H410="Mismatch","Exclude","Keep"))</f>
        <v>Keep</v>
      </c>
    </row>
    <row r="411" customFormat="false" ht="15" hidden="false" customHeight="false" outlineLevel="0" collapsed="false">
      <c r="A411" s="39" t="s">
        <v>527</v>
      </c>
      <c r="B411" s="40" t="n">
        <v>45720</v>
      </c>
      <c r="C411" s="39" t="s">
        <v>110</v>
      </c>
      <c r="D411" s="39" t="n">
        <v>6</v>
      </c>
      <c r="E411" s="41" t="n">
        <v>13.66</v>
      </c>
      <c r="F411" s="39" t="s">
        <v>105</v>
      </c>
      <c r="G411" s="39" t="str">
        <f aca="false">UPPER(TRIM(C411))</f>
        <v>P016</v>
      </c>
      <c r="H411" s="39" t="str">
        <f aca="false">IF(ISNUMBER(MATCH(G411,Products!$A$5:$A$24,0)),"OK","Mismatch")</f>
        <v>OK</v>
      </c>
      <c r="I411" s="39" t="str">
        <f aca="false">IF(COUNTIF($A$5:A411,A411)&gt;1,"Duplicate","Unique")</f>
        <v>Unique</v>
      </c>
      <c r="J411" s="39" t="str">
        <f aca="false">IF(I411="Duplicate","Remove",IF(H411="Mismatch","Exclude","Keep"))</f>
        <v>Keep</v>
      </c>
    </row>
    <row r="412" customFormat="false" ht="15" hidden="false" customHeight="false" outlineLevel="0" collapsed="false">
      <c r="A412" s="39" t="s">
        <v>528</v>
      </c>
      <c r="B412" s="40" t="n">
        <v>45720</v>
      </c>
      <c r="C412" s="39" t="s">
        <v>133</v>
      </c>
      <c r="D412" s="39" t="n">
        <v>2</v>
      </c>
      <c r="E412" s="41" t="n">
        <v>8.3</v>
      </c>
      <c r="F412" s="39" t="s">
        <v>108</v>
      </c>
      <c r="G412" s="39" t="str">
        <f aca="false">UPPER(TRIM(C412))</f>
        <v>P019</v>
      </c>
      <c r="H412" s="39" t="str">
        <f aca="false">IF(ISNUMBER(MATCH(G412,Products!$A$5:$A$24,0)),"OK","Mismatch")</f>
        <v>OK</v>
      </c>
      <c r="I412" s="39" t="str">
        <f aca="false">IF(COUNTIF($A$5:A412,A412)&gt;1,"Duplicate","Unique")</f>
        <v>Unique</v>
      </c>
      <c r="J412" s="39" t="str">
        <f aca="false">IF(I412="Duplicate","Remove",IF(H412="Mismatch","Exclude","Keep"))</f>
        <v>Keep</v>
      </c>
    </row>
    <row r="413" customFormat="false" ht="15" hidden="false" customHeight="false" outlineLevel="0" collapsed="false">
      <c r="A413" s="39" t="s">
        <v>529</v>
      </c>
      <c r="B413" s="40" t="n">
        <v>45720</v>
      </c>
      <c r="C413" s="39" t="s">
        <v>169</v>
      </c>
      <c r="D413" s="39" t="n">
        <v>1</v>
      </c>
      <c r="E413" s="41" t="n">
        <v>28.88</v>
      </c>
      <c r="F413" s="39" t="s">
        <v>115</v>
      </c>
      <c r="G413" s="39" t="str">
        <f aca="false">UPPER(TRIM(C413))</f>
        <v>P004</v>
      </c>
      <c r="H413" s="39" t="str">
        <f aca="false">IF(ISNUMBER(MATCH(G413,Products!$A$5:$A$24,0)),"OK","Mismatch")</f>
        <v>OK</v>
      </c>
      <c r="I413" s="39" t="str">
        <f aca="false">IF(COUNTIF($A$5:A413,A413)&gt;1,"Duplicate","Unique")</f>
        <v>Unique</v>
      </c>
      <c r="J413" s="39" t="str">
        <f aca="false">IF(I413="Duplicate","Remove",IF(H413="Mismatch","Exclude","Keep"))</f>
        <v>Keep</v>
      </c>
    </row>
    <row r="414" customFormat="false" ht="15" hidden="false" customHeight="false" outlineLevel="0" collapsed="false">
      <c r="A414" s="39" t="s">
        <v>530</v>
      </c>
      <c r="B414" s="40" t="n">
        <v>45720</v>
      </c>
      <c r="C414" s="39" t="s">
        <v>305</v>
      </c>
      <c r="D414" s="39" t="n">
        <v>2</v>
      </c>
      <c r="E414" s="41" t="n">
        <v>330.88</v>
      </c>
      <c r="F414" s="39" t="s">
        <v>118</v>
      </c>
      <c r="G414" s="39" t="str">
        <f aca="false">UPPER(TRIM(C414))</f>
        <v>P008</v>
      </c>
      <c r="H414" s="39" t="str">
        <f aca="false">IF(ISNUMBER(MATCH(G414,Products!$A$5:$A$24,0)),"OK","Mismatch")</f>
        <v>OK</v>
      </c>
      <c r="I414" s="39" t="str">
        <f aca="false">IF(COUNTIF($A$5:A414,A414)&gt;1,"Duplicate","Unique")</f>
        <v>Unique</v>
      </c>
      <c r="J414" s="39" t="str">
        <f aca="false">IF(I414="Duplicate","Remove",IF(H414="Mismatch","Exclude","Keep"))</f>
        <v>Keep</v>
      </c>
    </row>
    <row r="415" customFormat="false" ht="15" hidden="false" customHeight="false" outlineLevel="0" collapsed="false">
      <c r="A415" s="39" t="s">
        <v>531</v>
      </c>
      <c r="B415" s="40" t="n">
        <v>45720</v>
      </c>
      <c r="C415" s="39" t="s">
        <v>133</v>
      </c>
      <c r="D415" s="39" t="n">
        <v>1</v>
      </c>
      <c r="E415" s="41" t="n">
        <v>8.52</v>
      </c>
      <c r="F415" s="39" t="s">
        <v>108</v>
      </c>
      <c r="G415" s="39" t="str">
        <f aca="false">UPPER(TRIM(C415))</f>
        <v>P019</v>
      </c>
      <c r="H415" s="39" t="str">
        <f aca="false">IF(ISNUMBER(MATCH(G415,Products!$A$5:$A$24,0)),"OK","Mismatch")</f>
        <v>OK</v>
      </c>
      <c r="I415" s="39" t="str">
        <f aca="false">IF(COUNTIF($A$5:A415,A415)&gt;1,"Duplicate","Unique")</f>
        <v>Unique</v>
      </c>
      <c r="J415" s="39" t="str">
        <f aca="false">IF(I415="Duplicate","Remove",IF(H415="Mismatch","Exclude","Keep"))</f>
        <v>Keep</v>
      </c>
    </row>
    <row r="416" customFormat="false" ht="15" hidden="false" customHeight="false" outlineLevel="0" collapsed="false">
      <c r="A416" s="39" t="s">
        <v>532</v>
      </c>
      <c r="B416" s="40" t="n">
        <v>45720</v>
      </c>
      <c r="C416" s="39" t="s">
        <v>153</v>
      </c>
      <c r="D416" s="39" t="n">
        <v>2</v>
      </c>
      <c r="E416" s="41" t="n">
        <v>165.89</v>
      </c>
      <c r="F416" s="39" t="s">
        <v>115</v>
      </c>
      <c r="G416" s="39" t="str">
        <f aca="false">UPPER(TRIM(C416))</f>
        <v>P010</v>
      </c>
      <c r="H416" s="39" t="str">
        <f aca="false">IF(ISNUMBER(MATCH(G416,Products!$A$5:$A$24,0)),"OK","Mismatch")</f>
        <v>OK</v>
      </c>
      <c r="I416" s="39" t="str">
        <f aca="false">IF(COUNTIF($A$5:A416,A416)&gt;1,"Duplicate","Unique")</f>
        <v>Unique</v>
      </c>
      <c r="J416" s="39" t="str">
        <f aca="false">IF(I416="Duplicate","Remove",IF(H416="Mismatch","Exclude","Keep"))</f>
        <v>Keep</v>
      </c>
    </row>
    <row r="417" customFormat="false" ht="15" hidden="false" customHeight="false" outlineLevel="0" collapsed="false">
      <c r="A417" s="39" t="s">
        <v>533</v>
      </c>
      <c r="B417" s="40" t="n">
        <v>45720</v>
      </c>
      <c r="C417" s="39" t="s">
        <v>104</v>
      </c>
      <c r="D417" s="39" t="n">
        <v>8</v>
      </c>
      <c r="E417" s="41" t="n">
        <v>15.3</v>
      </c>
      <c r="F417" s="39" t="s">
        <v>108</v>
      </c>
      <c r="G417" s="39" t="str">
        <f aca="false">UPPER(TRIM(C417))</f>
        <v>P015</v>
      </c>
      <c r="H417" s="39" t="str">
        <f aca="false">IF(ISNUMBER(MATCH(G417,Products!$A$5:$A$24,0)),"OK","Mismatch")</f>
        <v>OK</v>
      </c>
      <c r="I417" s="39" t="str">
        <f aca="false">IF(COUNTIF($A$5:A417,A417)&gt;1,"Duplicate","Unique")</f>
        <v>Unique</v>
      </c>
      <c r="J417" s="39" t="str">
        <f aca="false">IF(I417="Duplicate","Remove",IF(H417="Mismatch","Exclude","Keep"))</f>
        <v>Keep</v>
      </c>
    </row>
    <row r="418" customFormat="false" ht="15" hidden="false" customHeight="false" outlineLevel="0" collapsed="false">
      <c r="A418" s="39" t="s">
        <v>534</v>
      </c>
      <c r="B418" s="40" t="n">
        <v>45720</v>
      </c>
      <c r="C418" s="39" t="s">
        <v>183</v>
      </c>
      <c r="D418" s="39" t="n">
        <v>3</v>
      </c>
      <c r="E418" s="41" t="n">
        <v>178.43</v>
      </c>
      <c r="F418" s="39" t="s">
        <v>108</v>
      </c>
      <c r="G418" s="39" t="str">
        <f aca="false">UPPER(TRIM(C418))</f>
        <v>P007</v>
      </c>
      <c r="H418" s="39" t="str">
        <f aca="false">IF(ISNUMBER(MATCH(G418,Products!$A$5:$A$24,0)),"OK","Mismatch")</f>
        <v>OK</v>
      </c>
      <c r="I418" s="39" t="str">
        <f aca="false">IF(COUNTIF($A$5:A418,A418)&gt;1,"Duplicate","Unique")</f>
        <v>Unique</v>
      </c>
      <c r="J418" s="39" t="str">
        <f aca="false">IF(I418="Duplicate","Remove",IF(H418="Mismatch","Exclude","Keep"))</f>
        <v>Keep</v>
      </c>
    </row>
    <row r="419" customFormat="false" ht="15" hidden="false" customHeight="false" outlineLevel="0" collapsed="false">
      <c r="A419" s="39" t="s">
        <v>535</v>
      </c>
      <c r="B419" s="40" t="n">
        <v>45720</v>
      </c>
      <c r="C419" s="39" t="s">
        <v>136</v>
      </c>
      <c r="D419" s="39" t="n">
        <v>2</v>
      </c>
      <c r="E419" s="41" t="n">
        <v>76.71</v>
      </c>
      <c r="F419" s="39" t="s">
        <v>105</v>
      </c>
      <c r="G419" s="39" t="str">
        <f aca="false">UPPER(TRIM(C419))</f>
        <v>P002</v>
      </c>
      <c r="H419" s="39" t="str">
        <f aca="false">IF(ISNUMBER(MATCH(G419,Products!$A$5:$A$24,0)),"OK","Mismatch")</f>
        <v>OK</v>
      </c>
      <c r="I419" s="39" t="str">
        <f aca="false">IF(COUNTIF($A$5:A419,A419)&gt;1,"Duplicate","Unique")</f>
        <v>Unique</v>
      </c>
      <c r="J419" s="39" t="str">
        <f aca="false">IF(I419="Duplicate","Remove",IF(H419="Mismatch","Exclude","Keep"))</f>
        <v>Keep</v>
      </c>
    </row>
    <row r="420" customFormat="false" ht="15" hidden="false" customHeight="false" outlineLevel="0" collapsed="false">
      <c r="A420" s="39" t="s">
        <v>536</v>
      </c>
      <c r="B420" s="40" t="n">
        <v>45720</v>
      </c>
      <c r="C420" s="39" t="s">
        <v>130</v>
      </c>
      <c r="D420" s="39" t="n">
        <v>5</v>
      </c>
      <c r="E420" s="41" t="n">
        <v>8.31</v>
      </c>
      <c r="F420" s="39" t="s">
        <v>118</v>
      </c>
      <c r="G420" s="39" t="str">
        <f aca="false">UPPER(TRIM(C420))</f>
        <v>P011</v>
      </c>
      <c r="H420" s="39" t="str">
        <f aca="false">IF(ISNUMBER(MATCH(G420,Products!$A$5:$A$24,0)),"OK","Mismatch")</f>
        <v>OK</v>
      </c>
      <c r="I420" s="39" t="str">
        <f aca="false">IF(COUNTIF($A$5:A420,A420)&gt;1,"Duplicate","Unique")</f>
        <v>Unique</v>
      </c>
      <c r="J420" s="39" t="str">
        <f aca="false">IF(I420="Duplicate","Remove",IF(H420="Mismatch","Exclude","Keep"))</f>
        <v>Keep</v>
      </c>
    </row>
    <row r="421" customFormat="false" ht="15" hidden="false" customHeight="false" outlineLevel="0" collapsed="false">
      <c r="A421" s="39" t="s">
        <v>537</v>
      </c>
      <c r="B421" s="40" t="n">
        <v>45721</v>
      </c>
      <c r="C421" s="39" t="s">
        <v>126</v>
      </c>
      <c r="D421" s="39" t="n">
        <v>2</v>
      </c>
      <c r="E421" s="41" t="n">
        <v>23.59</v>
      </c>
      <c r="F421" s="39" t="s">
        <v>118</v>
      </c>
      <c r="G421" s="39" t="str">
        <f aca="false">UPPER(TRIM(C421))</f>
        <v>P001</v>
      </c>
      <c r="H421" s="39" t="str">
        <f aca="false">IF(ISNUMBER(MATCH(G421,Products!$A$5:$A$24,0)),"OK","Mismatch")</f>
        <v>OK</v>
      </c>
      <c r="I421" s="39" t="str">
        <f aca="false">IF(COUNTIF($A$5:A421,A421)&gt;1,"Duplicate","Unique")</f>
        <v>Unique</v>
      </c>
      <c r="J421" s="39" t="str">
        <f aca="false">IF(I421="Duplicate","Remove",IF(H421="Mismatch","Exclude","Keep"))</f>
        <v>Keep</v>
      </c>
    </row>
    <row r="422" customFormat="false" ht="15" hidden="false" customHeight="false" outlineLevel="0" collapsed="false">
      <c r="A422" s="39" t="s">
        <v>538</v>
      </c>
      <c r="B422" s="40" t="n">
        <v>45721</v>
      </c>
      <c r="C422" s="39" t="s">
        <v>112</v>
      </c>
      <c r="D422" s="39" t="n">
        <v>2</v>
      </c>
      <c r="E422" s="41" t="n">
        <v>52.44</v>
      </c>
      <c r="F422" s="39" t="s">
        <v>118</v>
      </c>
      <c r="G422" s="39" t="str">
        <f aca="false">UPPER(TRIM(C422))</f>
        <v>P005</v>
      </c>
      <c r="H422" s="39" t="str">
        <f aca="false">IF(ISNUMBER(MATCH(G422,Products!$A$5:$A$24,0)),"OK","Mismatch")</f>
        <v>OK</v>
      </c>
      <c r="I422" s="39" t="str">
        <f aca="false">IF(COUNTIF($A$5:A422,A422)&gt;1,"Duplicate","Unique")</f>
        <v>Unique</v>
      </c>
      <c r="J422" s="39" t="str">
        <f aca="false">IF(I422="Duplicate","Remove",IF(H422="Mismatch","Exclude","Keep"))</f>
        <v>Keep</v>
      </c>
    </row>
    <row r="423" customFormat="false" ht="15" hidden="false" customHeight="false" outlineLevel="0" collapsed="false">
      <c r="A423" s="39" t="s">
        <v>539</v>
      </c>
      <c r="B423" s="40" t="n">
        <v>45721</v>
      </c>
      <c r="C423" s="39" t="s">
        <v>121</v>
      </c>
      <c r="D423" s="39" t="n">
        <v>4</v>
      </c>
      <c r="E423" s="41" t="n">
        <v>117.16</v>
      </c>
      <c r="F423" s="39" t="s">
        <v>118</v>
      </c>
      <c r="G423" s="39" t="str">
        <f aca="false">UPPER(TRIM(C423))</f>
        <v>P018</v>
      </c>
      <c r="H423" s="39" t="str">
        <f aca="false">IF(ISNUMBER(MATCH(G423,Products!$A$5:$A$24,0)),"OK","Mismatch")</f>
        <v>OK</v>
      </c>
      <c r="I423" s="39" t="str">
        <f aca="false">IF(COUNTIF($A$5:A423,A423)&gt;1,"Duplicate","Unique")</f>
        <v>Unique</v>
      </c>
      <c r="J423" s="39" t="str">
        <f aca="false">IF(I423="Duplicate","Remove",IF(H423="Mismatch","Exclude","Keep"))</f>
        <v>Keep</v>
      </c>
    </row>
    <row r="424" customFormat="false" ht="15" hidden="false" customHeight="false" outlineLevel="0" collapsed="false">
      <c r="A424" s="39" t="s">
        <v>540</v>
      </c>
      <c r="B424" s="40" t="n">
        <v>45721</v>
      </c>
      <c r="C424" s="39" t="s">
        <v>107</v>
      </c>
      <c r="D424" s="39" t="n">
        <v>1</v>
      </c>
      <c r="E424" s="41" t="n">
        <v>33.19</v>
      </c>
      <c r="F424" s="39" t="s">
        <v>108</v>
      </c>
      <c r="G424" s="39" t="str">
        <f aca="false">UPPER(TRIM(C424))</f>
        <v>P003</v>
      </c>
      <c r="H424" s="39" t="str">
        <f aca="false">IF(ISNUMBER(MATCH(G424,Products!$A$5:$A$24,0)),"OK","Mismatch")</f>
        <v>OK</v>
      </c>
      <c r="I424" s="39" t="str">
        <f aca="false">IF(COUNTIF($A$5:A424,A424)&gt;1,"Duplicate","Unique")</f>
        <v>Unique</v>
      </c>
      <c r="J424" s="39" t="str">
        <f aca="false">IF(I424="Duplicate","Remove",IF(H424="Mismatch","Exclude","Keep"))</f>
        <v>Keep</v>
      </c>
    </row>
    <row r="425" customFormat="false" ht="15" hidden="false" customHeight="false" outlineLevel="0" collapsed="false">
      <c r="A425" s="39" t="s">
        <v>541</v>
      </c>
      <c r="B425" s="40" t="n">
        <v>45721</v>
      </c>
      <c r="C425" s="39" t="s">
        <v>139</v>
      </c>
      <c r="D425" s="39" t="n">
        <v>2</v>
      </c>
      <c r="E425" s="41" t="n">
        <v>128.89</v>
      </c>
      <c r="F425" s="39" t="s">
        <v>108</v>
      </c>
      <c r="G425" s="39" t="str">
        <f aca="false">UPPER(TRIM(C425))</f>
        <v>P006</v>
      </c>
      <c r="H425" s="39" t="str">
        <f aca="false">IF(ISNUMBER(MATCH(G425,Products!$A$5:$A$24,0)),"OK","Mismatch")</f>
        <v>OK</v>
      </c>
      <c r="I425" s="39" t="str">
        <f aca="false">IF(COUNTIF($A$5:A425,A425)&gt;1,"Duplicate","Unique")</f>
        <v>Unique</v>
      </c>
      <c r="J425" s="39" t="str">
        <f aca="false">IF(I425="Duplicate","Remove",IF(H425="Mismatch","Exclude","Keep"))</f>
        <v>Keep</v>
      </c>
    </row>
    <row r="426" customFormat="false" ht="15" hidden="false" customHeight="false" outlineLevel="0" collapsed="false">
      <c r="A426" s="39" t="s">
        <v>542</v>
      </c>
      <c r="B426" s="40" t="n">
        <v>45721</v>
      </c>
      <c r="C426" s="39" t="s">
        <v>136</v>
      </c>
      <c r="D426" s="39" t="n">
        <v>3</v>
      </c>
      <c r="E426" s="41" t="n">
        <v>74.78</v>
      </c>
      <c r="F426" s="39" t="s">
        <v>105</v>
      </c>
      <c r="G426" s="39" t="str">
        <f aca="false">UPPER(TRIM(C426))</f>
        <v>P002</v>
      </c>
      <c r="H426" s="39" t="str">
        <f aca="false">IF(ISNUMBER(MATCH(G426,Products!$A$5:$A$24,0)),"OK","Mismatch")</f>
        <v>OK</v>
      </c>
      <c r="I426" s="39" t="str">
        <f aca="false">IF(COUNTIF($A$5:A426,A426)&gt;1,"Duplicate","Unique")</f>
        <v>Unique</v>
      </c>
      <c r="J426" s="39" t="str">
        <f aca="false">IF(I426="Duplicate","Remove",IF(H426="Mismatch","Exclude","Keep"))</f>
        <v>Keep</v>
      </c>
    </row>
    <row r="427" customFormat="false" ht="15" hidden="false" customHeight="false" outlineLevel="0" collapsed="false">
      <c r="A427" s="39" t="s">
        <v>543</v>
      </c>
      <c r="B427" s="40" t="n">
        <v>45721</v>
      </c>
      <c r="C427" s="39" t="s">
        <v>110</v>
      </c>
      <c r="D427" s="39" t="n">
        <v>2</v>
      </c>
      <c r="E427" s="41" t="n">
        <v>13.23</v>
      </c>
      <c r="F427" s="39" t="s">
        <v>108</v>
      </c>
      <c r="G427" s="39" t="str">
        <f aca="false">UPPER(TRIM(C427))</f>
        <v>P016</v>
      </c>
      <c r="H427" s="39" t="str">
        <f aca="false">IF(ISNUMBER(MATCH(G427,Products!$A$5:$A$24,0)),"OK","Mismatch")</f>
        <v>OK</v>
      </c>
      <c r="I427" s="39" t="str">
        <f aca="false">IF(COUNTIF($A$5:A427,A427)&gt;1,"Duplicate","Unique")</f>
        <v>Unique</v>
      </c>
      <c r="J427" s="39" t="str">
        <f aca="false">IF(I427="Duplicate","Remove",IF(H427="Mismatch","Exclude","Keep"))</f>
        <v>Keep</v>
      </c>
    </row>
    <row r="428" customFormat="false" ht="15" hidden="false" customHeight="false" outlineLevel="0" collapsed="false">
      <c r="A428" s="39" t="s">
        <v>544</v>
      </c>
      <c r="B428" s="40" t="n">
        <v>45721</v>
      </c>
      <c r="C428" s="39" t="s">
        <v>114</v>
      </c>
      <c r="D428" s="39" t="n">
        <v>1</v>
      </c>
      <c r="E428" s="41" t="n">
        <v>5.84</v>
      </c>
      <c r="F428" s="39" t="s">
        <v>108</v>
      </c>
      <c r="G428" s="39" t="str">
        <f aca="false">UPPER(TRIM(C428))</f>
        <v>P012</v>
      </c>
      <c r="H428" s="39" t="str">
        <f aca="false">IF(ISNUMBER(MATCH(G428,Products!$A$5:$A$24,0)),"OK","Mismatch")</f>
        <v>OK</v>
      </c>
      <c r="I428" s="39" t="str">
        <f aca="false">IF(COUNTIF($A$5:A428,A428)&gt;1,"Duplicate","Unique")</f>
        <v>Unique</v>
      </c>
      <c r="J428" s="39" t="str">
        <f aca="false">IF(I428="Duplicate","Remove",IF(H428="Mismatch","Exclude","Keep"))</f>
        <v>Keep</v>
      </c>
    </row>
    <row r="429" customFormat="false" ht="15" hidden="false" customHeight="false" outlineLevel="0" collapsed="false">
      <c r="A429" s="39" t="s">
        <v>545</v>
      </c>
      <c r="B429" s="40" t="n">
        <v>45722</v>
      </c>
      <c r="C429" s="39" t="s">
        <v>114</v>
      </c>
      <c r="D429" s="39" t="n">
        <v>2</v>
      </c>
      <c r="E429" s="41" t="n">
        <v>5.76</v>
      </c>
      <c r="F429" s="39" t="s">
        <v>108</v>
      </c>
      <c r="G429" s="39" t="str">
        <f aca="false">UPPER(TRIM(C429))</f>
        <v>P012</v>
      </c>
      <c r="H429" s="39" t="str">
        <f aca="false">IF(ISNUMBER(MATCH(G429,Products!$A$5:$A$24,0)),"OK","Mismatch")</f>
        <v>OK</v>
      </c>
      <c r="I429" s="39" t="str">
        <f aca="false">IF(COUNTIF($A$5:A429,A429)&gt;1,"Duplicate","Unique")</f>
        <v>Unique</v>
      </c>
      <c r="J429" s="39" t="str">
        <f aca="false">IF(I429="Duplicate","Remove",IF(H429="Mismatch","Exclude","Keep"))</f>
        <v>Keep</v>
      </c>
    </row>
    <row r="430" customFormat="false" ht="15" hidden="false" customHeight="false" outlineLevel="0" collapsed="false">
      <c r="A430" s="39" t="s">
        <v>546</v>
      </c>
      <c r="B430" s="40" t="n">
        <v>45722</v>
      </c>
      <c r="C430" s="39" t="s">
        <v>126</v>
      </c>
      <c r="D430" s="39" t="n">
        <v>5</v>
      </c>
      <c r="E430" s="41" t="n">
        <v>24.25</v>
      </c>
      <c r="F430" s="39" t="s">
        <v>115</v>
      </c>
      <c r="G430" s="39" t="str">
        <f aca="false">UPPER(TRIM(C430))</f>
        <v>P001</v>
      </c>
      <c r="H430" s="39" t="str">
        <f aca="false">IF(ISNUMBER(MATCH(G430,Products!$A$5:$A$24,0)),"OK","Mismatch")</f>
        <v>OK</v>
      </c>
      <c r="I430" s="39" t="str">
        <f aca="false">IF(COUNTIF($A$5:A430,A430)&gt;1,"Duplicate","Unique")</f>
        <v>Unique</v>
      </c>
      <c r="J430" s="39" t="str">
        <f aca="false">IF(I430="Duplicate","Remove",IF(H430="Mismatch","Exclude","Keep"))</f>
        <v>Keep</v>
      </c>
    </row>
    <row r="431" customFormat="false" ht="15" hidden="false" customHeight="false" outlineLevel="0" collapsed="false">
      <c r="A431" s="39" t="s">
        <v>547</v>
      </c>
      <c r="B431" s="40" t="n">
        <v>45722</v>
      </c>
      <c r="C431" s="39" t="s">
        <v>114</v>
      </c>
      <c r="D431" s="39" t="n">
        <v>1</v>
      </c>
      <c r="E431" s="41" t="n">
        <v>5.93</v>
      </c>
      <c r="F431" s="39" t="s">
        <v>118</v>
      </c>
      <c r="G431" s="39" t="str">
        <f aca="false">UPPER(TRIM(C431))</f>
        <v>P012</v>
      </c>
      <c r="H431" s="39" t="str">
        <f aca="false">IF(ISNUMBER(MATCH(G431,Products!$A$5:$A$24,0)),"OK","Mismatch")</f>
        <v>OK</v>
      </c>
      <c r="I431" s="39" t="str">
        <f aca="false">IF(COUNTIF($A$5:A431,A431)&gt;1,"Duplicate","Unique")</f>
        <v>Unique</v>
      </c>
      <c r="J431" s="39" t="str">
        <f aca="false">IF(I431="Duplicate","Remove",IF(H431="Mismatch","Exclude","Keep"))</f>
        <v>Keep</v>
      </c>
    </row>
    <row r="432" customFormat="false" ht="15" hidden="false" customHeight="false" outlineLevel="0" collapsed="false">
      <c r="A432" s="39" t="s">
        <v>548</v>
      </c>
      <c r="B432" s="40" t="n">
        <v>45722</v>
      </c>
      <c r="C432" s="39" t="s">
        <v>169</v>
      </c>
      <c r="D432" s="39" t="n">
        <v>2</v>
      </c>
      <c r="E432" s="41" t="n">
        <v>27.67</v>
      </c>
      <c r="F432" s="39" t="s">
        <v>105</v>
      </c>
      <c r="G432" s="39" t="str">
        <f aca="false">UPPER(TRIM(C432))</f>
        <v>P004</v>
      </c>
      <c r="H432" s="39" t="str">
        <f aca="false">IF(ISNUMBER(MATCH(G432,Products!$A$5:$A$24,0)),"OK","Mismatch")</f>
        <v>OK</v>
      </c>
      <c r="I432" s="39" t="str">
        <f aca="false">IF(COUNTIF($A$5:A432,A432)&gt;1,"Duplicate","Unique")</f>
        <v>Unique</v>
      </c>
      <c r="J432" s="39" t="str">
        <f aca="false">IF(I432="Duplicate","Remove",IF(H432="Mismatch","Exclude","Keep"))</f>
        <v>Keep</v>
      </c>
    </row>
    <row r="433" customFormat="false" ht="15" hidden="false" customHeight="false" outlineLevel="0" collapsed="false">
      <c r="A433" s="39" t="s">
        <v>549</v>
      </c>
      <c r="B433" s="40" t="n">
        <v>45722</v>
      </c>
      <c r="C433" s="39" t="s">
        <v>126</v>
      </c>
      <c r="D433" s="39" t="n">
        <v>4</v>
      </c>
      <c r="E433" s="41" t="n">
        <v>24.45</v>
      </c>
      <c r="F433" s="39" t="s">
        <v>105</v>
      </c>
      <c r="G433" s="39" t="str">
        <f aca="false">UPPER(TRIM(C433))</f>
        <v>P001</v>
      </c>
      <c r="H433" s="39" t="str">
        <f aca="false">IF(ISNUMBER(MATCH(G433,Products!$A$5:$A$24,0)),"OK","Mismatch")</f>
        <v>OK</v>
      </c>
      <c r="I433" s="39" t="str">
        <f aca="false">IF(COUNTIF($A$5:A433,A433)&gt;1,"Duplicate","Unique")</f>
        <v>Unique</v>
      </c>
      <c r="J433" s="39" t="str">
        <f aca="false">IF(I433="Duplicate","Remove",IF(H433="Mismatch","Exclude","Keep"))</f>
        <v>Keep</v>
      </c>
    </row>
    <row r="434" customFormat="false" ht="15" hidden="false" customHeight="false" outlineLevel="0" collapsed="false">
      <c r="A434" s="39" t="s">
        <v>550</v>
      </c>
      <c r="B434" s="40" t="n">
        <v>45722</v>
      </c>
      <c r="C434" s="39" t="s">
        <v>114</v>
      </c>
      <c r="D434" s="39" t="n">
        <v>1</v>
      </c>
      <c r="E434" s="41" t="n">
        <v>5.91</v>
      </c>
      <c r="F434" s="39" t="s">
        <v>118</v>
      </c>
      <c r="G434" s="39" t="str">
        <f aca="false">UPPER(TRIM(C434))</f>
        <v>P012</v>
      </c>
      <c r="H434" s="39" t="str">
        <f aca="false">IF(ISNUMBER(MATCH(G434,Products!$A$5:$A$24,0)),"OK","Mismatch")</f>
        <v>OK</v>
      </c>
      <c r="I434" s="39" t="str">
        <f aca="false">IF(COUNTIF($A$5:A434,A434)&gt;1,"Duplicate","Unique")</f>
        <v>Unique</v>
      </c>
      <c r="J434" s="39" t="str">
        <f aca="false">IF(I434="Duplicate","Remove",IF(H434="Mismatch","Exclude","Keep"))</f>
        <v>Keep</v>
      </c>
    </row>
    <row r="435" customFormat="false" ht="15" hidden="false" customHeight="false" outlineLevel="0" collapsed="false">
      <c r="A435" s="39" t="s">
        <v>551</v>
      </c>
      <c r="B435" s="40" t="n">
        <v>45723</v>
      </c>
      <c r="C435" s="39" t="s">
        <v>126</v>
      </c>
      <c r="D435" s="39" t="n">
        <v>4</v>
      </c>
      <c r="E435" s="41" t="n">
        <v>23.21</v>
      </c>
      <c r="F435" s="39" t="s">
        <v>105</v>
      </c>
      <c r="G435" s="39" t="str">
        <f aca="false">UPPER(TRIM(C435))</f>
        <v>P001</v>
      </c>
      <c r="H435" s="39" t="str">
        <f aca="false">IF(ISNUMBER(MATCH(G435,Products!$A$5:$A$24,0)),"OK","Mismatch")</f>
        <v>OK</v>
      </c>
      <c r="I435" s="39" t="str">
        <f aca="false">IF(COUNTIF($A$5:A435,A435)&gt;1,"Duplicate","Unique")</f>
        <v>Unique</v>
      </c>
      <c r="J435" s="39" t="str">
        <f aca="false">IF(I435="Duplicate","Remove",IF(H435="Mismatch","Exclude","Keep"))</f>
        <v>Keep</v>
      </c>
    </row>
    <row r="436" customFormat="false" ht="15" hidden="false" customHeight="false" outlineLevel="0" collapsed="false">
      <c r="A436" s="39" t="s">
        <v>552</v>
      </c>
      <c r="B436" s="40" t="n">
        <v>45723</v>
      </c>
      <c r="C436" s="39" t="s">
        <v>136</v>
      </c>
      <c r="D436" s="39" t="n">
        <v>2</v>
      </c>
      <c r="E436" s="41" t="n">
        <v>73.3</v>
      </c>
      <c r="F436" s="39" t="s">
        <v>108</v>
      </c>
      <c r="G436" s="39" t="str">
        <f aca="false">UPPER(TRIM(C436))</f>
        <v>P002</v>
      </c>
      <c r="H436" s="39" t="str">
        <f aca="false">IF(ISNUMBER(MATCH(G436,Products!$A$5:$A$24,0)),"OK","Mismatch")</f>
        <v>OK</v>
      </c>
      <c r="I436" s="39" t="str">
        <f aca="false">IF(COUNTIF($A$5:A436,A436)&gt;1,"Duplicate","Unique")</f>
        <v>Unique</v>
      </c>
      <c r="J436" s="39" t="str">
        <f aca="false">IF(I436="Duplicate","Remove",IF(H436="Mismatch","Exclude","Keep"))</f>
        <v>Keep</v>
      </c>
    </row>
    <row r="437" customFormat="false" ht="15" hidden="false" customHeight="false" outlineLevel="0" collapsed="false">
      <c r="A437" s="39" t="s">
        <v>553</v>
      </c>
      <c r="B437" s="40" t="n">
        <v>45723</v>
      </c>
      <c r="C437" s="39" t="s">
        <v>136</v>
      </c>
      <c r="D437" s="39" t="n">
        <v>3</v>
      </c>
      <c r="E437" s="41" t="n">
        <v>76.37</v>
      </c>
      <c r="F437" s="39" t="s">
        <v>118</v>
      </c>
      <c r="G437" s="39" t="str">
        <f aca="false">UPPER(TRIM(C437))</f>
        <v>P002</v>
      </c>
      <c r="H437" s="39" t="str">
        <f aca="false">IF(ISNUMBER(MATCH(G437,Products!$A$5:$A$24,0)),"OK","Mismatch")</f>
        <v>OK</v>
      </c>
      <c r="I437" s="39" t="str">
        <f aca="false">IF(COUNTIF($A$5:A437,A437)&gt;1,"Duplicate","Unique")</f>
        <v>Unique</v>
      </c>
      <c r="J437" s="39" t="str">
        <f aca="false">IF(I437="Duplicate","Remove",IF(H437="Mismatch","Exclude","Keep"))</f>
        <v>Keep</v>
      </c>
    </row>
    <row r="438" customFormat="false" ht="15" hidden="false" customHeight="false" outlineLevel="0" collapsed="false">
      <c r="A438" s="39" t="s">
        <v>554</v>
      </c>
      <c r="B438" s="40" t="n">
        <v>45723</v>
      </c>
      <c r="C438" s="39" t="s">
        <v>177</v>
      </c>
      <c r="D438" s="39" t="n">
        <v>4</v>
      </c>
      <c r="E438" s="41" t="n">
        <v>42.86</v>
      </c>
      <c r="F438" s="39" t="s">
        <v>115</v>
      </c>
      <c r="G438" s="39" t="str">
        <f aca="false">UPPER(TRIM(C438))</f>
        <v>P014</v>
      </c>
      <c r="H438" s="39" t="str">
        <f aca="false">IF(ISNUMBER(MATCH(G438,Products!$A$5:$A$24,0)),"OK","Mismatch")</f>
        <v>OK</v>
      </c>
      <c r="I438" s="39" t="str">
        <f aca="false">IF(COUNTIF($A$5:A438,A438)&gt;1,"Duplicate","Unique")</f>
        <v>Unique</v>
      </c>
      <c r="J438" s="39" t="str">
        <f aca="false">IF(I438="Duplicate","Remove",IF(H438="Mismatch","Exclude","Keep"))</f>
        <v>Keep</v>
      </c>
    </row>
    <row r="439" customFormat="false" ht="15" hidden="false" customHeight="false" outlineLevel="0" collapsed="false">
      <c r="A439" s="39" t="s">
        <v>555</v>
      </c>
      <c r="B439" s="40" t="n">
        <v>45723</v>
      </c>
      <c r="C439" s="39" t="s">
        <v>130</v>
      </c>
      <c r="D439" s="39" t="n">
        <v>6</v>
      </c>
      <c r="E439" s="41" t="n">
        <v>8.38</v>
      </c>
      <c r="F439" s="39" t="s">
        <v>108</v>
      </c>
      <c r="G439" s="39" t="str">
        <f aca="false">UPPER(TRIM(C439))</f>
        <v>P011</v>
      </c>
      <c r="H439" s="39" t="str">
        <f aca="false">IF(ISNUMBER(MATCH(G439,Products!$A$5:$A$24,0)),"OK","Mismatch")</f>
        <v>OK</v>
      </c>
      <c r="I439" s="39" t="str">
        <f aca="false">IF(COUNTIF($A$5:A439,A439)&gt;1,"Duplicate","Unique")</f>
        <v>Unique</v>
      </c>
      <c r="J439" s="39" t="str">
        <f aca="false">IF(I439="Duplicate","Remove",IF(H439="Mismatch","Exclude","Keep"))</f>
        <v>Keep</v>
      </c>
    </row>
    <row r="440" customFormat="false" ht="15" hidden="false" customHeight="false" outlineLevel="0" collapsed="false">
      <c r="A440" s="39" t="s">
        <v>556</v>
      </c>
      <c r="B440" s="40" t="n">
        <v>45723</v>
      </c>
      <c r="C440" s="39" t="s">
        <v>126</v>
      </c>
      <c r="D440" s="39" t="n">
        <v>2</v>
      </c>
      <c r="E440" s="41" t="n">
        <v>23.59</v>
      </c>
      <c r="F440" s="39" t="s">
        <v>105</v>
      </c>
      <c r="G440" s="39" t="str">
        <f aca="false">UPPER(TRIM(C440))</f>
        <v>P001</v>
      </c>
      <c r="H440" s="39" t="str">
        <f aca="false">IF(ISNUMBER(MATCH(G440,Products!$A$5:$A$24,0)),"OK","Mismatch")</f>
        <v>OK</v>
      </c>
      <c r="I440" s="39" t="str">
        <f aca="false">IF(COUNTIF($A$5:A440,A440)&gt;1,"Duplicate","Unique")</f>
        <v>Unique</v>
      </c>
      <c r="J440" s="39" t="str">
        <f aca="false">IF(I440="Duplicate","Remove",IF(H440="Mismatch","Exclude","Keep"))</f>
        <v>Keep</v>
      </c>
    </row>
    <row r="441" customFormat="false" ht="15" hidden="false" customHeight="false" outlineLevel="0" collapsed="false">
      <c r="A441" s="39" t="s">
        <v>556</v>
      </c>
      <c r="B441" s="40" t="n">
        <v>45723</v>
      </c>
      <c r="C441" s="39" t="s">
        <v>126</v>
      </c>
      <c r="D441" s="39" t="n">
        <v>2</v>
      </c>
      <c r="E441" s="41" t="n">
        <v>23.59</v>
      </c>
      <c r="F441" s="39" t="s">
        <v>105</v>
      </c>
      <c r="G441" s="39" t="str">
        <f aca="false">UPPER(TRIM(C441))</f>
        <v>P001</v>
      </c>
      <c r="H441" s="39" t="str">
        <f aca="false">IF(ISNUMBER(MATCH(G441,Products!$A$5:$A$24,0)),"OK","Mismatch")</f>
        <v>OK</v>
      </c>
      <c r="I441" s="39" t="str">
        <f aca="false">IF(COUNTIF($A$5:A441,A441)&gt;1,"Duplicate","Unique")</f>
        <v>Duplicate</v>
      </c>
      <c r="J441" s="39" t="str">
        <f aca="false">IF(I441="Duplicate","Remove",IF(H441="Mismatch","Exclude","Keep"))</f>
        <v>Remove</v>
      </c>
    </row>
    <row r="442" customFormat="false" ht="15" hidden="false" customHeight="false" outlineLevel="0" collapsed="false">
      <c r="A442" s="39" t="s">
        <v>557</v>
      </c>
      <c r="B442" s="40" t="n">
        <v>45723</v>
      </c>
      <c r="C442" s="39" t="s">
        <v>121</v>
      </c>
      <c r="D442" s="39" t="n">
        <v>5</v>
      </c>
      <c r="E442" s="41" t="n">
        <v>112.36</v>
      </c>
      <c r="F442" s="39" t="s">
        <v>105</v>
      </c>
      <c r="G442" s="39" t="str">
        <f aca="false">UPPER(TRIM(C442))</f>
        <v>P018</v>
      </c>
      <c r="H442" s="39" t="str">
        <f aca="false">IF(ISNUMBER(MATCH(G442,Products!$A$5:$A$24,0)),"OK","Mismatch")</f>
        <v>OK</v>
      </c>
      <c r="I442" s="39" t="str">
        <f aca="false">IF(COUNTIF($A$5:A442,A442)&gt;1,"Duplicate","Unique")</f>
        <v>Unique</v>
      </c>
      <c r="J442" s="39" t="str">
        <f aca="false">IF(I442="Duplicate","Remove",IF(H442="Mismatch","Exclude","Keep"))</f>
        <v>Keep</v>
      </c>
    </row>
    <row r="443" customFormat="false" ht="15" hidden="false" customHeight="false" outlineLevel="0" collapsed="false">
      <c r="A443" s="39" t="s">
        <v>558</v>
      </c>
      <c r="B443" s="40" t="n">
        <v>45724</v>
      </c>
      <c r="C443" s="39" t="s">
        <v>162</v>
      </c>
      <c r="D443" s="39" t="n">
        <v>3</v>
      </c>
      <c r="E443" s="41" t="n">
        <v>64.15</v>
      </c>
      <c r="F443" s="39" t="s">
        <v>115</v>
      </c>
      <c r="G443" s="39" t="str">
        <f aca="false">UPPER(TRIM(C443))</f>
        <v>P017</v>
      </c>
      <c r="H443" s="39" t="str">
        <f aca="false">IF(ISNUMBER(MATCH(G443,Products!$A$5:$A$24,0)),"OK","Mismatch")</f>
        <v>OK</v>
      </c>
      <c r="I443" s="39" t="str">
        <f aca="false">IF(COUNTIF($A$5:A443,A443)&gt;1,"Duplicate","Unique")</f>
        <v>Unique</v>
      </c>
      <c r="J443" s="39" t="str">
        <f aca="false">IF(I443="Duplicate","Remove",IF(H443="Mismatch","Exclude","Keep"))</f>
        <v>Keep</v>
      </c>
    </row>
    <row r="444" customFormat="false" ht="15" hidden="false" customHeight="false" outlineLevel="0" collapsed="false">
      <c r="A444" s="39" t="s">
        <v>559</v>
      </c>
      <c r="B444" s="40" t="n">
        <v>45724</v>
      </c>
      <c r="C444" s="39" t="s">
        <v>130</v>
      </c>
      <c r="D444" s="39" t="n">
        <v>1</v>
      </c>
      <c r="E444" s="41" t="n">
        <v>8.96</v>
      </c>
      <c r="F444" s="39" t="s">
        <v>108</v>
      </c>
      <c r="G444" s="39" t="str">
        <f aca="false">UPPER(TRIM(C444))</f>
        <v>P011</v>
      </c>
      <c r="H444" s="39" t="str">
        <f aca="false">IF(ISNUMBER(MATCH(G444,Products!$A$5:$A$24,0)),"OK","Mismatch")</f>
        <v>OK</v>
      </c>
      <c r="I444" s="39" t="str">
        <f aca="false">IF(COUNTIF($A$5:A444,A444)&gt;1,"Duplicate","Unique")</f>
        <v>Unique</v>
      </c>
      <c r="J444" s="39" t="str">
        <f aca="false">IF(I444="Duplicate","Remove",IF(H444="Mismatch","Exclude","Keep"))</f>
        <v>Keep</v>
      </c>
    </row>
    <row r="445" customFormat="false" ht="15" hidden="false" customHeight="false" outlineLevel="0" collapsed="false">
      <c r="A445" s="39" t="s">
        <v>560</v>
      </c>
      <c r="B445" s="40" t="n">
        <v>45724</v>
      </c>
      <c r="C445" s="39" t="s">
        <v>169</v>
      </c>
      <c r="D445" s="39" t="n">
        <v>6</v>
      </c>
      <c r="E445" s="41" t="n">
        <v>26.83</v>
      </c>
      <c r="F445" s="39" t="s">
        <v>108</v>
      </c>
      <c r="G445" s="39" t="str">
        <f aca="false">UPPER(TRIM(C445))</f>
        <v>P004</v>
      </c>
      <c r="H445" s="39" t="str">
        <f aca="false">IF(ISNUMBER(MATCH(G445,Products!$A$5:$A$24,0)),"OK","Mismatch")</f>
        <v>OK</v>
      </c>
      <c r="I445" s="39" t="str">
        <f aca="false">IF(COUNTIF($A$5:A445,A445)&gt;1,"Duplicate","Unique")</f>
        <v>Unique</v>
      </c>
      <c r="J445" s="39" t="str">
        <f aca="false">IF(I445="Duplicate","Remove",IF(H445="Mismatch","Exclude","Keep"))</f>
        <v>Keep</v>
      </c>
    </row>
    <row r="446" customFormat="false" ht="15" hidden="false" customHeight="false" outlineLevel="0" collapsed="false">
      <c r="A446" s="39" t="s">
        <v>561</v>
      </c>
      <c r="B446" s="40" t="n">
        <v>45724</v>
      </c>
      <c r="C446" s="39" t="s">
        <v>112</v>
      </c>
      <c r="D446" s="39" t="n">
        <v>1</v>
      </c>
      <c r="E446" s="41" t="n">
        <v>51.28</v>
      </c>
      <c r="F446" s="39" t="s">
        <v>115</v>
      </c>
      <c r="G446" s="39" t="str">
        <f aca="false">UPPER(TRIM(C446))</f>
        <v>P005</v>
      </c>
      <c r="H446" s="39" t="str">
        <f aca="false">IF(ISNUMBER(MATCH(G446,Products!$A$5:$A$24,0)),"OK","Mismatch")</f>
        <v>OK</v>
      </c>
      <c r="I446" s="39" t="str">
        <f aca="false">IF(COUNTIF($A$5:A446,A446)&gt;1,"Duplicate","Unique")</f>
        <v>Unique</v>
      </c>
      <c r="J446" s="39" t="str">
        <f aca="false">IF(I446="Duplicate","Remove",IF(H446="Mismatch","Exclude","Keep"))</f>
        <v>Keep</v>
      </c>
    </row>
    <row r="447" customFormat="false" ht="15" hidden="false" customHeight="false" outlineLevel="0" collapsed="false">
      <c r="A447" s="39" t="s">
        <v>562</v>
      </c>
      <c r="B447" s="40" t="n">
        <v>45724</v>
      </c>
      <c r="C447" s="39" t="s">
        <v>130</v>
      </c>
      <c r="D447" s="39" t="n">
        <v>1</v>
      </c>
      <c r="E447" s="41" t="n">
        <v>8.72</v>
      </c>
      <c r="F447" s="39" t="s">
        <v>108</v>
      </c>
      <c r="G447" s="39" t="str">
        <f aca="false">UPPER(TRIM(C447))</f>
        <v>P011</v>
      </c>
      <c r="H447" s="39" t="str">
        <f aca="false">IF(ISNUMBER(MATCH(G447,Products!$A$5:$A$24,0)),"OK","Mismatch")</f>
        <v>OK</v>
      </c>
      <c r="I447" s="39" t="str">
        <f aca="false">IF(COUNTIF($A$5:A447,A447)&gt;1,"Duplicate","Unique")</f>
        <v>Unique</v>
      </c>
      <c r="J447" s="39" t="str">
        <f aca="false">IF(I447="Duplicate","Remove",IF(H447="Mismatch","Exclude","Keep"))</f>
        <v>Keep</v>
      </c>
    </row>
    <row r="448" customFormat="false" ht="15" hidden="false" customHeight="false" outlineLevel="0" collapsed="false">
      <c r="A448" s="39" t="s">
        <v>563</v>
      </c>
      <c r="B448" s="40" t="n">
        <v>45724</v>
      </c>
      <c r="C448" s="39" t="s">
        <v>162</v>
      </c>
      <c r="D448" s="39" t="n">
        <v>2</v>
      </c>
      <c r="E448" s="41" t="n">
        <v>68.59</v>
      </c>
      <c r="F448" s="39" t="s">
        <v>115</v>
      </c>
      <c r="G448" s="39" t="str">
        <f aca="false">UPPER(TRIM(C448))</f>
        <v>P017</v>
      </c>
      <c r="H448" s="39" t="str">
        <f aca="false">IF(ISNUMBER(MATCH(G448,Products!$A$5:$A$24,0)),"OK","Mismatch")</f>
        <v>OK</v>
      </c>
      <c r="I448" s="39" t="str">
        <f aca="false">IF(COUNTIF($A$5:A448,A448)&gt;1,"Duplicate","Unique")</f>
        <v>Unique</v>
      </c>
      <c r="J448" s="39" t="str">
        <f aca="false">IF(I448="Duplicate","Remove",IF(H448="Mismatch","Exclude","Keep"))</f>
        <v>Keep</v>
      </c>
    </row>
    <row r="449" customFormat="false" ht="15" hidden="false" customHeight="false" outlineLevel="0" collapsed="false">
      <c r="A449" s="39" t="s">
        <v>564</v>
      </c>
      <c r="B449" s="40" t="n">
        <v>45724</v>
      </c>
      <c r="C449" s="39" t="s">
        <v>130</v>
      </c>
      <c r="D449" s="39" t="n">
        <v>1</v>
      </c>
      <c r="E449" s="41" t="n">
        <v>8.64</v>
      </c>
      <c r="F449" s="39" t="s">
        <v>108</v>
      </c>
      <c r="G449" s="39" t="str">
        <f aca="false">UPPER(TRIM(C449))</f>
        <v>P011</v>
      </c>
      <c r="H449" s="39" t="str">
        <f aca="false">IF(ISNUMBER(MATCH(G449,Products!$A$5:$A$24,0)),"OK","Mismatch")</f>
        <v>OK</v>
      </c>
      <c r="I449" s="39" t="str">
        <f aca="false">IF(COUNTIF($A$5:A449,A449)&gt;1,"Duplicate","Unique")</f>
        <v>Unique</v>
      </c>
      <c r="J449" s="39" t="str">
        <f aca="false">IF(I449="Duplicate","Remove",IF(H449="Mismatch","Exclude","Keep"))</f>
        <v>Keep</v>
      </c>
    </row>
    <row r="450" customFormat="false" ht="15" hidden="false" customHeight="false" outlineLevel="0" collapsed="false">
      <c r="A450" s="39" t="s">
        <v>565</v>
      </c>
      <c r="B450" s="40" t="n">
        <v>45724</v>
      </c>
      <c r="C450" s="39" t="s">
        <v>117</v>
      </c>
      <c r="D450" s="39" t="n">
        <v>3</v>
      </c>
      <c r="E450" s="41" t="n">
        <v>29.99</v>
      </c>
      <c r="F450" s="39" t="s">
        <v>108</v>
      </c>
      <c r="G450" s="39" t="str">
        <f aca="false">UPPER(TRIM(C450))</f>
        <v>P009</v>
      </c>
      <c r="H450" s="39" t="str">
        <f aca="false">IF(ISNUMBER(MATCH(G450,Products!$A$5:$A$24,0)),"OK","Mismatch")</f>
        <v>OK</v>
      </c>
      <c r="I450" s="39" t="str">
        <f aca="false">IF(COUNTIF($A$5:A450,A450)&gt;1,"Duplicate","Unique")</f>
        <v>Unique</v>
      </c>
      <c r="J450" s="39" t="str">
        <f aca="false">IF(I450="Duplicate","Remove",IF(H450="Mismatch","Exclude","Keep"))</f>
        <v>Keep</v>
      </c>
    </row>
    <row r="451" customFormat="false" ht="15" hidden="false" customHeight="false" outlineLevel="0" collapsed="false">
      <c r="A451" s="39" t="s">
        <v>566</v>
      </c>
      <c r="B451" s="40" t="n">
        <v>45725</v>
      </c>
      <c r="C451" s="39" t="s">
        <v>169</v>
      </c>
      <c r="D451" s="39" t="n">
        <v>4</v>
      </c>
      <c r="E451" s="41" t="n">
        <v>28.28</v>
      </c>
      <c r="F451" s="39" t="s">
        <v>108</v>
      </c>
      <c r="G451" s="39" t="str">
        <f aca="false">UPPER(TRIM(C451))</f>
        <v>P004</v>
      </c>
      <c r="H451" s="39" t="str">
        <f aca="false">IF(ISNUMBER(MATCH(G451,Products!$A$5:$A$24,0)),"OK","Mismatch")</f>
        <v>OK</v>
      </c>
      <c r="I451" s="39" t="str">
        <f aca="false">IF(COUNTIF($A$5:A451,A451)&gt;1,"Duplicate","Unique")</f>
        <v>Unique</v>
      </c>
      <c r="J451" s="39" t="str">
        <f aca="false">IF(I451="Duplicate","Remove",IF(H451="Mismatch","Exclude","Keep"))</f>
        <v>Keep</v>
      </c>
    </row>
    <row r="452" customFormat="false" ht="15" hidden="false" customHeight="false" outlineLevel="0" collapsed="false">
      <c r="A452" s="39" t="s">
        <v>567</v>
      </c>
      <c r="B452" s="40" t="n">
        <v>45725</v>
      </c>
      <c r="C452" s="39" t="s">
        <v>128</v>
      </c>
      <c r="D452" s="39" t="n">
        <v>2</v>
      </c>
      <c r="E452" s="41" t="n">
        <v>38.61</v>
      </c>
      <c r="F452" s="39" t="s">
        <v>115</v>
      </c>
      <c r="G452" s="39" t="str">
        <f aca="false">UPPER(TRIM(C452))</f>
        <v>P020</v>
      </c>
      <c r="H452" s="39" t="str">
        <f aca="false">IF(ISNUMBER(MATCH(G452,Products!$A$5:$A$24,0)),"OK","Mismatch")</f>
        <v>OK</v>
      </c>
      <c r="I452" s="39" t="str">
        <f aca="false">IF(COUNTIF($A$5:A452,A452)&gt;1,"Duplicate","Unique")</f>
        <v>Unique</v>
      </c>
      <c r="J452" s="39" t="str">
        <f aca="false">IF(I452="Duplicate","Remove",IF(H452="Mismatch","Exclude","Keep"))</f>
        <v>Keep</v>
      </c>
    </row>
    <row r="453" customFormat="false" ht="15" hidden="false" customHeight="false" outlineLevel="0" collapsed="false">
      <c r="A453" s="39" t="s">
        <v>568</v>
      </c>
      <c r="B453" s="40" t="n">
        <v>45725</v>
      </c>
      <c r="C453" s="39" t="s">
        <v>114</v>
      </c>
      <c r="D453" s="39" t="n">
        <v>2</v>
      </c>
      <c r="E453" s="41" t="n">
        <v>5.75</v>
      </c>
      <c r="F453" s="39" t="s">
        <v>118</v>
      </c>
      <c r="G453" s="39" t="str">
        <f aca="false">UPPER(TRIM(C453))</f>
        <v>P012</v>
      </c>
      <c r="H453" s="39" t="str">
        <f aca="false">IF(ISNUMBER(MATCH(G453,Products!$A$5:$A$24,0)),"OK","Mismatch")</f>
        <v>OK</v>
      </c>
      <c r="I453" s="39" t="str">
        <f aca="false">IF(COUNTIF($A$5:A453,A453)&gt;1,"Duplicate","Unique")</f>
        <v>Unique</v>
      </c>
      <c r="J453" s="39" t="str">
        <f aca="false">IF(I453="Duplicate","Remove",IF(H453="Mismatch","Exclude","Keep"))</f>
        <v>Keep</v>
      </c>
    </row>
    <row r="454" customFormat="false" ht="15" hidden="false" customHeight="false" outlineLevel="0" collapsed="false">
      <c r="A454" s="39" t="s">
        <v>569</v>
      </c>
      <c r="B454" s="40" t="n">
        <v>45725</v>
      </c>
      <c r="C454" s="39" t="s">
        <v>117</v>
      </c>
      <c r="D454" s="39" t="n">
        <v>1</v>
      </c>
      <c r="E454" s="41" t="n">
        <v>30.16</v>
      </c>
      <c r="F454" s="39" t="s">
        <v>108</v>
      </c>
      <c r="G454" s="39" t="str">
        <f aca="false">UPPER(TRIM(C454))</f>
        <v>P009</v>
      </c>
      <c r="H454" s="39" t="str">
        <f aca="false">IF(ISNUMBER(MATCH(G454,Products!$A$5:$A$24,0)),"OK","Mismatch")</f>
        <v>OK</v>
      </c>
      <c r="I454" s="39" t="str">
        <f aca="false">IF(COUNTIF($A$5:A454,A454)&gt;1,"Duplicate","Unique")</f>
        <v>Unique</v>
      </c>
      <c r="J454" s="39" t="str">
        <f aca="false">IF(I454="Duplicate","Remove",IF(H454="Mismatch","Exclude","Keep"))</f>
        <v>Keep</v>
      </c>
    </row>
    <row r="455" customFormat="false" ht="15" hidden="false" customHeight="false" outlineLevel="0" collapsed="false">
      <c r="A455" s="39" t="s">
        <v>570</v>
      </c>
      <c r="B455" s="40" t="n">
        <v>45725</v>
      </c>
      <c r="C455" s="39" t="s">
        <v>104</v>
      </c>
      <c r="D455" s="39" t="n">
        <v>1</v>
      </c>
      <c r="E455" s="41" t="n">
        <v>14.96</v>
      </c>
      <c r="F455" s="39" t="s">
        <v>105</v>
      </c>
      <c r="G455" s="39" t="str">
        <f aca="false">UPPER(TRIM(C455))</f>
        <v>P015</v>
      </c>
      <c r="H455" s="39" t="str">
        <f aca="false">IF(ISNUMBER(MATCH(G455,Products!$A$5:$A$24,0)),"OK","Mismatch")</f>
        <v>OK</v>
      </c>
      <c r="I455" s="39" t="str">
        <f aca="false">IF(COUNTIF($A$5:A455,A455)&gt;1,"Duplicate","Unique")</f>
        <v>Unique</v>
      </c>
      <c r="J455" s="39" t="str">
        <f aca="false">IF(I455="Duplicate","Remove",IF(H455="Mismatch","Exclude","Keep"))</f>
        <v>Keep</v>
      </c>
    </row>
    <row r="456" customFormat="false" ht="15" hidden="false" customHeight="false" outlineLevel="0" collapsed="false">
      <c r="A456" s="39" t="s">
        <v>571</v>
      </c>
      <c r="B456" s="40" t="n">
        <v>45725</v>
      </c>
      <c r="C456" s="39" t="s">
        <v>128</v>
      </c>
      <c r="D456" s="39" t="n">
        <v>2</v>
      </c>
      <c r="E456" s="41" t="n">
        <v>38.42</v>
      </c>
      <c r="F456" s="39" t="s">
        <v>105</v>
      </c>
      <c r="G456" s="39" t="str">
        <f aca="false">UPPER(TRIM(C456))</f>
        <v>P020</v>
      </c>
      <c r="H456" s="39" t="str">
        <f aca="false">IF(ISNUMBER(MATCH(G456,Products!$A$5:$A$24,0)),"OK","Mismatch")</f>
        <v>OK</v>
      </c>
      <c r="I456" s="39" t="str">
        <f aca="false">IF(COUNTIF($A$5:A456,A456)&gt;1,"Duplicate","Unique")</f>
        <v>Unique</v>
      </c>
      <c r="J456" s="39" t="str">
        <f aca="false">IF(I456="Duplicate","Remove",IF(H456="Mismatch","Exclude","Keep"))</f>
        <v>Keep</v>
      </c>
    </row>
    <row r="457" customFormat="false" ht="15" hidden="false" customHeight="false" outlineLevel="0" collapsed="false">
      <c r="A457" s="39" t="s">
        <v>572</v>
      </c>
      <c r="B457" s="40" t="n">
        <v>45725</v>
      </c>
      <c r="C457" s="39" t="s">
        <v>144</v>
      </c>
      <c r="D457" s="39" t="n">
        <v>2</v>
      </c>
      <c r="E457" s="41" t="n">
        <v>58.9</v>
      </c>
      <c r="F457" s="39" t="s">
        <v>118</v>
      </c>
      <c r="G457" s="39" t="str">
        <f aca="false">UPPER(TRIM(C457))</f>
        <v>P013</v>
      </c>
      <c r="H457" s="39" t="str">
        <f aca="false">IF(ISNUMBER(MATCH(G457,Products!$A$5:$A$24,0)),"OK","Mismatch")</f>
        <v>OK</v>
      </c>
      <c r="I457" s="39" t="str">
        <f aca="false">IF(COUNTIF($A$5:A457,A457)&gt;1,"Duplicate","Unique")</f>
        <v>Unique</v>
      </c>
      <c r="J457" s="39" t="str">
        <f aca="false">IF(I457="Duplicate","Remove",IF(H457="Mismatch","Exclude","Keep"))</f>
        <v>Keep</v>
      </c>
    </row>
    <row r="458" customFormat="false" ht="15" hidden="false" customHeight="false" outlineLevel="0" collapsed="false">
      <c r="A458" s="39" t="s">
        <v>573</v>
      </c>
      <c r="B458" s="40" t="n">
        <v>45726</v>
      </c>
      <c r="C458" s="39" t="s">
        <v>104</v>
      </c>
      <c r="D458" s="39" t="n">
        <v>1</v>
      </c>
      <c r="E458" s="41" t="n">
        <v>14.96</v>
      </c>
      <c r="F458" s="39" t="s">
        <v>118</v>
      </c>
      <c r="G458" s="39" t="str">
        <f aca="false">UPPER(TRIM(C458))</f>
        <v>P015</v>
      </c>
      <c r="H458" s="39" t="str">
        <f aca="false">IF(ISNUMBER(MATCH(G458,Products!$A$5:$A$24,0)),"OK","Mismatch")</f>
        <v>OK</v>
      </c>
      <c r="I458" s="39" t="str">
        <f aca="false">IF(COUNTIF($A$5:A458,A458)&gt;1,"Duplicate","Unique")</f>
        <v>Unique</v>
      </c>
      <c r="J458" s="39" t="str">
        <f aca="false">IF(I458="Duplicate","Remove",IF(H458="Mismatch","Exclude","Keep"))</f>
        <v>Keep</v>
      </c>
    </row>
    <row r="459" customFormat="false" ht="15" hidden="false" customHeight="false" outlineLevel="0" collapsed="false">
      <c r="A459" s="39" t="s">
        <v>574</v>
      </c>
      <c r="B459" s="40" t="n">
        <v>45726</v>
      </c>
      <c r="C459" s="39" t="s">
        <v>139</v>
      </c>
      <c r="D459" s="39" t="n">
        <v>5</v>
      </c>
      <c r="E459" s="41" t="n">
        <v>123.39</v>
      </c>
      <c r="F459" s="39" t="s">
        <v>118</v>
      </c>
      <c r="G459" s="39" t="str">
        <f aca="false">UPPER(TRIM(C459))</f>
        <v>P006</v>
      </c>
      <c r="H459" s="39" t="str">
        <f aca="false">IF(ISNUMBER(MATCH(G459,Products!$A$5:$A$24,0)),"OK","Mismatch")</f>
        <v>OK</v>
      </c>
      <c r="I459" s="39" t="str">
        <f aca="false">IF(COUNTIF($A$5:A459,A459)&gt;1,"Duplicate","Unique")</f>
        <v>Unique</v>
      </c>
      <c r="J459" s="39" t="str">
        <f aca="false">IF(I459="Duplicate","Remove",IF(H459="Mismatch","Exclude","Keep"))</f>
        <v>Keep</v>
      </c>
    </row>
    <row r="460" customFormat="false" ht="15" hidden="false" customHeight="false" outlineLevel="0" collapsed="false">
      <c r="A460" s="39" t="s">
        <v>575</v>
      </c>
      <c r="B460" s="40" t="n">
        <v>45727</v>
      </c>
      <c r="C460" s="39" t="s">
        <v>107</v>
      </c>
      <c r="D460" s="39" t="n">
        <v>2</v>
      </c>
      <c r="E460" s="41" t="n">
        <v>33.62</v>
      </c>
      <c r="F460" s="39" t="s">
        <v>105</v>
      </c>
      <c r="G460" s="39" t="str">
        <f aca="false">UPPER(TRIM(C460))</f>
        <v>P003</v>
      </c>
      <c r="H460" s="39" t="str">
        <f aca="false">IF(ISNUMBER(MATCH(G460,Products!$A$5:$A$24,0)),"OK","Mismatch")</f>
        <v>OK</v>
      </c>
      <c r="I460" s="39" t="str">
        <f aca="false">IF(COUNTIF($A$5:A460,A460)&gt;1,"Duplicate","Unique")</f>
        <v>Unique</v>
      </c>
      <c r="J460" s="39" t="str">
        <f aca="false">IF(I460="Duplicate","Remove",IF(H460="Mismatch","Exclude","Keep"))</f>
        <v>Keep</v>
      </c>
    </row>
    <row r="461" customFormat="false" ht="15" hidden="false" customHeight="false" outlineLevel="0" collapsed="false">
      <c r="A461" s="39" t="s">
        <v>576</v>
      </c>
      <c r="B461" s="40" t="n">
        <v>45727</v>
      </c>
      <c r="C461" s="39" t="s">
        <v>136</v>
      </c>
      <c r="D461" s="39" t="n">
        <v>3</v>
      </c>
      <c r="E461" s="41" t="n">
        <v>75.72</v>
      </c>
      <c r="F461" s="39" t="s">
        <v>118</v>
      </c>
      <c r="G461" s="39" t="str">
        <f aca="false">UPPER(TRIM(C461))</f>
        <v>P002</v>
      </c>
      <c r="H461" s="39" t="str">
        <f aca="false">IF(ISNUMBER(MATCH(G461,Products!$A$5:$A$24,0)),"OK","Mismatch")</f>
        <v>OK</v>
      </c>
      <c r="I461" s="39" t="str">
        <f aca="false">IF(COUNTIF($A$5:A461,A461)&gt;1,"Duplicate","Unique")</f>
        <v>Unique</v>
      </c>
      <c r="J461" s="39" t="str">
        <f aca="false">IF(I461="Duplicate","Remove",IF(H461="Mismatch","Exclude","Keep"))</f>
        <v>Keep</v>
      </c>
    </row>
    <row r="462" customFormat="false" ht="15" hidden="false" customHeight="false" outlineLevel="0" collapsed="false">
      <c r="A462" s="39" t="s">
        <v>577</v>
      </c>
      <c r="B462" s="40" t="n">
        <v>45727</v>
      </c>
      <c r="C462" s="39" t="s">
        <v>114</v>
      </c>
      <c r="D462" s="39" t="n">
        <v>3</v>
      </c>
      <c r="E462" s="41" t="n">
        <v>5.71</v>
      </c>
      <c r="F462" s="39" t="s">
        <v>105</v>
      </c>
      <c r="G462" s="39" t="str">
        <f aca="false">UPPER(TRIM(C462))</f>
        <v>P012</v>
      </c>
      <c r="H462" s="39" t="str">
        <f aca="false">IF(ISNUMBER(MATCH(G462,Products!$A$5:$A$24,0)),"OK","Mismatch")</f>
        <v>OK</v>
      </c>
      <c r="I462" s="39" t="str">
        <f aca="false">IF(COUNTIF($A$5:A462,A462)&gt;1,"Duplicate","Unique")</f>
        <v>Unique</v>
      </c>
      <c r="J462" s="39" t="str">
        <f aca="false">IF(I462="Duplicate","Remove",IF(H462="Mismatch","Exclude","Keep"))</f>
        <v>Keep</v>
      </c>
    </row>
    <row r="463" customFormat="false" ht="15" hidden="false" customHeight="false" outlineLevel="0" collapsed="false">
      <c r="A463" s="39" t="s">
        <v>578</v>
      </c>
      <c r="B463" s="40" t="n">
        <v>45727</v>
      </c>
      <c r="C463" s="39" t="s">
        <v>114</v>
      </c>
      <c r="D463" s="39" t="n">
        <v>1</v>
      </c>
      <c r="E463" s="41" t="n">
        <v>5.87</v>
      </c>
      <c r="F463" s="39" t="s">
        <v>105</v>
      </c>
      <c r="G463" s="39" t="str">
        <f aca="false">UPPER(TRIM(C463))</f>
        <v>P012</v>
      </c>
      <c r="H463" s="39" t="str">
        <f aca="false">IF(ISNUMBER(MATCH(G463,Products!$A$5:$A$24,0)),"OK","Mismatch")</f>
        <v>OK</v>
      </c>
      <c r="I463" s="39" t="str">
        <f aca="false">IF(COUNTIF($A$5:A463,A463)&gt;1,"Duplicate","Unique")</f>
        <v>Unique</v>
      </c>
      <c r="J463" s="39" t="str">
        <f aca="false">IF(I463="Duplicate","Remove",IF(H463="Mismatch","Exclude","Keep"))</f>
        <v>Keep</v>
      </c>
    </row>
    <row r="464" customFormat="false" ht="15" hidden="false" customHeight="false" outlineLevel="0" collapsed="false">
      <c r="A464" s="39" t="s">
        <v>579</v>
      </c>
      <c r="B464" s="40" t="n">
        <v>45727</v>
      </c>
      <c r="C464" s="39" t="s">
        <v>130</v>
      </c>
      <c r="D464" s="39" t="n">
        <v>4</v>
      </c>
      <c r="E464" s="41" t="n">
        <v>8.76</v>
      </c>
      <c r="F464" s="39" t="s">
        <v>118</v>
      </c>
      <c r="G464" s="39" t="str">
        <f aca="false">UPPER(TRIM(C464))</f>
        <v>P011</v>
      </c>
      <c r="H464" s="39" t="str">
        <f aca="false">IF(ISNUMBER(MATCH(G464,Products!$A$5:$A$24,0)),"OK","Mismatch")</f>
        <v>OK</v>
      </c>
      <c r="I464" s="39" t="str">
        <f aca="false">IF(COUNTIF($A$5:A464,A464)&gt;1,"Duplicate","Unique")</f>
        <v>Unique</v>
      </c>
      <c r="J464" s="39" t="str">
        <f aca="false">IF(I464="Duplicate","Remove",IF(H464="Mismatch","Exclude","Keep"))</f>
        <v>Keep</v>
      </c>
    </row>
    <row r="465" customFormat="false" ht="15" hidden="false" customHeight="false" outlineLevel="0" collapsed="false">
      <c r="A465" s="39" t="s">
        <v>580</v>
      </c>
      <c r="B465" s="40" t="n">
        <v>45727</v>
      </c>
      <c r="C465" s="39" t="s">
        <v>110</v>
      </c>
      <c r="D465" s="39" t="n">
        <v>2</v>
      </c>
      <c r="E465" s="41" t="n">
        <v>13.71</v>
      </c>
      <c r="F465" s="39" t="s">
        <v>105</v>
      </c>
      <c r="G465" s="39" t="str">
        <f aca="false">UPPER(TRIM(C465))</f>
        <v>P016</v>
      </c>
      <c r="H465" s="39" t="str">
        <f aca="false">IF(ISNUMBER(MATCH(G465,Products!$A$5:$A$24,0)),"OK","Mismatch")</f>
        <v>OK</v>
      </c>
      <c r="I465" s="39" t="str">
        <f aca="false">IF(COUNTIF($A$5:A465,A465)&gt;1,"Duplicate","Unique")</f>
        <v>Unique</v>
      </c>
      <c r="J465" s="39" t="str">
        <f aca="false">IF(I465="Duplicate","Remove",IF(H465="Mismatch","Exclude","Keep"))</f>
        <v>Keep</v>
      </c>
    </row>
    <row r="466" customFormat="false" ht="15" hidden="false" customHeight="false" outlineLevel="0" collapsed="false">
      <c r="A466" s="39" t="s">
        <v>581</v>
      </c>
      <c r="B466" s="40" t="n">
        <v>45728</v>
      </c>
      <c r="C466" s="39" t="s">
        <v>162</v>
      </c>
      <c r="D466" s="39" t="n">
        <v>5</v>
      </c>
      <c r="E466" s="41" t="n">
        <v>63.87</v>
      </c>
      <c r="F466" s="39" t="s">
        <v>115</v>
      </c>
      <c r="G466" s="39" t="str">
        <f aca="false">UPPER(TRIM(C466))</f>
        <v>P017</v>
      </c>
      <c r="H466" s="39" t="str">
        <f aca="false">IF(ISNUMBER(MATCH(G466,Products!$A$5:$A$24,0)),"OK","Mismatch")</f>
        <v>OK</v>
      </c>
      <c r="I466" s="39" t="str">
        <f aca="false">IF(COUNTIF($A$5:A466,A466)&gt;1,"Duplicate","Unique")</f>
        <v>Unique</v>
      </c>
      <c r="J466" s="39" t="str">
        <f aca="false">IF(I466="Duplicate","Remove",IF(H466="Mismatch","Exclude","Keep"))</f>
        <v>Keep</v>
      </c>
    </row>
    <row r="467" customFormat="false" ht="15" hidden="false" customHeight="false" outlineLevel="0" collapsed="false">
      <c r="A467" s="39" t="s">
        <v>582</v>
      </c>
      <c r="B467" s="40" t="n">
        <v>45728</v>
      </c>
      <c r="C467" s="39" t="s">
        <v>162</v>
      </c>
      <c r="D467" s="39" t="n">
        <v>5</v>
      </c>
      <c r="E467" s="41" t="n">
        <v>65.58</v>
      </c>
      <c r="F467" s="39" t="s">
        <v>115</v>
      </c>
      <c r="G467" s="39" t="str">
        <f aca="false">UPPER(TRIM(C467))</f>
        <v>P017</v>
      </c>
      <c r="H467" s="39" t="str">
        <f aca="false">IF(ISNUMBER(MATCH(G467,Products!$A$5:$A$24,0)),"OK","Mismatch")</f>
        <v>OK</v>
      </c>
      <c r="I467" s="39" t="str">
        <f aca="false">IF(COUNTIF($A$5:A467,A467)&gt;1,"Duplicate","Unique")</f>
        <v>Unique</v>
      </c>
      <c r="J467" s="39" t="str">
        <f aca="false">IF(I467="Duplicate","Remove",IF(H467="Mismatch","Exclude","Keep"))</f>
        <v>Keep</v>
      </c>
    </row>
    <row r="468" customFormat="false" ht="15" hidden="false" customHeight="false" outlineLevel="0" collapsed="false">
      <c r="A468" s="39" t="s">
        <v>583</v>
      </c>
      <c r="B468" s="40" t="n">
        <v>45728</v>
      </c>
      <c r="C468" s="39" t="s">
        <v>136</v>
      </c>
      <c r="D468" s="39" t="n">
        <v>1</v>
      </c>
      <c r="E468" s="41" t="n">
        <v>77.1</v>
      </c>
      <c r="F468" s="39" t="s">
        <v>105</v>
      </c>
      <c r="G468" s="39" t="str">
        <f aca="false">UPPER(TRIM(C468))</f>
        <v>P002</v>
      </c>
      <c r="H468" s="39" t="str">
        <f aca="false">IF(ISNUMBER(MATCH(G468,Products!$A$5:$A$24,0)),"OK","Mismatch")</f>
        <v>OK</v>
      </c>
      <c r="I468" s="39" t="str">
        <f aca="false">IF(COUNTIF($A$5:A468,A468)&gt;1,"Duplicate","Unique")</f>
        <v>Unique</v>
      </c>
      <c r="J468" s="39" t="str">
        <f aca="false">IF(I468="Duplicate","Remove",IF(H468="Mismatch","Exclude","Keep"))</f>
        <v>Keep</v>
      </c>
    </row>
    <row r="469" customFormat="false" ht="15" hidden="false" customHeight="false" outlineLevel="0" collapsed="false">
      <c r="A469" s="39" t="s">
        <v>584</v>
      </c>
      <c r="B469" s="40" t="n">
        <v>45728</v>
      </c>
      <c r="C469" s="39" t="s">
        <v>104</v>
      </c>
      <c r="D469" s="39" t="n">
        <v>3</v>
      </c>
      <c r="E469" s="41" t="n">
        <v>15.39</v>
      </c>
      <c r="F469" s="39" t="s">
        <v>115</v>
      </c>
      <c r="G469" s="39" t="str">
        <f aca="false">UPPER(TRIM(C469))</f>
        <v>P015</v>
      </c>
      <c r="H469" s="39" t="str">
        <f aca="false">IF(ISNUMBER(MATCH(G469,Products!$A$5:$A$24,0)),"OK","Mismatch")</f>
        <v>OK</v>
      </c>
      <c r="I469" s="39" t="str">
        <f aca="false">IF(COUNTIF($A$5:A469,A469)&gt;1,"Duplicate","Unique")</f>
        <v>Unique</v>
      </c>
      <c r="J469" s="39" t="str">
        <f aca="false">IF(I469="Duplicate","Remove",IF(H469="Mismatch","Exclude","Keep"))</f>
        <v>Keep</v>
      </c>
    </row>
    <row r="470" customFormat="false" ht="15" hidden="false" customHeight="false" outlineLevel="0" collapsed="false">
      <c r="A470" s="39" t="s">
        <v>584</v>
      </c>
      <c r="B470" s="40" t="n">
        <v>45728</v>
      </c>
      <c r="C470" s="39" t="s">
        <v>104</v>
      </c>
      <c r="D470" s="39" t="n">
        <v>3</v>
      </c>
      <c r="E470" s="41" t="n">
        <v>15.39</v>
      </c>
      <c r="F470" s="39" t="s">
        <v>115</v>
      </c>
      <c r="G470" s="39" t="str">
        <f aca="false">UPPER(TRIM(C470))</f>
        <v>P015</v>
      </c>
      <c r="H470" s="39" t="str">
        <f aca="false">IF(ISNUMBER(MATCH(G470,Products!$A$5:$A$24,0)),"OK","Mismatch")</f>
        <v>OK</v>
      </c>
      <c r="I470" s="39" t="str">
        <f aca="false">IF(COUNTIF($A$5:A470,A470)&gt;1,"Duplicate","Unique")</f>
        <v>Duplicate</v>
      </c>
      <c r="J470" s="39" t="str">
        <f aca="false">IF(I470="Duplicate","Remove",IF(H470="Mismatch","Exclude","Keep"))</f>
        <v>Remove</v>
      </c>
    </row>
    <row r="471" customFormat="false" ht="15" hidden="false" customHeight="false" outlineLevel="0" collapsed="false">
      <c r="A471" s="39" t="s">
        <v>585</v>
      </c>
      <c r="B471" s="40" t="n">
        <v>45728</v>
      </c>
      <c r="C471" s="39" t="s">
        <v>107</v>
      </c>
      <c r="D471" s="39" t="n">
        <v>1</v>
      </c>
      <c r="E471" s="41" t="n">
        <v>33.85</v>
      </c>
      <c r="F471" s="39" t="s">
        <v>115</v>
      </c>
      <c r="G471" s="39" t="str">
        <f aca="false">UPPER(TRIM(C471))</f>
        <v>P003</v>
      </c>
      <c r="H471" s="39" t="str">
        <f aca="false">IF(ISNUMBER(MATCH(G471,Products!$A$5:$A$24,0)),"OK","Mismatch")</f>
        <v>OK</v>
      </c>
      <c r="I471" s="39" t="str">
        <f aca="false">IF(COUNTIF($A$5:A471,A471)&gt;1,"Duplicate","Unique")</f>
        <v>Unique</v>
      </c>
      <c r="J471" s="39" t="str">
        <f aca="false">IF(I471="Duplicate","Remove",IF(H471="Mismatch","Exclude","Keep"))</f>
        <v>Keep</v>
      </c>
    </row>
    <row r="472" customFormat="false" ht="15" hidden="false" customHeight="false" outlineLevel="0" collapsed="false">
      <c r="A472" s="39" t="s">
        <v>586</v>
      </c>
      <c r="B472" s="40" t="n">
        <v>45728</v>
      </c>
      <c r="C472" s="39" t="s">
        <v>107</v>
      </c>
      <c r="D472" s="39" t="n">
        <v>2</v>
      </c>
      <c r="E472" s="41" t="n">
        <v>34.4</v>
      </c>
      <c r="F472" s="39" t="s">
        <v>115</v>
      </c>
      <c r="G472" s="39" t="str">
        <f aca="false">UPPER(TRIM(C472))</f>
        <v>P003</v>
      </c>
      <c r="H472" s="39" t="str">
        <f aca="false">IF(ISNUMBER(MATCH(G472,Products!$A$5:$A$24,0)),"OK","Mismatch")</f>
        <v>OK</v>
      </c>
      <c r="I472" s="39" t="str">
        <f aca="false">IF(COUNTIF($A$5:A472,A472)&gt;1,"Duplicate","Unique")</f>
        <v>Unique</v>
      </c>
      <c r="J472" s="39" t="str">
        <f aca="false">IF(I472="Duplicate","Remove",IF(H472="Mismatch","Exclude","Keep"))</f>
        <v>Keep</v>
      </c>
    </row>
    <row r="473" customFormat="false" ht="15" hidden="false" customHeight="false" outlineLevel="0" collapsed="false">
      <c r="A473" s="39" t="s">
        <v>587</v>
      </c>
      <c r="B473" s="40" t="n">
        <v>45728</v>
      </c>
      <c r="C473" s="39" t="s">
        <v>133</v>
      </c>
      <c r="D473" s="39" t="n">
        <v>1</v>
      </c>
      <c r="E473" s="41" t="n">
        <v>8.57</v>
      </c>
      <c r="F473" s="39" t="s">
        <v>115</v>
      </c>
      <c r="G473" s="39" t="str">
        <f aca="false">UPPER(TRIM(C473))</f>
        <v>P019</v>
      </c>
      <c r="H473" s="39" t="str">
        <f aca="false">IF(ISNUMBER(MATCH(G473,Products!$A$5:$A$24,0)),"OK","Mismatch")</f>
        <v>OK</v>
      </c>
      <c r="I473" s="39" t="str">
        <f aca="false">IF(COUNTIF($A$5:A473,A473)&gt;1,"Duplicate","Unique")</f>
        <v>Unique</v>
      </c>
      <c r="J473" s="39" t="str">
        <f aca="false">IF(I473="Duplicate","Remove",IF(H473="Mismatch","Exclude","Keep"))</f>
        <v>Keep</v>
      </c>
    </row>
    <row r="474" customFormat="false" ht="15" hidden="false" customHeight="false" outlineLevel="0" collapsed="false">
      <c r="A474" s="39" t="s">
        <v>588</v>
      </c>
      <c r="B474" s="40" t="n">
        <v>45728</v>
      </c>
      <c r="C474" s="39" t="s">
        <v>114</v>
      </c>
      <c r="D474" s="39" t="n">
        <v>3</v>
      </c>
      <c r="E474" s="41" t="n">
        <v>5.77</v>
      </c>
      <c r="F474" s="39" t="s">
        <v>105</v>
      </c>
      <c r="G474" s="39" t="str">
        <f aca="false">UPPER(TRIM(C474))</f>
        <v>P012</v>
      </c>
      <c r="H474" s="39" t="str">
        <f aca="false">IF(ISNUMBER(MATCH(G474,Products!$A$5:$A$24,0)),"OK","Mismatch")</f>
        <v>OK</v>
      </c>
      <c r="I474" s="39" t="str">
        <f aca="false">IF(COUNTIF($A$5:A474,A474)&gt;1,"Duplicate","Unique")</f>
        <v>Unique</v>
      </c>
      <c r="J474" s="39" t="str">
        <f aca="false">IF(I474="Duplicate","Remove",IF(H474="Mismatch","Exclude","Keep"))</f>
        <v>Keep</v>
      </c>
    </row>
    <row r="475" customFormat="false" ht="15" hidden="false" customHeight="false" outlineLevel="0" collapsed="false">
      <c r="A475" s="39" t="s">
        <v>589</v>
      </c>
      <c r="B475" s="40" t="n">
        <v>45728</v>
      </c>
      <c r="C475" s="39" t="s">
        <v>130</v>
      </c>
      <c r="D475" s="39" t="n">
        <v>2</v>
      </c>
      <c r="E475" s="41" t="n">
        <v>8.37</v>
      </c>
      <c r="F475" s="39" t="s">
        <v>105</v>
      </c>
      <c r="G475" s="39" t="str">
        <f aca="false">UPPER(TRIM(C475))</f>
        <v>P011</v>
      </c>
      <c r="H475" s="39" t="str">
        <f aca="false">IF(ISNUMBER(MATCH(G475,Products!$A$5:$A$24,0)),"OK","Mismatch")</f>
        <v>OK</v>
      </c>
      <c r="I475" s="39" t="str">
        <f aca="false">IF(COUNTIF($A$5:A475,A475)&gt;1,"Duplicate","Unique")</f>
        <v>Unique</v>
      </c>
      <c r="J475" s="39" t="str">
        <f aca="false">IF(I475="Duplicate","Remove",IF(H475="Mismatch","Exclude","Keep"))</f>
        <v>Keep</v>
      </c>
    </row>
    <row r="476" customFormat="false" ht="15" hidden="false" customHeight="false" outlineLevel="0" collapsed="false">
      <c r="A476" s="39" t="s">
        <v>590</v>
      </c>
      <c r="B476" s="40" t="n">
        <v>45728</v>
      </c>
      <c r="C476" s="39" t="s">
        <v>128</v>
      </c>
      <c r="D476" s="39" t="n">
        <v>1</v>
      </c>
      <c r="E476" s="41" t="n">
        <v>37.39</v>
      </c>
      <c r="F476" s="39" t="s">
        <v>105</v>
      </c>
      <c r="G476" s="39" t="str">
        <f aca="false">UPPER(TRIM(C476))</f>
        <v>P020</v>
      </c>
      <c r="H476" s="39" t="str">
        <f aca="false">IF(ISNUMBER(MATCH(G476,Products!$A$5:$A$24,0)),"OK","Mismatch")</f>
        <v>OK</v>
      </c>
      <c r="I476" s="39" t="str">
        <f aca="false">IF(COUNTIF($A$5:A476,A476)&gt;1,"Duplicate","Unique")</f>
        <v>Unique</v>
      </c>
      <c r="J476" s="39" t="str">
        <f aca="false">IF(I476="Duplicate","Remove",IF(H476="Mismatch","Exclude","Keep"))</f>
        <v>Keep</v>
      </c>
    </row>
    <row r="477" customFormat="false" ht="15" hidden="false" customHeight="false" outlineLevel="0" collapsed="false">
      <c r="A477" s="39" t="s">
        <v>591</v>
      </c>
      <c r="B477" s="40" t="n">
        <v>45728</v>
      </c>
      <c r="C477" s="39" t="s">
        <v>121</v>
      </c>
      <c r="D477" s="39" t="n">
        <v>2</v>
      </c>
      <c r="E477" s="41" t="n">
        <v>112.72</v>
      </c>
      <c r="F477" s="39" t="s">
        <v>105</v>
      </c>
      <c r="G477" s="39" t="str">
        <f aca="false">UPPER(TRIM(C477))</f>
        <v>P018</v>
      </c>
      <c r="H477" s="39" t="str">
        <f aca="false">IF(ISNUMBER(MATCH(G477,Products!$A$5:$A$24,0)),"OK","Mismatch")</f>
        <v>OK</v>
      </c>
      <c r="I477" s="39" t="str">
        <f aca="false">IF(COUNTIF($A$5:A477,A477)&gt;1,"Duplicate","Unique")</f>
        <v>Unique</v>
      </c>
      <c r="J477" s="39" t="str">
        <f aca="false">IF(I477="Duplicate","Remove",IF(H477="Mismatch","Exclude","Keep"))</f>
        <v>Keep</v>
      </c>
    </row>
    <row r="478" customFormat="false" ht="15" hidden="false" customHeight="false" outlineLevel="0" collapsed="false">
      <c r="A478" s="39" t="s">
        <v>592</v>
      </c>
      <c r="B478" s="40" t="n">
        <v>45729</v>
      </c>
      <c r="C478" s="39" t="s">
        <v>183</v>
      </c>
      <c r="D478" s="39" t="n">
        <v>2</v>
      </c>
      <c r="E478" s="41" t="n">
        <v>181.39</v>
      </c>
      <c r="F478" s="39" t="s">
        <v>108</v>
      </c>
      <c r="G478" s="39" t="str">
        <f aca="false">UPPER(TRIM(C478))</f>
        <v>P007</v>
      </c>
      <c r="H478" s="39" t="str">
        <f aca="false">IF(ISNUMBER(MATCH(G478,Products!$A$5:$A$24,0)),"OK","Mismatch")</f>
        <v>OK</v>
      </c>
      <c r="I478" s="39" t="str">
        <f aca="false">IF(COUNTIF($A$5:A478,A478)&gt;1,"Duplicate","Unique")</f>
        <v>Unique</v>
      </c>
      <c r="J478" s="39" t="str">
        <f aca="false">IF(I478="Duplicate","Remove",IF(H478="Mismatch","Exclude","Keep"))</f>
        <v>Keep</v>
      </c>
    </row>
    <row r="479" customFormat="false" ht="15" hidden="false" customHeight="false" outlineLevel="0" collapsed="false">
      <c r="A479" s="39" t="s">
        <v>593</v>
      </c>
      <c r="B479" s="40" t="n">
        <v>45729</v>
      </c>
      <c r="C479" s="39" t="s">
        <v>139</v>
      </c>
      <c r="D479" s="39" t="n">
        <v>1</v>
      </c>
      <c r="E479" s="41" t="n">
        <v>128.59</v>
      </c>
      <c r="F479" s="39" t="s">
        <v>118</v>
      </c>
      <c r="G479" s="39" t="str">
        <f aca="false">UPPER(TRIM(C479))</f>
        <v>P006</v>
      </c>
      <c r="H479" s="39" t="str">
        <f aca="false">IF(ISNUMBER(MATCH(G479,Products!$A$5:$A$24,0)),"OK","Mismatch")</f>
        <v>OK</v>
      </c>
      <c r="I479" s="39" t="str">
        <f aca="false">IF(COUNTIF($A$5:A479,A479)&gt;1,"Duplicate","Unique")</f>
        <v>Unique</v>
      </c>
      <c r="J479" s="39" t="str">
        <f aca="false">IF(I479="Duplicate","Remove",IF(H479="Mismatch","Exclude","Keep"))</f>
        <v>Keep</v>
      </c>
    </row>
    <row r="480" customFormat="false" ht="15" hidden="false" customHeight="false" outlineLevel="0" collapsed="false">
      <c r="A480" s="39" t="s">
        <v>594</v>
      </c>
      <c r="B480" s="40" t="n">
        <v>45729</v>
      </c>
      <c r="C480" s="39" t="s">
        <v>126</v>
      </c>
      <c r="D480" s="39" t="n">
        <v>3</v>
      </c>
      <c r="E480" s="41" t="n">
        <v>24.1</v>
      </c>
      <c r="F480" s="39" t="s">
        <v>105</v>
      </c>
      <c r="G480" s="39" t="str">
        <f aca="false">UPPER(TRIM(C480))</f>
        <v>P001</v>
      </c>
      <c r="H480" s="39" t="str">
        <f aca="false">IF(ISNUMBER(MATCH(G480,Products!$A$5:$A$24,0)),"OK","Mismatch")</f>
        <v>OK</v>
      </c>
      <c r="I480" s="39" t="str">
        <f aca="false">IF(COUNTIF($A$5:A480,A480)&gt;1,"Duplicate","Unique")</f>
        <v>Unique</v>
      </c>
      <c r="J480" s="39" t="str">
        <f aca="false">IF(I480="Duplicate","Remove",IF(H480="Mismatch","Exclude","Keep"))</f>
        <v>Keep</v>
      </c>
    </row>
    <row r="481" customFormat="false" ht="15" hidden="false" customHeight="false" outlineLevel="0" collapsed="false">
      <c r="A481" s="39" t="s">
        <v>595</v>
      </c>
      <c r="B481" s="40" t="n">
        <v>45729</v>
      </c>
      <c r="C481" s="39" t="s">
        <v>128</v>
      </c>
      <c r="D481" s="39" t="n">
        <v>6</v>
      </c>
      <c r="E481" s="41" t="n">
        <v>36.91</v>
      </c>
      <c r="F481" s="39" t="s">
        <v>108</v>
      </c>
      <c r="G481" s="39" t="str">
        <f aca="false">UPPER(TRIM(C481))</f>
        <v>P020</v>
      </c>
      <c r="H481" s="39" t="str">
        <f aca="false">IF(ISNUMBER(MATCH(G481,Products!$A$5:$A$24,0)),"OK","Mismatch")</f>
        <v>OK</v>
      </c>
      <c r="I481" s="39" t="str">
        <f aca="false">IF(COUNTIF($A$5:A481,A481)&gt;1,"Duplicate","Unique")</f>
        <v>Unique</v>
      </c>
      <c r="J481" s="39" t="str">
        <f aca="false">IF(I481="Duplicate","Remove",IF(H481="Mismatch","Exclude","Keep"))</f>
        <v>Keep</v>
      </c>
    </row>
    <row r="482" customFormat="false" ht="15" hidden="false" customHeight="false" outlineLevel="0" collapsed="false">
      <c r="A482" s="39" t="s">
        <v>596</v>
      </c>
      <c r="B482" s="40" t="n">
        <v>45729</v>
      </c>
      <c r="C482" s="39" t="s">
        <v>139</v>
      </c>
      <c r="D482" s="39" t="n">
        <v>2</v>
      </c>
      <c r="E482" s="41" t="n">
        <v>119.84</v>
      </c>
      <c r="F482" s="39" t="s">
        <v>108</v>
      </c>
      <c r="G482" s="39" t="str">
        <f aca="false">UPPER(TRIM(C482))</f>
        <v>P006</v>
      </c>
      <c r="H482" s="39" t="str">
        <f aca="false">IF(ISNUMBER(MATCH(G482,Products!$A$5:$A$24,0)),"OK","Mismatch")</f>
        <v>OK</v>
      </c>
      <c r="I482" s="39" t="str">
        <f aca="false">IF(COUNTIF($A$5:A482,A482)&gt;1,"Duplicate","Unique")</f>
        <v>Unique</v>
      </c>
      <c r="J482" s="39" t="str">
        <f aca="false">IF(I482="Duplicate","Remove",IF(H482="Mismatch","Exclude","Keep"))</f>
        <v>Keep</v>
      </c>
    </row>
    <row r="483" customFormat="false" ht="15" hidden="false" customHeight="false" outlineLevel="0" collapsed="false">
      <c r="A483" s="39" t="s">
        <v>597</v>
      </c>
      <c r="B483" s="40" t="n">
        <v>45729</v>
      </c>
      <c r="C483" s="39" t="s">
        <v>3151</v>
      </c>
      <c r="D483" s="39" t="n">
        <v>1</v>
      </c>
      <c r="E483" s="41" t="n">
        <v>8.41</v>
      </c>
      <c r="F483" s="39" t="s">
        <v>118</v>
      </c>
      <c r="G483" s="39" t="str">
        <f aca="false">UPPER(TRIM(C483))</f>
        <v>P019</v>
      </c>
      <c r="H483" s="39" t="str">
        <f aca="false">IF(ISNUMBER(MATCH(G483,Products!$A$5:$A$24,0)),"OK","Mismatch")</f>
        <v>OK</v>
      </c>
      <c r="I483" s="39" t="str">
        <f aca="false">IF(COUNTIF($A$5:A483,A483)&gt;1,"Duplicate","Unique")</f>
        <v>Unique</v>
      </c>
      <c r="J483" s="39" t="str">
        <f aca="false">IF(I483="Duplicate","Remove",IF(H483="Mismatch","Exclude","Keep"))</f>
        <v>Keep</v>
      </c>
    </row>
    <row r="484" customFormat="false" ht="15" hidden="false" customHeight="false" outlineLevel="0" collapsed="false">
      <c r="A484" s="39" t="s">
        <v>598</v>
      </c>
      <c r="B484" s="40" t="n">
        <v>45729</v>
      </c>
      <c r="C484" s="39" t="s">
        <v>144</v>
      </c>
      <c r="D484" s="39" t="n">
        <v>4</v>
      </c>
      <c r="E484" s="41" t="n">
        <v>54.65</v>
      </c>
      <c r="F484" s="39" t="s">
        <v>108</v>
      </c>
      <c r="G484" s="39" t="str">
        <f aca="false">UPPER(TRIM(C484))</f>
        <v>P013</v>
      </c>
      <c r="H484" s="39" t="str">
        <f aca="false">IF(ISNUMBER(MATCH(G484,Products!$A$5:$A$24,0)),"OK","Mismatch")</f>
        <v>OK</v>
      </c>
      <c r="I484" s="39" t="str">
        <f aca="false">IF(COUNTIF($A$5:A484,A484)&gt;1,"Duplicate","Unique")</f>
        <v>Unique</v>
      </c>
      <c r="J484" s="39" t="str">
        <f aca="false">IF(I484="Duplicate","Remove",IF(H484="Mismatch","Exclude","Keep"))</f>
        <v>Keep</v>
      </c>
    </row>
    <row r="485" customFormat="false" ht="15" hidden="false" customHeight="false" outlineLevel="0" collapsed="false">
      <c r="A485" s="39" t="s">
        <v>599</v>
      </c>
      <c r="B485" s="40" t="n">
        <v>45729</v>
      </c>
      <c r="C485" s="39" t="s">
        <v>126</v>
      </c>
      <c r="D485" s="39" t="n">
        <v>1</v>
      </c>
      <c r="E485" s="41" t="n">
        <v>23.97</v>
      </c>
      <c r="F485" s="39" t="s">
        <v>105</v>
      </c>
      <c r="G485" s="39" t="str">
        <f aca="false">UPPER(TRIM(C485))</f>
        <v>P001</v>
      </c>
      <c r="H485" s="39" t="str">
        <f aca="false">IF(ISNUMBER(MATCH(G485,Products!$A$5:$A$24,0)),"OK","Mismatch")</f>
        <v>OK</v>
      </c>
      <c r="I485" s="39" t="str">
        <f aca="false">IF(COUNTIF($A$5:A485,A485)&gt;1,"Duplicate","Unique")</f>
        <v>Unique</v>
      </c>
      <c r="J485" s="39" t="str">
        <f aca="false">IF(I485="Duplicate","Remove",IF(H485="Mismatch","Exclude","Keep"))</f>
        <v>Keep</v>
      </c>
    </row>
    <row r="486" customFormat="false" ht="15" hidden="false" customHeight="false" outlineLevel="0" collapsed="false">
      <c r="A486" s="39" t="s">
        <v>600</v>
      </c>
      <c r="B486" s="40" t="n">
        <v>45729</v>
      </c>
      <c r="C486" s="39" t="s">
        <v>136</v>
      </c>
      <c r="D486" s="39" t="n">
        <v>2</v>
      </c>
      <c r="E486" s="41" t="n">
        <v>78.46</v>
      </c>
      <c r="F486" s="39" t="s">
        <v>118</v>
      </c>
      <c r="G486" s="39" t="str">
        <f aca="false">UPPER(TRIM(C486))</f>
        <v>P002</v>
      </c>
      <c r="H486" s="39" t="str">
        <f aca="false">IF(ISNUMBER(MATCH(G486,Products!$A$5:$A$24,0)),"OK","Mismatch")</f>
        <v>OK</v>
      </c>
      <c r="I486" s="39" t="str">
        <f aca="false">IF(COUNTIF($A$5:A486,A486)&gt;1,"Duplicate","Unique")</f>
        <v>Unique</v>
      </c>
      <c r="J486" s="39" t="str">
        <f aca="false">IF(I486="Duplicate","Remove",IF(H486="Mismatch","Exclude","Keep"))</f>
        <v>Keep</v>
      </c>
    </row>
    <row r="487" customFormat="false" ht="15" hidden="false" customHeight="false" outlineLevel="0" collapsed="false">
      <c r="A487" s="39" t="s">
        <v>601</v>
      </c>
      <c r="B487" s="40" t="n">
        <v>45729</v>
      </c>
      <c r="C487" s="39" t="s">
        <v>112</v>
      </c>
      <c r="D487" s="39" t="n">
        <v>3</v>
      </c>
      <c r="E487" s="41" t="n">
        <v>52.04</v>
      </c>
      <c r="F487" s="39" t="s">
        <v>115</v>
      </c>
      <c r="G487" s="39" t="str">
        <f aca="false">UPPER(TRIM(C487))</f>
        <v>P005</v>
      </c>
      <c r="H487" s="39" t="str">
        <f aca="false">IF(ISNUMBER(MATCH(G487,Products!$A$5:$A$24,0)),"OK","Mismatch")</f>
        <v>OK</v>
      </c>
      <c r="I487" s="39" t="str">
        <f aca="false">IF(COUNTIF($A$5:A487,A487)&gt;1,"Duplicate","Unique")</f>
        <v>Unique</v>
      </c>
      <c r="J487" s="39" t="str">
        <f aca="false">IF(I487="Duplicate","Remove",IF(H487="Mismatch","Exclude","Keep"))</f>
        <v>Keep</v>
      </c>
    </row>
    <row r="488" customFormat="false" ht="15" hidden="false" customHeight="false" outlineLevel="0" collapsed="false">
      <c r="A488" s="39" t="s">
        <v>602</v>
      </c>
      <c r="B488" s="40" t="n">
        <v>45729</v>
      </c>
      <c r="C488" s="39" t="s">
        <v>130</v>
      </c>
      <c r="D488" s="39" t="n">
        <v>3</v>
      </c>
      <c r="E488" s="41" t="n">
        <v>8.6</v>
      </c>
      <c r="F488" s="39" t="s">
        <v>108</v>
      </c>
      <c r="G488" s="39" t="str">
        <f aca="false">UPPER(TRIM(C488))</f>
        <v>P011</v>
      </c>
      <c r="H488" s="39" t="str">
        <f aca="false">IF(ISNUMBER(MATCH(G488,Products!$A$5:$A$24,0)),"OK","Mismatch")</f>
        <v>OK</v>
      </c>
      <c r="I488" s="39" t="str">
        <f aca="false">IF(COUNTIF($A$5:A488,A488)&gt;1,"Duplicate","Unique")</f>
        <v>Unique</v>
      </c>
      <c r="J488" s="39" t="str">
        <f aca="false">IF(I488="Duplicate","Remove",IF(H488="Mismatch","Exclude","Keep"))</f>
        <v>Keep</v>
      </c>
    </row>
    <row r="489" customFormat="false" ht="15" hidden="false" customHeight="false" outlineLevel="0" collapsed="false">
      <c r="A489" s="39" t="s">
        <v>603</v>
      </c>
      <c r="B489" s="40" t="n">
        <v>45730</v>
      </c>
      <c r="C489" s="39" t="s">
        <v>130</v>
      </c>
      <c r="D489" s="39" t="n">
        <v>5</v>
      </c>
      <c r="E489" s="41" t="n">
        <v>8.52</v>
      </c>
      <c r="F489" s="39" t="s">
        <v>115</v>
      </c>
      <c r="G489" s="39" t="str">
        <f aca="false">UPPER(TRIM(C489))</f>
        <v>P011</v>
      </c>
      <c r="H489" s="39" t="str">
        <f aca="false">IF(ISNUMBER(MATCH(G489,Products!$A$5:$A$24,0)),"OK","Mismatch")</f>
        <v>OK</v>
      </c>
      <c r="I489" s="39" t="str">
        <f aca="false">IF(COUNTIF($A$5:A489,A489)&gt;1,"Duplicate","Unique")</f>
        <v>Unique</v>
      </c>
      <c r="J489" s="39" t="str">
        <f aca="false">IF(I489="Duplicate","Remove",IF(H489="Mismatch","Exclude","Keep"))</f>
        <v>Keep</v>
      </c>
    </row>
    <row r="490" customFormat="false" ht="15" hidden="false" customHeight="false" outlineLevel="0" collapsed="false">
      <c r="A490" s="39" t="s">
        <v>604</v>
      </c>
      <c r="B490" s="40" t="n">
        <v>45730</v>
      </c>
      <c r="C490" s="39" t="s">
        <v>104</v>
      </c>
      <c r="D490" s="39" t="n">
        <v>1</v>
      </c>
      <c r="E490" s="41" t="n">
        <v>14.85</v>
      </c>
      <c r="F490" s="39" t="s">
        <v>108</v>
      </c>
      <c r="G490" s="39" t="str">
        <f aca="false">UPPER(TRIM(C490))</f>
        <v>P015</v>
      </c>
      <c r="H490" s="39" t="str">
        <f aca="false">IF(ISNUMBER(MATCH(G490,Products!$A$5:$A$24,0)),"OK","Mismatch")</f>
        <v>OK</v>
      </c>
      <c r="I490" s="39" t="str">
        <f aca="false">IF(COUNTIF($A$5:A490,A490)&gt;1,"Duplicate","Unique")</f>
        <v>Unique</v>
      </c>
      <c r="J490" s="39" t="str">
        <f aca="false">IF(I490="Duplicate","Remove",IF(H490="Mismatch","Exclude","Keep"))</f>
        <v>Keep</v>
      </c>
    </row>
    <row r="491" customFormat="false" ht="15" hidden="false" customHeight="false" outlineLevel="0" collapsed="false">
      <c r="A491" s="39" t="s">
        <v>605</v>
      </c>
      <c r="B491" s="40" t="n">
        <v>45730</v>
      </c>
      <c r="C491" s="39" t="s">
        <v>117</v>
      </c>
      <c r="D491" s="39" t="n">
        <v>1</v>
      </c>
      <c r="E491" s="41" t="n">
        <v>31.15</v>
      </c>
      <c r="F491" s="39" t="s">
        <v>115</v>
      </c>
      <c r="G491" s="39" t="str">
        <f aca="false">UPPER(TRIM(C491))</f>
        <v>P009</v>
      </c>
      <c r="H491" s="39" t="str">
        <f aca="false">IF(ISNUMBER(MATCH(G491,Products!$A$5:$A$24,0)),"OK","Mismatch")</f>
        <v>OK</v>
      </c>
      <c r="I491" s="39" t="str">
        <f aca="false">IF(COUNTIF($A$5:A491,A491)&gt;1,"Duplicate","Unique")</f>
        <v>Unique</v>
      </c>
      <c r="J491" s="39" t="str">
        <f aca="false">IF(I491="Duplicate","Remove",IF(H491="Mismatch","Exclude","Keep"))</f>
        <v>Keep</v>
      </c>
    </row>
    <row r="492" customFormat="false" ht="15" hidden="false" customHeight="false" outlineLevel="0" collapsed="false">
      <c r="A492" s="39" t="s">
        <v>606</v>
      </c>
      <c r="B492" s="40" t="n">
        <v>45730</v>
      </c>
      <c r="C492" s="39" t="s">
        <v>110</v>
      </c>
      <c r="D492" s="39" t="n">
        <v>2</v>
      </c>
      <c r="E492" s="41" t="n">
        <v>13.99</v>
      </c>
      <c r="F492" s="39" t="s">
        <v>108</v>
      </c>
      <c r="G492" s="39" t="str">
        <f aca="false">UPPER(TRIM(C492))</f>
        <v>P016</v>
      </c>
      <c r="H492" s="39" t="str">
        <f aca="false">IF(ISNUMBER(MATCH(G492,Products!$A$5:$A$24,0)),"OK","Mismatch")</f>
        <v>OK</v>
      </c>
      <c r="I492" s="39" t="str">
        <f aca="false">IF(COUNTIF($A$5:A492,A492)&gt;1,"Duplicate","Unique")</f>
        <v>Unique</v>
      </c>
      <c r="J492" s="39" t="str">
        <f aca="false">IF(I492="Duplicate","Remove",IF(H492="Mismatch","Exclude","Keep"))</f>
        <v>Keep</v>
      </c>
    </row>
    <row r="493" customFormat="false" ht="15" hidden="false" customHeight="false" outlineLevel="0" collapsed="false">
      <c r="A493" s="39" t="s">
        <v>607</v>
      </c>
      <c r="B493" s="40" t="n">
        <v>45730</v>
      </c>
      <c r="C493" s="39" t="s">
        <v>3152</v>
      </c>
      <c r="D493" s="39" t="n">
        <v>2</v>
      </c>
      <c r="E493" s="41" t="n">
        <v>15.07</v>
      </c>
      <c r="F493" s="39" t="s">
        <v>105</v>
      </c>
      <c r="G493" s="39" t="str">
        <f aca="false">UPPER(TRIM(C493))</f>
        <v>P015</v>
      </c>
      <c r="H493" s="39" t="str">
        <f aca="false">IF(ISNUMBER(MATCH(G493,Products!$A$5:$A$24,0)),"OK","Mismatch")</f>
        <v>OK</v>
      </c>
      <c r="I493" s="39" t="str">
        <f aca="false">IF(COUNTIF($A$5:A493,A493)&gt;1,"Duplicate","Unique")</f>
        <v>Unique</v>
      </c>
      <c r="J493" s="39" t="str">
        <f aca="false">IF(I493="Duplicate","Remove",IF(H493="Mismatch","Exclude","Keep"))</f>
        <v>Keep</v>
      </c>
    </row>
    <row r="494" customFormat="false" ht="15" hidden="false" customHeight="false" outlineLevel="0" collapsed="false">
      <c r="A494" s="39" t="s">
        <v>608</v>
      </c>
      <c r="B494" s="40" t="n">
        <v>45730</v>
      </c>
      <c r="C494" s="39" t="s">
        <v>162</v>
      </c>
      <c r="D494" s="39" t="n">
        <v>2</v>
      </c>
      <c r="E494" s="41" t="n">
        <v>65.86</v>
      </c>
      <c r="F494" s="39" t="s">
        <v>108</v>
      </c>
      <c r="G494" s="39" t="str">
        <f aca="false">UPPER(TRIM(C494))</f>
        <v>P017</v>
      </c>
      <c r="H494" s="39" t="str">
        <f aca="false">IF(ISNUMBER(MATCH(G494,Products!$A$5:$A$24,0)),"OK","Mismatch")</f>
        <v>OK</v>
      </c>
      <c r="I494" s="39" t="str">
        <f aca="false">IF(COUNTIF($A$5:A494,A494)&gt;1,"Duplicate","Unique")</f>
        <v>Unique</v>
      </c>
      <c r="J494" s="39" t="str">
        <f aca="false">IF(I494="Duplicate","Remove",IF(H494="Mismatch","Exclude","Keep"))</f>
        <v>Keep</v>
      </c>
    </row>
    <row r="495" customFormat="false" ht="15" hidden="false" customHeight="false" outlineLevel="0" collapsed="false">
      <c r="A495" s="39" t="s">
        <v>609</v>
      </c>
      <c r="B495" s="40" t="n">
        <v>45730</v>
      </c>
      <c r="C495" s="39" t="s">
        <v>139</v>
      </c>
      <c r="D495" s="39" t="n">
        <v>4</v>
      </c>
      <c r="E495" s="41" t="n">
        <v>121.91</v>
      </c>
      <c r="F495" s="39" t="s">
        <v>108</v>
      </c>
      <c r="G495" s="39" t="str">
        <f aca="false">UPPER(TRIM(C495))</f>
        <v>P006</v>
      </c>
      <c r="H495" s="39" t="str">
        <f aca="false">IF(ISNUMBER(MATCH(G495,Products!$A$5:$A$24,0)),"OK","Mismatch")</f>
        <v>OK</v>
      </c>
      <c r="I495" s="39" t="str">
        <f aca="false">IF(COUNTIF($A$5:A495,A495)&gt;1,"Duplicate","Unique")</f>
        <v>Unique</v>
      </c>
      <c r="J495" s="39" t="str">
        <f aca="false">IF(I495="Duplicate","Remove",IF(H495="Mismatch","Exclude","Keep"))</f>
        <v>Keep</v>
      </c>
    </row>
    <row r="496" customFormat="false" ht="15" hidden="false" customHeight="false" outlineLevel="0" collapsed="false">
      <c r="A496" s="39" t="s">
        <v>610</v>
      </c>
      <c r="B496" s="40" t="n">
        <v>45731</v>
      </c>
      <c r="C496" s="39" t="s">
        <v>117</v>
      </c>
      <c r="D496" s="39" t="n">
        <v>6</v>
      </c>
      <c r="E496" s="41" t="n">
        <v>31.46</v>
      </c>
      <c r="F496" s="39" t="s">
        <v>105</v>
      </c>
      <c r="G496" s="39" t="str">
        <f aca="false">UPPER(TRIM(C496))</f>
        <v>P009</v>
      </c>
      <c r="H496" s="39" t="str">
        <f aca="false">IF(ISNUMBER(MATCH(G496,Products!$A$5:$A$24,0)),"OK","Mismatch")</f>
        <v>OK</v>
      </c>
      <c r="I496" s="39" t="str">
        <f aca="false">IF(COUNTIF($A$5:A496,A496)&gt;1,"Duplicate","Unique")</f>
        <v>Unique</v>
      </c>
      <c r="J496" s="39" t="str">
        <f aca="false">IF(I496="Duplicate","Remove",IF(H496="Mismatch","Exclude","Keep"))</f>
        <v>Keep</v>
      </c>
    </row>
    <row r="497" customFormat="false" ht="15" hidden="false" customHeight="false" outlineLevel="0" collapsed="false">
      <c r="A497" s="39" t="s">
        <v>611</v>
      </c>
      <c r="B497" s="40" t="n">
        <v>45731</v>
      </c>
      <c r="C497" s="39" t="s">
        <v>305</v>
      </c>
      <c r="D497" s="39" t="n">
        <v>2</v>
      </c>
      <c r="E497" s="41" t="n">
        <v>327.6</v>
      </c>
      <c r="F497" s="39" t="s">
        <v>118</v>
      </c>
      <c r="G497" s="39" t="str">
        <f aca="false">UPPER(TRIM(C497))</f>
        <v>P008</v>
      </c>
      <c r="H497" s="39" t="str">
        <f aca="false">IF(ISNUMBER(MATCH(G497,Products!$A$5:$A$24,0)),"OK","Mismatch")</f>
        <v>OK</v>
      </c>
      <c r="I497" s="39" t="str">
        <f aca="false">IF(COUNTIF($A$5:A497,A497)&gt;1,"Duplicate","Unique")</f>
        <v>Unique</v>
      </c>
      <c r="J497" s="39" t="str">
        <f aca="false">IF(I497="Duplicate","Remove",IF(H497="Mismatch","Exclude","Keep"))</f>
        <v>Keep</v>
      </c>
    </row>
    <row r="498" customFormat="false" ht="15" hidden="false" customHeight="false" outlineLevel="0" collapsed="false">
      <c r="A498" s="39" t="s">
        <v>612</v>
      </c>
      <c r="B498" s="40" t="n">
        <v>45731</v>
      </c>
      <c r="C498" s="39" t="s">
        <v>133</v>
      </c>
      <c r="D498" s="39" t="n">
        <v>5</v>
      </c>
      <c r="E498" s="41" t="n">
        <v>8.66</v>
      </c>
      <c r="F498" s="39" t="s">
        <v>118</v>
      </c>
      <c r="G498" s="39" t="str">
        <f aca="false">UPPER(TRIM(C498))</f>
        <v>P019</v>
      </c>
      <c r="H498" s="39" t="str">
        <f aca="false">IF(ISNUMBER(MATCH(G498,Products!$A$5:$A$24,0)),"OK","Mismatch")</f>
        <v>OK</v>
      </c>
      <c r="I498" s="39" t="str">
        <f aca="false">IF(COUNTIF($A$5:A498,A498)&gt;1,"Duplicate","Unique")</f>
        <v>Unique</v>
      </c>
      <c r="J498" s="39" t="str">
        <f aca="false">IF(I498="Duplicate","Remove",IF(H498="Mismatch","Exclude","Keep"))</f>
        <v>Keep</v>
      </c>
    </row>
    <row r="499" customFormat="false" ht="15" hidden="false" customHeight="false" outlineLevel="0" collapsed="false">
      <c r="A499" s="39" t="s">
        <v>613</v>
      </c>
      <c r="B499" s="40" t="n">
        <v>45731</v>
      </c>
      <c r="C499" s="39" t="s">
        <v>126</v>
      </c>
      <c r="D499" s="39" t="n">
        <v>6</v>
      </c>
      <c r="E499" s="41" t="n">
        <v>23.11</v>
      </c>
      <c r="F499" s="39" t="s">
        <v>105</v>
      </c>
      <c r="G499" s="39" t="str">
        <f aca="false">UPPER(TRIM(C499))</f>
        <v>P001</v>
      </c>
      <c r="H499" s="39" t="str">
        <f aca="false">IF(ISNUMBER(MATCH(G499,Products!$A$5:$A$24,0)),"OK","Mismatch")</f>
        <v>OK</v>
      </c>
      <c r="I499" s="39" t="str">
        <f aca="false">IF(COUNTIF($A$5:A499,A499)&gt;1,"Duplicate","Unique")</f>
        <v>Unique</v>
      </c>
      <c r="J499" s="39" t="str">
        <f aca="false">IF(I499="Duplicate","Remove",IF(H499="Mismatch","Exclude","Keep"))</f>
        <v>Keep</v>
      </c>
    </row>
    <row r="500" customFormat="false" ht="15" hidden="false" customHeight="false" outlineLevel="0" collapsed="false">
      <c r="A500" s="39" t="s">
        <v>614</v>
      </c>
      <c r="B500" s="40" t="n">
        <v>45731</v>
      </c>
      <c r="C500" s="39" t="s">
        <v>183</v>
      </c>
      <c r="D500" s="39" t="n">
        <v>1</v>
      </c>
      <c r="E500" s="41" t="n">
        <v>185.75</v>
      </c>
      <c r="F500" s="39" t="s">
        <v>105</v>
      </c>
      <c r="G500" s="39" t="str">
        <f aca="false">UPPER(TRIM(C500))</f>
        <v>P007</v>
      </c>
      <c r="H500" s="39" t="str">
        <f aca="false">IF(ISNUMBER(MATCH(G500,Products!$A$5:$A$24,0)),"OK","Mismatch")</f>
        <v>OK</v>
      </c>
      <c r="I500" s="39" t="str">
        <f aca="false">IF(COUNTIF($A$5:A500,A500)&gt;1,"Duplicate","Unique")</f>
        <v>Unique</v>
      </c>
      <c r="J500" s="39" t="str">
        <f aca="false">IF(I500="Duplicate","Remove",IF(H500="Mismatch","Exclude","Keep"))</f>
        <v>Keep</v>
      </c>
    </row>
    <row r="501" customFormat="false" ht="15" hidden="false" customHeight="false" outlineLevel="0" collapsed="false">
      <c r="A501" s="39" t="s">
        <v>615</v>
      </c>
      <c r="B501" s="40" t="n">
        <v>45731</v>
      </c>
      <c r="C501" s="39" t="s">
        <v>162</v>
      </c>
      <c r="D501" s="39" t="n">
        <v>2</v>
      </c>
      <c r="E501" s="41" t="n">
        <v>64.04</v>
      </c>
      <c r="F501" s="39" t="s">
        <v>108</v>
      </c>
      <c r="G501" s="39" t="str">
        <f aca="false">UPPER(TRIM(C501))</f>
        <v>P017</v>
      </c>
      <c r="H501" s="39" t="str">
        <f aca="false">IF(ISNUMBER(MATCH(G501,Products!$A$5:$A$24,0)),"OK","Mismatch")</f>
        <v>OK</v>
      </c>
      <c r="I501" s="39" t="str">
        <f aca="false">IF(COUNTIF($A$5:A501,A501)&gt;1,"Duplicate","Unique")</f>
        <v>Unique</v>
      </c>
      <c r="J501" s="39" t="str">
        <f aca="false">IF(I501="Duplicate","Remove",IF(H501="Mismatch","Exclude","Keep"))</f>
        <v>Keep</v>
      </c>
    </row>
    <row r="502" customFormat="false" ht="15" hidden="false" customHeight="false" outlineLevel="0" collapsed="false">
      <c r="A502" s="39" t="s">
        <v>616</v>
      </c>
      <c r="B502" s="40" t="n">
        <v>45731</v>
      </c>
      <c r="C502" s="39" t="s">
        <v>162</v>
      </c>
      <c r="D502" s="39" t="n">
        <v>2</v>
      </c>
      <c r="E502" s="41" t="n">
        <v>68.33</v>
      </c>
      <c r="F502" s="39" t="s">
        <v>105</v>
      </c>
      <c r="G502" s="39" t="str">
        <f aca="false">UPPER(TRIM(C502))</f>
        <v>P017</v>
      </c>
      <c r="H502" s="39" t="str">
        <f aca="false">IF(ISNUMBER(MATCH(G502,Products!$A$5:$A$24,0)),"OK","Mismatch")</f>
        <v>OK</v>
      </c>
      <c r="I502" s="39" t="str">
        <f aca="false">IF(COUNTIF($A$5:A502,A502)&gt;1,"Duplicate","Unique")</f>
        <v>Unique</v>
      </c>
      <c r="J502" s="39" t="str">
        <f aca="false">IF(I502="Duplicate","Remove",IF(H502="Mismatch","Exclude","Keep"))</f>
        <v>Keep</v>
      </c>
    </row>
    <row r="503" customFormat="false" ht="15" hidden="false" customHeight="false" outlineLevel="0" collapsed="false">
      <c r="A503" s="39" t="s">
        <v>616</v>
      </c>
      <c r="B503" s="40" t="n">
        <v>45731</v>
      </c>
      <c r="C503" s="39" t="s">
        <v>162</v>
      </c>
      <c r="D503" s="39" t="n">
        <v>2</v>
      </c>
      <c r="E503" s="41" t="n">
        <v>68.33</v>
      </c>
      <c r="F503" s="39" t="s">
        <v>105</v>
      </c>
      <c r="G503" s="39" t="str">
        <f aca="false">UPPER(TRIM(C503))</f>
        <v>P017</v>
      </c>
      <c r="H503" s="39" t="str">
        <f aca="false">IF(ISNUMBER(MATCH(G503,Products!$A$5:$A$24,0)),"OK","Mismatch")</f>
        <v>OK</v>
      </c>
      <c r="I503" s="39" t="str">
        <f aca="false">IF(COUNTIF($A$5:A503,A503)&gt;1,"Duplicate","Unique")</f>
        <v>Duplicate</v>
      </c>
      <c r="J503" s="39" t="str">
        <f aca="false">IF(I503="Duplicate","Remove",IF(H503="Mismatch","Exclude","Keep"))</f>
        <v>Remove</v>
      </c>
    </row>
    <row r="504" customFormat="false" ht="15" hidden="false" customHeight="false" outlineLevel="0" collapsed="false">
      <c r="A504" s="39" t="s">
        <v>617</v>
      </c>
      <c r="B504" s="40" t="n">
        <v>45732</v>
      </c>
      <c r="C504" s="39" t="s">
        <v>162</v>
      </c>
      <c r="D504" s="39" t="n">
        <v>8</v>
      </c>
      <c r="E504" s="41" t="n">
        <v>68.59</v>
      </c>
      <c r="F504" s="39" t="s">
        <v>108</v>
      </c>
      <c r="G504" s="39" t="str">
        <f aca="false">UPPER(TRIM(C504))</f>
        <v>P017</v>
      </c>
      <c r="H504" s="39" t="str">
        <f aca="false">IF(ISNUMBER(MATCH(G504,Products!$A$5:$A$24,0)),"OK","Mismatch")</f>
        <v>OK</v>
      </c>
      <c r="I504" s="39" t="str">
        <f aca="false">IF(COUNTIF($A$5:A504,A504)&gt;1,"Duplicate","Unique")</f>
        <v>Unique</v>
      </c>
      <c r="J504" s="39" t="str">
        <f aca="false">IF(I504="Duplicate","Remove",IF(H504="Mismatch","Exclude","Keep"))</f>
        <v>Keep</v>
      </c>
    </row>
    <row r="505" customFormat="false" ht="15" hidden="false" customHeight="false" outlineLevel="0" collapsed="false">
      <c r="A505" s="39" t="s">
        <v>618</v>
      </c>
      <c r="B505" s="40" t="n">
        <v>45732</v>
      </c>
      <c r="C505" s="39" t="s">
        <v>133</v>
      </c>
      <c r="D505" s="39" t="n">
        <v>6</v>
      </c>
      <c r="E505" s="41" t="n">
        <v>8.65</v>
      </c>
      <c r="F505" s="39" t="s">
        <v>108</v>
      </c>
      <c r="G505" s="39" t="str">
        <f aca="false">UPPER(TRIM(C505))</f>
        <v>P019</v>
      </c>
      <c r="H505" s="39" t="str">
        <f aca="false">IF(ISNUMBER(MATCH(G505,Products!$A$5:$A$24,0)),"OK","Mismatch")</f>
        <v>OK</v>
      </c>
      <c r="I505" s="39" t="str">
        <f aca="false">IF(COUNTIF($A$5:A505,A505)&gt;1,"Duplicate","Unique")</f>
        <v>Unique</v>
      </c>
      <c r="J505" s="39" t="str">
        <f aca="false">IF(I505="Duplicate","Remove",IF(H505="Mismatch","Exclude","Keep"))</f>
        <v>Keep</v>
      </c>
    </row>
    <row r="506" customFormat="false" ht="15" hidden="false" customHeight="false" outlineLevel="0" collapsed="false">
      <c r="A506" s="39" t="s">
        <v>619</v>
      </c>
      <c r="B506" s="40" t="n">
        <v>45732</v>
      </c>
      <c r="C506" s="39" t="s">
        <v>162</v>
      </c>
      <c r="D506" s="39" t="n">
        <v>5</v>
      </c>
      <c r="E506" s="41" t="n">
        <v>63.82</v>
      </c>
      <c r="F506" s="39" t="s">
        <v>108</v>
      </c>
      <c r="G506" s="39" t="str">
        <f aca="false">UPPER(TRIM(C506))</f>
        <v>P017</v>
      </c>
      <c r="H506" s="39" t="str">
        <f aca="false">IF(ISNUMBER(MATCH(G506,Products!$A$5:$A$24,0)),"OK","Mismatch")</f>
        <v>OK</v>
      </c>
      <c r="I506" s="39" t="str">
        <f aca="false">IF(COUNTIF($A$5:A506,A506)&gt;1,"Duplicate","Unique")</f>
        <v>Unique</v>
      </c>
      <c r="J506" s="39" t="str">
        <f aca="false">IF(I506="Duplicate","Remove",IF(H506="Mismatch","Exclude","Keep"))</f>
        <v>Keep</v>
      </c>
    </row>
    <row r="507" customFormat="false" ht="15" hidden="false" customHeight="false" outlineLevel="0" collapsed="false">
      <c r="A507" s="39" t="s">
        <v>620</v>
      </c>
      <c r="B507" s="40" t="n">
        <v>45732</v>
      </c>
      <c r="C507" s="39" t="s">
        <v>104</v>
      </c>
      <c r="D507" s="39" t="n">
        <v>2</v>
      </c>
      <c r="E507" s="41" t="n">
        <v>15.79</v>
      </c>
      <c r="F507" s="39" t="s">
        <v>115</v>
      </c>
      <c r="G507" s="39" t="str">
        <f aca="false">UPPER(TRIM(C507))</f>
        <v>P015</v>
      </c>
      <c r="H507" s="39" t="str">
        <f aca="false">IF(ISNUMBER(MATCH(G507,Products!$A$5:$A$24,0)),"OK","Mismatch")</f>
        <v>OK</v>
      </c>
      <c r="I507" s="39" t="str">
        <f aca="false">IF(COUNTIF($A$5:A507,A507)&gt;1,"Duplicate","Unique")</f>
        <v>Unique</v>
      </c>
      <c r="J507" s="39" t="str">
        <f aca="false">IF(I507="Duplicate","Remove",IF(H507="Mismatch","Exclude","Keep"))</f>
        <v>Keep</v>
      </c>
    </row>
    <row r="508" customFormat="false" ht="15" hidden="false" customHeight="false" outlineLevel="0" collapsed="false">
      <c r="A508" s="39" t="s">
        <v>621</v>
      </c>
      <c r="B508" s="40" t="n">
        <v>45732</v>
      </c>
      <c r="C508" s="39" t="s">
        <v>183</v>
      </c>
      <c r="D508" s="39" t="n">
        <v>3</v>
      </c>
      <c r="E508" s="41" t="n">
        <v>174.15</v>
      </c>
      <c r="F508" s="39" t="s">
        <v>115</v>
      </c>
      <c r="G508" s="39" t="str">
        <f aca="false">UPPER(TRIM(C508))</f>
        <v>P007</v>
      </c>
      <c r="H508" s="39" t="str">
        <f aca="false">IF(ISNUMBER(MATCH(G508,Products!$A$5:$A$24,0)),"OK","Mismatch")</f>
        <v>OK</v>
      </c>
      <c r="I508" s="39" t="str">
        <f aca="false">IF(COUNTIF($A$5:A508,A508)&gt;1,"Duplicate","Unique")</f>
        <v>Unique</v>
      </c>
      <c r="J508" s="39" t="str">
        <f aca="false">IF(I508="Duplicate","Remove",IF(H508="Mismatch","Exclude","Keep"))</f>
        <v>Keep</v>
      </c>
    </row>
    <row r="509" customFormat="false" ht="15" hidden="false" customHeight="false" outlineLevel="0" collapsed="false">
      <c r="A509" s="39" t="s">
        <v>622</v>
      </c>
      <c r="B509" s="40" t="n">
        <v>45732</v>
      </c>
      <c r="C509" s="39" t="s">
        <v>130</v>
      </c>
      <c r="D509" s="39" t="n">
        <v>2</v>
      </c>
      <c r="E509" s="41" t="n">
        <v>8.91</v>
      </c>
      <c r="F509" s="39" t="s">
        <v>105</v>
      </c>
      <c r="G509" s="39" t="str">
        <f aca="false">UPPER(TRIM(C509))</f>
        <v>P011</v>
      </c>
      <c r="H509" s="39" t="str">
        <f aca="false">IF(ISNUMBER(MATCH(G509,Products!$A$5:$A$24,0)),"OK","Mismatch")</f>
        <v>OK</v>
      </c>
      <c r="I509" s="39" t="str">
        <f aca="false">IF(COUNTIF($A$5:A509,A509)&gt;1,"Duplicate","Unique")</f>
        <v>Unique</v>
      </c>
      <c r="J509" s="39" t="str">
        <f aca="false">IF(I509="Duplicate","Remove",IF(H509="Mismatch","Exclude","Keep"))</f>
        <v>Keep</v>
      </c>
    </row>
    <row r="510" customFormat="false" ht="15" hidden="false" customHeight="false" outlineLevel="0" collapsed="false">
      <c r="A510" s="39" t="s">
        <v>623</v>
      </c>
      <c r="B510" s="40" t="n">
        <v>45732</v>
      </c>
      <c r="C510" s="39" t="s">
        <v>112</v>
      </c>
      <c r="D510" s="39" t="n">
        <v>5</v>
      </c>
      <c r="E510" s="41" t="n">
        <v>52.81</v>
      </c>
      <c r="F510" s="39" t="s">
        <v>118</v>
      </c>
      <c r="G510" s="39" t="str">
        <f aca="false">UPPER(TRIM(C510))</f>
        <v>P005</v>
      </c>
      <c r="H510" s="39" t="str">
        <f aca="false">IF(ISNUMBER(MATCH(G510,Products!$A$5:$A$24,0)),"OK","Mismatch")</f>
        <v>OK</v>
      </c>
      <c r="I510" s="39" t="str">
        <f aca="false">IF(COUNTIF($A$5:A510,A510)&gt;1,"Duplicate","Unique")</f>
        <v>Unique</v>
      </c>
      <c r="J510" s="39" t="str">
        <f aca="false">IF(I510="Duplicate","Remove",IF(H510="Mismatch","Exclude","Keep"))</f>
        <v>Keep</v>
      </c>
    </row>
    <row r="511" customFormat="false" ht="15" hidden="false" customHeight="false" outlineLevel="0" collapsed="false">
      <c r="A511" s="39" t="s">
        <v>624</v>
      </c>
      <c r="B511" s="40" t="n">
        <v>45732</v>
      </c>
      <c r="C511" s="39" t="s">
        <v>114</v>
      </c>
      <c r="D511" s="39" t="n">
        <v>1</v>
      </c>
      <c r="E511" s="41" t="n">
        <v>5.67</v>
      </c>
      <c r="F511" s="39" t="s">
        <v>115</v>
      </c>
      <c r="G511" s="39" t="str">
        <f aca="false">UPPER(TRIM(C511))</f>
        <v>P012</v>
      </c>
      <c r="H511" s="39" t="str">
        <f aca="false">IF(ISNUMBER(MATCH(G511,Products!$A$5:$A$24,0)),"OK","Mismatch")</f>
        <v>OK</v>
      </c>
      <c r="I511" s="39" t="str">
        <f aca="false">IF(COUNTIF($A$5:A511,A511)&gt;1,"Duplicate","Unique")</f>
        <v>Unique</v>
      </c>
      <c r="J511" s="39" t="str">
        <f aca="false">IF(I511="Duplicate","Remove",IF(H511="Mismatch","Exclude","Keep"))</f>
        <v>Keep</v>
      </c>
    </row>
    <row r="512" customFormat="false" ht="15" hidden="false" customHeight="false" outlineLevel="0" collapsed="false">
      <c r="A512" s="39" t="s">
        <v>625</v>
      </c>
      <c r="B512" s="40" t="n">
        <v>45732</v>
      </c>
      <c r="C512" s="39" t="s">
        <v>110</v>
      </c>
      <c r="D512" s="39" t="n">
        <v>1</v>
      </c>
      <c r="E512" s="41" t="n">
        <v>13.12</v>
      </c>
      <c r="F512" s="39" t="s">
        <v>105</v>
      </c>
      <c r="G512" s="39" t="str">
        <f aca="false">UPPER(TRIM(C512))</f>
        <v>P016</v>
      </c>
      <c r="H512" s="39" t="str">
        <f aca="false">IF(ISNUMBER(MATCH(G512,Products!$A$5:$A$24,0)),"OK","Mismatch")</f>
        <v>OK</v>
      </c>
      <c r="I512" s="39" t="str">
        <f aca="false">IF(COUNTIF($A$5:A512,A512)&gt;1,"Duplicate","Unique")</f>
        <v>Unique</v>
      </c>
      <c r="J512" s="39" t="str">
        <f aca="false">IF(I512="Duplicate","Remove",IF(H512="Mismatch","Exclude","Keep"))</f>
        <v>Keep</v>
      </c>
    </row>
    <row r="513" customFormat="false" ht="15" hidden="false" customHeight="false" outlineLevel="0" collapsed="false">
      <c r="A513" s="39" t="s">
        <v>626</v>
      </c>
      <c r="B513" s="40" t="n">
        <v>45732</v>
      </c>
      <c r="C513" s="39" t="s">
        <v>305</v>
      </c>
      <c r="D513" s="39" t="n">
        <v>1</v>
      </c>
      <c r="E513" s="41" t="n">
        <v>345.25</v>
      </c>
      <c r="F513" s="39" t="s">
        <v>105</v>
      </c>
      <c r="G513" s="39" t="str">
        <f aca="false">UPPER(TRIM(C513))</f>
        <v>P008</v>
      </c>
      <c r="H513" s="39" t="str">
        <f aca="false">IF(ISNUMBER(MATCH(G513,Products!$A$5:$A$24,0)),"OK","Mismatch")</f>
        <v>OK</v>
      </c>
      <c r="I513" s="39" t="str">
        <f aca="false">IF(COUNTIF($A$5:A513,A513)&gt;1,"Duplicate","Unique")</f>
        <v>Unique</v>
      </c>
      <c r="J513" s="39" t="str">
        <f aca="false">IF(I513="Duplicate","Remove",IF(H513="Mismatch","Exclude","Keep"))</f>
        <v>Keep</v>
      </c>
    </row>
    <row r="514" customFormat="false" ht="15" hidden="false" customHeight="false" outlineLevel="0" collapsed="false">
      <c r="A514" s="39" t="s">
        <v>627</v>
      </c>
      <c r="B514" s="40" t="n">
        <v>45733</v>
      </c>
      <c r="C514" s="39" t="s">
        <v>169</v>
      </c>
      <c r="D514" s="39" t="n">
        <v>2</v>
      </c>
      <c r="E514" s="41" t="n">
        <v>28.13</v>
      </c>
      <c r="F514" s="39" t="s">
        <v>118</v>
      </c>
      <c r="G514" s="39" t="str">
        <f aca="false">UPPER(TRIM(C514))</f>
        <v>P004</v>
      </c>
      <c r="H514" s="39" t="str">
        <f aca="false">IF(ISNUMBER(MATCH(G514,Products!$A$5:$A$24,0)),"OK","Mismatch")</f>
        <v>OK</v>
      </c>
      <c r="I514" s="39" t="str">
        <f aca="false">IF(COUNTIF($A$5:A514,A514)&gt;1,"Duplicate","Unique")</f>
        <v>Unique</v>
      </c>
      <c r="J514" s="39" t="str">
        <f aca="false">IF(I514="Duplicate","Remove",IF(H514="Mismatch","Exclude","Keep"))</f>
        <v>Keep</v>
      </c>
    </row>
    <row r="515" customFormat="false" ht="15" hidden="false" customHeight="false" outlineLevel="0" collapsed="false">
      <c r="A515" s="39" t="s">
        <v>628</v>
      </c>
      <c r="B515" s="40" t="n">
        <v>45733</v>
      </c>
      <c r="C515" s="39" t="s">
        <v>112</v>
      </c>
      <c r="D515" s="39" t="n">
        <v>4</v>
      </c>
      <c r="E515" s="41" t="n">
        <v>51.04</v>
      </c>
      <c r="F515" s="39" t="s">
        <v>108</v>
      </c>
      <c r="G515" s="39" t="str">
        <f aca="false">UPPER(TRIM(C515))</f>
        <v>P005</v>
      </c>
      <c r="H515" s="39" t="str">
        <f aca="false">IF(ISNUMBER(MATCH(G515,Products!$A$5:$A$24,0)),"OK","Mismatch")</f>
        <v>OK</v>
      </c>
      <c r="I515" s="39" t="str">
        <f aca="false">IF(COUNTIF($A$5:A515,A515)&gt;1,"Duplicate","Unique")</f>
        <v>Unique</v>
      </c>
      <c r="J515" s="39" t="str">
        <f aca="false">IF(I515="Duplicate","Remove",IF(H515="Mismatch","Exclude","Keep"))</f>
        <v>Keep</v>
      </c>
    </row>
    <row r="516" customFormat="false" ht="15" hidden="false" customHeight="false" outlineLevel="0" collapsed="false">
      <c r="A516" s="39" t="s">
        <v>629</v>
      </c>
      <c r="B516" s="40" t="n">
        <v>45733</v>
      </c>
      <c r="C516" s="39" t="s">
        <v>107</v>
      </c>
      <c r="D516" s="39" t="n">
        <v>2</v>
      </c>
      <c r="E516" s="41" t="n">
        <v>32.67</v>
      </c>
      <c r="F516" s="39" t="s">
        <v>105</v>
      </c>
      <c r="G516" s="39" t="str">
        <f aca="false">UPPER(TRIM(C516))</f>
        <v>P003</v>
      </c>
      <c r="H516" s="39" t="str">
        <f aca="false">IF(ISNUMBER(MATCH(G516,Products!$A$5:$A$24,0)),"OK","Mismatch")</f>
        <v>OK</v>
      </c>
      <c r="I516" s="39" t="str">
        <f aca="false">IF(COUNTIF($A$5:A516,A516)&gt;1,"Duplicate","Unique")</f>
        <v>Unique</v>
      </c>
      <c r="J516" s="39" t="str">
        <f aca="false">IF(I516="Duplicate","Remove",IF(H516="Mismatch","Exclude","Keep"))</f>
        <v>Keep</v>
      </c>
    </row>
    <row r="517" customFormat="false" ht="15" hidden="false" customHeight="false" outlineLevel="0" collapsed="false">
      <c r="A517" s="39" t="s">
        <v>630</v>
      </c>
      <c r="B517" s="40" t="n">
        <v>45733</v>
      </c>
      <c r="C517" s="39" t="s">
        <v>121</v>
      </c>
      <c r="D517" s="39" t="n">
        <v>8</v>
      </c>
      <c r="E517" s="41" t="n">
        <v>112.29</v>
      </c>
      <c r="F517" s="39" t="s">
        <v>115</v>
      </c>
      <c r="G517" s="39" t="str">
        <f aca="false">UPPER(TRIM(C517))</f>
        <v>P018</v>
      </c>
      <c r="H517" s="39" t="str">
        <f aca="false">IF(ISNUMBER(MATCH(G517,Products!$A$5:$A$24,0)),"OK","Mismatch")</f>
        <v>OK</v>
      </c>
      <c r="I517" s="39" t="str">
        <f aca="false">IF(COUNTIF($A$5:A517,A517)&gt;1,"Duplicate","Unique")</f>
        <v>Unique</v>
      </c>
      <c r="J517" s="39" t="str">
        <f aca="false">IF(I517="Duplicate","Remove",IF(H517="Mismatch","Exclude","Keep"))</f>
        <v>Keep</v>
      </c>
    </row>
    <row r="518" customFormat="false" ht="15" hidden="false" customHeight="false" outlineLevel="0" collapsed="false">
      <c r="A518" s="39" t="s">
        <v>631</v>
      </c>
      <c r="B518" s="40" t="n">
        <v>45733</v>
      </c>
      <c r="C518" s="39" t="s">
        <v>126</v>
      </c>
      <c r="D518" s="39" t="n">
        <v>4</v>
      </c>
      <c r="E518" s="41" t="n">
        <v>23.02</v>
      </c>
      <c r="F518" s="39" t="s">
        <v>105</v>
      </c>
      <c r="G518" s="39" t="str">
        <f aca="false">UPPER(TRIM(C518))</f>
        <v>P001</v>
      </c>
      <c r="H518" s="39" t="str">
        <f aca="false">IF(ISNUMBER(MATCH(G518,Products!$A$5:$A$24,0)),"OK","Mismatch")</f>
        <v>OK</v>
      </c>
      <c r="I518" s="39" t="str">
        <f aca="false">IF(COUNTIF($A$5:A518,A518)&gt;1,"Duplicate","Unique")</f>
        <v>Unique</v>
      </c>
      <c r="J518" s="39" t="str">
        <f aca="false">IF(I518="Duplicate","Remove",IF(H518="Mismatch","Exclude","Keep"))</f>
        <v>Keep</v>
      </c>
    </row>
    <row r="519" customFormat="false" ht="15" hidden="false" customHeight="false" outlineLevel="0" collapsed="false">
      <c r="A519" s="39" t="s">
        <v>632</v>
      </c>
      <c r="B519" s="40" t="n">
        <v>45733</v>
      </c>
      <c r="C519" s="39" t="s">
        <v>121</v>
      </c>
      <c r="D519" s="39" t="n">
        <v>4</v>
      </c>
      <c r="E519" s="41" t="n">
        <v>109.64</v>
      </c>
      <c r="F519" s="39" t="s">
        <v>115</v>
      </c>
      <c r="G519" s="39" t="str">
        <f aca="false">UPPER(TRIM(C519))</f>
        <v>P018</v>
      </c>
      <c r="H519" s="39" t="str">
        <f aca="false">IF(ISNUMBER(MATCH(G519,Products!$A$5:$A$24,0)),"OK","Mismatch")</f>
        <v>OK</v>
      </c>
      <c r="I519" s="39" t="str">
        <f aca="false">IF(COUNTIF($A$5:A519,A519)&gt;1,"Duplicate","Unique")</f>
        <v>Unique</v>
      </c>
      <c r="J519" s="39" t="str">
        <f aca="false">IF(I519="Duplicate","Remove",IF(H519="Mismatch","Exclude","Keep"))</f>
        <v>Keep</v>
      </c>
    </row>
    <row r="520" customFormat="false" ht="15" hidden="false" customHeight="false" outlineLevel="0" collapsed="false">
      <c r="A520" s="39" t="s">
        <v>633</v>
      </c>
      <c r="B520" s="40" t="n">
        <v>45733</v>
      </c>
      <c r="C520" s="39" t="s">
        <v>107</v>
      </c>
      <c r="D520" s="39" t="n">
        <v>2</v>
      </c>
      <c r="E520" s="41" t="n">
        <v>34.93</v>
      </c>
      <c r="F520" s="39" t="s">
        <v>118</v>
      </c>
      <c r="G520" s="39" t="str">
        <f aca="false">UPPER(TRIM(C520))</f>
        <v>P003</v>
      </c>
      <c r="H520" s="39" t="str">
        <f aca="false">IF(ISNUMBER(MATCH(G520,Products!$A$5:$A$24,0)),"OK","Mismatch")</f>
        <v>OK</v>
      </c>
      <c r="I520" s="39" t="str">
        <f aca="false">IF(COUNTIF($A$5:A520,A520)&gt;1,"Duplicate","Unique")</f>
        <v>Unique</v>
      </c>
      <c r="J520" s="39" t="str">
        <f aca="false">IF(I520="Duplicate","Remove",IF(H520="Mismatch","Exclude","Keep"))</f>
        <v>Keep</v>
      </c>
    </row>
    <row r="521" customFormat="false" ht="15" hidden="false" customHeight="false" outlineLevel="0" collapsed="false">
      <c r="A521" s="39" t="s">
        <v>634</v>
      </c>
      <c r="B521" s="40" t="n">
        <v>45734</v>
      </c>
      <c r="C521" s="39" t="s">
        <v>177</v>
      </c>
      <c r="D521" s="39" t="n">
        <v>1</v>
      </c>
      <c r="E521" s="41" t="n">
        <v>41.86</v>
      </c>
      <c r="F521" s="39" t="s">
        <v>105</v>
      </c>
      <c r="G521" s="39" t="str">
        <f aca="false">UPPER(TRIM(C521))</f>
        <v>P014</v>
      </c>
      <c r="H521" s="39" t="str">
        <f aca="false">IF(ISNUMBER(MATCH(G521,Products!$A$5:$A$24,0)),"OK","Mismatch")</f>
        <v>OK</v>
      </c>
      <c r="I521" s="39" t="str">
        <f aca="false">IF(COUNTIF($A$5:A521,A521)&gt;1,"Duplicate","Unique")</f>
        <v>Unique</v>
      </c>
      <c r="J521" s="39" t="str">
        <f aca="false">IF(I521="Duplicate","Remove",IF(H521="Mismatch","Exclude","Keep"))</f>
        <v>Keep</v>
      </c>
    </row>
    <row r="522" customFormat="false" ht="15" hidden="false" customHeight="false" outlineLevel="0" collapsed="false">
      <c r="A522" s="39" t="s">
        <v>635</v>
      </c>
      <c r="B522" s="40" t="n">
        <v>45734</v>
      </c>
      <c r="C522" s="39" t="s">
        <v>121</v>
      </c>
      <c r="D522" s="39" t="n">
        <v>3</v>
      </c>
      <c r="E522" s="41" t="n">
        <v>110.77</v>
      </c>
      <c r="F522" s="39" t="s">
        <v>105</v>
      </c>
      <c r="G522" s="39" t="str">
        <f aca="false">UPPER(TRIM(C522))</f>
        <v>P018</v>
      </c>
      <c r="H522" s="39" t="str">
        <f aca="false">IF(ISNUMBER(MATCH(G522,Products!$A$5:$A$24,0)),"OK","Mismatch")</f>
        <v>OK</v>
      </c>
      <c r="I522" s="39" t="str">
        <f aca="false">IF(COUNTIF($A$5:A522,A522)&gt;1,"Duplicate","Unique")</f>
        <v>Unique</v>
      </c>
      <c r="J522" s="39" t="str">
        <f aca="false">IF(I522="Duplicate","Remove",IF(H522="Mismatch","Exclude","Keep"))</f>
        <v>Keep</v>
      </c>
    </row>
    <row r="523" customFormat="false" ht="15" hidden="false" customHeight="false" outlineLevel="0" collapsed="false">
      <c r="A523" s="39" t="s">
        <v>636</v>
      </c>
      <c r="B523" s="40" t="n">
        <v>45734</v>
      </c>
      <c r="C523" s="39" t="s">
        <v>133</v>
      </c>
      <c r="D523" s="39" t="n">
        <v>2</v>
      </c>
      <c r="E523" s="41" t="n">
        <v>8.77</v>
      </c>
      <c r="F523" s="39" t="s">
        <v>118</v>
      </c>
      <c r="G523" s="39" t="str">
        <f aca="false">UPPER(TRIM(C523))</f>
        <v>P019</v>
      </c>
      <c r="H523" s="39" t="str">
        <f aca="false">IF(ISNUMBER(MATCH(G523,Products!$A$5:$A$24,0)),"OK","Mismatch")</f>
        <v>OK</v>
      </c>
      <c r="I523" s="39" t="str">
        <f aca="false">IF(COUNTIF($A$5:A523,A523)&gt;1,"Duplicate","Unique")</f>
        <v>Unique</v>
      </c>
      <c r="J523" s="39" t="str">
        <f aca="false">IF(I523="Duplicate","Remove",IF(H523="Mismatch","Exclude","Keep"))</f>
        <v>Keep</v>
      </c>
    </row>
    <row r="524" customFormat="false" ht="15" hidden="false" customHeight="false" outlineLevel="0" collapsed="false">
      <c r="A524" s="39" t="s">
        <v>637</v>
      </c>
      <c r="B524" s="40" t="n">
        <v>45734</v>
      </c>
      <c r="C524" s="39" t="s">
        <v>126</v>
      </c>
      <c r="D524" s="39" t="n">
        <v>5</v>
      </c>
      <c r="E524" s="41" t="n">
        <v>24.57</v>
      </c>
      <c r="F524" s="39" t="s">
        <v>105</v>
      </c>
      <c r="G524" s="39" t="str">
        <f aca="false">UPPER(TRIM(C524))</f>
        <v>P001</v>
      </c>
      <c r="H524" s="39" t="str">
        <f aca="false">IF(ISNUMBER(MATCH(G524,Products!$A$5:$A$24,0)),"OK","Mismatch")</f>
        <v>OK</v>
      </c>
      <c r="I524" s="39" t="str">
        <f aca="false">IF(COUNTIF($A$5:A524,A524)&gt;1,"Duplicate","Unique")</f>
        <v>Unique</v>
      </c>
      <c r="J524" s="39" t="str">
        <f aca="false">IF(I524="Duplicate","Remove",IF(H524="Mismatch","Exclude","Keep"))</f>
        <v>Keep</v>
      </c>
    </row>
    <row r="525" customFormat="false" ht="15" hidden="false" customHeight="false" outlineLevel="0" collapsed="false">
      <c r="A525" s="39" t="s">
        <v>638</v>
      </c>
      <c r="B525" s="40" t="n">
        <v>45734</v>
      </c>
      <c r="C525" s="39" t="s">
        <v>104</v>
      </c>
      <c r="D525" s="39" t="n">
        <v>3</v>
      </c>
      <c r="E525" s="41" t="n">
        <v>15.26</v>
      </c>
      <c r="F525" s="39" t="s">
        <v>115</v>
      </c>
      <c r="G525" s="39" t="str">
        <f aca="false">UPPER(TRIM(C525))</f>
        <v>P015</v>
      </c>
      <c r="H525" s="39" t="str">
        <f aca="false">IF(ISNUMBER(MATCH(G525,Products!$A$5:$A$24,0)),"OK","Mismatch")</f>
        <v>OK</v>
      </c>
      <c r="I525" s="39" t="str">
        <f aca="false">IF(COUNTIF($A$5:A525,A525)&gt;1,"Duplicate","Unique")</f>
        <v>Unique</v>
      </c>
      <c r="J525" s="39" t="str">
        <f aca="false">IF(I525="Duplicate","Remove",IF(H525="Mismatch","Exclude","Keep"))</f>
        <v>Keep</v>
      </c>
    </row>
    <row r="526" customFormat="false" ht="15" hidden="false" customHeight="false" outlineLevel="0" collapsed="false">
      <c r="A526" s="39" t="s">
        <v>639</v>
      </c>
      <c r="B526" s="40" t="n">
        <v>45734</v>
      </c>
      <c r="C526" s="39" t="s">
        <v>128</v>
      </c>
      <c r="D526" s="39" t="n">
        <v>6</v>
      </c>
      <c r="E526" s="41" t="n">
        <v>37.91</v>
      </c>
      <c r="F526" s="39" t="s">
        <v>108</v>
      </c>
      <c r="G526" s="39" t="str">
        <f aca="false">UPPER(TRIM(C526))</f>
        <v>P020</v>
      </c>
      <c r="H526" s="39" t="str">
        <f aca="false">IF(ISNUMBER(MATCH(G526,Products!$A$5:$A$24,0)),"OK","Mismatch")</f>
        <v>OK</v>
      </c>
      <c r="I526" s="39" t="str">
        <f aca="false">IF(COUNTIF($A$5:A526,A526)&gt;1,"Duplicate","Unique")</f>
        <v>Unique</v>
      </c>
      <c r="J526" s="39" t="str">
        <f aca="false">IF(I526="Duplicate","Remove",IF(H526="Mismatch","Exclude","Keep"))</f>
        <v>Keep</v>
      </c>
    </row>
    <row r="527" customFormat="false" ht="15" hidden="false" customHeight="false" outlineLevel="0" collapsed="false">
      <c r="A527" s="39" t="s">
        <v>640</v>
      </c>
      <c r="B527" s="40" t="n">
        <v>45734</v>
      </c>
      <c r="C527" s="39" t="s">
        <v>117</v>
      </c>
      <c r="D527" s="39" t="n">
        <v>4</v>
      </c>
      <c r="E527" s="41" t="n">
        <v>29.68</v>
      </c>
      <c r="F527" s="39" t="s">
        <v>118</v>
      </c>
      <c r="G527" s="39" t="str">
        <f aca="false">UPPER(TRIM(C527))</f>
        <v>P009</v>
      </c>
      <c r="H527" s="39" t="str">
        <f aca="false">IF(ISNUMBER(MATCH(G527,Products!$A$5:$A$24,0)),"OK","Mismatch")</f>
        <v>OK</v>
      </c>
      <c r="I527" s="39" t="str">
        <f aca="false">IF(COUNTIF($A$5:A527,A527)&gt;1,"Duplicate","Unique")</f>
        <v>Unique</v>
      </c>
      <c r="J527" s="39" t="str">
        <f aca="false">IF(I527="Duplicate","Remove",IF(H527="Mismatch","Exclude","Keep"))</f>
        <v>Keep</v>
      </c>
    </row>
    <row r="528" customFormat="false" ht="15" hidden="false" customHeight="false" outlineLevel="0" collapsed="false">
      <c r="A528" s="39" t="s">
        <v>641</v>
      </c>
      <c r="B528" s="40" t="n">
        <v>45734</v>
      </c>
      <c r="C528" s="39" t="s">
        <v>114</v>
      </c>
      <c r="D528" s="39" t="n">
        <v>2</v>
      </c>
      <c r="E528" s="41" t="n">
        <v>5.75</v>
      </c>
      <c r="F528" s="39" t="s">
        <v>118</v>
      </c>
      <c r="G528" s="39" t="str">
        <f aca="false">UPPER(TRIM(C528))</f>
        <v>P012</v>
      </c>
      <c r="H528" s="39" t="str">
        <f aca="false">IF(ISNUMBER(MATCH(G528,Products!$A$5:$A$24,0)),"OK","Mismatch")</f>
        <v>OK</v>
      </c>
      <c r="I528" s="39" t="str">
        <f aca="false">IF(COUNTIF($A$5:A528,A528)&gt;1,"Duplicate","Unique")</f>
        <v>Unique</v>
      </c>
      <c r="J528" s="39" t="str">
        <f aca="false">IF(I528="Duplicate","Remove",IF(H528="Mismatch","Exclude","Keep"))</f>
        <v>Keep</v>
      </c>
    </row>
    <row r="529" customFormat="false" ht="15" hidden="false" customHeight="false" outlineLevel="0" collapsed="false">
      <c r="A529" s="39" t="s">
        <v>642</v>
      </c>
      <c r="B529" s="40" t="n">
        <v>45735</v>
      </c>
      <c r="C529" s="39" t="s">
        <v>112</v>
      </c>
      <c r="D529" s="39" t="n">
        <v>5</v>
      </c>
      <c r="E529" s="41" t="n">
        <v>50.8</v>
      </c>
      <c r="F529" s="39" t="s">
        <v>118</v>
      </c>
      <c r="G529" s="39" t="str">
        <f aca="false">UPPER(TRIM(C529))</f>
        <v>P005</v>
      </c>
      <c r="H529" s="39" t="str">
        <f aca="false">IF(ISNUMBER(MATCH(G529,Products!$A$5:$A$24,0)),"OK","Mismatch")</f>
        <v>OK</v>
      </c>
      <c r="I529" s="39" t="str">
        <f aca="false">IF(COUNTIF($A$5:A529,A529)&gt;1,"Duplicate","Unique")</f>
        <v>Unique</v>
      </c>
      <c r="J529" s="39" t="str">
        <f aca="false">IF(I529="Duplicate","Remove",IF(H529="Mismatch","Exclude","Keep"))</f>
        <v>Keep</v>
      </c>
    </row>
    <row r="530" customFormat="false" ht="15" hidden="false" customHeight="false" outlineLevel="0" collapsed="false">
      <c r="A530" s="39" t="s">
        <v>643</v>
      </c>
      <c r="B530" s="40" t="n">
        <v>45735</v>
      </c>
      <c r="C530" s="39" t="s">
        <v>126</v>
      </c>
      <c r="D530" s="39" t="n">
        <v>3</v>
      </c>
      <c r="E530" s="41" t="n">
        <v>23.38</v>
      </c>
      <c r="F530" s="39" t="s">
        <v>108</v>
      </c>
      <c r="G530" s="39" t="str">
        <f aca="false">UPPER(TRIM(C530))</f>
        <v>P001</v>
      </c>
      <c r="H530" s="39" t="str">
        <f aca="false">IF(ISNUMBER(MATCH(G530,Products!$A$5:$A$24,0)),"OK","Mismatch")</f>
        <v>OK</v>
      </c>
      <c r="I530" s="39" t="str">
        <f aca="false">IF(COUNTIF($A$5:A530,A530)&gt;1,"Duplicate","Unique")</f>
        <v>Unique</v>
      </c>
      <c r="J530" s="39" t="str">
        <f aca="false">IF(I530="Duplicate","Remove",IF(H530="Mismatch","Exclude","Keep"))</f>
        <v>Keep</v>
      </c>
    </row>
    <row r="531" customFormat="false" ht="15" hidden="false" customHeight="false" outlineLevel="0" collapsed="false">
      <c r="A531" s="39" t="s">
        <v>644</v>
      </c>
      <c r="B531" s="40" t="n">
        <v>45735</v>
      </c>
      <c r="C531" s="39" t="s">
        <v>126</v>
      </c>
      <c r="D531" s="39" t="n">
        <v>4</v>
      </c>
      <c r="E531" s="41" t="n">
        <v>24.51</v>
      </c>
      <c r="F531" s="39" t="s">
        <v>105</v>
      </c>
      <c r="G531" s="39" t="str">
        <f aca="false">UPPER(TRIM(C531))</f>
        <v>P001</v>
      </c>
      <c r="H531" s="39" t="str">
        <f aca="false">IF(ISNUMBER(MATCH(G531,Products!$A$5:$A$24,0)),"OK","Mismatch")</f>
        <v>OK</v>
      </c>
      <c r="I531" s="39" t="str">
        <f aca="false">IF(COUNTIF($A$5:A531,A531)&gt;1,"Duplicate","Unique")</f>
        <v>Unique</v>
      </c>
      <c r="J531" s="39" t="str">
        <f aca="false">IF(I531="Duplicate","Remove",IF(H531="Mismatch","Exclude","Keep"))</f>
        <v>Keep</v>
      </c>
    </row>
    <row r="532" customFormat="false" ht="15" hidden="false" customHeight="false" outlineLevel="0" collapsed="false">
      <c r="A532" s="39" t="s">
        <v>645</v>
      </c>
      <c r="B532" s="40" t="n">
        <v>45735</v>
      </c>
      <c r="C532" s="39" t="s">
        <v>153</v>
      </c>
      <c r="D532" s="39" t="n">
        <v>2</v>
      </c>
      <c r="E532" s="41" t="n">
        <v>166.76</v>
      </c>
      <c r="F532" s="39" t="s">
        <v>105</v>
      </c>
      <c r="G532" s="39" t="str">
        <f aca="false">UPPER(TRIM(C532))</f>
        <v>P010</v>
      </c>
      <c r="H532" s="39" t="str">
        <f aca="false">IF(ISNUMBER(MATCH(G532,Products!$A$5:$A$24,0)),"OK","Mismatch")</f>
        <v>OK</v>
      </c>
      <c r="I532" s="39" t="str">
        <f aca="false">IF(COUNTIF($A$5:A532,A532)&gt;1,"Duplicate","Unique")</f>
        <v>Unique</v>
      </c>
      <c r="J532" s="39" t="str">
        <f aca="false">IF(I532="Duplicate","Remove",IF(H532="Mismatch","Exclude","Keep"))</f>
        <v>Keep</v>
      </c>
    </row>
    <row r="533" customFormat="false" ht="15" hidden="false" customHeight="false" outlineLevel="0" collapsed="false">
      <c r="A533" s="39" t="s">
        <v>646</v>
      </c>
      <c r="B533" s="40" t="n">
        <v>45735</v>
      </c>
      <c r="C533" s="39" t="s">
        <v>104</v>
      </c>
      <c r="D533" s="39" t="n">
        <v>2</v>
      </c>
      <c r="E533" s="41" t="n">
        <v>14.77</v>
      </c>
      <c r="F533" s="39" t="s">
        <v>105</v>
      </c>
      <c r="G533" s="39" t="str">
        <f aca="false">UPPER(TRIM(C533))</f>
        <v>P015</v>
      </c>
      <c r="H533" s="39" t="str">
        <f aca="false">IF(ISNUMBER(MATCH(G533,Products!$A$5:$A$24,0)),"OK","Mismatch")</f>
        <v>OK</v>
      </c>
      <c r="I533" s="39" t="str">
        <f aca="false">IF(COUNTIF($A$5:A533,A533)&gt;1,"Duplicate","Unique")</f>
        <v>Unique</v>
      </c>
      <c r="J533" s="39" t="str">
        <f aca="false">IF(I533="Duplicate","Remove",IF(H533="Mismatch","Exclude","Keep"))</f>
        <v>Keep</v>
      </c>
    </row>
    <row r="534" customFormat="false" ht="15" hidden="false" customHeight="false" outlineLevel="0" collapsed="false">
      <c r="A534" s="39" t="s">
        <v>647</v>
      </c>
      <c r="B534" s="40" t="n">
        <v>45735</v>
      </c>
      <c r="C534" s="39" t="s">
        <v>117</v>
      </c>
      <c r="D534" s="39" t="n">
        <v>5</v>
      </c>
      <c r="E534" s="41" t="n">
        <v>30.04</v>
      </c>
      <c r="F534" s="39" t="s">
        <v>118</v>
      </c>
      <c r="G534" s="39" t="str">
        <f aca="false">UPPER(TRIM(C534))</f>
        <v>P009</v>
      </c>
      <c r="H534" s="39" t="str">
        <f aca="false">IF(ISNUMBER(MATCH(G534,Products!$A$5:$A$24,0)),"OK","Mismatch")</f>
        <v>OK</v>
      </c>
      <c r="I534" s="39" t="str">
        <f aca="false">IF(COUNTIF($A$5:A534,A534)&gt;1,"Duplicate","Unique")</f>
        <v>Unique</v>
      </c>
      <c r="J534" s="39" t="str">
        <f aca="false">IF(I534="Duplicate","Remove",IF(H534="Mismatch","Exclude","Keep"))</f>
        <v>Keep</v>
      </c>
    </row>
    <row r="535" customFormat="false" ht="15" hidden="false" customHeight="false" outlineLevel="0" collapsed="false">
      <c r="A535" s="39" t="s">
        <v>648</v>
      </c>
      <c r="B535" s="40" t="n">
        <v>45735</v>
      </c>
      <c r="C535" s="39" t="s">
        <v>107</v>
      </c>
      <c r="D535" s="39" t="n">
        <v>3</v>
      </c>
      <c r="E535" s="41" t="n">
        <v>34.66</v>
      </c>
      <c r="F535" s="39" t="s">
        <v>118</v>
      </c>
      <c r="G535" s="39" t="str">
        <f aca="false">UPPER(TRIM(C535))</f>
        <v>P003</v>
      </c>
      <c r="H535" s="39" t="str">
        <f aca="false">IF(ISNUMBER(MATCH(G535,Products!$A$5:$A$24,0)),"OK","Mismatch")</f>
        <v>OK</v>
      </c>
      <c r="I535" s="39" t="str">
        <f aca="false">IF(COUNTIF($A$5:A535,A535)&gt;1,"Duplicate","Unique")</f>
        <v>Unique</v>
      </c>
      <c r="J535" s="39" t="str">
        <f aca="false">IF(I535="Duplicate","Remove",IF(H535="Mismatch","Exclude","Keep"))</f>
        <v>Keep</v>
      </c>
    </row>
    <row r="536" customFormat="false" ht="15" hidden="false" customHeight="false" outlineLevel="0" collapsed="false">
      <c r="A536" s="39" t="s">
        <v>649</v>
      </c>
      <c r="B536" s="40" t="n">
        <v>45735</v>
      </c>
      <c r="C536" s="39" t="s">
        <v>121</v>
      </c>
      <c r="D536" s="39" t="n">
        <v>3</v>
      </c>
      <c r="E536" s="41" t="n">
        <v>118.03</v>
      </c>
      <c r="F536" s="39" t="s">
        <v>105</v>
      </c>
      <c r="G536" s="39" t="str">
        <f aca="false">UPPER(TRIM(C536))</f>
        <v>P018</v>
      </c>
      <c r="H536" s="39" t="str">
        <f aca="false">IF(ISNUMBER(MATCH(G536,Products!$A$5:$A$24,0)),"OK","Mismatch")</f>
        <v>OK</v>
      </c>
      <c r="I536" s="39" t="str">
        <f aca="false">IF(COUNTIF($A$5:A536,A536)&gt;1,"Duplicate","Unique")</f>
        <v>Unique</v>
      </c>
      <c r="J536" s="39" t="str">
        <f aca="false">IF(I536="Duplicate","Remove",IF(H536="Mismatch","Exclude","Keep"))</f>
        <v>Keep</v>
      </c>
    </row>
    <row r="537" customFormat="false" ht="15" hidden="false" customHeight="false" outlineLevel="0" collapsed="false">
      <c r="A537" s="39" t="s">
        <v>650</v>
      </c>
      <c r="B537" s="40" t="n">
        <v>45735</v>
      </c>
      <c r="C537" s="39" t="s">
        <v>114</v>
      </c>
      <c r="D537" s="39" t="n">
        <v>1</v>
      </c>
      <c r="E537" s="41" t="n">
        <v>5.92</v>
      </c>
      <c r="F537" s="39" t="s">
        <v>118</v>
      </c>
      <c r="G537" s="39" t="str">
        <f aca="false">UPPER(TRIM(C537))</f>
        <v>P012</v>
      </c>
      <c r="H537" s="39" t="str">
        <f aca="false">IF(ISNUMBER(MATCH(G537,Products!$A$5:$A$24,0)),"OK","Mismatch")</f>
        <v>OK</v>
      </c>
      <c r="I537" s="39" t="str">
        <f aca="false">IF(COUNTIF($A$5:A537,A537)&gt;1,"Duplicate","Unique")</f>
        <v>Unique</v>
      </c>
      <c r="J537" s="39" t="str">
        <f aca="false">IF(I537="Duplicate","Remove",IF(H537="Mismatch","Exclude","Keep"))</f>
        <v>Keep</v>
      </c>
    </row>
    <row r="538" customFormat="false" ht="15" hidden="false" customHeight="false" outlineLevel="0" collapsed="false">
      <c r="A538" s="39" t="s">
        <v>650</v>
      </c>
      <c r="B538" s="40" t="n">
        <v>45735</v>
      </c>
      <c r="C538" s="39" t="s">
        <v>114</v>
      </c>
      <c r="D538" s="39" t="n">
        <v>1</v>
      </c>
      <c r="E538" s="41" t="n">
        <v>5.92</v>
      </c>
      <c r="F538" s="39" t="s">
        <v>118</v>
      </c>
      <c r="G538" s="39" t="str">
        <f aca="false">UPPER(TRIM(C538))</f>
        <v>P012</v>
      </c>
      <c r="H538" s="39" t="str">
        <f aca="false">IF(ISNUMBER(MATCH(G538,Products!$A$5:$A$24,0)),"OK","Mismatch")</f>
        <v>OK</v>
      </c>
      <c r="I538" s="39" t="str">
        <f aca="false">IF(COUNTIF($A$5:A538,A538)&gt;1,"Duplicate","Unique")</f>
        <v>Duplicate</v>
      </c>
      <c r="J538" s="39" t="str">
        <f aca="false">IF(I538="Duplicate","Remove",IF(H538="Mismatch","Exclude","Keep"))</f>
        <v>Remove</v>
      </c>
    </row>
    <row r="539" customFormat="false" ht="15" hidden="false" customHeight="false" outlineLevel="0" collapsed="false">
      <c r="A539" s="39" t="s">
        <v>651</v>
      </c>
      <c r="B539" s="40" t="n">
        <v>45735</v>
      </c>
      <c r="C539" s="39" t="s">
        <v>126</v>
      </c>
      <c r="D539" s="39" t="n">
        <v>2</v>
      </c>
      <c r="E539" s="41" t="n">
        <v>24.42</v>
      </c>
      <c r="F539" s="39" t="s">
        <v>118</v>
      </c>
      <c r="G539" s="39" t="str">
        <f aca="false">UPPER(TRIM(C539))</f>
        <v>P001</v>
      </c>
      <c r="H539" s="39" t="str">
        <f aca="false">IF(ISNUMBER(MATCH(G539,Products!$A$5:$A$24,0)),"OK","Mismatch")</f>
        <v>OK</v>
      </c>
      <c r="I539" s="39" t="str">
        <f aca="false">IF(COUNTIF($A$5:A539,A539)&gt;1,"Duplicate","Unique")</f>
        <v>Unique</v>
      </c>
      <c r="J539" s="39" t="str">
        <f aca="false">IF(I539="Duplicate","Remove",IF(H539="Mismatch","Exclude","Keep"))</f>
        <v>Keep</v>
      </c>
    </row>
    <row r="540" customFormat="false" ht="15" hidden="false" customHeight="false" outlineLevel="0" collapsed="false">
      <c r="A540" s="39" t="s">
        <v>652</v>
      </c>
      <c r="B540" s="40" t="n">
        <v>45735</v>
      </c>
      <c r="C540" s="39" t="s">
        <v>110</v>
      </c>
      <c r="D540" s="39" t="n">
        <v>1</v>
      </c>
      <c r="E540" s="41" t="n">
        <v>13.49</v>
      </c>
      <c r="F540" s="39" t="s">
        <v>108</v>
      </c>
      <c r="G540" s="39" t="str">
        <f aca="false">UPPER(TRIM(C540))</f>
        <v>P016</v>
      </c>
      <c r="H540" s="39" t="str">
        <f aca="false">IF(ISNUMBER(MATCH(G540,Products!$A$5:$A$24,0)),"OK","Mismatch")</f>
        <v>OK</v>
      </c>
      <c r="I540" s="39" t="str">
        <f aca="false">IF(COUNTIF($A$5:A540,A540)&gt;1,"Duplicate","Unique")</f>
        <v>Unique</v>
      </c>
      <c r="J540" s="39" t="str">
        <f aca="false">IF(I540="Duplicate","Remove",IF(H540="Mismatch","Exclude","Keep"))</f>
        <v>Keep</v>
      </c>
    </row>
    <row r="541" customFormat="false" ht="15" hidden="false" customHeight="false" outlineLevel="0" collapsed="false">
      <c r="A541" s="39" t="s">
        <v>653</v>
      </c>
      <c r="B541" s="40" t="n">
        <v>45736</v>
      </c>
      <c r="C541" s="39" t="s">
        <v>133</v>
      </c>
      <c r="D541" s="39" t="n">
        <v>5</v>
      </c>
      <c r="E541" s="41" t="n">
        <v>8.86</v>
      </c>
      <c r="F541" s="39" t="s">
        <v>108</v>
      </c>
      <c r="G541" s="39" t="str">
        <f aca="false">UPPER(TRIM(C541))</f>
        <v>P019</v>
      </c>
      <c r="H541" s="39" t="str">
        <f aca="false">IF(ISNUMBER(MATCH(G541,Products!$A$5:$A$24,0)),"OK","Mismatch")</f>
        <v>OK</v>
      </c>
      <c r="I541" s="39" t="str">
        <f aca="false">IF(COUNTIF($A$5:A541,A541)&gt;1,"Duplicate","Unique")</f>
        <v>Unique</v>
      </c>
      <c r="J541" s="39" t="str">
        <f aca="false">IF(I541="Duplicate","Remove",IF(H541="Mismatch","Exclude","Keep"))</f>
        <v>Keep</v>
      </c>
    </row>
    <row r="542" customFormat="false" ht="15" hidden="false" customHeight="false" outlineLevel="0" collapsed="false">
      <c r="A542" s="39" t="s">
        <v>654</v>
      </c>
      <c r="B542" s="40" t="n">
        <v>45736</v>
      </c>
      <c r="C542" s="39" t="s">
        <v>133</v>
      </c>
      <c r="D542" s="39" t="n">
        <v>2</v>
      </c>
      <c r="E542" s="41" t="n">
        <v>8.43</v>
      </c>
      <c r="F542" s="39" t="s">
        <v>108</v>
      </c>
      <c r="G542" s="39" t="str">
        <f aca="false">UPPER(TRIM(C542))</f>
        <v>P019</v>
      </c>
      <c r="H542" s="39" t="str">
        <f aca="false">IF(ISNUMBER(MATCH(G542,Products!$A$5:$A$24,0)),"OK","Mismatch")</f>
        <v>OK</v>
      </c>
      <c r="I542" s="39" t="str">
        <f aca="false">IF(COUNTIF($A$5:A542,A542)&gt;1,"Duplicate","Unique")</f>
        <v>Unique</v>
      </c>
      <c r="J542" s="39" t="str">
        <f aca="false">IF(I542="Duplicate","Remove",IF(H542="Mismatch","Exclude","Keep"))</f>
        <v>Keep</v>
      </c>
    </row>
    <row r="543" customFormat="false" ht="15" hidden="false" customHeight="false" outlineLevel="0" collapsed="false">
      <c r="A543" s="39" t="s">
        <v>655</v>
      </c>
      <c r="B543" s="40" t="n">
        <v>45736</v>
      </c>
      <c r="C543" s="39" t="s">
        <v>104</v>
      </c>
      <c r="D543" s="39" t="n">
        <v>2</v>
      </c>
      <c r="E543" s="41" t="n">
        <v>14.77</v>
      </c>
      <c r="F543" s="39" t="s">
        <v>115</v>
      </c>
      <c r="G543" s="39" t="str">
        <f aca="false">UPPER(TRIM(C543))</f>
        <v>P015</v>
      </c>
      <c r="H543" s="39" t="str">
        <f aca="false">IF(ISNUMBER(MATCH(G543,Products!$A$5:$A$24,0)),"OK","Mismatch")</f>
        <v>OK</v>
      </c>
      <c r="I543" s="39" t="str">
        <f aca="false">IF(COUNTIF($A$5:A543,A543)&gt;1,"Duplicate","Unique")</f>
        <v>Unique</v>
      </c>
      <c r="J543" s="39" t="str">
        <f aca="false">IF(I543="Duplicate","Remove",IF(H543="Mismatch","Exclude","Keep"))</f>
        <v>Keep</v>
      </c>
    </row>
    <row r="544" customFormat="false" ht="15" hidden="false" customHeight="false" outlineLevel="0" collapsed="false">
      <c r="A544" s="39" t="s">
        <v>656</v>
      </c>
      <c r="B544" s="40" t="n">
        <v>45736</v>
      </c>
      <c r="C544" s="39" t="s">
        <v>162</v>
      </c>
      <c r="D544" s="39" t="n">
        <v>1</v>
      </c>
      <c r="E544" s="41" t="n">
        <v>67.79</v>
      </c>
      <c r="F544" s="39" t="s">
        <v>105</v>
      </c>
      <c r="G544" s="39" t="str">
        <f aca="false">UPPER(TRIM(C544))</f>
        <v>P017</v>
      </c>
      <c r="H544" s="39" t="str">
        <f aca="false">IF(ISNUMBER(MATCH(G544,Products!$A$5:$A$24,0)),"OK","Mismatch")</f>
        <v>OK</v>
      </c>
      <c r="I544" s="39" t="str">
        <f aca="false">IF(COUNTIF($A$5:A544,A544)&gt;1,"Duplicate","Unique")</f>
        <v>Unique</v>
      </c>
      <c r="J544" s="39" t="str">
        <f aca="false">IF(I544="Duplicate","Remove",IF(H544="Mismatch","Exclude","Keep"))</f>
        <v>Keep</v>
      </c>
    </row>
    <row r="545" customFormat="false" ht="15" hidden="false" customHeight="false" outlineLevel="0" collapsed="false">
      <c r="A545" s="39" t="s">
        <v>657</v>
      </c>
      <c r="B545" s="40" t="n">
        <v>45737</v>
      </c>
      <c r="C545" s="39" t="s">
        <v>117</v>
      </c>
      <c r="D545" s="39" t="n">
        <v>3</v>
      </c>
      <c r="E545" s="41" t="n">
        <v>31.03</v>
      </c>
      <c r="F545" s="39" t="s">
        <v>108</v>
      </c>
      <c r="G545" s="39" t="str">
        <f aca="false">UPPER(TRIM(C545))</f>
        <v>P009</v>
      </c>
      <c r="H545" s="39" t="str">
        <f aca="false">IF(ISNUMBER(MATCH(G545,Products!$A$5:$A$24,0)),"OK","Mismatch")</f>
        <v>OK</v>
      </c>
      <c r="I545" s="39" t="str">
        <f aca="false">IF(COUNTIF($A$5:A545,A545)&gt;1,"Duplicate","Unique")</f>
        <v>Unique</v>
      </c>
      <c r="J545" s="39" t="str">
        <f aca="false">IF(I545="Duplicate","Remove",IF(H545="Mismatch","Exclude","Keep"))</f>
        <v>Keep</v>
      </c>
    </row>
    <row r="546" customFormat="false" ht="15" hidden="false" customHeight="false" outlineLevel="0" collapsed="false">
      <c r="A546" s="39" t="s">
        <v>658</v>
      </c>
      <c r="B546" s="40" t="n">
        <v>45737</v>
      </c>
      <c r="C546" s="39" t="s">
        <v>121</v>
      </c>
      <c r="D546" s="39" t="n">
        <v>8</v>
      </c>
      <c r="E546" s="41" t="n">
        <v>112.2</v>
      </c>
      <c r="F546" s="39" t="s">
        <v>105</v>
      </c>
      <c r="G546" s="39" t="str">
        <f aca="false">UPPER(TRIM(C546))</f>
        <v>P018</v>
      </c>
      <c r="H546" s="39" t="str">
        <f aca="false">IF(ISNUMBER(MATCH(G546,Products!$A$5:$A$24,0)),"OK","Mismatch")</f>
        <v>OK</v>
      </c>
      <c r="I546" s="39" t="str">
        <f aca="false">IF(COUNTIF($A$5:A546,A546)&gt;1,"Duplicate","Unique")</f>
        <v>Unique</v>
      </c>
      <c r="J546" s="39" t="str">
        <f aca="false">IF(I546="Duplicate","Remove",IF(H546="Mismatch","Exclude","Keep"))</f>
        <v>Keep</v>
      </c>
    </row>
    <row r="547" customFormat="false" ht="15" hidden="false" customHeight="false" outlineLevel="0" collapsed="false">
      <c r="A547" s="39" t="s">
        <v>659</v>
      </c>
      <c r="B547" s="40" t="n">
        <v>45737</v>
      </c>
      <c r="C547" s="39" t="s">
        <v>114</v>
      </c>
      <c r="D547" s="39" t="n">
        <v>1</v>
      </c>
      <c r="E547" s="41" t="n">
        <v>5.78</v>
      </c>
      <c r="F547" s="39" t="s">
        <v>105</v>
      </c>
      <c r="G547" s="39" t="str">
        <f aca="false">UPPER(TRIM(C547))</f>
        <v>P012</v>
      </c>
      <c r="H547" s="39" t="str">
        <f aca="false">IF(ISNUMBER(MATCH(G547,Products!$A$5:$A$24,0)),"OK","Mismatch")</f>
        <v>OK</v>
      </c>
      <c r="I547" s="39" t="str">
        <f aca="false">IF(COUNTIF($A$5:A547,A547)&gt;1,"Duplicate","Unique")</f>
        <v>Unique</v>
      </c>
      <c r="J547" s="39" t="str">
        <f aca="false">IF(I547="Duplicate","Remove",IF(H547="Mismatch","Exclude","Keep"))</f>
        <v>Keep</v>
      </c>
    </row>
    <row r="548" customFormat="false" ht="15" hidden="false" customHeight="false" outlineLevel="0" collapsed="false">
      <c r="A548" s="39" t="s">
        <v>660</v>
      </c>
      <c r="B548" s="40" t="n">
        <v>45737</v>
      </c>
      <c r="C548" s="39" t="s">
        <v>107</v>
      </c>
      <c r="D548" s="39" t="n">
        <v>1</v>
      </c>
      <c r="E548" s="41" t="n">
        <v>34.36</v>
      </c>
      <c r="F548" s="39" t="s">
        <v>108</v>
      </c>
      <c r="G548" s="39" t="str">
        <f aca="false">UPPER(TRIM(C548))</f>
        <v>P003</v>
      </c>
      <c r="H548" s="39" t="str">
        <f aca="false">IF(ISNUMBER(MATCH(G548,Products!$A$5:$A$24,0)),"OK","Mismatch")</f>
        <v>OK</v>
      </c>
      <c r="I548" s="39" t="str">
        <f aca="false">IF(COUNTIF($A$5:A548,A548)&gt;1,"Duplicate","Unique")</f>
        <v>Unique</v>
      </c>
      <c r="J548" s="39" t="str">
        <f aca="false">IF(I548="Duplicate","Remove",IF(H548="Mismatch","Exclude","Keep"))</f>
        <v>Keep</v>
      </c>
    </row>
    <row r="549" customFormat="false" ht="15" hidden="false" customHeight="false" outlineLevel="0" collapsed="false">
      <c r="A549" s="39" t="s">
        <v>661</v>
      </c>
      <c r="B549" s="40" t="n">
        <v>45737</v>
      </c>
      <c r="C549" s="39" t="s">
        <v>114</v>
      </c>
      <c r="D549" s="39" t="n">
        <v>1</v>
      </c>
      <c r="E549" s="41" t="n">
        <v>5.88</v>
      </c>
      <c r="F549" s="39" t="s">
        <v>105</v>
      </c>
      <c r="G549" s="39" t="str">
        <f aca="false">UPPER(TRIM(C549))</f>
        <v>P012</v>
      </c>
      <c r="H549" s="39" t="str">
        <f aca="false">IF(ISNUMBER(MATCH(G549,Products!$A$5:$A$24,0)),"OK","Mismatch")</f>
        <v>OK</v>
      </c>
      <c r="I549" s="39" t="str">
        <f aca="false">IF(COUNTIF($A$5:A549,A549)&gt;1,"Duplicate","Unique")</f>
        <v>Unique</v>
      </c>
      <c r="J549" s="39" t="str">
        <f aca="false">IF(I549="Duplicate","Remove",IF(H549="Mismatch","Exclude","Keep"))</f>
        <v>Keep</v>
      </c>
    </row>
    <row r="550" customFormat="false" ht="15" hidden="false" customHeight="false" outlineLevel="0" collapsed="false">
      <c r="A550" s="39" t="s">
        <v>662</v>
      </c>
      <c r="B550" s="40" t="n">
        <v>45737</v>
      </c>
      <c r="C550" s="39" t="s">
        <v>107</v>
      </c>
      <c r="D550" s="39" t="n">
        <v>2</v>
      </c>
      <c r="E550" s="41" t="n">
        <v>34.27</v>
      </c>
      <c r="F550" s="39" t="s">
        <v>105</v>
      </c>
      <c r="G550" s="39" t="str">
        <f aca="false">UPPER(TRIM(C550))</f>
        <v>P003</v>
      </c>
      <c r="H550" s="39" t="str">
        <f aca="false">IF(ISNUMBER(MATCH(G550,Products!$A$5:$A$24,0)),"OK","Mismatch")</f>
        <v>OK</v>
      </c>
      <c r="I550" s="39" t="str">
        <f aca="false">IF(COUNTIF($A$5:A550,A550)&gt;1,"Duplicate","Unique")</f>
        <v>Unique</v>
      </c>
      <c r="J550" s="39" t="str">
        <f aca="false">IF(I550="Duplicate","Remove",IF(H550="Mismatch","Exclude","Keep"))</f>
        <v>Keep</v>
      </c>
    </row>
    <row r="551" customFormat="false" ht="15" hidden="false" customHeight="false" outlineLevel="0" collapsed="false">
      <c r="A551" s="39" t="s">
        <v>663</v>
      </c>
      <c r="B551" s="40" t="n">
        <v>45737</v>
      </c>
      <c r="C551" s="39" t="s">
        <v>107</v>
      </c>
      <c r="D551" s="39" t="n">
        <v>4</v>
      </c>
      <c r="E551" s="41" t="n">
        <v>33.23</v>
      </c>
      <c r="F551" s="39" t="s">
        <v>115</v>
      </c>
      <c r="G551" s="39" t="str">
        <f aca="false">UPPER(TRIM(C551))</f>
        <v>P003</v>
      </c>
      <c r="H551" s="39" t="str">
        <f aca="false">IF(ISNUMBER(MATCH(G551,Products!$A$5:$A$24,0)),"OK","Mismatch")</f>
        <v>OK</v>
      </c>
      <c r="I551" s="39" t="str">
        <f aca="false">IF(COUNTIF($A$5:A551,A551)&gt;1,"Duplicate","Unique")</f>
        <v>Unique</v>
      </c>
      <c r="J551" s="39" t="str">
        <f aca="false">IF(I551="Duplicate","Remove",IF(H551="Mismatch","Exclude","Keep"))</f>
        <v>Keep</v>
      </c>
    </row>
    <row r="552" customFormat="false" ht="15" hidden="false" customHeight="false" outlineLevel="0" collapsed="false">
      <c r="A552" s="39" t="s">
        <v>664</v>
      </c>
      <c r="B552" s="40" t="n">
        <v>45738</v>
      </c>
      <c r="C552" s="39" t="s">
        <v>126</v>
      </c>
      <c r="D552" s="39" t="n">
        <v>4</v>
      </c>
      <c r="E552" s="41" t="n">
        <v>23.71</v>
      </c>
      <c r="F552" s="39" t="s">
        <v>105</v>
      </c>
      <c r="G552" s="39" t="str">
        <f aca="false">UPPER(TRIM(C552))</f>
        <v>P001</v>
      </c>
      <c r="H552" s="39" t="str">
        <f aca="false">IF(ISNUMBER(MATCH(G552,Products!$A$5:$A$24,0)),"OK","Mismatch")</f>
        <v>OK</v>
      </c>
      <c r="I552" s="39" t="str">
        <f aca="false">IF(COUNTIF($A$5:A552,A552)&gt;1,"Duplicate","Unique")</f>
        <v>Unique</v>
      </c>
      <c r="J552" s="39" t="str">
        <f aca="false">IF(I552="Duplicate","Remove",IF(H552="Mismatch","Exclude","Keep"))</f>
        <v>Keep</v>
      </c>
    </row>
    <row r="553" customFormat="false" ht="15" hidden="false" customHeight="false" outlineLevel="0" collapsed="false">
      <c r="A553" s="39" t="s">
        <v>665</v>
      </c>
      <c r="B553" s="40" t="n">
        <v>45738</v>
      </c>
      <c r="C553" s="39" t="s">
        <v>104</v>
      </c>
      <c r="D553" s="39" t="n">
        <v>1</v>
      </c>
      <c r="E553" s="41" t="n">
        <v>15.88</v>
      </c>
      <c r="F553" s="39" t="s">
        <v>118</v>
      </c>
      <c r="G553" s="39" t="str">
        <f aca="false">UPPER(TRIM(C553))</f>
        <v>P015</v>
      </c>
      <c r="H553" s="39" t="str">
        <f aca="false">IF(ISNUMBER(MATCH(G553,Products!$A$5:$A$24,0)),"OK","Mismatch")</f>
        <v>OK</v>
      </c>
      <c r="I553" s="39" t="str">
        <f aca="false">IF(COUNTIF($A$5:A553,A553)&gt;1,"Duplicate","Unique")</f>
        <v>Unique</v>
      </c>
      <c r="J553" s="39" t="str">
        <f aca="false">IF(I553="Duplicate","Remove",IF(H553="Mismatch","Exclude","Keep"))</f>
        <v>Keep</v>
      </c>
    </row>
    <row r="554" customFormat="false" ht="15" hidden="false" customHeight="false" outlineLevel="0" collapsed="false">
      <c r="A554" s="39" t="s">
        <v>666</v>
      </c>
      <c r="B554" s="40" t="n">
        <v>45738</v>
      </c>
      <c r="C554" s="39" t="s">
        <v>112</v>
      </c>
      <c r="D554" s="39" t="n">
        <v>1</v>
      </c>
      <c r="E554" s="41" t="n">
        <v>53.56</v>
      </c>
      <c r="F554" s="39" t="s">
        <v>115</v>
      </c>
      <c r="G554" s="39" t="str">
        <f aca="false">UPPER(TRIM(C554))</f>
        <v>P005</v>
      </c>
      <c r="H554" s="39" t="str">
        <f aca="false">IF(ISNUMBER(MATCH(G554,Products!$A$5:$A$24,0)),"OK","Mismatch")</f>
        <v>OK</v>
      </c>
      <c r="I554" s="39" t="str">
        <f aca="false">IF(COUNTIF($A$5:A554,A554)&gt;1,"Duplicate","Unique")</f>
        <v>Unique</v>
      </c>
      <c r="J554" s="39" t="str">
        <f aca="false">IF(I554="Duplicate","Remove",IF(H554="Mismatch","Exclude","Keep"))</f>
        <v>Keep</v>
      </c>
    </row>
    <row r="555" customFormat="false" ht="15" hidden="false" customHeight="false" outlineLevel="0" collapsed="false">
      <c r="A555" s="39" t="s">
        <v>667</v>
      </c>
      <c r="B555" s="40" t="n">
        <v>45738</v>
      </c>
      <c r="C555" s="39" t="s">
        <v>139</v>
      </c>
      <c r="D555" s="39" t="n">
        <v>2</v>
      </c>
      <c r="E555" s="41" t="n">
        <v>127.92</v>
      </c>
      <c r="F555" s="39" t="s">
        <v>115</v>
      </c>
      <c r="G555" s="39" t="str">
        <f aca="false">UPPER(TRIM(C555))</f>
        <v>P006</v>
      </c>
      <c r="H555" s="39" t="str">
        <f aca="false">IF(ISNUMBER(MATCH(G555,Products!$A$5:$A$24,0)),"OK","Mismatch")</f>
        <v>OK</v>
      </c>
      <c r="I555" s="39" t="str">
        <f aca="false">IF(COUNTIF($A$5:A555,A555)&gt;1,"Duplicate","Unique")</f>
        <v>Unique</v>
      </c>
      <c r="J555" s="39" t="str">
        <f aca="false">IF(I555="Duplicate","Remove",IF(H555="Mismatch","Exclude","Keep"))</f>
        <v>Keep</v>
      </c>
    </row>
    <row r="556" customFormat="false" ht="15" hidden="false" customHeight="false" outlineLevel="0" collapsed="false">
      <c r="A556" s="39" t="s">
        <v>668</v>
      </c>
      <c r="B556" s="40" t="n">
        <v>45738</v>
      </c>
      <c r="C556" s="39" t="s">
        <v>121</v>
      </c>
      <c r="D556" s="39" t="n">
        <v>4</v>
      </c>
      <c r="E556" s="41" t="n">
        <v>118.06</v>
      </c>
      <c r="F556" s="39" t="s">
        <v>115</v>
      </c>
      <c r="G556" s="39" t="str">
        <f aca="false">UPPER(TRIM(C556))</f>
        <v>P018</v>
      </c>
      <c r="H556" s="39" t="str">
        <f aca="false">IF(ISNUMBER(MATCH(G556,Products!$A$5:$A$24,0)),"OK","Mismatch")</f>
        <v>OK</v>
      </c>
      <c r="I556" s="39" t="str">
        <f aca="false">IF(COUNTIF($A$5:A556,A556)&gt;1,"Duplicate","Unique")</f>
        <v>Unique</v>
      </c>
      <c r="J556" s="39" t="str">
        <f aca="false">IF(I556="Duplicate","Remove",IF(H556="Mismatch","Exclude","Keep"))</f>
        <v>Keep</v>
      </c>
    </row>
    <row r="557" customFormat="false" ht="15" hidden="false" customHeight="false" outlineLevel="0" collapsed="false">
      <c r="A557" s="39" t="s">
        <v>669</v>
      </c>
      <c r="B557" s="40" t="n">
        <v>45738</v>
      </c>
      <c r="C557" s="39" t="s">
        <v>183</v>
      </c>
      <c r="D557" s="39" t="n">
        <v>5</v>
      </c>
      <c r="E557" s="41" t="n">
        <v>187.41</v>
      </c>
      <c r="F557" s="39" t="s">
        <v>118</v>
      </c>
      <c r="G557" s="39" t="str">
        <f aca="false">UPPER(TRIM(C557))</f>
        <v>P007</v>
      </c>
      <c r="H557" s="39" t="str">
        <f aca="false">IF(ISNUMBER(MATCH(G557,Products!$A$5:$A$24,0)),"OK","Mismatch")</f>
        <v>OK</v>
      </c>
      <c r="I557" s="39" t="str">
        <f aca="false">IF(COUNTIF($A$5:A557,A557)&gt;1,"Duplicate","Unique")</f>
        <v>Unique</v>
      </c>
      <c r="J557" s="39" t="str">
        <f aca="false">IF(I557="Duplicate","Remove",IF(H557="Mismatch","Exclude","Keep"))</f>
        <v>Keep</v>
      </c>
    </row>
    <row r="558" customFormat="false" ht="15" hidden="false" customHeight="false" outlineLevel="0" collapsed="false">
      <c r="A558" s="39" t="s">
        <v>670</v>
      </c>
      <c r="B558" s="40" t="n">
        <v>45739</v>
      </c>
      <c r="C558" s="39" t="s">
        <v>183</v>
      </c>
      <c r="D558" s="39" t="n">
        <v>1</v>
      </c>
      <c r="E558" s="41" t="n">
        <v>183.15</v>
      </c>
      <c r="F558" s="39" t="s">
        <v>118</v>
      </c>
      <c r="G558" s="39" t="str">
        <f aca="false">UPPER(TRIM(C558))</f>
        <v>P007</v>
      </c>
      <c r="H558" s="39" t="str">
        <f aca="false">IF(ISNUMBER(MATCH(G558,Products!$A$5:$A$24,0)),"OK","Mismatch")</f>
        <v>OK</v>
      </c>
      <c r="I558" s="39" t="str">
        <f aca="false">IF(COUNTIF($A$5:A558,A558)&gt;1,"Duplicate","Unique")</f>
        <v>Unique</v>
      </c>
      <c r="J558" s="39" t="str">
        <f aca="false">IF(I558="Duplicate","Remove",IF(H558="Mismatch","Exclude","Keep"))</f>
        <v>Keep</v>
      </c>
    </row>
    <row r="559" customFormat="false" ht="15" hidden="false" customHeight="false" outlineLevel="0" collapsed="false">
      <c r="A559" s="39" t="s">
        <v>671</v>
      </c>
      <c r="B559" s="40" t="n">
        <v>45739</v>
      </c>
      <c r="C559" s="39" t="s">
        <v>114</v>
      </c>
      <c r="D559" s="39" t="n">
        <v>8</v>
      </c>
      <c r="E559" s="41" t="n">
        <v>5.92</v>
      </c>
      <c r="F559" s="39" t="s">
        <v>115</v>
      </c>
      <c r="G559" s="39" t="str">
        <f aca="false">UPPER(TRIM(C559))</f>
        <v>P012</v>
      </c>
      <c r="H559" s="39" t="str">
        <f aca="false">IF(ISNUMBER(MATCH(G559,Products!$A$5:$A$24,0)),"OK","Mismatch")</f>
        <v>OK</v>
      </c>
      <c r="I559" s="39" t="str">
        <f aca="false">IF(COUNTIF($A$5:A559,A559)&gt;1,"Duplicate","Unique")</f>
        <v>Unique</v>
      </c>
      <c r="J559" s="39" t="str">
        <f aca="false">IF(I559="Duplicate","Remove",IF(H559="Mismatch","Exclude","Keep"))</f>
        <v>Keep</v>
      </c>
    </row>
    <row r="560" customFormat="false" ht="15" hidden="false" customHeight="false" outlineLevel="0" collapsed="false">
      <c r="A560" s="39" t="s">
        <v>672</v>
      </c>
      <c r="B560" s="40" t="n">
        <v>45739</v>
      </c>
      <c r="C560" s="39" t="s">
        <v>117</v>
      </c>
      <c r="D560" s="39" t="n">
        <v>4</v>
      </c>
      <c r="E560" s="41" t="n">
        <v>30.08</v>
      </c>
      <c r="F560" s="39" t="s">
        <v>108</v>
      </c>
      <c r="G560" s="39" t="str">
        <f aca="false">UPPER(TRIM(C560))</f>
        <v>P009</v>
      </c>
      <c r="H560" s="39" t="str">
        <f aca="false">IF(ISNUMBER(MATCH(G560,Products!$A$5:$A$24,0)),"OK","Mismatch")</f>
        <v>OK</v>
      </c>
      <c r="I560" s="39" t="str">
        <f aca="false">IF(COUNTIF($A$5:A560,A560)&gt;1,"Duplicate","Unique")</f>
        <v>Unique</v>
      </c>
      <c r="J560" s="39" t="str">
        <f aca="false">IF(I560="Duplicate","Remove",IF(H560="Mismatch","Exclude","Keep"))</f>
        <v>Keep</v>
      </c>
    </row>
    <row r="561" customFormat="false" ht="15" hidden="false" customHeight="false" outlineLevel="0" collapsed="false">
      <c r="A561" s="39" t="s">
        <v>673</v>
      </c>
      <c r="B561" s="40" t="n">
        <v>45739</v>
      </c>
      <c r="C561" s="39" t="s">
        <v>144</v>
      </c>
      <c r="D561" s="39" t="n">
        <v>6</v>
      </c>
      <c r="E561" s="41" t="n">
        <v>55.09</v>
      </c>
      <c r="F561" s="39" t="s">
        <v>108</v>
      </c>
      <c r="G561" s="39" t="str">
        <f aca="false">UPPER(TRIM(C561))</f>
        <v>P013</v>
      </c>
      <c r="H561" s="39" t="str">
        <f aca="false">IF(ISNUMBER(MATCH(G561,Products!$A$5:$A$24,0)),"OK","Mismatch")</f>
        <v>OK</v>
      </c>
      <c r="I561" s="39" t="str">
        <f aca="false">IF(COUNTIF($A$5:A561,A561)&gt;1,"Duplicate","Unique")</f>
        <v>Unique</v>
      </c>
      <c r="J561" s="39" t="str">
        <f aca="false">IF(I561="Duplicate","Remove",IF(H561="Mismatch","Exclude","Keep"))</f>
        <v>Keep</v>
      </c>
    </row>
    <row r="562" customFormat="false" ht="15" hidden="false" customHeight="false" outlineLevel="0" collapsed="false">
      <c r="A562" s="39" t="s">
        <v>674</v>
      </c>
      <c r="B562" s="40" t="n">
        <v>45739</v>
      </c>
      <c r="C562" s="39" t="s">
        <v>177</v>
      </c>
      <c r="D562" s="39" t="n">
        <v>6</v>
      </c>
      <c r="E562" s="41" t="n">
        <v>41.87</v>
      </c>
      <c r="F562" s="39" t="s">
        <v>108</v>
      </c>
      <c r="G562" s="39" t="str">
        <f aca="false">UPPER(TRIM(C562))</f>
        <v>P014</v>
      </c>
      <c r="H562" s="39" t="str">
        <f aca="false">IF(ISNUMBER(MATCH(G562,Products!$A$5:$A$24,0)),"OK","Mismatch")</f>
        <v>OK</v>
      </c>
      <c r="I562" s="39" t="str">
        <f aca="false">IF(COUNTIF($A$5:A562,A562)&gt;1,"Duplicate","Unique")</f>
        <v>Unique</v>
      </c>
      <c r="J562" s="39" t="str">
        <f aca="false">IF(I562="Duplicate","Remove",IF(H562="Mismatch","Exclude","Keep"))</f>
        <v>Keep</v>
      </c>
    </row>
    <row r="563" customFormat="false" ht="15" hidden="false" customHeight="false" outlineLevel="0" collapsed="false">
      <c r="A563" s="39" t="s">
        <v>675</v>
      </c>
      <c r="B563" s="40" t="n">
        <v>45739</v>
      </c>
      <c r="C563" s="39" t="s">
        <v>305</v>
      </c>
      <c r="D563" s="39" t="n">
        <v>2</v>
      </c>
      <c r="E563" s="41" t="n">
        <v>336.96</v>
      </c>
      <c r="F563" s="39" t="s">
        <v>105</v>
      </c>
      <c r="G563" s="39" t="str">
        <f aca="false">UPPER(TRIM(C563))</f>
        <v>P008</v>
      </c>
      <c r="H563" s="39" t="str">
        <f aca="false">IF(ISNUMBER(MATCH(G563,Products!$A$5:$A$24,0)),"OK","Mismatch")</f>
        <v>OK</v>
      </c>
      <c r="I563" s="39" t="str">
        <f aca="false">IF(COUNTIF($A$5:A563,A563)&gt;1,"Duplicate","Unique")</f>
        <v>Unique</v>
      </c>
      <c r="J563" s="39" t="str">
        <f aca="false">IF(I563="Duplicate","Remove",IF(H563="Mismatch","Exclude","Keep"))</f>
        <v>Keep</v>
      </c>
    </row>
    <row r="564" customFormat="false" ht="15" hidden="false" customHeight="false" outlineLevel="0" collapsed="false">
      <c r="A564" s="39" t="s">
        <v>676</v>
      </c>
      <c r="B564" s="40" t="n">
        <v>45740</v>
      </c>
      <c r="C564" s="39" t="s">
        <v>3153</v>
      </c>
      <c r="D564" s="39" t="n">
        <v>2</v>
      </c>
      <c r="E564" s="41" t="n">
        <v>78.39</v>
      </c>
      <c r="F564" s="39" t="s">
        <v>108</v>
      </c>
      <c r="G564" s="39" t="str">
        <f aca="false">UPPER(TRIM(C564))</f>
        <v>P002</v>
      </c>
      <c r="H564" s="39" t="str">
        <f aca="false">IF(ISNUMBER(MATCH(G564,Products!$A$5:$A$24,0)),"OK","Mismatch")</f>
        <v>OK</v>
      </c>
      <c r="I564" s="39" t="str">
        <f aca="false">IF(COUNTIF($A$5:A564,A564)&gt;1,"Duplicate","Unique")</f>
        <v>Unique</v>
      </c>
      <c r="J564" s="39" t="str">
        <f aca="false">IF(I564="Duplicate","Remove",IF(H564="Mismatch","Exclude","Keep"))</f>
        <v>Keep</v>
      </c>
    </row>
    <row r="565" customFormat="false" ht="15" hidden="false" customHeight="false" outlineLevel="0" collapsed="false">
      <c r="A565" s="39" t="s">
        <v>677</v>
      </c>
      <c r="B565" s="40" t="n">
        <v>45740</v>
      </c>
      <c r="C565" s="39" t="s">
        <v>169</v>
      </c>
      <c r="D565" s="39" t="n">
        <v>2</v>
      </c>
      <c r="E565" s="41" t="n">
        <v>28.62</v>
      </c>
      <c r="F565" s="39" t="s">
        <v>105</v>
      </c>
      <c r="G565" s="39" t="str">
        <f aca="false">UPPER(TRIM(C565))</f>
        <v>P004</v>
      </c>
      <c r="H565" s="39" t="str">
        <f aca="false">IF(ISNUMBER(MATCH(G565,Products!$A$5:$A$24,0)),"OK","Mismatch")</f>
        <v>OK</v>
      </c>
      <c r="I565" s="39" t="str">
        <f aca="false">IF(COUNTIF($A$5:A565,A565)&gt;1,"Duplicate","Unique")</f>
        <v>Unique</v>
      </c>
      <c r="J565" s="39" t="str">
        <f aca="false">IF(I565="Duplicate","Remove",IF(H565="Mismatch","Exclude","Keep"))</f>
        <v>Keep</v>
      </c>
    </row>
    <row r="566" customFormat="false" ht="15" hidden="false" customHeight="false" outlineLevel="0" collapsed="false">
      <c r="A566" s="39" t="s">
        <v>678</v>
      </c>
      <c r="B566" s="40" t="n">
        <v>45740</v>
      </c>
      <c r="C566" s="39" t="s">
        <v>114</v>
      </c>
      <c r="D566" s="39" t="n">
        <v>4</v>
      </c>
      <c r="E566" s="41" t="n">
        <v>5.72</v>
      </c>
      <c r="F566" s="39" t="s">
        <v>118</v>
      </c>
      <c r="G566" s="39" t="str">
        <f aca="false">UPPER(TRIM(C566))</f>
        <v>P012</v>
      </c>
      <c r="H566" s="39" t="str">
        <f aca="false">IF(ISNUMBER(MATCH(G566,Products!$A$5:$A$24,0)),"OK","Mismatch")</f>
        <v>OK</v>
      </c>
      <c r="I566" s="39" t="str">
        <f aca="false">IF(COUNTIF($A$5:A566,A566)&gt;1,"Duplicate","Unique")</f>
        <v>Unique</v>
      </c>
      <c r="J566" s="39" t="str">
        <f aca="false">IF(I566="Duplicate","Remove",IF(H566="Mismatch","Exclude","Keep"))</f>
        <v>Keep</v>
      </c>
    </row>
    <row r="567" customFormat="false" ht="15" hidden="false" customHeight="false" outlineLevel="0" collapsed="false">
      <c r="A567" s="39" t="s">
        <v>679</v>
      </c>
      <c r="B567" s="40" t="n">
        <v>45740</v>
      </c>
      <c r="C567" s="39" t="s">
        <v>114</v>
      </c>
      <c r="D567" s="39" t="n">
        <v>5</v>
      </c>
      <c r="E567" s="41" t="n">
        <v>5.61</v>
      </c>
      <c r="F567" s="39" t="s">
        <v>105</v>
      </c>
      <c r="G567" s="39" t="str">
        <f aca="false">UPPER(TRIM(C567))</f>
        <v>P012</v>
      </c>
      <c r="H567" s="39" t="str">
        <f aca="false">IF(ISNUMBER(MATCH(G567,Products!$A$5:$A$24,0)),"OK","Mismatch")</f>
        <v>OK</v>
      </c>
      <c r="I567" s="39" t="str">
        <f aca="false">IF(COUNTIF($A$5:A567,A567)&gt;1,"Duplicate","Unique")</f>
        <v>Unique</v>
      </c>
      <c r="J567" s="39" t="str">
        <f aca="false">IF(I567="Duplicate","Remove",IF(H567="Mismatch","Exclude","Keep"))</f>
        <v>Keep</v>
      </c>
    </row>
    <row r="568" customFormat="false" ht="15" hidden="false" customHeight="false" outlineLevel="0" collapsed="false">
      <c r="A568" s="39" t="s">
        <v>680</v>
      </c>
      <c r="B568" s="40" t="n">
        <v>45740</v>
      </c>
      <c r="C568" s="39" t="s">
        <v>114</v>
      </c>
      <c r="D568" s="39" t="n">
        <v>1</v>
      </c>
      <c r="E568" s="41" t="n">
        <v>5.54</v>
      </c>
      <c r="F568" s="39" t="s">
        <v>105</v>
      </c>
      <c r="G568" s="39" t="str">
        <f aca="false">UPPER(TRIM(C568))</f>
        <v>P012</v>
      </c>
      <c r="H568" s="39" t="str">
        <f aca="false">IF(ISNUMBER(MATCH(G568,Products!$A$5:$A$24,0)),"OK","Mismatch")</f>
        <v>OK</v>
      </c>
      <c r="I568" s="39" t="str">
        <f aca="false">IF(COUNTIF($A$5:A568,A568)&gt;1,"Duplicate","Unique")</f>
        <v>Unique</v>
      </c>
      <c r="J568" s="39" t="str">
        <f aca="false">IF(I568="Duplicate","Remove",IF(H568="Mismatch","Exclude","Keep"))</f>
        <v>Keep</v>
      </c>
    </row>
    <row r="569" customFormat="false" ht="15" hidden="false" customHeight="false" outlineLevel="0" collapsed="false">
      <c r="A569" s="39" t="s">
        <v>681</v>
      </c>
      <c r="B569" s="40" t="n">
        <v>45740</v>
      </c>
      <c r="C569" s="39" t="s">
        <v>162</v>
      </c>
      <c r="D569" s="39" t="n">
        <v>1</v>
      </c>
      <c r="E569" s="41" t="n">
        <v>67.45</v>
      </c>
      <c r="F569" s="39" t="s">
        <v>108</v>
      </c>
      <c r="G569" s="39" t="str">
        <f aca="false">UPPER(TRIM(C569))</f>
        <v>P017</v>
      </c>
      <c r="H569" s="39" t="str">
        <f aca="false">IF(ISNUMBER(MATCH(G569,Products!$A$5:$A$24,0)),"OK","Mismatch")</f>
        <v>OK</v>
      </c>
      <c r="I569" s="39" t="str">
        <f aca="false">IF(COUNTIF($A$5:A569,A569)&gt;1,"Duplicate","Unique")</f>
        <v>Unique</v>
      </c>
      <c r="J569" s="39" t="str">
        <f aca="false">IF(I569="Duplicate","Remove",IF(H569="Mismatch","Exclude","Keep"))</f>
        <v>Keep</v>
      </c>
    </row>
    <row r="570" customFormat="false" ht="15" hidden="false" customHeight="false" outlineLevel="0" collapsed="false">
      <c r="A570" s="39" t="s">
        <v>682</v>
      </c>
      <c r="B570" s="40" t="n">
        <v>45740</v>
      </c>
      <c r="C570" s="39" t="s">
        <v>117</v>
      </c>
      <c r="D570" s="39" t="n">
        <v>1</v>
      </c>
      <c r="E570" s="41" t="n">
        <v>30.85</v>
      </c>
      <c r="F570" s="39" t="s">
        <v>115</v>
      </c>
      <c r="G570" s="39" t="str">
        <f aca="false">UPPER(TRIM(C570))</f>
        <v>P009</v>
      </c>
      <c r="H570" s="39" t="str">
        <f aca="false">IF(ISNUMBER(MATCH(G570,Products!$A$5:$A$24,0)),"OK","Mismatch")</f>
        <v>OK</v>
      </c>
      <c r="I570" s="39" t="str">
        <f aca="false">IF(COUNTIF($A$5:A570,A570)&gt;1,"Duplicate","Unique")</f>
        <v>Unique</v>
      </c>
      <c r="J570" s="39" t="str">
        <f aca="false">IF(I570="Duplicate","Remove",IF(H570="Mismatch","Exclude","Keep"))</f>
        <v>Keep</v>
      </c>
    </row>
    <row r="571" customFormat="false" ht="15" hidden="false" customHeight="false" outlineLevel="0" collapsed="false">
      <c r="A571" s="39" t="s">
        <v>683</v>
      </c>
      <c r="B571" s="40" t="n">
        <v>45740</v>
      </c>
      <c r="C571" s="39" t="s">
        <v>107</v>
      </c>
      <c r="D571" s="39" t="n">
        <v>1</v>
      </c>
      <c r="E571" s="41" t="n">
        <v>34.68</v>
      </c>
      <c r="F571" s="39" t="s">
        <v>108</v>
      </c>
      <c r="G571" s="39" t="str">
        <f aca="false">UPPER(TRIM(C571))</f>
        <v>P003</v>
      </c>
      <c r="H571" s="39" t="str">
        <f aca="false">IF(ISNUMBER(MATCH(G571,Products!$A$5:$A$24,0)),"OK","Mismatch")</f>
        <v>OK</v>
      </c>
      <c r="I571" s="39" t="str">
        <f aca="false">IF(COUNTIF($A$5:A571,A571)&gt;1,"Duplicate","Unique")</f>
        <v>Unique</v>
      </c>
      <c r="J571" s="39" t="str">
        <f aca="false">IF(I571="Duplicate","Remove",IF(H571="Mismatch","Exclude","Keep"))</f>
        <v>Keep</v>
      </c>
    </row>
    <row r="572" customFormat="false" ht="15" hidden="false" customHeight="false" outlineLevel="0" collapsed="false">
      <c r="A572" s="39" t="s">
        <v>684</v>
      </c>
      <c r="B572" s="40" t="n">
        <v>45740</v>
      </c>
      <c r="C572" s="39" t="s">
        <v>126</v>
      </c>
      <c r="D572" s="39" t="n">
        <v>1</v>
      </c>
      <c r="E572" s="41" t="n">
        <v>23</v>
      </c>
      <c r="F572" s="39" t="s">
        <v>118</v>
      </c>
      <c r="G572" s="39" t="str">
        <f aca="false">UPPER(TRIM(C572))</f>
        <v>P001</v>
      </c>
      <c r="H572" s="39" t="str">
        <f aca="false">IF(ISNUMBER(MATCH(G572,Products!$A$5:$A$24,0)),"OK","Mismatch")</f>
        <v>OK</v>
      </c>
      <c r="I572" s="39" t="str">
        <f aca="false">IF(COUNTIF($A$5:A572,A572)&gt;1,"Duplicate","Unique")</f>
        <v>Unique</v>
      </c>
      <c r="J572" s="39" t="str">
        <f aca="false">IF(I572="Duplicate","Remove",IF(H572="Mismatch","Exclude","Keep"))</f>
        <v>Keep</v>
      </c>
    </row>
    <row r="573" customFormat="false" ht="15" hidden="false" customHeight="false" outlineLevel="0" collapsed="false">
      <c r="A573" s="39" t="s">
        <v>685</v>
      </c>
      <c r="B573" s="40" t="n">
        <v>45740</v>
      </c>
      <c r="C573" s="39" t="s">
        <v>130</v>
      </c>
      <c r="D573" s="39" t="n">
        <v>8</v>
      </c>
      <c r="E573" s="41" t="n">
        <v>8.74</v>
      </c>
      <c r="F573" s="39" t="s">
        <v>118</v>
      </c>
      <c r="G573" s="39" t="str">
        <f aca="false">UPPER(TRIM(C573))</f>
        <v>P011</v>
      </c>
      <c r="H573" s="39" t="str">
        <f aca="false">IF(ISNUMBER(MATCH(G573,Products!$A$5:$A$24,0)),"OK","Mismatch")</f>
        <v>OK</v>
      </c>
      <c r="I573" s="39" t="str">
        <f aca="false">IF(COUNTIF($A$5:A573,A573)&gt;1,"Duplicate","Unique")</f>
        <v>Unique</v>
      </c>
      <c r="J573" s="39" t="str">
        <f aca="false">IF(I573="Duplicate","Remove",IF(H573="Mismatch","Exclude","Keep"))</f>
        <v>Keep</v>
      </c>
    </row>
    <row r="574" customFormat="false" ht="15" hidden="false" customHeight="false" outlineLevel="0" collapsed="false">
      <c r="A574" s="39" t="s">
        <v>686</v>
      </c>
      <c r="B574" s="40" t="n">
        <v>45741</v>
      </c>
      <c r="C574" s="39" t="s">
        <v>169</v>
      </c>
      <c r="D574" s="39" t="n">
        <v>1</v>
      </c>
      <c r="E574" s="41" t="n">
        <v>27.69</v>
      </c>
      <c r="F574" s="39" t="s">
        <v>108</v>
      </c>
      <c r="G574" s="39" t="str">
        <f aca="false">UPPER(TRIM(C574))</f>
        <v>P004</v>
      </c>
      <c r="H574" s="39" t="str">
        <f aca="false">IF(ISNUMBER(MATCH(G574,Products!$A$5:$A$24,0)),"OK","Mismatch")</f>
        <v>OK</v>
      </c>
      <c r="I574" s="39" t="str">
        <f aca="false">IF(COUNTIF($A$5:A574,A574)&gt;1,"Duplicate","Unique")</f>
        <v>Unique</v>
      </c>
      <c r="J574" s="39" t="str">
        <f aca="false">IF(I574="Duplicate","Remove",IF(H574="Mismatch","Exclude","Keep"))</f>
        <v>Keep</v>
      </c>
    </row>
    <row r="575" customFormat="false" ht="15" hidden="false" customHeight="false" outlineLevel="0" collapsed="false">
      <c r="A575" s="39" t="s">
        <v>687</v>
      </c>
      <c r="B575" s="40" t="n">
        <v>45741</v>
      </c>
      <c r="C575" s="39" t="s">
        <v>104</v>
      </c>
      <c r="D575" s="39" t="n">
        <v>1</v>
      </c>
      <c r="E575" s="41" t="n">
        <v>15.31</v>
      </c>
      <c r="F575" s="39" t="s">
        <v>118</v>
      </c>
      <c r="G575" s="39" t="str">
        <f aca="false">UPPER(TRIM(C575))</f>
        <v>P015</v>
      </c>
      <c r="H575" s="39" t="str">
        <f aca="false">IF(ISNUMBER(MATCH(G575,Products!$A$5:$A$24,0)),"OK","Mismatch")</f>
        <v>OK</v>
      </c>
      <c r="I575" s="39" t="str">
        <f aca="false">IF(COUNTIF($A$5:A575,A575)&gt;1,"Duplicate","Unique")</f>
        <v>Unique</v>
      </c>
      <c r="J575" s="39" t="str">
        <f aca="false">IF(I575="Duplicate","Remove",IF(H575="Mismatch","Exclude","Keep"))</f>
        <v>Keep</v>
      </c>
    </row>
    <row r="576" customFormat="false" ht="15" hidden="false" customHeight="false" outlineLevel="0" collapsed="false">
      <c r="A576" s="39" t="s">
        <v>688</v>
      </c>
      <c r="B576" s="40" t="n">
        <v>45741</v>
      </c>
      <c r="C576" s="39" t="s">
        <v>183</v>
      </c>
      <c r="D576" s="39" t="n">
        <v>1</v>
      </c>
      <c r="E576" s="41" t="n">
        <v>184.68</v>
      </c>
      <c r="F576" s="39" t="s">
        <v>115</v>
      </c>
      <c r="G576" s="39" t="str">
        <f aca="false">UPPER(TRIM(C576))</f>
        <v>P007</v>
      </c>
      <c r="H576" s="39" t="str">
        <f aca="false">IF(ISNUMBER(MATCH(G576,Products!$A$5:$A$24,0)),"OK","Mismatch")</f>
        <v>OK</v>
      </c>
      <c r="I576" s="39" t="str">
        <f aca="false">IF(COUNTIF($A$5:A576,A576)&gt;1,"Duplicate","Unique")</f>
        <v>Unique</v>
      </c>
      <c r="J576" s="39" t="str">
        <f aca="false">IF(I576="Duplicate","Remove",IF(H576="Mismatch","Exclude","Keep"))</f>
        <v>Keep</v>
      </c>
    </row>
    <row r="577" customFormat="false" ht="15" hidden="false" customHeight="false" outlineLevel="0" collapsed="false">
      <c r="A577" s="39" t="s">
        <v>689</v>
      </c>
      <c r="B577" s="40" t="n">
        <v>45741</v>
      </c>
      <c r="C577" s="39" t="s">
        <v>305</v>
      </c>
      <c r="D577" s="39" t="n">
        <v>8</v>
      </c>
      <c r="E577" s="41" t="n">
        <v>340.79</v>
      </c>
      <c r="F577" s="39" t="s">
        <v>115</v>
      </c>
      <c r="G577" s="39" t="str">
        <f aca="false">UPPER(TRIM(C577))</f>
        <v>P008</v>
      </c>
      <c r="H577" s="39" t="str">
        <f aca="false">IF(ISNUMBER(MATCH(G577,Products!$A$5:$A$24,0)),"OK","Mismatch")</f>
        <v>OK</v>
      </c>
      <c r="I577" s="39" t="str">
        <f aca="false">IF(COUNTIF($A$5:A577,A577)&gt;1,"Duplicate","Unique")</f>
        <v>Unique</v>
      </c>
      <c r="J577" s="39" t="str">
        <f aca="false">IF(I577="Duplicate","Remove",IF(H577="Mismatch","Exclude","Keep"))</f>
        <v>Keep</v>
      </c>
    </row>
    <row r="578" customFormat="false" ht="15" hidden="false" customHeight="false" outlineLevel="0" collapsed="false">
      <c r="A578" s="39" t="s">
        <v>690</v>
      </c>
      <c r="B578" s="40" t="n">
        <v>45741</v>
      </c>
      <c r="C578" s="39" t="s">
        <v>110</v>
      </c>
      <c r="D578" s="39" t="n">
        <v>6</v>
      </c>
      <c r="E578" s="41" t="n">
        <v>13.52</v>
      </c>
      <c r="F578" s="39" t="s">
        <v>118</v>
      </c>
      <c r="G578" s="39" t="str">
        <f aca="false">UPPER(TRIM(C578))</f>
        <v>P016</v>
      </c>
      <c r="H578" s="39" t="str">
        <f aca="false">IF(ISNUMBER(MATCH(G578,Products!$A$5:$A$24,0)),"OK","Mismatch")</f>
        <v>OK</v>
      </c>
      <c r="I578" s="39" t="str">
        <f aca="false">IF(COUNTIF($A$5:A578,A578)&gt;1,"Duplicate","Unique")</f>
        <v>Unique</v>
      </c>
      <c r="J578" s="39" t="str">
        <f aca="false">IF(I578="Duplicate","Remove",IF(H578="Mismatch","Exclude","Keep"))</f>
        <v>Keep</v>
      </c>
    </row>
    <row r="579" customFormat="false" ht="15" hidden="false" customHeight="false" outlineLevel="0" collapsed="false">
      <c r="A579" s="39" t="s">
        <v>691</v>
      </c>
      <c r="B579" s="40" t="n">
        <v>45741</v>
      </c>
      <c r="C579" s="39" t="s">
        <v>136</v>
      </c>
      <c r="D579" s="39" t="n">
        <v>1</v>
      </c>
      <c r="E579" s="41" t="n">
        <v>76.36</v>
      </c>
      <c r="F579" s="39" t="s">
        <v>105</v>
      </c>
      <c r="G579" s="39" t="str">
        <f aca="false">UPPER(TRIM(C579))</f>
        <v>P002</v>
      </c>
      <c r="H579" s="39" t="str">
        <f aca="false">IF(ISNUMBER(MATCH(G579,Products!$A$5:$A$24,0)),"OK","Mismatch")</f>
        <v>OK</v>
      </c>
      <c r="I579" s="39" t="str">
        <f aca="false">IF(COUNTIF($A$5:A579,A579)&gt;1,"Duplicate","Unique")</f>
        <v>Unique</v>
      </c>
      <c r="J579" s="39" t="str">
        <f aca="false">IF(I579="Duplicate","Remove",IF(H579="Mismatch","Exclude","Keep"))</f>
        <v>Keep</v>
      </c>
    </row>
    <row r="580" customFormat="false" ht="15" hidden="false" customHeight="false" outlineLevel="0" collapsed="false">
      <c r="A580" s="39" t="s">
        <v>692</v>
      </c>
      <c r="B580" s="40" t="n">
        <v>45741</v>
      </c>
      <c r="C580" s="39" t="s">
        <v>114</v>
      </c>
      <c r="D580" s="39" t="n">
        <v>2</v>
      </c>
      <c r="E580" s="41" t="n">
        <v>5.91</v>
      </c>
      <c r="F580" s="39" t="s">
        <v>108</v>
      </c>
      <c r="G580" s="39" t="str">
        <f aca="false">UPPER(TRIM(C580))</f>
        <v>P012</v>
      </c>
      <c r="H580" s="39" t="str">
        <f aca="false">IF(ISNUMBER(MATCH(G580,Products!$A$5:$A$24,0)),"OK","Mismatch")</f>
        <v>OK</v>
      </c>
      <c r="I580" s="39" t="str">
        <f aca="false">IF(COUNTIF($A$5:A580,A580)&gt;1,"Duplicate","Unique")</f>
        <v>Unique</v>
      </c>
      <c r="J580" s="39" t="str">
        <f aca="false">IF(I580="Duplicate","Remove",IF(H580="Mismatch","Exclude","Keep"))</f>
        <v>Keep</v>
      </c>
    </row>
    <row r="581" customFormat="false" ht="15" hidden="false" customHeight="false" outlineLevel="0" collapsed="false">
      <c r="A581" s="39" t="s">
        <v>693</v>
      </c>
      <c r="B581" s="40" t="n">
        <v>45741</v>
      </c>
      <c r="C581" s="39" t="s">
        <v>104</v>
      </c>
      <c r="D581" s="39" t="n">
        <v>5</v>
      </c>
      <c r="E581" s="41" t="n">
        <v>14.91</v>
      </c>
      <c r="F581" s="39" t="s">
        <v>105</v>
      </c>
      <c r="G581" s="39" t="str">
        <f aca="false">UPPER(TRIM(C581))</f>
        <v>P015</v>
      </c>
      <c r="H581" s="39" t="str">
        <f aca="false">IF(ISNUMBER(MATCH(G581,Products!$A$5:$A$24,0)),"OK","Mismatch")</f>
        <v>OK</v>
      </c>
      <c r="I581" s="39" t="str">
        <f aca="false">IF(COUNTIF($A$5:A581,A581)&gt;1,"Duplicate","Unique")</f>
        <v>Unique</v>
      </c>
      <c r="J581" s="39" t="str">
        <f aca="false">IF(I581="Duplicate","Remove",IF(H581="Mismatch","Exclude","Keep"))</f>
        <v>Keep</v>
      </c>
    </row>
    <row r="582" customFormat="false" ht="15" hidden="false" customHeight="false" outlineLevel="0" collapsed="false">
      <c r="A582" s="39" t="s">
        <v>694</v>
      </c>
      <c r="B582" s="40" t="n">
        <v>45741</v>
      </c>
      <c r="C582" s="39" t="s">
        <v>104</v>
      </c>
      <c r="D582" s="39" t="n">
        <v>4</v>
      </c>
      <c r="E582" s="41" t="n">
        <v>15.17</v>
      </c>
      <c r="F582" s="39" t="s">
        <v>118</v>
      </c>
      <c r="G582" s="39" t="str">
        <f aca="false">UPPER(TRIM(C582))</f>
        <v>P015</v>
      </c>
      <c r="H582" s="39" t="str">
        <f aca="false">IF(ISNUMBER(MATCH(G582,Products!$A$5:$A$24,0)),"OK","Mismatch")</f>
        <v>OK</v>
      </c>
      <c r="I582" s="39" t="str">
        <f aca="false">IF(COUNTIF($A$5:A582,A582)&gt;1,"Duplicate","Unique")</f>
        <v>Unique</v>
      </c>
      <c r="J582" s="39" t="str">
        <f aca="false">IF(I582="Duplicate","Remove",IF(H582="Mismatch","Exclude","Keep"))</f>
        <v>Keep</v>
      </c>
    </row>
    <row r="583" customFormat="false" ht="15" hidden="false" customHeight="false" outlineLevel="0" collapsed="false">
      <c r="A583" s="39" t="s">
        <v>695</v>
      </c>
      <c r="B583" s="40" t="n">
        <v>45741</v>
      </c>
      <c r="C583" s="39" t="s">
        <v>128</v>
      </c>
      <c r="D583" s="39" t="n">
        <v>3</v>
      </c>
      <c r="E583" s="41" t="n">
        <v>37.4</v>
      </c>
      <c r="F583" s="39" t="s">
        <v>115</v>
      </c>
      <c r="G583" s="39" t="str">
        <f aca="false">UPPER(TRIM(C583))</f>
        <v>P020</v>
      </c>
      <c r="H583" s="39" t="str">
        <f aca="false">IF(ISNUMBER(MATCH(G583,Products!$A$5:$A$24,0)),"OK","Mismatch")</f>
        <v>OK</v>
      </c>
      <c r="I583" s="39" t="str">
        <f aca="false">IF(COUNTIF($A$5:A583,A583)&gt;1,"Duplicate","Unique")</f>
        <v>Unique</v>
      </c>
      <c r="J583" s="39" t="str">
        <f aca="false">IF(I583="Duplicate","Remove",IF(H583="Mismatch","Exclude","Keep"))</f>
        <v>Keep</v>
      </c>
    </row>
    <row r="584" customFormat="false" ht="15" hidden="false" customHeight="false" outlineLevel="0" collapsed="false">
      <c r="A584" s="39" t="s">
        <v>696</v>
      </c>
      <c r="B584" s="40" t="n">
        <v>45741</v>
      </c>
      <c r="C584" s="39" t="s">
        <v>133</v>
      </c>
      <c r="D584" s="39" t="n">
        <v>5</v>
      </c>
      <c r="E584" s="41" t="n">
        <v>8.84</v>
      </c>
      <c r="F584" s="39" t="s">
        <v>115</v>
      </c>
      <c r="G584" s="39" t="str">
        <f aca="false">UPPER(TRIM(C584))</f>
        <v>P019</v>
      </c>
      <c r="H584" s="39" t="str">
        <f aca="false">IF(ISNUMBER(MATCH(G584,Products!$A$5:$A$24,0)),"OK","Mismatch")</f>
        <v>OK</v>
      </c>
      <c r="I584" s="39" t="str">
        <f aca="false">IF(COUNTIF($A$5:A584,A584)&gt;1,"Duplicate","Unique")</f>
        <v>Unique</v>
      </c>
      <c r="J584" s="39" t="str">
        <f aca="false">IF(I584="Duplicate","Remove",IF(H584="Mismatch","Exclude","Keep"))</f>
        <v>Keep</v>
      </c>
    </row>
    <row r="585" customFormat="false" ht="15" hidden="false" customHeight="false" outlineLevel="0" collapsed="false">
      <c r="A585" s="39" t="s">
        <v>697</v>
      </c>
      <c r="B585" s="40" t="n">
        <v>45742</v>
      </c>
      <c r="C585" s="39" t="s">
        <v>126</v>
      </c>
      <c r="D585" s="39" t="n">
        <v>2</v>
      </c>
      <c r="E585" s="41" t="n">
        <v>24.99</v>
      </c>
      <c r="F585" s="39" t="s">
        <v>115</v>
      </c>
      <c r="G585" s="39" t="str">
        <f aca="false">UPPER(TRIM(C585))</f>
        <v>P001</v>
      </c>
      <c r="H585" s="39" t="str">
        <f aca="false">IF(ISNUMBER(MATCH(G585,Products!$A$5:$A$24,0)),"OK","Mismatch")</f>
        <v>OK</v>
      </c>
      <c r="I585" s="39" t="str">
        <f aca="false">IF(COUNTIF($A$5:A585,A585)&gt;1,"Duplicate","Unique")</f>
        <v>Unique</v>
      </c>
      <c r="J585" s="39" t="str">
        <f aca="false">IF(I585="Duplicate","Remove",IF(H585="Mismatch","Exclude","Keep"))</f>
        <v>Keep</v>
      </c>
    </row>
    <row r="586" customFormat="false" ht="15" hidden="false" customHeight="false" outlineLevel="0" collapsed="false">
      <c r="A586" s="39" t="s">
        <v>698</v>
      </c>
      <c r="B586" s="40" t="n">
        <v>45742</v>
      </c>
      <c r="C586" s="39" t="s">
        <v>139</v>
      </c>
      <c r="D586" s="39" t="n">
        <v>1</v>
      </c>
      <c r="E586" s="41" t="n">
        <v>126.95</v>
      </c>
      <c r="F586" s="39" t="s">
        <v>115</v>
      </c>
      <c r="G586" s="39" t="str">
        <f aca="false">UPPER(TRIM(C586))</f>
        <v>P006</v>
      </c>
      <c r="H586" s="39" t="str">
        <f aca="false">IF(ISNUMBER(MATCH(G586,Products!$A$5:$A$24,0)),"OK","Mismatch")</f>
        <v>OK</v>
      </c>
      <c r="I586" s="39" t="str">
        <f aca="false">IF(COUNTIF($A$5:A586,A586)&gt;1,"Duplicate","Unique")</f>
        <v>Unique</v>
      </c>
      <c r="J586" s="39" t="str">
        <f aca="false">IF(I586="Duplicate","Remove",IF(H586="Mismatch","Exclude","Keep"))</f>
        <v>Keep</v>
      </c>
    </row>
    <row r="587" customFormat="false" ht="15" hidden="false" customHeight="false" outlineLevel="0" collapsed="false">
      <c r="A587" s="39" t="s">
        <v>699</v>
      </c>
      <c r="B587" s="40" t="n">
        <v>45742</v>
      </c>
      <c r="C587" s="39" t="s">
        <v>153</v>
      </c>
      <c r="D587" s="39" t="n">
        <v>1</v>
      </c>
      <c r="E587" s="41" t="n">
        <v>175.6</v>
      </c>
      <c r="F587" s="39" t="s">
        <v>108</v>
      </c>
      <c r="G587" s="39" t="str">
        <f aca="false">UPPER(TRIM(C587))</f>
        <v>P010</v>
      </c>
      <c r="H587" s="39" t="str">
        <f aca="false">IF(ISNUMBER(MATCH(G587,Products!$A$5:$A$24,0)),"OK","Mismatch")</f>
        <v>OK</v>
      </c>
      <c r="I587" s="39" t="str">
        <f aca="false">IF(COUNTIF($A$5:A587,A587)&gt;1,"Duplicate","Unique")</f>
        <v>Unique</v>
      </c>
      <c r="J587" s="39" t="str">
        <f aca="false">IF(I587="Duplicate","Remove",IF(H587="Mismatch","Exclude","Keep"))</f>
        <v>Keep</v>
      </c>
    </row>
    <row r="588" customFormat="false" ht="15" hidden="false" customHeight="false" outlineLevel="0" collapsed="false">
      <c r="A588" s="39" t="s">
        <v>700</v>
      </c>
      <c r="B588" s="40" t="n">
        <v>45742</v>
      </c>
      <c r="C588" s="39" t="s">
        <v>104</v>
      </c>
      <c r="D588" s="39" t="n">
        <v>2</v>
      </c>
      <c r="E588" s="41" t="n">
        <v>15.82</v>
      </c>
      <c r="F588" s="39" t="s">
        <v>108</v>
      </c>
      <c r="G588" s="39" t="str">
        <f aca="false">UPPER(TRIM(C588))</f>
        <v>P015</v>
      </c>
      <c r="H588" s="39" t="str">
        <f aca="false">IF(ISNUMBER(MATCH(G588,Products!$A$5:$A$24,0)),"OK","Mismatch")</f>
        <v>OK</v>
      </c>
      <c r="I588" s="39" t="str">
        <f aca="false">IF(COUNTIF($A$5:A588,A588)&gt;1,"Duplicate","Unique")</f>
        <v>Unique</v>
      </c>
      <c r="J588" s="39" t="str">
        <f aca="false">IF(I588="Duplicate","Remove",IF(H588="Mismatch","Exclude","Keep"))</f>
        <v>Keep</v>
      </c>
    </row>
    <row r="589" customFormat="false" ht="15" hidden="false" customHeight="false" outlineLevel="0" collapsed="false">
      <c r="A589" s="39" t="s">
        <v>701</v>
      </c>
      <c r="B589" s="40" t="n">
        <v>45742</v>
      </c>
      <c r="C589" s="39" t="s">
        <v>177</v>
      </c>
      <c r="D589" s="39" t="n">
        <v>6</v>
      </c>
      <c r="E589" s="41" t="n">
        <v>44.67</v>
      </c>
      <c r="F589" s="39" t="s">
        <v>115</v>
      </c>
      <c r="G589" s="39" t="str">
        <f aca="false">UPPER(TRIM(C589))</f>
        <v>P014</v>
      </c>
      <c r="H589" s="39" t="str">
        <f aca="false">IF(ISNUMBER(MATCH(G589,Products!$A$5:$A$24,0)),"OK","Mismatch")</f>
        <v>OK</v>
      </c>
      <c r="I589" s="39" t="str">
        <f aca="false">IF(COUNTIF($A$5:A589,A589)&gt;1,"Duplicate","Unique")</f>
        <v>Unique</v>
      </c>
      <c r="J589" s="39" t="str">
        <f aca="false">IF(I589="Duplicate","Remove",IF(H589="Mismatch","Exclude","Keep"))</f>
        <v>Keep</v>
      </c>
    </row>
    <row r="590" customFormat="false" ht="15" hidden="false" customHeight="false" outlineLevel="0" collapsed="false">
      <c r="A590" s="39" t="s">
        <v>702</v>
      </c>
      <c r="B590" s="40" t="n">
        <v>45742</v>
      </c>
      <c r="C590" s="39" t="s">
        <v>114</v>
      </c>
      <c r="D590" s="39" t="n">
        <v>2</v>
      </c>
      <c r="E590" s="41" t="n">
        <v>5.99</v>
      </c>
      <c r="F590" s="39" t="s">
        <v>108</v>
      </c>
      <c r="G590" s="39" t="str">
        <f aca="false">UPPER(TRIM(C590))</f>
        <v>P012</v>
      </c>
      <c r="H590" s="39" t="str">
        <f aca="false">IF(ISNUMBER(MATCH(G590,Products!$A$5:$A$24,0)),"OK","Mismatch")</f>
        <v>OK</v>
      </c>
      <c r="I590" s="39" t="str">
        <f aca="false">IF(COUNTIF($A$5:A590,A590)&gt;1,"Duplicate","Unique")</f>
        <v>Unique</v>
      </c>
      <c r="J590" s="39" t="str">
        <f aca="false">IF(I590="Duplicate","Remove",IF(H590="Mismatch","Exclude","Keep"))</f>
        <v>Keep</v>
      </c>
    </row>
    <row r="591" customFormat="false" ht="15" hidden="false" customHeight="false" outlineLevel="0" collapsed="false">
      <c r="A591" s="39" t="s">
        <v>703</v>
      </c>
      <c r="B591" s="40" t="n">
        <v>45742</v>
      </c>
      <c r="C591" s="39" t="s">
        <v>112</v>
      </c>
      <c r="D591" s="39" t="n">
        <v>1</v>
      </c>
      <c r="E591" s="41" t="n">
        <v>53.71</v>
      </c>
      <c r="F591" s="39" t="s">
        <v>115</v>
      </c>
      <c r="G591" s="39" t="str">
        <f aca="false">UPPER(TRIM(C591))</f>
        <v>P005</v>
      </c>
      <c r="H591" s="39" t="str">
        <f aca="false">IF(ISNUMBER(MATCH(G591,Products!$A$5:$A$24,0)),"OK","Mismatch")</f>
        <v>OK</v>
      </c>
      <c r="I591" s="39" t="str">
        <f aca="false">IF(COUNTIF($A$5:A591,A591)&gt;1,"Duplicate","Unique")</f>
        <v>Unique</v>
      </c>
      <c r="J591" s="39" t="str">
        <f aca="false">IF(I591="Duplicate","Remove",IF(H591="Mismatch","Exclude","Keep"))</f>
        <v>Keep</v>
      </c>
    </row>
    <row r="592" customFormat="false" ht="15" hidden="false" customHeight="false" outlineLevel="0" collapsed="false">
      <c r="A592" s="39" t="s">
        <v>704</v>
      </c>
      <c r="B592" s="40" t="n">
        <v>45743</v>
      </c>
      <c r="C592" s="39" t="s">
        <v>117</v>
      </c>
      <c r="D592" s="39" t="n">
        <v>2</v>
      </c>
      <c r="E592" s="41" t="n">
        <v>31.91</v>
      </c>
      <c r="F592" s="39" t="s">
        <v>115</v>
      </c>
      <c r="G592" s="39" t="str">
        <f aca="false">UPPER(TRIM(C592))</f>
        <v>P009</v>
      </c>
      <c r="H592" s="39" t="str">
        <f aca="false">IF(ISNUMBER(MATCH(G592,Products!$A$5:$A$24,0)),"OK","Mismatch")</f>
        <v>OK</v>
      </c>
      <c r="I592" s="39" t="str">
        <f aca="false">IF(COUNTIF($A$5:A592,A592)&gt;1,"Duplicate","Unique")</f>
        <v>Unique</v>
      </c>
      <c r="J592" s="39" t="str">
        <f aca="false">IF(I592="Duplicate","Remove",IF(H592="Mismatch","Exclude","Keep"))</f>
        <v>Keep</v>
      </c>
    </row>
    <row r="593" customFormat="false" ht="15" hidden="false" customHeight="false" outlineLevel="0" collapsed="false">
      <c r="A593" s="39" t="s">
        <v>705</v>
      </c>
      <c r="B593" s="40" t="n">
        <v>45743</v>
      </c>
      <c r="C593" s="39" t="s">
        <v>130</v>
      </c>
      <c r="D593" s="39" t="n">
        <v>2</v>
      </c>
      <c r="E593" s="41" t="n">
        <v>8.97</v>
      </c>
      <c r="F593" s="39" t="s">
        <v>118</v>
      </c>
      <c r="G593" s="39" t="str">
        <f aca="false">UPPER(TRIM(C593))</f>
        <v>P011</v>
      </c>
      <c r="H593" s="39" t="str">
        <f aca="false">IF(ISNUMBER(MATCH(G593,Products!$A$5:$A$24,0)),"OK","Mismatch")</f>
        <v>OK</v>
      </c>
      <c r="I593" s="39" t="str">
        <f aca="false">IF(COUNTIF($A$5:A593,A593)&gt;1,"Duplicate","Unique")</f>
        <v>Unique</v>
      </c>
      <c r="J593" s="39" t="str">
        <f aca="false">IF(I593="Duplicate","Remove",IF(H593="Mismatch","Exclude","Keep"))</f>
        <v>Keep</v>
      </c>
    </row>
    <row r="594" customFormat="false" ht="15" hidden="false" customHeight="false" outlineLevel="0" collapsed="false">
      <c r="A594" s="39" t="s">
        <v>706</v>
      </c>
      <c r="B594" s="40" t="n">
        <v>45743</v>
      </c>
      <c r="C594" s="39" t="s">
        <v>114</v>
      </c>
      <c r="D594" s="39" t="n">
        <v>4</v>
      </c>
      <c r="E594" s="41" t="n">
        <v>5.53</v>
      </c>
      <c r="F594" s="39" t="s">
        <v>108</v>
      </c>
      <c r="G594" s="39" t="str">
        <f aca="false">UPPER(TRIM(C594))</f>
        <v>P012</v>
      </c>
      <c r="H594" s="39" t="str">
        <f aca="false">IF(ISNUMBER(MATCH(G594,Products!$A$5:$A$24,0)),"OK","Mismatch")</f>
        <v>OK</v>
      </c>
      <c r="I594" s="39" t="str">
        <f aca="false">IF(COUNTIF($A$5:A594,A594)&gt;1,"Duplicate","Unique")</f>
        <v>Unique</v>
      </c>
      <c r="J594" s="39" t="str">
        <f aca="false">IF(I594="Duplicate","Remove",IF(H594="Mismatch","Exclude","Keep"))</f>
        <v>Keep</v>
      </c>
    </row>
    <row r="595" customFormat="false" ht="15" hidden="false" customHeight="false" outlineLevel="0" collapsed="false">
      <c r="A595" s="39" t="s">
        <v>707</v>
      </c>
      <c r="B595" s="40" t="n">
        <v>45743</v>
      </c>
      <c r="C595" s="39" t="s">
        <v>112</v>
      </c>
      <c r="D595" s="39" t="n">
        <v>3</v>
      </c>
      <c r="E595" s="41" t="n">
        <v>52.08</v>
      </c>
      <c r="F595" s="39" t="s">
        <v>108</v>
      </c>
      <c r="G595" s="39" t="str">
        <f aca="false">UPPER(TRIM(C595))</f>
        <v>P005</v>
      </c>
      <c r="H595" s="39" t="str">
        <f aca="false">IF(ISNUMBER(MATCH(G595,Products!$A$5:$A$24,0)),"OK","Mismatch")</f>
        <v>OK</v>
      </c>
      <c r="I595" s="39" t="str">
        <f aca="false">IF(COUNTIF($A$5:A595,A595)&gt;1,"Duplicate","Unique")</f>
        <v>Unique</v>
      </c>
      <c r="J595" s="39" t="str">
        <f aca="false">IF(I595="Duplicate","Remove",IF(H595="Mismatch","Exclude","Keep"))</f>
        <v>Keep</v>
      </c>
    </row>
    <row r="596" customFormat="false" ht="15" hidden="false" customHeight="false" outlineLevel="0" collapsed="false">
      <c r="A596" s="39" t="s">
        <v>708</v>
      </c>
      <c r="B596" s="40" t="n">
        <v>45743</v>
      </c>
      <c r="C596" s="39" t="s">
        <v>104</v>
      </c>
      <c r="D596" s="39" t="n">
        <v>2</v>
      </c>
      <c r="E596" s="41" t="n">
        <v>15.49</v>
      </c>
      <c r="F596" s="39" t="s">
        <v>118</v>
      </c>
      <c r="G596" s="39" t="str">
        <f aca="false">UPPER(TRIM(C596))</f>
        <v>P015</v>
      </c>
      <c r="H596" s="39" t="str">
        <f aca="false">IF(ISNUMBER(MATCH(G596,Products!$A$5:$A$24,0)),"OK","Mismatch")</f>
        <v>OK</v>
      </c>
      <c r="I596" s="39" t="str">
        <f aca="false">IF(COUNTIF($A$5:A596,A596)&gt;1,"Duplicate","Unique")</f>
        <v>Unique</v>
      </c>
      <c r="J596" s="39" t="str">
        <f aca="false">IF(I596="Duplicate","Remove",IF(H596="Mismatch","Exclude","Keep"))</f>
        <v>Keep</v>
      </c>
    </row>
    <row r="597" customFormat="false" ht="15" hidden="false" customHeight="false" outlineLevel="0" collapsed="false">
      <c r="A597" s="39" t="s">
        <v>709</v>
      </c>
      <c r="B597" s="40" t="n">
        <v>45743</v>
      </c>
      <c r="C597" s="39" t="s">
        <v>126</v>
      </c>
      <c r="D597" s="39" t="n">
        <v>2</v>
      </c>
      <c r="E597" s="41" t="n">
        <v>24.89</v>
      </c>
      <c r="F597" s="39" t="s">
        <v>115</v>
      </c>
      <c r="G597" s="39" t="str">
        <f aca="false">UPPER(TRIM(C597))</f>
        <v>P001</v>
      </c>
      <c r="H597" s="39" t="str">
        <f aca="false">IF(ISNUMBER(MATCH(G597,Products!$A$5:$A$24,0)),"OK","Mismatch")</f>
        <v>OK</v>
      </c>
      <c r="I597" s="39" t="str">
        <f aca="false">IF(COUNTIF($A$5:A597,A597)&gt;1,"Duplicate","Unique")</f>
        <v>Unique</v>
      </c>
      <c r="J597" s="39" t="str">
        <f aca="false">IF(I597="Duplicate","Remove",IF(H597="Mismatch","Exclude","Keep"))</f>
        <v>Keep</v>
      </c>
    </row>
    <row r="598" customFormat="false" ht="15" hidden="false" customHeight="false" outlineLevel="0" collapsed="false">
      <c r="A598" s="39" t="s">
        <v>710</v>
      </c>
      <c r="B598" s="40" t="n">
        <v>45743</v>
      </c>
      <c r="C598" s="39" t="s">
        <v>169</v>
      </c>
      <c r="D598" s="39" t="n">
        <v>2</v>
      </c>
      <c r="E598" s="41" t="n">
        <v>27.4</v>
      </c>
      <c r="F598" s="39" t="s">
        <v>118</v>
      </c>
      <c r="G598" s="39" t="str">
        <f aca="false">UPPER(TRIM(C598))</f>
        <v>P004</v>
      </c>
      <c r="H598" s="39" t="str">
        <f aca="false">IF(ISNUMBER(MATCH(G598,Products!$A$5:$A$24,0)),"OK","Mismatch")</f>
        <v>OK</v>
      </c>
      <c r="I598" s="39" t="str">
        <f aca="false">IF(COUNTIF($A$5:A598,A598)&gt;1,"Duplicate","Unique")</f>
        <v>Unique</v>
      </c>
      <c r="J598" s="39" t="str">
        <f aca="false">IF(I598="Duplicate","Remove",IF(H598="Mismatch","Exclude","Keep"))</f>
        <v>Keep</v>
      </c>
    </row>
    <row r="599" customFormat="false" ht="15" hidden="false" customHeight="false" outlineLevel="0" collapsed="false">
      <c r="A599" s="39" t="s">
        <v>711</v>
      </c>
      <c r="B599" s="40" t="n">
        <v>45743</v>
      </c>
      <c r="C599" s="39" t="s">
        <v>162</v>
      </c>
      <c r="D599" s="39" t="n">
        <v>4</v>
      </c>
      <c r="E599" s="41" t="n">
        <v>64.23</v>
      </c>
      <c r="F599" s="39" t="s">
        <v>105</v>
      </c>
      <c r="G599" s="39" t="str">
        <f aca="false">UPPER(TRIM(C599))</f>
        <v>P017</v>
      </c>
      <c r="H599" s="39" t="str">
        <f aca="false">IF(ISNUMBER(MATCH(G599,Products!$A$5:$A$24,0)),"OK","Mismatch")</f>
        <v>OK</v>
      </c>
      <c r="I599" s="39" t="str">
        <f aca="false">IF(COUNTIF($A$5:A599,A599)&gt;1,"Duplicate","Unique")</f>
        <v>Unique</v>
      </c>
      <c r="J599" s="39" t="str">
        <f aca="false">IF(I599="Duplicate","Remove",IF(H599="Mismatch","Exclude","Keep"))</f>
        <v>Keep</v>
      </c>
    </row>
    <row r="600" customFormat="false" ht="15" hidden="false" customHeight="false" outlineLevel="0" collapsed="false">
      <c r="A600" s="39" t="s">
        <v>712</v>
      </c>
      <c r="B600" s="40" t="n">
        <v>45743</v>
      </c>
      <c r="C600" s="39" t="s">
        <v>169</v>
      </c>
      <c r="D600" s="39" t="n">
        <v>2</v>
      </c>
      <c r="E600" s="41" t="n">
        <v>28.62</v>
      </c>
      <c r="F600" s="39" t="s">
        <v>115</v>
      </c>
      <c r="G600" s="39" t="str">
        <f aca="false">UPPER(TRIM(C600))</f>
        <v>P004</v>
      </c>
      <c r="H600" s="39" t="str">
        <f aca="false">IF(ISNUMBER(MATCH(G600,Products!$A$5:$A$24,0)),"OK","Mismatch")</f>
        <v>OK</v>
      </c>
      <c r="I600" s="39" t="str">
        <f aca="false">IF(COUNTIF($A$5:A600,A600)&gt;1,"Duplicate","Unique")</f>
        <v>Unique</v>
      </c>
      <c r="J600" s="39" t="str">
        <f aca="false">IF(I600="Duplicate","Remove",IF(H600="Mismatch","Exclude","Keep"))</f>
        <v>Keep</v>
      </c>
    </row>
    <row r="601" customFormat="false" ht="15" hidden="false" customHeight="false" outlineLevel="0" collapsed="false">
      <c r="A601" s="39" t="s">
        <v>713</v>
      </c>
      <c r="B601" s="40" t="n">
        <v>45744</v>
      </c>
      <c r="C601" s="39" t="s">
        <v>107</v>
      </c>
      <c r="D601" s="39" t="n">
        <v>2</v>
      </c>
      <c r="E601" s="41" t="n">
        <v>32.96</v>
      </c>
      <c r="F601" s="39" t="s">
        <v>105</v>
      </c>
      <c r="G601" s="39" t="str">
        <f aca="false">UPPER(TRIM(C601))</f>
        <v>P003</v>
      </c>
      <c r="H601" s="39" t="str">
        <f aca="false">IF(ISNUMBER(MATCH(G601,Products!$A$5:$A$24,0)),"OK","Mismatch")</f>
        <v>OK</v>
      </c>
      <c r="I601" s="39" t="str">
        <f aca="false">IF(COUNTIF($A$5:A601,A601)&gt;1,"Duplicate","Unique")</f>
        <v>Unique</v>
      </c>
      <c r="J601" s="39" t="str">
        <f aca="false">IF(I601="Duplicate","Remove",IF(H601="Mismatch","Exclude","Keep"))</f>
        <v>Keep</v>
      </c>
    </row>
    <row r="602" customFormat="false" ht="15" hidden="false" customHeight="false" outlineLevel="0" collapsed="false">
      <c r="A602" s="39" t="s">
        <v>714</v>
      </c>
      <c r="B602" s="40" t="n">
        <v>45744</v>
      </c>
      <c r="C602" s="39" t="s">
        <v>112</v>
      </c>
      <c r="D602" s="39" t="n">
        <v>4</v>
      </c>
      <c r="E602" s="41" t="n">
        <v>54.88</v>
      </c>
      <c r="F602" s="39" t="s">
        <v>105</v>
      </c>
      <c r="G602" s="39" t="str">
        <f aca="false">UPPER(TRIM(C602))</f>
        <v>P005</v>
      </c>
      <c r="H602" s="39" t="str">
        <f aca="false">IF(ISNUMBER(MATCH(G602,Products!$A$5:$A$24,0)),"OK","Mismatch")</f>
        <v>OK</v>
      </c>
      <c r="I602" s="39" t="str">
        <f aca="false">IF(COUNTIF($A$5:A602,A602)&gt;1,"Duplicate","Unique")</f>
        <v>Unique</v>
      </c>
      <c r="J602" s="39" t="str">
        <f aca="false">IF(I602="Duplicate","Remove",IF(H602="Mismatch","Exclude","Keep"))</f>
        <v>Keep</v>
      </c>
    </row>
    <row r="603" customFormat="false" ht="15" hidden="false" customHeight="false" outlineLevel="0" collapsed="false">
      <c r="A603" s="39" t="s">
        <v>715</v>
      </c>
      <c r="B603" s="40" t="n">
        <v>45744</v>
      </c>
      <c r="C603" s="39" t="s">
        <v>112</v>
      </c>
      <c r="D603" s="39" t="n">
        <v>2</v>
      </c>
      <c r="E603" s="41" t="n">
        <v>51.64</v>
      </c>
      <c r="F603" s="39" t="s">
        <v>115</v>
      </c>
      <c r="G603" s="39" t="str">
        <f aca="false">UPPER(TRIM(C603))</f>
        <v>P005</v>
      </c>
      <c r="H603" s="39" t="str">
        <f aca="false">IF(ISNUMBER(MATCH(G603,Products!$A$5:$A$24,0)),"OK","Mismatch")</f>
        <v>OK</v>
      </c>
      <c r="I603" s="39" t="str">
        <f aca="false">IF(COUNTIF($A$5:A603,A603)&gt;1,"Duplicate","Unique")</f>
        <v>Unique</v>
      </c>
      <c r="J603" s="39" t="str">
        <f aca="false">IF(I603="Duplicate","Remove",IF(H603="Mismatch","Exclude","Keep"))</f>
        <v>Keep</v>
      </c>
    </row>
    <row r="604" customFormat="false" ht="15" hidden="false" customHeight="false" outlineLevel="0" collapsed="false">
      <c r="A604" s="39" t="s">
        <v>716</v>
      </c>
      <c r="B604" s="40" t="n">
        <v>45744</v>
      </c>
      <c r="C604" s="39" t="s">
        <v>112</v>
      </c>
      <c r="D604" s="39" t="n">
        <v>3</v>
      </c>
      <c r="E604" s="41" t="n">
        <v>51.63</v>
      </c>
      <c r="F604" s="39" t="s">
        <v>115</v>
      </c>
      <c r="G604" s="39" t="str">
        <f aca="false">UPPER(TRIM(C604))</f>
        <v>P005</v>
      </c>
      <c r="H604" s="39" t="str">
        <f aca="false">IF(ISNUMBER(MATCH(G604,Products!$A$5:$A$24,0)),"OK","Mismatch")</f>
        <v>OK</v>
      </c>
      <c r="I604" s="39" t="str">
        <f aca="false">IF(COUNTIF($A$5:A604,A604)&gt;1,"Duplicate","Unique")</f>
        <v>Unique</v>
      </c>
      <c r="J604" s="39" t="str">
        <f aca="false">IF(I604="Duplicate","Remove",IF(H604="Mismatch","Exclude","Keep"))</f>
        <v>Keep</v>
      </c>
    </row>
    <row r="605" customFormat="false" ht="15" hidden="false" customHeight="false" outlineLevel="0" collapsed="false">
      <c r="A605" s="39" t="s">
        <v>717</v>
      </c>
      <c r="B605" s="40" t="n">
        <v>45744</v>
      </c>
      <c r="C605" s="39" t="s">
        <v>133</v>
      </c>
      <c r="D605" s="39" t="n">
        <v>1</v>
      </c>
      <c r="E605" s="41" t="n">
        <v>8.48</v>
      </c>
      <c r="F605" s="39" t="s">
        <v>108</v>
      </c>
      <c r="G605" s="39" t="str">
        <f aca="false">UPPER(TRIM(C605))</f>
        <v>P019</v>
      </c>
      <c r="H605" s="39" t="str">
        <f aca="false">IF(ISNUMBER(MATCH(G605,Products!$A$5:$A$24,0)),"OK","Mismatch")</f>
        <v>OK</v>
      </c>
      <c r="I605" s="39" t="str">
        <f aca="false">IF(COUNTIF($A$5:A605,A605)&gt;1,"Duplicate","Unique")</f>
        <v>Unique</v>
      </c>
      <c r="J605" s="39" t="str">
        <f aca="false">IF(I605="Duplicate","Remove",IF(H605="Mismatch","Exclude","Keep"))</f>
        <v>Keep</v>
      </c>
    </row>
    <row r="606" customFormat="false" ht="15" hidden="false" customHeight="false" outlineLevel="0" collapsed="false">
      <c r="A606" s="39" t="s">
        <v>718</v>
      </c>
      <c r="B606" s="40" t="n">
        <v>45744</v>
      </c>
      <c r="C606" s="39" t="s">
        <v>177</v>
      </c>
      <c r="D606" s="39" t="n">
        <v>2</v>
      </c>
      <c r="E606" s="41" t="n">
        <v>44.97</v>
      </c>
      <c r="F606" s="39" t="s">
        <v>105</v>
      </c>
      <c r="G606" s="39" t="str">
        <f aca="false">UPPER(TRIM(C606))</f>
        <v>P014</v>
      </c>
      <c r="H606" s="39" t="str">
        <f aca="false">IF(ISNUMBER(MATCH(G606,Products!$A$5:$A$24,0)),"OK","Mismatch")</f>
        <v>OK</v>
      </c>
      <c r="I606" s="39" t="str">
        <f aca="false">IF(COUNTIF($A$5:A606,A606)&gt;1,"Duplicate","Unique")</f>
        <v>Unique</v>
      </c>
      <c r="J606" s="39" t="str">
        <f aca="false">IF(I606="Duplicate","Remove",IF(H606="Mismatch","Exclude","Keep"))</f>
        <v>Keep</v>
      </c>
    </row>
    <row r="607" customFormat="false" ht="15" hidden="false" customHeight="false" outlineLevel="0" collapsed="false">
      <c r="A607" s="39" t="s">
        <v>719</v>
      </c>
      <c r="B607" s="40" t="n">
        <v>45744</v>
      </c>
      <c r="C607" s="39" t="s">
        <v>107</v>
      </c>
      <c r="D607" s="39" t="n">
        <v>3</v>
      </c>
      <c r="E607" s="41" t="n">
        <v>33.48</v>
      </c>
      <c r="F607" s="39" t="s">
        <v>118</v>
      </c>
      <c r="G607" s="39" t="str">
        <f aca="false">UPPER(TRIM(C607))</f>
        <v>P003</v>
      </c>
      <c r="H607" s="39" t="str">
        <f aca="false">IF(ISNUMBER(MATCH(G607,Products!$A$5:$A$24,0)),"OK","Mismatch")</f>
        <v>OK</v>
      </c>
      <c r="I607" s="39" t="str">
        <f aca="false">IF(COUNTIF($A$5:A607,A607)&gt;1,"Duplicate","Unique")</f>
        <v>Unique</v>
      </c>
      <c r="J607" s="39" t="str">
        <f aca="false">IF(I607="Duplicate","Remove",IF(H607="Mismatch","Exclude","Keep"))</f>
        <v>Keep</v>
      </c>
    </row>
    <row r="608" customFormat="false" ht="15" hidden="false" customHeight="false" outlineLevel="0" collapsed="false">
      <c r="A608" s="39" t="s">
        <v>720</v>
      </c>
      <c r="B608" s="40" t="n">
        <v>45744</v>
      </c>
      <c r="C608" s="39" t="s">
        <v>107</v>
      </c>
      <c r="D608" s="39" t="n">
        <v>3</v>
      </c>
      <c r="E608" s="41" t="n">
        <v>33.51</v>
      </c>
      <c r="F608" s="39" t="s">
        <v>105</v>
      </c>
      <c r="G608" s="39" t="str">
        <f aca="false">UPPER(TRIM(C608))</f>
        <v>P003</v>
      </c>
      <c r="H608" s="39" t="str">
        <f aca="false">IF(ISNUMBER(MATCH(G608,Products!$A$5:$A$24,0)),"OK","Mismatch")</f>
        <v>OK</v>
      </c>
      <c r="I608" s="39" t="str">
        <f aca="false">IF(COUNTIF($A$5:A608,A608)&gt;1,"Duplicate","Unique")</f>
        <v>Unique</v>
      </c>
      <c r="J608" s="39" t="str">
        <f aca="false">IF(I608="Duplicate","Remove",IF(H608="Mismatch","Exclude","Keep"))</f>
        <v>Keep</v>
      </c>
    </row>
    <row r="609" customFormat="false" ht="15" hidden="false" customHeight="false" outlineLevel="0" collapsed="false">
      <c r="A609" s="39" t="s">
        <v>721</v>
      </c>
      <c r="B609" s="40" t="n">
        <v>45744</v>
      </c>
      <c r="C609" s="39" t="s">
        <v>177</v>
      </c>
      <c r="D609" s="39" t="n">
        <v>5</v>
      </c>
      <c r="E609" s="41" t="n">
        <v>44.81</v>
      </c>
      <c r="F609" s="39" t="s">
        <v>108</v>
      </c>
      <c r="G609" s="39" t="str">
        <f aca="false">UPPER(TRIM(C609))</f>
        <v>P014</v>
      </c>
      <c r="H609" s="39" t="str">
        <f aca="false">IF(ISNUMBER(MATCH(G609,Products!$A$5:$A$24,0)),"OK","Mismatch")</f>
        <v>OK</v>
      </c>
      <c r="I609" s="39" t="str">
        <f aca="false">IF(COUNTIF($A$5:A609,A609)&gt;1,"Duplicate","Unique")</f>
        <v>Unique</v>
      </c>
      <c r="J609" s="39" t="str">
        <f aca="false">IF(I609="Duplicate","Remove",IF(H609="Mismatch","Exclude","Keep"))</f>
        <v>Keep</v>
      </c>
    </row>
    <row r="610" customFormat="false" ht="15" hidden="false" customHeight="false" outlineLevel="0" collapsed="false">
      <c r="A610" s="39" t="s">
        <v>722</v>
      </c>
      <c r="B610" s="40" t="n">
        <v>45744</v>
      </c>
      <c r="C610" s="39" t="s">
        <v>177</v>
      </c>
      <c r="D610" s="39" t="n">
        <v>3</v>
      </c>
      <c r="E610" s="41" t="n">
        <v>41.82</v>
      </c>
      <c r="F610" s="39" t="s">
        <v>105</v>
      </c>
      <c r="G610" s="39" t="str">
        <f aca="false">UPPER(TRIM(C610))</f>
        <v>P014</v>
      </c>
      <c r="H610" s="39" t="str">
        <f aca="false">IF(ISNUMBER(MATCH(G610,Products!$A$5:$A$24,0)),"OK","Mismatch")</f>
        <v>OK</v>
      </c>
      <c r="I610" s="39" t="str">
        <f aca="false">IF(COUNTIF($A$5:A610,A610)&gt;1,"Duplicate","Unique")</f>
        <v>Unique</v>
      </c>
      <c r="J610" s="39" t="str">
        <f aca="false">IF(I610="Duplicate","Remove",IF(H610="Mismatch","Exclude","Keep"))</f>
        <v>Keep</v>
      </c>
    </row>
    <row r="611" customFormat="false" ht="15" hidden="false" customHeight="false" outlineLevel="0" collapsed="false">
      <c r="A611" s="39" t="s">
        <v>723</v>
      </c>
      <c r="B611" s="40" t="n">
        <v>45744</v>
      </c>
      <c r="C611" s="39" t="s">
        <v>110</v>
      </c>
      <c r="D611" s="39" t="n">
        <v>2</v>
      </c>
      <c r="E611" s="41" t="n">
        <v>13.09</v>
      </c>
      <c r="F611" s="39" t="s">
        <v>105</v>
      </c>
      <c r="G611" s="39" t="str">
        <f aca="false">UPPER(TRIM(C611))</f>
        <v>P016</v>
      </c>
      <c r="H611" s="39" t="str">
        <f aca="false">IF(ISNUMBER(MATCH(G611,Products!$A$5:$A$24,0)),"OK","Mismatch")</f>
        <v>OK</v>
      </c>
      <c r="I611" s="39" t="str">
        <f aca="false">IF(COUNTIF($A$5:A611,A611)&gt;1,"Duplicate","Unique")</f>
        <v>Unique</v>
      </c>
      <c r="J611" s="39" t="str">
        <f aca="false">IF(I611="Duplicate","Remove",IF(H611="Mismatch","Exclude","Keep"))</f>
        <v>Keep</v>
      </c>
    </row>
    <row r="612" customFormat="false" ht="15" hidden="false" customHeight="false" outlineLevel="0" collapsed="false">
      <c r="A612" s="39" t="s">
        <v>724</v>
      </c>
      <c r="B612" s="40" t="n">
        <v>45748</v>
      </c>
      <c r="C612" s="39" t="s">
        <v>117</v>
      </c>
      <c r="D612" s="39" t="n">
        <v>2</v>
      </c>
      <c r="E612" s="41" t="n">
        <v>30.86</v>
      </c>
      <c r="F612" s="39" t="s">
        <v>118</v>
      </c>
      <c r="G612" s="39" t="str">
        <f aca="false">UPPER(TRIM(C612))</f>
        <v>P009</v>
      </c>
      <c r="H612" s="39" t="str">
        <f aca="false">IF(ISNUMBER(MATCH(G612,Products!$A$5:$A$24,0)),"OK","Mismatch")</f>
        <v>OK</v>
      </c>
      <c r="I612" s="39" t="str">
        <f aca="false">IF(COUNTIF($A$5:A612,A612)&gt;1,"Duplicate","Unique")</f>
        <v>Unique</v>
      </c>
      <c r="J612" s="39" t="str">
        <f aca="false">IF(I612="Duplicate","Remove",IF(H612="Mismatch","Exclude","Keep"))</f>
        <v>Keep</v>
      </c>
    </row>
    <row r="613" customFormat="false" ht="15" hidden="false" customHeight="false" outlineLevel="0" collapsed="false">
      <c r="A613" s="39" t="s">
        <v>725</v>
      </c>
      <c r="B613" s="40" t="n">
        <v>45748</v>
      </c>
      <c r="C613" s="39" t="s">
        <v>130</v>
      </c>
      <c r="D613" s="39" t="n">
        <v>2</v>
      </c>
      <c r="E613" s="41" t="n">
        <v>8.61</v>
      </c>
      <c r="F613" s="39" t="s">
        <v>118</v>
      </c>
      <c r="G613" s="39" t="str">
        <f aca="false">UPPER(TRIM(C613))</f>
        <v>P011</v>
      </c>
      <c r="H613" s="39" t="str">
        <f aca="false">IF(ISNUMBER(MATCH(G613,Products!$A$5:$A$24,0)),"OK","Mismatch")</f>
        <v>OK</v>
      </c>
      <c r="I613" s="39" t="str">
        <f aca="false">IF(COUNTIF($A$5:A613,A613)&gt;1,"Duplicate","Unique")</f>
        <v>Unique</v>
      </c>
      <c r="J613" s="39" t="str">
        <f aca="false">IF(I613="Duplicate","Remove",IF(H613="Mismatch","Exclude","Keep"))</f>
        <v>Keep</v>
      </c>
    </row>
    <row r="614" customFormat="false" ht="15" hidden="false" customHeight="false" outlineLevel="0" collapsed="false">
      <c r="A614" s="39" t="s">
        <v>726</v>
      </c>
      <c r="B614" s="40" t="n">
        <v>45748</v>
      </c>
      <c r="C614" s="39" t="s">
        <v>3149</v>
      </c>
      <c r="D614" s="39" t="n">
        <v>4</v>
      </c>
      <c r="E614" s="41" t="n">
        <v>13.67</v>
      </c>
      <c r="F614" s="39" t="s">
        <v>108</v>
      </c>
      <c r="G614" s="39" t="str">
        <f aca="false">UPPER(TRIM(C614))</f>
        <v>P016</v>
      </c>
      <c r="H614" s="39" t="str">
        <f aca="false">IF(ISNUMBER(MATCH(G614,Products!$A$5:$A$24,0)),"OK","Mismatch")</f>
        <v>OK</v>
      </c>
      <c r="I614" s="39" t="str">
        <f aca="false">IF(COUNTIF($A$5:A614,A614)&gt;1,"Duplicate","Unique")</f>
        <v>Unique</v>
      </c>
      <c r="J614" s="39" t="str">
        <f aca="false">IF(I614="Duplicate","Remove",IF(H614="Mismatch","Exclude","Keep"))</f>
        <v>Keep</v>
      </c>
    </row>
    <row r="615" customFormat="false" ht="15" hidden="false" customHeight="false" outlineLevel="0" collapsed="false">
      <c r="A615" s="39" t="s">
        <v>727</v>
      </c>
      <c r="B615" s="40" t="n">
        <v>45748</v>
      </c>
      <c r="C615" s="39" t="s">
        <v>104</v>
      </c>
      <c r="D615" s="39" t="n">
        <v>3</v>
      </c>
      <c r="E615" s="41" t="n">
        <v>15.99</v>
      </c>
      <c r="F615" s="39" t="s">
        <v>108</v>
      </c>
      <c r="G615" s="39" t="str">
        <f aca="false">UPPER(TRIM(C615))</f>
        <v>P015</v>
      </c>
      <c r="H615" s="39" t="str">
        <f aca="false">IF(ISNUMBER(MATCH(G615,Products!$A$5:$A$24,0)),"OK","Mismatch")</f>
        <v>OK</v>
      </c>
      <c r="I615" s="39" t="str">
        <f aca="false">IF(COUNTIF($A$5:A615,A615)&gt;1,"Duplicate","Unique")</f>
        <v>Unique</v>
      </c>
      <c r="J615" s="39" t="str">
        <f aca="false">IF(I615="Duplicate","Remove",IF(H615="Mismatch","Exclude","Keep"))</f>
        <v>Keep</v>
      </c>
    </row>
    <row r="616" customFormat="false" ht="15" hidden="false" customHeight="false" outlineLevel="0" collapsed="false">
      <c r="A616" s="39" t="s">
        <v>728</v>
      </c>
      <c r="B616" s="40" t="n">
        <v>45748</v>
      </c>
      <c r="C616" s="39" t="s">
        <v>104</v>
      </c>
      <c r="D616" s="39" t="n">
        <v>2</v>
      </c>
      <c r="E616" s="41" t="n">
        <v>15.4</v>
      </c>
      <c r="F616" s="39" t="s">
        <v>118</v>
      </c>
      <c r="G616" s="39" t="str">
        <f aca="false">UPPER(TRIM(C616))</f>
        <v>P015</v>
      </c>
      <c r="H616" s="39" t="str">
        <f aca="false">IF(ISNUMBER(MATCH(G616,Products!$A$5:$A$24,0)),"OK","Mismatch")</f>
        <v>OK</v>
      </c>
      <c r="I616" s="39" t="str">
        <f aca="false">IF(COUNTIF($A$5:A616,A616)&gt;1,"Duplicate","Unique")</f>
        <v>Unique</v>
      </c>
      <c r="J616" s="39" t="str">
        <f aca="false">IF(I616="Duplicate","Remove",IF(H616="Mismatch","Exclude","Keep"))</f>
        <v>Keep</v>
      </c>
    </row>
    <row r="617" customFormat="false" ht="15" hidden="false" customHeight="false" outlineLevel="0" collapsed="false">
      <c r="A617" s="39" t="s">
        <v>729</v>
      </c>
      <c r="B617" s="40" t="n">
        <v>45748</v>
      </c>
      <c r="C617" s="39" t="s">
        <v>183</v>
      </c>
      <c r="D617" s="39" t="n">
        <v>1</v>
      </c>
      <c r="E617" s="41" t="n">
        <v>184.16</v>
      </c>
      <c r="F617" s="39" t="s">
        <v>118</v>
      </c>
      <c r="G617" s="39" t="str">
        <f aca="false">UPPER(TRIM(C617))</f>
        <v>P007</v>
      </c>
      <c r="H617" s="39" t="str">
        <f aca="false">IF(ISNUMBER(MATCH(G617,Products!$A$5:$A$24,0)),"OK","Mismatch")</f>
        <v>OK</v>
      </c>
      <c r="I617" s="39" t="str">
        <f aca="false">IF(COUNTIF($A$5:A617,A617)&gt;1,"Duplicate","Unique")</f>
        <v>Unique</v>
      </c>
      <c r="J617" s="39" t="str">
        <f aca="false">IF(I617="Duplicate","Remove",IF(H617="Mismatch","Exclude","Keep"))</f>
        <v>Keep</v>
      </c>
    </row>
    <row r="618" customFormat="false" ht="15" hidden="false" customHeight="false" outlineLevel="0" collapsed="false">
      <c r="A618" s="39" t="s">
        <v>730</v>
      </c>
      <c r="B618" s="40" t="n">
        <v>45748</v>
      </c>
      <c r="C618" s="39" t="s">
        <v>104</v>
      </c>
      <c r="D618" s="39" t="n">
        <v>3</v>
      </c>
      <c r="E618" s="41" t="n">
        <v>15.55</v>
      </c>
      <c r="F618" s="39" t="s">
        <v>115</v>
      </c>
      <c r="G618" s="39" t="str">
        <f aca="false">UPPER(TRIM(C618))</f>
        <v>P015</v>
      </c>
      <c r="H618" s="39" t="str">
        <f aca="false">IF(ISNUMBER(MATCH(G618,Products!$A$5:$A$24,0)),"OK","Mismatch")</f>
        <v>OK</v>
      </c>
      <c r="I618" s="39" t="str">
        <f aca="false">IF(COUNTIF($A$5:A618,A618)&gt;1,"Duplicate","Unique")</f>
        <v>Unique</v>
      </c>
      <c r="J618" s="39" t="str">
        <f aca="false">IF(I618="Duplicate","Remove",IF(H618="Mismatch","Exclude","Keep"))</f>
        <v>Keep</v>
      </c>
    </row>
    <row r="619" customFormat="false" ht="15" hidden="false" customHeight="false" outlineLevel="0" collapsed="false">
      <c r="A619" s="39" t="s">
        <v>731</v>
      </c>
      <c r="B619" s="40" t="n">
        <v>45749</v>
      </c>
      <c r="C619" s="39" t="s">
        <v>104</v>
      </c>
      <c r="D619" s="39" t="n">
        <v>3</v>
      </c>
      <c r="E619" s="41" t="n">
        <v>14.86</v>
      </c>
      <c r="F619" s="39" t="s">
        <v>105</v>
      </c>
      <c r="G619" s="39" t="str">
        <f aca="false">UPPER(TRIM(C619))</f>
        <v>P015</v>
      </c>
      <c r="H619" s="39" t="str">
        <f aca="false">IF(ISNUMBER(MATCH(G619,Products!$A$5:$A$24,0)),"OK","Mismatch")</f>
        <v>OK</v>
      </c>
      <c r="I619" s="39" t="str">
        <f aca="false">IF(COUNTIF($A$5:A619,A619)&gt;1,"Duplicate","Unique")</f>
        <v>Unique</v>
      </c>
      <c r="J619" s="39" t="str">
        <f aca="false">IF(I619="Duplicate","Remove",IF(H619="Mismatch","Exclude","Keep"))</f>
        <v>Keep</v>
      </c>
    </row>
    <row r="620" customFormat="false" ht="15" hidden="false" customHeight="false" outlineLevel="0" collapsed="false">
      <c r="A620" s="39" t="s">
        <v>732</v>
      </c>
      <c r="B620" s="40" t="n">
        <v>45749</v>
      </c>
      <c r="C620" s="39" t="s">
        <v>112</v>
      </c>
      <c r="D620" s="39" t="n">
        <v>2</v>
      </c>
      <c r="E620" s="41" t="n">
        <v>54.12</v>
      </c>
      <c r="F620" s="39" t="s">
        <v>108</v>
      </c>
      <c r="G620" s="39" t="str">
        <f aca="false">UPPER(TRIM(C620))</f>
        <v>P005</v>
      </c>
      <c r="H620" s="39" t="str">
        <f aca="false">IF(ISNUMBER(MATCH(G620,Products!$A$5:$A$24,0)),"OK","Mismatch")</f>
        <v>OK</v>
      </c>
      <c r="I620" s="39" t="str">
        <f aca="false">IF(COUNTIF($A$5:A620,A620)&gt;1,"Duplicate","Unique")</f>
        <v>Unique</v>
      </c>
      <c r="J620" s="39" t="str">
        <f aca="false">IF(I620="Duplicate","Remove",IF(H620="Mismatch","Exclude","Keep"))</f>
        <v>Keep</v>
      </c>
    </row>
    <row r="621" customFormat="false" ht="15" hidden="false" customHeight="false" outlineLevel="0" collapsed="false">
      <c r="A621" s="39" t="s">
        <v>733</v>
      </c>
      <c r="B621" s="40" t="n">
        <v>45749</v>
      </c>
      <c r="C621" s="39" t="s">
        <v>104</v>
      </c>
      <c r="D621" s="39" t="n">
        <v>1</v>
      </c>
      <c r="E621" s="41" t="n">
        <v>15.76</v>
      </c>
      <c r="F621" s="39" t="s">
        <v>115</v>
      </c>
      <c r="G621" s="39" t="str">
        <f aca="false">UPPER(TRIM(C621))</f>
        <v>P015</v>
      </c>
      <c r="H621" s="39" t="str">
        <f aca="false">IF(ISNUMBER(MATCH(G621,Products!$A$5:$A$24,0)),"OK","Mismatch")</f>
        <v>OK</v>
      </c>
      <c r="I621" s="39" t="str">
        <f aca="false">IF(COUNTIF($A$5:A621,A621)&gt;1,"Duplicate","Unique")</f>
        <v>Unique</v>
      </c>
      <c r="J621" s="39" t="str">
        <f aca="false">IF(I621="Duplicate","Remove",IF(H621="Mismatch","Exclude","Keep"))</f>
        <v>Keep</v>
      </c>
    </row>
    <row r="622" customFormat="false" ht="15" hidden="false" customHeight="false" outlineLevel="0" collapsed="false">
      <c r="A622" s="39" t="s">
        <v>734</v>
      </c>
      <c r="B622" s="40" t="n">
        <v>45749</v>
      </c>
      <c r="C622" s="39" t="s">
        <v>183</v>
      </c>
      <c r="D622" s="39" t="n">
        <v>1</v>
      </c>
      <c r="E622" s="41" t="n">
        <v>183.19</v>
      </c>
      <c r="F622" s="39" t="s">
        <v>115</v>
      </c>
      <c r="G622" s="39" t="str">
        <f aca="false">UPPER(TRIM(C622))</f>
        <v>P007</v>
      </c>
      <c r="H622" s="39" t="str">
        <f aca="false">IF(ISNUMBER(MATCH(G622,Products!$A$5:$A$24,0)),"OK","Mismatch")</f>
        <v>OK</v>
      </c>
      <c r="I622" s="39" t="str">
        <f aca="false">IF(COUNTIF($A$5:A622,A622)&gt;1,"Duplicate","Unique")</f>
        <v>Unique</v>
      </c>
      <c r="J622" s="39" t="str">
        <f aca="false">IF(I622="Duplicate","Remove",IF(H622="Mismatch","Exclude","Keep"))</f>
        <v>Keep</v>
      </c>
    </row>
    <row r="623" customFormat="false" ht="15" hidden="false" customHeight="false" outlineLevel="0" collapsed="false">
      <c r="A623" s="39" t="s">
        <v>735</v>
      </c>
      <c r="B623" s="40" t="n">
        <v>45749</v>
      </c>
      <c r="C623" s="39" t="s">
        <v>177</v>
      </c>
      <c r="D623" s="39" t="n">
        <v>1</v>
      </c>
      <c r="E623" s="41" t="n">
        <v>43.72</v>
      </c>
      <c r="F623" s="39" t="s">
        <v>105</v>
      </c>
      <c r="G623" s="39" t="str">
        <f aca="false">UPPER(TRIM(C623))</f>
        <v>P014</v>
      </c>
      <c r="H623" s="39" t="str">
        <f aca="false">IF(ISNUMBER(MATCH(G623,Products!$A$5:$A$24,0)),"OK","Mismatch")</f>
        <v>OK</v>
      </c>
      <c r="I623" s="39" t="str">
        <f aca="false">IF(COUNTIF($A$5:A623,A623)&gt;1,"Duplicate","Unique")</f>
        <v>Unique</v>
      </c>
      <c r="J623" s="39" t="str">
        <f aca="false">IF(I623="Duplicate","Remove",IF(H623="Mismatch","Exclude","Keep"))</f>
        <v>Keep</v>
      </c>
    </row>
    <row r="624" customFormat="false" ht="15" hidden="false" customHeight="false" outlineLevel="0" collapsed="false">
      <c r="A624" s="39" t="s">
        <v>736</v>
      </c>
      <c r="B624" s="40" t="n">
        <v>45749</v>
      </c>
      <c r="C624" s="39" t="s">
        <v>169</v>
      </c>
      <c r="D624" s="39" t="n">
        <v>1</v>
      </c>
      <c r="E624" s="41" t="n">
        <v>27.94</v>
      </c>
      <c r="F624" s="39" t="s">
        <v>115</v>
      </c>
      <c r="G624" s="39" t="str">
        <f aca="false">UPPER(TRIM(C624))</f>
        <v>P004</v>
      </c>
      <c r="H624" s="39" t="str">
        <f aca="false">IF(ISNUMBER(MATCH(G624,Products!$A$5:$A$24,0)),"OK","Mismatch")</f>
        <v>OK</v>
      </c>
      <c r="I624" s="39" t="str">
        <f aca="false">IF(COUNTIF($A$5:A624,A624)&gt;1,"Duplicate","Unique")</f>
        <v>Unique</v>
      </c>
      <c r="J624" s="39" t="str">
        <f aca="false">IF(I624="Duplicate","Remove",IF(H624="Mismatch","Exclude","Keep"))</f>
        <v>Keep</v>
      </c>
    </row>
    <row r="625" customFormat="false" ht="15" hidden="false" customHeight="false" outlineLevel="0" collapsed="false">
      <c r="A625" s="39" t="s">
        <v>737</v>
      </c>
      <c r="B625" s="40" t="n">
        <v>45750</v>
      </c>
      <c r="C625" s="39" t="s">
        <v>110</v>
      </c>
      <c r="D625" s="39" t="n">
        <v>2</v>
      </c>
      <c r="E625" s="41" t="n">
        <v>13.08</v>
      </c>
      <c r="F625" s="39" t="s">
        <v>118</v>
      </c>
      <c r="G625" s="39" t="str">
        <f aca="false">UPPER(TRIM(C625))</f>
        <v>P016</v>
      </c>
      <c r="H625" s="39" t="str">
        <f aca="false">IF(ISNUMBER(MATCH(G625,Products!$A$5:$A$24,0)),"OK","Mismatch")</f>
        <v>OK</v>
      </c>
      <c r="I625" s="39" t="str">
        <f aca="false">IF(COUNTIF($A$5:A625,A625)&gt;1,"Duplicate","Unique")</f>
        <v>Unique</v>
      </c>
      <c r="J625" s="39" t="str">
        <f aca="false">IF(I625="Duplicate","Remove",IF(H625="Mismatch","Exclude","Keep"))</f>
        <v>Keep</v>
      </c>
    </row>
    <row r="626" customFormat="false" ht="15" hidden="false" customHeight="false" outlineLevel="0" collapsed="false">
      <c r="A626" s="39" t="s">
        <v>738</v>
      </c>
      <c r="B626" s="40" t="n">
        <v>45750</v>
      </c>
      <c r="C626" s="39" t="s">
        <v>117</v>
      </c>
      <c r="D626" s="39" t="n">
        <v>1</v>
      </c>
      <c r="E626" s="41" t="n">
        <v>30.79</v>
      </c>
      <c r="F626" s="39" t="s">
        <v>108</v>
      </c>
      <c r="G626" s="39" t="str">
        <f aca="false">UPPER(TRIM(C626))</f>
        <v>P009</v>
      </c>
      <c r="H626" s="39" t="str">
        <f aca="false">IF(ISNUMBER(MATCH(G626,Products!$A$5:$A$24,0)),"OK","Mismatch")</f>
        <v>OK</v>
      </c>
      <c r="I626" s="39" t="str">
        <f aca="false">IF(COUNTIF($A$5:A626,A626)&gt;1,"Duplicate","Unique")</f>
        <v>Unique</v>
      </c>
      <c r="J626" s="39" t="str">
        <f aca="false">IF(I626="Duplicate","Remove",IF(H626="Mismatch","Exclude","Keep"))</f>
        <v>Keep</v>
      </c>
    </row>
    <row r="627" customFormat="false" ht="15" hidden="false" customHeight="false" outlineLevel="0" collapsed="false">
      <c r="A627" s="39" t="s">
        <v>739</v>
      </c>
      <c r="B627" s="40" t="n">
        <v>45750</v>
      </c>
      <c r="C627" s="39" t="s">
        <v>3154</v>
      </c>
      <c r="D627" s="39" t="n">
        <v>3</v>
      </c>
      <c r="E627" s="41" t="n">
        <v>73.4</v>
      </c>
      <c r="F627" s="39" t="s">
        <v>108</v>
      </c>
      <c r="G627" s="39" t="str">
        <f aca="false">UPPER(TRIM(C627))</f>
        <v>P002</v>
      </c>
      <c r="H627" s="39" t="str">
        <f aca="false">IF(ISNUMBER(MATCH(G627,Products!$A$5:$A$24,0)),"OK","Mismatch")</f>
        <v>OK</v>
      </c>
      <c r="I627" s="39" t="str">
        <f aca="false">IF(COUNTIF($A$5:A627,A627)&gt;1,"Duplicate","Unique")</f>
        <v>Unique</v>
      </c>
      <c r="J627" s="39" t="str">
        <f aca="false">IF(I627="Duplicate","Remove",IF(H627="Mismatch","Exclude","Keep"))</f>
        <v>Keep</v>
      </c>
    </row>
    <row r="628" customFormat="false" ht="15" hidden="false" customHeight="false" outlineLevel="0" collapsed="false">
      <c r="A628" s="39" t="s">
        <v>740</v>
      </c>
      <c r="B628" s="40" t="n">
        <v>45750</v>
      </c>
      <c r="C628" s="39" t="s">
        <v>139</v>
      </c>
      <c r="D628" s="39" t="n">
        <v>1</v>
      </c>
      <c r="E628" s="41" t="n">
        <v>128.46</v>
      </c>
      <c r="F628" s="39" t="s">
        <v>118</v>
      </c>
      <c r="G628" s="39" t="str">
        <f aca="false">UPPER(TRIM(C628))</f>
        <v>P006</v>
      </c>
      <c r="H628" s="39" t="str">
        <f aca="false">IF(ISNUMBER(MATCH(G628,Products!$A$5:$A$24,0)),"OK","Mismatch")</f>
        <v>OK</v>
      </c>
      <c r="I628" s="39" t="str">
        <f aca="false">IF(COUNTIF($A$5:A628,A628)&gt;1,"Duplicate","Unique")</f>
        <v>Unique</v>
      </c>
      <c r="J628" s="39" t="str">
        <f aca="false">IF(I628="Duplicate","Remove",IF(H628="Mismatch","Exclude","Keep"))</f>
        <v>Keep</v>
      </c>
    </row>
    <row r="629" customFormat="false" ht="15" hidden="false" customHeight="false" outlineLevel="0" collapsed="false">
      <c r="A629" s="39" t="s">
        <v>741</v>
      </c>
      <c r="B629" s="40" t="n">
        <v>45750</v>
      </c>
      <c r="C629" s="39" t="s">
        <v>121</v>
      </c>
      <c r="D629" s="39" t="n">
        <v>1</v>
      </c>
      <c r="E629" s="41" t="n">
        <v>114.46</v>
      </c>
      <c r="F629" s="39" t="s">
        <v>118</v>
      </c>
      <c r="G629" s="39" t="str">
        <f aca="false">UPPER(TRIM(C629))</f>
        <v>P018</v>
      </c>
      <c r="H629" s="39" t="str">
        <f aca="false">IF(ISNUMBER(MATCH(G629,Products!$A$5:$A$24,0)),"OK","Mismatch")</f>
        <v>OK</v>
      </c>
      <c r="I629" s="39" t="str">
        <f aca="false">IF(COUNTIF($A$5:A629,A629)&gt;1,"Duplicate","Unique")</f>
        <v>Unique</v>
      </c>
      <c r="J629" s="39" t="str">
        <f aca="false">IF(I629="Duplicate","Remove",IF(H629="Mismatch","Exclude","Keep"))</f>
        <v>Keep</v>
      </c>
    </row>
    <row r="630" customFormat="false" ht="15" hidden="false" customHeight="false" outlineLevel="0" collapsed="false">
      <c r="A630" s="39" t="s">
        <v>742</v>
      </c>
      <c r="B630" s="40" t="n">
        <v>45750</v>
      </c>
      <c r="C630" s="39" t="s">
        <v>126</v>
      </c>
      <c r="D630" s="39" t="n">
        <v>1</v>
      </c>
      <c r="E630" s="41" t="n">
        <v>24.78</v>
      </c>
      <c r="F630" s="39" t="s">
        <v>108</v>
      </c>
      <c r="G630" s="39" t="str">
        <f aca="false">UPPER(TRIM(C630))</f>
        <v>P001</v>
      </c>
      <c r="H630" s="39" t="str">
        <f aca="false">IF(ISNUMBER(MATCH(G630,Products!$A$5:$A$24,0)),"OK","Mismatch")</f>
        <v>OK</v>
      </c>
      <c r="I630" s="39" t="str">
        <f aca="false">IF(COUNTIF($A$5:A630,A630)&gt;1,"Duplicate","Unique")</f>
        <v>Unique</v>
      </c>
      <c r="J630" s="39" t="str">
        <f aca="false">IF(I630="Duplicate","Remove",IF(H630="Mismatch","Exclude","Keep"))</f>
        <v>Keep</v>
      </c>
    </row>
    <row r="631" customFormat="false" ht="15" hidden="false" customHeight="false" outlineLevel="0" collapsed="false">
      <c r="A631" s="39" t="s">
        <v>743</v>
      </c>
      <c r="B631" s="40" t="n">
        <v>45750</v>
      </c>
      <c r="C631" s="39" t="s">
        <v>126</v>
      </c>
      <c r="D631" s="39" t="n">
        <v>3</v>
      </c>
      <c r="E631" s="41" t="n">
        <v>24.45</v>
      </c>
      <c r="F631" s="39" t="s">
        <v>108</v>
      </c>
      <c r="G631" s="39" t="str">
        <f aca="false">UPPER(TRIM(C631))</f>
        <v>P001</v>
      </c>
      <c r="H631" s="39" t="str">
        <f aca="false">IF(ISNUMBER(MATCH(G631,Products!$A$5:$A$24,0)),"OK","Mismatch")</f>
        <v>OK</v>
      </c>
      <c r="I631" s="39" t="str">
        <f aca="false">IF(COUNTIF($A$5:A631,A631)&gt;1,"Duplicate","Unique")</f>
        <v>Unique</v>
      </c>
      <c r="J631" s="39" t="str">
        <f aca="false">IF(I631="Duplicate","Remove",IF(H631="Mismatch","Exclude","Keep"))</f>
        <v>Keep</v>
      </c>
    </row>
    <row r="632" customFormat="false" ht="15" hidden="false" customHeight="false" outlineLevel="0" collapsed="false">
      <c r="A632" s="39" t="s">
        <v>744</v>
      </c>
      <c r="B632" s="40" t="n">
        <v>45750</v>
      </c>
      <c r="C632" s="39" t="s">
        <v>112</v>
      </c>
      <c r="D632" s="39" t="n">
        <v>4</v>
      </c>
      <c r="E632" s="41" t="n">
        <v>50.8</v>
      </c>
      <c r="F632" s="39" t="s">
        <v>105</v>
      </c>
      <c r="G632" s="39" t="str">
        <f aca="false">UPPER(TRIM(C632))</f>
        <v>P005</v>
      </c>
      <c r="H632" s="39" t="str">
        <f aca="false">IF(ISNUMBER(MATCH(G632,Products!$A$5:$A$24,0)),"OK","Mismatch")</f>
        <v>OK</v>
      </c>
      <c r="I632" s="39" t="str">
        <f aca="false">IF(COUNTIF($A$5:A632,A632)&gt;1,"Duplicate","Unique")</f>
        <v>Unique</v>
      </c>
      <c r="J632" s="39" t="str">
        <f aca="false">IF(I632="Duplicate","Remove",IF(H632="Mismatch","Exclude","Keep"))</f>
        <v>Keep</v>
      </c>
    </row>
    <row r="633" customFormat="false" ht="15" hidden="false" customHeight="false" outlineLevel="0" collapsed="false">
      <c r="A633" s="39" t="s">
        <v>745</v>
      </c>
      <c r="B633" s="40" t="n">
        <v>45750</v>
      </c>
      <c r="C633" s="39" t="s">
        <v>169</v>
      </c>
      <c r="D633" s="39" t="n">
        <v>1</v>
      </c>
      <c r="E633" s="41" t="n">
        <v>28.71</v>
      </c>
      <c r="F633" s="39" t="s">
        <v>115</v>
      </c>
      <c r="G633" s="39" t="str">
        <f aca="false">UPPER(TRIM(C633))</f>
        <v>P004</v>
      </c>
      <c r="H633" s="39" t="str">
        <f aca="false">IF(ISNUMBER(MATCH(G633,Products!$A$5:$A$24,0)),"OK","Mismatch")</f>
        <v>OK</v>
      </c>
      <c r="I633" s="39" t="str">
        <f aca="false">IF(COUNTIF($A$5:A633,A633)&gt;1,"Duplicate","Unique")</f>
        <v>Unique</v>
      </c>
      <c r="J633" s="39" t="str">
        <f aca="false">IF(I633="Duplicate","Remove",IF(H633="Mismatch","Exclude","Keep"))</f>
        <v>Keep</v>
      </c>
    </row>
    <row r="634" customFormat="false" ht="15" hidden="false" customHeight="false" outlineLevel="0" collapsed="false">
      <c r="A634" s="39" t="s">
        <v>746</v>
      </c>
      <c r="B634" s="40" t="n">
        <v>45751</v>
      </c>
      <c r="C634" s="39" t="s">
        <v>130</v>
      </c>
      <c r="D634" s="39" t="n">
        <v>2</v>
      </c>
      <c r="E634" s="41" t="n">
        <v>8.53</v>
      </c>
      <c r="F634" s="39" t="s">
        <v>105</v>
      </c>
      <c r="G634" s="39" t="str">
        <f aca="false">UPPER(TRIM(C634))</f>
        <v>P011</v>
      </c>
      <c r="H634" s="39" t="str">
        <f aca="false">IF(ISNUMBER(MATCH(G634,Products!$A$5:$A$24,0)),"OK","Mismatch")</f>
        <v>OK</v>
      </c>
      <c r="I634" s="39" t="str">
        <f aca="false">IF(COUNTIF($A$5:A634,A634)&gt;1,"Duplicate","Unique")</f>
        <v>Unique</v>
      </c>
      <c r="J634" s="39" t="str">
        <f aca="false">IF(I634="Duplicate","Remove",IF(H634="Mismatch","Exclude","Keep"))</f>
        <v>Keep</v>
      </c>
    </row>
    <row r="635" customFormat="false" ht="15" hidden="false" customHeight="false" outlineLevel="0" collapsed="false">
      <c r="A635" s="39" t="s">
        <v>747</v>
      </c>
      <c r="B635" s="40" t="n">
        <v>45751</v>
      </c>
      <c r="C635" s="39" t="s">
        <v>112</v>
      </c>
      <c r="D635" s="39" t="n">
        <v>2</v>
      </c>
      <c r="E635" s="41" t="n">
        <v>53.58</v>
      </c>
      <c r="F635" s="39" t="s">
        <v>115</v>
      </c>
      <c r="G635" s="39" t="str">
        <f aca="false">UPPER(TRIM(C635))</f>
        <v>P005</v>
      </c>
      <c r="H635" s="39" t="str">
        <f aca="false">IF(ISNUMBER(MATCH(G635,Products!$A$5:$A$24,0)),"OK","Mismatch")</f>
        <v>OK</v>
      </c>
      <c r="I635" s="39" t="str">
        <f aca="false">IF(COUNTIF($A$5:A635,A635)&gt;1,"Duplicate","Unique")</f>
        <v>Unique</v>
      </c>
      <c r="J635" s="39" t="str">
        <f aca="false">IF(I635="Duplicate","Remove",IF(H635="Mismatch","Exclude","Keep"))</f>
        <v>Keep</v>
      </c>
    </row>
    <row r="636" customFormat="false" ht="15" hidden="false" customHeight="false" outlineLevel="0" collapsed="false">
      <c r="A636" s="39" t="s">
        <v>748</v>
      </c>
      <c r="B636" s="40" t="n">
        <v>45751</v>
      </c>
      <c r="C636" s="39" t="s">
        <v>136</v>
      </c>
      <c r="D636" s="39" t="n">
        <v>2</v>
      </c>
      <c r="E636" s="41" t="n">
        <v>78.36</v>
      </c>
      <c r="F636" s="39" t="s">
        <v>105</v>
      </c>
      <c r="G636" s="39" t="str">
        <f aca="false">UPPER(TRIM(C636))</f>
        <v>P002</v>
      </c>
      <c r="H636" s="39" t="str">
        <f aca="false">IF(ISNUMBER(MATCH(G636,Products!$A$5:$A$24,0)),"OK","Mismatch")</f>
        <v>OK</v>
      </c>
      <c r="I636" s="39" t="str">
        <f aca="false">IF(COUNTIF($A$5:A636,A636)&gt;1,"Duplicate","Unique")</f>
        <v>Unique</v>
      </c>
      <c r="J636" s="39" t="str">
        <f aca="false">IF(I636="Duplicate","Remove",IF(H636="Mismatch","Exclude","Keep"))</f>
        <v>Keep</v>
      </c>
    </row>
    <row r="637" customFormat="false" ht="15" hidden="false" customHeight="false" outlineLevel="0" collapsed="false">
      <c r="A637" s="39" t="s">
        <v>749</v>
      </c>
      <c r="B637" s="40" t="n">
        <v>45751</v>
      </c>
      <c r="C637" s="39" t="s">
        <v>169</v>
      </c>
      <c r="D637" s="39" t="n">
        <v>1</v>
      </c>
      <c r="E637" s="41" t="n">
        <v>27.99</v>
      </c>
      <c r="F637" s="39" t="s">
        <v>118</v>
      </c>
      <c r="G637" s="39" t="str">
        <f aca="false">UPPER(TRIM(C637))</f>
        <v>P004</v>
      </c>
      <c r="H637" s="39" t="str">
        <f aca="false">IF(ISNUMBER(MATCH(G637,Products!$A$5:$A$24,0)),"OK","Mismatch")</f>
        <v>OK</v>
      </c>
      <c r="I637" s="39" t="str">
        <f aca="false">IF(COUNTIF($A$5:A637,A637)&gt;1,"Duplicate","Unique")</f>
        <v>Unique</v>
      </c>
      <c r="J637" s="39" t="str">
        <f aca="false">IF(I637="Duplicate","Remove",IF(H637="Mismatch","Exclude","Keep"))</f>
        <v>Keep</v>
      </c>
    </row>
    <row r="638" customFormat="false" ht="15" hidden="false" customHeight="false" outlineLevel="0" collapsed="false">
      <c r="A638" s="39" t="s">
        <v>750</v>
      </c>
      <c r="B638" s="40" t="n">
        <v>45751</v>
      </c>
      <c r="C638" s="39" t="s">
        <v>162</v>
      </c>
      <c r="D638" s="39" t="n">
        <v>3</v>
      </c>
      <c r="E638" s="41" t="n">
        <v>66.99</v>
      </c>
      <c r="F638" s="39" t="s">
        <v>108</v>
      </c>
      <c r="G638" s="39" t="str">
        <f aca="false">UPPER(TRIM(C638))</f>
        <v>P017</v>
      </c>
      <c r="H638" s="39" t="str">
        <f aca="false">IF(ISNUMBER(MATCH(G638,Products!$A$5:$A$24,0)),"OK","Mismatch")</f>
        <v>OK</v>
      </c>
      <c r="I638" s="39" t="str">
        <f aca="false">IF(COUNTIF($A$5:A638,A638)&gt;1,"Duplicate","Unique")</f>
        <v>Unique</v>
      </c>
      <c r="J638" s="39" t="str">
        <f aca="false">IF(I638="Duplicate","Remove",IF(H638="Mismatch","Exclude","Keep"))</f>
        <v>Keep</v>
      </c>
    </row>
    <row r="639" customFormat="false" ht="15" hidden="false" customHeight="false" outlineLevel="0" collapsed="false">
      <c r="A639" s="39" t="s">
        <v>751</v>
      </c>
      <c r="B639" s="40" t="n">
        <v>45751</v>
      </c>
      <c r="C639" s="39" t="s">
        <v>162</v>
      </c>
      <c r="D639" s="39" t="n">
        <v>1</v>
      </c>
      <c r="E639" s="41" t="n">
        <v>66.02</v>
      </c>
      <c r="F639" s="39" t="s">
        <v>115</v>
      </c>
      <c r="G639" s="39" t="str">
        <f aca="false">UPPER(TRIM(C639))</f>
        <v>P017</v>
      </c>
      <c r="H639" s="39" t="str">
        <f aca="false">IF(ISNUMBER(MATCH(G639,Products!$A$5:$A$24,0)),"OK","Mismatch")</f>
        <v>OK</v>
      </c>
      <c r="I639" s="39" t="str">
        <f aca="false">IF(COUNTIF($A$5:A639,A639)&gt;1,"Duplicate","Unique")</f>
        <v>Unique</v>
      </c>
      <c r="J639" s="39" t="str">
        <f aca="false">IF(I639="Duplicate","Remove",IF(H639="Mismatch","Exclude","Keep"))</f>
        <v>Keep</v>
      </c>
    </row>
    <row r="640" customFormat="false" ht="15" hidden="false" customHeight="false" outlineLevel="0" collapsed="false">
      <c r="A640" s="39" t="s">
        <v>752</v>
      </c>
      <c r="B640" s="40" t="n">
        <v>45751</v>
      </c>
      <c r="C640" s="39" t="s">
        <v>126</v>
      </c>
      <c r="D640" s="39" t="n">
        <v>2</v>
      </c>
      <c r="E640" s="41" t="n">
        <v>24.21</v>
      </c>
      <c r="F640" s="39" t="s">
        <v>105</v>
      </c>
      <c r="G640" s="39" t="str">
        <f aca="false">UPPER(TRIM(C640))</f>
        <v>P001</v>
      </c>
      <c r="H640" s="39" t="str">
        <f aca="false">IF(ISNUMBER(MATCH(G640,Products!$A$5:$A$24,0)),"OK","Mismatch")</f>
        <v>OK</v>
      </c>
      <c r="I640" s="39" t="str">
        <f aca="false">IF(COUNTIF($A$5:A640,A640)&gt;1,"Duplicate","Unique")</f>
        <v>Unique</v>
      </c>
      <c r="J640" s="39" t="str">
        <f aca="false">IF(I640="Duplicate","Remove",IF(H640="Mismatch","Exclude","Keep"))</f>
        <v>Keep</v>
      </c>
    </row>
    <row r="641" customFormat="false" ht="15" hidden="false" customHeight="false" outlineLevel="0" collapsed="false">
      <c r="A641" s="39" t="s">
        <v>753</v>
      </c>
      <c r="B641" s="40" t="n">
        <v>45751</v>
      </c>
      <c r="C641" s="39" t="s">
        <v>117</v>
      </c>
      <c r="D641" s="39" t="n">
        <v>5</v>
      </c>
      <c r="E641" s="41" t="n">
        <v>31.65</v>
      </c>
      <c r="F641" s="39" t="s">
        <v>105</v>
      </c>
      <c r="G641" s="39" t="str">
        <f aca="false">UPPER(TRIM(C641))</f>
        <v>P009</v>
      </c>
      <c r="H641" s="39" t="str">
        <f aca="false">IF(ISNUMBER(MATCH(G641,Products!$A$5:$A$24,0)),"OK","Mismatch")</f>
        <v>OK</v>
      </c>
      <c r="I641" s="39" t="str">
        <f aca="false">IF(COUNTIF($A$5:A641,A641)&gt;1,"Duplicate","Unique")</f>
        <v>Unique</v>
      </c>
      <c r="J641" s="39" t="str">
        <f aca="false">IF(I641="Duplicate","Remove",IF(H641="Mismatch","Exclude","Keep"))</f>
        <v>Keep</v>
      </c>
    </row>
    <row r="642" customFormat="false" ht="15" hidden="false" customHeight="false" outlineLevel="0" collapsed="false">
      <c r="A642" s="39" t="s">
        <v>754</v>
      </c>
      <c r="B642" s="40" t="n">
        <v>45751</v>
      </c>
      <c r="C642" s="39" t="s">
        <v>112</v>
      </c>
      <c r="D642" s="39" t="n">
        <v>3</v>
      </c>
      <c r="E642" s="41" t="n">
        <v>50.91</v>
      </c>
      <c r="F642" s="39" t="s">
        <v>115</v>
      </c>
      <c r="G642" s="39" t="str">
        <f aca="false">UPPER(TRIM(C642))</f>
        <v>P005</v>
      </c>
      <c r="H642" s="39" t="str">
        <f aca="false">IF(ISNUMBER(MATCH(G642,Products!$A$5:$A$24,0)),"OK","Mismatch")</f>
        <v>OK</v>
      </c>
      <c r="I642" s="39" t="str">
        <f aca="false">IF(COUNTIF($A$5:A642,A642)&gt;1,"Duplicate","Unique")</f>
        <v>Unique</v>
      </c>
      <c r="J642" s="39" t="str">
        <f aca="false">IF(I642="Duplicate","Remove",IF(H642="Mismatch","Exclude","Keep"))</f>
        <v>Keep</v>
      </c>
    </row>
    <row r="643" customFormat="false" ht="15" hidden="false" customHeight="false" outlineLevel="0" collapsed="false">
      <c r="A643" s="39" t="s">
        <v>755</v>
      </c>
      <c r="B643" s="40" t="n">
        <v>45751</v>
      </c>
      <c r="C643" s="39" t="s">
        <v>112</v>
      </c>
      <c r="D643" s="39" t="n">
        <v>8</v>
      </c>
      <c r="E643" s="41" t="n">
        <v>51.9</v>
      </c>
      <c r="F643" s="39" t="s">
        <v>108</v>
      </c>
      <c r="G643" s="39" t="str">
        <f aca="false">UPPER(TRIM(C643))</f>
        <v>P005</v>
      </c>
      <c r="H643" s="39" t="str">
        <f aca="false">IF(ISNUMBER(MATCH(G643,Products!$A$5:$A$24,0)),"OK","Mismatch")</f>
        <v>OK</v>
      </c>
      <c r="I643" s="39" t="str">
        <f aca="false">IF(COUNTIF($A$5:A643,A643)&gt;1,"Duplicate","Unique")</f>
        <v>Unique</v>
      </c>
      <c r="J643" s="39" t="str">
        <f aca="false">IF(I643="Duplicate","Remove",IF(H643="Mismatch","Exclude","Keep"))</f>
        <v>Keep</v>
      </c>
    </row>
    <row r="644" customFormat="false" ht="15" hidden="false" customHeight="false" outlineLevel="0" collapsed="false">
      <c r="A644" s="39" t="s">
        <v>756</v>
      </c>
      <c r="B644" s="40" t="n">
        <v>45751</v>
      </c>
      <c r="C644" s="39" t="s">
        <v>130</v>
      </c>
      <c r="D644" s="39" t="n">
        <v>2</v>
      </c>
      <c r="E644" s="41" t="n">
        <v>8.66</v>
      </c>
      <c r="F644" s="39" t="s">
        <v>105</v>
      </c>
      <c r="G644" s="39" t="str">
        <f aca="false">UPPER(TRIM(C644))</f>
        <v>P011</v>
      </c>
      <c r="H644" s="39" t="str">
        <f aca="false">IF(ISNUMBER(MATCH(G644,Products!$A$5:$A$24,0)),"OK","Mismatch")</f>
        <v>OK</v>
      </c>
      <c r="I644" s="39" t="str">
        <f aca="false">IF(COUNTIF($A$5:A644,A644)&gt;1,"Duplicate","Unique")</f>
        <v>Unique</v>
      </c>
      <c r="J644" s="39" t="str">
        <f aca="false">IF(I644="Duplicate","Remove",IF(H644="Mismatch","Exclude","Keep"))</f>
        <v>Keep</v>
      </c>
    </row>
    <row r="645" customFormat="false" ht="15" hidden="false" customHeight="false" outlineLevel="0" collapsed="false">
      <c r="A645" s="39" t="s">
        <v>757</v>
      </c>
      <c r="B645" s="40" t="n">
        <v>45751</v>
      </c>
      <c r="C645" s="39" t="s">
        <v>128</v>
      </c>
      <c r="D645" s="39" t="n">
        <v>6</v>
      </c>
      <c r="E645" s="41" t="n">
        <v>37.52</v>
      </c>
      <c r="F645" s="39" t="s">
        <v>118</v>
      </c>
      <c r="G645" s="39" t="str">
        <f aca="false">UPPER(TRIM(C645))</f>
        <v>P020</v>
      </c>
      <c r="H645" s="39" t="str">
        <f aca="false">IF(ISNUMBER(MATCH(G645,Products!$A$5:$A$24,0)),"OK","Mismatch")</f>
        <v>OK</v>
      </c>
      <c r="I645" s="39" t="str">
        <f aca="false">IF(COUNTIF($A$5:A645,A645)&gt;1,"Duplicate","Unique")</f>
        <v>Unique</v>
      </c>
      <c r="J645" s="39" t="str">
        <f aca="false">IF(I645="Duplicate","Remove",IF(H645="Mismatch","Exclude","Keep"))</f>
        <v>Keep</v>
      </c>
    </row>
    <row r="646" customFormat="false" ht="15" hidden="false" customHeight="false" outlineLevel="0" collapsed="false">
      <c r="A646" s="39" t="s">
        <v>758</v>
      </c>
      <c r="B646" s="40" t="n">
        <v>45751</v>
      </c>
      <c r="C646" s="39" t="s">
        <v>114</v>
      </c>
      <c r="D646" s="39" t="n">
        <v>2</v>
      </c>
      <c r="E646" s="41" t="n">
        <v>5.93</v>
      </c>
      <c r="F646" s="39" t="s">
        <v>108</v>
      </c>
      <c r="G646" s="39" t="str">
        <f aca="false">UPPER(TRIM(C646))</f>
        <v>P012</v>
      </c>
      <c r="H646" s="39" t="str">
        <f aca="false">IF(ISNUMBER(MATCH(G646,Products!$A$5:$A$24,0)),"OK","Mismatch")</f>
        <v>OK</v>
      </c>
      <c r="I646" s="39" t="str">
        <f aca="false">IF(COUNTIF($A$5:A646,A646)&gt;1,"Duplicate","Unique")</f>
        <v>Unique</v>
      </c>
      <c r="J646" s="39" t="str">
        <f aca="false">IF(I646="Duplicate","Remove",IF(H646="Mismatch","Exclude","Keep"))</f>
        <v>Keep</v>
      </c>
    </row>
    <row r="647" customFormat="false" ht="15" hidden="false" customHeight="false" outlineLevel="0" collapsed="false">
      <c r="A647" s="39" t="s">
        <v>759</v>
      </c>
      <c r="B647" s="40" t="n">
        <v>45752</v>
      </c>
      <c r="C647" s="39" t="s">
        <v>114</v>
      </c>
      <c r="D647" s="39" t="n">
        <v>1</v>
      </c>
      <c r="E647" s="41" t="n">
        <v>5.58</v>
      </c>
      <c r="F647" s="39" t="s">
        <v>115</v>
      </c>
      <c r="G647" s="39" t="str">
        <f aca="false">UPPER(TRIM(C647))</f>
        <v>P012</v>
      </c>
      <c r="H647" s="39" t="str">
        <f aca="false">IF(ISNUMBER(MATCH(G647,Products!$A$5:$A$24,0)),"OK","Mismatch")</f>
        <v>OK</v>
      </c>
      <c r="I647" s="39" t="str">
        <f aca="false">IF(COUNTIF($A$5:A647,A647)&gt;1,"Duplicate","Unique")</f>
        <v>Unique</v>
      </c>
      <c r="J647" s="39" t="str">
        <f aca="false">IF(I647="Duplicate","Remove",IF(H647="Mismatch","Exclude","Keep"))</f>
        <v>Keep</v>
      </c>
    </row>
    <row r="648" customFormat="false" ht="15" hidden="false" customHeight="false" outlineLevel="0" collapsed="false">
      <c r="A648" s="39" t="s">
        <v>760</v>
      </c>
      <c r="B648" s="40" t="n">
        <v>45752</v>
      </c>
      <c r="C648" s="39" t="s">
        <v>114</v>
      </c>
      <c r="D648" s="39" t="n">
        <v>6</v>
      </c>
      <c r="E648" s="41" t="n">
        <v>5.68</v>
      </c>
      <c r="F648" s="39" t="s">
        <v>118</v>
      </c>
      <c r="G648" s="39" t="str">
        <f aca="false">UPPER(TRIM(C648))</f>
        <v>P012</v>
      </c>
      <c r="H648" s="39" t="str">
        <f aca="false">IF(ISNUMBER(MATCH(G648,Products!$A$5:$A$24,0)),"OK","Mismatch")</f>
        <v>OK</v>
      </c>
      <c r="I648" s="39" t="str">
        <f aca="false">IF(COUNTIF($A$5:A648,A648)&gt;1,"Duplicate","Unique")</f>
        <v>Unique</v>
      </c>
      <c r="J648" s="39" t="str">
        <f aca="false">IF(I648="Duplicate","Remove",IF(H648="Mismatch","Exclude","Keep"))</f>
        <v>Keep</v>
      </c>
    </row>
    <row r="649" customFormat="false" ht="15" hidden="false" customHeight="false" outlineLevel="0" collapsed="false">
      <c r="A649" s="39" t="s">
        <v>760</v>
      </c>
      <c r="B649" s="40" t="n">
        <v>45752</v>
      </c>
      <c r="C649" s="39" t="s">
        <v>114</v>
      </c>
      <c r="D649" s="39" t="n">
        <v>6</v>
      </c>
      <c r="E649" s="41" t="n">
        <v>5.68</v>
      </c>
      <c r="F649" s="39" t="s">
        <v>118</v>
      </c>
      <c r="G649" s="39" t="str">
        <f aca="false">UPPER(TRIM(C649))</f>
        <v>P012</v>
      </c>
      <c r="H649" s="39" t="str">
        <f aca="false">IF(ISNUMBER(MATCH(G649,Products!$A$5:$A$24,0)),"OK","Mismatch")</f>
        <v>OK</v>
      </c>
      <c r="I649" s="39" t="str">
        <f aca="false">IF(COUNTIF($A$5:A649,A649)&gt;1,"Duplicate","Unique")</f>
        <v>Duplicate</v>
      </c>
      <c r="J649" s="39" t="str">
        <f aca="false">IF(I649="Duplicate","Remove",IF(H649="Mismatch","Exclude","Keep"))</f>
        <v>Remove</v>
      </c>
    </row>
    <row r="650" customFormat="false" ht="15" hidden="false" customHeight="false" outlineLevel="0" collapsed="false">
      <c r="A650" s="39" t="s">
        <v>761</v>
      </c>
      <c r="B650" s="40" t="n">
        <v>45752</v>
      </c>
      <c r="C650" s="39" t="s">
        <v>114</v>
      </c>
      <c r="D650" s="39" t="n">
        <v>6</v>
      </c>
      <c r="E650" s="41" t="n">
        <v>5.75</v>
      </c>
      <c r="F650" s="39" t="s">
        <v>108</v>
      </c>
      <c r="G650" s="39" t="str">
        <f aca="false">UPPER(TRIM(C650))</f>
        <v>P012</v>
      </c>
      <c r="H650" s="39" t="str">
        <f aca="false">IF(ISNUMBER(MATCH(G650,Products!$A$5:$A$24,0)),"OK","Mismatch")</f>
        <v>OK</v>
      </c>
      <c r="I650" s="39" t="str">
        <f aca="false">IF(COUNTIF($A$5:A650,A650)&gt;1,"Duplicate","Unique")</f>
        <v>Unique</v>
      </c>
      <c r="J650" s="39" t="str">
        <f aca="false">IF(I650="Duplicate","Remove",IF(H650="Mismatch","Exclude","Keep"))</f>
        <v>Keep</v>
      </c>
    </row>
    <row r="651" customFormat="false" ht="15" hidden="false" customHeight="false" outlineLevel="0" collapsed="false">
      <c r="A651" s="39" t="s">
        <v>762</v>
      </c>
      <c r="B651" s="40" t="n">
        <v>45752</v>
      </c>
      <c r="C651" s="39" t="s">
        <v>114</v>
      </c>
      <c r="D651" s="39" t="n">
        <v>2</v>
      </c>
      <c r="E651" s="41" t="n">
        <v>5.97</v>
      </c>
      <c r="F651" s="39" t="s">
        <v>108</v>
      </c>
      <c r="G651" s="39" t="str">
        <f aca="false">UPPER(TRIM(C651))</f>
        <v>P012</v>
      </c>
      <c r="H651" s="39" t="str">
        <f aca="false">IF(ISNUMBER(MATCH(G651,Products!$A$5:$A$24,0)),"OK","Mismatch")</f>
        <v>OK</v>
      </c>
      <c r="I651" s="39" t="str">
        <f aca="false">IF(COUNTIF($A$5:A651,A651)&gt;1,"Duplicate","Unique")</f>
        <v>Unique</v>
      </c>
      <c r="J651" s="39" t="str">
        <f aca="false">IF(I651="Duplicate","Remove",IF(H651="Mismatch","Exclude","Keep"))</f>
        <v>Keep</v>
      </c>
    </row>
    <row r="652" customFormat="false" ht="15" hidden="false" customHeight="false" outlineLevel="0" collapsed="false">
      <c r="A652" s="39" t="s">
        <v>763</v>
      </c>
      <c r="B652" s="40" t="n">
        <v>45752</v>
      </c>
      <c r="C652" s="39" t="s">
        <v>136</v>
      </c>
      <c r="D652" s="39" t="n">
        <v>1</v>
      </c>
      <c r="E652" s="41" t="n">
        <v>74.24</v>
      </c>
      <c r="F652" s="39" t="s">
        <v>118</v>
      </c>
      <c r="G652" s="39" t="str">
        <f aca="false">UPPER(TRIM(C652))</f>
        <v>P002</v>
      </c>
      <c r="H652" s="39" t="str">
        <f aca="false">IF(ISNUMBER(MATCH(G652,Products!$A$5:$A$24,0)),"OK","Mismatch")</f>
        <v>OK</v>
      </c>
      <c r="I652" s="39" t="str">
        <f aca="false">IF(COUNTIF($A$5:A652,A652)&gt;1,"Duplicate","Unique")</f>
        <v>Unique</v>
      </c>
      <c r="J652" s="39" t="str">
        <f aca="false">IF(I652="Duplicate","Remove",IF(H652="Mismatch","Exclude","Keep"))</f>
        <v>Keep</v>
      </c>
    </row>
    <row r="653" customFormat="false" ht="15" hidden="false" customHeight="false" outlineLevel="0" collapsed="false">
      <c r="A653" s="39" t="s">
        <v>764</v>
      </c>
      <c r="B653" s="40" t="n">
        <v>45752</v>
      </c>
      <c r="C653" s="39" t="s">
        <v>136</v>
      </c>
      <c r="D653" s="39" t="n">
        <v>3</v>
      </c>
      <c r="E653" s="41" t="n">
        <v>73.18</v>
      </c>
      <c r="F653" s="39" t="s">
        <v>108</v>
      </c>
      <c r="G653" s="39" t="str">
        <f aca="false">UPPER(TRIM(C653))</f>
        <v>P002</v>
      </c>
      <c r="H653" s="39" t="str">
        <f aca="false">IF(ISNUMBER(MATCH(G653,Products!$A$5:$A$24,0)),"OK","Mismatch")</f>
        <v>OK</v>
      </c>
      <c r="I653" s="39" t="str">
        <f aca="false">IF(COUNTIF($A$5:A653,A653)&gt;1,"Duplicate","Unique")</f>
        <v>Unique</v>
      </c>
      <c r="J653" s="39" t="str">
        <f aca="false">IF(I653="Duplicate","Remove",IF(H653="Mismatch","Exclude","Keep"))</f>
        <v>Keep</v>
      </c>
    </row>
    <row r="654" customFormat="false" ht="15" hidden="false" customHeight="false" outlineLevel="0" collapsed="false">
      <c r="A654" s="39" t="s">
        <v>765</v>
      </c>
      <c r="B654" s="40" t="n">
        <v>45752</v>
      </c>
      <c r="C654" s="39" t="s">
        <v>121</v>
      </c>
      <c r="D654" s="39" t="n">
        <v>1</v>
      </c>
      <c r="E654" s="41" t="n">
        <v>111.31</v>
      </c>
      <c r="F654" s="39" t="s">
        <v>118</v>
      </c>
      <c r="G654" s="39" t="str">
        <f aca="false">UPPER(TRIM(C654))</f>
        <v>P018</v>
      </c>
      <c r="H654" s="39" t="str">
        <f aca="false">IF(ISNUMBER(MATCH(G654,Products!$A$5:$A$24,0)),"OK","Mismatch")</f>
        <v>OK</v>
      </c>
      <c r="I654" s="39" t="str">
        <f aca="false">IF(COUNTIF($A$5:A654,A654)&gt;1,"Duplicate","Unique")</f>
        <v>Unique</v>
      </c>
      <c r="J654" s="39" t="str">
        <f aca="false">IF(I654="Duplicate","Remove",IF(H654="Mismatch","Exclude","Keep"))</f>
        <v>Keep</v>
      </c>
    </row>
    <row r="655" customFormat="false" ht="15" hidden="false" customHeight="false" outlineLevel="0" collapsed="false">
      <c r="A655" s="39" t="s">
        <v>766</v>
      </c>
      <c r="B655" s="40" t="n">
        <v>45752</v>
      </c>
      <c r="C655" s="39" t="s">
        <v>112</v>
      </c>
      <c r="D655" s="39" t="n">
        <v>4</v>
      </c>
      <c r="E655" s="41" t="n">
        <v>54.01</v>
      </c>
      <c r="F655" s="39" t="s">
        <v>115</v>
      </c>
      <c r="G655" s="39" t="str">
        <f aca="false">UPPER(TRIM(C655))</f>
        <v>P005</v>
      </c>
      <c r="H655" s="39" t="str">
        <f aca="false">IF(ISNUMBER(MATCH(G655,Products!$A$5:$A$24,0)),"OK","Mismatch")</f>
        <v>OK</v>
      </c>
      <c r="I655" s="39" t="str">
        <f aca="false">IF(COUNTIF($A$5:A655,A655)&gt;1,"Duplicate","Unique")</f>
        <v>Unique</v>
      </c>
      <c r="J655" s="39" t="str">
        <f aca="false">IF(I655="Duplicate","Remove",IF(H655="Mismatch","Exclude","Keep"))</f>
        <v>Keep</v>
      </c>
    </row>
    <row r="656" customFormat="false" ht="15" hidden="false" customHeight="false" outlineLevel="0" collapsed="false">
      <c r="A656" s="39" t="s">
        <v>767</v>
      </c>
      <c r="B656" s="40" t="n">
        <v>45753</v>
      </c>
      <c r="C656" s="39" t="s">
        <v>121</v>
      </c>
      <c r="D656" s="39" t="n">
        <v>1</v>
      </c>
      <c r="E656" s="41" t="n">
        <v>109.72</v>
      </c>
      <c r="F656" s="39" t="s">
        <v>108</v>
      </c>
      <c r="G656" s="39" t="str">
        <f aca="false">UPPER(TRIM(C656))</f>
        <v>P018</v>
      </c>
      <c r="H656" s="39" t="str">
        <f aca="false">IF(ISNUMBER(MATCH(G656,Products!$A$5:$A$24,0)),"OK","Mismatch")</f>
        <v>OK</v>
      </c>
      <c r="I656" s="39" t="str">
        <f aca="false">IF(COUNTIF($A$5:A656,A656)&gt;1,"Duplicate","Unique")</f>
        <v>Unique</v>
      </c>
      <c r="J656" s="39" t="str">
        <f aca="false">IF(I656="Duplicate","Remove",IF(H656="Mismatch","Exclude","Keep"))</f>
        <v>Keep</v>
      </c>
    </row>
    <row r="657" customFormat="false" ht="15" hidden="false" customHeight="false" outlineLevel="0" collapsed="false">
      <c r="A657" s="39" t="s">
        <v>768</v>
      </c>
      <c r="B657" s="40" t="n">
        <v>45753</v>
      </c>
      <c r="C657" s="39" t="s">
        <v>114</v>
      </c>
      <c r="D657" s="39" t="n">
        <v>3</v>
      </c>
      <c r="E657" s="41" t="n">
        <v>5.87</v>
      </c>
      <c r="F657" s="39" t="s">
        <v>118</v>
      </c>
      <c r="G657" s="39" t="str">
        <f aca="false">UPPER(TRIM(C657))</f>
        <v>P012</v>
      </c>
      <c r="H657" s="39" t="str">
        <f aca="false">IF(ISNUMBER(MATCH(G657,Products!$A$5:$A$24,0)),"OK","Mismatch")</f>
        <v>OK</v>
      </c>
      <c r="I657" s="39" t="str">
        <f aca="false">IF(COUNTIF($A$5:A657,A657)&gt;1,"Duplicate","Unique")</f>
        <v>Unique</v>
      </c>
      <c r="J657" s="39" t="str">
        <f aca="false">IF(I657="Duplicate","Remove",IF(H657="Mismatch","Exclude","Keep"))</f>
        <v>Keep</v>
      </c>
    </row>
    <row r="658" customFormat="false" ht="15" hidden="false" customHeight="false" outlineLevel="0" collapsed="false">
      <c r="A658" s="39" t="s">
        <v>769</v>
      </c>
      <c r="B658" s="40" t="n">
        <v>45753</v>
      </c>
      <c r="C658" s="39" t="s">
        <v>104</v>
      </c>
      <c r="D658" s="39" t="n">
        <v>8</v>
      </c>
      <c r="E658" s="41" t="n">
        <v>15.91</v>
      </c>
      <c r="F658" s="39" t="s">
        <v>108</v>
      </c>
      <c r="G658" s="39" t="str">
        <f aca="false">UPPER(TRIM(C658))</f>
        <v>P015</v>
      </c>
      <c r="H658" s="39" t="str">
        <f aca="false">IF(ISNUMBER(MATCH(G658,Products!$A$5:$A$24,0)),"OK","Mismatch")</f>
        <v>OK</v>
      </c>
      <c r="I658" s="39" t="str">
        <f aca="false">IF(COUNTIF($A$5:A658,A658)&gt;1,"Duplicate","Unique")</f>
        <v>Unique</v>
      </c>
      <c r="J658" s="39" t="str">
        <f aca="false">IF(I658="Duplicate","Remove",IF(H658="Mismatch","Exclude","Keep"))</f>
        <v>Keep</v>
      </c>
    </row>
    <row r="659" customFormat="false" ht="15" hidden="false" customHeight="false" outlineLevel="0" collapsed="false">
      <c r="A659" s="39" t="s">
        <v>770</v>
      </c>
      <c r="B659" s="40" t="n">
        <v>45753</v>
      </c>
      <c r="C659" s="39" t="s">
        <v>107</v>
      </c>
      <c r="D659" s="39" t="n">
        <v>2</v>
      </c>
      <c r="E659" s="41" t="n">
        <v>33.06</v>
      </c>
      <c r="F659" s="39" t="s">
        <v>118</v>
      </c>
      <c r="G659" s="39" t="str">
        <f aca="false">UPPER(TRIM(C659))</f>
        <v>P003</v>
      </c>
      <c r="H659" s="39" t="str">
        <f aca="false">IF(ISNUMBER(MATCH(G659,Products!$A$5:$A$24,0)),"OK","Mismatch")</f>
        <v>OK</v>
      </c>
      <c r="I659" s="39" t="str">
        <f aca="false">IF(COUNTIF($A$5:A659,A659)&gt;1,"Duplicate","Unique")</f>
        <v>Unique</v>
      </c>
      <c r="J659" s="39" t="str">
        <f aca="false">IF(I659="Duplicate","Remove",IF(H659="Mismatch","Exclude","Keep"))</f>
        <v>Keep</v>
      </c>
    </row>
    <row r="660" customFormat="false" ht="15" hidden="false" customHeight="false" outlineLevel="0" collapsed="false">
      <c r="A660" s="39" t="s">
        <v>771</v>
      </c>
      <c r="B660" s="40" t="n">
        <v>45753</v>
      </c>
      <c r="C660" s="39" t="s">
        <v>128</v>
      </c>
      <c r="D660" s="39" t="n">
        <v>2</v>
      </c>
      <c r="E660" s="41" t="n">
        <v>38.19</v>
      </c>
      <c r="F660" s="39" t="s">
        <v>115</v>
      </c>
      <c r="G660" s="39" t="str">
        <f aca="false">UPPER(TRIM(C660))</f>
        <v>P020</v>
      </c>
      <c r="H660" s="39" t="str">
        <f aca="false">IF(ISNUMBER(MATCH(G660,Products!$A$5:$A$24,0)),"OK","Mismatch")</f>
        <v>OK</v>
      </c>
      <c r="I660" s="39" t="str">
        <f aca="false">IF(COUNTIF($A$5:A660,A660)&gt;1,"Duplicate","Unique")</f>
        <v>Unique</v>
      </c>
      <c r="J660" s="39" t="str">
        <f aca="false">IF(I660="Duplicate","Remove",IF(H660="Mismatch","Exclude","Keep"))</f>
        <v>Keep</v>
      </c>
    </row>
    <row r="661" customFormat="false" ht="15" hidden="false" customHeight="false" outlineLevel="0" collapsed="false">
      <c r="A661" s="39" t="s">
        <v>772</v>
      </c>
      <c r="B661" s="40" t="n">
        <v>45753</v>
      </c>
      <c r="C661" s="39" t="s">
        <v>136</v>
      </c>
      <c r="D661" s="39" t="n">
        <v>2</v>
      </c>
      <c r="E661" s="41" t="n">
        <v>77.83</v>
      </c>
      <c r="F661" s="39" t="s">
        <v>115</v>
      </c>
      <c r="G661" s="39" t="str">
        <f aca="false">UPPER(TRIM(C661))</f>
        <v>P002</v>
      </c>
      <c r="H661" s="39" t="str">
        <f aca="false">IF(ISNUMBER(MATCH(G661,Products!$A$5:$A$24,0)),"OK","Mismatch")</f>
        <v>OK</v>
      </c>
      <c r="I661" s="39" t="str">
        <f aca="false">IF(COUNTIF($A$5:A661,A661)&gt;1,"Duplicate","Unique")</f>
        <v>Unique</v>
      </c>
      <c r="J661" s="39" t="str">
        <f aca="false">IF(I661="Duplicate","Remove",IF(H661="Mismatch","Exclude","Keep"))</f>
        <v>Keep</v>
      </c>
    </row>
    <row r="662" customFormat="false" ht="15" hidden="false" customHeight="false" outlineLevel="0" collapsed="false">
      <c r="A662" s="39" t="s">
        <v>773</v>
      </c>
      <c r="B662" s="40" t="n">
        <v>45753</v>
      </c>
      <c r="C662" s="39" t="s">
        <v>126</v>
      </c>
      <c r="D662" s="39" t="n">
        <v>2</v>
      </c>
      <c r="E662" s="41" t="n">
        <v>24.14</v>
      </c>
      <c r="F662" s="39" t="s">
        <v>115</v>
      </c>
      <c r="G662" s="39" t="str">
        <f aca="false">UPPER(TRIM(C662))</f>
        <v>P001</v>
      </c>
      <c r="H662" s="39" t="str">
        <f aca="false">IF(ISNUMBER(MATCH(G662,Products!$A$5:$A$24,0)),"OK","Mismatch")</f>
        <v>OK</v>
      </c>
      <c r="I662" s="39" t="str">
        <f aca="false">IF(COUNTIF($A$5:A662,A662)&gt;1,"Duplicate","Unique")</f>
        <v>Unique</v>
      </c>
      <c r="J662" s="39" t="str">
        <f aca="false">IF(I662="Duplicate","Remove",IF(H662="Mismatch","Exclude","Keep"))</f>
        <v>Keep</v>
      </c>
    </row>
    <row r="663" customFormat="false" ht="15" hidden="false" customHeight="false" outlineLevel="0" collapsed="false">
      <c r="A663" s="39" t="s">
        <v>774</v>
      </c>
      <c r="B663" s="40" t="n">
        <v>45753</v>
      </c>
      <c r="C663" s="39" t="s">
        <v>128</v>
      </c>
      <c r="D663" s="39" t="n">
        <v>3</v>
      </c>
      <c r="E663" s="41" t="n">
        <v>36.25</v>
      </c>
      <c r="F663" s="39" t="s">
        <v>108</v>
      </c>
      <c r="G663" s="39" t="str">
        <f aca="false">UPPER(TRIM(C663))</f>
        <v>P020</v>
      </c>
      <c r="H663" s="39" t="str">
        <f aca="false">IF(ISNUMBER(MATCH(G663,Products!$A$5:$A$24,0)),"OK","Mismatch")</f>
        <v>OK</v>
      </c>
      <c r="I663" s="39" t="str">
        <f aca="false">IF(COUNTIF($A$5:A663,A663)&gt;1,"Duplicate","Unique")</f>
        <v>Unique</v>
      </c>
      <c r="J663" s="39" t="str">
        <f aca="false">IF(I663="Duplicate","Remove",IF(H663="Mismatch","Exclude","Keep"))</f>
        <v>Keep</v>
      </c>
    </row>
    <row r="664" customFormat="false" ht="15" hidden="false" customHeight="false" outlineLevel="0" collapsed="false">
      <c r="A664" s="39" t="s">
        <v>775</v>
      </c>
      <c r="B664" s="40" t="n">
        <v>45753</v>
      </c>
      <c r="C664" s="39" t="s">
        <v>126</v>
      </c>
      <c r="D664" s="39" t="n">
        <v>2</v>
      </c>
      <c r="E664" s="41" t="n">
        <v>23.67</v>
      </c>
      <c r="F664" s="39" t="s">
        <v>115</v>
      </c>
      <c r="G664" s="39" t="str">
        <f aca="false">UPPER(TRIM(C664))</f>
        <v>P001</v>
      </c>
      <c r="H664" s="39" t="str">
        <f aca="false">IF(ISNUMBER(MATCH(G664,Products!$A$5:$A$24,0)),"OK","Mismatch")</f>
        <v>OK</v>
      </c>
      <c r="I664" s="39" t="str">
        <f aca="false">IF(COUNTIF($A$5:A664,A664)&gt;1,"Duplicate","Unique")</f>
        <v>Unique</v>
      </c>
      <c r="J664" s="39" t="str">
        <f aca="false">IF(I664="Duplicate","Remove",IF(H664="Mismatch","Exclude","Keep"))</f>
        <v>Keep</v>
      </c>
    </row>
    <row r="665" customFormat="false" ht="15" hidden="false" customHeight="false" outlineLevel="0" collapsed="false">
      <c r="A665" s="39" t="s">
        <v>776</v>
      </c>
      <c r="B665" s="40" t="n">
        <v>45753</v>
      </c>
      <c r="C665" s="39" t="s">
        <v>136</v>
      </c>
      <c r="D665" s="39" t="n">
        <v>3</v>
      </c>
      <c r="E665" s="41" t="n">
        <v>77.42</v>
      </c>
      <c r="F665" s="39" t="s">
        <v>105</v>
      </c>
      <c r="G665" s="39" t="str">
        <f aca="false">UPPER(TRIM(C665))</f>
        <v>P002</v>
      </c>
      <c r="H665" s="39" t="str">
        <f aca="false">IF(ISNUMBER(MATCH(G665,Products!$A$5:$A$24,0)),"OK","Mismatch")</f>
        <v>OK</v>
      </c>
      <c r="I665" s="39" t="str">
        <f aca="false">IF(COUNTIF($A$5:A665,A665)&gt;1,"Duplicate","Unique")</f>
        <v>Unique</v>
      </c>
      <c r="J665" s="39" t="str">
        <f aca="false">IF(I665="Duplicate","Remove",IF(H665="Mismatch","Exclude","Keep"))</f>
        <v>Keep</v>
      </c>
    </row>
    <row r="666" customFormat="false" ht="15" hidden="false" customHeight="false" outlineLevel="0" collapsed="false">
      <c r="A666" s="39" t="s">
        <v>777</v>
      </c>
      <c r="B666" s="40" t="n">
        <v>45753</v>
      </c>
      <c r="C666" s="39" t="s">
        <v>136</v>
      </c>
      <c r="D666" s="39" t="n">
        <v>3</v>
      </c>
      <c r="E666" s="41" t="n">
        <v>78.61</v>
      </c>
      <c r="F666" s="39" t="s">
        <v>115</v>
      </c>
      <c r="G666" s="39" t="str">
        <f aca="false">UPPER(TRIM(C666))</f>
        <v>P002</v>
      </c>
      <c r="H666" s="39" t="str">
        <f aca="false">IF(ISNUMBER(MATCH(G666,Products!$A$5:$A$24,0)),"OK","Mismatch")</f>
        <v>OK</v>
      </c>
      <c r="I666" s="39" t="str">
        <f aca="false">IF(COUNTIF($A$5:A666,A666)&gt;1,"Duplicate","Unique")</f>
        <v>Unique</v>
      </c>
      <c r="J666" s="39" t="str">
        <f aca="false">IF(I666="Duplicate","Remove",IF(H666="Mismatch","Exclude","Keep"))</f>
        <v>Keep</v>
      </c>
    </row>
    <row r="667" customFormat="false" ht="15" hidden="false" customHeight="false" outlineLevel="0" collapsed="false">
      <c r="A667" s="39" t="s">
        <v>778</v>
      </c>
      <c r="B667" s="40" t="n">
        <v>45753</v>
      </c>
      <c r="C667" s="39" t="s">
        <v>130</v>
      </c>
      <c r="D667" s="39" t="n">
        <v>1</v>
      </c>
      <c r="E667" s="41" t="n">
        <v>8.63</v>
      </c>
      <c r="F667" s="39" t="s">
        <v>108</v>
      </c>
      <c r="G667" s="39" t="str">
        <f aca="false">UPPER(TRIM(C667))</f>
        <v>P011</v>
      </c>
      <c r="H667" s="39" t="str">
        <f aca="false">IF(ISNUMBER(MATCH(G667,Products!$A$5:$A$24,0)),"OK","Mismatch")</f>
        <v>OK</v>
      </c>
      <c r="I667" s="39" t="str">
        <f aca="false">IF(COUNTIF($A$5:A667,A667)&gt;1,"Duplicate","Unique")</f>
        <v>Unique</v>
      </c>
      <c r="J667" s="39" t="str">
        <f aca="false">IF(I667="Duplicate","Remove",IF(H667="Mismatch","Exclude","Keep"))</f>
        <v>Keep</v>
      </c>
    </row>
    <row r="668" customFormat="false" ht="15" hidden="false" customHeight="false" outlineLevel="0" collapsed="false">
      <c r="A668" s="39" t="s">
        <v>779</v>
      </c>
      <c r="B668" s="40" t="n">
        <v>45754</v>
      </c>
      <c r="C668" s="39" t="s">
        <v>133</v>
      </c>
      <c r="D668" s="39" t="n">
        <v>5</v>
      </c>
      <c r="E668" s="41" t="n">
        <v>8.37</v>
      </c>
      <c r="F668" s="39" t="s">
        <v>108</v>
      </c>
      <c r="G668" s="39" t="str">
        <f aca="false">UPPER(TRIM(C668))</f>
        <v>P019</v>
      </c>
      <c r="H668" s="39" t="str">
        <f aca="false">IF(ISNUMBER(MATCH(G668,Products!$A$5:$A$24,0)),"OK","Mismatch")</f>
        <v>OK</v>
      </c>
      <c r="I668" s="39" t="str">
        <f aca="false">IF(COUNTIF($A$5:A668,A668)&gt;1,"Duplicate","Unique")</f>
        <v>Unique</v>
      </c>
      <c r="J668" s="39" t="str">
        <f aca="false">IF(I668="Duplicate","Remove",IF(H668="Mismatch","Exclude","Keep"))</f>
        <v>Keep</v>
      </c>
    </row>
    <row r="669" customFormat="false" ht="15" hidden="false" customHeight="false" outlineLevel="0" collapsed="false">
      <c r="A669" s="39" t="s">
        <v>780</v>
      </c>
      <c r="B669" s="40" t="n">
        <v>45754</v>
      </c>
      <c r="C669" s="39" t="s">
        <v>130</v>
      </c>
      <c r="D669" s="39" t="n">
        <v>4</v>
      </c>
      <c r="E669" s="41" t="n">
        <v>8.83</v>
      </c>
      <c r="F669" s="39" t="s">
        <v>115</v>
      </c>
      <c r="G669" s="39" t="str">
        <f aca="false">UPPER(TRIM(C669))</f>
        <v>P011</v>
      </c>
      <c r="H669" s="39" t="str">
        <f aca="false">IF(ISNUMBER(MATCH(G669,Products!$A$5:$A$24,0)),"OK","Mismatch")</f>
        <v>OK</v>
      </c>
      <c r="I669" s="39" t="str">
        <f aca="false">IF(COUNTIF($A$5:A669,A669)&gt;1,"Duplicate","Unique")</f>
        <v>Unique</v>
      </c>
      <c r="J669" s="39" t="str">
        <f aca="false">IF(I669="Duplicate","Remove",IF(H669="Mismatch","Exclude","Keep"))</f>
        <v>Keep</v>
      </c>
    </row>
    <row r="670" customFormat="false" ht="15" hidden="false" customHeight="false" outlineLevel="0" collapsed="false">
      <c r="A670" s="39" t="s">
        <v>781</v>
      </c>
      <c r="B670" s="40" t="n">
        <v>45754</v>
      </c>
      <c r="C670" s="39" t="s">
        <v>114</v>
      </c>
      <c r="D670" s="39" t="n">
        <v>3</v>
      </c>
      <c r="E670" s="41" t="n">
        <v>5.63</v>
      </c>
      <c r="F670" s="39" t="s">
        <v>105</v>
      </c>
      <c r="G670" s="39" t="str">
        <f aca="false">UPPER(TRIM(C670))</f>
        <v>P012</v>
      </c>
      <c r="H670" s="39" t="str">
        <f aca="false">IF(ISNUMBER(MATCH(G670,Products!$A$5:$A$24,0)),"OK","Mismatch")</f>
        <v>OK</v>
      </c>
      <c r="I670" s="39" t="str">
        <f aca="false">IF(COUNTIF($A$5:A670,A670)&gt;1,"Duplicate","Unique")</f>
        <v>Unique</v>
      </c>
      <c r="J670" s="39" t="str">
        <f aca="false">IF(I670="Duplicate","Remove",IF(H670="Mismatch","Exclude","Keep"))</f>
        <v>Keep</v>
      </c>
    </row>
    <row r="671" customFormat="false" ht="15" hidden="false" customHeight="false" outlineLevel="0" collapsed="false">
      <c r="A671" s="39" t="s">
        <v>782</v>
      </c>
      <c r="B671" s="40" t="n">
        <v>45754</v>
      </c>
      <c r="C671" s="39" t="s">
        <v>107</v>
      </c>
      <c r="D671" s="39" t="n">
        <v>2</v>
      </c>
      <c r="E671" s="41" t="n">
        <v>32.22</v>
      </c>
      <c r="F671" s="39" t="s">
        <v>108</v>
      </c>
      <c r="G671" s="39" t="str">
        <f aca="false">UPPER(TRIM(C671))</f>
        <v>P003</v>
      </c>
      <c r="H671" s="39" t="str">
        <f aca="false">IF(ISNUMBER(MATCH(G671,Products!$A$5:$A$24,0)),"OK","Mismatch")</f>
        <v>OK</v>
      </c>
      <c r="I671" s="39" t="str">
        <f aca="false">IF(COUNTIF($A$5:A671,A671)&gt;1,"Duplicate","Unique")</f>
        <v>Unique</v>
      </c>
      <c r="J671" s="39" t="str">
        <f aca="false">IF(I671="Duplicate","Remove",IF(H671="Mismatch","Exclude","Keep"))</f>
        <v>Keep</v>
      </c>
    </row>
    <row r="672" customFormat="false" ht="15" hidden="false" customHeight="false" outlineLevel="0" collapsed="false">
      <c r="A672" s="39" t="s">
        <v>783</v>
      </c>
      <c r="B672" s="40" t="n">
        <v>45754</v>
      </c>
      <c r="C672" s="39" t="s">
        <v>126</v>
      </c>
      <c r="D672" s="39" t="n">
        <v>2</v>
      </c>
      <c r="E672" s="41" t="n">
        <v>23.52</v>
      </c>
      <c r="F672" s="39" t="s">
        <v>118</v>
      </c>
      <c r="G672" s="39" t="str">
        <f aca="false">UPPER(TRIM(C672))</f>
        <v>P001</v>
      </c>
      <c r="H672" s="39" t="str">
        <f aca="false">IF(ISNUMBER(MATCH(G672,Products!$A$5:$A$24,0)),"OK","Mismatch")</f>
        <v>OK</v>
      </c>
      <c r="I672" s="39" t="str">
        <f aca="false">IF(COUNTIF($A$5:A672,A672)&gt;1,"Duplicate","Unique")</f>
        <v>Unique</v>
      </c>
      <c r="J672" s="39" t="str">
        <f aca="false">IF(I672="Duplicate","Remove",IF(H672="Mismatch","Exclude","Keep"))</f>
        <v>Keep</v>
      </c>
    </row>
    <row r="673" customFormat="false" ht="15" hidden="false" customHeight="false" outlineLevel="0" collapsed="false">
      <c r="A673" s="39" t="s">
        <v>784</v>
      </c>
      <c r="B673" s="40" t="n">
        <v>45754</v>
      </c>
      <c r="C673" s="39" t="s">
        <v>136</v>
      </c>
      <c r="D673" s="39" t="n">
        <v>2</v>
      </c>
      <c r="E673" s="41" t="n">
        <v>76.42</v>
      </c>
      <c r="F673" s="39" t="s">
        <v>118</v>
      </c>
      <c r="G673" s="39" t="str">
        <f aca="false">UPPER(TRIM(C673))</f>
        <v>P002</v>
      </c>
      <c r="H673" s="39" t="str">
        <f aca="false">IF(ISNUMBER(MATCH(G673,Products!$A$5:$A$24,0)),"OK","Mismatch")</f>
        <v>OK</v>
      </c>
      <c r="I673" s="39" t="str">
        <f aca="false">IF(COUNTIF($A$5:A673,A673)&gt;1,"Duplicate","Unique")</f>
        <v>Unique</v>
      </c>
      <c r="J673" s="39" t="str">
        <f aca="false">IF(I673="Duplicate","Remove",IF(H673="Mismatch","Exclude","Keep"))</f>
        <v>Keep</v>
      </c>
    </row>
    <row r="674" customFormat="false" ht="15" hidden="false" customHeight="false" outlineLevel="0" collapsed="false">
      <c r="A674" s="39" t="s">
        <v>785</v>
      </c>
      <c r="B674" s="40" t="n">
        <v>45754</v>
      </c>
      <c r="C674" s="39" t="s">
        <v>114</v>
      </c>
      <c r="D674" s="39" t="n">
        <v>4</v>
      </c>
      <c r="E674" s="41" t="n">
        <v>5.81</v>
      </c>
      <c r="F674" s="39" t="s">
        <v>115</v>
      </c>
      <c r="G674" s="39" t="str">
        <f aca="false">UPPER(TRIM(C674))</f>
        <v>P012</v>
      </c>
      <c r="H674" s="39" t="str">
        <f aca="false">IF(ISNUMBER(MATCH(G674,Products!$A$5:$A$24,0)),"OK","Mismatch")</f>
        <v>OK</v>
      </c>
      <c r="I674" s="39" t="str">
        <f aca="false">IF(COUNTIF($A$5:A674,A674)&gt;1,"Duplicate","Unique")</f>
        <v>Unique</v>
      </c>
      <c r="J674" s="39" t="str">
        <f aca="false">IF(I674="Duplicate","Remove",IF(H674="Mismatch","Exclude","Keep"))</f>
        <v>Keep</v>
      </c>
    </row>
    <row r="675" customFormat="false" ht="15" hidden="false" customHeight="false" outlineLevel="0" collapsed="false">
      <c r="A675" s="39" t="s">
        <v>786</v>
      </c>
      <c r="B675" s="40" t="n">
        <v>45754</v>
      </c>
      <c r="C675" s="39" t="s">
        <v>3155</v>
      </c>
      <c r="D675" s="39" t="n">
        <v>1</v>
      </c>
      <c r="E675" s="41" t="n">
        <v>8.94</v>
      </c>
      <c r="F675" s="39" t="s">
        <v>118</v>
      </c>
      <c r="G675" s="39" t="str">
        <f aca="false">UPPER(TRIM(C675))</f>
        <v>P011</v>
      </c>
      <c r="H675" s="39" t="str">
        <f aca="false">IF(ISNUMBER(MATCH(G675,Products!$A$5:$A$24,0)),"OK","Mismatch")</f>
        <v>OK</v>
      </c>
      <c r="I675" s="39" t="str">
        <f aca="false">IF(COUNTIF($A$5:A675,A675)&gt;1,"Duplicate","Unique")</f>
        <v>Unique</v>
      </c>
      <c r="J675" s="39" t="str">
        <f aca="false">IF(I675="Duplicate","Remove",IF(H675="Mismatch","Exclude","Keep"))</f>
        <v>Keep</v>
      </c>
    </row>
    <row r="676" customFormat="false" ht="15" hidden="false" customHeight="false" outlineLevel="0" collapsed="false">
      <c r="A676" s="39" t="s">
        <v>787</v>
      </c>
      <c r="B676" s="40" t="n">
        <v>45755</v>
      </c>
      <c r="C676" s="39" t="s">
        <v>114</v>
      </c>
      <c r="D676" s="39" t="n">
        <v>4</v>
      </c>
      <c r="E676" s="41" t="n">
        <v>5.52</v>
      </c>
      <c r="F676" s="39" t="s">
        <v>118</v>
      </c>
      <c r="G676" s="39" t="str">
        <f aca="false">UPPER(TRIM(C676))</f>
        <v>P012</v>
      </c>
      <c r="H676" s="39" t="str">
        <f aca="false">IF(ISNUMBER(MATCH(G676,Products!$A$5:$A$24,0)),"OK","Mismatch")</f>
        <v>OK</v>
      </c>
      <c r="I676" s="39" t="str">
        <f aca="false">IF(COUNTIF($A$5:A676,A676)&gt;1,"Duplicate","Unique")</f>
        <v>Unique</v>
      </c>
      <c r="J676" s="39" t="str">
        <f aca="false">IF(I676="Duplicate","Remove",IF(H676="Mismatch","Exclude","Keep"))</f>
        <v>Keep</v>
      </c>
    </row>
    <row r="677" customFormat="false" ht="15" hidden="false" customHeight="false" outlineLevel="0" collapsed="false">
      <c r="A677" s="39" t="s">
        <v>788</v>
      </c>
      <c r="B677" s="40" t="n">
        <v>45755</v>
      </c>
      <c r="C677" s="39" t="s">
        <v>169</v>
      </c>
      <c r="D677" s="39" t="n">
        <v>2</v>
      </c>
      <c r="E677" s="41" t="n">
        <v>28.46</v>
      </c>
      <c r="F677" s="39" t="s">
        <v>105</v>
      </c>
      <c r="G677" s="39" t="str">
        <f aca="false">UPPER(TRIM(C677))</f>
        <v>P004</v>
      </c>
      <c r="H677" s="39" t="str">
        <f aca="false">IF(ISNUMBER(MATCH(G677,Products!$A$5:$A$24,0)),"OK","Mismatch")</f>
        <v>OK</v>
      </c>
      <c r="I677" s="39" t="str">
        <f aca="false">IF(COUNTIF($A$5:A677,A677)&gt;1,"Duplicate","Unique")</f>
        <v>Unique</v>
      </c>
      <c r="J677" s="39" t="str">
        <f aca="false">IF(I677="Duplicate","Remove",IF(H677="Mismatch","Exclude","Keep"))</f>
        <v>Keep</v>
      </c>
    </row>
    <row r="678" customFormat="false" ht="15" hidden="false" customHeight="false" outlineLevel="0" collapsed="false">
      <c r="A678" s="39" t="s">
        <v>789</v>
      </c>
      <c r="B678" s="40" t="n">
        <v>45755</v>
      </c>
      <c r="C678" s="39" t="s">
        <v>114</v>
      </c>
      <c r="D678" s="39" t="n">
        <v>3</v>
      </c>
      <c r="E678" s="41" t="n">
        <v>5.63</v>
      </c>
      <c r="F678" s="39" t="s">
        <v>115</v>
      </c>
      <c r="G678" s="39" t="str">
        <f aca="false">UPPER(TRIM(C678))</f>
        <v>P012</v>
      </c>
      <c r="H678" s="39" t="str">
        <f aca="false">IF(ISNUMBER(MATCH(G678,Products!$A$5:$A$24,0)),"OK","Mismatch")</f>
        <v>OK</v>
      </c>
      <c r="I678" s="39" t="str">
        <f aca="false">IF(COUNTIF($A$5:A678,A678)&gt;1,"Duplicate","Unique")</f>
        <v>Unique</v>
      </c>
      <c r="J678" s="39" t="str">
        <f aca="false">IF(I678="Duplicate","Remove",IF(H678="Mismatch","Exclude","Keep"))</f>
        <v>Keep</v>
      </c>
    </row>
    <row r="679" customFormat="false" ht="15" hidden="false" customHeight="false" outlineLevel="0" collapsed="false">
      <c r="A679" s="39" t="s">
        <v>790</v>
      </c>
      <c r="B679" s="40" t="n">
        <v>45755</v>
      </c>
      <c r="C679" s="39" t="s">
        <v>136</v>
      </c>
      <c r="D679" s="39" t="n">
        <v>1</v>
      </c>
      <c r="E679" s="41" t="n">
        <v>74.73</v>
      </c>
      <c r="F679" s="39" t="s">
        <v>115</v>
      </c>
      <c r="G679" s="39" t="str">
        <f aca="false">UPPER(TRIM(C679))</f>
        <v>P002</v>
      </c>
      <c r="H679" s="39" t="str">
        <f aca="false">IF(ISNUMBER(MATCH(G679,Products!$A$5:$A$24,0)),"OK","Mismatch")</f>
        <v>OK</v>
      </c>
      <c r="I679" s="39" t="str">
        <f aca="false">IF(COUNTIF($A$5:A679,A679)&gt;1,"Duplicate","Unique")</f>
        <v>Unique</v>
      </c>
      <c r="J679" s="39" t="str">
        <f aca="false">IF(I679="Duplicate","Remove",IF(H679="Mismatch","Exclude","Keep"))</f>
        <v>Keep</v>
      </c>
    </row>
    <row r="680" customFormat="false" ht="15" hidden="false" customHeight="false" outlineLevel="0" collapsed="false">
      <c r="A680" s="39" t="s">
        <v>791</v>
      </c>
      <c r="B680" s="40" t="n">
        <v>45755</v>
      </c>
      <c r="C680" s="39" t="s">
        <v>130</v>
      </c>
      <c r="D680" s="39" t="n">
        <v>1</v>
      </c>
      <c r="E680" s="41" t="n">
        <v>8.85</v>
      </c>
      <c r="F680" s="39" t="s">
        <v>108</v>
      </c>
      <c r="G680" s="39" t="str">
        <f aca="false">UPPER(TRIM(C680))</f>
        <v>P011</v>
      </c>
      <c r="H680" s="39" t="str">
        <f aca="false">IF(ISNUMBER(MATCH(G680,Products!$A$5:$A$24,0)),"OK","Mismatch")</f>
        <v>OK</v>
      </c>
      <c r="I680" s="39" t="str">
        <f aca="false">IF(COUNTIF($A$5:A680,A680)&gt;1,"Duplicate","Unique")</f>
        <v>Unique</v>
      </c>
      <c r="J680" s="39" t="str">
        <f aca="false">IF(I680="Duplicate","Remove",IF(H680="Mismatch","Exclude","Keep"))</f>
        <v>Keep</v>
      </c>
    </row>
    <row r="681" customFormat="false" ht="15" hidden="false" customHeight="false" outlineLevel="0" collapsed="false">
      <c r="A681" s="39" t="s">
        <v>792</v>
      </c>
      <c r="B681" s="40" t="n">
        <v>45755</v>
      </c>
      <c r="C681" s="39" t="s">
        <v>133</v>
      </c>
      <c r="D681" s="39" t="n">
        <v>1</v>
      </c>
      <c r="E681" s="41" t="n">
        <v>8.4</v>
      </c>
      <c r="F681" s="39" t="s">
        <v>118</v>
      </c>
      <c r="G681" s="39" t="str">
        <f aca="false">UPPER(TRIM(C681))</f>
        <v>P019</v>
      </c>
      <c r="H681" s="39" t="str">
        <f aca="false">IF(ISNUMBER(MATCH(G681,Products!$A$5:$A$24,0)),"OK","Mismatch")</f>
        <v>OK</v>
      </c>
      <c r="I681" s="39" t="str">
        <f aca="false">IF(COUNTIF($A$5:A681,A681)&gt;1,"Duplicate","Unique")</f>
        <v>Unique</v>
      </c>
      <c r="J681" s="39" t="str">
        <f aca="false">IF(I681="Duplicate","Remove",IF(H681="Mismatch","Exclude","Keep"))</f>
        <v>Keep</v>
      </c>
    </row>
    <row r="682" customFormat="false" ht="15" hidden="false" customHeight="false" outlineLevel="0" collapsed="false">
      <c r="A682" s="39" t="s">
        <v>793</v>
      </c>
      <c r="B682" s="40" t="n">
        <v>45756</v>
      </c>
      <c r="C682" s="39" t="s">
        <v>3156</v>
      </c>
      <c r="D682" s="39" t="n">
        <v>2</v>
      </c>
      <c r="E682" s="41" t="n">
        <v>188.98</v>
      </c>
      <c r="F682" s="39" t="s">
        <v>115</v>
      </c>
      <c r="G682" s="39" t="str">
        <f aca="false">UPPER(TRIM(C682))</f>
        <v>P007</v>
      </c>
      <c r="H682" s="39" t="str">
        <f aca="false">IF(ISNUMBER(MATCH(G682,Products!$A$5:$A$24,0)),"OK","Mismatch")</f>
        <v>OK</v>
      </c>
      <c r="I682" s="39" t="str">
        <f aca="false">IF(COUNTIF($A$5:A682,A682)&gt;1,"Duplicate","Unique")</f>
        <v>Unique</v>
      </c>
      <c r="J682" s="39" t="str">
        <f aca="false">IF(I682="Duplicate","Remove",IF(H682="Mismatch","Exclude","Keep"))</f>
        <v>Keep</v>
      </c>
    </row>
    <row r="683" customFormat="false" ht="15" hidden="false" customHeight="false" outlineLevel="0" collapsed="false">
      <c r="A683" s="39" t="s">
        <v>794</v>
      </c>
      <c r="B683" s="40" t="n">
        <v>45756</v>
      </c>
      <c r="C683" s="39" t="s">
        <v>130</v>
      </c>
      <c r="D683" s="39" t="n">
        <v>1</v>
      </c>
      <c r="E683" s="41" t="n">
        <v>8.66</v>
      </c>
      <c r="F683" s="39" t="s">
        <v>118</v>
      </c>
      <c r="G683" s="39" t="str">
        <f aca="false">UPPER(TRIM(C683))</f>
        <v>P011</v>
      </c>
      <c r="H683" s="39" t="str">
        <f aca="false">IF(ISNUMBER(MATCH(G683,Products!$A$5:$A$24,0)),"OK","Mismatch")</f>
        <v>OK</v>
      </c>
      <c r="I683" s="39" t="str">
        <f aca="false">IF(COUNTIF($A$5:A683,A683)&gt;1,"Duplicate","Unique")</f>
        <v>Unique</v>
      </c>
      <c r="J683" s="39" t="str">
        <f aca="false">IF(I683="Duplicate","Remove",IF(H683="Mismatch","Exclude","Keep"))</f>
        <v>Keep</v>
      </c>
    </row>
    <row r="684" customFormat="false" ht="15" hidden="false" customHeight="false" outlineLevel="0" collapsed="false">
      <c r="A684" s="39" t="s">
        <v>795</v>
      </c>
      <c r="B684" s="40" t="n">
        <v>45756</v>
      </c>
      <c r="C684" s="39" t="s">
        <v>126</v>
      </c>
      <c r="D684" s="39" t="n">
        <v>1</v>
      </c>
      <c r="E684" s="41" t="n">
        <v>23.63</v>
      </c>
      <c r="F684" s="39" t="s">
        <v>115</v>
      </c>
      <c r="G684" s="39" t="str">
        <f aca="false">UPPER(TRIM(C684))</f>
        <v>P001</v>
      </c>
      <c r="H684" s="39" t="str">
        <f aca="false">IF(ISNUMBER(MATCH(G684,Products!$A$5:$A$24,0)),"OK","Mismatch")</f>
        <v>OK</v>
      </c>
      <c r="I684" s="39" t="str">
        <f aca="false">IF(COUNTIF($A$5:A684,A684)&gt;1,"Duplicate","Unique")</f>
        <v>Unique</v>
      </c>
      <c r="J684" s="39" t="str">
        <f aca="false">IF(I684="Duplicate","Remove",IF(H684="Mismatch","Exclude","Keep"))</f>
        <v>Keep</v>
      </c>
    </row>
    <row r="685" customFormat="false" ht="15" hidden="false" customHeight="false" outlineLevel="0" collapsed="false">
      <c r="A685" s="39" t="s">
        <v>796</v>
      </c>
      <c r="B685" s="40" t="n">
        <v>45756</v>
      </c>
      <c r="C685" s="39" t="s">
        <v>114</v>
      </c>
      <c r="D685" s="39" t="n">
        <v>1</v>
      </c>
      <c r="E685" s="41" t="n">
        <v>5.71</v>
      </c>
      <c r="F685" s="39" t="s">
        <v>118</v>
      </c>
      <c r="G685" s="39" t="str">
        <f aca="false">UPPER(TRIM(C685))</f>
        <v>P012</v>
      </c>
      <c r="H685" s="39" t="str">
        <f aca="false">IF(ISNUMBER(MATCH(G685,Products!$A$5:$A$24,0)),"OK","Mismatch")</f>
        <v>OK</v>
      </c>
      <c r="I685" s="39" t="str">
        <f aca="false">IF(COUNTIF($A$5:A685,A685)&gt;1,"Duplicate","Unique")</f>
        <v>Unique</v>
      </c>
      <c r="J685" s="39" t="str">
        <f aca="false">IF(I685="Duplicate","Remove",IF(H685="Mismatch","Exclude","Keep"))</f>
        <v>Keep</v>
      </c>
    </row>
    <row r="686" customFormat="false" ht="15" hidden="false" customHeight="false" outlineLevel="0" collapsed="false">
      <c r="A686" s="39" t="s">
        <v>797</v>
      </c>
      <c r="B686" s="40" t="n">
        <v>45756</v>
      </c>
      <c r="C686" s="39" t="s">
        <v>117</v>
      </c>
      <c r="D686" s="39" t="n">
        <v>3</v>
      </c>
      <c r="E686" s="41" t="n">
        <v>31.47</v>
      </c>
      <c r="F686" s="39" t="s">
        <v>115</v>
      </c>
      <c r="G686" s="39" t="str">
        <f aca="false">UPPER(TRIM(C686))</f>
        <v>P009</v>
      </c>
      <c r="H686" s="39" t="str">
        <f aca="false">IF(ISNUMBER(MATCH(G686,Products!$A$5:$A$24,0)),"OK","Mismatch")</f>
        <v>OK</v>
      </c>
      <c r="I686" s="39" t="str">
        <f aca="false">IF(COUNTIF($A$5:A686,A686)&gt;1,"Duplicate","Unique")</f>
        <v>Unique</v>
      </c>
      <c r="J686" s="39" t="str">
        <f aca="false">IF(I686="Duplicate","Remove",IF(H686="Mismatch","Exclude","Keep"))</f>
        <v>Keep</v>
      </c>
    </row>
    <row r="687" customFormat="false" ht="15" hidden="false" customHeight="false" outlineLevel="0" collapsed="false">
      <c r="A687" s="39" t="s">
        <v>798</v>
      </c>
      <c r="B687" s="40" t="n">
        <v>45756</v>
      </c>
      <c r="C687" s="39" t="s">
        <v>133</v>
      </c>
      <c r="D687" s="39" t="n">
        <v>1</v>
      </c>
      <c r="E687" s="41" t="n">
        <v>8.71</v>
      </c>
      <c r="F687" s="39" t="s">
        <v>108</v>
      </c>
      <c r="G687" s="39" t="str">
        <f aca="false">UPPER(TRIM(C687))</f>
        <v>P019</v>
      </c>
      <c r="H687" s="39" t="str">
        <f aca="false">IF(ISNUMBER(MATCH(G687,Products!$A$5:$A$24,0)),"OK","Mismatch")</f>
        <v>OK</v>
      </c>
      <c r="I687" s="39" t="str">
        <f aca="false">IF(COUNTIF($A$5:A687,A687)&gt;1,"Duplicate","Unique")</f>
        <v>Unique</v>
      </c>
      <c r="J687" s="39" t="str">
        <f aca="false">IF(I687="Duplicate","Remove",IF(H687="Mismatch","Exclude","Keep"))</f>
        <v>Keep</v>
      </c>
    </row>
    <row r="688" customFormat="false" ht="15" hidden="false" customHeight="false" outlineLevel="0" collapsed="false">
      <c r="A688" s="39" t="s">
        <v>799</v>
      </c>
      <c r="B688" s="40" t="n">
        <v>45756</v>
      </c>
      <c r="C688" s="39" t="s">
        <v>121</v>
      </c>
      <c r="D688" s="39" t="n">
        <v>3</v>
      </c>
      <c r="E688" s="41" t="n">
        <v>114.27</v>
      </c>
      <c r="F688" s="39" t="s">
        <v>105</v>
      </c>
      <c r="G688" s="39" t="str">
        <f aca="false">UPPER(TRIM(C688))</f>
        <v>P018</v>
      </c>
      <c r="H688" s="39" t="str">
        <f aca="false">IF(ISNUMBER(MATCH(G688,Products!$A$5:$A$24,0)),"OK","Mismatch")</f>
        <v>OK</v>
      </c>
      <c r="I688" s="39" t="str">
        <f aca="false">IF(COUNTIF($A$5:A688,A688)&gt;1,"Duplicate","Unique")</f>
        <v>Unique</v>
      </c>
      <c r="J688" s="39" t="str">
        <f aca="false">IF(I688="Duplicate","Remove",IF(H688="Mismatch","Exclude","Keep"))</f>
        <v>Keep</v>
      </c>
    </row>
    <row r="689" customFormat="false" ht="15" hidden="false" customHeight="false" outlineLevel="0" collapsed="false">
      <c r="A689" s="39" t="s">
        <v>800</v>
      </c>
      <c r="B689" s="40" t="n">
        <v>45756</v>
      </c>
      <c r="C689" s="39" t="s">
        <v>104</v>
      </c>
      <c r="D689" s="39" t="n">
        <v>2</v>
      </c>
      <c r="E689" s="41" t="n">
        <v>14.87</v>
      </c>
      <c r="F689" s="39" t="s">
        <v>115</v>
      </c>
      <c r="G689" s="39" t="str">
        <f aca="false">UPPER(TRIM(C689))</f>
        <v>P015</v>
      </c>
      <c r="H689" s="39" t="str">
        <f aca="false">IF(ISNUMBER(MATCH(G689,Products!$A$5:$A$24,0)),"OK","Mismatch")</f>
        <v>OK</v>
      </c>
      <c r="I689" s="39" t="str">
        <f aca="false">IF(COUNTIF($A$5:A689,A689)&gt;1,"Duplicate","Unique")</f>
        <v>Unique</v>
      </c>
      <c r="J689" s="39" t="str">
        <f aca="false">IF(I689="Duplicate","Remove",IF(H689="Mismatch","Exclude","Keep"))</f>
        <v>Keep</v>
      </c>
    </row>
    <row r="690" customFormat="false" ht="15" hidden="false" customHeight="false" outlineLevel="0" collapsed="false">
      <c r="A690" s="39" t="s">
        <v>801</v>
      </c>
      <c r="B690" s="40" t="n">
        <v>45757</v>
      </c>
      <c r="C690" s="39" t="s">
        <v>114</v>
      </c>
      <c r="D690" s="39" t="n">
        <v>5</v>
      </c>
      <c r="E690" s="41" t="n">
        <v>5.54</v>
      </c>
      <c r="F690" s="39" t="s">
        <v>105</v>
      </c>
      <c r="G690" s="39" t="str">
        <f aca="false">UPPER(TRIM(C690))</f>
        <v>P012</v>
      </c>
      <c r="H690" s="39" t="str">
        <f aca="false">IF(ISNUMBER(MATCH(G690,Products!$A$5:$A$24,0)),"OK","Mismatch")</f>
        <v>OK</v>
      </c>
      <c r="I690" s="39" t="str">
        <f aca="false">IF(COUNTIF($A$5:A690,A690)&gt;1,"Duplicate","Unique")</f>
        <v>Unique</v>
      </c>
      <c r="J690" s="39" t="str">
        <f aca="false">IF(I690="Duplicate","Remove",IF(H690="Mismatch","Exclude","Keep"))</f>
        <v>Keep</v>
      </c>
    </row>
    <row r="691" customFormat="false" ht="15" hidden="false" customHeight="false" outlineLevel="0" collapsed="false">
      <c r="A691" s="39" t="s">
        <v>802</v>
      </c>
      <c r="B691" s="40" t="n">
        <v>45757</v>
      </c>
      <c r="C691" s="39" t="s">
        <v>117</v>
      </c>
      <c r="D691" s="39" t="n">
        <v>3</v>
      </c>
      <c r="E691" s="41" t="n">
        <v>31.78</v>
      </c>
      <c r="F691" s="39" t="s">
        <v>118</v>
      </c>
      <c r="G691" s="39" t="str">
        <f aca="false">UPPER(TRIM(C691))</f>
        <v>P009</v>
      </c>
      <c r="H691" s="39" t="str">
        <f aca="false">IF(ISNUMBER(MATCH(G691,Products!$A$5:$A$24,0)),"OK","Mismatch")</f>
        <v>OK</v>
      </c>
      <c r="I691" s="39" t="str">
        <f aca="false">IF(COUNTIF($A$5:A691,A691)&gt;1,"Duplicate","Unique")</f>
        <v>Unique</v>
      </c>
      <c r="J691" s="39" t="str">
        <f aca="false">IF(I691="Duplicate","Remove",IF(H691="Mismatch","Exclude","Keep"))</f>
        <v>Keep</v>
      </c>
    </row>
    <row r="692" customFormat="false" ht="15" hidden="false" customHeight="false" outlineLevel="0" collapsed="false">
      <c r="A692" s="39" t="s">
        <v>803</v>
      </c>
      <c r="B692" s="40" t="n">
        <v>45758</v>
      </c>
      <c r="C692" s="39" t="s">
        <v>153</v>
      </c>
      <c r="D692" s="39" t="n">
        <v>2</v>
      </c>
      <c r="E692" s="41" t="n">
        <v>165.66</v>
      </c>
      <c r="F692" s="39" t="s">
        <v>108</v>
      </c>
      <c r="G692" s="39" t="str">
        <f aca="false">UPPER(TRIM(C692))</f>
        <v>P010</v>
      </c>
      <c r="H692" s="39" t="str">
        <f aca="false">IF(ISNUMBER(MATCH(G692,Products!$A$5:$A$24,0)),"OK","Mismatch")</f>
        <v>OK</v>
      </c>
      <c r="I692" s="39" t="str">
        <f aca="false">IF(COUNTIF($A$5:A692,A692)&gt;1,"Duplicate","Unique")</f>
        <v>Unique</v>
      </c>
      <c r="J692" s="39" t="str">
        <f aca="false">IF(I692="Duplicate","Remove",IF(H692="Mismatch","Exclude","Keep"))</f>
        <v>Keep</v>
      </c>
    </row>
    <row r="693" customFormat="false" ht="15" hidden="false" customHeight="false" outlineLevel="0" collapsed="false">
      <c r="A693" s="39" t="s">
        <v>804</v>
      </c>
      <c r="B693" s="40" t="n">
        <v>45758</v>
      </c>
      <c r="C693" s="39" t="s">
        <v>110</v>
      </c>
      <c r="D693" s="39" t="n">
        <v>5</v>
      </c>
      <c r="E693" s="41" t="n">
        <v>12.93</v>
      </c>
      <c r="F693" s="39" t="s">
        <v>115</v>
      </c>
      <c r="G693" s="39" t="str">
        <f aca="false">UPPER(TRIM(C693))</f>
        <v>P016</v>
      </c>
      <c r="H693" s="39" t="str">
        <f aca="false">IF(ISNUMBER(MATCH(G693,Products!$A$5:$A$24,0)),"OK","Mismatch")</f>
        <v>OK</v>
      </c>
      <c r="I693" s="39" t="str">
        <f aca="false">IF(COUNTIF($A$5:A693,A693)&gt;1,"Duplicate","Unique")</f>
        <v>Unique</v>
      </c>
      <c r="J693" s="39" t="str">
        <f aca="false">IF(I693="Duplicate","Remove",IF(H693="Mismatch","Exclude","Keep"))</f>
        <v>Keep</v>
      </c>
    </row>
    <row r="694" customFormat="false" ht="15" hidden="false" customHeight="false" outlineLevel="0" collapsed="false">
      <c r="A694" s="39" t="s">
        <v>805</v>
      </c>
      <c r="B694" s="40" t="n">
        <v>45758</v>
      </c>
      <c r="C694" s="39" t="s">
        <v>112</v>
      </c>
      <c r="D694" s="39" t="n">
        <v>1</v>
      </c>
      <c r="E694" s="41" t="n">
        <v>54.51</v>
      </c>
      <c r="F694" s="39" t="s">
        <v>118</v>
      </c>
      <c r="G694" s="39" t="str">
        <f aca="false">UPPER(TRIM(C694))</f>
        <v>P005</v>
      </c>
      <c r="H694" s="39" t="str">
        <f aca="false">IF(ISNUMBER(MATCH(G694,Products!$A$5:$A$24,0)),"OK","Mismatch")</f>
        <v>OK</v>
      </c>
      <c r="I694" s="39" t="str">
        <f aca="false">IF(COUNTIF($A$5:A694,A694)&gt;1,"Duplicate","Unique")</f>
        <v>Unique</v>
      </c>
      <c r="J694" s="39" t="str">
        <f aca="false">IF(I694="Duplicate","Remove",IF(H694="Mismatch","Exclude","Keep"))</f>
        <v>Keep</v>
      </c>
    </row>
    <row r="695" customFormat="false" ht="15" hidden="false" customHeight="false" outlineLevel="0" collapsed="false">
      <c r="A695" s="39" t="s">
        <v>806</v>
      </c>
      <c r="B695" s="40" t="n">
        <v>45758</v>
      </c>
      <c r="C695" s="39" t="s">
        <v>121</v>
      </c>
      <c r="D695" s="39" t="n">
        <v>4</v>
      </c>
      <c r="E695" s="41" t="n">
        <v>112.38</v>
      </c>
      <c r="F695" s="39" t="s">
        <v>118</v>
      </c>
      <c r="G695" s="39" t="str">
        <f aca="false">UPPER(TRIM(C695))</f>
        <v>P018</v>
      </c>
      <c r="H695" s="39" t="str">
        <f aca="false">IF(ISNUMBER(MATCH(G695,Products!$A$5:$A$24,0)),"OK","Mismatch")</f>
        <v>OK</v>
      </c>
      <c r="I695" s="39" t="str">
        <f aca="false">IF(COUNTIF($A$5:A695,A695)&gt;1,"Duplicate","Unique")</f>
        <v>Unique</v>
      </c>
      <c r="J695" s="39" t="str">
        <f aca="false">IF(I695="Duplicate","Remove",IF(H695="Mismatch","Exclude","Keep"))</f>
        <v>Keep</v>
      </c>
    </row>
    <row r="696" customFormat="false" ht="15" hidden="false" customHeight="false" outlineLevel="0" collapsed="false">
      <c r="A696" s="39" t="s">
        <v>807</v>
      </c>
      <c r="B696" s="40" t="n">
        <v>45758</v>
      </c>
      <c r="C696" s="39" t="s">
        <v>104</v>
      </c>
      <c r="D696" s="39" t="n">
        <v>2</v>
      </c>
      <c r="E696" s="41" t="n">
        <v>15</v>
      </c>
      <c r="F696" s="39" t="s">
        <v>118</v>
      </c>
      <c r="G696" s="39" t="str">
        <f aca="false">UPPER(TRIM(C696))</f>
        <v>P015</v>
      </c>
      <c r="H696" s="39" t="str">
        <f aca="false">IF(ISNUMBER(MATCH(G696,Products!$A$5:$A$24,0)),"OK","Mismatch")</f>
        <v>OK</v>
      </c>
      <c r="I696" s="39" t="str">
        <f aca="false">IF(COUNTIF($A$5:A696,A696)&gt;1,"Duplicate","Unique")</f>
        <v>Unique</v>
      </c>
      <c r="J696" s="39" t="str">
        <f aca="false">IF(I696="Duplicate","Remove",IF(H696="Mismatch","Exclude","Keep"))</f>
        <v>Keep</v>
      </c>
    </row>
    <row r="697" customFormat="false" ht="15" hidden="false" customHeight="false" outlineLevel="0" collapsed="false">
      <c r="A697" s="39" t="s">
        <v>808</v>
      </c>
      <c r="B697" s="40" t="n">
        <v>45758</v>
      </c>
      <c r="C697" s="39" t="s">
        <v>112</v>
      </c>
      <c r="D697" s="39" t="n">
        <v>2</v>
      </c>
      <c r="E697" s="41" t="n">
        <v>53.71</v>
      </c>
      <c r="F697" s="39" t="s">
        <v>105</v>
      </c>
      <c r="G697" s="39" t="str">
        <f aca="false">UPPER(TRIM(C697))</f>
        <v>P005</v>
      </c>
      <c r="H697" s="39" t="str">
        <f aca="false">IF(ISNUMBER(MATCH(G697,Products!$A$5:$A$24,0)),"OK","Mismatch")</f>
        <v>OK</v>
      </c>
      <c r="I697" s="39" t="str">
        <f aca="false">IF(COUNTIF($A$5:A697,A697)&gt;1,"Duplicate","Unique")</f>
        <v>Unique</v>
      </c>
      <c r="J697" s="39" t="str">
        <f aca="false">IF(I697="Duplicate","Remove",IF(H697="Mismatch","Exclude","Keep"))</f>
        <v>Keep</v>
      </c>
    </row>
    <row r="698" customFormat="false" ht="15" hidden="false" customHeight="false" outlineLevel="0" collapsed="false">
      <c r="A698" s="39" t="s">
        <v>809</v>
      </c>
      <c r="B698" s="40" t="n">
        <v>45758</v>
      </c>
      <c r="C698" s="39" t="s">
        <v>177</v>
      </c>
      <c r="D698" s="39" t="n">
        <v>2</v>
      </c>
      <c r="E698" s="41" t="n">
        <v>44.05</v>
      </c>
      <c r="F698" s="39" t="s">
        <v>105</v>
      </c>
      <c r="G698" s="39" t="str">
        <f aca="false">UPPER(TRIM(C698))</f>
        <v>P014</v>
      </c>
      <c r="H698" s="39" t="str">
        <f aca="false">IF(ISNUMBER(MATCH(G698,Products!$A$5:$A$24,0)),"OK","Mismatch")</f>
        <v>OK</v>
      </c>
      <c r="I698" s="39" t="str">
        <f aca="false">IF(COUNTIF($A$5:A698,A698)&gt;1,"Duplicate","Unique")</f>
        <v>Unique</v>
      </c>
      <c r="J698" s="39" t="str">
        <f aca="false">IF(I698="Duplicate","Remove",IF(H698="Mismatch","Exclude","Keep"))</f>
        <v>Keep</v>
      </c>
    </row>
    <row r="699" customFormat="false" ht="15" hidden="false" customHeight="false" outlineLevel="0" collapsed="false">
      <c r="A699" s="39" t="s">
        <v>810</v>
      </c>
      <c r="B699" s="40" t="n">
        <v>45759</v>
      </c>
      <c r="C699" s="39" t="s">
        <v>153</v>
      </c>
      <c r="D699" s="39" t="n">
        <v>6</v>
      </c>
      <c r="E699" s="41" t="n">
        <v>165.6</v>
      </c>
      <c r="F699" s="39" t="s">
        <v>115</v>
      </c>
      <c r="G699" s="39" t="str">
        <f aca="false">UPPER(TRIM(C699))</f>
        <v>P010</v>
      </c>
      <c r="H699" s="39" t="str">
        <f aca="false">IF(ISNUMBER(MATCH(G699,Products!$A$5:$A$24,0)),"OK","Mismatch")</f>
        <v>OK</v>
      </c>
      <c r="I699" s="39" t="str">
        <f aca="false">IF(COUNTIF($A$5:A699,A699)&gt;1,"Duplicate","Unique")</f>
        <v>Unique</v>
      </c>
      <c r="J699" s="39" t="str">
        <f aca="false">IF(I699="Duplicate","Remove",IF(H699="Mismatch","Exclude","Keep"))</f>
        <v>Keep</v>
      </c>
    </row>
    <row r="700" customFormat="false" ht="15" hidden="false" customHeight="false" outlineLevel="0" collapsed="false">
      <c r="A700" s="39" t="s">
        <v>811</v>
      </c>
      <c r="B700" s="40" t="n">
        <v>45759</v>
      </c>
      <c r="C700" s="39" t="s">
        <v>114</v>
      </c>
      <c r="D700" s="39" t="n">
        <v>2</v>
      </c>
      <c r="E700" s="41" t="n">
        <v>5.67</v>
      </c>
      <c r="F700" s="39" t="s">
        <v>115</v>
      </c>
      <c r="G700" s="39" t="str">
        <f aca="false">UPPER(TRIM(C700))</f>
        <v>P012</v>
      </c>
      <c r="H700" s="39" t="str">
        <f aca="false">IF(ISNUMBER(MATCH(G700,Products!$A$5:$A$24,0)),"OK","Mismatch")</f>
        <v>OK</v>
      </c>
      <c r="I700" s="39" t="str">
        <f aca="false">IF(COUNTIF($A$5:A700,A700)&gt;1,"Duplicate","Unique")</f>
        <v>Unique</v>
      </c>
      <c r="J700" s="39" t="str">
        <f aca="false">IF(I700="Duplicate","Remove",IF(H700="Mismatch","Exclude","Keep"))</f>
        <v>Keep</v>
      </c>
    </row>
    <row r="701" customFormat="false" ht="15" hidden="false" customHeight="false" outlineLevel="0" collapsed="false">
      <c r="A701" s="39" t="s">
        <v>812</v>
      </c>
      <c r="B701" s="40" t="n">
        <v>45759</v>
      </c>
      <c r="C701" s="39" t="s">
        <v>121</v>
      </c>
      <c r="D701" s="39" t="n">
        <v>1</v>
      </c>
      <c r="E701" s="41" t="n">
        <v>112.19</v>
      </c>
      <c r="F701" s="39" t="s">
        <v>118</v>
      </c>
      <c r="G701" s="39" t="str">
        <f aca="false">UPPER(TRIM(C701))</f>
        <v>P018</v>
      </c>
      <c r="H701" s="39" t="str">
        <f aca="false">IF(ISNUMBER(MATCH(G701,Products!$A$5:$A$24,0)),"OK","Mismatch")</f>
        <v>OK</v>
      </c>
      <c r="I701" s="39" t="str">
        <f aca="false">IF(COUNTIF($A$5:A701,A701)&gt;1,"Duplicate","Unique")</f>
        <v>Unique</v>
      </c>
      <c r="J701" s="39" t="str">
        <f aca="false">IF(I701="Duplicate","Remove",IF(H701="Mismatch","Exclude","Keep"))</f>
        <v>Keep</v>
      </c>
    </row>
    <row r="702" customFormat="false" ht="15" hidden="false" customHeight="false" outlineLevel="0" collapsed="false">
      <c r="A702" s="39" t="s">
        <v>813</v>
      </c>
      <c r="B702" s="40" t="n">
        <v>45759</v>
      </c>
      <c r="C702" s="39" t="s">
        <v>162</v>
      </c>
      <c r="D702" s="39" t="n">
        <v>2</v>
      </c>
      <c r="E702" s="41" t="n">
        <v>64.08</v>
      </c>
      <c r="F702" s="39" t="s">
        <v>108</v>
      </c>
      <c r="G702" s="39" t="str">
        <f aca="false">UPPER(TRIM(C702))</f>
        <v>P017</v>
      </c>
      <c r="H702" s="39" t="str">
        <f aca="false">IF(ISNUMBER(MATCH(G702,Products!$A$5:$A$24,0)),"OK","Mismatch")</f>
        <v>OK</v>
      </c>
      <c r="I702" s="39" t="str">
        <f aca="false">IF(COUNTIF($A$5:A702,A702)&gt;1,"Duplicate","Unique")</f>
        <v>Unique</v>
      </c>
      <c r="J702" s="39" t="str">
        <f aca="false">IF(I702="Duplicate","Remove",IF(H702="Mismatch","Exclude","Keep"))</f>
        <v>Keep</v>
      </c>
    </row>
    <row r="703" customFormat="false" ht="15" hidden="false" customHeight="false" outlineLevel="0" collapsed="false">
      <c r="A703" s="39" t="s">
        <v>814</v>
      </c>
      <c r="B703" s="40" t="n">
        <v>45759</v>
      </c>
      <c r="C703" s="39" t="s">
        <v>110</v>
      </c>
      <c r="D703" s="39" t="n">
        <v>3</v>
      </c>
      <c r="E703" s="41" t="n">
        <v>13.37</v>
      </c>
      <c r="F703" s="39" t="s">
        <v>118</v>
      </c>
      <c r="G703" s="39" t="str">
        <f aca="false">UPPER(TRIM(C703))</f>
        <v>P016</v>
      </c>
      <c r="H703" s="39" t="str">
        <f aca="false">IF(ISNUMBER(MATCH(G703,Products!$A$5:$A$24,0)),"OK","Mismatch")</f>
        <v>OK</v>
      </c>
      <c r="I703" s="39" t="str">
        <f aca="false">IF(COUNTIF($A$5:A703,A703)&gt;1,"Duplicate","Unique")</f>
        <v>Unique</v>
      </c>
      <c r="J703" s="39" t="str">
        <f aca="false">IF(I703="Duplicate","Remove",IF(H703="Mismatch","Exclude","Keep"))</f>
        <v>Keep</v>
      </c>
    </row>
    <row r="704" customFormat="false" ht="15" hidden="false" customHeight="false" outlineLevel="0" collapsed="false">
      <c r="A704" s="39" t="s">
        <v>815</v>
      </c>
      <c r="B704" s="40" t="n">
        <v>45759</v>
      </c>
      <c r="C704" s="39" t="s">
        <v>136</v>
      </c>
      <c r="D704" s="39" t="n">
        <v>2</v>
      </c>
      <c r="E704" s="41" t="n">
        <v>73.6</v>
      </c>
      <c r="F704" s="39" t="s">
        <v>115</v>
      </c>
      <c r="G704" s="39" t="str">
        <f aca="false">UPPER(TRIM(C704))</f>
        <v>P002</v>
      </c>
      <c r="H704" s="39" t="str">
        <f aca="false">IF(ISNUMBER(MATCH(G704,Products!$A$5:$A$24,0)),"OK","Mismatch")</f>
        <v>OK</v>
      </c>
      <c r="I704" s="39" t="str">
        <f aca="false">IF(COUNTIF($A$5:A704,A704)&gt;1,"Duplicate","Unique")</f>
        <v>Unique</v>
      </c>
      <c r="J704" s="39" t="str">
        <f aca="false">IF(I704="Duplicate","Remove",IF(H704="Mismatch","Exclude","Keep"))</f>
        <v>Keep</v>
      </c>
    </row>
    <row r="705" customFormat="false" ht="15" hidden="false" customHeight="false" outlineLevel="0" collapsed="false">
      <c r="A705" s="39" t="s">
        <v>816</v>
      </c>
      <c r="B705" s="40" t="n">
        <v>45759</v>
      </c>
      <c r="C705" s="39" t="s">
        <v>136</v>
      </c>
      <c r="D705" s="39" t="n">
        <v>2</v>
      </c>
      <c r="E705" s="41" t="n">
        <v>77.43</v>
      </c>
      <c r="F705" s="39" t="s">
        <v>118</v>
      </c>
      <c r="G705" s="39" t="str">
        <f aca="false">UPPER(TRIM(C705))</f>
        <v>P002</v>
      </c>
      <c r="H705" s="39" t="str">
        <f aca="false">IF(ISNUMBER(MATCH(G705,Products!$A$5:$A$24,0)),"OK","Mismatch")</f>
        <v>OK</v>
      </c>
      <c r="I705" s="39" t="str">
        <f aca="false">IF(COUNTIF($A$5:A705,A705)&gt;1,"Duplicate","Unique")</f>
        <v>Unique</v>
      </c>
      <c r="J705" s="39" t="str">
        <f aca="false">IF(I705="Duplicate","Remove",IF(H705="Mismatch","Exclude","Keep"))</f>
        <v>Keep</v>
      </c>
    </row>
    <row r="706" customFormat="false" ht="15" hidden="false" customHeight="false" outlineLevel="0" collapsed="false">
      <c r="A706" s="39" t="s">
        <v>817</v>
      </c>
      <c r="B706" s="40" t="n">
        <v>45759</v>
      </c>
      <c r="C706" s="39" t="s">
        <v>121</v>
      </c>
      <c r="D706" s="39" t="n">
        <v>1</v>
      </c>
      <c r="E706" s="41" t="n">
        <v>116.05</v>
      </c>
      <c r="F706" s="39" t="s">
        <v>105</v>
      </c>
      <c r="G706" s="39" t="str">
        <f aca="false">UPPER(TRIM(C706))</f>
        <v>P018</v>
      </c>
      <c r="H706" s="39" t="str">
        <f aca="false">IF(ISNUMBER(MATCH(G706,Products!$A$5:$A$24,0)),"OK","Mismatch")</f>
        <v>OK</v>
      </c>
      <c r="I706" s="39" t="str">
        <f aca="false">IF(COUNTIF($A$5:A706,A706)&gt;1,"Duplicate","Unique")</f>
        <v>Unique</v>
      </c>
      <c r="J706" s="39" t="str">
        <f aca="false">IF(I706="Duplicate","Remove",IF(H706="Mismatch","Exclude","Keep"))</f>
        <v>Keep</v>
      </c>
    </row>
    <row r="707" customFormat="false" ht="15" hidden="false" customHeight="false" outlineLevel="0" collapsed="false">
      <c r="A707" s="39" t="s">
        <v>818</v>
      </c>
      <c r="B707" s="40" t="n">
        <v>45759</v>
      </c>
      <c r="C707" s="39" t="s">
        <v>114</v>
      </c>
      <c r="D707" s="39" t="n">
        <v>3</v>
      </c>
      <c r="E707" s="41" t="n">
        <v>5.62</v>
      </c>
      <c r="F707" s="39" t="s">
        <v>105</v>
      </c>
      <c r="G707" s="39" t="str">
        <f aca="false">UPPER(TRIM(C707))</f>
        <v>P012</v>
      </c>
      <c r="H707" s="39" t="str">
        <f aca="false">IF(ISNUMBER(MATCH(G707,Products!$A$5:$A$24,0)),"OK","Mismatch")</f>
        <v>OK</v>
      </c>
      <c r="I707" s="39" t="str">
        <f aca="false">IF(COUNTIF($A$5:A707,A707)&gt;1,"Duplicate","Unique")</f>
        <v>Unique</v>
      </c>
      <c r="J707" s="39" t="str">
        <f aca="false">IF(I707="Duplicate","Remove",IF(H707="Mismatch","Exclude","Keep"))</f>
        <v>Keep</v>
      </c>
    </row>
    <row r="708" customFormat="false" ht="15" hidden="false" customHeight="false" outlineLevel="0" collapsed="false">
      <c r="A708" s="39" t="s">
        <v>819</v>
      </c>
      <c r="B708" s="40" t="n">
        <v>45759</v>
      </c>
      <c r="C708" s="39" t="s">
        <v>130</v>
      </c>
      <c r="D708" s="39" t="n">
        <v>6</v>
      </c>
      <c r="E708" s="41" t="n">
        <v>8.34</v>
      </c>
      <c r="F708" s="39" t="s">
        <v>118</v>
      </c>
      <c r="G708" s="39" t="str">
        <f aca="false">UPPER(TRIM(C708))</f>
        <v>P011</v>
      </c>
      <c r="H708" s="39" t="str">
        <f aca="false">IF(ISNUMBER(MATCH(G708,Products!$A$5:$A$24,0)),"OK","Mismatch")</f>
        <v>OK</v>
      </c>
      <c r="I708" s="39" t="str">
        <f aca="false">IF(COUNTIF($A$5:A708,A708)&gt;1,"Duplicate","Unique")</f>
        <v>Unique</v>
      </c>
      <c r="J708" s="39" t="str">
        <f aca="false">IF(I708="Duplicate","Remove",IF(H708="Mismatch","Exclude","Keep"))</f>
        <v>Keep</v>
      </c>
    </row>
    <row r="709" customFormat="false" ht="15" hidden="false" customHeight="false" outlineLevel="0" collapsed="false">
      <c r="A709" s="39" t="s">
        <v>820</v>
      </c>
      <c r="B709" s="40" t="n">
        <v>45759</v>
      </c>
      <c r="C709" s="39" t="s">
        <v>126</v>
      </c>
      <c r="D709" s="39" t="n">
        <v>1</v>
      </c>
      <c r="E709" s="41" t="n">
        <v>24.04</v>
      </c>
      <c r="F709" s="39" t="s">
        <v>105</v>
      </c>
      <c r="G709" s="39" t="str">
        <f aca="false">UPPER(TRIM(C709))</f>
        <v>P001</v>
      </c>
      <c r="H709" s="39" t="str">
        <f aca="false">IF(ISNUMBER(MATCH(G709,Products!$A$5:$A$24,0)),"OK","Mismatch")</f>
        <v>OK</v>
      </c>
      <c r="I709" s="39" t="str">
        <f aca="false">IF(COUNTIF($A$5:A709,A709)&gt;1,"Duplicate","Unique")</f>
        <v>Unique</v>
      </c>
      <c r="J709" s="39" t="str">
        <f aca="false">IF(I709="Duplicate","Remove",IF(H709="Mismatch","Exclude","Keep"))</f>
        <v>Keep</v>
      </c>
    </row>
    <row r="710" customFormat="false" ht="15" hidden="false" customHeight="false" outlineLevel="0" collapsed="false">
      <c r="A710" s="39" t="s">
        <v>821</v>
      </c>
      <c r="B710" s="40" t="n">
        <v>45760</v>
      </c>
      <c r="C710" s="39" t="s">
        <v>144</v>
      </c>
      <c r="D710" s="39" t="n">
        <v>3</v>
      </c>
      <c r="E710" s="41" t="n">
        <v>57.86</v>
      </c>
      <c r="F710" s="39" t="s">
        <v>105</v>
      </c>
      <c r="G710" s="39" t="str">
        <f aca="false">UPPER(TRIM(C710))</f>
        <v>P013</v>
      </c>
      <c r="H710" s="39" t="str">
        <f aca="false">IF(ISNUMBER(MATCH(G710,Products!$A$5:$A$24,0)),"OK","Mismatch")</f>
        <v>OK</v>
      </c>
      <c r="I710" s="39" t="str">
        <f aca="false">IF(COUNTIF($A$5:A710,A710)&gt;1,"Duplicate","Unique")</f>
        <v>Unique</v>
      </c>
      <c r="J710" s="39" t="str">
        <f aca="false">IF(I710="Duplicate","Remove",IF(H710="Mismatch","Exclude","Keep"))</f>
        <v>Keep</v>
      </c>
    </row>
    <row r="711" customFormat="false" ht="15" hidden="false" customHeight="false" outlineLevel="0" collapsed="false">
      <c r="A711" s="39" t="s">
        <v>822</v>
      </c>
      <c r="B711" s="40" t="n">
        <v>45760</v>
      </c>
      <c r="C711" s="39" t="s">
        <v>162</v>
      </c>
      <c r="D711" s="39" t="n">
        <v>2</v>
      </c>
      <c r="E711" s="41" t="n">
        <v>65.07</v>
      </c>
      <c r="F711" s="39" t="s">
        <v>115</v>
      </c>
      <c r="G711" s="39" t="str">
        <f aca="false">UPPER(TRIM(C711))</f>
        <v>P017</v>
      </c>
      <c r="H711" s="39" t="str">
        <f aca="false">IF(ISNUMBER(MATCH(G711,Products!$A$5:$A$24,0)),"OK","Mismatch")</f>
        <v>OK</v>
      </c>
      <c r="I711" s="39" t="str">
        <f aca="false">IF(COUNTIF($A$5:A711,A711)&gt;1,"Duplicate","Unique")</f>
        <v>Unique</v>
      </c>
      <c r="J711" s="39" t="str">
        <f aca="false">IF(I711="Duplicate","Remove",IF(H711="Mismatch","Exclude","Keep"))</f>
        <v>Keep</v>
      </c>
    </row>
    <row r="712" customFormat="false" ht="15" hidden="false" customHeight="false" outlineLevel="0" collapsed="false">
      <c r="A712" s="39" t="s">
        <v>823</v>
      </c>
      <c r="B712" s="40" t="n">
        <v>45760</v>
      </c>
      <c r="C712" s="39" t="s">
        <v>169</v>
      </c>
      <c r="D712" s="39" t="n">
        <v>3</v>
      </c>
      <c r="E712" s="41" t="n">
        <v>27.71</v>
      </c>
      <c r="F712" s="39" t="s">
        <v>118</v>
      </c>
      <c r="G712" s="39" t="str">
        <f aca="false">UPPER(TRIM(C712))</f>
        <v>P004</v>
      </c>
      <c r="H712" s="39" t="str">
        <f aca="false">IF(ISNUMBER(MATCH(G712,Products!$A$5:$A$24,0)),"OK","Mismatch")</f>
        <v>OK</v>
      </c>
      <c r="I712" s="39" t="str">
        <f aca="false">IF(COUNTIF($A$5:A712,A712)&gt;1,"Duplicate","Unique")</f>
        <v>Unique</v>
      </c>
      <c r="J712" s="39" t="str">
        <f aca="false">IF(I712="Duplicate","Remove",IF(H712="Mismatch","Exclude","Keep"))</f>
        <v>Keep</v>
      </c>
    </row>
    <row r="713" customFormat="false" ht="15" hidden="false" customHeight="false" outlineLevel="0" collapsed="false">
      <c r="A713" s="39" t="s">
        <v>824</v>
      </c>
      <c r="B713" s="40" t="n">
        <v>45760</v>
      </c>
      <c r="C713" s="39" t="s">
        <v>126</v>
      </c>
      <c r="D713" s="39" t="n">
        <v>1</v>
      </c>
      <c r="E713" s="41" t="n">
        <v>23.55</v>
      </c>
      <c r="F713" s="39" t="s">
        <v>118</v>
      </c>
      <c r="G713" s="39" t="str">
        <f aca="false">UPPER(TRIM(C713))</f>
        <v>P001</v>
      </c>
      <c r="H713" s="39" t="str">
        <f aca="false">IF(ISNUMBER(MATCH(G713,Products!$A$5:$A$24,0)),"OK","Mismatch")</f>
        <v>OK</v>
      </c>
      <c r="I713" s="39" t="str">
        <f aca="false">IF(COUNTIF($A$5:A713,A713)&gt;1,"Duplicate","Unique")</f>
        <v>Unique</v>
      </c>
      <c r="J713" s="39" t="str">
        <f aca="false">IF(I713="Duplicate","Remove",IF(H713="Mismatch","Exclude","Keep"))</f>
        <v>Keep</v>
      </c>
    </row>
    <row r="714" customFormat="false" ht="15" hidden="false" customHeight="false" outlineLevel="0" collapsed="false">
      <c r="A714" s="39" t="s">
        <v>825</v>
      </c>
      <c r="B714" s="40" t="n">
        <v>45760</v>
      </c>
      <c r="C714" s="39" t="s">
        <v>153</v>
      </c>
      <c r="D714" s="39" t="n">
        <v>2</v>
      </c>
      <c r="E714" s="41" t="n">
        <v>175.7</v>
      </c>
      <c r="F714" s="39" t="s">
        <v>105</v>
      </c>
      <c r="G714" s="39" t="str">
        <f aca="false">UPPER(TRIM(C714))</f>
        <v>P010</v>
      </c>
      <c r="H714" s="39" t="str">
        <f aca="false">IF(ISNUMBER(MATCH(G714,Products!$A$5:$A$24,0)),"OK","Mismatch")</f>
        <v>OK</v>
      </c>
      <c r="I714" s="39" t="str">
        <f aca="false">IF(COUNTIF($A$5:A714,A714)&gt;1,"Duplicate","Unique")</f>
        <v>Unique</v>
      </c>
      <c r="J714" s="39" t="str">
        <f aca="false">IF(I714="Duplicate","Remove",IF(H714="Mismatch","Exclude","Keep"))</f>
        <v>Keep</v>
      </c>
    </row>
    <row r="715" customFormat="false" ht="15" hidden="false" customHeight="false" outlineLevel="0" collapsed="false">
      <c r="A715" s="39" t="s">
        <v>826</v>
      </c>
      <c r="B715" s="40" t="n">
        <v>45760</v>
      </c>
      <c r="C715" s="39" t="s">
        <v>128</v>
      </c>
      <c r="D715" s="39" t="n">
        <v>5</v>
      </c>
      <c r="E715" s="41" t="n">
        <v>37.32</v>
      </c>
      <c r="F715" s="39" t="s">
        <v>115</v>
      </c>
      <c r="G715" s="39" t="str">
        <f aca="false">UPPER(TRIM(C715))</f>
        <v>P020</v>
      </c>
      <c r="H715" s="39" t="str">
        <f aca="false">IF(ISNUMBER(MATCH(G715,Products!$A$5:$A$24,0)),"OK","Mismatch")</f>
        <v>OK</v>
      </c>
      <c r="I715" s="39" t="str">
        <f aca="false">IF(COUNTIF($A$5:A715,A715)&gt;1,"Duplicate","Unique")</f>
        <v>Unique</v>
      </c>
      <c r="J715" s="39" t="str">
        <f aca="false">IF(I715="Duplicate","Remove",IF(H715="Mismatch","Exclude","Keep"))</f>
        <v>Keep</v>
      </c>
    </row>
    <row r="716" customFormat="false" ht="15" hidden="false" customHeight="false" outlineLevel="0" collapsed="false">
      <c r="A716" s="39" t="s">
        <v>827</v>
      </c>
      <c r="B716" s="40" t="n">
        <v>45760</v>
      </c>
      <c r="C716" s="39" t="s">
        <v>177</v>
      </c>
      <c r="D716" s="39" t="n">
        <v>1</v>
      </c>
      <c r="E716" s="41" t="n">
        <v>41.95</v>
      </c>
      <c r="F716" s="39" t="s">
        <v>118</v>
      </c>
      <c r="G716" s="39" t="str">
        <f aca="false">UPPER(TRIM(C716))</f>
        <v>P014</v>
      </c>
      <c r="H716" s="39" t="str">
        <f aca="false">IF(ISNUMBER(MATCH(G716,Products!$A$5:$A$24,0)),"OK","Mismatch")</f>
        <v>OK</v>
      </c>
      <c r="I716" s="39" t="str">
        <f aca="false">IF(COUNTIF($A$5:A716,A716)&gt;1,"Duplicate","Unique")</f>
        <v>Unique</v>
      </c>
      <c r="J716" s="39" t="str">
        <f aca="false">IF(I716="Duplicate","Remove",IF(H716="Mismatch","Exclude","Keep"))</f>
        <v>Keep</v>
      </c>
    </row>
    <row r="717" customFormat="false" ht="15" hidden="false" customHeight="false" outlineLevel="0" collapsed="false">
      <c r="A717" s="39" t="s">
        <v>828</v>
      </c>
      <c r="B717" s="40" t="n">
        <v>45760</v>
      </c>
      <c r="C717" s="39" t="s">
        <v>130</v>
      </c>
      <c r="D717" s="39" t="n">
        <v>1</v>
      </c>
      <c r="E717" s="41" t="n">
        <v>8.42</v>
      </c>
      <c r="F717" s="39" t="s">
        <v>115</v>
      </c>
      <c r="G717" s="39" t="str">
        <f aca="false">UPPER(TRIM(C717))</f>
        <v>P011</v>
      </c>
      <c r="H717" s="39" t="str">
        <f aca="false">IF(ISNUMBER(MATCH(G717,Products!$A$5:$A$24,0)),"OK","Mismatch")</f>
        <v>OK</v>
      </c>
      <c r="I717" s="39" t="str">
        <f aca="false">IF(COUNTIF($A$5:A717,A717)&gt;1,"Duplicate","Unique")</f>
        <v>Unique</v>
      </c>
      <c r="J717" s="39" t="str">
        <f aca="false">IF(I717="Duplicate","Remove",IF(H717="Mismatch","Exclude","Keep"))</f>
        <v>Keep</v>
      </c>
    </row>
    <row r="718" customFormat="false" ht="15" hidden="false" customHeight="false" outlineLevel="0" collapsed="false">
      <c r="A718" s="39" t="s">
        <v>829</v>
      </c>
      <c r="B718" s="40" t="n">
        <v>45760</v>
      </c>
      <c r="C718" s="39" t="s">
        <v>112</v>
      </c>
      <c r="D718" s="39" t="n">
        <v>1</v>
      </c>
      <c r="E718" s="41" t="n">
        <v>50.66</v>
      </c>
      <c r="F718" s="39" t="s">
        <v>105</v>
      </c>
      <c r="G718" s="39" t="str">
        <f aca="false">UPPER(TRIM(C718))</f>
        <v>P005</v>
      </c>
      <c r="H718" s="39" t="str">
        <f aca="false">IF(ISNUMBER(MATCH(G718,Products!$A$5:$A$24,0)),"OK","Mismatch")</f>
        <v>OK</v>
      </c>
      <c r="I718" s="39" t="str">
        <f aca="false">IF(COUNTIF($A$5:A718,A718)&gt;1,"Duplicate","Unique")</f>
        <v>Unique</v>
      </c>
      <c r="J718" s="39" t="str">
        <f aca="false">IF(I718="Duplicate","Remove",IF(H718="Mismatch","Exclude","Keep"))</f>
        <v>Keep</v>
      </c>
    </row>
    <row r="719" customFormat="false" ht="15" hidden="false" customHeight="false" outlineLevel="0" collapsed="false">
      <c r="A719" s="39" t="s">
        <v>830</v>
      </c>
      <c r="B719" s="40" t="n">
        <v>45760</v>
      </c>
      <c r="C719" s="39" t="s">
        <v>144</v>
      </c>
      <c r="D719" s="39" t="n">
        <v>2</v>
      </c>
      <c r="E719" s="41" t="n">
        <v>56.67</v>
      </c>
      <c r="F719" s="39" t="s">
        <v>105</v>
      </c>
      <c r="G719" s="39" t="str">
        <f aca="false">UPPER(TRIM(C719))</f>
        <v>P013</v>
      </c>
      <c r="H719" s="39" t="str">
        <f aca="false">IF(ISNUMBER(MATCH(G719,Products!$A$5:$A$24,0)),"OK","Mismatch")</f>
        <v>OK</v>
      </c>
      <c r="I719" s="39" t="str">
        <f aca="false">IF(COUNTIF($A$5:A719,A719)&gt;1,"Duplicate","Unique")</f>
        <v>Unique</v>
      </c>
      <c r="J719" s="39" t="str">
        <f aca="false">IF(I719="Duplicate","Remove",IF(H719="Mismatch","Exclude","Keep"))</f>
        <v>Keep</v>
      </c>
    </row>
    <row r="720" customFormat="false" ht="15" hidden="false" customHeight="false" outlineLevel="0" collapsed="false">
      <c r="A720" s="39" t="s">
        <v>831</v>
      </c>
      <c r="B720" s="40" t="n">
        <v>45760</v>
      </c>
      <c r="C720" s="39" t="s">
        <v>104</v>
      </c>
      <c r="D720" s="39" t="n">
        <v>1</v>
      </c>
      <c r="E720" s="41" t="n">
        <v>15.62</v>
      </c>
      <c r="F720" s="39" t="s">
        <v>118</v>
      </c>
      <c r="G720" s="39" t="str">
        <f aca="false">UPPER(TRIM(C720))</f>
        <v>P015</v>
      </c>
      <c r="H720" s="39" t="str">
        <f aca="false">IF(ISNUMBER(MATCH(G720,Products!$A$5:$A$24,0)),"OK","Mismatch")</f>
        <v>OK</v>
      </c>
      <c r="I720" s="39" t="str">
        <f aca="false">IF(COUNTIF($A$5:A720,A720)&gt;1,"Duplicate","Unique")</f>
        <v>Unique</v>
      </c>
      <c r="J720" s="39" t="str">
        <f aca="false">IF(I720="Duplicate","Remove",IF(H720="Mismatch","Exclude","Keep"))</f>
        <v>Keep</v>
      </c>
    </row>
    <row r="721" customFormat="false" ht="15" hidden="false" customHeight="false" outlineLevel="0" collapsed="false">
      <c r="A721" s="39" t="s">
        <v>832</v>
      </c>
      <c r="B721" s="40" t="n">
        <v>45760</v>
      </c>
      <c r="C721" s="39" t="s">
        <v>112</v>
      </c>
      <c r="D721" s="39" t="n">
        <v>2</v>
      </c>
      <c r="E721" s="41" t="n">
        <v>52.81</v>
      </c>
      <c r="F721" s="39" t="s">
        <v>105</v>
      </c>
      <c r="G721" s="39" t="str">
        <f aca="false">UPPER(TRIM(C721))</f>
        <v>P005</v>
      </c>
      <c r="H721" s="39" t="str">
        <f aca="false">IF(ISNUMBER(MATCH(G721,Products!$A$5:$A$24,0)),"OK","Mismatch")</f>
        <v>OK</v>
      </c>
      <c r="I721" s="39" t="str">
        <f aca="false">IF(COUNTIF($A$5:A721,A721)&gt;1,"Duplicate","Unique")</f>
        <v>Unique</v>
      </c>
      <c r="J721" s="39" t="str">
        <f aca="false">IF(I721="Duplicate","Remove",IF(H721="Mismatch","Exclude","Keep"))</f>
        <v>Keep</v>
      </c>
    </row>
    <row r="722" customFormat="false" ht="15" hidden="false" customHeight="false" outlineLevel="0" collapsed="false">
      <c r="A722" s="39" t="s">
        <v>833</v>
      </c>
      <c r="B722" s="40" t="n">
        <v>45761</v>
      </c>
      <c r="C722" s="39" t="s">
        <v>112</v>
      </c>
      <c r="D722" s="39" t="n">
        <v>1</v>
      </c>
      <c r="E722" s="41" t="n">
        <v>51.82</v>
      </c>
      <c r="F722" s="39" t="s">
        <v>108</v>
      </c>
      <c r="G722" s="39" t="str">
        <f aca="false">UPPER(TRIM(C722))</f>
        <v>P005</v>
      </c>
      <c r="H722" s="39" t="str">
        <f aca="false">IF(ISNUMBER(MATCH(G722,Products!$A$5:$A$24,0)),"OK","Mismatch")</f>
        <v>OK</v>
      </c>
      <c r="I722" s="39" t="str">
        <f aca="false">IF(COUNTIF($A$5:A722,A722)&gt;1,"Duplicate","Unique")</f>
        <v>Unique</v>
      </c>
      <c r="J722" s="39" t="str">
        <f aca="false">IF(I722="Duplicate","Remove",IF(H722="Mismatch","Exclude","Keep"))</f>
        <v>Keep</v>
      </c>
    </row>
    <row r="723" customFormat="false" ht="15" hidden="false" customHeight="false" outlineLevel="0" collapsed="false">
      <c r="A723" s="39" t="s">
        <v>834</v>
      </c>
      <c r="B723" s="40" t="n">
        <v>45761</v>
      </c>
      <c r="C723" s="39" t="s">
        <v>114</v>
      </c>
      <c r="D723" s="39" t="n">
        <v>4</v>
      </c>
      <c r="E723" s="41" t="n">
        <v>5.98</v>
      </c>
      <c r="F723" s="39" t="s">
        <v>118</v>
      </c>
      <c r="G723" s="39" t="str">
        <f aca="false">UPPER(TRIM(C723))</f>
        <v>P012</v>
      </c>
      <c r="H723" s="39" t="str">
        <f aca="false">IF(ISNUMBER(MATCH(G723,Products!$A$5:$A$24,0)),"OK","Mismatch")</f>
        <v>OK</v>
      </c>
      <c r="I723" s="39" t="str">
        <f aca="false">IF(COUNTIF($A$5:A723,A723)&gt;1,"Duplicate","Unique")</f>
        <v>Unique</v>
      </c>
      <c r="J723" s="39" t="str">
        <f aca="false">IF(I723="Duplicate","Remove",IF(H723="Mismatch","Exclude","Keep"))</f>
        <v>Keep</v>
      </c>
    </row>
    <row r="724" customFormat="false" ht="15" hidden="false" customHeight="false" outlineLevel="0" collapsed="false">
      <c r="A724" s="39" t="s">
        <v>835</v>
      </c>
      <c r="B724" s="40" t="n">
        <v>45761</v>
      </c>
      <c r="C724" s="39" t="s">
        <v>169</v>
      </c>
      <c r="D724" s="39" t="n">
        <v>3</v>
      </c>
      <c r="E724" s="41" t="n">
        <v>27.71</v>
      </c>
      <c r="F724" s="39" t="s">
        <v>108</v>
      </c>
      <c r="G724" s="39" t="str">
        <f aca="false">UPPER(TRIM(C724))</f>
        <v>P004</v>
      </c>
      <c r="H724" s="39" t="str">
        <f aca="false">IF(ISNUMBER(MATCH(G724,Products!$A$5:$A$24,0)),"OK","Mismatch")</f>
        <v>OK</v>
      </c>
      <c r="I724" s="39" t="str">
        <f aca="false">IF(COUNTIF($A$5:A724,A724)&gt;1,"Duplicate","Unique")</f>
        <v>Unique</v>
      </c>
      <c r="J724" s="39" t="str">
        <f aca="false">IF(I724="Duplicate","Remove",IF(H724="Mismatch","Exclude","Keep"))</f>
        <v>Keep</v>
      </c>
    </row>
    <row r="725" customFormat="false" ht="15" hidden="false" customHeight="false" outlineLevel="0" collapsed="false">
      <c r="A725" s="39" t="s">
        <v>836</v>
      </c>
      <c r="B725" s="40" t="n">
        <v>45761</v>
      </c>
      <c r="C725" s="39" t="s">
        <v>114</v>
      </c>
      <c r="D725" s="39" t="n">
        <v>1</v>
      </c>
      <c r="E725" s="41" t="n">
        <v>5.55</v>
      </c>
      <c r="F725" s="39" t="s">
        <v>108</v>
      </c>
      <c r="G725" s="39" t="str">
        <f aca="false">UPPER(TRIM(C725))</f>
        <v>P012</v>
      </c>
      <c r="H725" s="39" t="str">
        <f aca="false">IF(ISNUMBER(MATCH(G725,Products!$A$5:$A$24,0)),"OK","Mismatch")</f>
        <v>OK</v>
      </c>
      <c r="I725" s="39" t="str">
        <f aca="false">IF(COUNTIF($A$5:A725,A725)&gt;1,"Duplicate","Unique")</f>
        <v>Unique</v>
      </c>
      <c r="J725" s="39" t="str">
        <f aca="false">IF(I725="Duplicate","Remove",IF(H725="Mismatch","Exclude","Keep"))</f>
        <v>Keep</v>
      </c>
    </row>
    <row r="726" customFormat="false" ht="15" hidden="false" customHeight="false" outlineLevel="0" collapsed="false">
      <c r="A726" s="39" t="s">
        <v>837</v>
      </c>
      <c r="B726" s="40" t="n">
        <v>45761</v>
      </c>
      <c r="C726" s="39" t="s">
        <v>144</v>
      </c>
      <c r="D726" s="39" t="n">
        <v>3</v>
      </c>
      <c r="E726" s="41" t="n">
        <v>55.96</v>
      </c>
      <c r="F726" s="39" t="s">
        <v>105</v>
      </c>
      <c r="G726" s="39" t="str">
        <f aca="false">UPPER(TRIM(C726))</f>
        <v>P013</v>
      </c>
      <c r="H726" s="39" t="str">
        <f aca="false">IF(ISNUMBER(MATCH(G726,Products!$A$5:$A$24,0)),"OK","Mismatch")</f>
        <v>OK</v>
      </c>
      <c r="I726" s="39" t="str">
        <f aca="false">IF(COUNTIF($A$5:A726,A726)&gt;1,"Duplicate","Unique")</f>
        <v>Unique</v>
      </c>
      <c r="J726" s="39" t="str">
        <f aca="false">IF(I726="Duplicate","Remove",IF(H726="Mismatch","Exclude","Keep"))</f>
        <v>Keep</v>
      </c>
    </row>
    <row r="727" customFormat="false" ht="15" hidden="false" customHeight="false" outlineLevel="0" collapsed="false">
      <c r="A727" s="39" t="s">
        <v>838</v>
      </c>
      <c r="B727" s="40" t="n">
        <v>45761</v>
      </c>
      <c r="C727" s="39" t="s">
        <v>169</v>
      </c>
      <c r="D727" s="39" t="n">
        <v>2</v>
      </c>
      <c r="E727" s="41" t="n">
        <v>28.71</v>
      </c>
      <c r="F727" s="39" t="s">
        <v>105</v>
      </c>
      <c r="G727" s="39" t="str">
        <f aca="false">UPPER(TRIM(C727))</f>
        <v>P004</v>
      </c>
      <c r="H727" s="39" t="str">
        <f aca="false">IF(ISNUMBER(MATCH(G727,Products!$A$5:$A$24,0)),"OK","Mismatch")</f>
        <v>OK</v>
      </c>
      <c r="I727" s="39" t="str">
        <f aca="false">IF(COUNTIF($A$5:A727,A727)&gt;1,"Duplicate","Unique")</f>
        <v>Unique</v>
      </c>
      <c r="J727" s="39" t="str">
        <f aca="false">IF(I727="Duplicate","Remove",IF(H727="Mismatch","Exclude","Keep"))</f>
        <v>Keep</v>
      </c>
    </row>
    <row r="728" customFormat="false" ht="15" hidden="false" customHeight="false" outlineLevel="0" collapsed="false">
      <c r="A728" s="39" t="s">
        <v>839</v>
      </c>
      <c r="B728" s="40" t="n">
        <v>45761</v>
      </c>
      <c r="C728" s="39" t="s">
        <v>177</v>
      </c>
      <c r="D728" s="39" t="n">
        <v>3</v>
      </c>
      <c r="E728" s="41" t="n">
        <v>44.05</v>
      </c>
      <c r="F728" s="39" t="s">
        <v>105</v>
      </c>
      <c r="G728" s="39" t="str">
        <f aca="false">UPPER(TRIM(C728))</f>
        <v>P014</v>
      </c>
      <c r="H728" s="39" t="str">
        <f aca="false">IF(ISNUMBER(MATCH(G728,Products!$A$5:$A$24,0)),"OK","Mismatch")</f>
        <v>OK</v>
      </c>
      <c r="I728" s="39" t="str">
        <f aca="false">IF(COUNTIF($A$5:A728,A728)&gt;1,"Duplicate","Unique")</f>
        <v>Unique</v>
      </c>
      <c r="J728" s="39" t="str">
        <f aca="false">IF(I728="Duplicate","Remove",IF(H728="Mismatch","Exclude","Keep"))</f>
        <v>Keep</v>
      </c>
    </row>
    <row r="729" customFormat="false" ht="15" hidden="false" customHeight="false" outlineLevel="0" collapsed="false">
      <c r="A729" s="39" t="s">
        <v>840</v>
      </c>
      <c r="B729" s="40" t="n">
        <v>45761</v>
      </c>
      <c r="C729" s="39" t="s">
        <v>121</v>
      </c>
      <c r="D729" s="39" t="n">
        <v>5</v>
      </c>
      <c r="E729" s="41" t="n">
        <v>115.76</v>
      </c>
      <c r="F729" s="39" t="s">
        <v>108</v>
      </c>
      <c r="G729" s="39" t="str">
        <f aca="false">UPPER(TRIM(C729))</f>
        <v>P018</v>
      </c>
      <c r="H729" s="39" t="str">
        <f aca="false">IF(ISNUMBER(MATCH(G729,Products!$A$5:$A$24,0)),"OK","Mismatch")</f>
        <v>OK</v>
      </c>
      <c r="I729" s="39" t="str">
        <f aca="false">IF(COUNTIF($A$5:A729,A729)&gt;1,"Duplicate","Unique")</f>
        <v>Unique</v>
      </c>
      <c r="J729" s="39" t="str">
        <f aca="false">IF(I729="Duplicate","Remove",IF(H729="Mismatch","Exclude","Keep"))</f>
        <v>Keep</v>
      </c>
    </row>
    <row r="730" customFormat="false" ht="15" hidden="false" customHeight="false" outlineLevel="0" collapsed="false">
      <c r="A730" s="39" t="s">
        <v>841</v>
      </c>
      <c r="B730" s="40" t="n">
        <v>45761</v>
      </c>
      <c r="C730" s="39" t="s">
        <v>117</v>
      </c>
      <c r="D730" s="39" t="n">
        <v>3</v>
      </c>
      <c r="E730" s="41" t="n">
        <v>29.62</v>
      </c>
      <c r="F730" s="39" t="s">
        <v>105</v>
      </c>
      <c r="G730" s="39" t="str">
        <f aca="false">UPPER(TRIM(C730))</f>
        <v>P009</v>
      </c>
      <c r="H730" s="39" t="str">
        <f aca="false">IF(ISNUMBER(MATCH(G730,Products!$A$5:$A$24,0)),"OK","Mismatch")</f>
        <v>OK</v>
      </c>
      <c r="I730" s="39" t="str">
        <f aca="false">IF(COUNTIF($A$5:A730,A730)&gt;1,"Duplicate","Unique")</f>
        <v>Unique</v>
      </c>
      <c r="J730" s="39" t="str">
        <f aca="false">IF(I730="Duplicate","Remove",IF(H730="Mismatch","Exclude","Keep"))</f>
        <v>Keep</v>
      </c>
    </row>
    <row r="731" customFormat="false" ht="15" hidden="false" customHeight="false" outlineLevel="0" collapsed="false">
      <c r="A731" s="39" t="s">
        <v>842</v>
      </c>
      <c r="B731" s="40" t="n">
        <v>45762</v>
      </c>
      <c r="C731" s="39" t="s">
        <v>112</v>
      </c>
      <c r="D731" s="39" t="n">
        <v>1</v>
      </c>
      <c r="E731" s="41" t="n">
        <v>53.35</v>
      </c>
      <c r="F731" s="39" t="s">
        <v>115</v>
      </c>
      <c r="G731" s="39" t="str">
        <f aca="false">UPPER(TRIM(C731))</f>
        <v>P005</v>
      </c>
      <c r="H731" s="39" t="str">
        <f aca="false">IF(ISNUMBER(MATCH(G731,Products!$A$5:$A$24,0)),"OK","Mismatch")</f>
        <v>OK</v>
      </c>
      <c r="I731" s="39" t="str">
        <f aca="false">IF(COUNTIF($A$5:A731,A731)&gt;1,"Duplicate","Unique")</f>
        <v>Unique</v>
      </c>
      <c r="J731" s="39" t="str">
        <f aca="false">IF(I731="Duplicate","Remove",IF(H731="Mismatch","Exclude","Keep"))</f>
        <v>Keep</v>
      </c>
    </row>
    <row r="732" customFormat="false" ht="15" hidden="false" customHeight="false" outlineLevel="0" collapsed="false">
      <c r="A732" s="39" t="s">
        <v>843</v>
      </c>
      <c r="B732" s="40" t="n">
        <v>45762</v>
      </c>
      <c r="C732" s="39" t="s">
        <v>162</v>
      </c>
      <c r="D732" s="39" t="n">
        <v>2</v>
      </c>
      <c r="E732" s="41" t="n">
        <v>66.81</v>
      </c>
      <c r="F732" s="39" t="s">
        <v>105</v>
      </c>
      <c r="G732" s="39" t="str">
        <f aca="false">UPPER(TRIM(C732))</f>
        <v>P017</v>
      </c>
      <c r="H732" s="39" t="str">
        <f aca="false">IF(ISNUMBER(MATCH(G732,Products!$A$5:$A$24,0)),"OK","Mismatch")</f>
        <v>OK</v>
      </c>
      <c r="I732" s="39" t="str">
        <f aca="false">IF(COUNTIF($A$5:A732,A732)&gt;1,"Duplicate","Unique")</f>
        <v>Unique</v>
      </c>
      <c r="J732" s="39" t="str">
        <f aca="false">IF(I732="Duplicate","Remove",IF(H732="Mismatch","Exclude","Keep"))</f>
        <v>Keep</v>
      </c>
    </row>
    <row r="733" customFormat="false" ht="15" hidden="false" customHeight="false" outlineLevel="0" collapsed="false">
      <c r="A733" s="39" t="s">
        <v>844</v>
      </c>
      <c r="B733" s="40" t="n">
        <v>45762</v>
      </c>
      <c r="C733" s="39" t="s">
        <v>107</v>
      </c>
      <c r="D733" s="39" t="n">
        <v>3</v>
      </c>
      <c r="E733" s="41" t="n">
        <v>33.62</v>
      </c>
      <c r="F733" s="39" t="s">
        <v>118</v>
      </c>
      <c r="G733" s="39" t="str">
        <f aca="false">UPPER(TRIM(C733))</f>
        <v>P003</v>
      </c>
      <c r="H733" s="39" t="str">
        <f aca="false">IF(ISNUMBER(MATCH(G733,Products!$A$5:$A$24,0)),"OK","Mismatch")</f>
        <v>OK</v>
      </c>
      <c r="I733" s="39" t="str">
        <f aca="false">IF(COUNTIF($A$5:A733,A733)&gt;1,"Duplicate","Unique")</f>
        <v>Unique</v>
      </c>
      <c r="J733" s="39" t="str">
        <f aca="false">IF(I733="Duplicate","Remove",IF(H733="Mismatch","Exclude","Keep"))</f>
        <v>Keep</v>
      </c>
    </row>
    <row r="734" customFormat="false" ht="15" hidden="false" customHeight="false" outlineLevel="0" collapsed="false">
      <c r="A734" s="39" t="s">
        <v>845</v>
      </c>
      <c r="B734" s="40" t="n">
        <v>45762</v>
      </c>
      <c r="C734" s="39" t="s">
        <v>162</v>
      </c>
      <c r="D734" s="39" t="n">
        <v>5</v>
      </c>
      <c r="E734" s="41" t="n">
        <v>63.62</v>
      </c>
      <c r="F734" s="39" t="s">
        <v>115</v>
      </c>
      <c r="G734" s="39" t="str">
        <f aca="false">UPPER(TRIM(C734))</f>
        <v>P017</v>
      </c>
      <c r="H734" s="39" t="str">
        <f aca="false">IF(ISNUMBER(MATCH(G734,Products!$A$5:$A$24,0)),"OK","Mismatch")</f>
        <v>OK</v>
      </c>
      <c r="I734" s="39" t="str">
        <f aca="false">IF(COUNTIF($A$5:A734,A734)&gt;1,"Duplicate","Unique")</f>
        <v>Unique</v>
      </c>
      <c r="J734" s="39" t="str">
        <f aca="false">IF(I734="Duplicate","Remove",IF(H734="Mismatch","Exclude","Keep"))</f>
        <v>Keep</v>
      </c>
    </row>
    <row r="735" customFormat="false" ht="15" hidden="false" customHeight="false" outlineLevel="0" collapsed="false">
      <c r="A735" s="39" t="s">
        <v>846</v>
      </c>
      <c r="B735" s="40" t="n">
        <v>45762</v>
      </c>
      <c r="C735" s="39" t="s">
        <v>133</v>
      </c>
      <c r="D735" s="39" t="n">
        <v>2</v>
      </c>
      <c r="E735" s="41" t="n">
        <v>8.32</v>
      </c>
      <c r="F735" s="39" t="s">
        <v>108</v>
      </c>
      <c r="G735" s="39" t="str">
        <f aca="false">UPPER(TRIM(C735))</f>
        <v>P019</v>
      </c>
      <c r="H735" s="39" t="str">
        <f aca="false">IF(ISNUMBER(MATCH(G735,Products!$A$5:$A$24,0)),"OK","Mismatch")</f>
        <v>OK</v>
      </c>
      <c r="I735" s="39" t="str">
        <f aca="false">IF(COUNTIF($A$5:A735,A735)&gt;1,"Duplicate","Unique")</f>
        <v>Unique</v>
      </c>
      <c r="J735" s="39" t="str">
        <f aca="false">IF(I735="Duplicate","Remove",IF(H735="Mismatch","Exclude","Keep"))</f>
        <v>Keep</v>
      </c>
    </row>
    <row r="736" customFormat="false" ht="15" hidden="false" customHeight="false" outlineLevel="0" collapsed="false">
      <c r="A736" s="39" t="s">
        <v>847</v>
      </c>
      <c r="B736" s="40" t="n">
        <v>45762</v>
      </c>
      <c r="C736" s="39" t="s">
        <v>121</v>
      </c>
      <c r="D736" s="39" t="n">
        <v>4</v>
      </c>
      <c r="E736" s="41" t="n">
        <v>109.61</v>
      </c>
      <c r="F736" s="39" t="s">
        <v>108</v>
      </c>
      <c r="G736" s="39" t="str">
        <f aca="false">UPPER(TRIM(C736))</f>
        <v>P018</v>
      </c>
      <c r="H736" s="39" t="str">
        <f aca="false">IF(ISNUMBER(MATCH(G736,Products!$A$5:$A$24,0)),"OK","Mismatch")</f>
        <v>OK</v>
      </c>
      <c r="I736" s="39" t="str">
        <f aca="false">IF(COUNTIF($A$5:A736,A736)&gt;1,"Duplicate","Unique")</f>
        <v>Unique</v>
      </c>
      <c r="J736" s="39" t="str">
        <f aca="false">IF(I736="Duplicate","Remove",IF(H736="Mismatch","Exclude","Keep"))</f>
        <v>Keep</v>
      </c>
    </row>
    <row r="737" customFormat="false" ht="15" hidden="false" customHeight="false" outlineLevel="0" collapsed="false">
      <c r="A737" s="39" t="s">
        <v>848</v>
      </c>
      <c r="B737" s="40" t="n">
        <v>45762</v>
      </c>
      <c r="C737" s="39" t="s">
        <v>128</v>
      </c>
      <c r="D737" s="39" t="n">
        <v>5</v>
      </c>
      <c r="E737" s="41" t="n">
        <v>37.8</v>
      </c>
      <c r="F737" s="39" t="s">
        <v>108</v>
      </c>
      <c r="G737" s="39" t="str">
        <f aca="false">UPPER(TRIM(C737))</f>
        <v>P020</v>
      </c>
      <c r="H737" s="39" t="str">
        <f aca="false">IF(ISNUMBER(MATCH(G737,Products!$A$5:$A$24,0)),"OK","Mismatch")</f>
        <v>OK</v>
      </c>
      <c r="I737" s="39" t="str">
        <f aca="false">IF(COUNTIF($A$5:A737,A737)&gt;1,"Duplicate","Unique")</f>
        <v>Unique</v>
      </c>
      <c r="J737" s="39" t="str">
        <f aca="false">IF(I737="Duplicate","Remove",IF(H737="Mismatch","Exclude","Keep"))</f>
        <v>Keep</v>
      </c>
    </row>
    <row r="738" customFormat="false" ht="15" hidden="false" customHeight="false" outlineLevel="0" collapsed="false">
      <c r="A738" s="39" t="s">
        <v>849</v>
      </c>
      <c r="B738" s="40" t="n">
        <v>45762</v>
      </c>
      <c r="C738" s="39" t="s">
        <v>126</v>
      </c>
      <c r="D738" s="39" t="n">
        <v>2</v>
      </c>
      <c r="E738" s="41" t="n">
        <v>24.65</v>
      </c>
      <c r="F738" s="39" t="s">
        <v>108</v>
      </c>
      <c r="G738" s="39" t="str">
        <f aca="false">UPPER(TRIM(C738))</f>
        <v>P001</v>
      </c>
      <c r="H738" s="39" t="str">
        <f aca="false">IF(ISNUMBER(MATCH(G738,Products!$A$5:$A$24,0)),"OK","Mismatch")</f>
        <v>OK</v>
      </c>
      <c r="I738" s="39" t="str">
        <f aca="false">IF(COUNTIF($A$5:A738,A738)&gt;1,"Duplicate","Unique")</f>
        <v>Unique</v>
      </c>
      <c r="J738" s="39" t="str">
        <f aca="false">IF(I738="Duplicate","Remove",IF(H738="Mismatch","Exclude","Keep"))</f>
        <v>Keep</v>
      </c>
    </row>
    <row r="739" customFormat="false" ht="15" hidden="false" customHeight="false" outlineLevel="0" collapsed="false">
      <c r="A739" s="39" t="s">
        <v>850</v>
      </c>
      <c r="B739" s="40" t="n">
        <v>45762</v>
      </c>
      <c r="C739" s="39" t="s">
        <v>121</v>
      </c>
      <c r="D739" s="39" t="n">
        <v>3</v>
      </c>
      <c r="E739" s="41" t="n">
        <v>114.55</v>
      </c>
      <c r="F739" s="39" t="s">
        <v>118</v>
      </c>
      <c r="G739" s="39" t="str">
        <f aca="false">UPPER(TRIM(C739))</f>
        <v>P018</v>
      </c>
      <c r="H739" s="39" t="str">
        <f aca="false">IF(ISNUMBER(MATCH(G739,Products!$A$5:$A$24,0)),"OK","Mismatch")</f>
        <v>OK</v>
      </c>
      <c r="I739" s="39" t="str">
        <f aca="false">IF(COUNTIF($A$5:A739,A739)&gt;1,"Duplicate","Unique")</f>
        <v>Unique</v>
      </c>
      <c r="J739" s="39" t="str">
        <f aca="false">IF(I739="Duplicate","Remove",IF(H739="Mismatch","Exclude","Keep"))</f>
        <v>Keep</v>
      </c>
    </row>
    <row r="740" customFormat="false" ht="15" hidden="false" customHeight="false" outlineLevel="0" collapsed="false">
      <c r="A740" s="39" t="s">
        <v>851</v>
      </c>
      <c r="B740" s="40" t="n">
        <v>45762</v>
      </c>
      <c r="C740" s="39" t="s">
        <v>114</v>
      </c>
      <c r="D740" s="39" t="n">
        <v>4</v>
      </c>
      <c r="E740" s="41" t="n">
        <v>5.71</v>
      </c>
      <c r="F740" s="39" t="s">
        <v>108</v>
      </c>
      <c r="G740" s="39" t="str">
        <f aca="false">UPPER(TRIM(C740))</f>
        <v>P012</v>
      </c>
      <c r="H740" s="39" t="str">
        <f aca="false">IF(ISNUMBER(MATCH(G740,Products!$A$5:$A$24,0)),"OK","Mismatch")</f>
        <v>OK</v>
      </c>
      <c r="I740" s="39" t="str">
        <f aca="false">IF(COUNTIF($A$5:A740,A740)&gt;1,"Duplicate","Unique")</f>
        <v>Unique</v>
      </c>
      <c r="J740" s="39" t="str">
        <f aca="false">IF(I740="Duplicate","Remove",IF(H740="Mismatch","Exclude","Keep"))</f>
        <v>Keep</v>
      </c>
    </row>
    <row r="741" customFormat="false" ht="15" hidden="false" customHeight="false" outlineLevel="0" collapsed="false">
      <c r="A741" s="39" t="s">
        <v>852</v>
      </c>
      <c r="B741" s="40" t="n">
        <v>45762</v>
      </c>
      <c r="C741" s="39" t="s">
        <v>126</v>
      </c>
      <c r="D741" s="39" t="n">
        <v>2</v>
      </c>
      <c r="E741" s="41" t="n">
        <v>24.55</v>
      </c>
      <c r="F741" s="39" t="s">
        <v>115</v>
      </c>
      <c r="G741" s="39" t="str">
        <f aca="false">UPPER(TRIM(C741))</f>
        <v>P001</v>
      </c>
      <c r="H741" s="39" t="str">
        <f aca="false">IF(ISNUMBER(MATCH(G741,Products!$A$5:$A$24,0)),"OK","Mismatch")</f>
        <v>OK</v>
      </c>
      <c r="I741" s="39" t="str">
        <f aca="false">IF(COUNTIF($A$5:A741,A741)&gt;1,"Duplicate","Unique")</f>
        <v>Unique</v>
      </c>
      <c r="J741" s="39" t="str">
        <f aca="false">IF(I741="Duplicate","Remove",IF(H741="Mismatch","Exclude","Keep"))</f>
        <v>Keep</v>
      </c>
    </row>
    <row r="742" customFormat="false" ht="15" hidden="false" customHeight="false" outlineLevel="0" collapsed="false">
      <c r="A742" s="39" t="s">
        <v>853</v>
      </c>
      <c r="B742" s="40" t="n">
        <v>45762</v>
      </c>
      <c r="C742" s="39" t="s">
        <v>177</v>
      </c>
      <c r="D742" s="39" t="n">
        <v>1</v>
      </c>
      <c r="E742" s="41" t="n">
        <v>42.77</v>
      </c>
      <c r="F742" s="39" t="s">
        <v>105</v>
      </c>
      <c r="G742" s="39" t="str">
        <f aca="false">UPPER(TRIM(C742))</f>
        <v>P014</v>
      </c>
      <c r="H742" s="39" t="str">
        <f aca="false">IF(ISNUMBER(MATCH(G742,Products!$A$5:$A$24,0)),"OK","Mismatch")</f>
        <v>OK</v>
      </c>
      <c r="I742" s="39" t="str">
        <f aca="false">IF(COUNTIF($A$5:A742,A742)&gt;1,"Duplicate","Unique")</f>
        <v>Unique</v>
      </c>
      <c r="J742" s="39" t="str">
        <f aca="false">IF(I742="Duplicate","Remove",IF(H742="Mismatch","Exclude","Keep"))</f>
        <v>Keep</v>
      </c>
    </row>
    <row r="743" customFormat="false" ht="15" hidden="false" customHeight="false" outlineLevel="0" collapsed="false">
      <c r="A743" s="39" t="s">
        <v>854</v>
      </c>
      <c r="B743" s="40" t="n">
        <v>45762</v>
      </c>
      <c r="C743" s="39" t="s">
        <v>126</v>
      </c>
      <c r="D743" s="39" t="n">
        <v>2</v>
      </c>
      <c r="E743" s="41" t="n">
        <v>24.59</v>
      </c>
      <c r="F743" s="39" t="s">
        <v>108</v>
      </c>
      <c r="G743" s="39" t="str">
        <f aca="false">UPPER(TRIM(C743))</f>
        <v>P001</v>
      </c>
      <c r="H743" s="39" t="str">
        <f aca="false">IF(ISNUMBER(MATCH(G743,Products!$A$5:$A$24,0)),"OK","Mismatch")</f>
        <v>OK</v>
      </c>
      <c r="I743" s="39" t="str">
        <f aca="false">IF(COUNTIF($A$5:A743,A743)&gt;1,"Duplicate","Unique")</f>
        <v>Unique</v>
      </c>
      <c r="J743" s="39" t="str">
        <f aca="false">IF(I743="Duplicate","Remove",IF(H743="Mismatch","Exclude","Keep"))</f>
        <v>Keep</v>
      </c>
    </row>
    <row r="744" customFormat="false" ht="15" hidden="false" customHeight="false" outlineLevel="0" collapsed="false">
      <c r="A744" s="39" t="s">
        <v>855</v>
      </c>
      <c r="B744" s="40" t="n">
        <v>45763</v>
      </c>
      <c r="C744" s="39" t="s">
        <v>130</v>
      </c>
      <c r="D744" s="39" t="n">
        <v>2</v>
      </c>
      <c r="E744" s="41" t="n">
        <v>8.93</v>
      </c>
      <c r="F744" s="39" t="s">
        <v>105</v>
      </c>
      <c r="G744" s="39" t="str">
        <f aca="false">UPPER(TRIM(C744))</f>
        <v>P011</v>
      </c>
      <c r="H744" s="39" t="str">
        <f aca="false">IF(ISNUMBER(MATCH(G744,Products!$A$5:$A$24,0)),"OK","Mismatch")</f>
        <v>OK</v>
      </c>
      <c r="I744" s="39" t="str">
        <f aca="false">IF(COUNTIF($A$5:A744,A744)&gt;1,"Duplicate","Unique")</f>
        <v>Unique</v>
      </c>
      <c r="J744" s="39" t="str">
        <f aca="false">IF(I744="Duplicate","Remove",IF(H744="Mismatch","Exclude","Keep"))</f>
        <v>Keep</v>
      </c>
    </row>
    <row r="745" customFormat="false" ht="15" hidden="false" customHeight="false" outlineLevel="0" collapsed="false">
      <c r="A745" s="39" t="s">
        <v>856</v>
      </c>
      <c r="B745" s="40" t="n">
        <v>45763</v>
      </c>
      <c r="C745" s="39" t="s">
        <v>133</v>
      </c>
      <c r="D745" s="39" t="n">
        <v>1</v>
      </c>
      <c r="E745" s="41" t="n">
        <v>8.63</v>
      </c>
      <c r="F745" s="39" t="s">
        <v>118</v>
      </c>
      <c r="G745" s="39" t="str">
        <f aca="false">UPPER(TRIM(C745))</f>
        <v>P019</v>
      </c>
      <c r="H745" s="39" t="str">
        <f aca="false">IF(ISNUMBER(MATCH(G745,Products!$A$5:$A$24,0)),"OK","Mismatch")</f>
        <v>OK</v>
      </c>
      <c r="I745" s="39" t="str">
        <f aca="false">IF(COUNTIF($A$5:A745,A745)&gt;1,"Duplicate","Unique")</f>
        <v>Unique</v>
      </c>
      <c r="J745" s="39" t="str">
        <f aca="false">IF(I745="Duplicate","Remove",IF(H745="Mismatch","Exclude","Keep"))</f>
        <v>Keep</v>
      </c>
    </row>
    <row r="746" customFormat="false" ht="15" hidden="false" customHeight="false" outlineLevel="0" collapsed="false">
      <c r="A746" s="39" t="s">
        <v>857</v>
      </c>
      <c r="B746" s="40" t="n">
        <v>45763</v>
      </c>
      <c r="C746" s="39" t="s">
        <v>133</v>
      </c>
      <c r="D746" s="39" t="n">
        <v>4</v>
      </c>
      <c r="E746" s="41" t="n">
        <v>8.33</v>
      </c>
      <c r="F746" s="39" t="s">
        <v>108</v>
      </c>
      <c r="G746" s="39" t="str">
        <f aca="false">UPPER(TRIM(C746))</f>
        <v>P019</v>
      </c>
      <c r="H746" s="39" t="str">
        <f aca="false">IF(ISNUMBER(MATCH(G746,Products!$A$5:$A$24,0)),"OK","Mismatch")</f>
        <v>OK</v>
      </c>
      <c r="I746" s="39" t="str">
        <f aca="false">IF(COUNTIF($A$5:A746,A746)&gt;1,"Duplicate","Unique")</f>
        <v>Unique</v>
      </c>
      <c r="J746" s="39" t="str">
        <f aca="false">IF(I746="Duplicate","Remove",IF(H746="Mismatch","Exclude","Keep"))</f>
        <v>Keep</v>
      </c>
    </row>
    <row r="747" customFormat="false" ht="15" hidden="false" customHeight="false" outlineLevel="0" collapsed="false">
      <c r="A747" s="39" t="s">
        <v>858</v>
      </c>
      <c r="B747" s="40" t="n">
        <v>45763</v>
      </c>
      <c r="C747" s="39" t="s">
        <v>169</v>
      </c>
      <c r="D747" s="39" t="n">
        <v>1</v>
      </c>
      <c r="E747" s="41" t="n">
        <v>26.87</v>
      </c>
      <c r="F747" s="39" t="s">
        <v>115</v>
      </c>
      <c r="G747" s="39" t="str">
        <f aca="false">UPPER(TRIM(C747))</f>
        <v>P004</v>
      </c>
      <c r="H747" s="39" t="str">
        <f aca="false">IF(ISNUMBER(MATCH(G747,Products!$A$5:$A$24,0)),"OK","Mismatch")</f>
        <v>OK</v>
      </c>
      <c r="I747" s="39" t="str">
        <f aca="false">IF(COUNTIF($A$5:A747,A747)&gt;1,"Duplicate","Unique")</f>
        <v>Unique</v>
      </c>
      <c r="J747" s="39" t="str">
        <f aca="false">IF(I747="Duplicate","Remove",IF(H747="Mismatch","Exclude","Keep"))</f>
        <v>Keep</v>
      </c>
    </row>
    <row r="748" customFormat="false" ht="15" hidden="false" customHeight="false" outlineLevel="0" collapsed="false">
      <c r="A748" s="39" t="s">
        <v>859</v>
      </c>
      <c r="B748" s="40" t="n">
        <v>45763</v>
      </c>
      <c r="C748" s="39" t="s">
        <v>177</v>
      </c>
      <c r="D748" s="39" t="n">
        <v>4</v>
      </c>
      <c r="E748" s="41" t="n">
        <v>42.61</v>
      </c>
      <c r="F748" s="39" t="s">
        <v>108</v>
      </c>
      <c r="G748" s="39" t="str">
        <f aca="false">UPPER(TRIM(C748))</f>
        <v>P014</v>
      </c>
      <c r="H748" s="39" t="str">
        <f aca="false">IF(ISNUMBER(MATCH(G748,Products!$A$5:$A$24,0)),"OK","Mismatch")</f>
        <v>OK</v>
      </c>
      <c r="I748" s="39" t="str">
        <f aca="false">IF(COUNTIF($A$5:A748,A748)&gt;1,"Duplicate","Unique")</f>
        <v>Unique</v>
      </c>
      <c r="J748" s="39" t="str">
        <f aca="false">IF(I748="Duplicate","Remove",IF(H748="Mismatch","Exclude","Keep"))</f>
        <v>Keep</v>
      </c>
    </row>
    <row r="749" customFormat="false" ht="15" hidden="false" customHeight="false" outlineLevel="0" collapsed="false">
      <c r="A749" s="39" t="s">
        <v>860</v>
      </c>
      <c r="B749" s="40" t="n">
        <v>45764</v>
      </c>
      <c r="C749" s="39" t="s">
        <v>110</v>
      </c>
      <c r="D749" s="39" t="n">
        <v>4</v>
      </c>
      <c r="E749" s="41" t="n">
        <v>13.11</v>
      </c>
      <c r="F749" s="39" t="s">
        <v>108</v>
      </c>
      <c r="G749" s="39" t="str">
        <f aca="false">UPPER(TRIM(C749))</f>
        <v>P016</v>
      </c>
      <c r="H749" s="39" t="str">
        <f aca="false">IF(ISNUMBER(MATCH(G749,Products!$A$5:$A$24,0)),"OK","Mismatch")</f>
        <v>OK</v>
      </c>
      <c r="I749" s="39" t="str">
        <f aca="false">IF(COUNTIF($A$5:A749,A749)&gt;1,"Duplicate","Unique")</f>
        <v>Unique</v>
      </c>
      <c r="J749" s="39" t="str">
        <f aca="false">IF(I749="Duplicate","Remove",IF(H749="Mismatch","Exclude","Keep"))</f>
        <v>Keep</v>
      </c>
    </row>
    <row r="750" customFormat="false" ht="15" hidden="false" customHeight="false" outlineLevel="0" collapsed="false">
      <c r="A750" s="39" t="s">
        <v>861</v>
      </c>
      <c r="B750" s="40" t="n">
        <v>45764</v>
      </c>
      <c r="C750" s="39" t="s">
        <v>104</v>
      </c>
      <c r="D750" s="39" t="n">
        <v>2</v>
      </c>
      <c r="E750" s="41" t="n">
        <v>15.84</v>
      </c>
      <c r="F750" s="39" t="s">
        <v>118</v>
      </c>
      <c r="G750" s="39" t="str">
        <f aca="false">UPPER(TRIM(C750))</f>
        <v>P015</v>
      </c>
      <c r="H750" s="39" t="str">
        <f aca="false">IF(ISNUMBER(MATCH(G750,Products!$A$5:$A$24,0)),"OK","Mismatch")</f>
        <v>OK</v>
      </c>
      <c r="I750" s="39" t="str">
        <f aca="false">IF(COUNTIF($A$5:A750,A750)&gt;1,"Duplicate","Unique")</f>
        <v>Unique</v>
      </c>
      <c r="J750" s="39" t="str">
        <f aca="false">IF(I750="Duplicate","Remove",IF(H750="Mismatch","Exclude","Keep"))</f>
        <v>Keep</v>
      </c>
    </row>
    <row r="751" customFormat="false" ht="15" hidden="false" customHeight="false" outlineLevel="0" collapsed="false">
      <c r="A751" s="39" t="s">
        <v>862</v>
      </c>
      <c r="B751" s="40" t="n">
        <v>45764</v>
      </c>
      <c r="C751" s="39" t="s">
        <v>126</v>
      </c>
      <c r="D751" s="39" t="n">
        <v>1</v>
      </c>
      <c r="E751" s="41" t="n">
        <v>23.21</v>
      </c>
      <c r="F751" s="39" t="s">
        <v>118</v>
      </c>
      <c r="G751" s="39" t="str">
        <f aca="false">UPPER(TRIM(C751))</f>
        <v>P001</v>
      </c>
      <c r="H751" s="39" t="str">
        <f aca="false">IF(ISNUMBER(MATCH(G751,Products!$A$5:$A$24,0)),"OK","Mismatch")</f>
        <v>OK</v>
      </c>
      <c r="I751" s="39" t="str">
        <f aca="false">IF(COUNTIF($A$5:A751,A751)&gt;1,"Duplicate","Unique")</f>
        <v>Unique</v>
      </c>
      <c r="J751" s="39" t="str">
        <f aca="false">IF(I751="Duplicate","Remove",IF(H751="Mismatch","Exclude","Keep"))</f>
        <v>Keep</v>
      </c>
    </row>
    <row r="752" customFormat="false" ht="15" hidden="false" customHeight="false" outlineLevel="0" collapsed="false">
      <c r="A752" s="39" t="s">
        <v>863</v>
      </c>
      <c r="B752" s="40" t="n">
        <v>45764</v>
      </c>
      <c r="C752" s="39" t="s">
        <v>139</v>
      </c>
      <c r="D752" s="39" t="n">
        <v>3</v>
      </c>
      <c r="E752" s="41" t="n">
        <v>119.24</v>
      </c>
      <c r="F752" s="39" t="s">
        <v>118</v>
      </c>
      <c r="G752" s="39" t="str">
        <f aca="false">UPPER(TRIM(C752))</f>
        <v>P006</v>
      </c>
      <c r="H752" s="39" t="str">
        <f aca="false">IF(ISNUMBER(MATCH(G752,Products!$A$5:$A$24,0)),"OK","Mismatch")</f>
        <v>OK</v>
      </c>
      <c r="I752" s="39" t="str">
        <f aca="false">IF(COUNTIF($A$5:A752,A752)&gt;1,"Duplicate","Unique")</f>
        <v>Unique</v>
      </c>
      <c r="J752" s="39" t="str">
        <f aca="false">IF(I752="Duplicate","Remove",IF(H752="Mismatch","Exclude","Keep"))</f>
        <v>Keep</v>
      </c>
    </row>
    <row r="753" customFormat="false" ht="15" hidden="false" customHeight="false" outlineLevel="0" collapsed="false">
      <c r="A753" s="39" t="s">
        <v>864</v>
      </c>
      <c r="B753" s="40" t="n">
        <v>45764</v>
      </c>
      <c r="C753" s="39" t="s">
        <v>126</v>
      </c>
      <c r="D753" s="39" t="n">
        <v>3</v>
      </c>
      <c r="E753" s="41" t="n">
        <v>24.1</v>
      </c>
      <c r="F753" s="39" t="s">
        <v>105</v>
      </c>
      <c r="G753" s="39" t="str">
        <f aca="false">UPPER(TRIM(C753))</f>
        <v>P001</v>
      </c>
      <c r="H753" s="39" t="str">
        <f aca="false">IF(ISNUMBER(MATCH(G753,Products!$A$5:$A$24,0)),"OK","Mismatch")</f>
        <v>OK</v>
      </c>
      <c r="I753" s="39" t="str">
        <f aca="false">IF(COUNTIF($A$5:A753,A753)&gt;1,"Duplicate","Unique")</f>
        <v>Unique</v>
      </c>
      <c r="J753" s="39" t="str">
        <f aca="false">IF(I753="Duplicate","Remove",IF(H753="Mismatch","Exclude","Keep"))</f>
        <v>Keep</v>
      </c>
    </row>
    <row r="754" customFormat="false" ht="15" hidden="false" customHeight="false" outlineLevel="0" collapsed="false">
      <c r="A754" s="39" t="s">
        <v>865</v>
      </c>
      <c r="B754" s="40" t="n">
        <v>45764</v>
      </c>
      <c r="C754" s="39" t="s">
        <v>117</v>
      </c>
      <c r="D754" s="39" t="n">
        <v>4</v>
      </c>
      <c r="E754" s="41" t="n">
        <v>31.07</v>
      </c>
      <c r="F754" s="39" t="s">
        <v>105</v>
      </c>
      <c r="G754" s="39" t="str">
        <f aca="false">UPPER(TRIM(C754))</f>
        <v>P009</v>
      </c>
      <c r="H754" s="39" t="str">
        <f aca="false">IF(ISNUMBER(MATCH(G754,Products!$A$5:$A$24,0)),"OK","Mismatch")</f>
        <v>OK</v>
      </c>
      <c r="I754" s="39" t="str">
        <f aca="false">IF(COUNTIF($A$5:A754,A754)&gt;1,"Duplicate","Unique")</f>
        <v>Unique</v>
      </c>
      <c r="J754" s="39" t="str">
        <f aca="false">IF(I754="Duplicate","Remove",IF(H754="Mismatch","Exclude","Keep"))</f>
        <v>Keep</v>
      </c>
    </row>
    <row r="755" customFormat="false" ht="15" hidden="false" customHeight="false" outlineLevel="0" collapsed="false">
      <c r="A755" s="39" t="s">
        <v>865</v>
      </c>
      <c r="B755" s="40" t="n">
        <v>45764</v>
      </c>
      <c r="C755" s="39" t="s">
        <v>117</v>
      </c>
      <c r="D755" s="39" t="n">
        <v>4</v>
      </c>
      <c r="E755" s="41" t="n">
        <v>31.07</v>
      </c>
      <c r="F755" s="39" t="s">
        <v>105</v>
      </c>
      <c r="G755" s="39" t="str">
        <f aca="false">UPPER(TRIM(C755))</f>
        <v>P009</v>
      </c>
      <c r="H755" s="39" t="str">
        <f aca="false">IF(ISNUMBER(MATCH(G755,Products!$A$5:$A$24,0)),"OK","Mismatch")</f>
        <v>OK</v>
      </c>
      <c r="I755" s="39" t="str">
        <f aca="false">IF(COUNTIF($A$5:A755,A755)&gt;1,"Duplicate","Unique")</f>
        <v>Duplicate</v>
      </c>
      <c r="J755" s="39" t="str">
        <f aca="false">IF(I755="Duplicate","Remove",IF(H755="Mismatch","Exclude","Keep"))</f>
        <v>Remove</v>
      </c>
    </row>
    <row r="756" customFormat="false" ht="15" hidden="false" customHeight="false" outlineLevel="0" collapsed="false">
      <c r="A756" s="39" t="s">
        <v>866</v>
      </c>
      <c r="B756" s="40" t="n">
        <v>45764</v>
      </c>
      <c r="C756" s="39" t="s">
        <v>130</v>
      </c>
      <c r="D756" s="39" t="n">
        <v>1</v>
      </c>
      <c r="E756" s="41" t="n">
        <v>8.74</v>
      </c>
      <c r="F756" s="39" t="s">
        <v>118</v>
      </c>
      <c r="G756" s="39" t="str">
        <f aca="false">UPPER(TRIM(C756))</f>
        <v>P011</v>
      </c>
      <c r="H756" s="39" t="str">
        <f aca="false">IF(ISNUMBER(MATCH(G756,Products!$A$5:$A$24,0)),"OK","Mismatch")</f>
        <v>OK</v>
      </c>
      <c r="I756" s="39" t="str">
        <f aca="false">IF(COUNTIF($A$5:A756,A756)&gt;1,"Duplicate","Unique")</f>
        <v>Unique</v>
      </c>
      <c r="J756" s="39" t="str">
        <f aca="false">IF(I756="Duplicate","Remove",IF(H756="Mismatch","Exclude","Keep"))</f>
        <v>Keep</v>
      </c>
    </row>
    <row r="757" customFormat="false" ht="15" hidden="false" customHeight="false" outlineLevel="0" collapsed="false">
      <c r="A757" s="39" t="s">
        <v>867</v>
      </c>
      <c r="B757" s="40" t="n">
        <v>45764</v>
      </c>
      <c r="C757" s="39" t="s">
        <v>104</v>
      </c>
      <c r="D757" s="39" t="n">
        <v>1</v>
      </c>
      <c r="E757" s="41" t="n">
        <v>15.95</v>
      </c>
      <c r="F757" s="39" t="s">
        <v>115</v>
      </c>
      <c r="G757" s="39" t="str">
        <f aca="false">UPPER(TRIM(C757))</f>
        <v>P015</v>
      </c>
      <c r="H757" s="39" t="str">
        <f aca="false">IF(ISNUMBER(MATCH(G757,Products!$A$5:$A$24,0)),"OK","Mismatch")</f>
        <v>OK</v>
      </c>
      <c r="I757" s="39" t="str">
        <f aca="false">IF(COUNTIF($A$5:A757,A757)&gt;1,"Duplicate","Unique")</f>
        <v>Unique</v>
      </c>
      <c r="J757" s="39" t="str">
        <f aca="false">IF(I757="Duplicate","Remove",IF(H757="Mismatch","Exclude","Keep"))</f>
        <v>Keep</v>
      </c>
    </row>
    <row r="758" customFormat="false" ht="15" hidden="false" customHeight="false" outlineLevel="0" collapsed="false">
      <c r="A758" s="39" t="s">
        <v>868</v>
      </c>
      <c r="B758" s="40" t="n">
        <v>45764</v>
      </c>
      <c r="C758" s="39" t="s">
        <v>136</v>
      </c>
      <c r="D758" s="39" t="n">
        <v>4</v>
      </c>
      <c r="E758" s="41" t="n">
        <v>76.04</v>
      </c>
      <c r="F758" s="39" t="s">
        <v>118</v>
      </c>
      <c r="G758" s="39" t="str">
        <f aca="false">UPPER(TRIM(C758))</f>
        <v>P002</v>
      </c>
      <c r="H758" s="39" t="str">
        <f aca="false">IF(ISNUMBER(MATCH(G758,Products!$A$5:$A$24,0)),"OK","Mismatch")</f>
        <v>OK</v>
      </c>
      <c r="I758" s="39" t="str">
        <f aca="false">IF(COUNTIF($A$5:A758,A758)&gt;1,"Duplicate","Unique")</f>
        <v>Unique</v>
      </c>
      <c r="J758" s="39" t="str">
        <f aca="false">IF(I758="Duplicate","Remove",IF(H758="Mismatch","Exclude","Keep"))</f>
        <v>Keep</v>
      </c>
    </row>
    <row r="759" customFormat="false" ht="15" hidden="false" customHeight="false" outlineLevel="0" collapsed="false">
      <c r="A759" s="39" t="s">
        <v>869</v>
      </c>
      <c r="B759" s="40" t="n">
        <v>45765</v>
      </c>
      <c r="C759" s="39" t="s">
        <v>177</v>
      </c>
      <c r="D759" s="39" t="n">
        <v>2</v>
      </c>
      <c r="E759" s="41" t="n">
        <v>44.08</v>
      </c>
      <c r="F759" s="39" t="s">
        <v>115</v>
      </c>
      <c r="G759" s="39" t="str">
        <f aca="false">UPPER(TRIM(C759))</f>
        <v>P014</v>
      </c>
      <c r="H759" s="39" t="str">
        <f aca="false">IF(ISNUMBER(MATCH(G759,Products!$A$5:$A$24,0)),"OK","Mismatch")</f>
        <v>OK</v>
      </c>
      <c r="I759" s="39" t="str">
        <f aca="false">IF(COUNTIF($A$5:A759,A759)&gt;1,"Duplicate","Unique")</f>
        <v>Unique</v>
      </c>
      <c r="J759" s="39" t="str">
        <f aca="false">IF(I759="Duplicate","Remove",IF(H759="Mismatch","Exclude","Keep"))</f>
        <v>Keep</v>
      </c>
    </row>
    <row r="760" customFormat="false" ht="15" hidden="false" customHeight="false" outlineLevel="0" collapsed="false">
      <c r="A760" s="39" t="s">
        <v>870</v>
      </c>
      <c r="B760" s="40" t="n">
        <v>45765</v>
      </c>
      <c r="C760" s="39" t="s">
        <v>133</v>
      </c>
      <c r="D760" s="39" t="n">
        <v>2</v>
      </c>
      <c r="E760" s="41" t="n">
        <v>8.32</v>
      </c>
      <c r="F760" s="39" t="s">
        <v>118</v>
      </c>
      <c r="G760" s="39" t="str">
        <f aca="false">UPPER(TRIM(C760))</f>
        <v>P019</v>
      </c>
      <c r="H760" s="39" t="str">
        <f aca="false">IF(ISNUMBER(MATCH(G760,Products!$A$5:$A$24,0)),"OK","Mismatch")</f>
        <v>OK</v>
      </c>
      <c r="I760" s="39" t="str">
        <f aca="false">IF(COUNTIF($A$5:A760,A760)&gt;1,"Duplicate","Unique")</f>
        <v>Unique</v>
      </c>
      <c r="J760" s="39" t="str">
        <f aca="false">IF(I760="Duplicate","Remove",IF(H760="Mismatch","Exclude","Keep"))</f>
        <v>Keep</v>
      </c>
    </row>
    <row r="761" customFormat="false" ht="15" hidden="false" customHeight="false" outlineLevel="0" collapsed="false">
      <c r="A761" s="39" t="s">
        <v>871</v>
      </c>
      <c r="B761" s="40" t="n">
        <v>45765</v>
      </c>
      <c r="C761" s="39" t="s">
        <v>104</v>
      </c>
      <c r="D761" s="39" t="n">
        <v>1</v>
      </c>
      <c r="E761" s="41" t="n">
        <v>14.9</v>
      </c>
      <c r="F761" s="39" t="s">
        <v>115</v>
      </c>
      <c r="G761" s="39" t="str">
        <f aca="false">UPPER(TRIM(C761))</f>
        <v>P015</v>
      </c>
      <c r="H761" s="39" t="str">
        <f aca="false">IF(ISNUMBER(MATCH(G761,Products!$A$5:$A$24,0)),"OK","Mismatch")</f>
        <v>OK</v>
      </c>
      <c r="I761" s="39" t="str">
        <f aca="false">IF(COUNTIF($A$5:A761,A761)&gt;1,"Duplicate","Unique")</f>
        <v>Unique</v>
      </c>
      <c r="J761" s="39" t="str">
        <f aca="false">IF(I761="Duplicate","Remove",IF(H761="Mismatch","Exclude","Keep"))</f>
        <v>Keep</v>
      </c>
    </row>
    <row r="762" customFormat="false" ht="15" hidden="false" customHeight="false" outlineLevel="0" collapsed="false">
      <c r="A762" s="39" t="s">
        <v>872</v>
      </c>
      <c r="B762" s="40" t="n">
        <v>45765</v>
      </c>
      <c r="C762" s="39" t="s">
        <v>107</v>
      </c>
      <c r="D762" s="39" t="n">
        <v>3</v>
      </c>
      <c r="E762" s="41" t="n">
        <v>34.84</v>
      </c>
      <c r="F762" s="39" t="s">
        <v>115</v>
      </c>
      <c r="G762" s="39" t="str">
        <f aca="false">UPPER(TRIM(C762))</f>
        <v>P003</v>
      </c>
      <c r="H762" s="39" t="str">
        <f aca="false">IF(ISNUMBER(MATCH(G762,Products!$A$5:$A$24,0)),"OK","Mismatch")</f>
        <v>OK</v>
      </c>
      <c r="I762" s="39" t="str">
        <f aca="false">IF(COUNTIF($A$5:A762,A762)&gt;1,"Duplicate","Unique")</f>
        <v>Unique</v>
      </c>
      <c r="J762" s="39" t="str">
        <f aca="false">IF(I762="Duplicate","Remove",IF(H762="Mismatch","Exclude","Keep"))</f>
        <v>Keep</v>
      </c>
    </row>
    <row r="763" customFormat="false" ht="15" hidden="false" customHeight="false" outlineLevel="0" collapsed="false">
      <c r="A763" s="39" t="s">
        <v>873</v>
      </c>
      <c r="B763" s="40" t="n">
        <v>45765</v>
      </c>
      <c r="C763" s="39" t="s">
        <v>117</v>
      </c>
      <c r="D763" s="39" t="n">
        <v>1</v>
      </c>
      <c r="E763" s="41" t="n">
        <v>30.14</v>
      </c>
      <c r="F763" s="39" t="s">
        <v>105</v>
      </c>
      <c r="G763" s="39" t="str">
        <f aca="false">UPPER(TRIM(C763))</f>
        <v>P009</v>
      </c>
      <c r="H763" s="39" t="str">
        <f aca="false">IF(ISNUMBER(MATCH(G763,Products!$A$5:$A$24,0)),"OK","Mismatch")</f>
        <v>OK</v>
      </c>
      <c r="I763" s="39" t="str">
        <f aca="false">IF(COUNTIF($A$5:A763,A763)&gt;1,"Duplicate","Unique")</f>
        <v>Unique</v>
      </c>
      <c r="J763" s="39" t="str">
        <f aca="false">IF(I763="Duplicate","Remove",IF(H763="Mismatch","Exclude","Keep"))</f>
        <v>Keep</v>
      </c>
    </row>
    <row r="764" customFormat="false" ht="15" hidden="false" customHeight="false" outlineLevel="0" collapsed="false">
      <c r="A764" s="39" t="s">
        <v>873</v>
      </c>
      <c r="B764" s="40" t="n">
        <v>45765</v>
      </c>
      <c r="C764" s="39" t="s">
        <v>117</v>
      </c>
      <c r="D764" s="39" t="n">
        <v>1</v>
      </c>
      <c r="E764" s="41" t="n">
        <v>30.14</v>
      </c>
      <c r="F764" s="39" t="s">
        <v>105</v>
      </c>
      <c r="G764" s="39" t="str">
        <f aca="false">UPPER(TRIM(C764))</f>
        <v>P009</v>
      </c>
      <c r="H764" s="39" t="str">
        <f aca="false">IF(ISNUMBER(MATCH(G764,Products!$A$5:$A$24,0)),"OK","Mismatch")</f>
        <v>OK</v>
      </c>
      <c r="I764" s="39" t="str">
        <f aca="false">IF(COUNTIF($A$5:A764,A764)&gt;1,"Duplicate","Unique")</f>
        <v>Duplicate</v>
      </c>
      <c r="J764" s="39" t="str">
        <f aca="false">IF(I764="Duplicate","Remove",IF(H764="Mismatch","Exclude","Keep"))</f>
        <v>Remove</v>
      </c>
    </row>
    <row r="765" customFormat="false" ht="15" hidden="false" customHeight="false" outlineLevel="0" collapsed="false">
      <c r="A765" s="39" t="s">
        <v>874</v>
      </c>
      <c r="B765" s="40" t="n">
        <v>45765</v>
      </c>
      <c r="C765" s="39" t="s">
        <v>104</v>
      </c>
      <c r="D765" s="39" t="n">
        <v>2</v>
      </c>
      <c r="E765" s="41" t="n">
        <v>15.05</v>
      </c>
      <c r="F765" s="39" t="s">
        <v>118</v>
      </c>
      <c r="G765" s="39" t="str">
        <f aca="false">UPPER(TRIM(C765))</f>
        <v>P015</v>
      </c>
      <c r="H765" s="39" t="str">
        <f aca="false">IF(ISNUMBER(MATCH(G765,Products!$A$5:$A$24,0)),"OK","Mismatch")</f>
        <v>OK</v>
      </c>
      <c r="I765" s="39" t="str">
        <f aca="false">IF(COUNTIF($A$5:A765,A765)&gt;1,"Duplicate","Unique")</f>
        <v>Unique</v>
      </c>
      <c r="J765" s="39" t="str">
        <f aca="false">IF(I765="Duplicate","Remove",IF(H765="Mismatch","Exclude","Keep"))</f>
        <v>Keep</v>
      </c>
    </row>
    <row r="766" customFormat="false" ht="15" hidden="false" customHeight="false" outlineLevel="0" collapsed="false">
      <c r="A766" s="39" t="s">
        <v>875</v>
      </c>
      <c r="B766" s="40" t="n">
        <v>45766</v>
      </c>
      <c r="C766" s="39" t="s">
        <v>136</v>
      </c>
      <c r="D766" s="39" t="n">
        <v>5</v>
      </c>
      <c r="E766" s="41" t="n">
        <v>77.68</v>
      </c>
      <c r="F766" s="39" t="s">
        <v>118</v>
      </c>
      <c r="G766" s="39" t="str">
        <f aca="false">UPPER(TRIM(C766))</f>
        <v>P002</v>
      </c>
      <c r="H766" s="39" t="str">
        <f aca="false">IF(ISNUMBER(MATCH(G766,Products!$A$5:$A$24,0)),"OK","Mismatch")</f>
        <v>OK</v>
      </c>
      <c r="I766" s="39" t="str">
        <f aca="false">IF(COUNTIF($A$5:A766,A766)&gt;1,"Duplicate","Unique")</f>
        <v>Unique</v>
      </c>
      <c r="J766" s="39" t="str">
        <f aca="false">IF(I766="Duplicate","Remove",IF(H766="Mismatch","Exclude","Keep"))</f>
        <v>Keep</v>
      </c>
    </row>
    <row r="767" customFormat="false" ht="15" hidden="false" customHeight="false" outlineLevel="0" collapsed="false">
      <c r="A767" s="39" t="s">
        <v>876</v>
      </c>
      <c r="B767" s="40" t="n">
        <v>45766</v>
      </c>
      <c r="C767" s="39" t="s">
        <v>107</v>
      </c>
      <c r="D767" s="39" t="n">
        <v>1</v>
      </c>
      <c r="E767" s="41" t="n">
        <v>33.12</v>
      </c>
      <c r="F767" s="39" t="s">
        <v>105</v>
      </c>
      <c r="G767" s="39" t="str">
        <f aca="false">UPPER(TRIM(C767))</f>
        <v>P003</v>
      </c>
      <c r="H767" s="39" t="str">
        <f aca="false">IF(ISNUMBER(MATCH(G767,Products!$A$5:$A$24,0)),"OK","Mismatch")</f>
        <v>OK</v>
      </c>
      <c r="I767" s="39" t="str">
        <f aca="false">IF(COUNTIF($A$5:A767,A767)&gt;1,"Duplicate","Unique")</f>
        <v>Unique</v>
      </c>
      <c r="J767" s="39" t="str">
        <f aca="false">IF(I767="Duplicate","Remove",IF(H767="Mismatch","Exclude","Keep"))</f>
        <v>Keep</v>
      </c>
    </row>
    <row r="768" customFormat="false" ht="15" hidden="false" customHeight="false" outlineLevel="0" collapsed="false">
      <c r="A768" s="39" t="s">
        <v>877</v>
      </c>
      <c r="B768" s="40" t="n">
        <v>45766</v>
      </c>
      <c r="C768" s="39" t="s">
        <v>139</v>
      </c>
      <c r="D768" s="39" t="n">
        <v>5</v>
      </c>
      <c r="E768" s="41" t="n">
        <v>125.11</v>
      </c>
      <c r="F768" s="39" t="s">
        <v>105</v>
      </c>
      <c r="G768" s="39" t="str">
        <f aca="false">UPPER(TRIM(C768))</f>
        <v>P006</v>
      </c>
      <c r="H768" s="39" t="str">
        <f aca="false">IF(ISNUMBER(MATCH(G768,Products!$A$5:$A$24,0)),"OK","Mismatch")</f>
        <v>OK</v>
      </c>
      <c r="I768" s="39" t="str">
        <f aca="false">IF(COUNTIF($A$5:A768,A768)&gt;1,"Duplicate","Unique")</f>
        <v>Unique</v>
      </c>
      <c r="J768" s="39" t="str">
        <f aca="false">IF(I768="Duplicate","Remove",IF(H768="Mismatch","Exclude","Keep"))</f>
        <v>Keep</v>
      </c>
    </row>
    <row r="769" customFormat="false" ht="15" hidden="false" customHeight="false" outlineLevel="0" collapsed="false">
      <c r="A769" s="39" t="s">
        <v>878</v>
      </c>
      <c r="B769" s="40" t="n">
        <v>45766</v>
      </c>
      <c r="C769" s="39" t="s">
        <v>126</v>
      </c>
      <c r="D769" s="39" t="n">
        <v>1</v>
      </c>
      <c r="E769" s="41" t="n">
        <v>24.95</v>
      </c>
      <c r="F769" s="39" t="s">
        <v>105</v>
      </c>
      <c r="G769" s="39" t="str">
        <f aca="false">UPPER(TRIM(C769))</f>
        <v>P001</v>
      </c>
      <c r="H769" s="39" t="str">
        <f aca="false">IF(ISNUMBER(MATCH(G769,Products!$A$5:$A$24,0)),"OK","Mismatch")</f>
        <v>OK</v>
      </c>
      <c r="I769" s="39" t="str">
        <f aca="false">IF(COUNTIF($A$5:A769,A769)&gt;1,"Duplicate","Unique")</f>
        <v>Unique</v>
      </c>
      <c r="J769" s="39" t="str">
        <f aca="false">IF(I769="Duplicate","Remove",IF(H769="Mismatch","Exclude","Keep"))</f>
        <v>Keep</v>
      </c>
    </row>
    <row r="770" customFormat="false" ht="15" hidden="false" customHeight="false" outlineLevel="0" collapsed="false">
      <c r="A770" s="39" t="s">
        <v>879</v>
      </c>
      <c r="B770" s="40" t="n">
        <v>45766</v>
      </c>
      <c r="C770" s="39" t="s">
        <v>162</v>
      </c>
      <c r="D770" s="39" t="n">
        <v>8</v>
      </c>
      <c r="E770" s="41" t="n">
        <v>68.34</v>
      </c>
      <c r="F770" s="39" t="s">
        <v>115</v>
      </c>
      <c r="G770" s="39" t="str">
        <f aca="false">UPPER(TRIM(C770))</f>
        <v>P017</v>
      </c>
      <c r="H770" s="39" t="str">
        <f aca="false">IF(ISNUMBER(MATCH(G770,Products!$A$5:$A$24,0)),"OK","Mismatch")</f>
        <v>OK</v>
      </c>
      <c r="I770" s="39" t="str">
        <f aca="false">IF(COUNTIF($A$5:A770,A770)&gt;1,"Duplicate","Unique")</f>
        <v>Unique</v>
      </c>
      <c r="J770" s="39" t="str">
        <f aca="false">IF(I770="Duplicate","Remove",IF(H770="Mismatch","Exclude","Keep"))</f>
        <v>Keep</v>
      </c>
    </row>
    <row r="771" customFormat="false" ht="15" hidden="false" customHeight="false" outlineLevel="0" collapsed="false">
      <c r="A771" s="39" t="s">
        <v>880</v>
      </c>
      <c r="B771" s="40" t="n">
        <v>45766</v>
      </c>
      <c r="C771" s="39" t="s">
        <v>183</v>
      </c>
      <c r="D771" s="39" t="n">
        <v>2</v>
      </c>
      <c r="E771" s="41" t="n">
        <v>174.33</v>
      </c>
      <c r="F771" s="39" t="s">
        <v>105</v>
      </c>
      <c r="G771" s="39" t="str">
        <f aca="false">UPPER(TRIM(C771))</f>
        <v>P007</v>
      </c>
      <c r="H771" s="39" t="str">
        <f aca="false">IF(ISNUMBER(MATCH(G771,Products!$A$5:$A$24,0)),"OK","Mismatch")</f>
        <v>OK</v>
      </c>
      <c r="I771" s="39" t="str">
        <f aca="false">IF(COUNTIF($A$5:A771,A771)&gt;1,"Duplicate","Unique")</f>
        <v>Unique</v>
      </c>
      <c r="J771" s="39" t="str">
        <f aca="false">IF(I771="Duplicate","Remove",IF(H771="Mismatch","Exclude","Keep"))</f>
        <v>Keep</v>
      </c>
    </row>
    <row r="772" customFormat="false" ht="15" hidden="false" customHeight="false" outlineLevel="0" collapsed="false">
      <c r="A772" s="39" t="s">
        <v>881</v>
      </c>
      <c r="B772" s="40" t="n">
        <v>45766</v>
      </c>
      <c r="C772" s="39" t="s">
        <v>104</v>
      </c>
      <c r="D772" s="39" t="n">
        <v>2</v>
      </c>
      <c r="E772" s="41" t="n">
        <v>15.36</v>
      </c>
      <c r="F772" s="39" t="s">
        <v>105</v>
      </c>
      <c r="G772" s="39" t="str">
        <f aca="false">UPPER(TRIM(C772))</f>
        <v>P015</v>
      </c>
      <c r="H772" s="39" t="str">
        <f aca="false">IF(ISNUMBER(MATCH(G772,Products!$A$5:$A$24,0)),"OK","Mismatch")</f>
        <v>OK</v>
      </c>
      <c r="I772" s="39" t="str">
        <f aca="false">IF(COUNTIF($A$5:A772,A772)&gt;1,"Duplicate","Unique")</f>
        <v>Unique</v>
      </c>
      <c r="J772" s="39" t="str">
        <f aca="false">IF(I772="Duplicate","Remove",IF(H772="Mismatch","Exclude","Keep"))</f>
        <v>Keep</v>
      </c>
    </row>
    <row r="773" customFormat="false" ht="15" hidden="false" customHeight="false" outlineLevel="0" collapsed="false">
      <c r="A773" s="39" t="s">
        <v>882</v>
      </c>
      <c r="B773" s="40" t="n">
        <v>45766</v>
      </c>
      <c r="C773" s="39" t="s">
        <v>153</v>
      </c>
      <c r="D773" s="39" t="n">
        <v>2</v>
      </c>
      <c r="E773" s="41" t="n">
        <v>168.53</v>
      </c>
      <c r="F773" s="39" t="s">
        <v>108</v>
      </c>
      <c r="G773" s="39" t="str">
        <f aca="false">UPPER(TRIM(C773))</f>
        <v>P010</v>
      </c>
      <c r="H773" s="39" t="str">
        <f aca="false">IF(ISNUMBER(MATCH(G773,Products!$A$5:$A$24,0)),"OK","Mismatch")</f>
        <v>OK</v>
      </c>
      <c r="I773" s="39" t="str">
        <f aca="false">IF(COUNTIF($A$5:A773,A773)&gt;1,"Duplicate","Unique")</f>
        <v>Unique</v>
      </c>
      <c r="J773" s="39" t="str">
        <f aca="false">IF(I773="Duplicate","Remove",IF(H773="Mismatch","Exclude","Keep"))</f>
        <v>Keep</v>
      </c>
    </row>
    <row r="774" customFormat="false" ht="15" hidden="false" customHeight="false" outlineLevel="0" collapsed="false">
      <c r="A774" s="39" t="s">
        <v>883</v>
      </c>
      <c r="B774" s="40" t="n">
        <v>45766</v>
      </c>
      <c r="C774" s="39" t="s">
        <v>162</v>
      </c>
      <c r="D774" s="39" t="n">
        <v>1</v>
      </c>
      <c r="E774" s="41" t="n">
        <v>67.12</v>
      </c>
      <c r="F774" s="39" t="s">
        <v>105</v>
      </c>
      <c r="G774" s="39" t="str">
        <f aca="false">UPPER(TRIM(C774))</f>
        <v>P017</v>
      </c>
      <c r="H774" s="39" t="str">
        <f aca="false">IF(ISNUMBER(MATCH(G774,Products!$A$5:$A$24,0)),"OK","Mismatch")</f>
        <v>OK</v>
      </c>
      <c r="I774" s="39" t="str">
        <f aca="false">IF(COUNTIF($A$5:A774,A774)&gt;1,"Duplicate","Unique")</f>
        <v>Unique</v>
      </c>
      <c r="J774" s="39" t="str">
        <f aca="false">IF(I774="Duplicate","Remove",IF(H774="Mismatch","Exclude","Keep"))</f>
        <v>Keep</v>
      </c>
    </row>
    <row r="775" customFormat="false" ht="15" hidden="false" customHeight="false" outlineLevel="0" collapsed="false">
      <c r="A775" s="39" t="s">
        <v>884</v>
      </c>
      <c r="B775" s="40" t="n">
        <v>45766</v>
      </c>
      <c r="C775" s="39" t="s">
        <v>126</v>
      </c>
      <c r="D775" s="39" t="n">
        <v>1</v>
      </c>
      <c r="E775" s="41" t="n">
        <v>23.14</v>
      </c>
      <c r="F775" s="39" t="s">
        <v>118</v>
      </c>
      <c r="G775" s="39" t="str">
        <f aca="false">UPPER(TRIM(C775))</f>
        <v>P001</v>
      </c>
      <c r="H775" s="39" t="str">
        <f aca="false">IF(ISNUMBER(MATCH(G775,Products!$A$5:$A$24,0)),"OK","Mismatch")</f>
        <v>OK</v>
      </c>
      <c r="I775" s="39" t="str">
        <f aca="false">IF(COUNTIF($A$5:A775,A775)&gt;1,"Duplicate","Unique")</f>
        <v>Unique</v>
      </c>
      <c r="J775" s="39" t="str">
        <f aca="false">IF(I775="Duplicate","Remove",IF(H775="Mismatch","Exclude","Keep"))</f>
        <v>Keep</v>
      </c>
    </row>
    <row r="776" customFormat="false" ht="15" hidden="false" customHeight="false" outlineLevel="0" collapsed="false">
      <c r="A776" s="39" t="s">
        <v>885</v>
      </c>
      <c r="B776" s="40" t="n">
        <v>45766</v>
      </c>
      <c r="C776" s="39" t="s">
        <v>104</v>
      </c>
      <c r="D776" s="39" t="n">
        <v>1</v>
      </c>
      <c r="E776" s="41" t="n">
        <v>15.41</v>
      </c>
      <c r="F776" s="39" t="s">
        <v>105</v>
      </c>
      <c r="G776" s="39" t="str">
        <f aca="false">UPPER(TRIM(C776))</f>
        <v>P015</v>
      </c>
      <c r="H776" s="39" t="str">
        <f aca="false">IF(ISNUMBER(MATCH(G776,Products!$A$5:$A$24,0)),"OK","Mismatch")</f>
        <v>OK</v>
      </c>
      <c r="I776" s="39" t="str">
        <f aca="false">IF(COUNTIF($A$5:A776,A776)&gt;1,"Duplicate","Unique")</f>
        <v>Unique</v>
      </c>
      <c r="J776" s="39" t="str">
        <f aca="false">IF(I776="Duplicate","Remove",IF(H776="Mismatch","Exclude","Keep"))</f>
        <v>Keep</v>
      </c>
    </row>
    <row r="777" customFormat="false" ht="15" hidden="false" customHeight="false" outlineLevel="0" collapsed="false">
      <c r="A777" s="39" t="s">
        <v>886</v>
      </c>
      <c r="B777" s="40" t="n">
        <v>45766</v>
      </c>
      <c r="C777" s="39" t="s">
        <v>128</v>
      </c>
      <c r="D777" s="39" t="n">
        <v>5</v>
      </c>
      <c r="E777" s="41" t="n">
        <v>38.13</v>
      </c>
      <c r="F777" s="39" t="s">
        <v>108</v>
      </c>
      <c r="G777" s="39" t="str">
        <f aca="false">UPPER(TRIM(C777))</f>
        <v>P020</v>
      </c>
      <c r="H777" s="39" t="str">
        <f aca="false">IF(ISNUMBER(MATCH(G777,Products!$A$5:$A$24,0)),"OK","Mismatch")</f>
        <v>OK</v>
      </c>
      <c r="I777" s="39" t="str">
        <f aca="false">IF(COUNTIF($A$5:A777,A777)&gt;1,"Duplicate","Unique")</f>
        <v>Unique</v>
      </c>
      <c r="J777" s="39" t="str">
        <f aca="false">IF(I777="Duplicate","Remove",IF(H777="Mismatch","Exclude","Keep"))</f>
        <v>Keep</v>
      </c>
    </row>
    <row r="778" customFormat="false" ht="15" hidden="false" customHeight="false" outlineLevel="0" collapsed="false">
      <c r="A778" s="39" t="s">
        <v>886</v>
      </c>
      <c r="B778" s="40" t="n">
        <v>45766</v>
      </c>
      <c r="C778" s="39" t="s">
        <v>128</v>
      </c>
      <c r="D778" s="39" t="n">
        <v>5</v>
      </c>
      <c r="E778" s="41" t="n">
        <v>38.13</v>
      </c>
      <c r="F778" s="39" t="s">
        <v>108</v>
      </c>
      <c r="G778" s="39" t="str">
        <f aca="false">UPPER(TRIM(C778))</f>
        <v>P020</v>
      </c>
      <c r="H778" s="39" t="str">
        <f aca="false">IF(ISNUMBER(MATCH(G778,Products!$A$5:$A$24,0)),"OK","Mismatch")</f>
        <v>OK</v>
      </c>
      <c r="I778" s="39" t="str">
        <f aca="false">IF(COUNTIF($A$5:A778,A778)&gt;1,"Duplicate","Unique")</f>
        <v>Duplicate</v>
      </c>
      <c r="J778" s="39" t="str">
        <f aca="false">IF(I778="Duplicate","Remove",IF(H778="Mismatch","Exclude","Keep"))</f>
        <v>Remove</v>
      </c>
    </row>
    <row r="779" customFormat="false" ht="15" hidden="false" customHeight="false" outlineLevel="0" collapsed="false">
      <c r="A779" s="39" t="s">
        <v>887</v>
      </c>
      <c r="B779" s="40" t="n">
        <v>45766</v>
      </c>
      <c r="C779" s="39" t="s">
        <v>117</v>
      </c>
      <c r="D779" s="39" t="n">
        <v>2</v>
      </c>
      <c r="E779" s="41" t="n">
        <v>30.41</v>
      </c>
      <c r="F779" s="39" t="s">
        <v>105</v>
      </c>
      <c r="G779" s="39" t="str">
        <f aca="false">UPPER(TRIM(C779))</f>
        <v>P009</v>
      </c>
      <c r="H779" s="39" t="str">
        <f aca="false">IF(ISNUMBER(MATCH(G779,Products!$A$5:$A$24,0)),"OK","Mismatch")</f>
        <v>OK</v>
      </c>
      <c r="I779" s="39" t="str">
        <f aca="false">IF(COUNTIF($A$5:A779,A779)&gt;1,"Duplicate","Unique")</f>
        <v>Unique</v>
      </c>
      <c r="J779" s="39" t="str">
        <f aca="false">IF(I779="Duplicate","Remove",IF(H779="Mismatch","Exclude","Keep"))</f>
        <v>Keep</v>
      </c>
    </row>
    <row r="780" customFormat="false" ht="15" hidden="false" customHeight="false" outlineLevel="0" collapsed="false">
      <c r="A780" s="39" t="s">
        <v>888</v>
      </c>
      <c r="B780" s="40" t="n">
        <v>45766</v>
      </c>
      <c r="C780" s="39" t="s">
        <v>117</v>
      </c>
      <c r="D780" s="39" t="n">
        <v>5</v>
      </c>
      <c r="E780" s="41" t="n">
        <v>31.38</v>
      </c>
      <c r="F780" s="39" t="s">
        <v>115</v>
      </c>
      <c r="G780" s="39" t="str">
        <f aca="false">UPPER(TRIM(C780))</f>
        <v>P009</v>
      </c>
      <c r="H780" s="39" t="str">
        <f aca="false">IF(ISNUMBER(MATCH(G780,Products!$A$5:$A$24,0)),"OK","Mismatch")</f>
        <v>OK</v>
      </c>
      <c r="I780" s="39" t="str">
        <f aca="false">IF(COUNTIF($A$5:A780,A780)&gt;1,"Duplicate","Unique")</f>
        <v>Unique</v>
      </c>
      <c r="J780" s="39" t="str">
        <f aca="false">IF(I780="Duplicate","Remove",IF(H780="Mismatch","Exclude","Keep"))</f>
        <v>Keep</v>
      </c>
    </row>
    <row r="781" customFormat="false" ht="15" hidden="false" customHeight="false" outlineLevel="0" collapsed="false">
      <c r="A781" s="39" t="s">
        <v>889</v>
      </c>
      <c r="B781" s="40" t="n">
        <v>45767</v>
      </c>
      <c r="C781" s="39" t="s">
        <v>130</v>
      </c>
      <c r="D781" s="39" t="n">
        <v>1</v>
      </c>
      <c r="E781" s="41" t="n">
        <v>8.47</v>
      </c>
      <c r="F781" s="39" t="s">
        <v>118</v>
      </c>
      <c r="G781" s="39" t="str">
        <f aca="false">UPPER(TRIM(C781))</f>
        <v>P011</v>
      </c>
      <c r="H781" s="39" t="str">
        <f aca="false">IF(ISNUMBER(MATCH(G781,Products!$A$5:$A$24,0)),"OK","Mismatch")</f>
        <v>OK</v>
      </c>
      <c r="I781" s="39" t="str">
        <f aca="false">IF(COUNTIF($A$5:A781,A781)&gt;1,"Duplicate","Unique")</f>
        <v>Unique</v>
      </c>
      <c r="J781" s="39" t="str">
        <f aca="false">IF(I781="Duplicate","Remove",IF(H781="Mismatch","Exclude","Keep"))</f>
        <v>Keep</v>
      </c>
    </row>
    <row r="782" customFormat="false" ht="15" hidden="false" customHeight="false" outlineLevel="0" collapsed="false">
      <c r="A782" s="39" t="s">
        <v>890</v>
      </c>
      <c r="B782" s="40" t="n">
        <v>45767</v>
      </c>
      <c r="C782" s="39" t="s">
        <v>104</v>
      </c>
      <c r="D782" s="39" t="n">
        <v>2</v>
      </c>
      <c r="E782" s="41" t="n">
        <v>14.98</v>
      </c>
      <c r="F782" s="39" t="s">
        <v>105</v>
      </c>
      <c r="G782" s="39" t="str">
        <f aca="false">UPPER(TRIM(C782))</f>
        <v>P015</v>
      </c>
      <c r="H782" s="39" t="str">
        <f aca="false">IF(ISNUMBER(MATCH(G782,Products!$A$5:$A$24,0)),"OK","Mismatch")</f>
        <v>OK</v>
      </c>
      <c r="I782" s="39" t="str">
        <f aca="false">IF(COUNTIF($A$5:A782,A782)&gt;1,"Duplicate","Unique")</f>
        <v>Unique</v>
      </c>
      <c r="J782" s="39" t="str">
        <f aca="false">IF(I782="Duplicate","Remove",IF(H782="Mismatch","Exclude","Keep"))</f>
        <v>Keep</v>
      </c>
    </row>
    <row r="783" customFormat="false" ht="15" hidden="false" customHeight="false" outlineLevel="0" collapsed="false">
      <c r="A783" s="39" t="s">
        <v>891</v>
      </c>
      <c r="B783" s="40" t="n">
        <v>45767</v>
      </c>
      <c r="C783" s="39" t="s">
        <v>121</v>
      </c>
      <c r="D783" s="39" t="n">
        <v>3</v>
      </c>
      <c r="E783" s="41" t="n">
        <v>118.76</v>
      </c>
      <c r="F783" s="39" t="s">
        <v>108</v>
      </c>
      <c r="G783" s="39" t="str">
        <f aca="false">UPPER(TRIM(C783))</f>
        <v>P018</v>
      </c>
      <c r="H783" s="39" t="str">
        <f aca="false">IF(ISNUMBER(MATCH(G783,Products!$A$5:$A$24,0)),"OK","Mismatch")</f>
        <v>OK</v>
      </c>
      <c r="I783" s="39" t="str">
        <f aca="false">IF(COUNTIF($A$5:A783,A783)&gt;1,"Duplicate","Unique")</f>
        <v>Unique</v>
      </c>
      <c r="J783" s="39" t="str">
        <f aca="false">IF(I783="Duplicate","Remove",IF(H783="Mismatch","Exclude","Keep"))</f>
        <v>Keep</v>
      </c>
    </row>
    <row r="784" customFormat="false" ht="15" hidden="false" customHeight="false" outlineLevel="0" collapsed="false">
      <c r="A784" s="39" t="s">
        <v>892</v>
      </c>
      <c r="B784" s="40" t="n">
        <v>45767</v>
      </c>
      <c r="C784" s="39" t="s">
        <v>128</v>
      </c>
      <c r="D784" s="39" t="n">
        <v>2</v>
      </c>
      <c r="E784" s="41" t="n">
        <v>38.55</v>
      </c>
      <c r="F784" s="39" t="s">
        <v>105</v>
      </c>
      <c r="G784" s="39" t="str">
        <f aca="false">UPPER(TRIM(C784))</f>
        <v>P020</v>
      </c>
      <c r="H784" s="39" t="str">
        <f aca="false">IF(ISNUMBER(MATCH(G784,Products!$A$5:$A$24,0)),"OK","Mismatch")</f>
        <v>OK</v>
      </c>
      <c r="I784" s="39" t="str">
        <f aca="false">IF(COUNTIF($A$5:A784,A784)&gt;1,"Duplicate","Unique")</f>
        <v>Unique</v>
      </c>
      <c r="J784" s="39" t="str">
        <f aca="false">IF(I784="Duplicate","Remove",IF(H784="Mismatch","Exclude","Keep"))</f>
        <v>Keep</v>
      </c>
    </row>
    <row r="785" customFormat="false" ht="15" hidden="false" customHeight="false" outlineLevel="0" collapsed="false">
      <c r="A785" s="39" t="s">
        <v>893</v>
      </c>
      <c r="B785" s="40" t="n">
        <v>45767</v>
      </c>
      <c r="C785" s="39" t="s">
        <v>169</v>
      </c>
      <c r="D785" s="39" t="n">
        <v>4</v>
      </c>
      <c r="E785" s="41" t="n">
        <v>28.72</v>
      </c>
      <c r="F785" s="39" t="s">
        <v>118</v>
      </c>
      <c r="G785" s="39" t="str">
        <f aca="false">UPPER(TRIM(C785))</f>
        <v>P004</v>
      </c>
      <c r="H785" s="39" t="str">
        <f aca="false">IF(ISNUMBER(MATCH(G785,Products!$A$5:$A$24,0)),"OK","Mismatch")</f>
        <v>OK</v>
      </c>
      <c r="I785" s="39" t="str">
        <f aca="false">IF(COUNTIF($A$5:A785,A785)&gt;1,"Duplicate","Unique")</f>
        <v>Unique</v>
      </c>
      <c r="J785" s="39" t="str">
        <f aca="false">IF(I785="Duplicate","Remove",IF(H785="Mismatch","Exclude","Keep"))</f>
        <v>Keep</v>
      </c>
    </row>
    <row r="786" customFormat="false" ht="15" hidden="false" customHeight="false" outlineLevel="0" collapsed="false">
      <c r="A786" s="39" t="s">
        <v>894</v>
      </c>
      <c r="B786" s="40" t="n">
        <v>45767</v>
      </c>
      <c r="C786" s="39" t="s">
        <v>114</v>
      </c>
      <c r="D786" s="39" t="n">
        <v>2</v>
      </c>
      <c r="E786" s="41" t="n">
        <v>5.86</v>
      </c>
      <c r="F786" s="39" t="s">
        <v>118</v>
      </c>
      <c r="G786" s="39" t="str">
        <f aca="false">UPPER(TRIM(C786))</f>
        <v>P012</v>
      </c>
      <c r="H786" s="39" t="str">
        <f aca="false">IF(ISNUMBER(MATCH(G786,Products!$A$5:$A$24,0)),"OK","Mismatch")</f>
        <v>OK</v>
      </c>
      <c r="I786" s="39" t="str">
        <f aca="false">IF(COUNTIF($A$5:A786,A786)&gt;1,"Duplicate","Unique")</f>
        <v>Unique</v>
      </c>
      <c r="J786" s="39" t="str">
        <f aca="false">IF(I786="Duplicate","Remove",IF(H786="Mismatch","Exclude","Keep"))</f>
        <v>Keep</v>
      </c>
    </row>
    <row r="787" customFormat="false" ht="15" hidden="false" customHeight="false" outlineLevel="0" collapsed="false">
      <c r="A787" s="39" t="s">
        <v>895</v>
      </c>
      <c r="B787" s="40" t="n">
        <v>45768</v>
      </c>
      <c r="C787" s="39" t="s">
        <v>126</v>
      </c>
      <c r="D787" s="39" t="n">
        <v>6</v>
      </c>
      <c r="E787" s="41" t="n">
        <v>24.25</v>
      </c>
      <c r="F787" s="39" t="s">
        <v>118</v>
      </c>
      <c r="G787" s="39" t="str">
        <f aca="false">UPPER(TRIM(C787))</f>
        <v>P001</v>
      </c>
      <c r="H787" s="39" t="str">
        <f aca="false">IF(ISNUMBER(MATCH(G787,Products!$A$5:$A$24,0)),"OK","Mismatch")</f>
        <v>OK</v>
      </c>
      <c r="I787" s="39" t="str">
        <f aca="false">IF(COUNTIF($A$5:A787,A787)&gt;1,"Duplicate","Unique")</f>
        <v>Unique</v>
      </c>
      <c r="J787" s="39" t="str">
        <f aca="false">IF(I787="Duplicate","Remove",IF(H787="Mismatch","Exclude","Keep"))</f>
        <v>Keep</v>
      </c>
    </row>
    <row r="788" customFormat="false" ht="15" hidden="false" customHeight="false" outlineLevel="0" collapsed="false">
      <c r="A788" s="39" t="s">
        <v>896</v>
      </c>
      <c r="B788" s="40" t="n">
        <v>45768</v>
      </c>
      <c r="C788" s="39" t="s">
        <v>110</v>
      </c>
      <c r="D788" s="39" t="n">
        <v>2</v>
      </c>
      <c r="E788" s="41" t="n">
        <v>13.49</v>
      </c>
      <c r="F788" s="39" t="s">
        <v>115</v>
      </c>
      <c r="G788" s="39" t="str">
        <f aca="false">UPPER(TRIM(C788))</f>
        <v>P016</v>
      </c>
      <c r="H788" s="39" t="str">
        <f aca="false">IF(ISNUMBER(MATCH(G788,Products!$A$5:$A$24,0)),"OK","Mismatch")</f>
        <v>OK</v>
      </c>
      <c r="I788" s="39" t="str">
        <f aca="false">IF(COUNTIF($A$5:A788,A788)&gt;1,"Duplicate","Unique")</f>
        <v>Unique</v>
      </c>
      <c r="J788" s="39" t="str">
        <f aca="false">IF(I788="Duplicate","Remove",IF(H788="Mismatch","Exclude","Keep"))</f>
        <v>Keep</v>
      </c>
    </row>
    <row r="789" customFormat="false" ht="15" hidden="false" customHeight="false" outlineLevel="0" collapsed="false">
      <c r="A789" s="39" t="s">
        <v>897</v>
      </c>
      <c r="B789" s="40" t="n">
        <v>45768</v>
      </c>
      <c r="C789" s="39" t="s">
        <v>177</v>
      </c>
      <c r="D789" s="39" t="n">
        <v>1</v>
      </c>
      <c r="E789" s="41" t="n">
        <v>41.81</v>
      </c>
      <c r="F789" s="39" t="s">
        <v>118</v>
      </c>
      <c r="G789" s="39" t="str">
        <f aca="false">UPPER(TRIM(C789))</f>
        <v>P014</v>
      </c>
      <c r="H789" s="39" t="str">
        <f aca="false">IF(ISNUMBER(MATCH(G789,Products!$A$5:$A$24,0)),"OK","Mismatch")</f>
        <v>OK</v>
      </c>
      <c r="I789" s="39" t="str">
        <f aca="false">IF(COUNTIF($A$5:A789,A789)&gt;1,"Duplicate","Unique")</f>
        <v>Unique</v>
      </c>
      <c r="J789" s="39" t="str">
        <f aca="false">IF(I789="Duplicate","Remove",IF(H789="Mismatch","Exclude","Keep"))</f>
        <v>Keep</v>
      </c>
    </row>
    <row r="790" customFormat="false" ht="15" hidden="false" customHeight="false" outlineLevel="0" collapsed="false">
      <c r="A790" s="39" t="s">
        <v>898</v>
      </c>
      <c r="B790" s="40" t="n">
        <v>45768</v>
      </c>
      <c r="C790" s="39" t="s">
        <v>183</v>
      </c>
      <c r="D790" s="39" t="n">
        <v>5</v>
      </c>
      <c r="E790" s="41" t="n">
        <v>183.54</v>
      </c>
      <c r="F790" s="39" t="s">
        <v>115</v>
      </c>
      <c r="G790" s="39" t="str">
        <f aca="false">UPPER(TRIM(C790))</f>
        <v>P007</v>
      </c>
      <c r="H790" s="39" t="str">
        <f aca="false">IF(ISNUMBER(MATCH(G790,Products!$A$5:$A$24,0)),"OK","Mismatch")</f>
        <v>OK</v>
      </c>
      <c r="I790" s="39" t="str">
        <f aca="false">IF(COUNTIF($A$5:A790,A790)&gt;1,"Duplicate","Unique")</f>
        <v>Unique</v>
      </c>
      <c r="J790" s="39" t="str">
        <f aca="false">IF(I790="Duplicate","Remove",IF(H790="Mismatch","Exclude","Keep"))</f>
        <v>Keep</v>
      </c>
    </row>
    <row r="791" customFormat="false" ht="15" hidden="false" customHeight="false" outlineLevel="0" collapsed="false">
      <c r="A791" s="39" t="s">
        <v>899</v>
      </c>
      <c r="B791" s="40" t="n">
        <v>45768</v>
      </c>
      <c r="C791" s="39" t="s">
        <v>130</v>
      </c>
      <c r="D791" s="39" t="n">
        <v>3</v>
      </c>
      <c r="E791" s="41" t="n">
        <v>8.91</v>
      </c>
      <c r="F791" s="39" t="s">
        <v>118</v>
      </c>
      <c r="G791" s="39" t="str">
        <f aca="false">UPPER(TRIM(C791))</f>
        <v>P011</v>
      </c>
      <c r="H791" s="39" t="str">
        <f aca="false">IF(ISNUMBER(MATCH(G791,Products!$A$5:$A$24,0)),"OK","Mismatch")</f>
        <v>OK</v>
      </c>
      <c r="I791" s="39" t="str">
        <f aca="false">IF(COUNTIF($A$5:A791,A791)&gt;1,"Duplicate","Unique")</f>
        <v>Unique</v>
      </c>
      <c r="J791" s="39" t="str">
        <f aca="false">IF(I791="Duplicate","Remove",IF(H791="Mismatch","Exclude","Keep"))</f>
        <v>Keep</v>
      </c>
    </row>
    <row r="792" customFormat="false" ht="15" hidden="false" customHeight="false" outlineLevel="0" collapsed="false">
      <c r="A792" s="39" t="s">
        <v>900</v>
      </c>
      <c r="B792" s="40" t="n">
        <v>45769</v>
      </c>
      <c r="C792" s="39" t="s">
        <v>133</v>
      </c>
      <c r="D792" s="39" t="n">
        <v>1</v>
      </c>
      <c r="E792" s="41" t="n">
        <v>8.56</v>
      </c>
      <c r="F792" s="39" t="s">
        <v>115</v>
      </c>
      <c r="G792" s="39" t="str">
        <f aca="false">UPPER(TRIM(C792))</f>
        <v>P019</v>
      </c>
      <c r="H792" s="39" t="str">
        <f aca="false">IF(ISNUMBER(MATCH(G792,Products!$A$5:$A$24,0)),"OK","Mismatch")</f>
        <v>OK</v>
      </c>
      <c r="I792" s="39" t="str">
        <f aca="false">IF(COUNTIF($A$5:A792,A792)&gt;1,"Duplicate","Unique")</f>
        <v>Unique</v>
      </c>
      <c r="J792" s="39" t="str">
        <f aca="false">IF(I792="Duplicate","Remove",IF(H792="Mismatch","Exclude","Keep"))</f>
        <v>Keep</v>
      </c>
    </row>
    <row r="793" customFormat="false" ht="15" hidden="false" customHeight="false" outlineLevel="0" collapsed="false">
      <c r="A793" s="39" t="s">
        <v>901</v>
      </c>
      <c r="B793" s="40" t="n">
        <v>45769</v>
      </c>
      <c r="C793" s="39" t="s">
        <v>177</v>
      </c>
      <c r="D793" s="39" t="n">
        <v>1</v>
      </c>
      <c r="E793" s="41" t="n">
        <v>42.89</v>
      </c>
      <c r="F793" s="39" t="s">
        <v>118</v>
      </c>
      <c r="G793" s="39" t="str">
        <f aca="false">UPPER(TRIM(C793))</f>
        <v>P014</v>
      </c>
      <c r="H793" s="39" t="str">
        <f aca="false">IF(ISNUMBER(MATCH(G793,Products!$A$5:$A$24,0)),"OK","Mismatch")</f>
        <v>OK</v>
      </c>
      <c r="I793" s="39" t="str">
        <f aca="false">IF(COUNTIF($A$5:A793,A793)&gt;1,"Duplicate","Unique")</f>
        <v>Unique</v>
      </c>
      <c r="J793" s="39" t="str">
        <f aca="false">IF(I793="Duplicate","Remove",IF(H793="Mismatch","Exclude","Keep"))</f>
        <v>Keep</v>
      </c>
    </row>
    <row r="794" customFormat="false" ht="15" hidden="false" customHeight="false" outlineLevel="0" collapsed="false">
      <c r="A794" s="39" t="s">
        <v>902</v>
      </c>
      <c r="B794" s="40" t="n">
        <v>45769</v>
      </c>
      <c r="C794" s="39" t="s">
        <v>114</v>
      </c>
      <c r="D794" s="39" t="n">
        <v>8</v>
      </c>
      <c r="E794" s="41" t="n">
        <v>5.8</v>
      </c>
      <c r="F794" s="39" t="s">
        <v>115</v>
      </c>
      <c r="G794" s="39" t="str">
        <f aca="false">UPPER(TRIM(C794))</f>
        <v>P012</v>
      </c>
      <c r="H794" s="39" t="str">
        <f aca="false">IF(ISNUMBER(MATCH(G794,Products!$A$5:$A$24,0)),"OK","Mismatch")</f>
        <v>OK</v>
      </c>
      <c r="I794" s="39" t="str">
        <f aca="false">IF(COUNTIF($A$5:A794,A794)&gt;1,"Duplicate","Unique")</f>
        <v>Unique</v>
      </c>
      <c r="J794" s="39" t="str">
        <f aca="false">IF(I794="Duplicate","Remove",IF(H794="Mismatch","Exclude","Keep"))</f>
        <v>Keep</v>
      </c>
    </row>
    <row r="795" customFormat="false" ht="15" hidden="false" customHeight="false" outlineLevel="0" collapsed="false">
      <c r="A795" s="39" t="s">
        <v>903</v>
      </c>
      <c r="B795" s="40" t="n">
        <v>45769</v>
      </c>
      <c r="C795" s="39" t="s">
        <v>169</v>
      </c>
      <c r="D795" s="39" t="n">
        <v>6</v>
      </c>
      <c r="E795" s="41" t="n">
        <v>28.89</v>
      </c>
      <c r="F795" s="39" t="s">
        <v>105</v>
      </c>
      <c r="G795" s="39" t="str">
        <f aca="false">UPPER(TRIM(C795))</f>
        <v>P004</v>
      </c>
      <c r="H795" s="39" t="str">
        <f aca="false">IF(ISNUMBER(MATCH(G795,Products!$A$5:$A$24,0)),"OK","Mismatch")</f>
        <v>OK</v>
      </c>
      <c r="I795" s="39" t="str">
        <f aca="false">IF(COUNTIF($A$5:A795,A795)&gt;1,"Duplicate","Unique")</f>
        <v>Unique</v>
      </c>
      <c r="J795" s="39" t="str">
        <f aca="false">IF(I795="Duplicate","Remove",IF(H795="Mismatch","Exclude","Keep"))</f>
        <v>Keep</v>
      </c>
    </row>
    <row r="796" customFormat="false" ht="15" hidden="false" customHeight="false" outlineLevel="0" collapsed="false">
      <c r="A796" s="39" t="s">
        <v>904</v>
      </c>
      <c r="B796" s="40" t="n">
        <v>45770</v>
      </c>
      <c r="C796" s="39" t="s">
        <v>139</v>
      </c>
      <c r="D796" s="39" t="n">
        <v>8</v>
      </c>
      <c r="E796" s="41" t="n">
        <v>128.78</v>
      </c>
      <c r="F796" s="39" t="s">
        <v>118</v>
      </c>
      <c r="G796" s="39" t="str">
        <f aca="false">UPPER(TRIM(C796))</f>
        <v>P006</v>
      </c>
      <c r="H796" s="39" t="str">
        <f aca="false">IF(ISNUMBER(MATCH(G796,Products!$A$5:$A$24,0)),"OK","Mismatch")</f>
        <v>OK</v>
      </c>
      <c r="I796" s="39" t="str">
        <f aca="false">IF(COUNTIF($A$5:A796,A796)&gt;1,"Duplicate","Unique")</f>
        <v>Unique</v>
      </c>
      <c r="J796" s="39" t="str">
        <f aca="false">IF(I796="Duplicate","Remove",IF(H796="Mismatch","Exclude","Keep"))</f>
        <v>Keep</v>
      </c>
    </row>
    <row r="797" customFormat="false" ht="15" hidden="false" customHeight="false" outlineLevel="0" collapsed="false">
      <c r="A797" s="39" t="s">
        <v>905</v>
      </c>
      <c r="B797" s="40" t="n">
        <v>45770</v>
      </c>
      <c r="C797" s="39" t="s">
        <v>112</v>
      </c>
      <c r="D797" s="39" t="n">
        <v>2</v>
      </c>
      <c r="E797" s="41" t="n">
        <v>54.48</v>
      </c>
      <c r="F797" s="39" t="s">
        <v>105</v>
      </c>
      <c r="G797" s="39" t="str">
        <f aca="false">UPPER(TRIM(C797))</f>
        <v>P005</v>
      </c>
      <c r="H797" s="39" t="str">
        <f aca="false">IF(ISNUMBER(MATCH(G797,Products!$A$5:$A$24,0)),"OK","Mismatch")</f>
        <v>OK</v>
      </c>
      <c r="I797" s="39" t="str">
        <f aca="false">IF(COUNTIF($A$5:A797,A797)&gt;1,"Duplicate","Unique")</f>
        <v>Unique</v>
      </c>
      <c r="J797" s="39" t="str">
        <f aca="false">IF(I797="Duplicate","Remove",IF(H797="Mismatch","Exclude","Keep"))</f>
        <v>Keep</v>
      </c>
    </row>
    <row r="798" customFormat="false" ht="15" hidden="false" customHeight="false" outlineLevel="0" collapsed="false">
      <c r="A798" s="39" t="s">
        <v>906</v>
      </c>
      <c r="B798" s="40" t="n">
        <v>45770</v>
      </c>
      <c r="C798" s="39" t="s">
        <v>107</v>
      </c>
      <c r="D798" s="39" t="n">
        <v>1</v>
      </c>
      <c r="E798" s="41" t="n">
        <v>34.22</v>
      </c>
      <c r="F798" s="39" t="s">
        <v>115</v>
      </c>
      <c r="G798" s="39" t="str">
        <f aca="false">UPPER(TRIM(C798))</f>
        <v>P003</v>
      </c>
      <c r="H798" s="39" t="str">
        <f aca="false">IF(ISNUMBER(MATCH(G798,Products!$A$5:$A$24,0)),"OK","Mismatch")</f>
        <v>OK</v>
      </c>
      <c r="I798" s="39" t="str">
        <f aca="false">IF(COUNTIF($A$5:A798,A798)&gt;1,"Duplicate","Unique")</f>
        <v>Unique</v>
      </c>
      <c r="J798" s="39" t="str">
        <f aca="false">IF(I798="Duplicate","Remove",IF(H798="Mismatch","Exclude","Keep"))</f>
        <v>Keep</v>
      </c>
    </row>
    <row r="799" customFormat="false" ht="15" hidden="false" customHeight="false" outlineLevel="0" collapsed="false">
      <c r="A799" s="39" t="s">
        <v>907</v>
      </c>
      <c r="B799" s="40" t="n">
        <v>45770</v>
      </c>
      <c r="C799" s="39" t="s">
        <v>104</v>
      </c>
      <c r="D799" s="39" t="n">
        <v>2</v>
      </c>
      <c r="E799" s="41" t="n">
        <v>15</v>
      </c>
      <c r="F799" s="39" t="s">
        <v>115</v>
      </c>
      <c r="G799" s="39" t="str">
        <f aca="false">UPPER(TRIM(C799))</f>
        <v>P015</v>
      </c>
      <c r="H799" s="39" t="str">
        <f aca="false">IF(ISNUMBER(MATCH(G799,Products!$A$5:$A$24,0)),"OK","Mismatch")</f>
        <v>OK</v>
      </c>
      <c r="I799" s="39" t="str">
        <f aca="false">IF(COUNTIF($A$5:A799,A799)&gt;1,"Duplicate","Unique")</f>
        <v>Unique</v>
      </c>
      <c r="J799" s="39" t="str">
        <f aca="false">IF(I799="Duplicate","Remove",IF(H799="Mismatch","Exclude","Keep"))</f>
        <v>Keep</v>
      </c>
    </row>
    <row r="800" customFormat="false" ht="15" hidden="false" customHeight="false" outlineLevel="0" collapsed="false">
      <c r="A800" s="39" t="s">
        <v>908</v>
      </c>
      <c r="B800" s="40" t="n">
        <v>45770</v>
      </c>
      <c r="C800" s="39" t="s">
        <v>110</v>
      </c>
      <c r="D800" s="39" t="n">
        <v>2</v>
      </c>
      <c r="E800" s="41" t="n">
        <v>13.39</v>
      </c>
      <c r="F800" s="39" t="s">
        <v>118</v>
      </c>
      <c r="G800" s="39" t="str">
        <f aca="false">UPPER(TRIM(C800))</f>
        <v>P016</v>
      </c>
      <c r="H800" s="39" t="str">
        <f aca="false">IF(ISNUMBER(MATCH(G800,Products!$A$5:$A$24,0)),"OK","Mismatch")</f>
        <v>OK</v>
      </c>
      <c r="I800" s="39" t="str">
        <f aca="false">IF(COUNTIF($A$5:A800,A800)&gt;1,"Duplicate","Unique")</f>
        <v>Unique</v>
      </c>
      <c r="J800" s="39" t="str">
        <f aca="false">IF(I800="Duplicate","Remove",IF(H800="Mismatch","Exclude","Keep"))</f>
        <v>Keep</v>
      </c>
    </row>
    <row r="801" customFormat="false" ht="15" hidden="false" customHeight="false" outlineLevel="0" collapsed="false">
      <c r="A801" s="39" t="s">
        <v>909</v>
      </c>
      <c r="B801" s="40" t="n">
        <v>45771</v>
      </c>
      <c r="C801" s="39" t="s">
        <v>114</v>
      </c>
      <c r="D801" s="39" t="n">
        <v>1</v>
      </c>
      <c r="E801" s="41" t="n">
        <v>5.68</v>
      </c>
      <c r="F801" s="39" t="s">
        <v>108</v>
      </c>
      <c r="G801" s="39" t="str">
        <f aca="false">UPPER(TRIM(C801))</f>
        <v>P012</v>
      </c>
      <c r="H801" s="39" t="str">
        <f aca="false">IF(ISNUMBER(MATCH(G801,Products!$A$5:$A$24,0)),"OK","Mismatch")</f>
        <v>OK</v>
      </c>
      <c r="I801" s="39" t="str">
        <f aca="false">IF(COUNTIF($A$5:A801,A801)&gt;1,"Duplicate","Unique")</f>
        <v>Unique</v>
      </c>
      <c r="J801" s="39" t="str">
        <f aca="false">IF(I801="Duplicate","Remove",IF(H801="Mismatch","Exclude","Keep"))</f>
        <v>Keep</v>
      </c>
    </row>
    <row r="802" customFormat="false" ht="15" hidden="false" customHeight="false" outlineLevel="0" collapsed="false">
      <c r="A802" s="39" t="s">
        <v>910</v>
      </c>
      <c r="B802" s="40" t="n">
        <v>45771</v>
      </c>
      <c r="C802" s="39" t="s">
        <v>3157</v>
      </c>
      <c r="D802" s="39" t="n">
        <v>5</v>
      </c>
      <c r="E802" s="41" t="n">
        <v>15.38</v>
      </c>
      <c r="F802" s="39" t="s">
        <v>118</v>
      </c>
      <c r="G802" s="39" t="str">
        <f aca="false">UPPER(TRIM(C802))</f>
        <v>P015</v>
      </c>
      <c r="H802" s="39" t="str">
        <f aca="false">IF(ISNUMBER(MATCH(G802,Products!$A$5:$A$24,0)),"OK","Mismatch")</f>
        <v>OK</v>
      </c>
      <c r="I802" s="39" t="str">
        <f aca="false">IF(COUNTIF($A$5:A802,A802)&gt;1,"Duplicate","Unique")</f>
        <v>Unique</v>
      </c>
      <c r="J802" s="39" t="str">
        <f aca="false">IF(I802="Duplicate","Remove",IF(H802="Mismatch","Exclude","Keep"))</f>
        <v>Keep</v>
      </c>
    </row>
    <row r="803" customFormat="false" ht="15" hidden="false" customHeight="false" outlineLevel="0" collapsed="false">
      <c r="A803" s="39" t="s">
        <v>911</v>
      </c>
      <c r="B803" s="40" t="n">
        <v>45771</v>
      </c>
      <c r="C803" s="39" t="s">
        <v>162</v>
      </c>
      <c r="D803" s="39" t="n">
        <v>1</v>
      </c>
      <c r="E803" s="41" t="n">
        <v>65.19</v>
      </c>
      <c r="F803" s="39" t="s">
        <v>118</v>
      </c>
      <c r="G803" s="39" t="str">
        <f aca="false">UPPER(TRIM(C803))</f>
        <v>P017</v>
      </c>
      <c r="H803" s="39" t="str">
        <f aca="false">IF(ISNUMBER(MATCH(G803,Products!$A$5:$A$24,0)),"OK","Mismatch")</f>
        <v>OK</v>
      </c>
      <c r="I803" s="39" t="str">
        <f aca="false">IF(COUNTIF($A$5:A803,A803)&gt;1,"Duplicate","Unique")</f>
        <v>Unique</v>
      </c>
      <c r="J803" s="39" t="str">
        <f aca="false">IF(I803="Duplicate","Remove",IF(H803="Mismatch","Exclude","Keep"))</f>
        <v>Keep</v>
      </c>
    </row>
    <row r="804" customFormat="false" ht="15" hidden="false" customHeight="false" outlineLevel="0" collapsed="false">
      <c r="A804" s="39" t="s">
        <v>912</v>
      </c>
      <c r="B804" s="40" t="n">
        <v>45771</v>
      </c>
      <c r="C804" s="39" t="s">
        <v>110</v>
      </c>
      <c r="D804" s="39" t="n">
        <v>4</v>
      </c>
      <c r="E804" s="41" t="n">
        <v>13.1</v>
      </c>
      <c r="F804" s="39" t="s">
        <v>118</v>
      </c>
      <c r="G804" s="39" t="str">
        <f aca="false">UPPER(TRIM(C804))</f>
        <v>P016</v>
      </c>
      <c r="H804" s="39" t="str">
        <f aca="false">IF(ISNUMBER(MATCH(G804,Products!$A$5:$A$24,0)),"OK","Mismatch")</f>
        <v>OK</v>
      </c>
      <c r="I804" s="39" t="str">
        <f aca="false">IF(COUNTIF($A$5:A804,A804)&gt;1,"Duplicate","Unique")</f>
        <v>Unique</v>
      </c>
      <c r="J804" s="39" t="str">
        <f aca="false">IF(I804="Duplicate","Remove",IF(H804="Mismatch","Exclude","Keep"))</f>
        <v>Keep</v>
      </c>
    </row>
    <row r="805" customFormat="false" ht="15" hidden="false" customHeight="false" outlineLevel="0" collapsed="false">
      <c r="A805" s="39" t="s">
        <v>913</v>
      </c>
      <c r="B805" s="40" t="n">
        <v>45771</v>
      </c>
      <c r="C805" s="39" t="s">
        <v>117</v>
      </c>
      <c r="D805" s="39" t="n">
        <v>2</v>
      </c>
      <c r="E805" s="41" t="n">
        <v>30.42</v>
      </c>
      <c r="F805" s="39" t="s">
        <v>108</v>
      </c>
      <c r="G805" s="39" t="str">
        <f aca="false">UPPER(TRIM(C805))</f>
        <v>P009</v>
      </c>
      <c r="H805" s="39" t="str">
        <f aca="false">IF(ISNUMBER(MATCH(G805,Products!$A$5:$A$24,0)),"OK","Mismatch")</f>
        <v>OK</v>
      </c>
      <c r="I805" s="39" t="str">
        <f aca="false">IF(COUNTIF($A$5:A805,A805)&gt;1,"Duplicate","Unique")</f>
        <v>Unique</v>
      </c>
      <c r="J805" s="39" t="str">
        <f aca="false">IF(I805="Duplicate","Remove",IF(H805="Mismatch","Exclude","Keep"))</f>
        <v>Keep</v>
      </c>
    </row>
    <row r="806" customFormat="false" ht="15" hidden="false" customHeight="false" outlineLevel="0" collapsed="false">
      <c r="A806" s="39" t="s">
        <v>914</v>
      </c>
      <c r="B806" s="40" t="n">
        <v>45771</v>
      </c>
      <c r="C806" s="39" t="s">
        <v>126</v>
      </c>
      <c r="D806" s="39" t="n">
        <v>3</v>
      </c>
      <c r="E806" s="41" t="n">
        <v>24.4</v>
      </c>
      <c r="F806" s="39" t="s">
        <v>115</v>
      </c>
      <c r="G806" s="39" t="str">
        <f aca="false">UPPER(TRIM(C806))</f>
        <v>P001</v>
      </c>
      <c r="H806" s="39" t="str">
        <f aca="false">IF(ISNUMBER(MATCH(G806,Products!$A$5:$A$24,0)),"OK","Mismatch")</f>
        <v>OK</v>
      </c>
      <c r="I806" s="39" t="str">
        <f aca="false">IF(COUNTIF($A$5:A806,A806)&gt;1,"Duplicate","Unique")</f>
        <v>Unique</v>
      </c>
      <c r="J806" s="39" t="str">
        <f aca="false">IF(I806="Duplicate","Remove",IF(H806="Mismatch","Exclude","Keep"))</f>
        <v>Keep</v>
      </c>
    </row>
    <row r="807" customFormat="false" ht="15" hidden="false" customHeight="false" outlineLevel="0" collapsed="false">
      <c r="A807" s="39" t="s">
        <v>915</v>
      </c>
      <c r="B807" s="40" t="n">
        <v>45771</v>
      </c>
      <c r="C807" s="39" t="s">
        <v>114</v>
      </c>
      <c r="D807" s="39" t="n">
        <v>3</v>
      </c>
      <c r="E807" s="41" t="n">
        <v>5.61</v>
      </c>
      <c r="F807" s="39" t="s">
        <v>115</v>
      </c>
      <c r="G807" s="39" t="str">
        <f aca="false">UPPER(TRIM(C807))</f>
        <v>P012</v>
      </c>
      <c r="H807" s="39" t="str">
        <f aca="false">IF(ISNUMBER(MATCH(G807,Products!$A$5:$A$24,0)),"OK","Mismatch")</f>
        <v>OK</v>
      </c>
      <c r="I807" s="39" t="str">
        <f aca="false">IF(COUNTIF($A$5:A807,A807)&gt;1,"Duplicate","Unique")</f>
        <v>Unique</v>
      </c>
      <c r="J807" s="39" t="str">
        <f aca="false">IF(I807="Duplicate","Remove",IF(H807="Mismatch","Exclude","Keep"))</f>
        <v>Keep</v>
      </c>
    </row>
    <row r="808" customFormat="false" ht="15" hidden="false" customHeight="false" outlineLevel="0" collapsed="false">
      <c r="A808" s="39" t="s">
        <v>916</v>
      </c>
      <c r="B808" s="40" t="n">
        <v>45771</v>
      </c>
      <c r="C808" s="39" t="s">
        <v>104</v>
      </c>
      <c r="D808" s="39" t="n">
        <v>2</v>
      </c>
      <c r="E808" s="41" t="n">
        <v>15.9</v>
      </c>
      <c r="F808" s="39" t="s">
        <v>105</v>
      </c>
      <c r="G808" s="39" t="str">
        <f aca="false">UPPER(TRIM(C808))</f>
        <v>P015</v>
      </c>
      <c r="H808" s="39" t="str">
        <f aca="false">IF(ISNUMBER(MATCH(G808,Products!$A$5:$A$24,0)),"OK","Mismatch")</f>
        <v>OK</v>
      </c>
      <c r="I808" s="39" t="str">
        <f aca="false">IF(COUNTIF($A$5:A808,A808)&gt;1,"Duplicate","Unique")</f>
        <v>Unique</v>
      </c>
      <c r="J808" s="39" t="str">
        <f aca="false">IF(I808="Duplicate","Remove",IF(H808="Mismatch","Exclude","Keep"))</f>
        <v>Keep</v>
      </c>
    </row>
    <row r="809" customFormat="false" ht="15" hidden="false" customHeight="false" outlineLevel="0" collapsed="false">
      <c r="A809" s="39" t="s">
        <v>917</v>
      </c>
      <c r="B809" s="40" t="n">
        <v>45772</v>
      </c>
      <c r="C809" s="39" t="s">
        <v>107</v>
      </c>
      <c r="D809" s="39" t="n">
        <v>1</v>
      </c>
      <c r="E809" s="41" t="n">
        <v>33.21</v>
      </c>
      <c r="F809" s="39" t="s">
        <v>118</v>
      </c>
      <c r="G809" s="39" t="str">
        <f aca="false">UPPER(TRIM(C809))</f>
        <v>P003</v>
      </c>
      <c r="H809" s="39" t="str">
        <f aca="false">IF(ISNUMBER(MATCH(G809,Products!$A$5:$A$24,0)),"OK","Mismatch")</f>
        <v>OK</v>
      </c>
      <c r="I809" s="39" t="str">
        <f aca="false">IF(COUNTIF($A$5:A809,A809)&gt;1,"Duplicate","Unique")</f>
        <v>Unique</v>
      </c>
      <c r="J809" s="39" t="str">
        <f aca="false">IF(I809="Duplicate","Remove",IF(H809="Mismatch","Exclude","Keep"))</f>
        <v>Keep</v>
      </c>
    </row>
    <row r="810" customFormat="false" ht="15" hidden="false" customHeight="false" outlineLevel="0" collapsed="false">
      <c r="A810" s="39" t="s">
        <v>918</v>
      </c>
      <c r="B810" s="40" t="n">
        <v>45772</v>
      </c>
      <c r="C810" s="39" t="s">
        <v>169</v>
      </c>
      <c r="D810" s="39" t="n">
        <v>2</v>
      </c>
      <c r="E810" s="41" t="n">
        <v>27.4</v>
      </c>
      <c r="F810" s="39" t="s">
        <v>115</v>
      </c>
      <c r="G810" s="39" t="str">
        <f aca="false">UPPER(TRIM(C810))</f>
        <v>P004</v>
      </c>
      <c r="H810" s="39" t="str">
        <f aca="false">IF(ISNUMBER(MATCH(G810,Products!$A$5:$A$24,0)),"OK","Mismatch")</f>
        <v>OK</v>
      </c>
      <c r="I810" s="39" t="str">
        <f aca="false">IF(COUNTIF($A$5:A810,A810)&gt;1,"Duplicate","Unique")</f>
        <v>Unique</v>
      </c>
      <c r="J810" s="39" t="str">
        <f aca="false">IF(I810="Duplicate","Remove",IF(H810="Mismatch","Exclude","Keep"))</f>
        <v>Keep</v>
      </c>
    </row>
    <row r="811" customFormat="false" ht="15" hidden="false" customHeight="false" outlineLevel="0" collapsed="false">
      <c r="A811" s="39" t="s">
        <v>919</v>
      </c>
      <c r="B811" s="40" t="n">
        <v>45772</v>
      </c>
      <c r="C811" s="39" t="s">
        <v>130</v>
      </c>
      <c r="D811" s="39" t="n">
        <v>1</v>
      </c>
      <c r="E811" s="41" t="n">
        <v>8.34</v>
      </c>
      <c r="F811" s="39" t="s">
        <v>115</v>
      </c>
      <c r="G811" s="39" t="str">
        <f aca="false">UPPER(TRIM(C811))</f>
        <v>P011</v>
      </c>
      <c r="H811" s="39" t="str">
        <f aca="false">IF(ISNUMBER(MATCH(G811,Products!$A$5:$A$24,0)),"OK","Mismatch")</f>
        <v>OK</v>
      </c>
      <c r="I811" s="39" t="str">
        <f aca="false">IF(COUNTIF($A$5:A811,A811)&gt;1,"Duplicate","Unique")</f>
        <v>Unique</v>
      </c>
      <c r="J811" s="39" t="str">
        <f aca="false">IF(I811="Duplicate","Remove",IF(H811="Mismatch","Exclude","Keep"))</f>
        <v>Keep</v>
      </c>
    </row>
    <row r="812" customFormat="false" ht="15" hidden="false" customHeight="false" outlineLevel="0" collapsed="false">
      <c r="A812" s="39" t="s">
        <v>920</v>
      </c>
      <c r="B812" s="40" t="n">
        <v>45772</v>
      </c>
      <c r="C812" s="39" t="s">
        <v>305</v>
      </c>
      <c r="D812" s="39" t="n">
        <v>1</v>
      </c>
      <c r="E812" s="41" t="n">
        <v>325.81</v>
      </c>
      <c r="F812" s="39" t="s">
        <v>118</v>
      </c>
      <c r="G812" s="39" t="str">
        <f aca="false">UPPER(TRIM(C812))</f>
        <v>P008</v>
      </c>
      <c r="H812" s="39" t="str">
        <f aca="false">IF(ISNUMBER(MATCH(G812,Products!$A$5:$A$24,0)),"OK","Mismatch")</f>
        <v>OK</v>
      </c>
      <c r="I812" s="39" t="str">
        <f aca="false">IF(COUNTIF($A$5:A812,A812)&gt;1,"Duplicate","Unique")</f>
        <v>Unique</v>
      </c>
      <c r="J812" s="39" t="str">
        <f aca="false">IF(I812="Duplicate","Remove",IF(H812="Mismatch","Exclude","Keep"))</f>
        <v>Keep</v>
      </c>
    </row>
    <row r="813" customFormat="false" ht="15" hidden="false" customHeight="false" outlineLevel="0" collapsed="false">
      <c r="A813" s="39" t="s">
        <v>921</v>
      </c>
      <c r="B813" s="40" t="n">
        <v>45772</v>
      </c>
      <c r="C813" s="39" t="s">
        <v>183</v>
      </c>
      <c r="D813" s="39" t="n">
        <v>6</v>
      </c>
      <c r="E813" s="41" t="n">
        <v>176.69</v>
      </c>
      <c r="F813" s="39" t="s">
        <v>118</v>
      </c>
      <c r="G813" s="39" t="str">
        <f aca="false">UPPER(TRIM(C813))</f>
        <v>P007</v>
      </c>
      <c r="H813" s="39" t="str">
        <f aca="false">IF(ISNUMBER(MATCH(G813,Products!$A$5:$A$24,0)),"OK","Mismatch")</f>
        <v>OK</v>
      </c>
      <c r="I813" s="39" t="str">
        <f aca="false">IF(COUNTIF($A$5:A813,A813)&gt;1,"Duplicate","Unique")</f>
        <v>Unique</v>
      </c>
      <c r="J813" s="39" t="str">
        <f aca="false">IF(I813="Duplicate","Remove",IF(H813="Mismatch","Exclude","Keep"))</f>
        <v>Keep</v>
      </c>
    </row>
    <row r="814" customFormat="false" ht="15" hidden="false" customHeight="false" outlineLevel="0" collapsed="false">
      <c r="A814" s="39" t="s">
        <v>922</v>
      </c>
      <c r="B814" s="40" t="n">
        <v>45772</v>
      </c>
      <c r="C814" s="39" t="s">
        <v>130</v>
      </c>
      <c r="D814" s="39" t="n">
        <v>4</v>
      </c>
      <c r="E814" s="41" t="n">
        <v>8.65</v>
      </c>
      <c r="F814" s="39" t="s">
        <v>105</v>
      </c>
      <c r="G814" s="39" t="str">
        <f aca="false">UPPER(TRIM(C814))</f>
        <v>P011</v>
      </c>
      <c r="H814" s="39" t="str">
        <f aca="false">IF(ISNUMBER(MATCH(G814,Products!$A$5:$A$24,0)),"OK","Mismatch")</f>
        <v>OK</v>
      </c>
      <c r="I814" s="39" t="str">
        <f aca="false">IF(COUNTIF($A$5:A814,A814)&gt;1,"Duplicate","Unique")</f>
        <v>Unique</v>
      </c>
      <c r="J814" s="39" t="str">
        <f aca="false">IF(I814="Duplicate","Remove",IF(H814="Mismatch","Exclude","Keep"))</f>
        <v>Keep</v>
      </c>
    </row>
    <row r="815" customFormat="false" ht="15" hidden="false" customHeight="false" outlineLevel="0" collapsed="false">
      <c r="A815" s="39" t="s">
        <v>923</v>
      </c>
      <c r="B815" s="40" t="n">
        <v>45772</v>
      </c>
      <c r="C815" s="39" t="s">
        <v>126</v>
      </c>
      <c r="D815" s="39" t="n">
        <v>8</v>
      </c>
      <c r="E815" s="41" t="n">
        <v>23.29</v>
      </c>
      <c r="F815" s="39" t="s">
        <v>118</v>
      </c>
      <c r="G815" s="39" t="str">
        <f aca="false">UPPER(TRIM(C815))</f>
        <v>P001</v>
      </c>
      <c r="H815" s="39" t="str">
        <f aca="false">IF(ISNUMBER(MATCH(G815,Products!$A$5:$A$24,0)),"OK","Mismatch")</f>
        <v>OK</v>
      </c>
      <c r="I815" s="39" t="str">
        <f aca="false">IF(COUNTIF($A$5:A815,A815)&gt;1,"Duplicate","Unique")</f>
        <v>Unique</v>
      </c>
      <c r="J815" s="39" t="str">
        <f aca="false">IF(I815="Duplicate","Remove",IF(H815="Mismatch","Exclude","Keep"))</f>
        <v>Keep</v>
      </c>
    </row>
    <row r="816" customFormat="false" ht="15" hidden="false" customHeight="false" outlineLevel="0" collapsed="false">
      <c r="A816" s="39" t="s">
        <v>924</v>
      </c>
      <c r="B816" s="40" t="n">
        <v>45772</v>
      </c>
      <c r="C816" s="39" t="s">
        <v>183</v>
      </c>
      <c r="D816" s="39" t="n">
        <v>2</v>
      </c>
      <c r="E816" s="41" t="n">
        <v>182.88</v>
      </c>
      <c r="F816" s="39" t="s">
        <v>105</v>
      </c>
      <c r="G816" s="39" t="str">
        <f aca="false">UPPER(TRIM(C816))</f>
        <v>P007</v>
      </c>
      <c r="H816" s="39" t="str">
        <f aca="false">IF(ISNUMBER(MATCH(G816,Products!$A$5:$A$24,0)),"OK","Mismatch")</f>
        <v>OK</v>
      </c>
      <c r="I816" s="39" t="str">
        <f aca="false">IF(COUNTIF($A$5:A816,A816)&gt;1,"Duplicate","Unique")</f>
        <v>Unique</v>
      </c>
      <c r="J816" s="39" t="str">
        <f aca="false">IF(I816="Duplicate","Remove",IF(H816="Mismatch","Exclude","Keep"))</f>
        <v>Keep</v>
      </c>
    </row>
    <row r="817" customFormat="false" ht="15" hidden="false" customHeight="false" outlineLevel="0" collapsed="false">
      <c r="A817" s="39" t="s">
        <v>925</v>
      </c>
      <c r="B817" s="40" t="n">
        <v>45773</v>
      </c>
      <c r="C817" s="39" t="s">
        <v>114</v>
      </c>
      <c r="D817" s="39" t="n">
        <v>6</v>
      </c>
      <c r="E817" s="41" t="n">
        <v>5.76</v>
      </c>
      <c r="F817" s="39" t="s">
        <v>105</v>
      </c>
      <c r="G817" s="39" t="str">
        <f aca="false">UPPER(TRIM(C817))</f>
        <v>P012</v>
      </c>
      <c r="H817" s="39" t="str">
        <f aca="false">IF(ISNUMBER(MATCH(G817,Products!$A$5:$A$24,0)),"OK","Mismatch")</f>
        <v>OK</v>
      </c>
      <c r="I817" s="39" t="str">
        <f aca="false">IF(COUNTIF($A$5:A817,A817)&gt;1,"Duplicate","Unique")</f>
        <v>Unique</v>
      </c>
      <c r="J817" s="39" t="str">
        <f aca="false">IF(I817="Duplicate","Remove",IF(H817="Mismatch","Exclude","Keep"))</f>
        <v>Keep</v>
      </c>
    </row>
    <row r="818" customFormat="false" ht="15" hidden="false" customHeight="false" outlineLevel="0" collapsed="false">
      <c r="A818" s="39" t="s">
        <v>926</v>
      </c>
      <c r="B818" s="40" t="n">
        <v>45773</v>
      </c>
      <c r="C818" s="39" t="s">
        <v>133</v>
      </c>
      <c r="D818" s="39" t="n">
        <v>2</v>
      </c>
      <c r="E818" s="41" t="n">
        <v>8.85</v>
      </c>
      <c r="F818" s="39" t="s">
        <v>115</v>
      </c>
      <c r="G818" s="39" t="str">
        <f aca="false">UPPER(TRIM(C818))</f>
        <v>P019</v>
      </c>
      <c r="H818" s="39" t="str">
        <f aca="false">IF(ISNUMBER(MATCH(G818,Products!$A$5:$A$24,0)),"OK","Mismatch")</f>
        <v>OK</v>
      </c>
      <c r="I818" s="39" t="str">
        <f aca="false">IF(COUNTIF($A$5:A818,A818)&gt;1,"Duplicate","Unique")</f>
        <v>Unique</v>
      </c>
      <c r="J818" s="39" t="str">
        <f aca="false">IF(I818="Duplicate","Remove",IF(H818="Mismatch","Exclude","Keep"))</f>
        <v>Keep</v>
      </c>
    </row>
    <row r="819" customFormat="false" ht="15" hidden="false" customHeight="false" outlineLevel="0" collapsed="false">
      <c r="A819" s="39" t="s">
        <v>927</v>
      </c>
      <c r="B819" s="40" t="n">
        <v>45773</v>
      </c>
      <c r="C819" s="39" t="s">
        <v>305</v>
      </c>
      <c r="D819" s="39" t="n">
        <v>2</v>
      </c>
      <c r="E819" s="41" t="n">
        <v>348.27</v>
      </c>
      <c r="F819" s="39" t="s">
        <v>118</v>
      </c>
      <c r="G819" s="39" t="str">
        <f aca="false">UPPER(TRIM(C819))</f>
        <v>P008</v>
      </c>
      <c r="H819" s="39" t="str">
        <f aca="false">IF(ISNUMBER(MATCH(G819,Products!$A$5:$A$24,0)),"OK","Mismatch")</f>
        <v>OK</v>
      </c>
      <c r="I819" s="39" t="str">
        <f aca="false">IF(COUNTIF($A$5:A819,A819)&gt;1,"Duplicate","Unique")</f>
        <v>Unique</v>
      </c>
      <c r="J819" s="39" t="str">
        <f aca="false">IF(I819="Duplicate","Remove",IF(H819="Mismatch","Exclude","Keep"))</f>
        <v>Keep</v>
      </c>
    </row>
    <row r="820" customFormat="false" ht="15" hidden="false" customHeight="false" outlineLevel="0" collapsed="false">
      <c r="A820" s="39" t="s">
        <v>928</v>
      </c>
      <c r="B820" s="40" t="n">
        <v>45773</v>
      </c>
      <c r="C820" s="39" t="s">
        <v>104</v>
      </c>
      <c r="D820" s="39" t="n">
        <v>2</v>
      </c>
      <c r="E820" s="41" t="n">
        <v>15.08</v>
      </c>
      <c r="F820" s="39" t="s">
        <v>105</v>
      </c>
      <c r="G820" s="39" t="str">
        <f aca="false">UPPER(TRIM(C820))</f>
        <v>P015</v>
      </c>
      <c r="H820" s="39" t="str">
        <f aca="false">IF(ISNUMBER(MATCH(G820,Products!$A$5:$A$24,0)),"OK","Mismatch")</f>
        <v>OK</v>
      </c>
      <c r="I820" s="39" t="str">
        <f aca="false">IF(COUNTIF($A$5:A820,A820)&gt;1,"Duplicate","Unique")</f>
        <v>Unique</v>
      </c>
      <c r="J820" s="39" t="str">
        <f aca="false">IF(I820="Duplicate","Remove",IF(H820="Mismatch","Exclude","Keep"))</f>
        <v>Keep</v>
      </c>
    </row>
    <row r="821" customFormat="false" ht="15" hidden="false" customHeight="false" outlineLevel="0" collapsed="false">
      <c r="A821" s="39" t="s">
        <v>929</v>
      </c>
      <c r="B821" s="40" t="n">
        <v>45773</v>
      </c>
      <c r="C821" s="39" t="s">
        <v>169</v>
      </c>
      <c r="D821" s="39" t="n">
        <v>3</v>
      </c>
      <c r="E821" s="41" t="n">
        <v>27.38</v>
      </c>
      <c r="F821" s="39" t="s">
        <v>115</v>
      </c>
      <c r="G821" s="39" t="str">
        <f aca="false">UPPER(TRIM(C821))</f>
        <v>P004</v>
      </c>
      <c r="H821" s="39" t="str">
        <f aca="false">IF(ISNUMBER(MATCH(G821,Products!$A$5:$A$24,0)),"OK","Mismatch")</f>
        <v>OK</v>
      </c>
      <c r="I821" s="39" t="str">
        <f aca="false">IF(COUNTIF($A$5:A821,A821)&gt;1,"Duplicate","Unique")</f>
        <v>Unique</v>
      </c>
      <c r="J821" s="39" t="str">
        <f aca="false">IF(I821="Duplicate","Remove",IF(H821="Mismatch","Exclude","Keep"))</f>
        <v>Keep</v>
      </c>
    </row>
    <row r="822" customFormat="false" ht="15" hidden="false" customHeight="false" outlineLevel="0" collapsed="false">
      <c r="A822" s="39" t="s">
        <v>930</v>
      </c>
      <c r="B822" s="40" t="n">
        <v>45773</v>
      </c>
      <c r="C822" s="39" t="s">
        <v>114</v>
      </c>
      <c r="D822" s="39" t="n">
        <v>2</v>
      </c>
      <c r="E822" s="41" t="n">
        <v>5.82</v>
      </c>
      <c r="F822" s="39" t="s">
        <v>118</v>
      </c>
      <c r="G822" s="39" t="str">
        <f aca="false">UPPER(TRIM(C822))</f>
        <v>P012</v>
      </c>
      <c r="H822" s="39" t="str">
        <f aca="false">IF(ISNUMBER(MATCH(G822,Products!$A$5:$A$24,0)),"OK","Mismatch")</f>
        <v>OK</v>
      </c>
      <c r="I822" s="39" t="str">
        <f aca="false">IF(COUNTIF($A$5:A822,A822)&gt;1,"Duplicate","Unique")</f>
        <v>Unique</v>
      </c>
      <c r="J822" s="39" t="str">
        <f aca="false">IF(I822="Duplicate","Remove",IF(H822="Mismatch","Exclude","Keep"))</f>
        <v>Keep</v>
      </c>
    </row>
    <row r="823" customFormat="false" ht="15" hidden="false" customHeight="false" outlineLevel="0" collapsed="false">
      <c r="A823" s="39" t="s">
        <v>931</v>
      </c>
      <c r="B823" s="40" t="n">
        <v>45774</v>
      </c>
      <c r="C823" s="39" t="s">
        <v>107</v>
      </c>
      <c r="D823" s="39" t="n">
        <v>6</v>
      </c>
      <c r="E823" s="41" t="n">
        <v>32.83</v>
      </c>
      <c r="F823" s="39" t="s">
        <v>118</v>
      </c>
      <c r="G823" s="39" t="str">
        <f aca="false">UPPER(TRIM(C823))</f>
        <v>P003</v>
      </c>
      <c r="H823" s="39" t="str">
        <f aca="false">IF(ISNUMBER(MATCH(G823,Products!$A$5:$A$24,0)),"OK","Mismatch")</f>
        <v>OK</v>
      </c>
      <c r="I823" s="39" t="str">
        <f aca="false">IF(COUNTIF($A$5:A823,A823)&gt;1,"Duplicate","Unique")</f>
        <v>Unique</v>
      </c>
      <c r="J823" s="39" t="str">
        <f aca="false">IF(I823="Duplicate","Remove",IF(H823="Mismatch","Exclude","Keep"))</f>
        <v>Keep</v>
      </c>
    </row>
    <row r="824" customFormat="false" ht="15" hidden="false" customHeight="false" outlineLevel="0" collapsed="false">
      <c r="A824" s="39" t="s">
        <v>932</v>
      </c>
      <c r="B824" s="40" t="n">
        <v>45774</v>
      </c>
      <c r="C824" s="39" t="s">
        <v>133</v>
      </c>
      <c r="D824" s="39" t="n">
        <v>3</v>
      </c>
      <c r="E824" s="41" t="n">
        <v>8.78</v>
      </c>
      <c r="F824" s="39" t="s">
        <v>108</v>
      </c>
      <c r="G824" s="39" t="str">
        <f aca="false">UPPER(TRIM(C824))</f>
        <v>P019</v>
      </c>
      <c r="H824" s="39" t="str">
        <f aca="false">IF(ISNUMBER(MATCH(G824,Products!$A$5:$A$24,0)),"OK","Mismatch")</f>
        <v>OK</v>
      </c>
      <c r="I824" s="39" t="str">
        <f aca="false">IF(COUNTIF($A$5:A824,A824)&gt;1,"Duplicate","Unique")</f>
        <v>Unique</v>
      </c>
      <c r="J824" s="39" t="str">
        <f aca="false">IF(I824="Duplicate","Remove",IF(H824="Mismatch","Exclude","Keep"))</f>
        <v>Keep</v>
      </c>
    </row>
    <row r="825" customFormat="false" ht="15" hidden="false" customHeight="false" outlineLevel="0" collapsed="false">
      <c r="A825" s="39" t="s">
        <v>933</v>
      </c>
      <c r="B825" s="40" t="n">
        <v>45774</v>
      </c>
      <c r="C825" s="39" t="s">
        <v>107</v>
      </c>
      <c r="D825" s="39" t="n">
        <v>3</v>
      </c>
      <c r="E825" s="41" t="n">
        <v>34.75</v>
      </c>
      <c r="F825" s="39" t="s">
        <v>115</v>
      </c>
      <c r="G825" s="39" t="str">
        <f aca="false">UPPER(TRIM(C825))</f>
        <v>P003</v>
      </c>
      <c r="H825" s="39" t="str">
        <f aca="false">IF(ISNUMBER(MATCH(G825,Products!$A$5:$A$24,0)),"OK","Mismatch")</f>
        <v>OK</v>
      </c>
      <c r="I825" s="39" t="str">
        <f aca="false">IF(COUNTIF($A$5:A825,A825)&gt;1,"Duplicate","Unique")</f>
        <v>Unique</v>
      </c>
      <c r="J825" s="39" t="str">
        <f aca="false">IF(I825="Duplicate","Remove",IF(H825="Mismatch","Exclude","Keep"))</f>
        <v>Keep</v>
      </c>
    </row>
    <row r="826" customFormat="false" ht="15" hidden="false" customHeight="false" outlineLevel="0" collapsed="false">
      <c r="A826" s="39" t="s">
        <v>934</v>
      </c>
      <c r="B826" s="40" t="n">
        <v>45774</v>
      </c>
      <c r="C826" s="39" t="s">
        <v>183</v>
      </c>
      <c r="D826" s="39" t="n">
        <v>3</v>
      </c>
      <c r="E826" s="41" t="n">
        <v>181.24</v>
      </c>
      <c r="F826" s="39" t="s">
        <v>118</v>
      </c>
      <c r="G826" s="39" t="str">
        <f aca="false">UPPER(TRIM(C826))</f>
        <v>P007</v>
      </c>
      <c r="H826" s="39" t="str">
        <f aca="false">IF(ISNUMBER(MATCH(G826,Products!$A$5:$A$24,0)),"OK","Mismatch")</f>
        <v>OK</v>
      </c>
      <c r="I826" s="39" t="str">
        <f aca="false">IF(COUNTIF($A$5:A826,A826)&gt;1,"Duplicate","Unique")</f>
        <v>Unique</v>
      </c>
      <c r="J826" s="39" t="str">
        <f aca="false">IF(I826="Duplicate","Remove",IF(H826="Mismatch","Exclude","Keep"))</f>
        <v>Keep</v>
      </c>
    </row>
    <row r="827" customFormat="false" ht="15" hidden="false" customHeight="false" outlineLevel="0" collapsed="false">
      <c r="A827" s="39" t="s">
        <v>935</v>
      </c>
      <c r="B827" s="40" t="n">
        <v>45774</v>
      </c>
      <c r="C827" s="39" t="s">
        <v>104</v>
      </c>
      <c r="D827" s="39" t="n">
        <v>1</v>
      </c>
      <c r="E827" s="41" t="n">
        <v>14.94</v>
      </c>
      <c r="F827" s="39" t="s">
        <v>108</v>
      </c>
      <c r="G827" s="39" t="str">
        <f aca="false">UPPER(TRIM(C827))</f>
        <v>P015</v>
      </c>
      <c r="H827" s="39" t="str">
        <f aca="false">IF(ISNUMBER(MATCH(G827,Products!$A$5:$A$24,0)),"OK","Mismatch")</f>
        <v>OK</v>
      </c>
      <c r="I827" s="39" t="str">
        <f aca="false">IF(COUNTIF($A$5:A827,A827)&gt;1,"Duplicate","Unique")</f>
        <v>Unique</v>
      </c>
      <c r="J827" s="39" t="str">
        <f aca="false">IF(I827="Duplicate","Remove",IF(H827="Mismatch","Exclude","Keep"))</f>
        <v>Keep</v>
      </c>
    </row>
    <row r="828" customFormat="false" ht="15" hidden="false" customHeight="false" outlineLevel="0" collapsed="false">
      <c r="A828" s="39" t="s">
        <v>936</v>
      </c>
      <c r="B828" s="40" t="n">
        <v>45774</v>
      </c>
      <c r="C828" s="39" t="s">
        <v>112</v>
      </c>
      <c r="D828" s="39" t="n">
        <v>4</v>
      </c>
      <c r="E828" s="41" t="n">
        <v>54.82</v>
      </c>
      <c r="F828" s="39" t="s">
        <v>105</v>
      </c>
      <c r="G828" s="39" t="str">
        <f aca="false">UPPER(TRIM(C828))</f>
        <v>P005</v>
      </c>
      <c r="H828" s="39" t="str">
        <f aca="false">IF(ISNUMBER(MATCH(G828,Products!$A$5:$A$24,0)),"OK","Mismatch")</f>
        <v>OK</v>
      </c>
      <c r="I828" s="39" t="str">
        <f aca="false">IF(COUNTIF($A$5:A828,A828)&gt;1,"Duplicate","Unique")</f>
        <v>Unique</v>
      </c>
      <c r="J828" s="39" t="str">
        <f aca="false">IF(I828="Duplicate","Remove",IF(H828="Mismatch","Exclude","Keep"))</f>
        <v>Keep</v>
      </c>
    </row>
    <row r="829" customFormat="false" ht="15" hidden="false" customHeight="false" outlineLevel="0" collapsed="false">
      <c r="A829" s="39" t="s">
        <v>937</v>
      </c>
      <c r="B829" s="40" t="n">
        <v>45774</v>
      </c>
      <c r="C829" s="39" t="s">
        <v>169</v>
      </c>
      <c r="D829" s="39" t="n">
        <v>1</v>
      </c>
      <c r="E829" s="41" t="n">
        <v>28.71</v>
      </c>
      <c r="F829" s="39" t="s">
        <v>115</v>
      </c>
      <c r="G829" s="39" t="str">
        <f aca="false">UPPER(TRIM(C829))</f>
        <v>P004</v>
      </c>
      <c r="H829" s="39" t="str">
        <f aca="false">IF(ISNUMBER(MATCH(G829,Products!$A$5:$A$24,0)),"OK","Mismatch")</f>
        <v>OK</v>
      </c>
      <c r="I829" s="39" t="str">
        <f aca="false">IF(COUNTIF($A$5:A829,A829)&gt;1,"Duplicate","Unique")</f>
        <v>Unique</v>
      </c>
      <c r="J829" s="39" t="str">
        <f aca="false">IF(I829="Duplicate","Remove",IF(H829="Mismatch","Exclude","Keep"))</f>
        <v>Keep</v>
      </c>
    </row>
    <row r="830" customFormat="false" ht="15" hidden="false" customHeight="false" outlineLevel="0" collapsed="false">
      <c r="A830" s="39" t="s">
        <v>938</v>
      </c>
      <c r="B830" s="40" t="n">
        <v>45774</v>
      </c>
      <c r="C830" s="39" t="s">
        <v>126</v>
      </c>
      <c r="D830" s="39" t="n">
        <v>4</v>
      </c>
      <c r="E830" s="41" t="n">
        <v>23.03</v>
      </c>
      <c r="F830" s="39" t="s">
        <v>108</v>
      </c>
      <c r="G830" s="39" t="str">
        <f aca="false">UPPER(TRIM(C830))</f>
        <v>P001</v>
      </c>
      <c r="H830" s="39" t="str">
        <f aca="false">IF(ISNUMBER(MATCH(G830,Products!$A$5:$A$24,0)),"OK","Mismatch")</f>
        <v>OK</v>
      </c>
      <c r="I830" s="39" t="str">
        <f aca="false">IF(COUNTIF($A$5:A830,A830)&gt;1,"Duplicate","Unique")</f>
        <v>Unique</v>
      </c>
      <c r="J830" s="39" t="str">
        <f aca="false">IF(I830="Duplicate","Remove",IF(H830="Mismatch","Exclude","Keep"))</f>
        <v>Keep</v>
      </c>
    </row>
    <row r="831" customFormat="false" ht="15" hidden="false" customHeight="false" outlineLevel="0" collapsed="false">
      <c r="A831" s="39" t="s">
        <v>939</v>
      </c>
      <c r="B831" s="40" t="n">
        <v>45774</v>
      </c>
      <c r="C831" s="39" t="s">
        <v>128</v>
      </c>
      <c r="D831" s="39" t="n">
        <v>4</v>
      </c>
      <c r="E831" s="41" t="n">
        <v>36.31</v>
      </c>
      <c r="F831" s="39" t="s">
        <v>105</v>
      </c>
      <c r="G831" s="39" t="str">
        <f aca="false">UPPER(TRIM(C831))</f>
        <v>P020</v>
      </c>
      <c r="H831" s="39" t="str">
        <f aca="false">IF(ISNUMBER(MATCH(G831,Products!$A$5:$A$24,0)),"OK","Mismatch")</f>
        <v>OK</v>
      </c>
      <c r="I831" s="39" t="str">
        <f aca="false">IF(COUNTIF($A$5:A831,A831)&gt;1,"Duplicate","Unique")</f>
        <v>Unique</v>
      </c>
      <c r="J831" s="39" t="str">
        <f aca="false">IF(I831="Duplicate","Remove",IF(H831="Mismatch","Exclude","Keep"))</f>
        <v>Keep</v>
      </c>
    </row>
    <row r="832" customFormat="false" ht="15" hidden="false" customHeight="false" outlineLevel="0" collapsed="false">
      <c r="A832" s="39" t="s">
        <v>940</v>
      </c>
      <c r="B832" s="40" t="n">
        <v>45774</v>
      </c>
      <c r="C832" s="39" t="s">
        <v>139</v>
      </c>
      <c r="D832" s="39" t="n">
        <v>2</v>
      </c>
      <c r="E832" s="41" t="n">
        <v>126.67</v>
      </c>
      <c r="F832" s="39" t="s">
        <v>118</v>
      </c>
      <c r="G832" s="39" t="str">
        <f aca="false">UPPER(TRIM(C832))</f>
        <v>P006</v>
      </c>
      <c r="H832" s="39" t="str">
        <f aca="false">IF(ISNUMBER(MATCH(G832,Products!$A$5:$A$24,0)),"OK","Mismatch")</f>
        <v>OK</v>
      </c>
      <c r="I832" s="39" t="str">
        <f aca="false">IF(COUNTIF($A$5:A832,A832)&gt;1,"Duplicate","Unique")</f>
        <v>Unique</v>
      </c>
      <c r="J832" s="39" t="str">
        <f aca="false">IF(I832="Duplicate","Remove",IF(H832="Mismatch","Exclude","Keep"))</f>
        <v>Keep</v>
      </c>
    </row>
    <row r="833" customFormat="false" ht="15" hidden="false" customHeight="false" outlineLevel="0" collapsed="false">
      <c r="A833" s="39" t="s">
        <v>941</v>
      </c>
      <c r="B833" s="40" t="n">
        <v>45775</v>
      </c>
      <c r="C833" s="39" t="s">
        <v>130</v>
      </c>
      <c r="D833" s="39" t="n">
        <v>5</v>
      </c>
      <c r="E833" s="41" t="n">
        <v>8.81</v>
      </c>
      <c r="F833" s="39" t="s">
        <v>118</v>
      </c>
      <c r="G833" s="39" t="str">
        <f aca="false">UPPER(TRIM(C833))</f>
        <v>P011</v>
      </c>
      <c r="H833" s="39" t="str">
        <f aca="false">IF(ISNUMBER(MATCH(G833,Products!$A$5:$A$24,0)),"OK","Mismatch")</f>
        <v>OK</v>
      </c>
      <c r="I833" s="39" t="str">
        <f aca="false">IF(COUNTIF($A$5:A833,A833)&gt;1,"Duplicate","Unique")</f>
        <v>Unique</v>
      </c>
      <c r="J833" s="39" t="str">
        <f aca="false">IF(I833="Duplicate","Remove",IF(H833="Mismatch","Exclude","Keep"))</f>
        <v>Keep</v>
      </c>
    </row>
    <row r="834" customFormat="false" ht="15" hidden="false" customHeight="false" outlineLevel="0" collapsed="false">
      <c r="A834" s="39" t="s">
        <v>942</v>
      </c>
      <c r="B834" s="40" t="n">
        <v>45775</v>
      </c>
      <c r="C834" s="39" t="s">
        <v>130</v>
      </c>
      <c r="D834" s="39" t="n">
        <v>2</v>
      </c>
      <c r="E834" s="41" t="n">
        <v>8.6</v>
      </c>
      <c r="F834" s="39" t="s">
        <v>115</v>
      </c>
      <c r="G834" s="39" t="str">
        <f aca="false">UPPER(TRIM(C834))</f>
        <v>P011</v>
      </c>
      <c r="H834" s="39" t="str">
        <f aca="false">IF(ISNUMBER(MATCH(G834,Products!$A$5:$A$24,0)),"OK","Mismatch")</f>
        <v>OK</v>
      </c>
      <c r="I834" s="39" t="str">
        <f aca="false">IF(COUNTIF($A$5:A834,A834)&gt;1,"Duplicate","Unique")</f>
        <v>Unique</v>
      </c>
      <c r="J834" s="39" t="str">
        <f aca="false">IF(I834="Duplicate","Remove",IF(H834="Mismatch","Exclude","Keep"))</f>
        <v>Keep</v>
      </c>
    </row>
    <row r="835" customFormat="false" ht="15" hidden="false" customHeight="false" outlineLevel="0" collapsed="false">
      <c r="A835" s="39" t="s">
        <v>943</v>
      </c>
      <c r="B835" s="40" t="n">
        <v>45775</v>
      </c>
      <c r="C835" s="39" t="s">
        <v>104</v>
      </c>
      <c r="D835" s="39" t="n">
        <v>2</v>
      </c>
      <c r="E835" s="41" t="n">
        <v>15.56</v>
      </c>
      <c r="F835" s="39" t="s">
        <v>108</v>
      </c>
      <c r="G835" s="39" t="str">
        <f aca="false">UPPER(TRIM(C835))</f>
        <v>P015</v>
      </c>
      <c r="H835" s="39" t="str">
        <f aca="false">IF(ISNUMBER(MATCH(G835,Products!$A$5:$A$24,0)),"OK","Mismatch")</f>
        <v>OK</v>
      </c>
      <c r="I835" s="39" t="str">
        <f aca="false">IF(COUNTIF($A$5:A835,A835)&gt;1,"Duplicate","Unique")</f>
        <v>Unique</v>
      </c>
      <c r="J835" s="39" t="str">
        <f aca="false">IF(I835="Duplicate","Remove",IF(H835="Mismatch","Exclude","Keep"))</f>
        <v>Keep</v>
      </c>
    </row>
    <row r="836" customFormat="false" ht="15" hidden="false" customHeight="false" outlineLevel="0" collapsed="false">
      <c r="A836" s="39" t="s">
        <v>944</v>
      </c>
      <c r="B836" s="40" t="n">
        <v>45775</v>
      </c>
      <c r="C836" s="39" t="s">
        <v>305</v>
      </c>
      <c r="D836" s="39" t="n">
        <v>1</v>
      </c>
      <c r="E836" s="41" t="n">
        <v>342.42</v>
      </c>
      <c r="F836" s="39" t="s">
        <v>105</v>
      </c>
      <c r="G836" s="39" t="str">
        <f aca="false">UPPER(TRIM(C836))</f>
        <v>P008</v>
      </c>
      <c r="H836" s="39" t="str">
        <f aca="false">IF(ISNUMBER(MATCH(G836,Products!$A$5:$A$24,0)),"OK","Mismatch")</f>
        <v>OK</v>
      </c>
      <c r="I836" s="39" t="str">
        <f aca="false">IF(COUNTIF($A$5:A836,A836)&gt;1,"Duplicate","Unique")</f>
        <v>Unique</v>
      </c>
      <c r="J836" s="39" t="str">
        <f aca="false">IF(I836="Duplicate","Remove",IF(H836="Mismatch","Exclude","Keep"))</f>
        <v>Keep</v>
      </c>
    </row>
    <row r="837" customFormat="false" ht="15" hidden="false" customHeight="false" outlineLevel="0" collapsed="false">
      <c r="A837" s="39" t="s">
        <v>944</v>
      </c>
      <c r="B837" s="40" t="n">
        <v>45775</v>
      </c>
      <c r="C837" s="39" t="s">
        <v>305</v>
      </c>
      <c r="D837" s="39" t="n">
        <v>1</v>
      </c>
      <c r="E837" s="41" t="n">
        <v>342.42</v>
      </c>
      <c r="F837" s="39" t="s">
        <v>105</v>
      </c>
      <c r="G837" s="39" t="str">
        <f aca="false">UPPER(TRIM(C837))</f>
        <v>P008</v>
      </c>
      <c r="H837" s="39" t="str">
        <f aca="false">IF(ISNUMBER(MATCH(G837,Products!$A$5:$A$24,0)),"OK","Mismatch")</f>
        <v>OK</v>
      </c>
      <c r="I837" s="39" t="str">
        <f aca="false">IF(COUNTIF($A$5:A837,A837)&gt;1,"Duplicate","Unique")</f>
        <v>Duplicate</v>
      </c>
      <c r="J837" s="39" t="str">
        <f aca="false">IF(I837="Duplicate","Remove",IF(H837="Mismatch","Exclude","Keep"))</f>
        <v>Remove</v>
      </c>
    </row>
    <row r="838" customFormat="false" ht="15" hidden="false" customHeight="false" outlineLevel="0" collapsed="false">
      <c r="A838" s="39" t="s">
        <v>945</v>
      </c>
      <c r="B838" s="40" t="n">
        <v>45775</v>
      </c>
      <c r="C838" s="39" t="s">
        <v>104</v>
      </c>
      <c r="D838" s="39" t="n">
        <v>4</v>
      </c>
      <c r="E838" s="41" t="n">
        <v>15.81</v>
      </c>
      <c r="F838" s="39" t="s">
        <v>115</v>
      </c>
      <c r="G838" s="39" t="str">
        <f aca="false">UPPER(TRIM(C838))</f>
        <v>P015</v>
      </c>
      <c r="H838" s="39" t="str">
        <f aca="false">IF(ISNUMBER(MATCH(G838,Products!$A$5:$A$24,0)),"OK","Mismatch")</f>
        <v>OK</v>
      </c>
      <c r="I838" s="39" t="str">
        <f aca="false">IF(COUNTIF($A$5:A838,A838)&gt;1,"Duplicate","Unique")</f>
        <v>Unique</v>
      </c>
      <c r="J838" s="39" t="str">
        <f aca="false">IF(I838="Duplicate","Remove",IF(H838="Mismatch","Exclude","Keep"))</f>
        <v>Keep</v>
      </c>
    </row>
    <row r="839" customFormat="false" ht="15" hidden="false" customHeight="false" outlineLevel="0" collapsed="false">
      <c r="A839" s="39" t="s">
        <v>946</v>
      </c>
      <c r="B839" s="40" t="n">
        <v>45775</v>
      </c>
      <c r="C839" s="39" t="s">
        <v>112</v>
      </c>
      <c r="D839" s="39" t="n">
        <v>1</v>
      </c>
      <c r="E839" s="41" t="n">
        <v>51.33</v>
      </c>
      <c r="F839" s="39" t="s">
        <v>115</v>
      </c>
      <c r="G839" s="39" t="str">
        <f aca="false">UPPER(TRIM(C839))</f>
        <v>P005</v>
      </c>
      <c r="H839" s="39" t="str">
        <f aca="false">IF(ISNUMBER(MATCH(G839,Products!$A$5:$A$24,0)),"OK","Mismatch")</f>
        <v>OK</v>
      </c>
      <c r="I839" s="39" t="str">
        <f aca="false">IF(COUNTIF($A$5:A839,A839)&gt;1,"Duplicate","Unique")</f>
        <v>Unique</v>
      </c>
      <c r="J839" s="39" t="str">
        <f aca="false">IF(I839="Duplicate","Remove",IF(H839="Mismatch","Exclude","Keep"))</f>
        <v>Keep</v>
      </c>
    </row>
    <row r="840" customFormat="false" ht="15" hidden="false" customHeight="false" outlineLevel="0" collapsed="false">
      <c r="A840" s="39" t="s">
        <v>947</v>
      </c>
      <c r="B840" s="40" t="n">
        <v>45775</v>
      </c>
      <c r="C840" s="39" t="s">
        <v>144</v>
      </c>
      <c r="D840" s="39" t="n">
        <v>4</v>
      </c>
      <c r="E840" s="41" t="n">
        <v>54.85</v>
      </c>
      <c r="F840" s="39" t="s">
        <v>115</v>
      </c>
      <c r="G840" s="39" t="str">
        <f aca="false">UPPER(TRIM(C840))</f>
        <v>P013</v>
      </c>
      <c r="H840" s="39" t="str">
        <f aca="false">IF(ISNUMBER(MATCH(G840,Products!$A$5:$A$24,0)),"OK","Mismatch")</f>
        <v>OK</v>
      </c>
      <c r="I840" s="39" t="str">
        <f aca="false">IF(COUNTIF($A$5:A840,A840)&gt;1,"Duplicate","Unique")</f>
        <v>Unique</v>
      </c>
      <c r="J840" s="39" t="str">
        <f aca="false">IF(I840="Duplicate","Remove",IF(H840="Mismatch","Exclude","Keep"))</f>
        <v>Keep</v>
      </c>
    </row>
    <row r="841" customFormat="false" ht="15" hidden="false" customHeight="false" outlineLevel="0" collapsed="false">
      <c r="A841" s="39" t="s">
        <v>948</v>
      </c>
      <c r="B841" s="40" t="n">
        <v>45775</v>
      </c>
      <c r="C841" s="39" t="s">
        <v>177</v>
      </c>
      <c r="D841" s="39" t="n">
        <v>1</v>
      </c>
      <c r="E841" s="41" t="n">
        <v>43.31</v>
      </c>
      <c r="F841" s="39" t="s">
        <v>118</v>
      </c>
      <c r="G841" s="39" t="str">
        <f aca="false">UPPER(TRIM(C841))</f>
        <v>P014</v>
      </c>
      <c r="H841" s="39" t="str">
        <f aca="false">IF(ISNUMBER(MATCH(G841,Products!$A$5:$A$24,0)),"OK","Mismatch")</f>
        <v>OK</v>
      </c>
      <c r="I841" s="39" t="str">
        <f aca="false">IF(COUNTIF($A$5:A841,A841)&gt;1,"Duplicate","Unique")</f>
        <v>Unique</v>
      </c>
      <c r="J841" s="39" t="str">
        <f aca="false">IF(I841="Duplicate","Remove",IF(H841="Mismatch","Exclude","Keep"))</f>
        <v>Keep</v>
      </c>
    </row>
    <row r="842" customFormat="false" ht="15" hidden="false" customHeight="false" outlineLevel="0" collapsed="false">
      <c r="A842" s="39" t="s">
        <v>949</v>
      </c>
      <c r="B842" s="40" t="n">
        <v>45775</v>
      </c>
      <c r="C842" s="39" t="s">
        <v>110</v>
      </c>
      <c r="D842" s="39" t="n">
        <v>3</v>
      </c>
      <c r="E842" s="41" t="n">
        <v>13.6</v>
      </c>
      <c r="F842" s="39" t="s">
        <v>108</v>
      </c>
      <c r="G842" s="39" t="str">
        <f aca="false">UPPER(TRIM(C842))</f>
        <v>P016</v>
      </c>
      <c r="H842" s="39" t="str">
        <f aca="false">IF(ISNUMBER(MATCH(G842,Products!$A$5:$A$24,0)),"OK","Mismatch")</f>
        <v>OK</v>
      </c>
      <c r="I842" s="39" t="str">
        <f aca="false">IF(COUNTIF($A$5:A842,A842)&gt;1,"Duplicate","Unique")</f>
        <v>Unique</v>
      </c>
      <c r="J842" s="39" t="str">
        <f aca="false">IF(I842="Duplicate","Remove",IF(H842="Mismatch","Exclude","Keep"))</f>
        <v>Keep</v>
      </c>
    </row>
    <row r="843" customFormat="false" ht="15" hidden="false" customHeight="false" outlineLevel="0" collapsed="false">
      <c r="A843" s="39" t="s">
        <v>950</v>
      </c>
      <c r="B843" s="40" t="n">
        <v>45778</v>
      </c>
      <c r="C843" s="39" t="s">
        <v>112</v>
      </c>
      <c r="D843" s="39" t="n">
        <v>2</v>
      </c>
      <c r="E843" s="41" t="n">
        <v>53.87</v>
      </c>
      <c r="F843" s="39" t="s">
        <v>105</v>
      </c>
      <c r="G843" s="39" t="str">
        <f aca="false">UPPER(TRIM(C843))</f>
        <v>P005</v>
      </c>
      <c r="H843" s="39" t="str">
        <f aca="false">IF(ISNUMBER(MATCH(G843,Products!$A$5:$A$24,0)),"OK","Mismatch")</f>
        <v>OK</v>
      </c>
      <c r="I843" s="39" t="str">
        <f aca="false">IF(COUNTIF($A$5:A843,A843)&gt;1,"Duplicate","Unique")</f>
        <v>Unique</v>
      </c>
      <c r="J843" s="39" t="str">
        <f aca="false">IF(I843="Duplicate","Remove",IF(H843="Mismatch","Exclude","Keep"))</f>
        <v>Keep</v>
      </c>
    </row>
    <row r="844" customFormat="false" ht="15" hidden="false" customHeight="false" outlineLevel="0" collapsed="false">
      <c r="A844" s="39" t="s">
        <v>951</v>
      </c>
      <c r="B844" s="40" t="n">
        <v>45778</v>
      </c>
      <c r="C844" s="39" t="s">
        <v>169</v>
      </c>
      <c r="D844" s="39" t="n">
        <v>3</v>
      </c>
      <c r="E844" s="41" t="n">
        <v>28.19</v>
      </c>
      <c r="F844" s="39" t="s">
        <v>118</v>
      </c>
      <c r="G844" s="39" t="str">
        <f aca="false">UPPER(TRIM(C844))</f>
        <v>P004</v>
      </c>
      <c r="H844" s="39" t="str">
        <f aca="false">IF(ISNUMBER(MATCH(G844,Products!$A$5:$A$24,0)),"OK","Mismatch")</f>
        <v>OK</v>
      </c>
      <c r="I844" s="39" t="str">
        <f aca="false">IF(COUNTIF($A$5:A844,A844)&gt;1,"Duplicate","Unique")</f>
        <v>Unique</v>
      </c>
      <c r="J844" s="39" t="str">
        <f aca="false">IF(I844="Duplicate","Remove",IF(H844="Mismatch","Exclude","Keep"))</f>
        <v>Keep</v>
      </c>
    </row>
    <row r="845" customFormat="false" ht="15" hidden="false" customHeight="false" outlineLevel="0" collapsed="false">
      <c r="A845" s="39" t="s">
        <v>952</v>
      </c>
      <c r="B845" s="40" t="n">
        <v>45778</v>
      </c>
      <c r="C845" s="39" t="s">
        <v>114</v>
      </c>
      <c r="D845" s="39" t="n">
        <v>1</v>
      </c>
      <c r="E845" s="41" t="n">
        <v>5.83</v>
      </c>
      <c r="F845" s="39" t="s">
        <v>118</v>
      </c>
      <c r="G845" s="39" t="str">
        <f aca="false">UPPER(TRIM(C845))</f>
        <v>P012</v>
      </c>
      <c r="H845" s="39" t="str">
        <f aca="false">IF(ISNUMBER(MATCH(G845,Products!$A$5:$A$24,0)),"OK","Mismatch")</f>
        <v>OK</v>
      </c>
      <c r="I845" s="39" t="str">
        <f aca="false">IF(COUNTIF($A$5:A845,A845)&gt;1,"Duplicate","Unique")</f>
        <v>Unique</v>
      </c>
      <c r="J845" s="39" t="str">
        <f aca="false">IF(I845="Duplicate","Remove",IF(H845="Mismatch","Exclude","Keep"))</f>
        <v>Keep</v>
      </c>
    </row>
    <row r="846" customFormat="false" ht="15" hidden="false" customHeight="false" outlineLevel="0" collapsed="false">
      <c r="A846" s="39" t="s">
        <v>953</v>
      </c>
      <c r="B846" s="40" t="n">
        <v>45778</v>
      </c>
      <c r="C846" s="39" t="s">
        <v>162</v>
      </c>
      <c r="D846" s="39" t="n">
        <v>3</v>
      </c>
      <c r="E846" s="41" t="n">
        <v>64.4</v>
      </c>
      <c r="F846" s="39" t="s">
        <v>105</v>
      </c>
      <c r="G846" s="39" t="str">
        <f aca="false">UPPER(TRIM(C846))</f>
        <v>P017</v>
      </c>
      <c r="H846" s="39" t="str">
        <f aca="false">IF(ISNUMBER(MATCH(G846,Products!$A$5:$A$24,0)),"OK","Mismatch")</f>
        <v>OK</v>
      </c>
      <c r="I846" s="39" t="str">
        <f aca="false">IF(COUNTIF($A$5:A846,A846)&gt;1,"Duplicate","Unique")</f>
        <v>Unique</v>
      </c>
      <c r="J846" s="39" t="str">
        <f aca="false">IF(I846="Duplicate","Remove",IF(H846="Mismatch","Exclude","Keep"))</f>
        <v>Keep</v>
      </c>
    </row>
    <row r="847" customFormat="false" ht="15" hidden="false" customHeight="false" outlineLevel="0" collapsed="false">
      <c r="A847" s="39" t="s">
        <v>954</v>
      </c>
      <c r="B847" s="40" t="n">
        <v>45778</v>
      </c>
      <c r="C847" s="39" t="s">
        <v>130</v>
      </c>
      <c r="D847" s="39" t="n">
        <v>2</v>
      </c>
      <c r="E847" s="41" t="n">
        <v>8.95</v>
      </c>
      <c r="F847" s="39" t="s">
        <v>118</v>
      </c>
      <c r="G847" s="39" t="str">
        <f aca="false">UPPER(TRIM(C847))</f>
        <v>P011</v>
      </c>
      <c r="H847" s="39" t="str">
        <f aca="false">IF(ISNUMBER(MATCH(G847,Products!$A$5:$A$24,0)),"OK","Mismatch")</f>
        <v>OK</v>
      </c>
      <c r="I847" s="39" t="str">
        <f aca="false">IF(COUNTIF($A$5:A847,A847)&gt;1,"Duplicate","Unique")</f>
        <v>Unique</v>
      </c>
      <c r="J847" s="39" t="str">
        <f aca="false">IF(I847="Duplicate","Remove",IF(H847="Mismatch","Exclude","Keep"))</f>
        <v>Keep</v>
      </c>
    </row>
    <row r="848" customFormat="false" ht="15" hidden="false" customHeight="false" outlineLevel="0" collapsed="false">
      <c r="A848" s="39" t="s">
        <v>955</v>
      </c>
      <c r="B848" s="40" t="n">
        <v>45778</v>
      </c>
      <c r="C848" s="39" t="s">
        <v>177</v>
      </c>
      <c r="D848" s="39" t="n">
        <v>2</v>
      </c>
      <c r="E848" s="41" t="n">
        <v>42.45</v>
      </c>
      <c r="F848" s="39" t="s">
        <v>108</v>
      </c>
      <c r="G848" s="39" t="str">
        <f aca="false">UPPER(TRIM(C848))</f>
        <v>P014</v>
      </c>
      <c r="H848" s="39" t="str">
        <f aca="false">IF(ISNUMBER(MATCH(G848,Products!$A$5:$A$24,0)),"OK","Mismatch")</f>
        <v>OK</v>
      </c>
      <c r="I848" s="39" t="str">
        <f aca="false">IF(COUNTIF($A$5:A848,A848)&gt;1,"Duplicate","Unique")</f>
        <v>Unique</v>
      </c>
      <c r="J848" s="39" t="str">
        <f aca="false">IF(I848="Duplicate","Remove",IF(H848="Mismatch","Exclude","Keep"))</f>
        <v>Keep</v>
      </c>
    </row>
    <row r="849" customFormat="false" ht="15" hidden="false" customHeight="false" outlineLevel="0" collapsed="false">
      <c r="A849" s="39" t="s">
        <v>956</v>
      </c>
      <c r="B849" s="40" t="n">
        <v>45779</v>
      </c>
      <c r="C849" s="39" t="s">
        <v>130</v>
      </c>
      <c r="D849" s="39" t="n">
        <v>2</v>
      </c>
      <c r="E849" s="41" t="n">
        <v>8.63</v>
      </c>
      <c r="F849" s="39" t="s">
        <v>108</v>
      </c>
      <c r="G849" s="39" t="str">
        <f aca="false">UPPER(TRIM(C849))</f>
        <v>P011</v>
      </c>
      <c r="H849" s="39" t="str">
        <f aca="false">IF(ISNUMBER(MATCH(G849,Products!$A$5:$A$24,0)),"OK","Mismatch")</f>
        <v>OK</v>
      </c>
      <c r="I849" s="39" t="str">
        <f aca="false">IF(COUNTIF($A$5:A849,A849)&gt;1,"Duplicate","Unique")</f>
        <v>Unique</v>
      </c>
      <c r="J849" s="39" t="str">
        <f aca="false">IF(I849="Duplicate","Remove",IF(H849="Mismatch","Exclude","Keep"))</f>
        <v>Keep</v>
      </c>
    </row>
    <row r="850" customFormat="false" ht="15" hidden="false" customHeight="false" outlineLevel="0" collapsed="false">
      <c r="A850" s="39" t="s">
        <v>957</v>
      </c>
      <c r="B850" s="40" t="n">
        <v>45779</v>
      </c>
      <c r="C850" s="39" t="s">
        <v>177</v>
      </c>
      <c r="D850" s="39" t="n">
        <v>2</v>
      </c>
      <c r="E850" s="41" t="n">
        <v>42.55</v>
      </c>
      <c r="F850" s="39" t="s">
        <v>115</v>
      </c>
      <c r="G850" s="39" t="str">
        <f aca="false">UPPER(TRIM(C850))</f>
        <v>P014</v>
      </c>
      <c r="H850" s="39" t="str">
        <f aca="false">IF(ISNUMBER(MATCH(G850,Products!$A$5:$A$24,0)),"OK","Mismatch")</f>
        <v>OK</v>
      </c>
      <c r="I850" s="39" t="str">
        <f aca="false">IF(COUNTIF($A$5:A850,A850)&gt;1,"Duplicate","Unique")</f>
        <v>Unique</v>
      </c>
      <c r="J850" s="39" t="str">
        <f aca="false">IF(I850="Duplicate","Remove",IF(H850="Mismatch","Exclude","Keep"))</f>
        <v>Keep</v>
      </c>
    </row>
    <row r="851" customFormat="false" ht="15" hidden="false" customHeight="false" outlineLevel="0" collapsed="false">
      <c r="A851" s="39" t="s">
        <v>958</v>
      </c>
      <c r="B851" s="40" t="n">
        <v>45779</v>
      </c>
      <c r="C851" s="39" t="s">
        <v>3157</v>
      </c>
      <c r="D851" s="39" t="n">
        <v>6</v>
      </c>
      <c r="E851" s="41" t="n">
        <v>15</v>
      </c>
      <c r="F851" s="39" t="s">
        <v>105</v>
      </c>
      <c r="G851" s="39" t="str">
        <f aca="false">UPPER(TRIM(C851))</f>
        <v>P015</v>
      </c>
      <c r="H851" s="39" t="str">
        <f aca="false">IF(ISNUMBER(MATCH(G851,Products!$A$5:$A$24,0)),"OK","Mismatch")</f>
        <v>OK</v>
      </c>
      <c r="I851" s="39" t="str">
        <f aca="false">IF(COUNTIF($A$5:A851,A851)&gt;1,"Duplicate","Unique")</f>
        <v>Unique</v>
      </c>
      <c r="J851" s="39" t="str">
        <f aca="false">IF(I851="Duplicate","Remove",IF(H851="Mismatch","Exclude","Keep"))</f>
        <v>Keep</v>
      </c>
    </row>
    <row r="852" customFormat="false" ht="15" hidden="false" customHeight="false" outlineLevel="0" collapsed="false">
      <c r="A852" s="39" t="s">
        <v>959</v>
      </c>
      <c r="B852" s="40" t="n">
        <v>45779</v>
      </c>
      <c r="C852" s="39" t="s">
        <v>130</v>
      </c>
      <c r="D852" s="39" t="n">
        <v>5</v>
      </c>
      <c r="E852" s="41" t="n">
        <v>8.87</v>
      </c>
      <c r="F852" s="39" t="s">
        <v>105</v>
      </c>
      <c r="G852" s="39" t="str">
        <f aca="false">UPPER(TRIM(C852))</f>
        <v>P011</v>
      </c>
      <c r="H852" s="39" t="str">
        <f aca="false">IF(ISNUMBER(MATCH(G852,Products!$A$5:$A$24,0)),"OK","Mismatch")</f>
        <v>OK</v>
      </c>
      <c r="I852" s="39" t="str">
        <f aca="false">IF(COUNTIF($A$5:A852,A852)&gt;1,"Duplicate","Unique")</f>
        <v>Unique</v>
      </c>
      <c r="J852" s="39" t="str">
        <f aca="false">IF(I852="Duplicate","Remove",IF(H852="Mismatch","Exclude","Keep"))</f>
        <v>Keep</v>
      </c>
    </row>
    <row r="853" customFormat="false" ht="15" hidden="false" customHeight="false" outlineLevel="0" collapsed="false">
      <c r="A853" s="39" t="s">
        <v>960</v>
      </c>
      <c r="B853" s="40" t="n">
        <v>45779</v>
      </c>
      <c r="C853" s="39" t="s">
        <v>104</v>
      </c>
      <c r="D853" s="39" t="n">
        <v>1</v>
      </c>
      <c r="E853" s="41" t="n">
        <v>14.93</v>
      </c>
      <c r="F853" s="39" t="s">
        <v>108</v>
      </c>
      <c r="G853" s="39" t="str">
        <f aca="false">UPPER(TRIM(C853))</f>
        <v>P015</v>
      </c>
      <c r="H853" s="39" t="str">
        <f aca="false">IF(ISNUMBER(MATCH(G853,Products!$A$5:$A$24,0)),"OK","Mismatch")</f>
        <v>OK</v>
      </c>
      <c r="I853" s="39" t="str">
        <f aca="false">IF(COUNTIF($A$5:A853,A853)&gt;1,"Duplicate","Unique")</f>
        <v>Unique</v>
      </c>
      <c r="J853" s="39" t="str">
        <f aca="false">IF(I853="Duplicate","Remove",IF(H853="Mismatch","Exclude","Keep"))</f>
        <v>Keep</v>
      </c>
    </row>
    <row r="854" customFormat="false" ht="15" hidden="false" customHeight="false" outlineLevel="0" collapsed="false">
      <c r="A854" s="39" t="s">
        <v>961</v>
      </c>
      <c r="B854" s="40" t="n">
        <v>45780</v>
      </c>
      <c r="C854" s="39" t="s">
        <v>126</v>
      </c>
      <c r="D854" s="39" t="n">
        <v>5</v>
      </c>
      <c r="E854" s="41" t="n">
        <v>24.73</v>
      </c>
      <c r="F854" s="39" t="s">
        <v>108</v>
      </c>
      <c r="G854" s="39" t="str">
        <f aca="false">UPPER(TRIM(C854))</f>
        <v>P001</v>
      </c>
      <c r="H854" s="39" t="str">
        <f aca="false">IF(ISNUMBER(MATCH(G854,Products!$A$5:$A$24,0)),"OK","Mismatch")</f>
        <v>OK</v>
      </c>
      <c r="I854" s="39" t="str">
        <f aca="false">IF(COUNTIF($A$5:A854,A854)&gt;1,"Duplicate","Unique")</f>
        <v>Unique</v>
      </c>
      <c r="J854" s="39" t="str">
        <f aca="false">IF(I854="Duplicate","Remove",IF(H854="Mismatch","Exclude","Keep"))</f>
        <v>Keep</v>
      </c>
    </row>
    <row r="855" customFormat="false" ht="15" hidden="false" customHeight="false" outlineLevel="0" collapsed="false">
      <c r="A855" s="39" t="s">
        <v>962</v>
      </c>
      <c r="B855" s="40" t="n">
        <v>45780</v>
      </c>
      <c r="C855" s="39" t="s">
        <v>104</v>
      </c>
      <c r="D855" s="39" t="n">
        <v>1</v>
      </c>
      <c r="E855" s="41" t="n">
        <v>14.79</v>
      </c>
      <c r="F855" s="39" t="s">
        <v>115</v>
      </c>
      <c r="G855" s="39" t="str">
        <f aca="false">UPPER(TRIM(C855))</f>
        <v>P015</v>
      </c>
      <c r="H855" s="39" t="str">
        <f aca="false">IF(ISNUMBER(MATCH(G855,Products!$A$5:$A$24,0)),"OK","Mismatch")</f>
        <v>OK</v>
      </c>
      <c r="I855" s="39" t="str">
        <f aca="false">IF(COUNTIF($A$5:A855,A855)&gt;1,"Duplicate","Unique")</f>
        <v>Unique</v>
      </c>
      <c r="J855" s="39" t="str">
        <f aca="false">IF(I855="Duplicate","Remove",IF(H855="Mismatch","Exclude","Keep"))</f>
        <v>Keep</v>
      </c>
    </row>
    <row r="856" customFormat="false" ht="15" hidden="false" customHeight="false" outlineLevel="0" collapsed="false">
      <c r="A856" s="39" t="s">
        <v>963</v>
      </c>
      <c r="B856" s="40" t="n">
        <v>45780</v>
      </c>
      <c r="C856" s="39" t="s">
        <v>136</v>
      </c>
      <c r="D856" s="39" t="n">
        <v>1</v>
      </c>
      <c r="E856" s="41" t="n">
        <v>75.05</v>
      </c>
      <c r="F856" s="39" t="s">
        <v>105</v>
      </c>
      <c r="G856" s="39" t="str">
        <f aca="false">UPPER(TRIM(C856))</f>
        <v>P002</v>
      </c>
      <c r="H856" s="39" t="str">
        <f aca="false">IF(ISNUMBER(MATCH(G856,Products!$A$5:$A$24,0)),"OK","Mismatch")</f>
        <v>OK</v>
      </c>
      <c r="I856" s="39" t="str">
        <f aca="false">IF(COUNTIF($A$5:A856,A856)&gt;1,"Duplicate","Unique")</f>
        <v>Unique</v>
      </c>
      <c r="J856" s="39" t="str">
        <f aca="false">IF(I856="Duplicate","Remove",IF(H856="Mismatch","Exclude","Keep"))</f>
        <v>Keep</v>
      </c>
    </row>
    <row r="857" customFormat="false" ht="15" hidden="false" customHeight="false" outlineLevel="0" collapsed="false">
      <c r="A857" s="39" t="s">
        <v>964</v>
      </c>
      <c r="B857" s="40" t="n">
        <v>45780</v>
      </c>
      <c r="C857" s="39" t="s">
        <v>162</v>
      </c>
      <c r="D857" s="39" t="n">
        <v>1</v>
      </c>
      <c r="E857" s="41" t="n">
        <v>68.65</v>
      </c>
      <c r="F857" s="39" t="s">
        <v>118</v>
      </c>
      <c r="G857" s="39" t="str">
        <f aca="false">UPPER(TRIM(C857))</f>
        <v>P017</v>
      </c>
      <c r="H857" s="39" t="str">
        <f aca="false">IF(ISNUMBER(MATCH(G857,Products!$A$5:$A$24,0)),"OK","Mismatch")</f>
        <v>OK</v>
      </c>
      <c r="I857" s="39" t="str">
        <f aca="false">IF(COUNTIF($A$5:A857,A857)&gt;1,"Duplicate","Unique")</f>
        <v>Unique</v>
      </c>
      <c r="J857" s="39" t="str">
        <f aca="false">IF(I857="Duplicate","Remove",IF(H857="Mismatch","Exclude","Keep"))</f>
        <v>Keep</v>
      </c>
    </row>
    <row r="858" customFormat="false" ht="15" hidden="false" customHeight="false" outlineLevel="0" collapsed="false">
      <c r="A858" s="39" t="s">
        <v>965</v>
      </c>
      <c r="B858" s="40" t="n">
        <v>45780</v>
      </c>
      <c r="C858" s="39" t="s">
        <v>117</v>
      </c>
      <c r="D858" s="39" t="n">
        <v>1</v>
      </c>
      <c r="E858" s="41" t="n">
        <v>30.28</v>
      </c>
      <c r="F858" s="39" t="s">
        <v>115</v>
      </c>
      <c r="G858" s="39" t="str">
        <f aca="false">UPPER(TRIM(C858))</f>
        <v>P009</v>
      </c>
      <c r="H858" s="39" t="str">
        <f aca="false">IF(ISNUMBER(MATCH(G858,Products!$A$5:$A$24,0)),"OK","Mismatch")</f>
        <v>OK</v>
      </c>
      <c r="I858" s="39" t="str">
        <f aca="false">IF(COUNTIF($A$5:A858,A858)&gt;1,"Duplicate","Unique")</f>
        <v>Unique</v>
      </c>
      <c r="J858" s="39" t="str">
        <f aca="false">IF(I858="Duplicate","Remove",IF(H858="Mismatch","Exclude","Keep"))</f>
        <v>Keep</v>
      </c>
    </row>
    <row r="859" customFormat="false" ht="15" hidden="false" customHeight="false" outlineLevel="0" collapsed="false">
      <c r="A859" s="39" t="s">
        <v>966</v>
      </c>
      <c r="B859" s="40" t="n">
        <v>45780</v>
      </c>
      <c r="C859" s="39" t="s">
        <v>177</v>
      </c>
      <c r="D859" s="39" t="n">
        <v>4</v>
      </c>
      <c r="E859" s="41" t="n">
        <v>44.6</v>
      </c>
      <c r="F859" s="39" t="s">
        <v>105</v>
      </c>
      <c r="G859" s="39" t="str">
        <f aca="false">UPPER(TRIM(C859))</f>
        <v>P014</v>
      </c>
      <c r="H859" s="39" t="str">
        <f aca="false">IF(ISNUMBER(MATCH(G859,Products!$A$5:$A$24,0)),"OK","Mismatch")</f>
        <v>OK</v>
      </c>
      <c r="I859" s="39" t="str">
        <f aca="false">IF(COUNTIF($A$5:A859,A859)&gt;1,"Duplicate","Unique")</f>
        <v>Unique</v>
      </c>
      <c r="J859" s="39" t="str">
        <f aca="false">IF(I859="Duplicate","Remove",IF(H859="Mismatch","Exclude","Keep"))</f>
        <v>Keep</v>
      </c>
    </row>
    <row r="860" customFormat="false" ht="15" hidden="false" customHeight="false" outlineLevel="0" collapsed="false">
      <c r="A860" s="39" t="s">
        <v>967</v>
      </c>
      <c r="B860" s="40" t="n">
        <v>45780</v>
      </c>
      <c r="C860" s="39" t="s">
        <v>110</v>
      </c>
      <c r="D860" s="39" t="n">
        <v>2</v>
      </c>
      <c r="E860" s="41" t="n">
        <v>13.71</v>
      </c>
      <c r="F860" s="39" t="s">
        <v>118</v>
      </c>
      <c r="G860" s="39" t="str">
        <f aca="false">UPPER(TRIM(C860))</f>
        <v>P016</v>
      </c>
      <c r="H860" s="39" t="str">
        <f aca="false">IF(ISNUMBER(MATCH(G860,Products!$A$5:$A$24,0)),"OK","Mismatch")</f>
        <v>OK</v>
      </c>
      <c r="I860" s="39" t="str">
        <f aca="false">IF(COUNTIF($A$5:A860,A860)&gt;1,"Duplicate","Unique")</f>
        <v>Unique</v>
      </c>
      <c r="J860" s="39" t="str">
        <f aca="false">IF(I860="Duplicate","Remove",IF(H860="Mismatch","Exclude","Keep"))</f>
        <v>Keep</v>
      </c>
    </row>
    <row r="861" customFormat="false" ht="15" hidden="false" customHeight="false" outlineLevel="0" collapsed="false">
      <c r="A861" s="39" t="s">
        <v>968</v>
      </c>
      <c r="B861" s="40" t="n">
        <v>45780</v>
      </c>
      <c r="C861" s="39" t="s">
        <v>112</v>
      </c>
      <c r="D861" s="39" t="n">
        <v>3</v>
      </c>
      <c r="E861" s="41" t="n">
        <v>51.9</v>
      </c>
      <c r="F861" s="39" t="s">
        <v>115</v>
      </c>
      <c r="G861" s="39" t="str">
        <f aca="false">UPPER(TRIM(C861))</f>
        <v>P005</v>
      </c>
      <c r="H861" s="39" t="str">
        <f aca="false">IF(ISNUMBER(MATCH(G861,Products!$A$5:$A$24,0)),"OK","Mismatch")</f>
        <v>OK</v>
      </c>
      <c r="I861" s="39" t="str">
        <f aca="false">IF(COUNTIF($A$5:A861,A861)&gt;1,"Duplicate","Unique")</f>
        <v>Unique</v>
      </c>
      <c r="J861" s="39" t="str">
        <f aca="false">IF(I861="Duplicate","Remove",IF(H861="Mismatch","Exclude","Keep"))</f>
        <v>Keep</v>
      </c>
    </row>
    <row r="862" customFormat="false" ht="15" hidden="false" customHeight="false" outlineLevel="0" collapsed="false">
      <c r="A862" s="39" t="s">
        <v>969</v>
      </c>
      <c r="B862" s="40" t="n">
        <v>45780</v>
      </c>
      <c r="C862" s="39" t="s">
        <v>177</v>
      </c>
      <c r="D862" s="39" t="n">
        <v>1</v>
      </c>
      <c r="E862" s="41" t="n">
        <v>43.17</v>
      </c>
      <c r="F862" s="39" t="s">
        <v>105</v>
      </c>
      <c r="G862" s="39" t="str">
        <f aca="false">UPPER(TRIM(C862))</f>
        <v>P014</v>
      </c>
      <c r="H862" s="39" t="str">
        <f aca="false">IF(ISNUMBER(MATCH(G862,Products!$A$5:$A$24,0)),"OK","Mismatch")</f>
        <v>OK</v>
      </c>
      <c r="I862" s="39" t="str">
        <f aca="false">IF(COUNTIF($A$5:A862,A862)&gt;1,"Duplicate","Unique")</f>
        <v>Unique</v>
      </c>
      <c r="J862" s="39" t="str">
        <f aca="false">IF(I862="Duplicate","Remove",IF(H862="Mismatch","Exclude","Keep"))</f>
        <v>Keep</v>
      </c>
    </row>
    <row r="863" customFormat="false" ht="15" hidden="false" customHeight="false" outlineLevel="0" collapsed="false">
      <c r="A863" s="39" t="s">
        <v>970</v>
      </c>
      <c r="B863" s="40" t="n">
        <v>45780</v>
      </c>
      <c r="C863" s="39" t="s">
        <v>133</v>
      </c>
      <c r="D863" s="39" t="n">
        <v>1</v>
      </c>
      <c r="E863" s="41" t="n">
        <v>8.29</v>
      </c>
      <c r="F863" s="39" t="s">
        <v>115</v>
      </c>
      <c r="G863" s="39" t="str">
        <f aca="false">UPPER(TRIM(C863))</f>
        <v>P019</v>
      </c>
      <c r="H863" s="39" t="str">
        <f aca="false">IF(ISNUMBER(MATCH(G863,Products!$A$5:$A$24,0)),"OK","Mismatch")</f>
        <v>OK</v>
      </c>
      <c r="I863" s="39" t="str">
        <f aca="false">IF(COUNTIF($A$5:A863,A863)&gt;1,"Duplicate","Unique")</f>
        <v>Unique</v>
      </c>
      <c r="J863" s="39" t="str">
        <f aca="false">IF(I863="Duplicate","Remove",IF(H863="Mismatch","Exclude","Keep"))</f>
        <v>Keep</v>
      </c>
    </row>
    <row r="864" customFormat="false" ht="15" hidden="false" customHeight="false" outlineLevel="0" collapsed="false">
      <c r="A864" s="39" t="s">
        <v>971</v>
      </c>
      <c r="B864" s="40" t="n">
        <v>45781</v>
      </c>
      <c r="C864" s="39" t="s">
        <v>130</v>
      </c>
      <c r="D864" s="39" t="n">
        <v>3</v>
      </c>
      <c r="E864" s="41" t="n">
        <v>8.62</v>
      </c>
      <c r="F864" s="39" t="s">
        <v>118</v>
      </c>
      <c r="G864" s="39" t="str">
        <f aca="false">UPPER(TRIM(C864))</f>
        <v>P011</v>
      </c>
      <c r="H864" s="39" t="str">
        <f aca="false">IF(ISNUMBER(MATCH(G864,Products!$A$5:$A$24,0)),"OK","Mismatch")</f>
        <v>OK</v>
      </c>
      <c r="I864" s="39" t="str">
        <f aca="false">IF(COUNTIF($A$5:A864,A864)&gt;1,"Duplicate","Unique")</f>
        <v>Unique</v>
      </c>
      <c r="J864" s="39" t="str">
        <f aca="false">IF(I864="Duplicate","Remove",IF(H864="Mismatch","Exclude","Keep"))</f>
        <v>Keep</v>
      </c>
    </row>
    <row r="865" customFormat="false" ht="15" hidden="false" customHeight="false" outlineLevel="0" collapsed="false">
      <c r="A865" s="39" t="s">
        <v>972</v>
      </c>
      <c r="B865" s="40" t="n">
        <v>45781</v>
      </c>
      <c r="C865" s="39" t="s">
        <v>114</v>
      </c>
      <c r="D865" s="39" t="n">
        <v>4</v>
      </c>
      <c r="E865" s="41" t="n">
        <v>5.56</v>
      </c>
      <c r="F865" s="39" t="s">
        <v>118</v>
      </c>
      <c r="G865" s="39" t="str">
        <f aca="false">UPPER(TRIM(C865))</f>
        <v>P012</v>
      </c>
      <c r="H865" s="39" t="str">
        <f aca="false">IF(ISNUMBER(MATCH(G865,Products!$A$5:$A$24,0)),"OK","Mismatch")</f>
        <v>OK</v>
      </c>
      <c r="I865" s="39" t="str">
        <f aca="false">IF(COUNTIF($A$5:A865,A865)&gt;1,"Duplicate","Unique")</f>
        <v>Unique</v>
      </c>
      <c r="J865" s="39" t="str">
        <f aca="false">IF(I865="Duplicate","Remove",IF(H865="Mismatch","Exclude","Keep"))</f>
        <v>Keep</v>
      </c>
    </row>
    <row r="866" customFormat="false" ht="15" hidden="false" customHeight="false" outlineLevel="0" collapsed="false">
      <c r="A866" s="39" t="s">
        <v>973</v>
      </c>
      <c r="B866" s="40" t="n">
        <v>45781</v>
      </c>
      <c r="C866" s="39" t="s">
        <v>139</v>
      </c>
      <c r="D866" s="39" t="n">
        <v>1</v>
      </c>
      <c r="E866" s="41" t="n">
        <v>125.55</v>
      </c>
      <c r="F866" s="39" t="s">
        <v>118</v>
      </c>
      <c r="G866" s="39" t="str">
        <f aca="false">UPPER(TRIM(C866))</f>
        <v>P006</v>
      </c>
      <c r="H866" s="39" t="str">
        <f aca="false">IF(ISNUMBER(MATCH(G866,Products!$A$5:$A$24,0)),"OK","Mismatch")</f>
        <v>OK</v>
      </c>
      <c r="I866" s="39" t="str">
        <f aca="false">IF(COUNTIF($A$5:A866,A866)&gt;1,"Duplicate","Unique")</f>
        <v>Unique</v>
      </c>
      <c r="J866" s="39" t="str">
        <f aca="false">IF(I866="Duplicate","Remove",IF(H866="Mismatch","Exclude","Keep"))</f>
        <v>Keep</v>
      </c>
    </row>
    <row r="867" customFormat="false" ht="15" hidden="false" customHeight="false" outlineLevel="0" collapsed="false">
      <c r="A867" s="39" t="s">
        <v>974</v>
      </c>
      <c r="B867" s="40" t="n">
        <v>45781</v>
      </c>
      <c r="C867" s="39" t="s">
        <v>144</v>
      </c>
      <c r="D867" s="39" t="n">
        <v>6</v>
      </c>
      <c r="E867" s="41" t="n">
        <v>54.44</v>
      </c>
      <c r="F867" s="39" t="s">
        <v>108</v>
      </c>
      <c r="G867" s="39" t="str">
        <f aca="false">UPPER(TRIM(C867))</f>
        <v>P013</v>
      </c>
      <c r="H867" s="39" t="str">
        <f aca="false">IF(ISNUMBER(MATCH(G867,Products!$A$5:$A$24,0)),"OK","Mismatch")</f>
        <v>OK</v>
      </c>
      <c r="I867" s="39" t="str">
        <f aca="false">IF(COUNTIF($A$5:A867,A867)&gt;1,"Duplicate","Unique")</f>
        <v>Unique</v>
      </c>
      <c r="J867" s="39" t="str">
        <f aca="false">IF(I867="Duplicate","Remove",IF(H867="Mismatch","Exclude","Keep"))</f>
        <v>Keep</v>
      </c>
    </row>
    <row r="868" customFormat="false" ht="15" hidden="false" customHeight="false" outlineLevel="0" collapsed="false">
      <c r="A868" s="39" t="s">
        <v>975</v>
      </c>
      <c r="B868" s="40" t="n">
        <v>45781</v>
      </c>
      <c r="C868" s="39" t="s">
        <v>3158</v>
      </c>
      <c r="D868" s="39" t="n">
        <v>1</v>
      </c>
      <c r="E868" s="41" t="n">
        <v>54.6</v>
      </c>
      <c r="F868" s="39" t="s">
        <v>115</v>
      </c>
      <c r="G868" s="39" t="str">
        <f aca="false">UPPER(TRIM(C868))</f>
        <v>P005</v>
      </c>
      <c r="H868" s="39" t="str">
        <f aca="false">IF(ISNUMBER(MATCH(G868,Products!$A$5:$A$24,0)),"OK","Mismatch")</f>
        <v>OK</v>
      </c>
      <c r="I868" s="39" t="str">
        <f aca="false">IF(COUNTIF($A$5:A868,A868)&gt;1,"Duplicate","Unique")</f>
        <v>Unique</v>
      </c>
      <c r="J868" s="39" t="str">
        <f aca="false">IF(I868="Duplicate","Remove",IF(H868="Mismatch","Exclude","Keep"))</f>
        <v>Keep</v>
      </c>
    </row>
    <row r="869" customFormat="false" ht="15" hidden="false" customHeight="false" outlineLevel="0" collapsed="false">
      <c r="A869" s="39" t="s">
        <v>976</v>
      </c>
      <c r="B869" s="40" t="n">
        <v>45781</v>
      </c>
      <c r="C869" s="39" t="s">
        <v>183</v>
      </c>
      <c r="D869" s="39" t="n">
        <v>1</v>
      </c>
      <c r="E869" s="41" t="n">
        <v>185.28</v>
      </c>
      <c r="F869" s="39" t="s">
        <v>118</v>
      </c>
      <c r="G869" s="39" t="str">
        <f aca="false">UPPER(TRIM(C869))</f>
        <v>P007</v>
      </c>
      <c r="H869" s="39" t="str">
        <f aca="false">IF(ISNUMBER(MATCH(G869,Products!$A$5:$A$24,0)),"OK","Mismatch")</f>
        <v>OK</v>
      </c>
      <c r="I869" s="39" t="str">
        <f aca="false">IF(COUNTIF($A$5:A869,A869)&gt;1,"Duplicate","Unique")</f>
        <v>Unique</v>
      </c>
      <c r="J869" s="39" t="str">
        <f aca="false">IF(I869="Duplicate","Remove",IF(H869="Mismatch","Exclude","Keep"))</f>
        <v>Keep</v>
      </c>
    </row>
    <row r="870" customFormat="false" ht="15" hidden="false" customHeight="false" outlineLevel="0" collapsed="false">
      <c r="A870" s="39" t="s">
        <v>977</v>
      </c>
      <c r="B870" s="40" t="n">
        <v>45781</v>
      </c>
      <c r="C870" s="39" t="s">
        <v>121</v>
      </c>
      <c r="D870" s="39" t="n">
        <v>5</v>
      </c>
      <c r="E870" s="41" t="n">
        <v>114.65</v>
      </c>
      <c r="F870" s="39" t="s">
        <v>118</v>
      </c>
      <c r="G870" s="39" t="str">
        <f aca="false">UPPER(TRIM(C870))</f>
        <v>P018</v>
      </c>
      <c r="H870" s="39" t="str">
        <f aca="false">IF(ISNUMBER(MATCH(G870,Products!$A$5:$A$24,0)),"OK","Mismatch")</f>
        <v>OK</v>
      </c>
      <c r="I870" s="39" t="str">
        <f aca="false">IF(COUNTIF($A$5:A870,A870)&gt;1,"Duplicate","Unique")</f>
        <v>Unique</v>
      </c>
      <c r="J870" s="39" t="str">
        <f aca="false">IF(I870="Duplicate","Remove",IF(H870="Mismatch","Exclude","Keep"))</f>
        <v>Keep</v>
      </c>
    </row>
    <row r="871" customFormat="false" ht="15" hidden="false" customHeight="false" outlineLevel="0" collapsed="false">
      <c r="A871" s="39" t="s">
        <v>978</v>
      </c>
      <c r="B871" s="40" t="n">
        <v>45781</v>
      </c>
      <c r="C871" s="39" t="s">
        <v>117</v>
      </c>
      <c r="D871" s="39" t="n">
        <v>2</v>
      </c>
      <c r="E871" s="41" t="n">
        <v>30.51</v>
      </c>
      <c r="F871" s="39" t="s">
        <v>105</v>
      </c>
      <c r="G871" s="39" t="str">
        <f aca="false">UPPER(TRIM(C871))</f>
        <v>P009</v>
      </c>
      <c r="H871" s="39" t="str">
        <f aca="false">IF(ISNUMBER(MATCH(G871,Products!$A$5:$A$24,0)),"OK","Mismatch")</f>
        <v>OK</v>
      </c>
      <c r="I871" s="39" t="str">
        <f aca="false">IF(COUNTIF($A$5:A871,A871)&gt;1,"Duplicate","Unique")</f>
        <v>Unique</v>
      </c>
      <c r="J871" s="39" t="str">
        <f aca="false">IF(I871="Duplicate","Remove",IF(H871="Mismatch","Exclude","Keep"))</f>
        <v>Keep</v>
      </c>
    </row>
    <row r="872" customFormat="false" ht="15" hidden="false" customHeight="false" outlineLevel="0" collapsed="false">
      <c r="A872" s="39" t="s">
        <v>979</v>
      </c>
      <c r="B872" s="40" t="n">
        <v>45781</v>
      </c>
      <c r="C872" s="39" t="s">
        <v>107</v>
      </c>
      <c r="D872" s="39" t="n">
        <v>3</v>
      </c>
      <c r="E872" s="41" t="n">
        <v>34.27</v>
      </c>
      <c r="F872" s="39" t="s">
        <v>118</v>
      </c>
      <c r="G872" s="39" t="str">
        <f aca="false">UPPER(TRIM(C872))</f>
        <v>P003</v>
      </c>
      <c r="H872" s="39" t="str">
        <f aca="false">IF(ISNUMBER(MATCH(G872,Products!$A$5:$A$24,0)),"OK","Mismatch")</f>
        <v>OK</v>
      </c>
      <c r="I872" s="39" t="str">
        <f aca="false">IF(COUNTIF($A$5:A872,A872)&gt;1,"Duplicate","Unique")</f>
        <v>Unique</v>
      </c>
      <c r="J872" s="39" t="str">
        <f aca="false">IF(I872="Duplicate","Remove",IF(H872="Mismatch","Exclude","Keep"))</f>
        <v>Keep</v>
      </c>
    </row>
    <row r="873" customFormat="false" ht="15" hidden="false" customHeight="false" outlineLevel="0" collapsed="false">
      <c r="A873" s="39" t="s">
        <v>980</v>
      </c>
      <c r="B873" s="40" t="n">
        <v>45782</v>
      </c>
      <c r="C873" s="39" t="s">
        <v>121</v>
      </c>
      <c r="D873" s="39" t="n">
        <v>3</v>
      </c>
      <c r="E873" s="41" t="n">
        <v>116.18</v>
      </c>
      <c r="F873" s="39" t="s">
        <v>105</v>
      </c>
      <c r="G873" s="39" t="str">
        <f aca="false">UPPER(TRIM(C873))</f>
        <v>P018</v>
      </c>
      <c r="H873" s="39" t="str">
        <f aca="false">IF(ISNUMBER(MATCH(G873,Products!$A$5:$A$24,0)),"OK","Mismatch")</f>
        <v>OK</v>
      </c>
      <c r="I873" s="39" t="str">
        <f aca="false">IF(COUNTIF($A$5:A873,A873)&gt;1,"Duplicate","Unique")</f>
        <v>Unique</v>
      </c>
      <c r="J873" s="39" t="str">
        <f aca="false">IF(I873="Duplicate","Remove",IF(H873="Mismatch","Exclude","Keep"))</f>
        <v>Keep</v>
      </c>
    </row>
    <row r="874" customFormat="false" ht="15" hidden="false" customHeight="false" outlineLevel="0" collapsed="false">
      <c r="A874" s="39" t="s">
        <v>981</v>
      </c>
      <c r="B874" s="40" t="n">
        <v>45782</v>
      </c>
      <c r="C874" s="39" t="s">
        <v>183</v>
      </c>
      <c r="D874" s="39" t="n">
        <v>2</v>
      </c>
      <c r="E874" s="41" t="n">
        <v>175.39</v>
      </c>
      <c r="F874" s="39" t="s">
        <v>115</v>
      </c>
      <c r="G874" s="39" t="str">
        <f aca="false">UPPER(TRIM(C874))</f>
        <v>P007</v>
      </c>
      <c r="H874" s="39" t="str">
        <f aca="false">IF(ISNUMBER(MATCH(G874,Products!$A$5:$A$24,0)),"OK","Mismatch")</f>
        <v>OK</v>
      </c>
      <c r="I874" s="39" t="str">
        <f aca="false">IF(COUNTIF($A$5:A874,A874)&gt;1,"Duplicate","Unique")</f>
        <v>Unique</v>
      </c>
      <c r="J874" s="39" t="str">
        <f aca="false">IF(I874="Duplicate","Remove",IF(H874="Mismatch","Exclude","Keep"))</f>
        <v>Keep</v>
      </c>
    </row>
    <row r="875" customFormat="false" ht="15" hidden="false" customHeight="false" outlineLevel="0" collapsed="false">
      <c r="A875" s="39" t="s">
        <v>982</v>
      </c>
      <c r="B875" s="40" t="n">
        <v>45782</v>
      </c>
      <c r="C875" s="39" t="s">
        <v>114</v>
      </c>
      <c r="D875" s="39" t="n">
        <v>1</v>
      </c>
      <c r="E875" s="41" t="n">
        <v>5.64</v>
      </c>
      <c r="F875" s="39" t="s">
        <v>118</v>
      </c>
      <c r="G875" s="39" t="str">
        <f aca="false">UPPER(TRIM(C875))</f>
        <v>P012</v>
      </c>
      <c r="H875" s="39" t="str">
        <f aca="false">IF(ISNUMBER(MATCH(G875,Products!$A$5:$A$24,0)),"OK","Mismatch")</f>
        <v>OK</v>
      </c>
      <c r="I875" s="39" t="str">
        <f aca="false">IF(COUNTIF($A$5:A875,A875)&gt;1,"Duplicate","Unique")</f>
        <v>Unique</v>
      </c>
      <c r="J875" s="39" t="str">
        <f aca="false">IF(I875="Duplicate","Remove",IF(H875="Mismatch","Exclude","Keep"))</f>
        <v>Keep</v>
      </c>
    </row>
    <row r="876" customFormat="false" ht="15" hidden="false" customHeight="false" outlineLevel="0" collapsed="false">
      <c r="A876" s="39" t="s">
        <v>983</v>
      </c>
      <c r="B876" s="40" t="n">
        <v>45782</v>
      </c>
      <c r="C876" s="39" t="s">
        <v>110</v>
      </c>
      <c r="D876" s="39" t="n">
        <v>4</v>
      </c>
      <c r="E876" s="41" t="n">
        <v>13.26</v>
      </c>
      <c r="F876" s="39" t="s">
        <v>115</v>
      </c>
      <c r="G876" s="39" t="str">
        <f aca="false">UPPER(TRIM(C876))</f>
        <v>P016</v>
      </c>
      <c r="H876" s="39" t="str">
        <f aca="false">IF(ISNUMBER(MATCH(G876,Products!$A$5:$A$24,0)),"OK","Mismatch")</f>
        <v>OK</v>
      </c>
      <c r="I876" s="39" t="str">
        <f aca="false">IF(COUNTIF($A$5:A876,A876)&gt;1,"Duplicate","Unique")</f>
        <v>Unique</v>
      </c>
      <c r="J876" s="39" t="str">
        <f aca="false">IF(I876="Duplicate","Remove",IF(H876="Mismatch","Exclude","Keep"))</f>
        <v>Keep</v>
      </c>
    </row>
    <row r="877" customFormat="false" ht="15" hidden="false" customHeight="false" outlineLevel="0" collapsed="false">
      <c r="A877" s="39" t="s">
        <v>984</v>
      </c>
      <c r="B877" s="40" t="n">
        <v>45782</v>
      </c>
      <c r="C877" s="39" t="s">
        <v>177</v>
      </c>
      <c r="D877" s="39" t="n">
        <v>4</v>
      </c>
      <c r="E877" s="41" t="n">
        <v>41.98</v>
      </c>
      <c r="F877" s="39" t="s">
        <v>115</v>
      </c>
      <c r="G877" s="39" t="str">
        <f aca="false">UPPER(TRIM(C877))</f>
        <v>P014</v>
      </c>
      <c r="H877" s="39" t="str">
        <f aca="false">IF(ISNUMBER(MATCH(G877,Products!$A$5:$A$24,0)),"OK","Mismatch")</f>
        <v>OK</v>
      </c>
      <c r="I877" s="39" t="str">
        <f aca="false">IF(COUNTIF($A$5:A877,A877)&gt;1,"Duplicate","Unique")</f>
        <v>Unique</v>
      </c>
      <c r="J877" s="39" t="str">
        <f aca="false">IF(I877="Duplicate","Remove",IF(H877="Mismatch","Exclude","Keep"))</f>
        <v>Keep</v>
      </c>
    </row>
    <row r="878" customFormat="false" ht="15" hidden="false" customHeight="false" outlineLevel="0" collapsed="false">
      <c r="A878" s="39" t="s">
        <v>985</v>
      </c>
      <c r="B878" s="40" t="n">
        <v>45782</v>
      </c>
      <c r="C878" s="39" t="s">
        <v>114</v>
      </c>
      <c r="D878" s="39" t="n">
        <v>2</v>
      </c>
      <c r="E878" s="41" t="n">
        <v>5.91</v>
      </c>
      <c r="F878" s="39" t="s">
        <v>115</v>
      </c>
      <c r="G878" s="39" t="str">
        <f aca="false">UPPER(TRIM(C878))</f>
        <v>P012</v>
      </c>
      <c r="H878" s="39" t="str">
        <f aca="false">IF(ISNUMBER(MATCH(G878,Products!$A$5:$A$24,0)),"OK","Mismatch")</f>
        <v>OK</v>
      </c>
      <c r="I878" s="39" t="str">
        <f aca="false">IF(COUNTIF($A$5:A878,A878)&gt;1,"Duplicate","Unique")</f>
        <v>Unique</v>
      </c>
      <c r="J878" s="39" t="str">
        <f aca="false">IF(I878="Duplicate","Remove",IF(H878="Mismatch","Exclude","Keep"))</f>
        <v>Keep</v>
      </c>
    </row>
    <row r="879" customFormat="false" ht="15" hidden="false" customHeight="false" outlineLevel="0" collapsed="false">
      <c r="A879" s="39" t="s">
        <v>986</v>
      </c>
      <c r="B879" s="40" t="n">
        <v>45782</v>
      </c>
      <c r="C879" s="39" t="s">
        <v>112</v>
      </c>
      <c r="D879" s="39" t="n">
        <v>1</v>
      </c>
      <c r="E879" s="41" t="n">
        <v>52.38</v>
      </c>
      <c r="F879" s="39" t="s">
        <v>118</v>
      </c>
      <c r="G879" s="39" t="str">
        <f aca="false">UPPER(TRIM(C879))</f>
        <v>P005</v>
      </c>
      <c r="H879" s="39" t="str">
        <f aca="false">IF(ISNUMBER(MATCH(G879,Products!$A$5:$A$24,0)),"OK","Mismatch")</f>
        <v>OK</v>
      </c>
      <c r="I879" s="39" t="str">
        <f aca="false">IF(COUNTIF($A$5:A879,A879)&gt;1,"Duplicate","Unique")</f>
        <v>Unique</v>
      </c>
      <c r="J879" s="39" t="str">
        <f aca="false">IF(I879="Duplicate","Remove",IF(H879="Mismatch","Exclude","Keep"))</f>
        <v>Keep</v>
      </c>
    </row>
    <row r="880" customFormat="false" ht="15" hidden="false" customHeight="false" outlineLevel="0" collapsed="false">
      <c r="A880" s="39" t="s">
        <v>987</v>
      </c>
      <c r="B880" s="40" t="n">
        <v>45782</v>
      </c>
      <c r="C880" s="39" t="s">
        <v>177</v>
      </c>
      <c r="D880" s="39" t="n">
        <v>8</v>
      </c>
      <c r="E880" s="41" t="n">
        <v>43.58</v>
      </c>
      <c r="F880" s="39" t="s">
        <v>118</v>
      </c>
      <c r="G880" s="39" t="str">
        <f aca="false">UPPER(TRIM(C880))</f>
        <v>P014</v>
      </c>
      <c r="H880" s="39" t="str">
        <f aca="false">IF(ISNUMBER(MATCH(G880,Products!$A$5:$A$24,0)),"OK","Mismatch")</f>
        <v>OK</v>
      </c>
      <c r="I880" s="39" t="str">
        <f aca="false">IF(COUNTIF($A$5:A880,A880)&gt;1,"Duplicate","Unique")</f>
        <v>Unique</v>
      </c>
      <c r="J880" s="39" t="str">
        <f aca="false">IF(I880="Duplicate","Remove",IF(H880="Mismatch","Exclude","Keep"))</f>
        <v>Keep</v>
      </c>
    </row>
    <row r="881" customFormat="false" ht="15" hidden="false" customHeight="false" outlineLevel="0" collapsed="false">
      <c r="A881" s="39" t="s">
        <v>988</v>
      </c>
      <c r="B881" s="40" t="n">
        <v>45782</v>
      </c>
      <c r="C881" s="39" t="s">
        <v>126</v>
      </c>
      <c r="D881" s="39" t="n">
        <v>3</v>
      </c>
      <c r="E881" s="41" t="n">
        <v>24.16</v>
      </c>
      <c r="F881" s="39" t="s">
        <v>108</v>
      </c>
      <c r="G881" s="39" t="str">
        <f aca="false">UPPER(TRIM(C881))</f>
        <v>P001</v>
      </c>
      <c r="H881" s="39" t="str">
        <f aca="false">IF(ISNUMBER(MATCH(G881,Products!$A$5:$A$24,0)),"OK","Mismatch")</f>
        <v>OK</v>
      </c>
      <c r="I881" s="39" t="str">
        <f aca="false">IF(COUNTIF($A$5:A881,A881)&gt;1,"Duplicate","Unique")</f>
        <v>Unique</v>
      </c>
      <c r="J881" s="39" t="str">
        <f aca="false">IF(I881="Duplicate","Remove",IF(H881="Mismatch","Exclude","Keep"))</f>
        <v>Keep</v>
      </c>
    </row>
    <row r="882" customFormat="false" ht="15" hidden="false" customHeight="false" outlineLevel="0" collapsed="false">
      <c r="A882" s="39" t="s">
        <v>989</v>
      </c>
      <c r="B882" s="40" t="n">
        <v>45782</v>
      </c>
      <c r="C882" s="39" t="s">
        <v>126</v>
      </c>
      <c r="D882" s="39" t="n">
        <v>8</v>
      </c>
      <c r="E882" s="41" t="n">
        <v>24.22</v>
      </c>
      <c r="F882" s="39" t="s">
        <v>105</v>
      </c>
      <c r="G882" s="39" t="str">
        <f aca="false">UPPER(TRIM(C882))</f>
        <v>P001</v>
      </c>
      <c r="H882" s="39" t="str">
        <f aca="false">IF(ISNUMBER(MATCH(G882,Products!$A$5:$A$24,0)),"OK","Mismatch")</f>
        <v>OK</v>
      </c>
      <c r="I882" s="39" t="str">
        <f aca="false">IF(COUNTIF($A$5:A882,A882)&gt;1,"Duplicate","Unique")</f>
        <v>Unique</v>
      </c>
      <c r="J882" s="39" t="str">
        <f aca="false">IF(I882="Duplicate","Remove",IF(H882="Mismatch","Exclude","Keep"))</f>
        <v>Keep</v>
      </c>
    </row>
    <row r="883" customFormat="false" ht="15" hidden="false" customHeight="false" outlineLevel="0" collapsed="false">
      <c r="A883" s="39" t="s">
        <v>990</v>
      </c>
      <c r="B883" s="40" t="n">
        <v>45783</v>
      </c>
      <c r="C883" s="39" t="s">
        <v>139</v>
      </c>
      <c r="D883" s="39" t="n">
        <v>1</v>
      </c>
      <c r="E883" s="41" t="n">
        <v>123.65</v>
      </c>
      <c r="F883" s="39" t="s">
        <v>108</v>
      </c>
      <c r="G883" s="39" t="str">
        <f aca="false">UPPER(TRIM(C883))</f>
        <v>P006</v>
      </c>
      <c r="H883" s="39" t="str">
        <f aca="false">IF(ISNUMBER(MATCH(G883,Products!$A$5:$A$24,0)),"OK","Mismatch")</f>
        <v>OK</v>
      </c>
      <c r="I883" s="39" t="str">
        <f aca="false">IF(COUNTIF($A$5:A883,A883)&gt;1,"Duplicate","Unique")</f>
        <v>Unique</v>
      </c>
      <c r="J883" s="39" t="str">
        <f aca="false">IF(I883="Duplicate","Remove",IF(H883="Mismatch","Exclude","Keep"))</f>
        <v>Keep</v>
      </c>
    </row>
    <row r="884" customFormat="false" ht="15" hidden="false" customHeight="false" outlineLevel="0" collapsed="false">
      <c r="A884" s="39" t="s">
        <v>991</v>
      </c>
      <c r="B884" s="40" t="n">
        <v>45783</v>
      </c>
      <c r="C884" s="39" t="s">
        <v>114</v>
      </c>
      <c r="D884" s="39" t="n">
        <v>3</v>
      </c>
      <c r="E884" s="41" t="n">
        <v>5.57</v>
      </c>
      <c r="F884" s="39" t="s">
        <v>115</v>
      </c>
      <c r="G884" s="39" t="str">
        <f aca="false">UPPER(TRIM(C884))</f>
        <v>P012</v>
      </c>
      <c r="H884" s="39" t="str">
        <f aca="false">IF(ISNUMBER(MATCH(G884,Products!$A$5:$A$24,0)),"OK","Mismatch")</f>
        <v>OK</v>
      </c>
      <c r="I884" s="39" t="str">
        <f aca="false">IF(COUNTIF($A$5:A884,A884)&gt;1,"Duplicate","Unique")</f>
        <v>Unique</v>
      </c>
      <c r="J884" s="39" t="str">
        <f aca="false">IF(I884="Duplicate","Remove",IF(H884="Mismatch","Exclude","Keep"))</f>
        <v>Keep</v>
      </c>
    </row>
    <row r="885" customFormat="false" ht="15" hidden="false" customHeight="false" outlineLevel="0" collapsed="false">
      <c r="A885" s="39" t="s">
        <v>992</v>
      </c>
      <c r="B885" s="40" t="n">
        <v>45783</v>
      </c>
      <c r="C885" s="39" t="s">
        <v>153</v>
      </c>
      <c r="D885" s="39" t="n">
        <v>2</v>
      </c>
      <c r="E885" s="41" t="n">
        <v>165.2</v>
      </c>
      <c r="F885" s="39" t="s">
        <v>115</v>
      </c>
      <c r="G885" s="39" t="str">
        <f aca="false">UPPER(TRIM(C885))</f>
        <v>P010</v>
      </c>
      <c r="H885" s="39" t="str">
        <f aca="false">IF(ISNUMBER(MATCH(G885,Products!$A$5:$A$24,0)),"OK","Mismatch")</f>
        <v>OK</v>
      </c>
      <c r="I885" s="39" t="str">
        <f aca="false">IF(COUNTIF($A$5:A885,A885)&gt;1,"Duplicate","Unique")</f>
        <v>Unique</v>
      </c>
      <c r="J885" s="39" t="str">
        <f aca="false">IF(I885="Duplicate","Remove",IF(H885="Mismatch","Exclude","Keep"))</f>
        <v>Keep</v>
      </c>
    </row>
    <row r="886" customFormat="false" ht="15" hidden="false" customHeight="false" outlineLevel="0" collapsed="false">
      <c r="A886" s="39" t="s">
        <v>993</v>
      </c>
      <c r="B886" s="40" t="n">
        <v>45783</v>
      </c>
      <c r="C886" s="39" t="s">
        <v>139</v>
      </c>
      <c r="D886" s="39" t="n">
        <v>4</v>
      </c>
      <c r="E886" s="41" t="n">
        <v>123.71</v>
      </c>
      <c r="F886" s="39" t="s">
        <v>115</v>
      </c>
      <c r="G886" s="39" t="str">
        <f aca="false">UPPER(TRIM(C886))</f>
        <v>P006</v>
      </c>
      <c r="H886" s="39" t="str">
        <f aca="false">IF(ISNUMBER(MATCH(G886,Products!$A$5:$A$24,0)),"OK","Mismatch")</f>
        <v>OK</v>
      </c>
      <c r="I886" s="39" t="str">
        <f aca="false">IF(COUNTIF($A$5:A886,A886)&gt;1,"Duplicate","Unique")</f>
        <v>Unique</v>
      </c>
      <c r="J886" s="39" t="str">
        <f aca="false">IF(I886="Duplicate","Remove",IF(H886="Mismatch","Exclude","Keep"))</f>
        <v>Keep</v>
      </c>
    </row>
    <row r="887" customFormat="false" ht="15" hidden="false" customHeight="false" outlineLevel="0" collapsed="false">
      <c r="A887" s="39" t="s">
        <v>994</v>
      </c>
      <c r="B887" s="40" t="n">
        <v>45783</v>
      </c>
      <c r="C887" s="39" t="s">
        <v>112</v>
      </c>
      <c r="D887" s="39" t="n">
        <v>1</v>
      </c>
      <c r="E887" s="41" t="n">
        <v>51.75</v>
      </c>
      <c r="F887" s="39" t="s">
        <v>105</v>
      </c>
      <c r="G887" s="39" t="str">
        <f aca="false">UPPER(TRIM(C887))</f>
        <v>P005</v>
      </c>
      <c r="H887" s="39" t="str">
        <f aca="false">IF(ISNUMBER(MATCH(G887,Products!$A$5:$A$24,0)),"OK","Mismatch")</f>
        <v>OK</v>
      </c>
      <c r="I887" s="39" t="str">
        <f aca="false">IF(COUNTIF($A$5:A887,A887)&gt;1,"Duplicate","Unique")</f>
        <v>Unique</v>
      </c>
      <c r="J887" s="39" t="str">
        <f aca="false">IF(I887="Duplicate","Remove",IF(H887="Mismatch","Exclude","Keep"))</f>
        <v>Keep</v>
      </c>
    </row>
    <row r="888" customFormat="false" ht="15" hidden="false" customHeight="false" outlineLevel="0" collapsed="false">
      <c r="A888" s="39" t="s">
        <v>995</v>
      </c>
      <c r="B888" s="40" t="n">
        <v>45783</v>
      </c>
      <c r="C888" s="39" t="s">
        <v>110</v>
      </c>
      <c r="D888" s="39" t="n">
        <v>4</v>
      </c>
      <c r="E888" s="41" t="n">
        <v>12.89</v>
      </c>
      <c r="F888" s="39" t="s">
        <v>115</v>
      </c>
      <c r="G888" s="39" t="str">
        <f aca="false">UPPER(TRIM(C888))</f>
        <v>P016</v>
      </c>
      <c r="H888" s="39" t="str">
        <f aca="false">IF(ISNUMBER(MATCH(G888,Products!$A$5:$A$24,0)),"OK","Mismatch")</f>
        <v>OK</v>
      </c>
      <c r="I888" s="39" t="str">
        <f aca="false">IF(COUNTIF($A$5:A888,A888)&gt;1,"Duplicate","Unique")</f>
        <v>Unique</v>
      </c>
      <c r="J888" s="39" t="str">
        <f aca="false">IF(I888="Duplicate","Remove",IF(H888="Mismatch","Exclude","Keep"))</f>
        <v>Keep</v>
      </c>
    </row>
    <row r="889" customFormat="false" ht="15" hidden="false" customHeight="false" outlineLevel="0" collapsed="false">
      <c r="A889" s="39" t="s">
        <v>996</v>
      </c>
      <c r="B889" s="40" t="n">
        <v>45783</v>
      </c>
      <c r="C889" s="39" t="s">
        <v>162</v>
      </c>
      <c r="D889" s="39" t="n">
        <v>5</v>
      </c>
      <c r="E889" s="41" t="n">
        <v>64.33</v>
      </c>
      <c r="F889" s="39" t="s">
        <v>105</v>
      </c>
      <c r="G889" s="39" t="str">
        <f aca="false">UPPER(TRIM(C889))</f>
        <v>P017</v>
      </c>
      <c r="H889" s="39" t="str">
        <f aca="false">IF(ISNUMBER(MATCH(G889,Products!$A$5:$A$24,0)),"OK","Mismatch")</f>
        <v>OK</v>
      </c>
      <c r="I889" s="39" t="str">
        <f aca="false">IF(COUNTIF($A$5:A889,A889)&gt;1,"Duplicate","Unique")</f>
        <v>Unique</v>
      </c>
      <c r="J889" s="39" t="str">
        <f aca="false">IF(I889="Duplicate","Remove",IF(H889="Mismatch","Exclude","Keep"))</f>
        <v>Keep</v>
      </c>
    </row>
    <row r="890" customFormat="false" ht="15" hidden="false" customHeight="false" outlineLevel="0" collapsed="false">
      <c r="A890" s="39" t="s">
        <v>997</v>
      </c>
      <c r="B890" s="40" t="n">
        <v>45784</v>
      </c>
      <c r="C890" s="39" t="s">
        <v>114</v>
      </c>
      <c r="D890" s="39" t="n">
        <v>8</v>
      </c>
      <c r="E890" s="41" t="n">
        <v>5.7</v>
      </c>
      <c r="F890" s="39" t="s">
        <v>115</v>
      </c>
      <c r="G890" s="39" t="str">
        <f aca="false">UPPER(TRIM(C890))</f>
        <v>P012</v>
      </c>
      <c r="H890" s="39" t="str">
        <f aca="false">IF(ISNUMBER(MATCH(G890,Products!$A$5:$A$24,0)),"OK","Mismatch")</f>
        <v>OK</v>
      </c>
      <c r="I890" s="39" t="str">
        <f aca="false">IF(COUNTIF($A$5:A890,A890)&gt;1,"Duplicate","Unique")</f>
        <v>Unique</v>
      </c>
      <c r="J890" s="39" t="str">
        <f aca="false">IF(I890="Duplicate","Remove",IF(H890="Mismatch","Exclude","Keep"))</f>
        <v>Keep</v>
      </c>
    </row>
    <row r="891" customFormat="false" ht="15" hidden="false" customHeight="false" outlineLevel="0" collapsed="false">
      <c r="A891" s="39" t="s">
        <v>998</v>
      </c>
      <c r="B891" s="40" t="n">
        <v>45784</v>
      </c>
      <c r="C891" s="39" t="s">
        <v>110</v>
      </c>
      <c r="D891" s="39" t="n">
        <v>1</v>
      </c>
      <c r="E891" s="41" t="n">
        <v>13.21</v>
      </c>
      <c r="F891" s="39" t="s">
        <v>115</v>
      </c>
      <c r="G891" s="39" t="str">
        <f aca="false">UPPER(TRIM(C891))</f>
        <v>P016</v>
      </c>
      <c r="H891" s="39" t="str">
        <f aca="false">IF(ISNUMBER(MATCH(G891,Products!$A$5:$A$24,0)),"OK","Mismatch")</f>
        <v>OK</v>
      </c>
      <c r="I891" s="39" t="str">
        <f aca="false">IF(COUNTIF($A$5:A891,A891)&gt;1,"Duplicate","Unique")</f>
        <v>Unique</v>
      </c>
      <c r="J891" s="39" t="str">
        <f aca="false">IF(I891="Duplicate","Remove",IF(H891="Mismatch","Exclude","Keep"))</f>
        <v>Keep</v>
      </c>
    </row>
    <row r="892" customFormat="false" ht="15" hidden="false" customHeight="false" outlineLevel="0" collapsed="false">
      <c r="A892" s="39" t="s">
        <v>999</v>
      </c>
      <c r="B892" s="40" t="n">
        <v>45784</v>
      </c>
      <c r="C892" s="39" t="s">
        <v>104</v>
      </c>
      <c r="D892" s="39" t="n">
        <v>3</v>
      </c>
      <c r="E892" s="41" t="n">
        <v>15.27</v>
      </c>
      <c r="F892" s="39" t="s">
        <v>118</v>
      </c>
      <c r="G892" s="39" t="str">
        <f aca="false">UPPER(TRIM(C892))</f>
        <v>P015</v>
      </c>
      <c r="H892" s="39" t="str">
        <f aca="false">IF(ISNUMBER(MATCH(G892,Products!$A$5:$A$24,0)),"OK","Mismatch")</f>
        <v>OK</v>
      </c>
      <c r="I892" s="39" t="str">
        <f aca="false">IF(COUNTIF($A$5:A892,A892)&gt;1,"Duplicate","Unique")</f>
        <v>Unique</v>
      </c>
      <c r="J892" s="39" t="str">
        <f aca="false">IF(I892="Duplicate","Remove",IF(H892="Mismatch","Exclude","Keep"))</f>
        <v>Keep</v>
      </c>
    </row>
    <row r="893" customFormat="false" ht="15" hidden="false" customHeight="false" outlineLevel="0" collapsed="false">
      <c r="A893" s="39" t="s">
        <v>1000</v>
      </c>
      <c r="B893" s="40" t="n">
        <v>45784</v>
      </c>
      <c r="C893" s="39" t="s">
        <v>153</v>
      </c>
      <c r="D893" s="39" t="n">
        <v>1</v>
      </c>
      <c r="E893" s="41" t="n">
        <v>175.88</v>
      </c>
      <c r="F893" s="39" t="s">
        <v>115</v>
      </c>
      <c r="G893" s="39" t="str">
        <f aca="false">UPPER(TRIM(C893))</f>
        <v>P010</v>
      </c>
      <c r="H893" s="39" t="str">
        <f aca="false">IF(ISNUMBER(MATCH(G893,Products!$A$5:$A$24,0)),"OK","Mismatch")</f>
        <v>OK</v>
      </c>
      <c r="I893" s="39" t="str">
        <f aca="false">IF(COUNTIF($A$5:A893,A893)&gt;1,"Duplicate","Unique")</f>
        <v>Unique</v>
      </c>
      <c r="J893" s="39" t="str">
        <f aca="false">IF(I893="Duplicate","Remove",IF(H893="Mismatch","Exclude","Keep"))</f>
        <v>Keep</v>
      </c>
    </row>
    <row r="894" customFormat="false" ht="15" hidden="false" customHeight="false" outlineLevel="0" collapsed="false">
      <c r="A894" s="39" t="s">
        <v>1001</v>
      </c>
      <c r="B894" s="40" t="n">
        <v>45784</v>
      </c>
      <c r="C894" s="39" t="s">
        <v>126</v>
      </c>
      <c r="D894" s="39" t="n">
        <v>1</v>
      </c>
      <c r="E894" s="41" t="n">
        <v>24.11</v>
      </c>
      <c r="F894" s="39" t="s">
        <v>118</v>
      </c>
      <c r="G894" s="39" t="str">
        <f aca="false">UPPER(TRIM(C894))</f>
        <v>P001</v>
      </c>
      <c r="H894" s="39" t="str">
        <f aca="false">IF(ISNUMBER(MATCH(G894,Products!$A$5:$A$24,0)),"OK","Mismatch")</f>
        <v>OK</v>
      </c>
      <c r="I894" s="39" t="str">
        <f aca="false">IF(COUNTIF($A$5:A894,A894)&gt;1,"Duplicate","Unique")</f>
        <v>Unique</v>
      </c>
      <c r="J894" s="39" t="str">
        <f aca="false">IF(I894="Duplicate","Remove",IF(H894="Mismatch","Exclude","Keep"))</f>
        <v>Keep</v>
      </c>
    </row>
    <row r="895" customFormat="false" ht="15" hidden="false" customHeight="false" outlineLevel="0" collapsed="false">
      <c r="A895" s="39" t="s">
        <v>1002</v>
      </c>
      <c r="B895" s="40" t="n">
        <v>45784</v>
      </c>
      <c r="C895" s="39" t="s">
        <v>305</v>
      </c>
      <c r="D895" s="39" t="n">
        <v>1</v>
      </c>
      <c r="E895" s="41" t="n">
        <v>321.79</v>
      </c>
      <c r="F895" s="39" t="s">
        <v>115</v>
      </c>
      <c r="G895" s="39" t="str">
        <f aca="false">UPPER(TRIM(C895))</f>
        <v>P008</v>
      </c>
      <c r="H895" s="39" t="str">
        <f aca="false">IF(ISNUMBER(MATCH(G895,Products!$A$5:$A$24,0)),"OK","Mismatch")</f>
        <v>OK</v>
      </c>
      <c r="I895" s="39" t="str">
        <f aca="false">IF(COUNTIF($A$5:A895,A895)&gt;1,"Duplicate","Unique")</f>
        <v>Unique</v>
      </c>
      <c r="J895" s="39" t="str">
        <f aca="false">IF(I895="Duplicate","Remove",IF(H895="Mismatch","Exclude","Keep"))</f>
        <v>Keep</v>
      </c>
    </row>
    <row r="896" customFormat="false" ht="15" hidden="false" customHeight="false" outlineLevel="0" collapsed="false">
      <c r="A896" s="39" t="s">
        <v>1003</v>
      </c>
      <c r="B896" s="40" t="n">
        <v>45784</v>
      </c>
      <c r="C896" s="39" t="s">
        <v>183</v>
      </c>
      <c r="D896" s="39" t="n">
        <v>1</v>
      </c>
      <c r="E896" s="41" t="n">
        <v>174.81</v>
      </c>
      <c r="F896" s="39" t="s">
        <v>105</v>
      </c>
      <c r="G896" s="39" t="str">
        <f aca="false">UPPER(TRIM(C896))</f>
        <v>P007</v>
      </c>
      <c r="H896" s="39" t="str">
        <f aca="false">IF(ISNUMBER(MATCH(G896,Products!$A$5:$A$24,0)),"OK","Mismatch")</f>
        <v>OK</v>
      </c>
      <c r="I896" s="39" t="str">
        <f aca="false">IF(COUNTIF($A$5:A896,A896)&gt;1,"Duplicate","Unique")</f>
        <v>Unique</v>
      </c>
      <c r="J896" s="39" t="str">
        <f aca="false">IF(I896="Duplicate","Remove",IF(H896="Mismatch","Exclude","Keep"))</f>
        <v>Keep</v>
      </c>
    </row>
    <row r="897" customFormat="false" ht="15" hidden="false" customHeight="false" outlineLevel="0" collapsed="false">
      <c r="A897" s="39" t="s">
        <v>1004</v>
      </c>
      <c r="B897" s="40" t="n">
        <v>45784</v>
      </c>
      <c r="C897" s="39" t="s">
        <v>183</v>
      </c>
      <c r="D897" s="39" t="n">
        <v>5</v>
      </c>
      <c r="E897" s="41" t="n">
        <v>182.61</v>
      </c>
      <c r="F897" s="39" t="s">
        <v>105</v>
      </c>
      <c r="G897" s="39" t="str">
        <f aca="false">UPPER(TRIM(C897))</f>
        <v>P007</v>
      </c>
      <c r="H897" s="39" t="str">
        <f aca="false">IF(ISNUMBER(MATCH(G897,Products!$A$5:$A$24,0)),"OK","Mismatch")</f>
        <v>OK</v>
      </c>
      <c r="I897" s="39" t="str">
        <f aca="false">IF(COUNTIF($A$5:A897,A897)&gt;1,"Duplicate","Unique")</f>
        <v>Unique</v>
      </c>
      <c r="J897" s="39" t="str">
        <f aca="false">IF(I897="Duplicate","Remove",IF(H897="Mismatch","Exclude","Keep"))</f>
        <v>Keep</v>
      </c>
    </row>
    <row r="898" customFormat="false" ht="15" hidden="false" customHeight="false" outlineLevel="0" collapsed="false">
      <c r="A898" s="39" t="s">
        <v>1005</v>
      </c>
      <c r="B898" s="40" t="n">
        <v>45785</v>
      </c>
      <c r="C898" s="39" t="s">
        <v>153</v>
      </c>
      <c r="D898" s="39" t="n">
        <v>2</v>
      </c>
      <c r="E898" s="41" t="n">
        <v>175.1</v>
      </c>
      <c r="F898" s="39" t="s">
        <v>105</v>
      </c>
      <c r="G898" s="39" t="str">
        <f aca="false">UPPER(TRIM(C898))</f>
        <v>P010</v>
      </c>
      <c r="H898" s="39" t="str">
        <f aca="false">IF(ISNUMBER(MATCH(G898,Products!$A$5:$A$24,0)),"OK","Mismatch")</f>
        <v>OK</v>
      </c>
      <c r="I898" s="39" t="str">
        <f aca="false">IF(COUNTIF($A$5:A898,A898)&gt;1,"Duplicate","Unique")</f>
        <v>Unique</v>
      </c>
      <c r="J898" s="39" t="str">
        <f aca="false">IF(I898="Duplicate","Remove",IF(H898="Mismatch","Exclude","Keep"))</f>
        <v>Keep</v>
      </c>
    </row>
    <row r="899" customFormat="false" ht="15" hidden="false" customHeight="false" outlineLevel="0" collapsed="false">
      <c r="A899" s="39" t="s">
        <v>1006</v>
      </c>
      <c r="B899" s="40" t="n">
        <v>45785</v>
      </c>
      <c r="C899" s="39" t="s">
        <v>183</v>
      </c>
      <c r="D899" s="39" t="n">
        <v>6</v>
      </c>
      <c r="E899" s="41" t="n">
        <v>183.22</v>
      </c>
      <c r="F899" s="39" t="s">
        <v>108</v>
      </c>
      <c r="G899" s="39" t="str">
        <f aca="false">UPPER(TRIM(C899))</f>
        <v>P007</v>
      </c>
      <c r="H899" s="39" t="str">
        <f aca="false">IF(ISNUMBER(MATCH(G899,Products!$A$5:$A$24,0)),"OK","Mismatch")</f>
        <v>OK</v>
      </c>
      <c r="I899" s="39" t="str">
        <f aca="false">IF(COUNTIF($A$5:A899,A899)&gt;1,"Duplicate","Unique")</f>
        <v>Unique</v>
      </c>
      <c r="J899" s="39" t="str">
        <f aca="false">IF(I899="Duplicate","Remove",IF(H899="Mismatch","Exclude","Keep"))</f>
        <v>Keep</v>
      </c>
    </row>
    <row r="900" customFormat="false" ht="15" hidden="false" customHeight="false" outlineLevel="0" collapsed="false">
      <c r="A900" s="39" t="s">
        <v>1007</v>
      </c>
      <c r="B900" s="40" t="n">
        <v>45785</v>
      </c>
      <c r="C900" s="39" t="s">
        <v>133</v>
      </c>
      <c r="D900" s="39" t="n">
        <v>2</v>
      </c>
      <c r="E900" s="41" t="n">
        <v>8.39</v>
      </c>
      <c r="F900" s="39" t="s">
        <v>105</v>
      </c>
      <c r="G900" s="39" t="str">
        <f aca="false">UPPER(TRIM(C900))</f>
        <v>P019</v>
      </c>
      <c r="H900" s="39" t="str">
        <f aca="false">IF(ISNUMBER(MATCH(G900,Products!$A$5:$A$24,0)),"OK","Mismatch")</f>
        <v>OK</v>
      </c>
      <c r="I900" s="39" t="str">
        <f aca="false">IF(COUNTIF($A$5:A900,A900)&gt;1,"Duplicate","Unique")</f>
        <v>Unique</v>
      </c>
      <c r="J900" s="39" t="str">
        <f aca="false">IF(I900="Duplicate","Remove",IF(H900="Mismatch","Exclude","Keep"))</f>
        <v>Keep</v>
      </c>
    </row>
    <row r="901" customFormat="false" ht="15" hidden="false" customHeight="false" outlineLevel="0" collapsed="false">
      <c r="A901" s="39" t="s">
        <v>1008</v>
      </c>
      <c r="B901" s="40" t="n">
        <v>45785</v>
      </c>
      <c r="C901" s="39" t="s">
        <v>104</v>
      </c>
      <c r="D901" s="39" t="n">
        <v>2</v>
      </c>
      <c r="E901" s="41" t="n">
        <v>15.11</v>
      </c>
      <c r="F901" s="39" t="s">
        <v>105</v>
      </c>
      <c r="G901" s="39" t="str">
        <f aca="false">UPPER(TRIM(C901))</f>
        <v>P015</v>
      </c>
      <c r="H901" s="39" t="str">
        <f aca="false">IF(ISNUMBER(MATCH(G901,Products!$A$5:$A$24,0)),"OK","Mismatch")</f>
        <v>OK</v>
      </c>
      <c r="I901" s="39" t="str">
        <f aca="false">IF(COUNTIF($A$5:A901,A901)&gt;1,"Duplicate","Unique")</f>
        <v>Unique</v>
      </c>
      <c r="J901" s="39" t="str">
        <f aca="false">IF(I901="Duplicate","Remove",IF(H901="Mismatch","Exclude","Keep"))</f>
        <v>Keep</v>
      </c>
    </row>
    <row r="902" customFormat="false" ht="15" hidden="false" customHeight="false" outlineLevel="0" collapsed="false">
      <c r="A902" s="39" t="s">
        <v>1009</v>
      </c>
      <c r="B902" s="40" t="n">
        <v>45785</v>
      </c>
      <c r="C902" s="39" t="s">
        <v>128</v>
      </c>
      <c r="D902" s="39" t="n">
        <v>6</v>
      </c>
      <c r="E902" s="41" t="n">
        <v>37.77</v>
      </c>
      <c r="F902" s="39" t="s">
        <v>105</v>
      </c>
      <c r="G902" s="39" t="str">
        <f aca="false">UPPER(TRIM(C902))</f>
        <v>P020</v>
      </c>
      <c r="H902" s="39" t="str">
        <f aca="false">IF(ISNUMBER(MATCH(G902,Products!$A$5:$A$24,0)),"OK","Mismatch")</f>
        <v>OK</v>
      </c>
      <c r="I902" s="39" t="str">
        <f aca="false">IF(COUNTIF($A$5:A902,A902)&gt;1,"Duplicate","Unique")</f>
        <v>Unique</v>
      </c>
      <c r="J902" s="39" t="str">
        <f aca="false">IF(I902="Duplicate","Remove",IF(H902="Mismatch","Exclude","Keep"))</f>
        <v>Keep</v>
      </c>
    </row>
    <row r="903" customFormat="false" ht="15" hidden="false" customHeight="false" outlineLevel="0" collapsed="false">
      <c r="A903" s="39" t="s">
        <v>1009</v>
      </c>
      <c r="B903" s="40" t="n">
        <v>45785</v>
      </c>
      <c r="C903" s="39" t="s">
        <v>128</v>
      </c>
      <c r="D903" s="39" t="n">
        <v>6</v>
      </c>
      <c r="E903" s="41" t="n">
        <v>37.77</v>
      </c>
      <c r="F903" s="39" t="s">
        <v>105</v>
      </c>
      <c r="G903" s="39" t="str">
        <f aca="false">UPPER(TRIM(C903))</f>
        <v>P020</v>
      </c>
      <c r="H903" s="39" t="str">
        <f aca="false">IF(ISNUMBER(MATCH(G903,Products!$A$5:$A$24,0)),"OK","Mismatch")</f>
        <v>OK</v>
      </c>
      <c r="I903" s="39" t="str">
        <f aca="false">IF(COUNTIF($A$5:A903,A903)&gt;1,"Duplicate","Unique")</f>
        <v>Duplicate</v>
      </c>
      <c r="J903" s="39" t="str">
        <f aca="false">IF(I903="Duplicate","Remove",IF(H903="Mismatch","Exclude","Keep"))</f>
        <v>Remove</v>
      </c>
    </row>
    <row r="904" customFormat="false" ht="15" hidden="false" customHeight="false" outlineLevel="0" collapsed="false">
      <c r="A904" s="39" t="s">
        <v>1010</v>
      </c>
      <c r="B904" s="40" t="n">
        <v>45785</v>
      </c>
      <c r="C904" s="39" t="s">
        <v>112</v>
      </c>
      <c r="D904" s="39" t="n">
        <v>4</v>
      </c>
      <c r="E904" s="41" t="n">
        <v>51.02</v>
      </c>
      <c r="F904" s="39" t="s">
        <v>118</v>
      </c>
      <c r="G904" s="39" t="str">
        <f aca="false">UPPER(TRIM(C904))</f>
        <v>P005</v>
      </c>
      <c r="H904" s="39" t="str">
        <f aca="false">IF(ISNUMBER(MATCH(G904,Products!$A$5:$A$24,0)),"OK","Mismatch")</f>
        <v>OK</v>
      </c>
      <c r="I904" s="39" t="str">
        <f aca="false">IF(COUNTIF($A$5:A904,A904)&gt;1,"Duplicate","Unique")</f>
        <v>Unique</v>
      </c>
      <c r="J904" s="39" t="str">
        <f aca="false">IF(I904="Duplicate","Remove",IF(H904="Mismatch","Exclude","Keep"))</f>
        <v>Keep</v>
      </c>
    </row>
    <row r="905" customFormat="false" ht="15" hidden="false" customHeight="false" outlineLevel="0" collapsed="false">
      <c r="A905" s="39" t="s">
        <v>1011</v>
      </c>
      <c r="B905" s="40" t="n">
        <v>45785</v>
      </c>
      <c r="C905" s="39" t="s">
        <v>183</v>
      </c>
      <c r="D905" s="39" t="n">
        <v>2</v>
      </c>
      <c r="E905" s="41" t="n">
        <v>186.1</v>
      </c>
      <c r="F905" s="39" t="s">
        <v>115</v>
      </c>
      <c r="G905" s="39" t="str">
        <f aca="false">UPPER(TRIM(C905))</f>
        <v>P007</v>
      </c>
      <c r="H905" s="39" t="str">
        <f aca="false">IF(ISNUMBER(MATCH(G905,Products!$A$5:$A$24,0)),"OK","Mismatch")</f>
        <v>OK</v>
      </c>
      <c r="I905" s="39" t="str">
        <f aca="false">IF(COUNTIF($A$5:A905,A905)&gt;1,"Duplicate","Unique")</f>
        <v>Unique</v>
      </c>
      <c r="J905" s="39" t="str">
        <f aca="false">IF(I905="Duplicate","Remove",IF(H905="Mismatch","Exclude","Keep"))</f>
        <v>Keep</v>
      </c>
    </row>
    <row r="906" customFormat="false" ht="15" hidden="false" customHeight="false" outlineLevel="0" collapsed="false">
      <c r="A906" s="39" t="s">
        <v>1012</v>
      </c>
      <c r="B906" s="40" t="n">
        <v>45786</v>
      </c>
      <c r="C906" s="39" t="s">
        <v>117</v>
      </c>
      <c r="D906" s="39" t="n">
        <v>6</v>
      </c>
      <c r="E906" s="41" t="n">
        <v>29.9</v>
      </c>
      <c r="F906" s="39" t="s">
        <v>108</v>
      </c>
      <c r="G906" s="39" t="str">
        <f aca="false">UPPER(TRIM(C906))</f>
        <v>P009</v>
      </c>
      <c r="H906" s="39" t="str">
        <f aca="false">IF(ISNUMBER(MATCH(G906,Products!$A$5:$A$24,0)),"OK","Mismatch")</f>
        <v>OK</v>
      </c>
      <c r="I906" s="39" t="str">
        <f aca="false">IF(COUNTIF($A$5:A906,A906)&gt;1,"Duplicate","Unique")</f>
        <v>Unique</v>
      </c>
      <c r="J906" s="39" t="str">
        <f aca="false">IF(I906="Duplicate","Remove",IF(H906="Mismatch","Exclude","Keep"))</f>
        <v>Keep</v>
      </c>
    </row>
    <row r="907" customFormat="false" ht="15" hidden="false" customHeight="false" outlineLevel="0" collapsed="false">
      <c r="A907" s="39" t="s">
        <v>1013</v>
      </c>
      <c r="B907" s="40" t="n">
        <v>45786</v>
      </c>
      <c r="C907" s="39" t="s">
        <v>153</v>
      </c>
      <c r="D907" s="39" t="n">
        <v>2</v>
      </c>
      <c r="E907" s="41" t="n">
        <v>165.32</v>
      </c>
      <c r="F907" s="39" t="s">
        <v>108</v>
      </c>
      <c r="G907" s="39" t="str">
        <f aca="false">UPPER(TRIM(C907))</f>
        <v>P010</v>
      </c>
      <c r="H907" s="39" t="str">
        <f aca="false">IF(ISNUMBER(MATCH(G907,Products!$A$5:$A$24,0)),"OK","Mismatch")</f>
        <v>OK</v>
      </c>
      <c r="I907" s="39" t="str">
        <f aca="false">IF(COUNTIF($A$5:A907,A907)&gt;1,"Duplicate","Unique")</f>
        <v>Unique</v>
      </c>
      <c r="J907" s="39" t="str">
        <f aca="false">IF(I907="Duplicate","Remove",IF(H907="Mismatch","Exclude","Keep"))</f>
        <v>Keep</v>
      </c>
    </row>
    <row r="908" customFormat="false" ht="15" hidden="false" customHeight="false" outlineLevel="0" collapsed="false">
      <c r="A908" s="39" t="s">
        <v>1014</v>
      </c>
      <c r="B908" s="40" t="n">
        <v>45786</v>
      </c>
      <c r="C908" s="39" t="s">
        <v>130</v>
      </c>
      <c r="D908" s="39" t="n">
        <v>1</v>
      </c>
      <c r="E908" s="41" t="n">
        <v>8.37</v>
      </c>
      <c r="F908" s="39" t="s">
        <v>118</v>
      </c>
      <c r="G908" s="39" t="str">
        <f aca="false">UPPER(TRIM(C908))</f>
        <v>P011</v>
      </c>
      <c r="H908" s="39" t="str">
        <f aca="false">IF(ISNUMBER(MATCH(G908,Products!$A$5:$A$24,0)),"OK","Mismatch")</f>
        <v>OK</v>
      </c>
      <c r="I908" s="39" t="str">
        <f aca="false">IF(COUNTIF($A$5:A908,A908)&gt;1,"Duplicate","Unique")</f>
        <v>Unique</v>
      </c>
      <c r="J908" s="39" t="str">
        <f aca="false">IF(I908="Duplicate","Remove",IF(H908="Mismatch","Exclude","Keep"))</f>
        <v>Keep</v>
      </c>
    </row>
    <row r="909" customFormat="false" ht="15" hidden="false" customHeight="false" outlineLevel="0" collapsed="false">
      <c r="A909" s="39" t="s">
        <v>1015</v>
      </c>
      <c r="B909" s="40" t="n">
        <v>45786</v>
      </c>
      <c r="C909" s="39" t="s">
        <v>121</v>
      </c>
      <c r="D909" s="39" t="n">
        <v>3</v>
      </c>
      <c r="E909" s="41" t="n">
        <v>116.23</v>
      </c>
      <c r="F909" s="39" t="s">
        <v>108</v>
      </c>
      <c r="G909" s="39" t="str">
        <f aca="false">UPPER(TRIM(C909))</f>
        <v>P018</v>
      </c>
      <c r="H909" s="39" t="str">
        <f aca="false">IF(ISNUMBER(MATCH(G909,Products!$A$5:$A$24,0)),"OK","Mismatch")</f>
        <v>OK</v>
      </c>
      <c r="I909" s="39" t="str">
        <f aca="false">IF(COUNTIF($A$5:A909,A909)&gt;1,"Duplicate","Unique")</f>
        <v>Unique</v>
      </c>
      <c r="J909" s="39" t="str">
        <f aca="false">IF(I909="Duplicate","Remove",IF(H909="Mismatch","Exclude","Keep"))</f>
        <v>Keep</v>
      </c>
    </row>
    <row r="910" customFormat="false" ht="15" hidden="false" customHeight="false" outlineLevel="0" collapsed="false">
      <c r="A910" s="39" t="s">
        <v>1016</v>
      </c>
      <c r="B910" s="40" t="n">
        <v>45786</v>
      </c>
      <c r="C910" s="39" t="s">
        <v>126</v>
      </c>
      <c r="D910" s="39" t="n">
        <v>4</v>
      </c>
      <c r="E910" s="41" t="n">
        <v>24.25</v>
      </c>
      <c r="F910" s="39" t="s">
        <v>115</v>
      </c>
      <c r="G910" s="39" t="str">
        <f aca="false">UPPER(TRIM(C910))</f>
        <v>P001</v>
      </c>
      <c r="H910" s="39" t="str">
        <f aca="false">IF(ISNUMBER(MATCH(G910,Products!$A$5:$A$24,0)),"OK","Mismatch")</f>
        <v>OK</v>
      </c>
      <c r="I910" s="39" t="str">
        <f aca="false">IF(COUNTIF($A$5:A910,A910)&gt;1,"Duplicate","Unique")</f>
        <v>Unique</v>
      </c>
      <c r="J910" s="39" t="str">
        <f aca="false">IF(I910="Duplicate","Remove",IF(H910="Mismatch","Exclude","Keep"))</f>
        <v>Keep</v>
      </c>
    </row>
    <row r="911" customFormat="false" ht="15" hidden="false" customHeight="false" outlineLevel="0" collapsed="false">
      <c r="A911" s="39" t="s">
        <v>1017</v>
      </c>
      <c r="B911" s="40" t="n">
        <v>45786</v>
      </c>
      <c r="C911" s="39" t="s">
        <v>177</v>
      </c>
      <c r="D911" s="39" t="n">
        <v>2</v>
      </c>
      <c r="E911" s="41" t="n">
        <v>42.26</v>
      </c>
      <c r="F911" s="39" t="s">
        <v>115</v>
      </c>
      <c r="G911" s="39" t="str">
        <f aca="false">UPPER(TRIM(C911))</f>
        <v>P014</v>
      </c>
      <c r="H911" s="39" t="str">
        <f aca="false">IF(ISNUMBER(MATCH(G911,Products!$A$5:$A$24,0)),"OK","Mismatch")</f>
        <v>OK</v>
      </c>
      <c r="I911" s="39" t="str">
        <f aca="false">IF(COUNTIF($A$5:A911,A911)&gt;1,"Duplicate","Unique")</f>
        <v>Unique</v>
      </c>
      <c r="J911" s="39" t="str">
        <f aca="false">IF(I911="Duplicate","Remove",IF(H911="Mismatch","Exclude","Keep"))</f>
        <v>Keep</v>
      </c>
    </row>
    <row r="912" customFormat="false" ht="15" hidden="false" customHeight="false" outlineLevel="0" collapsed="false">
      <c r="A912" s="39" t="s">
        <v>1018</v>
      </c>
      <c r="B912" s="40" t="n">
        <v>45786</v>
      </c>
      <c r="C912" s="39" t="s">
        <v>130</v>
      </c>
      <c r="D912" s="39" t="n">
        <v>1</v>
      </c>
      <c r="E912" s="41" t="n">
        <v>8.75</v>
      </c>
      <c r="F912" s="39" t="s">
        <v>108</v>
      </c>
      <c r="G912" s="39" t="str">
        <f aca="false">UPPER(TRIM(C912))</f>
        <v>P011</v>
      </c>
      <c r="H912" s="39" t="str">
        <f aca="false">IF(ISNUMBER(MATCH(G912,Products!$A$5:$A$24,0)),"OK","Mismatch")</f>
        <v>OK</v>
      </c>
      <c r="I912" s="39" t="str">
        <f aca="false">IF(COUNTIF($A$5:A912,A912)&gt;1,"Duplicate","Unique")</f>
        <v>Unique</v>
      </c>
      <c r="J912" s="39" t="str">
        <f aca="false">IF(I912="Duplicate","Remove",IF(H912="Mismatch","Exclude","Keep"))</f>
        <v>Keep</v>
      </c>
    </row>
    <row r="913" customFormat="false" ht="15" hidden="false" customHeight="false" outlineLevel="0" collapsed="false">
      <c r="A913" s="39" t="s">
        <v>1019</v>
      </c>
      <c r="B913" s="40" t="n">
        <v>45786</v>
      </c>
      <c r="C913" s="39" t="s">
        <v>136</v>
      </c>
      <c r="D913" s="39" t="n">
        <v>1</v>
      </c>
      <c r="E913" s="41" t="n">
        <v>76.5</v>
      </c>
      <c r="F913" s="39" t="s">
        <v>115</v>
      </c>
      <c r="G913" s="39" t="str">
        <f aca="false">UPPER(TRIM(C913))</f>
        <v>P002</v>
      </c>
      <c r="H913" s="39" t="str">
        <f aca="false">IF(ISNUMBER(MATCH(G913,Products!$A$5:$A$24,0)),"OK","Mismatch")</f>
        <v>OK</v>
      </c>
      <c r="I913" s="39" t="str">
        <f aca="false">IF(COUNTIF($A$5:A913,A913)&gt;1,"Duplicate","Unique")</f>
        <v>Unique</v>
      </c>
      <c r="J913" s="39" t="str">
        <f aca="false">IF(I913="Duplicate","Remove",IF(H913="Mismatch","Exclude","Keep"))</f>
        <v>Keep</v>
      </c>
    </row>
    <row r="914" customFormat="false" ht="15" hidden="false" customHeight="false" outlineLevel="0" collapsed="false">
      <c r="A914" s="39" t="s">
        <v>1020</v>
      </c>
      <c r="B914" s="40" t="n">
        <v>45786</v>
      </c>
      <c r="C914" s="39" t="s">
        <v>121</v>
      </c>
      <c r="D914" s="39" t="n">
        <v>3</v>
      </c>
      <c r="E914" s="41" t="n">
        <v>110.73</v>
      </c>
      <c r="F914" s="39" t="s">
        <v>115</v>
      </c>
      <c r="G914" s="39" t="str">
        <f aca="false">UPPER(TRIM(C914))</f>
        <v>P018</v>
      </c>
      <c r="H914" s="39" t="str">
        <f aca="false">IF(ISNUMBER(MATCH(G914,Products!$A$5:$A$24,0)),"OK","Mismatch")</f>
        <v>OK</v>
      </c>
      <c r="I914" s="39" t="str">
        <f aca="false">IF(COUNTIF($A$5:A914,A914)&gt;1,"Duplicate","Unique")</f>
        <v>Unique</v>
      </c>
      <c r="J914" s="39" t="str">
        <f aca="false">IF(I914="Duplicate","Remove",IF(H914="Mismatch","Exclude","Keep"))</f>
        <v>Keep</v>
      </c>
    </row>
    <row r="915" customFormat="false" ht="15" hidden="false" customHeight="false" outlineLevel="0" collapsed="false">
      <c r="A915" s="39" t="s">
        <v>1021</v>
      </c>
      <c r="B915" s="40" t="n">
        <v>45787</v>
      </c>
      <c r="C915" s="39" t="s">
        <v>183</v>
      </c>
      <c r="D915" s="39" t="n">
        <v>1</v>
      </c>
      <c r="E915" s="41" t="n">
        <v>188.59</v>
      </c>
      <c r="F915" s="39" t="s">
        <v>105</v>
      </c>
      <c r="G915" s="39" t="str">
        <f aca="false">UPPER(TRIM(C915))</f>
        <v>P007</v>
      </c>
      <c r="H915" s="39" t="str">
        <f aca="false">IF(ISNUMBER(MATCH(G915,Products!$A$5:$A$24,0)),"OK","Mismatch")</f>
        <v>OK</v>
      </c>
      <c r="I915" s="39" t="str">
        <f aca="false">IF(COUNTIF($A$5:A915,A915)&gt;1,"Duplicate","Unique")</f>
        <v>Unique</v>
      </c>
      <c r="J915" s="39" t="str">
        <f aca="false">IF(I915="Duplicate","Remove",IF(H915="Mismatch","Exclude","Keep"))</f>
        <v>Keep</v>
      </c>
    </row>
    <row r="916" customFormat="false" ht="15" hidden="false" customHeight="false" outlineLevel="0" collapsed="false">
      <c r="A916" s="39" t="s">
        <v>1022</v>
      </c>
      <c r="B916" s="40" t="n">
        <v>45787</v>
      </c>
      <c r="C916" s="39" t="s">
        <v>107</v>
      </c>
      <c r="D916" s="39" t="n">
        <v>5</v>
      </c>
      <c r="E916" s="41" t="n">
        <v>34.84</v>
      </c>
      <c r="F916" s="39" t="s">
        <v>105</v>
      </c>
      <c r="G916" s="39" t="str">
        <f aca="false">UPPER(TRIM(C916))</f>
        <v>P003</v>
      </c>
      <c r="H916" s="39" t="str">
        <f aca="false">IF(ISNUMBER(MATCH(G916,Products!$A$5:$A$24,0)),"OK","Mismatch")</f>
        <v>OK</v>
      </c>
      <c r="I916" s="39" t="str">
        <f aca="false">IF(COUNTIF($A$5:A916,A916)&gt;1,"Duplicate","Unique")</f>
        <v>Unique</v>
      </c>
      <c r="J916" s="39" t="str">
        <f aca="false">IF(I916="Duplicate","Remove",IF(H916="Mismatch","Exclude","Keep"))</f>
        <v>Keep</v>
      </c>
    </row>
    <row r="917" customFormat="false" ht="15" hidden="false" customHeight="false" outlineLevel="0" collapsed="false">
      <c r="A917" s="39" t="s">
        <v>1023</v>
      </c>
      <c r="B917" s="40" t="n">
        <v>45787</v>
      </c>
      <c r="C917" s="39" t="s">
        <v>144</v>
      </c>
      <c r="D917" s="39" t="n">
        <v>3</v>
      </c>
      <c r="E917" s="41" t="n">
        <v>57.42</v>
      </c>
      <c r="F917" s="39" t="s">
        <v>118</v>
      </c>
      <c r="G917" s="39" t="str">
        <f aca="false">UPPER(TRIM(C917))</f>
        <v>P013</v>
      </c>
      <c r="H917" s="39" t="str">
        <f aca="false">IF(ISNUMBER(MATCH(G917,Products!$A$5:$A$24,0)),"OK","Mismatch")</f>
        <v>OK</v>
      </c>
      <c r="I917" s="39" t="str">
        <f aca="false">IF(COUNTIF($A$5:A917,A917)&gt;1,"Duplicate","Unique")</f>
        <v>Unique</v>
      </c>
      <c r="J917" s="39" t="str">
        <f aca="false">IF(I917="Duplicate","Remove",IF(H917="Mismatch","Exclude","Keep"))</f>
        <v>Keep</v>
      </c>
    </row>
    <row r="918" customFormat="false" ht="15" hidden="false" customHeight="false" outlineLevel="0" collapsed="false">
      <c r="A918" s="39" t="s">
        <v>1024</v>
      </c>
      <c r="B918" s="40" t="n">
        <v>45787</v>
      </c>
      <c r="C918" s="39" t="s">
        <v>121</v>
      </c>
      <c r="D918" s="39" t="n">
        <v>3</v>
      </c>
      <c r="E918" s="41" t="n">
        <v>112.18</v>
      </c>
      <c r="F918" s="39" t="s">
        <v>108</v>
      </c>
      <c r="G918" s="39" t="str">
        <f aca="false">UPPER(TRIM(C918))</f>
        <v>P018</v>
      </c>
      <c r="H918" s="39" t="str">
        <f aca="false">IF(ISNUMBER(MATCH(G918,Products!$A$5:$A$24,0)),"OK","Mismatch")</f>
        <v>OK</v>
      </c>
      <c r="I918" s="39" t="str">
        <f aca="false">IF(COUNTIF($A$5:A918,A918)&gt;1,"Duplicate","Unique")</f>
        <v>Unique</v>
      </c>
      <c r="J918" s="39" t="str">
        <f aca="false">IF(I918="Duplicate","Remove",IF(H918="Mismatch","Exclude","Keep"))</f>
        <v>Keep</v>
      </c>
    </row>
    <row r="919" customFormat="false" ht="15" hidden="false" customHeight="false" outlineLevel="0" collapsed="false">
      <c r="A919" s="39" t="s">
        <v>1025</v>
      </c>
      <c r="B919" s="40" t="n">
        <v>45787</v>
      </c>
      <c r="C919" s="39" t="s">
        <v>121</v>
      </c>
      <c r="D919" s="39" t="n">
        <v>2</v>
      </c>
      <c r="E919" s="41" t="n">
        <v>116.07</v>
      </c>
      <c r="F919" s="39" t="s">
        <v>105</v>
      </c>
      <c r="G919" s="39" t="str">
        <f aca="false">UPPER(TRIM(C919))</f>
        <v>P018</v>
      </c>
      <c r="H919" s="39" t="str">
        <f aca="false">IF(ISNUMBER(MATCH(G919,Products!$A$5:$A$24,0)),"OK","Mismatch")</f>
        <v>OK</v>
      </c>
      <c r="I919" s="39" t="str">
        <f aca="false">IF(COUNTIF($A$5:A919,A919)&gt;1,"Duplicate","Unique")</f>
        <v>Unique</v>
      </c>
      <c r="J919" s="39" t="str">
        <f aca="false">IF(I919="Duplicate","Remove",IF(H919="Mismatch","Exclude","Keep"))</f>
        <v>Keep</v>
      </c>
    </row>
    <row r="920" customFormat="false" ht="15" hidden="false" customHeight="false" outlineLevel="0" collapsed="false">
      <c r="A920" s="39" t="s">
        <v>1025</v>
      </c>
      <c r="B920" s="40" t="n">
        <v>45787</v>
      </c>
      <c r="C920" s="39" t="s">
        <v>121</v>
      </c>
      <c r="D920" s="39" t="n">
        <v>2</v>
      </c>
      <c r="E920" s="41" t="n">
        <v>116.07</v>
      </c>
      <c r="F920" s="39" t="s">
        <v>105</v>
      </c>
      <c r="G920" s="39" t="str">
        <f aca="false">UPPER(TRIM(C920))</f>
        <v>P018</v>
      </c>
      <c r="H920" s="39" t="str">
        <f aca="false">IF(ISNUMBER(MATCH(G920,Products!$A$5:$A$24,0)),"OK","Mismatch")</f>
        <v>OK</v>
      </c>
      <c r="I920" s="39" t="str">
        <f aca="false">IF(COUNTIF($A$5:A920,A920)&gt;1,"Duplicate","Unique")</f>
        <v>Duplicate</v>
      </c>
      <c r="J920" s="39" t="str">
        <f aca="false">IF(I920="Duplicate","Remove",IF(H920="Mismatch","Exclude","Keep"))</f>
        <v>Remove</v>
      </c>
    </row>
    <row r="921" customFormat="false" ht="15" hidden="false" customHeight="false" outlineLevel="0" collapsed="false">
      <c r="A921" s="39" t="s">
        <v>1026</v>
      </c>
      <c r="B921" s="40" t="n">
        <v>45787</v>
      </c>
      <c r="C921" s="39" t="s">
        <v>121</v>
      </c>
      <c r="D921" s="39" t="n">
        <v>1</v>
      </c>
      <c r="E921" s="41" t="n">
        <v>111.99</v>
      </c>
      <c r="F921" s="39" t="s">
        <v>105</v>
      </c>
      <c r="G921" s="39" t="str">
        <f aca="false">UPPER(TRIM(C921))</f>
        <v>P018</v>
      </c>
      <c r="H921" s="39" t="str">
        <f aca="false">IF(ISNUMBER(MATCH(G921,Products!$A$5:$A$24,0)),"OK","Mismatch")</f>
        <v>OK</v>
      </c>
      <c r="I921" s="39" t="str">
        <f aca="false">IF(COUNTIF($A$5:A921,A921)&gt;1,"Duplicate","Unique")</f>
        <v>Unique</v>
      </c>
      <c r="J921" s="39" t="str">
        <f aca="false">IF(I921="Duplicate","Remove",IF(H921="Mismatch","Exclude","Keep"))</f>
        <v>Keep</v>
      </c>
    </row>
    <row r="922" customFormat="false" ht="15" hidden="false" customHeight="false" outlineLevel="0" collapsed="false">
      <c r="A922" s="39" t="s">
        <v>1027</v>
      </c>
      <c r="B922" s="40" t="n">
        <v>45787</v>
      </c>
      <c r="C922" s="39" t="s">
        <v>130</v>
      </c>
      <c r="D922" s="39" t="n">
        <v>2</v>
      </c>
      <c r="E922" s="41" t="n">
        <v>8.36</v>
      </c>
      <c r="F922" s="39" t="s">
        <v>115</v>
      </c>
      <c r="G922" s="39" t="str">
        <f aca="false">UPPER(TRIM(C922))</f>
        <v>P011</v>
      </c>
      <c r="H922" s="39" t="str">
        <f aca="false">IF(ISNUMBER(MATCH(G922,Products!$A$5:$A$24,0)),"OK","Mismatch")</f>
        <v>OK</v>
      </c>
      <c r="I922" s="39" t="str">
        <f aca="false">IF(COUNTIF($A$5:A922,A922)&gt;1,"Duplicate","Unique")</f>
        <v>Unique</v>
      </c>
      <c r="J922" s="39" t="str">
        <f aca="false">IF(I922="Duplicate","Remove",IF(H922="Mismatch","Exclude","Keep"))</f>
        <v>Keep</v>
      </c>
    </row>
    <row r="923" customFormat="false" ht="15" hidden="false" customHeight="false" outlineLevel="0" collapsed="false">
      <c r="A923" s="39" t="s">
        <v>1028</v>
      </c>
      <c r="B923" s="40" t="n">
        <v>45787</v>
      </c>
      <c r="C923" s="39" t="s">
        <v>126</v>
      </c>
      <c r="D923" s="39" t="n">
        <v>2</v>
      </c>
      <c r="E923" s="41" t="n">
        <v>23.1</v>
      </c>
      <c r="F923" s="39" t="s">
        <v>105</v>
      </c>
      <c r="G923" s="39" t="str">
        <f aca="false">UPPER(TRIM(C923))</f>
        <v>P001</v>
      </c>
      <c r="H923" s="39" t="str">
        <f aca="false">IF(ISNUMBER(MATCH(G923,Products!$A$5:$A$24,0)),"OK","Mismatch")</f>
        <v>OK</v>
      </c>
      <c r="I923" s="39" t="str">
        <f aca="false">IF(COUNTIF($A$5:A923,A923)&gt;1,"Duplicate","Unique")</f>
        <v>Unique</v>
      </c>
      <c r="J923" s="39" t="str">
        <f aca="false">IF(I923="Duplicate","Remove",IF(H923="Mismatch","Exclude","Keep"))</f>
        <v>Keep</v>
      </c>
    </row>
    <row r="924" customFormat="false" ht="15" hidden="false" customHeight="false" outlineLevel="0" collapsed="false">
      <c r="A924" s="39" t="s">
        <v>1029</v>
      </c>
      <c r="B924" s="40" t="n">
        <v>45788</v>
      </c>
      <c r="C924" s="39" t="s">
        <v>139</v>
      </c>
      <c r="D924" s="39" t="n">
        <v>4</v>
      </c>
      <c r="E924" s="41" t="n">
        <v>128.57</v>
      </c>
      <c r="F924" s="39" t="s">
        <v>105</v>
      </c>
      <c r="G924" s="39" t="str">
        <f aca="false">UPPER(TRIM(C924))</f>
        <v>P006</v>
      </c>
      <c r="H924" s="39" t="str">
        <f aca="false">IF(ISNUMBER(MATCH(G924,Products!$A$5:$A$24,0)),"OK","Mismatch")</f>
        <v>OK</v>
      </c>
      <c r="I924" s="39" t="str">
        <f aca="false">IF(COUNTIF($A$5:A924,A924)&gt;1,"Duplicate","Unique")</f>
        <v>Unique</v>
      </c>
      <c r="J924" s="39" t="str">
        <f aca="false">IF(I924="Duplicate","Remove",IF(H924="Mismatch","Exclude","Keep"))</f>
        <v>Keep</v>
      </c>
    </row>
    <row r="925" customFormat="false" ht="15" hidden="false" customHeight="false" outlineLevel="0" collapsed="false">
      <c r="A925" s="39" t="s">
        <v>1030</v>
      </c>
      <c r="B925" s="40" t="n">
        <v>45788</v>
      </c>
      <c r="C925" s="39" t="s">
        <v>162</v>
      </c>
      <c r="D925" s="39" t="n">
        <v>2</v>
      </c>
      <c r="E925" s="41" t="n">
        <v>63.68</v>
      </c>
      <c r="F925" s="39" t="s">
        <v>105</v>
      </c>
      <c r="G925" s="39" t="str">
        <f aca="false">UPPER(TRIM(C925))</f>
        <v>P017</v>
      </c>
      <c r="H925" s="39" t="str">
        <f aca="false">IF(ISNUMBER(MATCH(G925,Products!$A$5:$A$24,0)),"OK","Mismatch")</f>
        <v>OK</v>
      </c>
      <c r="I925" s="39" t="str">
        <f aca="false">IF(COUNTIF($A$5:A925,A925)&gt;1,"Duplicate","Unique")</f>
        <v>Unique</v>
      </c>
      <c r="J925" s="39" t="str">
        <f aca="false">IF(I925="Duplicate","Remove",IF(H925="Mismatch","Exclude","Keep"))</f>
        <v>Keep</v>
      </c>
    </row>
    <row r="926" customFormat="false" ht="15" hidden="false" customHeight="false" outlineLevel="0" collapsed="false">
      <c r="A926" s="39" t="s">
        <v>1031</v>
      </c>
      <c r="B926" s="40" t="n">
        <v>45788</v>
      </c>
      <c r="C926" s="39" t="s">
        <v>128</v>
      </c>
      <c r="D926" s="39" t="n">
        <v>5</v>
      </c>
      <c r="E926" s="41" t="n">
        <v>36.62</v>
      </c>
      <c r="F926" s="39" t="s">
        <v>108</v>
      </c>
      <c r="G926" s="39" t="str">
        <f aca="false">UPPER(TRIM(C926))</f>
        <v>P020</v>
      </c>
      <c r="H926" s="39" t="str">
        <f aca="false">IF(ISNUMBER(MATCH(G926,Products!$A$5:$A$24,0)),"OK","Mismatch")</f>
        <v>OK</v>
      </c>
      <c r="I926" s="39" t="str">
        <f aca="false">IF(COUNTIF($A$5:A926,A926)&gt;1,"Duplicate","Unique")</f>
        <v>Unique</v>
      </c>
      <c r="J926" s="39" t="str">
        <f aca="false">IF(I926="Duplicate","Remove",IF(H926="Mismatch","Exclude","Keep"))</f>
        <v>Keep</v>
      </c>
    </row>
    <row r="927" customFormat="false" ht="15" hidden="false" customHeight="false" outlineLevel="0" collapsed="false">
      <c r="A927" s="39" t="s">
        <v>1032</v>
      </c>
      <c r="B927" s="40" t="n">
        <v>45788</v>
      </c>
      <c r="C927" s="39" t="s">
        <v>117</v>
      </c>
      <c r="D927" s="39" t="n">
        <v>3</v>
      </c>
      <c r="E927" s="41" t="n">
        <v>30.26</v>
      </c>
      <c r="F927" s="39" t="s">
        <v>118</v>
      </c>
      <c r="G927" s="39" t="str">
        <f aca="false">UPPER(TRIM(C927))</f>
        <v>P009</v>
      </c>
      <c r="H927" s="39" t="str">
        <f aca="false">IF(ISNUMBER(MATCH(G927,Products!$A$5:$A$24,0)),"OK","Mismatch")</f>
        <v>OK</v>
      </c>
      <c r="I927" s="39" t="str">
        <f aca="false">IF(COUNTIF($A$5:A927,A927)&gt;1,"Duplicate","Unique")</f>
        <v>Unique</v>
      </c>
      <c r="J927" s="39" t="str">
        <f aca="false">IF(I927="Duplicate","Remove",IF(H927="Mismatch","Exclude","Keep"))</f>
        <v>Keep</v>
      </c>
    </row>
    <row r="928" customFormat="false" ht="15" hidden="false" customHeight="false" outlineLevel="0" collapsed="false">
      <c r="A928" s="39" t="s">
        <v>1033</v>
      </c>
      <c r="B928" s="40" t="n">
        <v>45788</v>
      </c>
      <c r="C928" s="39" t="s">
        <v>117</v>
      </c>
      <c r="D928" s="39" t="n">
        <v>2</v>
      </c>
      <c r="E928" s="41" t="n">
        <v>29.47</v>
      </c>
      <c r="F928" s="39" t="s">
        <v>108</v>
      </c>
      <c r="G928" s="39" t="str">
        <f aca="false">UPPER(TRIM(C928))</f>
        <v>P009</v>
      </c>
      <c r="H928" s="39" t="str">
        <f aca="false">IF(ISNUMBER(MATCH(G928,Products!$A$5:$A$24,0)),"OK","Mismatch")</f>
        <v>OK</v>
      </c>
      <c r="I928" s="39" t="str">
        <f aca="false">IF(COUNTIF($A$5:A928,A928)&gt;1,"Duplicate","Unique")</f>
        <v>Unique</v>
      </c>
      <c r="J928" s="39" t="str">
        <f aca="false">IF(I928="Duplicate","Remove",IF(H928="Mismatch","Exclude","Keep"))</f>
        <v>Keep</v>
      </c>
    </row>
    <row r="929" customFormat="false" ht="15" hidden="false" customHeight="false" outlineLevel="0" collapsed="false">
      <c r="A929" s="39" t="s">
        <v>1034</v>
      </c>
      <c r="B929" s="40" t="n">
        <v>45788</v>
      </c>
      <c r="C929" s="39" t="s">
        <v>162</v>
      </c>
      <c r="D929" s="39" t="n">
        <v>1</v>
      </c>
      <c r="E929" s="41" t="n">
        <v>67.95</v>
      </c>
      <c r="F929" s="39" t="s">
        <v>105</v>
      </c>
      <c r="G929" s="39" t="str">
        <f aca="false">UPPER(TRIM(C929))</f>
        <v>P017</v>
      </c>
      <c r="H929" s="39" t="str">
        <f aca="false">IF(ISNUMBER(MATCH(G929,Products!$A$5:$A$24,0)),"OK","Mismatch")</f>
        <v>OK</v>
      </c>
      <c r="I929" s="39" t="str">
        <f aca="false">IF(COUNTIF($A$5:A929,A929)&gt;1,"Duplicate","Unique")</f>
        <v>Unique</v>
      </c>
      <c r="J929" s="39" t="str">
        <f aca="false">IF(I929="Duplicate","Remove",IF(H929="Mismatch","Exclude","Keep"))</f>
        <v>Keep</v>
      </c>
    </row>
    <row r="930" customFormat="false" ht="15" hidden="false" customHeight="false" outlineLevel="0" collapsed="false">
      <c r="A930" s="39" t="s">
        <v>1035</v>
      </c>
      <c r="B930" s="40" t="n">
        <v>45788</v>
      </c>
      <c r="C930" s="39" t="s">
        <v>130</v>
      </c>
      <c r="D930" s="39" t="n">
        <v>1</v>
      </c>
      <c r="E930" s="41" t="n">
        <v>8.48</v>
      </c>
      <c r="F930" s="39" t="s">
        <v>115</v>
      </c>
      <c r="G930" s="39" t="str">
        <f aca="false">UPPER(TRIM(C930))</f>
        <v>P011</v>
      </c>
      <c r="H930" s="39" t="str">
        <f aca="false">IF(ISNUMBER(MATCH(G930,Products!$A$5:$A$24,0)),"OK","Mismatch")</f>
        <v>OK</v>
      </c>
      <c r="I930" s="39" t="str">
        <f aca="false">IF(COUNTIF($A$5:A930,A930)&gt;1,"Duplicate","Unique")</f>
        <v>Unique</v>
      </c>
      <c r="J930" s="39" t="str">
        <f aca="false">IF(I930="Duplicate","Remove",IF(H930="Mismatch","Exclude","Keep"))</f>
        <v>Keep</v>
      </c>
    </row>
    <row r="931" customFormat="false" ht="15" hidden="false" customHeight="false" outlineLevel="0" collapsed="false">
      <c r="A931" s="39" t="s">
        <v>1036</v>
      </c>
      <c r="B931" s="40" t="n">
        <v>45788</v>
      </c>
      <c r="C931" s="39" t="s">
        <v>139</v>
      </c>
      <c r="D931" s="39" t="n">
        <v>1</v>
      </c>
      <c r="E931" s="41" t="n">
        <v>126.45</v>
      </c>
      <c r="F931" s="39" t="s">
        <v>108</v>
      </c>
      <c r="G931" s="39" t="str">
        <f aca="false">UPPER(TRIM(C931))</f>
        <v>P006</v>
      </c>
      <c r="H931" s="39" t="str">
        <f aca="false">IF(ISNUMBER(MATCH(G931,Products!$A$5:$A$24,0)),"OK","Mismatch")</f>
        <v>OK</v>
      </c>
      <c r="I931" s="39" t="str">
        <f aca="false">IF(COUNTIF($A$5:A931,A931)&gt;1,"Duplicate","Unique")</f>
        <v>Unique</v>
      </c>
      <c r="J931" s="39" t="str">
        <f aca="false">IF(I931="Duplicate","Remove",IF(H931="Mismatch","Exclude","Keep"))</f>
        <v>Keep</v>
      </c>
    </row>
    <row r="932" customFormat="false" ht="15" hidden="false" customHeight="false" outlineLevel="0" collapsed="false">
      <c r="A932" s="39" t="s">
        <v>1037</v>
      </c>
      <c r="B932" s="40" t="n">
        <v>45788</v>
      </c>
      <c r="C932" s="39" t="s">
        <v>104</v>
      </c>
      <c r="D932" s="39" t="n">
        <v>6</v>
      </c>
      <c r="E932" s="41" t="n">
        <v>14.88</v>
      </c>
      <c r="F932" s="39" t="s">
        <v>108</v>
      </c>
      <c r="G932" s="39" t="str">
        <f aca="false">UPPER(TRIM(C932))</f>
        <v>P015</v>
      </c>
      <c r="H932" s="39" t="str">
        <f aca="false">IF(ISNUMBER(MATCH(G932,Products!$A$5:$A$24,0)),"OK","Mismatch")</f>
        <v>OK</v>
      </c>
      <c r="I932" s="39" t="str">
        <f aca="false">IF(COUNTIF($A$5:A932,A932)&gt;1,"Duplicate","Unique")</f>
        <v>Unique</v>
      </c>
      <c r="J932" s="39" t="str">
        <f aca="false">IF(I932="Duplicate","Remove",IF(H932="Mismatch","Exclude","Keep"))</f>
        <v>Keep</v>
      </c>
    </row>
    <row r="933" customFormat="false" ht="15" hidden="false" customHeight="false" outlineLevel="0" collapsed="false">
      <c r="A933" s="39" t="s">
        <v>1038</v>
      </c>
      <c r="B933" s="40" t="n">
        <v>45788</v>
      </c>
      <c r="C933" s="39" t="s">
        <v>130</v>
      </c>
      <c r="D933" s="39" t="n">
        <v>1</v>
      </c>
      <c r="E933" s="41" t="n">
        <v>8.68</v>
      </c>
      <c r="F933" s="39" t="s">
        <v>118</v>
      </c>
      <c r="G933" s="39" t="str">
        <f aca="false">UPPER(TRIM(C933))</f>
        <v>P011</v>
      </c>
      <c r="H933" s="39" t="str">
        <f aca="false">IF(ISNUMBER(MATCH(G933,Products!$A$5:$A$24,0)),"OK","Mismatch")</f>
        <v>OK</v>
      </c>
      <c r="I933" s="39" t="str">
        <f aca="false">IF(COUNTIF($A$5:A933,A933)&gt;1,"Duplicate","Unique")</f>
        <v>Unique</v>
      </c>
      <c r="J933" s="39" t="str">
        <f aca="false">IF(I933="Duplicate","Remove",IF(H933="Mismatch","Exclude","Keep"))</f>
        <v>Keep</v>
      </c>
    </row>
    <row r="934" customFormat="false" ht="15" hidden="false" customHeight="false" outlineLevel="0" collapsed="false">
      <c r="A934" s="39" t="s">
        <v>1039</v>
      </c>
      <c r="B934" s="40" t="n">
        <v>45788</v>
      </c>
      <c r="C934" s="39" t="s">
        <v>136</v>
      </c>
      <c r="D934" s="39" t="n">
        <v>3</v>
      </c>
      <c r="E934" s="41" t="n">
        <v>73.97</v>
      </c>
      <c r="F934" s="39" t="s">
        <v>118</v>
      </c>
      <c r="G934" s="39" t="str">
        <f aca="false">UPPER(TRIM(C934))</f>
        <v>P002</v>
      </c>
      <c r="H934" s="39" t="str">
        <f aca="false">IF(ISNUMBER(MATCH(G934,Products!$A$5:$A$24,0)),"OK","Mismatch")</f>
        <v>OK</v>
      </c>
      <c r="I934" s="39" t="str">
        <f aca="false">IF(COUNTIF($A$5:A934,A934)&gt;1,"Duplicate","Unique")</f>
        <v>Unique</v>
      </c>
      <c r="J934" s="39" t="str">
        <f aca="false">IF(I934="Duplicate","Remove",IF(H934="Mismatch","Exclude","Keep"))</f>
        <v>Keep</v>
      </c>
    </row>
    <row r="935" customFormat="false" ht="15" hidden="false" customHeight="false" outlineLevel="0" collapsed="false">
      <c r="A935" s="39" t="s">
        <v>1040</v>
      </c>
      <c r="B935" s="40" t="n">
        <v>45788</v>
      </c>
      <c r="C935" s="39" t="s">
        <v>128</v>
      </c>
      <c r="D935" s="39" t="n">
        <v>4</v>
      </c>
      <c r="E935" s="41" t="n">
        <v>37.2</v>
      </c>
      <c r="F935" s="39" t="s">
        <v>118</v>
      </c>
      <c r="G935" s="39" t="str">
        <f aca="false">UPPER(TRIM(C935))</f>
        <v>P020</v>
      </c>
      <c r="H935" s="39" t="str">
        <f aca="false">IF(ISNUMBER(MATCH(G935,Products!$A$5:$A$24,0)),"OK","Mismatch")</f>
        <v>OK</v>
      </c>
      <c r="I935" s="39" t="str">
        <f aca="false">IF(COUNTIF($A$5:A935,A935)&gt;1,"Duplicate","Unique")</f>
        <v>Unique</v>
      </c>
      <c r="J935" s="39" t="str">
        <f aca="false">IF(I935="Duplicate","Remove",IF(H935="Mismatch","Exclude","Keep"))</f>
        <v>Keep</v>
      </c>
    </row>
    <row r="936" customFormat="false" ht="15" hidden="false" customHeight="false" outlineLevel="0" collapsed="false">
      <c r="A936" s="39" t="s">
        <v>1041</v>
      </c>
      <c r="B936" s="40" t="n">
        <v>45789</v>
      </c>
      <c r="C936" s="39" t="s">
        <v>133</v>
      </c>
      <c r="D936" s="39" t="n">
        <v>1</v>
      </c>
      <c r="E936" s="41" t="n">
        <v>8.6</v>
      </c>
      <c r="F936" s="39" t="s">
        <v>118</v>
      </c>
      <c r="G936" s="39" t="str">
        <f aca="false">UPPER(TRIM(C936))</f>
        <v>P019</v>
      </c>
      <c r="H936" s="39" t="str">
        <f aca="false">IF(ISNUMBER(MATCH(G936,Products!$A$5:$A$24,0)),"OK","Mismatch")</f>
        <v>OK</v>
      </c>
      <c r="I936" s="39" t="str">
        <f aca="false">IF(COUNTIF($A$5:A936,A936)&gt;1,"Duplicate","Unique")</f>
        <v>Unique</v>
      </c>
      <c r="J936" s="39" t="str">
        <f aca="false">IF(I936="Duplicate","Remove",IF(H936="Mismatch","Exclude","Keep"))</f>
        <v>Keep</v>
      </c>
    </row>
    <row r="937" customFormat="false" ht="15" hidden="false" customHeight="false" outlineLevel="0" collapsed="false">
      <c r="A937" s="39" t="s">
        <v>1042</v>
      </c>
      <c r="B937" s="40" t="n">
        <v>45789</v>
      </c>
      <c r="C937" s="39" t="s">
        <v>114</v>
      </c>
      <c r="D937" s="39" t="n">
        <v>1</v>
      </c>
      <c r="E937" s="41" t="n">
        <v>5.92</v>
      </c>
      <c r="F937" s="39" t="s">
        <v>105</v>
      </c>
      <c r="G937" s="39" t="str">
        <f aca="false">UPPER(TRIM(C937))</f>
        <v>P012</v>
      </c>
      <c r="H937" s="39" t="str">
        <f aca="false">IF(ISNUMBER(MATCH(G937,Products!$A$5:$A$24,0)),"OK","Mismatch")</f>
        <v>OK</v>
      </c>
      <c r="I937" s="39" t="str">
        <f aca="false">IF(COUNTIF($A$5:A937,A937)&gt;1,"Duplicate","Unique")</f>
        <v>Unique</v>
      </c>
      <c r="J937" s="39" t="str">
        <f aca="false">IF(I937="Duplicate","Remove",IF(H937="Mismatch","Exclude","Keep"))</f>
        <v>Keep</v>
      </c>
    </row>
    <row r="938" customFormat="false" ht="15" hidden="false" customHeight="false" outlineLevel="0" collapsed="false">
      <c r="A938" s="39" t="s">
        <v>1043</v>
      </c>
      <c r="B938" s="40" t="n">
        <v>45789</v>
      </c>
      <c r="C938" s="39" t="s">
        <v>177</v>
      </c>
      <c r="D938" s="39" t="n">
        <v>1</v>
      </c>
      <c r="E938" s="41" t="n">
        <v>43.58</v>
      </c>
      <c r="F938" s="39" t="s">
        <v>115</v>
      </c>
      <c r="G938" s="39" t="str">
        <f aca="false">UPPER(TRIM(C938))</f>
        <v>P014</v>
      </c>
      <c r="H938" s="39" t="str">
        <f aca="false">IF(ISNUMBER(MATCH(G938,Products!$A$5:$A$24,0)),"OK","Mismatch")</f>
        <v>OK</v>
      </c>
      <c r="I938" s="39" t="str">
        <f aca="false">IF(COUNTIF($A$5:A938,A938)&gt;1,"Duplicate","Unique")</f>
        <v>Unique</v>
      </c>
      <c r="J938" s="39" t="str">
        <f aca="false">IF(I938="Duplicate","Remove",IF(H938="Mismatch","Exclude","Keep"))</f>
        <v>Keep</v>
      </c>
    </row>
    <row r="939" customFormat="false" ht="15" hidden="false" customHeight="false" outlineLevel="0" collapsed="false">
      <c r="A939" s="39" t="s">
        <v>1044</v>
      </c>
      <c r="B939" s="40" t="n">
        <v>45789</v>
      </c>
      <c r="C939" s="39" t="s">
        <v>153</v>
      </c>
      <c r="D939" s="39" t="n">
        <v>6</v>
      </c>
      <c r="E939" s="41" t="n">
        <v>165.45</v>
      </c>
      <c r="F939" s="39" t="s">
        <v>115</v>
      </c>
      <c r="G939" s="39" t="str">
        <f aca="false">UPPER(TRIM(C939))</f>
        <v>P010</v>
      </c>
      <c r="H939" s="39" t="str">
        <f aca="false">IF(ISNUMBER(MATCH(G939,Products!$A$5:$A$24,0)),"OK","Mismatch")</f>
        <v>OK</v>
      </c>
      <c r="I939" s="39" t="str">
        <f aca="false">IF(COUNTIF($A$5:A939,A939)&gt;1,"Duplicate","Unique")</f>
        <v>Unique</v>
      </c>
      <c r="J939" s="39" t="str">
        <f aca="false">IF(I939="Duplicate","Remove",IF(H939="Mismatch","Exclude","Keep"))</f>
        <v>Keep</v>
      </c>
    </row>
    <row r="940" customFormat="false" ht="15" hidden="false" customHeight="false" outlineLevel="0" collapsed="false">
      <c r="A940" s="39" t="s">
        <v>1045</v>
      </c>
      <c r="B940" s="40" t="n">
        <v>45789</v>
      </c>
      <c r="C940" s="39" t="s">
        <v>136</v>
      </c>
      <c r="D940" s="39" t="n">
        <v>3</v>
      </c>
      <c r="E940" s="41" t="n">
        <v>74.84</v>
      </c>
      <c r="F940" s="39" t="s">
        <v>118</v>
      </c>
      <c r="G940" s="39" t="str">
        <f aca="false">UPPER(TRIM(C940))</f>
        <v>P002</v>
      </c>
      <c r="H940" s="39" t="str">
        <f aca="false">IF(ISNUMBER(MATCH(G940,Products!$A$5:$A$24,0)),"OK","Mismatch")</f>
        <v>OK</v>
      </c>
      <c r="I940" s="39" t="str">
        <f aca="false">IF(COUNTIF($A$5:A940,A940)&gt;1,"Duplicate","Unique")</f>
        <v>Unique</v>
      </c>
      <c r="J940" s="39" t="str">
        <f aca="false">IF(I940="Duplicate","Remove",IF(H940="Mismatch","Exclude","Keep"))</f>
        <v>Keep</v>
      </c>
    </row>
    <row r="941" customFormat="false" ht="15" hidden="false" customHeight="false" outlineLevel="0" collapsed="false">
      <c r="A941" s="39" t="s">
        <v>1046</v>
      </c>
      <c r="B941" s="40" t="n">
        <v>45789</v>
      </c>
      <c r="C941" s="39" t="s">
        <v>107</v>
      </c>
      <c r="D941" s="39" t="n">
        <v>1</v>
      </c>
      <c r="E941" s="41" t="n">
        <v>33.5</v>
      </c>
      <c r="F941" s="39" t="s">
        <v>108</v>
      </c>
      <c r="G941" s="39" t="str">
        <f aca="false">UPPER(TRIM(C941))</f>
        <v>P003</v>
      </c>
      <c r="H941" s="39" t="str">
        <f aca="false">IF(ISNUMBER(MATCH(G941,Products!$A$5:$A$24,0)),"OK","Mismatch")</f>
        <v>OK</v>
      </c>
      <c r="I941" s="39" t="str">
        <f aca="false">IF(COUNTIF($A$5:A941,A941)&gt;1,"Duplicate","Unique")</f>
        <v>Unique</v>
      </c>
      <c r="J941" s="39" t="str">
        <f aca="false">IF(I941="Duplicate","Remove",IF(H941="Mismatch","Exclude","Keep"))</f>
        <v>Keep</v>
      </c>
    </row>
    <row r="942" customFormat="false" ht="15" hidden="false" customHeight="false" outlineLevel="0" collapsed="false">
      <c r="A942" s="39" t="s">
        <v>1047</v>
      </c>
      <c r="B942" s="40" t="n">
        <v>45789</v>
      </c>
      <c r="C942" s="39" t="s">
        <v>126</v>
      </c>
      <c r="D942" s="39" t="n">
        <v>1</v>
      </c>
      <c r="E942" s="41" t="n">
        <v>24.42</v>
      </c>
      <c r="F942" s="39" t="s">
        <v>105</v>
      </c>
      <c r="G942" s="39" t="str">
        <f aca="false">UPPER(TRIM(C942))</f>
        <v>P001</v>
      </c>
      <c r="H942" s="39" t="str">
        <f aca="false">IF(ISNUMBER(MATCH(G942,Products!$A$5:$A$24,0)),"OK","Mismatch")</f>
        <v>OK</v>
      </c>
      <c r="I942" s="39" t="str">
        <f aca="false">IF(COUNTIF($A$5:A942,A942)&gt;1,"Duplicate","Unique")</f>
        <v>Unique</v>
      </c>
      <c r="J942" s="39" t="str">
        <f aca="false">IF(I942="Duplicate","Remove",IF(H942="Mismatch","Exclude","Keep"))</f>
        <v>Keep</v>
      </c>
    </row>
    <row r="943" customFormat="false" ht="15" hidden="false" customHeight="false" outlineLevel="0" collapsed="false">
      <c r="A943" s="39" t="s">
        <v>1048</v>
      </c>
      <c r="B943" s="40" t="n">
        <v>45790</v>
      </c>
      <c r="C943" s="39" t="s">
        <v>183</v>
      </c>
      <c r="D943" s="39" t="n">
        <v>1</v>
      </c>
      <c r="E943" s="41" t="n">
        <v>186.43</v>
      </c>
      <c r="F943" s="39" t="s">
        <v>118</v>
      </c>
      <c r="G943" s="39" t="str">
        <f aca="false">UPPER(TRIM(C943))</f>
        <v>P007</v>
      </c>
      <c r="H943" s="39" t="str">
        <f aca="false">IF(ISNUMBER(MATCH(G943,Products!$A$5:$A$24,0)),"OK","Mismatch")</f>
        <v>OK</v>
      </c>
      <c r="I943" s="39" t="str">
        <f aca="false">IF(COUNTIF($A$5:A943,A943)&gt;1,"Duplicate","Unique")</f>
        <v>Unique</v>
      </c>
      <c r="J943" s="39" t="str">
        <f aca="false">IF(I943="Duplicate","Remove",IF(H943="Mismatch","Exclude","Keep"))</f>
        <v>Keep</v>
      </c>
    </row>
    <row r="944" customFormat="false" ht="15" hidden="false" customHeight="false" outlineLevel="0" collapsed="false">
      <c r="A944" s="39" t="s">
        <v>1049</v>
      </c>
      <c r="B944" s="40" t="n">
        <v>45790</v>
      </c>
      <c r="C944" s="39" t="s">
        <v>183</v>
      </c>
      <c r="D944" s="39" t="n">
        <v>2</v>
      </c>
      <c r="E944" s="41" t="n">
        <v>188.95</v>
      </c>
      <c r="F944" s="39" t="s">
        <v>108</v>
      </c>
      <c r="G944" s="39" t="str">
        <f aca="false">UPPER(TRIM(C944))</f>
        <v>P007</v>
      </c>
      <c r="H944" s="39" t="str">
        <f aca="false">IF(ISNUMBER(MATCH(G944,Products!$A$5:$A$24,0)),"OK","Mismatch")</f>
        <v>OK</v>
      </c>
      <c r="I944" s="39" t="str">
        <f aca="false">IF(COUNTIF($A$5:A944,A944)&gt;1,"Duplicate","Unique")</f>
        <v>Unique</v>
      </c>
      <c r="J944" s="39" t="str">
        <f aca="false">IF(I944="Duplicate","Remove",IF(H944="Mismatch","Exclude","Keep"))</f>
        <v>Keep</v>
      </c>
    </row>
    <row r="945" customFormat="false" ht="15" hidden="false" customHeight="false" outlineLevel="0" collapsed="false">
      <c r="A945" s="39" t="s">
        <v>1050</v>
      </c>
      <c r="B945" s="40" t="n">
        <v>45790</v>
      </c>
      <c r="C945" s="39" t="s">
        <v>126</v>
      </c>
      <c r="D945" s="39" t="n">
        <v>6</v>
      </c>
      <c r="E945" s="41" t="n">
        <v>23.09</v>
      </c>
      <c r="F945" s="39" t="s">
        <v>108</v>
      </c>
      <c r="G945" s="39" t="str">
        <f aca="false">UPPER(TRIM(C945))</f>
        <v>P001</v>
      </c>
      <c r="H945" s="39" t="str">
        <f aca="false">IF(ISNUMBER(MATCH(G945,Products!$A$5:$A$24,0)),"OK","Mismatch")</f>
        <v>OK</v>
      </c>
      <c r="I945" s="39" t="str">
        <f aca="false">IF(COUNTIF($A$5:A945,A945)&gt;1,"Duplicate","Unique")</f>
        <v>Unique</v>
      </c>
      <c r="J945" s="39" t="str">
        <f aca="false">IF(I945="Duplicate","Remove",IF(H945="Mismatch","Exclude","Keep"))</f>
        <v>Keep</v>
      </c>
    </row>
    <row r="946" customFormat="false" ht="15" hidden="false" customHeight="false" outlineLevel="0" collapsed="false">
      <c r="A946" s="39" t="s">
        <v>1051</v>
      </c>
      <c r="B946" s="40" t="n">
        <v>45790</v>
      </c>
      <c r="C946" s="39" t="s">
        <v>144</v>
      </c>
      <c r="D946" s="39" t="n">
        <v>1</v>
      </c>
      <c r="E946" s="41" t="n">
        <v>57.27</v>
      </c>
      <c r="F946" s="39" t="s">
        <v>115</v>
      </c>
      <c r="G946" s="39" t="str">
        <f aca="false">UPPER(TRIM(C946))</f>
        <v>P013</v>
      </c>
      <c r="H946" s="39" t="str">
        <f aca="false">IF(ISNUMBER(MATCH(G946,Products!$A$5:$A$24,0)),"OK","Mismatch")</f>
        <v>OK</v>
      </c>
      <c r="I946" s="39" t="str">
        <f aca="false">IF(COUNTIF($A$5:A946,A946)&gt;1,"Duplicate","Unique")</f>
        <v>Unique</v>
      </c>
      <c r="J946" s="39" t="str">
        <f aca="false">IF(I946="Duplicate","Remove",IF(H946="Mismatch","Exclude","Keep"))</f>
        <v>Keep</v>
      </c>
    </row>
    <row r="947" customFormat="false" ht="15" hidden="false" customHeight="false" outlineLevel="0" collapsed="false">
      <c r="A947" s="39" t="s">
        <v>1052</v>
      </c>
      <c r="B947" s="40" t="n">
        <v>45790</v>
      </c>
      <c r="C947" s="39" t="s">
        <v>130</v>
      </c>
      <c r="D947" s="39" t="n">
        <v>3</v>
      </c>
      <c r="E947" s="41" t="n">
        <v>8.73</v>
      </c>
      <c r="F947" s="39" t="s">
        <v>118</v>
      </c>
      <c r="G947" s="39" t="str">
        <f aca="false">UPPER(TRIM(C947))</f>
        <v>P011</v>
      </c>
      <c r="H947" s="39" t="str">
        <f aca="false">IF(ISNUMBER(MATCH(G947,Products!$A$5:$A$24,0)),"OK","Mismatch")</f>
        <v>OK</v>
      </c>
      <c r="I947" s="39" t="str">
        <f aca="false">IF(COUNTIF($A$5:A947,A947)&gt;1,"Duplicate","Unique")</f>
        <v>Unique</v>
      </c>
      <c r="J947" s="39" t="str">
        <f aca="false">IF(I947="Duplicate","Remove",IF(H947="Mismatch","Exclude","Keep"))</f>
        <v>Keep</v>
      </c>
    </row>
    <row r="948" customFormat="false" ht="15" hidden="false" customHeight="false" outlineLevel="0" collapsed="false">
      <c r="A948" s="39" t="s">
        <v>1053</v>
      </c>
      <c r="B948" s="40" t="n">
        <v>45790</v>
      </c>
      <c r="C948" s="39" t="s">
        <v>169</v>
      </c>
      <c r="D948" s="39" t="n">
        <v>4</v>
      </c>
      <c r="E948" s="41" t="n">
        <v>28.64</v>
      </c>
      <c r="F948" s="39" t="s">
        <v>115</v>
      </c>
      <c r="G948" s="39" t="str">
        <f aca="false">UPPER(TRIM(C948))</f>
        <v>P004</v>
      </c>
      <c r="H948" s="39" t="str">
        <f aca="false">IF(ISNUMBER(MATCH(G948,Products!$A$5:$A$24,0)),"OK","Mismatch")</f>
        <v>OK</v>
      </c>
      <c r="I948" s="39" t="str">
        <f aca="false">IF(COUNTIF($A$5:A948,A948)&gt;1,"Duplicate","Unique")</f>
        <v>Unique</v>
      </c>
      <c r="J948" s="39" t="str">
        <f aca="false">IF(I948="Duplicate","Remove",IF(H948="Mismatch","Exclude","Keep"))</f>
        <v>Keep</v>
      </c>
    </row>
    <row r="949" customFormat="false" ht="15" hidden="false" customHeight="false" outlineLevel="0" collapsed="false">
      <c r="A949" s="39" t="s">
        <v>1054</v>
      </c>
      <c r="B949" s="40" t="n">
        <v>45790</v>
      </c>
      <c r="C949" s="39" t="s">
        <v>114</v>
      </c>
      <c r="D949" s="39" t="n">
        <v>3</v>
      </c>
      <c r="E949" s="41" t="n">
        <v>5.69</v>
      </c>
      <c r="F949" s="39" t="s">
        <v>115</v>
      </c>
      <c r="G949" s="39" t="str">
        <f aca="false">UPPER(TRIM(C949))</f>
        <v>P012</v>
      </c>
      <c r="H949" s="39" t="str">
        <f aca="false">IF(ISNUMBER(MATCH(G949,Products!$A$5:$A$24,0)),"OK","Mismatch")</f>
        <v>OK</v>
      </c>
      <c r="I949" s="39" t="str">
        <f aca="false">IF(COUNTIF($A$5:A949,A949)&gt;1,"Duplicate","Unique")</f>
        <v>Unique</v>
      </c>
      <c r="J949" s="39" t="str">
        <f aca="false">IF(I949="Duplicate","Remove",IF(H949="Mismatch","Exclude","Keep"))</f>
        <v>Keep</v>
      </c>
    </row>
    <row r="950" customFormat="false" ht="15" hidden="false" customHeight="false" outlineLevel="0" collapsed="false">
      <c r="A950" s="39" t="s">
        <v>1055</v>
      </c>
      <c r="B950" s="40" t="n">
        <v>45790</v>
      </c>
      <c r="C950" s="39" t="s">
        <v>139</v>
      </c>
      <c r="D950" s="39" t="n">
        <v>4</v>
      </c>
      <c r="E950" s="41" t="n">
        <v>125.32</v>
      </c>
      <c r="F950" s="39" t="s">
        <v>115</v>
      </c>
      <c r="G950" s="39" t="str">
        <f aca="false">UPPER(TRIM(C950))</f>
        <v>P006</v>
      </c>
      <c r="H950" s="39" t="str">
        <f aca="false">IF(ISNUMBER(MATCH(G950,Products!$A$5:$A$24,0)),"OK","Mismatch")</f>
        <v>OK</v>
      </c>
      <c r="I950" s="39" t="str">
        <f aca="false">IF(COUNTIF($A$5:A950,A950)&gt;1,"Duplicate","Unique")</f>
        <v>Unique</v>
      </c>
      <c r="J950" s="39" t="str">
        <f aca="false">IF(I950="Duplicate","Remove",IF(H950="Mismatch","Exclude","Keep"))</f>
        <v>Keep</v>
      </c>
    </row>
    <row r="951" customFormat="false" ht="15" hidden="false" customHeight="false" outlineLevel="0" collapsed="false">
      <c r="A951" s="39" t="s">
        <v>1056</v>
      </c>
      <c r="B951" s="40" t="n">
        <v>45791</v>
      </c>
      <c r="C951" s="39" t="s">
        <v>139</v>
      </c>
      <c r="D951" s="39" t="n">
        <v>2</v>
      </c>
      <c r="E951" s="41" t="n">
        <v>128</v>
      </c>
      <c r="F951" s="39" t="s">
        <v>108</v>
      </c>
      <c r="G951" s="39" t="str">
        <f aca="false">UPPER(TRIM(C951))</f>
        <v>P006</v>
      </c>
      <c r="H951" s="39" t="str">
        <f aca="false">IF(ISNUMBER(MATCH(G951,Products!$A$5:$A$24,0)),"OK","Mismatch")</f>
        <v>OK</v>
      </c>
      <c r="I951" s="39" t="str">
        <f aca="false">IF(COUNTIF($A$5:A951,A951)&gt;1,"Duplicate","Unique")</f>
        <v>Unique</v>
      </c>
      <c r="J951" s="39" t="str">
        <f aca="false">IF(I951="Duplicate","Remove",IF(H951="Mismatch","Exclude","Keep"))</f>
        <v>Keep</v>
      </c>
    </row>
    <row r="952" customFormat="false" ht="15" hidden="false" customHeight="false" outlineLevel="0" collapsed="false">
      <c r="A952" s="39" t="s">
        <v>1057</v>
      </c>
      <c r="B952" s="40" t="n">
        <v>45791</v>
      </c>
      <c r="C952" s="39" t="s">
        <v>126</v>
      </c>
      <c r="D952" s="39" t="n">
        <v>2</v>
      </c>
      <c r="E952" s="41" t="n">
        <v>24.1</v>
      </c>
      <c r="F952" s="39" t="s">
        <v>118</v>
      </c>
      <c r="G952" s="39" t="str">
        <f aca="false">UPPER(TRIM(C952))</f>
        <v>P001</v>
      </c>
      <c r="H952" s="39" t="str">
        <f aca="false">IF(ISNUMBER(MATCH(G952,Products!$A$5:$A$24,0)),"OK","Mismatch")</f>
        <v>OK</v>
      </c>
      <c r="I952" s="39" t="str">
        <f aca="false">IF(COUNTIF($A$5:A952,A952)&gt;1,"Duplicate","Unique")</f>
        <v>Unique</v>
      </c>
      <c r="J952" s="39" t="str">
        <f aca="false">IF(I952="Duplicate","Remove",IF(H952="Mismatch","Exclude","Keep"))</f>
        <v>Keep</v>
      </c>
    </row>
    <row r="953" customFormat="false" ht="15" hidden="false" customHeight="false" outlineLevel="0" collapsed="false">
      <c r="A953" s="39" t="s">
        <v>1058</v>
      </c>
      <c r="B953" s="40" t="n">
        <v>45791</v>
      </c>
      <c r="C953" s="39" t="s">
        <v>130</v>
      </c>
      <c r="D953" s="39" t="n">
        <v>1</v>
      </c>
      <c r="E953" s="41" t="n">
        <v>8.79</v>
      </c>
      <c r="F953" s="39" t="s">
        <v>118</v>
      </c>
      <c r="G953" s="39" t="str">
        <f aca="false">UPPER(TRIM(C953))</f>
        <v>P011</v>
      </c>
      <c r="H953" s="39" t="str">
        <f aca="false">IF(ISNUMBER(MATCH(G953,Products!$A$5:$A$24,0)),"OK","Mismatch")</f>
        <v>OK</v>
      </c>
      <c r="I953" s="39" t="str">
        <f aca="false">IF(COUNTIF($A$5:A953,A953)&gt;1,"Duplicate","Unique")</f>
        <v>Unique</v>
      </c>
      <c r="J953" s="39" t="str">
        <f aca="false">IF(I953="Duplicate","Remove",IF(H953="Mismatch","Exclude","Keep"))</f>
        <v>Keep</v>
      </c>
    </row>
    <row r="954" customFormat="false" ht="15" hidden="false" customHeight="false" outlineLevel="0" collapsed="false">
      <c r="A954" s="39" t="s">
        <v>1059</v>
      </c>
      <c r="B954" s="40" t="n">
        <v>45791</v>
      </c>
      <c r="C954" s="39" t="s">
        <v>133</v>
      </c>
      <c r="D954" s="39" t="n">
        <v>1</v>
      </c>
      <c r="E954" s="41" t="n">
        <v>8.45</v>
      </c>
      <c r="F954" s="39" t="s">
        <v>108</v>
      </c>
      <c r="G954" s="39" t="str">
        <f aca="false">UPPER(TRIM(C954))</f>
        <v>P019</v>
      </c>
      <c r="H954" s="39" t="str">
        <f aca="false">IF(ISNUMBER(MATCH(G954,Products!$A$5:$A$24,0)),"OK","Mismatch")</f>
        <v>OK</v>
      </c>
      <c r="I954" s="39" t="str">
        <f aca="false">IF(COUNTIF($A$5:A954,A954)&gt;1,"Duplicate","Unique")</f>
        <v>Unique</v>
      </c>
      <c r="J954" s="39" t="str">
        <f aca="false">IF(I954="Duplicate","Remove",IF(H954="Mismatch","Exclude","Keep"))</f>
        <v>Keep</v>
      </c>
    </row>
    <row r="955" customFormat="false" ht="15" hidden="false" customHeight="false" outlineLevel="0" collapsed="false">
      <c r="A955" s="39" t="s">
        <v>1060</v>
      </c>
      <c r="B955" s="40" t="n">
        <v>45791</v>
      </c>
      <c r="C955" s="39" t="s">
        <v>104</v>
      </c>
      <c r="D955" s="39" t="n">
        <v>2</v>
      </c>
      <c r="E955" s="41" t="n">
        <v>14.81</v>
      </c>
      <c r="F955" s="39" t="s">
        <v>118</v>
      </c>
      <c r="G955" s="39" t="str">
        <f aca="false">UPPER(TRIM(C955))</f>
        <v>P015</v>
      </c>
      <c r="H955" s="39" t="str">
        <f aca="false">IF(ISNUMBER(MATCH(G955,Products!$A$5:$A$24,0)),"OK","Mismatch")</f>
        <v>OK</v>
      </c>
      <c r="I955" s="39" t="str">
        <f aca="false">IF(COUNTIF($A$5:A955,A955)&gt;1,"Duplicate","Unique")</f>
        <v>Unique</v>
      </c>
      <c r="J955" s="39" t="str">
        <f aca="false">IF(I955="Duplicate","Remove",IF(H955="Mismatch","Exclude","Keep"))</f>
        <v>Keep</v>
      </c>
    </row>
    <row r="956" customFormat="false" ht="15" hidden="false" customHeight="false" outlineLevel="0" collapsed="false">
      <c r="A956" s="39" t="s">
        <v>1061</v>
      </c>
      <c r="B956" s="40" t="n">
        <v>45791</v>
      </c>
      <c r="C956" s="39" t="s">
        <v>130</v>
      </c>
      <c r="D956" s="39" t="n">
        <v>2</v>
      </c>
      <c r="E956" s="41" t="n">
        <v>8.98</v>
      </c>
      <c r="F956" s="39" t="s">
        <v>105</v>
      </c>
      <c r="G956" s="39" t="str">
        <f aca="false">UPPER(TRIM(C956))</f>
        <v>P011</v>
      </c>
      <c r="H956" s="39" t="str">
        <f aca="false">IF(ISNUMBER(MATCH(G956,Products!$A$5:$A$24,0)),"OK","Mismatch")</f>
        <v>OK</v>
      </c>
      <c r="I956" s="39" t="str">
        <f aca="false">IF(COUNTIF($A$5:A956,A956)&gt;1,"Duplicate","Unique")</f>
        <v>Unique</v>
      </c>
      <c r="J956" s="39" t="str">
        <f aca="false">IF(I956="Duplicate","Remove",IF(H956="Mismatch","Exclude","Keep"))</f>
        <v>Keep</v>
      </c>
    </row>
    <row r="957" customFormat="false" ht="15" hidden="false" customHeight="false" outlineLevel="0" collapsed="false">
      <c r="A957" s="39" t="s">
        <v>1062</v>
      </c>
      <c r="B957" s="40" t="n">
        <v>45791</v>
      </c>
      <c r="C957" s="39" t="s">
        <v>183</v>
      </c>
      <c r="D957" s="39" t="n">
        <v>5</v>
      </c>
      <c r="E957" s="41" t="n">
        <v>176.19</v>
      </c>
      <c r="F957" s="39" t="s">
        <v>118</v>
      </c>
      <c r="G957" s="39" t="str">
        <f aca="false">UPPER(TRIM(C957))</f>
        <v>P007</v>
      </c>
      <c r="H957" s="39" t="str">
        <f aca="false">IF(ISNUMBER(MATCH(G957,Products!$A$5:$A$24,0)),"OK","Mismatch")</f>
        <v>OK</v>
      </c>
      <c r="I957" s="39" t="str">
        <f aca="false">IF(COUNTIF($A$5:A957,A957)&gt;1,"Duplicate","Unique")</f>
        <v>Unique</v>
      </c>
      <c r="J957" s="39" t="str">
        <f aca="false">IF(I957="Duplicate","Remove",IF(H957="Mismatch","Exclude","Keep"))</f>
        <v>Keep</v>
      </c>
    </row>
    <row r="958" customFormat="false" ht="15" hidden="false" customHeight="false" outlineLevel="0" collapsed="false">
      <c r="A958" s="39" t="s">
        <v>1063</v>
      </c>
      <c r="B958" s="40" t="n">
        <v>45791</v>
      </c>
      <c r="C958" s="39" t="s">
        <v>136</v>
      </c>
      <c r="D958" s="39" t="n">
        <v>3</v>
      </c>
      <c r="E958" s="41" t="n">
        <v>77.01</v>
      </c>
      <c r="F958" s="39" t="s">
        <v>118</v>
      </c>
      <c r="G958" s="39" t="str">
        <f aca="false">UPPER(TRIM(C958))</f>
        <v>P002</v>
      </c>
      <c r="H958" s="39" t="str">
        <f aca="false">IF(ISNUMBER(MATCH(G958,Products!$A$5:$A$24,0)),"OK","Mismatch")</f>
        <v>OK</v>
      </c>
      <c r="I958" s="39" t="str">
        <f aca="false">IF(COUNTIF($A$5:A958,A958)&gt;1,"Duplicate","Unique")</f>
        <v>Unique</v>
      </c>
      <c r="J958" s="39" t="str">
        <f aca="false">IF(I958="Duplicate","Remove",IF(H958="Mismatch","Exclude","Keep"))</f>
        <v>Keep</v>
      </c>
    </row>
    <row r="959" customFormat="false" ht="15" hidden="false" customHeight="false" outlineLevel="0" collapsed="false">
      <c r="A959" s="39" t="s">
        <v>1064</v>
      </c>
      <c r="B959" s="40" t="n">
        <v>45791</v>
      </c>
      <c r="C959" s="39" t="s">
        <v>114</v>
      </c>
      <c r="D959" s="39" t="n">
        <v>1</v>
      </c>
      <c r="E959" s="41" t="n">
        <v>5.58</v>
      </c>
      <c r="F959" s="39" t="s">
        <v>118</v>
      </c>
      <c r="G959" s="39" t="str">
        <f aca="false">UPPER(TRIM(C959))</f>
        <v>P012</v>
      </c>
      <c r="H959" s="39" t="str">
        <f aca="false">IF(ISNUMBER(MATCH(G959,Products!$A$5:$A$24,0)),"OK","Mismatch")</f>
        <v>OK</v>
      </c>
      <c r="I959" s="39" t="str">
        <f aca="false">IF(COUNTIF($A$5:A959,A959)&gt;1,"Duplicate","Unique")</f>
        <v>Unique</v>
      </c>
      <c r="J959" s="39" t="str">
        <f aca="false">IF(I959="Duplicate","Remove",IF(H959="Mismatch","Exclude","Keep"))</f>
        <v>Keep</v>
      </c>
    </row>
    <row r="960" customFormat="false" ht="15" hidden="false" customHeight="false" outlineLevel="0" collapsed="false">
      <c r="A960" s="39" t="s">
        <v>1065</v>
      </c>
      <c r="B960" s="40" t="n">
        <v>45791</v>
      </c>
      <c r="C960" s="39" t="s">
        <v>110</v>
      </c>
      <c r="D960" s="39" t="n">
        <v>2</v>
      </c>
      <c r="E960" s="41" t="n">
        <v>13.25</v>
      </c>
      <c r="F960" s="39" t="s">
        <v>108</v>
      </c>
      <c r="G960" s="39" t="str">
        <f aca="false">UPPER(TRIM(C960))</f>
        <v>P016</v>
      </c>
      <c r="H960" s="39" t="str">
        <f aca="false">IF(ISNUMBER(MATCH(G960,Products!$A$5:$A$24,0)),"OK","Mismatch")</f>
        <v>OK</v>
      </c>
      <c r="I960" s="39" t="str">
        <f aca="false">IF(COUNTIF($A$5:A960,A960)&gt;1,"Duplicate","Unique")</f>
        <v>Unique</v>
      </c>
      <c r="J960" s="39" t="str">
        <f aca="false">IF(I960="Duplicate","Remove",IF(H960="Mismatch","Exclude","Keep"))</f>
        <v>Keep</v>
      </c>
    </row>
    <row r="961" customFormat="false" ht="15" hidden="false" customHeight="false" outlineLevel="0" collapsed="false">
      <c r="A961" s="39" t="s">
        <v>1066</v>
      </c>
      <c r="B961" s="40" t="n">
        <v>45791</v>
      </c>
      <c r="C961" s="39" t="s">
        <v>121</v>
      </c>
      <c r="D961" s="39" t="n">
        <v>3</v>
      </c>
      <c r="E961" s="41" t="n">
        <v>109.79</v>
      </c>
      <c r="F961" s="39" t="s">
        <v>105</v>
      </c>
      <c r="G961" s="39" t="str">
        <f aca="false">UPPER(TRIM(C961))</f>
        <v>P018</v>
      </c>
      <c r="H961" s="39" t="str">
        <f aca="false">IF(ISNUMBER(MATCH(G961,Products!$A$5:$A$24,0)),"OK","Mismatch")</f>
        <v>OK</v>
      </c>
      <c r="I961" s="39" t="str">
        <f aca="false">IF(COUNTIF($A$5:A961,A961)&gt;1,"Duplicate","Unique")</f>
        <v>Unique</v>
      </c>
      <c r="J961" s="39" t="str">
        <f aca="false">IF(I961="Duplicate","Remove",IF(H961="Mismatch","Exclude","Keep"))</f>
        <v>Keep</v>
      </c>
    </row>
    <row r="962" customFormat="false" ht="15" hidden="false" customHeight="false" outlineLevel="0" collapsed="false">
      <c r="A962" s="39" t="s">
        <v>1067</v>
      </c>
      <c r="B962" s="40" t="n">
        <v>45792</v>
      </c>
      <c r="C962" s="39" t="s">
        <v>139</v>
      </c>
      <c r="D962" s="39" t="n">
        <v>3</v>
      </c>
      <c r="E962" s="41" t="n">
        <v>123.82</v>
      </c>
      <c r="F962" s="39" t="s">
        <v>105</v>
      </c>
      <c r="G962" s="39" t="str">
        <f aca="false">UPPER(TRIM(C962))</f>
        <v>P006</v>
      </c>
      <c r="H962" s="39" t="str">
        <f aca="false">IF(ISNUMBER(MATCH(G962,Products!$A$5:$A$24,0)),"OK","Mismatch")</f>
        <v>OK</v>
      </c>
      <c r="I962" s="39" t="str">
        <f aca="false">IF(COUNTIF($A$5:A962,A962)&gt;1,"Duplicate","Unique")</f>
        <v>Unique</v>
      </c>
      <c r="J962" s="39" t="str">
        <f aca="false">IF(I962="Duplicate","Remove",IF(H962="Mismatch","Exclude","Keep"))</f>
        <v>Keep</v>
      </c>
    </row>
    <row r="963" customFormat="false" ht="15" hidden="false" customHeight="false" outlineLevel="0" collapsed="false">
      <c r="A963" s="39" t="s">
        <v>1068</v>
      </c>
      <c r="B963" s="40" t="n">
        <v>45792</v>
      </c>
      <c r="C963" s="39" t="s">
        <v>130</v>
      </c>
      <c r="D963" s="39" t="n">
        <v>4</v>
      </c>
      <c r="E963" s="41" t="n">
        <v>8.41</v>
      </c>
      <c r="F963" s="39" t="s">
        <v>115</v>
      </c>
      <c r="G963" s="39" t="str">
        <f aca="false">UPPER(TRIM(C963))</f>
        <v>P011</v>
      </c>
      <c r="H963" s="39" t="str">
        <f aca="false">IF(ISNUMBER(MATCH(G963,Products!$A$5:$A$24,0)),"OK","Mismatch")</f>
        <v>OK</v>
      </c>
      <c r="I963" s="39" t="str">
        <f aca="false">IF(COUNTIF($A$5:A963,A963)&gt;1,"Duplicate","Unique")</f>
        <v>Unique</v>
      </c>
      <c r="J963" s="39" t="str">
        <f aca="false">IF(I963="Duplicate","Remove",IF(H963="Mismatch","Exclude","Keep"))</f>
        <v>Keep</v>
      </c>
    </row>
    <row r="964" customFormat="false" ht="15" hidden="false" customHeight="false" outlineLevel="0" collapsed="false">
      <c r="A964" s="39" t="s">
        <v>1069</v>
      </c>
      <c r="B964" s="40" t="n">
        <v>45792</v>
      </c>
      <c r="C964" s="39" t="s">
        <v>3159</v>
      </c>
      <c r="D964" s="39" t="n">
        <v>1</v>
      </c>
      <c r="E964" s="41" t="n">
        <v>174.99</v>
      </c>
      <c r="F964" s="39" t="s">
        <v>105</v>
      </c>
      <c r="G964" s="39" t="str">
        <f aca="false">UPPER(TRIM(C964))</f>
        <v>P010</v>
      </c>
      <c r="H964" s="39" t="str">
        <f aca="false">IF(ISNUMBER(MATCH(G964,Products!$A$5:$A$24,0)),"OK","Mismatch")</f>
        <v>OK</v>
      </c>
      <c r="I964" s="39" t="str">
        <f aca="false">IF(COUNTIF($A$5:A964,A964)&gt;1,"Duplicate","Unique")</f>
        <v>Unique</v>
      </c>
      <c r="J964" s="39" t="str">
        <f aca="false">IF(I964="Duplicate","Remove",IF(H964="Mismatch","Exclude","Keep"))</f>
        <v>Keep</v>
      </c>
    </row>
    <row r="965" customFormat="false" ht="15" hidden="false" customHeight="false" outlineLevel="0" collapsed="false">
      <c r="A965" s="39" t="s">
        <v>1070</v>
      </c>
      <c r="B965" s="40" t="n">
        <v>45792</v>
      </c>
      <c r="C965" s="39" t="s">
        <v>130</v>
      </c>
      <c r="D965" s="39" t="n">
        <v>4</v>
      </c>
      <c r="E965" s="41" t="n">
        <v>8.54</v>
      </c>
      <c r="F965" s="39" t="s">
        <v>115</v>
      </c>
      <c r="G965" s="39" t="str">
        <f aca="false">UPPER(TRIM(C965))</f>
        <v>P011</v>
      </c>
      <c r="H965" s="39" t="str">
        <f aca="false">IF(ISNUMBER(MATCH(G965,Products!$A$5:$A$24,0)),"OK","Mismatch")</f>
        <v>OK</v>
      </c>
      <c r="I965" s="39" t="str">
        <f aca="false">IF(COUNTIF($A$5:A965,A965)&gt;1,"Duplicate","Unique")</f>
        <v>Unique</v>
      </c>
      <c r="J965" s="39" t="str">
        <f aca="false">IF(I965="Duplicate","Remove",IF(H965="Mismatch","Exclude","Keep"))</f>
        <v>Keep</v>
      </c>
    </row>
    <row r="966" customFormat="false" ht="15" hidden="false" customHeight="false" outlineLevel="0" collapsed="false">
      <c r="A966" s="39" t="s">
        <v>1071</v>
      </c>
      <c r="B966" s="40" t="n">
        <v>45792</v>
      </c>
      <c r="C966" s="39" t="s">
        <v>136</v>
      </c>
      <c r="D966" s="39" t="n">
        <v>3</v>
      </c>
      <c r="E966" s="41" t="n">
        <v>75.68</v>
      </c>
      <c r="F966" s="39" t="s">
        <v>115</v>
      </c>
      <c r="G966" s="39" t="str">
        <f aca="false">UPPER(TRIM(C966))</f>
        <v>P002</v>
      </c>
      <c r="H966" s="39" t="str">
        <f aca="false">IF(ISNUMBER(MATCH(G966,Products!$A$5:$A$24,0)),"OK","Mismatch")</f>
        <v>OK</v>
      </c>
      <c r="I966" s="39" t="str">
        <f aca="false">IF(COUNTIF($A$5:A966,A966)&gt;1,"Duplicate","Unique")</f>
        <v>Unique</v>
      </c>
      <c r="J966" s="39" t="str">
        <f aca="false">IF(I966="Duplicate","Remove",IF(H966="Mismatch","Exclude","Keep"))</f>
        <v>Keep</v>
      </c>
    </row>
    <row r="967" customFormat="false" ht="15" hidden="false" customHeight="false" outlineLevel="0" collapsed="false">
      <c r="A967" s="39" t="s">
        <v>1072</v>
      </c>
      <c r="B967" s="40" t="n">
        <v>45792</v>
      </c>
      <c r="C967" s="39" t="s">
        <v>177</v>
      </c>
      <c r="D967" s="39" t="n">
        <v>1</v>
      </c>
      <c r="E967" s="41" t="n">
        <v>43.64</v>
      </c>
      <c r="F967" s="39" t="s">
        <v>108</v>
      </c>
      <c r="G967" s="39" t="str">
        <f aca="false">UPPER(TRIM(C967))</f>
        <v>P014</v>
      </c>
      <c r="H967" s="39" t="str">
        <f aca="false">IF(ISNUMBER(MATCH(G967,Products!$A$5:$A$24,0)),"OK","Mismatch")</f>
        <v>OK</v>
      </c>
      <c r="I967" s="39" t="str">
        <f aca="false">IF(COUNTIF($A$5:A967,A967)&gt;1,"Duplicate","Unique")</f>
        <v>Unique</v>
      </c>
      <c r="J967" s="39" t="str">
        <f aca="false">IF(I967="Duplicate","Remove",IF(H967="Mismatch","Exclude","Keep"))</f>
        <v>Keep</v>
      </c>
    </row>
    <row r="968" customFormat="false" ht="15" hidden="false" customHeight="false" outlineLevel="0" collapsed="false">
      <c r="A968" s="39" t="s">
        <v>1073</v>
      </c>
      <c r="B968" s="40" t="n">
        <v>45793</v>
      </c>
      <c r="C968" s="39" t="s">
        <v>112</v>
      </c>
      <c r="D968" s="39" t="n">
        <v>2</v>
      </c>
      <c r="E968" s="41" t="n">
        <v>53.75</v>
      </c>
      <c r="F968" s="39" t="s">
        <v>118</v>
      </c>
      <c r="G968" s="39" t="str">
        <f aca="false">UPPER(TRIM(C968))</f>
        <v>P005</v>
      </c>
      <c r="H968" s="39" t="str">
        <f aca="false">IF(ISNUMBER(MATCH(G968,Products!$A$5:$A$24,0)),"OK","Mismatch")</f>
        <v>OK</v>
      </c>
      <c r="I968" s="39" t="str">
        <f aca="false">IF(COUNTIF($A$5:A968,A968)&gt;1,"Duplicate","Unique")</f>
        <v>Unique</v>
      </c>
      <c r="J968" s="39" t="str">
        <f aca="false">IF(I968="Duplicate","Remove",IF(H968="Mismatch","Exclude","Keep"))</f>
        <v>Keep</v>
      </c>
    </row>
    <row r="969" customFormat="false" ht="15" hidden="false" customHeight="false" outlineLevel="0" collapsed="false">
      <c r="A969" s="39" t="s">
        <v>1074</v>
      </c>
      <c r="B969" s="40" t="n">
        <v>45793</v>
      </c>
      <c r="C969" s="39" t="s">
        <v>126</v>
      </c>
      <c r="D969" s="39" t="n">
        <v>2</v>
      </c>
      <c r="E969" s="41" t="n">
        <v>24.11</v>
      </c>
      <c r="F969" s="39" t="s">
        <v>118</v>
      </c>
      <c r="G969" s="39" t="str">
        <f aca="false">UPPER(TRIM(C969))</f>
        <v>P001</v>
      </c>
      <c r="H969" s="39" t="str">
        <f aca="false">IF(ISNUMBER(MATCH(G969,Products!$A$5:$A$24,0)),"OK","Mismatch")</f>
        <v>OK</v>
      </c>
      <c r="I969" s="39" t="str">
        <f aca="false">IF(COUNTIF($A$5:A969,A969)&gt;1,"Duplicate","Unique")</f>
        <v>Unique</v>
      </c>
      <c r="J969" s="39" t="str">
        <f aca="false">IF(I969="Duplicate","Remove",IF(H969="Mismatch","Exclude","Keep"))</f>
        <v>Keep</v>
      </c>
    </row>
    <row r="970" customFormat="false" ht="15" hidden="false" customHeight="false" outlineLevel="0" collapsed="false">
      <c r="A970" s="39" t="s">
        <v>1075</v>
      </c>
      <c r="B970" s="40" t="n">
        <v>45793</v>
      </c>
      <c r="C970" s="39" t="s">
        <v>110</v>
      </c>
      <c r="D970" s="39" t="n">
        <v>5</v>
      </c>
      <c r="E970" s="41" t="n">
        <v>13.25</v>
      </c>
      <c r="F970" s="39" t="s">
        <v>118</v>
      </c>
      <c r="G970" s="39" t="str">
        <f aca="false">UPPER(TRIM(C970))</f>
        <v>P016</v>
      </c>
      <c r="H970" s="39" t="str">
        <f aca="false">IF(ISNUMBER(MATCH(G970,Products!$A$5:$A$24,0)),"OK","Mismatch")</f>
        <v>OK</v>
      </c>
      <c r="I970" s="39" t="str">
        <f aca="false">IF(COUNTIF($A$5:A970,A970)&gt;1,"Duplicate","Unique")</f>
        <v>Unique</v>
      </c>
      <c r="J970" s="39" t="str">
        <f aca="false">IF(I970="Duplicate","Remove",IF(H970="Mismatch","Exclude","Keep"))</f>
        <v>Keep</v>
      </c>
    </row>
    <row r="971" customFormat="false" ht="15" hidden="false" customHeight="false" outlineLevel="0" collapsed="false">
      <c r="A971" s="39" t="s">
        <v>1076</v>
      </c>
      <c r="B971" s="40" t="n">
        <v>45793</v>
      </c>
      <c r="C971" s="39" t="s">
        <v>177</v>
      </c>
      <c r="D971" s="39" t="n">
        <v>2</v>
      </c>
      <c r="E971" s="41" t="n">
        <v>43.75</v>
      </c>
      <c r="F971" s="39" t="s">
        <v>105</v>
      </c>
      <c r="G971" s="39" t="str">
        <f aca="false">UPPER(TRIM(C971))</f>
        <v>P014</v>
      </c>
      <c r="H971" s="39" t="str">
        <f aca="false">IF(ISNUMBER(MATCH(G971,Products!$A$5:$A$24,0)),"OK","Mismatch")</f>
        <v>OK</v>
      </c>
      <c r="I971" s="39" t="str">
        <f aca="false">IF(COUNTIF($A$5:A971,A971)&gt;1,"Duplicate","Unique")</f>
        <v>Unique</v>
      </c>
      <c r="J971" s="39" t="str">
        <f aca="false">IF(I971="Duplicate","Remove",IF(H971="Mismatch","Exclude","Keep"))</f>
        <v>Keep</v>
      </c>
    </row>
    <row r="972" customFormat="false" ht="15" hidden="false" customHeight="false" outlineLevel="0" collapsed="false">
      <c r="A972" s="39" t="s">
        <v>1077</v>
      </c>
      <c r="B972" s="40" t="n">
        <v>45793</v>
      </c>
      <c r="C972" s="39" t="s">
        <v>110</v>
      </c>
      <c r="D972" s="39" t="n">
        <v>1</v>
      </c>
      <c r="E972" s="41" t="n">
        <v>12.98</v>
      </c>
      <c r="F972" s="39" t="s">
        <v>118</v>
      </c>
      <c r="G972" s="39" t="str">
        <f aca="false">UPPER(TRIM(C972))</f>
        <v>P016</v>
      </c>
      <c r="H972" s="39" t="str">
        <f aca="false">IF(ISNUMBER(MATCH(G972,Products!$A$5:$A$24,0)),"OK","Mismatch")</f>
        <v>OK</v>
      </c>
      <c r="I972" s="39" t="str">
        <f aca="false">IF(COUNTIF($A$5:A972,A972)&gt;1,"Duplicate","Unique")</f>
        <v>Unique</v>
      </c>
      <c r="J972" s="39" t="str">
        <f aca="false">IF(I972="Duplicate","Remove",IF(H972="Mismatch","Exclude","Keep"))</f>
        <v>Keep</v>
      </c>
    </row>
    <row r="973" customFormat="false" ht="15" hidden="false" customHeight="false" outlineLevel="0" collapsed="false">
      <c r="A973" s="39" t="s">
        <v>1078</v>
      </c>
      <c r="B973" s="40" t="n">
        <v>45793</v>
      </c>
      <c r="C973" s="39" t="s">
        <v>133</v>
      </c>
      <c r="D973" s="39" t="n">
        <v>2</v>
      </c>
      <c r="E973" s="41" t="n">
        <v>8.87</v>
      </c>
      <c r="F973" s="39" t="s">
        <v>118</v>
      </c>
      <c r="G973" s="39" t="str">
        <f aca="false">UPPER(TRIM(C973))</f>
        <v>P019</v>
      </c>
      <c r="H973" s="39" t="str">
        <f aca="false">IF(ISNUMBER(MATCH(G973,Products!$A$5:$A$24,0)),"OK","Mismatch")</f>
        <v>OK</v>
      </c>
      <c r="I973" s="39" t="str">
        <f aca="false">IF(COUNTIF($A$5:A973,A973)&gt;1,"Duplicate","Unique")</f>
        <v>Unique</v>
      </c>
      <c r="J973" s="39" t="str">
        <f aca="false">IF(I973="Duplicate","Remove",IF(H973="Mismatch","Exclude","Keep"))</f>
        <v>Keep</v>
      </c>
    </row>
    <row r="974" customFormat="false" ht="15" hidden="false" customHeight="false" outlineLevel="0" collapsed="false">
      <c r="A974" s="39" t="s">
        <v>1079</v>
      </c>
      <c r="B974" s="40" t="n">
        <v>45794</v>
      </c>
      <c r="C974" s="39" t="s">
        <v>305</v>
      </c>
      <c r="D974" s="39" t="n">
        <v>2</v>
      </c>
      <c r="E974" s="41" t="n">
        <v>336.23</v>
      </c>
      <c r="F974" s="39" t="s">
        <v>115</v>
      </c>
      <c r="G974" s="39" t="str">
        <f aca="false">UPPER(TRIM(C974))</f>
        <v>P008</v>
      </c>
      <c r="H974" s="39" t="str">
        <f aca="false">IF(ISNUMBER(MATCH(G974,Products!$A$5:$A$24,0)),"OK","Mismatch")</f>
        <v>OK</v>
      </c>
      <c r="I974" s="39" t="str">
        <f aca="false">IF(COUNTIF($A$5:A974,A974)&gt;1,"Duplicate","Unique")</f>
        <v>Unique</v>
      </c>
      <c r="J974" s="39" t="str">
        <f aca="false">IF(I974="Duplicate","Remove",IF(H974="Mismatch","Exclude","Keep"))</f>
        <v>Keep</v>
      </c>
    </row>
    <row r="975" customFormat="false" ht="15" hidden="false" customHeight="false" outlineLevel="0" collapsed="false">
      <c r="A975" s="39" t="s">
        <v>3160</v>
      </c>
      <c r="B975" s="40" t="n">
        <v>45794</v>
      </c>
      <c r="C975" s="39" t="s">
        <v>3161</v>
      </c>
      <c r="D975" s="39" t="n">
        <v>1</v>
      </c>
      <c r="E975" s="41" t="n">
        <v>15.99</v>
      </c>
      <c r="F975" s="39" t="s">
        <v>118</v>
      </c>
      <c r="G975" s="39" t="str">
        <f aca="false">UPPER(TRIM(C975))</f>
        <v>P901</v>
      </c>
      <c r="H975" s="39" t="str">
        <f aca="false">IF(ISNUMBER(MATCH(G975,Products!$A$5:$A$24,0)),"OK","Mismatch")</f>
        <v>Mismatch</v>
      </c>
      <c r="I975" s="39" t="str">
        <f aca="false">IF(COUNTIF($A$5:A975,A975)&gt;1,"Duplicate","Unique")</f>
        <v>Unique</v>
      </c>
      <c r="J975" s="39" t="str">
        <f aca="false">IF(I975="Duplicate","Remove",IF(H975="Mismatch","Exclude","Keep"))</f>
        <v>Exclude</v>
      </c>
    </row>
    <row r="976" customFormat="false" ht="15" hidden="false" customHeight="false" outlineLevel="0" collapsed="false">
      <c r="A976" s="39" t="s">
        <v>1080</v>
      </c>
      <c r="B976" s="40" t="n">
        <v>45794</v>
      </c>
      <c r="C976" s="39" t="s">
        <v>153</v>
      </c>
      <c r="D976" s="39" t="n">
        <v>1</v>
      </c>
      <c r="E976" s="41" t="n">
        <v>167.57</v>
      </c>
      <c r="F976" s="39" t="s">
        <v>105</v>
      </c>
      <c r="G976" s="39" t="str">
        <f aca="false">UPPER(TRIM(C976))</f>
        <v>P010</v>
      </c>
      <c r="H976" s="39" t="str">
        <f aca="false">IF(ISNUMBER(MATCH(G976,Products!$A$5:$A$24,0)),"OK","Mismatch")</f>
        <v>OK</v>
      </c>
      <c r="I976" s="39" t="str">
        <f aca="false">IF(COUNTIF($A$5:A976,A976)&gt;1,"Duplicate","Unique")</f>
        <v>Unique</v>
      </c>
      <c r="J976" s="39" t="str">
        <f aca="false">IF(I976="Duplicate","Remove",IF(H976="Mismatch","Exclude","Keep"))</f>
        <v>Keep</v>
      </c>
    </row>
    <row r="977" customFormat="false" ht="15" hidden="false" customHeight="false" outlineLevel="0" collapsed="false">
      <c r="A977" s="39" t="s">
        <v>1081</v>
      </c>
      <c r="B977" s="40" t="n">
        <v>45794</v>
      </c>
      <c r="C977" s="39" t="s">
        <v>153</v>
      </c>
      <c r="D977" s="39" t="n">
        <v>2</v>
      </c>
      <c r="E977" s="41" t="n">
        <v>174.76</v>
      </c>
      <c r="F977" s="39" t="s">
        <v>118</v>
      </c>
      <c r="G977" s="39" t="str">
        <f aca="false">UPPER(TRIM(C977))</f>
        <v>P010</v>
      </c>
      <c r="H977" s="39" t="str">
        <f aca="false">IF(ISNUMBER(MATCH(G977,Products!$A$5:$A$24,0)),"OK","Mismatch")</f>
        <v>OK</v>
      </c>
      <c r="I977" s="39" t="str">
        <f aca="false">IF(COUNTIF($A$5:A977,A977)&gt;1,"Duplicate","Unique")</f>
        <v>Unique</v>
      </c>
      <c r="J977" s="39" t="str">
        <f aca="false">IF(I977="Duplicate","Remove",IF(H977="Mismatch","Exclude","Keep"))</f>
        <v>Keep</v>
      </c>
    </row>
    <row r="978" customFormat="false" ht="15" hidden="false" customHeight="false" outlineLevel="0" collapsed="false">
      <c r="A978" s="39" t="s">
        <v>1082</v>
      </c>
      <c r="B978" s="40" t="n">
        <v>45794</v>
      </c>
      <c r="C978" s="39" t="s">
        <v>139</v>
      </c>
      <c r="D978" s="39" t="n">
        <v>1</v>
      </c>
      <c r="E978" s="41" t="n">
        <v>125.66</v>
      </c>
      <c r="F978" s="39" t="s">
        <v>108</v>
      </c>
      <c r="G978" s="39" t="str">
        <f aca="false">UPPER(TRIM(C978))</f>
        <v>P006</v>
      </c>
      <c r="H978" s="39" t="str">
        <f aca="false">IF(ISNUMBER(MATCH(G978,Products!$A$5:$A$24,0)),"OK","Mismatch")</f>
        <v>OK</v>
      </c>
      <c r="I978" s="39" t="str">
        <f aca="false">IF(COUNTIF($A$5:A978,A978)&gt;1,"Duplicate","Unique")</f>
        <v>Unique</v>
      </c>
      <c r="J978" s="39" t="str">
        <f aca="false">IF(I978="Duplicate","Remove",IF(H978="Mismatch","Exclude","Keep"))</f>
        <v>Keep</v>
      </c>
    </row>
    <row r="979" customFormat="false" ht="15" hidden="false" customHeight="false" outlineLevel="0" collapsed="false">
      <c r="A979" s="39" t="s">
        <v>1083</v>
      </c>
      <c r="B979" s="40" t="n">
        <v>45794</v>
      </c>
      <c r="C979" s="39" t="s">
        <v>107</v>
      </c>
      <c r="D979" s="39" t="n">
        <v>1</v>
      </c>
      <c r="E979" s="41" t="n">
        <v>34.84</v>
      </c>
      <c r="F979" s="39" t="s">
        <v>108</v>
      </c>
      <c r="G979" s="39" t="str">
        <f aca="false">UPPER(TRIM(C979))</f>
        <v>P003</v>
      </c>
      <c r="H979" s="39" t="str">
        <f aca="false">IF(ISNUMBER(MATCH(G979,Products!$A$5:$A$24,0)),"OK","Mismatch")</f>
        <v>OK</v>
      </c>
      <c r="I979" s="39" t="str">
        <f aca="false">IF(COUNTIF($A$5:A979,A979)&gt;1,"Duplicate","Unique")</f>
        <v>Unique</v>
      </c>
      <c r="J979" s="39" t="str">
        <f aca="false">IF(I979="Duplicate","Remove",IF(H979="Mismatch","Exclude","Keep"))</f>
        <v>Keep</v>
      </c>
    </row>
    <row r="980" customFormat="false" ht="15" hidden="false" customHeight="false" outlineLevel="0" collapsed="false">
      <c r="A980" s="39" t="s">
        <v>3162</v>
      </c>
      <c r="B980" s="40" t="n">
        <v>45794</v>
      </c>
      <c r="C980" s="39" t="s">
        <v>3163</v>
      </c>
      <c r="D980" s="39" t="n">
        <v>1</v>
      </c>
      <c r="E980" s="41" t="n">
        <v>13.51</v>
      </c>
      <c r="F980" s="39" t="s">
        <v>115</v>
      </c>
      <c r="G980" s="39" t="str">
        <f aca="false">UPPER(TRIM(C980))</f>
        <v>P906</v>
      </c>
      <c r="H980" s="39" t="str">
        <f aca="false">IF(ISNUMBER(MATCH(G980,Products!$A$5:$A$24,0)),"OK","Mismatch")</f>
        <v>Mismatch</v>
      </c>
      <c r="I980" s="39" t="str">
        <f aca="false">IF(COUNTIF($A$5:A980,A980)&gt;1,"Duplicate","Unique")</f>
        <v>Unique</v>
      </c>
      <c r="J980" s="39" t="str">
        <f aca="false">IF(I980="Duplicate","Remove",IF(H980="Mismatch","Exclude","Keep"))</f>
        <v>Exclude</v>
      </c>
    </row>
    <row r="981" customFormat="false" ht="15" hidden="false" customHeight="false" outlineLevel="0" collapsed="false">
      <c r="A981" s="39" t="s">
        <v>1084</v>
      </c>
      <c r="B981" s="40" t="n">
        <v>45794</v>
      </c>
      <c r="C981" s="39" t="s">
        <v>117</v>
      </c>
      <c r="D981" s="39" t="n">
        <v>1</v>
      </c>
      <c r="E981" s="41" t="n">
        <v>29.93</v>
      </c>
      <c r="F981" s="39" t="s">
        <v>115</v>
      </c>
      <c r="G981" s="39" t="str">
        <f aca="false">UPPER(TRIM(C981))</f>
        <v>P009</v>
      </c>
      <c r="H981" s="39" t="str">
        <f aca="false">IF(ISNUMBER(MATCH(G981,Products!$A$5:$A$24,0)),"OK","Mismatch")</f>
        <v>OK</v>
      </c>
      <c r="I981" s="39" t="str">
        <f aca="false">IF(COUNTIF($A$5:A981,A981)&gt;1,"Duplicate","Unique")</f>
        <v>Unique</v>
      </c>
      <c r="J981" s="39" t="str">
        <f aca="false">IF(I981="Duplicate","Remove",IF(H981="Mismatch","Exclude","Keep"))</f>
        <v>Keep</v>
      </c>
    </row>
    <row r="982" customFormat="false" ht="15" hidden="false" customHeight="false" outlineLevel="0" collapsed="false">
      <c r="A982" s="39" t="s">
        <v>1085</v>
      </c>
      <c r="B982" s="40" t="n">
        <v>45794</v>
      </c>
      <c r="C982" s="39" t="s">
        <v>104</v>
      </c>
      <c r="D982" s="39" t="n">
        <v>4</v>
      </c>
      <c r="E982" s="41" t="n">
        <v>15.38</v>
      </c>
      <c r="F982" s="39" t="s">
        <v>108</v>
      </c>
      <c r="G982" s="39" t="str">
        <f aca="false">UPPER(TRIM(C982))</f>
        <v>P015</v>
      </c>
      <c r="H982" s="39" t="str">
        <f aca="false">IF(ISNUMBER(MATCH(G982,Products!$A$5:$A$24,0)),"OK","Mismatch")</f>
        <v>OK</v>
      </c>
      <c r="I982" s="39" t="str">
        <f aca="false">IF(COUNTIF($A$5:A982,A982)&gt;1,"Duplicate","Unique")</f>
        <v>Unique</v>
      </c>
      <c r="J982" s="39" t="str">
        <f aca="false">IF(I982="Duplicate","Remove",IF(H982="Mismatch","Exclude","Keep"))</f>
        <v>Keep</v>
      </c>
    </row>
    <row r="983" customFormat="false" ht="15" hidden="false" customHeight="false" outlineLevel="0" collapsed="false">
      <c r="A983" s="39" t="s">
        <v>1086</v>
      </c>
      <c r="B983" s="40" t="n">
        <v>45794</v>
      </c>
      <c r="C983" s="39" t="s">
        <v>112</v>
      </c>
      <c r="D983" s="39" t="n">
        <v>4</v>
      </c>
      <c r="E983" s="41" t="n">
        <v>54.84</v>
      </c>
      <c r="F983" s="39" t="s">
        <v>105</v>
      </c>
      <c r="G983" s="39" t="str">
        <f aca="false">UPPER(TRIM(C983))</f>
        <v>P005</v>
      </c>
      <c r="H983" s="39" t="str">
        <f aca="false">IF(ISNUMBER(MATCH(G983,Products!$A$5:$A$24,0)),"OK","Mismatch")</f>
        <v>OK</v>
      </c>
      <c r="I983" s="39" t="str">
        <f aca="false">IF(COUNTIF($A$5:A983,A983)&gt;1,"Duplicate","Unique")</f>
        <v>Unique</v>
      </c>
      <c r="J983" s="39" t="str">
        <f aca="false">IF(I983="Duplicate","Remove",IF(H983="Mismatch","Exclude","Keep"))</f>
        <v>Keep</v>
      </c>
    </row>
    <row r="984" customFormat="false" ht="15" hidden="false" customHeight="false" outlineLevel="0" collapsed="false">
      <c r="A984" s="39" t="s">
        <v>1087</v>
      </c>
      <c r="B984" s="40" t="n">
        <v>45794</v>
      </c>
      <c r="C984" s="39" t="s">
        <v>114</v>
      </c>
      <c r="D984" s="39" t="n">
        <v>3</v>
      </c>
      <c r="E984" s="41" t="n">
        <v>5.75</v>
      </c>
      <c r="F984" s="39" t="s">
        <v>108</v>
      </c>
      <c r="G984" s="39" t="str">
        <f aca="false">UPPER(TRIM(C984))</f>
        <v>P012</v>
      </c>
      <c r="H984" s="39" t="str">
        <f aca="false">IF(ISNUMBER(MATCH(G984,Products!$A$5:$A$24,0)),"OK","Mismatch")</f>
        <v>OK</v>
      </c>
      <c r="I984" s="39" t="str">
        <f aca="false">IF(COUNTIF($A$5:A984,A984)&gt;1,"Duplicate","Unique")</f>
        <v>Unique</v>
      </c>
      <c r="J984" s="39" t="str">
        <f aca="false">IF(I984="Duplicate","Remove",IF(H984="Mismatch","Exclude","Keep"))</f>
        <v>Keep</v>
      </c>
    </row>
    <row r="985" customFormat="false" ht="15" hidden="false" customHeight="false" outlineLevel="0" collapsed="false">
      <c r="A985" s="39" t="s">
        <v>1088</v>
      </c>
      <c r="B985" s="40" t="n">
        <v>45794</v>
      </c>
      <c r="C985" s="39" t="s">
        <v>126</v>
      </c>
      <c r="D985" s="39" t="n">
        <v>6</v>
      </c>
      <c r="E985" s="41" t="n">
        <v>24.28</v>
      </c>
      <c r="F985" s="39" t="s">
        <v>118</v>
      </c>
      <c r="G985" s="39" t="str">
        <f aca="false">UPPER(TRIM(C985))</f>
        <v>P001</v>
      </c>
      <c r="H985" s="39" t="str">
        <f aca="false">IF(ISNUMBER(MATCH(G985,Products!$A$5:$A$24,0)),"OK","Mismatch")</f>
        <v>OK</v>
      </c>
      <c r="I985" s="39" t="str">
        <f aca="false">IF(COUNTIF($A$5:A985,A985)&gt;1,"Duplicate","Unique")</f>
        <v>Unique</v>
      </c>
      <c r="J985" s="39" t="str">
        <f aca="false">IF(I985="Duplicate","Remove",IF(H985="Mismatch","Exclude","Keep"))</f>
        <v>Keep</v>
      </c>
    </row>
    <row r="986" customFormat="false" ht="15" hidden="false" customHeight="false" outlineLevel="0" collapsed="false">
      <c r="A986" s="39" t="s">
        <v>1089</v>
      </c>
      <c r="B986" s="40" t="n">
        <v>45795</v>
      </c>
      <c r="C986" s="39" t="s">
        <v>107</v>
      </c>
      <c r="D986" s="39" t="n">
        <v>1</v>
      </c>
      <c r="E986" s="41" t="n">
        <v>33.91</v>
      </c>
      <c r="F986" s="39" t="s">
        <v>108</v>
      </c>
      <c r="G986" s="39" t="str">
        <f aca="false">UPPER(TRIM(C986))</f>
        <v>P003</v>
      </c>
      <c r="H986" s="39" t="str">
        <f aca="false">IF(ISNUMBER(MATCH(G986,Products!$A$5:$A$24,0)),"OK","Mismatch")</f>
        <v>OK</v>
      </c>
      <c r="I986" s="39" t="str">
        <f aca="false">IF(COUNTIF($A$5:A986,A986)&gt;1,"Duplicate","Unique")</f>
        <v>Unique</v>
      </c>
      <c r="J986" s="39" t="str">
        <f aca="false">IF(I986="Duplicate","Remove",IF(H986="Mismatch","Exclude","Keep"))</f>
        <v>Keep</v>
      </c>
    </row>
    <row r="987" customFormat="false" ht="15" hidden="false" customHeight="false" outlineLevel="0" collapsed="false">
      <c r="A987" s="39" t="s">
        <v>1090</v>
      </c>
      <c r="B987" s="40" t="n">
        <v>45795</v>
      </c>
      <c r="C987" s="39" t="s">
        <v>126</v>
      </c>
      <c r="D987" s="39" t="n">
        <v>5</v>
      </c>
      <c r="E987" s="41" t="n">
        <v>23.06</v>
      </c>
      <c r="F987" s="39" t="s">
        <v>118</v>
      </c>
      <c r="G987" s="39" t="str">
        <f aca="false">UPPER(TRIM(C987))</f>
        <v>P001</v>
      </c>
      <c r="H987" s="39" t="str">
        <f aca="false">IF(ISNUMBER(MATCH(G987,Products!$A$5:$A$24,0)),"OK","Mismatch")</f>
        <v>OK</v>
      </c>
      <c r="I987" s="39" t="str">
        <f aca="false">IF(COUNTIF($A$5:A987,A987)&gt;1,"Duplicate","Unique")</f>
        <v>Unique</v>
      </c>
      <c r="J987" s="39" t="str">
        <f aca="false">IF(I987="Duplicate","Remove",IF(H987="Mismatch","Exclude","Keep"))</f>
        <v>Keep</v>
      </c>
    </row>
    <row r="988" customFormat="false" ht="15" hidden="false" customHeight="false" outlineLevel="0" collapsed="false">
      <c r="A988" s="39" t="s">
        <v>1091</v>
      </c>
      <c r="B988" s="40" t="n">
        <v>45795</v>
      </c>
      <c r="C988" s="39" t="s">
        <v>133</v>
      </c>
      <c r="D988" s="39" t="n">
        <v>2</v>
      </c>
      <c r="E988" s="41" t="n">
        <v>8.32</v>
      </c>
      <c r="F988" s="39" t="s">
        <v>118</v>
      </c>
      <c r="G988" s="39" t="str">
        <f aca="false">UPPER(TRIM(C988))</f>
        <v>P019</v>
      </c>
      <c r="H988" s="39" t="str">
        <f aca="false">IF(ISNUMBER(MATCH(G988,Products!$A$5:$A$24,0)),"OK","Mismatch")</f>
        <v>OK</v>
      </c>
      <c r="I988" s="39" t="str">
        <f aca="false">IF(COUNTIF($A$5:A988,A988)&gt;1,"Duplicate","Unique")</f>
        <v>Unique</v>
      </c>
      <c r="J988" s="39" t="str">
        <f aca="false">IF(I988="Duplicate","Remove",IF(H988="Mismatch","Exclude","Keep"))</f>
        <v>Keep</v>
      </c>
    </row>
    <row r="989" customFormat="false" ht="15" hidden="false" customHeight="false" outlineLevel="0" collapsed="false">
      <c r="A989" s="39" t="s">
        <v>1091</v>
      </c>
      <c r="B989" s="40" t="n">
        <v>45795</v>
      </c>
      <c r="C989" s="39" t="s">
        <v>133</v>
      </c>
      <c r="D989" s="39" t="n">
        <v>2</v>
      </c>
      <c r="E989" s="41" t="n">
        <v>8.32</v>
      </c>
      <c r="F989" s="39" t="s">
        <v>118</v>
      </c>
      <c r="G989" s="39" t="str">
        <f aca="false">UPPER(TRIM(C989))</f>
        <v>P019</v>
      </c>
      <c r="H989" s="39" t="str">
        <f aca="false">IF(ISNUMBER(MATCH(G989,Products!$A$5:$A$24,0)),"OK","Mismatch")</f>
        <v>OK</v>
      </c>
      <c r="I989" s="39" t="str">
        <f aca="false">IF(COUNTIF($A$5:A989,A989)&gt;1,"Duplicate","Unique")</f>
        <v>Duplicate</v>
      </c>
      <c r="J989" s="39" t="str">
        <f aca="false">IF(I989="Duplicate","Remove",IF(H989="Mismatch","Exclude","Keep"))</f>
        <v>Remove</v>
      </c>
    </row>
    <row r="990" customFormat="false" ht="15" hidden="false" customHeight="false" outlineLevel="0" collapsed="false">
      <c r="A990" s="39" t="s">
        <v>1092</v>
      </c>
      <c r="B990" s="40" t="n">
        <v>45795</v>
      </c>
      <c r="C990" s="39" t="s">
        <v>136</v>
      </c>
      <c r="D990" s="39" t="n">
        <v>3</v>
      </c>
      <c r="E990" s="41" t="n">
        <v>78.47</v>
      </c>
      <c r="F990" s="39" t="s">
        <v>108</v>
      </c>
      <c r="G990" s="39" t="str">
        <f aca="false">UPPER(TRIM(C990))</f>
        <v>P002</v>
      </c>
      <c r="H990" s="39" t="str">
        <f aca="false">IF(ISNUMBER(MATCH(G990,Products!$A$5:$A$24,0)),"OK","Mismatch")</f>
        <v>OK</v>
      </c>
      <c r="I990" s="39" t="str">
        <f aca="false">IF(COUNTIF($A$5:A990,A990)&gt;1,"Duplicate","Unique")</f>
        <v>Unique</v>
      </c>
      <c r="J990" s="39" t="str">
        <f aca="false">IF(I990="Duplicate","Remove",IF(H990="Mismatch","Exclude","Keep"))</f>
        <v>Keep</v>
      </c>
    </row>
    <row r="991" customFormat="false" ht="15" hidden="false" customHeight="false" outlineLevel="0" collapsed="false">
      <c r="A991" s="39" t="s">
        <v>1093</v>
      </c>
      <c r="B991" s="40" t="n">
        <v>45795</v>
      </c>
      <c r="C991" s="39" t="s">
        <v>133</v>
      </c>
      <c r="D991" s="39" t="n">
        <v>2</v>
      </c>
      <c r="E991" s="41" t="n">
        <v>8.91</v>
      </c>
      <c r="F991" s="39" t="s">
        <v>105</v>
      </c>
      <c r="G991" s="39" t="str">
        <f aca="false">UPPER(TRIM(C991))</f>
        <v>P019</v>
      </c>
      <c r="H991" s="39" t="str">
        <f aca="false">IF(ISNUMBER(MATCH(G991,Products!$A$5:$A$24,0)),"OK","Mismatch")</f>
        <v>OK</v>
      </c>
      <c r="I991" s="39" t="str">
        <f aca="false">IF(COUNTIF($A$5:A991,A991)&gt;1,"Duplicate","Unique")</f>
        <v>Unique</v>
      </c>
      <c r="J991" s="39" t="str">
        <f aca="false">IF(I991="Duplicate","Remove",IF(H991="Mismatch","Exclude","Keep"))</f>
        <v>Keep</v>
      </c>
    </row>
    <row r="992" customFormat="false" ht="15" hidden="false" customHeight="false" outlineLevel="0" collapsed="false">
      <c r="A992" s="39" t="s">
        <v>1094</v>
      </c>
      <c r="B992" s="40" t="n">
        <v>45795</v>
      </c>
      <c r="C992" s="39" t="s">
        <v>130</v>
      </c>
      <c r="D992" s="39" t="n">
        <v>1</v>
      </c>
      <c r="E992" s="41" t="n">
        <v>8.61</v>
      </c>
      <c r="F992" s="39" t="s">
        <v>108</v>
      </c>
      <c r="G992" s="39" t="str">
        <f aca="false">UPPER(TRIM(C992))</f>
        <v>P011</v>
      </c>
      <c r="H992" s="39" t="str">
        <f aca="false">IF(ISNUMBER(MATCH(G992,Products!$A$5:$A$24,0)),"OK","Mismatch")</f>
        <v>OK</v>
      </c>
      <c r="I992" s="39" t="str">
        <f aca="false">IF(COUNTIF($A$5:A992,A992)&gt;1,"Duplicate","Unique")</f>
        <v>Unique</v>
      </c>
      <c r="J992" s="39" t="str">
        <f aca="false">IF(I992="Duplicate","Remove",IF(H992="Mismatch","Exclude","Keep"))</f>
        <v>Keep</v>
      </c>
    </row>
    <row r="993" customFormat="false" ht="15" hidden="false" customHeight="false" outlineLevel="0" collapsed="false">
      <c r="A993" s="39" t="s">
        <v>1095</v>
      </c>
      <c r="B993" s="40" t="n">
        <v>45795</v>
      </c>
      <c r="C993" s="39" t="s">
        <v>126</v>
      </c>
      <c r="D993" s="39" t="n">
        <v>4</v>
      </c>
      <c r="E993" s="41" t="n">
        <v>24.39</v>
      </c>
      <c r="F993" s="39" t="s">
        <v>115</v>
      </c>
      <c r="G993" s="39" t="str">
        <f aca="false">UPPER(TRIM(C993))</f>
        <v>P001</v>
      </c>
      <c r="H993" s="39" t="str">
        <f aca="false">IF(ISNUMBER(MATCH(G993,Products!$A$5:$A$24,0)),"OK","Mismatch")</f>
        <v>OK</v>
      </c>
      <c r="I993" s="39" t="str">
        <f aca="false">IF(COUNTIF($A$5:A993,A993)&gt;1,"Duplicate","Unique")</f>
        <v>Unique</v>
      </c>
      <c r="J993" s="39" t="str">
        <f aca="false">IF(I993="Duplicate","Remove",IF(H993="Mismatch","Exclude","Keep"))</f>
        <v>Keep</v>
      </c>
    </row>
    <row r="994" customFormat="false" ht="15" hidden="false" customHeight="false" outlineLevel="0" collapsed="false">
      <c r="A994" s="39" t="s">
        <v>1096</v>
      </c>
      <c r="B994" s="40" t="n">
        <v>45795</v>
      </c>
      <c r="C994" s="39" t="s">
        <v>130</v>
      </c>
      <c r="D994" s="39" t="n">
        <v>2</v>
      </c>
      <c r="E994" s="41" t="n">
        <v>8.64</v>
      </c>
      <c r="F994" s="39" t="s">
        <v>108</v>
      </c>
      <c r="G994" s="39" t="str">
        <f aca="false">UPPER(TRIM(C994))</f>
        <v>P011</v>
      </c>
      <c r="H994" s="39" t="str">
        <f aca="false">IF(ISNUMBER(MATCH(G994,Products!$A$5:$A$24,0)),"OK","Mismatch")</f>
        <v>OK</v>
      </c>
      <c r="I994" s="39" t="str">
        <f aca="false">IF(COUNTIF($A$5:A994,A994)&gt;1,"Duplicate","Unique")</f>
        <v>Unique</v>
      </c>
      <c r="J994" s="39" t="str">
        <f aca="false">IF(I994="Duplicate","Remove",IF(H994="Mismatch","Exclude","Keep"))</f>
        <v>Keep</v>
      </c>
    </row>
    <row r="995" customFormat="false" ht="15" hidden="false" customHeight="false" outlineLevel="0" collapsed="false">
      <c r="A995" s="39" t="s">
        <v>1097</v>
      </c>
      <c r="B995" s="40" t="n">
        <v>45795</v>
      </c>
      <c r="C995" s="39" t="s">
        <v>112</v>
      </c>
      <c r="D995" s="39" t="n">
        <v>2</v>
      </c>
      <c r="E995" s="41" t="n">
        <v>53.06</v>
      </c>
      <c r="F995" s="39" t="s">
        <v>108</v>
      </c>
      <c r="G995" s="39" t="str">
        <f aca="false">UPPER(TRIM(C995))</f>
        <v>P005</v>
      </c>
      <c r="H995" s="39" t="str">
        <f aca="false">IF(ISNUMBER(MATCH(G995,Products!$A$5:$A$24,0)),"OK","Mismatch")</f>
        <v>OK</v>
      </c>
      <c r="I995" s="39" t="str">
        <f aca="false">IF(COUNTIF($A$5:A995,A995)&gt;1,"Duplicate","Unique")</f>
        <v>Unique</v>
      </c>
      <c r="J995" s="39" t="str">
        <f aca="false">IF(I995="Duplicate","Remove",IF(H995="Mismatch","Exclude","Keep"))</f>
        <v>Keep</v>
      </c>
    </row>
    <row r="996" customFormat="false" ht="15" hidden="false" customHeight="false" outlineLevel="0" collapsed="false">
      <c r="A996" s="39" t="s">
        <v>1098</v>
      </c>
      <c r="B996" s="40" t="n">
        <v>45795</v>
      </c>
      <c r="C996" s="39" t="s">
        <v>133</v>
      </c>
      <c r="D996" s="39" t="n">
        <v>3</v>
      </c>
      <c r="E996" s="41" t="n">
        <v>8.54</v>
      </c>
      <c r="F996" s="39" t="s">
        <v>108</v>
      </c>
      <c r="G996" s="39" t="str">
        <f aca="false">UPPER(TRIM(C996))</f>
        <v>P019</v>
      </c>
      <c r="H996" s="39" t="str">
        <f aca="false">IF(ISNUMBER(MATCH(G996,Products!$A$5:$A$24,0)),"OK","Mismatch")</f>
        <v>OK</v>
      </c>
      <c r="I996" s="39" t="str">
        <f aca="false">IF(COUNTIF($A$5:A996,A996)&gt;1,"Duplicate","Unique")</f>
        <v>Unique</v>
      </c>
      <c r="J996" s="39" t="str">
        <f aca="false">IF(I996="Duplicate","Remove",IF(H996="Mismatch","Exclude","Keep"))</f>
        <v>Keep</v>
      </c>
    </row>
    <row r="997" customFormat="false" ht="15" hidden="false" customHeight="false" outlineLevel="0" collapsed="false">
      <c r="A997" s="39" t="s">
        <v>1099</v>
      </c>
      <c r="B997" s="40" t="n">
        <v>45795</v>
      </c>
      <c r="C997" s="39" t="s">
        <v>107</v>
      </c>
      <c r="D997" s="39" t="n">
        <v>3</v>
      </c>
      <c r="E997" s="41" t="n">
        <v>32.27</v>
      </c>
      <c r="F997" s="39" t="s">
        <v>105</v>
      </c>
      <c r="G997" s="39" t="str">
        <f aca="false">UPPER(TRIM(C997))</f>
        <v>P003</v>
      </c>
      <c r="H997" s="39" t="str">
        <f aca="false">IF(ISNUMBER(MATCH(G997,Products!$A$5:$A$24,0)),"OK","Mismatch")</f>
        <v>OK</v>
      </c>
      <c r="I997" s="39" t="str">
        <f aca="false">IF(COUNTIF($A$5:A997,A997)&gt;1,"Duplicate","Unique")</f>
        <v>Unique</v>
      </c>
      <c r="J997" s="39" t="str">
        <f aca="false">IF(I997="Duplicate","Remove",IF(H997="Mismatch","Exclude","Keep"))</f>
        <v>Keep</v>
      </c>
    </row>
    <row r="998" customFormat="false" ht="15" hidden="false" customHeight="false" outlineLevel="0" collapsed="false">
      <c r="A998" s="39" t="s">
        <v>1100</v>
      </c>
      <c r="B998" s="40" t="n">
        <v>45795</v>
      </c>
      <c r="C998" s="39" t="s">
        <v>126</v>
      </c>
      <c r="D998" s="39" t="n">
        <v>1</v>
      </c>
      <c r="E998" s="41" t="n">
        <v>24.24</v>
      </c>
      <c r="F998" s="39" t="s">
        <v>118</v>
      </c>
      <c r="G998" s="39" t="str">
        <f aca="false">UPPER(TRIM(C998))</f>
        <v>P001</v>
      </c>
      <c r="H998" s="39" t="str">
        <f aca="false">IF(ISNUMBER(MATCH(G998,Products!$A$5:$A$24,0)),"OK","Mismatch")</f>
        <v>OK</v>
      </c>
      <c r="I998" s="39" t="str">
        <f aca="false">IF(COUNTIF($A$5:A998,A998)&gt;1,"Duplicate","Unique")</f>
        <v>Unique</v>
      </c>
      <c r="J998" s="39" t="str">
        <f aca="false">IF(I998="Duplicate","Remove",IF(H998="Mismatch","Exclude","Keep"))</f>
        <v>Keep</v>
      </c>
    </row>
    <row r="999" customFormat="false" ht="15" hidden="false" customHeight="false" outlineLevel="0" collapsed="false">
      <c r="A999" s="39" t="s">
        <v>1101</v>
      </c>
      <c r="B999" s="40" t="n">
        <v>45796</v>
      </c>
      <c r="C999" s="39" t="s">
        <v>139</v>
      </c>
      <c r="D999" s="39" t="n">
        <v>1</v>
      </c>
      <c r="E999" s="41" t="n">
        <v>122.22</v>
      </c>
      <c r="F999" s="39" t="s">
        <v>115</v>
      </c>
      <c r="G999" s="39" t="str">
        <f aca="false">UPPER(TRIM(C999))</f>
        <v>P006</v>
      </c>
      <c r="H999" s="39" t="str">
        <f aca="false">IF(ISNUMBER(MATCH(G999,Products!$A$5:$A$24,0)),"OK","Mismatch")</f>
        <v>OK</v>
      </c>
      <c r="I999" s="39" t="str">
        <f aca="false">IF(COUNTIF($A$5:A999,A999)&gt;1,"Duplicate","Unique")</f>
        <v>Unique</v>
      </c>
      <c r="J999" s="39" t="str">
        <f aca="false">IF(I999="Duplicate","Remove",IF(H999="Mismatch","Exclude","Keep"))</f>
        <v>Keep</v>
      </c>
    </row>
    <row r="1000" customFormat="false" ht="15" hidden="false" customHeight="false" outlineLevel="0" collapsed="false">
      <c r="A1000" s="39" t="s">
        <v>1102</v>
      </c>
      <c r="B1000" s="40" t="n">
        <v>45796</v>
      </c>
      <c r="C1000" s="39" t="s">
        <v>117</v>
      </c>
      <c r="D1000" s="39" t="n">
        <v>1</v>
      </c>
      <c r="E1000" s="41" t="n">
        <v>31.34</v>
      </c>
      <c r="F1000" s="39" t="s">
        <v>115</v>
      </c>
      <c r="G1000" s="39" t="str">
        <f aca="false">UPPER(TRIM(C1000))</f>
        <v>P009</v>
      </c>
      <c r="H1000" s="39" t="str">
        <f aca="false">IF(ISNUMBER(MATCH(G1000,Products!$A$5:$A$24,0)),"OK","Mismatch")</f>
        <v>OK</v>
      </c>
      <c r="I1000" s="39" t="str">
        <f aca="false">IF(COUNTIF($A$5:A1000,A1000)&gt;1,"Duplicate","Unique")</f>
        <v>Unique</v>
      </c>
      <c r="J1000" s="39" t="str">
        <f aca="false">IF(I1000="Duplicate","Remove",IF(H1000="Mismatch","Exclude","Keep"))</f>
        <v>Keep</v>
      </c>
    </row>
    <row r="1001" customFormat="false" ht="15" hidden="false" customHeight="false" outlineLevel="0" collapsed="false">
      <c r="A1001" s="39" t="s">
        <v>1103</v>
      </c>
      <c r="B1001" s="40" t="n">
        <v>45796</v>
      </c>
      <c r="C1001" s="39" t="s">
        <v>121</v>
      </c>
      <c r="D1001" s="39" t="n">
        <v>1</v>
      </c>
      <c r="E1001" s="41" t="n">
        <v>112.84</v>
      </c>
      <c r="F1001" s="39" t="s">
        <v>105</v>
      </c>
      <c r="G1001" s="39" t="str">
        <f aca="false">UPPER(TRIM(C1001))</f>
        <v>P018</v>
      </c>
      <c r="H1001" s="39" t="str">
        <f aca="false">IF(ISNUMBER(MATCH(G1001,Products!$A$5:$A$24,0)),"OK","Mismatch")</f>
        <v>OK</v>
      </c>
      <c r="I1001" s="39" t="str">
        <f aca="false">IF(COUNTIF($A$5:A1001,A1001)&gt;1,"Duplicate","Unique")</f>
        <v>Unique</v>
      </c>
      <c r="J1001" s="39" t="str">
        <f aca="false">IF(I1001="Duplicate","Remove",IF(H1001="Mismatch","Exclude","Keep"))</f>
        <v>Keep</v>
      </c>
    </row>
    <row r="1002" customFormat="false" ht="15" hidden="false" customHeight="false" outlineLevel="0" collapsed="false">
      <c r="A1002" s="39" t="s">
        <v>1104</v>
      </c>
      <c r="B1002" s="40" t="n">
        <v>45796</v>
      </c>
      <c r="C1002" s="39" t="s">
        <v>112</v>
      </c>
      <c r="D1002" s="39" t="n">
        <v>1</v>
      </c>
      <c r="E1002" s="41" t="n">
        <v>54.29</v>
      </c>
      <c r="F1002" s="39" t="s">
        <v>108</v>
      </c>
      <c r="G1002" s="39" t="str">
        <f aca="false">UPPER(TRIM(C1002))</f>
        <v>P005</v>
      </c>
      <c r="H1002" s="39" t="str">
        <f aca="false">IF(ISNUMBER(MATCH(G1002,Products!$A$5:$A$24,0)),"OK","Mismatch")</f>
        <v>OK</v>
      </c>
      <c r="I1002" s="39" t="str">
        <f aca="false">IF(COUNTIF($A$5:A1002,A1002)&gt;1,"Duplicate","Unique")</f>
        <v>Unique</v>
      </c>
      <c r="J1002" s="39" t="str">
        <f aca="false">IF(I1002="Duplicate","Remove",IF(H1002="Mismatch","Exclude","Keep"))</f>
        <v>Keep</v>
      </c>
    </row>
    <row r="1003" customFormat="false" ht="15" hidden="false" customHeight="false" outlineLevel="0" collapsed="false">
      <c r="A1003" s="39" t="s">
        <v>1105</v>
      </c>
      <c r="B1003" s="40" t="n">
        <v>45796</v>
      </c>
      <c r="C1003" s="39" t="s">
        <v>104</v>
      </c>
      <c r="D1003" s="39" t="n">
        <v>1</v>
      </c>
      <c r="E1003" s="41" t="n">
        <v>15.37</v>
      </c>
      <c r="F1003" s="39" t="s">
        <v>105</v>
      </c>
      <c r="G1003" s="39" t="str">
        <f aca="false">UPPER(TRIM(C1003))</f>
        <v>P015</v>
      </c>
      <c r="H1003" s="39" t="str">
        <f aca="false">IF(ISNUMBER(MATCH(G1003,Products!$A$5:$A$24,0)),"OK","Mismatch")</f>
        <v>OK</v>
      </c>
      <c r="I1003" s="39" t="str">
        <f aca="false">IF(COUNTIF($A$5:A1003,A1003)&gt;1,"Duplicate","Unique")</f>
        <v>Unique</v>
      </c>
      <c r="J1003" s="39" t="str">
        <f aca="false">IF(I1003="Duplicate","Remove",IF(H1003="Mismatch","Exclude","Keep"))</f>
        <v>Keep</v>
      </c>
    </row>
    <row r="1004" customFormat="false" ht="15" hidden="false" customHeight="false" outlineLevel="0" collapsed="false">
      <c r="A1004" s="39" t="s">
        <v>1106</v>
      </c>
      <c r="B1004" s="40" t="n">
        <v>45796</v>
      </c>
      <c r="C1004" s="39" t="s">
        <v>114</v>
      </c>
      <c r="D1004" s="39" t="n">
        <v>2</v>
      </c>
      <c r="E1004" s="41" t="n">
        <v>5.97</v>
      </c>
      <c r="F1004" s="39" t="s">
        <v>108</v>
      </c>
      <c r="G1004" s="39" t="str">
        <f aca="false">UPPER(TRIM(C1004))</f>
        <v>P012</v>
      </c>
      <c r="H1004" s="39" t="str">
        <f aca="false">IF(ISNUMBER(MATCH(G1004,Products!$A$5:$A$24,0)),"OK","Mismatch")</f>
        <v>OK</v>
      </c>
      <c r="I1004" s="39" t="str">
        <f aca="false">IF(COUNTIF($A$5:A1004,A1004)&gt;1,"Duplicate","Unique")</f>
        <v>Unique</v>
      </c>
      <c r="J1004" s="39" t="str">
        <f aca="false">IF(I1004="Duplicate","Remove",IF(H1004="Mismatch","Exclude","Keep"))</f>
        <v>Keep</v>
      </c>
    </row>
    <row r="1005" customFormat="false" ht="15" hidden="false" customHeight="false" outlineLevel="0" collapsed="false">
      <c r="A1005" s="39" t="s">
        <v>1107</v>
      </c>
      <c r="B1005" s="40" t="n">
        <v>45796</v>
      </c>
      <c r="C1005" s="39" t="s">
        <v>133</v>
      </c>
      <c r="D1005" s="39" t="n">
        <v>2</v>
      </c>
      <c r="E1005" s="41" t="n">
        <v>8.74</v>
      </c>
      <c r="F1005" s="39" t="s">
        <v>105</v>
      </c>
      <c r="G1005" s="39" t="str">
        <f aca="false">UPPER(TRIM(C1005))</f>
        <v>P019</v>
      </c>
      <c r="H1005" s="39" t="str">
        <f aca="false">IF(ISNUMBER(MATCH(G1005,Products!$A$5:$A$24,0)),"OK","Mismatch")</f>
        <v>OK</v>
      </c>
      <c r="I1005" s="39" t="str">
        <f aca="false">IF(COUNTIF($A$5:A1005,A1005)&gt;1,"Duplicate","Unique")</f>
        <v>Unique</v>
      </c>
      <c r="J1005" s="39" t="str">
        <f aca="false">IF(I1005="Duplicate","Remove",IF(H1005="Mismatch","Exclude","Keep"))</f>
        <v>Keep</v>
      </c>
    </row>
    <row r="1006" customFormat="false" ht="15" hidden="false" customHeight="false" outlineLevel="0" collapsed="false">
      <c r="A1006" s="39" t="s">
        <v>1108</v>
      </c>
      <c r="B1006" s="40" t="n">
        <v>45797</v>
      </c>
      <c r="C1006" s="39" t="s">
        <v>114</v>
      </c>
      <c r="D1006" s="39" t="n">
        <v>2</v>
      </c>
      <c r="E1006" s="41" t="n">
        <v>5.81</v>
      </c>
      <c r="F1006" s="39" t="s">
        <v>105</v>
      </c>
      <c r="G1006" s="39" t="str">
        <f aca="false">UPPER(TRIM(C1006))</f>
        <v>P012</v>
      </c>
      <c r="H1006" s="39" t="str">
        <f aca="false">IF(ISNUMBER(MATCH(G1006,Products!$A$5:$A$24,0)),"OK","Mismatch")</f>
        <v>OK</v>
      </c>
      <c r="I1006" s="39" t="str">
        <f aca="false">IF(COUNTIF($A$5:A1006,A1006)&gt;1,"Duplicate","Unique")</f>
        <v>Unique</v>
      </c>
      <c r="J1006" s="39" t="str">
        <f aca="false">IF(I1006="Duplicate","Remove",IF(H1006="Mismatch","Exclude","Keep"))</f>
        <v>Keep</v>
      </c>
    </row>
    <row r="1007" customFormat="false" ht="15" hidden="false" customHeight="false" outlineLevel="0" collapsed="false">
      <c r="A1007" s="39" t="s">
        <v>1109</v>
      </c>
      <c r="B1007" s="40" t="n">
        <v>45797</v>
      </c>
      <c r="C1007" s="39" t="s">
        <v>130</v>
      </c>
      <c r="D1007" s="39" t="n">
        <v>2</v>
      </c>
      <c r="E1007" s="41" t="n">
        <v>8.29</v>
      </c>
      <c r="F1007" s="39" t="s">
        <v>105</v>
      </c>
      <c r="G1007" s="39" t="str">
        <f aca="false">UPPER(TRIM(C1007))</f>
        <v>P011</v>
      </c>
      <c r="H1007" s="39" t="str">
        <f aca="false">IF(ISNUMBER(MATCH(G1007,Products!$A$5:$A$24,0)),"OK","Mismatch")</f>
        <v>OK</v>
      </c>
      <c r="I1007" s="39" t="str">
        <f aca="false">IF(COUNTIF($A$5:A1007,A1007)&gt;1,"Duplicate","Unique")</f>
        <v>Unique</v>
      </c>
      <c r="J1007" s="39" t="str">
        <f aca="false">IF(I1007="Duplicate","Remove",IF(H1007="Mismatch","Exclude","Keep"))</f>
        <v>Keep</v>
      </c>
    </row>
    <row r="1008" customFormat="false" ht="15" hidden="false" customHeight="false" outlineLevel="0" collapsed="false">
      <c r="A1008" s="39" t="s">
        <v>1110</v>
      </c>
      <c r="B1008" s="40" t="n">
        <v>45797</v>
      </c>
      <c r="C1008" s="39" t="s">
        <v>126</v>
      </c>
      <c r="D1008" s="39" t="n">
        <v>1</v>
      </c>
      <c r="E1008" s="41" t="n">
        <v>23.9</v>
      </c>
      <c r="F1008" s="39" t="s">
        <v>108</v>
      </c>
      <c r="G1008" s="39" t="str">
        <f aca="false">UPPER(TRIM(C1008))</f>
        <v>P001</v>
      </c>
      <c r="H1008" s="39" t="str">
        <f aca="false">IF(ISNUMBER(MATCH(G1008,Products!$A$5:$A$24,0)),"OK","Mismatch")</f>
        <v>OK</v>
      </c>
      <c r="I1008" s="39" t="str">
        <f aca="false">IF(COUNTIF($A$5:A1008,A1008)&gt;1,"Duplicate","Unique")</f>
        <v>Unique</v>
      </c>
      <c r="J1008" s="39" t="str">
        <f aca="false">IF(I1008="Duplicate","Remove",IF(H1008="Mismatch","Exclude","Keep"))</f>
        <v>Keep</v>
      </c>
    </row>
    <row r="1009" customFormat="false" ht="15" hidden="false" customHeight="false" outlineLevel="0" collapsed="false">
      <c r="A1009" s="39" t="s">
        <v>1111</v>
      </c>
      <c r="B1009" s="40" t="n">
        <v>45798</v>
      </c>
      <c r="C1009" s="39" t="s">
        <v>162</v>
      </c>
      <c r="D1009" s="39" t="n">
        <v>5</v>
      </c>
      <c r="E1009" s="41" t="n">
        <v>66.48</v>
      </c>
      <c r="F1009" s="39" t="s">
        <v>118</v>
      </c>
      <c r="G1009" s="39" t="str">
        <f aca="false">UPPER(TRIM(C1009))</f>
        <v>P017</v>
      </c>
      <c r="H1009" s="39" t="str">
        <f aca="false">IF(ISNUMBER(MATCH(G1009,Products!$A$5:$A$24,0)),"OK","Mismatch")</f>
        <v>OK</v>
      </c>
      <c r="I1009" s="39" t="str">
        <f aca="false">IF(COUNTIF($A$5:A1009,A1009)&gt;1,"Duplicate","Unique")</f>
        <v>Unique</v>
      </c>
      <c r="J1009" s="39" t="str">
        <f aca="false">IF(I1009="Duplicate","Remove",IF(H1009="Mismatch","Exclude","Keep"))</f>
        <v>Keep</v>
      </c>
    </row>
    <row r="1010" customFormat="false" ht="15" hidden="false" customHeight="false" outlineLevel="0" collapsed="false">
      <c r="A1010" s="39" t="s">
        <v>1112</v>
      </c>
      <c r="B1010" s="40" t="n">
        <v>45798</v>
      </c>
      <c r="C1010" s="39" t="s">
        <v>121</v>
      </c>
      <c r="D1010" s="39" t="n">
        <v>2</v>
      </c>
      <c r="E1010" s="41" t="n">
        <v>113.93</v>
      </c>
      <c r="F1010" s="39" t="s">
        <v>105</v>
      </c>
      <c r="G1010" s="39" t="str">
        <f aca="false">UPPER(TRIM(C1010))</f>
        <v>P018</v>
      </c>
      <c r="H1010" s="39" t="str">
        <f aca="false">IF(ISNUMBER(MATCH(G1010,Products!$A$5:$A$24,0)),"OK","Mismatch")</f>
        <v>OK</v>
      </c>
      <c r="I1010" s="39" t="str">
        <f aca="false">IF(COUNTIF($A$5:A1010,A1010)&gt;1,"Duplicate","Unique")</f>
        <v>Unique</v>
      </c>
      <c r="J1010" s="39" t="str">
        <f aca="false">IF(I1010="Duplicate","Remove",IF(H1010="Mismatch","Exclude","Keep"))</f>
        <v>Keep</v>
      </c>
    </row>
    <row r="1011" customFormat="false" ht="15" hidden="false" customHeight="false" outlineLevel="0" collapsed="false">
      <c r="A1011" s="39" t="s">
        <v>1113</v>
      </c>
      <c r="B1011" s="40" t="n">
        <v>45798</v>
      </c>
      <c r="C1011" s="39" t="s">
        <v>112</v>
      </c>
      <c r="D1011" s="39" t="n">
        <v>3</v>
      </c>
      <c r="E1011" s="41" t="n">
        <v>54.13</v>
      </c>
      <c r="F1011" s="39" t="s">
        <v>108</v>
      </c>
      <c r="G1011" s="39" t="str">
        <f aca="false">UPPER(TRIM(C1011))</f>
        <v>P005</v>
      </c>
      <c r="H1011" s="39" t="str">
        <f aca="false">IF(ISNUMBER(MATCH(G1011,Products!$A$5:$A$24,0)),"OK","Mismatch")</f>
        <v>OK</v>
      </c>
      <c r="I1011" s="39" t="str">
        <f aca="false">IF(COUNTIF($A$5:A1011,A1011)&gt;1,"Duplicate","Unique")</f>
        <v>Unique</v>
      </c>
      <c r="J1011" s="39" t="str">
        <f aca="false">IF(I1011="Duplicate","Remove",IF(H1011="Mismatch","Exclude","Keep"))</f>
        <v>Keep</v>
      </c>
    </row>
    <row r="1012" customFormat="false" ht="15" hidden="false" customHeight="false" outlineLevel="0" collapsed="false">
      <c r="A1012" s="39" t="s">
        <v>1114</v>
      </c>
      <c r="B1012" s="40" t="n">
        <v>45798</v>
      </c>
      <c r="C1012" s="39" t="s">
        <v>136</v>
      </c>
      <c r="D1012" s="39" t="n">
        <v>1</v>
      </c>
      <c r="E1012" s="41" t="n">
        <v>78.83</v>
      </c>
      <c r="F1012" s="39" t="s">
        <v>115</v>
      </c>
      <c r="G1012" s="39" t="str">
        <f aca="false">UPPER(TRIM(C1012))</f>
        <v>P002</v>
      </c>
      <c r="H1012" s="39" t="str">
        <f aca="false">IF(ISNUMBER(MATCH(G1012,Products!$A$5:$A$24,0)),"OK","Mismatch")</f>
        <v>OK</v>
      </c>
      <c r="I1012" s="39" t="str">
        <f aca="false">IF(COUNTIF($A$5:A1012,A1012)&gt;1,"Duplicate","Unique")</f>
        <v>Unique</v>
      </c>
      <c r="J1012" s="39" t="str">
        <f aca="false">IF(I1012="Duplicate","Remove",IF(H1012="Mismatch","Exclude","Keep"))</f>
        <v>Keep</v>
      </c>
    </row>
    <row r="1013" customFormat="false" ht="15" hidden="false" customHeight="false" outlineLevel="0" collapsed="false">
      <c r="A1013" s="39" t="s">
        <v>1115</v>
      </c>
      <c r="B1013" s="40" t="n">
        <v>45798</v>
      </c>
      <c r="C1013" s="39" t="s">
        <v>183</v>
      </c>
      <c r="D1013" s="39" t="n">
        <v>3</v>
      </c>
      <c r="E1013" s="41" t="n">
        <v>183.55</v>
      </c>
      <c r="F1013" s="39" t="s">
        <v>105</v>
      </c>
      <c r="G1013" s="39" t="str">
        <f aca="false">UPPER(TRIM(C1013))</f>
        <v>P007</v>
      </c>
      <c r="H1013" s="39" t="str">
        <f aca="false">IF(ISNUMBER(MATCH(G1013,Products!$A$5:$A$24,0)),"OK","Mismatch")</f>
        <v>OK</v>
      </c>
      <c r="I1013" s="39" t="str">
        <f aca="false">IF(COUNTIF($A$5:A1013,A1013)&gt;1,"Duplicate","Unique")</f>
        <v>Unique</v>
      </c>
      <c r="J1013" s="39" t="str">
        <f aca="false">IF(I1013="Duplicate","Remove",IF(H1013="Mismatch","Exclude","Keep"))</f>
        <v>Keep</v>
      </c>
    </row>
    <row r="1014" customFormat="false" ht="15" hidden="false" customHeight="false" outlineLevel="0" collapsed="false">
      <c r="A1014" s="39" t="s">
        <v>1116</v>
      </c>
      <c r="B1014" s="40" t="n">
        <v>45798</v>
      </c>
      <c r="C1014" s="39" t="s">
        <v>139</v>
      </c>
      <c r="D1014" s="39" t="n">
        <v>6</v>
      </c>
      <c r="E1014" s="41" t="n">
        <v>124.38</v>
      </c>
      <c r="F1014" s="39" t="s">
        <v>105</v>
      </c>
      <c r="G1014" s="39" t="str">
        <f aca="false">UPPER(TRIM(C1014))</f>
        <v>P006</v>
      </c>
      <c r="H1014" s="39" t="str">
        <f aca="false">IF(ISNUMBER(MATCH(G1014,Products!$A$5:$A$24,0)),"OK","Mismatch")</f>
        <v>OK</v>
      </c>
      <c r="I1014" s="39" t="str">
        <f aca="false">IF(COUNTIF($A$5:A1014,A1014)&gt;1,"Duplicate","Unique")</f>
        <v>Unique</v>
      </c>
      <c r="J1014" s="39" t="str">
        <f aca="false">IF(I1014="Duplicate","Remove",IF(H1014="Mismatch","Exclude","Keep"))</f>
        <v>Keep</v>
      </c>
    </row>
    <row r="1015" customFormat="false" ht="15" hidden="false" customHeight="false" outlineLevel="0" collapsed="false">
      <c r="A1015" s="39" t="s">
        <v>1117</v>
      </c>
      <c r="B1015" s="40" t="n">
        <v>45799</v>
      </c>
      <c r="C1015" s="39" t="s">
        <v>169</v>
      </c>
      <c r="D1015" s="39" t="n">
        <v>4</v>
      </c>
      <c r="E1015" s="41" t="n">
        <v>28.57</v>
      </c>
      <c r="F1015" s="39" t="s">
        <v>115</v>
      </c>
      <c r="G1015" s="39" t="str">
        <f aca="false">UPPER(TRIM(C1015))</f>
        <v>P004</v>
      </c>
      <c r="H1015" s="39" t="str">
        <f aca="false">IF(ISNUMBER(MATCH(G1015,Products!$A$5:$A$24,0)),"OK","Mismatch")</f>
        <v>OK</v>
      </c>
      <c r="I1015" s="39" t="str">
        <f aca="false">IF(COUNTIF($A$5:A1015,A1015)&gt;1,"Duplicate","Unique")</f>
        <v>Unique</v>
      </c>
      <c r="J1015" s="39" t="str">
        <f aca="false">IF(I1015="Duplicate","Remove",IF(H1015="Mismatch","Exclude","Keep"))</f>
        <v>Keep</v>
      </c>
    </row>
    <row r="1016" customFormat="false" ht="15" hidden="false" customHeight="false" outlineLevel="0" collapsed="false">
      <c r="A1016" s="39" t="s">
        <v>1118</v>
      </c>
      <c r="B1016" s="40" t="n">
        <v>45799</v>
      </c>
      <c r="C1016" s="39" t="s">
        <v>169</v>
      </c>
      <c r="D1016" s="39" t="n">
        <v>2</v>
      </c>
      <c r="E1016" s="41" t="n">
        <v>26.99</v>
      </c>
      <c r="F1016" s="39" t="s">
        <v>115</v>
      </c>
      <c r="G1016" s="39" t="str">
        <f aca="false">UPPER(TRIM(C1016))</f>
        <v>P004</v>
      </c>
      <c r="H1016" s="39" t="str">
        <f aca="false">IF(ISNUMBER(MATCH(G1016,Products!$A$5:$A$24,0)),"OK","Mismatch")</f>
        <v>OK</v>
      </c>
      <c r="I1016" s="39" t="str">
        <f aca="false">IF(COUNTIF($A$5:A1016,A1016)&gt;1,"Duplicate","Unique")</f>
        <v>Unique</v>
      </c>
      <c r="J1016" s="39" t="str">
        <f aca="false">IF(I1016="Duplicate","Remove",IF(H1016="Mismatch","Exclude","Keep"))</f>
        <v>Keep</v>
      </c>
    </row>
    <row r="1017" customFormat="false" ht="15" hidden="false" customHeight="false" outlineLevel="0" collapsed="false">
      <c r="A1017" s="39" t="s">
        <v>1119</v>
      </c>
      <c r="B1017" s="40" t="n">
        <v>45799</v>
      </c>
      <c r="C1017" s="39" t="s">
        <v>117</v>
      </c>
      <c r="D1017" s="39" t="n">
        <v>2</v>
      </c>
      <c r="E1017" s="41" t="n">
        <v>30.59</v>
      </c>
      <c r="F1017" s="39" t="s">
        <v>108</v>
      </c>
      <c r="G1017" s="39" t="str">
        <f aca="false">UPPER(TRIM(C1017))</f>
        <v>P009</v>
      </c>
      <c r="H1017" s="39" t="str">
        <f aca="false">IF(ISNUMBER(MATCH(G1017,Products!$A$5:$A$24,0)),"OK","Mismatch")</f>
        <v>OK</v>
      </c>
      <c r="I1017" s="39" t="str">
        <f aca="false">IF(COUNTIF($A$5:A1017,A1017)&gt;1,"Duplicate","Unique")</f>
        <v>Unique</v>
      </c>
      <c r="J1017" s="39" t="str">
        <f aca="false">IF(I1017="Duplicate","Remove",IF(H1017="Mismatch","Exclude","Keep"))</f>
        <v>Keep</v>
      </c>
    </row>
    <row r="1018" customFormat="false" ht="15" hidden="false" customHeight="false" outlineLevel="0" collapsed="false">
      <c r="A1018" s="39" t="s">
        <v>1120</v>
      </c>
      <c r="B1018" s="40" t="n">
        <v>45800</v>
      </c>
      <c r="C1018" s="39" t="s">
        <v>112</v>
      </c>
      <c r="D1018" s="39" t="n">
        <v>3</v>
      </c>
      <c r="E1018" s="41" t="n">
        <v>52.07</v>
      </c>
      <c r="F1018" s="39" t="s">
        <v>115</v>
      </c>
      <c r="G1018" s="39" t="str">
        <f aca="false">UPPER(TRIM(C1018))</f>
        <v>P005</v>
      </c>
      <c r="H1018" s="39" t="str">
        <f aca="false">IF(ISNUMBER(MATCH(G1018,Products!$A$5:$A$24,0)),"OK","Mismatch")</f>
        <v>OK</v>
      </c>
      <c r="I1018" s="39" t="str">
        <f aca="false">IF(COUNTIF($A$5:A1018,A1018)&gt;1,"Duplicate","Unique")</f>
        <v>Unique</v>
      </c>
      <c r="J1018" s="39" t="str">
        <f aca="false">IF(I1018="Duplicate","Remove",IF(H1018="Mismatch","Exclude","Keep"))</f>
        <v>Keep</v>
      </c>
    </row>
    <row r="1019" customFormat="false" ht="15" hidden="false" customHeight="false" outlineLevel="0" collapsed="false">
      <c r="A1019" s="39" t="s">
        <v>1121</v>
      </c>
      <c r="B1019" s="40" t="n">
        <v>45800</v>
      </c>
      <c r="C1019" s="39" t="s">
        <v>104</v>
      </c>
      <c r="D1019" s="39" t="n">
        <v>3</v>
      </c>
      <c r="E1019" s="41" t="n">
        <v>14.77</v>
      </c>
      <c r="F1019" s="39" t="s">
        <v>105</v>
      </c>
      <c r="G1019" s="39" t="str">
        <f aca="false">UPPER(TRIM(C1019))</f>
        <v>P015</v>
      </c>
      <c r="H1019" s="39" t="str">
        <f aca="false">IF(ISNUMBER(MATCH(G1019,Products!$A$5:$A$24,0)),"OK","Mismatch")</f>
        <v>OK</v>
      </c>
      <c r="I1019" s="39" t="str">
        <f aca="false">IF(COUNTIF($A$5:A1019,A1019)&gt;1,"Duplicate","Unique")</f>
        <v>Unique</v>
      </c>
      <c r="J1019" s="39" t="str">
        <f aca="false">IF(I1019="Duplicate","Remove",IF(H1019="Mismatch","Exclude","Keep"))</f>
        <v>Keep</v>
      </c>
    </row>
    <row r="1020" customFormat="false" ht="15" hidden="false" customHeight="false" outlineLevel="0" collapsed="false">
      <c r="A1020" s="39" t="s">
        <v>1122</v>
      </c>
      <c r="B1020" s="40" t="n">
        <v>45800</v>
      </c>
      <c r="C1020" s="39" t="s">
        <v>130</v>
      </c>
      <c r="D1020" s="39" t="n">
        <v>2</v>
      </c>
      <c r="E1020" s="41" t="n">
        <v>8.54</v>
      </c>
      <c r="F1020" s="39" t="s">
        <v>118</v>
      </c>
      <c r="G1020" s="39" t="str">
        <f aca="false">UPPER(TRIM(C1020))</f>
        <v>P011</v>
      </c>
      <c r="H1020" s="39" t="str">
        <f aca="false">IF(ISNUMBER(MATCH(G1020,Products!$A$5:$A$24,0)),"OK","Mismatch")</f>
        <v>OK</v>
      </c>
      <c r="I1020" s="39" t="str">
        <f aca="false">IF(COUNTIF($A$5:A1020,A1020)&gt;1,"Duplicate","Unique")</f>
        <v>Unique</v>
      </c>
      <c r="J1020" s="39" t="str">
        <f aca="false">IF(I1020="Duplicate","Remove",IF(H1020="Mismatch","Exclude","Keep"))</f>
        <v>Keep</v>
      </c>
    </row>
    <row r="1021" customFormat="false" ht="15" hidden="false" customHeight="false" outlineLevel="0" collapsed="false">
      <c r="A1021" s="39" t="s">
        <v>1123</v>
      </c>
      <c r="B1021" s="40" t="n">
        <v>45800</v>
      </c>
      <c r="C1021" s="39" t="s">
        <v>177</v>
      </c>
      <c r="D1021" s="39" t="n">
        <v>2</v>
      </c>
      <c r="E1021" s="41" t="n">
        <v>44.43</v>
      </c>
      <c r="F1021" s="39" t="s">
        <v>105</v>
      </c>
      <c r="G1021" s="39" t="str">
        <f aca="false">UPPER(TRIM(C1021))</f>
        <v>P014</v>
      </c>
      <c r="H1021" s="39" t="str">
        <f aca="false">IF(ISNUMBER(MATCH(G1021,Products!$A$5:$A$24,0)),"OK","Mismatch")</f>
        <v>OK</v>
      </c>
      <c r="I1021" s="39" t="str">
        <f aca="false">IF(COUNTIF($A$5:A1021,A1021)&gt;1,"Duplicate","Unique")</f>
        <v>Unique</v>
      </c>
      <c r="J1021" s="39" t="str">
        <f aca="false">IF(I1021="Duplicate","Remove",IF(H1021="Mismatch","Exclude","Keep"))</f>
        <v>Keep</v>
      </c>
    </row>
    <row r="1022" customFormat="false" ht="15" hidden="false" customHeight="false" outlineLevel="0" collapsed="false">
      <c r="A1022" s="39" t="s">
        <v>1124</v>
      </c>
      <c r="B1022" s="40" t="n">
        <v>45800</v>
      </c>
      <c r="C1022" s="39" t="s">
        <v>177</v>
      </c>
      <c r="D1022" s="39" t="n">
        <v>2</v>
      </c>
      <c r="E1022" s="41" t="n">
        <v>41.67</v>
      </c>
      <c r="F1022" s="39" t="s">
        <v>105</v>
      </c>
      <c r="G1022" s="39" t="str">
        <f aca="false">UPPER(TRIM(C1022))</f>
        <v>P014</v>
      </c>
      <c r="H1022" s="39" t="str">
        <f aca="false">IF(ISNUMBER(MATCH(G1022,Products!$A$5:$A$24,0)),"OK","Mismatch")</f>
        <v>OK</v>
      </c>
      <c r="I1022" s="39" t="str">
        <f aca="false">IF(COUNTIF($A$5:A1022,A1022)&gt;1,"Duplicate","Unique")</f>
        <v>Unique</v>
      </c>
      <c r="J1022" s="39" t="str">
        <f aca="false">IF(I1022="Duplicate","Remove",IF(H1022="Mismatch","Exclude","Keep"))</f>
        <v>Keep</v>
      </c>
    </row>
    <row r="1023" customFormat="false" ht="15" hidden="false" customHeight="false" outlineLevel="0" collapsed="false">
      <c r="A1023" s="39" t="s">
        <v>1125</v>
      </c>
      <c r="B1023" s="40" t="n">
        <v>45801</v>
      </c>
      <c r="C1023" s="39" t="s">
        <v>114</v>
      </c>
      <c r="D1023" s="39" t="n">
        <v>1</v>
      </c>
      <c r="E1023" s="41" t="n">
        <v>5.9</v>
      </c>
      <c r="F1023" s="39" t="s">
        <v>108</v>
      </c>
      <c r="G1023" s="39" t="str">
        <f aca="false">UPPER(TRIM(C1023))</f>
        <v>P012</v>
      </c>
      <c r="H1023" s="39" t="str">
        <f aca="false">IF(ISNUMBER(MATCH(G1023,Products!$A$5:$A$24,0)),"OK","Mismatch")</f>
        <v>OK</v>
      </c>
      <c r="I1023" s="39" t="str">
        <f aca="false">IF(COUNTIF($A$5:A1023,A1023)&gt;1,"Duplicate","Unique")</f>
        <v>Unique</v>
      </c>
      <c r="J1023" s="39" t="str">
        <f aca="false">IF(I1023="Duplicate","Remove",IF(H1023="Mismatch","Exclude","Keep"))</f>
        <v>Keep</v>
      </c>
    </row>
    <row r="1024" customFormat="false" ht="15" hidden="false" customHeight="false" outlineLevel="0" collapsed="false">
      <c r="A1024" s="39" t="s">
        <v>1126</v>
      </c>
      <c r="B1024" s="40" t="n">
        <v>45801</v>
      </c>
      <c r="C1024" s="39" t="s">
        <v>144</v>
      </c>
      <c r="D1024" s="39" t="n">
        <v>1</v>
      </c>
      <c r="E1024" s="41" t="n">
        <v>56.19</v>
      </c>
      <c r="F1024" s="39" t="s">
        <v>115</v>
      </c>
      <c r="G1024" s="39" t="str">
        <f aca="false">UPPER(TRIM(C1024))</f>
        <v>P013</v>
      </c>
      <c r="H1024" s="39" t="str">
        <f aca="false">IF(ISNUMBER(MATCH(G1024,Products!$A$5:$A$24,0)),"OK","Mismatch")</f>
        <v>OK</v>
      </c>
      <c r="I1024" s="39" t="str">
        <f aca="false">IF(COUNTIF($A$5:A1024,A1024)&gt;1,"Duplicate","Unique")</f>
        <v>Unique</v>
      </c>
      <c r="J1024" s="39" t="str">
        <f aca="false">IF(I1024="Duplicate","Remove",IF(H1024="Mismatch","Exclude","Keep"))</f>
        <v>Keep</v>
      </c>
    </row>
    <row r="1025" customFormat="false" ht="15" hidden="false" customHeight="false" outlineLevel="0" collapsed="false">
      <c r="A1025" s="39" t="s">
        <v>1127</v>
      </c>
      <c r="B1025" s="40" t="n">
        <v>45801</v>
      </c>
      <c r="C1025" s="39" t="s">
        <v>130</v>
      </c>
      <c r="D1025" s="39" t="n">
        <v>1</v>
      </c>
      <c r="E1025" s="41" t="n">
        <v>8.52</v>
      </c>
      <c r="F1025" s="39" t="s">
        <v>105</v>
      </c>
      <c r="G1025" s="39" t="str">
        <f aca="false">UPPER(TRIM(C1025))</f>
        <v>P011</v>
      </c>
      <c r="H1025" s="39" t="str">
        <f aca="false">IF(ISNUMBER(MATCH(G1025,Products!$A$5:$A$24,0)),"OK","Mismatch")</f>
        <v>OK</v>
      </c>
      <c r="I1025" s="39" t="str">
        <f aca="false">IF(COUNTIF($A$5:A1025,A1025)&gt;1,"Duplicate","Unique")</f>
        <v>Unique</v>
      </c>
      <c r="J1025" s="39" t="str">
        <f aca="false">IF(I1025="Duplicate","Remove",IF(H1025="Mismatch","Exclude","Keep"))</f>
        <v>Keep</v>
      </c>
    </row>
    <row r="1026" customFormat="false" ht="15" hidden="false" customHeight="false" outlineLevel="0" collapsed="false">
      <c r="A1026" s="39" t="s">
        <v>1128</v>
      </c>
      <c r="B1026" s="40" t="n">
        <v>45801</v>
      </c>
      <c r="C1026" s="39" t="s">
        <v>144</v>
      </c>
      <c r="D1026" s="39" t="n">
        <v>1</v>
      </c>
      <c r="E1026" s="41" t="n">
        <v>54.33</v>
      </c>
      <c r="F1026" s="39" t="s">
        <v>105</v>
      </c>
      <c r="G1026" s="39" t="str">
        <f aca="false">UPPER(TRIM(C1026))</f>
        <v>P013</v>
      </c>
      <c r="H1026" s="39" t="str">
        <f aca="false">IF(ISNUMBER(MATCH(G1026,Products!$A$5:$A$24,0)),"OK","Mismatch")</f>
        <v>OK</v>
      </c>
      <c r="I1026" s="39" t="str">
        <f aca="false">IF(COUNTIF($A$5:A1026,A1026)&gt;1,"Duplicate","Unique")</f>
        <v>Unique</v>
      </c>
      <c r="J1026" s="39" t="str">
        <f aca="false">IF(I1026="Duplicate","Remove",IF(H1026="Mismatch","Exclude","Keep"))</f>
        <v>Keep</v>
      </c>
    </row>
    <row r="1027" customFormat="false" ht="15" hidden="false" customHeight="false" outlineLevel="0" collapsed="false">
      <c r="A1027" s="39" t="s">
        <v>1129</v>
      </c>
      <c r="B1027" s="40" t="n">
        <v>45801</v>
      </c>
      <c r="C1027" s="39" t="s">
        <v>112</v>
      </c>
      <c r="D1027" s="39" t="n">
        <v>1</v>
      </c>
      <c r="E1027" s="41" t="n">
        <v>53.56</v>
      </c>
      <c r="F1027" s="39" t="s">
        <v>108</v>
      </c>
      <c r="G1027" s="39" t="str">
        <f aca="false">UPPER(TRIM(C1027))</f>
        <v>P005</v>
      </c>
      <c r="H1027" s="39" t="str">
        <f aca="false">IF(ISNUMBER(MATCH(G1027,Products!$A$5:$A$24,0)),"OK","Mismatch")</f>
        <v>OK</v>
      </c>
      <c r="I1027" s="39" t="str">
        <f aca="false">IF(COUNTIF($A$5:A1027,A1027)&gt;1,"Duplicate","Unique")</f>
        <v>Unique</v>
      </c>
      <c r="J1027" s="39" t="str">
        <f aca="false">IF(I1027="Duplicate","Remove",IF(H1027="Mismatch","Exclude","Keep"))</f>
        <v>Keep</v>
      </c>
    </row>
    <row r="1028" customFormat="false" ht="15" hidden="false" customHeight="false" outlineLevel="0" collapsed="false">
      <c r="A1028" s="39" t="s">
        <v>1130</v>
      </c>
      <c r="B1028" s="40" t="n">
        <v>45801</v>
      </c>
      <c r="C1028" s="39" t="s">
        <v>130</v>
      </c>
      <c r="D1028" s="39" t="n">
        <v>5</v>
      </c>
      <c r="E1028" s="41" t="n">
        <v>8.54</v>
      </c>
      <c r="F1028" s="39" t="s">
        <v>108</v>
      </c>
      <c r="G1028" s="39" t="str">
        <f aca="false">UPPER(TRIM(C1028))</f>
        <v>P011</v>
      </c>
      <c r="H1028" s="39" t="str">
        <f aca="false">IF(ISNUMBER(MATCH(G1028,Products!$A$5:$A$24,0)),"OK","Mismatch")</f>
        <v>OK</v>
      </c>
      <c r="I1028" s="39" t="str">
        <f aca="false">IF(COUNTIF($A$5:A1028,A1028)&gt;1,"Duplicate","Unique")</f>
        <v>Unique</v>
      </c>
      <c r="J1028" s="39" t="str">
        <f aca="false">IF(I1028="Duplicate","Remove",IF(H1028="Mismatch","Exclude","Keep"))</f>
        <v>Keep</v>
      </c>
    </row>
    <row r="1029" customFormat="false" ht="15" hidden="false" customHeight="false" outlineLevel="0" collapsed="false">
      <c r="A1029" s="39" t="s">
        <v>1131</v>
      </c>
      <c r="B1029" s="40" t="n">
        <v>45801</v>
      </c>
      <c r="C1029" s="39" t="s">
        <v>126</v>
      </c>
      <c r="D1029" s="39" t="n">
        <v>1</v>
      </c>
      <c r="E1029" s="41" t="n">
        <v>24.54</v>
      </c>
      <c r="F1029" s="39" t="s">
        <v>118</v>
      </c>
      <c r="G1029" s="39" t="str">
        <f aca="false">UPPER(TRIM(C1029))</f>
        <v>P001</v>
      </c>
      <c r="H1029" s="39" t="str">
        <f aca="false">IF(ISNUMBER(MATCH(G1029,Products!$A$5:$A$24,0)),"OK","Mismatch")</f>
        <v>OK</v>
      </c>
      <c r="I1029" s="39" t="str">
        <f aca="false">IF(COUNTIF($A$5:A1029,A1029)&gt;1,"Duplicate","Unique")</f>
        <v>Unique</v>
      </c>
      <c r="J1029" s="39" t="str">
        <f aca="false">IF(I1029="Duplicate","Remove",IF(H1029="Mismatch","Exclude","Keep"))</f>
        <v>Keep</v>
      </c>
    </row>
    <row r="1030" customFormat="false" ht="15" hidden="false" customHeight="false" outlineLevel="0" collapsed="false">
      <c r="A1030" s="39" t="s">
        <v>1132</v>
      </c>
      <c r="B1030" s="40" t="n">
        <v>45801</v>
      </c>
      <c r="C1030" s="39" t="s">
        <v>177</v>
      </c>
      <c r="D1030" s="39" t="n">
        <v>4</v>
      </c>
      <c r="E1030" s="41" t="n">
        <v>43.28</v>
      </c>
      <c r="F1030" s="39" t="s">
        <v>115</v>
      </c>
      <c r="G1030" s="39" t="str">
        <f aca="false">UPPER(TRIM(C1030))</f>
        <v>P014</v>
      </c>
      <c r="H1030" s="39" t="str">
        <f aca="false">IF(ISNUMBER(MATCH(G1030,Products!$A$5:$A$24,0)),"OK","Mismatch")</f>
        <v>OK</v>
      </c>
      <c r="I1030" s="39" t="str">
        <f aca="false">IF(COUNTIF($A$5:A1030,A1030)&gt;1,"Duplicate","Unique")</f>
        <v>Unique</v>
      </c>
      <c r="J1030" s="39" t="str">
        <f aca="false">IF(I1030="Duplicate","Remove",IF(H1030="Mismatch","Exclude","Keep"))</f>
        <v>Keep</v>
      </c>
    </row>
    <row r="1031" customFormat="false" ht="15" hidden="false" customHeight="false" outlineLevel="0" collapsed="false">
      <c r="A1031" s="39" t="s">
        <v>1133</v>
      </c>
      <c r="B1031" s="40" t="n">
        <v>45801</v>
      </c>
      <c r="C1031" s="39" t="s">
        <v>162</v>
      </c>
      <c r="D1031" s="39" t="n">
        <v>1</v>
      </c>
      <c r="E1031" s="41" t="n">
        <v>67.76</v>
      </c>
      <c r="F1031" s="39" t="s">
        <v>115</v>
      </c>
      <c r="G1031" s="39" t="str">
        <f aca="false">UPPER(TRIM(C1031))</f>
        <v>P017</v>
      </c>
      <c r="H1031" s="39" t="str">
        <f aca="false">IF(ISNUMBER(MATCH(G1031,Products!$A$5:$A$24,0)),"OK","Mismatch")</f>
        <v>OK</v>
      </c>
      <c r="I1031" s="39" t="str">
        <f aca="false">IF(COUNTIF($A$5:A1031,A1031)&gt;1,"Duplicate","Unique")</f>
        <v>Unique</v>
      </c>
      <c r="J1031" s="39" t="str">
        <f aca="false">IF(I1031="Duplicate","Remove",IF(H1031="Mismatch","Exclude","Keep"))</f>
        <v>Keep</v>
      </c>
    </row>
    <row r="1032" customFormat="false" ht="15" hidden="false" customHeight="false" outlineLevel="0" collapsed="false">
      <c r="A1032" s="39" t="s">
        <v>1134</v>
      </c>
      <c r="B1032" s="40" t="n">
        <v>45801</v>
      </c>
      <c r="C1032" s="39" t="s">
        <v>114</v>
      </c>
      <c r="D1032" s="39" t="n">
        <v>5</v>
      </c>
      <c r="E1032" s="41" t="n">
        <v>5.78</v>
      </c>
      <c r="F1032" s="39" t="s">
        <v>118</v>
      </c>
      <c r="G1032" s="39" t="str">
        <f aca="false">UPPER(TRIM(C1032))</f>
        <v>P012</v>
      </c>
      <c r="H1032" s="39" t="str">
        <f aca="false">IF(ISNUMBER(MATCH(G1032,Products!$A$5:$A$24,0)),"OK","Mismatch")</f>
        <v>OK</v>
      </c>
      <c r="I1032" s="39" t="str">
        <f aca="false">IF(COUNTIF($A$5:A1032,A1032)&gt;1,"Duplicate","Unique")</f>
        <v>Unique</v>
      </c>
      <c r="J1032" s="39" t="str">
        <f aca="false">IF(I1032="Duplicate","Remove",IF(H1032="Mismatch","Exclude","Keep"))</f>
        <v>Keep</v>
      </c>
    </row>
    <row r="1033" customFormat="false" ht="15" hidden="false" customHeight="false" outlineLevel="0" collapsed="false">
      <c r="A1033" s="39" t="s">
        <v>1135</v>
      </c>
      <c r="B1033" s="40" t="n">
        <v>45801</v>
      </c>
      <c r="C1033" s="39" t="s">
        <v>121</v>
      </c>
      <c r="D1033" s="39" t="n">
        <v>4</v>
      </c>
      <c r="E1033" s="41" t="n">
        <v>117.14</v>
      </c>
      <c r="F1033" s="39" t="s">
        <v>108</v>
      </c>
      <c r="G1033" s="39" t="str">
        <f aca="false">UPPER(TRIM(C1033))</f>
        <v>P018</v>
      </c>
      <c r="H1033" s="39" t="str">
        <f aca="false">IF(ISNUMBER(MATCH(G1033,Products!$A$5:$A$24,0)),"OK","Mismatch")</f>
        <v>OK</v>
      </c>
      <c r="I1033" s="39" t="str">
        <f aca="false">IF(COUNTIF($A$5:A1033,A1033)&gt;1,"Duplicate","Unique")</f>
        <v>Unique</v>
      </c>
      <c r="J1033" s="39" t="str">
        <f aca="false">IF(I1033="Duplicate","Remove",IF(H1033="Mismatch","Exclude","Keep"))</f>
        <v>Keep</v>
      </c>
    </row>
    <row r="1034" customFormat="false" ht="15" hidden="false" customHeight="false" outlineLevel="0" collapsed="false">
      <c r="A1034" s="39" t="s">
        <v>1136</v>
      </c>
      <c r="B1034" s="40" t="n">
        <v>45802</v>
      </c>
      <c r="C1034" s="39" t="s">
        <v>110</v>
      </c>
      <c r="D1034" s="39" t="n">
        <v>5</v>
      </c>
      <c r="E1034" s="41" t="n">
        <v>13.21</v>
      </c>
      <c r="F1034" s="39" t="s">
        <v>118</v>
      </c>
      <c r="G1034" s="39" t="str">
        <f aca="false">UPPER(TRIM(C1034))</f>
        <v>P016</v>
      </c>
      <c r="H1034" s="39" t="str">
        <f aca="false">IF(ISNUMBER(MATCH(G1034,Products!$A$5:$A$24,0)),"OK","Mismatch")</f>
        <v>OK</v>
      </c>
      <c r="I1034" s="39" t="str">
        <f aca="false">IF(COUNTIF($A$5:A1034,A1034)&gt;1,"Duplicate","Unique")</f>
        <v>Unique</v>
      </c>
      <c r="J1034" s="39" t="str">
        <f aca="false">IF(I1034="Duplicate","Remove",IF(H1034="Mismatch","Exclude","Keep"))</f>
        <v>Keep</v>
      </c>
    </row>
    <row r="1035" customFormat="false" ht="15" hidden="false" customHeight="false" outlineLevel="0" collapsed="false">
      <c r="A1035" s="39" t="s">
        <v>1137</v>
      </c>
      <c r="B1035" s="40" t="n">
        <v>45802</v>
      </c>
      <c r="C1035" s="39" t="s">
        <v>133</v>
      </c>
      <c r="D1035" s="39" t="n">
        <v>3</v>
      </c>
      <c r="E1035" s="41" t="n">
        <v>8.3</v>
      </c>
      <c r="F1035" s="39" t="s">
        <v>108</v>
      </c>
      <c r="G1035" s="39" t="str">
        <f aca="false">UPPER(TRIM(C1035))</f>
        <v>P019</v>
      </c>
      <c r="H1035" s="39" t="str">
        <f aca="false">IF(ISNUMBER(MATCH(G1035,Products!$A$5:$A$24,0)),"OK","Mismatch")</f>
        <v>OK</v>
      </c>
      <c r="I1035" s="39" t="str">
        <f aca="false">IF(COUNTIF($A$5:A1035,A1035)&gt;1,"Duplicate","Unique")</f>
        <v>Unique</v>
      </c>
      <c r="J1035" s="39" t="str">
        <f aca="false">IF(I1035="Duplicate","Remove",IF(H1035="Mismatch","Exclude","Keep"))</f>
        <v>Keep</v>
      </c>
    </row>
    <row r="1036" customFormat="false" ht="15" hidden="false" customHeight="false" outlineLevel="0" collapsed="false">
      <c r="A1036" s="39" t="s">
        <v>1138</v>
      </c>
      <c r="B1036" s="40" t="n">
        <v>45802</v>
      </c>
      <c r="C1036" s="39" t="s">
        <v>3164</v>
      </c>
      <c r="D1036" s="39" t="n">
        <v>4</v>
      </c>
      <c r="E1036" s="41" t="n">
        <v>8.33</v>
      </c>
      <c r="F1036" s="39" t="s">
        <v>115</v>
      </c>
      <c r="G1036" s="39" t="str">
        <f aca="false">UPPER(TRIM(C1036))</f>
        <v>P019</v>
      </c>
      <c r="H1036" s="39" t="str">
        <f aca="false">IF(ISNUMBER(MATCH(G1036,Products!$A$5:$A$24,0)),"OK","Mismatch")</f>
        <v>OK</v>
      </c>
      <c r="I1036" s="39" t="str">
        <f aca="false">IF(COUNTIF($A$5:A1036,A1036)&gt;1,"Duplicate","Unique")</f>
        <v>Unique</v>
      </c>
      <c r="J1036" s="39" t="str">
        <f aca="false">IF(I1036="Duplicate","Remove",IF(H1036="Mismatch","Exclude","Keep"))</f>
        <v>Keep</v>
      </c>
    </row>
    <row r="1037" customFormat="false" ht="15" hidden="false" customHeight="false" outlineLevel="0" collapsed="false">
      <c r="A1037" s="39" t="s">
        <v>1139</v>
      </c>
      <c r="B1037" s="40" t="n">
        <v>45802</v>
      </c>
      <c r="C1037" s="39" t="s">
        <v>130</v>
      </c>
      <c r="D1037" s="39" t="n">
        <v>2</v>
      </c>
      <c r="E1037" s="41" t="n">
        <v>8.64</v>
      </c>
      <c r="F1037" s="39" t="s">
        <v>105</v>
      </c>
      <c r="G1037" s="39" t="str">
        <f aca="false">UPPER(TRIM(C1037))</f>
        <v>P011</v>
      </c>
      <c r="H1037" s="39" t="str">
        <f aca="false">IF(ISNUMBER(MATCH(G1037,Products!$A$5:$A$24,0)),"OK","Mismatch")</f>
        <v>OK</v>
      </c>
      <c r="I1037" s="39" t="str">
        <f aca="false">IF(COUNTIF($A$5:A1037,A1037)&gt;1,"Duplicate","Unique")</f>
        <v>Unique</v>
      </c>
      <c r="J1037" s="39" t="str">
        <f aca="false">IF(I1037="Duplicate","Remove",IF(H1037="Mismatch","Exclude","Keep"))</f>
        <v>Keep</v>
      </c>
    </row>
    <row r="1038" customFormat="false" ht="15" hidden="false" customHeight="false" outlineLevel="0" collapsed="false">
      <c r="A1038" s="39" t="s">
        <v>1140</v>
      </c>
      <c r="B1038" s="40" t="n">
        <v>45802</v>
      </c>
      <c r="C1038" s="39" t="s">
        <v>107</v>
      </c>
      <c r="D1038" s="39" t="n">
        <v>1</v>
      </c>
      <c r="E1038" s="41" t="n">
        <v>32.72</v>
      </c>
      <c r="F1038" s="39" t="s">
        <v>118</v>
      </c>
      <c r="G1038" s="39" t="str">
        <f aca="false">UPPER(TRIM(C1038))</f>
        <v>P003</v>
      </c>
      <c r="H1038" s="39" t="str">
        <f aca="false">IF(ISNUMBER(MATCH(G1038,Products!$A$5:$A$24,0)),"OK","Mismatch")</f>
        <v>OK</v>
      </c>
      <c r="I1038" s="39" t="str">
        <f aca="false">IF(COUNTIF($A$5:A1038,A1038)&gt;1,"Duplicate","Unique")</f>
        <v>Unique</v>
      </c>
      <c r="J1038" s="39" t="str">
        <f aca="false">IF(I1038="Duplicate","Remove",IF(H1038="Mismatch","Exclude","Keep"))</f>
        <v>Keep</v>
      </c>
    </row>
    <row r="1039" customFormat="false" ht="15" hidden="false" customHeight="false" outlineLevel="0" collapsed="false">
      <c r="A1039" s="39" t="s">
        <v>1141</v>
      </c>
      <c r="B1039" s="40" t="n">
        <v>45802</v>
      </c>
      <c r="C1039" s="39" t="s">
        <v>110</v>
      </c>
      <c r="D1039" s="39" t="n">
        <v>6</v>
      </c>
      <c r="E1039" s="41" t="n">
        <v>13.21</v>
      </c>
      <c r="F1039" s="39" t="s">
        <v>105</v>
      </c>
      <c r="G1039" s="39" t="str">
        <f aca="false">UPPER(TRIM(C1039))</f>
        <v>P016</v>
      </c>
      <c r="H1039" s="39" t="str">
        <f aca="false">IF(ISNUMBER(MATCH(G1039,Products!$A$5:$A$24,0)),"OK","Mismatch")</f>
        <v>OK</v>
      </c>
      <c r="I1039" s="39" t="str">
        <f aca="false">IF(COUNTIF($A$5:A1039,A1039)&gt;1,"Duplicate","Unique")</f>
        <v>Unique</v>
      </c>
      <c r="J1039" s="39" t="str">
        <f aca="false">IF(I1039="Duplicate","Remove",IF(H1039="Mismatch","Exclude","Keep"))</f>
        <v>Keep</v>
      </c>
    </row>
    <row r="1040" customFormat="false" ht="15" hidden="false" customHeight="false" outlineLevel="0" collapsed="false">
      <c r="A1040" s="39" t="s">
        <v>1142</v>
      </c>
      <c r="B1040" s="40" t="n">
        <v>45803</v>
      </c>
      <c r="C1040" s="39" t="s">
        <v>153</v>
      </c>
      <c r="D1040" s="39" t="n">
        <v>1</v>
      </c>
      <c r="E1040" s="41" t="n">
        <v>166.15</v>
      </c>
      <c r="F1040" s="39" t="s">
        <v>105</v>
      </c>
      <c r="G1040" s="39" t="str">
        <f aca="false">UPPER(TRIM(C1040))</f>
        <v>P010</v>
      </c>
      <c r="H1040" s="39" t="str">
        <f aca="false">IF(ISNUMBER(MATCH(G1040,Products!$A$5:$A$24,0)),"OK","Mismatch")</f>
        <v>OK</v>
      </c>
      <c r="I1040" s="39" t="str">
        <f aca="false">IF(COUNTIF($A$5:A1040,A1040)&gt;1,"Duplicate","Unique")</f>
        <v>Unique</v>
      </c>
      <c r="J1040" s="39" t="str">
        <f aca="false">IF(I1040="Duplicate","Remove",IF(H1040="Mismatch","Exclude","Keep"))</f>
        <v>Keep</v>
      </c>
    </row>
    <row r="1041" customFormat="false" ht="15" hidden="false" customHeight="false" outlineLevel="0" collapsed="false">
      <c r="A1041" s="39" t="s">
        <v>1143</v>
      </c>
      <c r="B1041" s="40" t="n">
        <v>45803</v>
      </c>
      <c r="C1041" s="39" t="s">
        <v>107</v>
      </c>
      <c r="D1041" s="39" t="n">
        <v>3</v>
      </c>
      <c r="E1041" s="41" t="n">
        <v>34.1</v>
      </c>
      <c r="F1041" s="39" t="s">
        <v>105</v>
      </c>
      <c r="G1041" s="39" t="str">
        <f aca="false">UPPER(TRIM(C1041))</f>
        <v>P003</v>
      </c>
      <c r="H1041" s="39" t="str">
        <f aca="false">IF(ISNUMBER(MATCH(G1041,Products!$A$5:$A$24,0)),"OK","Mismatch")</f>
        <v>OK</v>
      </c>
      <c r="I1041" s="39" t="str">
        <f aca="false">IF(COUNTIF($A$5:A1041,A1041)&gt;1,"Duplicate","Unique")</f>
        <v>Unique</v>
      </c>
      <c r="J1041" s="39" t="str">
        <f aca="false">IF(I1041="Duplicate","Remove",IF(H1041="Mismatch","Exclude","Keep"))</f>
        <v>Keep</v>
      </c>
    </row>
    <row r="1042" customFormat="false" ht="15" hidden="false" customHeight="false" outlineLevel="0" collapsed="false">
      <c r="A1042" s="39" t="s">
        <v>1144</v>
      </c>
      <c r="B1042" s="40" t="n">
        <v>45803</v>
      </c>
      <c r="C1042" s="39" t="s">
        <v>126</v>
      </c>
      <c r="D1042" s="39" t="n">
        <v>2</v>
      </c>
      <c r="E1042" s="41" t="n">
        <v>23.42</v>
      </c>
      <c r="F1042" s="39" t="s">
        <v>118</v>
      </c>
      <c r="G1042" s="39" t="str">
        <f aca="false">UPPER(TRIM(C1042))</f>
        <v>P001</v>
      </c>
      <c r="H1042" s="39" t="str">
        <f aca="false">IF(ISNUMBER(MATCH(G1042,Products!$A$5:$A$24,0)),"OK","Mismatch")</f>
        <v>OK</v>
      </c>
      <c r="I1042" s="39" t="str">
        <f aca="false">IF(COUNTIF($A$5:A1042,A1042)&gt;1,"Duplicate","Unique")</f>
        <v>Unique</v>
      </c>
      <c r="J1042" s="39" t="str">
        <f aca="false">IF(I1042="Duplicate","Remove",IF(H1042="Mismatch","Exclude","Keep"))</f>
        <v>Keep</v>
      </c>
    </row>
    <row r="1043" customFormat="false" ht="15" hidden="false" customHeight="false" outlineLevel="0" collapsed="false">
      <c r="A1043" s="39" t="s">
        <v>1145</v>
      </c>
      <c r="B1043" s="40" t="n">
        <v>45803</v>
      </c>
      <c r="C1043" s="39" t="s">
        <v>162</v>
      </c>
      <c r="D1043" s="39" t="n">
        <v>5</v>
      </c>
      <c r="E1043" s="41" t="n">
        <v>63.94</v>
      </c>
      <c r="F1043" s="39" t="s">
        <v>108</v>
      </c>
      <c r="G1043" s="39" t="str">
        <f aca="false">UPPER(TRIM(C1043))</f>
        <v>P017</v>
      </c>
      <c r="H1043" s="39" t="str">
        <f aca="false">IF(ISNUMBER(MATCH(G1043,Products!$A$5:$A$24,0)),"OK","Mismatch")</f>
        <v>OK</v>
      </c>
      <c r="I1043" s="39" t="str">
        <f aca="false">IF(COUNTIF($A$5:A1043,A1043)&gt;1,"Duplicate","Unique")</f>
        <v>Unique</v>
      </c>
      <c r="J1043" s="39" t="str">
        <f aca="false">IF(I1043="Duplicate","Remove",IF(H1043="Mismatch","Exclude","Keep"))</f>
        <v>Keep</v>
      </c>
    </row>
    <row r="1044" customFormat="false" ht="15" hidden="false" customHeight="false" outlineLevel="0" collapsed="false">
      <c r="A1044" s="39" t="s">
        <v>1146</v>
      </c>
      <c r="B1044" s="40" t="n">
        <v>45803</v>
      </c>
      <c r="C1044" s="39" t="s">
        <v>169</v>
      </c>
      <c r="D1044" s="39" t="n">
        <v>2</v>
      </c>
      <c r="E1044" s="41" t="n">
        <v>28.14</v>
      </c>
      <c r="F1044" s="39" t="s">
        <v>105</v>
      </c>
      <c r="G1044" s="39" t="str">
        <f aca="false">UPPER(TRIM(C1044))</f>
        <v>P004</v>
      </c>
      <c r="H1044" s="39" t="str">
        <f aca="false">IF(ISNUMBER(MATCH(G1044,Products!$A$5:$A$24,0)),"OK","Mismatch")</f>
        <v>OK</v>
      </c>
      <c r="I1044" s="39" t="str">
        <f aca="false">IF(COUNTIF($A$5:A1044,A1044)&gt;1,"Duplicate","Unique")</f>
        <v>Unique</v>
      </c>
      <c r="J1044" s="39" t="str">
        <f aca="false">IF(I1044="Duplicate","Remove",IF(H1044="Mismatch","Exclude","Keep"))</f>
        <v>Keep</v>
      </c>
    </row>
    <row r="1045" customFormat="false" ht="15" hidden="false" customHeight="false" outlineLevel="0" collapsed="false">
      <c r="A1045" s="39" t="s">
        <v>1147</v>
      </c>
      <c r="B1045" s="40" t="n">
        <v>45803</v>
      </c>
      <c r="C1045" s="39" t="s">
        <v>104</v>
      </c>
      <c r="D1045" s="39" t="n">
        <v>2</v>
      </c>
      <c r="E1045" s="41" t="n">
        <v>15.44</v>
      </c>
      <c r="F1045" s="39" t="s">
        <v>105</v>
      </c>
      <c r="G1045" s="39" t="str">
        <f aca="false">UPPER(TRIM(C1045))</f>
        <v>P015</v>
      </c>
      <c r="H1045" s="39" t="str">
        <f aca="false">IF(ISNUMBER(MATCH(G1045,Products!$A$5:$A$24,0)),"OK","Mismatch")</f>
        <v>OK</v>
      </c>
      <c r="I1045" s="39" t="str">
        <f aca="false">IF(COUNTIF($A$5:A1045,A1045)&gt;1,"Duplicate","Unique")</f>
        <v>Unique</v>
      </c>
      <c r="J1045" s="39" t="str">
        <f aca="false">IF(I1045="Duplicate","Remove",IF(H1045="Mismatch","Exclude","Keep"))</f>
        <v>Keep</v>
      </c>
    </row>
    <row r="1046" customFormat="false" ht="15" hidden="false" customHeight="false" outlineLevel="0" collapsed="false">
      <c r="A1046" s="39" t="s">
        <v>1148</v>
      </c>
      <c r="B1046" s="40" t="n">
        <v>45803</v>
      </c>
      <c r="C1046" s="39" t="s">
        <v>144</v>
      </c>
      <c r="D1046" s="39" t="n">
        <v>2</v>
      </c>
      <c r="E1046" s="41" t="n">
        <v>55.94</v>
      </c>
      <c r="F1046" s="39" t="s">
        <v>105</v>
      </c>
      <c r="G1046" s="39" t="str">
        <f aca="false">UPPER(TRIM(C1046))</f>
        <v>P013</v>
      </c>
      <c r="H1046" s="39" t="str">
        <f aca="false">IF(ISNUMBER(MATCH(G1046,Products!$A$5:$A$24,0)),"OK","Mismatch")</f>
        <v>OK</v>
      </c>
      <c r="I1046" s="39" t="str">
        <f aca="false">IF(COUNTIF($A$5:A1046,A1046)&gt;1,"Duplicate","Unique")</f>
        <v>Unique</v>
      </c>
      <c r="J1046" s="39" t="str">
        <f aca="false">IF(I1046="Duplicate","Remove",IF(H1046="Mismatch","Exclude","Keep"))</f>
        <v>Keep</v>
      </c>
    </row>
    <row r="1047" customFormat="false" ht="15" hidden="false" customHeight="false" outlineLevel="0" collapsed="false">
      <c r="A1047" s="39" t="s">
        <v>1149</v>
      </c>
      <c r="B1047" s="40" t="n">
        <v>45803</v>
      </c>
      <c r="C1047" s="39" t="s">
        <v>126</v>
      </c>
      <c r="D1047" s="39" t="n">
        <v>3</v>
      </c>
      <c r="E1047" s="41" t="n">
        <v>24.04</v>
      </c>
      <c r="F1047" s="39" t="s">
        <v>118</v>
      </c>
      <c r="G1047" s="39" t="str">
        <f aca="false">UPPER(TRIM(C1047))</f>
        <v>P001</v>
      </c>
      <c r="H1047" s="39" t="str">
        <f aca="false">IF(ISNUMBER(MATCH(G1047,Products!$A$5:$A$24,0)),"OK","Mismatch")</f>
        <v>OK</v>
      </c>
      <c r="I1047" s="39" t="str">
        <f aca="false">IF(COUNTIF($A$5:A1047,A1047)&gt;1,"Duplicate","Unique")</f>
        <v>Unique</v>
      </c>
      <c r="J1047" s="39" t="str">
        <f aca="false">IF(I1047="Duplicate","Remove",IF(H1047="Mismatch","Exclude","Keep"))</f>
        <v>Keep</v>
      </c>
    </row>
    <row r="1048" customFormat="false" ht="15" hidden="false" customHeight="false" outlineLevel="0" collapsed="false">
      <c r="A1048" s="39" t="s">
        <v>1150</v>
      </c>
      <c r="B1048" s="40" t="n">
        <v>45804</v>
      </c>
      <c r="C1048" s="39" t="s">
        <v>121</v>
      </c>
      <c r="D1048" s="39" t="n">
        <v>2</v>
      </c>
      <c r="E1048" s="41" t="n">
        <v>111.99</v>
      </c>
      <c r="F1048" s="39" t="s">
        <v>108</v>
      </c>
      <c r="G1048" s="39" t="str">
        <f aca="false">UPPER(TRIM(C1048))</f>
        <v>P018</v>
      </c>
      <c r="H1048" s="39" t="str">
        <f aca="false">IF(ISNUMBER(MATCH(G1048,Products!$A$5:$A$24,0)),"OK","Mismatch")</f>
        <v>OK</v>
      </c>
      <c r="I1048" s="39" t="str">
        <f aca="false">IF(COUNTIF($A$5:A1048,A1048)&gt;1,"Duplicate","Unique")</f>
        <v>Unique</v>
      </c>
      <c r="J1048" s="39" t="str">
        <f aca="false">IF(I1048="Duplicate","Remove",IF(H1048="Mismatch","Exclude","Keep"))</f>
        <v>Keep</v>
      </c>
    </row>
    <row r="1049" customFormat="false" ht="15" hidden="false" customHeight="false" outlineLevel="0" collapsed="false">
      <c r="A1049" s="39" t="s">
        <v>1151</v>
      </c>
      <c r="B1049" s="40" t="n">
        <v>45804</v>
      </c>
      <c r="C1049" s="39" t="s">
        <v>114</v>
      </c>
      <c r="D1049" s="39" t="n">
        <v>1</v>
      </c>
      <c r="E1049" s="41" t="n">
        <v>5.91</v>
      </c>
      <c r="F1049" s="39" t="s">
        <v>118</v>
      </c>
      <c r="G1049" s="39" t="str">
        <f aca="false">UPPER(TRIM(C1049))</f>
        <v>P012</v>
      </c>
      <c r="H1049" s="39" t="str">
        <f aca="false">IF(ISNUMBER(MATCH(G1049,Products!$A$5:$A$24,0)),"OK","Mismatch")</f>
        <v>OK</v>
      </c>
      <c r="I1049" s="39" t="str">
        <f aca="false">IF(COUNTIF($A$5:A1049,A1049)&gt;1,"Duplicate","Unique")</f>
        <v>Unique</v>
      </c>
      <c r="J1049" s="39" t="str">
        <f aca="false">IF(I1049="Duplicate","Remove",IF(H1049="Mismatch","Exclude","Keep"))</f>
        <v>Keep</v>
      </c>
    </row>
    <row r="1050" customFormat="false" ht="15" hidden="false" customHeight="false" outlineLevel="0" collapsed="false">
      <c r="A1050" s="39" t="s">
        <v>1152</v>
      </c>
      <c r="B1050" s="40" t="n">
        <v>45804</v>
      </c>
      <c r="C1050" s="39" t="s">
        <v>126</v>
      </c>
      <c r="D1050" s="39" t="n">
        <v>1</v>
      </c>
      <c r="E1050" s="41" t="n">
        <v>24.56</v>
      </c>
      <c r="F1050" s="39" t="s">
        <v>118</v>
      </c>
      <c r="G1050" s="39" t="str">
        <f aca="false">UPPER(TRIM(C1050))</f>
        <v>P001</v>
      </c>
      <c r="H1050" s="39" t="str">
        <f aca="false">IF(ISNUMBER(MATCH(G1050,Products!$A$5:$A$24,0)),"OK","Mismatch")</f>
        <v>OK</v>
      </c>
      <c r="I1050" s="39" t="str">
        <f aca="false">IF(COUNTIF($A$5:A1050,A1050)&gt;1,"Duplicate","Unique")</f>
        <v>Unique</v>
      </c>
      <c r="J1050" s="39" t="str">
        <f aca="false">IF(I1050="Duplicate","Remove",IF(H1050="Mismatch","Exclude","Keep"))</f>
        <v>Keep</v>
      </c>
    </row>
    <row r="1051" customFormat="false" ht="15" hidden="false" customHeight="false" outlineLevel="0" collapsed="false">
      <c r="A1051" s="39" t="s">
        <v>1153</v>
      </c>
      <c r="B1051" s="40" t="n">
        <v>45804</v>
      </c>
      <c r="C1051" s="39" t="s">
        <v>169</v>
      </c>
      <c r="D1051" s="39" t="n">
        <v>1</v>
      </c>
      <c r="E1051" s="41" t="n">
        <v>26.96</v>
      </c>
      <c r="F1051" s="39" t="s">
        <v>118</v>
      </c>
      <c r="G1051" s="39" t="str">
        <f aca="false">UPPER(TRIM(C1051))</f>
        <v>P004</v>
      </c>
      <c r="H1051" s="39" t="str">
        <f aca="false">IF(ISNUMBER(MATCH(G1051,Products!$A$5:$A$24,0)),"OK","Mismatch")</f>
        <v>OK</v>
      </c>
      <c r="I1051" s="39" t="str">
        <f aca="false">IF(COUNTIF($A$5:A1051,A1051)&gt;1,"Duplicate","Unique")</f>
        <v>Unique</v>
      </c>
      <c r="J1051" s="39" t="str">
        <f aca="false">IF(I1051="Duplicate","Remove",IF(H1051="Mismatch","Exclude","Keep"))</f>
        <v>Keep</v>
      </c>
    </row>
    <row r="1052" customFormat="false" ht="15" hidden="false" customHeight="false" outlineLevel="0" collapsed="false">
      <c r="A1052" s="39" t="s">
        <v>1154</v>
      </c>
      <c r="B1052" s="40" t="n">
        <v>45804</v>
      </c>
      <c r="C1052" s="39" t="s">
        <v>139</v>
      </c>
      <c r="D1052" s="39" t="n">
        <v>3</v>
      </c>
      <c r="E1052" s="41" t="n">
        <v>122.03</v>
      </c>
      <c r="F1052" s="39" t="s">
        <v>115</v>
      </c>
      <c r="G1052" s="39" t="str">
        <f aca="false">UPPER(TRIM(C1052))</f>
        <v>P006</v>
      </c>
      <c r="H1052" s="39" t="str">
        <f aca="false">IF(ISNUMBER(MATCH(G1052,Products!$A$5:$A$24,0)),"OK","Mismatch")</f>
        <v>OK</v>
      </c>
      <c r="I1052" s="39" t="str">
        <f aca="false">IF(COUNTIF($A$5:A1052,A1052)&gt;1,"Duplicate","Unique")</f>
        <v>Unique</v>
      </c>
      <c r="J1052" s="39" t="str">
        <f aca="false">IF(I1052="Duplicate","Remove",IF(H1052="Mismatch","Exclude","Keep"))</f>
        <v>Keep</v>
      </c>
    </row>
    <row r="1053" customFormat="false" ht="15" hidden="false" customHeight="false" outlineLevel="0" collapsed="false">
      <c r="A1053" s="39" t="s">
        <v>1155</v>
      </c>
      <c r="B1053" s="40" t="n">
        <v>45804</v>
      </c>
      <c r="C1053" s="39" t="s">
        <v>110</v>
      </c>
      <c r="D1053" s="39" t="n">
        <v>1</v>
      </c>
      <c r="E1053" s="41" t="n">
        <v>13.92</v>
      </c>
      <c r="F1053" s="39" t="s">
        <v>118</v>
      </c>
      <c r="G1053" s="39" t="str">
        <f aca="false">UPPER(TRIM(C1053))</f>
        <v>P016</v>
      </c>
      <c r="H1053" s="39" t="str">
        <f aca="false">IF(ISNUMBER(MATCH(G1053,Products!$A$5:$A$24,0)),"OK","Mismatch")</f>
        <v>OK</v>
      </c>
      <c r="I1053" s="39" t="str">
        <f aca="false">IF(COUNTIF($A$5:A1053,A1053)&gt;1,"Duplicate","Unique")</f>
        <v>Unique</v>
      </c>
      <c r="J1053" s="39" t="str">
        <f aca="false">IF(I1053="Duplicate","Remove",IF(H1053="Mismatch","Exclude","Keep"))</f>
        <v>Keep</v>
      </c>
    </row>
    <row r="1054" customFormat="false" ht="15" hidden="false" customHeight="false" outlineLevel="0" collapsed="false">
      <c r="A1054" s="39" t="s">
        <v>1156</v>
      </c>
      <c r="B1054" s="40" t="n">
        <v>45804</v>
      </c>
      <c r="C1054" s="39" t="s">
        <v>112</v>
      </c>
      <c r="D1054" s="39" t="n">
        <v>4</v>
      </c>
      <c r="E1054" s="41" t="n">
        <v>51.29</v>
      </c>
      <c r="F1054" s="39" t="s">
        <v>105</v>
      </c>
      <c r="G1054" s="39" t="str">
        <f aca="false">UPPER(TRIM(C1054))</f>
        <v>P005</v>
      </c>
      <c r="H1054" s="39" t="str">
        <f aca="false">IF(ISNUMBER(MATCH(G1054,Products!$A$5:$A$24,0)),"OK","Mismatch")</f>
        <v>OK</v>
      </c>
      <c r="I1054" s="39" t="str">
        <f aca="false">IF(COUNTIF($A$5:A1054,A1054)&gt;1,"Duplicate","Unique")</f>
        <v>Unique</v>
      </c>
      <c r="J1054" s="39" t="str">
        <f aca="false">IF(I1054="Duplicate","Remove",IF(H1054="Mismatch","Exclude","Keep"))</f>
        <v>Keep</v>
      </c>
    </row>
    <row r="1055" customFormat="false" ht="15" hidden="false" customHeight="false" outlineLevel="0" collapsed="false">
      <c r="A1055" s="39" t="s">
        <v>1157</v>
      </c>
      <c r="B1055" s="40" t="n">
        <v>45804</v>
      </c>
      <c r="C1055" s="39" t="s">
        <v>130</v>
      </c>
      <c r="D1055" s="39" t="n">
        <v>1</v>
      </c>
      <c r="E1055" s="41" t="n">
        <v>8.56</v>
      </c>
      <c r="F1055" s="39" t="s">
        <v>118</v>
      </c>
      <c r="G1055" s="39" t="str">
        <f aca="false">UPPER(TRIM(C1055))</f>
        <v>P011</v>
      </c>
      <c r="H1055" s="39" t="str">
        <f aca="false">IF(ISNUMBER(MATCH(G1055,Products!$A$5:$A$24,0)),"OK","Mismatch")</f>
        <v>OK</v>
      </c>
      <c r="I1055" s="39" t="str">
        <f aca="false">IF(COUNTIF($A$5:A1055,A1055)&gt;1,"Duplicate","Unique")</f>
        <v>Unique</v>
      </c>
      <c r="J1055" s="39" t="str">
        <f aca="false">IF(I1055="Duplicate","Remove",IF(H1055="Mismatch","Exclude","Keep"))</f>
        <v>Keep</v>
      </c>
    </row>
    <row r="1056" customFormat="false" ht="15" hidden="false" customHeight="false" outlineLevel="0" collapsed="false">
      <c r="A1056" s="39" t="s">
        <v>1158</v>
      </c>
      <c r="B1056" s="40" t="n">
        <v>45804</v>
      </c>
      <c r="C1056" s="39" t="s">
        <v>117</v>
      </c>
      <c r="D1056" s="39" t="n">
        <v>4</v>
      </c>
      <c r="E1056" s="41" t="n">
        <v>30.86</v>
      </c>
      <c r="F1056" s="39" t="s">
        <v>118</v>
      </c>
      <c r="G1056" s="39" t="str">
        <f aca="false">UPPER(TRIM(C1056))</f>
        <v>P009</v>
      </c>
      <c r="H1056" s="39" t="str">
        <f aca="false">IF(ISNUMBER(MATCH(G1056,Products!$A$5:$A$24,0)),"OK","Mismatch")</f>
        <v>OK</v>
      </c>
      <c r="I1056" s="39" t="str">
        <f aca="false">IF(COUNTIF($A$5:A1056,A1056)&gt;1,"Duplicate","Unique")</f>
        <v>Unique</v>
      </c>
      <c r="J1056" s="39" t="str">
        <f aca="false">IF(I1056="Duplicate","Remove",IF(H1056="Mismatch","Exclude","Keep"))</f>
        <v>Keep</v>
      </c>
    </row>
    <row r="1057" customFormat="false" ht="15" hidden="false" customHeight="false" outlineLevel="0" collapsed="false">
      <c r="A1057" s="39" t="s">
        <v>1159</v>
      </c>
      <c r="B1057" s="40" t="n">
        <v>45804</v>
      </c>
      <c r="C1057" s="39" t="s">
        <v>107</v>
      </c>
      <c r="D1057" s="39" t="n">
        <v>1</v>
      </c>
      <c r="E1057" s="41" t="n">
        <v>33.88</v>
      </c>
      <c r="F1057" s="39" t="s">
        <v>115</v>
      </c>
      <c r="G1057" s="39" t="str">
        <f aca="false">UPPER(TRIM(C1057))</f>
        <v>P003</v>
      </c>
      <c r="H1057" s="39" t="str">
        <f aca="false">IF(ISNUMBER(MATCH(G1057,Products!$A$5:$A$24,0)),"OK","Mismatch")</f>
        <v>OK</v>
      </c>
      <c r="I1057" s="39" t="str">
        <f aca="false">IF(COUNTIF($A$5:A1057,A1057)&gt;1,"Duplicate","Unique")</f>
        <v>Unique</v>
      </c>
      <c r="J1057" s="39" t="str">
        <f aca="false">IF(I1057="Duplicate","Remove",IF(H1057="Mismatch","Exclude","Keep"))</f>
        <v>Keep</v>
      </c>
    </row>
    <row r="1058" customFormat="false" ht="15" hidden="false" customHeight="false" outlineLevel="0" collapsed="false">
      <c r="A1058" s="39" t="s">
        <v>1160</v>
      </c>
      <c r="B1058" s="40" t="n">
        <v>45804</v>
      </c>
      <c r="C1058" s="39" t="s">
        <v>126</v>
      </c>
      <c r="D1058" s="39" t="n">
        <v>2</v>
      </c>
      <c r="E1058" s="41" t="n">
        <v>23.51</v>
      </c>
      <c r="F1058" s="39" t="s">
        <v>115</v>
      </c>
      <c r="G1058" s="39" t="str">
        <f aca="false">UPPER(TRIM(C1058))</f>
        <v>P001</v>
      </c>
      <c r="H1058" s="39" t="str">
        <f aca="false">IF(ISNUMBER(MATCH(G1058,Products!$A$5:$A$24,0)),"OK","Mismatch")</f>
        <v>OK</v>
      </c>
      <c r="I1058" s="39" t="str">
        <f aca="false">IF(COUNTIF($A$5:A1058,A1058)&gt;1,"Duplicate","Unique")</f>
        <v>Unique</v>
      </c>
      <c r="J1058" s="39" t="str">
        <f aca="false">IF(I1058="Duplicate","Remove",IF(H1058="Mismatch","Exclude","Keep"))</f>
        <v>Keep</v>
      </c>
    </row>
    <row r="1059" customFormat="false" ht="15" hidden="false" customHeight="false" outlineLevel="0" collapsed="false">
      <c r="A1059" s="39" t="s">
        <v>1161</v>
      </c>
      <c r="B1059" s="40" t="n">
        <v>45804</v>
      </c>
      <c r="C1059" s="39" t="s">
        <v>114</v>
      </c>
      <c r="D1059" s="39" t="n">
        <v>5</v>
      </c>
      <c r="E1059" s="41" t="n">
        <v>5.76</v>
      </c>
      <c r="F1059" s="39" t="s">
        <v>118</v>
      </c>
      <c r="G1059" s="39" t="str">
        <f aca="false">UPPER(TRIM(C1059))</f>
        <v>P012</v>
      </c>
      <c r="H1059" s="39" t="str">
        <f aca="false">IF(ISNUMBER(MATCH(G1059,Products!$A$5:$A$24,0)),"OK","Mismatch")</f>
        <v>OK</v>
      </c>
      <c r="I1059" s="39" t="str">
        <f aca="false">IF(COUNTIF($A$5:A1059,A1059)&gt;1,"Duplicate","Unique")</f>
        <v>Unique</v>
      </c>
      <c r="J1059" s="39" t="str">
        <f aca="false">IF(I1059="Duplicate","Remove",IF(H1059="Mismatch","Exclude","Keep"))</f>
        <v>Keep</v>
      </c>
    </row>
    <row r="1060" customFormat="false" ht="15" hidden="false" customHeight="false" outlineLevel="0" collapsed="false">
      <c r="A1060" s="39" t="s">
        <v>1162</v>
      </c>
      <c r="B1060" s="40" t="n">
        <v>45805</v>
      </c>
      <c r="C1060" s="39" t="s">
        <v>128</v>
      </c>
      <c r="D1060" s="39" t="n">
        <v>3</v>
      </c>
      <c r="E1060" s="41" t="n">
        <v>36.31</v>
      </c>
      <c r="F1060" s="39" t="s">
        <v>105</v>
      </c>
      <c r="G1060" s="39" t="str">
        <f aca="false">UPPER(TRIM(C1060))</f>
        <v>P020</v>
      </c>
      <c r="H1060" s="39" t="str">
        <f aca="false">IF(ISNUMBER(MATCH(G1060,Products!$A$5:$A$24,0)),"OK","Mismatch")</f>
        <v>OK</v>
      </c>
      <c r="I1060" s="39" t="str">
        <f aca="false">IF(COUNTIF($A$5:A1060,A1060)&gt;1,"Duplicate","Unique")</f>
        <v>Unique</v>
      </c>
      <c r="J1060" s="39" t="str">
        <f aca="false">IF(I1060="Duplicate","Remove",IF(H1060="Mismatch","Exclude","Keep"))</f>
        <v>Keep</v>
      </c>
    </row>
    <row r="1061" customFormat="false" ht="15" hidden="false" customHeight="false" outlineLevel="0" collapsed="false">
      <c r="A1061" s="39" t="s">
        <v>1163</v>
      </c>
      <c r="B1061" s="40" t="n">
        <v>45805</v>
      </c>
      <c r="C1061" s="39" t="s">
        <v>169</v>
      </c>
      <c r="D1061" s="39" t="n">
        <v>4</v>
      </c>
      <c r="E1061" s="41" t="n">
        <v>28.03</v>
      </c>
      <c r="F1061" s="39" t="s">
        <v>118</v>
      </c>
      <c r="G1061" s="39" t="str">
        <f aca="false">UPPER(TRIM(C1061))</f>
        <v>P004</v>
      </c>
      <c r="H1061" s="39" t="str">
        <f aca="false">IF(ISNUMBER(MATCH(G1061,Products!$A$5:$A$24,0)),"OK","Mismatch")</f>
        <v>OK</v>
      </c>
      <c r="I1061" s="39" t="str">
        <f aca="false">IF(COUNTIF($A$5:A1061,A1061)&gt;1,"Duplicate","Unique")</f>
        <v>Unique</v>
      </c>
      <c r="J1061" s="39" t="str">
        <f aca="false">IF(I1061="Duplicate","Remove",IF(H1061="Mismatch","Exclude","Keep"))</f>
        <v>Keep</v>
      </c>
    </row>
    <row r="1062" customFormat="false" ht="15" hidden="false" customHeight="false" outlineLevel="0" collapsed="false">
      <c r="A1062" s="39" t="s">
        <v>1164</v>
      </c>
      <c r="B1062" s="40" t="n">
        <v>45805</v>
      </c>
      <c r="C1062" s="39" t="s">
        <v>3165</v>
      </c>
      <c r="D1062" s="39" t="n">
        <v>6</v>
      </c>
      <c r="E1062" s="41" t="n">
        <v>5.88</v>
      </c>
      <c r="F1062" s="39" t="s">
        <v>108</v>
      </c>
      <c r="G1062" s="39" t="str">
        <f aca="false">UPPER(TRIM(C1062))</f>
        <v>P012</v>
      </c>
      <c r="H1062" s="39" t="str">
        <f aca="false">IF(ISNUMBER(MATCH(G1062,Products!$A$5:$A$24,0)),"OK","Mismatch")</f>
        <v>OK</v>
      </c>
      <c r="I1062" s="39" t="str">
        <f aca="false">IF(COUNTIF($A$5:A1062,A1062)&gt;1,"Duplicate","Unique")</f>
        <v>Unique</v>
      </c>
      <c r="J1062" s="39" t="str">
        <f aca="false">IF(I1062="Duplicate","Remove",IF(H1062="Mismatch","Exclude","Keep"))</f>
        <v>Keep</v>
      </c>
    </row>
    <row r="1063" customFormat="false" ht="15" hidden="false" customHeight="false" outlineLevel="0" collapsed="false">
      <c r="A1063" s="39" t="s">
        <v>1165</v>
      </c>
      <c r="B1063" s="40" t="n">
        <v>45805</v>
      </c>
      <c r="C1063" s="39" t="s">
        <v>139</v>
      </c>
      <c r="D1063" s="39" t="n">
        <v>1</v>
      </c>
      <c r="E1063" s="41" t="n">
        <v>122.48</v>
      </c>
      <c r="F1063" s="39" t="s">
        <v>118</v>
      </c>
      <c r="G1063" s="39" t="str">
        <f aca="false">UPPER(TRIM(C1063))</f>
        <v>P006</v>
      </c>
      <c r="H1063" s="39" t="str">
        <f aca="false">IF(ISNUMBER(MATCH(G1063,Products!$A$5:$A$24,0)),"OK","Mismatch")</f>
        <v>OK</v>
      </c>
      <c r="I1063" s="39" t="str">
        <f aca="false">IF(COUNTIF($A$5:A1063,A1063)&gt;1,"Duplicate","Unique")</f>
        <v>Unique</v>
      </c>
      <c r="J1063" s="39" t="str">
        <f aca="false">IF(I1063="Duplicate","Remove",IF(H1063="Mismatch","Exclude","Keep"))</f>
        <v>Keep</v>
      </c>
    </row>
    <row r="1064" customFormat="false" ht="15" hidden="false" customHeight="false" outlineLevel="0" collapsed="false">
      <c r="A1064" s="39" t="s">
        <v>1166</v>
      </c>
      <c r="B1064" s="40" t="n">
        <v>45805</v>
      </c>
      <c r="C1064" s="39" t="s">
        <v>104</v>
      </c>
      <c r="D1064" s="39" t="n">
        <v>1</v>
      </c>
      <c r="E1064" s="41" t="n">
        <v>15.16</v>
      </c>
      <c r="F1064" s="39" t="s">
        <v>118</v>
      </c>
      <c r="G1064" s="39" t="str">
        <f aca="false">UPPER(TRIM(C1064))</f>
        <v>P015</v>
      </c>
      <c r="H1064" s="39" t="str">
        <f aca="false">IF(ISNUMBER(MATCH(G1064,Products!$A$5:$A$24,0)),"OK","Mismatch")</f>
        <v>OK</v>
      </c>
      <c r="I1064" s="39" t="str">
        <f aca="false">IF(COUNTIF($A$5:A1064,A1064)&gt;1,"Duplicate","Unique")</f>
        <v>Unique</v>
      </c>
      <c r="J1064" s="39" t="str">
        <f aca="false">IF(I1064="Duplicate","Remove",IF(H1064="Mismatch","Exclude","Keep"))</f>
        <v>Keep</v>
      </c>
    </row>
    <row r="1065" customFormat="false" ht="15" hidden="false" customHeight="false" outlineLevel="0" collapsed="false">
      <c r="A1065" s="39" t="s">
        <v>1167</v>
      </c>
      <c r="B1065" s="40" t="n">
        <v>45805</v>
      </c>
      <c r="C1065" s="39" t="s">
        <v>130</v>
      </c>
      <c r="D1065" s="39" t="n">
        <v>3</v>
      </c>
      <c r="E1065" s="41" t="n">
        <v>8.85</v>
      </c>
      <c r="F1065" s="39" t="s">
        <v>118</v>
      </c>
      <c r="G1065" s="39" t="str">
        <f aca="false">UPPER(TRIM(C1065))</f>
        <v>P011</v>
      </c>
      <c r="H1065" s="39" t="str">
        <f aca="false">IF(ISNUMBER(MATCH(G1065,Products!$A$5:$A$24,0)),"OK","Mismatch")</f>
        <v>OK</v>
      </c>
      <c r="I1065" s="39" t="str">
        <f aca="false">IF(COUNTIF($A$5:A1065,A1065)&gt;1,"Duplicate","Unique")</f>
        <v>Unique</v>
      </c>
      <c r="J1065" s="39" t="str">
        <f aca="false">IF(I1065="Duplicate","Remove",IF(H1065="Mismatch","Exclude","Keep"))</f>
        <v>Keep</v>
      </c>
    </row>
    <row r="1066" customFormat="false" ht="15" hidden="false" customHeight="false" outlineLevel="0" collapsed="false">
      <c r="A1066" s="39" t="s">
        <v>1168</v>
      </c>
      <c r="B1066" s="40" t="n">
        <v>45809</v>
      </c>
      <c r="C1066" s="39" t="s">
        <v>110</v>
      </c>
      <c r="D1066" s="39" t="n">
        <v>1</v>
      </c>
      <c r="E1066" s="41" t="n">
        <v>13.66</v>
      </c>
      <c r="F1066" s="39" t="s">
        <v>108</v>
      </c>
      <c r="G1066" s="39" t="str">
        <f aca="false">UPPER(TRIM(C1066))</f>
        <v>P016</v>
      </c>
      <c r="H1066" s="39" t="str">
        <f aca="false">IF(ISNUMBER(MATCH(G1066,Products!$A$5:$A$24,0)),"OK","Mismatch")</f>
        <v>OK</v>
      </c>
      <c r="I1066" s="39" t="str">
        <f aca="false">IF(COUNTIF($A$5:A1066,A1066)&gt;1,"Duplicate","Unique")</f>
        <v>Unique</v>
      </c>
      <c r="J1066" s="39" t="str">
        <f aca="false">IF(I1066="Duplicate","Remove",IF(H1066="Mismatch","Exclude","Keep"))</f>
        <v>Keep</v>
      </c>
    </row>
    <row r="1067" customFormat="false" ht="15" hidden="false" customHeight="false" outlineLevel="0" collapsed="false">
      <c r="A1067" s="39" t="s">
        <v>1169</v>
      </c>
      <c r="B1067" s="40" t="n">
        <v>45809</v>
      </c>
      <c r="C1067" s="39" t="s">
        <v>112</v>
      </c>
      <c r="D1067" s="39" t="n">
        <v>1</v>
      </c>
      <c r="E1067" s="41" t="n">
        <v>54.28</v>
      </c>
      <c r="F1067" s="39" t="s">
        <v>118</v>
      </c>
      <c r="G1067" s="39" t="str">
        <f aca="false">UPPER(TRIM(C1067))</f>
        <v>P005</v>
      </c>
      <c r="H1067" s="39" t="str">
        <f aca="false">IF(ISNUMBER(MATCH(G1067,Products!$A$5:$A$24,0)),"OK","Mismatch")</f>
        <v>OK</v>
      </c>
      <c r="I1067" s="39" t="str">
        <f aca="false">IF(COUNTIF($A$5:A1067,A1067)&gt;1,"Duplicate","Unique")</f>
        <v>Unique</v>
      </c>
      <c r="J1067" s="39" t="str">
        <f aca="false">IF(I1067="Duplicate","Remove",IF(H1067="Mismatch","Exclude","Keep"))</f>
        <v>Keep</v>
      </c>
    </row>
    <row r="1068" customFormat="false" ht="15" hidden="false" customHeight="false" outlineLevel="0" collapsed="false">
      <c r="A1068" s="39" t="s">
        <v>1170</v>
      </c>
      <c r="B1068" s="40" t="n">
        <v>45809</v>
      </c>
      <c r="C1068" s="39" t="s">
        <v>121</v>
      </c>
      <c r="D1068" s="39" t="n">
        <v>1</v>
      </c>
      <c r="E1068" s="41" t="n">
        <v>110.61</v>
      </c>
      <c r="F1068" s="39" t="s">
        <v>108</v>
      </c>
      <c r="G1068" s="39" t="str">
        <f aca="false">UPPER(TRIM(C1068))</f>
        <v>P018</v>
      </c>
      <c r="H1068" s="39" t="str">
        <f aca="false">IF(ISNUMBER(MATCH(G1068,Products!$A$5:$A$24,0)),"OK","Mismatch")</f>
        <v>OK</v>
      </c>
      <c r="I1068" s="39" t="str">
        <f aca="false">IF(COUNTIF($A$5:A1068,A1068)&gt;1,"Duplicate","Unique")</f>
        <v>Unique</v>
      </c>
      <c r="J1068" s="39" t="str">
        <f aca="false">IF(I1068="Duplicate","Remove",IF(H1068="Mismatch","Exclude","Keep"))</f>
        <v>Keep</v>
      </c>
    </row>
    <row r="1069" customFormat="false" ht="15" hidden="false" customHeight="false" outlineLevel="0" collapsed="false">
      <c r="A1069" s="39" t="s">
        <v>1171</v>
      </c>
      <c r="B1069" s="40" t="n">
        <v>45809</v>
      </c>
      <c r="C1069" s="39" t="s">
        <v>130</v>
      </c>
      <c r="D1069" s="39" t="n">
        <v>3</v>
      </c>
      <c r="E1069" s="41" t="n">
        <v>8.82</v>
      </c>
      <c r="F1069" s="39" t="s">
        <v>118</v>
      </c>
      <c r="G1069" s="39" t="str">
        <f aca="false">UPPER(TRIM(C1069))</f>
        <v>P011</v>
      </c>
      <c r="H1069" s="39" t="str">
        <f aca="false">IF(ISNUMBER(MATCH(G1069,Products!$A$5:$A$24,0)),"OK","Mismatch")</f>
        <v>OK</v>
      </c>
      <c r="I1069" s="39" t="str">
        <f aca="false">IF(COUNTIF($A$5:A1069,A1069)&gt;1,"Duplicate","Unique")</f>
        <v>Unique</v>
      </c>
      <c r="J1069" s="39" t="str">
        <f aca="false">IF(I1069="Duplicate","Remove",IF(H1069="Mismatch","Exclude","Keep"))</f>
        <v>Keep</v>
      </c>
    </row>
    <row r="1070" customFormat="false" ht="15" hidden="false" customHeight="false" outlineLevel="0" collapsed="false">
      <c r="A1070" s="39" t="s">
        <v>1172</v>
      </c>
      <c r="B1070" s="40" t="n">
        <v>45809</v>
      </c>
      <c r="C1070" s="39" t="s">
        <v>136</v>
      </c>
      <c r="D1070" s="39" t="n">
        <v>1</v>
      </c>
      <c r="E1070" s="41" t="n">
        <v>76.7</v>
      </c>
      <c r="F1070" s="39" t="s">
        <v>105</v>
      </c>
      <c r="G1070" s="39" t="str">
        <f aca="false">UPPER(TRIM(C1070))</f>
        <v>P002</v>
      </c>
      <c r="H1070" s="39" t="str">
        <f aca="false">IF(ISNUMBER(MATCH(G1070,Products!$A$5:$A$24,0)),"OK","Mismatch")</f>
        <v>OK</v>
      </c>
      <c r="I1070" s="39" t="str">
        <f aca="false">IF(COUNTIF($A$5:A1070,A1070)&gt;1,"Duplicate","Unique")</f>
        <v>Unique</v>
      </c>
      <c r="J1070" s="39" t="str">
        <f aca="false">IF(I1070="Duplicate","Remove",IF(H1070="Mismatch","Exclude","Keep"))</f>
        <v>Keep</v>
      </c>
    </row>
    <row r="1071" customFormat="false" ht="15" hidden="false" customHeight="false" outlineLevel="0" collapsed="false">
      <c r="A1071" s="39" t="s">
        <v>1173</v>
      </c>
      <c r="B1071" s="40" t="n">
        <v>45810</v>
      </c>
      <c r="C1071" s="39" t="s">
        <v>169</v>
      </c>
      <c r="D1071" s="39" t="n">
        <v>8</v>
      </c>
      <c r="E1071" s="41" t="n">
        <v>27.4</v>
      </c>
      <c r="F1071" s="39" t="s">
        <v>115</v>
      </c>
      <c r="G1071" s="39" t="str">
        <f aca="false">UPPER(TRIM(C1071))</f>
        <v>P004</v>
      </c>
      <c r="H1071" s="39" t="str">
        <f aca="false">IF(ISNUMBER(MATCH(G1071,Products!$A$5:$A$24,0)),"OK","Mismatch")</f>
        <v>OK</v>
      </c>
      <c r="I1071" s="39" t="str">
        <f aca="false">IF(COUNTIF($A$5:A1071,A1071)&gt;1,"Duplicate","Unique")</f>
        <v>Unique</v>
      </c>
      <c r="J1071" s="39" t="str">
        <f aca="false">IF(I1071="Duplicate","Remove",IF(H1071="Mismatch","Exclude","Keep"))</f>
        <v>Keep</v>
      </c>
    </row>
    <row r="1072" customFormat="false" ht="15" hidden="false" customHeight="false" outlineLevel="0" collapsed="false">
      <c r="A1072" s="39" t="s">
        <v>1174</v>
      </c>
      <c r="B1072" s="40" t="n">
        <v>45810</v>
      </c>
      <c r="C1072" s="39" t="s">
        <v>110</v>
      </c>
      <c r="D1072" s="39" t="n">
        <v>4</v>
      </c>
      <c r="E1072" s="41" t="n">
        <v>13.3</v>
      </c>
      <c r="F1072" s="39" t="s">
        <v>108</v>
      </c>
      <c r="G1072" s="39" t="str">
        <f aca="false">UPPER(TRIM(C1072))</f>
        <v>P016</v>
      </c>
      <c r="H1072" s="39" t="str">
        <f aca="false">IF(ISNUMBER(MATCH(G1072,Products!$A$5:$A$24,0)),"OK","Mismatch")</f>
        <v>OK</v>
      </c>
      <c r="I1072" s="39" t="str">
        <f aca="false">IF(COUNTIF($A$5:A1072,A1072)&gt;1,"Duplicate","Unique")</f>
        <v>Unique</v>
      </c>
      <c r="J1072" s="39" t="str">
        <f aca="false">IF(I1072="Duplicate","Remove",IF(H1072="Mismatch","Exclude","Keep"))</f>
        <v>Keep</v>
      </c>
    </row>
    <row r="1073" customFormat="false" ht="15" hidden="false" customHeight="false" outlineLevel="0" collapsed="false">
      <c r="A1073" s="39" t="s">
        <v>1175</v>
      </c>
      <c r="B1073" s="40" t="n">
        <v>45810</v>
      </c>
      <c r="C1073" s="39" t="s">
        <v>133</v>
      </c>
      <c r="D1073" s="39" t="n">
        <v>1</v>
      </c>
      <c r="E1073" s="41" t="n">
        <v>8.94</v>
      </c>
      <c r="F1073" s="39" t="s">
        <v>105</v>
      </c>
      <c r="G1073" s="39" t="str">
        <f aca="false">UPPER(TRIM(C1073))</f>
        <v>P019</v>
      </c>
      <c r="H1073" s="39" t="str">
        <f aca="false">IF(ISNUMBER(MATCH(G1073,Products!$A$5:$A$24,0)),"OK","Mismatch")</f>
        <v>OK</v>
      </c>
      <c r="I1073" s="39" t="str">
        <f aca="false">IF(COUNTIF($A$5:A1073,A1073)&gt;1,"Duplicate","Unique")</f>
        <v>Unique</v>
      </c>
      <c r="J1073" s="39" t="str">
        <f aca="false">IF(I1073="Duplicate","Remove",IF(H1073="Mismatch","Exclude","Keep"))</f>
        <v>Keep</v>
      </c>
    </row>
    <row r="1074" customFormat="false" ht="15" hidden="false" customHeight="false" outlineLevel="0" collapsed="false">
      <c r="A1074" s="39" t="s">
        <v>1176</v>
      </c>
      <c r="B1074" s="40" t="n">
        <v>45810</v>
      </c>
      <c r="C1074" s="39" t="s">
        <v>177</v>
      </c>
      <c r="D1074" s="39" t="n">
        <v>3</v>
      </c>
      <c r="E1074" s="41" t="n">
        <v>41.83</v>
      </c>
      <c r="F1074" s="39" t="s">
        <v>118</v>
      </c>
      <c r="G1074" s="39" t="str">
        <f aca="false">UPPER(TRIM(C1074))</f>
        <v>P014</v>
      </c>
      <c r="H1074" s="39" t="str">
        <f aca="false">IF(ISNUMBER(MATCH(G1074,Products!$A$5:$A$24,0)),"OK","Mismatch")</f>
        <v>OK</v>
      </c>
      <c r="I1074" s="39" t="str">
        <f aca="false">IF(COUNTIF($A$5:A1074,A1074)&gt;1,"Duplicate","Unique")</f>
        <v>Unique</v>
      </c>
      <c r="J1074" s="39" t="str">
        <f aca="false">IF(I1074="Duplicate","Remove",IF(H1074="Mismatch","Exclude","Keep"))</f>
        <v>Keep</v>
      </c>
    </row>
    <row r="1075" customFormat="false" ht="15" hidden="false" customHeight="false" outlineLevel="0" collapsed="false">
      <c r="A1075" s="39" t="s">
        <v>1177</v>
      </c>
      <c r="B1075" s="40" t="n">
        <v>45810</v>
      </c>
      <c r="C1075" s="39" t="s">
        <v>110</v>
      </c>
      <c r="D1075" s="39" t="n">
        <v>2</v>
      </c>
      <c r="E1075" s="41" t="n">
        <v>13.08</v>
      </c>
      <c r="F1075" s="39" t="s">
        <v>105</v>
      </c>
      <c r="G1075" s="39" t="str">
        <f aca="false">UPPER(TRIM(C1075))</f>
        <v>P016</v>
      </c>
      <c r="H1075" s="39" t="str">
        <f aca="false">IF(ISNUMBER(MATCH(G1075,Products!$A$5:$A$24,0)),"OK","Mismatch")</f>
        <v>OK</v>
      </c>
      <c r="I1075" s="39" t="str">
        <f aca="false">IF(COUNTIF($A$5:A1075,A1075)&gt;1,"Duplicate","Unique")</f>
        <v>Unique</v>
      </c>
      <c r="J1075" s="39" t="str">
        <f aca="false">IF(I1075="Duplicate","Remove",IF(H1075="Mismatch","Exclude","Keep"))</f>
        <v>Keep</v>
      </c>
    </row>
    <row r="1076" customFormat="false" ht="15" hidden="false" customHeight="false" outlineLevel="0" collapsed="false">
      <c r="A1076" s="39" t="s">
        <v>1178</v>
      </c>
      <c r="B1076" s="40" t="n">
        <v>45811</v>
      </c>
      <c r="C1076" s="39" t="s">
        <v>133</v>
      </c>
      <c r="D1076" s="39" t="n">
        <v>3</v>
      </c>
      <c r="E1076" s="41" t="n">
        <v>8.33</v>
      </c>
      <c r="F1076" s="39" t="s">
        <v>118</v>
      </c>
      <c r="G1076" s="39" t="str">
        <f aca="false">UPPER(TRIM(C1076))</f>
        <v>P019</v>
      </c>
      <c r="H1076" s="39" t="str">
        <f aca="false">IF(ISNUMBER(MATCH(G1076,Products!$A$5:$A$24,0)),"OK","Mismatch")</f>
        <v>OK</v>
      </c>
      <c r="I1076" s="39" t="str">
        <f aca="false">IF(COUNTIF($A$5:A1076,A1076)&gt;1,"Duplicate","Unique")</f>
        <v>Unique</v>
      </c>
      <c r="J1076" s="39" t="str">
        <f aca="false">IF(I1076="Duplicate","Remove",IF(H1076="Mismatch","Exclude","Keep"))</f>
        <v>Keep</v>
      </c>
    </row>
    <row r="1077" customFormat="false" ht="15" hidden="false" customHeight="false" outlineLevel="0" collapsed="false">
      <c r="A1077" s="39" t="s">
        <v>1179</v>
      </c>
      <c r="B1077" s="40" t="n">
        <v>45811</v>
      </c>
      <c r="C1077" s="39" t="s">
        <v>128</v>
      </c>
      <c r="D1077" s="39" t="n">
        <v>3</v>
      </c>
      <c r="E1077" s="41" t="n">
        <v>38.57</v>
      </c>
      <c r="F1077" s="39" t="s">
        <v>108</v>
      </c>
      <c r="G1077" s="39" t="str">
        <f aca="false">UPPER(TRIM(C1077))</f>
        <v>P020</v>
      </c>
      <c r="H1077" s="39" t="str">
        <f aca="false">IF(ISNUMBER(MATCH(G1077,Products!$A$5:$A$24,0)),"OK","Mismatch")</f>
        <v>OK</v>
      </c>
      <c r="I1077" s="39" t="str">
        <f aca="false">IF(COUNTIF($A$5:A1077,A1077)&gt;1,"Duplicate","Unique")</f>
        <v>Unique</v>
      </c>
      <c r="J1077" s="39" t="str">
        <f aca="false">IF(I1077="Duplicate","Remove",IF(H1077="Mismatch","Exclude","Keep"))</f>
        <v>Keep</v>
      </c>
    </row>
    <row r="1078" customFormat="false" ht="15" hidden="false" customHeight="false" outlineLevel="0" collapsed="false">
      <c r="A1078" s="39" t="s">
        <v>1180</v>
      </c>
      <c r="B1078" s="40" t="n">
        <v>45811</v>
      </c>
      <c r="C1078" s="39" t="s">
        <v>133</v>
      </c>
      <c r="D1078" s="39" t="n">
        <v>2</v>
      </c>
      <c r="E1078" s="41" t="n">
        <v>8.59</v>
      </c>
      <c r="F1078" s="39" t="s">
        <v>118</v>
      </c>
      <c r="G1078" s="39" t="str">
        <f aca="false">UPPER(TRIM(C1078))</f>
        <v>P019</v>
      </c>
      <c r="H1078" s="39" t="str">
        <f aca="false">IF(ISNUMBER(MATCH(G1078,Products!$A$5:$A$24,0)),"OK","Mismatch")</f>
        <v>OK</v>
      </c>
      <c r="I1078" s="39" t="str">
        <f aca="false">IF(COUNTIF($A$5:A1078,A1078)&gt;1,"Duplicate","Unique")</f>
        <v>Unique</v>
      </c>
      <c r="J1078" s="39" t="str">
        <f aca="false">IF(I1078="Duplicate","Remove",IF(H1078="Mismatch","Exclude","Keep"))</f>
        <v>Keep</v>
      </c>
    </row>
    <row r="1079" customFormat="false" ht="15" hidden="false" customHeight="false" outlineLevel="0" collapsed="false">
      <c r="A1079" s="39" t="s">
        <v>1181</v>
      </c>
      <c r="B1079" s="40" t="n">
        <v>45811</v>
      </c>
      <c r="C1079" s="39" t="s">
        <v>104</v>
      </c>
      <c r="D1079" s="39" t="n">
        <v>1</v>
      </c>
      <c r="E1079" s="41" t="n">
        <v>15.32</v>
      </c>
      <c r="F1079" s="39" t="s">
        <v>118</v>
      </c>
      <c r="G1079" s="39" t="str">
        <f aca="false">UPPER(TRIM(C1079))</f>
        <v>P015</v>
      </c>
      <c r="H1079" s="39" t="str">
        <f aca="false">IF(ISNUMBER(MATCH(G1079,Products!$A$5:$A$24,0)),"OK","Mismatch")</f>
        <v>OK</v>
      </c>
      <c r="I1079" s="39" t="str">
        <f aca="false">IF(COUNTIF($A$5:A1079,A1079)&gt;1,"Duplicate","Unique")</f>
        <v>Unique</v>
      </c>
      <c r="J1079" s="39" t="str">
        <f aca="false">IF(I1079="Duplicate","Remove",IF(H1079="Mismatch","Exclude","Keep"))</f>
        <v>Keep</v>
      </c>
    </row>
    <row r="1080" customFormat="false" ht="15" hidden="false" customHeight="false" outlineLevel="0" collapsed="false">
      <c r="A1080" s="39" t="s">
        <v>1182</v>
      </c>
      <c r="B1080" s="40" t="n">
        <v>45811</v>
      </c>
      <c r="C1080" s="39" t="s">
        <v>169</v>
      </c>
      <c r="D1080" s="39" t="n">
        <v>8</v>
      </c>
      <c r="E1080" s="41" t="n">
        <v>28.64</v>
      </c>
      <c r="F1080" s="39" t="s">
        <v>115</v>
      </c>
      <c r="G1080" s="39" t="str">
        <f aca="false">UPPER(TRIM(C1080))</f>
        <v>P004</v>
      </c>
      <c r="H1080" s="39" t="str">
        <f aca="false">IF(ISNUMBER(MATCH(G1080,Products!$A$5:$A$24,0)),"OK","Mismatch")</f>
        <v>OK</v>
      </c>
      <c r="I1080" s="39" t="str">
        <f aca="false">IF(COUNTIF($A$5:A1080,A1080)&gt;1,"Duplicate","Unique")</f>
        <v>Unique</v>
      </c>
      <c r="J1080" s="39" t="str">
        <f aca="false">IF(I1080="Duplicate","Remove",IF(H1080="Mismatch","Exclude","Keep"))</f>
        <v>Keep</v>
      </c>
    </row>
    <row r="1081" customFormat="false" ht="15" hidden="false" customHeight="false" outlineLevel="0" collapsed="false">
      <c r="A1081" s="39" t="s">
        <v>1183</v>
      </c>
      <c r="B1081" s="40" t="n">
        <v>45811</v>
      </c>
      <c r="C1081" s="39" t="s">
        <v>110</v>
      </c>
      <c r="D1081" s="39" t="n">
        <v>3</v>
      </c>
      <c r="E1081" s="41" t="n">
        <v>12.95</v>
      </c>
      <c r="F1081" s="39" t="s">
        <v>115</v>
      </c>
      <c r="G1081" s="39" t="str">
        <f aca="false">UPPER(TRIM(C1081))</f>
        <v>P016</v>
      </c>
      <c r="H1081" s="39" t="str">
        <f aca="false">IF(ISNUMBER(MATCH(G1081,Products!$A$5:$A$24,0)),"OK","Mismatch")</f>
        <v>OK</v>
      </c>
      <c r="I1081" s="39" t="str">
        <f aca="false">IF(COUNTIF($A$5:A1081,A1081)&gt;1,"Duplicate","Unique")</f>
        <v>Unique</v>
      </c>
      <c r="J1081" s="39" t="str">
        <f aca="false">IF(I1081="Duplicate","Remove",IF(H1081="Mismatch","Exclude","Keep"))</f>
        <v>Keep</v>
      </c>
    </row>
    <row r="1082" customFormat="false" ht="15" hidden="false" customHeight="false" outlineLevel="0" collapsed="false">
      <c r="A1082" s="39" t="s">
        <v>1184</v>
      </c>
      <c r="B1082" s="40" t="n">
        <v>45811</v>
      </c>
      <c r="C1082" s="39" t="s">
        <v>133</v>
      </c>
      <c r="D1082" s="39" t="n">
        <v>1</v>
      </c>
      <c r="E1082" s="41" t="n">
        <v>8.28</v>
      </c>
      <c r="F1082" s="39" t="s">
        <v>108</v>
      </c>
      <c r="G1082" s="39" t="str">
        <f aca="false">UPPER(TRIM(C1082))</f>
        <v>P019</v>
      </c>
      <c r="H1082" s="39" t="str">
        <f aca="false">IF(ISNUMBER(MATCH(G1082,Products!$A$5:$A$24,0)),"OK","Mismatch")</f>
        <v>OK</v>
      </c>
      <c r="I1082" s="39" t="str">
        <f aca="false">IF(COUNTIF($A$5:A1082,A1082)&gt;1,"Duplicate","Unique")</f>
        <v>Unique</v>
      </c>
      <c r="J1082" s="39" t="str">
        <f aca="false">IF(I1082="Duplicate","Remove",IF(H1082="Mismatch","Exclude","Keep"))</f>
        <v>Keep</v>
      </c>
    </row>
    <row r="1083" customFormat="false" ht="15" hidden="false" customHeight="false" outlineLevel="0" collapsed="false">
      <c r="A1083" s="39" t="s">
        <v>1185</v>
      </c>
      <c r="B1083" s="40" t="n">
        <v>45811</v>
      </c>
      <c r="C1083" s="39" t="s">
        <v>130</v>
      </c>
      <c r="D1083" s="39" t="n">
        <v>6</v>
      </c>
      <c r="E1083" s="41" t="n">
        <v>8.33</v>
      </c>
      <c r="F1083" s="39" t="s">
        <v>115</v>
      </c>
      <c r="G1083" s="39" t="str">
        <f aca="false">UPPER(TRIM(C1083))</f>
        <v>P011</v>
      </c>
      <c r="H1083" s="39" t="str">
        <f aca="false">IF(ISNUMBER(MATCH(G1083,Products!$A$5:$A$24,0)),"OK","Mismatch")</f>
        <v>OK</v>
      </c>
      <c r="I1083" s="39" t="str">
        <f aca="false">IF(COUNTIF($A$5:A1083,A1083)&gt;1,"Duplicate","Unique")</f>
        <v>Unique</v>
      </c>
      <c r="J1083" s="39" t="str">
        <f aca="false">IF(I1083="Duplicate","Remove",IF(H1083="Mismatch","Exclude","Keep"))</f>
        <v>Keep</v>
      </c>
    </row>
    <row r="1084" customFormat="false" ht="15" hidden="false" customHeight="false" outlineLevel="0" collapsed="false">
      <c r="A1084" s="39" t="s">
        <v>1186</v>
      </c>
      <c r="B1084" s="40" t="n">
        <v>45811</v>
      </c>
      <c r="C1084" s="39" t="s">
        <v>117</v>
      </c>
      <c r="D1084" s="39" t="n">
        <v>6</v>
      </c>
      <c r="E1084" s="41" t="n">
        <v>31.2</v>
      </c>
      <c r="F1084" s="39" t="s">
        <v>108</v>
      </c>
      <c r="G1084" s="39" t="str">
        <f aca="false">UPPER(TRIM(C1084))</f>
        <v>P009</v>
      </c>
      <c r="H1084" s="39" t="str">
        <f aca="false">IF(ISNUMBER(MATCH(G1084,Products!$A$5:$A$24,0)),"OK","Mismatch")</f>
        <v>OK</v>
      </c>
      <c r="I1084" s="39" t="str">
        <f aca="false">IF(COUNTIF($A$5:A1084,A1084)&gt;1,"Duplicate","Unique")</f>
        <v>Unique</v>
      </c>
      <c r="J1084" s="39" t="str">
        <f aca="false">IF(I1084="Duplicate","Remove",IF(H1084="Mismatch","Exclude","Keep"))</f>
        <v>Keep</v>
      </c>
    </row>
    <row r="1085" customFormat="false" ht="15" hidden="false" customHeight="false" outlineLevel="0" collapsed="false">
      <c r="A1085" s="39" t="s">
        <v>1187</v>
      </c>
      <c r="B1085" s="40" t="n">
        <v>45812</v>
      </c>
      <c r="C1085" s="39" t="s">
        <v>104</v>
      </c>
      <c r="D1085" s="39" t="n">
        <v>6</v>
      </c>
      <c r="E1085" s="41" t="n">
        <v>15.99</v>
      </c>
      <c r="F1085" s="39" t="s">
        <v>105</v>
      </c>
      <c r="G1085" s="39" t="str">
        <f aca="false">UPPER(TRIM(C1085))</f>
        <v>P015</v>
      </c>
      <c r="H1085" s="39" t="str">
        <f aca="false">IF(ISNUMBER(MATCH(G1085,Products!$A$5:$A$24,0)),"OK","Mismatch")</f>
        <v>OK</v>
      </c>
      <c r="I1085" s="39" t="str">
        <f aca="false">IF(COUNTIF($A$5:A1085,A1085)&gt;1,"Duplicate","Unique")</f>
        <v>Unique</v>
      </c>
      <c r="J1085" s="39" t="str">
        <f aca="false">IF(I1085="Duplicate","Remove",IF(H1085="Mismatch","Exclude","Keep"))</f>
        <v>Keep</v>
      </c>
    </row>
    <row r="1086" customFormat="false" ht="15" hidden="false" customHeight="false" outlineLevel="0" collapsed="false">
      <c r="A1086" s="39" t="s">
        <v>1188</v>
      </c>
      <c r="B1086" s="40" t="n">
        <v>45812</v>
      </c>
      <c r="C1086" s="39" t="s">
        <v>121</v>
      </c>
      <c r="D1086" s="39" t="n">
        <v>1</v>
      </c>
      <c r="E1086" s="41" t="n">
        <v>110.45</v>
      </c>
      <c r="F1086" s="39" t="s">
        <v>105</v>
      </c>
      <c r="G1086" s="39" t="str">
        <f aca="false">UPPER(TRIM(C1086))</f>
        <v>P018</v>
      </c>
      <c r="H1086" s="39" t="str">
        <f aca="false">IF(ISNUMBER(MATCH(G1086,Products!$A$5:$A$24,0)),"OK","Mismatch")</f>
        <v>OK</v>
      </c>
      <c r="I1086" s="39" t="str">
        <f aca="false">IF(COUNTIF($A$5:A1086,A1086)&gt;1,"Duplicate","Unique")</f>
        <v>Unique</v>
      </c>
      <c r="J1086" s="39" t="str">
        <f aca="false">IF(I1086="Duplicate","Remove",IF(H1086="Mismatch","Exclude","Keep"))</f>
        <v>Keep</v>
      </c>
    </row>
    <row r="1087" customFormat="false" ht="15" hidden="false" customHeight="false" outlineLevel="0" collapsed="false">
      <c r="A1087" s="39" t="s">
        <v>1189</v>
      </c>
      <c r="B1087" s="40" t="n">
        <v>45812</v>
      </c>
      <c r="C1087" s="39" t="s">
        <v>305</v>
      </c>
      <c r="D1087" s="39" t="n">
        <v>2</v>
      </c>
      <c r="E1087" s="41" t="n">
        <v>329.43</v>
      </c>
      <c r="F1087" s="39" t="s">
        <v>115</v>
      </c>
      <c r="G1087" s="39" t="str">
        <f aca="false">UPPER(TRIM(C1087))</f>
        <v>P008</v>
      </c>
      <c r="H1087" s="39" t="str">
        <f aca="false">IF(ISNUMBER(MATCH(G1087,Products!$A$5:$A$24,0)),"OK","Mismatch")</f>
        <v>OK</v>
      </c>
      <c r="I1087" s="39" t="str">
        <f aca="false">IF(COUNTIF($A$5:A1087,A1087)&gt;1,"Duplicate","Unique")</f>
        <v>Unique</v>
      </c>
      <c r="J1087" s="39" t="str">
        <f aca="false">IF(I1087="Duplicate","Remove",IF(H1087="Mismatch","Exclude","Keep"))</f>
        <v>Keep</v>
      </c>
    </row>
    <row r="1088" customFormat="false" ht="15" hidden="false" customHeight="false" outlineLevel="0" collapsed="false">
      <c r="A1088" s="39" t="s">
        <v>1190</v>
      </c>
      <c r="B1088" s="40" t="n">
        <v>45812</v>
      </c>
      <c r="C1088" s="39" t="s">
        <v>162</v>
      </c>
      <c r="D1088" s="39" t="n">
        <v>1</v>
      </c>
      <c r="E1088" s="41" t="n">
        <v>64.91</v>
      </c>
      <c r="F1088" s="39" t="s">
        <v>105</v>
      </c>
      <c r="G1088" s="39" t="str">
        <f aca="false">UPPER(TRIM(C1088))</f>
        <v>P017</v>
      </c>
      <c r="H1088" s="39" t="str">
        <f aca="false">IF(ISNUMBER(MATCH(G1088,Products!$A$5:$A$24,0)),"OK","Mismatch")</f>
        <v>OK</v>
      </c>
      <c r="I1088" s="39" t="str">
        <f aca="false">IF(COUNTIF($A$5:A1088,A1088)&gt;1,"Duplicate","Unique")</f>
        <v>Unique</v>
      </c>
      <c r="J1088" s="39" t="str">
        <f aca="false">IF(I1088="Duplicate","Remove",IF(H1088="Mismatch","Exclude","Keep"))</f>
        <v>Keep</v>
      </c>
    </row>
    <row r="1089" customFormat="false" ht="15" hidden="false" customHeight="false" outlineLevel="0" collapsed="false">
      <c r="A1089" s="39" t="s">
        <v>1191</v>
      </c>
      <c r="B1089" s="40" t="n">
        <v>45812</v>
      </c>
      <c r="C1089" s="39" t="s">
        <v>177</v>
      </c>
      <c r="D1089" s="39" t="n">
        <v>3</v>
      </c>
      <c r="E1089" s="41" t="n">
        <v>44.78</v>
      </c>
      <c r="F1089" s="39" t="s">
        <v>115</v>
      </c>
      <c r="G1089" s="39" t="str">
        <f aca="false">UPPER(TRIM(C1089))</f>
        <v>P014</v>
      </c>
      <c r="H1089" s="39" t="str">
        <f aca="false">IF(ISNUMBER(MATCH(G1089,Products!$A$5:$A$24,0)),"OK","Mismatch")</f>
        <v>OK</v>
      </c>
      <c r="I1089" s="39" t="str">
        <f aca="false">IF(COUNTIF($A$5:A1089,A1089)&gt;1,"Duplicate","Unique")</f>
        <v>Unique</v>
      </c>
      <c r="J1089" s="39" t="str">
        <f aca="false">IF(I1089="Duplicate","Remove",IF(H1089="Mismatch","Exclude","Keep"))</f>
        <v>Keep</v>
      </c>
    </row>
    <row r="1090" customFormat="false" ht="15" hidden="false" customHeight="false" outlineLevel="0" collapsed="false">
      <c r="A1090" s="39" t="s">
        <v>1192</v>
      </c>
      <c r="B1090" s="40" t="n">
        <v>45812</v>
      </c>
      <c r="C1090" s="39" t="s">
        <v>133</v>
      </c>
      <c r="D1090" s="39" t="n">
        <v>3</v>
      </c>
      <c r="E1090" s="41" t="n">
        <v>8.8</v>
      </c>
      <c r="F1090" s="39" t="s">
        <v>115</v>
      </c>
      <c r="G1090" s="39" t="str">
        <f aca="false">UPPER(TRIM(C1090))</f>
        <v>P019</v>
      </c>
      <c r="H1090" s="39" t="str">
        <f aca="false">IF(ISNUMBER(MATCH(G1090,Products!$A$5:$A$24,0)),"OK","Mismatch")</f>
        <v>OK</v>
      </c>
      <c r="I1090" s="39" t="str">
        <f aca="false">IF(COUNTIF($A$5:A1090,A1090)&gt;1,"Duplicate","Unique")</f>
        <v>Unique</v>
      </c>
      <c r="J1090" s="39" t="str">
        <f aca="false">IF(I1090="Duplicate","Remove",IF(H1090="Mismatch","Exclude","Keep"))</f>
        <v>Keep</v>
      </c>
    </row>
    <row r="1091" customFormat="false" ht="15" hidden="false" customHeight="false" outlineLevel="0" collapsed="false">
      <c r="A1091" s="39" t="s">
        <v>1193</v>
      </c>
      <c r="B1091" s="40" t="n">
        <v>45812</v>
      </c>
      <c r="C1091" s="39" t="s">
        <v>169</v>
      </c>
      <c r="D1091" s="39" t="n">
        <v>3</v>
      </c>
      <c r="E1091" s="41" t="n">
        <v>28.82</v>
      </c>
      <c r="F1091" s="39" t="s">
        <v>108</v>
      </c>
      <c r="G1091" s="39" t="str">
        <f aca="false">UPPER(TRIM(C1091))</f>
        <v>P004</v>
      </c>
      <c r="H1091" s="39" t="str">
        <f aca="false">IF(ISNUMBER(MATCH(G1091,Products!$A$5:$A$24,0)),"OK","Mismatch")</f>
        <v>OK</v>
      </c>
      <c r="I1091" s="39" t="str">
        <f aca="false">IF(COUNTIF($A$5:A1091,A1091)&gt;1,"Duplicate","Unique")</f>
        <v>Unique</v>
      </c>
      <c r="J1091" s="39" t="str">
        <f aca="false">IF(I1091="Duplicate","Remove",IF(H1091="Mismatch","Exclude","Keep"))</f>
        <v>Keep</v>
      </c>
    </row>
    <row r="1092" customFormat="false" ht="15" hidden="false" customHeight="false" outlineLevel="0" collapsed="false">
      <c r="A1092" s="39" t="s">
        <v>1194</v>
      </c>
      <c r="B1092" s="40" t="n">
        <v>45812</v>
      </c>
      <c r="C1092" s="39" t="s">
        <v>144</v>
      </c>
      <c r="D1092" s="39" t="n">
        <v>4</v>
      </c>
      <c r="E1092" s="41" t="n">
        <v>55.98</v>
      </c>
      <c r="F1092" s="39" t="s">
        <v>118</v>
      </c>
      <c r="G1092" s="39" t="str">
        <f aca="false">UPPER(TRIM(C1092))</f>
        <v>P013</v>
      </c>
      <c r="H1092" s="39" t="str">
        <f aca="false">IF(ISNUMBER(MATCH(G1092,Products!$A$5:$A$24,0)),"OK","Mismatch")</f>
        <v>OK</v>
      </c>
      <c r="I1092" s="39" t="str">
        <f aca="false">IF(COUNTIF($A$5:A1092,A1092)&gt;1,"Duplicate","Unique")</f>
        <v>Unique</v>
      </c>
      <c r="J1092" s="39" t="str">
        <f aca="false">IF(I1092="Duplicate","Remove",IF(H1092="Mismatch","Exclude","Keep"))</f>
        <v>Keep</v>
      </c>
    </row>
    <row r="1093" customFormat="false" ht="15" hidden="false" customHeight="false" outlineLevel="0" collapsed="false">
      <c r="A1093" s="39" t="s">
        <v>1195</v>
      </c>
      <c r="B1093" s="40" t="n">
        <v>45812</v>
      </c>
      <c r="C1093" s="39" t="s">
        <v>305</v>
      </c>
      <c r="D1093" s="39" t="n">
        <v>2</v>
      </c>
      <c r="E1093" s="41" t="n">
        <v>329.86</v>
      </c>
      <c r="F1093" s="39" t="s">
        <v>105</v>
      </c>
      <c r="G1093" s="39" t="str">
        <f aca="false">UPPER(TRIM(C1093))</f>
        <v>P008</v>
      </c>
      <c r="H1093" s="39" t="str">
        <f aca="false">IF(ISNUMBER(MATCH(G1093,Products!$A$5:$A$24,0)),"OK","Mismatch")</f>
        <v>OK</v>
      </c>
      <c r="I1093" s="39" t="str">
        <f aca="false">IF(COUNTIF($A$5:A1093,A1093)&gt;1,"Duplicate","Unique")</f>
        <v>Unique</v>
      </c>
      <c r="J1093" s="39" t="str">
        <f aca="false">IF(I1093="Duplicate","Remove",IF(H1093="Mismatch","Exclude","Keep"))</f>
        <v>Keep</v>
      </c>
    </row>
    <row r="1094" customFormat="false" ht="15" hidden="false" customHeight="false" outlineLevel="0" collapsed="false">
      <c r="A1094" s="39" t="s">
        <v>1196</v>
      </c>
      <c r="B1094" s="40" t="n">
        <v>45812</v>
      </c>
      <c r="C1094" s="39" t="s">
        <v>126</v>
      </c>
      <c r="D1094" s="39" t="n">
        <v>2</v>
      </c>
      <c r="E1094" s="41" t="n">
        <v>24.16</v>
      </c>
      <c r="F1094" s="39" t="s">
        <v>105</v>
      </c>
      <c r="G1094" s="39" t="str">
        <f aca="false">UPPER(TRIM(C1094))</f>
        <v>P001</v>
      </c>
      <c r="H1094" s="39" t="str">
        <f aca="false">IF(ISNUMBER(MATCH(G1094,Products!$A$5:$A$24,0)),"OK","Mismatch")</f>
        <v>OK</v>
      </c>
      <c r="I1094" s="39" t="str">
        <f aca="false">IF(COUNTIF($A$5:A1094,A1094)&gt;1,"Duplicate","Unique")</f>
        <v>Unique</v>
      </c>
      <c r="J1094" s="39" t="str">
        <f aca="false">IF(I1094="Duplicate","Remove",IF(H1094="Mismatch","Exclude","Keep"))</f>
        <v>Keep</v>
      </c>
    </row>
    <row r="1095" customFormat="false" ht="15" hidden="false" customHeight="false" outlineLevel="0" collapsed="false">
      <c r="A1095" s="39" t="s">
        <v>1197</v>
      </c>
      <c r="B1095" s="40" t="n">
        <v>45812</v>
      </c>
      <c r="C1095" s="39" t="s">
        <v>126</v>
      </c>
      <c r="D1095" s="39" t="n">
        <v>1</v>
      </c>
      <c r="E1095" s="41" t="n">
        <v>23.34</v>
      </c>
      <c r="F1095" s="39" t="s">
        <v>115</v>
      </c>
      <c r="G1095" s="39" t="str">
        <f aca="false">UPPER(TRIM(C1095))</f>
        <v>P001</v>
      </c>
      <c r="H1095" s="39" t="str">
        <f aca="false">IF(ISNUMBER(MATCH(G1095,Products!$A$5:$A$24,0)),"OK","Mismatch")</f>
        <v>OK</v>
      </c>
      <c r="I1095" s="39" t="str">
        <f aca="false">IF(COUNTIF($A$5:A1095,A1095)&gt;1,"Duplicate","Unique")</f>
        <v>Unique</v>
      </c>
      <c r="J1095" s="39" t="str">
        <f aca="false">IF(I1095="Duplicate","Remove",IF(H1095="Mismatch","Exclude","Keep"))</f>
        <v>Keep</v>
      </c>
    </row>
    <row r="1096" customFormat="false" ht="15" hidden="false" customHeight="false" outlineLevel="0" collapsed="false">
      <c r="A1096" s="39" t="s">
        <v>1198</v>
      </c>
      <c r="B1096" s="40" t="n">
        <v>45812</v>
      </c>
      <c r="C1096" s="39" t="s">
        <v>121</v>
      </c>
      <c r="D1096" s="39" t="n">
        <v>2</v>
      </c>
      <c r="E1096" s="41" t="n">
        <v>118.44</v>
      </c>
      <c r="F1096" s="39" t="s">
        <v>115</v>
      </c>
      <c r="G1096" s="39" t="str">
        <f aca="false">UPPER(TRIM(C1096))</f>
        <v>P018</v>
      </c>
      <c r="H1096" s="39" t="str">
        <f aca="false">IF(ISNUMBER(MATCH(G1096,Products!$A$5:$A$24,0)),"OK","Mismatch")</f>
        <v>OK</v>
      </c>
      <c r="I1096" s="39" t="str">
        <f aca="false">IF(COUNTIF($A$5:A1096,A1096)&gt;1,"Duplicate","Unique")</f>
        <v>Unique</v>
      </c>
      <c r="J1096" s="39" t="str">
        <f aca="false">IF(I1096="Duplicate","Remove",IF(H1096="Mismatch","Exclude","Keep"))</f>
        <v>Keep</v>
      </c>
    </row>
    <row r="1097" customFormat="false" ht="15" hidden="false" customHeight="false" outlineLevel="0" collapsed="false">
      <c r="A1097" s="39" t="s">
        <v>1199</v>
      </c>
      <c r="B1097" s="40" t="n">
        <v>45813</v>
      </c>
      <c r="C1097" s="39" t="s">
        <v>153</v>
      </c>
      <c r="D1097" s="39" t="n">
        <v>5</v>
      </c>
      <c r="E1097" s="41" t="n">
        <v>178.29</v>
      </c>
      <c r="F1097" s="39" t="s">
        <v>115</v>
      </c>
      <c r="G1097" s="39" t="str">
        <f aca="false">UPPER(TRIM(C1097))</f>
        <v>P010</v>
      </c>
      <c r="H1097" s="39" t="str">
        <f aca="false">IF(ISNUMBER(MATCH(G1097,Products!$A$5:$A$24,0)),"OK","Mismatch")</f>
        <v>OK</v>
      </c>
      <c r="I1097" s="39" t="str">
        <f aca="false">IF(COUNTIF($A$5:A1097,A1097)&gt;1,"Duplicate","Unique")</f>
        <v>Unique</v>
      </c>
      <c r="J1097" s="39" t="str">
        <f aca="false">IF(I1097="Duplicate","Remove",IF(H1097="Mismatch","Exclude","Keep"))</f>
        <v>Keep</v>
      </c>
    </row>
    <row r="1098" customFormat="false" ht="15" hidden="false" customHeight="false" outlineLevel="0" collapsed="false">
      <c r="A1098" s="39" t="s">
        <v>1200</v>
      </c>
      <c r="B1098" s="40" t="n">
        <v>45813</v>
      </c>
      <c r="C1098" s="39" t="s">
        <v>112</v>
      </c>
      <c r="D1098" s="39" t="n">
        <v>3</v>
      </c>
      <c r="E1098" s="41" t="n">
        <v>50.99</v>
      </c>
      <c r="F1098" s="39" t="s">
        <v>105</v>
      </c>
      <c r="G1098" s="39" t="str">
        <f aca="false">UPPER(TRIM(C1098))</f>
        <v>P005</v>
      </c>
      <c r="H1098" s="39" t="str">
        <f aca="false">IF(ISNUMBER(MATCH(G1098,Products!$A$5:$A$24,0)),"OK","Mismatch")</f>
        <v>OK</v>
      </c>
      <c r="I1098" s="39" t="str">
        <f aca="false">IF(COUNTIF($A$5:A1098,A1098)&gt;1,"Duplicate","Unique")</f>
        <v>Unique</v>
      </c>
      <c r="J1098" s="39" t="str">
        <f aca="false">IF(I1098="Duplicate","Remove",IF(H1098="Mismatch","Exclude","Keep"))</f>
        <v>Keep</v>
      </c>
    </row>
    <row r="1099" customFormat="false" ht="15" hidden="false" customHeight="false" outlineLevel="0" collapsed="false">
      <c r="A1099" s="39" t="s">
        <v>1201</v>
      </c>
      <c r="B1099" s="40" t="n">
        <v>45813</v>
      </c>
      <c r="C1099" s="39" t="s">
        <v>114</v>
      </c>
      <c r="D1099" s="39" t="n">
        <v>1</v>
      </c>
      <c r="E1099" s="41" t="n">
        <v>5.65</v>
      </c>
      <c r="F1099" s="39" t="s">
        <v>108</v>
      </c>
      <c r="G1099" s="39" t="str">
        <f aca="false">UPPER(TRIM(C1099))</f>
        <v>P012</v>
      </c>
      <c r="H1099" s="39" t="str">
        <f aca="false">IF(ISNUMBER(MATCH(G1099,Products!$A$5:$A$24,0)),"OK","Mismatch")</f>
        <v>OK</v>
      </c>
      <c r="I1099" s="39" t="str">
        <f aca="false">IF(COUNTIF($A$5:A1099,A1099)&gt;1,"Duplicate","Unique")</f>
        <v>Unique</v>
      </c>
      <c r="J1099" s="39" t="str">
        <f aca="false">IF(I1099="Duplicate","Remove",IF(H1099="Mismatch","Exclude","Keep"))</f>
        <v>Keep</v>
      </c>
    </row>
    <row r="1100" customFormat="false" ht="15" hidden="false" customHeight="false" outlineLevel="0" collapsed="false">
      <c r="A1100" s="39" t="s">
        <v>1202</v>
      </c>
      <c r="B1100" s="40" t="n">
        <v>45813</v>
      </c>
      <c r="C1100" s="39" t="s">
        <v>114</v>
      </c>
      <c r="D1100" s="39" t="n">
        <v>3</v>
      </c>
      <c r="E1100" s="41" t="n">
        <v>5.75</v>
      </c>
      <c r="F1100" s="39" t="s">
        <v>105</v>
      </c>
      <c r="G1100" s="39" t="str">
        <f aca="false">UPPER(TRIM(C1100))</f>
        <v>P012</v>
      </c>
      <c r="H1100" s="39" t="str">
        <f aca="false">IF(ISNUMBER(MATCH(G1100,Products!$A$5:$A$24,0)),"OK","Mismatch")</f>
        <v>OK</v>
      </c>
      <c r="I1100" s="39" t="str">
        <f aca="false">IF(COUNTIF($A$5:A1100,A1100)&gt;1,"Duplicate","Unique")</f>
        <v>Unique</v>
      </c>
      <c r="J1100" s="39" t="str">
        <f aca="false">IF(I1100="Duplicate","Remove",IF(H1100="Mismatch","Exclude","Keep"))</f>
        <v>Keep</v>
      </c>
    </row>
    <row r="1101" customFormat="false" ht="15" hidden="false" customHeight="false" outlineLevel="0" collapsed="false">
      <c r="A1101" s="39" t="s">
        <v>1203</v>
      </c>
      <c r="B1101" s="40" t="n">
        <v>45813</v>
      </c>
      <c r="C1101" s="39" t="s">
        <v>107</v>
      </c>
      <c r="D1101" s="39" t="n">
        <v>3</v>
      </c>
      <c r="E1101" s="41" t="n">
        <v>33.8</v>
      </c>
      <c r="F1101" s="39" t="s">
        <v>118</v>
      </c>
      <c r="G1101" s="39" t="str">
        <f aca="false">UPPER(TRIM(C1101))</f>
        <v>P003</v>
      </c>
      <c r="H1101" s="39" t="str">
        <f aca="false">IF(ISNUMBER(MATCH(G1101,Products!$A$5:$A$24,0)),"OK","Mismatch")</f>
        <v>OK</v>
      </c>
      <c r="I1101" s="39" t="str">
        <f aca="false">IF(COUNTIF($A$5:A1101,A1101)&gt;1,"Duplicate","Unique")</f>
        <v>Unique</v>
      </c>
      <c r="J1101" s="39" t="str">
        <f aca="false">IF(I1101="Duplicate","Remove",IF(H1101="Mismatch","Exclude","Keep"))</f>
        <v>Keep</v>
      </c>
    </row>
    <row r="1102" customFormat="false" ht="15" hidden="false" customHeight="false" outlineLevel="0" collapsed="false">
      <c r="A1102" s="39" t="s">
        <v>1204</v>
      </c>
      <c r="B1102" s="40" t="n">
        <v>45813</v>
      </c>
      <c r="C1102" s="39" t="s">
        <v>104</v>
      </c>
      <c r="D1102" s="39" t="n">
        <v>1</v>
      </c>
      <c r="E1102" s="41" t="n">
        <v>15.22</v>
      </c>
      <c r="F1102" s="39" t="s">
        <v>108</v>
      </c>
      <c r="G1102" s="39" t="str">
        <f aca="false">UPPER(TRIM(C1102))</f>
        <v>P015</v>
      </c>
      <c r="H1102" s="39" t="str">
        <f aca="false">IF(ISNUMBER(MATCH(G1102,Products!$A$5:$A$24,0)),"OK","Mismatch")</f>
        <v>OK</v>
      </c>
      <c r="I1102" s="39" t="str">
        <f aca="false">IF(COUNTIF($A$5:A1102,A1102)&gt;1,"Duplicate","Unique")</f>
        <v>Unique</v>
      </c>
      <c r="J1102" s="39" t="str">
        <f aca="false">IF(I1102="Duplicate","Remove",IF(H1102="Mismatch","Exclude","Keep"))</f>
        <v>Keep</v>
      </c>
    </row>
    <row r="1103" customFormat="false" ht="15" hidden="false" customHeight="false" outlineLevel="0" collapsed="false">
      <c r="A1103" s="39" t="s">
        <v>1205</v>
      </c>
      <c r="B1103" s="40" t="n">
        <v>45813</v>
      </c>
      <c r="C1103" s="39" t="s">
        <v>130</v>
      </c>
      <c r="D1103" s="39" t="n">
        <v>2</v>
      </c>
      <c r="E1103" s="41" t="n">
        <v>8.82</v>
      </c>
      <c r="F1103" s="39" t="s">
        <v>105</v>
      </c>
      <c r="G1103" s="39" t="str">
        <f aca="false">UPPER(TRIM(C1103))</f>
        <v>P011</v>
      </c>
      <c r="H1103" s="39" t="str">
        <f aca="false">IF(ISNUMBER(MATCH(G1103,Products!$A$5:$A$24,0)),"OK","Mismatch")</f>
        <v>OK</v>
      </c>
      <c r="I1103" s="39" t="str">
        <f aca="false">IF(COUNTIF($A$5:A1103,A1103)&gt;1,"Duplicate","Unique")</f>
        <v>Unique</v>
      </c>
      <c r="J1103" s="39" t="str">
        <f aca="false">IF(I1103="Duplicate","Remove",IF(H1103="Mismatch","Exclude","Keep"))</f>
        <v>Keep</v>
      </c>
    </row>
    <row r="1104" customFormat="false" ht="15" hidden="false" customHeight="false" outlineLevel="0" collapsed="false">
      <c r="A1104" s="39" t="s">
        <v>1206</v>
      </c>
      <c r="B1104" s="40" t="n">
        <v>45814</v>
      </c>
      <c r="C1104" s="39" t="s">
        <v>183</v>
      </c>
      <c r="D1104" s="39" t="n">
        <v>2</v>
      </c>
      <c r="E1104" s="41" t="n">
        <v>177.86</v>
      </c>
      <c r="F1104" s="39" t="s">
        <v>115</v>
      </c>
      <c r="G1104" s="39" t="str">
        <f aca="false">UPPER(TRIM(C1104))</f>
        <v>P007</v>
      </c>
      <c r="H1104" s="39" t="str">
        <f aca="false">IF(ISNUMBER(MATCH(G1104,Products!$A$5:$A$24,0)),"OK","Mismatch")</f>
        <v>OK</v>
      </c>
      <c r="I1104" s="39" t="str">
        <f aca="false">IF(COUNTIF($A$5:A1104,A1104)&gt;1,"Duplicate","Unique")</f>
        <v>Unique</v>
      </c>
      <c r="J1104" s="39" t="str">
        <f aca="false">IF(I1104="Duplicate","Remove",IF(H1104="Mismatch","Exclude","Keep"))</f>
        <v>Keep</v>
      </c>
    </row>
    <row r="1105" customFormat="false" ht="15" hidden="false" customHeight="false" outlineLevel="0" collapsed="false">
      <c r="A1105" s="39" t="s">
        <v>1207</v>
      </c>
      <c r="B1105" s="40" t="n">
        <v>45814</v>
      </c>
      <c r="C1105" s="39" t="s">
        <v>169</v>
      </c>
      <c r="D1105" s="39" t="n">
        <v>5</v>
      </c>
      <c r="E1105" s="41" t="n">
        <v>27.75</v>
      </c>
      <c r="F1105" s="39" t="s">
        <v>108</v>
      </c>
      <c r="G1105" s="39" t="str">
        <f aca="false">UPPER(TRIM(C1105))</f>
        <v>P004</v>
      </c>
      <c r="H1105" s="39" t="str">
        <f aca="false">IF(ISNUMBER(MATCH(G1105,Products!$A$5:$A$24,0)),"OK","Mismatch")</f>
        <v>OK</v>
      </c>
      <c r="I1105" s="39" t="str">
        <f aca="false">IF(COUNTIF($A$5:A1105,A1105)&gt;1,"Duplicate","Unique")</f>
        <v>Unique</v>
      </c>
      <c r="J1105" s="39" t="str">
        <f aca="false">IF(I1105="Duplicate","Remove",IF(H1105="Mismatch","Exclude","Keep"))</f>
        <v>Keep</v>
      </c>
    </row>
    <row r="1106" customFormat="false" ht="15" hidden="false" customHeight="false" outlineLevel="0" collapsed="false">
      <c r="A1106" s="39" t="s">
        <v>1208</v>
      </c>
      <c r="B1106" s="40" t="n">
        <v>45814</v>
      </c>
      <c r="C1106" s="39" t="s">
        <v>112</v>
      </c>
      <c r="D1106" s="39" t="n">
        <v>2</v>
      </c>
      <c r="E1106" s="41" t="n">
        <v>51.94</v>
      </c>
      <c r="F1106" s="39" t="s">
        <v>105</v>
      </c>
      <c r="G1106" s="39" t="str">
        <f aca="false">UPPER(TRIM(C1106))</f>
        <v>P005</v>
      </c>
      <c r="H1106" s="39" t="str">
        <f aca="false">IF(ISNUMBER(MATCH(G1106,Products!$A$5:$A$24,0)),"OK","Mismatch")</f>
        <v>OK</v>
      </c>
      <c r="I1106" s="39" t="str">
        <f aca="false">IF(COUNTIF($A$5:A1106,A1106)&gt;1,"Duplicate","Unique")</f>
        <v>Unique</v>
      </c>
      <c r="J1106" s="39" t="str">
        <f aca="false">IF(I1106="Duplicate","Remove",IF(H1106="Mismatch","Exclude","Keep"))</f>
        <v>Keep</v>
      </c>
    </row>
    <row r="1107" customFormat="false" ht="15" hidden="false" customHeight="false" outlineLevel="0" collapsed="false">
      <c r="A1107" s="39" t="s">
        <v>1209</v>
      </c>
      <c r="B1107" s="40" t="n">
        <v>45814</v>
      </c>
      <c r="C1107" s="39" t="s">
        <v>130</v>
      </c>
      <c r="D1107" s="39" t="n">
        <v>5</v>
      </c>
      <c r="E1107" s="41" t="n">
        <v>8.61</v>
      </c>
      <c r="F1107" s="39" t="s">
        <v>118</v>
      </c>
      <c r="G1107" s="39" t="str">
        <f aca="false">UPPER(TRIM(C1107))</f>
        <v>P011</v>
      </c>
      <c r="H1107" s="39" t="str">
        <f aca="false">IF(ISNUMBER(MATCH(G1107,Products!$A$5:$A$24,0)),"OK","Mismatch")</f>
        <v>OK</v>
      </c>
      <c r="I1107" s="39" t="str">
        <f aca="false">IF(COUNTIF($A$5:A1107,A1107)&gt;1,"Duplicate","Unique")</f>
        <v>Unique</v>
      </c>
      <c r="J1107" s="39" t="str">
        <f aca="false">IF(I1107="Duplicate","Remove",IF(H1107="Mismatch","Exclude","Keep"))</f>
        <v>Keep</v>
      </c>
    </row>
    <row r="1108" customFormat="false" ht="15" hidden="false" customHeight="false" outlineLevel="0" collapsed="false">
      <c r="A1108" s="39" t="s">
        <v>1210</v>
      </c>
      <c r="B1108" s="40" t="n">
        <v>45814</v>
      </c>
      <c r="C1108" s="39" t="s">
        <v>126</v>
      </c>
      <c r="D1108" s="39" t="n">
        <v>3</v>
      </c>
      <c r="E1108" s="41" t="n">
        <v>24.72</v>
      </c>
      <c r="F1108" s="39" t="s">
        <v>105</v>
      </c>
      <c r="G1108" s="39" t="str">
        <f aca="false">UPPER(TRIM(C1108))</f>
        <v>P001</v>
      </c>
      <c r="H1108" s="39" t="str">
        <f aca="false">IF(ISNUMBER(MATCH(G1108,Products!$A$5:$A$24,0)),"OK","Mismatch")</f>
        <v>OK</v>
      </c>
      <c r="I1108" s="39" t="str">
        <f aca="false">IF(COUNTIF($A$5:A1108,A1108)&gt;1,"Duplicate","Unique")</f>
        <v>Unique</v>
      </c>
      <c r="J1108" s="39" t="str">
        <f aca="false">IF(I1108="Duplicate","Remove",IF(H1108="Mismatch","Exclude","Keep"))</f>
        <v>Keep</v>
      </c>
    </row>
    <row r="1109" customFormat="false" ht="15" hidden="false" customHeight="false" outlineLevel="0" collapsed="false">
      <c r="A1109" s="39" t="s">
        <v>1211</v>
      </c>
      <c r="B1109" s="40" t="n">
        <v>45814</v>
      </c>
      <c r="C1109" s="39" t="s">
        <v>130</v>
      </c>
      <c r="D1109" s="39" t="n">
        <v>2</v>
      </c>
      <c r="E1109" s="41" t="n">
        <v>8.43</v>
      </c>
      <c r="F1109" s="39" t="s">
        <v>115</v>
      </c>
      <c r="G1109" s="39" t="str">
        <f aca="false">UPPER(TRIM(C1109))</f>
        <v>P011</v>
      </c>
      <c r="H1109" s="39" t="str">
        <f aca="false">IF(ISNUMBER(MATCH(G1109,Products!$A$5:$A$24,0)),"OK","Mismatch")</f>
        <v>OK</v>
      </c>
      <c r="I1109" s="39" t="str">
        <f aca="false">IF(COUNTIF($A$5:A1109,A1109)&gt;1,"Duplicate","Unique")</f>
        <v>Unique</v>
      </c>
      <c r="J1109" s="39" t="str">
        <f aca="false">IF(I1109="Duplicate","Remove",IF(H1109="Mismatch","Exclude","Keep"))</f>
        <v>Keep</v>
      </c>
    </row>
    <row r="1110" customFormat="false" ht="15" hidden="false" customHeight="false" outlineLevel="0" collapsed="false">
      <c r="A1110" s="39" t="s">
        <v>1212</v>
      </c>
      <c r="B1110" s="40" t="n">
        <v>45815</v>
      </c>
      <c r="C1110" s="39" t="s">
        <v>305</v>
      </c>
      <c r="D1110" s="39" t="n">
        <v>1</v>
      </c>
      <c r="E1110" s="41" t="n">
        <v>343.19</v>
      </c>
      <c r="F1110" s="39" t="s">
        <v>108</v>
      </c>
      <c r="G1110" s="39" t="str">
        <f aca="false">UPPER(TRIM(C1110))</f>
        <v>P008</v>
      </c>
      <c r="H1110" s="39" t="str">
        <f aca="false">IF(ISNUMBER(MATCH(G1110,Products!$A$5:$A$24,0)),"OK","Mismatch")</f>
        <v>OK</v>
      </c>
      <c r="I1110" s="39" t="str">
        <f aca="false">IF(COUNTIF($A$5:A1110,A1110)&gt;1,"Duplicate","Unique")</f>
        <v>Unique</v>
      </c>
      <c r="J1110" s="39" t="str">
        <f aca="false">IF(I1110="Duplicate","Remove",IF(H1110="Mismatch","Exclude","Keep"))</f>
        <v>Keep</v>
      </c>
    </row>
    <row r="1111" customFormat="false" ht="15" hidden="false" customHeight="false" outlineLevel="0" collapsed="false">
      <c r="A1111" s="39" t="s">
        <v>1213</v>
      </c>
      <c r="B1111" s="40" t="n">
        <v>45815</v>
      </c>
      <c r="C1111" s="39" t="s">
        <v>130</v>
      </c>
      <c r="D1111" s="39" t="n">
        <v>5</v>
      </c>
      <c r="E1111" s="41" t="n">
        <v>8.9</v>
      </c>
      <c r="F1111" s="39" t="s">
        <v>105</v>
      </c>
      <c r="G1111" s="39" t="str">
        <f aca="false">UPPER(TRIM(C1111))</f>
        <v>P011</v>
      </c>
      <c r="H1111" s="39" t="str">
        <f aca="false">IF(ISNUMBER(MATCH(G1111,Products!$A$5:$A$24,0)),"OK","Mismatch")</f>
        <v>OK</v>
      </c>
      <c r="I1111" s="39" t="str">
        <f aca="false">IF(COUNTIF($A$5:A1111,A1111)&gt;1,"Duplicate","Unique")</f>
        <v>Unique</v>
      </c>
      <c r="J1111" s="39" t="str">
        <f aca="false">IF(I1111="Duplicate","Remove",IF(H1111="Mismatch","Exclude","Keep"))</f>
        <v>Keep</v>
      </c>
    </row>
    <row r="1112" customFormat="false" ht="15" hidden="false" customHeight="false" outlineLevel="0" collapsed="false">
      <c r="A1112" s="39" t="s">
        <v>1214</v>
      </c>
      <c r="B1112" s="40" t="n">
        <v>45815</v>
      </c>
      <c r="C1112" s="39" t="s">
        <v>177</v>
      </c>
      <c r="D1112" s="39" t="n">
        <v>5</v>
      </c>
      <c r="E1112" s="41" t="n">
        <v>42.25</v>
      </c>
      <c r="F1112" s="39" t="s">
        <v>108</v>
      </c>
      <c r="G1112" s="39" t="str">
        <f aca="false">UPPER(TRIM(C1112))</f>
        <v>P014</v>
      </c>
      <c r="H1112" s="39" t="str">
        <f aca="false">IF(ISNUMBER(MATCH(G1112,Products!$A$5:$A$24,0)),"OK","Mismatch")</f>
        <v>OK</v>
      </c>
      <c r="I1112" s="39" t="str">
        <f aca="false">IF(COUNTIF($A$5:A1112,A1112)&gt;1,"Duplicate","Unique")</f>
        <v>Unique</v>
      </c>
      <c r="J1112" s="39" t="str">
        <f aca="false">IF(I1112="Duplicate","Remove",IF(H1112="Mismatch","Exclude","Keep"))</f>
        <v>Keep</v>
      </c>
    </row>
    <row r="1113" customFormat="false" ht="15" hidden="false" customHeight="false" outlineLevel="0" collapsed="false">
      <c r="A1113" s="39" t="s">
        <v>1215</v>
      </c>
      <c r="B1113" s="40" t="n">
        <v>45815</v>
      </c>
      <c r="C1113" s="39" t="s">
        <v>130</v>
      </c>
      <c r="D1113" s="39" t="n">
        <v>2</v>
      </c>
      <c r="E1113" s="41" t="n">
        <v>8.92</v>
      </c>
      <c r="F1113" s="39" t="s">
        <v>108</v>
      </c>
      <c r="G1113" s="39" t="str">
        <f aca="false">UPPER(TRIM(C1113))</f>
        <v>P011</v>
      </c>
      <c r="H1113" s="39" t="str">
        <f aca="false">IF(ISNUMBER(MATCH(G1113,Products!$A$5:$A$24,0)),"OK","Mismatch")</f>
        <v>OK</v>
      </c>
      <c r="I1113" s="39" t="str">
        <f aca="false">IF(COUNTIF($A$5:A1113,A1113)&gt;1,"Duplicate","Unique")</f>
        <v>Unique</v>
      </c>
      <c r="J1113" s="39" t="str">
        <f aca="false">IF(I1113="Duplicate","Remove",IF(H1113="Mismatch","Exclude","Keep"))</f>
        <v>Keep</v>
      </c>
    </row>
    <row r="1114" customFormat="false" ht="15" hidden="false" customHeight="false" outlineLevel="0" collapsed="false">
      <c r="A1114" s="39" t="s">
        <v>1216</v>
      </c>
      <c r="B1114" s="40" t="n">
        <v>45815</v>
      </c>
      <c r="C1114" s="39" t="s">
        <v>126</v>
      </c>
      <c r="D1114" s="39" t="n">
        <v>1</v>
      </c>
      <c r="E1114" s="41" t="n">
        <v>23.55</v>
      </c>
      <c r="F1114" s="39" t="s">
        <v>108</v>
      </c>
      <c r="G1114" s="39" t="str">
        <f aca="false">UPPER(TRIM(C1114))</f>
        <v>P001</v>
      </c>
      <c r="H1114" s="39" t="str">
        <f aca="false">IF(ISNUMBER(MATCH(G1114,Products!$A$5:$A$24,0)),"OK","Mismatch")</f>
        <v>OK</v>
      </c>
      <c r="I1114" s="39" t="str">
        <f aca="false">IF(COUNTIF($A$5:A1114,A1114)&gt;1,"Duplicate","Unique")</f>
        <v>Unique</v>
      </c>
      <c r="J1114" s="39" t="str">
        <f aca="false">IF(I1114="Duplicate","Remove",IF(H1114="Mismatch","Exclude","Keep"))</f>
        <v>Keep</v>
      </c>
    </row>
    <row r="1115" customFormat="false" ht="15" hidden="false" customHeight="false" outlineLevel="0" collapsed="false">
      <c r="A1115" s="39" t="s">
        <v>1217</v>
      </c>
      <c r="B1115" s="40" t="n">
        <v>45815</v>
      </c>
      <c r="C1115" s="39" t="s">
        <v>117</v>
      </c>
      <c r="D1115" s="39" t="n">
        <v>8</v>
      </c>
      <c r="E1115" s="41" t="n">
        <v>31.76</v>
      </c>
      <c r="F1115" s="39" t="s">
        <v>108</v>
      </c>
      <c r="G1115" s="39" t="str">
        <f aca="false">UPPER(TRIM(C1115))</f>
        <v>P009</v>
      </c>
      <c r="H1115" s="39" t="str">
        <f aca="false">IF(ISNUMBER(MATCH(G1115,Products!$A$5:$A$24,0)),"OK","Mismatch")</f>
        <v>OK</v>
      </c>
      <c r="I1115" s="39" t="str">
        <f aca="false">IF(COUNTIF($A$5:A1115,A1115)&gt;1,"Duplicate","Unique")</f>
        <v>Unique</v>
      </c>
      <c r="J1115" s="39" t="str">
        <f aca="false">IF(I1115="Duplicate","Remove",IF(H1115="Mismatch","Exclude","Keep"))</f>
        <v>Keep</v>
      </c>
    </row>
    <row r="1116" customFormat="false" ht="15" hidden="false" customHeight="false" outlineLevel="0" collapsed="false">
      <c r="A1116" s="39" t="s">
        <v>1218</v>
      </c>
      <c r="B1116" s="40" t="n">
        <v>45815</v>
      </c>
      <c r="C1116" s="39" t="s">
        <v>104</v>
      </c>
      <c r="D1116" s="39" t="n">
        <v>5</v>
      </c>
      <c r="E1116" s="41" t="n">
        <v>15.56</v>
      </c>
      <c r="F1116" s="39" t="s">
        <v>108</v>
      </c>
      <c r="G1116" s="39" t="str">
        <f aca="false">UPPER(TRIM(C1116))</f>
        <v>P015</v>
      </c>
      <c r="H1116" s="39" t="str">
        <f aca="false">IF(ISNUMBER(MATCH(G1116,Products!$A$5:$A$24,0)),"OK","Mismatch")</f>
        <v>OK</v>
      </c>
      <c r="I1116" s="39" t="str">
        <f aca="false">IF(COUNTIF($A$5:A1116,A1116)&gt;1,"Duplicate","Unique")</f>
        <v>Unique</v>
      </c>
      <c r="J1116" s="39" t="str">
        <f aca="false">IF(I1116="Duplicate","Remove",IF(H1116="Mismatch","Exclude","Keep"))</f>
        <v>Keep</v>
      </c>
    </row>
    <row r="1117" customFormat="false" ht="15" hidden="false" customHeight="false" outlineLevel="0" collapsed="false">
      <c r="A1117" s="39" t="s">
        <v>1219</v>
      </c>
      <c r="B1117" s="40" t="n">
        <v>45815</v>
      </c>
      <c r="C1117" s="39" t="s">
        <v>114</v>
      </c>
      <c r="D1117" s="39" t="n">
        <v>2</v>
      </c>
      <c r="E1117" s="41" t="n">
        <v>5.94</v>
      </c>
      <c r="F1117" s="39" t="s">
        <v>118</v>
      </c>
      <c r="G1117" s="39" t="str">
        <f aca="false">UPPER(TRIM(C1117))</f>
        <v>P012</v>
      </c>
      <c r="H1117" s="39" t="str">
        <f aca="false">IF(ISNUMBER(MATCH(G1117,Products!$A$5:$A$24,0)),"OK","Mismatch")</f>
        <v>OK</v>
      </c>
      <c r="I1117" s="39" t="str">
        <f aca="false">IF(COUNTIF($A$5:A1117,A1117)&gt;1,"Duplicate","Unique")</f>
        <v>Unique</v>
      </c>
      <c r="J1117" s="39" t="str">
        <f aca="false">IF(I1117="Duplicate","Remove",IF(H1117="Mismatch","Exclude","Keep"))</f>
        <v>Keep</v>
      </c>
    </row>
    <row r="1118" customFormat="false" ht="15" hidden="false" customHeight="false" outlineLevel="0" collapsed="false">
      <c r="A1118" s="39" t="s">
        <v>1220</v>
      </c>
      <c r="B1118" s="40" t="n">
        <v>45815</v>
      </c>
      <c r="C1118" s="39" t="s">
        <v>130</v>
      </c>
      <c r="D1118" s="39" t="n">
        <v>4</v>
      </c>
      <c r="E1118" s="41" t="n">
        <v>8.86</v>
      </c>
      <c r="F1118" s="39" t="s">
        <v>115</v>
      </c>
      <c r="G1118" s="39" t="str">
        <f aca="false">UPPER(TRIM(C1118))</f>
        <v>P011</v>
      </c>
      <c r="H1118" s="39" t="str">
        <f aca="false">IF(ISNUMBER(MATCH(G1118,Products!$A$5:$A$24,0)),"OK","Mismatch")</f>
        <v>OK</v>
      </c>
      <c r="I1118" s="39" t="str">
        <f aca="false">IF(COUNTIF($A$5:A1118,A1118)&gt;1,"Duplicate","Unique")</f>
        <v>Unique</v>
      </c>
      <c r="J1118" s="39" t="str">
        <f aca="false">IF(I1118="Duplicate","Remove",IF(H1118="Mismatch","Exclude","Keep"))</f>
        <v>Keep</v>
      </c>
    </row>
    <row r="1119" customFormat="false" ht="15" hidden="false" customHeight="false" outlineLevel="0" collapsed="false">
      <c r="A1119" s="39" t="s">
        <v>1221</v>
      </c>
      <c r="B1119" s="40" t="n">
        <v>45816</v>
      </c>
      <c r="C1119" s="39" t="s">
        <v>110</v>
      </c>
      <c r="D1119" s="39" t="n">
        <v>2</v>
      </c>
      <c r="E1119" s="41" t="n">
        <v>13.72</v>
      </c>
      <c r="F1119" s="39" t="s">
        <v>118</v>
      </c>
      <c r="G1119" s="39" t="str">
        <f aca="false">UPPER(TRIM(C1119))</f>
        <v>P016</v>
      </c>
      <c r="H1119" s="39" t="str">
        <f aca="false">IF(ISNUMBER(MATCH(G1119,Products!$A$5:$A$24,0)),"OK","Mismatch")</f>
        <v>OK</v>
      </c>
      <c r="I1119" s="39" t="str">
        <f aca="false">IF(COUNTIF($A$5:A1119,A1119)&gt;1,"Duplicate","Unique")</f>
        <v>Unique</v>
      </c>
      <c r="J1119" s="39" t="str">
        <f aca="false">IF(I1119="Duplicate","Remove",IF(H1119="Mismatch","Exclude","Keep"))</f>
        <v>Keep</v>
      </c>
    </row>
    <row r="1120" customFormat="false" ht="15" hidden="false" customHeight="false" outlineLevel="0" collapsed="false">
      <c r="A1120" s="39" t="s">
        <v>1222</v>
      </c>
      <c r="B1120" s="40" t="n">
        <v>45816</v>
      </c>
      <c r="C1120" s="39" t="s">
        <v>183</v>
      </c>
      <c r="D1120" s="39" t="n">
        <v>1</v>
      </c>
      <c r="E1120" s="41" t="n">
        <v>185.18</v>
      </c>
      <c r="F1120" s="39" t="s">
        <v>105</v>
      </c>
      <c r="G1120" s="39" t="str">
        <f aca="false">UPPER(TRIM(C1120))</f>
        <v>P007</v>
      </c>
      <c r="H1120" s="39" t="str">
        <f aca="false">IF(ISNUMBER(MATCH(G1120,Products!$A$5:$A$24,0)),"OK","Mismatch")</f>
        <v>OK</v>
      </c>
      <c r="I1120" s="39" t="str">
        <f aca="false">IF(COUNTIF($A$5:A1120,A1120)&gt;1,"Duplicate","Unique")</f>
        <v>Unique</v>
      </c>
      <c r="J1120" s="39" t="str">
        <f aca="false">IF(I1120="Duplicate","Remove",IF(H1120="Mismatch","Exclude","Keep"))</f>
        <v>Keep</v>
      </c>
    </row>
    <row r="1121" customFormat="false" ht="15" hidden="false" customHeight="false" outlineLevel="0" collapsed="false">
      <c r="A1121" s="39" t="s">
        <v>1223</v>
      </c>
      <c r="B1121" s="40" t="n">
        <v>45816</v>
      </c>
      <c r="C1121" s="39" t="s">
        <v>139</v>
      </c>
      <c r="D1121" s="39" t="n">
        <v>3</v>
      </c>
      <c r="E1121" s="41" t="n">
        <v>119.96</v>
      </c>
      <c r="F1121" s="39" t="s">
        <v>108</v>
      </c>
      <c r="G1121" s="39" t="str">
        <f aca="false">UPPER(TRIM(C1121))</f>
        <v>P006</v>
      </c>
      <c r="H1121" s="39" t="str">
        <f aca="false">IF(ISNUMBER(MATCH(G1121,Products!$A$5:$A$24,0)),"OK","Mismatch")</f>
        <v>OK</v>
      </c>
      <c r="I1121" s="39" t="str">
        <f aca="false">IF(COUNTIF($A$5:A1121,A1121)&gt;1,"Duplicate","Unique")</f>
        <v>Unique</v>
      </c>
      <c r="J1121" s="39" t="str">
        <f aca="false">IF(I1121="Duplicate","Remove",IF(H1121="Mismatch","Exclude","Keep"))</f>
        <v>Keep</v>
      </c>
    </row>
    <row r="1122" customFormat="false" ht="15" hidden="false" customHeight="false" outlineLevel="0" collapsed="false">
      <c r="A1122" s="39" t="s">
        <v>1224</v>
      </c>
      <c r="B1122" s="40" t="n">
        <v>45816</v>
      </c>
      <c r="C1122" s="39" t="s">
        <v>104</v>
      </c>
      <c r="D1122" s="39" t="n">
        <v>5</v>
      </c>
      <c r="E1122" s="41" t="n">
        <v>15.58</v>
      </c>
      <c r="F1122" s="39" t="s">
        <v>105</v>
      </c>
      <c r="G1122" s="39" t="str">
        <f aca="false">UPPER(TRIM(C1122))</f>
        <v>P015</v>
      </c>
      <c r="H1122" s="39" t="str">
        <f aca="false">IF(ISNUMBER(MATCH(G1122,Products!$A$5:$A$24,0)),"OK","Mismatch")</f>
        <v>OK</v>
      </c>
      <c r="I1122" s="39" t="str">
        <f aca="false">IF(COUNTIF($A$5:A1122,A1122)&gt;1,"Duplicate","Unique")</f>
        <v>Unique</v>
      </c>
      <c r="J1122" s="39" t="str">
        <f aca="false">IF(I1122="Duplicate","Remove",IF(H1122="Mismatch","Exclude","Keep"))</f>
        <v>Keep</v>
      </c>
    </row>
    <row r="1123" customFormat="false" ht="15" hidden="false" customHeight="false" outlineLevel="0" collapsed="false">
      <c r="A1123" s="39" t="s">
        <v>1225</v>
      </c>
      <c r="B1123" s="40" t="n">
        <v>45816</v>
      </c>
      <c r="C1123" s="39" t="s">
        <v>112</v>
      </c>
      <c r="D1123" s="39" t="n">
        <v>1</v>
      </c>
      <c r="E1123" s="41" t="n">
        <v>52.97</v>
      </c>
      <c r="F1123" s="39" t="s">
        <v>108</v>
      </c>
      <c r="G1123" s="39" t="str">
        <f aca="false">UPPER(TRIM(C1123))</f>
        <v>P005</v>
      </c>
      <c r="H1123" s="39" t="str">
        <f aca="false">IF(ISNUMBER(MATCH(G1123,Products!$A$5:$A$24,0)),"OK","Mismatch")</f>
        <v>OK</v>
      </c>
      <c r="I1123" s="39" t="str">
        <f aca="false">IF(COUNTIF($A$5:A1123,A1123)&gt;1,"Duplicate","Unique")</f>
        <v>Unique</v>
      </c>
      <c r="J1123" s="39" t="str">
        <f aca="false">IF(I1123="Duplicate","Remove",IF(H1123="Mismatch","Exclude","Keep"))</f>
        <v>Keep</v>
      </c>
    </row>
    <row r="1124" customFormat="false" ht="15" hidden="false" customHeight="false" outlineLevel="0" collapsed="false">
      <c r="A1124" s="39" t="s">
        <v>1226</v>
      </c>
      <c r="B1124" s="40" t="n">
        <v>45816</v>
      </c>
      <c r="C1124" s="39" t="s">
        <v>117</v>
      </c>
      <c r="D1124" s="39" t="n">
        <v>2</v>
      </c>
      <c r="E1124" s="41" t="n">
        <v>30.94</v>
      </c>
      <c r="F1124" s="39" t="s">
        <v>105</v>
      </c>
      <c r="G1124" s="39" t="str">
        <f aca="false">UPPER(TRIM(C1124))</f>
        <v>P009</v>
      </c>
      <c r="H1124" s="39" t="str">
        <f aca="false">IF(ISNUMBER(MATCH(G1124,Products!$A$5:$A$24,0)),"OK","Mismatch")</f>
        <v>OK</v>
      </c>
      <c r="I1124" s="39" t="str">
        <f aca="false">IF(COUNTIF($A$5:A1124,A1124)&gt;1,"Duplicate","Unique")</f>
        <v>Unique</v>
      </c>
      <c r="J1124" s="39" t="str">
        <f aca="false">IF(I1124="Duplicate","Remove",IF(H1124="Mismatch","Exclude","Keep"))</f>
        <v>Keep</v>
      </c>
    </row>
    <row r="1125" customFormat="false" ht="15" hidden="false" customHeight="false" outlineLevel="0" collapsed="false">
      <c r="A1125" s="39" t="s">
        <v>1227</v>
      </c>
      <c r="B1125" s="40" t="n">
        <v>45816</v>
      </c>
      <c r="C1125" s="39" t="s">
        <v>177</v>
      </c>
      <c r="D1125" s="39" t="n">
        <v>5</v>
      </c>
      <c r="E1125" s="41" t="n">
        <v>42.31</v>
      </c>
      <c r="F1125" s="39" t="s">
        <v>118</v>
      </c>
      <c r="G1125" s="39" t="str">
        <f aca="false">UPPER(TRIM(C1125))</f>
        <v>P014</v>
      </c>
      <c r="H1125" s="39" t="str">
        <f aca="false">IF(ISNUMBER(MATCH(G1125,Products!$A$5:$A$24,0)),"OK","Mismatch")</f>
        <v>OK</v>
      </c>
      <c r="I1125" s="39" t="str">
        <f aca="false">IF(COUNTIF($A$5:A1125,A1125)&gt;1,"Duplicate","Unique")</f>
        <v>Unique</v>
      </c>
      <c r="J1125" s="39" t="str">
        <f aca="false">IF(I1125="Duplicate","Remove",IF(H1125="Mismatch","Exclude","Keep"))</f>
        <v>Keep</v>
      </c>
    </row>
    <row r="1126" customFormat="false" ht="15" hidden="false" customHeight="false" outlineLevel="0" collapsed="false">
      <c r="A1126" s="39" t="s">
        <v>1228</v>
      </c>
      <c r="B1126" s="40" t="n">
        <v>45816</v>
      </c>
      <c r="C1126" s="39" t="s">
        <v>133</v>
      </c>
      <c r="D1126" s="39" t="n">
        <v>3</v>
      </c>
      <c r="E1126" s="41" t="n">
        <v>8.37</v>
      </c>
      <c r="F1126" s="39" t="s">
        <v>105</v>
      </c>
      <c r="G1126" s="39" t="str">
        <f aca="false">UPPER(TRIM(C1126))</f>
        <v>P019</v>
      </c>
      <c r="H1126" s="39" t="str">
        <f aca="false">IF(ISNUMBER(MATCH(G1126,Products!$A$5:$A$24,0)),"OK","Mismatch")</f>
        <v>OK</v>
      </c>
      <c r="I1126" s="39" t="str">
        <f aca="false">IF(COUNTIF($A$5:A1126,A1126)&gt;1,"Duplicate","Unique")</f>
        <v>Unique</v>
      </c>
      <c r="J1126" s="39" t="str">
        <f aca="false">IF(I1126="Duplicate","Remove",IF(H1126="Mismatch","Exclude","Keep"))</f>
        <v>Keep</v>
      </c>
    </row>
    <row r="1127" customFormat="false" ht="15" hidden="false" customHeight="false" outlineLevel="0" collapsed="false">
      <c r="A1127" s="39" t="s">
        <v>1229</v>
      </c>
      <c r="B1127" s="40" t="n">
        <v>45816</v>
      </c>
      <c r="C1127" s="39" t="s">
        <v>162</v>
      </c>
      <c r="D1127" s="39" t="n">
        <v>3</v>
      </c>
      <c r="E1127" s="41" t="n">
        <v>64.27</v>
      </c>
      <c r="F1127" s="39" t="s">
        <v>108</v>
      </c>
      <c r="G1127" s="39" t="str">
        <f aca="false">UPPER(TRIM(C1127))</f>
        <v>P017</v>
      </c>
      <c r="H1127" s="39" t="str">
        <f aca="false">IF(ISNUMBER(MATCH(G1127,Products!$A$5:$A$24,0)),"OK","Mismatch")</f>
        <v>OK</v>
      </c>
      <c r="I1127" s="39" t="str">
        <f aca="false">IF(COUNTIF($A$5:A1127,A1127)&gt;1,"Duplicate","Unique")</f>
        <v>Unique</v>
      </c>
      <c r="J1127" s="39" t="str">
        <f aca="false">IF(I1127="Duplicate","Remove",IF(H1127="Mismatch","Exclude","Keep"))</f>
        <v>Keep</v>
      </c>
    </row>
    <row r="1128" customFormat="false" ht="15" hidden="false" customHeight="false" outlineLevel="0" collapsed="false">
      <c r="A1128" s="39" t="s">
        <v>1230</v>
      </c>
      <c r="B1128" s="40" t="n">
        <v>45816</v>
      </c>
      <c r="C1128" s="39" t="s">
        <v>136</v>
      </c>
      <c r="D1128" s="39" t="n">
        <v>1</v>
      </c>
      <c r="E1128" s="41" t="n">
        <v>72.99</v>
      </c>
      <c r="F1128" s="39" t="s">
        <v>105</v>
      </c>
      <c r="G1128" s="39" t="str">
        <f aca="false">UPPER(TRIM(C1128))</f>
        <v>P002</v>
      </c>
      <c r="H1128" s="39" t="str">
        <f aca="false">IF(ISNUMBER(MATCH(G1128,Products!$A$5:$A$24,0)),"OK","Mismatch")</f>
        <v>OK</v>
      </c>
      <c r="I1128" s="39" t="str">
        <f aca="false">IF(COUNTIF($A$5:A1128,A1128)&gt;1,"Duplicate","Unique")</f>
        <v>Unique</v>
      </c>
      <c r="J1128" s="39" t="str">
        <f aca="false">IF(I1128="Duplicate","Remove",IF(H1128="Mismatch","Exclude","Keep"))</f>
        <v>Keep</v>
      </c>
    </row>
    <row r="1129" customFormat="false" ht="15" hidden="false" customHeight="false" outlineLevel="0" collapsed="false">
      <c r="A1129" s="39" t="s">
        <v>1231</v>
      </c>
      <c r="B1129" s="40" t="n">
        <v>45816</v>
      </c>
      <c r="C1129" s="39" t="s">
        <v>121</v>
      </c>
      <c r="D1129" s="39" t="n">
        <v>3</v>
      </c>
      <c r="E1129" s="41" t="n">
        <v>116.37</v>
      </c>
      <c r="F1129" s="39" t="s">
        <v>108</v>
      </c>
      <c r="G1129" s="39" t="str">
        <f aca="false">UPPER(TRIM(C1129))</f>
        <v>P018</v>
      </c>
      <c r="H1129" s="39" t="str">
        <f aca="false">IF(ISNUMBER(MATCH(G1129,Products!$A$5:$A$24,0)),"OK","Mismatch")</f>
        <v>OK</v>
      </c>
      <c r="I1129" s="39" t="str">
        <f aca="false">IF(COUNTIF($A$5:A1129,A1129)&gt;1,"Duplicate","Unique")</f>
        <v>Unique</v>
      </c>
      <c r="J1129" s="39" t="str">
        <f aca="false">IF(I1129="Duplicate","Remove",IF(H1129="Mismatch","Exclude","Keep"))</f>
        <v>Keep</v>
      </c>
    </row>
    <row r="1130" customFormat="false" ht="15" hidden="false" customHeight="false" outlineLevel="0" collapsed="false">
      <c r="A1130" s="39" t="s">
        <v>1232</v>
      </c>
      <c r="B1130" s="40" t="n">
        <v>45816</v>
      </c>
      <c r="C1130" s="39" t="s">
        <v>104</v>
      </c>
      <c r="D1130" s="39" t="n">
        <v>2</v>
      </c>
      <c r="E1130" s="41" t="n">
        <v>14.77</v>
      </c>
      <c r="F1130" s="39" t="s">
        <v>115</v>
      </c>
      <c r="G1130" s="39" t="str">
        <f aca="false">UPPER(TRIM(C1130))</f>
        <v>P015</v>
      </c>
      <c r="H1130" s="39" t="str">
        <f aca="false">IF(ISNUMBER(MATCH(G1130,Products!$A$5:$A$24,0)),"OK","Mismatch")</f>
        <v>OK</v>
      </c>
      <c r="I1130" s="39" t="str">
        <f aca="false">IF(COUNTIF($A$5:A1130,A1130)&gt;1,"Duplicate","Unique")</f>
        <v>Unique</v>
      </c>
      <c r="J1130" s="39" t="str">
        <f aca="false">IF(I1130="Duplicate","Remove",IF(H1130="Mismatch","Exclude","Keep"))</f>
        <v>Keep</v>
      </c>
    </row>
    <row r="1131" customFormat="false" ht="15" hidden="false" customHeight="false" outlineLevel="0" collapsed="false">
      <c r="A1131" s="39" t="s">
        <v>1233</v>
      </c>
      <c r="B1131" s="40" t="n">
        <v>45817</v>
      </c>
      <c r="C1131" s="39" t="s">
        <v>107</v>
      </c>
      <c r="D1131" s="39" t="n">
        <v>2</v>
      </c>
      <c r="E1131" s="41" t="n">
        <v>34.76</v>
      </c>
      <c r="F1131" s="39" t="s">
        <v>115</v>
      </c>
      <c r="G1131" s="39" t="str">
        <f aca="false">UPPER(TRIM(C1131))</f>
        <v>P003</v>
      </c>
      <c r="H1131" s="39" t="str">
        <f aca="false">IF(ISNUMBER(MATCH(G1131,Products!$A$5:$A$24,0)),"OK","Mismatch")</f>
        <v>OK</v>
      </c>
      <c r="I1131" s="39" t="str">
        <f aca="false">IF(COUNTIF($A$5:A1131,A1131)&gt;1,"Duplicate","Unique")</f>
        <v>Unique</v>
      </c>
      <c r="J1131" s="39" t="str">
        <f aca="false">IF(I1131="Duplicate","Remove",IF(H1131="Mismatch","Exclude","Keep"))</f>
        <v>Keep</v>
      </c>
    </row>
    <row r="1132" customFormat="false" ht="15" hidden="false" customHeight="false" outlineLevel="0" collapsed="false">
      <c r="A1132" s="39" t="s">
        <v>1234</v>
      </c>
      <c r="B1132" s="40" t="n">
        <v>45817</v>
      </c>
      <c r="C1132" s="39" t="s">
        <v>183</v>
      </c>
      <c r="D1132" s="39" t="n">
        <v>4</v>
      </c>
      <c r="E1132" s="41" t="n">
        <v>182.65</v>
      </c>
      <c r="F1132" s="39" t="s">
        <v>108</v>
      </c>
      <c r="G1132" s="39" t="str">
        <f aca="false">UPPER(TRIM(C1132))</f>
        <v>P007</v>
      </c>
      <c r="H1132" s="39" t="str">
        <f aca="false">IF(ISNUMBER(MATCH(G1132,Products!$A$5:$A$24,0)),"OK","Mismatch")</f>
        <v>OK</v>
      </c>
      <c r="I1132" s="39" t="str">
        <f aca="false">IF(COUNTIF($A$5:A1132,A1132)&gt;1,"Duplicate","Unique")</f>
        <v>Unique</v>
      </c>
      <c r="J1132" s="39" t="str">
        <f aca="false">IF(I1132="Duplicate","Remove",IF(H1132="Mismatch","Exclude","Keep"))</f>
        <v>Keep</v>
      </c>
    </row>
    <row r="1133" customFormat="false" ht="15" hidden="false" customHeight="false" outlineLevel="0" collapsed="false">
      <c r="A1133" s="39" t="s">
        <v>1235</v>
      </c>
      <c r="B1133" s="40" t="n">
        <v>45817</v>
      </c>
      <c r="C1133" s="39" t="s">
        <v>183</v>
      </c>
      <c r="D1133" s="39" t="n">
        <v>1</v>
      </c>
      <c r="E1133" s="41" t="n">
        <v>177.91</v>
      </c>
      <c r="F1133" s="39" t="s">
        <v>105</v>
      </c>
      <c r="G1133" s="39" t="str">
        <f aca="false">UPPER(TRIM(C1133))</f>
        <v>P007</v>
      </c>
      <c r="H1133" s="39" t="str">
        <f aca="false">IF(ISNUMBER(MATCH(G1133,Products!$A$5:$A$24,0)),"OK","Mismatch")</f>
        <v>OK</v>
      </c>
      <c r="I1133" s="39" t="str">
        <f aca="false">IF(COUNTIF($A$5:A1133,A1133)&gt;1,"Duplicate","Unique")</f>
        <v>Unique</v>
      </c>
      <c r="J1133" s="39" t="str">
        <f aca="false">IF(I1133="Duplicate","Remove",IF(H1133="Mismatch","Exclude","Keep"))</f>
        <v>Keep</v>
      </c>
    </row>
    <row r="1134" customFormat="false" ht="15" hidden="false" customHeight="false" outlineLevel="0" collapsed="false">
      <c r="A1134" s="39" t="s">
        <v>1236</v>
      </c>
      <c r="B1134" s="40" t="n">
        <v>45817</v>
      </c>
      <c r="C1134" s="39" t="s">
        <v>169</v>
      </c>
      <c r="D1134" s="39" t="n">
        <v>2</v>
      </c>
      <c r="E1134" s="41" t="n">
        <v>27.07</v>
      </c>
      <c r="F1134" s="39" t="s">
        <v>115</v>
      </c>
      <c r="G1134" s="39" t="str">
        <f aca="false">UPPER(TRIM(C1134))</f>
        <v>P004</v>
      </c>
      <c r="H1134" s="39" t="str">
        <f aca="false">IF(ISNUMBER(MATCH(G1134,Products!$A$5:$A$24,0)),"OK","Mismatch")</f>
        <v>OK</v>
      </c>
      <c r="I1134" s="39" t="str">
        <f aca="false">IF(COUNTIF($A$5:A1134,A1134)&gt;1,"Duplicate","Unique")</f>
        <v>Unique</v>
      </c>
      <c r="J1134" s="39" t="str">
        <f aca="false">IF(I1134="Duplicate","Remove",IF(H1134="Mismatch","Exclude","Keep"))</f>
        <v>Keep</v>
      </c>
    </row>
    <row r="1135" customFormat="false" ht="15" hidden="false" customHeight="false" outlineLevel="0" collapsed="false">
      <c r="A1135" s="39" t="s">
        <v>1237</v>
      </c>
      <c r="B1135" s="40" t="n">
        <v>45817</v>
      </c>
      <c r="C1135" s="39" t="s">
        <v>121</v>
      </c>
      <c r="D1135" s="39" t="n">
        <v>8</v>
      </c>
      <c r="E1135" s="41" t="n">
        <v>112.31</v>
      </c>
      <c r="F1135" s="39" t="s">
        <v>108</v>
      </c>
      <c r="G1135" s="39" t="str">
        <f aca="false">UPPER(TRIM(C1135))</f>
        <v>P018</v>
      </c>
      <c r="H1135" s="39" t="str">
        <f aca="false">IF(ISNUMBER(MATCH(G1135,Products!$A$5:$A$24,0)),"OK","Mismatch")</f>
        <v>OK</v>
      </c>
      <c r="I1135" s="39" t="str">
        <f aca="false">IF(COUNTIF($A$5:A1135,A1135)&gt;1,"Duplicate","Unique")</f>
        <v>Unique</v>
      </c>
      <c r="J1135" s="39" t="str">
        <f aca="false">IF(I1135="Duplicate","Remove",IF(H1135="Mismatch","Exclude","Keep"))</f>
        <v>Keep</v>
      </c>
    </row>
    <row r="1136" customFormat="false" ht="15" hidden="false" customHeight="false" outlineLevel="0" collapsed="false">
      <c r="A1136" s="39" t="s">
        <v>1238</v>
      </c>
      <c r="B1136" s="40" t="n">
        <v>45817</v>
      </c>
      <c r="C1136" s="39" t="s">
        <v>183</v>
      </c>
      <c r="D1136" s="39" t="n">
        <v>2</v>
      </c>
      <c r="E1136" s="41" t="n">
        <v>182.5</v>
      </c>
      <c r="F1136" s="39" t="s">
        <v>115</v>
      </c>
      <c r="G1136" s="39" t="str">
        <f aca="false">UPPER(TRIM(C1136))</f>
        <v>P007</v>
      </c>
      <c r="H1136" s="39" t="str">
        <f aca="false">IF(ISNUMBER(MATCH(G1136,Products!$A$5:$A$24,0)),"OK","Mismatch")</f>
        <v>OK</v>
      </c>
      <c r="I1136" s="39" t="str">
        <f aca="false">IF(COUNTIF($A$5:A1136,A1136)&gt;1,"Duplicate","Unique")</f>
        <v>Unique</v>
      </c>
      <c r="J1136" s="39" t="str">
        <f aca="false">IF(I1136="Duplicate","Remove",IF(H1136="Mismatch","Exclude","Keep"))</f>
        <v>Keep</v>
      </c>
    </row>
    <row r="1137" customFormat="false" ht="15" hidden="false" customHeight="false" outlineLevel="0" collapsed="false">
      <c r="A1137" s="39" t="s">
        <v>1239</v>
      </c>
      <c r="B1137" s="40" t="n">
        <v>45817</v>
      </c>
      <c r="C1137" s="39" t="s">
        <v>110</v>
      </c>
      <c r="D1137" s="39" t="n">
        <v>2</v>
      </c>
      <c r="E1137" s="41" t="n">
        <v>13.56</v>
      </c>
      <c r="F1137" s="39" t="s">
        <v>115</v>
      </c>
      <c r="G1137" s="39" t="str">
        <f aca="false">UPPER(TRIM(C1137))</f>
        <v>P016</v>
      </c>
      <c r="H1137" s="39" t="str">
        <f aca="false">IF(ISNUMBER(MATCH(G1137,Products!$A$5:$A$24,0)),"OK","Mismatch")</f>
        <v>OK</v>
      </c>
      <c r="I1137" s="39" t="str">
        <f aca="false">IF(COUNTIF($A$5:A1137,A1137)&gt;1,"Duplicate","Unique")</f>
        <v>Unique</v>
      </c>
      <c r="J1137" s="39" t="str">
        <f aca="false">IF(I1137="Duplicate","Remove",IF(H1137="Mismatch","Exclude","Keep"))</f>
        <v>Keep</v>
      </c>
    </row>
    <row r="1138" customFormat="false" ht="15" hidden="false" customHeight="false" outlineLevel="0" collapsed="false">
      <c r="A1138" s="39" t="s">
        <v>1240</v>
      </c>
      <c r="B1138" s="40" t="n">
        <v>45818</v>
      </c>
      <c r="C1138" s="39" t="s">
        <v>104</v>
      </c>
      <c r="D1138" s="39" t="n">
        <v>2</v>
      </c>
      <c r="E1138" s="41" t="n">
        <v>15.38</v>
      </c>
      <c r="F1138" s="39" t="s">
        <v>115</v>
      </c>
      <c r="G1138" s="39" t="str">
        <f aca="false">UPPER(TRIM(C1138))</f>
        <v>P015</v>
      </c>
      <c r="H1138" s="39" t="str">
        <f aca="false">IF(ISNUMBER(MATCH(G1138,Products!$A$5:$A$24,0)),"OK","Mismatch")</f>
        <v>OK</v>
      </c>
      <c r="I1138" s="39" t="str">
        <f aca="false">IF(COUNTIF($A$5:A1138,A1138)&gt;1,"Duplicate","Unique")</f>
        <v>Unique</v>
      </c>
      <c r="J1138" s="39" t="str">
        <f aca="false">IF(I1138="Duplicate","Remove",IF(H1138="Mismatch","Exclude","Keep"))</f>
        <v>Keep</v>
      </c>
    </row>
    <row r="1139" customFormat="false" ht="15" hidden="false" customHeight="false" outlineLevel="0" collapsed="false">
      <c r="A1139" s="39" t="s">
        <v>1241</v>
      </c>
      <c r="B1139" s="40" t="n">
        <v>45818</v>
      </c>
      <c r="C1139" s="39" t="s">
        <v>126</v>
      </c>
      <c r="D1139" s="39" t="n">
        <v>1</v>
      </c>
      <c r="E1139" s="41" t="n">
        <v>23.46</v>
      </c>
      <c r="F1139" s="39" t="s">
        <v>108</v>
      </c>
      <c r="G1139" s="39" t="str">
        <f aca="false">UPPER(TRIM(C1139))</f>
        <v>P001</v>
      </c>
      <c r="H1139" s="39" t="str">
        <f aca="false">IF(ISNUMBER(MATCH(G1139,Products!$A$5:$A$24,0)),"OK","Mismatch")</f>
        <v>OK</v>
      </c>
      <c r="I1139" s="39" t="str">
        <f aca="false">IF(COUNTIF($A$5:A1139,A1139)&gt;1,"Duplicate","Unique")</f>
        <v>Unique</v>
      </c>
      <c r="J1139" s="39" t="str">
        <f aca="false">IF(I1139="Duplicate","Remove",IF(H1139="Mismatch","Exclude","Keep"))</f>
        <v>Keep</v>
      </c>
    </row>
    <row r="1140" customFormat="false" ht="15" hidden="false" customHeight="false" outlineLevel="0" collapsed="false">
      <c r="A1140" s="39" t="s">
        <v>1242</v>
      </c>
      <c r="B1140" s="40" t="n">
        <v>45818</v>
      </c>
      <c r="C1140" s="39" t="s">
        <v>139</v>
      </c>
      <c r="D1140" s="39" t="n">
        <v>5</v>
      </c>
      <c r="E1140" s="41" t="n">
        <v>125.35</v>
      </c>
      <c r="F1140" s="39" t="s">
        <v>118</v>
      </c>
      <c r="G1140" s="39" t="str">
        <f aca="false">UPPER(TRIM(C1140))</f>
        <v>P006</v>
      </c>
      <c r="H1140" s="39" t="str">
        <f aca="false">IF(ISNUMBER(MATCH(G1140,Products!$A$5:$A$24,0)),"OK","Mismatch")</f>
        <v>OK</v>
      </c>
      <c r="I1140" s="39" t="str">
        <f aca="false">IF(COUNTIF($A$5:A1140,A1140)&gt;1,"Duplicate","Unique")</f>
        <v>Unique</v>
      </c>
      <c r="J1140" s="39" t="str">
        <f aca="false">IF(I1140="Duplicate","Remove",IF(H1140="Mismatch","Exclude","Keep"))</f>
        <v>Keep</v>
      </c>
    </row>
    <row r="1141" customFormat="false" ht="15" hidden="false" customHeight="false" outlineLevel="0" collapsed="false">
      <c r="A1141" s="39" t="s">
        <v>1243</v>
      </c>
      <c r="B1141" s="40" t="n">
        <v>45818</v>
      </c>
      <c r="C1141" s="39" t="s">
        <v>130</v>
      </c>
      <c r="D1141" s="39" t="n">
        <v>2</v>
      </c>
      <c r="E1141" s="41" t="n">
        <v>8.84</v>
      </c>
      <c r="F1141" s="39" t="s">
        <v>108</v>
      </c>
      <c r="G1141" s="39" t="str">
        <f aca="false">UPPER(TRIM(C1141))</f>
        <v>P011</v>
      </c>
      <c r="H1141" s="39" t="str">
        <f aca="false">IF(ISNUMBER(MATCH(G1141,Products!$A$5:$A$24,0)),"OK","Mismatch")</f>
        <v>OK</v>
      </c>
      <c r="I1141" s="39" t="str">
        <f aca="false">IF(COUNTIF($A$5:A1141,A1141)&gt;1,"Duplicate","Unique")</f>
        <v>Unique</v>
      </c>
      <c r="J1141" s="39" t="str">
        <f aca="false">IF(I1141="Duplicate","Remove",IF(H1141="Mismatch","Exclude","Keep"))</f>
        <v>Keep</v>
      </c>
    </row>
    <row r="1142" customFormat="false" ht="15" hidden="false" customHeight="false" outlineLevel="0" collapsed="false">
      <c r="A1142" s="39" t="s">
        <v>1244</v>
      </c>
      <c r="B1142" s="40" t="n">
        <v>45818</v>
      </c>
      <c r="C1142" s="39" t="s">
        <v>114</v>
      </c>
      <c r="D1142" s="39" t="n">
        <v>3</v>
      </c>
      <c r="E1142" s="41" t="n">
        <v>5.93</v>
      </c>
      <c r="F1142" s="39" t="s">
        <v>108</v>
      </c>
      <c r="G1142" s="39" t="str">
        <f aca="false">UPPER(TRIM(C1142))</f>
        <v>P012</v>
      </c>
      <c r="H1142" s="39" t="str">
        <f aca="false">IF(ISNUMBER(MATCH(G1142,Products!$A$5:$A$24,0)),"OK","Mismatch")</f>
        <v>OK</v>
      </c>
      <c r="I1142" s="39" t="str">
        <f aca="false">IF(COUNTIF($A$5:A1142,A1142)&gt;1,"Duplicate","Unique")</f>
        <v>Unique</v>
      </c>
      <c r="J1142" s="39" t="str">
        <f aca="false">IF(I1142="Duplicate","Remove",IF(H1142="Mismatch","Exclude","Keep"))</f>
        <v>Keep</v>
      </c>
    </row>
    <row r="1143" customFormat="false" ht="15" hidden="false" customHeight="false" outlineLevel="0" collapsed="false">
      <c r="A1143" s="39" t="s">
        <v>1245</v>
      </c>
      <c r="B1143" s="40" t="n">
        <v>45818</v>
      </c>
      <c r="C1143" s="39" t="s">
        <v>114</v>
      </c>
      <c r="D1143" s="39" t="n">
        <v>1</v>
      </c>
      <c r="E1143" s="41" t="n">
        <v>5.72</v>
      </c>
      <c r="F1143" s="39" t="s">
        <v>118</v>
      </c>
      <c r="G1143" s="39" t="str">
        <f aca="false">UPPER(TRIM(C1143))</f>
        <v>P012</v>
      </c>
      <c r="H1143" s="39" t="str">
        <f aca="false">IF(ISNUMBER(MATCH(G1143,Products!$A$5:$A$24,0)),"OK","Mismatch")</f>
        <v>OK</v>
      </c>
      <c r="I1143" s="39" t="str">
        <f aca="false">IF(COUNTIF($A$5:A1143,A1143)&gt;1,"Duplicate","Unique")</f>
        <v>Unique</v>
      </c>
      <c r="J1143" s="39" t="str">
        <f aca="false">IF(I1143="Duplicate","Remove",IF(H1143="Mismatch","Exclude","Keep"))</f>
        <v>Keep</v>
      </c>
    </row>
    <row r="1144" customFormat="false" ht="15" hidden="false" customHeight="false" outlineLevel="0" collapsed="false">
      <c r="A1144" s="39" t="s">
        <v>1246</v>
      </c>
      <c r="B1144" s="40" t="n">
        <v>45818</v>
      </c>
      <c r="C1144" s="39" t="s">
        <v>153</v>
      </c>
      <c r="D1144" s="39" t="n">
        <v>1</v>
      </c>
      <c r="E1144" s="41" t="n">
        <v>165.18</v>
      </c>
      <c r="F1144" s="39" t="s">
        <v>105</v>
      </c>
      <c r="G1144" s="39" t="str">
        <f aca="false">UPPER(TRIM(C1144))</f>
        <v>P010</v>
      </c>
      <c r="H1144" s="39" t="str">
        <f aca="false">IF(ISNUMBER(MATCH(G1144,Products!$A$5:$A$24,0)),"OK","Mismatch")</f>
        <v>OK</v>
      </c>
      <c r="I1144" s="39" t="str">
        <f aca="false">IF(COUNTIF($A$5:A1144,A1144)&gt;1,"Duplicate","Unique")</f>
        <v>Unique</v>
      </c>
      <c r="J1144" s="39" t="str">
        <f aca="false">IF(I1144="Duplicate","Remove",IF(H1144="Mismatch","Exclude","Keep"))</f>
        <v>Keep</v>
      </c>
    </row>
    <row r="1145" customFormat="false" ht="15" hidden="false" customHeight="false" outlineLevel="0" collapsed="false">
      <c r="A1145" s="39" t="s">
        <v>1247</v>
      </c>
      <c r="B1145" s="40" t="n">
        <v>45818</v>
      </c>
      <c r="C1145" s="39" t="s">
        <v>133</v>
      </c>
      <c r="D1145" s="39" t="n">
        <v>4</v>
      </c>
      <c r="E1145" s="41" t="n">
        <v>8.62</v>
      </c>
      <c r="F1145" s="39" t="s">
        <v>115</v>
      </c>
      <c r="G1145" s="39" t="str">
        <f aca="false">UPPER(TRIM(C1145))</f>
        <v>P019</v>
      </c>
      <c r="H1145" s="39" t="str">
        <f aca="false">IF(ISNUMBER(MATCH(G1145,Products!$A$5:$A$24,0)),"OK","Mismatch")</f>
        <v>OK</v>
      </c>
      <c r="I1145" s="39" t="str">
        <f aca="false">IF(COUNTIF($A$5:A1145,A1145)&gt;1,"Duplicate","Unique")</f>
        <v>Unique</v>
      </c>
      <c r="J1145" s="39" t="str">
        <f aca="false">IF(I1145="Duplicate","Remove",IF(H1145="Mismatch","Exclude","Keep"))</f>
        <v>Keep</v>
      </c>
    </row>
    <row r="1146" customFormat="false" ht="15" hidden="false" customHeight="false" outlineLevel="0" collapsed="false">
      <c r="A1146" s="39" t="s">
        <v>1248</v>
      </c>
      <c r="B1146" s="40" t="n">
        <v>45819</v>
      </c>
      <c r="C1146" s="39" t="s">
        <v>126</v>
      </c>
      <c r="D1146" s="39" t="n">
        <v>1</v>
      </c>
      <c r="E1146" s="41" t="n">
        <v>24.43</v>
      </c>
      <c r="F1146" s="39" t="s">
        <v>118</v>
      </c>
      <c r="G1146" s="39" t="str">
        <f aca="false">UPPER(TRIM(C1146))</f>
        <v>P001</v>
      </c>
      <c r="H1146" s="39" t="str">
        <f aca="false">IF(ISNUMBER(MATCH(G1146,Products!$A$5:$A$24,0)),"OK","Mismatch")</f>
        <v>OK</v>
      </c>
      <c r="I1146" s="39" t="str">
        <f aca="false">IF(COUNTIF($A$5:A1146,A1146)&gt;1,"Duplicate","Unique")</f>
        <v>Unique</v>
      </c>
      <c r="J1146" s="39" t="str">
        <f aca="false">IF(I1146="Duplicate","Remove",IF(H1146="Mismatch","Exclude","Keep"))</f>
        <v>Keep</v>
      </c>
    </row>
    <row r="1147" customFormat="false" ht="15" hidden="false" customHeight="false" outlineLevel="0" collapsed="false">
      <c r="A1147" s="39" t="s">
        <v>1249</v>
      </c>
      <c r="B1147" s="40" t="n">
        <v>45819</v>
      </c>
      <c r="C1147" s="39" t="s">
        <v>162</v>
      </c>
      <c r="D1147" s="39" t="n">
        <v>1</v>
      </c>
      <c r="E1147" s="41" t="n">
        <v>63.51</v>
      </c>
      <c r="F1147" s="39" t="s">
        <v>118</v>
      </c>
      <c r="G1147" s="39" t="str">
        <f aca="false">UPPER(TRIM(C1147))</f>
        <v>P017</v>
      </c>
      <c r="H1147" s="39" t="str">
        <f aca="false">IF(ISNUMBER(MATCH(G1147,Products!$A$5:$A$24,0)),"OK","Mismatch")</f>
        <v>OK</v>
      </c>
      <c r="I1147" s="39" t="str">
        <f aca="false">IF(COUNTIF($A$5:A1147,A1147)&gt;1,"Duplicate","Unique")</f>
        <v>Unique</v>
      </c>
      <c r="J1147" s="39" t="str">
        <f aca="false">IF(I1147="Duplicate","Remove",IF(H1147="Mismatch","Exclude","Keep"))</f>
        <v>Keep</v>
      </c>
    </row>
    <row r="1148" customFormat="false" ht="15" hidden="false" customHeight="false" outlineLevel="0" collapsed="false">
      <c r="A1148" s="39" t="s">
        <v>1250</v>
      </c>
      <c r="B1148" s="40" t="n">
        <v>45819</v>
      </c>
      <c r="C1148" s="39" t="s">
        <v>112</v>
      </c>
      <c r="D1148" s="39" t="n">
        <v>1</v>
      </c>
      <c r="E1148" s="41" t="n">
        <v>53.17</v>
      </c>
      <c r="F1148" s="39" t="s">
        <v>118</v>
      </c>
      <c r="G1148" s="39" t="str">
        <f aca="false">UPPER(TRIM(C1148))</f>
        <v>P005</v>
      </c>
      <c r="H1148" s="39" t="str">
        <f aca="false">IF(ISNUMBER(MATCH(G1148,Products!$A$5:$A$24,0)),"OK","Mismatch")</f>
        <v>OK</v>
      </c>
      <c r="I1148" s="39" t="str">
        <f aca="false">IF(COUNTIF($A$5:A1148,A1148)&gt;1,"Duplicate","Unique")</f>
        <v>Unique</v>
      </c>
      <c r="J1148" s="39" t="str">
        <f aca="false">IF(I1148="Duplicate","Remove",IF(H1148="Mismatch","Exclude","Keep"))</f>
        <v>Keep</v>
      </c>
    </row>
    <row r="1149" customFormat="false" ht="15" hidden="false" customHeight="false" outlineLevel="0" collapsed="false">
      <c r="A1149" s="39" t="s">
        <v>1251</v>
      </c>
      <c r="B1149" s="40" t="n">
        <v>45819</v>
      </c>
      <c r="C1149" s="39" t="s">
        <v>128</v>
      </c>
      <c r="D1149" s="39" t="n">
        <v>3</v>
      </c>
      <c r="E1149" s="41" t="n">
        <v>38.45</v>
      </c>
      <c r="F1149" s="39" t="s">
        <v>108</v>
      </c>
      <c r="G1149" s="39" t="str">
        <f aca="false">UPPER(TRIM(C1149))</f>
        <v>P020</v>
      </c>
      <c r="H1149" s="39" t="str">
        <f aca="false">IF(ISNUMBER(MATCH(G1149,Products!$A$5:$A$24,0)),"OK","Mismatch")</f>
        <v>OK</v>
      </c>
      <c r="I1149" s="39" t="str">
        <f aca="false">IF(COUNTIF($A$5:A1149,A1149)&gt;1,"Duplicate","Unique")</f>
        <v>Unique</v>
      </c>
      <c r="J1149" s="39" t="str">
        <f aca="false">IF(I1149="Duplicate","Remove",IF(H1149="Mismatch","Exclude","Keep"))</f>
        <v>Keep</v>
      </c>
    </row>
    <row r="1150" customFormat="false" ht="15" hidden="false" customHeight="false" outlineLevel="0" collapsed="false">
      <c r="A1150" s="39" t="s">
        <v>1252</v>
      </c>
      <c r="B1150" s="40" t="n">
        <v>45819</v>
      </c>
      <c r="C1150" s="39" t="s">
        <v>114</v>
      </c>
      <c r="D1150" s="39" t="n">
        <v>3</v>
      </c>
      <c r="E1150" s="41" t="n">
        <v>5.99</v>
      </c>
      <c r="F1150" s="39" t="s">
        <v>108</v>
      </c>
      <c r="G1150" s="39" t="str">
        <f aca="false">UPPER(TRIM(C1150))</f>
        <v>P012</v>
      </c>
      <c r="H1150" s="39" t="str">
        <f aca="false">IF(ISNUMBER(MATCH(G1150,Products!$A$5:$A$24,0)),"OK","Mismatch")</f>
        <v>OK</v>
      </c>
      <c r="I1150" s="39" t="str">
        <f aca="false">IF(COUNTIF($A$5:A1150,A1150)&gt;1,"Duplicate","Unique")</f>
        <v>Unique</v>
      </c>
      <c r="J1150" s="39" t="str">
        <f aca="false">IF(I1150="Duplicate","Remove",IF(H1150="Mismatch","Exclude","Keep"))</f>
        <v>Keep</v>
      </c>
    </row>
    <row r="1151" customFormat="false" ht="15" hidden="false" customHeight="false" outlineLevel="0" collapsed="false">
      <c r="A1151" s="39" t="s">
        <v>1252</v>
      </c>
      <c r="B1151" s="40" t="n">
        <v>45819</v>
      </c>
      <c r="C1151" s="39" t="s">
        <v>114</v>
      </c>
      <c r="D1151" s="39" t="n">
        <v>3</v>
      </c>
      <c r="E1151" s="41" t="n">
        <v>5.99</v>
      </c>
      <c r="F1151" s="39" t="s">
        <v>108</v>
      </c>
      <c r="G1151" s="39" t="str">
        <f aca="false">UPPER(TRIM(C1151))</f>
        <v>P012</v>
      </c>
      <c r="H1151" s="39" t="str">
        <f aca="false">IF(ISNUMBER(MATCH(G1151,Products!$A$5:$A$24,0)),"OK","Mismatch")</f>
        <v>OK</v>
      </c>
      <c r="I1151" s="39" t="str">
        <f aca="false">IF(COUNTIF($A$5:A1151,A1151)&gt;1,"Duplicate","Unique")</f>
        <v>Duplicate</v>
      </c>
      <c r="J1151" s="39" t="str">
        <f aca="false">IF(I1151="Duplicate","Remove",IF(H1151="Mismatch","Exclude","Keep"))</f>
        <v>Remove</v>
      </c>
    </row>
    <row r="1152" customFormat="false" ht="15" hidden="false" customHeight="false" outlineLevel="0" collapsed="false">
      <c r="A1152" s="39" t="s">
        <v>1253</v>
      </c>
      <c r="B1152" s="40" t="n">
        <v>45819</v>
      </c>
      <c r="C1152" s="39" t="s">
        <v>110</v>
      </c>
      <c r="D1152" s="39" t="n">
        <v>3</v>
      </c>
      <c r="E1152" s="41" t="n">
        <v>13.1</v>
      </c>
      <c r="F1152" s="39" t="s">
        <v>118</v>
      </c>
      <c r="G1152" s="39" t="str">
        <f aca="false">UPPER(TRIM(C1152))</f>
        <v>P016</v>
      </c>
      <c r="H1152" s="39" t="str">
        <f aca="false">IF(ISNUMBER(MATCH(G1152,Products!$A$5:$A$24,0)),"OK","Mismatch")</f>
        <v>OK</v>
      </c>
      <c r="I1152" s="39" t="str">
        <f aca="false">IF(COUNTIF($A$5:A1152,A1152)&gt;1,"Duplicate","Unique")</f>
        <v>Unique</v>
      </c>
      <c r="J1152" s="39" t="str">
        <f aca="false">IF(I1152="Duplicate","Remove",IF(H1152="Mismatch","Exclude","Keep"))</f>
        <v>Keep</v>
      </c>
    </row>
    <row r="1153" customFormat="false" ht="15" hidden="false" customHeight="false" outlineLevel="0" collapsed="false">
      <c r="A1153" s="39" t="s">
        <v>1254</v>
      </c>
      <c r="B1153" s="40" t="n">
        <v>45819</v>
      </c>
      <c r="C1153" s="39" t="s">
        <v>169</v>
      </c>
      <c r="D1153" s="39" t="n">
        <v>2</v>
      </c>
      <c r="E1153" s="41" t="n">
        <v>28.99</v>
      </c>
      <c r="F1153" s="39" t="s">
        <v>115</v>
      </c>
      <c r="G1153" s="39" t="str">
        <f aca="false">UPPER(TRIM(C1153))</f>
        <v>P004</v>
      </c>
      <c r="H1153" s="39" t="str">
        <f aca="false">IF(ISNUMBER(MATCH(G1153,Products!$A$5:$A$24,0)),"OK","Mismatch")</f>
        <v>OK</v>
      </c>
      <c r="I1153" s="39" t="str">
        <f aca="false">IF(COUNTIF($A$5:A1153,A1153)&gt;1,"Duplicate","Unique")</f>
        <v>Unique</v>
      </c>
      <c r="J1153" s="39" t="str">
        <f aca="false">IF(I1153="Duplicate","Remove",IF(H1153="Mismatch","Exclude","Keep"))</f>
        <v>Keep</v>
      </c>
    </row>
    <row r="1154" customFormat="false" ht="15" hidden="false" customHeight="false" outlineLevel="0" collapsed="false">
      <c r="A1154" s="39" t="s">
        <v>1255</v>
      </c>
      <c r="B1154" s="40" t="n">
        <v>45819</v>
      </c>
      <c r="C1154" s="39" t="s">
        <v>153</v>
      </c>
      <c r="D1154" s="39" t="n">
        <v>5</v>
      </c>
      <c r="E1154" s="41" t="n">
        <v>172.1</v>
      </c>
      <c r="F1154" s="39" t="s">
        <v>105</v>
      </c>
      <c r="G1154" s="39" t="str">
        <f aca="false">UPPER(TRIM(C1154))</f>
        <v>P010</v>
      </c>
      <c r="H1154" s="39" t="str">
        <f aca="false">IF(ISNUMBER(MATCH(G1154,Products!$A$5:$A$24,0)),"OK","Mismatch")</f>
        <v>OK</v>
      </c>
      <c r="I1154" s="39" t="str">
        <f aca="false">IF(COUNTIF($A$5:A1154,A1154)&gt;1,"Duplicate","Unique")</f>
        <v>Unique</v>
      </c>
      <c r="J1154" s="39" t="str">
        <f aca="false">IF(I1154="Duplicate","Remove",IF(H1154="Mismatch","Exclude","Keep"))</f>
        <v>Keep</v>
      </c>
    </row>
    <row r="1155" customFormat="false" ht="15" hidden="false" customHeight="false" outlineLevel="0" collapsed="false">
      <c r="A1155" s="39" t="s">
        <v>1256</v>
      </c>
      <c r="B1155" s="40" t="n">
        <v>45820</v>
      </c>
      <c r="C1155" s="39" t="s">
        <v>126</v>
      </c>
      <c r="D1155" s="39" t="n">
        <v>3</v>
      </c>
      <c r="E1155" s="41" t="n">
        <v>24.73</v>
      </c>
      <c r="F1155" s="39" t="s">
        <v>105</v>
      </c>
      <c r="G1155" s="39" t="str">
        <f aca="false">UPPER(TRIM(C1155))</f>
        <v>P001</v>
      </c>
      <c r="H1155" s="39" t="str">
        <f aca="false">IF(ISNUMBER(MATCH(G1155,Products!$A$5:$A$24,0)),"OK","Mismatch")</f>
        <v>OK</v>
      </c>
      <c r="I1155" s="39" t="str">
        <f aca="false">IF(COUNTIF($A$5:A1155,A1155)&gt;1,"Duplicate","Unique")</f>
        <v>Unique</v>
      </c>
      <c r="J1155" s="39" t="str">
        <f aca="false">IF(I1155="Duplicate","Remove",IF(H1155="Mismatch","Exclude","Keep"))</f>
        <v>Keep</v>
      </c>
    </row>
    <row r="1156" customFormat="false" ht="15" hidden="false" customHeight="false" outlineLevel="0" collapsed="false">
      <c r="A1156" s="39" t="s">
        <v>1257</v>
      </c>
      <c r="B1156" s="40" t="n">
        <v>45820</v>
      </c>
      <c r="C1156" s="39" t="s">
        <v>153</v>
      </c>
      <c r="D1156" s="39" t="n">
        <v>1</v>
      </c>
      <c r="E1156" s="41" t="n">
        <v>178.61</v>
      </c>
      <c r="F1156" s="39" t="s">
        <v>108</v>
      </c>
      <c r="G1156" s="39" t="str">
        <f aca="false">UPPER(TRIM(C1156))</f>
        <v>P010</v>
      </c>
      <c r="H1156" s="39" t="str">
        <f aca="false">IF(ISNUMBER(MATCH(G1156,Products!$A$5:$A$24,0)),"OK","Mismatch")</f>
        <v>OK</v>
      </c>
      <c r="I1156" s="39" t="str">
        <f aca="false">IF(COUNTIF($A$5:A1156,A1156)&gt;1,"Duplicate","Unique")</f>
        <v>Unique</v>
      </c>
      <c r="J1156" s="39" t="str">
        <f aca="false">IF(I1156="Duplicate","Remove",IF(H1156="Mismatch","Exclude","Keep"))</f>
        <v>Keep</v>
      </c>
    </row>
    <row r="1157" customFormat="false" ht="15" hidden="false" customHeight="false" outlineLevel="0" collapsed="false">
      <c r="A1157" s="39" t="s">
        <v>1258</v>
      </c>
      <c r="B1157" s="40" t="n">
        <v>45820</v>
      </c>
      <c r="C1157" s="39" t="s">
        <v>126</v>
      </c>
      <c r="D1157" s="39" t="n">
        <v>1</v>
      </c>
      <c r="E1157" s="41" t="n">
        <v>24.2</v>
      </c>
      <c r="F1157" s="39" t="s">
        <v>118</v>
      </c>
      <c r="G1157" s="39" t="str">
        <f aca="false">UPPER(TRIM(C1157))</f>
        <v>P001</v>
      </c>
      <c r="H1157" s="39" t="str">
        <f aca="false">IF(ISNUMBER(MATCH(G1157,Products!$A$5:$A$24,0)),"OK","Mismatch")</f>
        <v>OK</v>
      </c>
      <c r="I1157" s="39" t="str">
        <f aca="false">IF(COUNTIF($A$5:A1157,A1157)&gt;1,"Duplicate","Unique")</f>
        <v>Unique</v>
      </c>
      <c r="J1157" s="39" t="str">
        <f aca="false">IF(I1157="Duplicate","Remove",IF(H1157="Mismatch","Exclude","Keep"))</f>
        <v>Keep</v>
      </c>
    </row>
    <row r="1158" customFormat="false" ht="15" hidden="false" customHeight="false" outlineLevel="0" collapsed="false">
      <c r="A1158" s="39" t="s">
        <v>1259</v>
      </c>
      <c r="B1158" s="40" t="n">
        <v>45820</v>
      </c>
      <c r="C1158" s="39" t="s">
        <v>126</v>
      </c>
      <c r="D1158" s="39" t="n">
        <v>6</v>
      </c>
      <c r="E1158" s="41" t="n">
        <v>24.92</v>
      </c>
      <c r="F1158" s="39" t="s">
        <v>108</v>
      </c>
      <c r="G1158" s="39" t="str">
        <f aca="false">UPPER(TRIM(C1158))</f>
        <v>P001</v>
      </c>
      <c r="H1158" s="39" t="str">
        <f aca="false">IF(ISNUMBER(MATCH(G1158,Products!$A$5:$A$24,0)),"OK","Mismatch")</f>
        <v>OK</v>
      </c>
      <c r="I1158" s="39" t="str">
        <f aca="false">IF(COUNTIF($A$5:A1158,A1158)&gt;1,"Duplicate","Unique")</f>
        <v>Unique</v>
      </c>
      <c r="J1158" s="39" t="str">
        <f aca="false">IF(I1158="Duplicate","Remove",IF(H1158="Mismatch","Exclude","Keep"))</f>
        <v>Keep</v>
      </c>
    </row>
    <row r="1159" customFormat="false" ht="15" hidden="false" customHeight="false" outlineLevel="0" collapsed="false">
      <c r="A1159" s="39" t="s">
        <v>1260</v>
      </c>
      <c r="B1159" s="40" t="n">
        <v>45820</v>
      </c>
      <c r="C1159" s="39" t="s">
        <v>136</v>
      </c>
      <c r="D1159" s="39" t="n">
        <v>1</v>
      </c>
      <c r="E1159" s="41" t="n">
        <v>73.58</v>
      </c>
      <c r="F1159" s="39" t="s">
        <v>118</v>
      </c>
      <c r="G1159" s="39" t="str">
        <f aca="false">UPPER(TRIM(C1159))</f>
        <v>P002</v>
      </c>
      <c r="H1159" s="39" t="str">
        <f aca="false">IF(ISNUMBER(MATCH(G1159,Products!$A$5:$A$24,0)),"OK","Mismatch")</f>
        <v>OK</v>
      </c>
      <c r="I1159" s="39" t="str">
        <f aca="false">IF(COUNTIF($A$5:A1159,A1159)&gt;1,"Duplicate","Unique")</f>
        <v>Unique</v>
      </c>
      <c r="J1159" s="39" t="str">
        <f aca="false">IF(I1159="Duplicate","Remove",IF(H1159="Mismatch","Exclude","Keep"))</f>
        <v>Keep</v>
      </c>
    </row>
    <row r="1160" customFormat="false" ht="15" hidden="false" customHeight="false" outlineLevel="0" collapsed="false">
      <c r="A1160" s="39" t="s">
        <v>1261</v>
      </c>
      <c r="B1160" s="40" t="n">
        <v>45820</v>
      </c>
      <c r="C1160" s="39" t="s">
        <v>112</v>
      </c>
      <c r="D1160" s="39" t="n">
        <v>3</v>
      </c>
      <c r="E1160" s="41" t="n">
        <v>51.62</v>
      </c>
      <c r="F1160" s="39" t="s">
        <v>115</v>
      </c>
      <c r="G1160" s="39" t="str">
        <f aca="false">UPPER(TRIM(C1160))</f>
        <v>P005</v>
      </c>
      <c r="H1160" s="39" t="str">
        <f aca="false">IF(ISNUMBER(MATCH(G1160,Products!$A$5:$A$24,0)),"OK","Mismatch")</f>
        <v>OK</v>
      </c>
      <c r="I1160" s="39" t="str">
        <f aca="false">IF(COUNTIF($A$5:A1160,A1160)&gt;1,"Duplicate","Unique")</f>
        <v>Unique</v>
      </c>
      <c r="J1160" s="39" t="str">
        <f aca="false">IF(I1160="Duplicate","Remove",IF(H1160="Mismatch","Exclude","Keep"))</f>
        <v>Keep</v>
      </c>
    </row>
    <row r="1161" customFormat="false" ht="15" hidden="false" customHeight="false" outlineLevel="0" collapsed="false">
      <c r="A1161" s="39" t="s">
        <v>1262</v>
      </c>
      <c r="B1161" s="40" t="n">
        <v>45820</v>
      </c>
      <c r="C1161" s="39" t="s">
        <v>114</v>
      </c>
      <c r="D1161" s="39" t="n">
        <v>3</v>
      </c>
      <c r="E1161" s="41" t="n">
        <v>5.52</v>
      </c>
      <c r="F1161" s="39" t="s">
        <v>105</v>
      </c>
      <c r="G1161" s="39" t="str">
        <f aca="false">UPPER(TRIM(C1161))</f>
        <v>P012</v>
      </c>
      <c r="H1161" s="39" t="str">
        <f aca="false">IF(ISNUMBER(MATCH(G1161,Products!$A$5:$A$24,0)),"OK","Mismatch")</f>
        <v>OK</v>
      </c>
      <c r="I1161" s="39" t="str">
        <f aca="false">IF(COUNTIF($A$5:A1161,A1161)&gt;1,"Duplicate","Unique")</f>
        <v>Unique</v>
      </c>
      <c r="J1161" s="39" t="str">
        <f aca="false">IF(I1161="Duplicate","Remove",IF(H1161="Mismatch","Exclude","Keep"))</f>
        <v>Keep</v>
      </c>
    </row>
    <row r="1162" customFormat="false" ht="15" hidden="false" customHeight="false" outlineLevel="0" collapsed="false">
      <c r="A1162" s="39" t="s">
        <v>1263</v>
      </c>
      <c r="B1162" s="40" t="n">
        <v>45821</v>
      </c>
      <c r="C1162" s="39" t="s">
        <v>121</v>
      </c>
      <c r="D1162" s="39" t="n">
        <v>2</v>
      </c>
      <c r="E1162" s="41" t="n">
        <v>118.72</v>
      </c>
      <c r="F1162" s="39" t="s">
        <v>108</v>
      </c>
      <c r="G1162" s="39" t="str">
        <f aca="false">UPPER(TRIM(C1162))</f>
        <v>P018</v>
      </c>
      <c r="H1162" s="39" t="str">
        <f aca="false">IF(ISNUMBER(MATCH(G1162,Products!$A$5:$A$24,0)),"OK","Mismatch")</f>
        <v>OK</v>
      </c>
      <c r="I1162" s="39" t="str">
        <f aca="false">IF(COUNTIF($A$5:A1162,A1162)&gt;1,"Duplicate","Unique")</f>
        <v>Unique</v>
      </c>
      <c r="J1162" s="39" t="str">
        <f aca="false">IF(I1162="Duplicate","Remove",IF(H1162="Mismatch","Exclude","Keep"))</f>
        <v>Keep</v>
      </c>
    </row>
    <row r="1163" customFormat="false" ht="15" hidden="false" customHeight="false" outlineLevel="0" collapsed="false">
      <c r="A1163" s="39" t="s">
        <v>1264</v>
      </c>
      <c r="B1163" s="40" t="n">
        <v>45821</v>
      </c>
      <c r="C1163" s="39" t="s">
        <v>126</v>
      </c>
      <c r="D1163" s="39" t="n">
        <v>3</v>
      </c>
      <c r="E1163" s="41" t="n">
        <v>24.06</v>
      </c>
      <c r="F1163" s="39" t="s">
        <v>115</v>
      </c>
      <c r="G1163" s="39" t="str">
        <f aca="false">UPPER(TRIM(C1163))</f>
        <v>P001</v>
      </c>
      <c r="H1163" s="39" t="str">
        <f aca="false">IF(ISNUMBER(MATCH(G1163,Products!$A$5:$A$24,0)),"OK","Mismatch")</f>
        <v>OK</v>
      </c>
      <c r="I1163" s="39" t="str">
        <f aca="false">IF(COUNTIF($A$5:A1163,A1163)&gt;1,"Duplicate","Unique")</f>
        <v>Unique</v>
      </c>
      <c r="J1163" s="39" t="str">
        <f aca="false">IF(I1163="Duplicate","Remove",IF(H1163="Mismatch","Exclude","Keep"))</f>
        <v>Keep</v>
      </c>
    </row>
    <row r="1164" customFormat="false" ht="15" hidden="false" customHeight="false" outlineLevel="0" collapsed="false">
      <c r="A1164" s="39" t="s">
        <v>1265</v>
      </c>
      <c r="B1164" s="40" t="n">
        <v>45821</v>
      </c>
      <c r="C1164" s="39" t="s">
        <v>144</v>
      </c>
      <c r="D1164" s="39" t="n">
        <v>3</v>
      </c>
      <c r="E1164" s="41" t="n">
        <v>55.72</v>
      </c>
      <c r="F1164" s="39" t="s">
        <v>105</v>
      </c>
      <c r="G1164" s="39" t="str">
        <f aca="false">UPPER(TRIM(C1164))</f>
        <v>P013</v>
      </c>
      <c r="H1164" s="39" t="str">
        <f aca="false">IF(ISNUMBER(MATCH(G1164,Products!$A$5:$A$24,0)),"OK","Mismatch")</f>
        <v>OK</v>
      </c>
      <c r="I1164" s="39" t="str">
        <f aca="false">IF(COUNTIF($A$5:A1164,A1164)&gt;1,"Duplicate","Unique")</f>
        <v>Unique</v>
      </c>
      <c r="J1164" s="39" t="str">
        <f aca="false">IF(I1164="Duplicate","Remove",IF(H1164="Mismatch","Exclude","Keep"))</f>
        <v>Keep</v>
      </c>
    </row>
    <row r="1165" customFormat="false" ht="15" hidden="false" customHeight="false" outlineLevel="0" collapsed="false">
      <c r="A1165" s="39" t="s">
        <v>1265</v>
      </c>
      <c r="B1165" s="40" t="n">
        <v>45821</v>
      </c>
      <c r="C1165" s="39" t="s">
        <v>144</v>
      </c>
      <c r="D1165" s="39" t="n">
        <v>3</v>
      </c>
      <c r="E1165" s="41" t="n">
        <v>55.72</v>
      </c>
      <c r="F1165" s="39" t="s">
        <v>105</v>
      </c>
      <c r="G1165" s="39" t="str">
        <f aca="false">UPPER(TRIM(C1165))</f>
        <v>P013</v>
      </c>
      <c r="H1165" s="39" t="str">
        <f aca="false">IF(ISNUMBER(MATCH(G1165,Products!$A$5:$A$24,0)),"OK","Mismatch")</f>
        <v>OK</v>
      </c>
      <c r="I1165" s="39" t="str">
        <f aca="false">IF(COUNTIF($A$5:A1165,A1165)&gt;1,"Duplicate","Unique")</f>
        <v>Duplicate</v>
      </c>
      <c r="J1165" s="39" t="str">
        <f aca="false">IF(I1165="Duplicate","Remove",IF(H1165="Mismatch","Exclude","Keep"))</f>
        <v>Remove</v>
      </c>
    </row>
    <row r="1166" customFormat="false" ht="15" hidden="false" customHeight="false" outlineLevel="0" collapsed="false">
      <c r="A1166" s="39" t="s">
        <v>1266</v>
      </c>
      <c r="B1166" s="40" t="n">
        <v>45821</v>
      </c>
      <c r="C1166" s="39" t="s">
        <v>183</v>
      </c>
      <c r="D1166" s="39" t="n">
        <v>2</v>
      </c>
      <c r="E1166" s="41" t="n">
        <v>178.22</v>
      </c>
      <c r="F1166" s="39" t="s">
        <v>105</v>
      </c>
      <c r="G1166" s="39" t="str">
        <f aca="false">UPPER(TRIM(C1166))</f>
        <v>P007</v>
      </c>
      <c r="H1166" s="39" t="str">
        <f aca="false">IF(ISNUMBER(MATCH(G1166,Products!$A$5:$A$24,0)),"OK","Mismatch")</f>
        <v>OK</v>
      </c>
      <c r="I1166" s="39" t="str">
        <f aca="false">IF(COUNTIF($A$5:A1166,A1166)&gt;1,"Duplicate","Unique")</f>
        <v>Unique</v>
      </c>
      <c r="J1166" s="39" t="str">
        <f aca="false">IF(I1166="Duplicate","Remove",IF(H1166="Mismatch","Exclude","Keep"))</f>
        <v>Keep</v>
      </c>
    </row>
    <row r="1167" customFormat="false" ht="15" hidden="false" customHeight="false" outlineLevel="0" collapsed="false">
      <c r="A1167" s="39" t="s">
        <v>1267</v>
      </c>
      <c r="B1167" s="40" t="n">
        <v>45821</v>
      </c>
      <c r="C1167" s="39" t="s">
        <v>130</v>
      </c>
      <c r="D1167" s="39" t="n">
        <v>3</v>
      </c>
      <c r="E1167" s="41" t="n">
        <v>8.62</v>
      </c>
      <c r="F1167" s="39" t="s">
        <v>115</v>
      </c>
      <c r="G1167" s="39" t="str">
        <f aca="false">UPPER(TRIM(C1167))</f>
        <v>P011</v>
      </c>
      <c r="H1167" s="39" t="str">
        <f aca="false">IF(ISNUMBER(MATCH(G1167,Products!$A$5:$A$24,0)),"OK","Mismatch")</f>
        <v>OK</v>
      </c>
      <c r="I1167" s="39" t="str">
        <f aca="false">IF(COUNTIF($A$5:A1167,A1167)&gt;1,"Duplicate","Unique")</f>
        <v>Unique</v>
      </c>
      <c r="J1167" s="39" t="str">
        <f aca="false">IF(I1167="Duplicate","Remove",IF(H1167="Mismatch","Exclude","Keep"))</f>
        <v>Keep</v>
      </c>
    </row>
    <row r="1168" customFormat="false" ht="15" hidden="false" customHeight="false" outlineLevel="0" collapsed="false">
      <c r="A1168" s="39" t="s">
        <v>1268</v>
      </c>
      <c r="B1168" s="40" t="n">
        <v>45821</v>
      </c>
      <c r="C1168" s="39" t="s">
        <v>114</v>
      </c>
      <c r="D1168" s="39" t="n">
        <v>1</v>
      </c>
      <c r="E1168" s="41" t="n">
        <v>5.55</v>
      </c>
      <c r="F1168" s="39" t="s">
        <v>118</v>
      </c>
      <c r="G1168" s="39" t="str">
        <f aca="false">UPPER(TRIM(C1168))</f>
        <v>P012</v>
      </c>
      <c r="H1168" s="39" t="str">
        <f aca="false">IF(ISNUMBER(MATCH(G1168,Products!$A$5:$A$24,0)),"OK","Mismatch")</f>
        <v>OK</v>
      </c>
      <c r="I1168" s="39" t="str">
        <f aca="false">IF(COUNTIF($A$5:A1168,A1168)&gt;1,"Duplicate","Unique")</f>
        <v>Unique</v>
      </c>
      <c r="J1168" s="39" t="str">
        <f aca="false">IF(I1168="Duplicate","Remove",IF(H1168="Mismatch","Exclude","Keep"))</f>
        <v>Keep</v>
      </c>
    </row>
    <row r="1169" customFormat="false" ht="15" hidden="false" customHeight="false" outlineLevel="0" collapsed="false">
      <c r="A1169" s="39" t="s">
        <v>1269</v>
      </c>
      <c r="B1169" s="40" t="n">
        <v>45821</v>
      </c>
      <c r="C1169" s="39" t="s">
        <v>177</v>
      </c>
      <c r="D1169" s="39" t="n">
        <v>4</v>
      </c>
      <c r="E1169" s="41" t="n">
        <v>42.7</v>
      </c>
      <c r="F1169" s="39" t="s">
        <v>108</v>
      </c>
      <c r="G1169" s="39" t="str">
        <f aca="false">UPPER(TRIM(C1169))</f>
        <v>P014</v>
      </c>
      <c r="H1169" s="39" t="str">
        <f aca="false">IF(ISNUMBER(MATCH(G1169,Products!$A$5:$A$24,0)),"OK","Mismatch")</f>
        <v>OK</v>
      </c>
      <c r="I1169" s="39" t="str">
        <f aca="false">IF(COUNTIF($A$5:A1169,A1169)&gt;1,"Duplicate","Unique")</f>
        <v>Unique</v>
      </c>
      <c r="J1169" s="39" t="str">
        <f aca="false">IF(I1169="Duplicate","Remove",IF(H1169="Mismatch","Exclude","Keep"))</f>
        <v>Keep</v>
      </c>
    </row>
    <row r="1170" customFormat="false" ht="15" hidden="false" customHeight="false" outlineLevel="0" collapsed="false">
      <c r="A1170" s="39" t="s">
        <v>1270</v>
      </c>
      <c r="B1170" s="40" t="n">
        <v>45821</v>
      </c>
      <c r="C1170" s="39" t="s">
        <v>128</v>
      </c>
      <c r="D1170" s="39" t="n">
        <v>2</v>
      </c>
      <c r="E1170" s="41" t="n">
        <v>36.28</v>
      </c>
      <c r="F1170" s="39" t="s">
        <v>118</v>
      </c>
      <c r="G1170" s="39" t="str">
        <f aca="false">UPPER(TRIM(C1170))</f>
        <v>P020</v>
      </c>
      <c r="H1170" s="39" t="str">
        <f aca="false">IF(ISNUMBER(MATCH(G1170,Products!$A$5:$A$24,0)),"OK","Mismatch")</f>
        <v>OK</v>
      </c>
      <c r="I1170" s="39" t="str">
        <f aca="false">IF(COUNTIF($A$5:A1170,A1170)&gt;1,"Duplicate","Unique")</f>
        <v>Unique</v>
      </c>
      <c r="J1170" s="39" t="str">
        <f aca="false">IF(I1170="Duplicate","Remove",IF(H1170="Mismatch","Exclude","Keep"))</f>
        <v>Keep</v>
      </c>
    </row>
    <row r="1171" customFormat="false" ht="15" hidden="false" customHeight="false" outlineLevel="0" collapsed="false">
      <c r="A1171" s="39" t="s">
        <v>1271</v>
      </c>
      <c r="B1171" s="40" t="n">
        <v>45821</v>
      </c>
      <c r="C1171" s="39" t="s">
        <v>114</v>
      </c>
      <c r="D1171" s="39" t="n">
        <v>1</v>
      </c>
      <c r="E1171" s="41" t="n">
        <v>5.57</v>
      </c>
      <c r="F1171" s="39" t="s">
        <v>118</v>
      </c>
      <c r="G1171" s="39" t="str">
        <f aca="false">UPPER(TRIM(C1171))</f>
        <v>P012</v>
      </c>
      <c r="H1171" s="39" t="str">
        <f aca="false">IF(ISNUMBER(MATCH(G1171,Products!$A$5:$A$24,0)),"OK","Mismatch")</f>
        <v>OK</v>
      </c>
      <c r="I1171" s="39" t="str">
        <f aca="false">IF(COUNTIF($A$5:A1171,A1171)&gt;1,"Duplicate","Unique")</f>
        <v>Unique</v>
      </c>
      <c r="J1171" s="39" t="str">
        <f aca="false">IF(I1171="Duplicate","Remove",IF(H1171="Mismatch","Exclude","Keep"))</f>
        <v>Keep</v>
      </c>
    </row>
    <row r="1172" customFormat="false" ht="15" hidden="false" customHeight="false" outlineLevel="0" collapsed="false">
      <c r="A1172" s="39" t="s">
        <v>1272</v>
      </c>
      <c r="B1172" s="40" t="n">
        <v>45821</v>
      </c>
      <c r="C1172" s="39" t="s">
        <v>126</v>
      </c>
      <c r="D1172" s="39" t="n">
        <v>3</v>
      </c>
      <c r="E1172" s="41" t="n">
        <v>23.4</v>
      </c>
      <c r="F1172" s="39" t="s">
        <v>115</v>
      </c>
      <c r="G1172" s="39" t="str">
        <f aca="false">UPPER(TRIM(C1172))</f>
        <v>P001</v>
      </c>
      <c r="H1172" s="39" t="str">
        <f aca="false">IF(ISNUMBER(MATCH(G1172,Products!$A$5:$A$24,0)),"OK","Mismatch")</f>
        <v>OK</v>
      </c>
      <c r="I1172" s="39" t="str">
        <f aca="false">IF(COUNTIF($A$5:A1172,A1172)&gt;1,"Duplicate","Unique")</f>
        <v>Unique</v>
      </c>
      <c r="J1172" s="39" t="str">
        <f aca="false">IF(I1172="Duplicate","Remove",IF(H1172="Mismatch","Exclude","Keep"))</f>
        <v>Keep</v>
      </c>
    </row>
    <row r="1173" customFormat="false" ht="15" hidden="false" customHeight="false" outlineLevel="0" collapsed="false">
      <c r="A1173" s="39" t="s">
        <v>1273</v>
      </c>
      <c r="B1173" s="40" t="n">
        <v>45822</v>
      </c>
      <c r="C1173" s="39" t="s">
        <v>114</v>
      </c>
      <c r="D1173" s="39" t="n">
        <v>2</v>
      </c>
      <c r="E1173" s="41" t="n">
        <v>5.55</v>
      </c>
      <c r="F1173" s="39" t="s">
        <v>115</v>
      </c>
      <c r="G1173" s="39" t="str">
        <f aca="false">UPPER(TRIM(C1173))</f>
        <v>P012</v>
      </c>
      <c r="H1173" s="39" t="str">
        <f aca="false">IF(ISNUMBER(MATCH(G1173,Products!$A$5:$A$24,0)),"OK","Mismatch")</f>
        <v>OK</v>
      </c>
      <c r="I1173" s="39" t="str">
        <f aca="false">IF(COUNTIF($A$5:A1173,A1173)&gt;1,"Duplicate","Unique")</f>
        <v>Unique</v>
      </c>
      <c r="J1173" s="39" t="str">
        <f aca="false">IF(I1173="Duplicate","Remove",IF(H1173="Mismatch","Exclude","Keep"))</f>
        <v>Keep</v>
      </c>
    </row>
    <row r="1174" customFormat="false" ht="15" hidden="false" customHeight="false" outlineLevel="0" collapsed="false">
      <c r="A1174" s="39" t="s">
        <v>1274</v>
      </c>
      <c r="B1174" s="40" t="n">
        <v>45822</v>
      </c>
      <c r="C1174" s="39" t="s">
        <v>114</v>
      </c>
      <c r="D1174" s="39" t="n">
        <v>1</v>
      </c>
      <c r="E1174" s="41" t="n">
        <v>5.98</v>
      </c>
      <c r="F1174" s="39" t="s">
        <v>108</v>
      </c>
      <c r="G1174" s="39" t="str">
        <f aca="false">UPPER(TRIM(C1174))</f>
        <v>P012</v>
      </c>
      <c r="H1174" s="39" t="str">
        <f aca="false">IF(ISNUMBER(MATCH(G1174,Products!$A$5:$A$24,0)),"OK","Mismatch")</f>
        <v>OK</v>
      </c>
      <c r="I1174" s="39" t="str">
        <f aca="false">IF(COUNTIF($A$5:A1174,A1174)&gt;1,"Duplicate","Unique")</f>
        <v>Unique</v>
      </c>
      <c r="J1174" s="39" t="str">
        <f aca="false">IF(I1174="Duplicate","Remove",IF(H1174="Mismatch","Exclude","Keep"))</f>
        <v>Keep</v>
      </c>
    </row>
    <row r="1175" customFormat="false" ht="15" hidden="false" customHeight="false" outlineLevel="0" collapsed="false">
      <c r="A1175" s="39" t="s">
        <v>1275</v>
      </c>
      <c r="B1175" s="40" t="n">
        <v>45822</v>
      </c>
      <c r="C1175" s="39" t="s">
        <v>128</v>
      </c>
      <c r="D1175" s="39" t="n">
        <v>2</v>
      </c>
      <c r="E1175" s="41" t="n">
        <v>36.73</v>
      </c>
      <c r="F1175" s="39" t="s">
        <v>105</v>
      </c>
      <c r="G1175" s="39" t="str">
        <f aca="false">UPPER(TRIM(C1175))</f>
        <v>P020</v>
      </c>
      <c r="H1175" s="39" t="str">
        <f aca="false">IF(ISNUMBER(MATCH(G1175,Products!$A$5:$A$24,0)),"OK","Mismatch")</f>
        <v>OK</v>
      </c>
      <c r="I1175" s="39" t="str">
        <f aca="false">IF(COUNTIF($A$5:A1175,A1175)&gt;1,"Duplicate","Unique")</f>
        <v>Unique</v>
      </c>
      <c r="J1175" s="39" t="str">
        <f aca="false">IF(I1175="Duplicate","Remove",IF(H1175="Mismatch","Exclude","Keep"))</f>
        <v>Keep</v>
      </c>
    </row>
    <row r="1176" customFormat="false" ht="15" hidden="false" customHeight="false" outlineLevel="0" collapsed="false">
      <c r="A1176" s="39" t="s">
        <v>1276</v>
      </c>
      <c r="B1176" s="40" t="n">
        <v>45822</v>
      </c>
      <c r="C1176" s="39" t="s">
        <v>162</v>
      </c>
      <c r="D1176" s="39" t="n">
        <v>6</v>
      </c>
      <c r="E1176" s="41" t="n">
        <v>64.37</v>
      </c>
      <c r="F1176" s="39" t="s">
        <v>115</v>
      </c>
      <c r="G1176" s="39" t="str">
        <f aca="false">UPPER(TRIM(C1176))</f>
        <v>P017</v>
      </c>
      <c r="H1176" s="39" t="str">
        <f aca="false">IF(ISNUMBER(MATCH(G1176,Products!$A$5:$A$24,0)),"OK","Mismatch")</f>
        <v>OK</v>
      </c>
      <c r="I1176" s="39" t="str">
        <f aca="false">IF(COUNTIF($A$5:A1176,A1176)&gt;1,"Duplicate","Unique")</f>
        <v>Unique</v>
      </c>
      <c r="J1176" s="39" t="str">
        <f aca="false">IF(I1176="Duplicate","Remove",IF(H1176="Mismatch","Exclude","Keep"))</f>
        <v>Keep</v>
      </c>
    </row>
    <row r="1177" customFormat="false" ht="15" hidden="false" customHeight="false" outlineLevel="0" collapsed="false">
      <c r="A1177" s="39" t="s">
        <v>1277</v>
      </c>
      <c r="B1177" s="40" t="n">
        <v>45822</v>
      </c>
      <c r="C1177" s="39" t="s">
        <v>104</v>
      </c>
      <c r="D1177" s="39" t="n">
        <v>1</v>
      </c>
      <c r="E1177" s="41" t="n">
        <v>15.99</v>
      </c>
      <c r="F1177" s="39" t="s">
        <v>118</v>
      </c>
      <c r="G1177" s="39" t="str">
        <f aca="false">UPPER(TRIM(C1177))</f>
        <v>P015</v>
      </c>
      <c r="H1177" s="39" t="str">
        <f aca="false">IF(ISNUMBER(MATCH(G1177,Products!$A$5:$A$24,0)),"OK","Mismatch")</f>
        <v>OK</v>
      </c>
      <c r="I1177" s="39" t="str">
        <f aca="false">IF(COUNTIF($A$5:A1177,A1177)&gt;1,"Duplicate","Unique")</f>
        <v>Unique</v>
      </c>
      <c r="J1177" s="39" t="str">
        <f aca="false">IF(I1177="Duplicate","Remove",IF(H1177="Mismatch","Exclude","Keep"))</f>
        <v>Keep</v>
      </c>
    </row>
    <row r="1178" customFormat="false" ht="15" hidden="false" customHeight="false" outlineLevel="0" collapsed="false">
      <c r="A1178" s="39" t="s">
        <v>1278</v>
      </c>
      <c r="B1178" s="40" t="n">
        <v>45822</v>
      </c>
      <c r="C1178" s="39" t="s">
        <v>305</v>
      </c>
      <c r="D1178" s="39" t="n">
        <v>8</v>
      </c>
      <c r="E1178" s="41" t="n">
        <v>348.53</v>
      </c>
      <c r="F1178" s="39" t="s">
        <v>105</v>
      </c>
      <c r="G1178" s="39" t="str">
        <f aca="false">UPPER(TRIM(C1178))</f>
        <v>P008</v>
      </c>
      <c r="H1178" s="39" t="str">
        <f aca="false">IF(ISNUMBER(MATCH(G1178,Products!$A$5:$A$24,0)),"OK","Mismatch")</f>
        <v>OK</v>
      </c>
      <c r="I1178" s="39" t="str">
        <f aca="false">IF(COUNTIF($A$5:A1178,A1178)&gt;1,"Duplicate","Unique")</f>
        <v>Unique</v>
      </c>
      <c r="J1178" s="39" t="str">
        <f aca="false">IF(I1178="Duplicate","Remove",IF(H1178="Mismatch","Exclude","Keep"))</f>
        <v>Keep</v>
      </c>
    </row>
    <row r="1179" customFormat="false" ht="15" hidden="false" customHeight="false" outlineLevel="0" collapsed="false">
      <c r="A1179" s="39" t="s">
        <v>1279</v>
      </c>
      <c r="B1179" s="40" t="n">
        <v>45822</v>
      </c>
      <c r="C1179" s="39" t="s">
        <v>139</v>
      </c>
      <c r="D1179" s="39" t="n">
        <v>1</v>
      </c>
      <c r="E1179" s="41" t="n">
        <v>119.02</v>
      </c>
      <c r="F1179" s="39" t="s">
        <v>118</v>
      </c>
      <c r="G1179" s="39" t="str">
        <f aca="false">UPPER(TRIM(C1179))</f>
        <v>P006</v>
      </c>
      <c r="H1179" s="39" t="str">
        <f aca="false">IF(ISNUMBER(MATCH(G1179,Products!$A$5:$A$24,0)),"OK","Mismatch")</f>
        <v>OK</v>
      </c>
      <c r="I1179" s="39" t="str">
        <f aca="false">IF(COUNTIF($A$5:A1179,A1179)&gt;1,"Duplicate","Unique")</f>
        <v>Unique</v>
      </c>
      <c r="J1179" s="39" t="str">
        <f aca="false">IF(I1179="Duplicate","Remove",IF(H1179="Mismatch","Exclude","Keep"))</f>
        <v>Keep</v>
      </c>
    </row>
    <row r="1180" customFormat="false" ht="15" hidden="false" customHeight="false" outlineLevel="0" collapsed="false">
      <c r="A1180" s="39" t="s">
        <v>1280</v>
      </c>
      <c r="B1180" s="40" t="n">
        <v>45822</v>
      </c>
      <c r="C1180" s="39" t="s">
        <v>112</v>
      </c>
      <c r="D1180" s="39" t="n">
        <v>3</v>
      </c>
      <c r="E1180" s="41" t="n">
        <v>51.36</v>
      </c>
      <c r="F1180" s="39" t="s">
        <v>105</v>
      </c>
      <c r="G1180" s="39" t="str">
        <f aca="false">UPPER(TRIM(C1180))</f>
        <v>P005</v>
      </c>
      <c r="H1180" s="39" t="str">
        <f aca="false">IF(ISNUMBER(MATCH(G1180,Products!$A$5:$A$24,0)),"OK","Mismatch")</f>
        <v>OK</v>
      </c>
      <c r="I1180" s="39" t="str">
        <f aca="false">IF(COUNTIF($A$5:A1180,A1180)&gt;1,"Duplicate","Unique")</f>
        <v>Unique</v>
      </c>
      <c r="J1180" s="39" t="str">
        <f aca="false">IF(I1180="Duplicate","Remove",IF(H1180="Mismatch","Exclude","Keep"))</f>
        <v>Keep</v>
      </c>
    </row>
    <row r="1181" customFormat="false" ht="15" hidden="false" customHeight="false" outlineLevel="0" collapsed="false">
      <c r="A1181" s="39" t="s">
        <v>1281</v>
      </c>
      <c r="B1181" s="40" t="n">
        <v>45822</v>
      </c>
      <c r="C1181" s="39" t="s">
        <v>136</v>
      </c>
      <c r="D1181" s="39" t="n">
        <v>4</v>
      </c>
      <c r="E1181" s="41" t="n">
        <v>74.44</v>
      </c>
      <c r="F1181" s="39" t="s">
        <v>115</v>
      </c>
      <c r="G1181" s="39" t="str">
        <f aca="false">UPPER(TRIM(C1181))</f>
        <v>P002</v>
      </c>
      <c r="H1181" s="39" t="str">
        <f aca="false">IF(ISNUMBER(MATCH(G1181,Products!$A$5:$A$24,0)),"OK","Mismatch")</f>
        <v>OK</v>
      </c>
      <c r="I1181" s="39" t="str">
        <f aca="false">IF(COUNTIF($A$5:A1181,A1181)&gt;1,"Duplicate","Unique")</f>
        <v>Unique</v>
      </c>
      <c r="J1181" s="39" t="str">
        <f aca="false">IF(I1181="Duplicate","Remove",IF(H1181="Mismatch","Exclude","Keep"))</f>
        <v>Keep</v>
      </c>
    </row>
    <row r="1182" customFormat="false" ht="15" hidden="false" customHeight="false" outlineLevel="0" collapsed="false">
      <c r="A1182" s="39" t="s">
        <v>1282</v>
      </c>
      <c r="B1182" s="40" t="n">
        <v>45822</v>
      </c>
      <c r="C1182" s="39" t="s">
        <v>107</v>
      </c>
      <c r="D1182" s="39" t="n">
        <v>2</v>
      </c>
      <c r="E1182" s="41" t="n">
        <v>33.09</v>
      </c>
      <c r="F1182" s="39" t="s">
        <v>108</v>
      </c>
      <c r="G1182" s="39" t="str">
        <f aca="false">UPPER(TRIM(C1182))</f>
        <v>P003</v>
      </c>
      <c r="H1182" s="39" t="str">
        <f aca="false">IF(ISNUMBER(MATCH(G1182,Products!$A$5:$A$24,0)),"OK","Mismatch")</f>
        <v>OK</v>
      </c>
      <c r="I1182" s="39" t="str">
        <f aca="false">IF(COUNTIF($A$5:A1182,A1182)&gt;1,"Duplicate","Unique")</f>
        <v>Unique</v>
      </c>
      <c r="J1182" s="39" t="str">
        <f aca="false">IF(I1182="Duplicate","Remove",IF(H1182="Mismatch","Exclude","Keep"))</f>
        <v>Keep</v>
      </c>
    </row>
    <row r="1183" customFormat="false" ht="15" hidden="false" customHeight="false" outlineLevel="0" collapsed="false">
      <c r="A1183" s="39" t="s">
        <v>1283</v>
      </c>
      <c r="B1183" s="40" t="n">
        <v>45823</v>
      </c>
      <c r="C1183" s="39" t="s">
        <v>139</v>
      </c>
      <c r="D1183" s="39" t="n">
        <v>4</v>
      </c>
      <c r="E1183" s="41" t="n">
        <v>120.46</v>
      </c>
      <c r="F1183" s="39" t="s">
        <v>105</v>
      </c>
      <c r="G1183" s="39" t="str">
        <f aca="false">UPPER(TRIM(C1183))</f>
        <v>P006</v>
      </c>
      <c r="H1183" s="39" t="str">
        <f aca="false">IF(ISNUMBER(MATCH(G1183,Products!$A$5:$A$24,0)),"OK","Mismatch")</f>
        <v>OK</v>
      </c>
      <c r="I1183" s="39" t="str">
        <f aca="false">IF(COUNTIF($A$5:A1183,A1183)&gt;1,"Duplicate","Unique")</f>
        <v>Unique</v>
      </c>
      <c r="J1183" s="39" t="str">
        <f aca="false">IF(I1183="Duplicate","Remove",IF(H1183="Mismatch","Exclude","Keep"))</f>
        <v>Keep</v>
      </c>
    </row>
    <row r="1184" customFormat="false" ht="15" hidden="false" customHeight="false" outlineLevel="0" collapsed="false">
      <c r="A1184" s="39" t="s">
        <v>1284</v>
      </c>
      <c r="B1184" s="40" t="n">
        <v>45823</v>
      </c>
      <c r="C1184" s="39" t="s">
        <v>130</v>
      </c>
      <c r="D1184" s="39" t="n">
        <v>1</v>
      </c>
      <c r="E1184" s="41" t="n">
        <v>8.58</v>
      </c>
      <c r="F1184" s="39" t="s">
        <v>115</v>
      </c>
      <c r="G1184" s="39" t="str">
        <f aca="false">UPPER(TRIM(C1184))</f>
        <v>P011</v>
      </c>
      <c r="H1184" s="39" t="str">
        <f aca="false">IF(ISNUMBER(MATCH(G1184,Products!$A$5:$A$24,0)),"OK","Mismatch")</f>
        <v>OK</v>
      </c>
      <c r="I1184" s="39" t="str">
        <f aca="false">IF(COUNTIF($A$5:A1184,A1184)&gt;1,"Duplicate","Unique")</f>
        <v>Unique</v>
      </c>
      <c r="J1184" s="39" t="str">
        <f aca="false">IF(I1184="Duplicate","Remove",IF(H1184="Mismatch","Exclude","Keep"))</f>
        <v>Keep</v>
      </c>
    </row>
    <row r="1185" customFormat="false" ht="15" hidden="false" customHeight="false" outlineLevel="0" collapsed="false">
      <c r="A1185" s="39" t="s">
        <v>1285</v>
      </c>
      <c r="B1185" s="40" t="n">
        <v>45823</v>
      </c>
      <c r="C1185" s="39" t="s">
        <v>126</v>
      </c>
      <c r="D1185" s="39" t="n">
        <v>4</v>
      </c>
      <c r="E1185" s="41" t="n">
        <v>23.62</v>
      </c>
      <c r="F1185" s="39" t="s">
        <v>115</v>
      </c>
      <c r="G1185" s="39" t="str">
        <f aca="false">UPPER(TRIM(C1185))</f>
        <v>P001</v>
      </c>
      <c r="H1185" s="39" t="str">
        <f aca="false">IF(ISNUMBER(MATCH(G1185,Products!$A$5:$A$24,0)),"OK","Mismatch")</f>
        <v>OK</v>
      </c>
      <c r="I1185" s="39" t="str">
        <f aca="false">IF(COUNTIF($A$5:A1185,A1185)&gt;1,"Duplicate","Unique")</f>
        <v>Unique</v>
      </c>
      <c r="J1185" s="39" t="str">
        <f aca="false">IF(I1185="Duplicate","Remove",IF(H1185="Mismatch","Exclude","Keep"))</f>
        <v>Keep</v>
      </c>
    </row>
    <row r="1186" customFormat="false" ht="15" hidden="false" customHeight="false" outlineLevel="0" collapsed="false">
      <c r="A1186" s="39" t="s">
        <v>1286</v>
      </c>
      <c r="B1186" s="40" t="n">
        <v>45823</v>
      </c>
      <c r="C1186" s="39" t="s">
        <v>169</v>
      </c>
      <c r="D1186" s="39" t="n">
        <v>3</v>
      </c>
      <c r="E1186" s="41" t="n">
        <v>28.11</v>
      </c>
      <c r="F1186" s="39" t="s">
        <v>115</v>
      </c>
      <c r="G1186" s="39" t="str">
        <f aca="false">UPPER(TRIM(C1186))</f>
        <v>P004</v>
      </c>
      <c r="H1186" s="39" t="str">
        <f aca="false">IF(ISNUMBER(MATCH(G1186,Products!$A$5:$A$24,0)),"OK","Mismatch")</f>
        <v>OK</v>
      </c>
      <c r="I1186" s="39" t="str">
        <f aca="false">IF(COUNTIF($A$5:A1186,A1186)&gt;1,"Duplicate","Unique")</f>
        <v>Unique</v>
      </c>
      <c r="J1186" s="39" t="str">
        <f aca="false">IF(I1186="Duplicate","Remove",IF(H1186="Mismatch","Exclude","Keep"))</f>
        <v>Keep</v>
      </c>
    </row>
    <row r="1187" customFormat="false" ht="15" hidden="false" customHeight="false" outlineLevel="0" collapsed="false">
      <c r="A1187" s="39" t="s">
        <v>1287</v>
      </c>
      <c r="B1187" s="40" t="n">
        <v>45823</v>
      </c>
      <c r="C1187" s="39" t="s">
        <v>107</v>
      </c>
      <c r="D1187" s="39" t="n">
        <v>1</v>
      </c>
      <c r="E1187" s="41" t="n">
        <v>32.63</v>
      </c>
      <c r="F1187" s="39" t="s">
        <v>115</v>
      </c>
      <c r="G1187" s="39" t="str">
        <f aca="false">UPPER(TRIM(C1187))</f>
        <v>P003</v>
      </c>
      <c r="H1187" s="39" t="str">
        <f aca="false">IF(ISNUMBER(MATCH(G1187,Products!$A$5:$A$24,0)),"OK","Mismatch")</f>
        <v>OK</v>
      </c>
      <c r="I1187" s="39" t="str">
        <f aca="false">IF(COUNTIF($A$5:A1187,A1187)&gt;1,"Duplicate","Unique")</f>
        <v>Unique</v>
      </c>
      <c r="J1187" s="39" t="str">
        <f aca="false">IF(I1187="Duplicate","Remove",IF(H1187="Mismatch","Exclude","Keep"))</f>
        <v>Keep</v>
      </c>
    </row>
    <row r="1188" customFormat="false" ht="15" hidden="false" customHeight="false" outlineLevel="0" collapsed="false">
      <c r="A1188" s="39" t="s">
        <v>1288</v>
      </c>
      <c r="B1188" s="40" t="n">
        <v>45823</v>
      </c>
      <c r="C1188" s="39" t="s">
        <v>107</v>
      </c>
      <c r="D1188" s="39" t="n">
        <v>2</v>
      </c>
      <c r="E1188" s="41" t="n">
        <v>32.22</v>
      </c>
      <c r="F1188" s="39" t="s">
        <v>118</v>
      </c>
      <c r="G1188" s="39" t="str">
        <f aca="false">UPPER(TRIM(C1188))</f>
        <v>P003</v>
      </c>
      <c r="H1188" s="39" t="str">
        <f aca="false">IF(ISNUMBER(MATCH(G1188,Products!$A$5:$A$24,0)),"OK","Mismatch")</f>
        <v>OK</v>
      </c>
      <c r="I1188" s="39" t="str">
        <f aca="false">IF(COUNTIF($A$5:A1188,A1188)&gt;1,"Duplicate","Unique")</f>
        <v>Unique</v>
      </c>
      <c r="J1188" s="39" t="str">
        <f aca="false">IF(I1188="Duplicate","Remove",IF(H1188="Mismatch","Exclude","Keep"))</f>
        <v>Keep</v>
      </c>
    </row>
    <row r="1189" customFormat="false" ht="15" hidden="false" customHeight="false" outlineLevel="0" collapsed="false">
      <c r="A1189" s="39" t="s">
        <v>1289</v>
      </c>
      <c r="B1189" s="40" t="n">
        <v>45824</v>
      </c>
      <c r="C1189" s="39" t="s">
        <v>114</v>
      </c>
      <c r="D1189" s="39" t="n">
        <v>2</v>
      </c>
      <c r="E1189" s="41" t="n">
        <v>5.77</v>
      </c>
      <c r="F1189" s="39" t="s">
        <v>115</v>
      </c>
      <c r="G1189" s="39" t="str">
        <f aca="false">UPPER(TRIM(C1189))</f>
        <v>P012</v>
      </c>
      <c r="H1189" s="39" t="str">
        <f aca="false">IF(ISNUMBER(MATCH(G1189,Products!$A$5:$A$24,0)),"OK","Mismatch")</f>
        <v>OK</v>
      </c>
      <c r="I1189" s="39" t="str">
        <f aca="false">IF(COUNTIF($A$5:A1189,A1189)&gt;1,"Duplicate","Unique")</f>
        <v>Unique</v>
      </c>
      <c r="J1189" s="39" t="str">
        <f aca="false">IF(I1189="Duplicate","Remove",IF(H1189="Mismatch","Exclude","Keep"))</f>
        <v>Keep</v>
      </c>
    </row>
    <row r="1190" customFormat="false" ht="15" hidden="false" customHeight="false" outlineLevel="0" collapsed="false">
      <c r="A1190" s="39" t="s">
        <v>1290</v>
      </c>
      <c r="B1190" s="40" t="n">
        <v>45824</v>
      </c>
      <c r="C1190" s="39" t="s">
        <v>126</v>
      </c>
      <c r="D1190" s="39" t="n">
        <v>2</v>
      </c>
      <c r="E1190" s="41" t="n">
        <v>23.3</v>
      </c>
      <c r="F1190" s="39" t="s">
        <v>108</v>
      </c>
      <c r="G1190" s="39" t="str">
        <f aca="false">UPPER(TRIM(C1190))</f>
        <v>P001</v>
      </c>
      <c r="H1190" s="39" t="str">
        <f aca="false">IF(ISNUMBER(MATCH(G1190,Products!$A$5:$A$24,0)),"OK","Mismatch")</f>
        <v>OK</v>
      </c>
      <c r="I1190" s="39" t="str">
        <f aca="false">IF(COUNTIF($A$5:A1190,A1190)&gt;1,"Duplicate","Unique")</f>
        <v>Unique</v>
      </c>
      <c r="J1190" s="39" t="str">
        <f aca="false">IF(I1190="Duplicate","Remove",IF(H1190="Mismatch","Exclude","Keep"))</f>
        <v>Keep</v>
      </c>
    </row>
    <row r="1191" customFormat="false" ht="15" hidden="false" customHeight="false" outlineLevel="0" collapsed="false">
      <c r="A1191" s="39" t="s">
        <v>1291</v>
      </c>
      <c r="B1191" s="40" t="n">
        <v>45824</v>
      </c>
      <c r="C1191" s="39" t="s">
        <v>139</v>
      </c>
      <c r="D1191" s="39" t="n">
        <v>2</v>
      </c>
      <c r="E1191" s="41" t="n">
        <v>124.75</v>
      </c>
      <c r="F1191" s="39" t="s">
        <v>108</v>
      </c>
      <c r="G1191" s="39" t="str">
        <f aca="false">UPPER(TRIM(C1191))</f>
        <v>P006</v>
      </c>
      <c r="H1191" s="39" t="str">
        <f aca="false">IF(ISNUMBER(MATCH(G1191,Products!$A$5:$A$24,0)),"OK","Mismatch")</f>
        <v>OK</v>
      </c>
      <c r="I1191" s="39" t="str">
        <f aca="false">IF(COUNTIF($A$5:A1191,A1191)&gt;1,"Duplicate","Unique")</f>
        <v>Unique</v>
      </c>
      <c r="J1191" s="39" t="str">
        <f aca="false">IF(I1191="Duplicate","Remove",IF(H1191="Mismatch","Exclude","Keep"))</f>
        <v>Keep</v>
      </c>
    </row>
    <row r="1192" customFormat="false" ht="15" hidden="false" customHeight="false" outlineLevel="0" collapsed="false">
      <c r="A1192" s="39" t="s">
        <v>1292</v>
      </c>
      <c r="B1192" s="40" t="n">
        <v>45824</v>
      </c>
      <c r="C1192" s="39" t="s">
        <v>136</v>
      </c>
      <c r="D1192" s="39" t="n">
        <v>1</v>
      </c>
      <c r="E1192" s="41" t="n">
        <v>77.06</v>
      </c>
      <c r="F1192" s="39" t="s">
        <v>108</v>
      </c>
      <c r="G1192" s="39" t="str">
        <f aca="false">UPPER(TRIM(C1192))</f>
        <v>P002</v>
      </c>
      <c r="H1192" s="39" t="str">
        <f aca="false">IF(ISNUMBER(MATCH(G1192,Products!$A$5:$A$24,0)),"OK","Mismatch")</f>
        <v>OK</v>
      </c>
      <c r="I1192" s="39" t="str">
        <f aca="false">IF(COUNTIF($A$5:A1192,A1192)&gt;1,"Duplicate","Unique")</f>
        <v>Unique</v>
      </c>
      <c r="J1192" s="39" t="str">
        <f aca="false">IF(I1192="Duplicate","Remove",IF(H1192="Mismatch","Exclude","Keep"))</f>
        <v>Keep</v>
      </c>
    </row>
    <row r="1193" customFormat="false" ht="15" hidden="false" customHeight="false" outlineLevel="0" collapsed="false">
      <c r="A1193" s="39" t="s">
        <v>1293</v>
      </c>
      <c r="B1193" s="40" t="n">
        <v>45825</v>
      </c>
      <c r="C1193" s="39" t="s">
        <v>112</v>
      </c>
      <c r="D1193" s="39" t="n">
        <v>5</v>
      </c>
      <c r="E1193" s="41" t="n">
        <v>52.45</v>
      </c>
      <c r="F1193" s="39" t="s">
        <v>115</v>
      </c>
      <c r="G1193" s="39" t="str">
        <f aca="false">UPPER(TRIM(C1193))</f>
        <v>P005</v>
      </c>
      <c r="H1193" s="39" t="str">
        <f aca="false">IF(ISNUMBER(MATCH(G1193,Products!$A$5:$A$24,0)),"OK","Mismatch")</f>
        <v>OK</v>
      </c>
      <c r="I1193" s="39" t="str">
        <f aca="false">IF(COUNTIF($A$5:A1193,A1193)&gt;1,"Duplicate","Unique")</f>
        <v>Unique</v>
      </c>
      <c r="J1193" s="39" t="str">
        <f aca="false">IF(I1193="Duplicate","Remove",IF(H1193="Mismatch","Exclude","Keep"))</f>
        <v>Keep</v>
      </c>
    </row>
    <row r="1194" customFormat="false" ht="15" hidden="false" customHeight="false" outlineLevel="0" collapsed="false">
      <c r="A1194" s="39" t="s">
        <v>1294</v>
      </c>
      <c r="B1194" s="40" t="n">
        <v>45825</v>
      </c>
      <c r="C1194" s="39" t="s">
        <v>162</v>
      </c>
      <c r="D1194" s="39" t="n">
        <v>1</v>
      </c>
      <c r="E1194" s="41" t="n">
        <v>65.21</v>
      </c>
      <c r="F1194" s="39" t="s">
        <v>118</v>
      </c>
      <c r="G1194" s="39" t="str">
        <f aca="false">UPPER(TRIM(C1194))</f>
        <v>P017</v>
      </c>
      <c r="H1194" s="39" t="str">
        <f aca="false">IF(ISNUMBER(MATCH(G1194,Products!$A$5:$A$24,0)),"OK","Mismatch")</f>
        <v>OK</v>
      </c>
      <c r="I1194" s="39" t="str">
        <f aca="false">IF(COUNTIF($A$5:A1194,A1194)&gt;1,"Duplicate","Unique")</f>
        <v>Unique</v>
      </c>
      <c r="J1194" s="39" t="str">
        <f aca="false">IF(I1194="Duplicate","Remove",IF(H1194="Mismatch","Exclude","Keep"))</f>
        <v>Keep</v>
      </c>
    </row>
    <row r="1195" customFormat="false" ht="15" hidden="false" customHeight="false" outlineLevel="0" collapsed="false">
      <c r="A1195" s="39" t="s">
        <v>1295</v>
      </c>
      <c r="B1195" s="40" t="n">
        <v>45825</v>
      </c>
      <c r="C1195" s="39" t="s">
        <v>139</v>
      </c>
      <c r="D1195" s="39" t="n">
        <v>1</v>
      </c>
      <c r="E1195" s="41" t="n">
        <v>126.77</v>
      </c>
      <c r="F1195" s="39" t="s">
        <v>118</v>
      </c>
      <c r="G1195" s="39" t="str">
        <f aca="false">UPPER(TRIM(C1195))</f>
        <v>P006</v>
      </c>
      <c r="H1195" s="39" t="str">
        <f aca="false">IF(ISNUMBER(MATCH(G1195,Products!$A$5:$A$24,0)),"OK","Mismatch")</f>
        <v>OK</v>
      </c>
      <c r="I1195" s="39" t="str">
        <f aca="false">IF(COUNTIF($A$5:A1195,A1195)&gt;1,"Duplicate","Unique")</f>
        <v>Unique</v>
      </c>
      <c r="J1195" s="39" t="str">
        <f aca="false">IF(I1195="Duplicate","Remove",IF(H1195="Mismatch","Exclude","Keep"))</f>
        <v>Keep</v>
      </c>
    </row>
    <row r="1196" customFormat="false" ht="15" hidden="false" customHeight="false" outlineLevel="0" collapsed="false">
      <c r="A1196" s="39" t="s">
        <v>1296</v>
      </c>
      <c r="B1196" s="40" t="n">
        <v>45825</v>
      </c>
      <c r="C1196" s="39" t="s">
        <v>117</v>
      </c>
      <c r="D1196" s="39" t="n">
        <v>2</v>
      </c>
      <c r="E1196" s="41" t="n">
        <v>29.94</v>
      </c>
      <c r="F1196" s="39" t="s">
        <v>118</v>
      </c>
      <c r="G1196" s="39" t="str">
        <f aca="false">UPPER(TRIM(C1196))</f>
        <v>P009</v>
      </c>
      <c r="H1196" s="39" t="str">
        <f aca="false">IF(ISNUMBER(MATCH(G1196,Products!$A$5:$A$24,0)),"OK","Mismatch")</f>
        <v>OK</v>
      </c>
      <c r="I1196" s="39" t="str">
        <f aca="false">IF(COUNTIF($A$5:A1196,A1196)&gt;1,"Duplicate","Unique")</f>
        <v>Unique</v>
      </c>
      <c r="J1196" s="39" t="str">
        <f aca="false">IF(I1196="Duplicate","Remove",IF(H1196="Mismatch","Exclude","Keep"))</f>
        <v>Keep</v>
      </c>
    </row>
    <row r="1197" customFormat="false" ht="15" hidden="false" customHeight="false" outlineLevel="0" collapsed="false">
      <c r="A1197" s="39" t="s">
        <v>1297</v>
      </c>
      <c r="B1197" s="40" t="n">
        <v>45825</v>
      </c>
      <c r="C1197" s="39" t="s">
        <v>162</v>
      </c>
      <c r="D1197" s="39" t="n">
        <v>2</v>
      </c>
      <c r="E1197" s="41" t="n">
        <v>66.48</v>
      </c>
      <c r="F1197" s="39" t="s">
        <v>108</v>
      </c>
      <c r="G1197" s="39" t="str">
        <f aca="false">UPPER(TRIM(C1197))</f>
        <v>P017</v>
      </c>
      <c r="H1197" s="39" t="str">
        <f aca="false">IF(ISNUMBER(MATCH(G1197,Products!$A$5:$A$24,0)),"OK","Mismatch")</f>
        <v>OK</v>
      </c>
      <c r="I1197" s="39" t="str">
        <f aca="false">IF(COUNTIF($A$5:A1197,A1197)&gt;1,"Duplicate","Unique")</f>
        <v>Unique</v>
      </c>
      <c r="J1197" s="39" t="str">
        <f aca="false">IF(I1197="Duplicate","Remove",IF(H1197="Mismatch","Exclude","Keep"))</f>
        <v>Keep</v>
      </c>
    </row>
    <row r="1198" customFormat="false" ht="15" hidden="false" customHeight="false" outlineLevel="0" collapsed="false">
      <c r="A1198" s="39" t="s">
        <v>1298</v>
      </c>
      <c r="B1198" s="40" t="n">
        <v>45825</v>
      </c>
      <c r="C1198" s="39" t="s">
        <v>104</v>
      </c>
      <c r="D1198" s="39" t="n">
        <v>1</v>
      </c>
      <c r="E1198" s="41" t="n">
        <v>14.78</v>
      </c>
      <c r="F1198" s="39" t="s">
        <v>118</v>
      </c>
      <c r="G1198" s="39" t="str">
        <f aca="false">UPPER(TRIM(C1198))</f>
        <v>P015</v>
      </c>
      <c r="H1198" s="39" t="str">
        <f aca="false">IF(ISNUMBER(MATCH(G1198,Products!$A$5:$A$24,0)),"OK","Mismatch")</f>
        <v>OK</v>
      </c>
      <c r="I1198" s="39" t="str">
        <f aca="false">IF(COUNTIF($A$5:A1198,A1198)&gt;1,"Duplicate","Unique")</f>
        <v>Unique</v>
      </c>
      <c r="J1198" s="39" t="str">
        <f aca="false">IF(I1198="Duplicate","Remove",IF(H1198="Mismatch","Exclude","Keep"))</f>
        <v>Keep</v>
      </c>
    </row>
    <row r="1199" customFormat="false" ht="15" hidden="false" customHeight="false" outlineLevel="0" collapsed="false">
      <c r="A1199" s="39" t="s">
        <v>1299</v>
      </c>
      <c r="B1199" s="40" t="n">
        <v>45825</v>
      </c>
      <c r="C1199" s="39" t="s">
        <v>126</v>
      </c>
      <c r="D1199" s="39" t="n">
        <v>5</v>
      </c>
      <c r="E1199" s="41" t="n">
        <v>23.35</v>
      </c>
      <c r="F1199" s="39" t="s">
        <v>108</v>
      </c>
      <c r="G1199" s="39" t="str">
        <f aca="false">UPPER(TRIM(C1199))</f>
        <v>P001</v>
      </c>
      <c r="H1199" s="39" t="str">
        <f aca="false">IF(ISNUMBER(MATCH(G1199,Products!$A$5:$A$24,0)),"OK","Mismatch")</f>
        <v>OK</v>
      </c>
      <c r="I1199" s="39" t="str">
        <f aca="false">IF(COUNTIF($A$5:A1199,A1199)&gt;1,"Duplicate","Unique")</f>
        <v>Unique</v>
      </c>
      <c r="J1199" s="39" t="str">
        <f aca="false">IF(I1199="Duplicate","Remove",IF(H1199="Mismatch","Exclude","Keep"))</f>
        <v>Keep</v>
      </c>
    </row>
    <row r="1200" customFormat="false" ht="15" hidden="false" customHeight="false" outlineLevel="0" collapsed="false">
      <c r="A1200" s="39" t="s">
        <v>1300</v>
      </c>
      <c r="B1200" s="40" t="n">
        <v>45826</v>
      </c>
      <c r="C1200" s="39" t="s">
        <v>128</v>
      </c>
      <c r="D1200" s="39" t="n">
        <v>2</v>
      </c>
      <c r="E1200" s="41" t="n">
        <v>37.2</v>
      </c>
      <c r="F1200" s="39" t="s">
        <v>108</v>
      </c>
      <c r="G1200" s="39" t="str">
        <f aca="false">UPPER(TRIM(C1200))</f>
        <v>P020</v>
      </c>
      <c r="H1200" s="39" t="str">
        <f aca="false">IF(ISNUMBER(MATCH(G1200,Products!$A$5:$A$24,0)),"OK","Mismatch")</f>
        <v>OK</v>
      </c>
      <c r="I1200" s="39" t="str">
        <f aca="false">IF(COUNTIF($A$5:A1200,A1200)&gt;1,"Duplicate","Unique")</f>
        <v>Unique</v>
      </c>
      <c r="J1200" s="39" t="str">
        <f aca="false">IF(I1200="Duplicate","Remove",IF(H1200="Mismatch","Exclude","Keep"))</f>
        <v>Keep</v>
      </c>
    </row>
    <row r="1201" customFormat="false" ht="15" hidden="false" customHeight="false" outlineLevel="0" collapsed="false">
      <c r="A1201" s="39" t="s">
        <v>1301</v>
      </c>
      <c r="B1201" s="40" t="n">
        <v>45826</v>
      </c>
      <c r="C1201" s="39" t="s">
        <v>177</v>
      </c>
      <c r="D1201" s="39" t="n">
        <v>1</v>
      </c>
      <c r="E1201" s="41" t="n">
        <v>44.06</v>
      </c>
      <c r="F1201" s="39" t="s">
        <v>105</v>
      </c>
      <c r="G1201" s="39" t="str">
        <f aca="false">UPPER(TRIM(C1201))</f>
        <v>P014</v>
      </c>
      <c r="H1201" s="39" t="str">
        <f aca="false">IF(ISNUMBER(MATCH(G1201,Products!$A$5:$A$24,0)),"OK","Mismatch")</f>
        <v>OK</v>
      </c>
      <c r="I1201" s="39" t="str">
        <f aca="false">IF(COUNTIF($A$5:A1201,A1201)&gt;1,"Duplicate","Unique")</f>
        <v>Unique</v>
      </c>
      <c r="J1201" s="39" t="str">
        <f aca="false">IF(I1201="Duplicate","Remove",IF(H1201="Mismatch","Exclude","Keep"))</f>
        <v>Keep</v>
      </c>
    </row>
    <row r="1202" customFormat="false" ht="15" hidden="false" customHeight="false" outlineLevel="0" collapsed="false">
      <c r="A1202" s="39" t="s">
        <v>1302</v>
      </c>
      <c r="B1202" s="40" t="n">
        <v>45826</v>
      </c>
      <c r="C1202" s="39" t="s">
        <v>136</v>
      </c>
      <c r="D1202" s="39" t="n">
        <v>6</v>
      </c>
      <c r="E1202" s="41" t="n">
        <v>75.81</v>
      </c>
      <c r="F1202" s="39" t="s">
        <v>108</v>
      </c>
      <c r="G1202" s="39" t="str">
        <f aca="false">UPPER(TRIM(C1202))</f>
        <v>P002</v>
      </c>
      <c r="H1202" s="39" t="str">
        <f aca="false">IF(ISNUMBER(MATCH(G1202,Products!$A$5:$A$24,0)),"OK","Mismatch")</f>
        <v>OK</v>
      </c>
      <c r="I1202" s="39" t="str">
        <f aca="false">IF(COUNTIF($A$5:A1202,A1202)&gt;1,"Duplicate","Unique")</f>
        <v>Unique</v>
      </c>
      <c r="J1202" s="39" t="str">
        <f aca="false">IF(I1202="Duplicate","Remove",IF(H1202="Mismatch","Exclude","Keep"))</f>
        <v>Keep</v>
      </c>
    </row>
    <row r="1203" customFormat="false" ht="15" hidden="false" customHeight="false" outlineLevel="0" collapsed="false">
      <c r="A1203" s="39" t="s">
        <v>1303</v>
      </c>
      <c r="B1203" s="40" t="n">
        <v>45826</v>
      </c>
      <c r="C1203" s="39" t="s">
        <v>114</v>
      </c>
      <c r="D1203" s="39" t="n">
        <v>1</v>
      </c>
      <c r="E1203" s="41" t="n">
        <v>5.88</v>
      </c>
      <c r="F1203" s="39" t="s">
        <v>108</v>
      </c>
      <c r="G1203" s="39" t="str">
        <f aca="false">UPPER(TRIM(C1203))</f>
        <v>P012</v>
      </c>
      <c r="H1203" s="39" t="str">
        <f aca="false">IF(ISNUMBER(MATCH(G1203,Products!$A$5:$A$24,0)),"OK","Mismatch")</f>
        <v>OK</v>
      </c>
      <c r="I1203" s="39" t="str">
        <f aca="false">IF(COUNTIF($A$5:A1203,A1203)&gt;1,"Duplicate","Unique")</f>
        <v>Unique</v>
      </c>
      <c r="J1203" s="39" t="str">
        <f aca="false">IF(I1203="Duplicate","Remove",IF(H1203="Mismatch","Exclude","Keep"))</f>
        <v>Keep</v>
      </c>
    </row>
    <row r="1204" customFormat="false" ht="15" hidden="false" customHeight="false" outlineLevel="0" collapsed="false">
      <c r="A1204" s="39" t="s">
        <v>1304</v>
      </c>
      <c r="B1204" s="40" t="n">
        <v>45826</v>
      </c>
      <c r="C1204" s="39" t="s">
        <v>121</v>
      </c>
      <c r="D1204" s="39" t="n">
        <v>1</v>
      </c>
      <c r="E1204" s="41" t="n">
        <v>117.67</v>
      </c>
      <c r="F1204" s="39" t="s">
        <v>118</v>
      </c>
      <c r="G1204" s="39" t="str">
        <f aca="false">UPPER(TRIM(C1204))</f>
        <v>P018</v>
      </c>
      <c r="H1204" s="39" t="str">
        <f aca="false">IF(ISNUMBER(MATCH(G1204,Products!$A$5:$A$24,0)),"OK","Mismatch")</f>
        <v>OK</v>
      </c>
      <c r="I1204" s="39" t="str">
        <f aca="false">IF(COUNTIF($A$5:A1204,A1204)&gt;1,"Duplicate","Unique")</f>
        <v>Unique</v>
      </c>
      <c r="J1204" s="39" t="str">
        <f aca="false">IF(I1204="Duplicate","Remove",IF(H1204="Mismatch","Exclude","Keep"))</f>
        <v>Keep</v>
      </c>
    </row>
    <row r="1205" customFormat="false" ht="15" hidden="false" customHeight="false" outlineLevel="0" collapsed="false">
      <c r="A1205" s="39" t="s">
        <v>1305</v>
      </c>
      <c r="B1205" s="40" t="n">
        <v>45826</v>
      </c>
      <c r="C1205" s="39" t="s">
        <v>121</v>
      </c>
      <c r="D1205" s="39" t="n">
        <v>1</v>
      </c>
      <c r="E1205" s="41" t="n">
        <v>111.97</v>
      </c>
      <c r="F1205" s="39" t="s">
        <v>115</v>
      </c>
      <c r="G1205" s="39" t="str">
        <f aca="false">UPPER(TRIM(C1205))</f>
        <v>P018</v>
      </c>
      <c r="H1205" s="39" t="str">
        <f aca="false">IF(ISNUMBER(MATCH(G1205,Products!$A$5:$A$24,0)),"OK","Mismatch")</f>
        <v>OK</v>
      </c>
      <c r="I1205" s="39" t="str">
        <f aca="false">IF(COUNTIF($A$5:A1205,A1205)&gt;1,"Duplicate","Unique")</f>
        <v>Unique</v>
      </c>
      <c r="J1205" s="39" t="str">
        <f aca="false">IF(I1205="Duplicate","Remove",IF(H1205="Mismatch","Exclude","Keep"))</f>
        <v>Keep</v>
      </c>
    </row>
    <row r="1206" customFormat="false" ht="15" hidden="false" customHeight="false" outlineLevel="0" collapsed="false">
      <c r="A1206" s="39" t="s">
        <v>1306</v>
      </c>
      <c r="B1206" s="40" t="n">
        <v>45826</v>
      </c>
      <c r="C1206" s="39" t="s">
        <v>169</v>
      </c>
      <c r="D1206" s="39" t="n">
        <v>2</v>
      </c>
      <c r="E1206" s="41" t="n">
        <v>27.94</v>
      </c>
      <c r="F1206" s="39" t="s">
        <v>108</v>
      </c>
      <c r="G1206" s="39" t="str">
        <f aca="false">UPPER(TRIM(C1206))</f>
        <v>P004</v>
      </c>
      <c r="H1206" s="39" t="str">
        <f aca="false">IF(ISNUMBER(MATCH(G1206,Products!$A$5:$A$24,0)),"OK","Mismatch")</f>
        <v>OK</v>
      </c>
      <c r="I1206" s="39" t="str">
        <f aca="false">IF(COUNTIF($A$5:A1206,A1206)&gt;1,"Duplicate","Unique")</f>
        <v>Unique</v>
      </c>
      <c r="J1206" s="39" t="str">
        <f aca="false">IF(I1206="Duplicate","Remove",IF(H1206="Mismatch","Exclude","Keep"))</f>
        <v>Keep</v>
      </c>
    </row>
    <row r="1207" customFormat="false" ht="15" hidden="false" customHeight="false" outlineLevel="0" collapsed="false">
      <c r="A1207" s="39" t="s">
        <v>1307</v>
      </c>
      <c r="B1207" s="40" t="n">
        <v>45826</v>
      </c>
      <c r="C1207" s="39" t="s">
        <v>133</v>
      </c>
      <c r="D1207" s="39" t="n">
        <v>1</v>
      </c>
      <c r="E1207" s="41" t="n">
        <v>8.3</v>
      </c>
      <c r="F1207" s="39" t="s">
        <v>115</v>
      </c>
      <c r="G1207" s="39" t="str">
        <f aca="false">UPPER(TRIM(C1207))</f>
        <v>P019</v>
      </c>
      <c r="H1207" s="39" t="str">
        <f aca="false">IF(ISNUMBER(MATCH(G1207,Products!$A$5:$A$24,0)),"OK","Mismatch")</f>
        <v>OK</v>
      </c>
      <c r="I1207" s="39" t="str">
        <f aca="false">IF(COUNTIF($A$5:A1207,A1207)&gt;1,"Duplicate","Unique")</f>
        <v>Unique</v>
      </c>
      <c r="J1207" s="39" t="str">
        <f aca="false">IF(I1207="Duplicate","Remove",IF(H1207="Mismatch","Exclude","Keep"))</f>
        <v>Keep</v>
      </c>
    </row>
    <row r="1208" customFormat="false" ht="15" hidden="false" customHeight="false" outlineLevel="0" collapsed="false">
      <c r="A1208" s="39" t="s">
        <v>1308</v>
      </c>
      <c r="B1208" s="40" t="n">
        <v>45826</v>
      </c>
      <c r="C1208" s="39" t="s">
        <v>177</v>
      </c>
      <c r="D1208" s="39" t="n">
        <v>1</v>
      </c>
      <c r="E1208" s="41" t="n">
        <v>42.88</v>
      </c>
      <c r="F1208" s="39" t="s">
        <v>105</v>
      </c>
      <c r="G1208" s="39" t="str">
        <f aca="false">UPPER(TRIM(C1208))</f>
        <v>P014</v>
      </c>
      <c r="H1208" s="39" t="str">
        <f aca="false">IF(ISNUMBER(MATCH(G1208,Products!$A$5:$A$24,0)),"OK","Mismatch")</f>
        <v>OK</v>
      </c>
      <c r="I1208" s="39" t="str">
        <f aca="false">IF(COUNTIF($A$5:A1208,A1208)&gt;1,"Duplicate","Unique")</f>
        <v>Unique</v>
      </c>
      <c r="J1208" s="39" t="str">
        <f aca="false">IF(I1208="Duplicate","Remove",IF(H1208="Mismatch","Exclude","Keep"))</f>
        <v>Keep</v>
      </c>
    </row>
    <row r="1209" customFormat="false" ht="15" hidden="false" customHeight="false" outlineLevel="0" collapsed="false">
      <c r="A1209" s="39" t="s">
        <v>1309</v>
      </c>
      <c r="B1209" s="40" t="n">
        <v>45827</v>
      </c>
      <c r="C1209" s="39" t="s">
        <v>139</v>
      </c>
      <c r="D1209" s="39" t="n">
        <v>2</v>
      </c>
      <c r="E1209" s="41" t="n">
        <v>118.88</v>
      </c>
      <c r="F1209" s="39" t="s">
        <v>118</v>
      </c>
      <c r="G1209" s="39" t="str">
        <f aca="false">UPPER(TRIM(C1209))</f>
        <v>P006</v>
      </c>
      <c r="H1209" s="39" t="str">
        <f aca="false">IF(ISNUMBER(MATCH(G1209,Products!$A$5:$A$24,0)),"OK","Mismatch")</f>
        <v>OK</v>
      </c>
      <c r="I1209" s="39" t="str">
        <f aca="false">IF(COUNTIF($A$5:A1209,A1209)&gt;1,"Duplicate","Unique")</f>
        <v>Unique</v>
      </c>
      <c r="J1209" s="39" t="str">
        <f aca="false">IF(I1209="Duplicate","Remove",IF(H1209="Mismatch","Exclude","Keep"))</f>
        <v>Keep</v>
      </c>
    </row>
    <row r="1210" customFormat="false" ht="15" hidden="false" customHeight="false" outlineLevel="0" collapsed="false">
      <c r="A1210" s="39" t="s">
        <v>1310</v>
      </c>
      <c r="B1210" s="40" t="n">
        <v>45827</v>
      </c>
      <c r="C1210" s="39" t="s">
        <v>162</v>
      </c>
      <c r="D1210" s="39" t="n">
        <v>3</v>
      </c>
      <c r="E1210" s="41" t="n">
        <v>68.25</v>
      </c>
      <c r="F1210" s="39" t="s">
        <v>118</v>
      </c>
      <c r="G1210" s="39" t="str">
        <f aca="false">UPPER(TRIM(C1210))</f>
        <v>P017</v>
      </c>
      <c r="H1210" s="39" t="str">
        <f aca="false">IF(ISNUMBER(MATCH(G1210,Products!$A$5:$A$24,0)),"OK","Mismatch")</f>
        <v>OK</v>
      </c>
      <c r="I1210" s="39" t="str">
        <f aca="false">IF(COUNTIF($A$5:A1210,A1210)&gt;1,"Duplicate","Unique")</f>
        <v>Unique</v>
      </c>
      <c r="J1210" s="39" t="str">
        <f aca="false">IF(I1210="Duplicate","Remove",IF(H1210="Mismatch","Exclude","Keep"))</f>
        <v>Keep</v>
      </c>
    </row>
    <row r="1211" customFormat="false" ht="15" hidden="false" customHeight="false" outlineLevel="0" collapsed="false">
      <c r="A1211" s="39" t="s">
        <v>1311</v>
      </c>
      <c r="B1211" s="40" t="n">
        <v>45827</v>
      </c>
      <c r="C1211" s="39" t="s">
        <v>121</v>
      </c>
      <c r="D1211" s="39" t="n">
        <v>3</v>
      </c>
      <c r="E1211" s="41" t="n">
        <v>116.89</v>
      </c>
      <c r="F1211" s="39" t="s">
        <v>105</v>
      </c>
      <c r="G1211" s="39" t="str">
        <f aca="false">UPPER(TRIM(C1211))</f>
        <v>P018</v>
      </c>
      <c r="H1211" s="39" t="str">
        <f aca="false">IF(ISNUMBER(MATCH(G1211,Products!$A$5:$A$24,0)),"OK","Mismatch")</f>
        <v>OK</v>
      </c>
      <c r="I1211" s="39" t="str">
        <f aca="false">IF(COUNTIF($A$5:A1211,A1211)&gt;1,"Duplicate","Unique")</f>
        <v>Unique</v>
      </c>
      <c r="J1211" s="39" t="str">
        <f aca="false">IF(I1211="Duplicate","Remove",IF(H1211="Mismatch","Exclude","Keep"))</f>
        <v>Keep</v>
      </c>
    </row>
    <row r="1212" customFormat="false" ht="15" hidden="false" customHeight="false" outlineLevel="0" collapsed="false">
      <c r="A1212" s="39" t="s">
        <v>1312</v>
      </c>
      <c r="B1212" s="40" t="n">
        <v>45827</v>
      </c>
      <c r="C1212" s="39" t="s">
        <v>126</v>
      </c>
      <c r="D1212" s="39" t="n">
        <v>5</v>
      </c>
      <c r="E1212" s="41" t="n">
        <v>24.16</v>
      </c>
      <c r="F1212" s="39" t="s">
        <v>108</v>
      </c>
      <c r="G1212" s="39" t="str">
        <f aca="false">UPPER(TRIM(C1212))</f>
        <v>P001</v>
      </c>
      <c r="H1212" s="39" t="str">
        <f aca="false">IF(ISNUMBER(MATCH(G1212,Products!$A$5:$A$24,0)),"OK","Mismatch")</f>
        <v>OK</v>
      </c>
      <c r="I1212" s="39" t="str">
        <f aca="false">IF(COUNTIF($A$5:A1212,A1212)&gt;1,"Duplicate","Unique")</f>
        <v>Unique</v>
      </c>
      <c r="J1212" s="39" t="str">
        <f aca="false">IF(I1212="Duplicate","Remove",IF(H1212="Mismatch","Exclude","Keep"))</f>
        <v>Keep</v>
      </c>
    </row>
    <row r="1213" customFormat="false" ht="15" hidden="false" customHeight="false" outlineLevel="0" collapsed="false">
      <c r="A1213" s="39" t="s">
        <v>1313</v>
      </c>
      <c r="B1213" s="40" t="n">
        <v>45827</v>
      </c>
      <c r="C1213" s="39" t="s">
        <v>117</v>
      </c>
      <c r="D1213" s="39" t="n">
        <v>3</v>
      </c>
      <c r="E1213" s="41" t="n">
        <v>29.44</v>
      </c>
      <c r="F1213" s="39" t="s">
        <v>108</v>
      </c>
      <c r="G1213" s="39" t="str">
        <f aca="false">UPPER(TRIM(C1213))</f>
        <v>P009</v>
      </c>
      <c r="H1213" s="39" t="str">
        <f aca="false">IF(ISNUMBER(MATCH(G1213,Products!$A$5:$A$24,0)),"OK","Mismatch")</f>
        <v>OK</v>
      </c>
      <c r="I1213" s="39" t="str">
        <f aca="false">IF(COUNTIF($A$5:A1213,A1213)&gt;1,"Duplicate","Unique")</f>
        <v>Unique</v>
      </c>
      <c r="J1213" s="39" t="str">
        <f aca="false">IF(I1213="Duplicate","Remove",IF(H1213="Mismatch","Exclude","Keep"))</f>
        <v>Keep</v>
      </c>
    </row>
    <row r="1214" customFormat="false" ht="15" hidden="false" customHeight="false" outlineLevel="0" collapsed="false">
      <c r="A1214" s="39" t="s">
        <v>1314</v>
      </c>
      <c r="B1214" s="40" t="n">
        <v>45827</v>
      </c>
      <c r="C1214" s="39" t="s">
        <v>112</v>
      </c>
      <c r="D1214" s="39" t="n">
        <v>2</v>
      </c>
      <c r="E1214" s="41" t="n">
        <v>51.07</v>
      </c>
      <c r="F1214" s="39" t="s">
        <v>115</v>
      </c>
      <c r="G1214" s="39" t="str">
        <f aca="false">UPPER(TRIM(C1214))</f>
        <v>P005</v>
      </c>
      <c r="H1214" s="39" t="str">
        <f aca="false">IF(ISNUMBER(MATCH(G1214,Products!$A$5:$A$24,0)),"OK","Mismatch")</f>
        <v>OK</v>
      </c>
      <c r="I1214" s="39" t="str">
        <f aca="false">IF(COUNTIF($A$5:A1214,A1214)&gt;1,"Duplicate","Unique")</f>
        <v>Unique</v>
      </c>
      <c r="J1214" s="39" t="str">
        <f aca="false">IF(I1214="Duplicate","Remove",IF(H1214="Mismatch","Exclude","Keep"))</f>
        <v>Keep</v>
      </c>
    </row>
    <row r="1215" customFormat="false" ht="15" hidden="false" customHeight="false" outlineLevel="0" collapsed="false">
      <c r="A1215" s="39" t="s">
        <v>1314</v>
      </c>
      <c r="B1215" s="40" t="n">
        <v>45827</v>
      </c>
      <c r="C1215" s="39" t="s">
        <v>112</v>
      </c>
      <c r="D1215" s="39" t="n">
        <v>2</v>
      </c>
      <c r="E1215" s="41" t="n">
        <v>51.07</v>
      </c>
      <c r="F1215" s="39" t="s">
        <v>115</v>
      </c>
      <c r="G1215" s="39" t="str">
        <f aca="false">UPPER(TRIM(C1215))</f>
        <v>P005</v>
      </c>
      <c r="H1215" s="39" t="str">
        <f aca="false">IF(ISNUMBER(MATCH(G1215,Products!$A$5:$A$24,0)),"OK","Mismatch")</f>
        <v>OK</v>
      </c>
      <c r="I1215" s="39" t="str">
        <f aca="false">IF(COUNTIF($A$5:A1215,A1215)&gt;1,"Duplicate","Unique")</f>
        <v>Duplicate</v>
      </c>
      <c r="J1215" s="39" t="str">
        <f aca="false">IF(I1215="Duplicate","Remove",IF(H1215="Mismatch","Exclude","Keep"))</f>
        <v>Remove</v>
      </c>
    </row>
    <row r="1216" customFormat="false" ht="15" hidden="false" customHeight="false" outlineLevel="0" collapsed="false">
      <c r="A1216" s="39" t="s">
        <v>1315</v>
      </c>
      <c r="B1216" s="40" t="n">
        <v>45827</v>
      </c>
      <c r="C1216" s="39" t="s">
        <v>139</v>
      </c>
      <c r="D1216" s="39" t="n">
        <v>2</v>
      </c>
      <c r="E1216" s="41" t="n">
        <v>120</v>
      </c>
      <c r="F1216" s="39" t="s">
        <v>118</v>
      </c>
      <c r="G1216" s="39" t="str">
        <f aca="false">UPPER(TRIM(C1216))</f>
        <v>P006</v>
      </c>
      <c r="H1216" s="39" t="str">
        <f aca="false">IF(ISNUMBER(MATCH(G1216,Products!$A$5:$A$24,0)),"OK","Mismatch")</f>
        <v>OK</v>
      </c>
      <c r="I1216" s="39" t="str">
        <f aca="false">IF(COUNTIF($A$5:A1216,A1216)&gt;1,"Duplicate","Unique")</f>
        <v>Unique</v>
      </c>
      <c r="J1216" s="39" t="str">
        <f aca="false">IF(I1216="Duplicate","Remove",IF(H1216="Mismatch","Exclude","Keep"))</f>
        <v>Keep</v>
      </c>
    </row>
    <row r="1217" customFormat="false" ht="15" hidden="false" customHeight="false" outlineLevel="0" collapsed="false">
      <c r="A1217" s="39" t="s">
        <v>1316</v>
      </c>
      <c r="B1217" s="40" t="n">
        <v>45827</v>
      </c>
      <c r="C1217" s="39" t="s">
        <v>169</v>
      </c>
      <c r="D1217" s="39" t="n">
        <v>2</v>
      </c>
      <c r="E1217" s="41" t="n">
        <v>27.41</v>
      </c>
      <c r="F1217" s="39" t="s">
        <v>118</v>
      </c>
      <c r="G1217" s="39" t="str">
        <f aca="false">UPPER(TRIM(C1217))</f>
        <v>P004</v>
      </c>
      <c r="H1217" s="39" t="str">
        <f aca="false">IF(ISNUMBER(MATCH(G1217,Products!$A$5:$A$24,0)),"OK","Mismatch")</f>
        <v>OK</v>
      </c>
      <c r="I1217" s="39" t="str">
        <f aca="false">IF(COUNTIF($A$5:A1217,A1217)&gt;1,"Duplicate","Unique")</f>
        <v>Unique</v>
      </c>
      <c r="J1217" s="39" t="str">
        <f aca="false">IF(I1217="Duplicate","Remove",IF(H1217="Mismatch","Exclude","Keep"))</f>
        <v>Keep</v>
      </c>
    </row>
    <row r="1218" customFormat="false" ht="15" hidden="false" customHeight="false" outlineLevel="0" collapsed="false">
      <c r="A1218" s="39" t="s">
        <v>1317</v>
      </c>
      <c r="B1218" s="40" t="n">
        <v>45827</v>
      </c>
      <c r="C1218" s="39" t="s">
        <v>121</v>
      </c>
      <c r="D1218" s="39" t="n">
        <v>1</v>
      </c>
      <c r="E1218" s="41" t="n">
        <v>116.06</v>
      </c>
      <c r="F1218" s="39" t="s">
        <v>105</v>
      </c>
      <c r="G1218" s="39" t="str">
        <f aca="false">UPPER(TRIM(C1218))</f>
        <v>P018</v>
      </c>
      <c r="H1218" s="39" t="str">
        <f aca="false">IF(ISNUMBER(MATCH(G1218,Products!$A$5:$A$24,0)),"OK","Mismatch")</f>
        <v>OK</v>
      </c>
      <c r="I1218" s="39" t="str">
        <f aca="false">IF(COUNTIF($A$5:A1218,A1218)&gt;1,"Duplicate","Unique")</f>
        <v>Unique</v>
      </c>
      <c r="J1218" s="39" t="str">
        <f aca="false">IF(I1218="Duplicate","Remove",IF(H1218="Mismatch","Exclude","Keep"))</f>
        <v>Keep</v>
      </c>
    </row>
    <row r="1219" customFormat="false" ht="15" hidden="false" customHeight="false" outlineLevel="0" collapsed="false">
      <c r="A1219" s="39" t="s">
        <v>1318</v>
      </c>
      <c r="B1219" s="40" t="n">
        <v>45828</v>
      </c>
      <c r="C1219" s="39" t="s">
        <v>112</v>
      </c>
      <c r="D1219" s="39" t="n">
        <v>3</v>
      </c>
      <c r="E1219" s="41" t="n">
        <v>51.93</v>
      </c>
      <c r="F1219" s="39" t="s">
        <v>108</v>
      </c>
      <c r="G1219" s="39" t="str">
        <f aca="false">UPPER(TRIM(C1219))</f>
        <v>P005</v>
      </c>
      <c r="H1219" s="39" t="str">
        <f aca="false">IF(ISNUMBER(MATCH(G1219,Products!$A$5:$A$24,0)),"OK","Mismatch")</f>
        <v>OK</v>
      </c>
      <c r="I1219" s="39" t="str">
        <f aca="false">IF(COUNTIF($A$5:A1219,A1219)&gt;1,"Duplicate","Unique")</f>
        <v>Unique</v>
      </c>
      <c r="J1219" s="39" t="str">
        <f aca="false">IF(I1219="Duplicate","Remove",IF(H1219="Mismatch","Exclude","Keep"))</f>
        <v>Keep</v>
      </c>
    </row>
    <row r="1220" customFormat="false" ht="15" hidden="false" customHeight="false" outlineLevel="0" collapsed="false">
      <c r="A1220" s="39" t="s">
        <v>1319</v>
      </c>
      <c r="B1220" s="40" t="n">
        <v>45828</v>
      </c>
      <c r="C1220" s="39" t="s">
        <v>183</v>
      </c>
      <c r="D1220" s="39" t="n">
        <v>1</v>
      </c>
      <c r="E1220" s="41" t="n">
        <v>175.62</v>
      </c>
      <c r="F1220" s="39" t="s">
        <v>105</v>
      </c>
      <c r="G1220" s="39" t="str">
        <f aca="false">UPPER(TRIM(C1220))</f>
        <v>P007</v>
      </c>
      <c r="H1220" s="39" t="str">
        <f aca="false">IF(ISNUMBER(MATCH(G1220,Products!$A$5:$A$24,0)),"OK","Mismatch")</f>
        <v>OK</v>
      </c>
      <c r="I1220" s="39" t="str">
        <f aca="false">IF(COUNTIF($A$5:A1220,A1220)&gt;1,"Duplicate","Unique")</f>
        <v>Unique</v>
      </c>
      <c r="J1220" s="39" t="str">
        <f aca="false">IF(I1220="Duplicate","Remove",IF(H1220="Mismatch","Exclude","Keep"))</f>
        <v>Keep</v>
      </c>
    </row>
    <row r="1221" customFormat="false" ht="15" hidden="false" customHeight="false" outlineLevel="0" collapsed="false">
      <c r="A1221" s="39" t="s">
        <v>1320</v>
      </c>
      <c r="B1221" s="40" t="n">
        <v>45829</v>
      </c>
      <c r="C1221" s="39" t="s">
        <v>117</v>
      </c>
      <c r="D1221" s="39" t="n">
        <v>2</v>
      </c>
      <c r="E1221" s="41" t="n">
        <v>31.02</v>
      </c>
      <c r="F1221" s="39" t="s">
        <v>118</v>
      </c>
      <c r="G1221" s="39" t="str">
        <f aca="false">UPPER(TRIM(C1221))</f>
        <v>P009</v>
      </c>
      <c r="H1221" s="39" t="str">
        <f aca="false">IF(ISNUMBER(MATCH(G1221,Products!$A$5:$A$24,0)),"OK","Mismatch")</f>
        <v>OK</v>
      </c>
      <c r="I1221" s="39" t="str">
        <f aca="false">IF(COUNTIF($A$5:A1221,A1221)&gt;1,"Duplicate","Unique")</f>
        <v>Unique</v>
      </c>
      <c r="J1221" s="39" t="str">
        <f aca="false">IF(I1221="Duplicate","Remove",IF(H1221="Mismatch","Exclude","Keep"))</f>
        <v>Keep</v>
      </c>
    </row>
    <row r="1222" customFormat="false" ht="15" hidden="false" customHeight="false" outlineLevel="0" collapsed="false">
      <c r="A1222" s="39" t="s">
        <v>1321</v>
      </c>
      <c r="B1222" s="40" t="n">
        <v>45829</v>
      </c>
      <c r="C1222" s="39" t="s">
        <v>121</v>
      </c>
      <c r="D1222" s="39" t="n">
        <v>1</v>
      </c>
      <c r="E1222" s="41" t="n">
        <v>113.55</v>
      </c>
      <c r="F1222" s="39" t="s">
        <v>115</v>
      </c>
      <c r="G1222" s="39" t="str">
        <f aca="false">UPPER(TRIM(C1222))</f>
        <v>P018</v>
      </c>
      <c r="H1222" s="39" t="str">
        <f aca="false">IF(ISNUMBER(MATCH(G1222,Products!$A$5:$A$24,0)),"OK","Mismatch")</f>
        <v>OK</v>
      </c>
      <c r="I1222" s="39" t="str">
        <f aca="false">IF(COUNTIF($A$5:A1222,A1222)&gt;1,"Duplicate","Unique")</f>
        <v>Unique</v>
      </c>
      <c r="J1222" s="39" t="str">
        <f aca="false">IF(I1222="Duplicate","Remove",IF(H1222="Mismatch","Exclude","Keep"))</f>
        <v>Keep</v>
      </c>
    </row>
    <row r="1223" customFormat="false" ht="15" hidden="false" customHeight="false" outlineLevel="0" collapsed="false">
      <c r="A1223" s="39" t="s">
        <v>1322</v>
      </c>
      <c r="B1223" s="40" t="n">
        <v>45829</v>
      </c>
      <c r="C1223" s="39" t="s">
        <v>117</v>
      </c>
      <c r="D1223" s="39" t="n">
        <v>3</v>
      </c>
      <c r="E1223" s="41" t="n">
        <v>30.91</v>
      </c>
      <c r="F1223" s="39" t="s">
        <v>115</v>
      </c>
      <c r="G1223" s="39" t="str">
        <f aca="false">UPPER(TRIM(C1223))</f>
        <v>P009</v>
      </c>
      <c r="H1223" s="39" t="str">
        <f aca="false">IF(ISNUMBER(MATCH(G1223,Products!$A$5:$A$24,0)),"OK","Mismatch")</f>
        <v>OK</v>
      </c>
      <c r="I1223" s="39" t="str">
        <f aca="false">IF(COUNTIF($A$5:A1223,A1223)&gt;1,"Duplicate","Unique")</f>
        <v>Unique</v>
      </c>
      <c r="J1223" s="39" t="str">
        <f aca="false">IF(I1223="Duplicate","Remove",IF(H1223="Mismatch","Exclude","Keep"))</f>
        <v>Keep</v>
      </c>
    </row>
    <row r="1224" customFormat="false" ht="15" hidden="false" customHeight="false" outlineLevel="0" collapsed="false">
      <c r="A1224" s="39" t="s">
        <v>1323</v>
      </c>
      <c r="B1224" s="40" t="n">
        <v>45829</v>
      </c>
      <c r="C1224" s="39" t="s">
        <v>114</v>
      </c>
      <c r="D1224" s="39" t="n">
        <v>2</v>
      </c>
      <c r="E1224" s="41" t="n">
        <v>5.55</v>
      </c>
      <c r="F1224" s="39" t="s">
        <v>108</v>
      </c>
      <c r="G1224" s="39" t="str">
        <f aca="false">UPPER(TRIM(C1224))</f>
        <v>P012</v>
      </c>
      <c r="H1224" s="39" t="str">
        <f aca="false">IF(ISNUMBER(MATCH(G1224,Products!$A$5:$A$24,0)),"OK","Mismatch")</f>
        <v>OK</v>
      </c>
      <c r="I1224" s="39" t="str">
        <f aca="false">IF(COUNTIF($A$5:A1224,A1224)&gt;1,"Duplicate","Unique")</f>
        <v>Unique</v>
      </c>
      <c r="J1224" s="39" t="str">
        <f aca="false">IF(I1224="Duplicate","Remove",IF(H1224="Mismatch","Exclude","Keep"))</f>
        <v>Keep</v>
      </c>
    </row>
    <row r="1225" customFormat="false" ht="15" hidden="false" customHeight="false" outlineLevel="0" collapsed="false">
      <c r="A1225" s="39" t="s">
        <v>1324</v>
      </c>
      <c r="B1225" s="40" t="n">
        <v>45830</v>
      </c>
      <c r="C1225" s="39" t="s">
        <v>136</v>
      </c>
      <c r="D1225" s="39" t="n">
        <v>1</v>
      </c>
      <c r="E1225" s="41" t="n">
        <v>76.17</v>
      </c>
      <c r="F1225" s="39" t="s">
        <v>108</v>
      </c>
      <c r="G1225" s="39" t="str">
        <f aca="false">UPPER(TRIM(C1225))</f>
        <v>P002</v>
      </c>
      <c r="H1225" s="39" t="str">
        <f aca="false">IF(ISNUMBER(MATCH(G1225,Products!$A$5:$A$24,0)),"OK","Mismatch")</f>
        <v>OK</v>
      </c>
      <c r="I1225" s="39" t="str">
        <f aca="false">IF(COUNTIF($A$5:A1225,A1225)&gt;1,"Duplicate","Unique")</f>
        <v>Unique</v>
      </c>
      <c r="J1225" s="39" t="str">
        <f aca="false">IF(I1225="Duplicate","Remove",IF(H1225="Mismatch","Exclude","Keep"))</f>
        <v>Keep</v>
      </c>
    </row>
    <row r="1226" customFormat="false" ht="15" hidden="false" customHeight="false" outlineLevel="0" collapsed="false">
      <c r="A1226" s="39" t="s">
        <v>1325</v>
      </c>
      <c r="B1226" s="40" t="n">
        <v>45830</v>
      </c>
      <c r="C1226" s="39" t="s">
        <v>133</v>
      </c>
      <c r="D1226" s="39" t="n">
        <v>6</v>
      </c>
      <c r="E1226" s="41" t="n">
        <v>8.34</v>
      </c>
      <c r="F1226" s="39" t="s">
        <v>108</v>
      </c>
      <c r="G1226" s="39" t="str">
        <f aca="false">UPPER(TRIM(C1226))</f>
        <v>P019</v>
      </c>
      <c r="H1226" s="39" t="str">
        <f aca="false">IF(ISNUMBER(MATCH(G1226,Products!$A$5:$A$24,0)),"OK","Mismatch")</f>
        <v>OK</v>
      </c>
      <c r="I1226" s="39" t="str">
        <f aca="false">IF(COUNTIF($A$5:A1226,A1226)&gt;1,"Duplicate","Unique")</f>
        <v>Unique</v>
      </c>
      <c r="J1226" s="39" t="str">
        <f aca="false">IF(I1226="Duplicate","Remove",IF(H1226="Mismatch","Exclude","Keep"))</f>
        <v>Keep</v>
      </c>
    </row>
    <row r="1227" customFormat="false" ht="15" hidden="false" customHeight="false" outlineLevel="0" collapsed="false">
      <c r="A1227" s="39" t="s">
        <v>3166</v>
      </c>
      <c r="B1227" s="40" t="n">
        <v>45830</v>
      </c>
      <c r="C1227" s="39" t="s">
        <v>3167</v>
      </c>
      <c r="D1227" s="39" t="n">
        <v>1</v>
      </c>
      <c r="E1227" s="41" t="n">
        <v>33.29</v>
      </c>
      <c r="F1227" s="39" t="s">
        <v>118</v>
      </c>
      <c r="G1227" s="39" t="str">
        <f aca="false">UPPER(TRIM(C1227))</f>
        <v>P907</v>
      </c>
      <c r="H1227" s="39" t="str">
        <f aca="false">IF(ISNUMBER(MATCH(G1227,Products!$A$5:$A$24,0)),"OK","Mismatch")</f>
        <v>Mismatch</v>
      </c>
      <c r="I1227" s="39" t="str">
        <f aca="false">IF(COUNTIF($A$5:A1227,A1227)&gt;1,"Duplicate","Unique")</f>
        <v>Unique</v>
      </c>
      <c r="J1227" s="39" t="str">
        <f aca="false">IF(I1227="Duplicate","Remove",IF(H1227="Mismatch","Exclude","Keep"))</f>
        <v>Exclude</v>
      </c>
    </row>
    <row r="1228" customFormat="false" ht="15" hidden="false" customHeight="false" outlineLevel="0" collapsed="false">
      <c r="A1228" s="39" t="s">
        <v>1326</v>
      </c>
      <c r="B1228" s="40" t="n">
        <v>45830</v>
      </c>
      <c r="C1228" s="39" t="s">
        <v>183</v>
      </c>
      <c r="D1228" s="39" t="n">
        <v>3</v>
      </c>
      <c r="E1228" s="41" t="n">
        <v>187.98</v>
      </c>
      <c r="F1228" s="39" t="s">
        <v>115</v>
      </c>
      <c r="G1228" s="39" t="str">
        <f aca="false">UPPER(TRIM(C1228))</f>
        <v>P007</v>
      </c>
      <c r="H1228" s="39" t="str">
        <f aca="false">IF(ISNUMBER(MATCH(G1228,Products!$A$5:$A$24,0)),"OK","Mismatch")</f>
        <v>OK</v>
      </c>
      <c r="I1228" s="39" t="str">
        <f aca="false">IF(COUNTIF($A$5:A1228,A1228)&gt;1,"Duplicate","Unique")</f>
        <v>Unique</v>
      </c>
      <c r="J1228" s="39" t="str">
        <f aca="false">IF(I1228="Duplicate","Remove",IF(H1228="Mismatch","Exclude","Keep"))</f>
        <v>Keep</v>
      </c>
    </row>
    <row r="1229" customFormat="false" ht="15" hidden="false" customHeight="false" outlineLevel="0" collapsed="false">
      <c r="A1229" s="39" t="s">
        <v>1327</v>
      </c>
      <c r="B1229" s="40" t="n">
        <v>45830</v>
      </c>
      <c r="C1229" s="39" t="s">
        <v>114</v>
      </c>
      <c r="D1229" s="39" t="n">
        <v>1</v>
      </c>
      <c r="E1229" s="41" t="n">
        <v>5.55</v>
      </c>
      <c r="F1229" s="39" t="s">
        <v>115</v>
      </c>
      <c r="G1229" s="39" t="str">
        <f aca="false">UPPER(TRIM(C1229))</f>
        <v>P012</v>
      </c>
      <c r="H1229" s="39" t="str">
        <f aca="false">IF(ISNUMBER(MATCH(G1229,Products!$A$5:$A$24,0)),"OK","Mismatch")</f>
        <v>OK</v>
      </c>
      <c r="I1229" s="39" t="str">
        <f aca="false">IF(COUNTIF($A$5:A1229,A1229)&gt;1,"Duplicate","Unique")</f>
        <v>Unique</v>
      </c>
      <c r="J1229" s="39" t="str">
        <f aca="false">IF(I1229="Duplicate","Remove",IF(H1229="Mismatch","Exclude","Keep"))</f>
        <v>Keep</v>
      </c>
    </row>
    <row r="1230" customFormat="false" ht="15" hidden="false" customHeight="false" outlineLevel="0" collapsed="false">
      <c r="A1230" s="39" t="s">
        <v>1328</v>
      </c>
      <c r="B1230" s="40" t="n">
        <v>45830</v>
      </c>
      <c r="C1230" s="39" t="s">
        <v>130</v>
      </c>
      <c r="D1230" s="39" t="n">
        <v>3</v>
      </c>
      <c r="E1230" s="41" t="n">
        <v>8.32</v>
      </c>
      <c r="F1230" s="39" t="s">
        <v>105</v>
      </c>
      <c r="G1230" s="39" t="str">
        <f aca="false">UPPER(TRIM(C1230))</f>
        <v>P011</v>
      </c>
      <c r="H1230" s="39" t="str">
        <f aca="false">IF(ISNUMBER(MATCH(G1230,Products!$A$5:$A$24,0)),"OK","Mismatch")</f>
        <v>OK</v>
      </c>
      <c r="I1230" s="39" t="str">
        <f aca="false">IF(COUNTIF($A$5:A1230,A1230)&gt;1,"Duplicate","Unique")</f>
        <v>Unique</v>
      </c>
      <c r="J1230" s="39" t="str">
        <f aca="false">IF(I1230="Duplicate","Remove",IF(H1230="Mismatch","Exclude","Keep"))</f>
        <v>Keep</v>
      </c>
    </row>
    <row r="1231" customFormat="false" ht="15" hidden="false" customHeight="false" outlineLevel="0" collapsed="false">
      <c r="A1231" s="39" t="s">
        <v>1329</v>
      </c>
      <c r="B1231" s="40" t="n">
        <v>45830</v>
      </c>
      <c r="C1231" s="39" t="s">
        <v>162</v>
      </c>
      <c r="D1231" s="39" t="n">
        <v>4</v>
      </c>
      <c r="E1231" s="41" t="n">
        <v>64.48</v>
      </c>
      <c r="F1231" s="39" t="s">
        <v>108</v>
      </c>
      <c r="G1231" s="39" t="str">
        <f aca="false">UPPER(TRIM(C1231))</f>
        <v>P017</v>
      </c>
      <c r="H1231" s="39" t="str">
        <f aca="false">IF(ISNUMBER(MATCH(G1231,Products!$A$5:$A$24,0)),"OK","Mismatch")</f>
        <v>OK</v>
      </c>
      <c r="I1231" s="39" t="str">
        <f aca="false">IF(COUNTIF($A$5:A1231,A1231)&gt;1,"Duplicate","Unique")</f>
        <v>Unique</v>
      </c>
      <c r="J1231" s="39" t="str">
        <f aca="false">IF(I1231="Duplicate","Remove",IF(H1231="Mismatch","Exclude","Keep"))</f>
        <v>Keep</v>
      </c>
    </row>
    <row r="1232" customFormat="false" ht="15" hidden="false" customHeight="false" outlineLevel="0" collapsed="false">
      <c r="A1232" s="39" t="s">
        <v>1330</v>
      </c>
      <c r="B1232" s="40" t="n">
        <v>45830</v>
      </c>
      <c r="C1232" s="39" t="s">
        <v>107</v>
      </c>
      <c r="D1232" s="39" t="n">
        <v>2</v>
      </c>
      <c r="E1232" s="41" t="n">
        <v>34.2</v>
      </c>
      <c r="F1232" s="39" t="s">
        <v>118</v>
      </c>
      <c r="G1232" s="39" t="str">
        <f aca="false">UPPER(TRIM(C1232))</f>
        <v>P003</v>
      </c>
      <c r="H1232" s="39" t="str">
        <f aca="false">IF(ISNUMBER(MATCH(G1232,Products!$A$5:$A$24,0)),"OK","Mismatch")</f>
        <v>OK</v>
      </c>
      <c r="I1232" s="39" t="str">
        <f aca="false">IF(COUNTIF($A$5:A1232,A1232)&gt;1,"Duplicate","Unique")</f>
        <v>Unique</v>
      </c>
      <c r="J1232" s="39" t="str">
        <f aca="false">IF(I1232="Duplicate","Remove",IF(H1232="Mismatch","Exclude","Keep"))</f>
        <v>Keep</v>
      </c>
    </row>
    <row r="1233" customFormat="false" ht="15" hidden="false" customHeight="false" outlineLevel="0" collapsed="false">
      <c r="A1233" s="39" t="s">
        <v>1331</v>
      </c>
      <c r="B1233" s="40" t="n">
        <v>45830</v>
      </c>
      <c r="C1233" s="39" t="s">
        <v>162</v>
      </c>
      <c r="D1233" s="39" t="n">
        <v>3</v>
      </c>
      <c r="E1233" s="41" t="n">
        <v>63.48</v>
      </c>
      <c r="F1233" s="39" t="s">
        <v>118</v>
      </c>
      <c r="G1233" s="39" t="str">
        <f aca="false">UPPER(TRIM(C1233))</f>
        <v>P017</v>
      </c>
      <c r="H1233" s="39" t="str">
        <f aca="false">IF(ISNUMBER(MATCH(G1233,Products!$A$5:$A$24,0)),"OK","Mismatch")</f>
        <v>OK</v>
      </c>
      <c r="I1233" s="39" t="str">
        <f aca="false">IF(COUNTIF($A$5:A1233,A1233)&gt;1,"Duplicate","Unique")</f>
        <v>Unique</v>
      </c>
      <c r="J1233" s="39" t="str">
        <f aca="false">IF(I1233="Duplicate","Remove",IF(H1233="Mismatch","Exclude","Keep"))</f>
        <v>Keep</v>
      </c>
    </row>
    <row r="1234" customFormat="false" ht="15" hidden="false" customHeight="false" outlineLevel="0" collapsed="false">
      <c r="A1234" s="39" t="s">
        <v>1332</v>
      </c>
      <c r="B1234" s="40" t="n">
        <v>45830</v>
      </c>
      <c r="C1234" s="39" t="s">
        <v>112</v>
      </c>
      <c r="D1234" s="39" t="n">
        <v>1</v>
      </c>
      <c r="E1234" s="41" t="n">
        <v>52.97</v>
      </c>
      <c r="F1234" s="39" t="s">
        <v>105</v>
      </c>
      <c r="G1234" s="39" t="str">
        <f aca="false">UPPER(TRIM(C1234))</f>
        <v>P005</v>
      </c>
      <c r="H1234" s="39" t="str">
        <f aca="false">IF(ISNUMBER(MATCH(G1234,Products!$A$5:$A$24,0)),"OK","Mismatch")</f>
        <v>OK</v>
      </c>
      <c r="I1234" s="39" t="str">
        <f aca="false">IF(COUNTIF($A$5:A1234,A1234)&gt;1,"Duplicate","Unique")</f>
        <v>Unique</v>
      </c>
      <c r="J1234" s="39" t="str">
        <f aca="false">IF(I1234="Duplicate","Remove",IF(H1234="Mismatch","Exclude","Keep"))</f>
        <v>Keep</v>
      </c>
    </row>
    <row r="1235" customFormat="false" ht="15" hidden="false" customHeight="false" outlineLevel="0" collapsed="false">
      <c r="A1235" s="39" t="s">
        <v>1333</v>
      </c>
      <c r="B1235" s="40" t="n">
        <v>45830</v>
      </c>
      <c r="C1235" s="39" t="s">
        <v>144</v>
      </c>
      <c r="D1235" s="39" t="n">
        <v>2</v>
      </c>
      <c r="E1235" s="41" t="n">
        <v>57.32</v>
      </c>
      <c r="F1235" s="39" t="s">
        <v>108</v>
      </c>
      <c r="G1235" s="39" t="str">
        <f aca="false">UPPER(TRIM(C1235))</f>
        <v>P013</v>
      </c>
      <c r="H1235" s="39" t="str">
        <f aca="false">IF(ISNUMBER(MATCH(G1235,Products!$A$5:$A$24,0)),"OK","Mismatch")</f>
        <v>OK</v>
      </c>
      <c r="I1235" s="39" t="str">
        <f aca="false">IF(COUNTIF($A$5:A1235,A1235)&gt;1,"Duplicate","Unique")</f>
        <v>Unique</v>
      </c>
      <c r="J1235" s="39" t="str">
        <f aca="false">IF(I1235="Duplicate","Remove",IF(H1235="Mismatch","Exclude","Keep"))</f>
        <v>Keep</v>
      </c>
    </row>
    <row r="1236" customFormat="false" ht="15" hidden="false" customHeight="false" outlineLevel="0" collapsed="false">
      <c r="A1236" s="39" t="s">
        <v>1334</v>
      </c>
      <c r="B1236" s="40" t="n">
        <v>45830</v>
      </c>
      <c r="C1236" s="39" t="s">
        <v>305</v>
      </c>
      <c r="D1236" s="39" t="n">
        <v>2</v>
      </c>
      <c r="E1236" s="41" t="n">
        <v>338.76</v>
      </c>
      <c r="F1236" s="39" t="s">
        <v>115</v>
      </c>
      <c r="G1236" s="39" t="str">
        <f aca="false">UPPER(TRIM(C1236))</f>
        <v>P008</v>
      </c>
      <c r="H1236" s="39" t="str">
        <f aca="false">IF(ISNUMBER(MATCH(G1236,Products!$A$5:$A$24,0)),"OK","Mismatch")</f>
        <v>OK</v>
      </c>
      <c r="I1236" s="39" t="str">
        <f aca="false">IF(COUNTIF($A$5:A1236,A1236)&gt;1,"Duplicate","Unique")</f>
        <v>Unique</v>
      </c>
      <c r="J1236" s="39" t="str">
        <f aca="false">IF(I1236="Duplicate","Remove",IF(H1236="Mismatch","Exclude","Keep"))</f>
        <v>Keep</v>
      </c>
    </row>
    <row r="1237" customFormat="false" ht="15" hidden="false" customHeight="false" outlineLevel="0" collapsed="false">
      <c r="A1237" s="39" t="s">
        <v>1334</v>
      </c>
      <c r="B1237" s="40" t="n">
        <v>45830</v>
      </c>
      <c r="C1237" s="39" t="s">
        <v>305</v>
      </c>
      <c r="D1237" s="39" t="n">
        <v>2</v>
      </c>
      <c r="E1237" s="41" t="n">
        <v>338.76</v>
      </c>
      <c r="F1237" s="39" t="s">
        <v>115</v>
      </c>
      <c r="G1237" s="39" t="str">
        <f aca="false">UPPER(TRIM(C1237))</f>
        <v>P008</v>
      </c>
      <c r="H1237" s="39" t="str">
        <f aca="false">IF(ISNUMBER(MATCH(G1237,Products!$A$5:$A$24,0)),"OK","Mismatch")</f>
        <v>OK</v>
      </c>
      <c r="I1237" s="39" t="str">
        <f aca="false">IF(COUNTIF($A$5:A1237,A1237)&gt;1,"Duplicate","Unique")</f>
        <v>Duplicate</v>
      </c>
      <c r="J1237" s="39" t="str">
        <f aca="false">IF(I1237="Duplicate","Remove",IF(H1237="Mismatch","Exclude","Keep"))</f>
        <v>Remove</v>
      </c>
    </row>
    <row r="1238" customFormat="false" ht="15" hidden="false" customHeight="false" outlineLevel="0" collapsed="false">
      <c r="A1238" s="39" t="s">
        <v>1335</v>
      </c>
      <c r="B1238" s="40" t="n">
        <v>45830</v>
      </c>
      <c r="C1238" s="39" t="s">
        <v>130</v>
      </c>
      <c r="D1238" s="39" t="n">
        <v>1</v>
      </c>
      <c r="E1238" s="41" t="n">
        <v>8.62</v>
      </c>
      <c r="F1238" s="39" t="s">
        <v>118</v>
      </c>
      <c r="G1238" s="39" t="str">
        <f aca="false">UPPER(TRIM(C1238))</f>
        <v>P011</v>
      </c>
      <c r="H1238" s="39" t="str">
        <f aca="false">IF(ISNUMBER(MATCH(G1238,Products!$A$5:$A$24,0)),"OK","Mismatch")</f>
        <v>OK</v>
      </c>
      <c r="I1238" s="39" t="str">
        <f aca="false">IF(COUNTIF($A$5:A1238,A1238)&gt;1,"Duplicate","Unique")</f>
        <v>Unique</v>
      </c>
      <c r="J1238" s="39" t="str">
        <f aca="false">IF(I1238="Duplicate","Remove",IF(H1238="Mismatch","Exclude","Keep"))</f>
        <v>Keep</v>
      </c>
    </row>
    <row r="1239" customFormat="false" ht="15" hidden="false" customHeight="false" outlineLevel="0" collapsed="false">
      <c r="A1239" s="39" t="s">
        <v>1336</v>
      </c>
      <c r="B1239" s="40" t="n">
        <v>45831</v>
      </c>
      <c r="C1239" s="39" t="s">
        <v>107</v>
      </c>
      <c r="D1239" s="39" t="n">
        <v>1</v>
      </c>
      <c r="E1239" s="41" t="n">
        <v>34.62</v>
      </c>
      <c r="F1239" s="39" t="s">
        <v>108</v>
      </c>
      <c r="G1239" s="39" t="str">
        <f aca="false">UPPER(TRIM(C1239))</f>
        <v>P003</v>
      </c>
      <c r="H1239" s="39" t="str">
        <f aca="false">IF(ISNUMBER(MATCH(G1239,Products!$A$5:$A$24,0)),"OK","Mismatch")</f>
        <v>OK</v>
      </c>
      <c r="I1239" s="39" t="str">
        <f aca="false">IF(COUNTIF($A$5:A1239,A1239)&gt;1,"Duplicate","Unique")</f>
        <v>Unique</v>
      </c>
      <c r="J1239" s="39" t="str">
        <f aca="false">IF(I1239="Duplicate","Remove",IF(H1239="Mismatch","Exclude","Keep"))</f>
        <v>Keep</v>
      </c>
    </row>
    <row r="1240" customFormat="false" ht="15" hidden="false" customHeight="false" outlineLevel="0" collapsed="false">
      <c r="A1240" s="39" t="s">
        <v>1337</v>
      </c>
      <c r="B1240" s="40" t="n">
        <v>45831</v>
      </c>
      <c r="C1240" s="39" t="s">
        <v>110</v>
      </c>
      <c r="D1240" s="39" t="n">
        <v>8</v>
      </c>
      <c r="E1240" s="41" t="n">
        <v>13.14</v>
      </c>
      <c r="F1240" s="39" t="s">
        <v>118</v>
      </c>
      <c r="G1240" s="39" t="str">
        <f aca="false">UPPER(TRIM(C1240))</f>
        <v>P016</v>
      </c>
      <c r="H1240" s="39" t="str">
        <f aca="false">IF(ISNUMBER(MATCH(G1240,Products!$A$5:$A$24,0)),"OK","Mismatch")</f>
        <v>OK</v>
      </c>
      <c r="I1240" s="39" t="str">
        <f aca="false">IF(COUNTIF($A$5:A1240,A1240)&gt;1,"Duplicate","Unique")</f>
        <v>Unique</v>
      </c>
      <c r="J1240" s="39" t="str">
        <f aca="false">IF(I1240="Duplicate","Remove",IF(H1240="Mismatch","Exclude","Keep"))</f>
        <v>Keep</v>
      </c>
    </row>
    <row r="1241" customFormat="false" ht="15" hidden="false" customHeight="false" outlineLevel="0" collapsed="false">
      <c r="A1241" s="39" t="s">
        <v>1338</v>
      </c>
      <c r="B1241" s="40" t="n">
        <v>45831</v>
      </c>
      <c r="C1241" s="39" t="s">
        <v>126</v>
      </c>
      <c r="D1241" s="39" t="n">
        <v>4</v>
      </c>
      <c r="E1241" s="41" t="n">
        <v>23.63</v>
      </c>
      <c r="F1241" s="39" t="s">
        <v>118</v>
      </c>
      <c r="G1241" s="39" t="str">
        <f aca="false">UPPER(TRIM(C1241))</f>
        <v>P001</v>
      </c>
      <c r="H1241" s="39" t="str">
        <f aca="false">IF(ISNUMBER(MATCH(G1241,Products!$A$5:$A$24,0)),"OK","Mismatch")</f>
        <v>OK</v>
      </c>
      <c r="I1241" s="39" t="str">
        <f aca="false">IF(COUNTIF($A$5:A1241,A1241)&gt;1,"Duplicate","Unique")</f>
        <v>Unique</v>
      </c>
      <c r="J1241" s="39" t="str">
        <f aca="false">IF(I1241="Duplicate","Remove",IF(H1241="Mismatch","Exclude","Keep"))</f>
        <v>Keep</v>
      </c>
    </row>
    <row r="1242" customFormat="false" ht="15" hidden="false" customHeight="false" outlineLevel="0" collapsed="false">
      <c r="A1242" s="39" t="s">
        <v>1339</v>
      </c>
      <c r="B1242" s="40" t="n">
        <v>45831</v>
      </c>
      <c r="C1242" s="39" t="s">
        <v>104</v>
      </c>
      <c r="D1242" s="39" t="n">
        <v>2</v>
      </c>
      <c r="E1242" s="41" t="n">
        <v>14.93</v>
      </c>
      <c r="F1242" s="39" t="s">
        <v>105</v>
      </c>
      <c r="G1242" s="39" t="str">
        <f aca="false">UPPER(TRIM(C1242))</f>
        <v>P015</v>
      </c>
      <c r="H1242" s="39" t="str">
        <f aca="false">IF(ISNUMBER(MATCH(G1242,Products!$A$5:$A$24,0)),"OK","Mismatch")</f>
        <v>OK</v>
      </c>
      <c r="I1242" s="39" t="str">
        <f aca="false">IF(COUNTIF($A$5:A1242,A1242)&gt;1,"Duplicate","Unique")</f>
        <v>Unique</v>
      </c>
      <c r="J1242" s="39" t="str">
        <f aca="false">IF(I1242="Duplicate","Remove",IF(H1242="Mismatch","Exclude","Keep"))</f>
        <v>Keep</v>
      </c>
    </row>
    <row r="1243" customFormat="false" ht="15" hidden="false" customHeight="false" outlineLevel="0" collapsed="false">
      <c r="A1243" s="39" t="s">
        <v>1340</v>
      </c>
      <c r="B1243" s="40" t="n">
        <v>45831</v>
      </c>
      <c r="C1243" s="39" t="s">
        <v>117</v>
      </c>
      <c r="D1243" s="39" t="n">
        <v>2</v>
      </c>
      <c r="E1243" s="41" t="n">
        <v>30.63</v>
      </c>
      <c r="F1243" s="39" t="s">
        <v>105</v>
      </c>
      <c r="G1243" s="39" t="str">
        <f aca="false">UPPER(TRIM(C1243))</f>
        <v>P009</v>
      </c>
      <c r="H1243" s="39" t="str">
        <f aca="false">IF(ISNUMBER(MATCH(G1243,Products!$A$5:$A$24,0)),"OK","Mismatch")</f>
        <v>OK</v>
      </c>
      <c r="I1243" s="39" t="str">
        <f aca="false">IF(COUNTIF($A$5:A1243,A1243)&gt;1,"Duplicate","Unique")</f>
        <v>Unique</v>
      </c>
      <c r="J1243" s="39" t="str">
        <f aca="false">IF(I1243="Duplicate","Remove",IF(H1243="Mismatch","Exclude","Keep"))</f>
        <v>Keep</v>
      </c>
    </row>
    <row r="1244" customFormat="false" ht="15" hidden="false" customHeight="false" outlineLevel="0" collapsed="false">
      <c r="A1244" s="39" t="s">
        <v>1341</v>
      </c>
      <c r="B1244" s="40" t="n">
        <v>45832</v>
      </c>
      <c r="C1244" s="39" t="s">
        <v>133</v>
      </c>
      <c r="D1244" s="39" t="n">
        <v>1</v>
      </c>
      <c r="E1244" s="41" t="n">
        <v>8.54</v>
      </c>
      <c r="F1244" s="39" t="s">
        <v>108</v>
      </c>
      <c r="G1244" s="39" t="str">
        <f aca="false">UPPER(TRIM(C1244))</f>
        <v>P019</v>
      </c>
      <c r="H1244" s="39" t="str">
        <f aca="false">IF(ISNUMBER(MATCH(G1244,Products!$A$5:$A$24,0)),"OK","Mismatch")</f>
        <v>OK</v>
      </c>
      <c r="I1244" s="39" t="str">
        <f aca="false">IF(COUNTIF($A$5:A1244,A1244)&gt;1,"Duplicate","Unique")</f>
        <v>Unique</v>
      </c>
      <c r="J1244" s="39" t="str">
        <f aca="false">IF(I1244="Duplicate","Remove",IF(H1244="Mismatch","Exclude","Keep"))</f>
        <v>Keep</v>
      </c>
    </row>
    <row r="1245" customFormat="false" ht="15" hidden="false" customHeight="false" outlineLevel="0" collapsed="false">
      <c r="A1245" s="39" t="s">
        <v>1342</v>
      </c>
      <c r="B1245" s="40" t="n">
        <v>45832</v>
      </c>
      <c r="C1245" s="39" t="s">
        <v>136</v>
      </c>
      <c r="D1245" s="39" t="n">
        <v>2</v>
      </c>
      <c r="E1245" s="41" t="n">
        <v>73.03</v>
      </c>
      <c r="F1245" s="39" t="s">
        <v>115</v>
      </c>
      <c r="G1245" s="39" t="str">
        <f aca="false">UPPER(TRIM(C1245))</f>
        <v>P002</v>
      </c>
      <c r="H1245" s="39" t="str">
        <f aca="false">IF(ISNUMBER(MATCH(G1245,Products!$A$5:$A$24,0)),"OK","Mismatch")</f>
        <v>OK</v>
      </c>
      <c r="I1245" s="39" t="str">
        <f aca="false">IF(COUNTIF($A$5:A1245,A1245)&gt;1,"Duplicate","Unique")</f>
        <v>Unique</v>
      </c>
      <c r="J1245" s="39" t="str">
        <f aca="false">IF(I1245="Duplicate","Remove",IF(H1245="Mismatch","Exclude","Keep"))</f>
        <v>Keep</v>
      </c>
    </row>
    <row r="1246" customFormat="false" ht="15" hidden="false" customHeight="false" outlineLevel="0" collapsed="false">
      <c r="A1246" s="39" t="s">
        <v>1343</v>
      </c>
      <c r="B1246" s="40" t="n">
        <v>45832</v>
      </c>
      <c r="C1246" s="39" t="s">
        <v>126</v>
      </c>
      <c r="D1246" s="39" t="n">
        <v>5</v>
      </c>
      <c r="E1246" s="41" t="n">
        <v>24.07</v>
      </c>
      <c r="F1246" s="39" t="s">
        <v>105</v>
      </c>
      <c r="G1246" s="39" t="str">
        <f aca="false">UPPER(TRIM(C1246))</f>
        <v>P001</v>
      </c>
      <c r="H1246" s="39" t="str">
        <f aca="false">IF(ISNUMBER(MATCH(G1246,Products!$A$5:$A$24,0)),"OK","Mismatch")</f>
        <v>OK</v>
      </c>
      <c r="I1246" s="39" t="str">
        <f aca="false">IF(COUNTIF($A$5:A1246,A1246)&gt;1,"Duplicate","Unique")</f>
        <v>Unique</v>
      </c>
      <c r="J1246" s="39" t="str">
        <f aca="false">IF(I1246="Duplicate","Remove",IF(H1246="Mismatch","Exclude","Keep"))</f>
        <v>Keep</v>
      </c>
    </row>
    <row r="1247" customFormat="false" ht="15" hidden="false" customHeight="false" outlineLevel="0" collapsed="false">
      <c r="A1247" s="39" t="s">
        <v>1344</v>
      </c>
      <c r="B1247" s="40" t="n">
        <v>45832</v>
      </c>
      <c r="C1247" s="39" t="s">
        <v>183</v>
      </c>
      <c r="D1247" s="39" t="n">
        <v>2</v>
      </c>
      <c r="E1247" s="41" t="n">
        <v>186.12</v>
      </c>
      <c r="F1247" s="39" t="s">
        <v>105</v>
      </c>
      <c r="G1247" s="39" t="str">
        <f aca="false">UPPER(TRIM(C1247))</f>
        <v>P007</v>
      </c>
      <c r="H1247" s="39" t="str">
        <f aca="false">IF(ISNUMBER(MATCH(G1247,Products!$A$5:$A$24,0)),"OK","Mismatch")</f>
        <v>OK</v>
      </c>
      <c r="I1247" s="39" t="str">
        <f aca="false">IF(COUNTIF($A$5:A1247,A1247)&gt;1,"Duplicate","Unique")</f>
        <v>Unique</v>
      </c>
      <c r="J1247" s="39" t="str">
        <f aca="false">IF(I1247="Duplicate","Remove",IF(H1247="Mismatch","Exclude","Keep"))</f>
        <v>Keep</v>
      </c>
    </row>
    <row r="1248" customFormat="false" ht="15" hidden="false" customHeight="false" outlineLevel="0" collapsed="false">
      <c r="A1248" s="39" t="s">
        <v>1345</v>
      </c>
      <c r="B1248" s="40" t="n">
        <v>45832</v>
      </c>
      <c r="C1248" s="39" t="s">
        <v>177</v>
      </c>
      <c r="D1248" s="39" t="n">
        <v>2</v>
      </c>
      <c r="E1248" s="41" t="n">
        <v>43.87</v>
      </c>
      <c r="F1248" s="39" t="s">
        <v>108</v>
      </c>
      <c r="G1248" s="39" t="str">
        <f aca="false">UPPER(TRIM(C1248))</f>
        <v>P014</v>
      </c>
      <c r="H1248" s="39" t="str">
        <f aca="false">IF(ISNUMBER(MATCH(G1248,Products!$A$5:$A$24,0)),"OK","Mismatch")</f>
        <v>OK</v>
      </c>
      <c r="I1248" s="39" t="str">
        <f aca="false">IF(COUNTIF($A$5:A1248,A1248)&gt;1,"Duplicate","Unique")</f>
        <v>Unique</v>
      </c>
      <c r="J1248" s="39" t="str">
        <f aca="false">IF(I1248="Duplicate","Remove",IF(H1248="Mismatch","Exclude","Keep"))</f>
        <v>Keep</v>
      </c>
    </row>
    <row r="1249" customFormat="false" ht="15" hidden="false" customHeight="false" outlineLevel="0" collapsed="false">
      <c r="A1249" s="39" t="s">
        <v>1346</v>
      </c>
      <c r="B1249" s="40" t="n">
        <v>45832</v>
      </c>
      <c r="C1249" s="39" t="s">
        <v>121</v>
      </c>
      <c r="D1249" s="39" t="n">
        <v>2</v>
      </c>
      <c r="E1249" s="41" t="n">
        <v>115.71</v>
      </c>
      <c r="F1249" s="39" t="s">
        <v>108</v>
      </c>
      <c r="G1249" s="39" t="str">
        <f aca="false">UPPER(TRIM(C1249))</f>
        <v>P018</v>
      </c>
      <c r="H1249" s="39" t="str">
        <f aca="false">IF(ISNUMBER(MATCH(G1249,Products!$A$5:$A$24,0)),"OK","Mismatch")</f>
        <v>OK</v>
      </c>
      <c r="I1249" s="39" t="str">
        <f aca="false">IF(COUNTIF($A$5:A1249,A1249)&gt;1,"Duplicate","Unique")</f>
        <v>Unique</v>
      </c>
      <c r="J1249" s="39" t="str">
        <f aca="false">IF(I1249="Duplicate","Remove",IF(H1249="Mismatch","Exclude","Keep"))</f>
        <v>Keep</v>
      </c>
    </row>
    <row r="1250" customFormat="false" ht="15" hidden="false" customHeight="false" outlineLevel="0" collapsed="false">
      <c r="A1250" s="39" t="s">
        <v>1347</v>
      </c>
      <c r="B1250" s="40" t="n">
        <v>45832</v>
      </c>
      <c r="C1250" s="39" t="s">
        <v>110</v>
      </c>
      <c r="D1250" s="39" t="n">
        <v>3</v>
      </c>
      <c r="E1250" s="41" t="n">
        <v>13.48</v>
      </c>
      <c r="F1250" s="39" t="s">
        <v>108</v>
      </c>
      <c r="G1250" s="39" t="str">
        <f aca="false">UPPER(TRIM(C1250))</f>
        <v>P016</v>
      </c>
      <c r="H1250" s="39" t="str">
        <f aca="false">IF(ISNUMBER(MATCH(G1250,Products!$A$5:$A$24,0)),"OK","Mismatch")</f>
        <v>OK</v>
      </c>
      <c r="I1250" s="39" t="str">
        <f aca="false">IF(COUNTIF($A$5:A1250,A1250)&gt;1,"Duplicate","Unique")</f>
        <v>Unique</v>
      </c>
      <c r="J1250" s="39" t="str">
        <f aca="false">IF(I1250="Duplicate","Remove",IF(H1250="Mismatch","Exclude","Keep"))</f>
        <v>Keep</v>
      </c>
    </row>
    <row r="1251" customFormat="false" ht="15" hidden="false" customHeight="false" outlineLevel="0" collapsed="false">
      <c r="A1251" s="39" t="s">
        <v>1348</v>
      </c>
      <c r="B1251" s="40" t="n">
        <v>45832</v>
      </c>
      <c r="C1251" s="39" t="s">
        <v>139</v>
      </c>
      <c r="D1251" s="39" t="n">
        <v>1</v>
      </c>
      <c r="E1251" s="41" t="n">
        <v>122.24</v>
      </c>
      <c r="F1251" s="39" t="s">
        <v>108</v>
      </c>
      <c r="G1251" s="39" t="str">
        <f aca="false">UPPER(TRIM(C1251))</f>
        <v>P006</v>
      </c>
      <c r="H1251" s="39" t="str">
        <f aca="false">IF(ISNUMBER(MATCH(G1251,Products!$A$5:$A$24,0)),"OK","Mismatch")</f>
        <v>OK</v>
      </c>
      <c r="I1251" s="39" t="str">
        <f aca="false">IF(COUNTIF($A$5:A1251,A1251)&gt;1,"Duplicate","Unique")</f>
        <v>Unique</v>
      </c>
      <c r="J1251" s="39" t="str">
        <f aca="false">IF(I1251="Duplicate","Remove",IF(H1251="Mismatch","Exclude","Keep"))</f>
        <v>Keep</v>
      </c>
    </row>
    <row r="1252" customFormat="false" ht="15" hidden="false" customHeight="false" outlineLevel="0" collapsed="false">
      <c r="A1252" s="39" t="s">
        <v>1349</v>
      </c>
      <c r="B1252" s="40" t="n">
        <v>45832</v>
      </c>
      <c r="C1252" s="39" t="s">
        <v>117</v>
      </c>
      <c r="D1252" s="39" t="n">
        <v>6</v>
      </c>
      <c r="E1252" s="41" t="n">
        <v>30.25</v>
      </c>
      <c r="F1252" s="39" t="s">
        <v>118</v>
      </c>
      <c r="G1252" s="39" t="str">
        <f aca="false">UPPER(TRIM(C1252))</f>
        <v>P009</v>
      </c>
      <c r="H1252" s="39" t="str">
        <f aca="false">IF(ISNUMBER(MATCH(G1252,Products!$A$5:$A$24,0)),"OK","Mismatch")</f>
        <v>OK</v>
      </c>
      <c r="I1252" s="39" t="str">
        <f aca="false">IF(COUNTIF($A$5:A1252,A1252)&gt;1,"Duplicate","Unique")</f>
        <v>Unique</v>
      </c>
      <c r="J1252" s="39" t="str">
        <f aca="false">IF(I1252="Duplicate","Remove",IF(H1252="Mismatch","Exclude","Keep"))</f>
        <v>Keep</v>
      </c>
    </row>
    <row r="1253" customFormat="false" ht="15" hidden="false" customHeight="false" outlineLevel="0" collapsed="false">
      <c r="A1253" s="39" t="s">
        <v>1349</v>
      </c>
      <c r="B1253" s="40" t="n">
        <v>45832</v>
      </c>
      <c r="C1253" s="39" t="s">
        <v>117</v>
      </c>
      <c r="D1253" s="39" t="n">
        <v>6</v>
      </c>
      <c r="E1253" s="41" t="n">
        <v>30.25</v>
      </c>
      <c r="F1253" s="39" t="s">
        <v>118</v>
      </c>
      <c r="G1253" s="39" t="str">
        <f aca="false">UPPER(TRIM(C1253))</f>
        <v>P009</v>
      </c>
      <c r="H1253" s="39" t="str">
        <f aca="false">IF(ISNUMBER(MATCH(G1253,Products!$A$5:$A$24,0)),"OK","Mismatch")</f>
        <v>OK</v>
      </c>
      <c r="I1253" s="39" t="str">
        <f aca="false">IF(COUNTIF($A$5:A1253,A1253)&gt;1,"Duplicate","Unique")</f>
        <v>Duplicate</v>
      </c>
      <c r="J1253" s="39" t="str">
        <f aca="false">IF(I1253="Duplicate","Remove",IF(H1253="Mismatch","Exclude","Keep"))</f>
        <v>Remove</v>
      </c>
    </row>
    <row r="1254" customFormat="false" ht="15" hidden="false" customHeight="false" outlineLevel="0" collapsed="false">
      <c r="A1254" s="39" t="s">
        <v>1350</v>
      </c>
      <c r="B1254" s="40" t="n">
        <v>45832</v>
      </c>
      <c r="C1254" s="39" t="s">
        <v>110</v>
      </c>
      <c r="D1254" s="39" t="n">
        <v>5</v>
      </c>
      <c r="E1254" s="41" t="n">
        <v>12.91</v>
      </c>
      <c r="F1254" s="39" t="s">
        <v>118</v>
      </c>
      <c r="G1254" s="39" t="str">
        <f aca="false">UPPER(TRIM(C1254))</f>
        <v>P016</v>
      </c>
      <c r="H1254" s="39" t="str">
        <f aca="false">IF(ISNUMBER(MATCH(G1254,Products!$A$5:$A$24,0)),"OK","Mismatch")</f>
        <v>OK</v>
      </c>
      <c r="I1254" s="39" t="str">
        <f aca="false">IF(COUNTIF($A$5:A1254,A1254)&gt;1,"Duplicate","Unique")</f>
        <v>Unique</v>
      </c>
      <c r="J1254" s="39" t="str">
        <f aca="false">IF(I1254="Duplicate","Remove",IF(H1254="Mismatch","Exclude","Keep"))</f>
        <v>Keep</v>
      </c>
    </row>
    <row r="1255" customFormat="false" ht="15" hidden="false" customHeight="false" outlineLevel="0" collapsed="false">
      <c r="A1255" s="39" t="s">
        <v>1351</v>
      </c>
      <c r="B1255" s="40" t="n">
        <v>45832</v>
      </c>
      <c r="C1255" s="39" t="s">
        <v>128</v>
      </c>
      <c r="D1255" s="39" t="n">
        <v>1</v>
      </c>
      <c r="E1255" s="41" t="n">
        <v>37.57</v>
      </c>
      <c r="F1255" s="39" t="s">
        <v>118</v>
      </c>
      <c r="G1255" s="39" t="str">
        <f aca="false">UPPER(TRIM(C1255))</f>
        <v>P020</v>
      </c>
      <c r="H1255" s="39" t="str">
        <f aca="false">IF(ISNUMBER(MATCH(G1255,Products!$A$5:$A$24,0)),"OK","Mismatch")</f>
        <v>OK</v>
      </c>
      <c r="I1255" s="39" t="str">
        <f aca="false">IF(COUNTIF($A$5:A1255,A1255)&gt;1,"Duplicate","Unique")</f>
        <v>Unique</v>
      </c>
      <c r="J1255" s="39" t="str">
        <f aca="false">IF(I1255="Duplicate","Remove",IF(H1255="Mismatch","Exclude","Keep"))</f>
        <v>Keep</v>
      </c>
    </row>
    <row r="1256" customFormat="false" ht="15" hidden="false" customHeight="false" outlineLevel="0" collapsed="false">
      <c r="A1256" s="39" t="s">
        <v>1352</v>
      </c>
      <c r="B1256" s="40" t="n">
        <v>45833</v>
      </c>
      <c r="C1256" s="39" t="s">
        <v>133</v>
      </c>
      <c r="D1256" s="39" t="n">
        <v>6</v>
      </c>
      <c r="E1256" s="41" t="n">
        <v>8.69</v>
      </c>
      <c r="F1256" s="39" t="s">
        <v>108</v>
      </c>
      <c r="G1256" s="39" t="str">
        <f aca="false">UPPER(TRIM(C1256))</f>
        <v>P019</v>
      </c>
      <c r="H1256" s="39" t="str">
        <f aca="false">IF(ISNUMBER(MATCH(G1256,Products!$A$5:$A$24,0)),"OK","Mismatch")</f>
        <v>OK</v>
      </c>
      <c r="I1256" s="39" t="str">
        <f aca="false">IF(COUNTIF($A$5:A1256,A1256)&gt;1,"Duplicate","Unique")</f>
        <v>Unique</v>
      </c>
      <c r="J1256" s="39" t="str">
        <f aca="false">IF(I1256="Duplicate","Remove",IF(H1256="Mismatch","Exclude","Keep"))</f>
        <v>Keep</v>
      </c>
    </row>
    <row r="1257" customFormat="false" ht="15" hidden="false" customHeight="false" outlineLevel="0" collapsed="false">
      <c r="A1257" s="39" t="s">
        <v>1353</v>
      </c>
      <c r="B1257" s="40" t="n">
        <v>45833</v>
      </c>
      <c r="C1257" s="39" t="s">
        <v>121</v>
      </c>
      <c r="D1257" s="39" t="n">
        <v>2</v>
      </c>
      <c r="E1257" s="41" t="n">
        <v>110.69</v>
      </c>
      <c r="F1257" s="39" t="s">
        <v>115</v>
      </c>
      <c r="G1257" s="39" t="str">
        <f aca="false">UPPER(TRIM(C1257))</f>
        <v>P018</v>
      </c>
      <c r="H1257" s="39" t="str">
        <f aca="false">IF(ISNUMBER(MATCH(G1257,Products!$A$5:$A$24,0)),"OK","Mismatch")</f>
        <v>OK</v>
      </c>
      <c r="I1257" s="39" t="str">
        <f aca="false">IF(COUNTIF($A$5:A1257,A1257)&gt;1,"Duplicate","Unique")</f>
        <v>Unique</v>
      </c>
      <c r="J1257" s="39" t="str">
        <f aca="false">IF(I1257="Duplicate","Remove",IF(H1257="Mismatch","Exclude","Keep"))</f>
        <v>Keep</v>
      </c>
    </row>
    <row r="1258" customFormat="false" ht="15" hidden="false" customHeight="false" outlineLevel="0" collapsed="false">
      <c r="A1258" s="39" t="s">
        <v>1354</v>
      </c>
      <c r="B1258" s="40" t="n">
        <v>45833</v>
      </c>
      <c r="C1258" s="39" t="s">
        <v>128</v>
      </c>
      <c r="D1258" s="39" t="n">
        <v>2</v>
      </c>
      <c r="E1258" s="41" t="n">
        <v>38.17</v>
      </c>
      <c r="F1258" s="39" t="s">
        <v>108</v>
      </c>
      <c r="G1258" s="39" t="str">
        <f aca="false">UPPER(TRIM(C1258))</f>
        <v>P020</v>
      </c>
      <c r="H1258" s="39" t="str">
        <f aca="false">IF(ISNUMBER(MATCH(G1258,Products!$A$5:$A$24,0)),"OK","Mismatch")</f>
        <v>OK</v>
      </c>
      <c r="I1258" s="39" t="str">
        <f aca="false">IF(COUNTIF($A$5:A1258,A1258)&gt;1,"Duplicate","Unique")</f>
        <v>Unique</v>
      </c>
      <c r="J1258" s="39" t="str">
        <f aca="false">IF(I1258="Duplicate","Remove",IF(H1258="Mismatch","Exclude","Keep"))</f>
        <v>Keep</v>
      </c>
    </row>
    <row r="1259" customFormat="false" ht="15" hidden="false" customHeight="false" outlineLevel="0" collapsed="false">
      <c r="A1259" s="39" t="s">
        <v>1355</v>
      </c>
      <c r="B1259" s="40" t="n">
        <v>45833</v>
      </c>
      <c r="C1259" s="39" t="s">
        <v>117</v>
      </c>
      <c r="D1259" s="39" t="n">
        <v>5</v>
      </c>
      <c r="E1259" s="41" t="n">
        <v>30.3</v>
      </c>
      <c r="F1259" s="39" t="s">
        <v>118</v>
      </c>
      <c r="G1259" s="39" t="str">
        <f aca="false">UPPER(TRIM(C1259))</f>
        <v>P009</v>
      </c>
      <c r="H1259" s="39" t="str">
        <f aca="false">IF(ISNUMBER(MATCH(G1259,Products!$A$5:$A$24,0)),"OK","Mismatch")</f>
        <v>OK</v>
      </c>
      <c r="I1259" s="39" t="str">
        <f aca="false">IF(COUNTIF($A$5:A1259,A1259)&gt;1,"Duplicate","Unique")</f>
        <v>Unique</v>
      </c>
      <c r="J1259" s="39" t="str">
        <f aca="false">IF(I1259="Duplicate","Remove",IF(H1259="Mismatch","Exclude","Keep"))</f>
        <v>Keep</v>
      </c>
    </row>
    <row r="1260" customFormat="false" ht="15" hidden="false" customHeight="false" outlineLevel="0" collapsed="false">
      <c r="A1260" s="39" t="s">
        <v>3168</v>
      </c>
      <c r="B1260" s="40" t="n">
        <v>45833</v>
      </c>
      <c r="C1260" s="39" t="s">
        <v>3169</v>
      </c>
      <c r="D1260" s="39" t="n">
        <v>1</v>
      </c>
      <c r="E1260" s="41" t="n">
        <v>32.82</v>
      </c>
      <c r="F1260" s="39" t="s">
        <v>118</v>
      </c>
      <c r="G1260" s="39" t="str">
        <f aca="false">UPPER(TRIM(C1260))</f>
        <v>P905</v>
      </c>
      <c r="H1260" s="39" t="str">
        <f aca="false">IF(ISNUMBER(MATCH(G1260,Products!$A$5:$A$24,0)),"OK","Mismatch")</f>
        <v>Mismatch</v>
      </c>
      <c r="I1260" s="39" t="str">
        <f aca="false">IF(COUNTIF($A$5:A1260,A1260)&gt;1,"Duplicate","Unique")</f>
        <v>Unique</v>
      </c>
      <c r="J1260" s="39" t="str">
        <f aca="false">IF(I1260="Duplicate","Remove",IF(H1260="Mismatch","Exclude","Keep"))</f>
        <v>Exclude</v>
      </c>
    </row>
    <row r="1261" customFormat="false" ht="15" hidden="false" customHeight="false" outlineLevel="0" collapsed="false">
      <c r="A1261" s="39" t="s">
        <v>1356</v>
      </c>
      <c r="B1261" s="40" t="n">
        <v>45833</v>
      </c>
      <c r="C1261" s="39" t="s">
        <v>139</v>
      </c>
      <c r="D1261" s="39" t="n">
        <v>3</v>
      </c>
      <c r="E1261" s="41" t="n">
        <v>127.19</v>
      </c>
      <c r="F1261" s="39" t="s">
        <v>115</v>
      </c>
      <c r="G1261" s="39" t="str">
        <f aca="false">UPPER(TRIM(C1261))</f>
        <v>P006</v>
      </c>
      <c r="H1261" s="39" t="str">
        <f aca="false">IF(ISNUMBER(MATCH(G1261,Products!$A$5:$A$24,0)),"OK","Mismatch")</f>
        <v>OK</v>
      </c>
      <c r="I1261" s="39" t="str">
        <f aca="false">IF(COUNTIF($A$5:A1261,A1261)&gt;1,"Duplicate","Unique")</f>
        <v>Unique</v>
      </c>
      <c r="J1261" s="39" t="str">
        <f aca="false">IF(I1261="Duplicate","Remove",IF(H1261="Mismatch","Exclude","Keep"))</f>
        <v>Keep</v>
      </c>
    </row>
    <row r="1262" customFormat="false" ht="15" hidden="false" customHeight="false" outlineLevel="0" collapsed="false">
      <c r="A1262" s="39" t="s">
        <v>1357</v>
      </c>
      <c r="B1262" s="40" t="n">
        <v>45833</v>
      </c>
      <c r="C1262" s="39" t="s">
        <v>305</v>
      </c>
      <c r="D1262" s="39" t="n">
        <v>1</v>
      </c>
      <c r="E1262" s="41" t="n">
        <v>329.27</v>
      </c>
      <c r="F1262" s="39" t="s">
        <v>108</v>
      </c>
      <c r="G1262" s="39" t="str">
        <f aca="false">UPPER(TRIM(C1262))</f>
        <v>P008</v>
      </c>
      <c r="H1262" s="39" t="str">
        <f aca="false">IF(ISNUMBER(MATCH(G1262,Products!$A$5:$A$24,0)),"OK","Mismatch")</f>
        <v>OK</v>
      </c>
      <c r="I1262" s="39" t="str">
        <f aca="false">IF(COUNTIF($A$5:A1262,A1262)&gt;1,"Duplicate","Unique")</f>
        <v>Unique</v>
      </c>
      <c r="J1262" s="39" t="str">
        <f aca="false">IF(I1262="Duplicate","Remove",IF(H1262="Mismatch","Exclude","Keep"))</f>
        <v>Keep</v>
      </c>
    </row>
    <row r="1263" customFormat="false" ht="15" hidden="false" customHeight="false" outlineLevel="0" collapsed="false">
      <c r="A1263" s="39" t="s">
        <v>1358</v>
      </c>
      <c r="B1263" s="40" t="n">
        <v>45833</v>
      </c>
      <c r="C1263" s="39" t="s">
        <v>139</v>
      </c>
      <c r="D1263" s="39" t="n">
        <v>3</v>
      </c>
      <c r="E1263" s="41" t="n">
        <v>122.34</v>
      </c>
      <c r="F1263" s="39" t="s">
        <v>115</v>
      </c>
      <c r="G1263" s="39" t="str">
        <f aca="false">UPPER(TRIM(C1263))</f>
        <v>P006</v>
      </c>
      <c r="H1263" s="39" t="str">
        <f aca="false">IF(ISNUMBER(MATCH(G1263,Products!$A$5:$A$24,0)),"OK","Mismatch")</f>
        <v>OK</v>
      </c>
      <c r="I1263" s="39" t="str">
        <f aca="false">IF(COUNTIF($A$5:A1263,A1263)&gt;1,"Duplicate","Unique")</f>
        <v>Unique</v>
      </c>
      <c r="J1263" s="39" t="str">
        <f aca="false">IF(I1263="Duplicate","Remove",IF(H1263="Mismatch","Exclude","Keep"))</f>
        <v>Keep</v>
      </c>
    </row>
    <row r="1264" customFormat="false" ht="15" hidden="false" customHeight="false" outlineLevel="0" collapsed="false">
      <c r="A1264" s="39" t="s">
        <v>1359</v>
      </c>
      <c r="B1264" s="40" t="n">
        <v>45834</v>
      </c>
      <c r="C1264" s="39" t="s">
        <v>126</v>
      </c>
      <c r="D1264" s="39" t="n">
        <v>3</v>
      </c>
      <c r="E1264" s="41" t="n">
        <v>24.51</v>
      </c>
      <c r="F1264" s="39" t="s">
        <v>115</v>
      </c>
      <c r="G1264" s="39" t="str">
        <f aca="false">UPPER(TRIM(C1264))</f>
        <v>P001</v>
      </c>
      <c r="H1264" s="39" t="str">
        <f aca="false">IF(ISNUMBER(MATCH(G1264,Products!$A$5:$A$24,0)),"OK","Mismatch")</f>
        <v>OK</v>
      </c>
      <c r="I1264" s="39" t="str">
        <f aca="false">IF(COUNTIF($A$5:A1264,A1264)&gt;1,"Duplicate","Unique")</f>
        <v>Unique</v>
      </c>
      <c r="J1264" s="39" t="str">
        <f aca="false">IF(I1264="Duplicate","Remove",IF(H1264="Mismatch","Exclude","Keep"))</f>
        <v>Keep</v>
      </c>
    </row>
    <row r="1265" customFormat="false" ht="15" hidden="false" customHeight="false" outlineLevel="0" collapsed="false">
      <c r="A1265" s="39" t="s">
        <v>1360</v>
      </c>
      <c r="B1265" s="40" t="n">
        <v>45834</v>
      </c>
      <c r="C1265" s="39" t="s">
        <v>107</v>
      </c>
      <c r="D1265" s="39" t="n">
        <v>1</v>
      </c>
      <c r="E1265" s="41" t="n">
        <v>34.85</v>
      </c>
      <c r="F1265" s="39" t="s">
        <v>118</v>
      </c>
      <c r="G1265" s="39" t="str">
        <f aca="false">UPPER(TRIM(C1265))</f>
        <v>P003</v>
      </c>
      <c r="H1265" s="39" t="str">
        <f aca="false">IF(ISNUMBER(MATCH(G1265,Products!$A$5:$A$24,0)),"OK","Mismatch")</f>
        <v>OK</v>
      </c>
      <c r="I1265" s="39" t="str">
        <f aca="false">IF(COUNTIF($A$5:A1265,A1265)&gt;1,"Duplicate","Unique")</f>
        <v>Unique</v>
      </c>
      <c r="J1265" s="39" t="str">
        <f aca="false">IF(I1265="Duplicate","Remove",IF(H1265="Mismatch","Exclude","Keep"))</f>
        <v>Keep</v>
      </c>
    </row>
    <row r="1266" customFormat="false" ht="15" hidden="false" customHeight="false" outlineLevel="0" collapsed="false">
      <c r="A1266" s="39" t="s">
        <v>1361</v>
      </c>
      <c r="B1266" s="40" t="n">
        <v>45834</v>
      </c>
      <c r="C1266" s="39" t="s">
        <v>130</v>
      </c>
      <c r="D1266" s="39" t="n">
        <v>3</v>
      </c>
      <c r="E1266" s="41" t="n">
        <v>8.77</v>
      </c>
      <c r="F1266" s="39" t="s">
        <v>115</v>
      </c>
      <c r="G1266" s="39" t="str">
        <f aca="false">UPPER(TRIM(C1266))</f>
        <v>P011</v>
      </c>
      <c r="H1266" s="39" t="str">
        <f aca="false">IF(ISNUMBER(MATCH(G1266,Products!$A$5:$A$24,0)),"OK","Mismatch")</f>
        <v>OK</v>
      </c>
      <c r="I1266" s="39" t="str">
        <f aca="false">IF(COUNTIF($A$5:A1266,A1266)&gt;1,"Duplicate","Unique")</f>
        <v>Unique</v>
      </c>
      <c r="J1266" s="39" t="str">
        <f aca="false">IF(I1266="Duplicate","Remove",IF(H1266="Mismatch","Exclude","Keep"))</f>
        <v>Keep</v>
      </c>
    </row>
    <row r="1267" customFormat="false" ht="15" hidden="false" customHeight="false" outlineLevel="0" collapsed="false">
      <c r="A1267" s="39" t="s">
        <v>1362</v>
      </c>
      <c r="B1267" s="40" t="n">
        <v>45834</v>
      </c>
      <c r="C1267" s="39" t="s">
        <v>117</v>
      </c>
      <c r="D1267" s="39" t="n">
        <v>4</v>
      </c>
      <c r="E1267" s="41" t="n">
        <v>29.74</v>
      </c>
      <c r="F1267" s="39" t="s">
        <v>108</v>
      </c>
      <c r="G1267" s="39" t="str">
        <f aca="false">UPPER(TRIM(C1267))</f>
        <v>P009</v>
      </c>
      <c r="H1267" s="39" t="str">
        <f aca="false">IF(ISNUMBER(MATCH(G1267,Products!$A$5:$A$24,0)),"OK","Mismatch")</f>
        <v>OK</v>
      </c>
      <c r="I1267" s="39" t="str">
        <f aca="false">IF(COUNTIF($A$5:A1267,A1267)&gt;1,"Duplicate","Unique")</f>
        <v>Unique</v>
      </c>
      <c r="J1267" s="39" t="str">
        <f aca="false">IF(I1267="Duplicate","Remove",IF(H1267="Mismatch","Exclude","Keep"))</f>
        <v>Keep</v>
      </c>
    </row>
    <row r="1268" customFormat="false" ht="15" hidden="false" customHeight="false" outlineLevel="0" collapsed="false">
      <c r="A1268" s="39" t="s">
        <v>1363</v>
      </c>
      <c r="B1268" s="40" t="n">
        <v>45834</v>
      </c>
      <c r="C1268" s="39" t="s">
        <v>110</v>
      </c>
      <c r="D1268" s="39" t="n">
        <v>2</v>
      </c>
      <c r="E1268" s="41" t="n">
        <v>13.36</v>
      </c>
      <c r="F1268" s="39" t="s">
        <v>108</v>
      </c>
      <c r="G1268" s="39" t="str">
        <f aca="false">UPPER(TRIM(C1268))</f>
        <v>P016</v>
      </c>
      <c r="H1268" s="39" t="str">
        <f aca="false">IF(ISNUMBER(MATCH(G1268,Products!$A$5:$A$24,0)),"OK","Mismatch")</f>
        <v>OK</v>
      </c>
      <c r="I1268" s="39" t="str">
        <f aca="false">IF(COUNTIF($A$5:A1268,A1268)&gt;1,"Duplicate","Unique")</f>
        <v>Unique</v>
      </c>
      <c r="J1268" s="39" t="str">
        <f aca="false">IF(I1268="Duplicate","Remove",IF(H1268="Mismatch","Exclude","Keep"))</f>
        <v>Keep</v>
      </c>
    </row>
    <row r="1269" customFormat="false" ht="15" hidden="false" customHeight="false" outlineLevel="0" collapsed="false">
      <c r="A1269" s="39" t="s">
        <v>1364</v>
      </c>
      <c r="B1269" s="40" t="n">
        <v>45834</v>
      </c>
      <c r="C1269" s="39" t="s">
        <v>136</v>
      </c>
      <c r="D1269" s="39" t="n">
        <v>3</v>
      </c>
      <c r="E1269" s="41" t="n">
        <v>78.19</v>
      </c>
      <c r="F1269" s="39" t="s">
        <v>118</v>
      </c>
      <c r="G1269" s="39" t="str">
        <f aca="false">UPPER(TRIM(C1269))</f>
        <v>P002</v>
      </c>
      <c r="H1269" s="39" t="str">
        <f aca="false">IF(ISNUMBER(MATCH(G1269,Products!$A$5:$A$24,0)),"OK","Mismatch")</f>
        <v>OK</v>
      </c>
      <c r="I1269" s="39" t="str">
        <f aca="false">IF(COUNTIF($A$5:A1269,A1269)&gt;1,"Duplicate","Unique")</f>
        <v>Unique</v>
      </c>
      <c r="J1269" s="39" t="str">
        <f aca="false">IF(I1269="Duplicate","Remove",IF(H1269="Mismatch","Exclude","Keep"))</f>
        <v>Keep</v>
      </c>
    </row>
    <row r="1270" customFormat="false" ht="15" hidden="false" customHeight="false" outlineLevel="0" collapsed="false">
      <c r="A1270" s="39" t="s">
        <v>1365</v>
      </c>
      <c r="B1270" s="40" t="n">
        <v>45834</v>
      </c>
      <c r="C1270" s="39" t="s">
        <v>112</v>
      </c>
      <c r="D1270" s="39" t="n">
        <v>2</v>
      </c>
      <c r="E1270" s="41" t="n">
        <v>52.67</v>
      </c>
      <c r="F1270" s="39" t="s">
        <v>115</v>
      </c>
      <c r="G1270" s="39" t="str">
        <f aca="false">UPPER(TRIM(C1270))</f>
        <v>P005</v>
      </c>
      <c r="H1270" s="39" t="str">
        <f aca="false">IF(ISNUMBER(MATCH(G1270,Products!$A$5:$A$24,0)),"OK","Mismatch")</f>
        <v>OK</v>
      </c>
      <c r="I1270" s="39" t="str">
        <f aca="false">IF(COUNTIF($A$5:A1270,A1270)&gt;1,"Duplicate","Unique")</f>
        <v>Unique</v>
      </c>
      <c r="J1270" s="39" t="str">
        <f aca="false">IF(I1270="Duplicate","Remove",IF(H1270="Mismatch","Exclude","Keep"))</f>
        <v>Keep</v>
      </c>
    </row>
    <row r="1271" customFormat="false" ht="15" hidden="false" customHeight="false" outlineLevel="0" collapsed="false">
      <c r="A1271" s="39" t="s">
        <v>1366</v>
      </c>
      <c r="B1271" s="40" t="n">
        <v>45834</v>
      </c>
      <c r="C1271" s="39" t="s">
        <v>112</v>
      </c>
      <c r="D1271" s="39" t="n">
        <v>4</v>
      </c>
      <c r="E1271" s="41" t="n">
        <v>54.24</v>
      </c>
      <c r="F1271" s="39" t="s">
        <v>118</v>
      </c>
      <c r="G1271" s="39" t="str">
        <f aca="false">UPPER(TRIM(C1271))</f>
        <v>P005</v>
      </c>
      <c r="H1271" s="39" t="str">
        <f aca="false">IF(ISNUMBER(MATCH(G1271,Products!$A$5:$A$24,0)),"OK","Mismatch")</f>
        <v>OK</v>
      </c>
      <c r="I1271" s="39" t="str">
        <f aca="false">IF(COUNTIF($A$5:A1271,A1271)&gt;1,"Duplicate","Unique")</f>
        <v>Unique</v>
      </c>
      <c r="J1271" s="39" t="str">
        <f aca="false">IF(I1271="Duplicate","Remove",IF(H1271="Mismatch","Exclude","Keep"))</f>
        <v>Keep</v>
      </c>
    </row>
    <row r="1272" customFormat="false" ht="15" hidden="false" customHeight="false" outlineLevel="0" collapsed="false">
      <c r="A1272" s="39" t="s">
        <v>1367</v>
      </c>
      <c r="B1272" s="40" t="n">
        <v>45835</v>
      </c>
      <c r="C1272" s="39" t="s">
        <v>183</v>
      </c>
      <c r="D1272" s="39" t="n">
        <v>2</v>
      </c>
      <c r="E1272" s="41" t="n">
        <v>185</v>
      </c>
      <c r="F1272" s="39" t="s">
        <v>105</v>
      </c>
      <c r="G1272" s="39" t="str">
        <f aca="false">UPPER(TRIM(C1272))</f>
        <v>P007</v>
      </c>
      <c r="H1272" s="39" t="str">
        <f aca="false">IF(ISNUMBER(MATCH(G1272,Products!$A$5:$A$24,0)),"OK","Mismatch")</f>
        <v>OK</v>
      </c>
      <c r="I1272" s="39" t="str">
        <f aca="false">IF(COUNTIF($A$5:A1272,A1272)&gt;1,"Duplicate","Unique")</f>
        <v>Unique</v>
      </c>
      <c r="J1272" s="39" t="str">
        <f aca="false">IF(I1272="Duplicate","Remove",IF(H1272="Mismatch","Exclude","Keep"))</f>
        <v>Keep</v>
      </c>
    </row>
    <row r="1273" customFormat="false" ht="15" hidden="false" customHeight="false" outlineLevel="0" collapsed="false">
      <c r="A1273" s="39" t="s">
        <v>1368</v>
      </c>
      <c r="B1273" s="40" t="n">
        <v>45835</v>
      </c>
      <c r="C1273" s="39" t="s">
        <v>126</v>
      </c>
      <c r="D1273" s="39" t="n">
        <v>4</v>
      </c>
      <c r="E1273" s="41" t="n">
        <v>24.34</v>
      </c>
      <c r="F1273" s="39" t="s">
        <v>105</v>
      </c>
      <c r="G1273" s="39" t="str">
        <f aca="false">UPPER(TRIM(C1273))</f>
        <v>P001</v>
      </c>
      <c r="H1273" s="39" t="str">
        <f aca="false">IF(ISNUMBER(MATCH(G1273,Products!$A$5:$A$24,0)),"OK","Mismatch")</f>
        <v>OK</v>
      </c>
      <c r="I1273" s="39" t="str">
        <f aca="false">IF(COUNTIF($A$5:A1273,A1273)&gt;1,"Duplicate","Unique")</f>
        <v>Unique</v>
      </c>
      <c r="J1273" s="39" t="str">
        <f aca="false">IF(I1273="Duplicate","Remove",IF(H1273="Mismatch","Exclude","Keep"))</f>
        <v>Keep</v>
      </c>
    </row>
    <row r="1274" customFormat="false" ht="15" hidden="false" customHeight="false" outlineLevel="0" collapsed="false">
      <c r="A1274" s="39" t="s">
        <v>1369</v>
      </c>
      <c r="B1274" s="40" t="n">
        <v>45835</v>
      </c>
      <c r="C1274" s="39" t="s">
        <v>117</v>
      </c>
      <c r="D1274" s="39" t="n">
        <v>4</v>
      </c>
      <c r="E1274" s="41" t="n">
        <v>31.56</v>
      </c>
      <c r="F1274" s="39" t="s">
        <v>105</v>
      </c>
      <c r="G1274" s="39" t="str">
        <f aca="false">UPPER(TRIM(C1274))</f>
        <v>P009</v>
      </c>
      <c r="H1274" s="39" t="str">
        <f aca="false">IF(ISNUMBER(MATCH(G1274,Products!$A$5:$A$24,0)),"OK","Mismatch")</f>
        <v>OK</v>
      </c>
      <c r="I1274" s="39" t="str">
        <f aca="false">IF(COUNTIF($A$5:A1274,A1274)&gt;1,"Duplicate","Unique")</f>
        <v>Unique</v>
      </c>
      <c r="J1274" s="39" t="str">
        <f aca="false">IF(I1274="Duplicate","Remove",IF(H1274="Mismatch","Exclude","Keep"))</f>
        <v>Keep</v>
      </c>
    </row>
    <row r="1275" customFormat="false" ht="15" hidden="false" customHeight="false" outlineLevel="0" collapsed="false">
      <c r="A1275" s="39" t="s">
        <v>1370</v>
      </c>
      <c r="B1275" s="40" t="n">
        <v>45835</v>
      </c>
      <c r="C1275" s="39" t="s">
        <v>104</v>
      </c>
      <c r="D1275" s="39" t="n">
        <v>1</v>
      </c>
      <c r="E1275" s="41" t="n">
        <v>15.55</v>
      </c>
      <c r="F1275" s="39" t="s">
        <v>115</v>
      </c>
      <c r="G1275" s="39" t="str">
        <f aca="false">UPPER(TRIM(C1275))</f>
        <v>P015</v>
      </c>
      <c r="H1275" s="39" t="str">
        <f aca="false">IF(ISNUMBER(MATCH(G1275,Products!$A$5:$A$24,0)),"OK","Mismatch")</f>
        <v>OK</v>
      </c>
      <c r="I1275" s="39" t="str">
        <f aca="false">IF(COUNTIF($A$5:A1275,A1275)&gt;1,"Duplicate","Unique")</f>
        <v>Unique</v>
      </c>
      <c r="J1275" s="39" t="str">
        <f aca="false">IF(I1275="Duplicate","Remove",IF(H1275="Mismatch","Exclude","Keep"))</f>
        <v>Keep</v>
      </c>
    </row>
    <row r="1276" customFormat="false" ht="15" hidden="false" customHeight="false" outlineLevel="0" collapsed="false">
      <c r="A1276" s="39" t="s">
        <v>1371</v>
      </c>
      <c r="B1276" s="40" t="n">
        <v>45835</v>
      </c>
      <c r="C1276" s="39" t="s">
        <v>139</v>
      </c>
      <c r="D1276" s="39" t="n">
        <v>1</v>
      </c>
      <c r="E1276" s="41" t="n">
        <v>127.68</v>
      </c>
      <c r="F1276" s="39" t="s">
        <v>115</v>
      </c>
      <c r="G1276" s="39" t="str">
        <f aca="false">UPPER(TRIM(C1276))</f>
        <v>P006</v>
      </c>
      <c r="H1276" s="39" t="str">
        <f aca="false">IF(ISNUMBER(MATCH(G1276,Products!$A$5:$A$24,0)),"OK","Mismatch")</f>
        <v>OK</v>
      </c>
      <c r="I1276" s="39" t="str">
        <f aca="false">IF(COUNTIF($A$5:A1276,A1276)&gt;1,"Duplicate","Unique")</f>
        <v>Unique</v>
      </c>
      <c r="J1276" s="39" t="str">
        <f aca="false">IF(I1276="Duplicate","Remove",IF(H1276="Mismatch","Exclude","Keep"))</f>
        <v>Keep</v>
      </c>
    </row>
    <row r="1277" customFormat="false" ht="15" hidden="false" customHeight="false" outlineLevel="0" collapsed="false">
      <c r="A1277" s="39" t="s">
        <v>1372</v>
      </c>
      <c r="B1277" s="40" t="n">
        <v>45835</v>
      </c>
      <c r="C1277" s="39" t="s">
        <v>126</v>
      </c>
      <c r="D1277" s="39" t="n">
        <v>1</v>
      </c>
      <c r="E1277" s="41" t="n">
        <v>24.21</v>
      </c>
      <c r="F1277" s="39" t="s">
        <v>118</v>
      </c>
      <c r="G1277" s="39" t="str">
        <f aca="false">UPPER(TRIM(C1277))</f>
        <v>P001</v>
      </c>
      <c r="H1277" s="39" t="str">
        <f aca="false">IF(ISNUMBER(MATCH(G1277,Products!$A$5:$A$24,0)),"OK","Mismatch")</f>
        <v>OK</v>
      </c>
      <c r="I1277" s="39" t="str">
        <f aca="false">IF(COUNTIF($A$5:A1277,A1277)&gt;1,"Duplicate","Unique")</f>
        <v>Unique</v>
      </c>
      <c r="J1277" s="39" t="str">
        <f aca="false">IF(I1277="Duplicate","Remove",IF(H1277="Mismatch","Exclude","Keep"))</f>
        <v>Keep</v>
      </c>
    </row>
    <row r="1278" customFormat="false" ht="15" hidden="false" customHeight="false" outlineLevel="0" collapsed="false">
      <c r="A1278" s="39" t="s">
        <v>1373</v>
      </c>
      <c r="B1278" s="40" t="n">
        <v>45835</v>
      </c>
      <c r="C1278" s="39" t="s">
        <v>169</v>
      </c>
      <c r="D1278" s="39" t="n">
        <v>1</v>
      </c>
      <c r="E1278" s="41" t="n">
        <v>27.01</v>
      </c>
      <c r="F1278" s="39" t="s">
        <v>118</v>
      </c>
      <c r="G1278" s="39" t="str">
        <f aca="false">UPPER(TRIM(C1278))</f>
        <v>P004</v>
      </c>
      <c r="H1278" s="39" t="str">
        <f aca="false">IF(ISNUMBER(MATCH(G1278,Products!$A$5:$A$24,0)),"OK","Mismatch")</f>
        <v>OK</v>
      </c>
      <c r="I1278" s="39" t="str">
        <f aca="false">IF(COUNTIF($A$5:A1278,A1278)&gt;1,"Duplicate","Unique")</f>
        <v>Unique</v>
      </c>
      <c r="J1278" s="39" t="str">
        <f aca="false">IF(I1278="Duplicate","Remove",IF(H1278="Mismatch","Exclude","Keep"))</f>
        <v>Keep</v>
      </c>
    </row>
    <row r="1279" customFormat="false" ht="15" hidden="false" customHeight="false" outlineLevel="0" collapsed="false">
      <c r="A1279" s="39" t="s">
        <v>1374</v>
      </c>
      <c r="B1279" s="40" t="n">
        <v>45835</v>
      </c>
      <c r="C1279" s="39" t="s">
        <v>130</v>
      </c>
      <c r="D1279" s="39" t="n">
        <v>3</v>
      </c>
      <c r="E1279" s="41" t="n">
        <v>8.66</v>
      </c>
      <c r="F1279" s="39" t="s">
        <v>115</v>
      </c>
      <c r="G1279" s="39" t="str">
        <f aca="false">UPPER(TRIM(C1279))</f>
        <v>P011</v>
      </c>
      <c r="H1279" s="39" t="str">
        <f aca="false">IF(ISNUMBER(MATCH(G1279,Products!$A$5:$A$24,0)),"OK","Mismatch")</f>
        <v>OK</v>
      </c>
      <c r="I1279" s="39" t="str">
        <f aca="false">IF(COUNTIF($A$5:A1279,A1279)&gt;1,"Duplicate","Unique")</f>
        <v>Unique</v>
      </c>
      <c r="J1279" s="39" t="str">
        <f aca="false">IF(I1279="Duplicate","Remove",IF(H1279="Mismatch","Exclude","Keep"))</f>
        <v>Keep</v>
      </c>
    </row>
    <row r="1280" customFormat="false" ht="15" hidden="false" customHeight="false" outlineLevel="0" collapsed="false">
      <c r="A1280" s="39" t="s">
        <v>1375</v>
      </c>
      <c r="B1280" s="40" t="n">
        <v>45836</v>
      </c>
      <c r="C1280" s="39" t="s">
        <v>133</v>
      </c>
      <c r="D1280" s="39" t="n">
        <v>1</v>
      </c>
      <c r="E1280" s="41" t="n">
        <v>8.47</v>
      </c>
      <c r="F1280" s="39" t="s">
        <v>105</v>
      </c>
      <c r="G1280" s="39" t="str">
        <f aca="false">UPPER(TRIM(C1280))</f>
        <v>P019</v>
      </c>
      <c r="H1280" s="39" t="str">
        <f aca="false">IF(ISNUMBER(MATCH(G1280,Products!$A$5:$A$24,0)),"OK","Mismatch")</f>
        <v>OK</v>
      </c>
      <c r="I1280" s="39" t="str">
        <f aca="false">IF(COUNTIF($A$5:A1280,A1280)&gt;1,"Duplicate","Unique")</f>
        <v>Unique</v>
      </c>
      <c r="J1280" s="39" t="str">
        <f aca="false">IF(I1280="Duplicate","Remove",IF(H1280="Mismatch","Exclude","Keep"))</f>
        <v>Keep</v>
      </c>
    </row>
    <row r="1281" customFormat="false" ht="15" hidden="false" customHeight="false" outlineLevel="0" collapsed="false">
      <c r="A1281" s="39" t="s">
        <v>1376</v>
      </c>
      <c r="B1281" s="40" t="n">
        <v>45836</v>
      </c>
      <c r="C1281" s="39" t="s">
        <v>144</v>
      </c>
      <c r="D1281" s="39" t="n">
        <v>1</v>
      </c>
      <c r="E1281" s="41" t="n">
        <v>54.63</v>
      </c>
      <c r="F1281" s="39" t="s">
        <v>118</v>
      </c>
      <c r="G1281" s="39" t="str">
        <f aca="false">UPPER(TRIM(C1281))</f>
        <v>P013</v>
      </c>
      <c r="H1281" s="39" t="str">
        <f aca="false">IF(ISNUMBER(MATCH(G1281,Products!$A$5:$A$24,0)),"OK","Mismatch")</f>
        <v>OK</v>
      </c>
      <c r="I1281" s="39" t="str">
        <f aca="false">IF(COUNTIF($A$5:A1281,A1281)&gt;1,"Duplicate","Unique")</f>
        <v>Unique</v>
      </c>
      <c r="J1281" s="39" t="str">
        <f aca="false">IF(I1281="Duplicate","Remove",IF(H1281="Mismatch","Exclude","Keep"))</f>
        <v>Keep</v>
      </c>
    </row>
    <row r="1282" customFormat="false" ht="15" hidden="false" customHeight="false" outlineLevel="0" collapsed="false">
      <c r="A1282" s="39" t="s">
        <v>1377</v>
      </c>
      <c r="B1282" s="40" t="n">
        <v>45836</v>
      </c>
      <c r="C1282" s="39" t="s">
        <v>114</v>
      </c>
      <c r="D1282" s="39" t="n">
        <v>4</v>
      </c>
      <c r="E1282" s="41" t="n">
        <v>5.54</v>
      </c>
      <c r="F1282" s="39" t="s">
        <v>118</v>
      </c>
      <c r="G1282" s="39" t="str">
        <f aca="false">UPPER(TRIM(C1282))</f>
        <v>P012</v>
      </c>
      <c r="H1282" s="39" t="str">
        <f aca="false">IF(ISNUMBER(MATCH(G1282,Products!$A$5:$A$24,0)),"OK","Mismatch")</f>
        <v>OK</v>
      </c>
      <c r="I1282" s="39" t="str">
        <f aca="false">IF(COUNTIF($A$5:A1282,A1282)&gt;1,"Duplicate","Unique")</f>
        <v>Unique</v>
      </c>
      <c r="J1282" s="39" t="str">
        <f aca="false">IF(I1282="Duplicate","Remove",IF(H1282="Mismatch","Exclude","Keep"))</f>
        <v>Keep</v>
      </c>
    </row>
    <row r="1283" customFormat="false" ht="15" hidden="false" customHeight="false" outlineLevel="0" collapsed="false">
      <c r="A1283" s="39" t="s">
        <v>1378</v>
      </c>
      <c r="B1283" s="40" t="n">
        <v>45836</v>
      </c>
      <c r="C1283" s="39" t="s">
        <v>133</v>
      </c>
      <c r="D1283" s="39" t="n">
        <v>1</v>
      </c>
      <c r="E1283" s="41" t="n">
        <v>8.79</v>
      </c>
      <c r="F1283" s="39" t="s">
        <v>118</v>
      </c>
      <c r="G1283" s="39" t="str">
        <f aca="false">UPPER(TRIM(C1283))</f>
        <v>P019</v>
      </c>
      <c r="H1283" s="39" t="str">
        <f aca="false">IF(ISNUMBER(MATCH(G1283,Products!$A$5:$A$24,0)),"OK","Mismatch")</f>
        <v>OK</v>
      </c>
      <c r="I1283" s="39" t="str">
        <f aca="false">IF(COUNTIF($A$5:A1283,A1283)&gt;1,"Duplicate","Unique")</f>
        <v>Unique</v>
      </c>
      <c r="J1283" s="39" t="str">
        <f aca="false">IF(I1283="Duplicate","Remove",IF(H1283="Mismatch","Exclude","Keep"))</f>
        <v>Keep</v>
      </c>
    </row>
    <row r="1284" customFormat="false" ht="15" hidden="false" customHeight="false" outlineLevel="0" collapsed="false">
      <c r="A1284" s="39" t="s">
        <v>1379</v>
      </c>
      <c r="B1284" s="40" t="n">
        <v>45836</v>
      </c>
      <c r="C1284" s="39" t="s">
        <v>112</v>
      </c>
      <c r="D1284" s="39" t="n">
        <v>4</v>
      </c>
      <c r="E1284" s="41" t="n">
        <v>54.8</v>
      </c>
      <c r="F1284" s="39" t="s">
        <v>105</v>
      </c>
      <c r="G1284" s="39" t="str">
        <f aca="false">UPPER(TRIM(C1284))</f>
        <v>P005</v>
      </c>
      <c r="H1284" s="39" t="str">
        <f aca="false">IF(ISNUMBER(MATCH(G1284,Products!$A$5:$A$24,0)),"OK","Mismatch")</f>
        <v>OK</v>
      </c>
      <c r="I1284" s="39" t="str">
        <f aca="false">IF(COUNTIF($A$5:A1284,A1284)&gt;1,"Duplicate","Unique")</f>
        <v>Unique</v>
      </c>
      <c r="J1284" s="39" t="str">
        <f aca="false">IF(I1284="Duplicate","Remove",IF(H1284="Mismatch","Exclude","Keep"))</f>
        <v>Keep</v>
      </c>
    </row>
    <row r="1285" customFormat="false" ht="15" hidden="false" customHeight="false" outlineLevel="0" collapsed="false">
      <c r="A1285" s="39" t="s">
        <v>1380</v>
      </c>
      <c r="B1285" s="40" t="n">
        <v>45839</v>
      </c>
      <c r="C1285" s="39" t="s">
        <v>136</v>
      </c>
      <c r="D1285" s="39" t="n">
        <v>2</v>
      </c>
      <c r="E1285" s="41" t="n">
        <v>75.53</v>
      </c>
      <c r="F1285" s="39" t="s">
        <v>105</v>
      </c>
      <c r="G1285" s="39" t="str">
        <f aca="false">UPPER(TRIM(C1285))</f>
        <v>P002</v>
      </c>
      <c r="H1285" s="39" t="str">
        <f aca="false">IF(ISNUMBER(MATCH(G1285,Products!$A$5:$A$24,0)),"OK","Mismatch")</f>
        <v>OK</v>
      </c>
      <c r="I1285" s="39" t="str">
        <f aca="false">IF(COUNTIF($A$5:A1285,A1285)&gt;1,"Duplicate","Unique")</f>
        <v>Unique</v>
      </c>
      <c r="J1285" s="39" t="str">
        <f aca="false">IF(I1285="Duplicate","Remove",IF(H1285="Mismatch","Exclude","Keep"))</f>
        <v>Keep</v>
      </c>
    </row>
    <row r="1286" customFormat="false" ht="15" hidden="false" customHeight="false" outlineLevel="0" collapsed="false">
      <c r="A1286" s="39" t="s">
        <v>1380</v>
      </c>
      <c r="B1286" s="40" t="n">
        <v>45839</v>
      </c>
      <c r="C1286" s="39" t="s">
        <v>136</v>
      </c>
      <c r="D1286" s="39" t="n">
        <v>2</v>
      </c>
      <c r="E1286" s="41" t="n">
        <v>75.53</v>
      </c>
      <c r="F1286" s="39" t="s">
        <v>105</v>
      </c>
      <c r="G1286" s="39" t="str">
        <f aca="false">UPPER(TRIM(C1286))</f>
        <v>P002</v>
      </c>
      <c r="H1286" s="39" t="str">
        <f aca="false">IF(ISNUMBER(MATCH(G1286,Products!$A$5:$A$24,0)),"OK","Mismatch")</f>
        <v>OK</v>
      </c>
      <c r="I1286" s="39" t="str">
        <f aca="false">IF(COUNTIF($A$5:A1286,A1286)&gt;1,"Duplicate","Unique")</f>
        <v>Duplicate</v>
      </c>
      <c r="J1286" s="39" t="str">
        <f aca="false">IF(I1286="Duplicate","Remove",IF(H1286="Mismatch","Exclude","Keep"))</f>
        <v>Remove</v>
      </c>
    </row>
    <row r="1287" customFormat="false" ht="15" hidden="false" customHeight="false" outlineLevel="0" collapsed="false">
      <c r="A1287" s="39" t="s">
        <v>1381</v>
      </c>
      <c r="B1287" s="40" t="n">
        <v>45839</v>
      </c>
      <c r="C1287" s="39" t="s">
        <v>126</v>
      </c>
      <c r="D1287" s="39" t="n">
        <v>2</v>
      </c>
      <c r="E1287" s="41" t="n">
        <v>23.47</v>
      </c>
      <c r="F1287" s="39" t="s">
        <v>105</v>
      </c>
      <c r="G1287" s="39" t="str">
        <f aca="false">UPPER(TRIM(C1287))</f>
        <v>P001</v>
      </c>
      <c r="H1287" s="39" t="str">
        <f aca="false">IF(ISNUMBER(MATCH(G1287,Products!$A$5:$A$24,0)),"OK","Mismatch")</f>
        <v>OK</v>
      </c>
      <c r="I1287" s="39" t="str">
        <f aca="false">IF(COUNTIF($A$5:A1287,A1287)&gt;1,"Duplicate","Unique")</f>
        <v>Unique</v>
      </c>
      <c r="J1287" s="39" t="str">
        <f aca="false">IF(I1287="Duplicate","Remove",IF(H1287="Mismatch","Exclude","Keep"))</f>
        <v>Keep</v>
      </c>
    </row>
    <row r="1288" customFormat="false" ht="15" hidden="false" customHeight="false" outlineLevel="0" collapsed="false">
      <c r="A1288" s="39" t="s">
        <v>1382</v>
      </c>
      <c r="B1288" s="40" t="n">
        <v>45839</v>
      </c>
      <c r="C1288" s="39" t="s">
        <v>107</v>
      </c>
      <c r="D1288" s="39" t="n">
        <v>2</v>
      </c>
      <c r="E1288" s="41" t="n">
        <v>32.8</v>
      </c>
      <c r="F1288" s="39" t="s">
        <v>115</v>
      </c>
      <c r="G1288" s="39" t="str">
        <f aca="false">UPPER(TRIM(C1288))</f>
        <v>P003</v>
      </c>
      <c r="H1288" s="39" t="str">
        <f aca="false">IF(ISNUMBER(MATCH(G1288,Products!$A$5:$A$24,0)),"OK","Mismatch")</f>
        <v>OK</v>
      </c>
      <c r="I1288" s="39" t="str">
        <f aca="false">IF(COUNTIF($A$5:A1288,A1288)&gt;1,"Duplicate","Unique")</f>
        <v>Unique</v>
      </c>
      <c r="J1288" s="39" t="str">
        <f aca="false">IF(I1288="Duplicate","Remove",IF(H1288="Mismatch","Exclude","Keep"))</f>
        <v>Keep</v>
      </c>
    </row>
    <row r="1289" customFormat="false" ht="15" hidden="false" customHeight="false" outlineLevel="0" collapsed="false">
      <c r="A1289" s="39" t="s">
        <v>1383</v>
      </c>
      <c r="B1289" s="40" t="n">
        <v>45839</v>
      </c>
      <c r="C1289" s="39" t="s">
        <v>114</v>
      </c>
      <c r="D1289" s="39" t="n">
        <v>2</v>
      </c>
      <c r="E1289" s="41" t="n">
        <v>5.96</v>
      </c>
      <c r="F1289" s="39" t="s">
        <v>108</v>
      </c>
      <c r="G1289" s="39" t="str">
        <f aca="false">UPPER(TRIM(C1289))</f>
        <v>P012</v>
      </c>
      <c r="H1289" s="39" t="str">
        <f aca="false">IF(ISNUMBER(MATCH(G1289,Products!$A$5:$A$24,0)),"OK","Mismatch")</f>
        <v>OK</v>
      </c>
      <c r="I1289" s="39" t="str">
        <f aca="false">IF(COUNTIF($A$5:A1289,A1289)&gt;1,"Duplicate","Unique")</f>
        <v>Unique</v>
      </c>
      <c r="J1289" s="39" t="str">
        <f aca="false">IF(I1289="Duplicate","Remove",IF(H1289="Mismatch","Exclude","Keep"))</f>
        <v>Keep</v>
      </c>
    </row>
    <row r="1290" customFormat="false" ht="15" hidden="false" customHeight="false" outlineLevel="0" collapsed="false">
      <c r="A1290" s="39" t="s">
        <v>1384</v>
      </c>
      <c r="B1290" s="40" t="n">
        <v>45839</v>
      </c>
      <c r="C1290" s="39" t="s">
        <v>3170</v>
      </c>
      <c r="D1290" s="39" t="n">
        <v>4</v>
      </c>
      <c r="E1290" s="41" t="n">
        <v>124.25</v>
      </c>
      <c r="F1290" s="39" t="s">
        <v>118</v>
      </c>
      <c r="G1290" s="39" t="str">
        <f aca="false">UPPER(TRIM(C1290))</f>
        <v>P006</v>
      </c>
      <c r="H1290" s="39" t="str">
        <f aca="false">IF(ISNUMBER(MATCH(G1290,Products!$A$5:$A$24,0)),"OK","Mismatch")</f>
        <v>OK</v>
      </c>
      <c r="I1290" s="39" t="str">
        <f aca="false">IF(COUNTIF($A$5:A1290,A1290)&gt;1,"Duplicate","Unique")</f>
        <v>Unique</v>
      </c>
      <c r="J1290" s="39" t="str">
        <f aca="false">IF(I1290="Duplicate","Remove",IF(H1290="Mismatch","Exclude","Keep"))</f>
        <v>Keep</v>
      </c>
    </row>
    <row r="1291" customFormat="false" ht="15" hidden="false" customHeight="false" outlineLevel="0" collapsed="false">
      <c r="A1291" s="39" t="s">
        <v>1385</v>
      </c>
      <c r="B1291" s="40" t="n">
        <v>45839</v>
      </c>
      <c r="C1291" s="39" t="s">
        <v>153</v>
      </c>
      <c r="D1291" s="39" t="n">
        <v>5</v>
      </c>
      <c r="E1291" s="41" t="n">
        <v>170.26</v>
      </c>
      <c r="F1291" s="39" t="s">
        <v>105</v>
      </c>
      <c r="G1291" s="39" t="str">
        <f aca="false">UPPER(TRIM(C1291))</f>
        <v>P010</v>
      </c>
      <c r="H1291" s="39" t="str">
        <f aca="false">IF(ISNUMBER(MATCH(G1291,Products!$A$5:$A$24,0)),"OK","Mismatch")</f>
        <v>OK</v>
      </c>
      <c r="I1291" s="39" t="str">
        <f aca="false">IF(COUNTIF($A$5:A1291,A1291)&gt;1,"Duplicate","Unique")</f>
        <v>Unique</v>
      </c>
      <c r="J1291" s="39" t="str">
        <f aca="false">IF(I1291="Duplicate","Remove",IF(H1291="Mismatch","Exclude","Keep"))</f>
        <v>Keep</v>
      </c>
    </row>
    <row r="1292" customFormat="false" ht="15" hidden="false" customHeight="false" outlineLevel="0" collapsed="false">
      <c r="A1292" s="39" t="s">
        <v>1386</v>
      </c>
      <c r="B1292" s="40" t="n">
        <v>45839</v>
      </c>
      <c r="C1292" s="39" t="s">
        <v>117</v>
      </c>
      <c r="D1292" s="39" t="n">
        <v>4</v>
      </c>
      <c r="E1292" s="41" t="n">
        <v>29.81</v>
      </c>
      <c r="F1292" s="39" t="s">
        <v>115</v>
      </c>
      <c r="G1292" s="39" t="str">
        <f aca="false">UPPER(TRIM(C1292))</f>
        <v>P009</v>
      </c>
      <c r="H1292" s="39" t="str">
        <f aca="false">IF(ISNUMBER(MATCH(G1292,Products!$A$5:$A$24,0)),"OK","Mismatch")</f>
        <v>OK</v>
      </c>
      <c r="I1292" s="39" t="str">
        <f aca="false">IF(COUNTIF($A$5:A1292,A1292)&gt;1,"Duplicate","Unique")</f>
        <v>Unique</v>
      </c>
      <c r="J1292" s="39" t="str">
        <f aca="false">IF(I1292="Duplicate","Remove",IF(H1292="Mismatch","Exclude","Keep"))</f>
        <v>Keep</v>
      </c>
    </row>
    <row r="1293" customFormat="false" ht="15" hidden="false" customHeight="false" outlineLevel="0" collapsed="false">
      <c r="A1293" s="39" t="s">
        <v>1387</v>
      </c>
      <c r="B1293" s="40" t="n">
        <v>45839</v>
      </c>
      <c r="C1293" s="39" t="s">
        <v>110</v>
      </c>
      <c r="D1293" s="39" t="n">
        <v>3</v>
      </c>
      <c r="E1293" s="41" t="n">
        <v>13.8</v>
      </c>
      <c r="F1293" s="39" t="s">
        <v>105</v>
      </c>
      <c r="G1293" s="39" t="str">
        <f aca="false">UPPER(TRIM(C1293))</f>
        <v>P016</v>
      </c>
      <c r="H1293" s="39" t="str">
        <f aca="false">IF(ISNUMBER(MATCH(G1293,Products!$A$5:$A$24,0)),"OK","Mismatch")</f>
        <v>OK</v>
      </c>
      <c r="I1293" s="39" t="str">
        <f aca="false">IF(COUNTIF($A$5:A1293,A1293)&gt;1,"Duplicate","Unique")</f>
        <v>Unique</v>
      </c>
      <c r="J1293" s="39" t="str">
        <f aca="false">IF(I1293="Duplicate","Remove",IF(H1293="Mismatch","Exclude","Keep"))</f>
        <v>Keep</v>
      </c>
    </row>
    <row r="1294" customFormat="false" ht="15" hidden="false" customHeight="false" outlineLevel="0" collapsed="false">
      <c r="A1294" s="39" t="s">
        <v>1388</v>
      </c>
      <c r="B1294" s="40" t="n">
        <v>45839</v>
      </c>
      <c r="C1294" s="39" t="s">
        <v>162</v>
      </c>
      <c r="D1294" s="39" t="n">
        <v>3</v>
      </c>
      <c r="E1294" s="41" t="n">
        <v>65.49</v>
      </c>
      <c r="F1294" s="39" t="s">
        <v>108</v>
      </c>
      <c r="G1294" s="39" t="str">
        <f aca="false">UPPER(TRIM(C1294))</f>
        <v>P017</v>
      </c>
      <c r="H1294" s="39" t="str">
        <f aca="false">IF(ISNUMBER(MATCH(G1294,Products!$A$5:$A$24,0)),"OK","Mismatch")</f>
        <v>OK</v>
      </c>
      <c r="I1294" s="39" t="str">
        <f aca="false">IF(COUNTIF($A$5:A1294,A1294)&gt;1,"Duplicate","Unique")</f>
        <v>Unique</v>
      </c>
      <c r="J1294" s="39" t="str">
        <f aca="false">IF(I1294="Duplicate","Remove",IF(H1294="Mismatch","Exclude","Keep"))</f>
        <v>Keep</v>
      </c>
    </row>
    <row r="1295" customFormat="false" ht="15" hidden="false" customHeight="false" outlineLevel="0" collapsed="false">
      <c r="A1295" s="39" t="s">
        <v>1389</v>
      </c>
      <c r="B1295" s="40" t="n">
        <v>45839</v>
      </c>
      <c r="C1295" s="39" t="s">
        <v>144</v>
      </c>
      <c r="D1295" s="39" t="n">
        <v>3</v>
      </c>
      <c r="E1295" s="41" t="n">
        <v>56.22</v>
      </c>
      <c r="F1295" s="39" t="s">
        <v>105</v>
      </c>
      <c r="G1295" s="39" t="str">
        <f aca="false">UPPER(TRIM(C1295))</f>
        <v>P013</v>
      </c>
      <c r="H1295" s="39" t="str">
        <f aca="false">IF(ISNUMBER(MATCH(G1295,Products!$A$5:$A$24,0)),"OK","Mismatch")</f>
        <v>OK</v>
      </c>
      <c r="I1295" s="39" t="str">
        <f aca="false">IF(COUNTIF($A$5:A1295,A1295)&gt;1,"Duplicate","Unique")</f>
        <v>Unique</v>
      </c>
      <c r="J1295" s="39" t="str">
        <f aca="false">IF(I1295="Duplicate","Remove",IF(H1295="Mismatch","Exclude","Keep"))</f>
        <v>Keep</v>
      </c>
    </row>
    <row r="1296" customFormat="false" ht="15" hidden="false" customHeight="false" outlineLevel="0" collapsed="false">
      <c r="A1296" s="39" t="s">
        <v>1390</v>
      </c>
      <c r="B1296" s="40" t="n">
        <v>45839</v>
      </c>
      <c r="C1296" s="39" t="s">
        <v>107</v>
      </c>
      <c r="D1296" s="39" t="n">
        <v>4</v>
      </c>
      <c r="E1296" s="41" t="n">
        <v>32.84</v>
      </c>
      <c r="F1296" s="39" t="s">
        <v>105</v>
      </c>
      <c r="G1296" s="39" t="str">
        <f aca="false">UPPER(TRIM(C1296))</f>
        <v>P003</v>
      </c>
      <c r="H1296" s="39" t="str">
        <f aca="false">IF(ISNUMBER(MATCH(G1296,Products!$A$5:$A$24,0)),"OK","Mismatch")</f>
        <v>OK</v>
      </c>
      <c r="I1296" s="39" t="str">
        <f aca="false">IF(COUNTIF($A$5:A1296,A1296)&gt;1,"Duplicate","Unique")</f>
        <v>Unique</v>
      </c>
      <c r="J1296" s="39" t="str">
        <f aca="false">IF(I1296="Duplicate","Remove",IF(H1296="Mismatch","Exclude","Keep"))</f>
        <v>Keep</v>
      </c>
    </row>
    <row r="1297" customFormat="false" ht="15" hidden="false" customHeight="false" outlineLevel="0" collapsed="false">
      <c r="A1297" s="39" t="s">
        <v>1391</v>
      </c>
      <c r="B1297" s="40" t="n">
        <v>45840</v>
      </c>
      <c r="C1297" s="39" t="s">
        <v>153</v>
      </c>
      <c r="D1297" s="39" t="n">
        <v>1</v>
      </c>
      <c r="E1297" s="41" t="n">
        <v>169.71</v>
      </c>
      <c r="F1297" s="39" t="s">
        <v>105</v>
      </c>
      <c r="G1297" s="39" t="str">
        <f aca="false">UPPER(TRIM(C1297))</f>
        <v>P010</v>
      </c>
      <c r="H1297" s="39" t="str">
        <f aca="false">IF(ISNUMBER(MATCH(G1297,Products!$A$5:$A$24,0)),"OK","Mismatch")</f>
        <v>OK</v>
      </c>
      <c r="I1297" s="39" t="str">
        <f aca="false">IF(COUNTIF($A$5:A1297,A1297)&gt;1,"Duplicate","Unique")</f>
        <v>Unique</v>
      </c>
      <c r="J1297" s="39" t="str">
        <f aca="false">IF(I1297="Duplicate","Remove",IF(H1297="Mismatch","Exclude","Keep"))</f>
        <v>Keep</v>
      </c>
    </row>
    <row r="1298" customFormat="false" ht="15" hidden="false" customHeight="false" outlineLevel="0" collapsed="false">
      <c r="A1298" s="39" t="s">
        <v>1392</v>
      </c>
      <c r="B1298" s="40" t="n">
        <v>45840</v>
      </c>
      <c r="C1298" s="39" t="s">
        <v>130</v>
      </c>
      <c r="D1298" s="39" t="n">
        <v>1</v>
      </c>
      <c r="E1298" s="41" t="n">
        <v>8.35</v>
      </c>
      <c r="F1298" s="39" t="s">
        <v>115</v>
      </c>
      <c r="G1298" s="39" t="str">
        <f aca="false">UPPER(TRIM(C1298))</f>
        <v>P011</v>
      </c>
      <c r="H1298" s="39" t="str">
        <f aca="false">IF(ISNUMBER(MATCH(G1298,Products!$A$5:$A$24,0)),"OK","Mismatch")</f>
        <v>OK</v>
      </c>
      <c r="I1298" s="39" t="str">
        <f aca="false">IF(COUNTIF($A$5:A1298,A1298)&gt;1,"Duplicate","Unique")</f>
        <v>Unique</v>
      </c>
      <c r="J1298" s="39" t="str">
        <f aca="false">IF(I1298="Duplicate","Remove",IF(H1298="Mismatch","Exclude","Keep"))</f>
        <v>Keep</v>
      </c>
    </row>
    <row r="1299" customFormat="false" ht="15" hidden="false" customHeight="false" outlineLevel="0" collapsed="false">
      <c r="A1299" s="39" t="s">
        <v>1393</v>
      </c>
      <c r="B1299" s="40" t="n">
        <v>45840</v>
      </c>
      <c r="C1299" s="39" t="s">
        <v>112</v>
      </c>
      <c r="D1299" s="39" t="n">
        <v>3</v>
      </c>
      <c r="E1299" s="41" t="n">
        <v>51.86</v>
      </c>
      <c r="F1299" s="39" t="s">
        <v>115</v>
      </c>
      <c r="G1299" s="39" t="str">
        <f aca="false">UPPER(TRIM(C1299))</f>
        <v>P005</v>
      </c>
      <c r="H1299" s="39" t="str">
        <f aca="false">IF(ISNUMBER(MATCH(G1299,Products!$A$5:$A$24,0)),"OK","Mismatch")</f>
        <v>OK</v>
      </c>
      <c r="I1299" s="39" t="str">
        <f aca="false">IF(COUNTIF($A$5:A1299,A1299)&gt;1,"Duplicate","Unique")</f>
        <v>Unique</v>
      </c>
      <c r="J1299" s="39" t="str">
        <f aca="false">IF(I1299="Duplicate","Remove",IF(H1299="Mismatch","Exclude","Keep"))</f>
        <v>Keep</v>
      </c>
    </row>
    <row r="1300" customFormat="false" ht="15" hidden="false" customHeight="false" outlineLevel="0" collapsed="false">
      <c r="A1300" s="39" t="s">
        <v>1394</v>
      </c>
      <c r="B1300" s="40" t="n">
        <v>45840</v>
      </c>
      <c r="C1300" s="39" t="s">
        <v>136</v>
      </c>
      <c r="D1300" s="39" t="n">
        <v>8</v>
      </c>
      <c r="E1300" s="41" t="n">
        <v>75.08</v>
      </c>
      <c r="F1300" s="39" t="s">
        <v>105</v>
      </c>
      <c r="G1300" s="39" t="str">
        <f aca="false">UPPER(TRIM(C1300))</f>
        <v>P002</v>
      </c>
      <c r="H1300" s="39" t="str">
        <f aca="false">IF(ISNUMBER(MATCH(G1300,Products!$A$5:$A$24,0)),"OK","Mismatch")</f>
        <v>OK</v>
      </c>
      <c r="I1300" s="39" t="str">
        <f aca="false">IF(COUNTIF($A$5:A1300,A1300)&gt;1,"Duplicate","Unique")</f>
        <v>Unique</v>
      </c>
      <c r="J1300" s="39" t="str">
        <f aca="false">IF(I1300="Duplicate","Remove",IF(H1300="Mismatch","Exclude","Keep"))</f>
        <v>Keep</v>
      </c>
    </row>
    <row r="1301" customFormat="false" ht="15" hidden="false" customHeight="false" outlineLevel="0" collapsed="false">
      <c r="A1301" s="39" t="s">
        <v>1395</v>
      </c>
      <c r="B1301" s="40" t="n">
        <v>45840</v>
      </c>
      <c r="C1301" s="39" t="s">
        <v>169</v>
      </c>
      <c r="D1301" s="39" t="n">
        <v>1</v>
      </c>
      <c r="E1301" s="41" t="n">
        <v>28.43</v>
      </c>
      <c r="F1301" s="39" t="s">
        <v>108</v>
      </c>
      <c r="G1301" s="39" t="str">
        <f aca="false">UPPER(TRIM(C1301))</f>
        <v>P004</v>
      </c>
      <c r="H1301" s="39" t="str">
        <f aca="false">IF(ISNUMBER(MATCH(G1301,Products!$A$5:$A$24,0)),"OK","Mismatch")</f>
        <v>OK</v>
      </c>
      <c r="I1301" s="39" t="str">
        <f aca="false">IF(COUNTIF($A$5:A1301,A1301)&gt;1,"Duplicate","Unique")</f>
        <v>Unique</v>
      </c>
      <c r="J1301" s="39" t="str">
        <f aca="false">IF(I1301="Duplicate","Remove",IF(H1301="Mismatch","Exclude","Keep"))</f>
        <v>Keep</v>
      </c>
    </row>
    <row r="1302" customFormat="false" ht="15" hidden="false" customHeight="false" outlineLevel="0" collapsed="false">
      <c r="A1302" s="39" t="s">
        <v>1396</v>
      </c>
      <c r="B1302" s="40" t="n">
        <v>45840</v>
      </c>
      <c r="C1302" s="39" t="s">
        <v>177</v>
      </c>
      <c r="D1302" s="39" t="n">
        <v>2</v>
      </c>
      <c r="E1302" s="41" t="n">
        <v>42.43</v>
      </c>
      <c r="F1302" s="39" t="s">
        <v>105</v>
      </c>
      <c r="G1302" s="39" t="str">
        <f aca="false">UPPER(TRIM(C1302))</f>
        <v>P014</v>
      </c>
      <c r="H1302" s="39" t="str">
        <f aca="false">IF(ISNUMBER(MATCH(G1302,Products!$A$5:$A$24,0)),"OK","Mismatch")</f>
        <v>OK</v>
      </c>
      <c r="I1302" s="39" t="str">
        <f aca="false">IF(COUNTIF($A$5:A1302,A1302)&gt;1,"Duplicate","Unique")</f>
        <v>Unique</v>
      </c>
      <c r="J1302" s="39" t="str">
        <f aca="false">IF(I1302="Duplicate","Remove",IF(H1302="Mismatch","Exclude","Keep"))</f>
        <v>Keep</v>
      </c>
    </row>
    <row r="1303" customFormat="false" ht="15" hidden="false" customHeight="false" outlineLevel="0" collapsed="false">
      <c r="A1303" s="39" t="s">
        <v>1397</v>
      </c>
      <c r="B1303" s="40" t="n">
        <v>45840</v>
      </c>
      <c r="C1303" s="39" t="s">
        <v>153</v>
      </c>
      <c r="D1303" s="39" t="n">
        <v>4</v>
      </c>
      <c r="E1303" s="41" t="n">
        <v>173.34</v>
      </c>
      <c r="F1303" s="39" t="s">
        <v>105</v>
      </c>
      <c r="G1303" s="39" t="str">
        <f aca="false">UPPER(TRIM(C1303))</f>
        <v>P010</v>
      </c>
      <c r="H1303" s="39" t="str">
        <f aca="false">IF(ISNUMBER(MATCH(G1303,Products!$A$5:$A$24,0)),"OK","Mismatch")</f>
        <v>OK</v>
      </c>
      <c r="I1303" s="39" t="str">
        <f aca="false">IF(COUNTIF($A$5:A1303,A1303)&gt;1,"Duplicate","Unique")</f>
        <v>Unique</v>
      </c>
      <c r="J1303" s="39" t="str">
        <f aca="false">IF(I1303="Duplicate","Remove",IF(H1303="Mismatch","Exclude","Keep"))</f>
        <v>Keep</v>
      </c>
    </row>
    <row r="1304" customFormat="false" ht="15" hidden="false" customHeight="false" outlineLevel="0" collapsed="false">
      <c r="A1304" s="39" t="s">
        <v>1398</v>
      </c>
      <c r="B1304" s="40" t="n">
        <v>45841</v>
      </c>
      <c r="C1304" s="39" t="s">
        <v>183</v>
      </c>
      <c r="D1304" s="39" t="n">
        <v>5</v>
      </c>
      <c r="E1304" s="41" t="n">
        <v>188.5</v>
      </c>
      <c r="F1304" s="39" t="s">
        <v>105</v>
      </c>
      <c r="G1304" s="39" t="str">
        <f aca="false">UPPER(TRIM(C1304))</f>
        <v>P007</v>
      </c>
      <c r="H1304" s="39" t="str">
        <f aca="false">IF(ISNUMBER(MATCH(G1304,Products!$A$5:$A$24,0)),"OK","Mismatch")</f>
        <v>OK</v>
      </c>
      <c r="I1304" s="39" t="str">
        <f aca="false">IF(COUNTIF($A$5:A1304,A1304)&gt;1,"Duplicate","Unique")</f>
        <v>Unique</v>
      </c>
      <c r="J1304" s="39" t="str">
        <f aca="false">IF(I1304="Duplicate","Remove",IF(H1304="Mismatch","Exclude","Keep"))</f>
        <v>Keep</v>
      </c>
    </row>
    <row r="1305" customFormat="false" ht="15" hidden="false" customHeight="false" outlineLevel="0" collapsed="false">
      <c r="A1305" s="39" t="s">
        <v>1399</v>
      </c>
      <c r="B1305" s="40" t="n">
        <v>45841</v>
      </c>
      <c r="C1305" s="39" t="s">
        <v>144</v>
      </c>
      <c r="D1305" s="39" t="n">
        <v>1</v>
      </c>
      <c r="E1305" s="41" t="n">
        <v>56.71</v>
      </c>
      <c r="F1305" s="39" t="s">
        <v>105</v>
      </c>
      <c r="G1305" s="39" t="str">
        <f aca="false">UPPER(TRIM(C1305))</f>
        <v>P013</v>
      </c>
      <c r="H1305" s="39" t="str">
        <f aca="false">IF(ISNUMBER(MATCH(G1305,Products!$A$5:$A$24,0)),"OK","Mismatch")</f>
        <v>OK</v>
      </c>
      <c r="I1305" s="39" t="str">
        <f aca="false">IF(COUNTIF($A$5:A1305,A1305)&gt;1,"Duplicate","Unique")</f>
        <v>Unique</v>
      </c>
      <c r="J1305" s="39" t="str">
        <f aca="false">IF(I1305="Duplicate","Remove",IF(H1305="Mismatch","Exclude","Keep"))</f>
        <v>Keep</v>
      </c>
    </row>
    <row r="1306" customFormat="false" ht="15" hidden="false" customHeight="false" outlineLevel="0" collapsed="false">
      <c r="A1306" s="39" t="s">
        <v>1400</v>
      </c>
      <c r="B1306" s="40" t="n">
        <v>45841</v>
      </c>
      <c r="C1306" s="39" t="s">
        <v>104</v>
      </c>
      <c r="D1306" s="39" t="n">
        <v>1</v>
      </c>
      <c r="E1306" s="41" t="n">
        <v>14.87</v>
      </c>
      <c r="F1306" s="39" t="s">
        <v>108</v>
      </c>
      <c r="G1306" s="39" t="str">
        <f aca="false">UPPER(TRIM(C1306))</f>
        <v>P015</v>
      </c>
      <c r="H1306" s="39" t="str">
        <f aca="false">IF(ISNUMBER(MATCH(G1306,Products!$A$5:$A$24,0)),"OK","Mismatch")</f>
        <v>OK</v>
      </c>
      <c r="I1306" s="39" t="str">
        <f aca="false">IF(COUNTIF($A$5:A1306,A1306)&gt;1,"Duplicate","Unique")</f>
        <v>Unique</v>
      </c>
      <c r="J1306" s="39" t="str">
        <f aca="false">IF(I1306="Duplicate","Remove",IF(H1306="Mismatch","Exclude","Keep"))</f>
        <v>Keep</v>
      </c>
    </row>
    <row r="1307" customFormat="false" ht="15" hidden="false" customHeight="false" outlineLevel="0" collapsed="false">
      <c r="A1307" s="39" t="s">
        <v>1401</v>
      </c>
      <c r="B1307" s="40" t="n">
        <v>45842</v>
      </c>
      <c r="C1307" s="39" t="s">
        <v>107</v>
      </c>
      <c r="D1307" s="39" t="n">
        <v>3</v>
      </c>
      <c r="E1307" s="41" t="n">
        <v>34.66</v>
      </c>
      <c r="F1307" s="39" t="s">
        <v>105</v>
      </c>
      <c r="G1307" s="39" t="str">
        <f aca="false">UPPER(TRIM(C1307))</f>
        <v>P003</v>
      </c>
      <c r="H1307" s="39" t="str">
        <f aca="false">IF(ISNUMBER(MATCH(G1307,Products!$A$5:$A$24,0)),"OK","Mismatch")</f>
        <v>OK</v>
      </c>
      <c r="I1307" s="39" t="str">
        <f aca="false">IF(COUNTIF($A$5:A1307,A1307)&gt;1,"Duplicate","Unique")</f>
        <v>Unique</v>
      </c>
      <c r="J1307" s="39" t="str">
        <f aca="false">IF(I1307="Duplicate","Remove",IF(H1307="Mismatch","Exclude","Keep"))</f>
        <v>Keep</v>
      </c>
    </row>
    <row r="1308" customFormat="false" ht="15" hidden="false" customHeight="false" outlineLevel="0" collapsed="false">
      <c r="A1308" s="39" t="s">
        <v>1402</v>
      </c>
      <c r="B1308" s="40" t="n">
        <v>45842</v>
      </c>
      <c r="C1308" s="39" t="s">
        <v>128</v>
      </c>
      <c r="D1308" s="39" t="n">
        <v>2</v>
      </c>
      <c r="E1308" s="41" t="n">
        <v>37</v>
      </c>
      <c r="F1308" s="39" t="s">
        <v>108</v>
      </c>
      <c r="G1308" s="39" t="str">
        <f aca="false">UPPER(TRIM(C1308))</f>
        <v>P020</v>
      </c>
      <c r="H1308" s="39" t="str">
        <f aca="false">IF(ISNUMBER(MATCH(G1308,Products!$A$5:$A$24,0)),"OK","Mismatch")</f>
        <v>OK</v>
      </c>
      <c r="I1308" s="39" t="str">
        <f aca="false">IF(COUNTIF($A$5:A1308,A1308)&gt;1,"Duplicate","Unique")</f>
        <v>Unique</v>
      </c>
      <c r="J1308" s="39" t="str">
        <f aca="false">IF(I1308="Duplicate","Remove",IF(H1308="Mismatch","Exclude","Keep"))</f>
        <v>Keep</v>
      </c>
    </row>
    <row r="1309" customFormat="false" ht="15" hidden="false" customHeight="false" outlineLevel="0" collapsed="false">
      <c r="A1309" s="39" t="s">
        <v>1403</v>
      </c>
      <c r="B1309" s="40" t="n">
        <v>45842</v>
      </c>
      <c r="C1309" s="39" t="s">
        <v>133</v>
      </c>
      <c r="D1309" s="39" t="n">
        <v>5</v>
      </c>
      <c r="E1309" s="41" t="n">
        <v>8.86</v>
      </c>
      <c r="F1309" s="39" t="s">
        <v>105</v>
      </c>
      <c r="G1309" s="39" t="str">
        <f aca="false">UPPER(TRIM(C1309))</f>
        <v>P019</v>
      </c>
      <c r="H1309" s="39" t="str">
        <f aca="false">IF(ISNUMBER(MATCH(G1309,Products!$A$5:$A$24,0)),"OK","Mismatch")</f>
        <v>OK</v>
      </c>
      <c r="I1309" s="39" t="str">
        <f aca="false">IF(COUNTIF($A$5:A1309,A1309)&gt;1,"Duplicate","Unique")</f>
        <v>Unique</v>
      </c>
      <c r="J1309" s="39" t="str">
        <f aca="false">IF(I1309="Duplicate","Remove",IF(H1309="Mismatch","Exclude","Keep"))</f>
        <v>Keep</v>
      </c>
    </row>
    <row r="1310" customFormat="false" ht="15" hidden="false" customHeight="false" outlineLevel="0" collapsed="false">
      <c r="A1310" s="39" t="s">
        <v>1404</v>
      </c>
      <c r="B1310" s="40" t="n">
        <v>45842</v>
      </c>
      <c r="C1310" s="39" t="s">
        <v>136</v>
      </c>
      <c r="D1310" s="39" t="n">
        <v>3</v>
      </c>
      <c r="E1310" s="41" t="n">
        <v>75.76</v>
      </c>
      <c r="F1310" s="39" t="s">
        <v>105</v>
      </c>
      <c r="G1310" s="39" t="str">
        <f aca="false">UPPER(TRIM(C1310))</f>
        <v>P002</v>
      </c>
      <c r="H1310" s="39" t="str">
        <f aca="false">IF(ISNUMBER(MATCH(G1310,Products!$A$5:$A$24,0)),"OK","Mismatch")</f>
        <v>OK</v>
      </c>
      <c r="I1310" s="39" t="str">
        <f aca="false">IF(COUNTIF($A$5:A1310,A1310)&gt;1,"Duplicate","Unique")</f>
        <v>Unique</v>
      </c>
      <c r="J1310" s="39" t="str">
        <f aca="false">IF(I1310="Duplicate","Remove",IF(H1310="Mismatch","Exclude","Keep"))</f>
        <v>Keep</v>
      </c>
    </row>
    <row r="1311" customFormat="false" ht="15" hidden="false" customHeight="false" outlineLevel="0" collapsed="false">
      <c r="A1311" s="39" t="s">
        <v>1405</v>
      </c>
      <c r="B1311" s="40" t="n">
        <v>45842</v>
      </c>
      <c r="C1311" s="39" t="s">
        <v>139</v>
      </c>
      <c r="D1311" s="39" t="n">
        <v>3</v>
      </c>
      <c r="E1311" s="41" t="n">
        <v>121.45</v>
      </c>
      <c r="F1311" s="39" t="s">
        <v>105</v>
      </c>
      <c r="G1311" s="39" t="str">
        <f aca="false">UPPER(TRIM(C1311))</f>
        <v>P006</v>
      </c>
      <c r="H1311" s="39" t="str">
        <f aca="false">IF(ISNUMBER(MATCH(G1311,Products!$A$5:$A$24,0)),"OK","Mismatch")</f>
        <v>OK</v>
      </c>
      <c r="I1311" s="39" t="str">
        <f aca="false">IF(COUNTIF($A$5:A1311,A1311)&gt;1,"Duplicate","Unique")</f>
        <v>Unique</v>
      </c>
      <c r="J1311" s="39" t="str">
        <f aca="false">IF(I1311="Duplicate","Remove",IF(H1311="Mismatch","Exclude","Keep"))</f>
        <v>Keep</v>
      </c>
    </row>
    <row r="1312" customFormat="false" ht="15" hidden="false" customHeight="false" outlineLevel="0" collapsed="false">
      <c r="A1312" s="39" t="s">
        <v>1406</v>
      </c>
      <c r="B1312" s="40" t="n">
        <v>45842</v>
      </c>
      <c r="C1312" s="39" t="s">
        <v>104</v>
      </c>
      <c r="D1312" s="39" t="n">
        <v>1</v>
      </c>
      <c r="E1312" s="41" t="n">
        <v>15.25</v>
      </c>
      <c r="F1312" s="39" t="s">
        <v>115</v>
      </c>
      <c r="G1312" s="39" t="str">
        <f aca="false">UPPER(TRIM(C1312))</f>
        <v>P015</v>
      </c>
      <c r="H1312" s="39" t="str">
        <f aca="false">IF(ISNUMBER(MATCH(G1312,Products!$A$5:$A$24,0)),"OK","Mismatch")</f>
        <v>OK</v>
      </c>
      <c r="I1312" s="39" t="str">
        <f aca="false">IF(COUNTIF($A$5:A1312,A1312)&gt;1,"Duplicate","Unique")</f>
        <v>Unique</v>
      </c>
      <c r="J1312" s="39" t="str">
        <f aca="false">IF(I1312="Duplicate","Remove",IF(H1312="Mismatch","Exclude","Keep"))</f>
        <v>Keep</v>
      </c>
    </row>
    <row r="1313" customFormat="false" ht="15" hidden="false" customHeight="false" outlineLevel="0" collapsed="false">
      <c r="A1313" s="39" t="s">
        <v>1407</v>
      </c>
      <c r="B1313" s="40" t="n">
        <v>45842</v>
      </c>
      <c r="C1313" s="39" t="s">
        <v>114</v>
      </c>
      <c r="D1313" s="39" t="n">
        <v>3</v>
      </c>
      <c r="E1313" s="41" t="n">
        <v>5.84</v>
      </c>
      <c r="F1313" s="39" t="s">
        <v>115</v>
      </c>
      <c r="G1313" s="39" t="str">
        <f aca="false">UPPER(TRIM(C1313))</f>
        <v>P012</v>
      </c>
      <c r="H1313" s="39" t="str">
        <f aca="false">IF(ISNUMBER(MATCH(G1313,Products!$A$5:$A$24,0)),"OK","Mismatch")</f>
        <v>OK</v>
      </c>
      <c r="I1313" s="39" t="str">
        <f aca="false">IF(COUNTIF($A$5:A1313,A1313)&gt;1,"Duplicate","Unique")</f>
        <v>Unique</v>
      </c>
      <c r="J1313" s="39" t="str">
        <f aca="false">IF(I1313="Duplicate","Remove",IF(H1313="Mismatch","Exclude","Keep"))</f>
        <v>Keep</v>
      </c>
    </row>
    <row r="1314" customFormat="false" ht="15" hidden="false" customHeight="false" outlineLevel="0" collapsed="false">
      <c r="A1314" s="39" t="s">
        <v>1408</v>
      </c>
      <c r="B1314" s="40" t="n">
        <v>45842</v>
      </c>
      <c r="C1314" s="39" t="s">
        <v>117</v>
      </c>
      <c r="D1314" s="39" t="n">
        <v>2</v>
      </c>
      <c r="E1314" s="41" t="n">
        <v>31.66</v>
      </c>
      <c r="F1314" s="39" t="s">
        <v>108</v>
      </c>
      <c r="G1314" s="39" t="str">
        <f aca="false">UPPER(TRIM(C1314))</f>
        <v>P009</v>
      </c>
      <c r="H1314" s="39" t="str">
        <f aca="false">IF(ISNUMBER(MATCH(G1314,Products!$A$5:$A$24,0)),"OK","Mismatch")</f>
        <v>OK</v>
      </c>
      <c r="I1314" s="39" t="str">
        <f aca="false">IF(COUNTIF($A$5:A1314,A1314)&gt;1,"Duplicate","Unique")</f>
        <v>Unique</v>
      </c>
      <c r="J1314" s="39" t="str">
        <f aca="false">IF(I1314="Duplicate","Remove",IF(H1314="Mismatch","Exclude","Keep"))</f>
        <v>Keep</v>
      </c>
    </row>
    <row r="1315" customFormat="false" ht="15" hidden="false" customHeight="false" outlineLevel="0" collapsed="false">
      <c r="A1315" s="39" t="s">
        <v>1409</v>
      </c>
      <c r="B1315" s="40" t="n">
        <v>45842</v>
      </c>
      <c r="C1315" s="39" t="s">
        <v>126</v>
      </c>
      <c r="D1315" s="39" t="n">
        <v>3</v>
      </c>
      <c r="E1315" s="41" t="n">
        <v>24.68</v>
      </c>
      <c r="F1315" s="39" t="s">
        <v>118</v>
      </c>
      <c r="G1315" s="39" t="str">
        <f aca="false">UPPER(TRIM(C1315))</f>
        <v>P001</v>
      </c>
      <c r="H1315" s="39" t="str">
        <f aca="false">IF(ISNUMBER(MATCH(G1315,Products!$A$5:$A$24,0)),"OK","Mismatch")</f>
        <v>OK</v>
      </c>
      <c r="I1315" s="39" t="str">
        <f aca="false">IF(COUNTIF($A$5:A1315,A1315)&gt;1,"Duplicate","Unique")</f>
        <v>Unique</v>
      </c>
      <c r="J1315" s="39" t="str">
        <f aca="false">IF(I1315="Duplicate","Remove",IF(H1315="Mismatch","Exclude","Keep"))</f>
        <v>Keep</v>
      </c>
    </row>
    <row r="1316" customFormat="false" ht="15" hidden="false" customHeight="false" outlineLevel="0" collapsed="false">
      <c r="A1316" s="39" t="s">
        <v>1410</v>
      </c>
      <c r="B1316" s="40" t="n">
        <v>45843</v>
      </c>
      <c r="C1316" s="39" t="s">
        <v>183</v>
      </c>
      <c r="D1316" s="39" t="n">
        <v>1</v>
      </c>
      <c r="E1316" s="41" t="n">
        <v>179.69</v>
      </c>
      <c r="F1316" s="39" t="s">
        <v>115</v>
      </c>
      <c r="G1316" s="39" t="str">
        <f aca="false">UPPER(TRIM(C1316))</f>
        <v>P007</v>
      </c>
      <c r="H1316" s="39" t="str">
        <f aca="false">IF(ISNUMBER(MATCH(G1316,Products!$A$5:$A$24,0)),"OK","Mismatch")</f>
        <v>OK</v>
      </c>
      <c r="I1316" s="39" t="str">
        <f aca="false">IF(COUNTIF($A$5:A1316,A1316)&gt;1,"Duplicate","Unique")</f>
        <v>Unique</v>
      </c>
      <c r="J1316" s="39" t="str">
        <f aca="false">IF(I1316="Duplicate","Remove",IF(H1316="Mismatch","Exclude","Keep"))</f>
        <v>Keep</v>
      </c>
    </row>
    <row r="1317" customFormat="false" ht="15" hidden="false" customHeight="false" outlineLevel="0" collapsed="false">
      <c r="A1317" s="39" t="s">
        <v>1411</v>
      </c>
      <c r="B1317" s="40" t="n">
        <v>45843</v>
      </c>
      <c r="C1317" s="39" t="s">
        <v>112</v>
      </c>
      <c r="D1317" s="39" t="n">
        <v>2</v>
      </c>
      <c r="E1317" s="41" t="n">
        <v>54.7</v>
      </c>
      <c r="F1317" s="39" t="s">
        <v>115</v>
      </c>
      <c r="G1317" s="39" t="str">
        <f aca="false">UPPER(TRIM(C1317))</f>
        <v>P005</v>
      </c>
      <c r="H1317" s="39" t="str">
        <f aca="false">IF(ISNUMBER(MATCH(G1317,Products!$A$5:$A$24,0)),"OK","Mismatch")</f>
        <v>OK</v>
      </c>
      <c r="I1317" s="39" t="str">
        <f aca="false">IF(COUNTIF($A$5:A1317,A1317)&gt;1,"Duplicate","Unique")</f>
        <v>Unique</v>
      </c>
      <c r="J1317" s="39" t="str">
        <f aca="false">IF(I1317="Duplicate","Remove",IF(H1317="Mismatch","Exclude","Keep"))</f>
        <v>Keep</v>
      </c>
    </row>
    <row r="1318" customFormat="false" ht="15" hidden="false" customHeight="false" outlineLevel="0" collapsed="false">
      <c r="A1318" s="39" t="s">
        <v>1412</v>
      </c>
      <c r="B1318" s="40" t="n">
        <v>45843</v>
      </c>
      <c r="C1318" s="39" t="s">
        <v>162</v>
      </c>
      <c r="D1318" s="39" t="n">
        <v>1</v>
      </c>
      <c r="E1318" s="41" t="n">
        <v>65.76</v>
      </c>
      <c r="F1318" s="39" t="s">
        <v>115</v>
      </c>
      <c r="G1318" s="39" t="str">
        <f aca="false">UPPER(TRIM(C1318))</f>
        <v>P017</v>
      </c>
      <c r="H1318" s="39" t="str">
        <f aca="false">IF(ISNUMBER(MATCH(G1318,Products!$A$5:$A$24,0)),"OK","Mismatch")</f>
        <v>OK</v>
      </c>
      <c r="I1318" s="39" t="str">
        <f aca="false">IF(COUNTIF($A$5:A1318,A1318)&gt;1,"Duplicate","Unique")</f>
        <v>Unique</v>
      </c>
      <c r="J1318" s="39" t="str">
        <f aca="false">IF(I1318="Duplicate","Remove",IF(H1318="Mismatch","Exclude","Keep"))</f>
        <v>Keep</v>
      </c>
    </row>
    <row r="1319" customFormat="false" ht="15" hidden="false" customHeight="false" outlineLevel="0" collapsed="false">
      <c r="A1319" s="39" t="s">
        <v>1413</v>
      </c>
      <c r="B1319" s="40" t="n">
        <v>45843</v>
      </c>
      <c r="C1319" s="39" t="s">
        <v>153</v>
      </c>
      <c r="D1319" s="39" t="n">
        <v>3</v>
      </c>
      <c r="E1319" s="41" t="n">
        <v>176.27</v>
      </c>
      <c r="F1319" s="39" t="s">
        <v>108</v>
      </c>
      <c r="G1319" s="39" t="str">
        <f aca="false">UPPER(TRIM(C1319))</f>
        <v>P010</v>
      </c>
      <c r="H1319" s="39" t="str">
        <f aca="false">IF(ISNUMBER(MATCH(G1319,Products!$A$5:$A$24,0)),"OK","Mismatch")</f>
        <v>OK</v>
      </c>
      <c r="I1319" s="39" t="str">
        <f aca="false">IF(COUNTIF($A$5:A1319,A1319)&gt;1,"Duplicate","Unique")</f>
        <v>Unique</v>
      </c>
      <c r="J1319" s="39" t="str">
        <f aca="false">IF(I1319="Duplicate","Remove",IF(H1319="Mismatch","Exclude","Keep"))</f>
        <v>Keep</v>
      </c>
    </row>
    <row r="1320" customFormat="false" ht="15" hidden="false" customHeight="false" outlineLevel="0" collapsed="false">
      <c r="A1320" s="39" t="s">
        <v>1414</v>
      </c>
      <c r="B1320" s="40" t="n">
        <v>45843</v>
      </c>
      <c r="C1320" s="39" t="s">
        <v>162</v>
      </c>
      <c r="D1320" s="39" t="n">
        <v>1</v>
      </c>
      <c r="E1320" s="41" t="n">
        <v>65.8</v>
      </c>
      <c r="F1320" s="39" t="s">
        <v>105</v>
      </c>
      <c r="G1320" s="39" t="str">
        <f aca="false">UPPER(TRIM(C1320))</f>
        <v>P017</v>
      </c>
      <c r="H1320" s="39" t="str">
        <f aca="false">IF(ISNUMBER(MATCH(G1320,Products!$A$5:$A$24,0)),"OK","Mismatch")</f>
        <v>OK</v>
      </c>
      <c r="I1320" s="39" t="str">
        <f aca="false">IF(COUNTIF($A$5:A1320,A1320)&gt;1,"Duplicate","Unique")</f>
        <v>Unique</v>
      </c>
      <c r="J1320" s="39" t="str">
        <f aca="false">IF(I1320="Duplicate","Remove",IF(H1320="Mismatch","Exclude","Keep"))</f>
        <v>Keep</v>
      </c>
    </row>
    <row r="1321" customFormat="false" ht="15" hidden="false" customHeight="false" outlineLevel="0" collapsed="false">
      <c r="A1321" s="39" t="s">
        <v>1415</v>
      </c>
      <c r="B1321" s="40" t="n">
        <v>45843</v>
      </c>
      <c r="C1321" s="39" t="s">
        <v>104</v>
      </c>
      <c r="D1321" s="39" t="n">
        <v>1</v>
      </c>
      <c r="E1321" s="41" t="n">
        <v>15.09</v>
      </c>
      <c r="F1321" s="39" t="s">
        <v>108</v>
      </c>
      <c r="G1321" s="39" t="str">
        <f aca="false">UPPER(TRIM(C1321))</f>
        <v>P015</v>
      </c>
      <c r="H1321" s="39" t="str">
        <f aca="false">IF(ISNUMBER(MATCH(G1321,Products!$A$5:$A$24,0)),"OK","Mismatch")</f>
        <v>OK</v>
      </c>
      <c r="I1321" s="39" t="str">
        <f aca="false">IF(COUNTIF($A$5:A1321,A1321)&gt;1,"Duplicate","Unique")</f>
        <v>Unique</v>
      </c>
      <c r="J1321" s="39" t="str">
        <f aca="false">IF(I1321="Duplicate","Remove",IF(H1321="Mismatch","Exclude","Keep"))</f>
        <v>Keep</v>
      </c>
    </row>
    <row r="1322" customFormat="false" ht="15" hidden="false" customHeight="false" outlineLevel="0" collapsed="false">
      <c r="A1322" s="39" t="s">
        <v>1416</v>
      </c>
      <c r="B1322" s="40" t="n">
        <v>45843</v>
      </c>
      <c r="C1322" s="39" t="s">
        <v>126</v>
      </c>
      <c r="D1322" s="39" t="n">
        <v>2</v>
      </c>
      <c r="E1322" s="41" t="n">
        <v>23.76</v>
      </c>
      <c r="F1322" s="39" t="s">
        <v>105</v>
      </c>
      <c r="G1322" s="39" t="str">
        <f aca="false">UPPER(TRIM(C1322))</f>
        <v>P001</v>
      </c>
      <c r="H1322" s="39" t="str">
        <f aca="false">IF(ISNUMBER(MATCH(G1322,Products!$A$5:$A$24,0)),"OK","Mismatch")</f>
        <v>OK</v>
      </c>
      <c r="I1322" s="39" t="str">
        <f aca="false">IF(COUNTIF($A$5:A1322,A1322)&gt;1,"Duplicate","Unique")</f>
        <v>Unique</v>
      </c>
      <c r="J1322" s="39" t="str">
        <f aca="false">IF(I1322="Duplicate","Remove",IF(H1322="Mismatch","Exclude","Keep"))</f>
        <v>Keep</v>
      </c>
    </row>
    <row r="1323" customFormat="false" ht="15" hidden="false" customHeight="false" outlineLevel="0" collapsed="false">
      <c r="A1323" s="39" t="s">
        <v>1417</v>
      </c>
      <c r="B1323" s="40" t="n">
        <v>45843</v>
      </c>
      <c r="C1323" s="39" t="s">
        <v>107</v>
      </c>
      <c r="D1323" s="39" t="n">
        <v>1</v>
      </c>
      <c r="E1323" s="41" t="n">
        <v>32.45</v>
      </c>
      <c r="F1323" s="39" t="s">
        <v>108</v>
      </c>
      <c r="G1323" s="39" t="str">
        <f aca="false">UPPER(TRIM(C1323))</f>
        <v>P003</v>
      </c>
      <c r="H1323" s="39" t="str">
        <f aca="false">IF(ISNUMBER(MATCH(G1323,Products!$A$5:$A$24,0)),"OK","Mismatch")</f>
        <v>OK</v>
      </c>
      <c r="I1323" s="39" t="str">
        <f aca="false">IF(COUNTIF($A$5:A1323,A1323)&gt;1,"Duplicate","Unique")</f>
        <v>Unique</v>
      </c>
      <c r="J1323" s="39" t="str">
        <f aca="false">IF(I1323="Duplicate","Remove",IF(H1323="Mismatch","Exclude","Keep"))</f>
        <v>Keep</v>
      </c>
    </row>
    <row r="1324" customFormat="false" ht="15" hidden="false" customHeight="false" outlineLevel="0" collapsed="false">
      <c r="A1324" s="39" t="s">
        <v>1418</v>
      </c>
      <c r="B1324" s="40" t="n">
        <v>45844</v>
      </c>
      <c r="C1324" s="39" t="s">
        <v>133</v>
      </c>
      <c r="D1324" s="39" t="n">
        <v>2</v>
      </c>
      <c r="E1324" s="41" t="n">
        <v>8.89</v>
      </c>
      <c r="F1324" s="39" t="s">
        <v>105</v>
      </c>
      <c r="G1324" s="39" t="str">
        <f aca="false">UPPER(TRIM(C1324))</f>
        <v>P019</v>
      </c>
      <c r="H1324" s="39" t="str">
        <f aca="false">IF(ISNUMBER(MATCH(G1324,Products!$A$5:$A$24,0)),"OK","Mismatch")</f>
        <v>OK</v>
      </c>
      <c r="I1324" s="39" t="str">
        <f aca="false">IF(COUNTIF($A$5:A1324,A1324)&gt;1,"Duplicate","Unique")</f>
        <v>Unique</v>
      </c>
      <c r="J1324" s="39" t="str">
        <f aca="false">IF(I1324="Duplicate","Remove",IF(H1324="Mismatch","Exclude","Keep"))</f>
        <v>Keep</v>
      </c>
    </row>
    <row r="1325" customFormat="false" ht="15" hidden="false" customHeight="false" outlineLevel="0" collapsed="false">
      <c r="A1325" s="39" t="s">
        <v>1419</v>
      </c>
      <c r="B1325" s="40" t="n">
        <v>45844</v>
      </c>
      <c r="C1325" s="39" t="s">
        <v>136</v>
      </c>
      <c r="D1325" s="39" t="n">
        <v>2</v>
      </c>
      <c r="E1325" s="41" t="n">
        <v>73.26</v>
      </c>
      <c r="F1325" s="39" t="s">
        <v>118</v>
      </c>
      <c r="G1325" s="39" t="str">
        <f aca="false">UPPER(TRIM(C1325))</f>
        <v>P002</v>
      </c>
      <c r="H1325" s="39" t="str">
        <f aca="false">IF(ISNUMBER(MATCH(G1325,Products!$A$5:$A$24,0)),"OK","Mismatch")</f>
        <v>OK</v>
      </c>
      <c r="I1325" s="39" t="str">
        <f aca="false">IF(COUNTIF($A$5:A1325,A1325)&gt;1,"Duplicate","Unique")</f>
        <v>Unique</v>
      </c>
      <c r="J1325" s="39" t="str">
        <f aca="false">IF(I1325="Duplicate","Remove",IF(H1325="Mismatch","Exclude","Keep"))</f>
        <v>Keep</v>
      </c>
    </row>
    <row r="1326" customFormat="false" ht="15" hidden="false" customHeight="false" outlineLevel="0" collapsed="false">
      <c r="A1326" s="39" t="s">
        <v>1420</v>
      </c>
      <c r="B1326" s="40" t="n">
        <v>45844</v>
      </c>
      <c r="C1326" s="39" t="s">
        <v>110</v>
      </c>
      <c r="D1326" s="39" t="n">
        <v>1</v>
      </c>
      <c r="E1326" s="41" t="n">
        <v>13.13</v>
      </c>
      <c r="F1326" s="39" t="s">
        <v>108</v>
      </c>
      <c r="G1326" s="39" t="str">
        <f aca="false">UPPER(TRIM(C1326))</f>
        <v>P016</v>
      </c>
      <c r="H1326" s="39" t="str">
        <f aca="false">IF(ISNUMBER(MATCH(G1326,Products!$A$5:$A$24,0)),"OK","Mismatch")</f>
        <v>OK</v>
      </c>
      <c r="I1326" s="39" t="str">
        <f aca="false">IF(COUNTIF($A$5:A1326,A1326)&gt;1,"Duplicate","Unique")</f>
        <v>Unique</v>
      </c>
      <c r="J1326" s="39" t="str">
        <f aca="false">IF(I1326="Duplicate","Remove",IF(H1326="Mismatch","Exclude","Keep"))</f>
        <v>Keep</v>
      </c>
    </row>
    <row r="1327" customFormat="false" ht="15" hidden="false" customHeight="false" outlineLevel="0" collapsed="false">
      <c r="A1327" s="39" t="s">
        <v>1421</v>
      </c>
      <c r="B1327" s="40" t="n">
        <v>45844</v>
      </c>
      <c r="C1327" s="39" t="s">
        <v>136</v>
      </c>
      <c r="D1327" s="39" t="n">
        <v>1</v>
      </c>
      <c r="E1327" s="41" t="n">
        <v>75.52</v>
      </c>
      <c r="F1327" s="39" t="s">
        <v>108</v>
      </c>
      <c r="G1327" s="39" t="str">
        <f aca="false">UPPER(TRIM(C1327))</f>
        <v>P002</v>
      </c>
      <c r="H1327" s="39" t="str">
        <f aca="false">IF(ISNUMBER(MATCH(G1327,Products!$A$5:$A$24,0)),"OK","Mismatch")</f>
        <v>OK</v>
      </c>
      <c r="I1327" s="39" t="str">
        <f aca="false">IF(COUNTIF($A$5:A1327,A1327)&gt;1,"Duplicate","Unique")</f>
        <v>Unique</v>
      </c>
      <c r="J1327" s="39" t="str">
        <f aca="false">IF(I1327="Duplicate","Remove",IF(H1327="Mismatch","Exclude","Keep"))</f>
        <v>Keep</v>
      </c>
    </row>
    <row r="1328" customFormat="false" ht="15" hidden="false" customHeight="false" outlineLevel="0" collapsed="false">
      <c r="A1328" s="39" t="s">
        <v>1422</v>
      </c>
      <c r="B1328" s="40" t="n">
        <v>45844</v>
      </c>
      <c r="C1328" s="39" t="s">
        <v>104</v>
      </c>
      <c r="D1328" s="39" t="n">
        <v>2</v>
      </c>
      <c r="E1328" s="41" t="n">
        <v>15.86</v>
      </c>
      <c r="F1328" s="39" t="s">
        <v>108</v>
      </c>
      <c r="G1328" s="39" t="str">
        <f aca="false">UPPER(TRIM(C1328))</f>
        <v>P015</v>
      </c>
      <c r="H1328" s="39" t="str">
        <f aca="false">IF(ISNUMBER(MATCH(G1328,Products!$A$5:$A$24,0)),"OK","Mismatch")</f>
        <v>OK</v>
      </c>
      <c r="I1328" s="39" t="str">
        <f aca="false">IF(COUNTIF($A$5:A1328,A1328)&gt;1,"Duplicate","Unique")</f>
        <v>Unique</v>
      </c>
      <c r="J1328" s="39" t="str">
        <f aca="false">IF(I1328="Duplicate","Remove",IF(H1328="Mismatch","Exclude","Keep"))</f>
        <v>Keep</v>
      </c>
    </row>
    <row r="1329" customFormat="false" ht="15" hidden="false" customHeight="false" outlineLevel="0" collapsed="false">
      <c r="A1329" s="39" t="s">
        <v>1423</v>
      </c>
      <c r="B1329" s="40" t="n">
        <v>45844</v>
      </c>
      <c r="C1329" s="39" t="s">
        <v>177</v>
      </c>
      <c r="D1329" s="39" t="n">
        <v>2</v>
      </c>
      <c r="E1329" s="41" t="n">
        <v>44.44</v>
      </c>
      <c r="F1329" s="39" t="s">
        <v>115</v>
      </c>
      <c r="G1329" s="39" t="str">
        <f aca="false">UPPER(TRIM(C1329))</f>
        <v>P014</v>
      </c>
      <c r="H1329" s="39" t="str">
        <f aca="false">IF(ISNUMBER(MATCH(G1329,Products!$A$5:$A$24,0)),"OK","Mismatch")</f>
        <v>OK</v>
      </c>
      <c r="I1329" s="39" t="str">
        <f aca="false">IF(COUNTIF($A$5:A1329,A1329)&gt;1,"Duplicate","Unique")</f>
        <v>Unique</v>
      </c>
      <c r="J1329" s="39" t="str">
        <f aca="false">IF(I1329="Duplicate","Remove",IF(H1329="Mismatch","Exclude","Keep"))</f>
        <v>Keep</v>
      </c>
    </row>
    <row r="1330" customFormat="false" ht="15" hidden="false" customHeight="false" outlineLevel="0" collapsed="false">
      <c r="A1330" s="39" t="s">
        <v>1424</v>
      </c>
      <c r="B1330" s="40" t="n">
        <v>45844</v>
      </c>
      <c r="C1330" s="39" t="s">
        <v>114</v>
      </c>
      <c r="D1330" s="39" t="n">
        <v>2</v>
      </c>
      <c r="E1330" s="41" t="n">
        <v>5.78</v>
      </c>
      <c r="F1330" s="39" t="s">
        <v>115</v>
      </c>
      <c r="G1330" s="39" t="str">
        <f aca="false">UPPER(TRIM(C1330))</f>
        <v>P012</v>
      </c>
      <c r="H1330" s="39" t="str">
        <f aca="false">IF(ISNUMBER(MATCH(G1330,Products!$A$5:$A$24,0)),"OK","Mismatch")</f>
        <v>OK</v>
      </c>
      <c r="I1330" s="39" t="str">
        <f aca="false">IF(COUNTIF($A$5:A1330,A1330)&gt;1,"Duplicate","Unique")</f>
        <v>Unique</v>
      </c>
      <c r="J1330" s="39" t="str">
        <f aca="false">IF(I1330="Duplicate","Remove",IF(H1330="Mismatch","Exclude","Keep"))</f>
        <v>Keep</v>
      </c>
    </row>
    <row r="1331" customFormat="false" ht="15" hidden="false" customHeight="false" outlineLevel="0" collapsed="false">
      <c r="A1331" s="39" t="s">
        <v>1425</v>
      </c>
      <c r="B1331" s="40" t="n">
        <v>45844</v>
      </c>
      <c r="C1331" s="39" t="s">
        <v>130</v>
      </c>
      <c r="D1331" s="39" t="n">
        <v>3</v>
      </c>
      <c r="E1331" s="41" t="n">
        <v>8.55</v>
      </c>
      <c r="F1331" s="39" t="s">
        <v>108</v>
      </c>
      <c r="G1331" s="39" t="str">
        <f aca="false">UPPER(TRIM(C1331))</f>
        <v>P011</v>
      </c>
      <c r="H1331" s="39" t="str">
        <f aca="false">IF(ISNUMBER(MATCH(G1331,Products!$A$5:$A$24,0)),"OK","Mismatch")</f>
        <v>OK</v>
      </c>
      <c r="I1331" s="39" t="str">
        <f aca="false">IF(COUNTIF($A$5:A1331,A1331)&gt;1,"Duplicate","Unique")</f>
        <v>Unique</v>
      </c>
      <c r="J1331" s="39" t="str">
        <f aca="false">IF(I1331="Duplicate","Remove",IF(H1331="Mismatch","Exclude","Keep"))</f>
        <v>Keep</v>
      </c>
    </row>
    <row r="1332" customFormat="false" ht="15" hidden="false" customHeight="false" outlineLevel="0" collapsed="false">
      <c r="A1332" s="39" t="s">
        <v>1426</v>
      </c>
      <c r="B1332" s="40" t="n">
        <v>45844</v>
      </c>
      <c r="C1332" s="39" t="s">
        <v>136</v>
      </c>
      <c r="D1332" s="39" t="n">
        <v>2</v>
      </c>
      <c r="E1332" s="41" t="n">
        <v>75.77</v>
      </c>
      <c r="F1332" s="39" t="s">
        <v>105</v>
      </c>
      <c r="G1332" s="39" t="str">
        <f aca="false">UPPER(TRIM(C1332))</f>
        <v>P002</v>
      </c>
      <c r="H1332" s="39" t="str">
        <f aca="false">IF(ISNUMBER(MATCH(G1332,Products!$A$5:$A$24,0)),"OK","Mismatch")</f>
        <v>OK</v>
      </c>
      <c r="I1332" s="39" t="str">
        <f aca="false">IF(COUNTIF($A$5:A1332,A1332)&gt;1,"Duplicate","Unique")</f>
        <v>Unique</v>
      </c>
      <c r="J1332" s="39" t="str">
        <f aca="false">IF(I1332="Duplicate","Remove",IF(H1332="Mismatch","Exclude","Keep"))</f>
        <v>Keep</v>
      </c>
    </row>
    <row r="1333" customFormat="false" ht="15" hidden="false" customHeight="false" outlineLevel="0" collapsed="false">
      <c r="A1333" s="39" t="s">
        <v>1427</v>
      </c>
      <c r="B1333" s="40" t="n">
        <v>45844</v>
      </c>
      <c r="C1333" s="39" t="s">
        <v>117</v>
      </c>
      <c r="D1333" s="39" t="n">
        <v>2</v>
      </c>
      <c r="E1333" s="41" t="n">
        <v>30.31</v>
      </c>
      <c r="F1333" s="39" t="s">
        <v>115</v>
      </c>
      <c r="G1333" s="39" t="str">
        <f aca="false">UPPER(TRIM(C1333))</f>
        <v>P009</v>
      </c>
      <c r="H1333" s="39" t="str">
        <f aca="false">IF(ISNUMBER(MATCH(G1333,Products!$A$5:$A$24,0)),"OK","Mismatch")</f>
        <v>OK</v>
      </c>
      <c r="I1333" s="39" t="str">
        <f aca="false">IF(COUNTIF($A$5:A1333,A1333)&gt;1,"Duplicate","Unique")</f>
        <v>Unique</v>
      </c>
      <c r="J1333" s="39" t="str">
        <f aca="false">IF(I1333="Duplicate","Remove",IF(H1333="Mismatch","Exclude","Keep"))</f>
        <v>Keep</v>
      </c>
    </row>
    <row r="1334" customFormat="false" ht="15" hidden="false" customHeight="false" outlineLevel="0" collapsed="false">
      <c r="A1334" s="39" t="s">
        <v>1428</v>
      </c>
      <c r="B1334" s="40" t="n">
        <v>45844</v>
      </c>
      <c r="C1334" s="39" t="s">
        <v>169</v>
      </c>
      <c r="D1334" s="39" t="n">
        <v>8</v>
      </c>
      <c r="E1334" s="41" t="n">
        <v>27.32</v>
      </c>
      <c r="F1334" s="39" t="s">
        <v>108</v>
      </c>
      <c r="G1334" s="39" t="str">
        <f aca="false">UPPER(TRIM(C1334))</f>
        <v>P004</v>
      </c>
      <c r="H1334" s="39" t="str">
        <f aca="false">IF(ISNUMBER(MATCH(G1334,Products!$A$5:$A$24,0)),"OK","Mismatch")</f>
        <v>OK</v>
      </c>
      <c r="I1334" s="39" t="str">
        <f aca="false">IF(COUNTIF($A$5:A1334,A1334)&gt;1,"Duplicate","Unique")</f>
        <v>Unique</v>
      </c>
      <c r="J1334" s="39" t="str">
        <f aca="false">IF(I1334="Duplicate","Remove",IF(H1334="Mismatch","Exclude","Keep"))</f>
        <v>Keep</v>
      </c>
    </row>
    <row r="1335" customFormat="false" ht="15" hidden="false" customHeight="false" outlineLevel="0" collapsed="false">
      <c r="A1335" s="39" t="s">
        <v>1429</v>
      </c>
      <c r="B1335" s="40" t="n">
        <v>45845</v>
      </c>
      <c r="C1335" s="39" t="s">
        <v>305</v>
      </c>
      <c r="D1335" s="39" t="n">
        <v>8</v>
      </c>
      <c r="E1335" s="41" t="n">
        <v>336.31</v>
      </c>
      <c r="F1335" s="39" t="s">
        <v>105</v>
      </c>
      <c r="G1335" s="39" t="str">
        <f aca="false">UPPER(TRIM(C1335))</f>
        <v>P008</v>
      </c>
      <c r="H1335" s="39" t="str">
        <f aca="false">IF(ISNUMBER(MATCH(G1335,Products!$A$5:$A$24,0)),"OK","Mismatch")</f>
        <v>OK</v>
      </c>
      <c r="I1335" s="39" t="str">
        <f aca="false">IF(COUNTIF($A$5:A1335,A1335)&gt;1,"Duplicate","Unique")</f>
        <v>Unique</v>
      </c>
      <c r="J1335" s="39" t="str">
        <f aca="false">IF(I1335="Duplicate","Remove",IF(H1335="Mismatch","Exclude","Keep"))</f>
        <v>Keep</v>
      </c>
    </row>
    <row r="1336" customFormat="false" ht="15" hidden="false" customHeight="false" outlineLevel="0" collapsed="false">
      <c r="A1336" s="39" t="s">
        <v>1430</v>
      </c>
      <c r="B1336" s="40" t="n">
        <v>45845</v>
      </c>
      <c r="C1336" s="39" t="s">
        <v>114</v>
      </c>
      <c r="D1336" s="39" t="n">
        <v>2</v>
      </c>
      <c r="E1336" s="41" t="n">
        <v>5.88</v>
      </c>
      <c r="F1336" s="39" t="s">
        <v>105</v>
      </c>
      <c r="G1336" s="39" t="str">
        <f aca="false">UPPER(TRIM(C1336))</f>
        <v>P012</v>
      </c>
      <c r="H1336" s="39" t="str">
        <f aca="false">IF(ISNUMBER(MATCH(G1336,Products!$A$5:$A$24,0)),"OK","Mismatch")</f>
        <v>OK</v>
      </c>
      <c r="I1336" s="39" t="str">
        <f aca="false">IF(COUNTIF($A$5:A1336,A1336)&gt;1,"Duplicate","Unique")</f>
        <v>Unique</v>
      </c>
      <c r="J1336" s="39" t="str">
        <f aca="false">IF(I1336="Duplicate","Remove",IF(H1336="Mismatch","Exclude","Keep"))</f>
        <v>Keep</v>
      </c>
    </row>
    <row r="1337" customFormat="false" ht="15" hidden="false" customHeight="false" outlineLevel="0" collapsed="false">
      <c r="A1337" s="39" t="s">
        <v>1431</v>
      </c>
      <c r="B1337" s="40" t="n">
        <v>45845</v>
      </c>
      <c r="C1337" s="39" t="s">
        <v>104</v>
      </c>
      <c r="D1337" s="39" t="n">
        <v>1</v>
      </c>
      <c r="E1337" s="41" t="n">
        <v>15.76</v>
      </c>
      <c r="F1337" s="39" t="s">
        <v>115</v>
      </c>
      <c r="G1337" s="39" t="str">
        <f aca="false">UPPER(TRIM(C1337))</f>
        <v>P015</v>
      </c>
      <c r="H1337" s="39" t="str">
        <f aca="false">IF(ISNUMBER(MATCH(G1337,Products!$A$5:$A$24,0)),"OK","Mismatch")</f>
        <v>OK</v>
      </c>
      <c r="I1337" s="39" t="str">
        <f aca="false">IF(COUNTIF($A$5:A1337,A1337)&gt;1,"Duplicate","Unique")</f>
        <v>Unique</v>
      </c>
      <c r="J1337" s="39" t="str">
        <f aca="false">IF(I1337="Duplicate","Remove",IF(H1337="Mismatch","Exclude","Keep"))</f>
        <v>Keep</v>
      </c>
    </row>
    <row r="1338" customFormat="false" ht="15" hidden="false" customHeight="false" outlineLevel="0" collapsed="false">
      <c r="A1338" s="39" t="s">
        <v>1432</v>
      </c>
      <c r="B1338" s="40" t="n">
        <v>45846</v>
      </c>
      <c r="C1338" s="39" t="s">
        <v>177</v>
      </c>
      <c r="D1338" s="39" t="n">
        <v>5</v>
      </c>
      <c r="E1338" s="41" t="n">
        <v>44.5</v>
      </c>
      <c r="F1338" s="39" t="s">
        <v>115</v>
      </c>
      <c r="G1338" s="39" t="str">
        <f aca="false">UPPER(TRIM(C1338))</f>
        <v>P014</v>
      </c>
      <c r="H1338" s="39" t="str">
        <f aca="false">IF(ISNUMBER(MATCH(G1338,Products!$A$5:$A$24,0)),"OK","Mismatch")</f>
        <v>OK</v>
      </c>
      <c r="I1338" s="39" t="str">
        <f aca="false">IF(COUNTIF($A$5:A1338,A1338)&gt;1,"Duplicate","Unique")</f>
        <v>Unique</v>
      </c>
      <c r="J1338" s="39" t="str">
        <f aca="false">IF(I1338="Duplicate","Remove",IF(H1338="Mismatch","Exclude","Keep"))</f>
        <v>Keep</v>
      </c>
    </row>
    <row r="1339" customFormat="false" ht="15" hidden="false" customHeight="false" outlineLevel="0" collapsed="false">
      <c r="A1339" s="39" t="s">
        <v>1433</v>
      </c>
      <c r="B1339" s="40" t="n">
        <v>45846</v>
      </c>
      <c r="C1339" s="39" t="s">
        <v>107</v>
      </c>
      <c r="D1339" s="39" t="n">
        <v>1</v>
      </c>
      <c r="E1339" s="41" t="n">
        <v>33.45</v>
      </c>
      <c r="F1339" s="39" t="s">
        <v>105</v>
      </c>
      <c r="G1339" s="39" t="str">
        <f aca="false">UPPER(TRIM(C1339))</f>
        <v>P003</v>
      </c>
      <c r="H1339" s="39" t="str">
        <f aca="false">IF(ISNUMBER(MATCH(G1339,Products!$A$5:$A$24,0)),"OK","Mismatch")</f>
        <v>OK</v>
      </c>
      <c r="I1339" s="39" t="str">
        <f aca="false">IF(COUNTIF($A$5:A1339,A1339)&gt;1,"Duplicate","Unique")</f>
        <v>Unique</v>
      </c>
      <c r="J1339" s="39" t="str">
        <f aca="false">IF(I1339="Duplicate","Remove",IF(H1339="Mismatch","Exclude","Keep"))</f>
        <v>Keep</v>
      </c>
    </row>
    <row r="1340" customFormat="false" ht="15" hidden="false" customHeight="false" outlineLevel="0" collapsed="false">
      <c r="A1340" s="39" t="s">
        <v>1434</v>
      </c>
      <c r="B1340" s="40" t="n">
        <v>45846</v>
      </c>
      <c r="C1340" s="39" t="s">
        <v>130</v>
      </c>
      <c r="D1340" s="39" t="n">
        <v>1</v>
      </c>
      <c r="E1340" s="41" t="n">
        <v>8.58</v>
      </c>
      <c r="F1340" s="39" t="s">
        <v>105</v>
      </c>
      <c r="G1340" s="39" t="str">
        <f aca="false">UPPER(TRIM(C1340))</f>
        <v>P011</v>
      </c>
      <c r="H1340" s="39" t="str">
        <f aca="false">IF(ISNUMBER(MATCH(G1340,Products!$A$5:$A$24,0)),"OK","Mismatch")</f>
        <v>OK</v>
      </c>
      <c r="I1340" s="39" t="str">
        <f aca="false">IF(COUNTIF($A$5:A1340,A1340)&gt;1,"Duplicate","Unique")</f>
        <v>Unique</v>
      </c>
      <c r="J1340" s="39" t="str">
        <f aca="false">IF(I1340="Duplicate","Remove",IF(H1340="Mismatch","Exclude","Keep"))</f>
        <v>Keep</v>
      </c>
    </row>
    <row r="1341" customFormat="false" ht="15" hidden="false" customHeight="false" outlineLevel="0" collapsed="false">
      <c r="A1341" s="39" t="s">
        <v>1435</v>
      </c>
      <c r="B1341" s="40" t="n">
        <v>45846</v>
      </c>
      <c r="C1341" s="39" t="s">
        <v>169</v>
      </c>
      <c r="D1341" s="39" t="n">
        <v>1</v>
      </c>
      <c r="E1341" s="41" t="n">
        <v>28.61</v>
      </c>
      <c r="F1341" s="39" t="s">
        <v>105</v>
      </c>
      <c r="G1341" s="39" t="str">
        <f aca="false">UPPER(TRIM(C1341))</f>
        <v>P004</v>
      </c>
      <c r="H1341" s="39" t="str">
        <f aca="false">IF(ISNUMBER(MATCH(G1341,Products!$A$5:$A$24,0)),"OK","Mismatch")</f>
        <v>OK</v>
      </c>
      <c r="I1341" s="39" t="str">
        <f aca="false">IF(COUNTIF($A$5:A1341,A1341)&gt;1,"Duplicate","Unique")</f>
        <v>Unique</v>
      </c>
      <c r="J1341" s="39" t="str">
        <f aca="false">IF(I1341="Duplicate","Remove",IF(H1341="Mismatch","Exclude","Keep"))</f>
        <v>Keep</v>
      </c>
    </row>
    <row r="1342" customFormat="false" ht="15" hidden="false" customHeight="false" outlineLevel="0" collapsed="false">
      <c r="A1342" s="39" t="s">
        <v>1436</v>
      </c>
      <c r="B1342" s="40" t="n">
        <v>45846</v>
      </c>
      <c r="C1342" s="39" t="s">
        <v>110</v>
      </c>
      <c r="D1342" s="39" t="n">
        <v>4</v>
      </c>
      <c r="E1342" s="41" t="n">
        <v>13.82</v>
      </c>
      <c r="F1342" s="39" t="s">
        <v>115</v>
      </c>
      <c r="G1342" s="39" t="str">
        <f aca="false">UPPER(TRIM(C1342))</f>
        <v>P016</v>
      </c>
      <c r="H1342" s="39" t="str">
        <f aca="false">IF(ISNUMBER(MATCH(G1342,Products!$A$5:$A$24,0)),"OK","Mismatch")</f>
        <v>OK</v>
      </c>
      <c r="I1342" s="39" t="str">
        <f aca="false">IF(COUNTIF($A$5:A1342,A1342)&gt;1,"Duplicate","Unique")</f>
        <v>Unique</v>
      </c>
      <c r="J1342" s="39" t="str">
        <f aca="false">IF(I1342="Duplicate","Remove",IF(H1342="Mismatch","Exclude","Keep"))</f>
        <v>Keep</v>
      </c>
    </row>
    <row r="1343" customFormat="false" ht="15" hidden="false" customHeight="false" outlineLevel="0" collapsed="false">
      <c r="A1343" s="39" t="s">
        <v>1437</v>
      </c>
      <c r="B1343" s="40" t="n">
        <v>45846</v>
      </c>
      <c r="C1343" s="39" t="s">
        <v>130</v>
      </c>
      <c r="D1343" s="39" t="n">
        <v>5</v>
      </c>
      <c r="E1343" s="41" t="n">
        <v>8.35</v>
      </c>
      <c r="F1343" s="39" t="s">
        <v>108</v>
      </c>
      <c r="G1343" s="39" t="str">
        <f aca="false">UPPER(TRIM(C1343))</f>
        <v>P011</v>
      </c>
      <c r="H1343" s="39" t="str">
        <f aca="false">IF(ISNUMBER(MATCH(G1343,Products!$A$5:$A$24,0)),"OK","Mismatch")</f>
        <v>OK</v>
      </c>
      <c r="I1343" s="39" t="str">
        <f aca="false">IF(COUNTIF($A$5:A1343,A1343)&gt;1,"Duplicate","Unique")</f>
        <v>Unique</v>
      </c>
      <c r="J1343" s="39" t="str">
        <f aca="false">IF(I1343="Duplicate","Remove",IF(H1343="Mismatch","Exclude","Keep"))</f>
        <v>Keep</v>
      </c>
    </row>
    <row r="1344" customFormat="false" ht="15" hidden="false" customHeight="false" outlineLevel="0" collapsed="false">
      <c r="A1344" s="39" t="s">
        <v>1438</v>
      </c>
      <c r="B1344" s="40" t="n">
        <v>45846</v>
      </c>
      <c r="C1344" s="39" t="s">
        <v>177</v>
      </c>
      <c r="D1344" s="39" t="n">
        <v>5</v>
      </c>
      <c r="E1344" s="41" t="n">
        <v>43.87</v>
      </c>
      <c r="F1344" s="39" t="s">
        <v>115</v>
      </c>
      <c r="G1344" s="39" t="str">
        <f aca="false">UPPER(TRIM(C1344))</f>
        <v>P014</v>
      </c>
      <c r="H1344" s="39" t="str">
        <f aca="false">IF(ISNUMBER(MATCH(G1344,Products!$A$5:$A$24,0)),"OK","Mismatch")</f>
        <v>OK</v>
      </c>
      <c r="I1344" s="39" t="str">
        <f aca="false">IF(COUNTIF($A$5:A1344,A1344)&gt;1,"Duplicate","Unique")</f>
        <v>Unique</v>
      </c>
      <c r="J1344" s="39" t="str">
        <f aca="false">IF(I1344="Duplicate","Remove",IF(H1344="Mismatch","Exclude","Keep"))</f>
        <v>Keep</v>
      </c>
    </row>
    <row r="1345" customFormat="false" ht="15" hidden="false" customHeight="false" outlineLevel="0" collapsed="false">
      <c r="A1345" s="39" t="s">
        <v>1439</v>
      </c>
      <c r="B1345" s="40" t="n">
        <v>45846</v>
      </c>
      <c r="C1345" s="39" t="s">
        <v>107</v>
      </c>
      <c r="D1345" s="39" t="n">
        <v>1</v>
      </c>
      <c r="E1345" s="41" t="n">
        <v>33.12</v>
      </c>
      <c r="F1345" s="39" t="s">
        <v>105</v>
      </c>
      <c r="G1345" s="39" t="str">
        <f aca="false">UPPER(TRIM(C1345))</f>
        <v>P003</v>
      </c>
      <c r="H1345" s="39" t="str">
        <f aca="false">IF(ISNUMBER(MATCH(G1345,Products!$A$5:$A$24,0)),"OK","Mismatch")</f>
        <v>OK</v>
      </c>
      <c r="I1345" s="39" t="str">
        <f aca="false">IF(COUNTIF($A$5:A1345,A1345)&gt;1,"Duplicate","Unique")</f>
        <v>Unique</v>
      </c>
      <c r="J1345" s="39" t="str">
        <f aca="false">IF(I1345="Duplicate","Remove",IF(H1345="Mismatch","Exclude","Keep"))</f>
        <v>Keep</v>
      </c>
    </row>
    <row r="1346" customFormat="false" ht="15" hidden="false" customHeight="false" outlineLevel="0" collapsed="false">
      <c r="A1346" s="39" t="s">
        <v>1440</v>
      </c>
      <c r="B1346" s="40" t="n">
        <v>45846</v>
      </c>
      <c r="C1346" s="39" t="s">
        <v>139</v>
      </c>
      <c r="D1346" s="39" t="n">
        <v>2</v>
      </c>
      <c r="E1346" s="41" t="n">
        <v>127.98</v>
      </c>
      <c r="F1346" s="39" t="s">
        <v>108</v>
      </c>
      <c r="G1346" s="39" t="str">
        <f aca="false">UPPER(TRIM(C1346))</f>
        <v>P006</v>
      </c>
      <c r="H1346" s="39" t="str">
        <f aca="false">IF(ISNUMBER(MATCH(G1346,Products!$A$5:$A$24,0)),"OK","Mismatch")</f>
        <v>OK</v>
      </c>
      <c r="I1346" s="39" t="str">
        <f aca="false">IF(COUNTIF($A$5:A1346,A1346)&gt;1,"Duplicate","Unique")</f>
        <v>Unique</v>
      </c>
      <c r="J1346" s="39" t="str">
        <f aca="false">IF(I1346="Duplicate","Remove",IF(H1346="Mismatch","Exclude","Keep"))</f>
        <v>Keep</v>
      </c>
    </row>
    <row r="1347" customFormat="false" ht="15" hidden="false" customHeight="false" outlineLevel="0" collapsed="false">
      <c r="A1347" s="39" t="s">
        <v>1441</v>
      </c>
      <c r="B1347" s="40" t="n">
        <v>45846</v>
      </c>
      <c r="C1347" s="39" t="s">
        <v>114</v>
      </c>
      <c r="D1347" s="39" t="n">
        <v>2</v>
      </c>
      <c r="E1347" s="41" t="n">
        <v>5.52</v>
      </c>
      <c r="F1347" s="39" t="s">
        <v>118</v>
      </c>
      <c r="G1347" s="39" t="str">
        <f aca="false">UPPER(TRIM(C1347))</f>
        <v>P012</v>
      </c>
      <c r="H1347" s="39" t="str">
        <f aca="false">IF(ISNUMBER(MATCH(G1347,Products!$A$5:$A$24,0)),"OK","Mismatch")</f>
        <v>OK</v>
      </c>
      <c r="I1347" s="39" t="str">
        <f aca="false">IF(COUNTIF($A$5:A1347,A1347)&gt;1,"Duplicate","Unique")</f>
        <v>Unique</v>
      </c>
      <c r="J1347" s="39" t="str">
        <f aca="false">IF(I1347="Duplicate","Remove",IF(H1347="Mismatch","Exclude","Keep"))</f>
        <v>Keep</v>
      </c>
    </row>
    <row r="1348" customFormat="false" ht="15" hidden="false" customHeight="false" outlineLevel="0" collapsed="false">
      <c r="A1348" s="39" t="s">
        <v>1442</v>
      </c>
      <c r="B1348" s="40" t="n">
        <v>45847</v>
      </c>
      <c r="C1348" s="39" t="s">
        <v>133</v>
      </c>
      <c r="D1348" s="39" t="n">
        <v>3</v>
      </c>
      <c r="E1348" s="41" t="n">
        <v>8.61</v>
      </c>
      <c r="F1348" s="39" t="s">
        <v>118</v>
      </c>
      <c r="G1348" s="39" t="str">
        <f aca="false">UPPER(TRIM(C1348))</f>
        <v>P019</v>
      </c>
      <c r="H1348" s="39" t="str">
        <f aca="false">IF(ISNUMBER(MATCH(G1348,Products!$A$5:$A$24,0)),"OK","Mismatch")</f>
        <v>OK</v>
      </c>
      <c r="I1348" s="39" t="str">
        <f aca="false">IF(COUNTIF($A$5:A1348,A1348)&gt;1,"Duplicate","Unique")</f>
        <v>Unique</v>
      </c>
      <c r="J1348" s="39" t="str">
        <f aca="false">IF(I1348="Duplicate","Remove",IF(H1348="Mismatch","Exclude","Keep"))</f>
        <v>Keep</v>
      </c>
    </row>
    <row r="1349" customFormat="false" ht="15" hidden="false" customHeight="false" outlineLevel="0" collapsed="false">
      <c r="A1349" s="39" t="s">
        <v>1443</v>
      </c>
      <c r="B1349" s="40" t="n">
        <v>45847</v>
      </c>
      <c r="C1349" s="39" t="s">
        <v>128</v>
      </c>
      <c r="D1349" s="39" t="n">
        <v>1</v>
      </c>
      <c r="E1349" s="41" t="n">
        <v>36.38</v>
      </c>
      <c r="F1349" s="39" t="s">
        <v>105</v>
      </c>
      <c r="G1349" s="39" t="str">
        <f aca="false">UPPER(TRIM(C1349))</f>
        <v>P020</v>
      </c>
      <c r="H1349" s="39" t="str">
        <f aca="false">IF(ISNUMBER(MATCH(G1349,Products!$A$5:$A$24,0)),"OK","Mismatch")</f>
        <v>OK</v>
      </c>
      <c r="I1349" s="39" t="str">
        <f aca="false">IF(COUNTIF($A$5:A1349,A1349)&gt;1,"Duplicate","Unique")</f>
        <v>Unique</v>
      </c>
      <c r="J1349" s="39" t="str">
        <f aca="false">IF(I1349="Duplicate","Remove",IF(H1349="Mismatch","Exclude","Keep"))</f>
        <v>Keep</v>
      </c>
    </row>
    <row r="1350" customFormat="false" ht="15" hidden="false" customHeight="false" outlineLevel="0" collapsed="false">
      <c r="A1350" s="39" t="s">
        <v>1444</v>
      </c>
      <c r="B1350" s="40" t="n">
        <v>45847</v>
      </c>
      <c r="C1350" s="39" t="s">
        <v>133</v>
      </c>
      <c r="D1350" s="39" t="n">
        <v>2</v>
      </c>
      <c r="E1350" s="41" t="n">
        <v>8.45</v>
      </c>
      <c r="F1350" s="39" t="s">
        <v>118</v>
      </c>
      <c r="G1350" s="39" t="str">
        <f aca="false">UPPER(TRIM(C1350))</f>
        <v>P019</v>
      </c>
      <c r="H1350" s="39" t="str">
        <f aca="false">IF(ISNUMBER(MATCH(G1350,Products!$A$5:$A$24,0)),"OK","Mismatch")</f>
        <v>OK</v>
      </c>
      <c r="I1350" s="39" t="str">
        <f aca="false">IF(COUNTIF($A$5:A1350,A1350)&gt;1,"Duplicate","Unique")</f>
        <v>Unique</v>
      </c>
      <c r="J1350" s="39" t="str">
        <f aca="false">IF(I1350="Duplicate","Remove",IF(H1350="Mismatch","Exclude","Keep"))</f>
        <v>Keep</v>
      </c>
    </row>
    <row r="1351" customFormat="false" ht="15" hidden="false" customHeight="false" outlineLevel="0" collapsed="false">
      <c r="A1351" s="39" t="s">
        <v>1445</v>
      </c>
      <c r="B1351" s="40" t="n">
        <v>45847</v>
      </c>
      <c r="C1351" s="39" t="s">
        <v>128</v>
      </c>
      <c r="D1351" s="39" t="n">
        <v>8</v>
      </c>
      <c r="E1351" s="41" t="n">
        <v>38.26</v>
      </c>
      <c r="F1351" s="39" t="s">
        <v>118</v>
      </c>
      <c r="G1351" s="39" t="str">
        <f aca="false">UPPER(TRIM(C1351))</f>
        <v>P020</v>
      </c>
      <c r="H1351" s="39" t="str">
        <f aca="false">IF(ISNUMBER(MATCH(G1351,Products!$A$5:$A$24,0)),"OK","Mismatch")</f>
        <v>OK</v>
      </c>
      <c r="I1351" s="39" t="str">
        <f aca="false">IF(COUNTIF($A$5:A1351,A1351)&gt;1,"Duplicate","Unique")</f>
        <v>Unique</v>
      </c>
      <c r="J1351" s="39" t="str">
        <f aca="false">IF(I1351="Duplicate","Remove",IF(H1351="Mismatch","Exclude","Keep"))</f>
        <v>Keep</v>
      </c>
    </row>
    <row r="1352" customFormat="false" ht="15" hidden="false" customHeight="false" outlineLevel="0" collapsed="false">
      <c r="A1352" s="39" t="s">
        <v>1446</v>
      </c>
      <c r="B1352" s="40" t="n">
        <v>45847</v>
      </c>
      <c r="C1352" s="39" t="s">
        <v>133</v>
      </c>
      <c r="D1352" s="39" t="n">
        <v>1</v>
      </c>
      <c r="E1352" s="41" t="n">
        <v>8.59</v>
      </c>
      <c r="F1352" s="39" t="s">
        <v>108</v>
      </c>
      <c r="G1352" s="39" t="str">
        <f aca="false">UPPER(TRIM(C1352))</f>
        <v>P019</v>
      </c>
      <c r="H1352" s="39" t="str">
        <f aca="false">IF(ISNUMBER(MATCH(G1352,Products!$A$5:$A$24,0)),"OK","Mismatch")</f>
        <v>OK</v>
      </c>
      <c r="I1352" s="39" t="str">
        <f aca="false">IF(COUNTIF($A$5:A1352,A1352)&gt;1,"Duplicate","Unique")</f>
        <v>Unique</v>
      </c>
      <c r="J1352" s="39" t="str">
        <f aca="false">IF(I1352="Duplicate","Remove",IF(H1352="Mismatch","Exclude","Keep"))</f>
        <v>Keep</v>
      </c>
    </row>
    <row r="1353" customFormat="false" ht="15" hidden="false" customHeight="false" outlineLevel="0" collapsed="false">
      <c r="A1353" s="39" t="s">
        <v>1447</v>
      </c>
      <c r="B1353" s="40" t="n">
        <v>45847</v>
      </c>
      <c r="C1353" s="39" t="s">
        <v>128</v>
      </c>
      <c r="D1353" s="39" t="n">
        <v>3</v>
      </c>
      <c r="E1353" s="41" t="n">
        <v>37.12</v>
      </c>
      <c r="F1353" s="39" t="s">
        <v>118</v>
      </c>
      <c r="G1353" s="39" t="str">
        <f aca="false">UPPER(TRIM(C1353))</f>
        <v>P020</v>
      </c>
      <c r="H1353" s="39" t="str">
        <f aca="false">IF(ISNUMBER(MATCH(G1353,Products!$A$5:$A$24,0)),"OK","Mismatch")</f>
        <v>OK</v>
      </c>
      <c r="I1353" s="39" t="str">
        <f aca="false">IF(COUNTIF($A$5:A1353,A1353)&gt;1,"Duplicate","Unique")</f>
        <v>Unique</v>
      </c>
      <c r="J1353" s="39" t="str">
        <f aca="false">IF(I1353="Duplicate","Remove",IF(H1353="Mismatch","Exclude","Keep"))</f>
        <v>Keep</v>
      </c>
    </row>
    <row r="1354" customFormat="false" ht="15" hidden="false" customHeight="false" outlineLevel="0" collapsed="false">
      <c r="A1354" s="39" t="s">
        <v>1448</v>
      </c>
      <c r="B1354" s="40" t="n">
        <v>45847</v>
      </c>
      <c r="C1354" s="39" t="s">
        <v>114</v>
      </c>
      <c r="D1354" s="39" t="n">
        <v>4</v>
      </c>
      <c r="E1354" s="41" t="n">
        <v>5.94</v>
      </c>
      <c r="F1354" s="39" t="s">
        <v>115</v>
      </c>
      <c r="G1354" s="39" t="str">
        <f aca="false">UPPER(TRIM(C1354))</f>
        <v>P012</v>
      </c>
      <c r="H1354" s="39" t="str">
        <f aca="false">IF(ISNUMBER(MATCH(G1354,Products!$A$5:$A$24,0)),"OK","Mismatch")</f>
        <v>OK</v>
      </c>
      <c r="I1354" s="39" t="str">
        <f aca="false">IF(COUNTIF($A$5:A1354,A1354)&gt;1,"Duplicate","Unique")</f>
        <v>Unique</v>
      </c>
      <c r="J1354" s="39" t="str">
        <f aca="false">IF(I1354="Duplicate","Remove",IF(H1354="Mismatch","Exclude","Keep"))</f>
        <v>Keep</v>
      </c>
    </row>
    <row r="1355" customFormat="false" ht="15" hidden="false" customHeight="false" outlineLevel="0" collapsed="false">
      <c r="A1355" s="39" t="s">
        <v>1449</v>
      </c>
      <c r="B1355" s="40" t="n">
        <v>45848</v>
      </c>
      <c r="C1355" s="39" t="s">
        <v>136</v>
      </c>
      <c r="D1355" s="39" t="n">
        <v>4</v>
      </c>
      <c r="E1355" s="41" t="n">
        <v>74.89</v>
      </c>
      <c r="F1355" s="39" t="s">
        <v>118</v>
      </c>
      <c r="G1355" s="39" t="str">
        <f aca="false">UPPER(TRIM(C1355))</f>
        <v>P002</v>
      </c>
      <c r="H1355" s="39" t="str">
        <f aca="false">IF(ISNUMBER(MATCH(G1355,Products!$A$5:$A$24,0)),"OK","Mismatch")</f>
        <v>OK</v>
      </c>
      <c r="I1355" s="39" t="str">
        <f aca="false">IF(COUNTIF($A$5:A1355,A1355)&gt;1,"Duplicate","Unique")</f>
        <v>Unique</v>
      </c>
      <c r="J1355" s="39" t="str">
        <f aca="false">IF(I1355="Duplicate","Remove",IF(H1355="Mismatch","Exclude","Keep"))</f>
        <v>Keep</v>
      </c>
    </row>
    <row r="1356" customFormat="false" ht="15" hidden="false" customHeight="false" outlineLevel="0" collapsed="false">
      <c r="A1356" s="39" t="s">
        <v>1450</v>
      </c>
      <c r="B1356" s="40" t="n">
        <v>45848</v>
      </c>
      <c r="C1356" s="39" t="s">
        <v>162</v>
      </c>
      <c r="D1356" s="39" t="n">
        <v>3</v>
      </c>
      <c r="E1356" s="41" t="n">
        <v>65.08</v>
      </c>
      <c r="F1356" s="39" t="s">
        <v>108</v>
      </c>
      <c r="G1356" s="39" t="str">
        <f aca="false">UPPER(TRIM(C1356))</f>
        <v>P017</v>
      </c>
      <c r="H1356" s="39" t="str">
        <f aca="false">IF(ISNUMBER(MATCH(G1356,Products!$A$5:$A$24,0)),"OK","Mismatch")</f>
        <v>OK</v>
      </c>
      <c r="I1356" s="39" t="str">
        <f aca="false">IF(COUNTIF($A$5:A1356,A1356)&gt;1,"Duplicate","Unique")</f>
        <v>Unique</v>
      </c>
      <c r="J1356" s="39" t="str">
        <f aca="false">IF(I1356="Duplicate","Remove",IF(H1356="Mismatch","Exclude","Keep"))</f>
        <v>Keep</v>
      </c>
    </row>
    <row r="1357" customFormat="false" ht="15" hidden="false" customHeight="false" outlineLevel="0" collapsed="false">
      <c r="A1357" s="39" t="s">
        <v>1451</v>
      </c>
      <c r="B1357" s="40" t="n">
        <v>45848</v>
      </c>
      <c r="C1357" s="39" t="s">
        <v>104</v>
      </c>
      <c r="D1357" s="39" t="n">
        <v>2</v>
      </c>
      <c r="E1357" s="41" t="n">
        <v>15.73</v>
      </c>
      <c r="F1357" s="39" t="s">
        <v>118</v>
      </c>
      <c r="G1357" s="39" t="str">
        <f aca="false">UPPER(TRIM(C1357))</f>
        <v>P015</v>
      </c>
      <c r="H1357" s="39" t="str">
        <f aca="false">IF(ISNUMBER(MATCH(G1357,Products!$A$5:$A$24,0)),"OK","Mismatch")</f>
        <v>OK</v>
      </c>
      <c r="I1357" s="39" t="str">
        <f aca="false">IF(COUNTIF($A$5:A1357,A1357)&gt;1,"Duplicate","Unique")</f>
        <v>Unique</v>
      </c>
      <c r="J1357" s="39" t="str">
        <f aca="false">IF(I1357="Duplicate","Remove",IF(H1357="Mismatch","Exclude","Keep"))</f>
        <v>Keep</v>
      </c>
    </row>
    <row r="1358" customFormat="false" ht="15" hidden="false" customHeight="false" outlineLevel="0" collapsed="false">
      <c r="A1358" s="39" t="s">
        <v>1452</v>
      </c>
      <c r="B1358" s="40" t="n">
        <v>45848</v>
      </c>
      <c r="C1358" s="39" t="s">
        <v>3150</v>
      </c>
      <c r="D1358" s="39" t="n">
        <v>1</v>
      </c>
      <c r="E1358" s="41" t="n">
        <v>34.6</v>
      </c>
      <c r="F1358" s="39" t="s">
        <v>115</v>
      </c>
      <c r="G1358" s="39" t="str">
        <f aca="false">UPPER(TRIM(C1358))</f>
        <v>P003</v>
      </c>
      <c r="H1358" s="39" t="str">
        <f aca="false">IF(ISNUMBER(MATCH(G1358,Products!$A$5:$A$24,0)),"OK","Mismatch")</f>
        <v>OK</v>
      </c>
      <c r="I1358" s="39" t="str">
        <f aca="false">IF(COUNTIF($A$5:A1358,A1358)&gt;1,"Duplicate","Unique")</f>
        <v>Unique</v>
      </c>
      <c r="J1358" s="39" t="str">
        <f aca="false">IF(I1358="Duplicate","Remove",IF(H1358="Mismatch","Exclude","Keep"))</f>
        <v>Keep</v>
      </c>
    </row>
    <row r="1359" customFormat="false" ht="15" hidden="false" customHeight="false" outlineLevel="0" collapsed="false">
      <c r="A1359" s="39" t="s">
        <v>1453</v>
      </c>
      <c r="B1359" s="40" t="n">
        <v>45848</v>
      </c>
      <c r="C1359" s="39" t="s">
        <v>144</v>
      </c>
      <c r="D1359" s="39" t="n">
        <v>3</v>
      </c>
      <c r="E1359" s="41" t="n">
        <v>58.39</v>
      </c>
      <c r="F1359" s="39" t="s">
        <v>105</v>
      </c>
      <c r="G1359" s="39" t="str">
        <f aca="false">UPPER(TRIM(C1359))</f>
        <v>P013</v>
      </c>
      <c r="H1359" s="39" t="str">
        <f aca="false">IF(ISNUMBER(MATCH(G1359,Products!$A$5:$A$24,0)),"OK","Mismatch")</f>
        <v>OK</v>
      </c>
      <c r="I1359" s="39" t="str">
        <f aca="false">IF(COUNTIF($A$5:A1359,A1359)&gt;1,"Duplicate","Unique")</f>
        <v>Unique</v>
      </c>
      <c r="J1359" s="39" t="str">
        <f aca="false">IF(I1359="Duplicate","Remove",IF(H1359="Mismatch","Exclude","Keep"))</f>
        <v>Keep</v>
      </c>
    </row>
    <row r="1360" customFormat="false" ht="15" hidden="false" customHeight="false" outlineLevel="0" collapsed="false">
      <c r="A1360" s="39" t="s">
        <v>1454</v>
      </c>
      <c r="B1360" s="40" t="n">
        <v>45848</v>
      </c>
      <c r="C1360" s="39" t="s">
        <v>110</v>
      </c>
      <c r="D1360" s="39" t="n">
        <v>3</v>
      </c>
      <c r="E1360" s="41" t="n">
        <v>12.95</v>
      </c>
      <c r="F1360" s="39" t="s">
        <v>105</v>
      </c>
      <c r="G1360" s="39" t="str">
        <f aca="false">UPPER(TRIM(C1360))</f>
        <v>P016</v>
      </c>
      <c r="H1360" s="39" t="str">
        <f aca="false">IF(ISNUMBER(MATCH(G1360,Products!$A$5:$A$24,0)),"OK","Mismatch")</f>
        <v>OK</v>
      </c>
      <c r="I1360" s="39" t="str">
        <f aca="false">IF(COUNTIF($A$5:A1360,A1360)&gt;1,"Duplicate","Unique")</f>
        <v>Unique</v>
      </c>
      <c r="J1360" s="39" t="str">
        <f aca="false">IF(I1360="Duplicate","Remove",IF(H1360="Mismatch","Exclude","Keep"))</f>
        <v>Keep</v>
      </c>
    </row>
    <row r="1361" customFormat="false" ht="15" hidden="false" customHeight="false" outlineLevel="0" collapsed="false">
      <c r="A1361" s="39" t="s">
        <v>1455</v>
      </c>
      <c r="B1361" s="40" t="n">
        <v>45848</v>
      </c>
      <c r="C1361" s="39" t="s">
        <v>128</v>
      </c>
      <c r="D1361" s="39" t="n">
        <v>1</v>
      </c>
      <c r="E1361" s="41" t="n">
        <v>36.91</v>
      </c>
      <c r="F1361" s="39" t="s">
        <v>105</v>
      </c>
      <c r="G1361" s="39" t="str">
        <f aca="false">UPPER(TRIM(C1361))</f>
        <v>P020</v>
      </c>
      <c r="H1361" s="39" t="str">
        <f aca="false">IF(ISNUMBER(MATCH(G1361,Products!$A$5:$A$24,0)),"OK","Mismatch")</f>
        <v>OK</v>
      </c>
      <c r="I1361" s="39" t="str">
        <f aca="false">IF(COUNTIF($A$5:A1361,A1361)&gt;1,"Duplicate","Unique")</f>
        <v>Unique</v>
      </c>
      <c r="J1361" s="39" t="str">
        <f aca="false">IF(I1361="Duplicate","Remove",IF(H1361="Mismatch","Exclude","Keep"))</f>
        <v>Keep</v>
      </c>
    </row>
    <row r="1362" customFormat="false" ht="15" hidden="false" customHeight="false" outlineLevel="0" collapsed="false">
      <c r="A1362" s="39" t="s">
        <v>1456</v>
      </c>
      <c r="B1362" s="40" t="n">
        <v>45849</v>
      </c>
      <c r="C1362" s="39" t="s">
        <v>107</v>
      </c>
      <c r="D1362" s="39" t="n">
        <v>1</v>
      </c>
      <c r="E1362" s="41" t="n">
        <v>33.95</v>
      </c>
      <c r="F1362" s="39" t="s">
        <v>118</v>
      </c>
      <c r="G1362" s="39" t="str">
        <f aca="false">UPPER(TRIM(C1362))</f>
        <v>P003</v>
      </c>
      <c r="H1362" s="39" t="str">
        <f aca="false">IF(ISNUMBER(MATCH(G1362,Products!$A$5:$A$24,0)),"OK","Mismatch")</f>
        <v>OK</v>
      </c>
      <c r="I1362" s="39" t="str">
        <f aca="false">IF(COUNTIF($A$5:A1362,A1362)&gt;1,"Duplicate","Unique")</f>
        <v>Unique</v>
      </c>
      <c r="J1362" s="39" t="str">
        <f aca="false">IF(I1362="Duplicate","Remove",IF(H1362="Mismatch","Exclude","Keep"))</f>
        <v>Keep</v>
      </c>
    </row>
    <row r="1363" customFormat="false" ht="15" hidden="false" customHeight="false" outlineLevel="0" collapsed="false">
      <c r="A1363" s="39" t="s">
        <v>1457</v>
      </c>
      <c r="B1363" s="40" t="n">
        <v>45849</v>
      </c>
      <c r="C1363" s="39" t="s">
        <v>139</v>
      </c>
      <c r="D1363" s="39" t="n">
        <v>5</v>
      </c>
      <c r="E1363" s="41" t="n">
        <v>118.72</v>
      </c>
      <c r="F1363" s="39" t="s">
        <v>108</v>
      </c>
      <c r="G1363" s="39" t="str">
        <f aca="false">UPPER(TRIM(C1363))</f>
        <v>P006</v>
      </c>
      <c r="H1363" s="39" t="str">
        <f aca="false">IF(ISNUMBER(MATCH(G1363,Products!$A$5:$A$24,0)),"OK","Mismatch")</f>
        <v>OK</v>
      </c>
      <c r="I1363" s="39" t="str">
        <f aca="false">IF(COUNTIF($A$5:A1363,A1363)&gt;1,"Duplicate","Unique")</f>
        <v>Unique</v>
      </c>
      <c r="J1363" s="39" t="str">
        <f aca="false">IF(I1363="Duplicate","Remove",IF(H1363="Mismatch","Exclude","Keep"))</f>
        <v>Keep</v>
      </c>
    </row>
    <row r="1364" customFormat="false" ht="15" hidden="false" customHeight="false" outlineLevel="0" collapsed="false">
      <c r="A1364" s="39" t="s">
        <v>1458</v>
      </c>
      <c r="B1364" s="40" t="n">
        <v>45849</v>
      </c>
      <c r="C1364" s="39" t="s">
        <v>121</v>
      </c>
      <c r="D1364" s="39" t="n">
        <v>1</v>
      </c>
      <c r="E1364" s="41" t="n">
        <v>112.23</v>
      </c>
      <c r="F1364" s="39" t="s">
        <v>108</v>
      </c>
      <c r="G1364" s="39" t="str">
        <f aca="false">UPPER(TRIM(C1364))</f>
        <v>P018</v>
      </c>
      <c r="H1364" s="39" t="str">
        <f aca="false">IF(ISNUMBER(MATCH(G1364,Products!$A$5:$A$24,0)),"OK","Mismatch")</f>
        <v>OK</v>
      </c>
      <c r="I1364" s="39" t="str">
        <f aca="false">IF(COUNTIF($A$5:A1364,A1364)&gt;1,"Duplicate","Unique")</f>
        <v>Unique</v>
      </c>
      <c r="J1364" s="39" t="str">
        <f aca="false">IF(I1364="Duplicate","Remove",IF(H1364="Mismatch","Exclude","Keep"))</f>
        <v>Keep</v>
      </c>
    </row>
    <row r="1365" customFormat="false" ht="15" hidden="false" customHeight="false" outlineLevel="0" collapsed="false">
      <c r="A1365" s="39" t="s">
        <v>1459</v>
      </c>
      <c r="B1365" s="40" t="n">
        <v>45849</v>
      </c>
      <c r="C1365" s="39" t="s">
        <v>110</v>
      </c>
      <c r="D1365" s="39" t="n">
        <v>2</v>
      </c>
      <c r="E1365" s="41" t="n">
        <v>13.03</v>
      </c>
      <c r="F1365" s="39" t="s">
        <v>118</v>
      </c>
      <c r="G1365" s="39" t="str">
        <f aca="false">UPPER(TRIM(C1365))</f>
        <v>P016</v>
      </c>
      <c r="H1365" s="39" t="str">
        <f aca="false">IF(ISNUMBER(MATCH(G1365,Products!$A$5:$A$24,0)),"OK","Mismatch")</f>
        <v>OK</v>
      </c>
      <c r="I1365" s="39" t="str">
        <f aca="false">IF(COUNTIF($A$5:A1365,A1365)&gt;1,"Duplicate","Unique")</f>
        <v>Unique</v>
      </c>
      <c r="J1365" s="39" t="str">
        <f aca="false">IF(I1365="Duplicate","Remove",IF(H1365="Mismatch","Exclude","Keep"))</f>
        <v>Keep</v>
      </c>
    </row>
    <row r="1366" customFormat="false" ht="15" hidden="false" customHeight="false" outlineLevel="0" collapsed="false">
      <c r="A1366" s="39" t="s">
        <v>1460</v>
      </c>
      <c r="B1366" s="40" t="n">
        <v>45849</v>
      </c>
      <c r="C1366" s="39" t="s">
        <v>177</v>
      </c>
      <c r="D1366" s="39" t="n">
        <v>1</v>
      </c>
      <c r="E1366" s="41" t="n">
        <v>44.82</v>
      </c>
      <c r="F1366" s="39" t="s">
        <v>115</v>
      </c>
      <c r="G1366" s="39" t="str">
        <f aca="false">UPPER(TRIM(C1366))</f>
        <v>P014</v>
      </c>
      <c r="H1366" s="39" t="str">
        <f aca="false">IF(ISNUMBER(MATCH(G1366,Products!$A$5:$A$24,0)),"OK","Mismatch")</f>
        <v>OK</v>
      </c>
      <c r="I1366" s="39" t="str">
        <f aca="false">IF(COUNTIF($A$5:A1366,A1366)&gt;1,"Duplicate","Unique")</f>
        <v>Unique</v>
      </c>
      <c r="J1366" s="39" t="str">
        <f aca="false">IF(I1366="Duplicate","Remove",IF(H1366="Mismatch","Exclude","Keep"))</f>
        <v>Keep</v>
      </c>
    </row>
    <row r="1367" customFormat="false" ht="15" hidden="false" customHeight="false" outlineLevel="0" collapsed="false">
      <c r="A1367" s="39" t="s">
        <v>1461</v>
      </c>
      <c r="B1367" s="40" t="n">
        <v>45849</v>
      </c>
      <c r="C1367" s="39" t="s">
        <v>112</v>
      </c>
      <c r="D1367" s="39" t="n">
        <v>1</v>
      </c>
      <c r="E1367" s="41" t="n">
        <v>53.91</v>
      </c>
      <c r="F1367" s="39" t="s">
        <v>115</v>
      </c>
      <c r="G1367" s="39" t="str">
        <f aca="false">UPPER(TRIM(C1367))</f>
        <v>P005</v>
      </c>
      <c r="H1367" s="39" t="str">
        <f aca="false">IF(ISNUMBER(MATCH(G1367,Products!$A$5:$A$24,0)),"OK","Mismatch")</f>
        <v>OK</v>
      </c>
      <c r="I1367" s="39" t="str">
        <f aca="false">IF(COUNTIF($A$5:A1367,A1367)&gt;1,"Duplicate","Unique")</f>
        <v>Unique</v>
      </c>
      <c r="J1367" s="39" t="str">
        <f aca="false">IF(I1367="Duplicate","Remove",IF(H1367="Mismatch","Exclude","Keep"))</f>
        <v>Keep</v>
      </c>
    </row>
    <row r="1368" customFormat="false" ht="15" hidden="false" customHeight="false" outlineLevel="0" collapsed="false">
      <c r="A1368" s="39" t="s">
        <v>1462</v>
      </c>
      <c r="B1368" s="40" t="n">
        <v>45849</v>
      </c>
      <c r="C1368" s="39" t="s">
        <v>107</v>
      </c>
      <c r="D1368" s="39" t="n">
        <v>2</v>
      </c>
      <c r="E1368" s="41" t="n">
        <v>32.54</v>
      </c>
      <c r="F1368" s="39" t="s">
        <v>118</v>
      </c>
      <c r="G1368" s="39" t="str">
        <f aca="false">UPPER(TRIM(C1368))</f>
        <v>P003</v>
      </c>
      <c r="H1368" s="39" t="str">
        <f aca="false">IF(ISNUMBER(MATCH(G1368,Products!$A$5:$A$24,0)),"OK","Mismatch")</f>
        <v>OK</v>
      </c>
      <c r="I1368" s="39" t="str">
        <f aca="false">IF(COUNTIF($A$5:A1368,A1368)&gt;1,"Duplicate","Unique")</f>
        <v>Unique</v>
      </c>
      <c r="J1368" s="39" t="str">
        <f aca="false">IF(I1368="Duplicate","Remove",IF(H1368="Mismatch","Exclude","Keep"))</f>
        <v>Keep</v>
      </c>
    </row>
    <row r="1369" customFormat="false" ht="15" hidden="false" customHeight="false" outlineLevel="0" collapsed="false">
      <c r="A1369" s="39" t="s">
        <v>3171</v>
      </c>
      <c r="B1369" s="40" t="n">
        <v>45849</v>
      </c>
      <c r="C1369" s="39" t="s">
        <v>3161</v>
      </c>
      <c r="D1369" s="39" t="n">
        <v>1</v>
      </c>
      <c r="E1369" s="41" t="n">
        <v>8.41</v>
      </c>
      <c r="F1369" s="39" t="s">
        <v>118</v>
      </c>
      <c r="G1369" s="39" t="str">
        <f aca="false">UPPER(TRIM(C1369))</f>
        <v>P901</v>
      </c>
      <c r="H1369" s="39" t="str">
        <f aca="false">IF(ISNUMBER(MATCH(G1369,Products!$A$5:$A$24,0)),"OK","Mismatch")</f>
        <v>Mismatch</v>
      </c>
      <c r="I1369" s="39" t="str">
        <f aca="false">IF(COUNTIF($A$5:A1369,A1369)&gt;1,"Duplicate","Unique")</f>
        <v>Unique</v>
      </c>
      <c r="J1369" s="39" t="str">
        <f aca="false">IF(I1369="Duplicate","Remove",IF(H1369="Mismatch","Exclude","Keep"))</f>
        <v>Exclude</v>
      </c>
    </row>
    <row r="1370" customFormat="false" ht="15" hidden="false" customHeight="false" outlineLevel="0" collapsed="false">
      <c r="A1370" s="39" t="s">
        <v>1463</v>
      </c>
      <c r="B1370" s="40" t="n">
        <v>45849</v>
      </c>
      <c r="C1370" s="39" t="s">
        <v>133</v>
      </c>
      <c r="D1370" s="39" t="n">
        <v>2</v>
      </c>
      <c r="E1370" s="41" t="n">
        <v>8.53</v>
      </c>
      <c r="F1370" s="39" t="s">
        <v>105</v>
      </c>
      <c r="G1370" s="39" t="str">
        <f aca="false">UPPER(TRIM(C1370))</f>
        <v>P019</v>
      </c>
      <c r="H1370" s="39" t="str">
        <f aca="false">IF(ISNUMBER(MATCH(G1370,Products!$A$5:$A$24,0)),"OK","Mismatch")</f>
        <v>OK</v>
      </c>
      <c r="I1370" s="39" t="str">
        <f aca="false">IF(COUNTIF($A$5:A1370,A1370)&gt;1,"Duplicate","Unique")</f>
        <v>Unique</v>
      </c>
      <c r="J1370" s="39" t="str">
        <f aca="false">IF(I1370="Duplicate","Remove",IF(H1370="Mismatch","Exclude","Keep"))</f>
        <v>Keep</v>
      </c>
    </row>
    <row r="1371" customFormat="false" ht="15" hidden="false" customHeight="false" outlineLevel="0" collapsed="false">
      <c r="A1371" s="39" t="s">
        <v>1464</v>
      </c>
      <c r="B1371" s="40" t="n">
        <v>45849</v>
      </c>
      <c r="C1371" s="39" t="s">
        <v>114</v>
      </c>
      <c r="D1371" s="39" t="n">
        <v>1</v>
      </c>
      <c r="E1371" s="41" t="n">
        <v>5.78</v>
      </c>
      <c r="F1371" s="39" t="s">
        <v>118</v>
      </c>
      <c r="G1371" s="39" t="str">
        <f aca="false">UPPER(TRIM(C1371))</f>
        <v>P012</v>
      </c>
      <c r="H1371" s="39" t="str">
        <f aca="false">IF(ISNUMBER(MATCH(G1371,Products!$A$5:$A$24,0)),"OK","Mismatch")</f>
        <v>OK</v>
      </c>
      <c r="I1371" s="39" t="str">
        <f aca="false">IF(COUNTIF($A$5:A1371,A1371)&gt;1,"Duplicate","Unique")</f>
        <v>Unique</v>
      </c>
      <c r="J1371" s="39" t="str">
        <f aca="false">IF(I1371="Duplicate","Remove",IF(H1371="Mismatch","Exclude","Keep"))</f>
        <v>Keep</v>
      </c>
    </row>
    <row r="1372" customFormat="false" ht="15" hidden="false" customHeight="false" outlineLevel="0" collapsed="false">
      <c r="A1372" s="39" t="s">
        <v>1465</v>
      </c>
      <c r="B1372" s="40" t="n">
        <v>45849</v>
      </c>
      <c r="C1372" s="39" t="s">
        <v>162</v>
      </c>
      <c r="D1372" s="39" t="n">
        <v>5</v>
      </c>
      <c r="E1372" s="41" t="n">
        <v>66.11</v>
      </c>
      <c r="F1372" s="39" t="s">
        <v>108</v>
      </c>
      <c r="G1372" s="39" t="str">
        <f aca="false">UPPER(TRIM(C1372))</f>
        <v>P017</v>
      </c>
      <c r="H1372" s="39" t="str">
        <f aca="false">IF(ISNUMBER(MATCH(G1372,Products!$A$5:$A$24,0)),"OK","Mismatch")</f>
        <v>OK</v>
      </c>
      <c r="I1372" s="39" t="str">
        <f aca="false">IF(COUNTIF($A$5:A1372,A1372)&gt;1,"Duplicate","Unique")</f>
        <v>Unique</v>
      </c>
      <c r="J1372" s="39" t="str">
        <f aca="false">IF(I1372="Duplicate","Remove",IF(H1372="Mismatch","Exclude","Keep"))</f>
        <v>Keep</v>
      </c>
    </row>
    <row r="1373" customFormat="false" ht="15" hidden="false" customHeight="false" outlineLevel="0" collapsed="false">
      <c r="A1373" s="39" t="s">
        <v>1466</v>
      </c>
      <c r="B1373" s="40" t="n">
        <v>45849</v>
      </c>
      <c r="C1373" s="39" t="s">
        <v>107</v>
      </c>
      <c r="D1373" s="39" t="n">
        <v>4</v>
      </c>
      <c r="E1373" s="41" t="n">
        <v>33.66</v>
      </c>
      <c r="F1373" s="39" t="s">
        <v>115</v>
      </c>
      <c r="G1373" s="39" t="str">
        <f aca="false">UPPER(TRIM(C1373))</f>
        <v>P003</v>
      </c>
      <c r="H1373" s="39" t="str">
        <f aca="false">IF(ISNUMBER(MATCH(G1373,Products!$A$5:$A$24,0)),"OK","Mismatch")</f>
        <v>OK</v>
      </c>
      <c r="I1373" s="39" t="str">
        <f aca="false">IF(COUNTIF($A$5:A1373,A1373)&gt;1,"Duplicate","Unique")</f>
        <v>Unique</v>
      </c>
      <c r="J1373" s="39" t="str">
        <f aca="false">IF(I1373="Duplicate","Remove",IF(H1373="Mismatch","Exclude","Keep"))</f>
        <v>Keep</v>
      </c>
    </row>
    <row r="1374" customFormat="false" ht="15" hidden="false" customHeight="false" outlineLevel="0" collapsed="false">
      <c r="A1374" s="39" t="s">
        <v>1467</v>
      </c>
      <c r="B1374" s="40" t="n">
        <v>45850</v>
      </c>
      <c r="C1374" s="39" t="s">
        <v>112</v>
      </c>
      <c r="D1374" s="39" t="n">
        <v>1</v>
      </c>
      <c r="E1374" s="41" t="n">
        <v>53.92</v>
      </c>
      <c r="F1374" s="39" t="s">
        <v>108</v>
      </c>
      <c r="G1374" s="39" t="str">
        <f aca="false">UPPER(TRIM(C1374))</f>
        <v>P005</v>
      </c>
      <c r="H1374" s="39" t="str">
        <f aca="false">IF(ISNUMBER(MATCH(G1374,Products!$A$5:$A$24,0)),"OK","Mismatch")</f>
        <v>OK</v>
      </c>
      <c r="I1374" s="39" t="str">
        <f aca="false">IF(COUNTIF($A$5:A1374,A1374)&gt;1,"Duplicate","Unique")</f>
        <v>Unique</v>
      </c>
      <c r="J1374" s="39" t="str">
        <f aca="false">IF(I1374="Duplicate","Remove",IF(H1374="Mismatch","Exclude","Keep"))</f>
        <v>Keep</v>
      </c>
    </row>
    <row r="1375" customFormat="false" ht="15" hidden="false" customHeight="false" outlineLevel="0" collapsed="false">
      <c r="A1375" s="39" t="s">
        <v>1468</v>
      </c>
      <c r="B1375" s="40" t="n">
        <v>45850</v>
      </c>
      <c r="C1375" s="39" t="s">
        <v>133</v>
      </c>
      <c r="D1375" s="39" t="n">
        <v>1</v>
      </c>
      <c r="E1375" s="41" t="n">
        <v>8.29</v>
      </c>
      <c r="F1375" s="39" t="s">
        <v>108</v>
      </c>
      <c r="G1375" s="39" t="str">
        <f aca="false">UPPER(TRIM(C1375))</f>
        <v>P019</v>
      </c>
      <c r="H1375" s="39" t="str">
        <f aca="false">IF(ISNUMBER(MATCH(G1375,Products!$A$5:$A$24,0)),"OK","Mismatch")</f>
        <v>OK</v>
      </c>
      <c r="I1375" s="39" t="str">
        <f aca="false">IF(COUNTIF($A$5:A1375,A1375)&gt;1,"Duplicate","Unique")</f>
        <v>Unique</v>
      </c>
      <c r="J1375" s="39" t="str">
        <f aca="false">IF(I1375="Duplicate","Remove",IF(H1375="Mismatch","Exclude","Keep"))</f>
        <v>Keep</v>
      </c>
    </row>
    <row r="1376" customFormat="false" ht="15" hidden="false" customHeight="false" outlineLevel="0" collapsed="false">
      <c r="A1376" s="39" t="s">
        <v>1469</v>
      </c>
      <c r="B1376" s="40" t="n">
        <v>45850</v>
      </c>
      <c r="C1376" s="39" t="s">
        <v>114</v>
      </c>
      <c r="D1376" s="39" t="n">
        <v>2</v>
      </c>
      <c r="E1376" s="41" t="n">
        <v>5.92</v>
      </c>
      <c r="F1376" s="39" t="s">
        <v>105</v>
      </c>
      <c r="G1376" s="39" t="str">
        <f aca="false">UPPER(TRIM(C1376))</f>
        <v>P012</v>
      </c>
      <c r="H1376" s="39" t="str">
        <f aca="false">IF(ISNUMBER(MATCH(G1376,Products!$A$5:$A$24,0)),"OK","Mismatch")</f>
        <v>OK</v>
      </c>
      <c r="I1376" s="39" t="str">
        <f aca="false">IF(COUNTIF($A$5:A1376,A1376)&gt;1,"Duplicate","Unique")</f>
        <v>Unique</v>
      </c>
      <c r="J1376" s="39" t="str">
        <f aca="false">IF(I1376="Duplicate","Remove",IF(H1376="Mismatch","Exclude","Keep"))</f>
        <v>Keep</v>
      </c>
    </row>
    <row r="1377" customFormat="false" ht="15" hidden="false" customHeight="false" outlineLevel="0" collapsed="false">
      <c r="A1377" s="39" t="s">
        <v>1470</v>
      </c>
      <c r="B1377" s="40" t="n">
        <v>45850</v>
      </c>
      <c r="C1377" s="39" t="s">
        <v>110</v>
      </c>
      <c r="D1377" s="39" t="n">
        <v>1</v>
      </c>
      <c r="E1377" s="41" t="n">
        <v>13.85</v>
      </c>
      <c r="F1377" s="39" t="s">
        <v>118</v>
      </c>
      <c r="G1377" s="39" t="str">
        <f aca="false">UPPER(TRIM(C1377))</f>
        <v>P016</v>
      </c>
      <c r="H1377" s="39" t="str">
        <f aca="false">IF(ISNUMBER(MATCH(G1377,Products!$A$5:$A$24,0)),"OK","Mismatch")</f>
        <v>OK</v>
      </c>
      <c r="I1377" s="39" t="str">
        <f aca="false">IF(COUNTIF($A$5:A1377,A1377)&gt;1,"Duplicate","Unique")</f>
        <v>Unique</v>
      </c>
      <c r="J1377" s="39" t="str">
        <f aca="false">IF(I1377="Duplicate","Remove",IF(H1377="Mismatch","Exclude","Keep"))</f>
        <v>Keep</v>
      </c>
    </row>
    <row r="1378" customFormat="false" ht="15" hidden="false" customHeight="false" outlineLevel="0" collapsed="false">
      <c r="A1378" s="39" t="s">
        <v>1471</v>
      </c>
      <c r="B1378" s="40" t="n">
        <v>45850</v>
      </c>
      <c r="C1378" s="39" t="s">
        <v>112</v>
      </c>
      <c r="D1378" s="39" t="n">
        <v>3</v>
      </c>
      <c r="E1378" s="41" t="n">
        <v>50.72</v>
      </c>
      <c r="F1378" s="39" t="s">
        <v>105</v>
      </c>
      <c r="G1378" s="39" t="str">
        <f aca="false">UPPER(TRIM(C1378))</f>
        <v>P005</v>
      </c>
      <c r="H1378" s="39" t="str">
        <f aca="false">IF(ISNUMBER(MATCH(G1378,Products!$A$5:$A$24,0)),"OK","Mismatch")</f>
        <v>OK</v>
      </c>
      <c r="I1378" s="39" t="str">
        <f aca="false">IF(COUNTIF($A$5:A1378,A1378)&gt;1,"Duplicate","Unique")</f>
        <v>Unique</v>
      </c>
      <c r="J1378" s="39" t="str">
        <f aca="false">IF(I1378="Duplicate","Remove",IF(H1378="Mismatch","Exclude","Keep"))</f>
        <v>Keep</v>
      </c>
    </row>
    <row r="1379" customFormat="false" ht="15" hidden="false" customHeight="false" outlineLevel="0" collapsed="false">
      <c r="A1379" s="39" t="s">
        <v>1472</v>
      </c>
      <c r="B1379" s="40" t="n">
        <v>45850</v>
      </c>
      <c r="C1379" s="39" t="s">
        <v>162</v>
      </c>
      <c r="D1379" s="39" t="n">
        <v>4</v>
      </c>
      <c r="E1379" s="41" t="n">
        <v>64.09</v>
      </c>
      <c r="F1379" s="39" t="s">
        <v>105</v>
      </c>
      <c r="G1379" s="39" t="str">
        <f aca="false">UPPER(TRIM(C1379))</f>
        <v>P017</v>
      </c>
      <c r="H1379" s="39" t="str">
        <f aca="false">IF(ISNUMBER(MATCH(G1379,Products!$A$5:$A$24,0)),"OK","Mismatch")</f>
        <v>OK</v>
      </c>
      <c r="I1379" s="39" t="str">
        <f aca="false">IF(COUNTIF($A$5:A1379,A1379)&gt;1,"Duplicate","Unique")</f>
        <v>Unique</v>
      </c>
      <c r="J1379" s="39" t="str">
        <f aca="false">IF(I1379="Duplicate","Remove",IF(H1379="Mismatch","Exclude","Keep"))</f>
        <v>Keep</v>
      </c>
    </row>
    <row r="1380" customFormat="false" ht="15" hidden="false" customHeight="false" outlineLevel="0" collapsed="false">
      <c r="A1380" s="39" t="s">
        <v>1473</v>
      </c>
      <c r="B1380" s="40" t="n">
        <v>45850</v>
      </c>
      <c r="C1380" s="39" t="s">
        <v>136</v>
      </c>
      <c r="D1380" s="39" t="n">
        <v>4</v>
      </c>
      <c r="E1380" s="41" t="n">
        <v>78.77</v>
      </c>
      <c r="F1380" s="39" t="s">
        <v>108</v>
      </c>
      <c r="G1380" s="39" t="str">
        <f aca="false">UPPER(TRIM(C1380))</f>
        <v>P002</v>
      </c>
      <c r="H1380" s="39" t="str">
        <f aca="false">IF(ISNUMBER(MATCH(G1380,Products!$A$5:$A$24,0)),"OK","Mismatch")</f>
        <v>OK</v>
      </c>
      <c r="I1380" s="39" t="str">
        <f aca="false">IF(COUNTIF($A$5:A1380,A1380)&gt;1,"Duplicate","Unique")</f>
        <v>Unique</v>
      </c>
      <c r="J1380" s="39" t="str">
        <f aca="false">IF(I1380="Duplicate","Remove",IF(H1380="Mismatch","Exclude","Keep"))</f>
        <v>Keep</v>
      </c>
    </row>
    <row r="1381" customFormat="false" ht="15" hidden="false" customHeight="false" outlineLevel="0" collapsed="false">
      <c r="A1381" s="39" t="s">
        <v>1474</v>
      </c>
      <c r="B1381" s="40" t="n">
        <v>45850</v>
      </c>
      <c r="C1381" s="39" t="s">
        <v>133</v>
      </c>
      <c r="D1381" s="39" t="n">
        <v>3</v>
      </c>
      <c r="E1381" s="41" t="n">
        <v>8.69</v>
      </c>
      <c r="F1381" s="39" t="s">
        <v>105</v>
      </c>
      <c r="G1381" s="39" t="str">
        <f aca="false">UPPER(TRIM(C1381))</f>
        <v>P019</v>
      </c>
      <c r="H1381" s="39" t="str">
        <f aca="false">IF(ISNUMBER(MATCH(G1381,Products!$A$5:$A$24,0)),"OK","Mismatch")</f>
        <v>OK</v>
      </c>
      <c r="I1381" s="39" t="str">
        <f aca="false">IF(COUNTIF($A$5:A1381,A1381)&gt;1,"Duplicate","Unique")</f>
        <v>Unique</v>
      </c>
      <c r="J1381" s="39" t="str">
        <f aca="false">IF(I1381="Duplicate","Remove",IF(H1381="Mismatch","Exclude","Keep"))</f>
        <v>Keep</v>
      </c>
    </row>
    <row r="1382" customFormat="false" ht="15" hidden="false" customHeight="false" outlineLevel="0" collapsed="false">
      <c r="A1382" s="39" t="s">
        <v>1475</v>
      </c>
      <c r="B1382" s="40" t="n">
        <v>45850</v>
      </c>
      <c r="C1382" s="39" t="s">
        <v>169</v>
      </c>
      <c r="D1382" s="39" t="n">
        <v>2</v>
      </c>
      <c r="E1382" s="41" t="n">
        <v>27.16</v>
      </c>
      <c r="F1382" s="39" t="s">
        <v>115</v>
      </c>
      <c r="G1382" s="39" t="str">
        <f aca="false">UPPER(TRIM(C1382))</f>
        <v>P004</v>
      </c>
      <c r="H1382" s="39" t="str">
        <f aca="false">IF(ISNUMBER(MATCH(G1382,Products!$A$5:$A$24,0)),"OK","Mismatch")</f>
        <v>OK</v>
      </c>
      <c r="I1382" s="39" t="str">
        <f aca="false">IF(COUNTIF($A$5:A1382,A1382)&gt;1,"Duplicate","Unique")</f>
        <v>Unique</v>
      </c>
      <c r="J1382" s="39" t="str">
        <f aca="false">IF(I1382="Duplicate","Remove",IF(H1382="Mismatch","Exclude","Keep"))</f>
        <v>Keep</v>
      </c>
    </row>
    <row r="1383" customFormat="false" ht="15" hidden="false" customHeight="false" outlineLevel="0" collapsed="false">
      <c r="A1383" s="39" t="s">
        <v>1476</v>
      </c>
      <c r="B1383" s="40" t="n">
        <v>45850</v>
      </c>
      <c r="C1383" s="39" t="s">
        <v>114</v>
      </c>
      <c r="D1383" s="39" t="n">
        <v>2</v>
      </c>
      <c r="E1383" s="41" t="n">
        <v>5.59</v>
      </c>
      <c r="F1383" s="39" t="s">
        <v>108</v>
      </c>
      <c r="G1383" s="39" t="str">
        <f aca="false">UPPER(TRIM(C1383))</f>
        <v>P012</v>
      </c>
      <c r="H1383" s="39" t="str">
        <f aca="false">IF(ISNUMBER(MATCH(G1383,Products!$A$5:$A$24,0)),"OK","Mismatch")</f>
        <v>OK</v>
      </c>
      <c r="I1383" s="39" t="str">
        <f aca="false">IF(COUNTIF($A$5:A1383,A1383)&gt;1,"Duplicate","Unique")</f>
        <v>Unique</v>
      </c>
      <c r="J1383" s="39" t="str">
        <f aca="false">IF(I1383="Duplicate","Remove",IF(H1383="Mismatch","Exclude","Keep"))</f>
        <v>Keep</v>
      </c>
    </row>
    <row r="1384" customFormat="false" ht="15" hidden="false" customHeight="false" outlineLevel="0" collapsed="false">
      <c r="A1384" s="39" t="s">
        <v>1477</v>
      </c>
      <c r="B1384" s="40" t="n">
        <v>45850</v>
      </c>
      <c r="C1384" s="39" t="s">
        <v>114</v>
      </c>
      <c r="D1384" s="39" t="n">
        <v>1</v>
      </c>
      <c r="E1384" s="41" t="n">
        <v>5.97</v>
      </c>
      <c r="F1384" s="39" t="s">
        <v>105</v>
      </c>
      <c r="G1384" s="39" t="str">
        <f aca="false">UPPER(TRIM(C1384))</f>
        <v>P012</v>
      </c>
      <c r="H1384" s="39" t="str">
        <f aca="false">IF(ISNUMBER(MATCH(G1384,Products!$A$5:$A$24,0)),"OK","Mismatch")</f>
        <v>OK</v>
      </c>
      <c r="I1384" s="39" t="str">
        <f aca="false">IF(COUNTIF($A$5:A1384,A1384)&gt;1,"Duplicate","Unique")</f>
        <v>Unique</v>
      </c>
      <c r="J1384" s="39" t="str">
        <f aca="false">IF(I1384="Duplicate","Remove",IF(H1384="Mismatch","Exclude","Keep"))</f>
        <v>Keep</v>
      </c>
    </row>
    <row r="1385" customFormat="false" ht="15" hidden="false" customHeight="false" outlineLevel="0" collapsed="false">
      <c r="A1385" s="39" t="s">
        <v>1478</v>
      </c>
      <c r="B1385" s="40" t="n">
        <v>45850</v>
      </c>
      <c r="C1385" s="39" t="s">
        <v>107</v>
      </c>
      <c r="D1385" s="39" t="n">
        <v>4</v>
      </c>
      <c r="E1385" s="41" t="n">
        <v>33.71</v>
      </c>
      <c r="F1385" s="39" t="s">
        <v>118</v>
      </c>
      <c r="G1385" s="39" t="str">
        <f aca="false">UPPER(TRIM(C1385))</f>
        <v>P003</v>
      </c>
      <c r="H1385" s="39" t="str">
        <f aca="false">IF(ISNUMBER(MATCH(G1385,Products!$A$5:$A$24,0)),"OK","Mismatch")</f>
        <v>OK</v>
      </c>
      <c r="I1385" s="39" t="str">
        <f aca="false">IF(COUNTIF($A$5:A1385,A1385)&gt;1,"Duplicate","Unique")</f>
        <v>Unique</v>
      </c>
      <c r="J1385" s="39" t="str">
        <f aca="false">IF(I1385="Duplicate","Remove",IF(H1385="Mismatch","Exclude","Keep"))</f>
        <v>Keep</v>
      </c>
    </row>
    <row r="1386" customFormat="false" ht="15" hidden="false" customHeight="false" outlineLevel="0" collapsed="false">
      <c r="A1386" s="39" t="s">
        <v>1479</v>
      </c>
      <c r="B1386" s="40" t="n">
        <v>45850</v>
      </c>
      <c r="C1386" s="39" t="s">
        <v>169</v>
      </c>
      <c r="D1386" s="39" t="n">
        <v>2</v>
      </c>
      <c r="E1386" s="41" t="n">
        <v>28.59</v>
      </c>
      <c r="F1386" s="39" t="s">
        <v>118</v>
      </c>
      <c r="G1386" s="39" t="str">
        <f aca="false">UPPER(TRIM(C1386))</f>
        <v>P004</v>
      </c>
      <c r="H1386" s="39" t="str">
        <f aca="false">IF(ISNUMBER(MATCH(G1386,Products!$A$5:$A$24,0)),"OK","Mismatch")</f>
        <v>OK</v>
      </c>
      <c r="I1386" s="39" t="str">
        <f aca="false">IF(COUNTIF($A$5:A1386,A1386)&gt;1,"Duplicate","Unique")</f>
        <v>Unique</v>
      </c>
      <c r="J1386" s="39" t="str">
        <f aca="false">IF(I1386="Duplicate","Remove",IF(H1386="Mismatch","Exclude","Keep"))</f>
        <v>Keep</v>
      </c>
    </row>
    <row r="1387" customFormat="false" ht="15" hidden="false" customHeight="false" outlineLevel="0" collapsed="false">
      <c r="A1387" s="39" t="s">
        <v>1480</v>
      </c>
      <c r="B1387" s="40" t="n">
        <v>45851</v>
      </c>
      <c r="C1387" s="39" t="s">
        <v>144</v>
      </c>
      <c r="D1387" s="39" t="n">
        <v>3</v>
      </c>
      <c r="E1387" s="41" t="n">
        <v>57.49</v>
      </c>
      <c r="F1387" s="39" t="s">
        <v>105</v>
      </c>
      <c r="G1387" s="39" t="str">
        <f aca="false">UPPER(TRIM(C1387))</f>
        <v>P013</v>
      </c>
      <c r="H1387" s="39" t="str">
        <f aca="false">IF(ISNUMBER(MATCH(G1387,Products!$A$5:$A$24,0)),"OK","Mismatch")</f>
        <v>OK</v>
      </c>
      <c r="I1387" s="39" t="str">
        <f aca="false">IF(COUNTIF($A$5:A1387,A1387)&gt;1,"Duplicate","Unique")</f>
        <v>Unique</v>
      </c>
      <c r="J1387" s="39" t="str">
        <f aca="false">IF(I1387="Duplicate","Remove",IF(H1387="Mismatch","Exclude","Keep"))</f>
        <v>Keep</v>
      </c>
    </row>
    <row r="1388" customFormat="false" ht="15" hidden="false" customHeight="false" outlineLevel="0" collapsed="false">
      <c r="A1388" s="39" t="s">
        <v>1481</v>
      </c>
      <c r="B1388" s="40" t="n">
        <v>45851</v>
      </c>
      <c r="C1388" s="39" t="s">
        <v>110</v>
      </c>
      <c r="D1388" s="39" t="n">
        <v>3</v>
      </c>
      <c r="E1388" s="41" t="n">
        <v>12.89</v>
      </c>
      <c r="F1388" s="39" t="s">
        <v>115</v>
      </c>
      <c r="G1388" s="39" t="str">
        <f aca="false">UPPER(TRIM(C1388))</f>
        <v>P016</v>
      </c>
      <c r="H1388" s="39" t="str">
        <f aca="false">IF(ISNUMBER(MATCH(G1388,Products!$A$5:$A$24,0)),"OK","Mismatch")</f>
        <v>OK</v>
      </c>
      <c r="I1388" s="39" t="str">
        <f aca="false">IF(COUNTIF($A$5:A1388,A1388)&gt;1,"Duplicate","Unique")</f>
        <v>Unique</v>
      </c>
      <c r="J1388" s="39" t="str">
        <f aca="false">IF(I1388="Duplicate","Remove",IF(H1388="Mismatch","Exclude","Keep"))</f>
        <v>Keep</v>
      </c>
    </row>
    <row r="1389" customFormat="false" ht="15" hidden="false" customHeight="false" outlineLevel="0" collapsed="false">
      <c r="A1389" s="39" t="s">
        <v>3172</v>
      </c>
      <c r="B1389" s="40" t="n">
        <v>45851</v>
      </c>
      <c r="C1389" s="39" t="s">
        <v>3173</v>
      </c>
      <c r="D1389" s="39" t="n">
        <v>1</v>
      </c>
      <c r="E1389" s="41" t="n">
        <v>15.64</v>
      </c>
      <c r="F1389" s="39" t="s">
        <v>108</v>
      </c>
      <c r="G1389" s="39" t="str">
        <f aca="false">UPPER(TRIM(C1389))</f>
        <v>P904</v>
      </c>
      <c r="H1389" s="39" t="str">
        <f aca="false">IF(ISNUMBER(MATCH(G1389,Products!$A$5:$A$24,0)),"OK","Mismatch")</f>
        <v>Mismatch</v>
      </c>
      <c r="I1389" s="39" t="str">
        <f aca="false">IF(COUNTIF($A$5:A1389,A1389)&gt;1,"Duplicate","Unique")</f>
        <v>Unique</v>
      </c>
      <c r="J1389" s="39" t="str">
        <f aca="false">IF(I1389="Duplicate","Remove",IF(H1389="Mismatch","Exclude","Keep"))</f>
        <v>Exclude</v>
      </c>
    </row>
    <row r="1390" customFormat="false" ht="15" hidden="false" customHeight="false" outlineLevel="0" collapsed="false">
      <c r="A1390" s="39" t="s">
        <v>1482</v>
      </c>
      <c r="B1390" s="40" t="n">
        <v>45851</v>
      </c>
      <c r="C1390" s="39" t="s">
        <v>114</v>
      </c>
      <c r="D1390" s="39" t="n">
        <v>2</v>
      </c>
      <c r="E1390" s="41" t="n">
        <v>5.94</v>
      </c>
      <c r="F1390" s="39" t="s">
        <v>115</v>
      </c>
      <c r="G1390" s="39" t="str">
        <f aca="false">UPPER(TRIM(C1390))</f>
        <v>P012</v>
      </c>
      <c r="H1390" s="39" t="str">
        <f aca="false">IF(ISNUMBER(MATCH(G1390,Products!$A$5:$A$24,0)),"OK","Mismatch")</f>
        <v>OK</v>
      </c>
      <c r="I1390" s="39" t="str">
        <f aca="false">IF(COUNTIF($A$5:A1390,A1390)&gt;1,"Duplicate","Unique")</f>
        <v>Unique</v>
      </c>
      <c r="J1390" s="39" t="str">
        <f aca="false">IF(I1390="Duplicate","Remove",IF(H1390="Mismatch","Exclude","Keep"))</f>
        <v>Keep</v>
      </c>
    </row>
    <row r="1391" customFormat="false" ht="15" hidden="false" customHeight="false" outlineLevel="0" collapsed="false">
      <c r="A1391" s="39" t="s">
        <v>1482</v>
      </c>
      <c r="B1391" s="40" t="n">
        <v>45851</v>
      </c>
      <c r="C1391" s="39" t="s">
        <v>114</v>
      </c>
      <c r="D1391" s="39" t="n">
        <v>2</v>
      </c>
      <c r="E1391" s="41" t="n">
        <v>5.94</v>
      </c>
      <c r="F1391" s="39" t="s">
        <v>115</v>
      </c>
      <c r="G1391" s="39" t="str">
        <f aca="false">UPPER(TRIM(C1391))</f>
        <v>P012</v>
      </c>
      <c r="H1391" s="39" t="str">
        <f aca="false">IF(ISNUMBER(MATCH(G1391,Products!$A$5:$A$24,0)),"OK","Mismatch")</f>
        <v>OK</v>
      </c>
      <c r="I1391" s="39" t="str">
        <f aca="false">IF(COUNTIF($A$5:A1391,A1391)&gt;1,"Duplicate","Unique")</f>
        <v>Duplicate</v>
      </c>
      <c r="J1391" s="39" t="str">
        <f aca="false">IF(I1391="Duplicate","Remove",IF(H1391="Mismatch","Exclude","Keep"))</f>
        <v>Remove</v>
      </c>
    </row>
    <row r="1392" customFormat="false" ht="15" hidden="false" customHeight="false" outlineLevel="0" collapsed="false">
      <c r="A1392" s="39" t="s">
        <v>1483</v>
      </c>
      <c r="B1392" s="40" t="n">
        <v>45851</v>
      </c>
      <c r="C1392" s="39" t="s">
        <v>169</v>
      </c>
      <c r="D1392" s="39" t="n">
        <v>1</v>
      </c>
      <c r="E1392" s="41" t="n">
        <v>27.85</v>
      </c>
      <c r="F1392" s="39" t="s">
        <v>118</v>
      </c>
      <c r="G1392" s="39" t="str">
        <f aca="false">UPPER(TRIM(C1392))</f>
        <v>P004</v>
      </c>
      <c r="H1392" s="39" t="str">
        <f aca="false">IF(ISNUMBER(MATCH(G1392,Products!$A$5:$A$24,0)),"OK","Mismatch")</f>
        <v>OK</v>
      </c>
      <c r="I1392" s="39" t="str">
        <f aca="false">IF(COUNTIF($A$5:A1392,A1392)&gt;1,"Duplicate","Unique")</f>
        <v>Unique</v>
      </c>
      <c r="J1392" s="39" t="str">
        <f aca="false">IF(I1392="Duplicate","Remove",IF(H1392="Mismatch","Exclude","Keep"))</f>
        <v>Keep</v>
      </c>
    </row>
    <row r="1393" customFormat="false" ht="15" hidden="false" customHeight="false" outlineLevel="0" collapsed="false">
      <c r="A1393" s="39" t="s">
        <v>1484</v>
      </c>
      <c r="B1393" s="40" t="n">
        <v>45851</v>
      </c>
      <c r="C1393" s="39" t="s">
        <v>133</v>
      </c>
      <c r="D1393" s="39" t="n">
        <v>2</v>
      </c>
      <c r="E1393" s="41" t="n">
        <v>8.85</v>
      </c>
      <c r="F1393" s="39" t="s">
        <v>115</v>
      </c>
      <c r="G1393" s="39" t="str">
        <f aca="false">UPPER(TRIM(C1393))</f>
        <v>P019</v>
      </c>
      <c r="H1393" s="39" t="str">
        <f aca="false">IF(ISNUMBER(MATCH(G1393,Products!$A$5:$A$24,0)),"OK","Mismatch")</f>
        <v>OK</v>
      </c>
      <c r="I1393" s="39" t="str">
        <f aca="false">IF(COUNTIF($A$5:A1393,A1393)&gt;1,"Duplicate","Unique")</f>
        <v>Unique</v>
      </c>
      <c r="J1393" s="39" t="str">
        <f aca="false">IF(I1393="Duplicate","Remove",IF(H1393="Mismatch","Exclude","Keep"))</f>
        <v>Keep</v>
      </c>
    </row>
    <row r="1394" customFormat="false" ht="15" hidden="false" customHeight="false" outlineLevel="0" collapsed="false">
      <c r="A1394" s="39" t="s">
        <v>1485</v>
      </c>
      <c r="B1394" s="40" t="n">
        <v>45851</v>
      </c>
      <c r="C1394" s="39" t="s">
        <v>130</v>
      </c>
      <c r="D1394" s="39" t="n">
        <v>3</v>
      </c>
      <c r="E1394" s="41" t="n">
        <v>8.63</v>
      </c>
      <c r="F1394" s="39" t="s">
        <v>118</v>
      </c>
      <c r="G1394" s="39" t="str">
        <f aca="false">UPPER(TRIM(C1394))</f>
        <v>P011</v>
      </c>
      <c r="H1394" s="39" t="str">
        <f aca="false">IF(ISNUMBER(MATCH(G1394,Products!$A$5:$A$24,0)),"OK","Mismatch")</f>
        <v>OK</v>
      </c>
      <c r="I1394" s="39" t="str">
        <f aca="false">IF(COUNTIF($A$5:A1394,A1394)&gt;1,"Duplicate","Unique")</f>
        <v>Unique</v>
      </c>
      <c r="J1394" s="39" t="str">
        <f aca="false">IF(I1394="Duplicate","Remove",IF(H1394="Mismatch","Exclude","Keep"))</f>
        <v>Keep</v>
      </c>
    </row>
    <row r="1395" customFormat="false" ht="15" hidden="false" customHeight="false" outlineLevel="0" collapsed="false">
      <c r="A1395" s="39" t="s">
        <v>1486</v>
      </c>
      <c r="B1395" s="40" t="n">
        <v>45851</v>
      </c>
      <c r="C1395" s="39" t="s">
        <v>130</v>
      </c>
      <c r="D1395" s="39" t="n">
        <v>1</v>
      </c>
      <c r="E1395" s="41" t="n">
        <v>8.57</v>
      </c>
      <c r="F1395" s="39" t="s">
        <v>108</v>
      </c>
      <c r="G1395" s="39" t="str">
        <f aca="false">UPPER(TRIM(C1395))</f>
        <v>P011</v>
      </c>
      <c r="H1395" s="39" t="str">
        <f aca="false">IF(ISNUMBER(MATCH(G1395,Products!$A$5:$A$24,0)),"OK","Mismatch")</f>
        <v>OK</v>
      </c>
      <c r="I1395" s="39" t="str">
        <f aca="false">IF(COUNTIF($A$5:A1395,A1395)&gt;1,"Duplicate","Unique")</f>
        <v>Unique</v>
      </c>
      <c r="J1395" s="39" t="str">
        <f aca="false">IF(I1395="Duplicate","Remove",IF(H1395="Mismatch","Exclude","Keep"))</f>
        <v>Keep</v>
      </c>
    </row>
    <row r="1396" customFormat="false" ht="15" hidden="false" customHeight="false" outlineLevel="0" collapsed="false">
      <c r="A1396" s="39" t="s">
        <v>1487</v>
      </c>
      <c r="B1396" s="40" t="n">
        <v>45851</v>
      </c>
      <c r="C1396" s="39" t="s">
        <v>117</v>
      </c>
      <c r="D1396" s="39" t="n">
        <v>1</v>
      </c>
      <c r="E1396" s="41" t="n">
        <v>29.82</v>
      </c>
      <c r="F1396" s="39" t="s">
        <v>105</v>
      </c>
      <c r="G1396" s="39" t="str">
        <f aca="false">UPPER(TRIM(C1396))</f>
        <v>P009</v>
      </c>
      <c r="H1396" s="39" t="str">
        <f aca="false">IF(ISNUMBER(MATCH(G1396,Products!$A$5:$A$24,0)),"OK","Mismatch")</f>
        <v>OK</v>
      </c>
      <c r="I1396" s="39" t="str">
        <f aca="false">IF(COUNTIF($A$5:A1396,A1396)&gt;1,"Duplicate","Unique")</f>
        <v>Unique</v>
      </c>
      <c r="J1396" s="39" t="str">
        <f aca="false">IF(I1396="Duplicate","Remove",IF(H1396="Mismatch","Exclude","Keep"))</f>
        <v>Keep</v>
      </c>
    </row>
    <row r="1397" customFormat="false" ht="15" hidden="false" customHeight="false" outlineLevel="0" collapsed="false">
      <c r="A1397" s="39" t="s">
        <v>1488</v>
      </c>
      <c r="B1397" s="40" t="n">
        <v>45851</v>
      </c>
      <c r="C1397" s="39" t="s">
        <v>128</v>
      </c>
      <c r="D1397" s="39" t="n">
        <v>2</v>
      </c>
      <c r="E1397" s="41" t="n">
        <v>35.89</v>
      </c>
      <c r="F1397" s="39" t="s">
        <v>108</v>
      </c>
      <c r="G1397" s="39" t="str">
        <f aca="false">UPPER(TRIM(C1397))</f>
        <v>P020</v>
      </c>
      <c r="H1397" s="39" t="str">
        <f aca="false">IF(ISNUMBER(MATCH(G1397,Products!$A$5:$A$24,0)),"OK","Mismatch")</f>
        <v>OK</v>
      </c>
      <c r="I1397" s="39" t="str">
        <f aca="false">IF(COUNTIF($A$5:A1397,A1397)&gt;1,"Duplicate","Unique")</f>
        <v>Unique</v>
      </c>
      <c r="J1397" s="39" t="str">
        <f aca="false">IF(I1397="Duplicate","Remove",IF(H1397="Mismatch","Exclude","Keep"))</f>
        <v>Keep</v>
      </c>
    </row>
    <row r="1398" customFormat="false" ht="15" hidden="false" customHeight="false" outlineLevel="0" collapsed="false">
      <c r="A1398" s="39" t="s">
        <v>1489</v>
      </c>
      <c r="B1398" s="40" t="n">
        <v>45851</v>
      </c>
      <c r="C1398" s="39" t="s">
        <v>112</v>
      </c>
      <c r="D1398" s="39" t="n">
        <v>2</v>
      </c>
      <c r="E1398" s="41" t="n">
        <v>52.1</v>
      </c>
      <c r="F1398" s="39" t="s">
        <v>108</v>
      </c>
      <c r="G1398" s="39" t="str">
        <f aca="false">UPPER(TRIM(C1398))</f>
        <v>P005</v>
      </c>
      <c r="H1398" s="39" t="str">
        <f aca="false">IF(ISNUMBER(MATCH(G1398,Products!$A$5:$A$24,0)),"OK","Mismatch")</f>
        <v>OK</v>
      </c>
      <c r="I1398" s="39" t="str">
        <f aca="false">IF(COUNTIF($A$5:A1398,A1398)&gt;1,"Duplicate","Unique")</f>
        <v>Unique</v>
      </c>
      <c r="J1398" s="39" t="str">
        <f aca="false">IF(I1398="Duplicate","Remove",IF(H1398="Mismatch","Exclude","Keep"))</f>
        <v>Keep</v>
      </c>
    </row>
    <row r="1399" customFormat="false" ht="15" hidden="false" customHeight="false" outlineLevel="0" collapsed="false">
      <c r="A1399" s="39" t="s">
        <v>1489</v>
      </c>
      <c r="B1399" s="40" t="n">
        <v>45851</v>
      </c>
      <c r="C1399" s="39" t="s">
        <v>112</v>
      </c>
      <c r="D1399" s="39" t="n">
        <v>2</v>
      </c>
      <c r="E1399" s="41" t="n">
        <v>52.1</v>
      </c>
      <c r="F1399" s="39" t="s">
        <v>108</v>
      </c>
      <c r="G1399" s="39" t="str">
        <f aca="false">UPPER(TRIM(C1399))</f>
        <v>P005</v>
      </c>
      <c r="H1399" s="39" t="str">
        <f aca="false">IF(ISNUMBER(MATCH(G1399,Products!$A$5:$A$24,0)),"OK","Mismatch")</f>
        <v>OK</v>
      </c>
      <c r="I1399" s="39" t="str">
        <f aca="false">IF(COUNTIF($A$5:A1399,A1399)&gt;1,"Duplicate","Unique")</f>
        <v>Duplicate</v>
      </c>
      <c r="J1399" s="39" t="str">
        <f aca="false">IF(I1399="Duplicate","Remove",IF(H1399="Mismatch","Exclude","Keep"))</f>
        <v>Remove</v>
      </c>
    </row>
    <row r="1400" customFormat="false" ht="15" hidden="false" customHeight="false" outlineLevel="0" collapsed="false">
      <c r="A1400" s="39" t="s">
        <v>1490</v>
      </c>
      <c r="B1400" s="40" t="n">
        <v>45851</v>
      </c>
      <c r="C1400" s="39" t="s">
        <v>110</v>
      </c>
      <c r="D1400" s="39" t="n">
        <v>1</v>
      </c>
      <c r="E1400" s="41" t="n">
        <v>13.22</v>
      </c>
      <c r="F1400" s="39" t="s">
        <v>105</v>
      </c>
      <c r="G1400" s="39" t="str">
        <f aca="false">UPPER(TRIM(C1400))</f>
        <v>P016</v>
      </c>
      <c r="H1400" s="39" t="str">
        <f aca="false">IF(ISNUMBER(MATCH(G1400,Products!$A$5:$A$24,0)),"OK","Mismatch")</f>
        <v>OK</v>
      </c>
      <c r="I1400" s="39" t="str">
        <f aca="false">IF(COUNTIF($A$5:A1400,A1400)&gt;1,"Duplicate","Unique")</f>
        <v>Unique</v>
      </c>
      <c r="J1400" s="39" t="str">
        <f aca="false">IF(I1400="Duplicate","Remove",IF(H1400="Mismatch","Exclude","Keep"))</f>
        <v>Keep</v>
      </c>
    </row>
    <row r="1401" customFormat="false" ht="15" hidden="false" customHeight="false" outlineLevel="0" collapsed="false">
      <c r="A1401" s="39" t="s">
        <v>1491</v>
      </c>
      <c r="B1401" s="40" t="n">
        <v>45852</v>
      </c>
      <c r="C1401" s="39" t="s">
        <v>144</v>
      </c>
      <c r="D1401" s="39" t="n">
        <v>2</v>
      </c>
      <c r="E1401" s="41" t="n">
        <v>55.49</v>
      </c>
      <c r="F1401" s="39" t="s">
        <v>118</v>
      </c>
      <c r="G1401" s="39" t="str">
        <f aca="false">UPPER(TRIM(C1401))</f>
        <v>P013</v>
      </c>
      <c r="H1401" s="39" t="str">
        <f aca="false">IF(ISNUMBER(MATCH(G1401,Products!$A$5:$A$24,0)),"OK","Mismatch")</f>
        <v>OK</v>
      </c>
      <c r="I1401" s="39" t="str">
        <f aca="false">IF(COUNTIF($A$5:A1401,A1401)&gt;1,"Duplicate","Unique")</f>
        <v>Unique</v>
      </c>
      <c r="J1401" s="39" t="str">
        <f aca="false">IF(I1401="Duplicate","Remove",IF(H1401="Mismatch","Exclude","Keep"))</f>
        <v>Keep</v>
      </c>
    </row>
    <row r="1402" customFormat="false" ht="15" hidden="false" customHeight="false" outlineLevel="0" collapsed="false">
      <c r="A1402" s="39" t="s">
        <v>1492</v>
      </c>
      <c r="B1402" s="40" t="n">
        <v>45852</v>
      </c>
      <c r="C1402" s="39" t="s">
        <v>114</v>
      </c>
      <c r="D1402" s="39" t="n">
        <v>2</v>
      </c>
      <c r="E1402" s="41" t="n">
        <v>5.62</v>
      </c>
      <c r="F1402" s="39" t="s">
        <v>108</v>
      </c>
      <c r="G1402" s="39" t="str">
        <f aca="false">UPPER(TRIM(C1402))</f>
        <v>P012</v>
      </c>
      <c r="H1402" s="39" t="str">
        <f aca="false">IF(ISNUMBER(MATCH(G1402,Products!$A$5:$A$24,0)),"OK","Mismatch")</f>
        <v>OK</v>
      </c>
      <c r="I1402" s="39" t="str">
        <f aca="false">IF(COUNTIF($A$5:A1402,A1402)&gt;1,"Duplicate","Unique")</f>
        <v>Unique</v>
      </c>
      <c r="J1402" s="39" t="str">
        <f aca="false">IF(I1402="Duplicate","Remove",IF(H1402="Mismatch","Exclude","Keep"))</f>
        <v>Keep</v>
      </c>
    </row>
    <row r="1403" customFormat="false" ht="15" hidden="false" customHeight="false" outlineLevel="0" collapsed="false">
      <c r="A1403" s="39" t="s">
        <v>1493</v>
      </c>
      <c r="B1403" s="40" t="n">
        <v>45852</v>
      </c>
      <c r="C1403" s="39" t="s">
        <v>130</v>
      </c>
      <c r="D1403" s="39" t="n">
        <v>4</v>
      </c>
      <c r="E1403" s="41" t="n">
        <v>8.55</v>
      </c>
      <c r="F1403" s="39" t="s">
        <v>108</v>
      </c>
      <c r="G1403" s="39" t="str">
        <f aca="false">UPPER(TRIM(C1403))</f>
        <v>P011</v>
      </c>
      <c r="H1403" s="39" t="str">
        <f aca="false">IF(ISNUMBER(MATCH(G1403,Products!$A$5:$A$24,0)),"OK","Mismatch")</f>
        <v>OK</v>
      </c>
      <c r="I1403" s="39" t="str">
        <f aca="false">IF(COUNTIF($A$5:A1403,A1403)&gt;1,"Duplicate","Unique")</f>
        <v>Unique</v>
      </c>
      <c r="J1403" s="39" t="str">
        <f aca="false">IF(I1403="Duplicate","Remove",IF(H1403="Mismatch","Exclude","Keep"))</f>
        <v>Keep</v>
      </c>
    </row>
    <row r="1404" customFormat="false" ht="15" hidden="false" customHeight="false" outlineLevel="0" collapsed="false">
      <c r="A1404" s="39" t="s">
        <v>1494</v>
      </c>
      <c r="B1404" s="40" t="n">
        <v>45852</v>
      </c>
      <c r="C1404" s="39" t="s">
        <v>121</v>
      </c>
      <c r="D1404" s="39" t="n">
        <v>1</v>
      </c>
      <c r="E1404" s="41" t="n">
        <v>112.39</v>
      </c>
      <c r="F1404" s="39" t="s">
        <v>105</v>
      </c>
      <c r="G1404" s="39" t="str">
        <f aca="false">UPPER(TRIM(C1404))</f>
        <v>P018</v>
      </c>
      <c r="H1404" s="39" t="str">
        <f aca="false">IF(ISNUMBER(MATCH(G1404,Products!$A$5:$A$24,0)),"OK","Mismatch")</f>
        <v>OK</v>
      </c>
      <c r="I1404" s="39" t="str">
        <f aca="false">IF(COUNTIF($A$5:A1404,A1404)&gt;1,"Duplicate","Unique")</f>
        <v>Unique</v>
      </c>
      <c r="J1404" s="39" t="str">
        <f aca="false">IF(I1404="Duplicate","Remove",IF(H1404="Mismatch","Exclude","Keep"))</f>
        <v>Keep</v>
      </c>
    </row>
    <row r="1405" customFormat="false" ht="15" hidden="false" customHeight="false" outlineLevel="0" collapsed="false">
      <c r="A1405" s="39" t="s">
        <v>1495</v>
      </c>
      <c r="B1405" s="40" t="n">
        <v>45852</v>
      </c>
      <c r="C1405" s="39" t="s">
        <v>3170</v>
      </c>
      <c r="D1405" s="39" t="n">
        <v>1</v>
      </c>
      <c r="E1405" s="41" t="n">
        <v>119.97</v>
      </c>
      <c r="F1405" s="39" t="s">
        <v>108</v>
      </c>
      <c r="G1405" s="39" t="str">
        <f aca="false">UPPER(TRIM(C1405))</f>
        <v>P006</v>
      </c>
      <c r="H1405" s="39" t="str">
        <f aca="false">IF(ISNUMBER(MATCH(G1405,Products!$A$5:$A$24,0)),"OK","Mismatch")</f>
        <v>OK</v>
      </c>
      <c r="I1405" s="39" t="str">
        <f aca="false">IF(COUNTIF($A$5:A1405,A1405)&gt;1,"Duplicate","Unique")</f>
        <v>Unique</v>
      </c>
      <c r="J1405" s="39" t="str">
        <f aca="false">IF(I1405="Duplicate","Remove",IF(H1405="Mismatch","Exclude","Keep"))</f>
        <v>Keep</v>
      </c>
    </row>
    <row r="1406" customFormat="false" ht="15" hidden="false" customHeight="false" outlineLevel="0" collapsed="false">
      <c r="A1406" s="39" t="s">
        <v>1495</v>
      </c>
      <c r="B1406" s="40" t="n">
        <v>45852</v>
      </c>
      <c r="C1406" s="39" t="s">
        <v>3170</v>
      </c>
      <c r="D1406" s="39" t="n">
        <v>1</v>
      </c>
      <c r="E1406" s="41" t="n">
        <v>119.97</v>
      </c>
      <c r="F1406" s="39" t="s">
        <v>108</v>
      </c>
      <c r="G1406" s="39" t="str">
        <f aca="false">UPPER(TRIM(C1406))</f>
        <v>P006</v>
      </c>
      <c r="H1406" s="39" t="str">
        <f aca="false">IF(ISNUMBER(MATCH(G1406,Products!$A$5:$A$24,0)),"OK","Mismatch")</f>
        <v>OK</v>
      </c>
      <c r="I1406" s="39" t="str">
        <f aca="false">IF(COUNTIF($A$5:A1406,A1406)&gt;1,"Duplicate","Unique")</f>
        <v>Duplicate</v>
      </c>
      <c r="J1406" s="39" t="str">
        <f aca="false">IF(I1406="Duplicate","Remove",IF(H1406="Mismatch","Exclude","Keep"))</f>
        <v>Remove</v>
      </c>
    </row>
    <row r="1407" customFormat="false" ht="15" hidden="false" customHeight="false" outlineLevel="0" collapsed="false">
      <c r="A1407" s="39" t="s">
        <v>1496</v>
      </c>
      <c r="B1407" s="40" t="n">
        <v>45852</v>
      </c>
      <c r="C1407" s="39" t="s">
        <v>139</v>
      </c>
      <c r="D1407" s="39" t="n">
        <v>2</v>
      </c>
      <c r="E1407" s="41" t="n">
        <v>128.04</v>
      </c>
      <c r="F1407" s="39" t="s">
        <v>108</v>
      </c>
      <c r="G1407" s="39" t="str">
        <f aca="false">UPPER(TRIM(C1407))</f>
        <v>P006</v>
      </c>
      <c r="H1407" s="39" t="str">
        <f aca="false">IF(ISNUMBER(MATCH(G1407,Products!$A$5:$A$24,0)),"OK","Mismatch")</f>
        <v>OK</v>
      </c>
      <c r="I1407" s="39" t="str">
        <f aca="false">IF(COUNTIF($A$5:A1407,A1407)&gt;1,"Duplicate","Unique")</f>
        <v>Unique</v>
      </c>
      <c r="J1407" s="39" t="str">
        <f aca="false">IF(I1407="Duplicate","Remove",IF(H1407="Mismatch","Exclude","Keep"))</f>
        <v>Keep</v>
      </c>
    </row>
    <row r="1408" customFormat="false" ht="15" hidden="false" customHeight="false" outlineLevel="0" collapsed="false">
      <c r="A1408" s="39" t="s">
        <v>1497</v>
      </c>
      <c r="B1408" s="40" t="n">
        <v>45852</v>
      </c>
      <c r="C1408" s="39" t="s">
        <v>169</v>
      </c>
      <c r="D1408" s="39" t="n">
        <v>1</v>
      </c>
      <c r="E1408" s="41" t="n">
        <v>26.71</v>
      </c>
      <c r="F1408" s="39" t="s">
        <v>118</v>
      </c>
      <c r="G1408" s="39" t="str">
        <f aca="false">UPPER(TRIM(C1408))</f>
        <v>P004</v>
      </c>
      <c r="H1408" s="39" t="str">
        <f aca="false">IF(ISNUMBER(MATCH(G1408,Products!$A$5:$A$24,0)),"OK","Mismatch")</f>
        <v>OK</v>
      </c>
      <c r="I1408" s="39" t="str">
        <f aca="false">IF(COUNTIF($A$5:A1408,A1408)&gt;1,"Duplicate","Unique")</f>
        <v>Unique</v>
      </c>
      <c r="J1408" s="39" t="str">
        <f aca="false">IF(I1408="Duplicate","Remove",IF(H1408="Mismatch","Exclude","Keep"))</f>
        <v>Keep</v>
      </c>
    </row>
    <row r="1409" customFormat="false" ht="15" hidden="false" customHeight="false" outlineLevel="0" collapsed="false">
      <c r="A1409" s="39" t="s">
        <v>1498</v>
      </c>
      <c r="B1409" s="40" t="n">
        <v>45852</v>
      </c>
      <c r="C1409" s="39" t="s">
        <v>117</v>
      </c>
      <c r="D1409" s="39" t="n">
        <v>3</v>
      </c>
      <c r="E1409" s="41" t="n">
        <v>30.64</v>
      </c>
      <c r="F1409" s="39" t="s">
        <v>118</v>
      </c>
      <c r="G1409" s="39" t="str">
        <f aca="false">UPPER(TRIM(C1409))</f>
        <v>P009</v>
      </c>
      <c r="H1409" s="39" t="str">
        <f aca="false">IF(ISNUMBER(MATCH(G1409,Products!$A$5:$A$24,0)),"OK","Mismatch")</f>
        <v>OK</v>
      </c>
      <c r="I1409" s="39" t="str">
        <f aca="false">IF(COUNTIF($A$5:A1409,A1409)&gt;1,"Duplicate","Unique")</f>
        <v>Unique</v>
      </c>
      <c r="J1409" s="39" t="str">
        <f aca="false">IF(I1409="Duplicate","Remove",IF(H1409="Mismatch","Exclude","Keep"))</f>
        <v>Keep</v>
      </c>
    </row>
    <row r="1410" customFormat="false" ht="15" hidden="false" customHeight="false" outlineLevel="0" collapsed="false">
      <c r="A1410" s="39" t="s">
        <v>1499</v>
      </c>
      <c r="B1410" s="40" t="n">
        <v>45852</v>
      </c>
      <c r="C1410" s="39" t="s">
        <v>110</v>
      </c>
      <c r="D1410" s="39" t="n">
        <v>6</v>
      </c>
      <c r="E1410" s="41" t="n">
        <v>12.94</v>
      </c>
      <c r="F1410" s="39" t="s">
        <v>108</v>
      </c>
      <c r="G1410" s="39" t="str">
        <f aca="false">UPPER(TRIM(C1410))</f>
        <v>P016</v>
      </c>
      <c r="H1410" s="39" t="str">
        <f aca="false">IF(ISNUMBER(MATCH(G1410,Products!$A$5:$A$24,0)),"OK","Mismatch")</f>
        <v>OK</v>
      </c>
      <c r="I1410" s="39" t="str">
        <f aca="false">IF(COUNTIF($A$5:A1410,A1410)&gt;1,"Duplicate","Unique")</f>
        <v>Unique</v>
      </c>
      <c r="J1410" s="39" t="str">
        <f aca="false">IF(I1410="Duplicate","Remove",IF(H1410="Mismatch","Exclude","Keep"))</f>
        <v>Keep</v>
      </c>
    </row>
    <row r="1411" customFormat="false" ht="15" hidden="false" customHeight="false" outlineLevel="0" collapsed="false">
      <c r="A1411" s="39" t="s">
        <v>1500</v>
      </c>
      <c r="B1411" s="40" t="n">
        <v>45853</v>
      </c>
      <c r="C1411" s="39" t="s">
        <v>104</v>
      </c>
      <c r="D1411" s="39" t="n">
        <v>1</v>
      </c>
      <c r="E1411" s="41" t="n">
        <v>15.78</v>
      </c>
      <c r="F1411" s="39" t="s">
        <v>115</v>
      </c>
      <c r="G1411" s="39" t="str">
        <f aca="false">UPPER(TRIM(C1411))</f>
        <v>P015</v>
      </c>
      <c r="H1411" s="39" t="str">
        <f aca="false">IF(ISNUMBER(MATCH(G1411,Products!$A$5:$A$24,0)),"OK","Mismatch")</f>
        <v>OK</v>
      </c>
      <c r="I1411" s="39" t="str">
        <f aca="false">IF(COUNTIF($A$5:A1411,A1411)&gt;1,"Duplicate","Unique")</f>
        <v>Unique</v>
      </c>
      <c r="J1411" s="39" t="str">
        <f aca="false">IF(I1411="Duplicate","Remove",IF(H1411="Mismatch","Exclude","Keep"))</f>
        <v>Keep</v>
      </c>
    </row>
    <row r="1412" customFormat="false" ht="15" hidden="false" customHeight="false" outlineLevel="0" collapsed="false">
      <c r="A1412" s="39" t="s">
        <v>1501</v>
      </c>
      <c r="B1412" s="40" t="n">
        <v>45853</v>
      </c>
      <c r="C1412" s="39" t="s">
        <v>104</v>
      </c>
      <c r="D1412" s="39" t="n">
        <v>1</v>
      </c>
      <c r="E1412" s="41" t="n">
        <v>15.62</v>
      </c>
      <c r="F1412" s="39" t="s">
        <v>108</v>
      </c>
      <c r="G1412" s="39" t="str">
        <f aca="false">UPPER(TRIM(C1412))</f>
        <v>P015</v>
      </c>
      <c r="H1412" s="39" t="str">
        <f aca="false">IF(ISNUMBER(MATCH(G1412,Products!$A$5:$A$24,0)),"OK","Mismatch")</f>
        <v>OK</v>
      </c>
      <c r="I1412" s="39" t="str">
        <f aca="false">IF(COUNTIF($A$5:A1412,A1412)&gt;1,"Duplicate","Unique")</f>
        <v>Unique</v>
      </c>
      <c r="J1412" s="39" t="str">
        <f aca="false">IF(I1412="Duplicate","Remove",IF(H1412="Mismatch","Exclude","Keep"))</f>
        <v>Keep</v>
      </c>
    </row>
    <row r="1413" customFormat="false" ht="15" hidden="false" customHeight="false" outlineLevel="0" collapsed="false">
      <c r="A1413" s="39" t="s">
        <v>1502</v>
      </c>
      <c r="B1413" s="40" t="n">
        <v>45853</v>
      </c>
      <c r="C1413" s="39" t="s">
        <v>126</v>
      </c>
      <c r="D1413" s="39" t="n">
        <v>3</v>
      </c>
      <c r="E1413" s="41" t="n">
        <v>23.74</v>
      </c>
      <c r="F1413" s="39" t="s">
        <v>108</v>
      </c>
      <c r="G1413" s="39" t="str">
        <f aca="false">UPPER(TRIM(C1413))</f>
        <v>P001</v>
      </c>
      <c r="H1413" s="39" t="str">
        <f aca="false">IF(ISNUMBER(MATCH(G1413,Products!$A$5:$A$24,0)),"OK","Mismatch")</f>
        <v>OK</v>
      </c>
      <c r="I1413" s="39" t="str">
        <f aca="false">IF(COUNTIF($A$5:A1413,A1413)&gt;1,"Duplicate","Unique")</f>
        <v>Unique</v>
      </c>
      <c r="J1413" s="39" t="str">
        <f aca="false">IF(I1413="Duplicate","Remove",IF(H1413="Mismatch","Exclude","Keep"))</f>
        <v>Keep</v>
      </c>
    </row>
    <row r="1414" customFormat="false" ht="15" hidden="false" customHeight="false" outlineLevel="0" collapsed="false">
      <c r="A1414" s="39" t="s">
        <v>1503</v>
      </c>
      <c r="B1414" s="40" t="n">
        <v>45853</v>
      </c>
      <c r="C1414" s="39" t="s">
        <v>162</v>
      </c>
      <c r="D1414" s="39" t="n">
        <v>6</v>
      </c>
      <c r="E1414" s="41" t="n">
        <v>64.27</v>
      </c>
      <c r="F1414" s="39" t="s">
        <v>115</v>
      </c>
      <c r="G1414" s="39" t="str">
        <f aca="false">UPPER(TRIM(C1414))</f>
        <v>P017</v>
      </c>
      <c r="H1414" s="39" t="str">
        <f aca="false">IF(ISNUMBER(MATCH(G1414,Products!$A$5:$A$24,0)),"OK","Mismatch")</f>
        <v>OK</v>
      </c>
      <c r="I1414" s="39" t="str">
        <f aca="false">IF(COUNTIF($A$5:A1414,A1414)&gt;1,"Duplicate","Unique")</f>
        <v>Unique</v>
      </c>
      <c r="J1414" s="39" t="str">
        <f aca="false">IF(I1414="Duplicate","Remove",IF(H1414="Mismatch","Exclude","Keep"))</f>
        <v>Keep</v>
      </c>
    </row>
    <row r="1415" customFormat="false" ht="15" hidden="false" customHeight="false" outlineLevel="0" collapsed="false">
      <c r="A1415" s="39" t="s">
        <v>1504</v>
      </c>
      <c r="B1415" s="40" t="n">
        <v>45853</v>
      </c>
      <c r="C1415" s="39" t="s">
        <v>114</v>
      </c>
      <c r="D1415" s="39" t="n">
        <v>1</v>
      </c>
      <c r="E1415" s="41" t="n">
        <v>5.64</v>
      </c>
      <c r="F1415" s="39" t="s">
        <v>115</v>
      </c>
      <c r="G1415" s="39" t="str">
        <f aca="false">UPPER(TRIM(C1415))</f>
        <v>P012</v>
      </c>
      <c r="H1415" s="39" t="str">
        <f aca="false">IF(ISNUMBER(MATCH(G1415,Products!$A$5:$A$24,0)),"OK","Mismatch")</f>
        <v>OK</v>
      </c>
      <c r="I1415" s="39" t="str">
        <f aca="false">IF(COUNTIF($A$5:A1415,A1415)&gt;1,"Duplicate","Unique")</f>
        <v>Unique</v>
      </c>
      <c r="J1415" s="39" t="str">
        <f aca="false">IF(I1415="Duplicate","Remove",IF(H1415="Mismatch","Exclude","Keep"))</f>
        <v>Keep</v>
      </c>
    </row>
    <row r="1416" customFormat="false" ht="15" hidden="false" customHeight="false" outlineLevel="0" collapsed="false">
      <c r="A1416" s="39" t="s">
        <v>1505</v>
      </c>
      <c r="B1416" s="40" t="n">
        <v>45853</v>
      </c>
      <c r="C1416" s="39" t="s">
        <v>130</v>
      </c>
      <c r="D1416" s="39" t="n">
        <v>1</v>
      </c>
      <c r="E1416" s="41" t="n">
        <v>8.83</v>
      </c>
      <c r="F1416" s="39" t="s">
        <v>118</v>
      </c>
      <c r="G1416" s="39" t="str">
        <f aca="false">UPPER(TRIM(C1416))</f>
        <v>P011</v>
      </c>
      <c r="H1416" s="39" t="str">
        <f aca="false">IF(ISNUMBER(MATCH(G1416,Products!$A$5:$A$24,0)),"OK","Mismatch")</f>
        <v>OK</v>
      </c>
      <c r="I1416" s="39" t="str">
        <f aca="false">IF(COUNTIF($A$5:A1416,A1416)&gt;1,"Duplicate","Unique")</f>
        <v>Unique</v>
      </c>
      <c r="J1416" s="39" t="str">
        <f aca="false">IF(I1416="Duplicate","Remove",IF(H1416="Mismatch","Exclude","Keep"))</f>
        <v>Keep</v>
      </c>
    </row>
    <row r="1417" customFormat="false" ht="15" hidden="false" customHeight="false" outlineLevel="0" collapsed="false">
      <c r="A1417" s="39" t="s">
        <v>1506</v>
      </c>
      <c r="B1417" s="40" t="n">
        <v>45853</v>
      </c>
      <c r="C1417" s="39" t="s">
        <v>133</v>
      </c>
      <c r="D1417" s="39" t="n">
        <v>6</v>
      </c>
      <c r="E1417" s="41" t="n">
        <v>8.94</v>
      </c>
      <c r="F1417" s="39" t="s">
        <v>105</v>
      </c>
      <c r="G1417" s="39" t="str">
        <f aca="false">UPPER(TRIM(C1417))</f>
        <v>P019</v>
      </c>
      <c r="H1417" s="39" t="str">
        <f aca="false">IF(ISNUMBER(MATCH(G1417,Products!$A$5:$A$24,0)),"OK","Mismatch")</f>
        <v>OK</v>
      </c>
      <c r="I1417" s="39" t="str">
        <f aca="false">IF(COUNTIF($A$5:A1417,A1417)&gt;1,"Duplicate","Unique")</f>
        <v>Unique</v>
      </c>
      <c r="J1417" s="39" t="str">
        <f aca="false">IF(I1417="Duplicate","Remove",IF(H1417="Mismatch","Exclude","Keep"))</f>
        <v>Keep</v>
      </c>
    </row>
    <row r="1418" customFormat="false" ht="15" hidden="false" customHeight="false" outlineLevel="0" collapsed="false">
      <c r="A1418" s="39" t="s">
        <v>1507</v>
      </c>
      <c r="B1418" s="40" t="n">
        <v>45853</v>
      </c>
      <c r="C1418" s="39" t="s">
        <v>177</v>
      </c>
      <c r="D1418" s="39" t="n">
        <v>6</v>
      </c>
      <c r="E1418" s="41" t="n">
        <v>42.54</v>
      </c>
      <c r="F1418" s="39" t="s">
        <v>115</v>
      </c>
      <c r="G1418" s="39" t="str">
        <f aca="false">UPPER(TRIM(C1418))</f>
        <v>P014</v>
      </c>
      <c r="H1418" s="39" t="str">
        <f aca="false">IF(ISNUMBER(MATCH(G1418,Products!$A$5:$A$24,0)),"OK","Mismatch")</f>
        <v>OK</v>
      </c>
      <c r="I1418" s="39" t="str">
        <f aca="false">IF(COUNTIF($A$5:A1418,A1418)&gt;1,"Duplicate","Unique")</f>
        <v>Unique</v>
      </c>
      <c r="J1418" s="39" t="str">
        <f aca="false">IF(I1418="Duplicate","Remove",IF(H1418="Mismatch","Exclude","Keep"))</f>
        <v>Keep</v>
      </c>
    </row>
    <row r="1419" customFormat="false" ht="15" hidden="false" customHeight="false" outlineLevel="0" collapsed="false">
      <c r="A1419" s="39" t="s">
        <v>1508</v>
      </c>
      <c r="B1419" s="40" t="n">
        <v>45853</v>
      </c>
      <c r="C1419" s="39" t="s">
        <v>112</v>
      </c>
      <c r="D1419" s="39" t="n">
        <v>2</v>
      </c>
      <c r="E1419" s="41" t="n">
        <v>54.3</v>
      </c>
      <c r="F1419" s="39" t="s">
        <v>115</v>
      </c>
      <c r="G1419" s="39" t="str">
        <f aca="false">UPPER(TRIM(C1419))</f>
        <v>P005</v>
      </c>
      <c r="H1419" s="39" t="str">
        <f aca="false">IF(ISNUMBER(MATCH(G1419,Products!$A$5:$A$24,0)),"OK","Mismatch")</f>
        <v>OK</v>
      </c>
      <c r="I1419" s="39" t="str">
        <f aca="false">IF(COUNTIF($A$5:A1419,A1419)&gt;1,"Duplicate","Unique")</f>
        <v>Unique</v>
      </c>
      <c r="J1419" s="39" t="str">
        <f aca="false">IF(I1419="Duplicate","Remove",IF(H1419="Mismatch","Exclude","Keep"))</f>
        <v>Keep</v>
      </c>
    </row>
    <row r="1420" customFormat="false" ht="15" hidden="false" customHeight="false" outlineLevel="0" collapsed="false">
      <c r="A1420" s="39" t="s">
        <v>1509</v>
      </c>
      <c r="B1420" s="40" t="n">
        <v>45853</v>
      </c>
      <c r="C1420" s="39" t="s">
        <v>112</v>
      </c>
      <c r="D1420" s="39" t="n">
        <v>2</v>
      </c>
      <c r="E1420" s="41" t="n">
        <v>54.04</v>
      </c>
      <c r="F1420" s="39" t="s">
        <v>105</v>
      </c>
      <c r="G1420" s="39" t="str">
        <f aca="false">UPPER(TRIM(C1420))</f>
        <v>P005</v>
      </c>
      <c r="H1420" s="39" t="str">
        <f aca="false">IF(ISNUMBER(MATCH(G1420,Products!$A$5:$A$24,0)),"OK","Mismatch")</f>
        <v>OK</v>
      </c>
      <c r="I1420" s="39" t="str">
        <f aca="false">IF(COUNTIF($A$5:A1420,A1420)&gt;1,"Duplicate","Unique")</f>
        <v>Unique</v>
      </c>
      <c r="J1420" s="39" t="str">
        <f aca="false">IF(I1420="Duplicate","Remove",IF(H1420="Mismatch","Exclude","Keep"))</f>
        <v>Keep</v>
      </c>
    </row>
    <row r="1421" customFormat="false" ht="15" hidden="false" customHeight="false" outlineLevel="0" collapsed="false">
      <c r="A1421" s="39" t="s">
        <v>1510</v>
      </c>
      <c r="B1421" s="40" t="n">
        <v>45853</v>
      </c>
      <c r="C1421" s="39" t="s">
        <v>128</v>
      </c>
      <c r="D1421" s="39" t="n">
        <v>4</v>
      </c>
      <c r="E1421" s="41" t="n">
        <v>37.96</v>
      </c>
      <c r="F1421" s="39" t="s">
        <v>118</v>
      </c>
      <c r="G1421" s="39" t="str">
        <f aca="false">UPPER(TRIM(C1421))</f>
        <v>P020</v>
      </c>
      <c r="H1421" s="39" t="str">
        <f aca="false">IF(ISNUMBER(MATCH(G1421,Products!$A$5:$A$24,0)),"OK","Mismatch")</f>
        <v>OK</v>
      </c>
      <c r="I1421" s="39" t="str">
        <f aca="false">IF(COUNTIF($A$5:A1421,A1421)&gt;1,"Duplicate","Unique")</f>
        <v>Unique</v>
      </c>
      <c r="J1421" s="39" t="str">
        <f aca="false">IF(I1421="Duplicate","Remove",IF(H1421="Mismatch","Exclude","Keep"))</f>
        <v>Keep</v>
      </c>
    </row>
    <row r="1422" customFormat="false" ht="15" hidden="false" customHeight="false" outlineLevel="0" collapsed="false">
      <c r="A1422" s="39" t="s">
        <v>1511</v>
      </c>
      <c r="B1422" s="40" t="n">
        <v>45853</v>
      </c>
      <c r="C1422" s="39" t="s">
        <v>107</v>
      </c>
      <c r="D1422" s="39" t="n">
        <v>5</v>
      </c>
      <c r="E1422" s="41" t="n">
        <v>34.36</v>
      </c>
      <c r="F1422" s="39" t="s">
        <v>105</v>
      </c>
      <c r="G1422" s="39" t="str">
        <f aca="false">UPPER(TRIM(C1422))</f>
        <v>P003</v>
      </c>
      <c r="H1422" s="39" t="str">
        <f aca="false">IF(ISNUMBER(MATCH(G1422,Products!$A$5:$A$24,0)),"OK","Mismatch")</f>
        <v>OK</v>
      </c>
      <c r="I1422" s="39" t="str">
        <f aca="false">IF(COUNTIF($A$5:A1422,A1422)&gt;1,"Duplicate","Unique")</f>
        <v>Unique</v>
      </c>
      <c r="J1422" s="39" t="str">
        <f aca="false">IF(I1422="Duplicate","Remove",IF(H1422="Mismatch","Exclude","Keep"))</f>
        <v>Keep</v>
      </c>
    </row>
    <row r="1423" customFormat="false" ht="15" hidden="false" customHeight="false" outlineLevel="0" collapsed="false">
      <c r="A1423" s="39" t="s">
        <v>1512</v>
      </c>
      <c r="B1423" s="40" t="n">
        <v>45854</v>
      </c>
      <c r="C1423" s="39" t="s">
        <v>177</v>
      </c>
      <c r="D1423" s="39" t="n">
        <v>2</v>
      </c>
      <c r="E1423" s="41" t="n">
        <v>42.18</v>
      </c>
      <c r="F1423" s="39" t="s">
        <v>115</v>
      </c>
      <c r="G1423" s="39" t="str">
        <f aca="false">UPPER(TRIM(C1423))</f>
        <v>P014</v>
      </c>
      <c r="H1423" s="39" t="str">
        <f aca="false">IF(ISNUMBER(MATCH(G1423,Products!$A$5:$A$24,0)),"OK","Mismatch")</f>
        <v>OK</v>
      </c>
      <c r="I1423" s="39" t="str">
        <f aca="false">IF(COUNTIF($A$5:A1423,A1423)&gt;1,"Duplicate","Unique")</f>
        <v>Unique</v>
      </c>
      <c r="J1423" s="39" t="str">
        <f aca="false">IF(I1423="Duplicate","Remove",IF(H1423="Mismatch","Exclude","Keep"))</f>
        <v>Keep</v>
      </c>
    </row>
    <row r="1424" customFormat="false" ht="15" hidden="false" customHeight="false" outlineLevel="0" collapsed="false">
      <c r="A1424" s="39" t="s">
        <v>1513</v>
      </c>
      <c r="B1424" s="40" t="n">
        <v>45854</v>
      </c>
      <c r="C1424" s="39" t="s">
        <v>126</v>
      </c>
      <c r="D1424" s="39" t="n">
        <v>2</v>
      </c>
      <c r="E1424" s="41" t="n">
        <v>24.96</v>
      </c>
      <c r="F1424" s="39" t="s">
        <v>105</v>
      </c>
      <c r="G1424" s="39" t="str">
        <f aca="false">UPPER(TRIM(C1424))</f>
        <v>P001</v>
      </c>
      <c r="H1424" s="39" t="str">
        <f aca="false">IF(ISNUMBER(MATCH(G1424,Products!$A$5:$A$24,0)),"OK","Mismatch")</f>
        <v>OK</v>
      </c>
      <c r="I1424" s="39" t="str">
        <f aca="false">IF(COUNTIF($A$5:A1424,A1424)&gt;1,"Duplicate","Unique")</f>
        <v>Unique</v>
      </c>
      <c r="J1424" s="39" t="str">
        <f aca="false">IF(I1424="Duplicate","Remove",IF(H1424="Mismatch","Exclude","Keep"))</f>
        <v>Keep</v>
      </c>
    </row>
    <row r="1425" customFormat="false" ht="15" hidden="false" customHeight="false" outlineLevel="0" collapsed="false">
      <c r="A1425" s="39" t="s">
        <v>1514</v>
      </c>
      <c r="B1425" s="40" t="n">
        <v>45854</v>
      </c>
      <c r="C1425" s="39" t="s">
        <v>177</v>
      </c>
      <c r="D1425" s="39" t="n">
        <v>2</v>
      </c>
      <c r="E1425" s="41" t="n">
        <v>43.39</v>
      </c>
      <c r="F1425" s="39" t="s">
        <v>105</v>
      </c>
      <c r="G1425" s="39" t="str">
        <f aca="false">UPPER(TRIM(C1425))</f>
        <v>P014</v>
      </c>
      <c r="H1425" s="39" t="str">
        <f aca="false">IF(ISNUMBER(MATCH(G1425,Products!$A$5:$A$24,0)),"OK","Mismatch")</f>
        <v>OK</v>
      </c>
      <c r="I1425" s="39" t="str">
        <f aca="false">IF(COUNTIF($A$5:A1425,A1425)&gt;1,"Duplicate","Unique")</f>
        <v>Unique</v>
      </c>
      <c r="J1425" s="39" t="str">
        <f aca="false">IF(I1425="Duplicate","Remove",IF(H1425="Mismatch","Exclude","Keep"))</f>
        <v>Keep</v>
      </c>
    </row>
    <row r="1426" customFormat="false" ht="15" hidden="false" customHeight="false" outlineLevel="0" collapsed="false">
      <c r="A1426" s="39" t="s">
        <v>1515</v>
      </c>
      <c r="B1426" s="40" t="n">
        <v>45854</v>
      </c>
      <c r="C1426" s="39" t="s">
        <v>110</v>
      </c>
      <c r="D1426" s="39" t="n">
        <v>2</v>
      </c>
      <c r="E1426" s="41" t="n">
        <v>13.16</v>
      </c>
      <c r="F1426" s="39" t="s">
        <v>118</v>
      </c>
      <c r="G1426" s="39" t="str">
        <f aca="false">UPPER(TRIM(C1426))</f>
        <v>P016</v>
      </c>
      <c r="H1426" s="39" t="str">
        <f aca="false">IF(ISNUMBER(MATCH(G1426,Products!$A$5:$A$24,0)),"OK","Mismatch")</f>
        <v>OK</v>
      </c>
      <c r="I1426" s="39" t="str">
        <f aca="false">IF(COUNTIF($A$5:A1426,A1426)&gt;1,"Duplicate","Unique")</f>
        <v>Unique</v>
      </c>
      <c r="J1426" s="39" t="str">
        <f aca="false">IF(I1426="Duplicate","Remove",IF(H1426="Mismatch","Exclude","Keep"))</f>
        <v>Keep</v>
      </c>
    </row>
    <row r="1427" customFormat="false" ht="15" hidden="false" customHeight="false" outlineLevel="0" collapsed="false">
      <c r="A1427" s="39" t="s">
        <v>1516</v>
      </c>
      <c r="B1427" s="40" t="n">
        <v>45854</v>
      </c>
      <c r="C1427" s="39" t="s">
        <v>117</v>
      </c>
      <c r="D1427" s="39" t="n">
        <v>2</v>
      </c>
      <c r="E1427" s="41" t="n">
        <v>31.43</v>
      </c>
      <c r="F1427" s="39" t="s">
        <v>108</v>
      </c>
      <c r="G1427" s="39" t="str">
        <f aca="false">UPPER(TRIM(C1427))</f>
        <v>P009</v>
      </c>
      <c r="H1427" s="39" t="str">
        <f aca="false">IF(ISNUMBER(MATCH(G1427,Products!$A$5:$A$24,0)),"OK","Mismatch")</f>
        <v>OK</v>
      </c>
      <c r="I1427" s="39" t="str">
        <f aca="false">IF(COUNTIF($A$5:A1427,A1427)&gt;1,"Duplicate","Unique")</f>
        <v>Unique</v>
      </c>
      <c r="J1427" s="39" t="str">
        <f aca="false">IF(I1427="Duplicate","Remove",IF(H1427="Mismatch","Exclude","Keep"))</f>
        <v>Keep</v>
      </c>
    </row>
    <row r="1428" customFormat="false" ht="15" hidden="false" customHeight="false" outlineLevel="0" collapsed="false">
      <c r="A1428" s="39" t="s">
        <v>1517</v>
      </c>
      <c r="B1428" s="40" t="n">
        <v>45854</v>
      </c>
      <c r="C1428" s="39" t="s">
        <v>130</v>
      </c>
      <c r="D1428" s="39" t="n">
        <v>2</v>
      </c>
      <c r="E1428" s="41" t="n">
        <v>8.45</v>
      </c>
      <c r="F1428" s="39" t="s">
        <v>115</v>
      </c>
      <c r="G1428" s="39" t="str">
        <f aca="false">UPPER(TRIM(C1428))</f>
        <v>P011</v>
      </c>
      <c r="H1428" s="39" t="str">
        <f aca="false">IF(ISNUMBER(MATCH(G1428,Products!$A$5:$A$24,0)),"OK","Mismatch")</f>
        <v>OK</v>
      </c>
      <c r="I1428" s="39" t="str">
        <f aca="false">IF(COUNTIF($A$5:A1428,A1428)&gt;1,"Duplicate","Unique")</f>
        <v>Unique</v>
      </c>
      <c r="J1428" s="39" t="str">
        <f aca="false">IF(I1428="Duplicate","Remove",IF(H1428="Mismatch","Exclude","Keep"))</f>
        <v>Keep</v>
      </c>
    </row>
    <row r="1429" customFormat="false" ht="15" hidden="false" customHeight="false" outlineLevel="0" collapsed="false">
      <c r="A1429" s="39" t="s">
        <v>1518</v>
      </c>
      <c r="B1429" s="40" t="n">
        <v>45854</v>
      </c>
      <c r="C1429" s="39" t="s">
        <v>144</v>
      </c>
      <c r="D1429" s="39" t="n">
        <v>1</v>
      </c>
      <c r="E1429" s="41" t="n">
        <v>54.41</v>
      </c>
      <c r="F1429" s="39" t="s">
        <v>105</v>
      </c>
      <c r="G1429" s="39" t="str">
        <f aca="false">UPPER(TRIM(C1429))</f>
        <v>P013</v>
      </c>
      <c r="H1429" s="39" t="str">
        <f aca="false">IF(ISNUMBER(MATCH(G1429,Products!$A$5:$A$24,0)),"OK","Mismatch")</f>
        <v>OK</v>
      </c>
      <c r="I1429" s="39" t="str">
        <f aca="false">IF(COUNTIF($A$5:A1429,A1429)&gt;1,"Duplicate","Unique")</f>
        <v>Unique</v>
      </c>
      <c r="J1429" s="39" t="str">
        <f aca="false">IF(I1429="Duplicate","Remove",IF(H1429="Mismatch","Exclude","Keep"))</f>
        <v>Keep</v>
      </c>
    </row>
    <row r="1430" customFormat="false" ht="15" hidden="false" customHeight="false" outlineLevel="0" collapsed="false">
      <c r="A1430" s="39" t="s">
        <v>1519</v>
      </c>
      <c r="B1430" s="40" t="n">
        <v>45854</v>
      </c>
      <c r="C1430" s="39" t="s">
        <v>136</v>
      </c>
      <c r="D1430" s="39" t="n">
        <v>1</v>
      </c>
      <c r="E1430" s="41" t="n">
        <v>73.39</v>
      </c>
      <c r="F1430" s="39" t="s">
        <v>105</v>
      </c>
      <c r="G1430" s="39" t="str">
        <f aca="false">UPPER(TRIM(C1430))</f>
        <v>P002</v>
      </c>
      <c r="H1430" s="39" t="str">
        <f aca="false">IF(ISNUMBER(MATCH(G1430,Products!$A$5:$A$24,0)),"OK","Mismatch")</f>
        <v>OK</v>
      </c>
      <c r="I1430" s="39" t="str">
        <f aca="false">IF(COUNTIF($A$5:A1430,A1430)&gt;1,"Duplicate","Unique")</f>
        <v>Unique</v>
      </c>
      <c r="J1430" s="39" t="str">
        <f aca="false">IF(I1430="Duplicate","Remove",IF(H1430="Mismatch","Exclude","Keep"))</f>
        <v>Keep</v>
      </c>
    </row>
    <row r="1431" customFormat="false" ht="15" hidden="false" customHeight="false" outlineLevel="0" collapsed="false">
      <c r="A1431" s="39" t="s">
        <v>1520</v>
      </c>
      <c r="B1431" s="40" t="n">
        <v>45854</v>
      </c>
      <c r="C1431" s="39" t="s">
        <v>114</v>
      </c>
      <c r="D1431" s="39" t="n">
        <v>3</v>
      </c>
      <c r="E1431" s="41" t="n">
        <v>5.82</v>
      </c>
      <c r="F1431" s="39" t="s">
        <v>118</v>
      </c>
      <c r="G1431" s="39" t="str">
        <f aca="false">UPPER(TRIM(C1431))</f>
        <v>P012</v>
      </c>
      <c r="H1431" s="39" t="str">
        <f aca="false">IF(ISNUMBER(MATCH(G1431,Products!$A$5:$A$24,0)),"OK","Mismatch")</f>
        <v>OK</v>
      </c>
      <c r="I1431" s="39" t="str">
        <f aca="false">IF(COUNTIF($A$5:A1431,A1431)&gt;1,"Duplicate","Unique")</f>
        <v>Unique</v>
      </c>
      <c r="J1431" s="39" t="str">
        <f aca="false">IF(I1431="Duplicate","Remove",IF(H1431="Mismatch","Exclude","Keep"))</f>
        <v>Keep</v>
      </c>
    </row>
    <row r="1432" customFormat="false" ht="15" hidden="false" customHeight="false" outlineLevel="0" collapsed="false">
      <c r="A1432" s="39" t="s">
        <v>1521</v>
      </c>
      <c r="B1432" s="40" t="n">
        <v>45854</v>
      </c>
      <c r="C1432" s="39" t="s">
        <v>110</v>
      </c>
      <c r="D1432" s="39" t="n">
        <v>1</v>
      </c>
      <c r="E1432" s="41" t="n">
        <v>13.02</v>
      </c>
      <c r="F1432" s="39" t="s">
        <v>118</v>
      </c>
      <c r="G1432" s="39" t="str">
        <f aca="false">UPPER(TRIM(C1432))</f>
        <v>P016</v>
      </c>
      <c r="H1432" s="39" t="str">
        <f aca="false">IF(ISNUMBER(MATCH(G1432,Products!$A$5:$A$24,0)),"OK","Mismatch")</f>
        <v>OK</v>
      </c>
      <c r="I1432" s="39" t="str">
        <f aca="false">IF(COUNTIF($A$5:A1432,A1432)&gt;1,"Duplicate","Unique")</f>
        <v>Unique</v>
      </c>
      <c r="J1432" s="39" t="str">
        <f aca="false">IF(I1432="Duplicate","Remove",IF(H1432="Mismatch","Exclude","Keep"))</f>
        <v>Keep</v>
      </c>
    </row>
    <row r="1433" customFormat="false" ht="15" hidden="false" customHeight="false" outlineLevel="0" collapsed="false">
      <c r="A1433" s="39" t="s">
        <v>1522</v>
      </c>
      <c r="B1433" s="40" t="n">
        <v>45854</v>
      </c>
      <c r="C1433" s="39" t="s">
        <v>169</v>
      </c>
      <c r="D1433" s="39" t="n">
        <v>1</v>
      </c>
      <c r="E1433" s="41" t="n">
        <v>27.7</v>
      </c>
      <c r="F1433" s="39" t="s">
        <v>115</v>
      </c>
      <c r="G1433" s="39" t="str">
        <f aca="false">UPPER(TRIM(C1433))</f>
        <v>P004</v>
      </c>
      <c r="H1433" s="39" t="str">
        <f aca="false">IF(ISNUMBER(MATCH(G1433,Products!$A$5:$A$24,0)),"OK","Mismatch")</f>
        <v>OK</v>
      </c>
      <c r="I1433" s="39" t="str">
        <f aca="false">IF(COUNTIF($A$5:A1433,A1433)&gt;1,"Duplicate","Unique")</f>
        <v>Unique</v>
      </c>
      <c r="J1433" s="39" t="str">
        <f aca="false">IF(I1433="Duplicate","Remove",IF(H1433="Mismatch","Exclude","Keep"))</f>
        <v>Keep</v>
      </c>
    </row>
    <row r="1434" customFormat="false" ht="15" hidden="false" customHeight="false" outlineLevel="0" collapsed="false">
      <c r="A1434" s="39" t="s">
        <v>1523</v>
      </c>
      <c r="B1434" s="40" t="n">
        <v>45855</v>
      </c>
      <c r="C1434" s="39" t="s">
        <v>177</v>
      </c>
      <c r="D1434" s="39" t="n">
        <v>2</v>
      </c>
      <c r="E1434" s="41" t="n">
        <v>41.75</v>
      </c>
      <c r="F1434" s="39" t="s">
        <v>115</v>
      </c>
      <c r="G1434" s="39" t="str">
        <f aca="false">UPPER(TRIM(C1434))</f>
        <v>P014</v>
      </c>
      <c r="H1434" s="39" t="str">
        <f aca="false">IF(ISNUMBER(MATCH(G1434,Products!$A$5:$A$24,0)),"OK","Mismatch")</f>
        <v>OK</v>
      </c>
      <c r="I1434" s="39" t="str">
        <f aca="false">IF(COUNTIF($A$5:A1434,A1434)&gt;1,"Duplicate","Unique")</f>
        <v>Unique</v>
      </c>
      <c r="J1434" s="39" t="str">
        <f aca="false">IF(I1434="Duplicate","Remove",IF(H1434="Mismatch","Exclude","Keep"))</f>
        <v>Keep</v>
      </c>
    </row>
    <row r="1435" customFormat="false" ht="15" hidden="false" customHeight="false" outlineLevel="0" collapsed="false">
      <c r="A1435" s="39" t="s">
        <v>1524</v>
      </c>
      <c r="B1435" s="40" t="n">
        <v>45855</v>
      </c>
      <c r="C1435" s="39" t="s">
        <v>130</v>
      </c>
      <c r="D1435" s="39" t="n">
        <v>3</v>
      </c>
      <c r="E1435" s="41" t="n">
        <v>8.62</v>
      </c>
      <c r="F1435" s="39" t="s">
        <v>108</v>
      </c>
      <c r="G1435" s="39" t="str">
        <f aca="false">UPPER(TRIM(C1435))</f>
        <v>P011</v>
      </c>
      <c r="H1435" s="39" t="str">
        <f aca="false">IF(ISNUMBER(MATCH(G1435,Products!$A$5:$A$24,0)),"OK","Mismatch")</f>
        <v>OK</v>
      </c>
      <c r="I1435" s="39" t="str">
        <f aca="false">IF(COUNTIF($A$5:A1435,A1435)&gt;1,"Duplicate","Unique")</f>
        <v>Unique</v>
      </c>
      <c r="J1435" s="39" t="str">
        <f aca="false">IF(I1435="Duplicate","Remove",IF(H1435="Mismatch","Exclude","Keep"))</f>
        <v>Keep</v>
      </c>
    </row>
    <row r="1436" customFormat="false" ht="15" hidden="false" customHeight="false" outlineLevel="0" collapsed="false">
      <c r="A1436" s="39" t="s">
        <v>1525</v>
      </c>
      <c r="B1436" s="40" t="n">
        <v>45855</v>
      </c>
      <c r="C1436" s="39" t="s">
        <v>305</v>
      </c>
      <c r="D1436" s="39" t="n">
        <v>1</v>
      </c>
      <c r="E1436" s="41" t="n">
        <v>345.03</v>
      </c>
      <c r="F1436" s="39" t="s">
        <v>118</v>
      </c>
      <c r="G1436" s="39" t="str">
        <f aca="false">UPPER(TRIM(C1436))</f>
        <v>P008</v>
      </c>
      <c r="H1436" s="39" t="str">
        <f aca="false">IF(ISNUMBER(MATCH(G1436,Products!$A$5:$A$24,0)),"OK","Mismatch")</f>
        <v>OK</v>
      </c>
      <c r="I1436" s="39" t="str">
        <f aca="false">IF(COUNTIF($A$5:A1436,A1436)&gt;1,"Duplicate","Unique")</f>
        <v>Unique</v>
      </c>
      <c r="J1436" s="39" t="str">
        <f aca="false">IF(I1436="Duplicate","Remove",IF(H1436="Mismatch","Exclude","Keep"))</f>
        <v>Keep</v>
      </c>
    </row>
    <row r="1437" customFormat="false" ht="15" hidden="false" customHeight="false" outlineLevel="0" collapsed="false">
      <c r="A1437" s="39" t="s">
        <v>1526</v>
      </c>
      <c r="B1437" s="40" t="n">
        <v>45855</v>
      </c>
      <c r="C1437" s="39" t="s">
        <v>144</v>
      </c>
      <c r="D1437" s="39" t="n">
        <v>1</v>
      </c>
      <c r="E1437" s="41" t="n">
        <v>58.42</v>
      </c>
      <c r="F1437" s="39" t="s">
        <v>108</v>
      </c>
      <c r="G1437" s="39" t="str">
        <f aca="false">UPPER(TRIM(C1437))</f>
        <v>P013</v>
      </c>
      <c r="H1437" s="39" t="str">
        <f aca="false">IF(ISNUMBER(MATCH(G1437,Products!$A$5:$A$24,0)),"OK","Mismatch")</f>
        <v>OK</v>
      </c>
      <c r="I1437" s="39" t="str">
        <f aca="false">IF(COUNTIF($A$5:A1437,A1437)&gt;1,"Duplicate","Unique")</f>
        <v>Unique</v>
      </c>
      <c r="J1437" s="39" t="str">
        <f aca="false">IF(I1437="Duplicate","Remove",IF(H1437="Mismatch","Exclude","Keep"))</f>
        <v>Keep</v>
      </c>
    </row>
    <row r="1438" customFormat="false" ht="15" hidden="false" customHeight="false" outlineLevel="0" collapsed="false">
      <c r="A1438" s="39" t="s">
        <v>1527</v>
      </c>
      <c r="B1438" s="40" t="n">
        <v>45855</v>
      </c>
      <c r="C1438" s="39" t="s">
        <v>104</v>
      </c>
      <c r="D1438" s="39" t="n">
        <v>8</v>
      </c>
      <c r="E1438" s="41" t="n">
        <v>15.13</v>
      </c>
      <c r="F1438" s="39" t="s">
        <v>115</v>
      </c>
      <c r="G1438" s="39" t="str">
        <f aca="false">UPPER(TRIM(C1438))</f>
        <v>P015</v>
      </c>
      <c r="H1438" s="39" t="str">
        <f aca="false">IF(ISNUMBER(MATCH(G1438,Products!$A$5:$A$24,0)),"OK","Mismatch")</f>
        <v>OK</v>
      </c>
      <c r="I1438" s="39" t="str">
        <f aca="false">IF(COUNTIF($A$5:A1438,A1438)&gt;1,"Duplicate","Unique")</f>
        <v>Unique</v>
      </c>
      <c r="J1438" s="39" t="str">
        <f aca="false">IF(I1438="Duplicate","Remove",IF(H1438="Mismatch","Exclude","Keep"))</f>
        <v>Keep</v>
      </c>
    </row>
    <row r="1439" customFormat="false" ht="15" hidden="false" customHeight="false" outlineLevel="0" collapsed="false">
      <c r="A1439" s="39" t="s">
        <v>1528</v>
      </c>
      <c r="B1439" s="40" t="n">
        <v>45855</v>
      </c>
      <c r="C1439" s="39" t="s">
        <v>177</v>
      </c>
      <c r="D1439" s="39" t="n">
        <v>2</v>
      </c>
      <c r="E1439" s="41" t="n">
        <v>43.79</v>
      </c>
      <c r="F1439" s="39" t="s">
        <v>105</v>
      </c>
      <c r="G1439" s="39" t="str">
        <f aca="false">UPPER(TRIM(C1439))</f>
        <v>P014</v>
      </c>
      <c r="H1439" s="39" t="str">
        <f aca="false">IF(ISNUMBER(MATCH(G1439,Products!$A$5:$A$24,0)),"OK","Mismatch")</f>
        <v>OK</v>
      </c>
      <c r="I1439" s="39" t="str">
        <f aca="false">IF(COUNTIF($A$5:A1439,A1439)&gt;1,"Duplicate","Unique")</f>
        <v>Unique</v>
      </c>
      <c r="J1439" s="39" t="str">
        <f aca="false">IF(I1439="Duplicate","Remove",IF(H1439="Mismatch","Exclude","Keep"))</f>
        <v>Keep</v>
      </c>
    </row>
    <row r="1440" customFormat="false" ht="15" hidden="false" customHeight="false" outlineLevel="0" collapsed="false">
      <c r="A1440" s="39" t="s">
        <v>1529</v>
      </c>
      <c r="B1440" s="40" t="n">
        <v>45856</v>
      </c>
      <c r="C1440" s="39" t="s">
        <v>177</v>
      </c>
      <c r="D1440" s="39" t="n">
        <v>6</v>
      </c>
      <c r="E1440" s="41" t="n">
        <v>42.84</v>
      </c>
      <c r="F1440" s="39" t="s">
        <v>105</v>
      </c>
      <c r="G1440" s="39" t="str">
        <f aca="false">UPPER(TRIM(C1440))</f>
        <v>P014</v>
      </c>
      <c r="H1440" s="39" t="str">
        <f aca="false">IF(ISNUMBER(MATCH(G1440,Products!$A$5:$A$24,0)),"OK","Mismatch")</f>
        <v>OK</v>
      </c>
      <c r="I1440" s="39" t="str">
        <f aca="false">IF(COUNTIF($A$5:A1440,A1440)&gt;1,"Duplicate","Unique")</f>
        <v>Unique</v>
      </c>
      <c r="J1440" s="39" t="str">
        <f aca="false">IF(I1440="Duplicate","Remove",IF(H1440="Mismatch","Exclude","Keep"))</f>
        <v>Keep</v>
      </c>
    </row>
    <row r="1441" customFormat="false" ht="15" hidden="false" customHeight="false" outlineLevel="0" collapsed="false">
      <c r="A1441" s="39" t="s">
        <v>1530</v>
      </c>
      <c r="B1441" s="40" t="n">
        <v>45856</v>
      </c>
      <c r="C1441" s="39" t="s">
        <v>177</v>
      </c>
      <c r="D1441" s="39" t="n">
        <v>5</v>
      </c>
      <c r="E1441" s="41" t="n">
        <v>44.29</v>
      </c>
      <c r="F1441" s="39" t="s">
        <v>115</v>
      </c>
      <c r="G1441" s="39" t="str">
        <f aca="false">UPPER(TRIM(C1441))</f>
        <v>P014</v>
      </c>
      <c r="H1441" s="39" t="str">
        <f aca="false">IF(ISNUMBER(MATCH(G1441,Products!$A$5:$A$24,0)),"OK","Mismatch")</f>
        <v>OK</v>
      </c>
      <c r="I1441" s="39" t="str">
        <f aca="false">IF(COUNTIF($A$5:A1441,A1441)&gt;1,"Duplicate","Unique")</f>
        <v>Unique</v>
      </c>
      <c r="J1441" s="39" t="str">
        <f aca="false">IF(I1441="Duplicate","Remove",IF(H1441="Mismatch","Exclude","Keep"))</f>
        <v>Keep</v>
      </c>
    </row>
    <row r="1442" customFormat="false" ht="15" hidden="false" customHeight="false" outlineLevel="0" collapsed="false">
      <c r="A1442" s="39" t="s">
        <v>1531</v>
      </c>
      <c r="B1442" s="40" t="n">
        <v>45856</v>
      </c>
      <c r="C1442" s="39" t="s">
        <v>114</v>
      </c>
      <c r="D1442" s="39" t="n">
        <v>1</v>
      </c>
      <c r="E1442" s="41" t="n">
        <v>5.6</v>
      </c>
      <c r="F1442" s="39" t="s">
        <v>115</v>
      </c>
      <c r="G1442" s="39" t="str">
        <f aca="false">UPPER(TRIM(C1442))</f>
        <v>P012</v>
      </c>
      <c r="H1442" s="39" t="str">
        <f aca="false">IF(ISNUMBER(MATCH(G1442,Products!$A$5:$A$24,0)),"OK","Mismatch")</f>
        <v>OK</v>
      </c>
      <c r="I1442" s="39" t="str">
        <f aca="false">IF(COUNTIF($A$5:A1442,A1442)&gt;1,"Duplicate","Unique")</f>
        <v>Unique</v>
      </c>
      <c r="J1442" s="39" t="str">
        <f aca="false">IF(I1442="Duplicate","Remove",IF(H1442="Mismatch","Exclude","Keep"))</f>
        <v>Keep</v>
      </c>
    </row>
    <row r="1443" customFormat="false" ht="15" hidden="false" customHeight="false" outlineLevel="0" collapsed="false">
      <c r="A1443" s="39" t="s">
        <v>1532</v>
      </c>
      <c r="B1443" s="40" t="n">
        <v>45856</v>
      </c>
      <c r="C1443" s="39" t="s">
        <v>107</v>
      </c>
      <c r="D1443" s="39" t="n">
        <v>5</v>
      </c>
      <c r="E1443" s="41" t="n">
        <v>34.53</v>
      </c>
      <c r="F1443" s="39" t="s">
        <v>108</v>
      </c>
      <c r="G1443" s="39" t="str">
        <f aca="false">UPPER(TRIM(C1443))</f>
        <v>P003</v>
      </c>
      <c r="H1443" s="39" t="str">
        <f aca="false">IF(ISNUMBER(MATCH(G1443,Products!$A$5:$A$24,0)),"OK","Mismatch")</f>
        <v>OK</v>
      </c>
      <c r="I1443" s="39" t="str">
        <f aca="false">IF(COUNTIF($A$5:A1443,A1443)&gt;1,"Duplicate","Unique")</f>
        <v>Unique</v>
      </c>
      <c r="J1443" s="39" t="str">
        <f aca="false">IF(I1443="Duplicate","Remove",IF(H1443="Mismatch","Exclude","Keep"))</f>
        <v>Keep</v>
      </c>
    </row>
    <row r="1444" customFormat="false" ht="15" hidden="false" customHeight="false" outlineLevel="0" collapsed="false">
      <c r="A1444" s="39" t="s">
        <v>1533</v>
      </c>
      <c r="B1444" s="40" t="n">
        <v>45856</v>
      </c>
      <c r="C1444" s="39" t="s">
        <v>110</v>
      </c>
      <c r="D1444" s="39" t="n">
        <v>2</v>
      </c>
      <c r="E1444" s="41" t="n">
        <v>13.63</v>
      </c>
      <c r="F1444" s="39" t="s">
        <v>105</v>
      </c>
      <c r="G1444" s="39" t="str">
        <f aca="false">UPPER(TRIM(C1444))</f>
        <v>P016</v>
      </c>
      <c r="H1444" s="39" t="str">
        <f aca="false">IF(ISNUMBER(MATCH(G1444,Products!$A$5:$A$24,0)),"OK","Mismatch")</f>
        <v>OK</v>
      </c>
      <c r="I1444" s="39" t="str">
        <f aca="false">IF(COUNTIF($A$5:A1444,A1444)&gt;1,"Duplicate","Unique")</f>
        <v>Unique</v>
      </c>
      <c r="J1444" s="39" t="str">
        <f aca="false">IF(I1444="Duplicate","Remove",IF(H1444="Mismatch","Exclude","Keep"))</f>
        <v>Keep</v>
      </c>
    </row>
    <row r="1445" customFormat="false" ht="15" hidden="false" customHeight="false" outlineLevel="0" collapsed="false">
      <c r="A1445" s="39" t="s">
        <v>1534</v>
      </c>
      <c r="B1445" s="40" t="n">
        <v>45857</v>
      </c>
      <c r="C1445" s="39" t="s">
        <v>177</v>
      </c>
      <c r="D1445" s="39" t="n">
        <v>1</v>
      </c>
      <c r="E1445" s="41" t="n">
        <v>41.86</v>
      </c>
      <c r="F1445" s="39" t="s">
        <v>105</v>
      </c>
      <c r="G1445" s="39" t="str">
        <f aca="false">UPPER(TRIM(C1445))</f>
        <v>P014</v>
      </c>
      <c r="H1445" s="39" t="str">
        <f aca="false">IF(ISNUMBER(MATCH(G1445,Products!$A$5:$A$24,0)),"OK","Mismatch")</f>
        <v>OK</v>
      </c>
      <c r="I1445" s="39" t="str">
        <f aca="false">IF(COUNTIF($A$5:A1445,A1445)&gt;1,"Duplicate","Unique")</f>
        <v>Unique</v>
      </c>
      <c r="J1445" s="39" t="str">
        <f aca="false">IF(I1445="Duplicate","Remove",IF(H1445="Mismatch","Exclude","Keep"))</f>
        <v>Keep</v>
      </c>
    </row>
    <row r="1446" customFormat="false" ht="15" hidden="false" customHeight="false" outlineLevel="0" collapsed="false">
      <c r="A1446" s="39" t="s">
        <v>1535</v>
      </c>
      <c r="B1446" s="40" t="n">
        <v>45857</v>
      </c>
      <c r="C1446" s="39" t="s">
        <v>169</v>
      </c>
      <c r="D1446" s="39" t="n">
        <v>1</v>
      </c>
      <c r="E1446" s="41" t="n">
        <v>28.14</v>
      </c>
      <c r="F1446" s="39" t="s">
        <v>105</v>
      </c>
      <c r="G1446" s="39" t="str">
        <f aca="false">UPPER(TRIM(C1446))</f>
        <v>P004</v>
      </c>
      <c r="H1446" s="39" t="str">
        <f aca="false">IF(ISNUMBER(MATCH(G1446,Products!$A$5:$A$24,0)),"OK","Mismatch")</f>
        <v>OK</v>
      </c>
      <c r="I1446" s="39" t="str">
        <f aca="false">IF(COUNTIF($A$5:A1446,A1446)&gt;1,"Duplicate","Unique")</f>
        <v>Unique</v>
      </c>
      <c r="J1446" s="39" t="str">
        <f aca="false">IF(I1446="Duplicate","Remove",IF(H1446="Mismatch","Exclude","Keep"))</f>
        <v>Keep</v>
      </c>
    </row>
    <row r="1447" customFormat="false" ht="15" hidden="false" customHeight="false" outlineLevel="0" collapsed="false">
      <c r="A1447" s="39" t="s">
        <v>1536</v>
      </c>
      <c r="B1447" s="40" t="n">
        <v>45857</v>
      </c>
      <c r="C1447" s="39" t="s">
        <v>104</v>
      </c>
      <c r="D1447" s="39" t="n">
        <v>3</v>
      </c>
      <c r="E1447" s="41" t="n">
        <v>15.16</v>
      </c>
      <c r="F1447" s="39" t="s">
        <v>115</v>
      </c>
      <c r="G1447" s="39" t="str">
        <f aca="false">UPPER(TRIM(C1447))</f>
        <v>P015</v>
      </c>
      <c r="H1447" s="39" t="str">
        <f aca="false">IF(ISNUMBER(MATCH(G1447,Products!$A$5:$A$24,0)),"OK","Mismatch")</f>
        <v>OK</v>
      </c>
      <c r="I1447" s="39" t="str">
        <f aca="false">IF(COUNTIF($A$5:A1447,A1447)&gt;1,"Duplicate","Unique")</f>
        <v>Unique</v>
      </c>
      <c r="J1447" s="39" t="str">
        <f aca="false">IF(I1447="Duplicate","Remove",IF(H1447="Mismatch","Exclude","Keep"))</f>
        <v>Keep</v>
      </c>
    </row>
    <row r="1448" customFormat="false" ht="15" hidden="false" customHeight="false" outlineLevel="0" collapsed="false">
      <c r="A1448" s="39" t="s">
        <v>1537</v>
      </c>
      <c r="B1448" s="40" t="n">
        <v>45857</v>
      </c>
      <c r="C1448" s="39" t="s">
        <v>114</v>
      </c>
      <c r="D1448" s="39" t="n">
        <v>3</v>
      </c>
      <c r="E1448" s="41" t="n">
        <v>5.84</v>
      </c>
      <c r="F1448" s="39" t="s">
        <v>108</v>
      </c>
      <c r="G1448" s="39" t="str">
        <f aca="false">UPPER(TRIM(C1448))</f>
        <v>P012</v>
      </c>
      <c r="H1448" s="39" t="str">
        <f aca="false">IF(ISNUMBER(MATCH(G1448,Products!$A$5:$A$24,0)),"OK","Mismatch")</f>
        <v>OK</v>
      </c>
      <c r="I1448" s="39" t="str">
        <f aca="false">IF(COUNTIF($A$5:A1448,A1448)&gt;1,"Duplicate","Unique")</f>
        <v>Unique</v>
      </c>
      <c r="J1448" s="39" t="str">
        <f aca="false">IF(I1448="Duplicate","Remove",IF(H1448="Mismatch","Exclude","Keep"))</f>
        <v>Keep</v>
      </c>
    </row>
    <row r="1449" customFormat="false" ht="15" hidden="false" customHeight="false" outlineLevel="0" collapsed="false">
      <c r="A1449" s="39" t="s">
        <v>1538</v>
      </c>
      <c r="B1449" s="40" t="n">
        <v>45857</v>
      </c>
      <c r="C1449" s="39" t="s">
        <v>104</v>
      </c>
      <c r="D1449" s="39" t="n">
        <v>1</v>
      </c>
      <c r="E1449" s="41" t="n">
        <v>15.63</v>
      </c>
      <c r="F1449" s="39" t="s">
        <v>105</v>
      </c>
      <c r="G1449" s="39" t="str">
        <f aca="false">UPPER(TRIM(C1449))</f>
        <v>P015</v>
      </c>
      <c r="H1449" s="39" t="str">
        <f aca="false">IF(ISNUMBER(MATCH(G1449,Products!$A$5:$A$24,0)),"OK","Mismatch")</f>
        <v>OK</v>
      </c>
      <c r="I1449" s="39" t="str">
        <f aca="false">IF(COUNTIF($A$5:A1449,A1449)&gt;1,"Duplicate","Unique")</f>
        <v>Unique</v>
      </c>
      <c r="J1449" s="39" t="str">
        <f aca="false">IF(I1449="Duplicate","Remove",IF(H1449="Mismatch","Exclude","Keep"))</f>
        <v>Keep</v>
      </c>
    </row>
    <row r="1450" customFormat="false" ht="15" hidden="false" customHeight="false" outlineLevel="0" collapsed="false">
      <c r="A1450" s="39" t="s">
        <v>1539</v>
      </c>
      <c r="B1450" s="40" t="n">
        <v>45857</v>
      </c>
      <c r="C1450" s="39" t="s">
        <v>177</v>
      </c>
      <c r="D1450" s="39" t="n">
        <v>3</v>
      </c>
      <c r="E1450" s="41" t="n">
        <v>41.72</v>
      </c>
      <c r="F1450" s="39" t="s">
        <v>118</v>
      </c>
      <c r="G1450" s="39" t="str">
        <f aca="false">UPPER(TRIM(C1450))</f>
        <v>P014</v>
      </c>
      <c r="H1450" s="39" t="str">
        <f aca="false">IF(ISNUMBER(MATCH(G1450,Products!$A$5:$A$24,0)),"OK","Mismatch")</f>
        <v>OK</v>
      </c>
      <c r="I1450" s="39" t="str">
        <f aca="false">IF(COUNTIF($A$5:A1450,A1450)&gt;1,"Duplicate","Unique")</f>
        <v>Unique</v>
      </c>
      <c r="J1450" s="39" t="str">
        <f aca="false">IF(I1450="Duplicate","Remove",IF(H1450="Mismatch","Exclude","Keep"))</f>
        <v>Keep</v>
      </c>
    </row>
    <row r="1451" customFormat="false" ht="15" hidden="false" customHeight="false" outlineLevel="0" collapsed="false">
      <c r="A1451" s="39" t="s">
        <v>1540</v>
      </c>
      <c r="B1451" s="40" t="n">
        <v>45858</v>
      </c>
      <c r="C1451" s="39" t="s">
        <v>144</v>
      </c>
      <c r="D1451" s="39" t="n">
        <v>3</v>
      </c>
      <c r="E1451" s="41" t="n">
        <v>54.51</v>
      </c>
      <c r="F1451" s="39" t="s">
        <v>108</v>
      </c>
      <c r="G1451" s="39" t="str">
        <f aca="false">UPPER(TRIM(C1451))</f>
        <v>P013</v>
      </c>
      <c r="H1451" s="39" t="str">
        <f aca="false">IF(ISNUMBER(MATCH(G1451,Products!$A$5:$A$24,0)),"OK","Mismatch")</f>
        <v>OK</v>
      </c>
      <c r="I1451" s="39" t="str">
        <f aca="false">IF(COUNTIF($A$5:A1451,A1451)&gt;1,"Duplicate","Unique")</f>
        <v>Unique</v>
      </c>
      <c r="J1451" s="39" t="str">
        <f aca="false">IF(I1451="Duplicate","Remove",IF(H1451="Mismatch","Exclude","Keep"))</f>
        <v>Keep</v>
      </c>
    </row>
    <row r="1452" customFormat="false" ht="15" hidden="false" customHeight="false" outlineLevel="0" collapsed="false">
      <c r="A1452" s="39" t="s">
        <v>1541</v>
      </c>
      <c r="B1452" s="40" t="n">
        <v>45858</v>
      </c>
      <c r="C1452" s="39" t="s">
        <v>133</v>
      </c>
      <c r="D1452" s="39" t="n">
        <v>1</v>
      </c>
      <c r="E1452" s="41" t="n">
        <v>8.94</v>
      </c>
      <c r="F1452" s="39" t="s">
        <v>108</v>
      </c>
      <c r="G1452" s="39" t="str">
        <f aca="false">UPPER(TRIM(C1452))</f>
        <v>P019</v>
      </c>
      <c r="H1452" s="39" t="str">
        <f aca="false">IF(ISNUMBER(MATCH(G1452,Products!$A$5:$A$24,0)),"OK","Mismatch")</f>
        <v>OK</v>
      </c>
      <c r="I1452" s="39" t="str">
        <f aca="false">IF(COUNTIF($A$5:A1452,A1452)&gt;1,"Duplicate","Unique")</f>
        <v>Unique</v>
      </c>
      <c r="J1452" s="39" t="str">
        <f aca="false">IF(I1452="Duplicate","Remove",IF(H1452="Mismatch","Exclude","Keep"))</f>
        <v>Keep</v>
      </c>
    </row>
    <row r="1453" customFormat="false" ht="15" hidden="false" customHeight="false" outlineLevel="0" collapsed="false">
      <c r="A1453" s="39" t="s">
        <v>1542</v>
      </c>
      <c r="B1453" s="40" t="n">
        <v>45858</v>
      </c>
      <c r="C1453" s="39" t="s">
        <v>112</v>
      </c>
      <c r="D1453" s="39" t="n">
        <v>2</v>
      </c>
      <c r="E1453" s="41" t="n">
        <v>51.05</v>
      </c>
      <c r="F1453" s="39" t="s">
        <v>115</v>
      </c>
      <c r="G1453" s="39" t="str">
        <f aca="false">UPPER(TRIM(C1453))</f>
        <v>P005</v>
      </c>
      <c r="H1453" s="39" t="str">
        <f aca="false">IF(ISNUMBER(MATCH(G1453,Products!$A$5:$A$24,0)),"OK","Mismatch")</f>
        <v>OK</v>
      </c>
      <c r="I1453" s="39" t="str">
        <f aca="false">IF(COUNTIF($A$5:A1453,A1453)&gt;1,"Duplicate","Unique")</f>
        <v>Unique</v>
      </c>
      <c r="J1453" s="39" t="str">
        <f aca="false">IF(I1453="Duplicate","Remove",IF(H1453="Mismatch","Exclude","Keep"))</f>
        <v>Keep</v>
      </c>
    </row>
    <row r="1454" customFormat="false" ht="15" hidden="false" customHeight="false" outlineLevel="0" collapsed="false">
      <c r="A1454" s="39" t="s">
        <v>1543</v>
      </c>
      <c r="B1454" s="40" t="n">
        <v>45858</v>
      </c>
      <c r="C1454" s="39" t="s">
        <v>162</v>
      </c>
      <c r="D1454" s="39" t="n">
        <v>6</v>
      </c>
      <c r="E1454" s="41" t="n">
        <v>65.13</v>
      </c>
      <c r="F1454" s="39" t="s">
        <v>118</v>
      </c>
      <c r="G1454" s="39" t="str">
        <f aca="false">UPPER(TRIM(C1454))</f>
        <v>P017</v>
      </c>
      <c r="H1454" s="39" t="str">
        <f aca="false">IF(ISNUMBER(MATCH(G1454,Products!$A$5:$A$24,0)),"OK","Mismatch")</f>
        <v>OK</v>
      </c>
      <c r="I1454" s="39" t="str">
        <f aca="false">IF(COUNTIF($A$5:A1454,A1454)&gt;1,"Duplicate","Unique")</f>
        <v>Unique</v>
      </c>
      <c r="J1454" s="39" t="str">
        <f aca="false">IF(I1454="Duplicate","Remove",IF(H1454="Mismatch","Exclude","Keep"))</f>
        <v>Keep</v>
      </c>
    </row>
    <row r="1455" customFormat="false" ht="15" hidden="false" customHeight="false" outlineLevel="0" collapsed="false">
      <c r="A1455" s="39" t="s">
        <v>1544</v>
      </c>
      <c r="B1455" s="40" t="n">
        <v>45858</v>
      </c>
      <c r="C1455" s="39" t="s">
        <v>112</v>
      </c>
      <c r="D1455" s="39" t="n">
        <v>2</v>
      </c>
      <c r="E1455" s="41" t="n">
        <v>54.53</v>
      </c>
      <c r="F1455" s="39" t="s">
        <v>118</v>
      </c>
      <c r="G1455" s="39" t="str">
        <f aca="false">UPPER(TRIM(C1455))</f>
        <v>P005</v>
      </c>
      <c r="H1455" s="39" t="str">
        <f aca="false">IF(ISNUMBER(MATCH(G1455,Products!$A$5:$A$24,0)),"OK","Mismatch")</f>
        <v>OK</v>
      </c>
      <c r="I1455" s="39" t="str">
        <f aca="false">IF(COUNTIF($A$5:A1455,A1455)&gt;1,"Duplicate","Unique")</f>
        <v>Unique</v>
      </c>
      <c r="J1455" s="39" t="str">
        <f aca="false">IF(I1455="Duplicate","Remove",IF(H1455="Mismatch","Exclude","Keep"))</f>
        <v>Keep</v>
      </c>
    </row>
    <row r="1456" customFormat="false" ht="15" hidden="false" customHeight="false" outlineLevel="0" collapsed="false">
      <c r="A1456" s="39" t="s">
        <v>1545</v>
      </c>
      <c r="B1456" s="40" t="n">
        <v>45858</v>
      </c>
      <c r="C1456" s="39" t="s">
        <v>107</v>
      </c>
      <c r="D1456" s="39" t="n">
        <v>2</v>
      </c>
      <c r="E1456" s="41" t="n">
        <v>32.42</v>
      </c>
      <c r="F1456" s="39" t="s">
        <v>105</v>
      </c>
      <c r="G1456" s="39" t="str">
        <f aca="false">UPPER(TRIM(C1456))</f>
        <v>P003</v>
      </c>
      <c r="H1456" s="39" t="str">
        <f aca="false">IF(ISNUMBER(MATCH(G1456,Products!$A$5:$A$24,0)),"OK","Mismatch")</f>
        <v>OK</v>
      </c>
      <c r="I1456" s="39" t="str">
        <f aca="false">IF(COUNTIF($A$5:A1456,A1456)&gt;1,"Duplicate","Unique")</f>
        <v>Unique</v>
      </c>
      <c r="J1456" s="39" t="str">
        <f aca="false">IF(I1456="Duplicate","Remove",IF(H1456="Mismatch","Exclude","Keep"))</f>
        <v>Keep</v>
      </c>
    </row>
    <row r="1457" customFormat="false" ht="15" hidden="false" customHeight="false" outlineLevel="0" collapsed="false">
      <c r="A1457" s="39" t="s">
        <v>1546</v>
      </c>
      <c r="B1457" s="40" t="n">
        <v>45858</v>
      </c>
      <c r="C1457" s="39" t="s">
        <v>136</v>
      </c>
      <c r="D1457" s="39" t="n">
        <v>1</v>
      </c>
      <c r="E1457" s="41" t="n">
        <v>73.37</v>
      </c>
      <c r="F1457" s="39" t="s">
        <v>108</v>
      </c>
      <c r="G1457" s="39" t="str">
        <f aca="false">UPPER(TRIM(C1457))</f>
        <v>P002</v>
      </c>
      <c r="H1457" s="39" t="str">
        <f aca="false">IF(ISNUMBER(MATCH(G1457,Products!$A$5:$A$24,0)),"OK","Mismatch")</f>
        <v>OK</v>
      </c>
      <c r="I1457" s="39" t="str">
        <f aca="false">IF(COUNTIF($A$5:A1457,A1457)&gt;1,"Duplicate","Unique")</f>
        <v>Unique</v>
      </c>
      <c r="J1457" s="39" t="str">
        <f aca="false">IF(I1457="Duplicate","Remove",IF(H1457="Mismatch","Exclude","Keep"))</f>
        <v>Keep</v>
      </c>
    </row>
    <row r="1458" customFormat="false" ht="15" hidden="false" customHeight="false" outlineLevel="0" collapsed="false">
      <c r="A1458" s="39" t="s">
        <v>1547</v>
      </c>
      <c r="B1458" s="40" t="n">
        <v>45858</v>
      </c>
      <c r="C1458" s="39" t="s">
        <v>104</v>
      </c>
      <c r="D1458" s="39" t="n">
        <v>1</v>
      </c>
      <c r="E1458" s="41" t="n">
        <v>15.26</v>
      </c>
      <c r="F1458" s="39" t="s">
        <v>118</v>
      </c>
      <c r="G1458" s="39" t="str">
        <f aca="false">UPPER(TRIM(C1458))</f>
        <v>P015</v>
      </c>
      <c r="H1458" s="39" t="str">
        <f aca="false">IF(ISNUMBER(MATCH(G1458,Products!$A$5:$A$24,0)),"OK","Mismatch")</f>
        <v>OK</v>
      </c>
      <c r="I1458" s="39" t="str">
        <f aca="false">IF(COUNTIF($A$5:A1458,A1458)&gt;1,"Duplicate","Unique")</f>
        <v>Unique</v>
      </c>
      <c r="J1458" s="39" t="str">
        <f aca="false">IF(I1458="Duplicate","Remove",IF(H1458="Mismatch","Exclude","Keep"))</f>
        <v>Keep</v>
      </c>
    </row>
    <row r="1459" customFormat="false" ht="15" hidden="false" customHeight="false" outlineLevel="0" collapsed="false">
      <c r="A1459" s="39" t="s">
        <v>1548</v>
      </c>
      <c r="B1459" s="40" t="n">
        <v>45858</v>
      </c>
      <c r="C1459" s="39" t="s">
        <v>121</v>
      </c>
      <c r="D1459" s="39" t="n">
        <v>1</v>
      </c>
      <c r="E1459" s="41" t="n">
        <v>118.39</v>
      </c>
      <c r="F1459" s="39" t="s">
        <v>118</v>
      </c>
      <c r="G1459" s="39" t="str">
        <f aca="false">UPPER(TRIM(C1459))</f>
        <v>P018</v>
      </c>
      <c r="H1459" s="39" t="str">
        <f aca="false">IF(ISNUMBER(MATCH(G1459,Products!$A$5:$A$24,0)),"OK","Mismatch")</f>
        <v>OK</v>
      </c>
      <c r="I1459" s="39" t="str">
        <f aca="false">IF(COUNTIF($A$5:A1459,A1459)&gt;1,"Duplicate","Unique")</f>
        <v>Unique</v>
      </c>
      <c r="J1459" s="39" t="str">
        <f aca="false">IF(I1459="Duplicate","Remove",IF(H1459="Mismatch","Exclude","Keep"))</f>
        <v>Keep</v>
      </c>
    </row>
    <row r="1460" customFormat="false" ht="15" hidden="false" customHeight="false" outlineLevel="0" collapsed="false">
      <c r="A1460" s="39" t="s">
        <v>1549</v>
      </c>
      <c r="B1460" s="40" t="n">
        <v>45858</v>
      </c>
      <c r="C1460" s="39" t="s">
        <v>136</v>
      </c>
      <c r="D1460" s="39" t="n">
        <v>8</v>
      </c>
      <c r="E1460" s="41" t="n">
        <v>74.73</v>
      </c>
      <c r="F1460" s="39" t="s">
        <v>118</v>
      </c>
      <c r="G1460" s="39" t="str">
        <f aca="false">UPPER(TRIM(C1460))</f>
        <v>P002</v>
      </c>
      <c r="H1460" s="39" t="str">
        <f aca="false">IF(ISNUMBER(MATCH(G1460,Products!$A$5:$A$24,0)),"OK","Mismatch")</f>
        <v>OK</v>
      </c>
      <c r="I1460" s="39" t="str">
        <f aca="false">IF(COUNTIF($A$5:A1460,A1460)&gt;1,"Duplicate","Unique")</f>
        <v>Unique</v>
      </c>
      <c r="J1460" s="39" t="str">
        <f aca="false">IF(I1460="Duplicate","Remove",IF(H1460="Mismatch","Exclude","Keep"))</f>
        <v>Keep</v>
      </c>
    </row>
    <row r="1461" customFormat="false" ht="15" hidden="false" customHeight="false" outlineLevel="0" collapsed="false">
      <c r="A1461" s="39" t="s">
        <v>1550</v>
      </c>
      <c r="B1461" s="40" t="n">
        <v>45859</v>
      </c>
      <c r="C1461" s="39" t="s">
        <v>183</v>
      </c>
      <c r="D1461" s="39" t="n">
        <v>3</v>
      </c>
      <c r="E1461" s="41" t="n">
        <v>187.83</v>
      </c>
      <c r="F1461" s="39" t="s">
        <v>105</v>
      </c>
      <c r="G1461" s="39" t="str">
        <f aca="false">UPPER(TRIM(C1461))</f>
        <v>P007</v>
      </c>
      <c r="H1461" s="39" t="str">
        <f aca="false">IF(ISNUMBER(MATCH(G1461,Products!$A$5:$A$24,0)),"OK","Mismatch")</f>
        <v>OK</v>
      </c>
      <c r="I1461" s="39" t="str">
        <f aca="false">IF(COUNTIF($A$5:A1461,A1461)&gt;1,"Duplicate","Unique")</f>
        <v>Unique</v>
      </c>
      <c r="J1461" s="39" t="str">
        <f aca="false">IF(I1461="Duplicate","Remove",IF(H1461="Mismatch","Exclude","Keep"))</f>
        <v>Keep</v>
      </c>
    </row>
    <row r="1462" customFormat="false" ht="15" hidden="false" customHeight="false" outlineLevel="0" collapsed="false">
      <c r="A1462" s="39" t="s">
        <v>1551</v>
      </c>
      <c r="B1462" s="40" t="n">
        <v>45859</v>
      </c>
      <c r="C1462" s="39" t="s">
        <v>136</v>
      </c>
      <c r="D1462" s="39" t="n">
        <v>1</v>
      </c>
      <c r="E1462" s="41" t="n">
        <v>77.54</v>
      </c>
      <c r="F1462" s="39" t="s">
        <v>115</v>
      </c>
      <c r="G1462" s="39" t="str">
        <f aca="false">UPPER(TRIM(C1462))</f>
        <v>P002</v>
      </c>
      <c r="H1462" s="39" t="str">
        <f aca="false">IF(ISNUMBER(MATCH(G1462,Products!$A$5:$A$24,0)),"OK","Mismatch")</f>
        <v>OK</v>
      </c>
      <c r="I1462" s="39" t="str">
        <f aca="false">IF(COUNTIF($A$5:A1462,A1462)&gt;1,"Duplicate","Unique")</f>
        <v>Unique</v>
      </c>
      <c r="J1462" s="39" t="str">
        <f aca="false">IF(I1462="Duplicate","Remove",IF(H1462="Mismatch","Exclude","Keep"))</f>
        <v>Keep</v>
      </c>
    </row>
    <row r="1463" customFormat="false" ht="15" hidden="false" customHeight="false" outlineLevel="0" collapsed="false">
      <c r="A1463" s="39" t="s">
        <v>1552</v>
      </c>
      <c r="B1463" s="40" t="n">
        <v>45859</v>
      </c>
      <c r="C1463" s="39" t="s">
        <v>169</v>
      </c>
      <c r="D1463" s="39" t="n">
        <v>2</v>
      </c>
      <c r="E1463" s="41" t="n">
        <v>28.97</v>
      </c>
      <c r="F1463" s="39" t="s">
        <v>105</v>
      </c>
      <c r="G1463" s="39" t="str">
        <f aca="false">UPPER(TRIM(C1463))</f>
        <v>P004</v>
      </c>
      <c r="H1463" s="39" t="str">
        <f aca="false">IF(ISNUMBER(MATCH(G1463,Products!$A$5:$A$24,0)),"OK","Mismatch")</f>
        <v>OK</v>
      </c>
      <c r="I1463" s="39" t="str">
        <f aca="false">IF(COUNTIF($A$5:A1463,A1463)&gt;1,"Duplicate","Unique")</f>
        <v>Unique</v>
      </c>
      <c r="J1463" s="39" t="str">
        <f aca="false">IF(I1463="Duplicate","Remove",IF(H1463="Mismatch","Exclude","Keep"))</f>
        <v>Keep</v>
      </c>
    </row>
    <row r="1464" customFormat="false" ht="15" hidden="false" customHeight="false" outlineLevel="0" collapsed="false">
      <c r="A1464" s="39" t="s">
        <v>1553</v>
      </c>
      <c r="B1464" s="40" t="n">
        <v>45859</v>
      </c>
      <c r="C1464" s="39" t="s">
        <v>3156</v>
      </c>
      <c r="D1464" s="39" t="n">
        <v>2</v>
      </c>
      <c r="E1464" s="41" t="n">
        <v>176.48</v>
      </c>
      <c r="F1464" s="39" t="s">
        <v>105</v>
      </c>
      <c r="G1464" s="39" t="str">
        <f aca="false">UPPER(TRIM(C1464))</f>
        <v>P007</v>
      </c>
      <c r="H1464" s="39" t="str">
        <f aca="false">IF(ISNUMBER(MATCH(G1464,Products!$A$5:$A$24,0)),"OK","Mismatch")</f>
        <v>OK</v>
      </c>
      <c r="I1464" s="39" t="str">
        <f aca="false">IF(COUNTIF($A$5:A1464,A1464)&gt;1,"Duplicate","Unique")</f>
        <v>Unique</v>
      </c>
      <c r="J1464" s="39" t="str">
        <f aca="false">IF(I1464="Duplicate","Remove",IF(H1464="Mismatch","Exclude","Keep"))</f>
        <v>Keep</v>
      </c>
    </row>
    <row r="1465" customFormat="false" ht="15" hidden="false" customHeight="false" outlineLevel="0" collapsed="false">
      <c r="A1465" s="39" t="s">
        <v>1554</v>
      </c>
      <c r="B1465" s="40" t="n">
        <v>45859</v>
      </c>
      <c r="C1465" s="39" t="s">
        <v>104</v>
      </c>
      <c r="D1465" s="39" t="n">
        <v>2</v>
      </c>
      <c r="E1465" s="41" t="n">
        <v>15.96</v>
      </c>
      <c r="F1465" s="39" t="s">
        <v>108</v>
      </c>
      <c r="G1465" s="39" t="str">
        <f aca="false">UPPER(TRIM(C1465))</f>
        <v>P015</v>
      </c>
      <c r="H1465" s="39" t="str">
        <f aca="false">IF(ISNUMBER(MATCH(G1465,Products!$A$5:$A$24,0)),"OK","Mismatch")</f>
        <v>OK</v>
      </c>
      <c r="I1465" s="39" t="str">
        <f aca="false">IF(COUNTIF($A$5:A1465,A1465)&gt;1,"Duplicate","Unique")</f>
        <v>Unique</v>
      </c>
      <c r="J1465" s="39" t="str">
        <f aca="false">IF(I1465="Duplicate","Remove",IF(H1465="Mismatch","Exclude","Keep"))</f>
        <v>Keep</v>
      </c>
    </row>
    <row r="1466" customFormat="false" ht="15" hidden="false" customHeight="false" outlineLevel="0" collapsed="false">
      <c r="A1466" s="39" t="s">
        <v>1555</v>
      </c>
      <c r="B1466" s="40" t="n">
        <v>45859</v>
      </c>
      <c r="C1466" s="39" t="s">
        <v>112</v>
      </c>
      <c r="D1466" s="39" t="n">
        <v>4</v>
      </c>
      <c r="E1466" s="41" t="n">
        <v>51.28</v>
      </c>
      <c r="F1466" s="39" t="s">
        <v>105</v>
      </c>
      <c r="G1466" s="39" t="str">
        <f aca="false">UPPER(TRIM(C1466))</f>
        <v>P005</v>
      </c>
      <c r="H1466" s="39" t="str">
        <f aca="false">IF(ISNUMBER(MATCH(G1466,Products!$A$5:$A$24,0)),"OK","Mismatch")</f>
        <v>OK</v>
      </c>
      <c r="I1466" s="39" t="str">
        <f aca="false">IF(COUNTIF($A$5:A1466,A1466)&gt;1,"Duplicate","Unique")</f>
        <v>Unique</v>
      </c>
      <c r="J1466" s="39" t="str">
        <f aca="false">IF(I1466="Duplicate","Remove",IF(H1466="Mismatch","Exclude","Keep"))</f>
        <v>Keep</v>
      </c>
    </row>
    <row r="1467" customFormat="false" ht="15" hidden="false" customHeight="false" outlineLevel="0" collapsed="false">
      <c r="A1467" s="39" t="s">
        <v>1556</v>
      </c>
      <c r="B1467" s="40" t="n">
        <v>45859</v>
      </c>
      <c r="C1467" s="39" t="s">
        <v>183</v>
      </c>
      <c r="D1467" s="39" t="n">
        <v>5</v>
      </c>
      <c r="E1467" s="41" t="n">
        <v>184.37</v>
      </c>
      <c r="F1467" s="39" t="s">
        <v>118</v>
      </c>
      <c r="G1467" s="39" t="str">
        <f aca="false">UPPER(TRIM(C1467))</f>
        <v>P007</v>
      </c>
      <c r="H1467" s="39" t="str">
        <f aca="false">IF(ISNUMBER(MATCH(G1467,Products!$A$5:$A$24,0)),"OK","Mismatch")</f>
        <v>OK</v>
      </c>
      <c r="I1467" s="39" t="str">
        <f aca="false">IF(COUNTIF($A$5:A1467,A1467)&gt;1,"Duplicate","Unique")</f>
        <v>Unique</v>
      </c>
      <c r="J1467" s="39" t="str">
        <f aca="false">IF(I1467="Duplicate","Remove",IF(H1467="Mismatch","Exclude","Keep"))</f>
        <v>Keep</v>
      </c>
    </row>
    <row r="1468" customFormat="false" ht="15" hidden="false" customHeight="false" outlineLevel="0" collapsed="false">
      <c r="A1468" s="39" t="s">
        <v>1557</v>
      </c>
      <c r="B1468" s="40" t="n">
        <v>45859</v>
      </c>
      <c r="C1468" s="39" t="s">
        <v>128</v>
      </c>
      <c r="D1468" s="39" t="n">
        <v>2</v>
      </c>
      <c r="E1468" s="41" t="n">
        <v>36.35</v>
      </c>
      <c r="F1468" s="39" t="s">
        <v>108</v>
      </c>
      <c r="G1468" s="39" t="str">
        <f aca="false">UPPER(TRIM(C1468))</f>
        <v>P020</v>
      </c>
      <c r="H1468" s="39" t="str">
        <f aca="false">IF(ISNUMBER(MATCH(G1468,Products!$A$5:$A$24,0)),"OK","Mismatch")</f>
        <v>OK</v>
      </c>
      <c r="I1468" s="39" t="str">
        <f aca="false">IF(COUNTIF($A$5:A1468,A1468)&gt;1,"Duplicate","Unique")</f>
        <v>Unique</v>
      </c>
      <c r="J1468" s="39" t="str">
        <f aca="false">IF(I1468="Duplicate","Remove",IF(H1468="Mismatch","Exclude","Keep"))</f>
        <v>Keep</v>
      </c>
    </row>
    <row r="1469" customFormat="false" ht="15" hidden="false" customHeight="false" outlineLevel="0" collapsed="false">
      <c r="A1469" s="39" t="s">
        <v>1558</v>
      </c>
      <c r="B1469" s="40" t="n">
        <v>45860</v>
      </c>
      <c r="C1469" s="39" t="s">
        <v>169</v>
      </c>
      <c r="D1469" s="39" t="n">
        <v>2</v>
      </c>
      <c r="E1469" s="41" t="n">
        <v>27.27</v>
      </c>
      <c r="F1469" s="39" t="s">
        <v>108</v>
      </c>
      <c r="G1469" s="39" t="str">
        <f aca="false">UPPER(TRIM(C1469))</f>
        <v>P004</v>
      </c>
      <c r="H1469" s="39" t="str">
        <f aca="false">IF(ISNUMBER(MATCH(G1469,Products!$A$5:$A$24,0)),"OK","Mismatch")</f>
        <v>OK</v>
      </c>
      <c r="I1469" s="39" t="str">
        <f aca="false">IF(COUNTIF($A$5:A1469,A1469)&gt;1,"Duplicate","Unique")</f>
        <v>Unique</v>
      </c>
      <c r="J1469" s="39" t="str">
        <f aca="false">IF(I1469="Duplicate","Remove",IF(H1469="Mismatch","Exclude","Keep"))</f>
        <v>Keep</v>
      </c>
    </row>
    <row r="1470" customFormat="false" ht="15" hidden="false" customHeight="false" outlineLevel="0" collapsed="false">
      <c r="A1470" s="39" t="s">
        <v>1559</v>
      </c>
      <c r="B1470" s="40" t="n">
        <v>45860</v>
      </c>
      <c r="C1470" s="39" t="s">
        <v>153</v>
      </c>
      <c r="D1470" s="39" t="n">
        <v>2</v>
      </c>
      <c r="E1470" s="41" t="n">
        <v>171.8</v>
      </c>
      <c r="F1470" s="39" t="s">
        <v>118</v>
      </c>
      <c r="G1470" s="39" t="str">
        <f aca="false">UPPER(TRIM(C1470))</f>
        <v>P010</v>
      </c>
      <c r="H1470" s="39" t="str">
        <f aca="false">IF(ISNUMBER(MATCH(G1470,Products!$A$5:$A$24,0)),"OK","Mismatch")</f>
        <v>OK</v>
      </c>
      <c r="I1470" s="39" t="str">
        <f aca="false">IF(COUNTIF($A$5:A1470,A1470)&gt;1,"Duplicate","Unique")</f>
        <v>Unique</v>
      </c>
      <c r="J1470" s="39" t="str">
        <f aca="false">IF(I1470="Duplicate","Remove",IF(H1470="Mismatch","Exclude","Keep"))</f>
        <v>Keep</v>
      </c>
    </row>
    <row r="1471" customFormat="false" ht="15" hidden="false" customHeight="false" outlineLevel="0" collapsed="false">
      <c r="A1471" s="39" t="s">
        <v>1560</v>
      </c>
      <c r="B1471" s="40" t="n">
        <v>45860</v>
      </c>
      <c r="C1471" s="39" t="s">
        <v>110</v>
      </c>
      <c r="D1471" s="39" t="n">
        <v>4</v>
      </c>
      <c r="E1471" s="41" t="n">
        <v>12.98</v>
      </c>
      <c r="F1471" s="39" t="s">
        <v>118</v>
      </c>
      <c r="G1471" s="39" t="str">
        <f aca="false">UPPER(TRIM(C1471))</f>
        <v>P016</v>
      </c>
      <c r="H1471" s="39" t="str">
        <f aca="false">IF(ISNUMBER(MATCH(G1471,Products!$A$5:$A$24,0)),"OK","Mismatch")</f>
        <v>OK</v>
      </c>
      <c r="I1471" s="39" t="str">
        <f aca="false">IF(COUNTIF($A$5:A1471,A1471)&gt;1,"Duplicate","Unique")</f>
        <v>Unique</v>
      </c>
      <c r="J1471" s="39" t="str">
        <f aca="false">IF(I1471="Duplicate","Remove",IF(H1471="Mismatch","Exclude","Keep"))</f>
        <v>Keep</v>
      </c>
    </row>
    <row r="1472" customFormat="false" ht="15" hidden="false" customHeight="false" outlineLevel="0" collapsed="false">
      <c r="A1472" s="39" t="s">
        <v>1561</v>
      </c>
      <c r="B1472" s="40" t="n">
        <v>45860</v>
      </c>
      <c r="C1472" s="39" t="s">
        <v>153</v>
      </c>
      <c r="D1472" s="39" t="n">
        <v>6</v>
      </c>
      <c r="E1472" s="41" t="n">
        <v>165.01</v>
      </c>
      <c r="F1472" s="39" t="s">
        <v>105</v>
      </c>
      <c r="G1472" s="39" t="str">
        <f aca="false">UPPER(TRIM(C1472))</f>
        <v>P010</v>
      </c>
      <c r="H1472" s="39" t="str">
        <f aca="false">IF(ISNUMBER(MATCH(G1472,Products!$A$5:$A$24,0)),"OK","Mismatch")</f>
        <v>OK</v>
      </c>
      <c r="I1472" s="39" t="str">
        <f aca="false">IF(COUNTIF($A$5:A1472,A1472)&gt;1,"Duplicate","Unique")</f>
        <v>Unique</v>
      </c>
      <c r="J1472" s="39" t="str">
        <f aca="false">IF(I1472="Duplicate","Remove",IF(H1472="Mismatch","Exclude","Keep"))</f>
        <v>Keep</v>
      </c>
    </row>
    <row r="1473" customFormat="false" ht="15" hidden="false" customHeight="false" outlineLevel="0" collapsed="false">
      <c r="A1473" s="39" t="s">
        <v>1562</v>
      </c>
      <c r="B1473" s="40" t="n">
        <v>45860</v>
      </c>
      <c r="C1473" s="39" t="s">
        <v>305</v>
      </c>
      <c r="D1473" s="39" t="n">
        <v>2</v>
      </c>
      <c r="E1473" s="41" t="n">
        <v>331.78</v>
      </c>
      <c r="F1473" s="39" t="s">
        <v>108</v>
      </c>
      <c r="G1473" s="39" t="str">
        <f aca="false">UPPER(TRIM(C1473))</f>
        <v>P008</v>
      </c>
      <c r="H1473" s="39" t="str">
        <f aca="false">IF(ISNUMBER(MATCH(G1473,Products!$A$5:$A$24,0)),"OK","Mismatch")</f>
        <v>OK</v>
      </c>
      <c r="I1473" s="39" t="str">
        <f aca="false">IF(COUNTIF($A$5:A1473,A1473)&gt;1,"Duplicate","Unique")</f>
        <v>Unique</v>
      </c>
      <c r="J1473" s="39" t="str">
        <f aca="false">IF(I1473="Duplicate","Remove",IF(H1473="Mismatch","Exclude","Keep"))</f>
        <v>Keep</v>
      </c>
    </row>
    <row r="1474" customFormat="false" ht="15" hidden="false" customHeight="false" outlineLevel="0" collapsed="false">
      <c r="A1474" s="39" t="s">
        <v>1563</v>
      </c>
      <c r="B1474" s="40" t="n">
        <v>45860</v>
      </c>
      <c r="C1474" s="39" t="s">
        <v>112</v>
      </c>
      <c r="D1474" s="39" t="n">
        <v>4</v>
      </c>
      <c r="E1474" s="41" t="n">
        <v>52.85</v>
      </c>
      <c r="F1474" s="39" t="s">
        <v>105</v>
      </c>
      <c r="G1474" s="39" t="str">
        <f aca="false">UPPER(TRIM(C1474))</f>
        <v>P005</v>
      </c>
      <c r="H1474" s="39" t="str">
        <f aca="false">IF(ISNUMBER(MATCH(G1474,Products!$A$5:$A$24,0)),"OK","Mismatch")</f>
        <v>OK</v>
      </c>
      <c r="I1474" s="39" t="str">
        <f aca="false">IF(COUNTIF($A$5:A1474,A1474)&gt;1,"Duplicate","Unique")</f>
        <v>Unique</v>
      </c>
      <c r="J1474" s="39" t="str">
        <f aca="false">IF(I1474="Duplicate","Remove",IF(H1474="Mismatch","Exclude","Keep"))</f>
        <v>Keep</v>
      </c>
    </row>
    <row r="1475" customFormat="false" ht="15" hidden="false" customHeight="false" outlineLevel="0" collapsed="false">
      <c r="A1475" s="39" t="s">
        <v>1564</v>
      </c>
      <c r="B1475" s="40" t="n">
        <v>45860</v>
      </c>
      <c r="C1475" s="39" t="s">
        <v>133</v>
      </c>
      <c r="D1475" s="39" t="n">
        <v>3</v>
      </c>
      <c r="E1475" s="41" t="n">
        <v>8.86</v>
      </c>
      <c r="F1475" s="39" t="s">
        <v>118</v>
      </c>
      <c r="G1475" s="39" t="str">
        <f aca="false">UPPER(TRIM(C1475))</f>
        <v>P019</v>
      </c>
      <c r="H1475" s="39" t="str">
        <f aca="false">IF(ISNUMBER(MATCH(G1475,Products!$A$5:$A$24,0)),"OK","Mismatch")</f>
        <v>OK</v>
      </c>
      <c r="I1475" s="39" t="str">
        <f aca="false">IF(COUNTIF($A$5:A1475,A1475)&gt;1,"Duplicate","Unique")</f>
        <v>Unique</v>
      </c>
      <c r="J1475" s="39" t="str">
        <f aca="false">IF(I1475="Duplicate","Remove",IF(H1475="Mismatch","Exclude","Keep"))</f>
        <v>Keep</v>
      </c>
    </row>
    <row r="1476" customFormat="false" ht="15" hidden="false" customHeight="false" outlineLevel="0" collapsed="false">
      <c r="A1476" s="39" t="s">
        <v>1565</v>
      </c>
      <c r="B1476" s="40" t="n">
        <v>45860</v>
      </c>
      <c r="C1476" s="39" t="s">
        <v>126</v>
      </c>
      <c r="D1476" s="39" t="n">
        <v>2</v>
      </c>
      <c r="E1476" s="41" t="n">
        <v>23.06</v>
      </c>
      <c r="F1476" s="39" t="s">
        <v>118</v>
      </c>
      <c r="G1476" s="39" t="str">
        <f aca="false">UPPER(TRIM(C1476))</f>
        <v>P001</v>
      </c>
      <c r="H1476" s="39" t="str">
        <f aca="false">IF(ISNUMBER(MATCH(G1476,Products!$A$5:$A$24,0)),"OK","Mismatch")</f>
        <v>OK</v>
      </c>
      <c r="I1476" s="39" t="str">
        <f aca="false">IF(COUNTIF($A$5:A1476,A1476)&gt;1,"Duplicate","Unique")</f>
        <v>Unique</v>
      </c>
      <c r="J1476" s="39" t="str">
        <f aca="false">IF(I1476="Duplicate","Remove",IF(H1476="Mismatch","Exclude","Keep"))</f>
        <v>Keep</v>
      </c>
    </row>
    <row r="1477" customFormat="false" ht="15" hidden="false" customHeight="false" outlineLevel="0" collapsed="false">
      <c r="A1477" s="39" t="s">
        <v>1566</v>
      </c>
      <c r="B1477" s="40" t="n">
        <v>45860</v>
      </c>
      <c r="C1477" s="39" t="s">
        <v>162</v>
      </c>
      <c r="D1477" s="39" t="n">
        <v>1</v>
      </c>
      <c r="E1477" s="41" t="n">
        <v>68.61</v>
      </c>
      <c r="F1477" s="39" t="s">
        <v>105</v>
      </c>
      <c r="G1477" s="39" t="str">
        <f aca="false">UPPER(TRIM(C1477))</f>
        <v>P017</v>
      </c>
      <c r="H1477" s="39" t="str">
        <f aca="false">IF(ISNUMBER(MATCH(G1477,Products!$A$5:$A$24,0)),"OK","Mismatch")</f>
        <v>OK</v>
      </c>
      <c r="I1477" s="39" t="str">
        <f aca="false">IF(COUNTIF($A$5:A1477,A1477)&gt;1,"Duplicate","Unique")</f>
        <v>Unique</v>
      </c>
      <c r="J1477" s="39" t="str">
        <f aca="false">IF(I1477="Duplicate","Remove",IF(H1477="Mismatch","Exclude","Keep"))</f>
        <v>Keep</v>
      </c>
    </row>
    <row r="1478" customFormat="false" ht="15" hidden="false" customHeight="false" outlineLevel="0" collapsed="false">
      <c r="A1478" s="39" t="s">
        <v>1567</v>
      </c>
      <c r="B1478" s="40" t="n">
        <v>45861</v>
      </c>
      <c r="C1478" s="39" t="s">
        <v>177</v>
      </c>
      <c r="D1478" s="39" t="n">
        <v>1</v>
      </c>
      <c r="E1478" s="41" t="n">
        <v>44.26</v>
      </c>
      <c r="F1478" s="39" t="s">
        <v>105</v>
      </c>
      <c r="G1478" s="39" t="str">
        <f aca="false">UPPER(TRIM(C1478))</f>
        <v>P014</v>
      </c>
      <c r="H1478" s="39" t="str">
        <f aca="false">IF(ISNUMBER(MATCH(G1478,Products!$A$5:$A$24,0)),"OK","Mismatch")</f>
        <v>OK</v>
      </c>
      <c r="I1478" s="39" t="str">
        <f aca="false">IF(COUNTIF($A$5:A1478,A1478)&gt;1,"Duplicate","Unique")</f>
        <v>Unique</v>
      </c>
      <c r="J1478" s="39" t="str">
        <f aca="false">IF(I1478="Duplicate","Remove",IF(H1478="Mismatch","Exclude","Keep"))</f>
        <v>Keep</v>
      </c>
    </row>
    <row r="1479" customFormat="false" ht="15" hidden="false" customHeight="false" outlineLevel="0" collapsed="false">
      <c r="A1479" s="39" t="s">
        <v>1568</v>
      </c>
      <c r="B1479" s="40" t="n">
        <v>45861</v>
      </c>
      <c r="C1479" s="39" t="s">
        <v>126</v>
      </c>
      <c r="D1479" s="39" t="n">
        <v>3</v>
      </c>
      <c r="E1479" s="41" t="n">
        <v>24.69</v>
      </c>
      <c r="F1479" s="39" t="s">
        <v>118</v>
      </c>
      <c r="G1479" s="39" t="str">
        <f aca="false">UPPER(TRIM(C1479))</f>
        <v>P001</v>
      </c>
      <c r="H1479" s="39" t="str">
        <f aca="false">IF(ISNUMBER(MATCH(G1479,Products!$A$5:$A$24,0)),"OK","Mismatch")</f>
        <v>OK</v>
      </c>
      <c r="I1479" s="39" t="str">
        <f aca="false">IF(COUNTIF($A$5:A1479,A1479)&gt;1,"Duplicate","Unique")</f>
        <v>Unique</v>
      </c>
      <c r="J1479" s="39" t="str">
        <f aca="false">IF(I1479="Duplicate","Remove",IF(H1479="Mismatch","Exclude","Keep"))</f>
        <v>Keep</v>
      </c>
    </row>
    <row r="1480" customFormat="false" ht="15" hidden="false" customHeight="false" outlineLevel="0" collapsed="false">
      <c r="A1480" s="39" t="s">
        <v>1569</v>
      </c>
      <c r="B1480" s="40" t="n">
        <v>45861</v>
      </c>
      <c r="C1480" s="39" t="s">
        <v>104</v>
      </c>
      <c r="D1480" s="39" t="n">
        <v>2</v>
      </c>
      <c r="E1480" s="41" t="n">
        <v>14.99</v>
      </c>
      <c r="F1480" s="39" t="s">
        <v>118</v>
      </c>
      <c r="G1480" s="39" t="str">
        <f aca="false">UPPER(TRIM(C1480))</f>
        <v>P015</v>
      </c>
      <c r="H1480" s="39" t="str">
        <f aca="false">IF(ISNUMBER(MATCH(G1480,Products!$A$5:$A$24,0)),"OK","Mismatch")</f>
        <v>OK</v>
      </c>
      <c r="I1480" s="39" t="str">
        <f aca="false">IF(COUNTIF($A$5:A1480,A1480)&gt;1,"Duplicate","Unique")</f>
        <v>Unique</v>
      </c>
      <c r="J1480" s="39" t="str">
        <f aca="false">IF(I1480="Duplicate","Remove",IF(H1480="Mismatch","Exclude","Keep"))</f>
        <v>Keep</v>
      </c>
    </row>
    <row r="1481" customFormat="false" ht="15" hidden="false" customHeight="false" outlineLevel="0" collapsed="false">
      <c r="A1481" s="39" t="s">
        <v>1570</v>
      </c>
      <c r="B1481" s="40" t="n">
        <v>45861</v>
      </c>
      <c r="C1481" s="39" t="s">
        <v>177</v>
      </c>
      <c r="D1481" s="39" t="n">
        <v>3</v>
      </c>
      <c r="E1481" s="41" t="n">
        <v>42.88</v>
      </c>
      <c r="F1481" s="39" t="s">
        <v>105</v>
      </c>
      <c r="G1481" s="39" t="str">
        <f aca="false">UPPER(TRIM(C1481))</f>
        <v>P014</v>
      </c>
      <c r="H1481" s="39" t="str">
        <f aca="false">IF(ISNUMBER(MATCH(G1481,Products!$A$5:$A$24,0)),"OK","Mismatch")</f>
        <v>OK</v>
      </c>
      <c r="I1481" s="39" t="str">
        <f aca="false">IF(COUNTIF($A$5:A1481,A1481)&gt;1,"Duplicate","Unique")</f>
        <v>Unique</v>
      </c>
      <c r="J1481" s="39" t="str">
        <f aca="false">IF(I1481="Duplicate","Remove",IF(H1481="Mismatch","Exclude","Keep"))</f>
        <v>Keep</v>
      </c>
    </row>
    <row r="1482" customFormat="false" ht="15" hidden="false" customHeight="false" outlineLevel="0" collapsed="false">
      <c r="A1482" s="39" t="s">
        <v>1571</v>
      </c>
      <c r="B1482" s="40" t="n">
        <v>45861</v>
      </c>
      <c r="C1482" s="39" t="s">
        <v>183</v>
      </c>
      <c r="D1482" s="39" t="n">
        <v>1</v>
      </c>
      <c r="E1482" s="41" t="n">
        <v>179.5</v>
      </c>
      <c r="F1482" s="39" t="s">
        <v>115</v>
      </c>
      <c r="G1482" s="39" t="str">
        <f aca="false">UPPER(TRIM(C1482))</f>
        <v>P007</v>
      </c>
      <c r="H1482" s="39" t="str">
        <f aca="false">IF(ISNUMBER(MATCH(G1482,Products!$A$5:$A$24,0)),"OK","Mismatch")</f>
        <v>OK</v>
      </c>
      <c r="I1482" s="39" t="str">
        <f aca="false">IF(COUNTIF($A$5:A1482,A1482)&gt;1,"Duplicate","Unique")</f>
        <v>Unique</v>
      </c>
      <c r="J1482" s="39" t="str">
        <f aca="false">IF(I1482="Duplicate","Remove",IF(H1482="Mismatch","Exclude","Keep"))</f>
        <v>Keep</v>
      </c>
    </row>
    <row r="1483" customFormat="false" ht="15" hidden="false" customHeight="false" outlineLevel="0" collapsed="false">
      <c r="A1483" s="39" t="s">
        <v>1572</v>
      </c>
      <c r="B1483" s="40" t="n">
        <v>45861</v>
      </c>
      <c r="C1483" s="39" t="s">
        <v>114</v>
      </c>
      <c r="D1483" s="39" t="n">
        <v>1</v>
      </c>
      <c r="E1483" s="41" t="n">
        <v>5.98</v>
      </c>
      <c r="F1483" s="39" t="s">
        <v>118</v>
      </c>
      <c r="G1483" s="39" t="str">
        <f aca="false">UPPER(TRIM(C1483))</f>
        <v>P012</v>
      </c>
      <c r="H1483" s="39" t="str">
        <f aca="false">IF(ISNUMBER(MATCH(G1483,Products!$A$5:$A$24,0)),"OK","Mismatch")</f>
        <v>OK</v>
      </c>
      <c r="I1483" s="39" t="str">
        <f aca="false">IF(COUNTIF($A$5:A1483,A1483)&gt;1,"Duplicate","Unique")</f>
        <v>Unique</v>
      </c>
      <c r="J1483" s="39" t="str">
        <f aca="false">IF(I1483="Duplicate","Remove",IF(H1483="Mismatch","Exclude","Keep"))</f>
        <v>Keep</v>
      </c>
    </row>
    <row r="1484" customFormat="false" ht="15" hidden="false" customHeight="false" outlineLevel="0" collapsed="false">
      <c r="A1484" s="39" t="s">
        <v>1573</v>
      </c>
      <c r="B1484" s="40" t="n">
        <v>45861</v>
      </c>
      <c r="C1484" s="39" t="s">
        <v>126</v>
      </c>
      <c r="D1484" s="39" t="n">
        <v>1</v>
      </c>
      <c r="E1484" s="41" t="n">
        <v>23.4</v>
      </c>
      <c r="F1484" s="39" t="s">
        <v>108</v>
      </c>
      <c r="G1484" s="39" t="str">
        <f aca="false">UPPER(TRIM(C1484))</f>
        <v>P001</v>
      </c>
      <c r="H1484" s="39" t="str">
        <f aca="false">IF(ISNUMBER(MATCH(G1484,Products!$A$5:$A$24,0)),"OK","Mismatch")</f>
        <v>OK</v>
      </c>
      <c r="I1484" s="39" t="str">
        <f aca="false">IF(COUNTIF($A$5:A1484,A1484)&gt;1,"Duplicate","Unique")</f>
        <v>Unique</v>
      </c>
      <c r="J1484" s="39" t="str">
        <f aca="false">IF(I1484="Duplicate","Remove",IF(H1484="Mismatch","Exclude","Keep"))</f>
        <v>Keep</v>
      </c>
    </row>
    <row r="1485" customFormat="false" ht="15" hidden="false" customHeight="false" outlineLevel="0" collapsed="false">
      <c r="A1485" s="39" t="s">
        <v>1574</v>
      </c>
      <c r="B1485" s="40" t="n">
        <v>45861</v>
      </c>
      <c r="C1485" s="39" t="s">
        <v>114</v>
      </c>
      <c r="D1485" s="39" t="n">
        <v>1</v>
      </c>
      <c r="E1485" s="41" t="n">
        <v>5.8</v>
      </c>
      <c r="F1485" s="39" t="s">
        <v>105</v>
      </c>
      <c r="G1485" s="39" t="str">
        <f aca="false">UPPER(TRIM(C1485))</f>
        <v>P012</v>
      </c>
      <c r="H1485" s="39" t="str">
        <f aca="false">IF(ISNUMBER(MATCH(G1485,Products!$A$5:$A$24,0)),"OK","Mismatch")</f>
        <v>OK</v>
      </c>
      <c r="I1485" s="39" t="str">
        <f aca="false">IF(COUNTIF($A$5:A1485,A1485)&gt;1,"Duplicate","Unique")</f>
        <v>Unique</v>
      </c>
      <c r="J1485" s="39" t="str">
        <f aca="false">IF(I1485="Duplicate","Remove",IF(H1485="Mismatch","Exclude","Keep"))</f>
        <v>Keep</v>
      </c>
    </row>
    <row r="1486" customFormat="false" ht="15" hidden="false" customHeight="false" outlineLevel="0" collapsed="false">
      <c r="A1486" s="39" t="s">
        <v>3174</v>
      </c>
      <c r="B1486" s="40" t="n">
        <v>45862</v>
      </c>
      <c r="C1486" s="39" t="s">
        <v>3169</v>
      </c>
      <c r="D1486" s="39" t="n">
        <v>1</v>
      </c>
      <c r="E1486" s="41" t="n">
        <v>53.38</v>
      </c>
      <c r="F1486" s="39" t="s">
        <v>115</v>
      </c>
      <c r="G1486" s="39" t="str">
        <f aca="false">UPPER(TRIM(C1486))</f>
        <v>P905</v>
      </c>
      <c r="H1486" s="39" t="str">
        <f aca="false">IF(ISNUMBER(MATCH(G1486,Products!$A$5:$A$24,0)),"OK","Mismatch")</f>
        <v>Mismatch</v>
      </c>
      <c r="I1486" s="39" t="str">
        <f aca="false">IF(COUNTIF($A$5:A1486,A1486)&gt;1,"Duplicate","Unique")</f>
        <v>Unique</v>
      </c>
      <c r="J1486" s="39" t="str">
        <f aca="false">IF(I1486="Duplicate","Remove",IF(H1486="Mismatch","Exclude","Keep"))</f>
        <v>Exclude</v>
      </c>
    </row>
    <row r="1487" customFormat="false" ht="15" hidden="false" customHeight="false" outlineLevel="0" collapsed="false">
      <c r="A1487" s="39" t="s">
        <v>1575</v>
      </c>
      <c r="B1487" s="40" t="n">
        <v>45862</v>
      </c>
      <c r="C1487" s="39" t="s">
        <v>305</v>
      </c>
      <c r="D1487" s="39" t="n">
        <v>1</v>
      </c>
      <c r="E1487" s="41" t="n">
        <v>344.64</v>
      </c>
      <c r="F1487" s="39" t="s">
        <v>115</v>
      </c>
      <c r="G1487" s="39" t="str">
        <f aca="false">UPPER(TRIM(C1487))</f>
        <v>P008</v>
      </c>
      <c r="H1487" s="39" t="str">
        <f aca="false">IF(ISNUMBER(MATCH(G1487,Products!$A$5:$A$24,0)),"OK","Mismatch")</f>
        <v>OK</v>
      </c>
      <c r="I1487" s="39" t="str">
        <f aca="false">IF(COUNTIF($A$5:A1487,A1487)&gt;1,"Duplicate","Unique")</f>
        <v>Unique</v>
      </c>
      <c r="J1487" s="39" t="str">
        <f aca="false">IF(I1487="Duplicate","Remove",IF(H1487="Mismatch","Exclude","Keep"))</f>
        <v>Keep</v>
      </c>
    </row>
    <row r="1488" customFormat="false" ht="15" hidden="false" customHeight="false" outlineLevel="0" collapsed="false">
      <c r="A1488" s="39" t="s">
        <v>1576</v>
      </c>
      <c r="B1488" s="40" t="n">
        <v>45862</v>
      </c>
      <c r="C1488" s="39" t="s">
        <v>133</v>
      </c>
      <c r="D1488" s="39" t="n">
        <v>1</v>
      </c>
      <c r="E1488" s="41" t="n">
        <v>8.78</v>
      </c>
      <c r="F1488" s="39" t="s">
        <v>118</v>
      </c>
      <c r="G1488" s="39" t="str">
        <f aca="false">UPPER(TRIM(C1488))</f>
        <v>P019</v>
      </c>
      <c r="H1488" s="39" t="str">
        <f aca="false">IF(ISNUMBER(MATCH(G1488,Products!$A$5:$A$24,0)),"OK","Mismatch")</f>
        <v>OK</v>
      </c>
      <c r="I1488" s="39" t="str">
        <f aca="false">IF(COUNTIF($A$5:A1488,A1488)&gt;1,"Duplicate","Unique")</f>
        <v>Unique</v>
      </c>
      <c r="J1488" s="39" t="str">
        <f aca="false">IF(I1488="Duplicate","Remove",IF(H1488="Mismatch","Exclude","Keep"))</f>
        <v>Keep</v>
      </c>
    </row>
    <row r="1489" customFormat="false" ht="15" hidden="false" customHeight="false" outlineLevel="0" collapsed="false">
      <c r="A1489" s="39" t="s">
        <v>1577</v>
      </c>
      <c r="B1489" s="40" t="n">
        <v>45862</v>
      </c>
      <c r="C1489" s="39" t="s">
        <v>126</v>
      </c>
      <c r="D1489" s="39" t="n">
        <v>8</v>
      </c>
      <c r="E1489" s="41" t="n">
        <v>23.39</v>
      </c>
      <c r="F1489" s="39" t="s">
        <v>115</v>
      </c>
      <c r="G1489" s="39" t="str">
        <f aca="false">UPPER(TRIM(C1489))</f>
        <v>P001</v>
      </c>
      <c r="H1489" s="39" t="str">
        <f aca="false">IF(ISNUMBER(MATCH(G1489,Products!$A$5:$A$24,0)),"OK","Mismatch")</f>
        <v>OK</v>
      </c>
      <c r="I1489" s="39" t="str">
        <f aca="false">IF(COUNTIF($A$5:A1489,A1489)&gt;1,"Duplicate","Unique")</f>
        <v>Unique</v>
      </c>
      <c r="J1489" s="39" t="str">
        <f aca="false">IF(I1489="Duplicate","Remove",IF(H1489="Mismatch","Exclude","Keep"))</f>
        <v>Keep</v>
      </c>
    </row>
    <row r="1490" customFormat="false" ht="15" hidden="false" customHeight="false" outlineLevel="0" collapsed="false">
      <c r="A1490" s="39" t="s">
        <v>1578</v>
      </c>
      <c r="B1490" s="40" t="n">
        <v>45862</v>
      </c>
      <c r="C1490" s="39" t="s">
        <v>107</v>
      </c>
      <c r="D1490" s="39" t="n">
        <v>6</v>
      </c>
      <c r="E1490" s="41" t="n">
        <v>32.51</v>
      </c>
      <c r="F1490" s="39" t="s">
        <v>115</v>
      </c>
      <c r="G1490" s="39" t="str">
        <f aca="false">UPPER(TRIM(C1490))</f>
        <v>P003</v>
      </c>
      <c r="H1490" s="39" t="str">
        <f aca="false">IF(ISNUMBER(MATCH(G1490,Products!$A$5:$A$24,0)),"OK","Mismatch")</f>
        <v>OK</v>
      </c>
      <c r="I1490" s="39" t="str">
        <f aca="false">IF(COUNTIF($A$5:A1490,A1490)&gt;1,"Duplicate","Unique")</f>
        <v>Unique</v>
      </c>
      <c r="J1490" s="39" t="str">
        <f aca="false">IF(I1490="Duplicate","Remove",IF(H1490="Mismatch","Exclude","Keep"))</f>
        <v>Keep</v>
      </c>
    </row>
    <row r="1491" customFormat="false" ht="15" hidden="false" customHeight="false" outlineLevel="0" collapsed="false">
      <c r="A1491" s="39" t="s">
        <v>1579</v>
      </c>
      <c r="B1491" s="40" t="n">
        <v>45862</v>
      </c>
      <c r="C1491" s="39" t="s">
        <v>130</v>
      </c>
      <c r="D1491" s="39" t="n">
        <v>1</v>
      </c>
      <c r="E1491" s="41" t="n">
        <v>8.67</v>
      </c>
      <c r="F1491" s="39" t="s">
        <v>108</v>
      </c>
      <c r="G1491" s="39" t="str">
        <f aca="false">UPPER(TRIM(C1491))</f>
        <v>P011</v>
      </c>
      <c r="H1491" s="39" t="str">
        <f aca="false">IF(ISNUMBER(MATCH(G1491,Products!$A$5:$A$24,0)),"OK","Mismatch")</f>
        <v>OK</v>
      </c>
      <c r="I1491" s="39" t="str">
        <f aca="false">IF(COUNTIF($A$5:A1491,A1491)&gt;1,"Duplicate","Unique")</f>
        <v>Unique</v>
      </c>
      <c r="J1491" s="39" t="str">
        <f aca="false">IF(I1491="Duplicate","Remove",IF(H1491="Mismatch","Exclude","Keep"))</f>
        <v>Keep</v>
      </c>
    </row>
    <row r="1492" customFormat="false" ht="15" hidden="false" customHeight="false" outlineLevel="0" collapsed="false">
      <c r="A1492" s="39" t="s">
        <v>1579</v>
      </c>
      <c r="B1492" s="40" t="n">
        <v>45862</v>
      </c>
      <c r="C1492" s="39" t="s">
        <v>130</v>
      </c>
      <c r="D1492" s="39" t="n">
        <v>1</v>
      </c>
      <c r="E1492" s="41" t="n">
        <v>8.67</v>
      </c>
      <c r="F1492" s="39" t="s">
        <v>108</v>
      </c>
      <c r="G1492" s="39" t="str">
        <f aca="false">UPPER(TRIM(C1492))</f>
        <v>P011</v>
      </c>
      <c r="H1492" s="39" t="str">
        <f aca="false">IF(ISNUMBER(MATCH(G1492,Products!$A$5:$A$24,0)),"OK","Mismatch")</f>
        <v>OK</v>
      </c>
      <c r="I1492" s="39" t="str">
        <f aca="false">IF(COUNTIF($A$5:A1492,A1492)&gt;1,"Duplicate","Unique")</f>
        <v>Duplicate</v>
      </c>
      <c r="J1492" s="39" t="str">
        <f aca="false">IF(I1492="Duplicate","Remove",IF(H1492="Mismatch","Exclude","Keep"))</f>
        <v>Remove</v>
      </c>
    </row>
    <row r="1493" customFormat="false" ht="15" hidden="false" customHeight="false" outlineLevel="0" collapsed="false">
      <c r="A1493" s="39" t="s">
        <v>1580</v>
      </c>
      <c r="B1493" s="40" t="n">
        <v>45862</v>
      </c>
      <c r="C1493" s="39" t="s">
        <v>110</v>
      </c>
      <c r="D1493" s="39" t="n">
        <v>1</v>
      </c>
      <c r="E1493" s="41" t="n">
        <v>13.8</v>
      </c>
      <c r="F1493" s="39" t="s">
        <v>118</v>
      </c>
      <c r="G1493" s="39" t="str">
        <f aca="false">UPPER(TRIM(C1493))</f>
        <v>P016</v>
      </c>
      <c r="H1493" s="39" t="str">
        <f aca="false">IF(ISNUMBER(MATCH(G1493,Products!$A$5:$A$24,0)),"OK","Mismatch")</f>
        <v>OK</v>
      </c>
      <c r="I1493" s="39" t="str">
        <f aca="false">IF(COUNTIF($A$5:A1493,A1493)&gt;1,"Duplicate","Unique")</f>
        <v>Unique</v>
      </c>
      <c r="J1493" s="39" t="str">
        <f aca="false">IF(I1493="Duplicate","Remove",IF(H1493="Mismatch","Exclude","Keep"))</f>
        <v>Keep</v>
      </c>
    </row>
    <row r="1494" customFormat="false" ht="15" hidden="false" customHeight="false" outlineLevel="0" collapsed="false">
      <c r="A1494" s="39" t="s">
        <v>1581</v>
      </c>
      <c r="B1494" s="40" t="n">
        <v>45862</v>
      </c>
      <c r="C1494" s="39" t="s">
        <v>110</v>
      </c>
      <c r="D1494" s="39" t="n">
        <v>3</v>
      </c>
      <c r="E1494" s="41" t="n">
        <v>13.48</v>
      </c>
      <c r="F1494" s="39" t="s">
        <v>118</v>
      </c>
      <c r="G1494" s="39" t="str">
        <f aca="false">UPPER(TRIM(C1494))</f>
        <v>P016</v>
      </c>
      <c r="H1494" s="39" t="str">
        <f aca="false">IF(ISNUMBER(MATCH(G1494,Products!$A$5:$A$24,0)),"OK","Mismatch")</f>
        <v>OK</v>
      </c>
      <c r="I1494" s="39" t="str">
        <f aca="false">IF(COUNTIF($A$5:A1494,A1494)&gt;1,"Duplicate","Unique")</f>
        <v>Unique</v>
      </c>
      <c r="J1494" s="39" t="str">
        <f aca="false">IF(I1494="Duplicate","Remove",IF(H1494="Mismatch","Exclude","Keep"))</f>
        <v>Keep</v>
      </c>
    </row>
    <row r="1495" customFormat="false" ht="15" hidden="false" customHeight="false" outlineLevel="0" collapsed="false">
      <c r="A1495" s="39" t="s">
        <v>1582</v>
      </c>
      <c r="B1495" s="40" t="n">
        <v>45862</v>
      </c>
      <c r="C1495" s="39" t="s">
        <v>107</v>
      </c>
      <c r="D1495" s="39" t="n">
        <v>2</v>
      </c>
      <c r="E1495" s="41" t="n">
        <v>34.96</v>
      </c>
      <c r="F1495" s="39" t="s">
        <v>105</v>
      </c>
      <c r="G1495" s="39" t="str">
        <f aca="false">UPPER(TRIM(C1495))</f>
        <v>P003</v>
      </c>
      <c r="H1495" s="39" t="str">
        <f aca="false">IF(ISNUMBER(MATCH(G1495,Products!$A$5:$A$24,0)),"OK","Mismatch")</f>
        <v>OK</v>
      </c>
      <c r="I1495" s="39" t="str">
        <f aca="false">IF(COUNTIF($A$5:A1495,A1495)&gt;1,"Duplicate","Unique")</f>
        <v>Unique</v>
      </c>
      <c r="J1495" s="39" t="str">
        <f aca="false">IF(I1495="Duplicate","Remove",IF(H1495="Mismatch","Exclude","Keep"))</f>
        <v>Keep</v>
      </c>
    </row>
    <row r="1496" customFormat="false" ht="15" hidden="false" customHeight="false" outlineLevel="0" collapsed="false">
      <c r="A1496" s="39" t="s">
        <v>1583</v>
      </c>
      <c r="B1496" s="40" t="n">
        <v>45862</v>
      </c>
      <c r="C1496" s="39" t="s">
        <v>107</v>
      </c>
      <c r="D1496" s="39" t="n">
        <v>1</v>
      </c>
      <c r="E1496" s="41" t="n">
        <v>34.38</v>
      </c>
      <c r="F1496" s="39" t="s">
        <v>105</v>
      </c>
      <c r="G1496" s="39" t="str">
        <f aca="false">UPPER(TRIM(C1496))</f>
        <v>P003</v>
      </c>
      <c r="H1496" s="39" t="str">
        <f aca="false">IF(ISNUMBER(MATCH(G1496,Products!$A$5:$A$24,0)),"OK","Mismatch")</f>
        <v>OK</v>
      </c>
      <c r="I1496" s="39" t="str">
        <f aca="false">IF(COUNTIF($A$5:A1496,A1496)&gt;1,"Duplicate","Unique")</f>
        <v>Unique</v>
      </c>
      <c r="J1496" s="39" t="str">
        <f aca="false">IF(I1496="Duplicate","Remove",IF(H1496="Mismatch","Exclude","Keep"))</f>
        <v>Keep</v>
      </c>
    </row>
    <row r="1497" customFormat="false" ht="15" hidden="false" customHeight="false" outlineLevel="0" collapsed="false">
      <c r="A1497" s="39" t="s">
        <v>1584</v>
      </c>
      <c r="B1497" s="40" t="n">
        <v>45862</v>
      </c>
      <c r="C1497" s="39" t="s">
        <v>110</v>
      </c>
      <c r="D1497" s="39" t="n">
        <v>5</v>
      </c>
      <c r="E1497" s="41" t="n">
        <v>13.08</v>
      </c>
      <c r="F1497" s="39" t="s">
        <v>118</v>
      </c>
      <c r="G1497" s="39" t="str">
        <f aca="false">UPPER(TRIM(C1497))</f>
        <v>P016</v>
      </c>
      <c r="H1497" s="39" t="str">
        <f aca="false">IF(ISNUMBER(MATCH(G1497,Products!$A$5:$A$24,0)),"OK","Mismatch")</f>
        <v>OK</v>
      </c>
      <c r="I1497" s="39" t="str">
        <f aca="false">IF(COUNTIF($A$5:A1497,A1497)&gt;1,"Duplicate","Unique")</f>
        <v>Unique</v>
      </c>
      <c r="J1497" s="39" t="str">
        <f aca="false">IF(I1497="Duplicate","Remove",IF(H1497="Mismatch","Exclude","Keep"))</f>
        <v>Keep</v>
      </c>
    </row>
    <row r="1498" customFormat="false" ht="15" hidden="false" customHeight="false" outlineLevel="0" collapsed="false">
      <c r="A1498" s="39" t="s">
        <v>1585</v>
      </c>
      <c r="B1498" s="40" t="n">
        <v>45863</v>
      </c>
      <c r="C1498" s="39" t="s">
        <v>130</v>
      </c>
      <c r="D1498" s="39" t="n">
        <v>1</v>
      </c>
      <c r="E1498" s="41" t="n">
        <v>8.41</v>
      </c>
      <c r="F1498" s="39" t="s">
        <v>105</v>
      </c>
      <c r="G1498" s="39" t="str">
        <f aca="false">UPPER(TRIM(C1498))</f>
        <v>P011</v>
      </c>
      <c r="H1498" s="39" t="str">
        <f aca="false">IF(ISNUMBER(MATCH(G1498,Products!$A$5:$A$24,0)),"OK","Mismatch")</f>
        <v>OK</v>
      </c>
      <c r="I1498" s="39" t="str">
        <f aca="false">IF(COUNTIF($A$5:A1498,A1498)&gt;1,"Duplicate","Unique")</f>
        <v>Unique</v>
      </c>
      <c r="J1498" s="39" t="str">
        <f aca="false">IF(I1498="Duplicate","Remove",IF(H1498="Mismatch","Exclude","Keep"))</f>
        <v>Keep</v>
      </c>
    </row>
    <row r="1499" customFormat="false" ht="15" hidden="false" customHeight="false" outlineLevel="0" collapsed="false">
      <c r="A1499" s="39" t="s">
        <v>1586</v>
      </c>
      <c r="B1499" s="40" t="n">
        <v>45863</v>
      </c>
      <c r="C1499" s="39" t="s">
        <v>144</v>
      </c>
      <c r="D1499" s="39" t="n">
        <v>5</v>
      </c>
      <c r="E1499" s="41" t="n">
        <v>58.09</v>
      </c>
      <c r="F1499" s="39" t="s">
        <v>105</v>
      </c>
      <c r="G1499" s="39" t="str">
        <f aca="false">UPPER(TRIM(C1499))</f>
        <v>P013</v>
      </c>
      <c r="H1499" s="39" t="str">
        <f aca="false">IF(ISNUMBER(MATCH(G1499,Products!$A$5:$A$24,0)),"OK","Mismatch")</f>
        <v>OK</v>
      </c>
      <c r="I1499" s="39" t="str">
        <f aca="false">IF(COUNTIF($A$5:A1499,A1499)&gt;1,"Duplicate","Unique")</f>
        <v>Unique</v>
      </c>
      <c r="J1499" s="39" t="str">
        <f aca="false">IF(I1499="Duplicate","Remove",IF(H1499="Mismatch","Exclude","Keep"))</f>
        <v>Keep</v>
      </c>
    </row>
    <row r="1500" customFormat="false" ht="15" hidden="false" customHeight="false" outlineLevel="0" collapsed="false">
      <c r="A1500" s="39" t="s">
        <v>1587</v>
      </c>
      <c r="B1500" s="40" t="n">
        <v>45863</v>
      </c>
      <c r="C1500" s="39" t="s">
        <v>133</v>
      </c>
      <c r="D1500" s="39" t="n">
        <v>4</v>
      </c>
      <c r="E1500" s="41" t="n">
        <v>8.82</v>
      </c>
      <c r="F1500" s="39" t="s">
        <v>118</v>
      </c>
      <c r="G1500" s="39" t="str">
        <f aca="false">UPPER(TRIM(C1500))</f>
        <v>P019</v>
      </c>
      <c r="H1500" s="39" t="str">
        <f aca="false">IF(ISNUMBER(MATCH(G1500,Products!$A$5:$A$24,0)),"OK","Mismatch")</f>
        <v>OK</v>
      </c>
      <c r="I1500" s="39" t="str">
        <f aca="false">IF(COUNTIF($A$5:A1500,A1500)&gt;1,"Duplicate","Unique")</f>
        <v>Unique</v>
      </c>
      <c r="J1500" s="39" t="str">
        <f aca="false">IF(I1500="Duplicate","Remove",IF(H1500="Mismatch","Exclude","Keep"))</f>
        <v>Keep</v>
      </c>
    </row>
    <row r="1501" customFormat="false" ht="15" hidden="false" customHeight="false" outlineLevel="0" collapsed="false">
      <c r="A1501" s="39" t="s">
        <v>1588</v>
      </c>
      <c r="B1501" s="40" t="n">
        <v>45863</v>
      </c>
      <c r="C1501" s="39" t="s">
        <v>130</v>
      </c>
      <c r="D1501" s="39" t="n">
        <v>2</v>
      </c>
      <c r="E1501" s="41" t="n">
        <v>8.63</v>
      </c>
      <c r="F1501" s="39" t="s">
        <v>118</v>
      </c>
      <c r="G1501" s="39" t="str">
        <f aca="false">UPPER(TRIM(C1501))</f>
        <v>P011</v>
      </c>
      <c r="H1501" s="39" t="str">
        <f aca="false">IF(ISNUMBER(MATCH(G1501,Products!$A$5:$A$24,0)),"OK","Mismatch")</f>
        <v>OK</v>
      </c>
      <c r="I1501" s="39" t="str">
        <f aca="false">IF(COUNTIF($A$5:A1501,A1501)&gt;1,"Duplicate","Unique")</f>
        <v>Unique</v>
      </c>
      <c r="J1501" s="39" t="str">
        <f aca="false">IF(I1501="Duplicate","Remove",IF(H1501="Mismatch","Exclude","Keep"))</f>
        <v>Keep</v>
      </c>
    </row>
    <row r="1502" customFormat="false" ht="15" hidden="false" customHeight="false" outlineLevel="0" collapsed="false">
      <c r="A1502" s="39" t="s">
        <v>1588</v>
      </c>
      <c r="B1502" s="40" t="n">
        <v>45863</v>
      </c>
      <c r="C1502" s="39" t="s">
        <v>130</v>
      </c>
      <c r="D1502" s="39" t="n">
        <v>2</v>
      </c>
      <c r="E1502" s="41" t="n">
        <v>8.63</v>
      </c>
      <c r="F1502" s="39" t="s">
        <v>118</v>
      </c>
      <c r="G1502" s="39" t="str">
        <f aca="false">UPPER(TRIM(C1502))</f>
        <v>P011</v>
      </c>
      <c r="H1502" s="39" t="str">
        <f aca="false">IF(ISNUMBER(MATCH(G1502,Products!$A$5:$A$24,0)),"OK","Mismatch")</f>
        <v>OK</v>
      </c>
      <c r="I1502" s="39" t="str">
        <f aca="false">IF(COUNTIF($A$5:A1502,A1502)&gt;1,"Duplicate","Unique")</f>
        <v>Duplicate</v>
      </c>
      <c r="J1502" s="39" t="str">
        <f aca="false">IF(I1502="Duplicate","Remove",IF(H1502="Mismatch","Exclude","Keep"))</f>
        <v>Remove</v>
      </c>
    </row>
    <row r="1503" customFormat="false" ht="15" hidden="false" customHeight="false" outlineLevel="0" collapsed="false">
      <c r="A1503" s="39" t="s">
        <v>1589</v>
      </c>
      <c r="B1503" s="40" t="n">
        <v>45863</v>
      </c>
      <c r="C1503" s="39" t="s">
        <v>130</v>
      </c>
      <c r="D1503" s="39" t="n">
        <v>3</v>
      </c>
      <c r="E1503" s="41" t="n">
        <v>8.49</v>
      </c>
      <c r="F1503" s="39" t="s">
        <v>108</v>
      </c>
      <c r="G1503" s="39" t="str">
        <f aca="false">UPPER(TRIM(C1503))</f>
        <v>P011</v>
      </c>
      <c r="H1503" s="39" t="str">
        <f aca="false">IF(ISNUMBER(MATCH(G1503,Products!$A$5:$A$24,0)),"OK","Mismatch")</f>
        <v>OK</v>
      </c>
      <c r="I1503" s="39" t="str">
        <f aca="false">IF(COUNTIF($A$5:A1503,A1503)&gt;1,"Duplicate","Unique")</f>
        <v>Unique</v>
      </c>
      <c r="J1503" s="39" t="str">
        <f aca="false">IF(I1503="Duplicate","Remove",IF(H1503="Mismatch","Exclude","Keep"))</f>
        <v>Keep</v>
      </c>
    </row>
    <row r="1504" customFormat="false" ht="15" hidden="false" customHeight="false" outlineLevel="0" collapsed="false">
      <c r="A1504" s="39" t="s">
        <v>1590</v>
      </c>
      <c r="B1504" s="40" t="n">
        <v>45864</v>
      </c>
      <c r="C1504" s="39" t="s">
        <v>144</v>
      </c>
      <c r="D1504" s="39" t="n">
        <v>6</v>
      </c>
      <c r="E1504" s="41" t="n">
        <v>58.16</v>
      </c>
      <c r="F1504" s="39" t="s">
        <v>105</v>
      </c>
      <c r="G1504" s="39" t="str">
        <f aca="false">UPPER(TRIM(C1504))</f>
        <v>P013</v>
      </c>
      <c r="H1504" s="39" t="str">
        <f aca="false">IF(ISNUMBER(MATCH(G1504,Products!$A$5:$A$24,0)),"OK","Mismatch")</f>
        <v>OK</v>
      </c>
      <c r="I1504" s="39" t="str">
        <f aca="false">IF(COUNTIF($A$5:A1504,A1504)&gt;1,"Duplicate","Unique")</f>
        <v>Unique</v>
      </c>
      <c r="J1504" s="39" t="str">
        <f aca="false">IF(I1504="Duplicate","Remove",IF(H1504="Mismatch","Exclude","Keep"))</f>
        <v>Keep</v>
      </c>
    </row>
    <row r="1505" customFormat="false" ht="15" hidden="false" customHeight="false" outlineLevel="0" collapsed="false">
      <c r="A1505" s="39" t="s">
        <v>1591</v>
      </c>
      <c r="B1505" s="40" t="n">
        <v>45864</v>
      </c>
      <c r="C1505" s="39" t="s">
        <v>126</v>
      </c>
      <c r="D1505" s="39" t="n">
        <v>2</v>
      </c>
      <c r="E1505" s="41" t="n">
        <v>24.32</v>
      </c>
      <c r="F1505" s="39" t="s">
        <v>105</v>
      </c>
      <c r="G1505" s="39" t="str">
        <f aca="false">UPPER(TRIM(C1505))</f>
        <v>P001</v>
      </c>
      <c r="H1505" s="39" t="str">
        <f aca="false">IF(ISNUMBER(MATCH(G1505,Products!$A$5:$A$24,0)),"OK","Mismatch")</f>
        <v>OK</v>
      </c>
      <c r="I1505" s="39" t="str">
        <f aca="false">IF(COUNTIF($A$5:A1505,A1505)&gt;1,"Duplicate","Unique")</f>
        <v>Unique</v>
      </c>
      <c r="J1505" s="39" t="str">
        <f aca="false">IF(I1505="Duplicate","Remove",IF(H1505="Mismatch","Exclude","Keep"))</f>
        <v>Keep</v>
      </c>
    </row>
    <row r="1506" customFormat="false" ht="15" hidden="false" customHeight="false" outlineLevel="0" collapsed="false">
      <c r="A1506" s="39" t="s">
        <v>1592</v>
      </c>
      <c r="B1506" s="40" t="n">
        <v>45864</v>
      </c>
      <c r="C1506" s="39" t="s">
        <v>114</v>
      </c>
      <c r="D1506" s="39" t="n">
        <v>2</v>
      </c>
      <c r="E1506" s="41" t="n">
        <v>5.69</v>
      </c>
      <c r="F1506" s="39" t="s">
        <v>115</v>
      </c>
      <c r="G1506" s="39" t="str">
        <f aca="false">UPPER(TRIM(C1506))</f>
        <v>P012</v>
      </c>
      <c r="H1506" s="39" t="str">
        <f aca="false">IF(ISNUMBER(MATCH(G1506,Products!$A$5:$A$24,0)),"OK","Mismatch")</f>
        <v>OK</v>
      </c>
      <c r="I1506" s="39" t="str">
        <f aca="false">IF(COUNTIF($A$5:A1506,A1506)&gt;1,"Duplicate","Unique")</f>
        <v>Unique</v>
      </c>
      <c r="J1506" s="39" t="str">
        <f aca="false">IF(I1506="Duplicate","Remove",IF(H1506="Mismatch","Exclude","Keep"))</f>
        <v>Keep</v>
      </c>
    </row>
    <row r="1507" customFormat="false" ht="15" hidden="false" customHeight="false" outlineLevel="0" collapsed="false">
      <c r="A1507" s="39" t="s">
        <v>1593</v>
      </c>
      <c r="B1507" s="40" t="n">
        <v>45864</v>
      </c>
      <c r="C1507" s="39" t="s">
        <v>110</v>
      </c>
      <c r="D1507" s="39" t="n">
        <v>1</v>
      </c>
      <c r="E1507" s="41" t="n">
        <v>13.02</v>
      </c>
      <c r="F1507" s="39" t="s">
        <v>118</v>
      </c>
      <c r="G1507" s="39" t="str">
        <f aca="false">UPPER(TRIM(C1507))</f>
        <v>P016</v>
      </c>
      <c r="H1507" s="39" t="str">
        <f aca="false">IF(ISNUMBER(MATCH(G1507,Products!$A$5:$A$24,0)),"OK","Mismatch")</f>
        <v>OK</v>
      </c>
      <c r="I1507" s="39" t="str">
        <f aca="false">IF(COUNTIF($A$5:A1507,A1507)&gt;1,"Duplicate","Unique")</f>
        <v>Unique</v>
      </c>
      <c r="J1507" s="39" t="str">
        <f aca="false">IF(I1507="Duplicate","Remove",IF(H1507="Mismatch","Exclude","Keep"))</f>
        <v>Keep</v>
      </c>
    </row>
    <row r="1508" customFormat="false" ht="15" hidden="false" customHeight="false" outlineLevel="0" collapsed="false">
      <c r="A1508" s="39" t="s">
        <v>1594</v>
      </c>
      <c r="B1508" s="40" t="n">
        <v>45864</v>
      </c>
      <c r="C1508" s="39" t="s">
        <v>121</v>
      </c>
      <c r="D1508" s="39" t="n">
        <v>1</v>
      </c>
      <c r="E1508" s="41" t="n">
        <v>110.45</v>
      </c>
      <c r="F1508" s="39" t="s">
        <v>108</v>
      </c>
      <c r="G1508" s="39" t="str">
        <f aca="false">UPPER(TRIM(C1508))</f>
        <v>P018</v>
      </c>
      <c r="H1508" s="39" t="str">
        <f aca="false">IF(ISNUMBER(MATCH(G1508,Products!$A$5:$A$24,0)),"OK","Mismatch")</f>
        <v>OK</v>
      </c>
      <c r="I1508" s="39" t="str">
        <f aca="false">IF(COUNTIF($A$5:A1508,A1508)&gt;1,"Duplicate","Unique")</f>
        <v>Unique</v>
      </c>
      <c r="J1508" s="39" t="str">
        <f aca="false">IF(I1508="Duplicate","Remove",IF(H1508="Mismatch","Exclude","Keep"))</f>
        <v>Keep</v>
      </c>
    </row>
    <row r="1509" customFormat="false" ht="15" hidden="false" customHeight="false" outlineLevel="0" collapsed="false">
      <c r="A1509" s="39" t="s">
        <v>1595</v>
      </c>
      <c r="B1509" s="40" t="n">
        <v>45865</v>
      </c>
      <c r="C1509" s="39" t="s">
        <v>133</v>
      </c>
      <c r="D1509" s="39" t="n">
        <v>1</v>
      </c>
      <c r="E1509" s="41" t="n">
        <v>8.74</v>
      </c>
      <c r="F1509" s="39" t="s">
        <v>115</v>
      </c>
      <c r="G1509" s="39" t="str">
        <f aca="false">UPPER(TRIM(C1509))</f>
        <v>P019</v>
      </c>
      <c r="H1509" s="39" t="str">
        <f aca="false">IF(ISNUMBER(MATCH(G1509,Products!$A$5:$A$24,0)),"OK","Mismatch")</f>
        <v>OK</v>
      </c>
      <c r="I1509" s="39" t="str">
        <f aca="false">IF(COUNTIF($A$5:A1509,A1509)&gt;1,"Duplicate","Unique")</f>
        <v>Unique</v>
      </c>
      <c r="J1509" s="39" t="str">
        <f aca="false">IF(I1509="Duplicate","Remove",IF(H1509="Mismatch","Exclude","Keep"))</f>
        <v>Keep</v>
      </c>
    </row>
    <row r="1510" customFormat="false" ht="15" hidden="false" customHeight="false" outlineLevel="0" collapsed="false">
      <c r="A1510" s="39" t="s">
        <v>1596</v>
      </c>
      <c r="B1510" s="40" t="n">
        <v>45865</v>
      </c>
      <c r="C1510" s="39" t="s">
        <v>133</v>
      </c>
      <c r="D1510" s="39" t="n">
        <v>2</v>
      </c>
      <c r="E1510" s="41" t="n">
        <v>8.59</v>
      </c>
      <c r="F1510" s="39" t="s">
        <v>108</v>
      </c>
      <c r="G1510" s="39" t="str">
        <f aca="false">UPPER(TRIM(C1510))</f>
        <v>P019</v>
      </c>
      <c r="H1510" s="39" t="str">
        <f aca="false">IF(ISNUMBER(MATCH(G1510,Products!$A$5:$A$24,0)),"OK","Mismatch")</f>
        <v>OK</v>
      </c>
      <c r="I1510" s="39" t="str">
        <f aca="false">IF(COUNTIF($A$5:A1510,A1510)&gt;1,"Duplicate","Unique")</f>
        <v>Unique</v>
      </c>
      <c r="J1510" s="39" t="str">
        <f aca="false">IF(I1510="Duplicate","Remove",IF(H1510="Mismatch","Exclude","Keep"))</f>
        <v>Keep</v>
      </c>
    </row>
    <row r="1511" customFormat="false" ht="15" hidden="false" customHeight="false" outlineLevel="0" collapsed="false">
      <c r="A1511" s="39" t="s">
        <v>1597</v>
      </c>
      <c r="B1511" s="40" t="n">
        <v>45865</v>
      </c>
      <c r="C1511" s="39" t="s">
        <v>126</v>
      </c>
      <c r="D1511" s="39" t="n">
        <v>1</v>
      </c>
      <c r="E1511" s="41" t="n">
        <v>24.18</v>
      </c>
      <c r="F1511" s="39" t="s">
        <v>118</v>
      </c>
      <c r="G1511" s="39" t="str">
        <f aca="false">UPPER(TRIM(C1511))</f>
        <v>P001</v>
      </c>
      <c r="H1511" s="39" t="str">
        <f aca="false">IF(ISNUMBER(MATCH(G1511,Products!$A$5:$A$24,0)),"OK","Mismatch")</f>
        <v>OK</v>
      </c>
      <c r="I1511" s="39" t="str">
        <f aca="false">IF(COUNTIF($A$5:A1511,A1511)&gt;1,"Duplicate","Unique")</f>
        <v>Unique</v>
      </c>
      <c r="J1511" s="39" t="str">
        <f aca="false">IF(I1511="Duplicate","Remove",IF(H1511="Mismatch","Exclude","Keep"))</f>
        <v>Keep</v>
      </c>
    </row>
    <row r="1512" customFormat="false" ht="15" hidden="false" customHeight="false" outlineLevel="0" collapsed="false">
      <c r="A1512" s="39" t="s">
        <v>1598</v>
      </c>
      <c r="B1512" s="40" t="n">
        <v>45865</v>
      </c>
      <c r="C1512" s="39" t="s">
        <v>3164</v>
      </c>
      <c r="D1512" s="39" t="n">
        <v>1</v>
      </c>
      <c r="E1512" s="41" t="n">
        <v>8.74</v>
      </c>
      <c r="F1512" s="39" t="s">
        <v>108</v>
      </c>
      <c r="G1512" s="39" t="str">
        <f aca="false">UPPER(TRIM(C1512))</f>
        <v>P019</v>
      </c>
      <c r="H1512" s="39" t="str">
        <f aca="false">IF(ISNUMBER(MATCH(G1512,Products!$A$5:$A$24,0)),"OK","Mismatch")</f>
        <v>OK</v>
      </c>
      <c r="I1512" s="39" t="str">
        <f aca="false">IF(COUNTIF($A$5:A1512,A1512)&gt;1,"Duplicate","Unique")</f>
        <v>Unique</v>
      </c>
      <c r="J1512" s="39" t="str">
        <f aca="false">IF(I1512="Duplicate","Remove",IF(H1512="Mismatch","Exclude","Keep"))</f>
        <v>Keep</v>
      </c>
    </row>
    <row r="1513" customFormat="false" ht="15" hidden="false" customHeight="false" outlineLevel="0" collapsed="false">
      <c r="A1513" s="39" t="s">
        <v>1599</v>
      </c>
      <c r="B1513" s="40" t="n">
        <v>45865</v>
      </c>
      <c r="C1513" s="39" t="s">
        <v>104</v>
      </c>
      <c r="D1513" s="39" t="n">
        <v>2</v>
      </c>
      <c r="E1513" s="41" t="n">
        <v>14.79</v>
      </c>
      <c r="F1513" s="39" t="s">
        <v>115</v>
      </c>
      <c r="G1513" s="39" t="str">
        <f aca="false">UPPER(TRIM(C1513))</f>
        <v>P015</v>
      </c>
      <c r="H1513" s="39" t="str">
        <f aca="false">IF(ISNUMBER(MATCH(G1513,Products!$A$5:$A$24,0)),"OK","Mismatch")</f>
        <v>OK</v>
      </c>
      <c r="I1513" s="39" t="str">
        <f aca="false">IF(COUNTIF($A$5:A1513,A1513)&gt;1,"Duplicate","Unique")</f>
        <v>Unique</v>
      </c>
      <c r="J1513" s="39" t="str">
        <f aca="false">IF(I1513="Duplicate","Remove",IF(H1513="Mismatch","Exclude","Keep"))</f>
        <v>Keep</v>
      </c>
    </row>
    <row r="1514" customFormat="false" ht="15" hidden="false" customHeight="false" outlineLevel="0" collapsed="false">
      <c r="A1514" s="39" t="s">
        <v>1600</v>
      </c>
      <c r="B1514" s="40" t="n">
        <v>45865</v>
      </c>
      <c r="C1514" s="39" t="s">
        <v>107</v>
      </c>
      <c r="D1514" s="39" t="n">
        <v>1</v>
      </c>
      <c r="E1514" s="41" t="n">
        <v>32.35</v>
      </c>
      <c r="F1514" s="39" t="s">
        <v>118</v>
      </c>
      <c r="G1514" s="39" t="str">
        <f aca="false">UPPER(TRIM(C1514))</f>
        <v>P003</v>
      </c>
      <c r="H1514" s="39" t="str">
        <f aca="false">IF(ISNUMBER(MATCH(G1514,Products!$A$5:$A$24,0)),"OK","Mismatch")</f>
        <v>OK</v>
      </c>
      <c r="I1514" s="39" t="str">
        <f aca="false">IF(COUNTIF($A$5:A1514,A1514)&gt;1,"Duplicate","Unique")</f>
        <v>Unique</v>
      </c>
      <c r="J1514" s="39" t="str">
        <f aca="false">IF(I1514="Duplicate","Remove",IF(H1514="Mismatch","Exclude","Keep"))</f>
        <v>Keep</v>
      </c>
    </row>
    <row r="1515" customFormat="false" ht="15" hidden="false" customHeight="false" outlineLevel="0" collapsed="false">
      <c r="A1515" s="39" t="s">
        <v>1601</v>
      </c>
      <c r="B1515" s="40" t="n">
        <v>45865</v>
      </c>
      <c r="C1515" s="39" t="s">
        <v>130</v>
      </c>
      <c r="D1515" s="39" t="n">
        <v>3</v>
      </c>
      <c r="E1515" s="41" t="n">
        <v>8.63</v>
      </c>
      <c r="F1515" s="39" t="s">
        <v>105</v>
      </c>
      <c r="G1515" s="39" t="str">
        <f aca="false">UPPER(TRIM(C1515))</f>
        <v>P011</v>
      </c>
      <c r="H1515" s="39" t="str">
        <f aca="false">IF(ISNUMBER(MATCH(G1515,Products!$A$5:$A$24,0)),"OK","Mismatch")</f>
        <v>OK</v>
      </c>
      <c r="I1515" s="39" t="str">
        <f aca="false">IF(COUNTIF($A$5:A1515,A1515)&gt;1,"Duplicate","Unique")</f>
        <v>Unique</v>
      </c>
      <c r="J1515" s="39" t="str">
        <f aca="false">IF(I1515="Duplicate","Remove",IF(H1515="Mismatch","Exclude","Keep"))</f>
        <v>Keep</v>
      </c>
    </row>
    <row r="1516" customFormat="false" ht="15" hidden="false" customHeight="false" outlineLevel="0" collapsed="false">
      <c r="A1516" s="39" t="s">
        <v>1602</v>
      </c>
      <c r="B1516" s="40" t="n">
        <v>45865</v>
      </c>
      <c r="C1516" s="39" t="s">
        <v>117</v>
      </c>
      <c r="D1516" s="39" t="n">
        <v>4</v>
      </c>
      <c r="E1516" s="41" t="n">
        <v>31.53</v>
      </c>
      <c r="F1516" s="39" t="s">
        <v>115</v>
      </c>
      <c r="G1516" s="39" t="str">
        <f aca="false">UPPER(TRIM(C1516))</f>
        <v>P009</v>
      </c>
      <c r="H1516" s="39" t="str">
        <f aca="false">IF(ISNUMBER(MATCH(G1516,Products!$A$5:$A$24,0)),"OK","Mismatch")</f>
        <v>OK</v>
      </c>
      <c r="I1516" s="39" t="str">
        <f aca="false">IF(COUNTIF($A$5:A1516,A1516)&gt;1,"Duplicate","Unique")</f>
        <v>Unique</v>
      </c>
      <c r="J1516" s="39" t="str">
        <f aca="false">IF(I1516="Duplicate","Remove",IF(H1516="Mismatch","Exclude","Keep"))</f>
        <v>Keep</v>
      </c>
    </row>
    <row r="1517" customFormat="false" ht="15" hidden="false" customHeight="false" outlineLevel="0" collapsed="false">
      <c r="A1517" s="39" t="s">
        <v>1603</v>
      </c>
      <c r="B1517" s="40" t="n">
        <v>45866</v>
      </c>
      <c r="C1517" s="39" t="s">
        <v>139</v>
      </c>
      <c r="D1517" s="39" t="n">
        <v>3</v>
      </c>
      <c r="E1517" s="41" t="n">
        <v>120.42</v>
      </c>
      <c r="F1517" s="39" t="s">
        <v>105</v>
      </c>
      <c r="G1517" s="39" t="str">
        <f aca="false">UPPER(TRIM(C1517))</f>
        <v>P006</v>
      </c>
      <c r="H1517" s="39" t="str">
        <f aca="false">IF(ISNUMBER(MATCH(G1517,Products!$A$5:$A$24,0)),"OK","Mismatch")</f>
        <v>OK</v>
      </c>
      <c r="I1517" s="39" t="str">
        <f aca="false">IF(COUNTIF($A$5:A1517,A1517)&gt;1,"Duplicate","Unique")</f>
        <v>Unique</v>
      </c>
      <c r="J1517" s="39" t="str">
        <f aca="false">IF(I1517="Duplicate","Remove",IF(H1517="Mismatch","Exclude","Keep"))</f>
        <v>Keep</v>
      </c>
    </row>
    <row r="1518" customFormat="false" ht="15" hidden="false" customHeight="false" outlineLevel="0" collapsed="false">
      <c r="A1518" s="39" t="s">
        <v>1604</v>
      </c>
      <c r="B1518" s="40" t="n">
        <v>45866</v>
      </c>
      <c r="C1518" s="39" t="s">
        <v>121</v>
      </c>
      <c r="D1518" s="39" t="n">
        <v>6</v>
      </c>
      <c r="E1518" s="41" t="n">
        <v>111.46</v>
      </c>
      <c r="F1518" s="39" t="s">
        <v>115</v>
      </c>
      <c r="G1518" s="39" t="str">
        <f aca="false">UPPER(TRIM(C1518))</f>
        <v>P018</v>
      </c>
      <c r="H1518" s="39" t="str">
        <f aca="false">IF(ISNUMBER(MATCH(G1518,Products!$A$5:$A$24,0)),"OK","Mismatch")</f>
        <v>OK</v>
      </c>
      <c r="I1518" s="39" t="str">
        <f aca="false">IF(COUNTIF($A$5:A1518,A1518)&gt;1,"Duplicate","Unique")</f>
        <v>Unique</v>
      </c>
      <c r="J1518" s="39" t="str">
        <f aca="false">IF(I1518="Duplicate","Remove",IF(H1518="Mismatch","Exclude","Keep"))</f>
        <v>Keep</v>
      </c>
    </row>
    <row r="1519" customFormat="false" ht="15" hidden="false" customHeight="false" outlineLevel="0" collapsed="false">
      <c r="A1519" s="39" t="s">
        <v>1605</v>
      </c>
      <c r="B1519" s="40" t="n">
        <v>45866</v>
      </c>
      <c r="C1519" s="39" t="s">
        <v>183</v>
      </c>
      <c r="D1519" s="39" t="n">
        <v>3</v>
      </c>
      <c r="E1519" s="41" t="n">
        <v>181.42</v>
      </c>
      <c r="F1519" s="39" t="s">
        <v>118</v>
      </c>
      <c r="G1519" s="39" t="str">
        <f aca="false">UPPER(TRIM(C1519))</f>
        <v>P007</v>
      </c>
      <c r="H1519" s="39" t="str">
        <f aca="false">IF(ISNUMBER(MATCH(G1519,Products!$A$5:$A$24,0)),"OK","Mismatch")</f>
        <v>OK</v>
      </c>
      <c r="I1519" s="39" t="str">
        <f aca="false">IF(COUNTIF($A$5:A1519,A1519)&gt;1,"Duplicate","Unique")</f>
        <v>Unique</v>
      </c>
      <c r="J1519" s="39" t="str">
        <f aca="false">IF(I1519="Duplicate","Remove",IF(H1519="Mismatch","Exclude","Keep"))</f>
        <v>Keep</v>
      </c>
    </row>
    <row r="1520" customFormat="false" ht="15" hidden="false" customHeight="false" outlineLevel="0" collapsed="false">
      <c r="A1520" s="39" t="s">
        <v>1606</v>
      </c>
      <c r="B1520" s="40" t="n">
        <v>45866</v>
      </c>
      <c r="C1520" s="39" t="s">
        <v>114</v>
      </c>
      <c r="D1520" s="39" t="n">
        <v>1</v>
      </c>
      <c r="E1520" s="41" t="n">
        <v>5.88</v>
      </c>
      <c r="F1520" s="39" t="s">
        <v>115</v>
      </c>
      <c r="G1520" s="39" t="str">
        <f aca="false">UPPER(TRIM(C1520))</f>
        <v>P012</v>
      </c>
      <c r="H1520" s="39" t="str">
        <f aca="false">IF(ISNUMBER(MATCH(G1520,Products!$A$5:$A$24,0)),"OK","Mismatch")</f>
        <v>OK</v>
      </c>
      <c r="I1520" s="39" t="str">
        <f aca="false">IF(COUNTIF($A$5:A1520,A1520)&gt;1,"Duplicate","Unique")</f>
        <v>Unique</v>
      </c>
      <c r="J1520" s="39" t="str">
        <f aca="false">IF(I1520="Duplicate","Remove",IF(H1520="Mismatch","Exclude","Keep"))</f>
        <v>Keep</v>
      </c>
    </row>
    <row r="1521" customFormat="false" ht="15" hidden="false" customHeight="false" outlineLevel="0" collapsed="false">
      <c r="A1521" s="39" t="s">
        <v>1607</v>
      </c>
      <c r="B1521" s="40" t="n">
        <v>45866</v>
      </c>
      <c r="C1521" s="39" t="s">
        <v>126</v>
      </c>
      <c r="D1521" s="39" t="n">
        <v>5</v>
      </c>
      <c r="E1521" s="41" t="n">
        <v>23.4</v>
      </c>
      <c r="F1521" s="39" t="s">
        <v>118</v>
      </c>
      <c r="G1521" s="39" t="str">
        <f aca="false">UPPER(TRIM(C1521))</f>
        <v>P001</v>
      </c>
      <c r="H1521" s="39" t="str">
        <f aca="false">IF(ISNUMBER(MATCH(G1521,Products!$A$5:$A$24,0)),"OK","Mismatch")</f>
        <v>OK</v>
      </c>
      <c r="I1521" s="39" t="str">
        <f aca="false">IF(COUNTIF($A$5:A1521,A1521)&gt;1,"Duplicate","Unique")</f>
        <v>Unique</v>
      </c>
      <c r="J1521" s="39" t="str">
        <f aca="false">IF(I1521="Duplicate","Remove",IF(H1521="Mismatch","Exclude","Keep"))</f>
        <v>Keep</v>
      </c>
    </row>
    <row r="1522" customFormat="false" ht="15" hidden="false" customHeight="false" outlineLevel="0" collapsed="false">
      <c r="A1522" s="39" t="s">
        <v>1608</v>
      </c>
      <c r="B1522" s="40" t="n">
        <v>45866</v>
      </c>
      <c r="C1522" s="39" t="s">
        <v>169</v>
      </c>
      <c r="D1522" s="39" t="n">
        <v>3</v>
      </c>
      <c r="E1522" s="41" t="n">
        <v>27.47</v>
      </c>
      <c r="F1522" s="39" t="s">
        <v>115</v>
      </c>
      <c r="G1522" s="39" t="str">
        <f aca="false">UPPER(TRIM(C1522))</f>
        <v>P004</v>
      </c>
      <c r="H1522" s="39" t="str">
        <f aca="false">IF(ISNUMBER(MATCH(G1522,Products!$A$5:$A$24,0)),"OK","Mismatch")</f>
        <v>OK</v>
      </c>
      <c r="I1522" s="39" t="str">
        <f aca="false">IF(COUNTIF($A$5:A1522,A1522)&gt;1,"Duplicate","Unique")</f>
        <v>Unique</v>
      </c>
      <c r="J1522" s="39" t="str">
        <f aca="false">IF(I1522="Duplicate","Remove",IF(H1522="Mismatch","Exclude","Keep"))</f>
        <v>Keep</v>
      </c>
    </row>
    <row r="1523" customFormat="false" ht="15" hidden="false" customHeight="false" outlineLevel="0" collapsed="false">
      <c r="A1523" s="39" t="s">
        <v>1609</v>
      </c>
      <c r="B1523" s="40" t="n">
        <v>45866</v>
      </c>
      <c r="C1523" s="39" t="s">
        <v>130</v>
      </c>
      <c r="D1523" s="39" t="n">
        <v>2</v>
      </c>
      <c r="E1523" s="41" t="n">
        <v>8.88</v>
      </c>
      <c r="F1523" s="39" t="s">
        <v>118</v>
      </c>
      <c r="G1523" s="39" t="str">
        <f aca="false">UPPER(TRIM(C1523))</f>
        <v>P011</v>
      </c>
      <c r="H1523" s="39" t="str">
        <f aca="false">IF(ISNUMBER(MATCH(G1523,Products!$A$5:$A$24,0)),"OK","Mismatch")</f>
        <v>OK</v>
      </c>
      <c r="I1523" s="39" t="str">
        <f aca="false">IF(COUNTIF($A$5:A1523,A1523)&gt;1,"Duplicate","Unique")</f>
        <v>Unique</v>
      </c>
      <c r="J1523" s="39" t="str">
        <f aca="false">IF(I1523="Duplicate","Remove",IF(H1523="Mismatch","Exclude","Keep"))</f>
        <v>Keep</v>
      </c>
    </row>
    <row r="1524" customFormat="false" ht="15" hidden="false" customHeight="false" outlineLevel="0" collapsed="false">
      <c r="A1524" s="39" t="s">
        <v>1610</v>
      </c>
      <c r="B1524" s="40" t="n">
        <v>45866</v>
      </c>
      <c r="C1524" s="39" t="s">
        <v>126</v>
      </c>
      <c r="D1524" s="39" t="n">
        <v>4</v>
      </c>
      <c r="E1524" s="41" t="n">
        <v>24.66</v>
      </c>
      <c r="F1524" s="39" t="s">
        <v>118</v>
      </c>
      <c r="G1524" s="39" t="str">
        <f aca="false">UPPER(TRIM(C1524))</f>
        <v>P001</v>
      </c>
      <c r="H1524" s="39" t="str">
        <f aca="false">IF(ISNUMBER(MATCH(G1524,Products!$A$5:$A$24,0)),"OK","Mismatch")</f>
        <v>OK</v>
      </c>
      <c r="I1524" s="39" t="str">
        <f aca="false">IF(COUNTIF($A$5:A1524,A1524)&gt;1,"Duplicate","Unique")</f>
        <v>Unique</v>
      </c>
      <c r="J1524" s="39" t="str">
        <f aca="false">IF(I1524="Duplicate","Remove",IF(H1524="Mismatch","Exclude","Keep"))</f>
        <v>Keep</v>
      </c>
    </row>
    <row r="1525" customFormat="false" ht="15" hidden="false" customHeight="false" outlineLevel="0" collapsed="false">
      <c r="A1525" s="39" t="s">
        <v>1611</v>
      </c>
      <c r="B1525" s="40" t="n">
        <v>45870</v>
      </c>
      <c r="C1525" s="39" t="s">
        <v>133</v>
      </c>
      <c r="D1525" s="39" t="n">
        <v>4</v>
      </c>
      <c r="E1525" s="41" t="n">
        <v>8.87</v>
      </c>
      <c r="F1525" s="39" t="s">
        <v>115</v>
      </c>
      <c r="G1525" s="39" t="str">
        <f aca="false">UPPER(TRIM(C1525))</f>
        <v>P019</v>
      </c>
      <c r="H1525" s="39" t="str">
        <f aca="false">IF(ISNUMBER(MATCH(G1525,Products!$A$5:$A$24,0)),"OK","Mismatch")</f>
        <v>OK</v>
      </c>
      <c r="I1525" s="39" t="str">
        <f aca="false">IF(COUNTIF($A$5:A1525,A1525)&gt;1,"Duplicate","Unique")</f>
        <v>Unique</v>
      </c>
      <c r="J1525" s="39" t="str">
        <f aca="false">IF(I1525="Duplicate","Remove",IF(H1525="Mismatch","Exclude","Keep"))</f>
        <v>Keep</v>
      </c>
    </row>
    <row r="1526" customFormat="false" ht="15" hidden="false" customHeight="false" outlineLevel="0" collapsed="false">
      <c r="A1526" s="39" t="s">
        <v>1612</v>
      </c>
      <c r="B1526" s="40" t="n">
        <v>45870</v>
      </c>
      <c r="C1526" s="39" t="s">
        <v>130</v>
      </c>
      <c r="D1526" s="39" t="n">
        <v>4</v>
      </c>
      <c r="E1526" s="41" t="n">
        <v>8.44</v>
      </c>
      <c r="F1526" s="39" t="s">
        <v>115</v>
      </c>
      <c r="G1526" s="39" t="str">
        <f aca="false">UPPER(TRIM(C1526))</f>
        <v>P011</v>
      </c>
      <c r="H1526" s="39" t="str">
        <f aca="false">IF(ISNUMBER(MATCH(G1526,Products!$A$5:$A$24,0)),"OK","Mismatch")</f>
        <v>OK</v>
      </c>
      <c r="I1526" s="39" t="str">
        <f aca="false">IF(COUNTIF($A$5:A1526,A1526)&gt;1,"Duplicate","Unique")</f>
        <v>Unique</v>
      </c>
      <c r="J1526" s="39" t="str">
        <f aca="false">IF(I1526="Duplicate","Remove",IF(H1526="Mismatch","Exclude","Keep"))</f>
        <v>Keep</v>
      </c>
    </row>
    <row r="1527" customFormat="false" ht="15" hidden="false" customHeight="false" outlineLevel="0" collapsed="false">
      <c r="A1527" s="39" t="s">
        <v>1613</v>
      </c>
      <c r="B1527" s="40" t="n">
        <v>45870</v>
      </c>
      <c r="C1527" s="39" t="s">
        <v>305</v>
      </c>
      <c r="D1527" s="39" t="n">
        <v>1</v>
      </c>
      <c r="E1527" s="41" t="n">
        <v>335.05</v>
      </c>
      <c r="F1527" s="39" t="s">
        <v>108</v>
      </c>
      <c r="G1527" s="39" t="str">
        <f aca="false">UPPER(TRIM(C1527))</f>
        <v>P008</v>
      </c>
      <c r="H1527" s="39" t="str">
        <f aca="false">IF(ISNUMBER(MATCH(G1527,Products!$A$5:$A$24,0)),"OK","Mismatch")</f>
        <v>OK</v>
      </c>
      <c r="I1527" s="39" t="str">
        <f aca="false">IF(COUNTIF($A$5:A1527,A1527)&gt;1,"Duplicate","Unique")</f>
        <v>Unique</v>
      </c>
      <c r="J1527" s="39" t="str">
        <f aca="false">IF(I1527="Duplicate","Remove",IF(H1527="Mismatch","Exclude","Keep"))</f>
        <v>Keep</v>
      </c>
    </row>
    <row r="1528" customFormat="false" ht="15" hidden="false" customHeight="false" outlineLevel="0" collapsed="false">
      <c r="A1528" s="39" t="s">
        <v>1614</v>
      </c>
      <c r="B1528" s="40" t="n">
        <v>45870</v>
      </c>
      <c r="C1528" s="39" t="s">
        <v>162</v>
      </c>
      <c r="D1528" s="39" t="n">
        <v>1</v>
      </c>
      <c r="E1528" s="41" t="n">
        <v>66.36</v>
      </c>
      <c r="F1528" s="39" t="s">
        <v>105</v>
      </c>
      <c r="G1528" s="39" t="str">
        <f aca="false">UPPER(TRIM(C1528))</f>
        <v>P017</v>
      </c>
      <c r="H1528" s="39" t="str">
        <f aca="false">IF(ISNUMBER(MATCH(G1528,Products!$A$5:$A$24,0)),"OK","Mismatch")</f>
        <v>OK</v>
      </c>
      <c r="I1528" s="39" t="str">
        <f aca="false">IF(COUNTIF($A$5:A1528,A1528)&gt;1,"Duplicate","Unique")</f>
        <v>Unique</v>
      </c>
      <c r="J1528" s="39" t="str">
        <f aca="false">IF(I1528="Duplicate","Remove",IF(H1528="Mismatch","Exclude","Keep"))</f>
        <v>Keep</v>
      </c>
    </row>
    <row r="1529" customFormat="false" ht="15" hidden="false" customHeight="false" outlineLevel="0" collapsed="false">
      <c r="A1529" s="39" t="s">
        <v>1615</v>
      </c>
      <c r="B1529" s="40" t="n">
        <v>45870</v>
      </c>
      <c r="C1529" s="39" t="s">
        <v>114</v>
      </c>
      <c r="D1529" s="39" t="n">
        <v>4</v>
      </c>
      <c r="E1529" s="41" t="n">
        <v>5.72</v>
      </c>
      <c r="F1529" s="39" t="s">
        <v>105</v>
      </c>
      <c r="G1529" s="39" t="str">
        <f aca="false">UPPER(TRIM(C1529))</f>
        <v>P012</v>
      </c>
      <c r="H1529" s="39" t="str">
        <f aca="false">IF(ISNUMBER(MATCH(G1529,Products!$A$5:$A$24,0)),"OK","Mismatch")</f>
        <v>OK</v>
      </c>
      <c r="I1529" s="39" t="str">
        <f aca="false">IF(COUNTIF($A$5:A1529,A1529)&gt;1,"Duplicate","Unique")</f>
        <v>Unique</v>
      </c>
      <c r="J1529" s="39" t="str">
        <f aca="false">IF(I1529="Duplicate","Remove",IF(H1529="Mismatch","Exclude","Keep"))</f>
        <v>Keep</v>
      </c>
    </row>
    <row r="1530" customFormat="false" ht="15" hidden="false" customHeight="false" outlineLevel="0" collapsed="false">
      <c r="A1530" s="39" t="s">
        <v>1616</v>
      </c>
      <c r="B1530" s="40" t="n">
        <v>45870</v>
      </c>
      <c r="C1530" s="39" t="s">
        <v>110</v>
      </c>
      <c r="D1530" s="39" t="n">
        <v>1</v>
      </c>
      <c r="E1530" s="41" t="n">
        <v>13.6</v>
      </c>
      <c r="F1530" s="39" t="s">
        <v>118</v>
      </c>
      <c r="G1530" s="39" t="str">
        <f aca="false">UPPER(TRIM(C1530))</f>
        <v>P016</v>
      </c>
      <c r="H1530" s="39" t="str">
        <f aca="false">IF(ISNUMBER(MATCH(G1530,Products!$A$5:$A$24,0)),"OK","Mismatch")</f>
        <v>OK</v>
      </c>
      <c r="I1530" s="39" t="str">
        <f aca="false">IF(COUNTIF($A$5:A1530,A1530)&gt;1,"Duplicate","Unique")</f>
        <v>Unique</v>
      </c>
      <c r="J1530" s="39" t="str">
        <f aca="false">IF(I1530="Duplicate","Remove",IF(H1530="Mismatch","Exclude","Keep"))</f>
        <v>Keep</v>
      </c>
    </row>
    <row r="1531" customFormat="false" ht="15" hidden="false" customHeight="false" outlineLevel="0" collapsed="false">
      <c r="A1531" s="39" t="s">
        <v>1617</v>
      </c>
      <c r="B1531" s="40" t="n">
        <v>45871</v>
      </c>
      <c r="C1531" s="39" t="s">
        <v>114</v>
      </c>
      <c r="D1531" s="39" t="n">
        <v>2</v>
      </c>
      <c r="E1531" s="41" t="n">
        <v>5.63</v>
      </c>
      <c r="F1531" s="39" t="s">
        <v>105</v>
      </c>
      <c r="G1531" s="39" t="str">
        <f aca="false">UPPER(TRIM(C1531))</f>
        <v>P012</v>
      </c>
      <c r="H1531" s="39" t="str">
        <f aca="false">IF(ISNUMBER(MATCH(G1531,Products!$A$5:$A$24,0)),"OK","Mismatch")</f>
        <v>OK</v>
      </c>
      <c r="I1531" s="39" t="str">
        <f aca="false">IF(COUNTIF($A$5:A1531,A1531)&gt;1,"Duplicate","Unique")</f>
        <v>Unique</v>
      </c>
      <c r="J1531" s="39" t="str">
        <f aca="false">IF(I1531="Duplicate","Remove",IF(H1531="Mismatch","Exclude","Keep"))</f>
        <v>Keep</v>
      </c>
    </row>
    <row r="1532" customFormat="false" ht="15" hidden="false" customHeight="false" outlineLevel="0" collapsed="false">
      <c r="A1532" s="39" t="s">
        <v>1618</v>
      </c>
      <c r="B1532" s="40" t="n">
        <v>45871</v>
      </c>
      <c r="C1532" s="39" t="s">
        <v>114</v>
      </c>
      <c r="D1532" s="39" t="n">
        <v>3</v>
      </c>
      <c r="E1532" s="41" t="n">
        <v>5.76</v>
      </c>
      <c r="F1532" s="39" t="s">
        <v>105</v>
      </c>
      <c r="G1532" s="39" t="str">
        <f aca="false">UPPER(TRIM(C1532))</f>
        <v>P012</v>
      </c>
      <c r="H1532" s="39" t="str">
        <f aca="false">IF(ISNUMBER(MATCH(G1532,Products!$A$5:$A$24,0)),"OK","Mismatch")</f>
        <v>OK</v>
      </c>
      <c r="I1532" s="39" t="str">
        <f aca="false">IF(COUNTIF($A$5:A1532,A1532)&gt;1,"Duplicate","Unique")</f>
        <v>Unique</v>
      </c>
      <c r="J1532" s="39" t="str">
        <f aca="false">IF(I1532="Duplicate","Remove",IF(H1532="Mismatch","Exclude","Keep"))</f>
        <v>Keep</v>
      </c>
    </row>
    <row r="1533" customFormat="false" ht="15" hidden="false" customHeight="false" outlineLevel="0" collapsed="false">
      <c r="A1533" s="39" t="s">
        <v>1619</v>
      </c>
      <c r="B1533" s="40" t="n">
        <v>45871</v>
      </c>
      <c r="C1533" s="39" t="s">
        <v>112</v>
      </c>
      <c r="D1533" s="39" t="n">
        <v>5</v>
      </c>
      <c r="E1533" s="41" t="n">
        <v>54.11</v>
      </c>
      <c r="F1533" s="39" t="s">
        <v>115</v>
      </c>
      <c r="G1533" s="39" t="str">
        <f aca="false">UPPER(TRIM(C1533))</f>
        <v>P005</v>
      </c>
      <c r="H1533" s="39" t="str">
        <f aca="false">IF(ISNUMBER(MATCH(G1533,Products!$A$5:$A$24,0)),"OK","Mismatch")</f>
        <v>OK</v>
      </c>
      <c r="I1533" s="39" t="str">
        <f aca="false">IF(COUNTIF($A$5:A1533,A1533)&gt;1,"Duplicate","Unique")</f>
        <v>Unique</v>
      </c>
      <c r="J1533" s="39" t="str">
        <f aca="false">IF(I1533="Duplicate","Remove",IF(H1533="Mismatch","Exclude","Keep"))</f>
        <v>Keep</v>
      </c>
    </row>
    <row r="1534" customFormat="false" ht="15" hidden="false" customHeight="false" outlineLevel="0" collapsed="false">
      <c r="A1534" s="39" t="s">
        <v>1620</v>
      </c>
      <c r="B1534" s="40" t="n">
        <v>45871</v>
      </c>
      <c r="C1534" s="39" t="s">
        <v>121</v>
      </c>
      <c r="D1534" s="39" t="n">
        <v>1</v>
      </c>
      <c r="E1534" s="41" t="n">
        <v>112.22</v>
      </c>
      <c r="F1534" s="39" t="s">
        <v>108</v>
      </c>
      <c r="G1534" s="39" t="str">
        <f aca="false">UPPER(TRIM(C1534))</f>
        <v>P018</v>
      </c>
      <c r="H1534" s="39" t="str">
        <f aca="false">IF(ISNUMBER(MATCH(G1534,Products!$A$5:$A$24,0)),"OK","Mismatch")</f>
        <v>OK</v>
      </c>
      <c r="I1534" s="39" t="str">
        <f aca="false">IF(COUNTIF($A$5:A1534,A1534)&gt;1,"Duplicate","Unique")</f>
        <v>Unique</v>
      </c>
      <c r="J1534" s="39" t="str">
        <f aca="false">IF(I1534="Duplicate","Remove",IF(H1534="Mismatch","Exclude","Keep"))</f>
        <v>Keep</v>
      </c>
    </row>
    <row r="1535" customFormat="false" ht="15" hidden="false" customHeight="false" outlineLevel="0" collapsed="false">
      <c r="A1535" s="39" t="s">
        <v>1621</v>
      </c>
      <c r="B1535" s="40" t="n">
        <v>45871</v>
      </c>
      <c r="C1535" s="39" t="s">
        <v>130</v>
      </c>
      <c r="D1535" s="39" t="n">
        <v>4</v>
      </c>
      <c r="E1535" s="41" t="n">
        <v>8.87</v>
      </c>
      <c r="F1535" s="39" t="s">
        <v>118</v>
      </c>
      <c r="G1535" s="39" t="str">
        <f aca="false">UPPER(TRIM(C1535))</f>
        <v>P011</v>
      </c>
      <c r="H1535" s="39" t="str">
        <f aca="false">IF(ISNUMBER(MATCH(G1535,Products!$A$5:$A$24,0)),"OK","Mismatch")</f>
        <v>OK</v>
      </c>
      <c r="I1535" s="39" t="str">
        <f aca="false">IF(COUNTIF($A$5:A1535,A1535)&gt;1,"Duplicate","Unique")</f>
        <v>Unique</v>
      </c>
      <c r="J1535" s="39" t="str">
        <f aca="false">IF(I1535="Duplicate","Remove",IF(H1535="Mismatch","Exclude","Keep"))</f>
        <v>Keep</v>
      </c>
    </row>
    <row r="1536" customFormat="false" ht="15" hidden="false" customHeight="false" outlineLevel="0" collapsed="false">
      <c r="A1536" s="39" t="s">
        <v>1622</v>
      </c>
      <c r="B1536" s="40" t="n">
        <v>45871</v>
      </c>
      <c r="C1536" s="39" t="s">
        <v>183</v>
      </c>
      <c r="D1536" s="39" t="n">
        <v>1</v>
      </c>
      <c r="E1536" s="41" t="n">
        <v>188.86</v>
      </c>
      <c r="F1536" s="39" t="s">
        <v>118</v>
      </c>
      <c r="G1536" s="39" t="str">
        <f aca="false">UPPER(TRIM(C1536))</f>
        <v>P007</v>
      </c>
      <c r="H1536" s="39" t="str">
        <f aca="false">IF(ISNUMBER(MATCH(G1536,Products!$A$5:$A$24,0)),"OK","Mismatch")</f>
        <v>OK</v>
      </c>
      <c r="I1536" s="39" t="str">
        <f aca="false">IF(COUNTIF($A$5:A1536,A1536)&gt;1,"Duplicate","Unique")</f>
        <v>Unique</v>
      </c>
      <c r="J1536" s="39" t="str">
        <f aca="false">IF(I1536="Duplicate","Remove",IF(H1536="Mismatch","Exclude","Keep"))</f>
        <v>Keep</v>
      </c>
    </row>
    <row r="1537" customFormat="false" ht="15" hidden="false" customHeight="false" outlineLevel="0" collapsed="false">
      <c r="A1537" s="39" t="s">
        <v>1623</v>
      </c>
      <c r="B1537" s="40" t="n">
        <v>45871</v>
      </c>
      <c r="C1537" s="39" t="s">
        <v>133</v>
      </c>
      <c r="D1537" s="39" t="n">
        <v>8</v>
      </c>
      <c r="E1537" s="41" t="n">
        <v>8.55</v>
      </c>
      <c r="F1537" s="39" t="s">
        <v>115</v>
      </c>
      <c r="G1537" s="39" t="str">
        <f aca="false">UPPER(TRIM(C1537))</f>
        <v>P019</v>
      </c>
      <c r="H1537" s="39" t="str">
        <f aca="false">IF(ISNUMBER(MATCH(G1537,Products!$A$5:$A$24,0)),"OK","Mismatch")</f>
        <v>OK</v>
      </c>
      <c r="I1537" s="39" t="str">
        <f aca="false">IF(COUNTIF($A$5:A1537,A1537)&gt;1,"Duplicate","Unique")</f>
        <v>Unique</v>
      </c>
      <c r="J1537" s="39" t="str">
        <f aca="false">IF(I1537="Duplicate","Remove",IF(H1537="Mismatch","Exclude","Keep"))</f>
        <v>Keep</v>
      </c>
    </row>
    <row r="1538" customFormat="false" ht="15" hidden="false" customHeight="false" outlineLevel="0" collapsed="false">
      <c r="A1538" s="39" t="s">
        <v>1624</v>
      </c>
      <c r="B1538" s="40" t="n">
        <v>45872</v>
      </c>
      <c r="C1538" s="39" t="s">
        <v>3155</v>
      </c>
      <c r="D1538" s="39" t="n">
        <v>5</v>
      </c>
      <c r="E1538" s="41" t="n">
        <v>8.75</v>
      </c>
      <c r="F1538" s="39" t="s">
        <v>115</v>
      </c>
      <c r="G1538" s="39" t="str">
        <f aca="false">UPPER(TRIM(C1538))</f>
        <v>P011</v>
      </c>
      <c r="H1538" s="39" t="str">
        <f aca="false">IF(ISNUMBER(MATCH(G1538,Products!$A$5:$A$24,0)),"OK","Mismatch")</f>
        <v>OK</v>
      </c>
      <c r="I1538" s="39" t="str">
        <f aca="false">IF(COUNTIF($A$5:A1538,A1538)&gt;1,"Duplicate","Unique")</f>
        <v>Unique</v>
      </c>
      <c r="J1538" s="39" t="str">
        <f aca="false">IF(I1538="Duplicate","Remove",IF(H1538="Mismatch","Exclude","Keep"))</f>
        <v>Keep</v>
      </c>
    </row>
    <row r="1539" customFormat="false" ht="15" hidden="false" customHeight="false" outlineLevel="0" collapsed="false">
      <c r="A1539" s="39" t="s">
        <v>1625</v>
      </c>
      <c r="B1539" s="40" t="n">
        <v>45872</v>
      </c>
      <c r="C1539" s="39" t="s">
        <v>112</v>
      </c>
      <c r="D1539" s="39" t="n">
        <v>1</v>
      </c>
      <c r="E1539" s="41" t="n">
        <v>54.98</v>
      </c>
      <c r="F1539" s="39" t="s">
        <v>115</v>
      </c>
      <c r="G1539" s="39" t="str">
        <f aca="false">UPPER(TRIM(C1539))</f>
        <v>P005</v>
      </c>
      <c r="H1539" s="39" t="str">
        <f aca="false">IF(ISNUMBER(MATCH(G1539,Products!$A$5:$A$24,0)),"OK","Mismatch")</f>
        <v>OK</v>
      </c>
      <c r="I1539" s="39" t="str">
        <f aca="false">IF(COUNTIF($A$5:A1539,A1539)&gt;1,"Duplicate","Unique")</f>
        <v>Unique</v>
      </c>
      <c r="J1539" s="39" t="str">
        <f aca="false">IF(I1539="Duplicate","Remove",IF(H1539="Mismatch","Exclude","Keep"))</f>
        <v>Keep</v>
      </c>
    </row>
    <row r="1540" customFormat="false" ht="15" hidden="false" customHeight="false" outlineLevel="0" collapsed="false">
      <c r="A1540" s="39" t="s">
        <v>1626</v>
      </c>
      <c r="B1540" s="40" t="n">
        <v>45872</v>
      </c>
      <c r="C1540" s="39" t="s">
        <v>130</v>
      </c>
      <c r="D1540" s="39" t="n">
        <v>1</v>
      </c>
      <c r="E1540" s="41" t="n">
        <v>8.98</v>
      </c>
      <c r="F1540" s="39" t="s">
        <v>115</v>
      </c>
      <c r="G1540" s="39" t="str">
        <f aca="false">UPPER(TRIM(C1540))</f>
        <v>P011</v>
      </c>
      <c r="H1540" s="39" t="str">
        <f aca="false">IF(ISNUMBER(MATCH(G1540,Products!$A$5:$A$24,0)),"OK","Mismatch")</f>
        <v>OK</v>
      </c>
      <c r="I1540" s="39" t="str">
        <f aca="false">IF(COUNTIF($A$5:A1540,A1540)&gt;1,"Duplicate","Unique")</f>
        <v>Unique</v>
      </c>
      <c r="J1540" s="39" t="str">
        <f aca="false">IF(I1540="Duplicate","Remove",IF(H1540="Mismatch","Exclude","Keep"))</f>
        <v>Keep</v>
      </c>
    </row>
    <row r="1541" customFormat="false" ht="15" hidden="false" customHeight="false" outlineLevel="0" collapsed="false">
      <c r="A1541" s="39" t="s">
        <v>1627</v>
      </c>
      <c r="B1541" s="40" t="n">
        <v>45872</v>
      </c>
      <c r="C1541" s="39" t="s">
        <v>117</v>
      </c>
      <c r="D1541" s="39" t="n">
        <v>3</v>
      </c>
      <c r="E1541" s="41" t="n">
        <v>29.99</v>
      </c>
      <c r="F1541" s="39" t="s">
        <v>108</v>
      </c>
      <c r="G1541" s="39" t="str">
        <f aca="false">UPPER(TRIM(C1541))</f>
        <v>P009</v>
      </c>
      <c r="H1541" s="39" t="str">
        <f aca="false">IF(ISNUMBER(MATCH(G1541,Products!$A$5:$A$24,0)),"OK","Mismatch")</f>
        <v>OK</v>
      </c>
      <c r="I1541" s="39" t="str">
        <f aca="false">IF(COUNTIF($A$5:A1541,A1541)&gt;1,"Duplicate","Unique")</f>
        <v>Unique</v>
      </c>
      <c r="J1541" s="39" t="str">
        <f aca="false">IF(I1541="Duplicate","Remove",IF(H1541="Mismatch","Exclude","Keep"))</f>
        <v>Keep</v>
      </c>
    </row>
    <row r="1542" customFormat="false" ht="15" hidden="false" customHeight="false" outlineLevel="0" collapsed="false">
      <c r="A1542" s="39" t="s">
        <v>1628</v>
      </c>
      <c r="B1542" s="40" t="n">
        <v>45872</v>
      </c>
      <c r="C1542" s="39" t="s">
        <v>144</v>
      </c>
      <c r="D1542" s="39" t="n">
        <v>2</v>
      </c>
      <c r="E1542" s="41" t="n">
        <v>58.88</v>
      </c>
      <c r="F1542" s="39" t="s">
        <v>108</v>
      </c>
      <c r="G1542" s="39" t="str">
        <f aca="false">UPPER(TRIM(C1542))</f>
        <v>P013</v>
      </c>
      <c r="H1542" s="39" t="str">
        <f aca="false">IF(ISNUMBER(MATCH(G1542,Products!$A$5:$A$24,0)),"OK","Mismatch")</f>
        <v>OK</v>
      </c>
      <c r="I1542" s="39" t="str">
        <f aca="false">IF(COUNTIF($A$5:A1542,A1542)&gt;1,"Duplicate","Unique")</f>
        <v>Unique</v>
      </c>
      <c r="J1542" s="39" t="str">
        <f aca="false">IF(I1542="Duplicate","Remove",IF(H1542="Mismatch","Exclude","Keep"))</f>
        <v>Keep</v>
      </c>
    </row>
    <row r="1543" customFormat="false" ht="15" hidden="false" customHeight="false" outlineLevel="0" collapsed="false">
      <c r="A1543" s="39" t="s">
        <v>1628</v>
      </c>
      <c r="B1543" s="40" t="n">
        <v>45872</v>
      </c>
      <c r="C1543" s="39" t="s">
        <v>144</v>
      </c>
      <c r="D1543" s="39" t="n">
        <v>2</v>
      </c>
      <c r="E1543" s="41" t="n">
        <v>58.88</v>
      </c>
      <c r="F1543" s="39" t="s">
        <v>108</v>
      </c>
      <c r="G1543" s="39" t="str">
        <f aca="false">UPPER(TRIM(C1543))</f>
        <v>P013</v>
      </c>
      <c r="H1543" s="39" t="str">
        <f aca="false">IF(ISNUMBER(MATCH(G1543,Products!$A$5:$A$24,0)),"OK","Mismatch")</f>
        <v>OK</v>
      </c>
      <c r="I1543" s="39" t="str">
        <f aca="false">IF(COUNTIF($A$5:A1543,A1543)&gt;1,"Duplicate","Unique")</f>
        <v>Duplicate</v>
      </c>
      <c r="J1543" s="39" t="str">
        <f aca="false">IF(I1543="Duplicate","Remove",IF(H1543="Mismatch","Exclude","Keep"))</f>
        <v>Remove</v>
      </c>
    </row>
    <row r="1544" customFormat="false" ht="15" hidden="false" customHeight="false" outlineLevel="0" collapsed="false">
      <c r="A1544" s="39" t="s">
        <v>1629</v>
      </c>
      <c r="B1544" s="40" t="n">
        <v>45872</v>
      </c>
      <c r="C1544" s="39" t="s">
        <v>128</v>
      </c>
      <c r="D1544" s="39" t="n">
        <v>1</v>
      </c>
      <c r="E1544" s="41" t="n">
        <v>38.27</v>
      </c>
      <c r="F1544" s="39" t="s">
        <v>105</v>
      </c>
      <c r="G1544" s="39" t="str">
        <f aca="false">UPPER(TRIM(C1544))</f>
        <v>P020</v>
      </c>
      <c r="H1544" s="39" t="str">
        <f aca="false">IF(ISNUMBER(MATCH(G1544,Products!$A$5:$A$24,0)),"OK","Mismatch")</f>
        <v>OK</v>
      </c>
      <c r="I1544" s="39" t="str">
        <f aca="false">IF(COUNTIF($A$5:A1544,A1544)&gt;1,"Duplicate","Unique")</f>
        <v>Unique</v>
      </c>
      <c r="J1544" s="39" t="str">
        <f aca="false">IF(I1544="Duplicate","Remove",IF(H1544="Mismatch","Exclude","Keep"))</f>
        <v>Keep</v>
      </c>
    </row>
    <row r="1545" customFormat="false" ht="15" hidden="false" customHeight="false" outlineLevel="0" collapsed="false">
      <c r="A1545" s="39" t="s">
        <v>1630</v>
      </c>
      <c r="B1545" s="40" t="n">
        <v>45873</v>
      </c>
      <c r="C1545" s="39" t="s">
        <v>144</v>
      </c>
      <c r="D1545" s="39" t="n">
        <v>2</v>
      </c>
      <c r="E1545" s="41" t="n">
        <v>55.32</v>
      </c>
      <c r="F1545" s="39" t="s">
        <v>105</v>
      </c>
      <c r="G1545" s="39" t="str">
        <f aca="false">UPPER(TRIM(C1545))</f>
        <v>P013</v>
      </c>
      <c r="H1545" s="39" t="str">
        <f aca="false">IF(ISNUMBER(MATCH(G1545,Products!$A$5:$A$24,0)),"OK","Mismatch")</f>
        <v>OK</v>
      </c>
      <c r="I1545" s="39" t="str">
        <f aca="false">IF(COUNTIF($A$5:A1545,A1545)&gt;1,"Duplicate","Unique")</f>
        <v>Unique</v>
      </c>
      <c r="J1545" s="39" t="str">
        <f aca="false">IF(I1545="Duplicate","Remove",IF(H1545="Mismatch","Exclude","Keep"))</f>
        <v>Keep</v>
      </c>
    </row>
    <row r="1546" customFormat="false" ht="15" hidden="false" customHeight="false" outlineLevel="0" collapsed="false">
      <c r="A1546" s="39" t="s">
        <v>1631</v>
      </c>
      <c r="B1546" s="40" t="n">
        <v>45873</v>
      </c>
      <c r="C1546" s="39" t="s">
        <v>144</v>
      </c>
      <c r="D1546" s="39" t="n">
        <v>5</v>
      </c>
      <c r="E1546" s="41" t="n">
        <v>57.46</v>
      </c>
      <c r="F1546" s="39" t="s">
        <v>118</v>
      </c>
      <c r="G1546" s="39" t="str">
        <f aca="false">UPPER(TRIM(C1546))</f>
        <v>P013</v>
      </c>
      <c r="H1546" s="39" t="str">
        <f aca="false">IF(ISNUMBER(MATCH(G1546,Products!$A$5:$A$24,0)),"OK","Mismatch")</f>
        <v>OK</v>
      </c>
      <c r="I1546" s="39" t="str">
        <f aca="false">IF(COUNTIF($A$5:A1546,A1546)&gt;1,"Duplicate","Unique")</f>
        <v>Unique</v>
      </c>
      <c r="J1546" s="39" t="str">
        <f aca="false">IF(I1546="Duplicate","Remove",IF(H1546="Mismatch","Exclude","Keep"))</f>
        <v>Keep</v>
      </c>
    </row>
    <row r="1547" customFormat="false" ht="15" hidden="false" customHeight="false" outlineLevel="0" collapsed="false">
      <c r="A1547" s="39" t="s">
        <v>1632</v>
      </c>
      <c r="B1547" s="40" t="n">
        <v>45873</v>
      </c>
      <c r="C1547" s="39" t="s">
        <v>153</v>
      </c>
      <c r="D1547" s="39" t="n">
        <v>3</v>
      </c>
      <c r="E1547" s="41" t="n">
        <v>175.39</v>
      </c>
      <c r="F1547" s="39" t="s">
        <v>118</v>
      </c>
      <c r="G1547" s="39" t="str">
        <f aca="false">UPPER(TRIM(C1547))</f>
        <v>P010</v>
      </c>
      <c r="H1547" s="39" t="str">
        <f aca="false">IF(ISNUMBER(MATCH(G1547,Products!$A$5:$A$24,0)),"OK","Mismatch")</f>
        <v>OK</v>
      </c>
      <c r="I1547" s="39" t="str">
        <f aca="false">IF(COUNTIF($A$5:A1547,A1547)&gt;1,"Duplicate","Unique")</f>
        <v>Unique</v>
      </c>
      <c r="J1547" s="39" t="str">
        <f aca="false">IF(I1547="Duplicate","Remove",IF(H1547="Mismatch","Exclude","Keep"))</f>
        <v>Keep</v>
      </c>
    </row>
    <row r="1548" customFormat="false" ht="15" hidden="false" customHeight="false" outlineLevel="0" collapsed="false">
      <c r="A1548" s="39" t="s">
        <v>1633</v>
      </c>
      <c r="B1548" s="40" t="n">
        <v>45874</v>
      </c>
      <c r="C1548" s="39" t="s">
        <v>136</v>
      </c>
      <c r="D1548" s="39" t="n">
        <v>1</v>
      </c>
      <c r="E1548" s="41" t="n">
        <v>73.59</v>
      </c>
      <c r="F1548" s="39" t="s">
        <v>108</v>
      </c>
      <c r="G1548" s="39" t="str">
        <f aca="false">UPPER(TRIM(C1548))</f>
        <v>P002</v>
      </c>
      <c r="H1548" s="39" t="str">
        <f aca="false">IF(ISNUMBER(MATCH(G1548,Products!$A$5:$A$24,0)),"OK","Mismatch")</f>
        <v>OK</v>
      </c>
      <c r="I1548" s="39" t="str">
        <f aca="false">IF(COUNTIF($A$5:A1548,A1548)&gt;1,"Duplicate","Unique")</f>
        <v>Unique</v>
      </c>
      <c r="J1548" s="39" t="str">
        <f aca="false">IF(I1548="Duplicate","Remove",IF(H1548="Mismatch","Exclude","Keep"))</f>
        <v>Keep</v>
      </c>
    </row>
    <row r="1549" customFormat="false" ht="15" hidden="false" customHeight="false" outlineLevel="0" collapsed="false">
      <c r="A1549" s="39" t="s">
        <v>1634</v>
      </c>
      <c r="B1549" s="40" t="n">
        <v>45874</v>
      </c>
      <c r="C1549" s="39" t="s">
        <v>133</v>
      </c>
      <c r="D1549" s="39" t="n">
        <v>1</v>
      </c>
      <c r="E1549" s="41" t="n">
        <v>8.38</v>
      </c>
      <c r="F1549" s="39" t="s">
        <v>105</v>
      </c>
      <c r="G1549" s="39" t="str">
        <f aca="false">UPPER(TRIM(C1549))</f>
        <v>P019</v>
      </c>
      <c r="H1549" s="39" t="str">
        <f aca="false">IF(ISNUMBER(MATCH(G1549,Products!$A$5:$A$24,0)),"OK","Mismatch")</f>
        <v>OK</v>
      </c>
      <c r="I1549" s="39" t="str">
        <f aca="false">IF(COUNTIF($A$5:A1549,A1549)&gt;1,"Duplicate","Unique")</f>
        <v>Unique</v>
      </c>
      <c r="J1549" s="39" t="str">
        <f aca="false">IF(I1549="Duplicate","Remove",IF(H1549="Mismatch","Exclude","Keep"))</f>
        <v>Keep</v>
      </c>
    </row>
    <row r="1550" customFormat="false" ht="15" hidden="false" customHeight="false" outlineLevel="0" collapsed="false">
      <c r="A1550" s="39" t="s">
        <v>1635</v>
      </c>
      <c r="B1550" s="40" t="n">
        <v>45874</v>
      </c>
      <c r="C1550" s="39" t="s">
        <v>126</v>
      </c>
      <c r="D1550" s="39" t="n">
        <v>3</v>
      </c>
      <c r="E1550" s="41" t="n">
        <v>23.03</v>
      </c>
      <c r="F1550" s="39" t="s">
        <v>105</v>
      </c>
      <c r="G1550" s="39" t="str">
        <f aca="false">UPPER(TRIM(C1550))</f>
        <v>P001</v>
      </c>
      <c r="H1550" s="39" t="str">
        <f aca="false">IF(ISNUMBER(MATCH(G1550,Products!$A$5:$A$24,0)),"OK","Mismatch")</f>
        <v>OK</v>
      </c>
      <c r="I1550" s="39" t="str">
        <f aca="false">IF(COUNTIF($A$5:A1550,A1550)&gt;1,"Duplicate","Unique")</f>
        <v>Unique</v>
      </c>
      <c r="J1550" s="39" t="str">
        <f aca="false">IF(I1550="Duplicate","Remove",IF(H1550="Mismatch","Exclude","Keep"))</f>
        <v>Keep</v>
      </c>
    </row>
    <row r="1551" customFormat="false" ht="15" hidden="false" customHeight="false" outlineLevel="0" collapsed="false">
      <c r="A1551" s="39" t="s">
        <v>1636</v>
      </c>
      <c r="B1551" s="40" t="n">
        <v>45874</v>
      </c>
      <c r="C1551" s="39" t="s">
        <v>114</v>
      </c>
      <c r="D1551" s="39" t="n">
        <v>5</v>
      </c>
      <c r="E1551" s="41" t="n">
        <v>5.85</v>
      </c>
      <c r="F1551" s="39" t="s">
        <v>108</v>
      </c>
      <c r="G1551" s="39" t="str">
        <f aca="false">UPPER(TRIM(C1551))</f>
        <v>P012</v>
      </c>
      <c r="H1551" s="39" t="str">
        <f aca="false">IF(ISNUMBER(MATCH(G1551,Products!$A$5:$A$24,0)),"OK","Mismatch")</f>
        <v>OK</v>
      </c>
      <c r="I1551" s="39" t="str">
        <f aca="false">IF(COUNTIF($A$5:A1551,A1551)&gt;1,"Duplicate","Unique")</f>
        <v>Unique</v>
      </c>
      <c r="J1551" s="39" t="str">
        <f aca="false">IF(I1551="Duplicate","Remove",IF(H1551="Mismatch","Exclude","Keep"))</f>
        <v>Keep</v>
      </c>
    </row>
    <row r="1552" customFormat="false" ht="15" hidden="false" customHeight="false" outlineLevel="0" collapsed="false">
      <c r="A1552" s="39" t="s">
        <v>1637</v>
      </c>
      <c r="B1552" s="40" t="n">
        <v>45874</v>
      </c>
      <c r="C1552" s="39" t="s">
        <v>104</v>
      </c>
      <c r="D1552" s="39" t="n">
        <v>1</v>
      </c>
      <c r="E1552" s="41" t="n">
        <v>14.73</v>
      </c>
      <c r="F1552" s="39" t="s">
        <v>108</v>
      </c>
      <c r="G1552" s="39" t="str">
        <f aca="false">UPPER(TRIM(C1552))</f>
        <v>P015</v>
      </c>
      <c r="H1552" s="39" t="str">
        <f aca="false">IF(ISNUMBER(MATCH(G1552,Products!$A$5:$A$24,0)),"OK","Mismatch")</f>
        <v>OK</v>
      </c>
      <c r="I1552" s="39" t="str">
        <f aca="false">IF(COUNTIF($A$5:A1552,A1552)&gt;1,"Duplicate","Unique")</f>
        <v>Unique</v>
      </c>
      <c r="J1552" s="39" t="str">
        <f aca="false">IF(I1552="Duplicate","Remove",IF(H1552="Mismatch","Exclude","Keep"))</f>
        <v>Keep</v>
      </c>
    </row>
    <row r="1553" customFormat="false" ht="15" hidden="false" customHeight="false" outlineLevel="0" collapsed="false">
      <c r="A1553" s="39" t="s">
        <v>1638</v>
      </c>
      <c r="B1553" s="40" t="n">
        <v>45874</v>
      </c>
      <c r="C1553" s="39" t="s">
        <v>117</v>
      </c>
      <c r="D1553" s="39" t="n">
        <v>2</v>
      </c>
      <c r="E1553" s="41" t="n">
        <v>29.82</v>
      </c>
      <c r="F1553" s="39" t="s">
        <v>105</v>
      </c>
      <c r="G1553" s="39" t="str">
        <f aca="false">UPPER(TRIM(C1553))</f>
        <v>P009</v>
      </c>
      <c r="H1553" s="39" t="str">
        <f aca="false">IF(ISNUMBER(MATCH(G1553,Products!$A$5:$A$24,0)),"OK","Mismatch")</f>
        <v>OK</v>
      </c>
      <c r="I1553" s="39" t="str">
        <f aca="false">IF(COUNTIF($A$5:A1553,A1553)&gt;1,"Duplicate","Unique")</f>
        <v>Unique</v>
      </c>
      <c r="J1553" s="39" t="str">
        <f aca="false">IF(I1553="Duplicate","Remove",IF(H1553="Mismatch","Exclude","Keep"))</f>
        <v>Keep</v>
      </c>
    </row>
    <row r="1554" customFormat="false" ht="15" hidden="false" customHeight="false" outlineLevel="0" collapsed="false">
      <c r="A1554" s="39" t="s">
        <v>1639</v>
      </c>
      <c r="B1554" s="40" t="n">
        <v>45874</v>
      </c>
      <c r="C1554" s="39" t="s">
        <v>117</v>
      </c>
      <c r="D1554" s="39" t="n">
        <v>2</v>
      </c>
      <c r="E1554" s="41" t="n">
        <v>30.18</v>
      </c>
      <c r="F1554" s="39" t="s">
        <v>115</v>
      </c>
      <c r="G1554" s="39" t="str">
        <f aca="false">UPPER(TRIM(C1554))</f>
        <v>P009</v>
      </c>
      <c r="H1554" s="39" t="str">
        <f aca="false">IF(ISNUMBER(MATCH(G1554,Products!$A$5:$A$24,0)),"OK","Mismatch")</f>
        <v>OK</v>
      </c>
      <c r="I1554" s="39" t="str">
        <f aca="false">IF(COUNTIF($A$5:A1554,A1554)&gt;1,"Duplicate","Unique")</f>
        <v>Unique</v>
      </c>
      <c r="J1554" s="39" t="str">
        <f aca="false">IF(I1554="Duplicate","Remove",IF(H1554="Mismatch","Exclude","Keep"))</f>
        <v>Keep</v>
      </c>
    </row>
    <row r="1555" customFormat="false" ht="15" hidden="false" customHeight="false" outlineLevel="0" collapsed="false">
      <c r="A1555" s="39" t="s">
        <v>1640</v>
      </c>
      <c r="B1555" s="40" t="n">
        <v>45874</v>
      </c>
      <c r="C1555" s="39" t="s">
        <v>110</v>
      </c>
      <c r="D1555" s="39" t="n">
        <v>1</v>
      </c>
      <c r="E1555" s="41" t="n">
        <v>13.8</v>
      </c>
      <c r="F1555" s="39" t="s">
        <v>118</v>
      </c>
      <c r="G1555" s="39" t="str">
        <f aca="false">UPPER(TRIM(C1555))</f>
        <v>P016</v>
      </c>
      <c r="H1555" s="39" t="str">
        <f aca="false">IF(ISNUMBER(MATCH(G1555,Products!$A$5:$A$24,0)),"OK","Mismatch")</f>
        <v>OK</v>
      </c>
      <c r="I1555" s="39" t="str">
        <f aca="false">IF(COUNTIF($A$5:A1555,A1555)&gt;1,"Duplicate","Unique")</f>
        <v>Unique</v>
      </c>
      <c r="J1555" s="39" t="str">
        <f aca="false">IF(I1555="Duplicate","Remove",IF(H1555="Mismatch","Exclude","Keep"))</f>
        <v>Keep</v>
      </c>
    </row>
    <row r="1556" customFormat="false" ht="15" hidden="false" customHeight="false" outlineLevel="0" collapsed="false">
      <c r="A1556" s="39" t="s">
        <v>1641</v>
      </c>
      <c r="B1556" s="40" t="n">
        <v>45874</v>
      </c>
      <c r="C1556" s="39" t="s">
        <v>130</v>
      </c>
      <c r="D1556" s="39" t="n">
        <v>2</v>
      </c>
      <c r="E1556" s="41" t="n">
        <v>8.31</v>
      </c>
      <c r="F1556" s="39" t="s">
        <v>105</v>
      </c>
      <c r="G1556" s="39" t="str">
        <f aca="false">UPPER(TRIM(C1556))</f>
        <v>P011</v>
      </c>
      <c r="H1556" s="39" t="str">
        <f aca="false">IF(ISNUMBER(MATCH(G1556,Products!$A$5:$A$24,0)),"OK","Mismatch")</f>
        <v>OK</v>
      </c>
      <c r="I1556" s="39" t="str">
        <f aca="false">IF(COUNTIF($A$5:A1556,A1556)&gt;1,"Duplicate","Unique")</f>
        <v>Unique</v>
      </c>
      <c r="J1556" s="39" t="str">
        <f aca="false">IF(I1556="Duplicate","Remove",IF(H1556="Mismatch","Exclude","Keep"))</f>
        <v>Keep</v>
      </c>
    </row>
    <row r="1557" customFormat="false" ht="15" hidden="false" customHeight="false" outlineLevel="0" collapsed="false">
      <c r="A1557" s="39" t="s">
        <v>1642</v>
      </c>
      <c r="B1557" s="40" t="n">
        <v>45875</v>
      </c>
      <c r="C1557" s="39" t="s">
        <v>114</v>
      </c>
      <c r="D1557" s="39" t="n">
        <v>5</v>
      </c>
      <c r="E1557" s="41" t="n">
        <v>6</v>
      </c>
      <c r="F1557" s="39" t="s">
        <v>118</v>
      </c>
      <c r="G1557" s="39" t="str">
        <f aca="false">UPPER(TRIM(C1557))</f>
        <v>P012</v>
      </c>
      <c r="H1557" s="39" t="str">
        <f aca="false">IF(ISNUMBER(MATCH(G1557,Products!$A$5:$A$24,0)),"OK","Mismatch")</f>
        <v>OK</v>
      </c>
      <c r="I1557" s="39" t="str">
        <f aca="false">IF(COUNTIF($A$5:A1557,A1557)&gt;1,"Duplicate","Unique")</f>
        <v>Unique</v>
      </c>
      <c r="J1557" s="39" t="str">
        <f aca="false">IF(I1557="Duplicate","Remove",IF(H1557="Mismatch","Exclude","Keep"))</f>
        <v>Keep</v>
      </c>
    </row>
    <row r="1558" customFormat="false" ht="15" hidden="false" customHeight="false" outlineLevel="0" collapsed="false">
      <c r="A1558" s="39" t="s">
        <v>1643</v>
      </c>
      <c r="B1558" s="40" t="n">
        <v>45875</v>
      </c>
      <c r="C1558" s="39" t="s">
        <v>126</v>
      </c>
      <c r="D1558" s="39" t="n">
        <v>5</v>
      </c>
      <c r="E1558" s="41" t="n">
        <v>24.6</v>
      </c>
      <c r="F1558" s="39" t="s">
        <v>118</v>
      </c>
      <c r="G1558" s="39" t="str">
        <f aca="false">UPPER(TRIM(C1558))</f>
        <v>P001</v>
      </c>
      <c r="H1558" s="39" t="str">
        <f aca="false">IF(ISNUMBER(MATCH(G1558,Products!$A$5:$A$24,0)),"OK","Mismatch")</f>
        <v>OK</v>
      </c>
      <c r="I1558" s="39" t="str">
        <f aca="false">IF(COUNTIF($A$5:A1558,A1558)&gt;1,"Duplicate","Unique")</f>
        <v>Unique</v>
      </c>
      <c r="J1558" s="39" t="str">
        <f aca="false">IF(I1558="Duplicate","Remove",IF(H1558="Mismatch","Exclude","Keep"))</f>
        <v>Keep</v>
      </c>
    </row>
    <row r="1559" customFormat="false" ht="15" hidden="false" customHeight="false" outlineLevel="0" collapsed="false">
      <c r="A1559" s="39" t="s">
        <v>1644</v>
      </c>
      <c r="B1559" s="40" t="n">
        <v>45876</v>
      </c>
      <c r="C1559" s="39" t="s">
        <v>114</v>
      </c>
      <c r="D1559" s="39" t="n">
        <v>1</v>
      </c>
      <c r="E1559" s="41" t="n">
        <v>5.53</v>
      </c>
      <c r="F1559" s="39" t="s">
        <v>108</v>
      </c>
      <c r="G1559" s="39" t="str">
        <f aca="false">UPPER(TRIM(C1559))</f>
        <v>P012</v>
      </c>
      <c r="H1559" s="39" t="str">
        <f aca="false">IF(ISNUMBER(MATCH(G1559,Products!$A$5:$A$24,0)),"OK","Mismatch")</f>
        <v>OK</v>
      </c>
      <c r="I1559" s="39" t="str">
        <f aca="false">IF(COUNTIF($A$5:A1559,A1559)&gt;1,"Duplicate","Unique")</f>
        <v>Unique</v>
      </c>
      <c r="J1559" s="39" t="str">
        <f aca="false">IF(I1559="Duplicate","Remove",IF(H1559="Mismatch","Exclude","Keep"))</f>
        <v>Keep</v>
      </c>
    </row>
    <row r="1560" customFormat="false" ht="15" hidden="false" customHeight="false" outlineLevel="0" collapsed="false">
      <c r="A1560" s="39" t="s">
        <v>1645</v>
      </c>
      <c r="B1560" s="40" t="n">
        <v>45876</v>
      </c>
      <c r="C1560" s="39" t="s">
        <v>130</v>
      </c>
      <c r="D1560" s="39" t="n">
        <v>2</v>
      </c>
      <c r="E1560" s="41" t="n">
        <v>8.59</v>
      </c>
      <c r="F1560" s="39" t="s">
        <v>118</v>
      </c>
      <c r="G1560" s="39" t="str">
        <f aca="false">UPPER(TRIM(C1560))</f>
        <v>P011</v>
      </c>
      <c r="H1560" s="39" t="str">
        <f aca="false">IF(ISNUMBER(MATCH(G1560,Products!$A$5:$A$24,0)),"OK","Mismatch")</f>
        <v>OK</v>
      </c>
      <c r="I1560" s="39" t="str">
        <f aca="false">IF(COUNTIF($A$5:A1560,A1560)&gt;1,"Duplicate","Unique")</f>
        <v>Unique</v>
      </c>
      <c r="J1560" s="39" t="str">
        <f aca="false">IF(I1560="Duplicate","Remove",IF(H1560="Mismatch","Exclude","Keep"))</f>
        <v>Keep</v>
      </c>
    </row>
    <row r="1561" customFormat="false" ht="15" hidden="false" customHeight="false" outlineLevel="0" collapsed="false">
      <c r="A1561" s="39" t="s">
        <v>1646</v>
      </c>
      <c r="B1561" s="40" t="n">
        <v>45876</v>
      </c>
      <c r="C1561" s="39" t="s">
        <v>107</v>
      </c>
      <c r="D1561" s="39" t="n">
        <v>2</v>
      </c>
      <c r="E1561" s="41" t="n">
        <v>33.66</v>
      </c>
      <c r="F1561" s="39" t="s">
        <v>105</v>
      </c>
      <c r="G1561" s="39" t="str">
        <f aca="false">UPPER(TRIM(C1561))</f>
        <v>P003</v>
      </c>
      <c r="H1561" s="39" t="str">
        <f aca="false">IF(ISNUMBER(MATCH(G1561,Products!$A$5:$A$24,0)),"OK","Mismatch")</f>
        <v>OK</v>
      </c>
      <c r="I1561" s="39" t="str">
        <f aca="false">IF(COUNTIF($A$5:A1561,A1561)&gt;1,"Duplicate","Unique")</f>
        <v>Unique</v>
      </c>
      <c r="J1561" s="39" t="str">
        <f aca="false">IF(I1561="Duplicate","Remove",IF(H1561="Mismatch","Exclude","Keep"))</f>
        <v>Keep</v>
      </c>
    </row>
    <row r="1562" customFormat="false" ht="15" hidden="false" customHeight="false" outlineLevel="0" collapsed="false">
      <c r="A1562" s="39" t="s">
        <v>1647</v>
      </c>
      <c r="B1562" s="40" t="n">
        <v>45876</v>
      </c>
      <c r="C1562" s="39" t="s">
        <v>139</v>
      </c>
      <c r="D1562" s="39" t="n">
        <v>2</v>
      </c>
      <c r="E1562" s="41" t="n">
        <v>127.05</v>
      </c>
      <c r="F1562" s="39" t="s">
        <v>108</v>
      </c>
      <c r="G1562" s="39" t="str">
        <f aca="false">UPPER(TRIM(C1562))</f>
        <v>P006</v>
      </c>
      <c r="H1562" s="39" t="str">
        <f aca="false">IF(ISNUMBER(MATCH(G1562,Products!$A$5:$A$24,0)),"OK","Mismatch")</f>
        <v>OK</v>
      </c>
      <c r="I1562" s="39" t="str">
        <f aca="false">IF(COUNTIF($A$5:A1562,A1562)&gt;1,"Duplicate","Unique")</f>
        <v>Unique</v>
      </c>
      <c r="J1562" s="39" t="str">
        <f aca="false">IF(I1562="Duplicate","Remove",IF(H1562="Mismatch","Exclude","Keep"))</f>
        <v>Keep</v>
      </c>
    </row>
    <row r="1563" customFormat="false" ht="15" hidden="false" customHeight="false" outlineLevel="0" collapsed="false">
      <c r="A1563" s="39" t="s">
        <v>1648</v>
      </c>
      <c r="B1563" s="40" t="n">
        <v>45876</v>
      </c>
      <c r="C1563" s="39" t="s">
        <v>104</v>
      </c>
      <c r="D1563" s="39" t="n">
        <v>4</v>
      </c>
      <c r="E1563" s="41" t="n">
        <v>15.58</v>
      </c>
      <c r="F1563" s="39" t="s">
        <v>115</v>
      </c>
      <c r="G1563" s="39" t="str">
        <f aca="false">UPPER(TRIM(C1563))</f>
        <v>P015</v>
      </c>
      <c r="H1563" s="39" t="str">
        <f aca="false">IF(ISNUMBER(MATCH(G1563,Products!$A$5:$A$24,0)),"OK","Mismatch")</f>
        <v>OK</v>
      </c>
      <c r="I1563" s="39" t="str">
        <f aca="false">IF(COUNTIF($A$5:A1563,A1563)&gt;1,"Duplicate","Unique")</f>
        <v>Unique</v>
      </c>
      <c r="J1563" s="39" t="str">
        <f aca="false">IF(I1563="Duplicate","Remove",IF(H1563="Mismatch","Exclude","Keep"))</f>
        <v>Keep</v>
      </c>
    </row>
    <row r="1564" customFormat="false" ht="15" hidden="false" customHeight="false" outlineLevel="0" collapsed="false">
      <c r="A1564" s="39" t="s">
        <v>1649</v>
      </c>
      <c r="B1564" s="40" t="n">
        <v>45876</v>
      </c>
      <c r="C1564" s="39" t="s">
        <v>110</v>
      </c>
      <c r="D1564" s="39" t="n">
        <v>5</v>
      </c>
      <c r="E1564" s="41" t="n">
        <v>13.24</v>
      </c>
      <c r="F1564" s="39" t="s">
        <v>105</v>
      </c>
      <c r="G1564" s="39" t="str">
        <f aca="false">UPPER(TRIM(C1564))</f>
        <v>P016</v>
      </c>
      <c r="H1564" s="39" t="str">
        <f aca="false">IF(ISNUMBER(MATCH(G1564,Products!$A$5:$A$24,0)),"OK","Mismatch")</f>
        <v>OK</v>
      </c>
      <c r="I1564" s="39" t="str">
        <f aca="false">IF(COUNTIF($A$5:A1564,A1564)&gt;1,"Duplicate","Unique")</f>
        <v>Unique</v>
      </c>
      <c r="J1564" s="39" t="str">
        <f aca="false">IF(I1564="Duplicate","Remove",IF(H1564="Mismatch","Exclude","Keep"))</f>
        <v>Keep</v>
      </c>
    </row>
    <row r="1565" customFormat="false" ht="15" hidden="false" customHeight="false" outlineLevel="0" collapsed="false">
      <c r="A1565" s="39" t="s">
        <v>1650</v>
      </c>
      <c r="B1565" s="40" t="n">
        <v>45876</v>
      </c>
      <c r="C1565" s="39" t="s">
        <v>128</v>
      </c>
      <c r="D1565" s="39" t="n">
        <v>4</v>
      </c>
      <c r="E1565" s="41" t="n">
        <v>35.89</v>
      </c>
      <c r="F1565" s="39" t="s">
        <v>108</v>
      </c>
      <c r="G1565" s="39" t="str">
        <f aca="false">UPPER(TRIM(C1565))</f>
        <v>P020</v>
      </c>
      <c r="H1565" s="39" t="str">
        <f aca="false">IF(ISNUMBER(MATCH(G1565,Products!$A$5:$A$24,0)),"OK","Mismatch")</f>
        <v>OK</v>
      </c>
      <c r="I1565" s="39" t="str">
        <f aca="false">IF(COUNTIF($A$5:A1565,A1565)&gt;1,"Duplicate","Unique")</f>
        <v>Unique</v>
      </c>
      <c r="J1565" s="39" t="str">
        <f aca="false">IF(I1565="Duplicate","Remove",IF(H1565="Mismatch","Exclude","Keep"))</f>
        <v>Keep</v>
      </c>
    </row>
    <row r="1566" customFormat="false" ht="15" hidden="false" customHeight="false" outlineLevel="0" collapsed="false">
      <c r="A1566" s="39" t="s">
        <v>1651</v>
      </c>
      <c r="B1566" s="40" t="n">
        <v>45876</v>
      </c>
      <c r="C1566" s="39" t="s">
        <v>121</v>
      </c>
      <c r="D1566" s="39" t="n">
        <v>8</v>
      </c>
      <c r="E1566" s="41" t="n">
        <v>116.01</v>
      </c>
      <c r="F1566" s="39" t="s">
        <v>118</v>
      </c>
      <c r="G1566" s="39" t="str">
        <f aca="false">UPPER(TRIM(C1566))</f>
        <v>P018</v>
      </c>
      <c r="H1566" s="39" t="str">
        <f aca="false">IF(ISNUMBER(MATCH(G1566,Products!$A$5:$A$24,0)),"OK","Mismatch")</f>
        <v>OK</v>
      </c>
      <c r="I1566" s="39" t="str">
        <f aca="false">IF(COUNTIF($A$5:A1566,A1566)&gt;1,"Duplicate","Unique")</f>
        <v>Unique</v>
      </c>
      <c r="J1566" s="39" t="str">
        <f aca="false">IF(I1566="Duplicate","Remove",IF(H1566="Mismatch","Exclude","Keep"))</f>
        <v>Keep</v>
      </c>
    </row>
    <row r="1567" customFormat="false" ht="15" hidden="false" customHeight="false" outlineLevel="0" collapsed="false">
      <c r="A1567" s="39" t="s">
        <v>1652</v>
      </c>
      <c r="B1567" s="40" t="n">
        <v>45876</v>
      </c>
      <c r="C1567" s="39" t="s">
        <v>183</v>
      </c>
      <c r="D1567" s="39" t="n">
        <v>1</v>
      </c>
      <c r="E1567" s="41" t="n">
        <v>182.62</v>
      </c>
      <c r="F1567" s="39" t="s">
        <v>118</v>
      </c>
      <c r="G1567" s="39" t="str">
        <f aca="false">UPPER(TRIM(C1567))</f>
        <v>P007</v>
      </c>
      <c r="H1567" s="39" t="str">
        <f aca="false">IF(ISNUMBER(MATCH(G1567,Products!$A$5:$A$24,0)),"OK","Mismatch")</f>
        <v>OK</v>
      </c>
      <c r="I1567" s="39" t="str">
        <f aca="false">IF(COUNTIF($A$5:A1567,A1567)&gt;1,"Duplicate","Unique")</f>
        <v>Unique</v>
      </c>
      <c r="J1567" s="39" t="str">
        <f aca="false">IF(I1567="Duplicate","Remove",IF(H1567="Mismatch","Exclude","Keep"))</f>
        <v>Keep</v>
      </c>
    </row>
    <row r="1568" customFormat="false" ht="15" hidden="false" customHeight="false" outlineLevel="0" collapsed="false">
      <c r="A1568" s="39" t="s">
        <v>1653</v>
      </c>
      <c r="B1568" s="40" t="n">
        <v>45876</v>
      </c>
      <c r="C1568" s="39" t="s">
        <v>169</v>
      </c>
      <c r="D1568" s="39" t="n">
        <v>2</v>
      </c>
      <c r="E1568" s="41" t="n">
        <v>27.42</v>
      </c>
      <c r="F1568" s="39" t="s">
        <v>115</v>
      </c>
      <c r="G1568" s="39" t="str">
        <f aca="false">UPPER(TRIM(C1568))</f>
        <v>P004</v>
      </c>
      <c r="H1568" s="39" t="str">
        <f aca="false">IF(ISNUMBER(MATCH(G1568,Products!$A$5:$A$24,0)),"OK","Mismatch")</f>
        <v>OK</v>
      </c>
      <c r="I1568" s="39" t="str">
        <f aca="false">IF(COUNTIF($A$5:A1568,A1568)&gt;1,"Duplicate","Unique")</f>
        <v>Unique</v>
      </c>
      <c r="J1568" s="39" t="str">
        <f aca="false">IF(I1568="Duplicate","Remove",IF(H1568="Mismatch","Exclude","Keep"))</f>
        <v>Keep</v>
      </c>
    </row>
    <row r="1569" customFormat="false" ht="15" hidden="false" customHeight="false" outlineLevel="0" collapsed="false">
      <c r="A1569" s="39" t="s">
        <v>1653</v>
      </c>
      <c r="B1569" s="40" t="n">
        <v>45876</v>
      </c>
      <c r="C1569" s="39" t="s">
        <v>169</v>
      </c>
      <c r="D1569" s="39" t="n">
        <v>2</v>
      </c>
      <c r="E1569" s="41" t="n">
        <v>27.42</v>
      </c>
      <c r="F1569" s="39" t="s">
        <v>115</v>
      </c>
      <c r="G1569" s="39" t="str">
        <f aca="false">UPPER(TRIM(C1569))</f>
        <v>P004</v>
      </c>
      <c r="H1569" s="39" t="str">
        <f aca="false">IF(ISNUMBER(MATCH(G1569,Products!$A$5:$A$24,0)),"OK","Mismatch")</f>
        <v>OK</v>
      </c>
      <c r="I1569" s="39" t="str">
        <f aca="false">IF(COUNTIF($A$5:A1569,A1569)&gt;1,"Duplicate","Unique")</f>
        <v>Duplicate</v>
      </c>
      <c r="J1569" s="39" t="str">
        <f aca="false">IF(I1569="Duplicate","Remove",IF(H1569="Mismatch","Exclude","Keep"))</f>
        <v>Remove</v>
      </c>
    </row>
    <row r="1570" customFormat="false" ht="15" hidden="false" customHeight="false" outlineLevel="0" collapsed="false">
      <c r="A1570" s="39" t="s">
        <v>1654</v>
      </c>
      <c r="B1570" s="40" t="n">
        <v>45876</v>
      </c>
      <c r="C1570" s="39" t="s">
        <v>133</v>
      </c>
      <c r="D1570" s="39" t="n">
        <v>2</v>
      </c>
      <c r="E1570" s="41" t="n">
        <v>8.93</v>
      </c>
      <c r="F1570" s="39" t="s">
        <v>115</v>
      </c>
      <c r="G1570" s="39" t="str">
        <f aca="false">UPPER(TRIM(C1570))</f>
        <v>P019</v>
      </c>
      <c r="H1570" s="39" t="str">
        <f aca="false">IF(ISNUMBER(MATCH(G1570,Products!$A$5:$A$24,0)),"OK","Mismatch")</f>
        <v>OK</v>
      </c>
      <c r="I1570" s="39" t="str">
        <f aca="false">IF(COUNTIF($A$5:A1570,A1570)&gt;1,"Duplicate","Unique")</f>
        <v>Unique</v>
      </c>
      <c r="J1570" s="39" t="str">
        <f aca="false">IF(I1570="Duplicate","Remove",IF(H1570="Mismatch","Exclude","Keep"))</f>
        <v>Keep</v>
      </c>
    </row>
    <row r="1571" customFormat="false" ht="15" hidden="false" customHeight="false" outlineLevel="0" collapsed="false">
      <c r="A1571" s="39" t="s">
        <v>1655</v>
      </c>
      <c r="B1571" s="40" t="n">
        <v>45876</v>
      </c>
      <c r="C1571" s="39" t="s">
        <v>121</v>
      </c>
      <c r="D1571" s="39" t="n">
        <v>3</v>
      </c>
      <c r="E1571" s="41" t="n">
        <v>111.75</v>
      </c>
      <c r="F1571" s="39" t="s">
        <v>115</v>
      </c>
      <c r="G1571" s="39" t="str">
        <f aca="false">UPPER(TRIM(C1571))</f>
        <v>P018</v>
      </c>
      <c r="H1571" s="39" t="str">
        <f aca="false">IF(ISNUMBER(MATCH(G1571,Products!$A$5:$A$24,0)),"OK","Mismatch")</f>
        <v>OK</v>
      </c>
      <c r="I1571" s="39" t="str">
        <f aca="false">IF(COUNTIF($A$5:A1571,A1571)&gt;1,"Duplicate","Unique")</f>
        <v>Unique</v>
      </c>
      <c r="J1571" s="39" t="str">
        <f aca="false">IF(I1571="Duplicate","Remove",IF(H1571="Mismatch","Exclude","Keep"))</f>
        <v>Keep</v>
      </c>
    </row>
    <row r="1572" customFormat="false" ht="15" hidden="false" customHeight="false" outlineLevel="0" collapsed="false">
      <c r="A1572" s="39" t="s">
        <v>1656</v>
      </c>
      <c r="B1572" s="40" t="n">
        <v>45877</v>
      </c>
      <c r="C1572" s="39" t="s">
        <v>117</v>
      </c>
      <c r="D1572" s="39" t="n">
        <v>1</v>
      </c>
      <c r="E1572" s="41" t="n">
        <v>30.84</v>
      </c>
      <c r="F1572" s="39" t="s">
        <v>115</v>
      </c>
      <c r="G1572" s="39" t="str">
        <f aca="false">UPPER(TRIM(C1572))</f>
        <v>P009</v>
      </c>
      <c r="H1572" s="39" t="str">
        <f aca="false">IF(ISNUMBER(MATCH(G1572,Products!$A$5:$A$24,0)),"OK","Mismatch")</f>
        <v>OK</v>
      </c>
      <c r="I1572" s="39" t="str">
        <f aca="false">IF(COUNTIF($A$5:A1572,A1572)&gt;1,"Duplicate","Unique")</f>
        <v>Unique</v>
      </c>
      <c r="J1572" s="39" t="str">
        <f aca="false">IF(I1572="Duplicate","Remove",IF(H1572="Mismatch","Exclude","Keep"))</f>
        <v>Keep</v>
      </c>
    </row>
    <row r="1573" customFormat="false" ht="15" hidden="false" customHeight="false" outlineLevel="0" collapsed="false">
      <c r="A1573" s="39" t="s">
        <v>1657</v>
      </c>
      <c r="B1573" s="40" t="n">
        <v>45877</v>
      </c>
      <c r="C1573" s="39" t="s">
        <v>177</v>
      </c>
      <c r="D1573" s="39" t="n">
        <v>4</v>
      </c>
      <c r="E1573" s="41" t="n">
        <v>44.36</v>
      </c>
      <c r="F1573" s="39" t="s">
        <v>108</v>
      </c>
      <c r="G1573" s="39" t="str">
        <f aca="false">UPPER(TRIM(C1573))</f>
        <v>P014</v>
      </c>
      <c r="H1573" s="39" t="str">
        <f aca="false">IF(ISNUMBER(MATCH(G1573,Products!$A$5:$A$24,0)),"OK","Mismatch")</f>
        <v>OK</v>
      </c>
      <c r="I1573" s="39" t="str">
        <f aca="false">IF(COUNTIF($A$5:A1573,A1573)&gt;1,"Duplicate","Unique")</f>
        <v>Unique</v>
      </c>
      <c r="J1573" s="39" t="str">
        <f aca="false">IF(I1573="Duplicate","Remove",IF(H1573="Mismatch","Exclude","Keep"))</f>
        <v>Keep</v>
      </c>
    </row>
    <row r="1574" customFormat="false" ht="15" hidden="false" customHeight="false" outlineLevel="0" collapsed="false">
      <c r="A1574" s="39" t="s">
        <v>1658</v>
      </c>
      <c r="B1574" s="40" t="n">
        <v>45877</v>
      </c>
      <c r="C1574" s="39" t="s">
        <v>139</v>
      </c>
      <c r="D1574" s="39" t="n">
        <v>4</v>
      </c>
      <c r="E1574" s="41" t="n">
        <v>127.56</v>
      </c>
      <c r="F1574" s="39" t="s">
        <v>118</v>
      </c>
      <c r="G1574" s="39" t="str">
        <f aca="false">UPPER(TRIM(C1574))</f>
        <v>P006</v>
      </c>
      <c r="H1574" s="39" t="str">
        <f aca="false">IF(ISNUMBER(MATCH(G1574,Products!$A$5:$A$24,0)),"OK","Mismatch")</f>
        <v>OK</v>
      </c>
      <c r="I1574" s="39" t="str">
        <f aca="false">IF(COUNTIF($A$5:A1574,A1574)&gt;1,"Duplicate","Unique")</f>
        <v>Unique</v>
      </c>
      <c r="J1574" s="39" t="str">
        <f aca="false">IF(I1574="Duplicate","Remove",IF(H1574="Mismatch","Exclude","Keep"))</f>
        <v>Keep</v>
      </c>
    </row>
    <row r="1575" customFormat="false" ht="15" hidden="false" customHeight="false" outlineLevel="0" collapsed="false">
      <c r="A1575" s="39" t="s">
        <v>1659</v>
      </c>
      <c r="B1575" s="40" t="n">
        <v>45877</v>
      </c>
      <c r="C1575" s="39" t="s">
        <v>177</v>
      </c>
      <c r="D1575" s="39" t="n">
        <v>2</v>
      </c>
      <c r="E1575" s="41" t="n">
        <v>43.69</v>
      </c>
      <c r="F1575" s="39" t="s">
        <v>118</v>
      </c>
      <c r="G1575" s="39" t="str">
        <f aca="false">UPPER(TRIM(C1575))</f>
        <v>P014</v>
      </c>
      <c r="H1575" s="39" t="str">
        <f aca="false">IF(ISNUMBER(MATCH(G1575,Products!$A$5:$A$24,0)),"OK","Mismatch")</f>
        <v>OK</v>
      </c>
      <c r="I1575" s="39" t="str">
        <f aca="false">IF(COUNTIF($A$5:A1575,A1575)&gt;1,"Duplicate","Unique")</f>
        <v>Unique</v>
      </c>
      <c r="J1575" s="39" t="str">
        <f aca="false">IF(I1575="Duplicate","Remove",IF(H1575="Mismatch","Exclude","Keep"))</f>
        <v>Keep</v>
      </c>
    </row>
    <row r="1576" customFormat="false" ht="15" hidden="false" customHeight="false" outlineLevel="0" collapsed="false">
      <c r="A1576" s="39" t="s">
        <v>1660</v>
      </c>
      <c r="B1576" s="40" t="n">
        <v>45877</v>
      </c>
      <c r="C1576" s="39" t="s">
        <v>110</v>
      </c>
      <c r="D1576" s="39" t="n">
        <v>4</v>
      </c>
      <c r="E1576" s="41" t="n">
        <v>13.43</v>
      </c>
      <c r="F1576" s="39" t="s">
        <v>115</v>
      </c>
      <c r="G1576" s="39" t="str">
        <f aca="false">UPPER(TRIM(C1576))</f>
        <v>P016</v>
      </c>
      <c r="H1576" s="39" t="str">
        <f aca="false">IF(ISNUMBER(MATCH(G1576,Products!$A$5:$A$24,0)),"OK","Mismatch")</f>
        <v>OK</v>
      </c>
      <c r="I1576" s="39" t="str">
        <f aca="false">IF(COUNTIF($A$5:A1576,A1576)&gt;1,"Duplicate","Unique")</f>
        <v>Unique</v>
      </c>
      <c r="J1576" s="39" t="str">
        <f aca="false">IF(I1576="Duplicate","Remove",IF(H1576="Mismatch","Exclude","Keep"))</f>
        <v>Keep</v>
      </c>
    </row>
    <row r="1577" customFormat="false" ht="15" hidden="false" customHeight="false" outlineLevel="0" collapsed="false">
      <c r="A1577" s="39" t="s">
        <v>1661</v>
      </c>
      <c r="B1577" s="40" t="n">
        <v>45877</v>
      </c>
      <c r="C1577" s="39" t="s">
        <v>3151</v>
      </c>
      <c r="D1577" s="39" t="n">
        <v>3</v>
      </c>
      <c r="E1577" s="41" t="n">
        <v>8.88</v>
      </c>
      <c r="F1577" s="39" t="s">
        <v>118</v>
      </c>
      <c r="G1577" s="39" t="str">
        <f aca="false">UPPER(TRIM(C1577))</f>
        <v>P019</v>
      </c>
      <c r="H1577" s="39" t="str">
        <f aca="false">IF(ISNUMBER(MATCH(G1577,Products!$A$5:$A$24,0)),"OK","Mismatch")</f>
        <v>OK</v>
      </c>
      <c r="I1577" s="39" t="str">
        <f aca="false">IF(COUNTIF($A$5:A1577,A1577)&gt;1,"Duplicate","Unique")</f>
        <v>Unique</v>
      </c>
      <c r="J1577" s="39" t="str">
        <f aca="false">IF(I1577="Duplicate","Remove",IF(H1577="Mismatch","Exclude","Keep"))</f>
        <v>Keep</v>
      </c>
    </row>
    <row r="1578" customFormat="false" ht="15" hidden="false" customHeight="false" outlineLevel="0" collapsed="false">
      <c r="A1578" s="39" t="s">
        <v>1662</v>
      </c>
      <c r="B1578" s="40" t="n">
        <v>45877</v>
      </c>
      <c r="C1578" s="39" t="s">
        <v>169</v>
      </c>
      <c r="D1578" s="39" t="n">
        <v>1</v>
      </c>
      <c r="E1578" s="41" t="n">
        <v>28.5</v>
      </c>
      <c r="F1578" s="39" t="s">
        <v>118</v>
      </c>
      <c r="G1578" s="39" t="str">
        <f aca="false">UPPER(TRIM(C1578))</f>
        <v>P004</v>
      </c>
      <c r="H1578" s="39" t="str">
        <f aca="false">IF(ISNUMBER(MATCH(G1578,Products!$A$5:$A$24,0)),"OK","Mismatch")</f>
        <v>OK</v>
      </c>
      <c r="I1578" s="39" t="str">
        <f aca="false">IF(COUNTIF($A$5:A1578,A1578)&gt;1,"Duplicate","Unique")</f>
        <v>Unique</v>
      </c>
      <c r="J1578" s="39" t="str">
        <f aca="false">IF(I1578="Duplicate","Remove",IF(H1578="Mismatch","Exclude","Keep"))</f>
        <v>Keep</v>
      </c>
    </row>
    <row r="1579" customFormat="false" ht="15" hidden="false" customHeight="false" outlineLevel="0" collapsed="false">
      <c r="A1579" s="39" t="s">
        <v>1662</v>
      </c>
      <c r="B1579" s="40" t="n">
        <v>45877</v>
      </c>
      <c r="C1579" s="39" t="s">
        <v>169</v>
      </c>
      <c r="D1579" s="39" t="n">
        <v>1</v>
      </c>
      <c r="E1579" s="41" t="n">
        <v>28.5</v>
      </c>
      <c r="F1579" s="39" t="s">
        <v>118</v>
      </c>
      <c r="G1579" s="39" t="str">
        <f aca="false">UPPER(TRIM(C1579))</f>
        <v>P004</v>
      </c>
      <c r="H1579" s="39" t="str">
        <f aca="false">IF(ISNUMBER(MATCH(G1579,Products!$A$5:$A$24,0)),"OK","Mismatch")</f>
        <v>OK</v>
      </c>
      <c r="I1579" s="39" t="str">
        <f aca="false">IF(COUNTIF($A$5:A1579,A1579)&gt;1,"Duplicate","Unique")</f>
        <v>Duplicate</v>
      </c>
      <c r="J1579" s="39" t="str">
        <f aca="false">IF(I1579="Duplicate","Remove",IF(H1579="Mismatch","Exclude","Keep"))</f>
        <v>Remove</v>
      </c>
    </row>
    <row r="1580" customFormat="false" ht="15" hidden="false" customHeight="false" outlineLevel="0" collapsed="false">
      <c r="A1580" s="39" t="s">
        <v>3175</v>
      </c>
      <c r="B1580" s="40" t="n">
        <v>45877</v>
      </c>
      <c r="C1580" s="39" t="s">
        <v>3176</v>
      </c>
      <c r="D1580" s="39" t="n">
        <v>4</v>
      </c>
      <c r="E1580" s="41" t="n">
        <v>24.93</v>
      </c>
      <c r="F1580" s="39" t="s">
        <v>118</v>
      </c>
      <c r="G1580" s="39" t="str">
        <f aca="false">UPPER(TRIM(C1580))</f>
        <v>P902</v>
      </c>
      <c r="H1580" s="39" t="str">
        <f aca="false">IF(ISNUMBER(MATCH(G1580,Products!$A$5:$A$24,0)),"OK","Mismatch")</f>
        <v>Mismatch</v>
      </c>
      <c r="I1580" s="39" t="str">
        <f aca="false">IF(COUNTIF($A$5:A1580,A1580)&gt;1,"Duplicate","Unique")</f>
        <v>Unique</v>
      </c>
      <c r="J1580" s="39" t="str">
        <f aca="false">IF(I1580="Duplicate","Remove",IF(H1580="Mismatch","Exclude","Keep"))</f>
        <v>Exclude</v>
      </c>
    </row>
    <row r="1581" customFormat="false" ht="15" hidden="false" customHeight="false" outlineLevel="0" collapsed="false">
      <c r="A1581" s="39" t="s">
        <v>1663</v>
      </c>
      <c r="B1581" s="40" t="n">
        <v>45877</v>
      </c>
      <c r="C1581" s="39" t="s">
        <v>126</v>
      </c>
      <c r="D1581" s="39" t="n">
        <v>5</v>
      </c>
      <c r="E1581" s="41" t="n">
        <v>23.45</v>
      </c>
      <c r="F1581" s="39" t="s">
        <v>115</v>
      </c>
      <c r="G1581" s="39" t="str">
        <f aca="false">UPPER(TRIM(C1581))</f>
        <v>P001</v>
      </c>
      <c r="H1581" s="39" t="str">
        <f aca="false">IF(ISNUMBER(MATCH(G1581,Products!$A$5:$A$24,0)),"OK","Mismatch")</f>
        <v>OK</v>
      </c>
      <c r="I1581" s="39" t="str">
        <f aca="false">IF(COUNTIF($A$5:A1581,A1581)&gt;1,"Duplicate","Unique")</f>
        <v>Unique</v>
      </c>
      <c r="J1581" s="39" t="str">
        <f aca="false">IF(I1581="Duplicate","Remove",IF(H1581="Mismatch","Exclude","Keep"))</f>
        <v>Keep</v>
      </c>
    </row>
    <row r="1582" customFormat="false" ht="15" hidden="false" customHeight="false" outlineLevel="0" collapsed="false">
      <c r="A1582" s="39" t="s">
        <v>1664</v>
      </c>
      <c r="B1582" s="40" t="n">
        <v>45877</v>
      </c>
      <c r="C1582" s="39" t="s">
        <v>114</v>
      </c>
      <c r="D1582" s="39" t="n">
        <v>2</v>
      </c>
      <c r="E1582" s="41" t="n">
        <v>5.86</v>
      </c>
      <c r="F1582" s="39" t="s">
        <v>108</v>
      </c>
      <c r="G1582" s="39" t="str">
        <f aca="false">UPPER(TRIM(C1582))</f>
        <v>P012</v>
      </c>
      <c r="H1582" s="39" t="str">
        <f aca="false">IF(ISNUMBER(MATCH(G1582,Products!$A$5:$A$24,0)),"OK","Mismatch")</f>
        <v>OK</v>
      </c>
      <c r="I1582" s="39" t="str">
        <f aca="false">IF(COUNTIF($A$5:A1582,A1582)&gt;1,"Duplicate","Unique")</f>
        <v>Unique</v>
      </c>
      <c r="J1582" s="39" t="str">
        <f aca="false">IF(I1582="Duplicate","Remove",IF(H1582="Mismatch","Exclude","Keep"))</f>
        <v>Keep</v>
      </c>
    </row>
    <row r="1583" customFormat="false" ht="15" hidden="false" customHeight="false" outlineLevel="0" collapsed="false">
      <c r="A1583" s="39" t="s">
        <v>1665</v>
      </c>
      <c r="B1583" s="40" t="n">
        <v>45878</v>
      </c>
      <c r="C1583" s="39" t="s">
        <v>114</v>
      </c>
      <c r="D1583" s="39" t="n">
        <v>6</v>
      </c>
      <c r="E1583" s="41" t="n">
        <v>5.55</v>
      </c>
      <c r="F1583" s="39" t="s">
        <v>118</v>
      </c>
      <c r="G1583" s="39" t="str">
        <f aca="false">UPPER(TRIM(C1583))</f>
        <v>P012</v>
      </c>
      <c r="H1583" s="39" t="str">
        <f aca="false">IF(ISNUMBER(MATCH(G1583,Products!$A$5:$A$24,0)),"OK","Mismatch")</f>
        <v>OK</v>
      </c>
      <c r="I1583" s="39" t="str">
        <f aca="false">IF(COUNTIF($A$5:A1583,A1583)&gt;1,"Duplicate","Unique")</f>
        <v>Unique</v>
      </c>
      <c r="J1583" s="39" t="str">
        <f aca="false">IF(I1583="Duplicate","Remove",IF(H1583="Mismatch","Exclude","Keep"))</f>
        <v>Keep</v>
      </c>
    </row>
    <row r="1584" customFormat="false" ht="15" hidden="false" customHeight="false" outlineLevel="0" collapsed="false">
      <c r="A1584" s="39" t="s">
        <v>1666</v>
      </c>
      <c r="B1584" s="40" t="n">
        <v>45878</v>
      </c>
      <c r="C1584" s="39" t="s">
        <v>126</v>
      </c>
      <c r="D1584" s="39" t="n">
        <v>2</v>
      </c>
      <c r="E1584" s="41" t="n">
        <v>24.22</v>
      </c>
      <c r="F1584" s="39" t="s">
        <v>108</v>
      </c>
      <c r="G1584" s="39" t="str">
        <f aca="false">UPPER(TRIM(C1584))</f>
        <v>P001</v>
      </c>
      <c r="H1584" s="39" t="str">
        <f aca="false">IF(ISNUMBER(MATCH(G1584,Products!$A$5:$A$24,0)),"OK","Mismatch")</f>
        <v>OK</v>
      </c>
      <c r="I1584" s="39" t="str">
        <f aca="false">IF(COUNTIF($A$5:A1584,A1584)&gt;1,"Duplicate","Unique")</f>
        <v>Unique</v>
      </c>
      <c r="J1584" s="39" t="str">
        <f aca="false">IF(I1584="Duplicate","Remove",IF(H1584="Mismatch","Exclude","Keep"))</f>
        <v>Keep</v>
      </c>
    </row>
    <row r="1585" customFormat="false" ht="15" hidden="false" customHeight="false" outlineLevel="0" collapsed="false">
      <c r="A1585" s="39" t="s">
        <v>1667</v>
      </c>
      <c r="B1585" s="40" t="n">
        <v>45878</v>
      </c>
      <c r="C1585" s="39" t="s">
        <v>130</v>
      </c>
      <c r="D1585" s="39" t="n">
        <v>2</v>
      </c>
      <c r="E1585" s="41" t="n">
        <v>8.95</v>
      </c>
      <c r="F1585" s="39" t="s">
        <v>108</v>
      </c>
      <c r="G1585" s="39" t="str">
        <f aca="false">UPPER(TRIM(C1585))</f>
        <v>P011</v>
      </c>
      <c r="H1585" s="39" t="str">
        <f aca="false">IF(ISNUMBER(MATCH(G1585,Products!$A$5:$A$24,0)),"OK","Mismatch")</f>
        <v>OK</v>
      </c>
      <c r="I1585" s="39" t="str">
        <f aca="false">IF(COUNTIF($A$5:A1585,A1585)&gt;1,"Duplicate","Unique")</f>
        <v>Unique</v>
      </c>
      <c r="J1585" s="39" t="str">
        <f aca="false">IF(I1585="Duplicate","Remove",IF(H1585="Mismatch","Exclude","Keep"))</f>
        <v>Keep</v>
      </c>
    </row>
    <row r="1586" customFormat="false" ht="15" hidden="false" customHeight="false" outlineLevel="0" collapsed="false">
      <c r="A1586" s="39" t="s">
        <v>1668</v>
      </c>
      <c r="B1586" s="40" t="n">
        <v>45878</v>
      </c>
      <c r="C1586" s="39" t="s">
        <v>177</v>
      </c>
      <c r="D1586" s="39" t="n">
        <v>6</v>
      </c>
      <c r="E1586" s="41" t="n">
        <v>42.51</v>
      </c>
      <c r="F1586" s="39" t="s">
        <v>108</v>
      </c>
      <c r="G1586" s="39" t="str">
        <f aca="false">UPPER(TRIM(C1586))</f>
        <v>P014</v>
      </c>
      <c r="H1586" s="39" t="str">
        <f aca="false">IF(ISNUMBER(MATCH(G1586,Products!$A$5:$A$24,0)),"OK","Mismatch")</f>
        <v>OK</v>
      </c>
      <c r="I1586" s="39" t="str">
        <f aca="false">IF(COUNTIF($A$5:A1586,A1586)&gt;1,"Duplicate","Unique")</f>
        <v>Unique</v>
      </c>
      <c r="J1586" s="39" t="str">
        <f aca="false">IF(I1586="Duplicate","Remove",IF(H1586="Mismatch","Exclude","Keep"))</f>
        <v>Keep</v>
      </c>
    </row>
    <row r="1587" customFormat="false" ht="15" hidden="false" customHeight="false" outlineLevel="0" collapsed="false">
      <c r="A1587" s="39" t="s">
        <v>1669</v>
      </c>
      <c r="B1587" s="40" t="n">
        <v>45878</v>
      </c>
      <c r="C1587" s="39" t="s">
        <v>162</v>
      </c>
      <c r="D1587" s="39" t="n">
        <v>5</v>
      </c>
      <c r="E1587" s="41" t="n">
        <v>63.48</v>
      </c>
      <c r="F1587" s="39" t="s">
        <v>105</v>
      </c>
      <c r="G1587" s="39" t="str">
        <f aca="false">UPPER(TRIM(C1587))</f>
        <v>P017</v>
      </c>
      <c r="H1587" s="39" t="str">
        <f aca="false">IF(ISNUMBER(MATCH(G1587,Products!$A$5:$A$24,0)),"OK","Mismatch")</f>
        <v>OK</v>
      </c>
      <c r="I1587" s="39" t="str">
        <f aca="false">IF(COUNTIF($A$5:A1587,A1587)&gt;1,"Duplicate","Unique")</f>
        <v>Unique</v>
      </c>
      <c r="J1587" s="39" t="str">
        <f aca="false">IF(I1587="Duplicate","Remove",IF(H1587="Mismatch","Exclude","Keep"))</f>
        <v>Keep</v>
      </c>
    </row>
    <row r="1588" customFormat="false" ht="15" hidden="false" customHeight="false" outlineLevel="0" collapsed="false">
      <c r="A1588" s="39" t="s">
        <v>1670</v>
      </c>
      <c r="B1588" s="40" t="n">
        <v>45878</v>
      </c>
      <c r="C1588" s="39" t="s">
        <v>130</v>
      </c>
      <c r="D1588" s="39" t="n">
        <v>1</v>
      </c>
      <c r="E1588" s="41" t="n">
        <v>8.83</v>
      </c>
      <c r="F1588" s="39" t="s">
        <v>115</v>
      </c>
      <c r="G1588" s="39" t="str">
        <f aca="false">UPPER(TRIM(C1588))</f>
        <v>P011</v>
      </c>
      <c r="H1588" s="39" t="str">
        <f aca="false">IF(ISNUMBER(MATCH(G1588,Products!$A$5:$A$24,0)),"OK","Mismatch")</f>
        <v>OK</v>
      </c>
      <c r="I1588" s="39" t="str">
        <f aca="false">IF(COUNTIF($A$5:A1588,A1588)&gt;1,"Duplicate","Unique")</f>
        <v>Unique</v>
      </c>
      <c r="J1588" s="39" t="str">
        <f aca="false">IF(I1588="Duplicate","Remove",IF(H1588="Mismatch","Exclude","Keep"))</f>
        <v>Keep</v>
      </c>
    </row>
    <row r="1589" customFormat="false" ht="15" hidden="false" customHeight="false" outlineLevel="0" collapsed="false">
      <c r="A1589" s="39" t="s">
        <v>1671</v>
      </c>
      <c r="B1589" s="40" t="n">
        <v>45878</v>
      </c>
      <c r="C1589" s="39" t="s">
        <v>126</v>
      </c>
      <c r="D1589" s="39" t="n">
        <v>1</v>
      </c>
      <c r="E1589" s="41" t="n">
        <v>23.53</v>
      </c>
      <c r="F1589" s="39" t="s">
        <v>118</v>
      </c>
      <c r="G1589" s="39" t="str">
        <f aca="false">UPPER(TRIM(C1589))</f>
        <v>P001</v>
      </c>
      <c r="H1589" s="39" t="str">
        <f aca="false">IF(ISNUMBER(MATCH(G1589,Products!$A$5:$A$24,0)),"OK","Mismatch")</f>
        <v>OK</v>
      </c>
      <c r="I1589" s="39" t="str">
        <f aca="false">IF(COUNTIF($A$5:A1589,A1589)&gt;1,"Duplicate","Unique")</f>
        <v>Unique</v>
      </c>
      <c r="J1589" s="39" t="str">
        <f aca="false">IF(I1589="Duplicate","Remove",IF(H1589="Mismatch","Exclude","Keep"))</f>
        <v>Keep</v>
      </c>
    </row>
    <row r="1590" customFormat="false" ht="15" hidden="false" customHeight="false" outlineLevel="0" collapsed="false">
      <c r="A1590" s="39" t="s">
        <v>1672</v>
      </c>
      <c r="B1590" s="40" t="n">
        <v>45878</v>
      </c>
      <c r="C1590" s="39" t="s">
        <v>110</v>
      </c>
      <c r="D1590" s="39" t="n">
        <v>2</v>
      </c>
      <c r="E1590" s="41" t="n">
        <v>13.25</v>
      </c>
      <c r="F1590" s="39" t="s">
        <v>115</v>
      </c>
      <c r="G1590" s="39" t="str">
        <f aca="false">UPPER(TRIM(C1590))</f>
        <v>P016</v>
      </c>
      <c r="H1590" s="39" t="str">
        <f aca="false">IF(ISNUMBER(MATCH(G1590,Products!$A$5:$A$24,0)),"OK","Mismatch")</f>
        <v>OK</v>
      </c>
      <c r="I1590" s="39" t="str">
        <f aca="false">IF(COUNTIF($A$5:A1590,A1590)&gt;1,"Duplicate","Unique")</f>
        <v>Unique</v>
      </c>
      <c r="J1590" s="39" t="str">
        <f aca="false">IF(I1590="Duplicate","Remove",IF(H1590="Mismatch","Exclude","Keep"))</f>
        <v>Keep</v>
      </c>
    </row>
    <row r="1591" customFormat="false" ht="15" hidden="false" customHeight="false" outlineLevel="0" collapsed="false">
      <c r="A1591" s="39" t="s">
        <v>1673</v>
      </c>
      <c r="B1591" s="40" t="n">
        <v>45878</v>
      </c>
      <c r="C1591" s="39" t="s">
        <v>107</v>
      </c>
      <c r="D1591" s="39" t="n">
        <v>4</v>
      </c>
      <c r="E1591" s="41" t="n">
        <v>32.49</v>
      </c>
      <c r="F1591" s="39" t="s">
        <v>115</v>
      </c>
      <c r="G1591" s="39" t="str">
        <f aca="false">UPPER(TRIM(C1591))</f>
        <v>P003</v>
      </c>
      <c r="H1591" s="39" t="str">
        <f aca="false">IF(ISNUMBER(MATCH(G1591,Products!$A$5:$A$24,0)),"OK","Mismatch")</f>
        <v>OK</v>
      </c>
      <c r="I1591" s="39" t="str">
        <f aca="false">IF(COUNTIF($A$5:A1591,A1591)&gt;1,"Duplicate","Unique")</f>
        <v>Unique</v>
      </c>
      <c r="J1591" s="39" t="str">
        <f aca="false">IF(I1591="Duplicate","Remove",IF(H1591="Mismatch","Exclude","Keep"))</f>
        <v>Keep</v>
      </c>
    </row>
    <row r="1592" customFormat="false" ht="15" hidden="false" customHeight="false" outlineLevel="0" collapsed="false">
      <c r="A1592" s="39" t="s">
        <v>1674</v>
      </c>
      <c r="B1592" s="40" t="n">
        <v>45878</v>
      </c>
      <c r="C1592" s="39" t="s">
        <v>144</v>
      </c>
      <c r="D1592" s="39" t="n">
        <v>2</v>
      </c>
      <c r="E1592" s="41" t="n">
        <v>56.2</v>
      </c>
      <c r="F1592" s="39" t="s">
        <v>118</v>
      </c>
      <c r="G1592" s="39" t="str">
        <f aca="false">UPPER(TRIM(C1592))</f>
        <v>P013</v>
      </c>
      <c r="H1592" s="39" t="str">
        <f aca="false">IF(ISNUMBER(MATCH(G1592,Products!$A$5:$A$24,0)),"OK","Mismatch")</f>
        <v>OK</v>
      </c>
      <c r="I1592" s="39" t="str">
        <f aca="false">IF(COUNTIF($A$5:A1592,A1592)&gt;1,"Duplicate","Unique")</f>
        <v>Unique</v>
      </c>
      <c r="J1592" s="39" t="str">
        <f aca="false">IF(I1592="Duplicate","Remove",IF(H1592="Mismatch","Exclude","Keep"))</f>
        <v>Keep</v>
      </c>
    </row>
    <row r="1593" customFormat="false" ht="15" hidden="false" customHeight="false" outlineLevel="0" collapsed="false">
      <c r="A1593" s="39" t="s">
        <v>1675</v>
      </c>
      <c r="B1593" s="40" t="n">
        <v>45879</v>
      </c>
      <c r="C1593" s="39" t="s">
        <v>104</v>
      </c>
      <c r="D1593" s="39" t="n">
        <v>1</v>
      </c>
      <c r="E1593" s="41" t="n">
        <v>15.82</v>
      </c>
      <c r="F1593" s="39" t="s">
        <v>115</v>
      </c>
      <c r="G1593" s="39" t="str">
        <f aca="false">UPPER(TRIM(C1593))</f>
        <v>P015</v>
      </c>
      <c r="H1593" s="39" t="str">
        <f aca="false">IF(ISNUMBER(MATCH(G1593,Products!$A$5:$A$24,0)),"OK","Mismatch")</f>
        <v>OK</v>
      </c>
      <c r="I1593" s="39" t="str">
        <f aca="false">IF(COUNTIF($A$5:A1593,A1593)&gt;1,"Duplicate","Unique")</f>
        <v>Unique</v>
      </c>
      <c r="J1593" s="39" t="str">
        <f aca="false">IF(I1593="Duplicate","Remove",IF(H1593="Mismatch","Exclude","Keep"))</f>
        <v>Keep</v>
      </c>
    </row>
    <row r="1594" customFormat="false" ht="15" hidden="false" customHeight="false" outlineLevel="0" collapsed="false">
      <c r="A1594" s="39" t="s">
        <v>1676</v>
      </c>
      <c r="B1594" s="40" t="n">
        <v>45879</v>
      </c>
      <c r="C1594" s="39" t="s">
        <v>128</v>
      </c>
      <c r="D1594" s="39" t="n">
        <v>1</v>
      </c>
      <c r="E1594" s="41" t="n">
        <v>36.49</v>
      </c>
      <c r="F1594" s="39" t="s">
        <v>118</v>
      </c>
      <c r="G1594" s="39" t="str">
        <f aca="false">UPPER(TRIM(C1594))</f>
        <v>P020</v>
      </c>
      <c r="H1594" s="39" t="str">
        <f aca="false">IF(ISNUMBER(MATCH(G1594,Products!$A$5:$A$24,0)),"OK","Mismatch")</f>
        <v>OK</v>
      </c>
      <c r="I1594" s="39" t="str">
        <f aca="false">IF(COUNTIF($A$5:A1594,A1594)&gt;1,"Duplicate","Unique")</f>
        <v>Unique</v>
      </c>
      <c r="J1594" s="39" t="str">
        <f aca="false">IF(I1594="Duplicate","Remove",IF(H1594="Mismatch","Exclude","Keep"))</f>
        <v>Keep</v>
      </c>
    </row>
    <row r="1595" customFormat="false" ht="15" hidden="false" customHeight="false" outlineLevel="0" collapsed="false">
      <c r="A1595" s="39" t="s">
        <v>1677</v>
      </c>
      <c r="B1595" s="40" t="n">
        <v>45879</v>
      </c>
      <c r="C1595" s="39" t="s">
        <v>110</v>
      </c>
      <c r="D1595" s="39" t="n">
        <v>1</v>
      </c>
      <c r="E1595" s="41" t="n">
        <v>13.44</v>
      </c>
      <c r="F1595" s="39" t="s">
        <v>105</v>
      </c>
      <c r="G1595" s="39" t="str">
        <f aca="false">UPPER(TRIM(C1595))</f>
        <v>P016</v>
      </c>
      <c r="H1595" s="39" t="str">
        <f aca="false">IF(ISNUMBER(MATCH(G1595,Products!$A$5:$A$24,0)),"OK","Mismatch")</f>
        <v>OK</v>
      </c>
      <c r="I1595" s="39" t="str">
        <f aca="false">IF(COUNTIF($A$5:A1595,A1595)&gt;1,"Duplicate","Unique")</f>
        <v>Unique</v>
      </c>
      <c r="J1595" s="39" t="str">
        <f aca="false">IF(I1595="Duplicate","Remove",IF(H1595="Mismatch","Exclude","Keep"))</f>
        <v>Keep</v>
      </c>
    </row>
    <row r="1596" customFormat="false" ht="15" hidden="false" customHeight="false" outlineLevel="0" collapsed="false">
      <c r="A1596" s="39" t="s">
        <v>1678</v>
      </c>
      <c r="B1596" s="40" t="n">
        <v>45879</v>
      </c>
      <c r="C1596" s="39" t="s">
        <v>136</v>
      </c>
      <c r="D1596" s="39" t="n">
        <v>5</v>
      </c>
      <c r="E1596" s="41" t="n">
        <v>75.42</v>
      </c>
      <c r="F1596" s="39" t="s">
        <v>108</v>
      </c>
      <c r="G1596" s="39" t="str">
        <f aca="false">UPPER(TRIM(C1596))</f>
        <v>P002</v>
      </c>
      <c r="H1596" s="39" t="str">
        <f aca="false">IF(ISNUMBER(MATCH(G1596,Products!$A$5:$A$24,0)),"OK","Mismatch")</f>
        <v>OK</v>
      </c>
      <c r="I1596" s="39" t="str">
        <f aca="false">IF(COUNTIF($A$5:A1596,A1596)&gt;1,"Duplicate","Unique")</f>
        <v>Unique</v>
      </c>
      <c r="J1596" s="39" t="str">
        <f aca="false">IF(I1596="Duplicate","Remove",IF(H1596="Mismatch","Exclude","Keep"))</f>
        <v>Keep</v>
      </c>
    </row>
    <row r="1597" customFormat="false" ht="15" hidden="false" customHeight="false" outlineLevel="0" collapsed="false">
      <c r="A1597" s="39" t="s">
        <v>1679</v>
      </c>
      <c r="B1597" s="40" t="n">
        <v>45879</v>
      </c>
      <c r="C1597" s="39" t="s">
        <v>130</v>
      </c>
      <c r="D1597" s="39" t="n">
        <v>4</v>
      </c>
      <c r="E1597" s="41" t="n">
        <v>8.49</v>
      </c>
      <c r="F1597" s="39" t="s">
        <v>105</v>
      </c>
      <c r="G1597" s="39" t="str">
        <f aca="false">UPPER(TRIM(C1597))</f>
        <v>P011</v>
      </c>
      <c r="H1597" s="39" t="str">
        <f aca="false">IF(ISNUMBER(MATCH(G1597,Products!$A$5:$A$24,0)),"OK","Mismatch")</f>
        <v>OK</v>
      </c>
      <c r="I1597" s="39" t="str">
        <f aca="false">IF(COUNTIF($A$5:A1597,A1597)&gt;1,"Duplicate","Unique")</f>
        <v>Unique</v>
      </c>
      <c r="J1597" s="39" t="str">
        <f aca="false">IF(I1597="Duplicate","Remove",IF(H1597="Mismatch","Exclude","Keep"))</f>
        <v>Keep</v>
      </c>
    </row>
    <row r="1598" customFormat="false" ht="15" hidden="false" customHeight="false" outlineLevel="0" collapsed="false">
      <c r="A1598" s="39" t="s">
        <v>1680</v>
      </c>
      <c r="B1598" s="40" t="n">
        <v>45879</v>
      </c>
      <c r="C1598" s="39" t="s">
        <v>126</v>
      </c>
      <c r="D1598" s="39" t="n">
        <v>1</v>
      </c>
      <c r="E1598" s="41" t="n">
        <v>24.03</v>
      </c>
      <c r="F1598" s="39" t="s">
        <v>118</v>
      </c>
      <c r="G1598" s="39" t="str">
        <f aca="false">UPPER(TRIM(C1598))</f>
        <v>P001</v>
      </c>
      <c r="H1598" s="39" t="str">
        <f aca="false">IF(ISNUMBER(MATCH(G1598,Products!$A$5:$A$24,0)),"OK","Mismatch")</f>
        <v>OK</v>
      </c>
      <c r="I1598" s="39" t="str">
        <f aca="false">IF(COUNTIF($A$5:A1598,A1598)&gt;1,"Duplicate","Unique")</f>
        <v>Unique</v>
      </c>
      <c r="J1598" s="39" t="str">
        <f aca="false">IF(I1598="Duplicate","Remove",IF(H1598="Mismatch","Exclude","Keep"))</f>
        <v>Keep</v>
      </c>
    </row>
    <row r="1599" customFormat="false" ht="15" hidden="false" customHeight="false" outlineLevel="0" collapsed="false">
      <c r="A1599" s="39" t="s">
        <v>1681</v>
      </c>
      <c r="B1599" s="40" t="n">
        <v>45879</v>
      </c>
      <c r="C1599" s="39" t="s">
        <v>139</v>
      </c>
      <c r="D1599" s="39" t="n">
        <v>2</v>
      </c>
      <c r="E1599" s="41" t="n">
        <v>126.74</v>
      </c>
      <c r="F1599" s="39" t="s">
        <v>108</v>
      </c>
      <c r="G1599" s="39" t="str">
        <f aca="false">UPPER(TRIM(C1599))</f>
        <v>P006</v>
      </c>
      <c r="H1599" s="39" t="str">
        <f aca="false">IF(ISNUMBER(MATCH(G1599,Products!$A$5:$A$24,0)),"OK","Mismatch")</f>
        <v>OK</v>
      </c>
      <c r="I1599" s="39" t="str">
        <f aca="false">IF(COUNTIF($A$5:A1599,A1599)&gt;1,"Duplicate","Unique")</f>
        <v>Unique</v>
      </c>
      <c r="J1599" s="39" t="str">
        <f aca="false">IF(I1599="Duplicate","Remove",IF(H1599="Mismatch","Exclude","Keep"))</f>
        <v>Keep</v>
      </c>
    </row>
    <row r="1600" customFormat="false" ht="15" hidden="false" customHeight="false" outlineLevel="0" collapsed="false">
      <c r="A1600" s="39" t="s">
        <v>1682</v>
      </c>
      <c r="B1600" s="40" t="n">
        <v>45879</v>
      </c>
      <c r="C1600" s="39" t="s">
        <v>121</v>
      </c>
      <c r="D1600" s="39" t="n">
        <v>3</v>
      </c>
      <c r="E1600" s="41" t="n">
        <v>114.1</v>
      </c>
      <c r="F1600" s="39" t="s">
        <v>108</v>
      </c>
      <c r="G1600" s="39" t="str">
        <f aca="false">UPPER(TRIM(C1600))</f>
        <v>P018</v>
      </c>
      <c r="H1600" s="39" t="str">
        <f aca="false">IF(ISNUMBER(MATCH(G1600,Products!$A$5:$A$24,0)),"OK","Mismatch")</f>
        <v>OK</v>
      </c>
      <c r="I1600" s="39" t="str">
        <f aca="false">IF(COUNTIF($A$5:A1600,A1600)&gt;1,"Duplicate","Unique")</f>
        <v>Unique</v>
      </c>
      <c r="J1600" s="39" t="str">
        <f aca="false">IF(I1600="Duplicate","Remove",IF(H1600="Mismatch","Exclude","Keep"))</f>
        <v>Keep</v>
      </c>
    </row>
    <row r="1601" customFormat="false" ht="15" hidden="false" customHeight="false" outlineLevel="0" collapsed="false">
      <c r="A1601" s="39" t="s">
        <v>1683</v>
      </c>
      <c r="B1601" s="40" t="n">
        <v>45879</v>
      </c>
      <c r="C1601" s="39" t="s">
        <v>114</v>
      </c>
      <c r="D1601" s="39" t="n">
        <v>1</v>
      </c>
      <c r="E1601" s="41" t="n">
        <v>5.8</v>
      </c>
      <c r="F1601" s="39" t="s">
        <v>108</v>
      </c>
      <c r="G1601" s="39" t="str">
        <f aca="false">UPPER(TRIM(C1601))</f>
        <v>P012</v>
      </c>
      <c r="H1601" s="39" t="str">
        <f aca="false">IF(ISNUMBER(MATCH(G1601,Products!$A$5:$A$24,0)),"OK","Mismatch")</f>
        <v>OK</v>
      </c>
      <c r="I1601" s="39" t="str">
        <f aca="false">IF(COUNTIF($A$5:A1601,A1601)&gt;1,"Duplicate","Unique")</f>
        <v>Unique</v>
      </c>
      <c r="J1601" s="39" t="str">
        <f aca="false">IF(I1601="Duplicate","Remove",IF(H1601="Mismatch","Exclude","Keep"))</f>
        <v>Keep</v>
      </c>
    </row>
    <row r="1602" customFormat="false" ht="15" hidden="false" customHeight="false" outlineLevel="0" collapsed="false">
      <c r="A1602" s="39" t="s">
        <v>1684</v>
      </c>
      <c r="B1602" s="40" t="n">
        <v>45879</v>
      </c>
      <c r="C1602" s="39" t="s">
        <v>169</v>
      </c>
      <c r="D1602" s="39" t="n">
        <v>2</v>
      </c>
      <c r="E1602" s="41" t="n">
        <v>28.89</v>
      </c>
      <c r="F1602" s="39" t="s">
        <v>115</v>
      </c>
      <c r="G1602" s="39" t="str">
        <f aca="false">UPPER(TRIM(C1602))</f>
        <v>P004</v>
      </c>
      <c r="H1602" s="39" t="str">
        <f aca="false">IF(ISNUMBER(MATCH(G1602,Products!$A$5:$A$24,0)),"OK","Mismatch")</f>
        <v>OK</v>
      </c>
      <c r="I1602" s="39" t="str">
        <f aca="false">IF(COUNTIF($A$5:A1602,A1602)&gt;1,"Duplicate","Unique")</f>
        <v>Unique</v>
      </c>
      <c r="J1602" s="39" t="str">
        <f aca="false">IF(I1602="Duplicate","Remove",IF(H1602="Mismatch","Exclude","Keep"))</f>
        <v>Keep</v>
      </c>
    </row>
    <row r="1603" customFormat="false" ht="15" hidden="false" customHeight="false" outlineLevel="0" collapsed="false">
      <c r="A1603" s="39" t="s">
        <v>1685</v>
      </c>
      <c r="B1603" s="40" t="n">
        <v>45879</v>
      </c>
      <c r="C1603" s="39" t="s">
        <v>3177</v>
      </c>
      <c r="D1603" s="39" t="n">
        <v>2</v>
      </c>
      <c r="E1603" s="41" t="n">
        <v>43.69</v>
      </c>
      <c r="F1603" s="39" t="s">
        <v>108</v>
      </c>
      <c r="G1603" s="39" t="str">
        <f aca="false">UPPER(TRIM(C1603))</f>
        <v>P014</v>
      </c>
      <c r="H1603" s="39" t="str">
        <f aca="false">IF(ISNUMBER(MATCH(G1603,Products!$A$5:$A$24,0)),"OK","Mismatch")</f>
        <v>OK</v>
      </c>
      <c r="I1603" s="39" t="str">
        <f aca="false">IF(COUNTIF($A$5:A1603,A1603)&gt;1,"Duplicate","Unique")</f>
        <v>Unique</v>
      </c>
      <c r="J1603" s="39" t="str">
        <f aca="false">IF(I1603="Duplicate","Remove",IF(H1603="Mismatch","Exclude","Keep"))</f>
        <v>Keep</v>
      </c>
    </row>
    <row r="1604" customFormat="false" ht="15" hidden="false" customHeight="false" outlineLevel="0" collapsed="false">
      <c r="A1604" s="39" t="s">
        <v>1686</v>
      </c>
      <c r="B1604" s="40" t="n">
        <v>45879</v>
      </c>
      <c r="C1604" s="39" t="s">
        <v>104</v>
      </c>
      <c r="D1604" s="39" t="n">
        <v>8</v>
      </c>
      <c r="E1604" s="41" t="n">
        <v>14.83</v>
      </c>
      <c r="F1604" s="39" t="s">
        <v>118</v>
      </c>
      <c r="G1604" s="39" t="str">
        <f aca="false">UPPER(TRIM(C1604))</f>
        <v>P015</v>
      </c>
      <c r="H1604" s="39" t="str">
        <f aca="false">IF(ISNUMBER(MATCH(G1604,Products!$A$5:$A$24,0)),"OK","Mismatch")</f>
        <v>OK</v>
      </c>
      <c r="I1604" s="39" t="str">
        <f aca="false">IF(COUNTIF($A$5:A1604,A1604)&gt;1,"Duplicate","Unique")</f>
        <v>Unique</v>
      </c>
      <c r="J1604" s="39" t="str">
        <f aca="false">IF(I1604="Duplicate","Remove",IF(H1604="Mismatch","Exclude","Keep"))</f>
        <v>Keep</v>
      </c>
    </row>
    <row r="1605" customFormat="false" ht="15" hidden="false" customHeight="false" outlineLevel="0" collapsed="false">
      <c r="A1605" s="39" t="s">
        <v>1687</v>
      </c>
      <c r="B1605" s="40" t="n">
        <v>45880</v>
      </c>
      <c r="C1605" s="39" t="s">
        <v>112</v>
      </c>
      <c r="D1605" s="39" t="n">
        <v>1</v>
      </c>
      <c r="E1605" s="41" t="n">
        <v>51.27</v>
      </c>
      <c r="F1605" s="39" t="s">
        <v>115</v>
      </c>
      <c r="G1605" s="39" t="str">
        <f aca="false">UPPER(TRIM(C1605))</f>
        <v>P005</v>
      </c>
      <c r="H1605" s="39" t="str">
        <f aca="false">IF(ISNUMBER(MATCH(G1605,Products!$A$5:$A$24,0)),"OK","Mismatch")</f>
        <v>OK</v>
      </c>
      <c r="I1605" s="39" t="str">
        <f aca="false">IF(COUNTIF($A$5:A1605,A1605)&gt;1,"Duplicate","Unique")</f>
        <v>Unique</v>
      </c>
      <c r="J1605" s="39" t="str">
        <f aca="false">IF(I1605="Duplicate","Remove",IF(H1605="Mismatch","Exclude","Keep"))</f>
        <v>Keep</v>
      </c>
    </row>
    <row r="1606" customFormat="false" ht="15" hidden="false" customHeight="false" outlineLevel="0" collapsed="false">
      <c r="A1606" s="39" t="s">
        <v>1688</v>
      </c>
      <c r="B1606" s="40" t="n">
        <v>45880</v>
      </c>
      <c r="C1606" s="39" t="s">
        <v>133</v>
      </c>
      <c r="D1606" s="39" t="n">
        <v>4</v>
      </c>
      <c r="E1606" s="41" t="n">
        <v>8.59</v>
      </c>
      <c r="F1606" s="39" t="s">
        <v>105</v>
      </c>
      <c r="G1606" s="39" t="str">
        <f aca="false">UPPER(TRIM(C1606))</f>
        <v>P019</v>
      </c>
      <c r="H1606" s="39" t="str">
        <f aca="false">IF(ISNUMBER(MATCH(G1606,Products!$A$5:$A$24,0)),"OK","Mismatch")</f>
        <v>OK</v>
      </c>
      <c r="I1606" s="39" t="str">
        <f aca="false">IF(COUNTIF($A$5:A1606,A1606)&gt;1,"Duplicate","Unique")</f>
        <v>Unique</v>
      </c>
      <c r="J1606" s="39" t="str">
        <f aca="false">IF(I1606="Duplicate","Remove",IF(H1606="Mismatch","Exclude","Keep"))</f>
        <v>Keep</v>
      </c>
    </row>
    <row r="1607" customFormat="false" ht="15" hidden="false" customHeight="false" outlineLevel="0" collapsed="false">
      <c r="A1607" s="39" t="s">
        <v>1689</v>
      </c>
      <c r="B1607" s="40" t="n">
        <v>45880</v>
      </c>
      <c r="C1607" s="39" t="s">
        <v>169</v>
      </c>
      <c r="D1607" s="39" t="n">
        <v>3</v>
      </c>
      <c r="E1607" s="41" t="n">
        <v>28.72</v>
      </c>
      <c r="F1607" s="39" t="s">
        <v>105</v>
      </c>
      <c r="G1607" s="39" t="str">
        <f aca="false">UPPER(TRIM(C1607))</f>
        <v>P004</v>
      </c>
      <c r="H1607" s="39" t="str">
        <f aca="false">IF(ISNUMBER(MATCH(G1607,Products!$A$5:$A$24,0)),"OK","Mismatch")</f>
        <v>OK</v>
      </c>
      <c r="I1607" s="39" t="str">
        <f aca="false">IF(COUNTIF($A$5:A1607,A1607)&gt;1,"Duplicate","Unique")</f>
        <v>Unique</v>
      </c>
      <c r="J1607" s="39" t="str">
        <f aca="false">IF(I1607="Duplicate","Remove",IF(H1607="Mismatch","Exclude","Keep"))</f>
        <v>Keep</v>
      </c>
    </row>
    <row r="1608" customFormat="false" ht="15" hidden="false" customHeight="false" outlineLevel="0" collapsed="false">
      <c r="A1608" s="39" t="s">
        <v>1690</v>
      </c>
      <c r="B1608" s="40" t="n">
        <v>45880</v>
      </c>
      <c r="C1608" s="39" t="s">
        <v>162</v>
      </c>
      <c r="D1608" s="39" t="n">
        <v>5</v>
      </c>
      <c r="E1608" s="41" t="n">
        <v>65.34</v>
      </c>
      <c r="F1608" s="39" t="s">
        <v>118</v>
      </c>
      <c r="G1608" s="39" t="str">
        <f aca="false">UPPER(TRIM(C1608))</f>
        <v>P017</v>
      </c>
      <c r="H1608" s="39" t="str">
        <f aca="false">IF(ISNUMBER(MATCH(G1608,Products!$A$5:$A$24,0)),"OK","Mismatch")</f>
        <v>OK</v>
      </c>
      <c r="I1608" s="39" t="str">
        <f aca="false">IF(COUNTIF($A$5:A1608,A1608)&gt;1,"Duplicate","Unique")</f>
        <v>Unique</v>
      </c>
      <c r="J1608" s="39" t="str">
        <f aca="false">IF(I1608="Duplicate","Remove",IF(H1608="Mismatch","Exclude","Keep"))</f>
        <v>Keep</v>
      </c>
    </row>
    <row r="1609" customFormat="false" ht="15" hidden="false" customHeight="false" outlineLevel="0" collapsed="false">
      <c r="A1609" s="39" t="s">
        <v>1691</v>
      </c>
      <c r="B1609" s="40" t="n">
        <v>45880</v>
      </c>
      <c r="C1609" s="39" t="s">
        <v>104</v>
      </c>
      <c r="D1609" s="39" t="n">
        <v>3</v>
      </c>
      <c r="E1609" s="41" t="n">
        <v>15.12</v>
      </c>
      <c r="F1609" s="39" t="s">
        <v>108</v>
      </c>
      <c r="G1609" s="39" t="str">
        <f aca="false">UPPER(TRIM(C1609))</f>
        <v>P015</v>
      </c>
      <c r="H1609" s="39" t="str">
        <f aca="false">IF(ISNUMBER(MATCH(G1609,Products!$A$5:$A$24,0)),"OK","Mismatch")</f>
        <v>OK</v>
      </c>
      <c r="I1609" s="39" t="str">
        <f aca="false">IF(COUNTIF($A$5:A1609,A1609)&gt;1,"Duplicate","Unique")</f>
        <v>Unique</v>
      </c>
      <c r="J1609" s="39" t="str">
        <f aca="false">IF(I1609="Duplicate","Remove",IF(H1609="Mismatch","Exclude","Keep"))</f>
        <v>Keep</v>
      </c>
    </row>
    <row r="1610" customFormat="false" ht="15" hidden="false" customHeight="false" outlineLevel="0" collapsed="false">
      <c r="A1610" s="39" t="s">
        <v>1692</v>
      </c>
      <c r="B1610" s="40" t="n">
        <v>45880</v>
      </c>
      <c r="C1610" s="39" t="s">
        <v>104</v>
      </c>
      <c r="D1610" s="39" t="n">
        <v>1</v>
      </c>
      <c r="E1610" s="41" t="n">
        <v>15.96</v>
      </c>
      <c r="F1610" s="39" t="s">
        <v>108</v>
      </c>
      <c r="G1610" s="39" t="str">
        <f aca="false">UPPER(TRIM(C1610))</f>
        <v>P015</v>
      </c>
      <c r="H1610" s="39" t="str">
        <f aca="false">IF(ISNUMBER(MATCH(G1610,Products!$A$5:$A$24,0)),"OK","Mismatch")</f>
        <v>OK</v>
      </c>
      <c r="I1610" s="39" t="str">
        <f aca="false">IF(COUNTIF($A$5:A1610,A1610)&gt;1,"Duplicate","Unique")</f>
        <v>Unique</v>
      </c>
      <c r="J1610" s="39" t="str">
        <f aca="false">IF(I1610="Duplicate","Remove",IF(H1610="Mismatch","Exclude","Keep"))</f>
        <v>Keep</v>
      </c>
    </row>
    <row r="1611" customFormat="false" ht="15" hidden="false" customHeight="false" outlineLevel="0" collapsed="false">
      <c r="A1611" s="39" t="s">
        <v>1693</v>
      </c>
      <c r="B1611" s="40" t="n">
        <v>45880</v>
      </c>
      <c r="C1611" s="39" t="s">
        <v>153</v>
      </c>
      <c r="D1611" s="39" t="n">
        <v>3</v>
      </c>
      <c r="E1611" s="41" t="n">
        <v>172.52</v>
      </c>
      <c r="F1611" s="39" t="s">
        <v>108</v>
      </c>
      <c r="G1611" s="39" t="str">
        <f aca="false">UPPER(TRIM(C1611))</f>
        <v>P010</v>
      </c>
      <c r="H1611" s="39" t="str">
        <f aca="false">IF(ISNUMBER(MATCH(G1611,Products!$A$5:$A$24,0)),"OK","Mismatch")</f>
        <v>OK</v>
      </c>
      <c r="I1611" s="39" t="str">
        <f aca="false">IF(COUNTIF($A$5:A1611,A1611)&gt;1,"Duplicate","Unique")</f>
        <v>Unique</v>
      </c>
      <c r="J1611" s="39" t="str">
        <f aca="false">IF(I1611="Duplicate","Remove",IF(H1611="Mismatch","Exclude","Keep"))</f>
        <v>Keep</v>
      </c>
    </row>
    <row r="1612" customFormat="false" ht="15" hidden="false" customHeight="false" outlineLevel="0" collapsed="false">
      <c r="A1612" s="39" t="s">
        <v>1694</v>
      </c>
      <c r="B1612" s="40" t="n">
        <v>45880</v>
      </c>
      <c r="C1612" s="39" t="s">
        <v>114</v>
      </c>
      <c r="D1612" s="39" t="n">
        <v>3</v>
      </c>
      <c r="E1612" s="41" t="n">
        <v>5.58</v>
      </c>
      <c r="F1612" s="39" t="s">
        <v>108</v>
      </c>
      <c r="G1612" s="39" t="str">
        <f aca="false">UPPER(TRIM(C1612))</f>
        <v>P012</v>
      </c>
      <c r="H1612" s="39" t="str">
        <f aca="false">IF(ISNUMBER(MATCH(G1612,Products!$A$5:$A$24,0)),"OK","Mismatch")</f>
        <v>OK</v>
      </c>
      <c r="I1612" s="39" t="str">
        <f aca="false">IF(COUNTIF($A$5:A1612,A1612)&gt;1,"Duplicate","Unique")</f>
        <v>Unique</v>
      </c>
      <c r="J1612" s="39" t="str">
        <f aca="false">IF(I1612="Duplicate","Remove",IF(H1612="Mismatch","Exclude","Keep"))</f>
        <v>Keep</v>
      </c>
    </row>
    <row r="1613" customFormat="false" ht="15" hidden="false" customHeight="false" outlineLevel="0" collapsed="false">
      <c r="A1613" s="39" t="s">
        <v>1695</v>
      </c>
      <c r="B1613" s="40" t="n">
        <v>45880</v>
      </c>
      <c r="C1613" s="39" t="s">
        <v>305</v>
      </c>
      <c r="D1613" s="39" t="n">
        <v>1</v>
      </c>
      <c r="E1613" s="41" t="n">
        <v>346.66</v>
      </c>
      <c r="F1613" s="39" t="s">
        <v>105</v>
      </c>
      <c r="G1613" s="39" t="str">
        <f aca="false">UPPER(TRIM(C1613))</f>
        <v>P008</v>
      </c>
      <c r="H1613" s="39" t="str">
        <f aca="false">IF(ISNUMBER(MATCH(G1613,Products!$A$5:$A$24,0)),"OK","Mismatch")</f>
        <v>OK</v>
      </c>
      <c r="I1613" s="39" t="str">
        <f aca="false">IF(COUNTIF($A$5:A1613,A1613)&gt;1,"Duplicate","Unique")</f>
        <v>Unique</v>
      </c>
      <c r="J1613" s="39" t="str">
        <f aca="false">IF(I1613="Duplicate","Remove",IF(H1613="Mismatch","Exclude","Keep"))</f>
        <v>Keep</v>
      </c>
    </row>
    <row r="1614" customFormat="false" ht="15" hidden="false" customHeight="false" outlineLevel="0" collapsed="false">
      <c r="A1614" s="39" t="s">
        <v>1696</v>
      </c>
      <c r="B1614" s="40" t="n">
        <v>45881</v>
      </c>
      <c r="C1614" s="39" t="s">
        <v>183</v>
      </c>
      <c r="D1614" s="39" t="n">
        <v>4</v>
      </c>
      <c r="E1614" s="41" t="n">
        <v>176.46</v>
      </c>
      <c r="F1614" s="39" t="s">
        <v>118</v>
      </c>
      <c r="G1614" s="39" t="str">
        <f aca="false">UPPER(TRIM(C1614))</f>
        <v>P007</v>
      </c>
      <c r="H1614" s="39" t="str">
        <f aca="false">IF(ISNUMBER(MATCH(G1614,Products!$A$5:$A$24,0)),"OK","Mismatch")</f>
        <v>OK</v>
      </c>
      <c r="I1614" s="39" t="str">
        <f aca="false">IF(COUNTIF($A$5:A1614,A1614)&gt;1,"Duplicate","Unique")</f>
        <v>Unique</v>
      </c>
      <c r="J1614" s="39" t="str">
        <f aca="false">IF(I1614="Duplicate","Remove",IF(H1614="Mismatch","Exclude","Keep"))</f>
        <v>Keep</v>
      </c>
    </row>
    <row r="1615" customFormat="false" ht="15" hidden="false" customHeight="false" outlineLevel="0" collapsed="false">
      <c r="A1615" s="39" t="s">
        <v>1697</v>
      </c>
      <c r="B1615" s="40" t="n">
        <v>45881</v>
      </c>
      <c r="C1615" s="39" t="s">
        <v>153</v>
      </c>
      <c r="D1615" s="39" t="n">
        <v>2</v>
      </c>
      <c r="E1615" s="41" t="n">
        <v>171.96</v>
      </c>
      <c r="F1615" s="39" t="s">
        <v>115</v>
      </c>
      <c r="G1615" s="39" t="str">
        <f aca="false">UPPER(TRIM(C1615))</f>
        <v>P010</v>
      </c>
      <c r="H1615" s="39" t="str">
        <f aca="false">IF(ISNUMBER(MATCH(G1615,Products!$A$5:$A$24,0)),"OK","Mismatch")</f>
        <v>OK</v>
      </c>
      <c r="I1615" s="39" t="str">
        <f aca="false">IF(COUNTIF($A$5:A1615,A1615)&gt;1,"Duplicate","Unique")</f>
        <v>Unique</v>
      </c>
      <c r="J1615" s="39" t="str">
        <f aca="false">IF(I1615="Duplicate","Remove",IF(H1615="Mismatch","Exclude","Keep"))</f>
        <v>Keep</v>
      </c>
    </row>
    <row r="1616" customFormat="false" ht="15" hidden="false" customHeight="false" outlineLevel="0" collapsed="false">
      <c r="A1616" s="39" t="s">
        <v>1698</v>
      </c>
      <c r="B1616" s="40" t="n">
        <v>45881</v>
      </c>
      <c r="C1616" s="39" t="s">
        <v>162</v>
      </c>
      <c r="D1616" s="39" t="n">
        <v>4</v>
      </c>
      <c r="E1616" s="41" t="n">
        <v>64.39</v>
      </c>
      <c r="F1616" s="39" t="s">
        <v>118</v>
      </c>
      <c r="G1616" s="39" t="str">
        <f aca="false">UPPER(TRIM(C1616))</f>
        <v>P017</v>
      </c>
      <c r="H1616" s="39" t="str">
        <f aca="false">IF(ISNUMBER(MATCH(G1616,Products!$A$5:$A$24,0)),"OK","Mismatch")</f>
        <v>OK</v>
      </c>
      <c r="I1616" s="39" t="str">
        <f aca="false">IF(COUNTIF($A$5:A1616,A1616)&gt;1,"Duplicate","Unique")</f>
        <v>Unique</v>
      </c>
      <c r="J1616" s="39" t="str">
        <f aca="false">IF(I1616="Duplicate","Remove",IF(H1616="Mismatch","Exclude","Keep"))</f>
        <v>Keep</v>
      </c>
    </row>
    <row r="1617" customFormat="false" ht="15" hidden="false" customHeight="false" outlineLevel="0" collapsed="false">
      <c r="A1617" s="39" t="s">
        <v>1699</v>
      </c>
      <c r="B1617" s="40" t="n">
        <v>45881</v>
      </c>
      <c r="C1617" s="39" t="s">
        <v>133</v>
      </c>
      <c r="D1617" s="39" t="n">
        <v>1</v>
      </c>
      <c r="E1617" s="41" t="n">
        <v>8.62</v>
      </c>
      <c r="F1617" s="39" t="s">
        <v>105</v>
      </c>
      <c r="G1617" s="39" t="str">
        <f aca="false">UPPER(TRIM(C1617))</f>
        <v>P019</v>
      </c>
      <c r="H1617" s="39" t="str">
        <f aca="false">IF(ISNUMBER(MATCH(G1617,Products!$A$5:$A$24,0)),"OK","Mismatch")</f>
        <v>OK</v>
      </c>
      <c r="I1617" s="39" t="str">
        <f aca="false">IF(COUNTIF($A$5:A1617,A1617)&gt;1,"Duplicate","Unique")</f>
        <v>Unique</v>
      </c>
      <c r="J1617" s="39" t="str">
        <f aca="false">IF(I1617="Duplicate","Remove",IF(H1617="Mismatch","Exclude","Keep"))</f>
        <v>Keep</v>
      </c>
    </row>
    <row r="1618" customFormat="false" ht="15" hidden="false" customHeight="false" outlineLevel="0" collapsed="false">
      <c r="A1618" s="39" t="s">
        <v>1700</v>
      </c>
      <c r="B1618" s="40" t="n">
        <v>45881</v>
      </c>
      <c r="C1618" s="39" t="s">
        <v>114</v>
      </c>
      <c r="D1618" s="39" t="n">
        <v>2</v>
      </c>
      <c r="E1618" s="41" t="n">
        <v>5.56</v>
      </c>
      <c r="F1618" s="39" t="s">
        <v>115</v>
      </c>
      <c r="G1618" s="39" t="str">
        <f aca="false">UPPER(TRIM(C1618))</f>
        <v>P012</v>
      </c>
      <c r="H1618" s="39" t="str">
        <f aca="false">IF(ISNUMBER(MATCH(G1618,Products!$A$5:$A$24,0)),"OK","Mismatch")</f>
        <v>OK</v>
      </c>
      <c r="I1618" s="39" t="str">
        <f aca="false">IF(COUNTIF($A$5:A1618,A1618)&gt;1,"Duplicate","Unique")</f>
        <v>Unique</v>
      </c>
      <c r="J1618" s="39" t="str">
        <f aca="false">IF(I1618="Duplicate","Remove",IF(H1618="Mismatch","Exclude","Keep"))</f>
        <v>Keep</v>
      </c>
    </row>
    <row r="1619" customFormat="false" ht="15" hidden="false" customHeight="false" outlineLevel="0" collapsed="false">
      <c r="A1619" s="39" t="s">
        <v>1701</v>
      </c>
      <c r="B1619" s="40" t="n">
        <v>45881</v>
      </c>
      <c r="C1619" s="39" t="s">
        <v>177</v>
      </c>
      <c r="D1619" s="39" t="n">
        <v>4</v>
      </c>
      <c r="E1619" s="41" t="n">
        <v>42.53</v>
      </c>
      <c r="F1619" s="39" t="s">
        <v>118</v>
      </c>
      <c r="G1619" s="39" t="str">
        <f aca="false">UPPER(TRIM(C1619))</f>
        <v>P014</v>
      </c>
      <c r="H1619" s="39" t="str">
        <f aca="false">IF(ISNUMBER(MATCH(G1619,Products!$A$5:$A$24,0)),"OK","Mismatch")</f>
        <v>OK</v>
      </c>
      <c r="I1619" s="39" t="str">
        <f aca="false">IF(COUNTIF($A$5:A1619,A1619)&gt;1,"Duplicate","Unique")</f>
        <v>Unique</v>
      </c>
      <c r="J1619" s="39" t="str">
        <f aca="false">IF(I1619="Duplicate","Remove",IF(H1619="Mismatch","Exclude","Keep"))</f>
        <v>Keep</v>
      </c>
    </row>
    <row r="1620" customFormat="false" ht="15" hidden="false" customHeight="false" outlineLevel="0" collapsed="false">
      <c r="A1620" s="39" t="s">
        <v>1702</v>
      </c>
      <c r="B1620" s="40" t="n">
        <v>45881</v>
      </c>
      <c r="C1620" s="39" t="s">
        <v>112</v>
      </c>
      <c r="D1620" s="39" t="n">
        <v>3</v>
      </c>
      <c r="E1620" s="41" t="n">
        <v>53.45</v>
      </c>
      <c r="F1620" s="39" t="s">
        <v>118</v>
      </c>
      <c r="G1620" s="39" t="str">
        <f aca="false">UPPER(TRIM(C1620))</f>
        <v>P005</v>
      </c>
      <c r="H1620" s="39" t="str">
        <f aca="false">IF(ISNUMBER(MATCH(G1620,Products!$A$5:$A$24,0)),"OK","Mismatch")</f>
        <v>OK</v>
      </c>
      <c r="I1620" s="39" t="str">
        <f aca="false">IF(COUNTIF($A$5:A1620,A1620)&gt;1,"Duplicate","Unique")</f>
        <v>Unique</v>
      </c>
      <c r="J1620" s="39" t="str">
        <f aca="false">IF(I1620="Duplicate","Remove",IF(H1620="Mismatch","Exclude","Keep"))</f>
        <v>Keep</v>
      </c>
    </row>
    <row r="1621" customFormat="false" ht="15" hidden="false" customHeight="false" outlineLevel="0" collapsed="false">
      <c r="A1621" s="39" t="s">
        <v>1703</v>
      </c>
      <c r="B1621" s="40" t="n">
        <v>45881</v>
      </c>
      <c r="C1621" s="39" t="s">
        <v>107</v>
      </c>
      <c r="D1621" s="39" t="n">
        <v>6</v>
      </c>
      <c r="E1621" s="41" t="n">
        <v>34.86</v>
      </c>
      <c r="F1621" s="39" t="s">
        <v>108</v>
      </c>
      <c r="G1621" s="39" t="str">
        <f aca="false">UPPER(TRIM(C1621))</f>
        <v>P003</v>
      </c>
      <c r="H1621" s="39" t="str">
        <f aca="false">IF(ISNUMBER(MATCH(G1621,Products!$A$5:$A$24,0)),"OK","Mismatch")</f>
        <v>OK</v>
      </c>
      <c r="I1621" s="39" t="str">
        <f aca="false">IF(COUNTIF($A$5:A1621,A1621)&gt;1,"Duplicate","Unique")</f>
        <v>Unique</v>
      </c>
      <c r="J1621" s="39" t="str">
        <f aca="false">IF(I1621="Duplicate","Remove",IF(H1621="Mismatch","Exclude","Keep"))</f>
        <v>Keep</v>
      </c>
    </row>
    <row r="1622" customFormat="false" ht="15" hidden="false" customHeight="false" outlineLevel="0" collapsed="false">
      <c r="A1622" s="39" t="s">
        <v>1704</v>
      </c>
      <c r="B1622" s="40" t="n">
        <v>45881</v>
      </c>
      <c r="C1622" s="39" t="s">
        <v>3178</v>
      </c>
      <c r="D1622" s="39" t="n">
        <v>1</v>
      </c>
      <c r="E1622" s="41" t="n">
        <v>28.92</v>
      </c>
      <c r="F1622" s="39" t="s">
        <v>108</v>
      </c>
      <c r="G1622" s="39" t="str">
        <f aca="false">UPPER(TRIM(C1622))</f>
        <v>P004</v>
      </c>
      <c r="H1622" s="39" t="str">
        <f aca="false">IF(ISNUMBER(MATCH(G1622,Products!$A$5:$A$24,0)),"OK","Mismatch")</f>
        <v>OK</v>
      </c>
      <c r="I1622" s="39" t="str">
        <f aca="false">IF(COUNTIF($A$5:A1622,A1622)&gt;1,"Duplicate","Unique")</f>
        <v>Unique</v>
      </c>
      <c r="J1622" s="39" t="str">
        <f aca="false">IF(I1622="Duplicate","Remove",IF(H1622="Mismatch","Exclude","Keep"))</f>
        <v>Keep</v>
      </c>
    </row>
    <row r="1623" customFormat="false" ht="15" hidden="false" customHeight="false" outlineLevel="0" collapsed="false">
      <c r="A1623" s="39" t="s">
        <v>1705</v>
      </c>
      <c r="B1623" s="40" t="n">
        <v>45882</v>
      </c>
      <c r="C1623" s="39" t="s">
        <v>110</v>
      </c>
      <c r="D1623" s="39" t="n">
        <v>1</v>
      </c>
      <c r="E1623" s="41" t="n">
        <v>13.46</v>
      </c>
      <c r="F1623" s="39" t="s">
        <v>105</v>
      </c>
      <c r="G1623" s="39" t="str">
        <f aca="false">UPPER(TRIM(C1623))</f>
        <v>P016</v>
      </c>
      <c r="H1623" s="39" t="str">
        <f aca="false">IF(ISNUMBER(MATCH(G1623,Products!$A$5:$A$24,0)),"OK","Mismatch")</f>
        <v>OK</v>
      </c>
      <c r="I1623" s="39" t="str">
        <f aca="false">IF(COUNTIF($A$5:A1623,A1623)&gt;1,"Duplicate","Unique")</f>
        <v>Unique</v>
      </c>
      <c r="J1623" s="39" t="str">
        <f aca="false">IF(I1623="Duplicate","Remove",IF(H1623="Mismatch","Exclude","Keep"))</f>
        <v>Keep</v>
      </c>
    </row>
    <row r="1624" customFormat="false" ht="15" hidden="false" customHeight="false" outlineLevel="0" collapsed="false">
      <c r="A1624" s="39" t="s">
        <v>1706</v>
      </c>
      <c r="B1624" s="40" t="n">
        <v>45882</v>
      </c>
      <c r="C1624" s="39" t="s">
        <v>110</v>
      </c>
      <c r="D1624" s="39" t="n">
        <v>6</v>
      </c>
      <c r="E1624" s="41" t="n">
        <v>13.78</v>
      </c>
      <c r="F1624" s="39" t="s">
        <v>115</v>
      </c>
      <c r="G1624" s="39" t="str">
        <f aca="false">UPPER(TRIM(C1624))</f>
        <v>P016</v>
      </c>
      <c r="H1624" s="39" t="str">
        <f aca="false">IF(ISNUMBER(MATCH(G1624,Products!$A$5:$A$24,0)),"OK","Mismatch")</f>
        <v>OK</v>
      </c>
      <c r="I1624" s="39" t="str">
        <f aca="false">IF(COUNTIF($A$5:A1624,A1624)&gt;1,"Duplicate","Unique")</f>
        <v>Unique</v>
      </c>
      <c r="J1624" s="39" t="str">
        <f aca="false">IF(I1624="Duplicate","Remove",IF(H1624="Mismatch","Exclude","Keep"))</f>
        <v>Keep</v>
      </c>
    </row>
    <row r="1625" customFormat="false" ht="15" hidden="false" customHeight="false" outlineLevel="0" collapsed="false">
      <c r="A1625" s="39" t="s">
        <v>1707</v>
      </c>
      <c r="B1625" s="40" t="n">
        <v>45882</v>
      </c>
      <c r="C1625" s="39" t="s">
        <v>183</v>
      </c>
      <c r="D1625" s="39" t="n">
        <v>2</v>
      </c>
      <c r="E1625" s="41" t="n">
        <v>180.06</v>
      </c>
      <c r="F1625" s="39" t="s">
        <v>105</v>
      </c>
      <c r="G1625" s="39" t="str">
        <f aca="false">UPPER(TRIM(C1625))</f>
        <v>P007</v>
      </c>
      <c r="H1625" s="39" t="str">
        <f aca="false">IF(ISNUMBER(MATCH(G1625,Products!$A$5:$A$24,0)),"OK","Mismatch")</f>
        <v>OK</v>
      </c>
      <c r="I1625" s="39" t="str">
        <f aca="false">IF(COUNTIF($A$5:A1625,A1625)&gt;1,"Duplicate","Unique")</f>
        <v>Unique</v>
      </c>
      <c r="J1625" s="39" t="str">
        <f aca="false">IF(I1625="Duplicate","Remove",IF(H1625="Mismatch","Exclude","Keep"))</f>
        <v>Keep</v>
      </c>
    </row>
    <row r="1626" customFormat="false" ht="15" hidden="false" customHeight="false" outlineLevel="0" collapsed="false">
      <c r="A1626" s="39" t="s">
        <v>1708</v>
      </c>
      <c r="B1626" s="40" t="n">
        <v>45882</v>
      </c>
      <c r="C1626" s="39" t="s">
        <v>139</v>
      </c>
      <c r="D1626" s="39" t="n">
        <v>6</v>
      </c>
      <c r="E1626" s="41" t="n">
        <v>119.97</v>
      </c>
      <c r="F1626" s="39" t="s">
        <v>118</v>
      </c>
      <c r="G1626" s="39" t="str">
        <f aca="false">UPPER(TRIM(C1626))</f>
        <v>P006</v>
      </c>
      <c r="H1626" s="39" t="str">
        <f aca="false">IF(ISNUMBER(MATCH(G1626,Products!$A$5:$A$24,0)),"OK","Mismatch")</f>
        <v>OK</v>
      </c>
      <c r="I1626" s="39" t="str">
        <f aca="false">IF(COUNTIF($A$5:A1626,A1626)&gt;1,"Duplicate","Unique")</f>
        <v>Unique</v>
      </c>
      <c r="J1626" s="39" t="str">
        <f aca="false">IF(I1626="Duplicate","Remove",IF(H1626="Mismatch","Exclude","Keep"))</f>
        <v>Keep</v>
      </c>
    </row>
    <row r="1627" customFormat="false" ht="15" hidden="false" customHeight="false" outlineLevel="0" collapsed="false">
      <c r="A1627" s="39" t="s">
        <v>1709</v>
      </c>
      <c r="B1627" s="40" t="n">
        <v>45882</v>
      </c>
      <c r="C1627" s="39" t="s">
        <v>162</v>
      </c>
      <c r="D1627" s="39" t="n">
        <v>2</v>
      </c>
      <c r="E1627" s="41" t="n">
        <v>63.7</v>
      </c>
      <c r="F1627" s="39" t="s">
        <v>105</v>
      </c>
      <c r="G1627" s="39" t="str">
        <f aca="false">UPPER(TRIM(C1627))</f>
        <v>P017</v>
      </c>
      <c r="H1627" s="39" t="str">
        <f aca="false">IF(ISNUMBER(MATCH(G1627,Products!$A$5:$A$24,0)),"OK","Mismatch")</f>
        <v>OK</v>
      </c>
      <c r="I1627" s="39" t="str">
        <f aca="false">IF(COUNTIF($A$5:A1627,A1627)&gt;1,"Duplicate","Unique")</f>
        <v>Unique</v>
      </c>
      <c r="J1627" s="39" t="str">
        <f aca="false">IF(I1627="Duplicate","Remove",IF(H1627="Mismatch","Exclude","Keep"))</f>
        <v>Keep</v>
      </c>
    </row>
    <row r="1628" customFormat="false" ht="15" hidden="false" customHeight="false" outlineLevel="0" collapsed="false">
      <c r="A1628" s="39" t="s">
        <v>3179</v>
      </c>
      <c r="B1628" s="40" t="n">
        <v>45882</v>
      </c>
      <c r="C1628" s="39" t="s">
        <v>3173</v>
      </c>
      <c r="D1628" s="39" t="n">
        <v>1</v>
      </c>
      <c r="E1628" s="41" t="n">
        <v>8.34</v>
      </c>
      <c r="F1628" s="39" t="s">
        <v>105</v>
      </c>
      <c r="G1628" s="39" t="str">
        <f aca="false">UPPER(TRIM(C1628))</f>
        <v>P904</v>
      </c>
      <c r="H1628" s="39" t="str">
        <f aca="false">IF(ISNUMBER(MATCH(G1628,Products!$A$5:$A$24,0)),"OK","Mismatch")</f>
        <v>Mismatch</v>
      </c>
      <c r="I1628" s="39" t="str">
        <f aca="false">IF(COUNTIF($A$5:A1628,A1628)&gt;1,"Duplicate","Unique")</f>
        <v>Unique</v>
      </c>
      <c r="J1628" s="39" t="str">
        <f aca="false">IF(I1628="Duplicate","Remove",IF(H1628="Mismatch","Exclude","Keep"))</f>
        <v>Exclude</v>
      </c>
    </row>
    <row r="1629" customFormat="false" ht="15" hidden="false" customHeight="false" outlineLevel="0" collapsed="false">
      <c r="A1629" s="39" t="s">
        <v>1710</v>
      </c>
      <c r="B1629" s="40" t="n">
        <v>45882</v>
      </c>
      <c r="C1629" s="39" t="s">
        <v>128</v>
      </c>
      <c r="D1629" s="39" t="n">
        <v>2</v>
      </c>
      <c r="E1629" s="41" t="n">
        <v>37.98</v>
      </c>
      <c r="F1629" s="39" t="s">
        <v>115</v>
      </c>
      <c r="G1629" s="39" t="str">
        <f aca="false">UPPER(TRIM(C1629))</f>
        <v>P020</v>
      </c>
      <c r="H1629" s="39" t="str">
        <f aca="false">IF(ISNUMBER(MATCH(G1629,Products!$A$5:$A$24,0)),"OK","Mismatch")</f>
        <v>OK</v>
      </c>
      <c r="I1629" s="39" t="str">
        <f aca="false">IF(COUNTIF($A$5:A1629,A1629)&gt;1,"Duplicate","Unique")</f>
        <v>Unique</v>
      </c>
      <c r="J1629" s="39" t="str">
        <f aca="false">IF(I1629="Duplicate","Remove",IF(H1629="Mismatch","Exclude","Keep"))</f>
        <v>Keep</v>
      </c>
    </row>
    <row r="1630" customFormat="false" ht="15" hidden="false" customHeight="false" outlineLevel="0" collapsed="false">
      <c r="A1630" s="39" t="s">
        <v>1711</v>
      </c>
      <c r="B1630" s="40" t="n">
        <v>45882</v>
      </c>
      <c r="C1630" s="39" t="s">
        <v>133</v>
      </c>
      <c r="D1630" s="39" t="n">
        <v>1</v>
      </c>
      <c r="E1630" s="41" t="n">
        <v>8.29</v>
      </c>
      <c r="F1630" s="39" t="s">
        <v>115</v>
      </c>
      <c r="G1630" s="39" t="str">
        <f aca="false">UPPER(TRIM(C1630))</f>
        <v>P019</v>
      </c>
      <c r="H1630" s="39" t="str">
        <f aca="false">IF(ISNUMBER(MATCH(G1630,Products!$A$5:$A$24,0)),"OK","Mismatch")</f>
        <v>OK</v>
      </c>
      <c r="I1630" s="39" t="str">
        <f aca="false">IF(COUNTIF($A$5:A1630,A1630)&gt;1,"Duplicate","Unique")</f>
        <v>Unique</v>
      </c>
      <c r="J1630" s="39" t="str">
        <f aca="false">IF(I1630="Duplicate","Remove",IF(H1630="Mismatch","Exclude","Keep"))</f>
        <v>Keep</v>
      </c>
    </row>
    <row r="1631" customFormat="false" ht="15" hidden="false" customHeight="false" outlineLevel="0" collapsed="false">
      <c r="A1631" s="39" t="s">
        <v>1712</v>
      </c>
      <c r="B1631" s="40" t="n">
        <v>45882</v>
      </c>
      <c r="C1631" s="39" t="s">
        <v>3180</v>
      </c>
      <c r="D1631" s="39" t="n">
        <v>3</v>
      </c>
      <c r="E1631" s="41" t="n">
        <v>5.92</v>
      </c>
      <c r="F1631" s="39" t="s">
        <v>105</v>
      </c>
      <c r="G1631" s="39" t="str">
        <f aca="false">UPPER(TRIM(C1631))</f>
        <v>P012</v>
      </c>
      <c r="H1631" s="39" t="str">
        <f aca="false">IF(ISNUMBER(MATCH(G1631,Products!$A$5:$A$24,0)),"OK","Mismatch")</f>
        <v>OK</v>
      </c>
      <c r="I1631" s="39" t="str">
        <f aca="false">IF(COUNTIF($A$5:A1631,A1631)&gt;1,"Duplicate","Unique")</f>
        <v>Unique</v>
      </c>
      <c r="J1631" s="39" t="str">
        <f aca="false">IF(I1631="Duplicate","Remove",IF(H1631="Mismatch","Exclude","Keep"))</f>
        <v>Keep</v>
      </c>
    </row>
    <row r="1632" customFormat="false" ht="15" hidden="false" customHeight="false" outlineLevel="0" collapsed="false">
      <c r="A1632" s="39" t="s">
        <v>1713</v>
      </c>
      <c r="B1632" s="40" t="n">
        <v>45882</v>
      </c>
      <c r="C1632" s="39" t="s">
        <v>104</v>
      </c>
      <c r="D1632" s="39" t="n">
        <v>1</v>
      </c>
      <c r="E1632" s="41" t="n">
        <v>14.95</v>
      </c>
      <c r="F1632" s="39" t="s">
        <v>108</v>
      </c>
      <c r="G1632" s="39" t="str">
        <f aca="false">UPPER(TRIM(C1632))</f>
        <v>P015</v>
      </c>
      <c r="H1632" s="39" t="str">
        <f aca="false">IF(ISNUMBER(MATCH(G1632,Products!$A$5:$A$24,0)),"OK","Mismatch")</f>
        <v>OK</v>
      </c>
      <c r="I1632" s="39" t="str">
        <f aca="false">IF(COUNTIF($A$5:A1632,A1632)&gt;1,"Duplicate","Unique")</f>
        <v>Unique</v>
      </c>
      <c r="J1632" s="39" t="str">
        <f aca="false">IF(I1632="Duplicate","Remove",IF(H1632="Mismatch","Exclude","Keep"))</f>
        <v>Keep</v>
      </c>
    </row>
    <row r="1633" customFormat="false" ht="15" hidden="false" customHeight="false" outlineLevel="0" collapsed="false">
      <c r="A1633" s="39" t="s">
        <v>1714</v>
      </c>
      <c r="B1633" s="40" t="n">
        <v>45882</v>
      </c>
      <c r="C1633" s="39" t="s">
        <v>114</v>
      </c>
      <c r="D1633" s="39" t="n">
        <v>1</v>
      </c>
      <c r="E1633" s="41" t="n">
        <v>5.75</v>
      </c>
      <c r="F1633" s="39" t="s">
        <v>118</v>
      </c>
      <c r="G1633" s="39" t="str">
        <f aca="false">UPPER(TRIM(C1633))</f>
        <v>P012</v>
      </c>
      <c r="H1633" s="39" t="str">
        <f aca="false">IF(ISNUMBER(MATCH(G1633,Products!$A$5:$A$24,0)),"OK","Mismatch")</f>
        <v>OK</v>
      </c>
      <c r="I1633" s="39" t="str">
        <f aca="false">IF(COUNTIF($A$5:A1633,A1633)&gt;1,"Duplicate","Unique")</f>
        <v>Unique</v>
      </c>
      <c r="J1633" s="39" t="str">
        <f aca="false">IF(I1633="Duplicate","Remove",IF(H1633="Mismatch","Exclude","Keep"))</f>
        <v>Keep</v>
      </c>
    </row>
    <row r="1634" customFormat="false" ht="15" hidden="false" customHeight="false" outlineLevel="0" collapsed="false">
      <c r="A1634" s="39" t="s">
        <v>1715</v>
      </c>
      <c r="B1634" s="40" t="n">
        <v>45882</v>
      </c>
      <c r="C1634" s="39" t="s">
        <v>117</v>
      </c>
      <c r="D1634" s="39" t="n">
        <v>2</v>
      </c>
      <c r="E1634" s="41" t="n">
        <v>31.93</v>
      </c>
      <c r="F1634" s="39" t="s">
        <v>105</v>
      </c>
      <c r="G1634" s="39" t="str">
        <f aca="false">UPPER(TRIM(C1634))</f>
        <v>P009</v>
      </c>
      <c r="H1634" s="39" t="str">
        <f aca="false">IF(ISNUMBER(MATCH(G1634,Products!$A$5:$A$24,0)),"OK","Mismatch")</f>
        <v>OK</v>
      </c>
      <c r="I1634" s="39" t="str">
        <f aca="false">IF(COUNTIF($A$5:A1634,A1634)&gt;1,"Duplicate","Unique")</f>
        <v>Unique</v>
      </c>
      <c r="J1634" s="39" t="str">
        <f aca="false">IF(I1634="Duplicate","Remove",IF(H1634="Mismatch","Exclude","Keep"))</f>
        <v>Keep</v>
      </c>
    </row>
    <row r="1635" customFormat="false" ht="15" hidden="false" customHeight="false" outlineLevel="0" collapsed="false">
      <c r="A1635" s="39" t="s">
        <v>1716</v>
      </c>
      <c r="B1635" s="40" t="n">
        <v>45882</v>
      </c>
      <c r="C1635" s="39" t="s">
        <v>130</v>
      </c>
      <c r="D1635" s="39" t="n">
        <v>2</v>
      </c>
      <c r="E1635" s="41" t="n">
        <v>8.83</v>
      </c>
      <c r="F1635" s="39" t="s">
        <v>105</v>
      </c>
      <c r="G1635" s="39" t="str">
        <f aca="false">UPPER(TRIM(C1635))</f>
        <v>P011</v>
      </c>
      <c r="H1635" s="39" t="str">
        <f aca="false">IF(ISNUMBER(MATCH(G1635,Products!$A$5:$A$24,0)),"OK","Mismatch")</f>
        <v>OK</v>
      </c>
      <c r="I1635" s="39" t="str">
        <f aca="false">IF(COUNTIF($A$5:A1635,A1635)&gt;1,"Duplicate","Unique")</f>
        <v>Unique</v>
      </c>
      <c r="J1635" s="39" t="str">
        <f aca="false">IF(I1635="Duplicate","Remove",IF(H1635="Mismatch","Exclude","Keep"))</f>
        <v>Keep</v>
      </c>
    </row>
    <row r="1636" customFormat="false" ht="15" hidden="false" customHeight="false" outlineLevel="0" collapsed="false">
      <c r="A1636" s="39" t="s">
        <v>1717</v>
      </c>
      <c r="B1636" s="40" t="n">
        <v>45882</v>
      </c>
      <c r="C1636" s="39" t="s">
        <v>104</v>
      </c>
      <c r="D1636" s="39" t="n">
        <v>1</v>
      </c>
      <c r="E1636" s="41" t="n">
        <v>14.87</v>
      </c>
      <c r="F1636" s="39" t="s">
        <v>118</v>
      </c>
      <c r="G1636" s="39" t="str">
        <f aca="false">UPPER(TRIM(C1636))</f>
        <v>P015</v>
      </c>
      <c r="H1636" s="39" t="str">
        <f aca="false">IF(ISNUMBER(MATCH(G1636,Products!$A$5:$A$24,0)),"OK","Mismatch")</f>
        <v>OK</v>
      </c>
      <c r="I1636" s="39" t="str">
        <f aca="false">IF(COUNTIF($A$5:A1636,A1636)&gt;1,"Duplicate","Unique")</f>
        <v>Unique</v>
      </c>
      <c r="J1636" s="39" t="str">
        <f aca="false">IF(I1636="Duplicate","Remove",IF(H1636="Mismatch","Exclude","Keep"))</f>
        <v>Keep</v>
      </c>
    </row>
    <row r="1637" customFormat="false" ht="15" hidden="false" customHeight="false" outlineLevel="0" collapsed="false">
      <c r="A1637" s="39" t="s">
        <v>1718</v>
      </c>
      <c r="B1637" s="40" t="n">
        <v>45882</v>
      </c>
      <c r="C1637" s="39" t="s">
        <v>133</v>
      </c>
      <c r="D1637" s="39" t="n">
        <v>1</v>
      </c>
      <c r="E1637" s="41" t="n">
        <v>8.31</v>
      </c>
      <c r="F1637" s="39" t="s">
        <v>105</v>
      </c>
      <c r="G1637" s="39" t="str">
        <f aca="false">UPPER(TRIM(C1637))</f>
        <v>P019</v>
      </c>
      <c r="H1637" s="39" t="str">
        <f aca="false">IF(ISNUMBER(MATCH(G1637,Products!$A$5:$A$24,0)),"OK","Mismatch")</f>
        <v>OK</v>
      </c>
      <c r="I1637" s="39" t="str">
        <f aca="false">IF(COUNTIF($A$5:A1637,A1637)&gt;1,"Duplicate","Unique")</f>
        <v>Unique</v>
      </c>
      <c r="J1637" s="39" t="str">
        <f aca="false">IF(I1637="Duplicate","Remove",IF(H1637="Mismatch","Exclude","Keep"))</f>
        <v>Keep</v>
      </c>
    </row>
    <row r="1638" customFormat="false" ht="15" hidden="false" customHeight="false" outlineLevel="0" collapsed="false">
      <c r="A1638" s="39" t="s">
        <v>1719</v>
      </c>
      <c r="B1638" s="40" t="n">
        <v>45882</v>
      </c>
      <c r="C1638" s="39" t="s">
        <v>114</v>
      </c>
      <c r="D1638" s="39" t="n">
        <v>4</v>
      </c>
      <c r="E1638" s="41" t="n">
        <v>5.76</v>
      </c>
      <c r="F1638" s="39" t="s">
        <v>108</v>
      </c>
      <c r="G1638" s="39" t="str">
        <f aca="false">UPPER(TRIM(C1638))</f>
        <v>P012</v>
      </c>
      <c r="H1638" s="39" t="str">
        <f aca="false">IF(ISNUMBER(MATCH(G1638,Products!$A$5:$A$24,0)),"OK","Mismatch")</f>
        <v>OK</v>
      </c>
      <c r="I1638" s="39" t="str">
        <f aca="false">IF(COUNTIF($A$5:A1638,A1638)&gt;1,"Duplicate","Unique")</f>
        <v>Unique</v>
      </c>
      <c r="J1638" s="39" t="str">
        <f aca="false">IF(I1638="Duplicate","Remove",IF(H1638="Mismatch","Exclude","Keep"))</f>
        <v>Keep</v>
      </c>
    </row>
    <row r="1639" customFormat="false" ht="15" hidden="false" customHeight="false" outlineLevel="0" collapsed="false">
      <c r="A1639" s="39" t="s">
        <v>1720</v>
      </c>
      <c r="B1639" s="40" t="n">
        <v>45882</v>
      </c>
      <c r="C1639" s="39" t="s">
        <v>114</v>
      </c>
      <c r="D1639" s="39" t="n">
        <v>1</v>
      </c>
      <c r="E1639" s="41" t="n">
        <v>5.6</v>
      </c>
      <c r="F1639" s="39" t="s">
        <v>115</v>
      </c>
      <c r="G1639" s="39" t="str">
        <f aca="false">UPPER(TRIM(C1639))</f>
        <v>P012</v>
      </c>
      <c r="H1639" s="39" t="str">
        <f aca="false">IF(ISNUMBER(MATCH(G1639,Products!$A$5:$A$24,0)),"OK","Mismatch")</f>
        <v>OK</v>
      </c>
      <c r="I1639" s="39" t="str">
        <f aca="false">IF(COUNTIF($A$5:A1639,A1639)&gt;1,"Duplicate","Unique")</f>
        <v>Unique</v>
      </c>
      <c r="J1639" s="39" t="str">
        <f aca="false">IF(I1639="Duplicate","Remove",IF(H1639="Mismatch","Exclude","Keep"))</f>
        <v>Keep</v>
      </c>
    </row>
    <row r="1640" customFormat="false" ht="15" hidden="false" customHeight="false" outlineLevel="0" collapsed="false">
      <c r="A1640" s="39" t="s">
        <v>1721</v>
      </c>
      <c r="B1640" s="40" t="n">
        <v>45883</v>
      </c>
      <c r="C1640" s="39" t="s">
        <v>126</v>
      </c>
      <c r="D1640" s="39" t="n">
        <v>1</v>
      </c>
      <c r="E1640" s="41" t="n">
        <v>24.47</v>
      </c>
      <c r="F1640" s="39" t="s">
        <v>118</v>
      </c>
      <c r="G1640" s="39" t="str">
        <f aca="false">UPPER(TRIM(C1640))</f>
        <v>P001</v>
      </c>
      <c r="H1640" s="39" t="str">
        <f aca="false">IF(ISNUMBER(MATCH(G1640,Products!$A$5:$A$24,0)),"OK","Mismatch")</f>
        <v>OK</v>
      </c>
      <c r="I1640" s="39" t="str">
        <f aca="false">IF(COUNTIF($A$5:A1640,A1640)&gt;1,"Duplicate","Unique")</f>
        <v>Unique</v>
      </c>
      <c r="J1640" s="39" t="str">
        <f aca="false">IF(I1640="Duplicate","Remove",IF(H1640="Mismatch","Exclude","Keep"))</f>
        <v>Keep</v>
      </c>
    </row>
    <row r="1641" customFormat="false" ht="15" hidden="false" customHeight="false" outlineLevel="0" collapsed="false">
      <c r="A1641" s="39" t="s">
        <v>1722</v>
      </c>
      <c r="B1641" s="40" t="n">
        <v>45883</v>
      </c>
      <c r="C1641" s="39" t="s">
        <v>107</v>
      </c>
      <c r="D1641" s="39" t="n">
        <v>2</v>
      </c>
      <c r="E1641" s="41" t="n">
        <v>34.54</v>
      </c>
      <c r="F1641" s="39" t="s">
        <v>115</v>
      </c>
      <c r="G1641" s="39" t="str">
        <f aca="false">UPPER(TRIM(C1641))</f>
        <v>P003</v>
      </c>
      <c r="H1641" s="39" t="str">
        <f aca="false">IF(ISNUMBER(MATCH(G1641,Products!$A$5:$A$24,0)),"OK","Mismatch")</f>
        <v>OK</v>
      </c>
      <c r="I1641" s="39" t="str">
        <f aca="false">IF(COUNTIF($A$5:A1641,A1641)&gt;1,"Duplicate","Unique")</f>
        <v>Unique</v>
      </c>
      <c r="J1641" s="39" t="str">
        <f aca="false">IF(I1641="Duplicate","Remove",IF(H1641="Mismatch","Exclude","Keep"))</f>
        <v>Keep</v>
      </c>
    </row>
    <row r="1642" customFormat="false" ht="15" hidden="false" customHeight="false" outlineLevel="0" collapsed="false">
      <c r="A1642" s="39" t="s">
        <v>1723</v>
      </c>
      <c r="B1642" s="40" t="n">
        <v>45883</v>
      </c>
      <c r="C1642" s="39" t="s">
        <v>117</v>
      </c>
      <c r="D1642" s="39" t="n">
        <v>6</v>
      </c>
      <c r="E1642" s="41" t="n">
        <v>31.59</v>
      </c>
      <c r="F1642" s="39" t="s">
        <v>105</v>
      </c>
      <c r="G1642" s="39" t="str">
        <f aca="false">UPPER(TRIM(C1642))</f>
        <v>P009</v>
      </c>
      <c r="H1642" s="39" t="str">
        <f aca="false">IF(ISNUMBER(MATCH(G1642,Products!$A$5:$A$24,0)),"OK","Mismatch")</f>
        <v>OK</v>
      </c>
      <c r="I1642" s="39" t="str">
        <f aca="false">IF(COUNTIF($A$5:A1642,A1642)&gt;1,"Duplicate","Unique")</f>
        <v>Unique</v>
      </c>
      <c r="J1642" s="39" t="str">
        <f aca="false">IF(I1642="Duplicate","Remove",IF(H1642="Mismatch","Exclude","Keep"))</f>
        <v>Keep</v>
      </c>
    </row>
    <row r="1643" customFormat="false" ht="15" hidden="false" customHeight="false" outlineLevel="0" collapsed="false">
      <c r="A1643" s="39" t="s">
        <v>1724</v>
      </c>
      <c r="B1643" s="40" t="n">
        <v>45883</v>
      </c>
      <c r="C1643" s="39" t="s">
        <v>136</v>
      </c>
      <c r="D1643" s="39" t="n">
        <v>1</v>
      </c>
      <c r="E1643" s="41" t="n">
        <v>76.83</v>
      </c>
      <c r="F1643" s="39" t="s">
        <v>105</v>
      </c>
      <c r="G1643" s="39" t="str">
        <f aca="false">UPPER(TRIM(C1643))</f>
        <v>P002</v>
      </c>
      <c r="H1643" s="39" t="str">
        <f aca="false">IF(ISNUMBER(MATCH(G1643,Products!$A$5:$A$24,0)),"OK","Mismatch")</f>
        <v>OK</v>
      </c>
      <c r="I1643" s="39" t="str">
        <f aca="false">IF(COUNTIF($A$5:A1643,A1643)&gt;1,"Duplicate","Unique")</f>
        <v>Unique</v>
      </c>
      <c r="J1643" s="39" t="str">
        <f aca="false">IF(I1643="Duplicate","Remove",IF(H1643="Mismatch","Exclude","Keep"))</f>
        <v>Keep</v>
      </c>
    </row>
    <row r="1644" customFormat="false" ht="15" hidden="false" customHeight="false" outlineLevel="0" collapsed="false">
      <c r="A1644" s="39" t="s">
        <v>1725</v>
      </c>
      <c r="B1644" s="40" t="n">
        <v>45883</v>
      </c>
      <c r="C1644" s="39" t="s">
        <v>114</v>
      </c>
      <c r="D1644" s="39" t="n">
        <v>1</v>
      </c>
      <c r="E1644" s="41" t="n">
        <v>5.7</v>
      </c>
      <c r="F1644" s="39" t="s">
        <v>105</v>
      </c>
      <c r="G1644" s="39" t="str">
        <f aca="false">UPPER(TRIM(C1644))</f>
        <v>P012</v>
      </c>
      <c r="H1644" s="39" t="str">
        <f aca="false">IF(ISNUMBER(MATCH(G1644,Products!$A$5:$A$24,0)),"OK","Mismatch")</f>
        <v>OK</v>
      </c>
      <c r="I1644" s="39" t="str">
        <f aca="false">IF(COUNTIF($A$5:A1644,A1644)&gt;1,"Duplicate","Unique")</f>
        <v>Unique</v>
      </c>
      <c r="J1644" s="39" t="str">
        <f aca="false">IF(I1644="Duplicate","Remove",IF(H1644="Mismatch","Exclude","Keep"))</f>
        <v>Keep</v>
      </c>
    </row>
    <row r="1645" customFormat="false" ht="15" hidden="false" customHeight="false" outlineLevel="0" collapsed="false">
      <c r="A1645" s="39" t="s">
        <v>1726</v>
      </c>
      <c r="B1645" s="40" t="n">
        <v>45883</v>
      </c>
      <c r="C1645" s="39" t="s">
        <v>126</v>
      </c>
      <c r="D1645" s="39" t="n">
        <v>3</v>
      </c>
      <c r="E1645" s="41" t="n">
        <v>24.7</v>
      </c>
      <c r="F1645" s="39" t="s">
        <v>115</v>
      </c>
      <c r="G1645" s="39" t="str">
        <f aca="false">UPPER(TRIM(C1645))</f>
        <v>P001</v>
      </c>
      <c r="H1645" s="39" t="str">
        <f aca="false">IF(ISNUMBER(MATCH(G1645,Products!$A$5:$A$24,0)),"OK","Mismatch")</f>
        <v>OK</v>
      </c>
      <c r="I1645" s="39" t="str">
        <f aca="false">IF(COUNTIF($A$5:A1645,A1645)&gt;1,"Duplicate","Unique")</f>
        <v>Unique</v>
      </c>
      <c r="J1645" s="39" t="str">
        <f aca="false">IF(I1645="Duplicate","Remove",IF(H1645="Mismatch","Exclude","Keep"))</f>
        <v>Keep</v>
      </c>
    </row>
    <row r="1646" customFormat="false" ht="15" hidden="false" customHeight="false" outlineLevel="0" collapsed="false">
      <c r="A1646" s="39" t="s">
        <v>1727</v>
      </c>
      <c r="B1646" s="40" t="n">
        <v>45883</v>
      </c>
      <c r="C1646" s="39" t="s">
        <v>130</v>
      </c>
      <c r="D1646" s="39" t="n">
        <v>3</v>
      </c>
      <c r="E1646" s="41" t="n">
        <v>8.78</v>
      </c>
      <c r="F1646" s="39" t="s">
        <v>118</v>
      </c>
      <c r="G1646" s="39" t="str">
        <f aca="false">UPPER(TRIM(C1646))</f>
        <v>P011</v>
      </c>
      <c r="H1646" s="39" t="str">
        <f aca="false">IF(ISNUMBER(MATCH(G1646,Products!$A$5:$A$24,0)),"OK","Mismatch")</f>
        <v>OK</v>
      </c>
      <c r="I1646" s="39" t="str">
        <f aca="false">IF(COUNTIF($A$5:A1646,A1646)&gt;1,"Duplicate","Unique")</f>
        <v>Unique</v>
      </c>
      <c r="J1646" s="39" t="str">
        <f aca="false">IF(I1646="Duplicate","Remove",IF(H1646="Mismatch","Exclude","Keep"))</f>
        <v>Keep</v>
      </c>
    </row>
    <row r="1647" customFormat="false" ht="15" hidden="false" customHeight="false" outlineLevel="0" collapsed="false">
      <c r="A1647" s="39" t="s">
        <v>1728</v>
      </c>
      <c r="B1647" s="40" t="n">
        <v>45883</v>
      </c>
      <c r="C1647" s="39" t="s">
        <v>107</v>
      </c>
      <c r="D1647" s="39" t="n">
        <v>2</v>
      </c>
      <c r="E1647" s="41" t="n">
        <v>33.55</v>
      </c>
      <c r="F1647" s="39" t="s">
        <v>108</v>
      </c>
      <c r="G1647" s="39" t="str">
        <f aca="false">UPPER(TRIM(C1647))</f>
        <v>P003</v>
      </c>
      <c r="H1647" s="39" t="str">
        <f aca="false">IF(ISNUMBER(MATCH(G1647,Products!$A$5:$A$24,0)),"OK","Mismatch")</f>
        <v>OK</v>
      </c>
      <c r="I1647" s="39" t="str">
        <f aca="false">IF(COUNTIF($A$5:A1647,A1647)&gt;1,"Duplicate","Unique")</f>
        <v>Unique</v>
      </c>
      <c r="J1647" s="39" t="str">
        <f aca="false">IF(I1647="Duplicate","Remove",IF(H1647="Mismatch","Exclude","Keep"))</f>
        <v>Keep</v>
      </c>
    </row>
    <row r="1648" customFormat="false" ht="15" hidden="false" customHeight="false" outlineLevel="0" collapsed="false">
      <c r="A1648" s="39" t="s">
        <v>1729</v>
      </c>
      <c r="B1648" s="40" t="n">
        <v>45883</v>
      </c>
      <c r="C1648" s="39" t="s">
        <v>133</v>
      </c>
      <c r="D1648" s="39" t="n">
        <v>4</v>
      </c>
      <c r="E1648" s="41" t="n">
        <v>8.77</v>
      </c>
      <c r="F1648" s="39" t="s">
        <v>108</v>
      </c>
      <c r="G1648" s="39" t="str">
        <f aca="false">UPPER(TRIM(C1648))</f>
        <v>P019</v>
      </c>
      <c r="H1648" s="39" t="str">
        <f aca="false">IF(ISNUMBER(MATCH(G1648,Products!$A$5:$A$24,0)),"OK","Mismatch")</f>
        <v>OK</v>
      </c>
      <c r="I1648" s="39" t="str">
        <f aca="false">IF(COUNTIF($A$5:A1648,A1648)&gt;1,"Duplicate","Unique")</f>
        <v>Unique</v>
      </c>
      <c r="J1648" s="39" t="str">
        <f aca="false">IF(I1648="Duplicate","Remove",IF(H1648="Mismatch","Exclude","Keep"))</f>
        <v>Keep</v>
      </c>
    </row>
    <row r="1649" customFormat="false" ht="15" hidden="false" customHeight="false" outlineLevel="0" collapsed="false">
      <c r="A1649" s="39" t="s">
        <v>1730</v>
      </c>
      <c r="B1649" s="40" t="n">
        <v>45883</v>
      </c>
      <c r="C1649" s="39" t="s">
        <v>305</v>
      </c>
      <c r="D1649" s="39" t="n">
        <v>3</v>
      </c>
      <c r="E1649" s="41" t="n">
        <v>345.34</v>
      </c>
      <c r="F1649" s="39" t="s">
        <v>118</v>
      </c>
      <c r="G1649" s="39" t="str">
        <f aca="false">UPPER(TRIM(C1649))</f>
        <v>P008</v>
      </c>
      <c r="H1649" s="39" t="str">
        <f aca="false">IF(ISNUMBER(MATCH(G1649,Products!$A$5:$A$24,0)),"OK","Mismatch")</f>
        <v>OK</v>
      </c>
      <c r="I1649" s="39" t="str">
        <f aca="false">IF(COUNTIF($A$5:A1649,A1649)&gt;1,"Duplicate","Unique")</f>
        <v>Unique</v>
      </c>
      <c r="J1649" s="39" t="str">
        <f aca="false">IF(I1649="Duplicate","Remove",IF(H1649="Mismatch","Exclude","Keep"))</f>
        <v>Keep</v>
      </c>
    </row>
    <row r="1650" customFormat="false" ht="15" hidden="false" customHeight="false" outlineLevel="0" collapsed="false">
      <c r="A1650" s="39" t="s">
        <v>1731</v>
      </c>
      <c r="B1650" s="40" t="n">
        <v>45883</v>
      </c>
      <c r="C1650" s="39" t="s">
        <v>136</v>
      </c>
      <c r="D1650" s="39" t="n">
        <v>1</v>
      </c>
      <c r="E1650" s="41" t="n">
        <v>74.39</v>
      </c>
      <c r="F1650" s="39" t="s">
        <v>105</v>
      </c>
      <c r="G1650" s="39" t="str">
        <f aca="false">UPPER(TRIM(C1650))</f>
        <v>P002</v>
      </c>
      <c r="H1650" s="39" t="str">
        <f aca="false">IF(ISNUMBER(MATCH(G1650,Products!$A$5:$A$24,0)),"OK","Mismatch")</f>
        <v>OK</v>
      </c>
      <c r="I1650" s="39" t="str">
        <f aca="false">IF(COUNTIF($A$5:A1650,A1650)&gt;1,"Duplicate","Unique")</f>
        <v>Unique</v>
      </c>
      <c r="J1650" s="39" t="str">
        <f aca="false">IF(I1650="Duplicate","Remove",IF(H1650="Mismatch","Exclude","Keep"))</f>
        <v>Keep</v>
      </c>
    </row>
    <row r="1651" customFormat="false" ht="15" hidden="false" customHeight="false" outlineLevel="0" collapsed="false">
      <c r="A1651" s="39" t="s">
        <v>1732</v>
      </c>
      <c r="B1651" s="40" t="n">
        <v>45883</v>
      </c>
      <c r="C1651" s="39" t="s">
        <v>139</v>
      </c>
      <c r="D1651" s="39" t="n">
        <v>4</v>
      </c>
      <c r="E1651" s="41" t="n">
        <v>125.53</v>
      </c>
      <c r="F1651" s="39" t="s">
        <v>105</v>
      </c>
      <c r="G1651" s="39" t="str">
        <f aca="false">UPPER(TRIM(C1651))</f>
        <v>P006</v>
      </c>
      <c r="H1651" s="39" t="str">
        <f aca="false">IF(ISNUMBER(MATCH(G1651,Products!$A$5:$A$24,0)),"OK","Mismatch")</f>
        <v>OK</v>
      </c>
      <c r="I1651" s="39" t="str">
        <f aca="false">IF(COUNTIF($A$5:A1651,A1651)&gt;1,"Duplicate","Unique")</f>
        <v>Unique</v>
      </c>
      <c r="J1651" s="39" t="str">
        <f aca="false">IF(I1651="Duplicate","Remove",IF(H1651="Mismatch","Exclude","Keep"))</f>
        <v>Keep</v>
      </c>
    </row>
    <row r="1652" customFormat="false" ht="15" hidden="false" customHeight="false" outlineLevel="0" collapsed="false">
      <c r="A1652" s="39" t="s">
        <v>1733</v>
      </c>
      <c r="B1652" s="40" t="n">
        <v>45883</v>
      </c>
      <c r="C1652" s="39" t="s">
        <v>133</v>
      </c>
      <c r="D1652" s="39" t="n">
        <v>1</v>
      </c>
      <c r="E1652" s="41" t="n">
        <v>8.61</v>
      </c>
      <c r="F1652" s="39" t="s">
        <v>105</v>
      </c>
      <c r="G1652" s="39" t="str">
        <f aca="false">UPPER(TRIM(C1652))</f>
        <v>P019</v>
      </c>
      <c r="H1652" s="39" t="str">
        <f aca="false">IF(ISNUMBER(MATCH(G1652,Products!$A$5:$A$24,0)),"OK","Mismatch")</f>
        <v>OK</v>
      </c>
      <c r="I1652" s="39" t="str">
        <f aca="false">IF(COUNTIF($A$5:A1652,A1652)&gt;1,"Duplicate","Unique")</f>
        <v>Unique</v>
      </c>
      <c r="J1652" s="39" t="str">
        <f aca="false">IF(I1652="Duplicate","Remove",IF(H1652="Mismatch","Exclude","Keep"))</f>
        <v>Keep</v>
      </c>
    </row>
    <row r="1653" customFormat="false" ht="15" hidden="false" customHeight="false" outlineLevel="0" collapsed="false">
      <c r="A1653" s="39" t="s">
        <v>1734</v>
      </c>
      <c r="B1653" s="40" t="n">
        <v>45883</v>
      </c>
      <c r="C1653" s="39" t="s">
        <v>3165</v>
      </c>
      <c r="D1653" s="39" t="n">
        <v>4</v>
      </c>
      <c r="E1653" s="41" t="n">
        <v>5.92</v>
      </c>
      <c r="F1653" s="39" t="s">
        <v>118</v>
      </c>
      <c r="G1653" s="39" t="str">
        <f aca="false">UPPER(TRIM(C1653))</f>
        <v>P012</v>
      </c>
      <c r="H1653" s="39" t="str">
        <f aca="false">IF(ISNUMBER(MATCH(G1653,Products!$A$5:$A$24,0)),"OK","Mismatch")</f>
        <v>OK</v>
      </c>
      <c r="I1653" s="39" t="str">
        <f aca="false">IF(COUNTIF($A$5:A1653,A1653)&gt;1,"Duplicate","Unique")</f>
        <v>Unique</v>
      </c>
      <c r="J1653" s="39" t="str">
        <f aca="false">IF(I1653="Duplicate","Remove",IF(H1653="Mismatch","Exclude","Keep"))</f>
        <v>Keep</v>
      </c>
    </row>
    <row r="1654" customFormat="false" ht="15" hidden="false" customHeight="false" outlineLevel="0" collapsed="false">
      <c r="A1654" s="39" t="s">
        <v>1735</v>
      </c>
      <c r="B1654" s="40" t="n">
        <v>45884</v>
      </c>
      <c r="C1654" s="39" t="s">
        <v>133</v>
      </c>
      <c r="D1654" s="39" t="n">
        <v>1</v>
      </c>
      <c r="E1654" s="41" t="n">
        <v>8.87</v>
      </c>
      <c r="F1654" s="39" t="s">
        <v>108</v>
      </c>
      <c r="G1654" s="39" t="str">
        <f aca="false">UPPER(TRIM(C1654))</f>
        <v>P019</v>
      </c>
      <c r="H1654" s="39" t="str">
        <f aca="false">IF(ISNUMBER(MATCH(G1654,Products!$A$5:$A$24,0)),"OK","Mismatch")</f>
        <v>OK</v>
      </c>
      <c r="I1654" s="39" t="str">
        <f aca="false">IF(COUNTIF($A$5:A1654,A1654)&gt;1,"Duplicate","Unique")</f>
        <v>Unique</v>
      </c>
      <c r="J1654" s="39" t="str">
        <f aca="false">IF(I1654="Duplicate","Remove",IF(H1654="Mismatch","Exclude","Keep"))</f>
        <v>Keep</v>
      </c>
    </row>
    <row r="1655" customFormat="false" ht="15" hidden="false" customHeight="false" outlineLevel="0" collapsed="false">
      <c r="A1655" s="39" t="s">
        <v>1736</v>
      </c>
      <c r="B1655" s="40" t="n">
        <v>45884</v>
      </c>
      <c r="C1655" s="39" t="s">
        <v>177</v>
      </c>
      <c r="D1655" s="39" t="n">
        <v>1</v>
      </c>
      <c r="E1655" s="41" t="n">
        <v>44.04</v>
      </c>
      <c r="F1655" s="39" t="s">
        <v>115</v>
      </c>
      <c r="G1655" s="39" t="str">
        <f aca="false">UPPER(TRIM(C1655))</f>
        <v>P014</v>
      </c>
      <c r="H1655" s="39" t="str">
        <f aca="false">IF(ISNUMBER(MATCH(G1655,Products!$A$5:$A$24,0)),"OK","Mismatch")</f>
        <v>OK</v>
      </c>
      <c r="I1655" s="39" t="str">
        <f aca="false">IF(COUNTIF($A$5:A1655,A1655)&gt;1,"Duplicate","Unique")</f>
        <v>Unique</v>
      </c>
      <c r="J1655" s="39" t="str">
        <f aca="false">IF(I1655="Duplicate","Remove",IF(H1655="Mismatch","Exclude","Keep"))</f>
        <v>Keep</v>
      </c>
    </row>
    <row r="1656" customFormat="false" ht="15" hidden="false" customHeight="false" outlineLevel="0" collapsed="false">
      <c r="A1656" s="39" t="s">
        <v>1737</v>
      </c>
      <c r="B1656" s="40" t="n">
        <v>45884</v>
      </c>
      <c r="C1656" s="39" t="s">
        <v>104</v>
      </c>
      <c r="D1656" s="39" t="n">
        <v>5</v>
      </c>
      <c r="E1656" s="41" t="n">
        <v>15.64</v>
      </c>
      <c r="F1656" s="39" t="s">
        <v>118</v>
      </c>
      <c r="G1656" s="39" t="str">
        <f aca="false">UPPER(TRIM(C1656))</f>
        <v>P015</v>
      </c>
      <c r="H1656" s="39" t="str">
        <f aca="false">IF(ISNUMBER(MATCH(G1656,Products!$A$5:$A$24,0)),"OK","Mismatch")</f>
        <v>OK</v>
      </c>
      <c r="I1656" s="39" t="str">
        <f aca="false">IF(COUNTIF($A$5:A1656,A1656)&gt;1,"Duplicate","Unique")</f>
        <v>Unique</v>
      </c>
      <c r="J1656" s="39" t="str">
        <f aca="false">IF(I1656="Duplicate","Remove",IF(H1656="Mismatch","Exclude","Keep"))</f>
        <v>Keep</v>
      </c>
    </row>
    <row r="1657" customFormat="false" ht="15" hidden="false" customHeight="false" outlineLevel="0" collapsed="false">
      <c r="A1657" s="39" t="s">
        <v>3181</v>
      </c>
      <c r="B1657" s="40" t="n">
        <v>45884</v>
      </c>
      <c r="C1657" s="39" t="s">
        <v>3182</v>
      </c>
      <c r="D1657" s="39" t="n">
        <v>1</v>
      </c>
      <c r="E1657" s="41" t="n">
        <v>8.77</v>
      </c>
      <c r="F1657" s="39" t="s">
        <v>118</v>
      </c>
      <c r="G1657" s="39" t="str">
        <f aca="false">UPPER(TRIM(C1657))</f>
        <v>P909</v>
      </c>
      <c r="H1657" s="39" t="str">
        <f aca="false">IF(ISNUMBER(MATCH(G1657,Products!$A$5:$A$24,0)),"OK","Mismatch")</f>
        <v>Mismatch</v>
      </c>
      <c r="I1657" s="39" t="str">
        <f aca="false">IF(COUNTIF($A$5:A1657,A1657)&gt;1,"Duplicate","Unique")</f>
        <v>Unique</v>
      </c>
      <c r="J1657" s="39" t="str">
        <f aca="false">IF(I1657="Duplicate","Remove",IF(H1657="Mismatch","Exclude","Keep"))</f>
        <v>Exclude</v>
      </c>
    </row>
    <row r="1658" customFormat="false" ht="15" hidden="false" customHeight="false" outlineLevel="0" collapsed="false">
      <c r="A1658" s="39" t="s">
        <v>1738</v>
      </c>
      <c r="B1658" s="40" t="n">
        <v>45884</v>
      </c>
      <c r="C1658" s="39" t="s">
        <v>130</v>
      </c>
      <c r="D1658" s="39" t="n">
        <v>4</v>
      </c>
      <c r="E1658" s="41" t="n">
        <v>8.41</v>
      </c>
      <c r="F1658" s="39" t="s">
        <v>105</v>
      </c>
      <c r="G1658" s="39" t="str">
        <f aca="false">UPPER(TRIM(C1658))</f>
        <v>P011</v>
      </c>
      <c r="H1658" s="39" t="str">
        <f aca="false">IF(ISNUMBER(MATCH(G1658,Products!$A$5:$A$24,0)),"OK","Mismatch")</f>
        <v>OK</v>
      </c>
      <c r="I1658" s="39" t="str">
        <f aca="false">IF(COUNTIF($A$5:A1658,A1658)&gt;1,"Duplicate","Unique")</f>
        <v>Unique</v>
      </c>
      <c r="J1658" s="39" t="str">
        <f aca="false">IF(I1658="Duplicate","Remove",IF(H1658="Mismatch","Exclude","Keep"))</f>
        <v>Keep</v>
      </c>
    </row>
    <row r="1659" customFormat="false" ht="15" hidden="false" customHeight="false" outlineLevel="0" collapsed="false">
      <c r="A1659" s="39" t="s">
        <v>1739</v>
      </c>
      <c r="B1659" s="40" t="n">
        <v>45884</v>
      </c>
      <c r="C1659" s="39" t="s">
        <v>153</v>
      </c>
      <c r="D1659" s="39" t="n">
        <v>3</v>
      </c>
      <c r="E1659" s="41" t="n">
        <v>168.38</v>
      </c>
      <c r="F1659" s="39" t="s">
        <v>115</v>
      </c>
      <c r="G1659" s="39" t="str">
        <f aca="false">UPPER(TRIM(C1659))</f>
        <v>P010</v>
      </c>
      <c r="H1659" s="39" t="str">
        <f aca="false">IF(ISNUMBER(MATCH(G1659,Products!$A$5:$A$24,0)),"OK","Mismatch")</f>
        <v>OK</v>
      </c>
      <c r="I1659" s="39" t="str">
        <f aca="false">IF(COUNTIF($A$5:A1659,A1659)&gt;1,"Duplicate","Unique")</f>
        <v>Unique</v>
      </c>
      <c r="J1659" s="39" t="str">
        <f aca="false">IF(I1659="Duplicate","Remove",IF(H1659="Mismatch","Exclude","Keep"))</f>
        <v>Keep</v>
      </c>
    </row>
    <row r="1660" customFormat="false" ht="15" hidden="false" customHeight="false" outlineLevel="0" collapsed="false">
      <c r="A1660" s="39" t="s">
        <v>1740</v>
      </c>
      <c r="B1660" s="40" t="n">
        <v>45884</v>
      </c>
      <c r="C1660" s="39" t="s">
        <v>183</v>
      </c>
      <c r="D1660" s="39" t="n">
        <v>2</v>
      </c>
      <c r="E1660" s="41" t="n">
        <v>177.72</v>
      </c>
      <c r="F1660" s="39" t="s">
        <v>115</v>
      </c>
      <c r="G1660" s="39" t="str">
        <f aca="false">UPPER(TRIM(C1660))</f>
        <v>P007</v>
      </c>
      <c r="H1660" s="39" t="str">
        <f aca="false">IF(ISNUMBER(MATCH(G1660,Products!$A$5:$A$24,0)),"OK","Mismatch")</f>
        <v>OK</v>
      </c>
      <c r="I1660" s="39" t="str">
        <f aca="false">IF(COUNTIF($A$5:A1660,A1660)&gt;1,"Duplicate","Unique")</f>
        <v>Unique</v>
      </c>
      <c r="J1660" s="39" t="str">
        <f aca="false">IF(I1660="Duplicate","Remove",IF(H1660="Mismatch","Exclude","Keep"))</f>
        <v>Keep</v>
      </c>
    </row>
    <row r="1661" customFormat="false" ht="15" hidden="false" customHeight="false" outlineLevel="0" collapsed="false">
      <c r="A1661" s="39" t="s">
        <v>1741</v>
      </c>
      <c r="B1661" s="40" t="n">
        <v>45885</v>
      </c>
      <c r="C1661" s="39" t="s">
        <v>130</v>
      </c>
      <c r="D1661" s="39" t="n">
        <v>3</v>
      </c>
      <c r="E1661" s="41" t="n">
        <v>8.69</v>
      </c>
      <c r="F1661" s="39" t="s">
        <v>115</v>
      </c>
      <c r="G1661" s="39" t="str">
        <f aca="false">UPPER(TRIM(C1661))</f>
        <v>P011</v>
      </c>
      <c r="H1661" s="39" t="str">
        <f aca="false">IF(ISNUMBER(MATCH(G1661,Products!$A$5:$A$24,0)),"OK","Mismatch")</f>
        <v>OK</v>
      </c>
      <c r="I1661" s="39" t="str">
        <f aca="false">IF(COUNTIF($A$5:A1661,A1661)&gt;1,"Duplicate","Unique")</f>
        <v>Unique</v>
      </c>
      <c r="J1661" s="39" t="str">
        <f aca="false">IF(I1661="Duplicate","Remove",IF(H1661="Mismatch","Exclude","Keep"))</f>
        <v>Keep</v>
      </c>
    </row>
    <row r="1662" customFormat="false" ht="15" hidden="false" customHeight="false" outlineLevel="0" collapsed="false">
      <c r="A1662" s="39" t="s">
        <v>1742</v>
      </c>
      <c r="B1662" s="40" t="n">
        <v>45885</v>
      </c>
      <c r="C1662" s="39" t="s">
        <v>128</v>
      </c>
      <c r="D1662" s="39" t="n">
        <v>5</v>
      </c>
      <c r="E1662" s="41" t="n">
        <v>38.88</v>
      </c>
      <c r="F1662" s="39" t="s">
        <v>118</v>
      </c>
      <c r="G1662" s="39" t="str">
        <f aca="false">UPPER(TRIM(C1662))</f>
        <v>P020</v>
      </c>
      <c r="H1662" s="39" t="str">
        <f aca="false">IF(ISNUMBER(MATCH(G1662,Products!$A$5:$A$24,0)),"OK","Mismatch")</f>
        <v>OK</v>
      </c>
      <c r="I1662" s="39" t="str">
        <f aca="false">IF(COUNTIF($A$5:A1662,A1662)&gt;1,"Duplicate","Unique")</f>
        <v>Unique</v>
      </c>
      <c r="J1662" s="39" t="str">
        <f aca="false">IF(I1662="Duplicate","Remove",IF(H1662="Mismatch","Exclude","Keep"))</f>
        <v>Keep</v>
      </c>
    </row>
    <row r="1663" customFormat="false" ht="15" hidden="false" customHeight="false" outlineLevel="0" collapsed="false">
      <c r="A1663" s="39" t="s">
        <v>1743</v>
      </c>
      <c r="B1663" s="40" t="n">
        <v>45885</v>
      </c>
      <c r="C1663" s="39" t="s">
        <v>114</v>
      </c>
      <c r="D1663" s="39" t="n">
        <v>3</v>
      </c>
      <c r="E1663" s="41" t="n">
        <v>5.54</v>
      </c>
      <c r="F1663" s="39" t="s">
        <v>108</v>
      </c>
      <c r="G1663" s="39" t="str">
        <f aca="false">UPPER(TRIM(C1663))</f>
        <v>P012</v>
      </c>
      <c r="H1663" s="39" t="str">
        <f aca="false">IF(ISNUMBER(MATCH(G1663,Products!$A$5:$A$24,0)),"OK","Mismatch")</f>
        <v>OK</v>
      </c>
      <c r="I1663" s="39" t="str">
        <f aca="false">IF(COUNTIF($A$5:A1663,A1663)&gt;1,"Duplicate","Unique")</f>
        <v>Unique</v>
      </c>
      <c r="J1663" s="39" t="str">
        <f aca="false">IF(I1663="Duplicate","Remove",IF(H1663="Mismatch","Exclude","Keep"))</f>
        <v>Keep</v>
      </c>
    </row>
    <row r="1664" customFormat="false" ht="15" hidden="false" customHeight="false" outlineLevel="0" collapsed="false">
      <c r="A1664" s="39" t="s">
        <v>1744</v>
      </c>
      <c r="B1664" s="40" t="n">
        <v>45885</v>
      </c>
      <c r="C1664" s="39" t="s">
        <v>114</v>
      </c>
      <c r="D1664" s="39" t="n">
        <v>2</v>
      </c>
      <c r="E1664" s="41" t="n">
        <v>5.94</v>
      </c>
      <c r="F1664" s="39" t="s">
        <v>105</v>
      </c>
      <c r="G1664" s="39" t="str">
        <f aca="false">UPPER(TRIM(C1664))</f>
        <v>P012</v>
      </c>
      <c r="H1664" s="39" t="str">
        <f aca="false">IF(ISNUMBER(MATCH(G1664,Products!$A$5:$A$24,0)),"OK","Mismatch")</f>
        <v>OK</v>
      </c>
      <c r="I1664" s="39" t="str">
        <f aca="false">IF(COUNTIF($A$5:A1664,A1664)&gt;1,"Duplicate","Unique")</f>
        <v>Unique</v>
      </c>
      <c r="J1664" s="39" t="str">
        <f aca="false">IF(I1664="Duplicate","Remove",IF(H1664="Mismatch","Exclude","Keep"))</f>
        <v>Keep</v>
      </c>
    </row>
    <row r="1665" customFormat="false" ht="15" hidden="false" customHeight="false" outlineLevel="0" collapsed="false">
      <c r="A1665" s="39" t="s">
        <v>1745</v>
      </c>
      <c r="B1665" s="40" t="n">
        <v>45885</v>
      </c>
      <c r="C1665" s="39" t="s">
        <v>126</v>
      </c>
      <c r="D1665" s="39" t="n">
        <v>3</v>
      </c>
      <c r="E1665" s="41" t="n">
        <v>23.67</v>
      </c>
      <c r="F1665" s="39" t="s">
        <v>105</v>
      </c>
      <c r="G1665" s="39" t="str">
        <f aca="false">UPPER(TRIM(C1665))</f>
        <v>P001</v>
      </c>
      <c r="H1665" s="39" t="str">
        <f aca="false">IF(ISNUMBER(MATCH(G1665,Products!$A$5:$A$24,0)),"OK","Mismatch")</f>
        <v>OK</v>
      </c>
      <c r="I1665" s="39" t="str">
        <f aca="false">IF(COUNTIF($A$5:A1665,A1665)&gt;1,"Duplicate","Unique")</f>
        <v>Unique</v>
      </c>
      <c r="J1665" s="39" t="str">
        <f aca="false">IF(I1665="Duplicate","Remove",IF(H1665="Mismatch","Exclude","Keep"))</f>
        <v>Keep</v>
      </c>
    </row>
    <row r="1666" customFormat="false" ht="15" hidden="false" customHeight="false" outlineLevel="0" collapsed="false">
      <c r="A1666" s="39" t="s">
        <v>1746</v>
      </c>
      <c r="B1666" s="40" t="n">
        <v>45885</v>
      </c>
      <c r="C1666" s="39" t="s">
        <v>177</v>
      </c>
      <c r="D1666" s="39" t="n">
        <v>4</v>
      </c>
      <c r="E1666" s="41" t="n">
        <v>43.41</v>
      </c>
      <c r="F1666" s="39" t="s">
        <v>105</v>
      </c>
      <c r="G1666" s="39" t="str">
        <f aca="false">UPPER(TRIM(C1666))</f>
        <v>P014</v>
      </c>
      <c r="H1666" s="39" t="str">
        <f aca="false">IF(ISNUMBER(MATCH(G1666,Products!$A$5:$A$24,0)),"OK","Mismatch")</f>
        <v>OK</v>
      </c>
      <c r="I1666" s="39" t="str">
        <f aca="false">IF(COUNTIF($A$5:A1666,A1666)&gt;1,"Duplicate","Unique")</f>
        <v>Unique</v>
      </c>
      <c r="J1666" s="39" t="str">
        <f aca="false">IF(I1666="Duplicate","Remove",IF(H1666="Mismatch","Exclude","Keep"))</f>
        <v>Keep</v>
      </c>
    </row>
    <row r="1667" customFormat="false" ht="15" hidden="false" customHeight="false" outlineLevel="0" collapsed="false">
      <c r="A1667" s="39" t="s">
        <v>1747</v>
      </c>
      <c r="B1667" s="40" t="n">
        <v>45885</v>
      </c>
      <c r="C1667" s="39" t="s">
        <v>110</v>
      </c>
      <c r="D1667" s="39" t="n">
        <v>4</v>
      </c>
      <c r="E1667" s="41" t="n">
        <v>13.22</v>
      </c>
      <c r="F1667" s="39" t="s">
        <v>118</v>
      </c>
      <c r="G1667" s="39" t="str">
        <f aca="false">UPPER(TRIM(C1667))</f>
        <v>P016</v>
      </c>
      <c r="H1667" s="39" t="str">
        <f aca="false">IF(ISNUMBER(MATCH(G1667,Products!$A$5:$A$24,0)),"OK","Mismatch")</f>
        <v>OK</v>
      </c>
      <c r="I1667" s="39" t="str">
        <f aca="false">IF(COUNTIF($A$5:A1667,A1667)&gt;1,"Duplicate","Unique")</f>
        <v>Unique</v>
      </c>
      <c r="J1667" s="39" t="str">
        <f aca="false">IF(I1667="Duplicate","Remove",IF(H1667="Mismatch","Exclude","Keep"))</f>
        <v>Keep</v>
      </c>
    </row>
    <row r="1668" customFormat="false" ht="15" hidden="false" customHeight="false" outlineLevel="0" collapsed="false">
      <c r="A1668" s="39" t="s">
        <v>1748</v>
      </c>
      <c r="B1668" s="40" t="n">
        <v>45885</v>
      </c>
      <c r="C1668" s="39" t="s">
        <v>107</v>
      </c>
      <c r="D1668" s="39" t="n">
        <v>1</v>
      </c>
      <c r="E1668" s="41" t="n">
        <v>34.05</v>
      </c>
      <c r="F1668" s="39" t="s">
        <v>108</v>
      </c>
      <c r="G1668" s="39" t="str">
        <f aca="false">UPPER(TRIM(C1668))</f>
        <v>P003</v>
      </c>
      <c r="H1668" s="39" t="str">
        <f aca="false">IF(ISNUMBER(MATCH(G1668,Products!$A$5:$A$24,0)),"OK","Mismatch")</f>
        <v>OK</v>
      </c>
      <c r="I1668" s="39" t="str">
        <f aca="false">IF(COUNTIF($A$5:A1668,A1668)&gt;1,"Duplicate","Unique")</f>
        <v>Unique</v>
      </c>
      <c r="J1668" s="39" t="str">
        <f aca="false">IF(I1668="Duplicate","Remove",IF(H1668="Mismatch","Exclude","Keep"))</f>
        <v>Keep</v>
      </c>
    </row>
    <row r="1669" customFormat="false" ht="15" hidden="false" customHeight="false" outlineLevel="0" collapsed="false">
      <c r="A1669" s="39" t="s">
        <v>1749</v>
      </c>
      <c r="B1669" s="40" t="n">
        <v>45886</v>
      </c>
      <c r="C1669" s="39" t="s">
        <v>183</v>
      </c>
      <c r="D1669" s="39" t="n">
        <v>5</v>
      </c>
      <c r="E1669" s="41" t="n">
        <v>179.97</v>
      </c>
      <c r="F1669" s="39" t="s">
        <v>105</v>
      </c>
      <c r="G1669" s="39" t="str">
        <f aca="false">UPPER(TRIM(C1669))</f>
        <v>P007</v>
      </c>
      <c r="H1669" s="39" t="str">
        <f aca="false">IF(ISNUMBER(MATCH(G1669,Products!$A$5:$A$24,0)),"OK","Mismatch")</f>
        <v>OK</v>
      </c>
      <c r="I1669" s="39" t="str">
        <f aca="false">IF(COUNTIF($A$5:A1669,A1669)&gt;1,"Duplicate","Unique")</f>
        <v>Unique</v>
      </c>
      <c r="J1669" s="39" t="str">
        <f aca="false">IF(I1669="Duplicate","Remove",IF(H1669="Mismatch","Exclude","Keep"))</f>
        <v>Keep</v>
      </c>
    </row>
    <row r="1670" customFormat="false" ht="15" hidden="false" customHeight="false" outlineLevel="0" collapsed="false">
      <c r="A1670" s="39" t="s">
        <v>1750</v>
      </c>
      <c r="B1670" s="40" t="n">
        <v>45886</v>
      </c>
      <c r="C1670" s="39" t="s">
        <v>107</v>
      </c>
      <c r="D1670" s="39" t="n">
        <v>5</v>
      </c>
      <c r="E1670" s="41" t="n">
        <v>34.05</v>
      </c>
      <c r="F1670" s="39" t="s">
        <v>115</v>
      </c>
      <c r="G1670" s="39" t="str">
        <f aca="false">UPPER(TRIM(C1670))</f>
        <v>P003</v>
      </c>
      <c r="H1670" s="39" t="str">
        <f aca="false">IF(ISNUMBER(MATCH(G1670,Products!$A$5:$A$24,0)),"OK","Mismatch")</f>
        <v>OK</v>
      </c>
      <c r="I1670" s="39" t="str">
        <f aca="false">IF(COUNTIF($A$5:A1670,A1670)&gt;1,"Duplicate","Unique")</f>
        <v>Unique</v>
      </c>
      <c r="J1670" s="39" t="str">
        <f aca="false">IF(I1670="Duplicate","Remove",IF(H1670="Mismatch","Exclude","Keep"))</f>
        <v>Keep</v>
      </c>
    </row>
    <row r="1671" customFormat="false" ht="15" hidden="false" customHeight="false" outlineLevel="0" collapsed="false">
      <c r="A1671" s="39" t="s">
        <v>1751</v>
      </c>
      <c r="B1671" s="40" t="n">
        <v>45886</v>
      </c>
      <c r="C1671" s="39" t="s">
        <v>114</v>
      </c>
      <c r="D1671" s="39" t="n">
        <v>1</v>
      </c>
      <c r="E1671" s="41" t="n">
        <v>5.95</v>
      </c>
      <c r="F1671" s="39" t="s">
        <v>108</v>
      </c>
      <c r="G1671" s="39" t="str">
        <f aca="false">UPPER(TRIM(C1671))</f>
        <v>P012</v>
      </c>
      <c r="H1671" s="39" t="str">
        <f aca="false">IF(ISNUMBER(MATCH(G1671,Products!$A$5:$A$24,0)),"OK","Mismatch")</f>
        <v>OK</v>
      </c>
      <c r="I1671" s="39" t="str">
        <f aca="false">IF(COUNTIF($A$5:A1671,A1671)&gt;1,"Duplicate","Unique")</f>
        <v>Unique</v>
      </c>
      <c r="J1671" s="39" t="str">
        <f aca="false">IF(I1671="Duplicate","Remove",IF(H1671="Mismatch","Exclude","Keep"))</f>
        <v>Keep</v>
      </c>
    </row>
    <row r="1672" customFormat="false" ht="15" hidden="false" customHeight="false" outlineLevel="0" collapsed="false">
      <c r="A1672" s="39" t="s">
        <v>1752</v>
      </c>
      <c r="B1672" s="40" t="n">
        <v>45886</v>
      </c>
      <c r="C1672" s="39" t="s">
        <v>153</v>
      </c>
      <c r="D1672" s="39" t="n">
        <v>2</v>
      </c>
      <c r="E1672" s="41" t="n">
        <v>170.47</v>
      </c>
      <c r="F1672" s="39" t="s">
        <v>108</v>
      </c>
      <c r="G1672" s="39" t="str">
        <f aca="false">UPPER(TRIM(C1672))</f>
        <v>P010</v>
      </c>
      <c r="H1672" s="39" t="str">
        <f aca="false">IF(ISNUMBER(MATCH(G1672,Products!$A$5:$A$24,0)),"OK","Mismatch")</f>
        <v>OK</v>
      </c>
      <c r="I1672" s="39" t="str">
        <f aca="false">IF(COUNTIF($A$5:A1672,A1672)&gt;1,"Duplicate","Unique")</f>
        <v>Unique</v>
      </c>
      <c r="J1672" s="39" t="str">
        <f aca="false">IF(I1672="Duplicate","Remove",IF(H1672="Mismatch","Exclude","Keep"))</f>
        <v>Keep</v>
      </c>
    </row>
    <row r="1673" customFormat="false" ht="15" hidden="false" customHeight="false" outlineLevel="0" collapsed="false">
      <c r="A1673" s="39" t="s">
        <v>1753</v>
      </c>
      <c r="B1673" s="40" t="n">
        <v>45886</v>
      </c>
      <c r="C1673" s="39" t="s">
        <v>153</v>
      </c>
      <c r="D1673" s="39" t="n">
        <v>3</v>
      </c>
      <c r="E1673" s="41" t="n">
        <v>174.91</v>
      </c>
      <c r="F1673" s="39" t="s">
        <v>108</v>
      </c>
      <c r="G1673" s="39" t="str">
        <f aca="false">UPPER(TRIM(C1673))</f>
        <v>P010</v>
      </c>
      <c r="H1673" s="39" t="str">
        <f aca="false">IF(ISNUMBER(MATCH(G1673,Products!$A$5:$A$24,0)),"OK","Mismatch")</f>
        <v>OK</v>
      </c>
      <c r="I1673" s="39" t="str">
        <f aca="false">IF(COUNTIF($A$5:A1673,A1673)&gt;1,"Duplicate","Unique")</f>
        <v>Unique</v>
      </c>
      <c r="J1673" s="39" t="str">
        <f aca="false">IF(I1673="Duplicate","Remove",IF(H1673="Mismatch","Exclude","Keep"))</f>
        <v>Keep</v>
      </c>
    </row>
    <row r="1674" customFormat="false" ht="15" hidden="false" customHeight="false" outlineLevel="0" collapsed="false">
      <c r="A1674" s="39" t="s">
        <v>1754</v>
      </c>
      <c r="B1674" s="40" t="n">
        <v>45886</v>
      </c>
      <c r="C1674" s="39" t="s">
        <v>114</v>
      </c>
      <c r="D1674" s="39" t="n">
        <v>1</v>
      </c>
      <c r="E1674" s="41" t="n">
        <v>5.56</v>
      </c>
      <c r="F1674" s="39" t="s">
        <v>105</v>
      </c>
      <c r="G1674" s="39" t="str">
        <f aca="false">UPPER(TRIM(C1674))</f>
        <v>P012</v>
      </c>
      <c r="H1674" s="39" t="str">
        <f aca="false">IF(ISNUMBER(MATCH(G1674,Products!$A$5:$A$24,0)),"OK","Mismatch")</f>
        <v>OK</v>
      </c>
      <c r="I1674" s="39" t="str">
        <f aca="false">IF(COUNTIF($A$5:A1674,A1674)&gt;1,"Duplicate","Unique")</f>
        <v>Unique</v>
      </c>
      <c r="J1674" s="39" t="str">
        <f aca="false">IF(I1674="Duplicate","Remove",IF(H1674="Mismatch","Exclude","Keep"))</f>
        <v>Keep</v>
      </c>
    </row>
    <row r="1675" customFormat="false" ht="15" hidden="false" customHeight="false" outlineLevel="0" collapsed="false">
      <c r="A1675" s="39" t="s">
        <v>1755</v>
      </c>
      <c r="B1675" s="40" t="n">
        <v>45886</v>
      </c>
      <c r="C1675" s="39" t="s">
        <v>130</v>
      </c>
      <c r="D1675" s="39" t="n">
        <v>5</v>
      </c>
      <c r="E1675" s="41" t="n">
        <v>8.5</v>
      </c>
      <c r="F1675" s="39" t="s">
        <v>115</v>
      </c>
      <c r="G1675" s="39" t="str">
        <f aca="false">UPPER(TRIM(C1675))</f>
        <v>P011</v>
      </c>
      <c r="H1675" s="39" t="str">
        <f aca="false">IF(ISNUMBER(MATCH(G1675,Products!$A$5:$A$24,0)),"OK","Mismatch")</f>
        <v>OK</v>
      </c>
      <c r="I1675" s="39" t="str">
        <f aca="false">IF(COUNTIF($A$5:A1675,A1675)&gt;1,"Duplicate","Unique")</f>
        <v>Unique</v>
      </c>
      <c r="J1675" s="39" t="str">
        <f aca="false">IF(I1675="Duplicate","Remove",IF(H1675="Mismatch","Exclude","Keep"))</f>
        <v>Keep</v>
      </c>
    </row>
    <row r="1676" customFormat="false" ht="15" hidden="false" customHeight="false" outlineLevel="0" collapsed="false">
      <c r="A1676" s="39" t="s">
        <v>1756</v>
      </c>
      <c r="B1676" s="40" t="n">
        <v>45886</v>
      </c>
      <c r="C1676" s="39" t="s">
        <v>128</v>
      </c>
      <c r="D1676" s="39" t="n">
        <v>6</v>
      </c>
      <c r="E1676" s="41" t="n">
        <v>38.98</v>
      </c>
      <c r="F1676" s="39" t="s">
        <v>105</v>
      </c>
      <c r="G1676" s="39" t="str">
        <f aca="false">UPPER(TRIM(C1676))</f>
        <v>P020</v>
      </c>
      <c r="H1676" s="39" t="str">
        <f aca="false">IF(ISNUMBER(MATCH(G1676,Products!$A$5:$A$24,0)),"OK","Mismatch")</f>
        <v>OK</v>
      </c>
      <c r="I1676" s="39" t="str">
        <f aca="false">IF(COUNTIF($A$5:A1676,A1676)&gt;1,"Duplicate","Unique")</f>
        <v>Unique</v>
      </c>
      <c r="J1676" s="39" t="str">
        <f aca="false">IF(I1676="Duplicate","Remove",IF(H1676="Mismatch","Exclude","Keep"))</f>
        <v>Keep</v>
      </c>
    </row>
    <row r="1677" customFormat="false" ht="15" hidden="false" customHeight="false" outlineLevel="0" collapsed="false">
      <c r="A1677" s="39" t="s">
        <v>1757</v>
      </c>
      <c r="B1677" s="40" t="n">
        <v>45886</v>
      </c>
      <c r="C1677" s="39" t="s">
        <v>162</v>
      </c>
      <c r="D1677" s="39" t="n">
        <v>1</v>
      </c>
      <c r="E1677" s="41" t="n">
        <v>65.97</v>
      </c>
      <c r="F1677" s="39" t="s">
        <v>118</v>
      </c>
      <c r="G1677" s="39" t="str">
        <f aca="false">UPPER(TRIM(C1677))</f>
        <v>P017</v>
      </c>
      <c r="H1677" s="39" t="str">
        <f aca="false">IF(ISNUMBER(MATCH(G1677,Products!$A$5:$A$24,0)),"OK","Mismatch")</f>
        <v>OK</v>
      </c>
      <c r="I1677" s="39" t="str">
        <f aca="false">IF(COUNTIF($A$5:A1677,A1677)&gt;1,"Duplicate","Unique")</f>
        <v>Unique</v>
      </c>
      <c r="J1677" s="39" t="str">
        <f aca="false">IF(I1677="Duplicate","Remove",IF(H1677="Mismatch","Exclude","Keep"))</f>
        <v>Keep</v>
      </c>
    </row>
    <row r="1678" customFormat="false" ht="15" hidden="false" customHeight="false" outlineLevel="0" collapsed="false">
      <c r="A1678" s="39" t="s">
        <v>1758</v>
      </c>
      <c r="B1678" s="40" t="n">
        <v>45886</v>
      </c>
      <c r="C1678" s="39" t="s">
        <v>169</v>
      </c>
      <c r="D1678" s="39" t="n">
        <v>1</v>
      </c>
      <c r="E1678" s="41" t="n">
        <v>27.36</v>
      </c>
      <c r="F1678" s="39" t="s">
        <v>115</v>
      </c>
      <c r="G1678" s="39" t="str">
        <f aca="false">UPPER(TRIM(C1678))</f>
        <v>P004</v>
      </c>
      <c r="H1678" s="39" t="str">
        <f aca="false">IF(ISNUMBER(MATCH(G1678,Products!$A$5:$A$24,0)),"OK","Mismatch")</f>
        <v>OK</v>
      </c>
      <c r="I1678" s="39" t="str">
        <f aca="false">IF(COUNTIF($A$5:A1678,A1678)&gt;1,"Duplicate","Unique")</f>
        <v>Unique</v>
      </c>
      <c r="J1678" s="39" t="str">
        <f aca="false">IF(I1678="Duplicate","Remove",IF(H1678="Mismatch","Exclude","Keep"))</f>
        <v>Keep</v>
      </c>
    </row>
    <row r="1679" customFormat="false" ht="15" hidden="false" customHeight="false" outlineLevel="0" collapsed="false">
      <c r="A1679" s="39" t="s">
        <v>1758</v>
      </c>
      <c r="B1679" s="40" t="n">
        <v>45886</v>
      </c>
      <c r="C1679" s="39" t="s">
        <v>169</v>
      </c>
      <c r="D1679" s="39" t="n">
        <v>1</v>
      </c>
      <c r="E1679" s="41" t="n">
        <v>27.36</v>
      </c>
      <c r="F1679" s="39" t="s">
        <v>115</v>
      </c>
      <c r="G1679" s="39" t="str">
        <f aca="false">UPPER(TRIM(C1679))</f>
        <v>P004</v>
      </c>
      <c r="H1679" s="39" t="str">
        <f aca="false">IF(ISNUMBER(MATCH(G1679,Products!$A$5:$A$24,0)),"OK","Mismatch")</f>
        <v>OK</v>
      </c>
      <c r="I1679" s="39" t="str">
        <f aca="false">IF(COUNTIF($A$5:A1679,A1679)&gt;1,"Duplicate","Unique")</f>
        <v>Duplicate</v>
      </c>
      <c r="J1679" s="39" t="str">
        <f aca="false">IF(I1679="Duplicate","Remove",IF(H1679="Mismatch","Exclude","Keep"))</f>
        <v>Remove</v>
      </c>
    </row>
    <row r="1680" customFormat="false" ht="15" hidden="false" customHeight="false" outlineLevel="0" collapsed="false">
      <c r="A1680" s="39" t="s">
        <v>1759</v>
      </c>
      <c r="B1680" s="40" t="n">
        <v>45886</v>
      </c>
      <c r="C1680" s="39" t="s">
        <v>139</v>
      </c>
      <c r="D1680" s="39" t="n">
        <v>2</v>
      </c>
      <c r="E1680" s="41" t="n">
        <v>122.97</v>
      </c>
      <c r="F1680" s="39" t="s">
        <v>115</v>
      </c>
      <c r="G1680" s="39" t="str">
        <f aca="false">UPPER(TRIM(C1680))</f>
        <v>P006</v>
      </c>
      <c r="H1680" s="39" t="str">
        <f aca="false">IF(ISNUMBER(MATCH(G1680,Products!$A$5:$A$24,0)),"OK","Mismatch")</f>
        <v>OK</v>
      </c>
      <c r="I1680" s="39" t="str">
        <f aca="false">IF(COUNTIF($A$5:A1680,A1680)&gt;1,"Duplicate","Unique")</f>
        <v>Unique</v>
      </c>
      <c r="J1680" s="39" t="str">
        <f aca="false">IF(I1680="Duplicate","Remove",IF(H1680="Mismatch","Exclude","Keep"))</f>
        <v>Keep</v>
      </c>
    </row>
    <row r="1681" customFormat="false" ht="15" hidden="false" customHeight="false" outlineLevel="0" collapsed="false">
      <c r="A1681" s="39" t="s">
        <v>1759</v>
      </c>
      <c r="B1681" s="40" t="n">
        <v>45886</v>
      </c>
      <c r="C1681" s="39" t="s">
        <v>139</v>
      </c>
      <c r="D1681" s="39" t="n">
        <v>2</v>
      </c>
      <c r="E1681" s="41" t="n">
        <v>122.97</v>
      </c>
      <c r="F1681" s="39" t="s">
        <v>115</v>
      </c>
      <c r="G1681" s="39" t="str">
        <f aca="false">UPPER(TRIM(C1681))</f>
        <v>P006</v>
      </c>
      <c r="H1681" s="39" t="str">
        <f aca="false">IF(ISNUMBER(MATCH(G1681,Products!$A$5:$A$24,0)),"OK","Mismatch")</f>
        <v>OK</v>
      </c>
      <c r="I1681" s="39" t="str">
        <f aca="false">IF(COUNTIF($A$5:A1681,A1681)&gt;1,"Duplicate","Unique")</f>
        <v>Duplicate</v>
      </c>
      <c r="J1681" s="39" t="str">
        <f aca="false">IF(I1681="Duplicate","Remove",IF(H1681="Mismatch","Exclude","Keep"))</f>
        <v>Remove</v>
      </c>
    </row>
    <row r="1682" customFormat="false" ht="15" hidden="false" customHeight="false" outlineLevel="0" collapsed="false">
      <c r="A1682" s="39" t="s">
        <v>1760</v>
      </c>
      <c r="B1682" s="40" t="n">
        <v>45886</v>
      </c>
      <c r="C1682" s="39" t="s">
        <v>153</v>
      </c>
      <c r="D1682" s="39" t="n">
        <v>2</v>
      </c>
      <c r="E1682" s="41" t="n">
        <v>169.7</v>
      </c>
      <c r="F1682" s="39" t="s">
        <v>105</v>
      </c>
      <c r="G1682" s="39" t="str">
        <f aca="false">UPPER(TRIM(C1682))</f>
        <v>P010</v>
      </c>
      <c r="H1682" s="39" t="str">
        <f aca="false">IF(ISNUMBER(MATCH(G1682,Products!$A$5:$A$24,0)),"OK","Mismatch")</f>
        <v>OK</v>
      </c>
      <c r="I1682" s="39" t="str">
        <f aca="false">IF(COUNTIF($A$5:A1682,A1682)&gt;1,"Duplicate","Unique")</f>
        <v>Unique</v>
      </c>
      <c r="J1682" s="39" t="str">
        <f aca="false">IF(I1682="Duplicate","Remove",IF(H1682="Mismatch","Exclude","Keep"))</f>
        <v>Keep</v>
      </c>
    </row>
    <row r="1683" customFormat="false" ht="15" hidden="false" customHeight="false" outlineLevel="0" collapsed="false">
      <c r="A1683" s="39" t="s">
        <v>1761</v>
      </c>
      <c r="B1683" s="40" t="n">
        <v>45886</v>
      </c>
      <c r="C1683" s="39" t="s">
        <v>144</v>
      </c>
      <c r="D1683" s="39" t="n">
        <v>3</v>
      </c>
      <c r="E1683" s="41" t="n">
        <v>55.5</v>
      </c>
      <c r="F1683" s="39" t="s">
        <v>108</v>
      </c>
      <c r="G1683" s="39" t="str">
        <f aca="false">UPPER(TRIM(C1683))</f>
        <v>P013</v>
      </c>
      <c r="H1683" s="39" t="str">
        <f aca="false">IF(ISNUMBER(MATCH(G1683,Products!$A$5:$A$24,0)),"OK","Mismatch")</f>
        <v>OK</v>
      </c>
      <c r="I1683" s="39" t="str">
        <f aca="false">IF(COUNTIF($A$5:A1683,A1683)&gt;1,"Duplicate","Unique")</f>
        <v>Unique</v>
      </c>
      <c r="J1683" s="39" t="str">
        <f aca="false">IF(I1683="Duplicate","Remove",IF(H1683="Mismatch","Exclude","Keep"))</f>
        <v>Keep</v>
      </c>
    </row>
    <row r="1684" customFormat="false" ht="15" hidden="false" customHeight="false" outlineLevel="0" collapsed="false">
      <c r="A1684" s="39" t="s">
        <v>1762</v>
      </c>
      <c r="B1684" s="40" t="n">
        <v>45886</v>
      </c>
      <c r="C1684" s="39" t="s">
        <v>126</v>
      </c>
      <c r="D1684" s="39" t="n">
        <v>1</v>
      </c>
      <c r="E1684" s="41" t="n">
        <v>23.26</v>
      </c>
      <c r="F1684" s="39" t="s">
        <v>118</v>
      </c>
      <c r="G1684" s="39" t="str">
        <f aca="false">UPPER(TRIM(C1684))</f>
        <v>P001</v>
      </c>
      <c r="H1684" s="39" t="str">
        <f aca="false">IF(ISNUMBER(MATCH(G1684,Products!$A$5:$A$24,0)),"OK","Mismatch")</f>
        <v>OK</v>
      </c>
      <c r="I1684" s="39" t="str">
        <f aca="false">IF(COUNTIF($A$5:A1684,A1684)&gt;1,"Duplicate","Unique")</f>
        <v>Unique</v>
      </c>
      <c r="J1684" s="39" t="str">
        <f aca="false">IF(I1684="Duplicate","Remove",IF(H1684="Mismatch","Exclude","Keep"))</f>
        <v>Keep</v>
      </c>
    </row>
    <row r="1685" customFormat="false" ht="15" hidden="false" customHeight="false" outlineLevel="0" collapsed="false">
      <c r="A1685" s="39" t="s">
        <v>1763</v>
      </c>
      <c r="B1685" s="40" t="n">
        <v>45886</v>
      </c>
      <c r="C1685" s="39" t="s">
        <v>128</v>
      </c>
      <c r="D1685" s="39" t="n">
        <v>1</v>
      </c>
      <c r="E1685" s="41" t="n">
        <v>37.35</v>
      </c>
      <c r="F1685" s="39" t="s">
        <v>108</v>
      </c>
      <c r="G1685" s="39" t="str">
        <f aca="false">UPPER(TRIM(C1685))</f>
        <v>P020</v>
      </c>
      <c r="H1685" s="39" t="str">
        <f aca="false">IF(ISNUMBER(MATCH(G1685,Products!$A$5:$A$24,0)),"OK","Mismatch")</f>
        <v>OK</v>
      </c>
      <c r="I1685" s="39" t="str">
        <f aca="false">IF(COUNTIF($A$5:A1685,A1685)&gt;1,"Duplicate","Unique")</f>
        <v>Unique</v>
      </c>
      <c r="J1685" s="39" t="str">
        <f aca="false">IF(I1685="Duplicate","Remove",IF(H1685="Mismatch","Exclude","Keep"))</f>
        <v>Keep</v>
      </c>
    </row>
    <row r="1686" customFormat="false" ht="15" hidden="false" customHeight="false" outlineLevel="0" collapsed="false">
      <c r="A1686" s="39" t="s">
        <v>1764</v>
      </c>
      <c r="B1686" s="40" t="n">
        <v>45886</v>
      </c>
      <c r="C1686" s="39" t="s">
        <v>169</v>
      </c>
      <c r="D1686" s="39" t="n">
        <v>4</v>
      </c>
      <c r="E1686" s="41" t="n">
        <v>27.28</v>
      </c>
      <c r="F1686" s="39" t="s">
        <v>115</v>
      </c>
      <c r="G1686" s="39" t="str">
        <f aca="false">UPPER(TRIM(C1686))</f>
        <v>P004</v>
      </c>
      <c r="H1686" s="39" t="str">
        <f aca="false">IF(ISNUMBER(MATCH(G1686,Products!$A$5:$A$24,0)),"OK","Mismatch")</f>
        <v>OK</v>
      </c>
      <c r="I1686" s="39" t="str">
        <f aca="false">IF(COUNTIF($A$5:A1686,A1686)&gt;1,"Duplicate","Unique")</f>
        <v>Unique</v>
      </c>
      <c r="J1686" s="39" t="str">
        <f aca="false">IF(I1686="Duplicate","Remove",IF(H1686="Mismatch","Exclude","Keep"))</f>
        <v>Keep</v>
      </c>
    </row>
    <row r="1687" customFormat="false" ht="15" hidden="false" customHeight="false" outlineLevel="0" collapsed="false">
      <c r="A1687" s="39" t="s">
        <v>1765</v>
      </c>
      <c r="B1687" s="40" t="n">
        <v>45887</v>
      </c>
      <c r="C1687" s="39" t="s">
        <v>110</v>
      </c>
      <c r="D1687" s="39" t="n">
        <v>2</v>
      </c>
      <c r="E1687" s="41" t="n">
        <v>13.01</v>
      </c>
      <c r="F1687" s="39" t="s">
        <v>108</v>
      </c>
      <c r="G1687" s="39" t="str">
        <f aca="false">UPPER(TRIM(C1687))</f>
        <v>P016</v>
      </c>
      <c r="H1687" s="39" t="str">
        <f aca="false">IF(ISNUMBER(MATCH(G1687,Products!$A$5:$A$24,0)),"OK","Mismatch")</f>
        <v>OK</v>
      </c>
      <c r="I1687" s="39" t="str">
        <f aca="false">IF(COUNTIF($A$5:A1687,A1687)&gt;1,"Duplicate","Unique")</f>
        <v>Unique</v>
      </c>
      <c r="J1687" s="39" t="str">
        <f aca="false">IF(I1687="Duplicate","Remove",IF(H1687="Mismatch","Exclude","Keep"))</f>
        <v>Keep</v>
      </c>
    </row>
    <row r="1688" customFormat="false" ht="15" hidden="false" customHeight="false" outlineLevel="0" collapsed="false">
      <c r="A1688" s="39" t="s">
        <v>1766</v>
      </c>
      <c r="B1688" s="40" t="n">
        <v>45887</v>
      </c>
      <c r="C1688" s="39" t="s">
        <v>114</v>
      </c>
      <c r="D1688" s="39" t="n">
        <v>2</v>
      </c>
      <c r="E1688" s="41" t="n">
        <v>5.76</v>
      </c>
      <c r="F1688" s="39" t="s">
        <v>105</v>
      </c>
      <c r="G1688" s="39" t="str">
        <f aca="false">UPPER(TRIM(C1688))</f>
        <v>P012</v>
      </c>
      <c r="H1688" s="39" t="str">
        <f aca="false">IF(ISNUMBER(MATCH(G1688,Products!$A$5:$A$24,0)),"OK","Mismatch")</f>
        <v>OK</v>
      </c>
      <c r="I1688" s="39" t="str">
        <f aca="false">IF(COUNTIF($A$5:A1688,A1688)&gt;1,"Duplicate","Unique")</f>
        <v>Unique</v>
      </c>
      <c r="J1688" s="39" t="str">
        <f aca="false">IF(I1688="Duplicate","Remove",IF(H1688="Mismatch","Exclude","Keep"))</f>
        <v>Keep</v>
      </c>
    </row>
    <row r="1689" customFormat="false" ht="15" hidden="false" customHeight="false" outlineLevel="0" collapsed="false">
      <c r="A1689" s="39" t="s">
        <v>1767</v>
      </c>
      <c r="B1689" s="40" t="n">
        <v>45887</v>
      </c>
      <c r="C1689" s="39" t="s">
        <v>107</v>
      </c>
      <c r="D1689" s="39" t="n">
        <v>3</v>
      </c>
      <c r="E1689" s="41" t="n">
        <v>34.41</v>
      </c>
      <c r="F1689" s="39" t="s">
        <v>108</v>
      </c>
      <c r="G1689" s="39" t="str">
        <f aca="false">UPPER(TRIM(C1689))</f>
        <v>P003</v>
      </c>
      <c r="H1689" s="39" t="str">
        <f aca="false">IF(ISNUMBER(MATCH(G1689,Products!$A$5:$A$24,0)),"OK","Mismatch")</f>
        <v>OK</v>
      </c>
      <c r="I1689" s="39" t="str">
        <f aca="false">IF(COUNTIF($A$5:A1689,A1689)&gt;1,"Duplicate","Unique")</f>
        <v>Unique</v>
      </c>
      <c r="J1689" s="39" t="str">
        <f aca="false">IF(I1689="Duplicate","Remove",IF(H1689="Mismatch","Exclude","Keep"))</f>
        <v>Keep</v>
      </c>
    </row>
    <row r="1690" customFormat="false" ht="15" hidden="false" customHeight="false" outlineLevel="0" collapsed="false">
      <c r="A1690" s="39" t="s">
        <v>1767</v>
      </c>
      <c r="B1690" s="40" t="n">
        <v>45887</v>
      </c>
      <c r="C1690" s="39" t="s">
        <v>107</v>
      </c>
      <c r="D1690" s="39" t="n">
        <v>3</v>
      </c>
      <c r="E1690" s="41" t="n">
        <v>34.41</v>
      </c>
      <c r="F1690" s="39" t="s">
        <v>108</v>
      </c>
      <c r="G1690" s="39" t="str">
        <f aca="false">UPPER(TRIM(C1690))</f>
        <v>P003</v>
      </c>
      <c r="H1690" s="39" t="str">
        <f aca="false">IF(ISNUMBER(MATCH(G1690,Products!$A$5:$A$24,0)),"OK","Mismatch")</f>
        <v>OK</v>
      </c>
      <c r="I1690" s="39" t="str">
        <f aca="false">IF(COUNTIF($A$5:A1690,A1690)&gt;1,"Duplicate","Unique")</f>
        <v>Duplicate</v>
      </c>
      <c r="J1690" s="39" t="str">
        <f aca="false">IF(I1690="Duplicate","Remove",IF(H1690="Mismatch","Exclude","Keep"))</f>
        <v>Remove</v>
      </c>
    </row>
    <row r="1691" customFormat="false" ht="15" hidden="false" customHeight="false" outlineLevel="0" collapsed="false">
      <c r="A1691" s="39" t="s">
        <v>1768</v>
      </c>
      <c r="B1691" s="40" t="n">
        <v>45887</v>
      </c>
      <c r="C1691" s="39" t="s">
        <v>133</v>
      </c>
      <c r="D1691" s="39" t="n">
        <v>1</v>
      </c>
      <c r="E1691" s="41" t="n">
        <v>8.7</v>
      </c>
      <c r="F1691" s="39" t="s">
        <v>118</v>
      </c>
      <c r="G1691" s="39" t="str">
        <f aca="false">UPPER(TRIM(C1691))</f>
        <v>P019</v>
      </c>
      <c r="H1691" s="39" t="str">
        <f aca="false">IF(ISNUMBER(MATCH(G1691,Products!$A$5:$A$24,0)),"OK","Mismatch")</f>
        <v>OK</v>
      </c>
      <c r="I1691" s="39" t="str">
        <f aca="false">IF(COUNTIF($A$5:A1691,A1691)&gt;1,"Duplicate","Unique")</f>
        <v>Unique</v>
      </c>
      <c r="J1691" s="39" t="str">
        <f aca="false">IF(I1691="Duplicate","Remove",IF(H1691="Mismatch","Exclude","Keep"))</f>
        <v>Keep</v>
      </c>
    </row>
    <row r="1692" customFormat="false" ht="15" hidden="false" customHeight="false" outlineLevel="0" collapsed="false">
      <c r="A1692" s="39" t="s">
        <v>1769</v>
      </c>
      <c r="B1692" s="40" t="n">
        <v>45887</v>
      </c>
      <c r="C1692" s="39" t="s">
        <v>114</v>
      </c>
      <c r="D1692" s="39" t="n">
        <v>4</v>
      </c>
      <c r="E1692" s="41" t="n">
        <v>5.67</v>
      </c>
      <c r="F1692" s="39" t="s">
        <v>118</v>
      </c>
      <c r="G1692" s="39" t="str">
        <f aca="false">UPPER(TRIM(C1692))</f>
        <v>P012</v>
      </c>
      <c r="H1692" s="39" t="str">
        <f aca="false">IF(ISNUMBER(MATCH(G1692,Products!$A$5:$A$24,0)),"OK","Mismatch")</f>
        <v>OK</v>
      </c>
      <c r="I1692" s="39" t="str">
        <f aca="false">IF(COUNTIF($A$5:A1692,A1692)&gt;1,"Duplicate","Unique")</f>
        <v>Unique</v>
      </c>
      <c r="J1692" s="39" t="str">
        <f aca="false">IF(I1692="Duplicate","Remove",IF(H1692="Mismatch","Exclude","Keep"))</f>
        <v>Keep</v>
      </c>
    </row>
    <row r="1693" customFormat="false" ht="15" hidden="false" customHeight="false" outlineLevel="0" collapsed="false">
      <c r="A1693" s="39" t="s">
        <v>1770</v>
      </c>
      <c r="B1693" s="40" t="n">
        <v>45887</v>
      </c>
      <c r="C1693" s="39" t="s">
        <v>117</v>
      </c>
      <c r="D1693" s="39" t="n">
        <v>4</v>
      </c>
      <c r="E1693" s="41" t="n">
        <v>31.67</v>
      </c>
      <c r="F1693" s="39" t="s">
        <v>115</v>
      </c>
      <c r="G1693" s="39" t="str">
        <f aca="false">UPPER(TRIM(C1693))</f>
        <v>P009</v>
      </c>
      <c r="H1693" s="39" t="str">
        <f aca="false">IF(ISNUMBER(MATCH(G1693,Products!$A$5:$A$24,0)),"OK","Mismatch")</f>
        <v>OK</v>
      </c>
      <c r="I1693" s="39" t="str">
        <f aca="false">IF(COUNTIF($A$5:A1693,A1693)&gt;1,"Duplicate","Unique")</f>
        <v>Unique</v>
      </c>
      <c r="J1693" s="39" t="str">
        <f aca="false">IF(I1693="Duplicate","Remove",IF(H1693="Mismatch","Exclude","Keep"))</f>
        <v>Keep</v>
      </c>
    </row>
    <row r="1694" customFormat="false" ht="15" hidden="false" customHeight="false" outlineLevel="0" collapsed="false">
      <c r="A1694" s="39" t="s">
        <v>1771</v>
      </c>
      <c r="B1694" s="40" t="n">
        <v>45887</v>
      </c>
      <c r="C1694" s="39" t="s">
        <v>110</v>
      </c>
      <c r="D1694" s="39" t="n">
        <v>2</v>
      </c>
      <c r="E1694" s="41" t="n">
        <v>13.55</v>
      </c>
      <c r="F1694" s="39" t="s">
        <v>118</v>
      </c>
      <c r="G1694" s="39" t="str">
        <f aca="false">UPPER(TRIM(C1694))</f>
        <v>P016</v>
      </c>
      <c r="H1694" s="39" t="str">
        <f aca="false">IF(ISNUMBER(MATCH(G1694,Products!$A$5:$A$24,0)),"OK","Mismatch")</f>
        <v>OK</v>
      </c>
      <c r="I1694" s="39" t="str">
        <f aca="false">IF(COUNTIF($A$5:A1694,A1694)&gt;1,"Duplicate","Unique")</f>
        <v>Unique</v>
      </c>
      <c r="J1694" s="39" t="str">
        <f aca="false">IF(I1694="Duplicate","Remove",IF(H1694="Mismatch","Exclude","Keep"))</f>
        <v>Keep</v>
      </c>
    </row>
    <row r="1695" customFormat="false" ht="15" hidden="false" customHeight="false" outlineLevel="0" collapsed="false">
      <c r="A1695" s="39" t="s">
        <v>1772</v>
      </c>
      <c r="B1695" s="40" t="n">
        <v>45887</v>
      </c>
      <c r="C1695" s="39" t="s">
        <v>126</v>
      </c>
      <c r="D1695" s="39" t="n">
        <v>5</v>
      </c>
      <c r="E1695" s="41" t="n">
        <v>24.64</v>
      </c>
      <c r="F1695" s="39" t="s">
        <v>108</v>
      </c>
      <c r="G1695" s="39" t="str">
        <f aca="false">UPPER(TRIM(C1695))</f>
        <v>P001</v>
      </c>
      <c r="H1695" s="39" t="str">
        <f aca="false">IF(ISNUMBER(MATCH(G1695,Products!$A$5:$A$24,0)),"OK","Mismatch")</f>
        <v>OK</v>
      </c>
      <c r="I1695" s="39" t="str">
        <f aca="false">IF(COUNTIF($A$5:A1695,A1695)&gt;1,"Duplicate","Unique")</f>
        <v>Unique</v>
      </c>
      <c r="J1695" s="39" t="str">
        <f aca="false">IF(I1695="Duplicate","Remove",IF(H1695="Mismatch","Exclude","Keep"))</f>
        <v>Keep</v>
      </c>
    </row>
    <row r="1696" customFormat="false" ht="15" hidden="false" customHeight="false" outlineLevel="0" collapsed="false">
      <c r="A1696" s="39" t="s">
        <v>1773</v>
      </c>
      <c r="B1696" s="40" t="n">
        <v>45887</v>
      </c>
      <c r="C1696" s="39" t="s">
        <v>117</v>
      </c>
      <c r="D1696" s="39" t="n">
        <v>2</v>
      </c>
      <c r="E1696" s="41" t="n">
        <v>30.06</v>
      </c>
      <c r="F1696" s="39" t="s">
        <v>115</v>
      </c>
      <c r="G1696" s="39" t="str">
        <f aca="false">UPPER(TRIM(C1696))</f>
        <v>P009</v>
      </c>
      <c r="H1696" s="39" t="str">
        <f aca="false">IF(ISNUMBER(MATCH(G1696,Products!$A$5:$A$24,0)),"OK","Mismatch")</f>
        <v>OK</v>
      </c>
      <c r="I1696" s="39" t="str">
        <f aca="false">IF(COUNTIF($A$5:A1696,A1696)&gt;1,"Duplicate","Unique")</f>
        <v>Unique</v>
      </c>
      <c r="J1696" s="39" t="str">
        <f aca="false">IF(I1696="Duplicate","Remove",IF(H1696="Mismatch","Exclude","Keep"))</f>
        <v>Keep</v>
      </c>
    </row>
    <row r="1697" customFormat="false" ht="15" hidden="false" customHeight="false" outlineLevel="0" collapsed="false">
      <c r="A1697" s="39" t="s">
        <v>1774</v>
      </c>
      <c r="B1697" s="40" t="n">
        <v>45887</v>
      </c>
      <c r="C1697" s="39" t="s">
        <v>139</v>
      </c>
      <c r="D1697" s="39" t="n">
        <v>5</v>
      </c>
      <c r="E1697" s="41" t="n">
        <v>125.59</v>
      </c>
      <c r="F1697" s="39" t="s">
        <v>108</v>
      </c>
      <c r="G1697" s="39" t="str">
        <f aca="false">UPPER(TRIM(C1697))</f>
        <v>P006</v>
      </c>
      <c r="H1697" s="39" t="str">
        <f aca="false">IF(ISNUMBER(MATCH(G1697,Products!$A$5:$A$24,0)),"OK","Mismatch")</f>
        <v>OK</v>
      </c>
      <c r="I1697" s="39" t="str">
        <f aca="false">IF(COUNTIF($A$5:A1697,A1697)&gt;1,"Duplicate","Unique")</f>
        <v>Unique</v>
      </c>
      <c r="J1697" s="39" t="str">
        <f aca="false">IF(I1697="Duplicate","Remove",IF(H1697="Mismatch","Exclude","Keep"))</f>
        <v>Keep</v>
      </c>
    </row>
    <row r="1698" customFormat="false" ht="15" hidden="false" customHeight="false" outlineLevel="0" collapsed="false">
      <c r="A1698" s="39" t="s">
        <v>1775</v>
      </c>
      <c r="B1698" s="40" t="n">
        <v>45888</v>
      </c>
      <c r="C1698" s="39" t="s">
        <v>107</v>
      </c>
      <c r="D1698" s="39" t="n">
        <v>2</v>
      </c>
      <c r="E1698" s="41" t="n">
        <v>34.66</v>
      </c>
      <c r="F1698" s="39" t="s">
        <v>105</v>
      </c>
      <c r="G1698" s="39" t="str">
        <f aca="false">UPPER(TRIM(C1698))</f>
        <v>P003</v>
      </c>
      <c r="H1698" s="39" t="str">
        <f aca="false">IF(ISNUMBER(MATCH(G1698,Products!$A$5:$A$24,0)),"OK","Mismatch")</f>
        <v>OK</v>
      </c>
      <c r="I1698" s="39" t="str">
        <f aca="false">IF(COUNTIF($A$5:A1698,A1698)&gt;1,"Duplicate","Unique")</f>
        <v>Unique</v>
      </c>
      <c r="J1698" s="39" t="str">
        <f aca="false">IF(I1698="Duplicate","Remove",IF(H1698="Mismatch","Exclude","Keep"))</f>
        <v>Keep</v>
      </c>
    </row>
    <row r="1699" customFormat="false" ht="15" hidden="false" customHeight="false" outlineLevel="0" collapsed="false">
      <c r="A1699" s="39" t="s">
        <v>1776</v>
      </c>
      <c r="B1699" s="40" t="n">
        <v>45888</v>
      </c>
      <c r="C1699" s="39" t="s">
        <v>126</v>
      </c>
      <c r="D1699" s="39" t="n">
        <v>1</v>
      </c>
      <c r="E1699" s="41" t="n">
        <v>23.77</v>
      </c>
      <c r="F1699" s="39" t="s">
        <v>115</v>
      </c>
      <c r="G1699" s="39" t="str">
        <f aca="false">UPPER(TRIM(C1699))</f>
        <v>P001</v>
      </c>
      <c r="H1699" s="39" t="str">
        <f aca="false">IF(ISNUMBER(MATCH(G1699,Products!$A$5:$A$24,0)),"OK","Mismatch")</f>
        <v>OK</v>
      </c>
      <c r="I1699" s="39" t="str">
        <f aca="false">IF(COUNTIF($A$5:A1699,A1699)&gt;1,"Duplicate","Unique")</f>
        <v>Unique</v>
      </c>
      <c r="J1699" s="39" t="str">
        <f aca="false">IF(I1699="Duplicate","Remove",IF(H1699="Mismatch","Exclude","Keep"))</f>
        <v>Keep</v>
      </c>
    </row>
    <row r="1700" customFormat="false" ht="15" hidden="false" customHeight="false" outlineLevel="0" collapsed="false">
      <c r="A1700" s="39" t="s">
        <v>1777</v>
      </c>
      <c r="B1700" s="40" t="n">
        <v>45888</v>
      </c>
      <c r="C1700" s="39" t="s">
        <v>110</v>
      </c>
      <c r="D1700" s="39" t="n">
        <v>4</v>
      </c>
      <c r="E1700" s="41" t="n">
        <v>13.46</v>
      </c>
      <c r="F1700" s="39" t="s">
        <v>105</v>
      </c>
      <c r="G1700" s="39" t="str">
        <f aca="false">UPPER(TRIM(C1700))</f>
        <v>P016</v>
      </c>
      <c r="H1700" s="39" t="str">
        <f aca="false">IF(ISNUMBER(MATCH(G1700,Products!$A$5:$A$24,0)),"OK","Mismatch")</f>
        <v>OK</v>
      </c>
      <c r="I1700" s="39" t="str">
        <f aca="false">IF(COUNTIF($A$5:A1700,A1700)&gt;1,"Duplicate","Unique")</f>
        <v>Unique</v>
      </c>
      <c r="J1700" s="39" t="str">
        <f aca="false">IF(I1700="Duplicate","Remove",IF(H1700="Mismatch","Exclude","Keep"))</f>
        <v>Keep</v>
      </c>
    </row>
    <row r="1701" customFormat="false" ht="15" hidden="false" customHeight="false" outlineLevel="0" collapsed="false">
      <c r="A1701" s="39" t="s">
        <v>1778</v>
      </c>
      <c r="B1701" s="40" t="n">
        <v>45888</v>
      </c>
      <c r="C1701" s="39" t="s">
        <v>305</v>
      </c>
      <c r="D1701" s="39" t="n">
        <v>2</v>
      </c>
      <c r="E1701" s="41" t="n">
        <v>341.47</v>
      </c>
      <c r="F1701" s="39" t="s">
        <v>108</v>
      </c>
      <c r="G1701" s="39" t="str">
        <f aca="false">UPPER(TRIM(C1701))</f>
        <v>P008</v>
      </c>
      <c r="H1701" s="39" t="str">
        <f aca="false">IF(ISNUMBER(MATCH(G1701,Products!$A$5:$A$24,0)),"OK","Mismatch")</f>
        <v>OK</v>
      </c>
      <c r="I1701" s="39" t="str">
        <f aca="false">IF(COUNTIF($A$5:A1701,A1701)&gt;1,"Duplicate","Unique")</f>
        <v>Unique</v>
      </c>
      <c r="J1701" s="39" t="str">
        <f aca="false">IF(I1701="Duplicate","Remove",IF(H1701="Mismatch","Exclude","Keep"))</f>
        <v>Keep</v>
      </c>
    </row>
    <row r="1702" customFormat="false" ht="15" hidden="false" customHeight="false" outlineLevel="0" collapsed="false">
      <c r="A1702" s="39" t="s">
        <v>1779</v>
      </c>
      <c r="B1702" s="40" t="n">
        <v>45888</v>
      </c>
      <c r="C1702" s="39" t="s">
        <v>117</v>
      </c>
      <c r="D1702" s="39" t="n">
        <v>2</v>
      </c>
      <c r="E1702" s="41" t="n">
        <v>31.62</v>
      </c>
      <c r="F1702" s="39" t="s">
        <v>108</v>
      </c>
      <c r="G1702" s="39" t="str">
        <f aca="false">UPPER(TRIM(C1702))</f>
        <v>P009</v>
      </c>
      <c r="H1702" s="39" t="str">
        <f aca="false">IF(ISNUMBER(MATCH(G1702,Products!$A$5:$A$24,0)),"OK","Mismatch")</f>
        <v>OK</v>
      </c>
      <c r="I1702" s="39" t="str">
        <f aca="false">IF(COUNTIF($A$5:A1702,A1702)&gt;1,"Duplicate","Unique")</f>
        <v>Unique</v>
      </c>
      <c r="J1702" s="39" t="str">
        <f aca="false">IF(I1702="Duplicate","Remove",IF(H1702="Mismatch","Exclude","Keep"))</f>
        <v>Keep</v>
      </c>
    </row>
    <row r="1703" customFormat="false" ht="15" hidden="false" customHeight="false" outlineLevel="0" collapsed="false">
      <c r="A1703" s="39" t="s">
        <v>1780</v>
      </c>
      <c r="B1703" s="40" t="n">
        <v>45888</v>
      </c>
      <c r="C1703" s="39" t="s">
        <v>133</v>
      </c>
      <c r="D1703" s="39" t="n">
        <v>2</v>
      </c>
      <c r="E1703" s="41" t="n">
        <v>8.29</v>
      </c>
      <c r="F1703" s="39" t="s">
        <v>105</v>
      </c>
      <c r="G1703" s="39" t="str">
        <f aca="false">UPPER(TRIM(C1703))</f>
        <v>P019</v>
      </c>
      <c r="H1703" s="39" t="str">
        <f aca="false">IF(ISNUMBER(MATCH(G1703,Products!$A$5:$A$24,0)),"OK","Mismatch")</f>
        <v>OK</v>
      </c>
      <c r="I1703" s="39" t="str">
        <f aca="false">IF(COUNTIF($A$5:A1703,A1703)&gt;1,"Duplicate","Unique")</f>
        <v>Unique</v>
      </c>
      <c r="J1703" s="39" t="str">
        <f aca="false">IF(I1703="Duplicate","Remove",IF(H1703="Mismatch","Exclude","Keep"))</f>
        <v>Keep</v>
      </c>
    </row>
    <row r="1704" customFormat="false" ht="15" hidden="false" customHeight="false" outlineLevel="0" collapsed="false">
      <c r="A1704" s="39" t="s">
        <v>1781</v>
      </c>
      <c r="B1704" s="40" t="n">
        <v>45888</v>
      </c>
      <c r="C1704" s="39" t="s">
        <v>162</v>
      </c>
      <c r="D1704" s="39" t="n">
        <v>3</v>
      </c>
      <c r="E1704" s="41" t="n">
        <v>65.48</v>
      </c>
      <c r="F1704" s="39" t="s">
        <v>118</v>
      </c>
      <c r="G1704" s="39" t="str">
        <f aca="false">UPPER(TRIM(C1704))</f>
        <v>P017</v>
      </c>
      <c r="H1704" s="39" t="str">
        <f aca="false">IF(ISNUMBER(MATCH(G1704,Products!$A$5:$A$24,0)),"OK","Mismatch")</f>
        <v>OK</v>
      </c>
      <c r="I1704" s="39" t="str">
        <f aca="false">IF(COUNTIF($A$5:A1704,A1704)&gt;1,"Duplicate","Unique")</f>
        <v>Unique</v>
      </c>
      <c r="J1704" s="39" t="str">
        <f aca="false">IF(I1704="Duplicate","Remove",IF(H1704="Mismatch","Exclude","Keep"))</f>
        <v>Keep</v>
      </c>
    </row>
    <row r="1705" customFormat="false" ht="15" hidden="false" customHeight="false" outlineLevel="0" collapsed="false">
      <c r="A1705" s="39" t="s">
        <v>1781</v>
      </c>
      <c r="B1705" s="40" t="n">
        <v>45888</v>
      </c>
      <c r="C1705" s="39" t="s">
        <v>162</v>
      </c>
      <c r="D1705" s="39" t="n">
        <v>3</v>
      </c>
      <c r="E1705" s="41" t="n">
        <v>65.48</v>
      </c>
      <c r="F1705" s="39" t="s">
        <v>118</v>
      </c>
      <c r="G1705" s="39" t="str">
        <f aca="false">UPPER(TRIM(C1705))</f>
        <v>P017</v>
      </c>
      <c r="H1705" s="39" t="str">
        <f aca="false">IF(ISNUMBER(MATCH(G1705,Products!$A$5:$A$24,0)),"OK","Mismatch")</f>
        <v>OK</v>
      </c>
      <c r="I1705" s="39" t="str">
        <f aca="false">IF(COUNTIF($A$5:A1705,A1705)&gt;1,"Duplicate","Unique")</f>
        <v>Duplicate</v>
      </c>
      <c r="J1705" s="39" t="str">
        <f aca="false">IF(I1705="Duplicate","Remove",IF(H1705="Mismatch","Exclude","Keep"))</f>
        <v>Remove</v>
      </c>
    </row>
    <row r="1706" customFormat="false" ht="15" hidden="false" customHeight="false" outlineLevel="0" collapsed="false">
      <c r="A1706" s="39" t="s">
        <v>1782</v>
      </c>
      <c r="B1706" s="40" t="n">
        <v>45888</v>
      </c>
      <c r="C1706" s="39" t="s">
        <v>144</v>
      </c>
      <c r="D1706" s="39" t="n">
        <v>5</v>
      </c>
      <c r="E1706" s="41" t="n">
        <v>57.52</v>
      </c>
      <c r="F1706" s="39" t="s">
        <v>105</v>
      </c>
      <c r="G1706" s="39" t="str">
        <f aca="false">UPPER(TRIM(C1706))</f>
        <v>P013</v>
      </c>
      <c r="H1706" s="39" t="str">
        <f aca="false">IF(ISNUMBER(MATCH(G1706,Products!$A$5:$A$24,0)),"OK","Mismatch")</f>
        <v>OK</v>
      </c>
      <c r="I1706" s="39" t="str">
        <f aca="false">IF(COUNTIF($A$5:A1706,A1706)&gt;1,"Duplicate","Unique")</f>
        <v>Unique</v>
      </c>
      <c r="J1706" s="39" t="str">
        <f aca="false">IF(I1706="Duplicate","Remove",IF(H1706="Mismatch","Exclude","Keep"))</f>
        <v>Keep</v>
      </c>
    </row>
    <row r="1707" customFormat="false" ht="15" hidden="false" customHeight="false" outlineLevel="0" collapsed="false">
      <c r="A1707" s="39" t="s">
        <v>1783</v>
      </c>
      <c r="B1707" s="40" t="n">
        <v>45889</v>
      </c>
      <c r="C1707" s="39" t="s">
        <v>144</v>
      </c>
      <c r="D1707" s="39" t="n">
        <v>4</v>
      </c>
      <c r="E1707" s="41" t="n">
        <v>55.67</v>
      </c>
      <c r="F1707" s="39" t="s">
        <v>115</v>
      </c>
      <c r="G1707" s="39" t="str">
        <f aca="false">UPPER(TRIM(C1707))</f>
        <v>P013</v>
      </c>
      <c r="H1707" s="39" t="str">
        <f aca="false">IF(ISNUMBER(MATCH(G1707,Products!$A$5:$A$24,0)),"OK","Mismatch")</f>
        <v>OK</v>
      </c>
      <c r="I1707" s="39" t="str">
        <f aca="false">IF(COUNTIF($A$5:A1707,A1707)&gt;1,"Duplicate","Unique")</f>
        <v>Unique</v>
      </c>
      <c r="J1707" s="39" t="str">
        <f aca="false">IF(I1707="Duplicate","Remove",IF(H1707="Mismatch","Exclude","Keep"))</f>
        <v>Keep</v>
      </c>
    </row>
    <row r="1708" customFormat="false" ht="15" hidden="false" customHeight="false" outlineLevel="0" collapsed="false">
      <c r="A1708" s="39" t="s">
        <v>1784</v>
      </c>
      <c r="B1708" s="40" t="n">
        <v>45889</v>
      </c>
      <c r="C1708" s="39" t="s">
        <v>114</v>
      </c>
      <c r="D1708" s="39" t="n">
        <v>1</v>
      </c>
      <c r="E1708" s="41" t="n">
        <v>5.66</v>
      </c>
      <c r="F1708" s="39" t="s">
        <v>115</v>
      </c>
      <c r="G1708" s="39" t="str">
        <f aca="false">UPPER(TRIM(C1708))</f>
        <v>P012</v>
      </c>
      <c r="H1708" s="39" t="str">
        <f aca="false">IF(ISNUMBER(MATCH(G1708,Products!$A$5:$A$24,0)),"OK","Mismatch")</f>
        <v>OK</v>
      </c>
      <c r="I1708" s="39" t="str">
        <f aca="false">IF(COUNTIF($A$5:A1708,A1708)&gt;1,"Duplicate","Unique")</f>
        <v>Unique</v>
      </c>
      <c r="J1708" s="39" t="str">
        <f aca="false">IF(I1708="Duplicate","Remove",IF(H1708="Mismatch","Exclude","Keep"))</f>
        <v>Keep</v>
      </c>
    </row>
    <row r="1709" customFormat="false" ht="15" hidden="false" customHeight="false" outlineLevel="0" collapsed="false">
      <c r="A1709" s="39" t="s">
        <v>1785</v>
      </c>
      <c r="B1709" s="40" t="n">
        <v>45889</v>
      </c>
      <c r="C1709" s="39" t="s">
        <v>117</v>
      </c>
      <c r="D1709" s="39" t="n">
        <v>1</v>
      </c>
      <c r="E1709" s="41" t="n">
        <v>31.21</v>
      </c>
      <c r="F1709" s="39" t="s">
        <v>108</v>
      </c>
      <c r="G1709" s="39" t="str">
        <f aca="false">UPPER(TRIM(C1709))</f>
        <v>P009</v>
      </c>
      <c r="H1709" s="39" t="str">
        <f aca="false">IF(ISNUMBER(MATCH(G1709,Products!$A$5:$A$24,0)),"OK","Mismatch")</f>
        <v>OK</v>
      </c>
      <c r="I1709" s="39" t="str">
        <f aca="false">IF(COUNTIF($A$5:A1709,A1709)&gt;1,"Duplicate","Unique")</f>
        <v>Unique</v>
      </c>
      <c r="J1709" s="39" t="str">
        <f aca="false">IF(I1709="Duplicate","Remove",IF(H1709="Mismatch","Exclude","Keep"))</f>
        <v>Keep</v>
      </c>
    </row>
    <row r="1710" customFormat="false" ht="15" hidden="false" customHeight="false" outlineLevel="0" collapsed="false">
      <c r="A1710" s="39" t="s">
        <v>1786</v>
      </c>
      <c r="B1710" s="40" t="n">
        <v>45889</v>
      </c>
      <c r="C1710" s="39" t="s">
        <v>305</v>
      </c>
      <c r="D1710" s="39" t="n">
        <v>3</v>
      </c>
      <c r="E1710" s="41" t="n">
        <v>321.65</v>
      </c>
      <c r="F1710" s="39" t="s">
        <v>105</v>
      </c>
      <c r="G1710" s="39" t="str">
        <f aca="false">UPPER(TRIM(C1710))</f>
        <v>P008</v>
      </c>
      <c r="H1710" s="39" t="str">
        <f aca="false">IF(ISNUMBER(MATCH(G1710,Products!$A$5:$A$24,0)),"OK","Mismatch")</f>
        <v>OK</v>
      </c>
      <c r="I1710" s="39" t="str">
        <f aca="false">IF(COUNTIF($A$5:A1710,A1710)&gt;1,"Duplicate","Unique")</f>
        <v>Unique</v>
      </c>
      <c r="J1710" s="39" t="str">
        <f aca="false">IF(I1710="Duplicate","Remove",IF(H1710="Mismatch","Exclude","Keep"))</f>
        <v>Keep</v>
      </c>
    </row>
    <row r="1711" customFormat="false" ht="15" hidden="false" customHeight="false" outlineLevel="0" collapsed="false">
      <c r="A1711" s="39" t="s">
        <v>1787</v>
      </c>
      <c r="B1711" s="40" t="n">
        <v>45889</v>
      </c>
      <c r="C1711" s="39" t="s">
        <v>112</v>
      </c>
      <c r="D1711" s="39" t="n">
        <v>2</v>
      </c>
      <c r="E1711" s="41" t="n">
        <v>54.27</v>
      </c>
      <c r="F1711" s="39" t="s">
        <v>105</v>
      </c>
      <c r="G1711" s="39" t="str">
        <f aca="false">UPPER(TRIM(C1711))</f>
        <v>P005</v>
      </c>
      <c r="H1711" s="39" t="str">
        <f aca="false">IF(ISNUMBER(MATCH(G1711,Products!$A$5:$A$24,0)),"OK","Mismatch")</f>
        <v>OK</v>
      </c>
      <c r="I1711" s="39" t="str">
        <f aca="false">IF(COUNTIF($A$5:A1711,A1711)&gt;1,"Duplicate","Unique")</f>
        <v>Unique</v>
      </c>
      <c r="J1711" s="39" t="str">
        <f aca="false">IF(I1711="Duplicate","Remove",IF(H1711="Mismatch","Exclude","Keep"))</f>
        <v>Keep</v>
      </c>
    </row>
    <row r="1712" customFormat="false" ht="15" hidden="false" customHeight="false" outlineLevel="0" collapsed="false">
      <c r="A1712" s="39" t="s">
        <v>1788</v>
      </c>
      <c r="B1712" s="40" t="n">
        <v>45889</v>
      </c>
      <c r="C1712" s="39" t="s">
        <v>114</v>
      </c>
      <c r="D1712" s="39" t="n">
        <v>2</v>
      </c>
      <c r="E1712" s="41" t="n">
        <v>5.79</v>
      </c>
      <c r="F1712" s="39" t="s">
        <v>108</v>
      </c>
      <c r="G1712" s="39" t="str">
        <f aca="false">UPPER(TRIM(C1712))</f>
        <v>P012</v>
      </c>
      <c r="H1712" s="39" t="str">
        <f aca="false">IF(ISNUMBER(MATCH(G1712,Products!$A$5:$A$24,0)),"OK","Mismatch")</f>
        <v>OK</v>
      </c>
      <c r="I1712" s="39" t="str">
        <f aca="false">IF(COUNTIF($A$5:A1712,A1712)&gt;1,"Duplicate","Unique")</f>
        <v>Unique</v>
      </c>
      <c r="J1712" s="39" t="str">
        <f aca="false">IF(I1712="Duplicate","Remove",IF(H1712="Mismatch","Exclude","Keep"))</f>
        <v>Keep</v>
      </c>
    </row>
    <row r="1713" customFormat="false" ht="15" hidden="false" customHeight="false" outlineLevel="0" collapsed="false">
      <c r="A1713" s="39" t="s">
        <v>1789</v>
      </c>
      <c r="B1713" s="40" t="n">
        <v>45890</v>
      </c>
      <c r="C1713" s="39" t="s">
        <v>121</v>
      </c>
      <c r="D1713" s="39" t="n">
        <v>4</v>
      </c>
      <c r="E1713" s="41" t="n">
        <v>117.32</v>
      </c>
      <c r="F1713" s="39" t="s">
        <v>108</v>
      </c>
      <c r="G1713" s="39" t="str">
        <f aca="false">UPPER(TRIM(C1713))</f>
        <v>P018</v>
      </c>
      <c r="H1713" s="39" t="str">
        <f aca="false">IF(ISNUMBER(MATCH(G1713,Products!$A$5:$A$24,0)),"OK","Mismatch")</f>
        <v>OK</v>
      </c>
      <c r="I1713" s="39" t="str">
        <f aca="false">IF(COUNTIF($A$5:A1713,A1713)&gt;1,"Duplicate","Unique")</f>
        <v>Unique</v>
      </c>
      <c r="J1713" s="39" t="str">
        <f aca="false">IF(I1713="Duplicate","Remove",IF(H1713="Mismatch","Exclude","Keep"))</f>
        <v>Keep</v>
      </c>
    </row>
    <row r="1714" customFormat="false" ht="15" hidden="false" customHeight="false" outlineLevel="0" collapsed="false">
      <c r="A1714" s="39" t="s">
        <v>1790</v>
      </c>
      <c r="B1714" s="40" t="n">
        <v>45890</v>
      </c>
      <c r="C1714" s="39" t="s">
        <v>133</v>
      </c>
      <c r="D1714" s="39" t="n">
        <v>2</v>
      </c>
      <c r="E1714" s="41" t="n">
        <v>8.82</v>
      </c>
      <c r="F1714" s="39" t="s">
        <v>115</v>
      </c>
      <c r="G1714" s="39" t="str">
        <f aca="false">UPPER(TRIM(C1714))</f>
        <v>P019</v>
      </c>
      <c r="H1714" s="39" t="str">
        <f aca="false">IF(ISNUMBER(MATCH(G1714,Products!$A$5:$A$24,0)),"OK","Mismatch")</f>
        <v>OK</v>
      </c>
      <c r="I1714" s="39" t="str">
        <f aca="false">IF(COUNTIF($A$5:A1714,A1714)&gt;1,"Duplicate","Unique")</f>
        <v>Unique</v>
      </c>
      <c r="J1714" s="39" t="str">
        <f aca="false">IF(I1714="Duplicate","Remove",IF(H1714="Mismatch","Exclude","Keep"))</f>
        <v>Keep</v>
      </c>
    </row>
    <row r="1715" customFormat="false" ht="15" hidden="false" customHeight="false" outlineLevel="0" collapsed="false">
      <c r="A1715" s="39" t="s">
        <v>1791</v>
      </c>
      <c r="B1715" s="40" t="n">
        <v>45890</v>
      </c>
      <c r="C1715" s="39" t="s">
        <v>130</v>
      </c>
      <c r="D1715" s="39" t="n">
        <v>1</v>
      </c>
      <c r="E1715" s="41" t="n">
        <v>8.66</v>
      </c>
      <c r="F1715" s="39" t="s">
        <v>105</v>
      </c>
      <c r="G1715" s="39" t="str">
        <f aca="false">UPPER(TRIM(C1715))</f>
        <v>P011</v>
      </c>
      <c r="H1715" s="39" t="str">
        <f aca="false">IF(ISNUMBER(MATCH(G1715,Products!$A$5:$A$24,0)),"OK","Mismatch")</f>
        <v>OK</v>
      </c>
      <c r="I1715" s="39" t="str">
        <f aca="false">IF(COUNTIF($A$5:A1715,A1715)&gt;1,"Duplicate","Unique")</f>
        <v>Unique</v>
      </c>
      <c r="J1715" s="39" t="str">
        <f aca="false">IF(I1715="Duplicate","Remove",IF(H1715="Mismatch","Exclude","Keep"))</f>
        <v>Keep</v>
      </c>
    </row>
    <row r="1716" customFormat="false" ht="15" hidden="false" customHeight="false" outlineLevel="0" collapsed="false">
      <c r="A1716" s="39" t="s">
        <v>1792</v>
      </c>
      <c r="B1716" s="40" t="n">
        <v>45890</v>
      </c>
      <c r="C1716" s="39" t="s">
        <v>114</v>
      </c>
      <c r="D1716" s="39" t="n">
        <v>3</v>
      </c>
      <c r="E1716" s="41" t="n">
        <v>5.76</v>
      </c>
      <c r="F1716" s="39" t="s">
        <v>118</v>
      </c>
      <c r="G1716" s="39" t="str">
        <f aca="false">UPPER(TRIM(C1716))</f>
        <v>P012</v>
      </c>
      <c r="H1716" s="39" t="str">
        <f aca="false">IF(ISNUMBER(MATCH(G1716,Products!$A$5:$A$24,0)),"OK","Mismatch")</f>
        <v>OK</v>
      </c>
      <c r="I1716" s="39" t="str">
        <f aca="false">IF(COUNTIF($A$5:A1716,A1716)&gt;1,"Duplicate","Unique")</f>
        <v>Unique</v>
      </c>
      <c r="J1716" s="39" t="str">
        <f aca="false">IF(I1716="Duplicate","Remove",IF(H1716="Mismatch","Exclude","Keep"))</f>
        <v>Keep</v>
      </c>
    </row>
    <row r="1717" customFormat="false" ht="15" hidden="false" customHeight="false" outlineLevel="0" collapsed="false">
      <c r="A1717" s="39" t="s">
        <v>1793</v>
      </c>
      <c r="B1717" s="40" t="n">
        <v>45890</v>
      </c>
      <c r="C1717" s="39" t="s">
        <v>117</v>
      </c>
      <c r="D1717" s="39" t="n">
        <v>1</v>
      </c>
      <c r="E1717" s="41" t="n">
        <v>31.26</v>
      </c>
      <c r="F1717" s="39" t="s">
        <v>115</v>
      </c>
      <c r="G1717" s="39" t="str">
        <f aca="false">UPPER(TRIM(C1717))</f>
        <v>P009</v>
      </c>
      <c r="H1717" s="39" t="str">
        <f aca="false">IF(ISNUMBER(MATCH(G1717,Products!$A$5:$A$24,0)),"OK","Mismatch")</f>
        <v>OK</v>
      </c>
      <c r="I1717" s="39" t="str">
        <f aca="false">IF(COUNTIF($A$5:A1717,A1717)&gt;1,"Duplicate","Unique")</f>
        <v>Unique</v>
      </c>
      <c r="J1717" s="39" t="str">
        <f aca="false">IF(I1717="Duplicate","Remove",IF(H1717="Mismatch","Exclude","Keep"))</f>
        <v>Keep</v>
      </c>
    </row>
    <row r="1718" customFormat="false" ht="15" hidden="false" customHeight="false" outlineLevel="0" collapsed="false">
      <c r="A1718" s="39" t="s">
        <v>1794</v>
      </c>
      <c r="B1718" s="40" t="n">
        <v>45891</v>
      </c>
      <c r="C1718" s="39" t="s">
        <v>121</v>
      </c>
      <c r="D1718" s="39" t="n">
        <v>2</v>
      </c>
      <c r="E1718" s="41" t="n">
        <v>110.71</v>
      </c>
      <c r="F1718" s="39" t="s">
        <v>118</v>
      </c>
      <c r="G1718" s="39" t="str">
        <f aca="false">UPPER(TRIM(C1718))</f>
        <v>P018</v>
      </c>
      <c r="H1718" s="39" t="str">
        <f aca="false">IF(ISNUMBER(MATCH(G1718,Products!$A$5:$A$24,0)),"OK","Mismatch")</f>
        <v>OK</v>
      </c>
      <c r="I1718" s="39" t="str">
        <f aca="false">IF(COUNTIF($A$5:A1718,A1718)&gt;1,"Duplicate","Unique")</f>
        <v>Unique</v>
      </c>
      <c r="J1718" s="39" t="str">
        <f aca="false">IF(I1718="Duplicate","Remove",IF(H1718="Mismatch","Exclude","Keep"))</f>
        <v>Keep</v>
      </c>
    </row>
    <row r="1719" customFormat="false" ht="15" hidden="false" customHeight="false" outlineLevel="0" collapsed="false">
      <c r="A1719" s="39" t="s">
        <v>1795</v>
      </c>
      <c r="B1719" s="40" t="n">
        <v>45891</v>
      </c>
      <c r="C1719" s="39" t="s">
        <v>114</v>
      </c>
      <c r="D1719" s="39" t="n">
        <v>1</v>
      </c>
      <c r="E1719" s="41" t="n">
        <v>5.57</v>
      </c>
      <c r="F1719" s="39" t="s">
        <v>115</v>
      </c>
      <c r="G1719" s="39" t="str">
        <f aca="false">UPPER(TRIM(C1719))</f>
        <v>P012</v>
      </c>
      <c r="H1719" s="39" t="str">
        <f aca="false">IF(ISNUMBER(MATCH(G1719,Products!$A$5:$A$24,0)),"OK","Mismatch")</f>
        <v>OK</v>
      </c>
      <c r="I1719" s="39" t="str">
        <f aca="false">IF(COUNTIF($A$5:A1719,A1719)&gt;1,"Duplicate","Unique")</f>
        <v>Unique</v>
      </c>
      <c r="J1719" s="39" t="str">
        <f aca="false">IF(I1719="Duplicate","Remove",IF(H1719="Mismatch","Exclude","Keep"))</f>
        <v>Keep</v>
      </c>
    </row>
    <row r="1720" customFormat="false" ht="15" hidden="false" customHeight="false" outlineLevel="0" collapsed="false">
      <c r="A1720" s="39" t="s">
        <v>1796</v>
      </c>
      <c r="B1720" s="40" t="n">
        <v>45891</v>
      </c>
      <c r="C1720" s="39" t="s">
        <v>183</v>
      </c>
      <c r="D1720" s="39" t="n">
        <v>8</v>
      </c>
      <c r="E1720" s="41" t="n">
        <v>176.62</v>
      </c>
      <c r="F1720" s="39" t="s">
        <v>118</v>
      </c>
      <c r="G1720" s="39" t="str">
        <f aca="false">UPPER(TRIM(C1720))</f>
        <v>P007</v>
      </c>
      <c r="H1720" s="39" t="str">
        <f aca="false">IF(ISNUMBER(MATCH(G1720,Products!$A$5:$A$24,0)),"OK","Mismatch")</f>
        <v>OK</v>
      </c>
      <c r="I1720" s="39" t="str">
        <f aca="false">IF(COUNTIF($A$5:A1720,A1720)&gt;1,"Duplicate","Unique")</f>
        <v>Unique</v>
      </c>
      <c r="J1720" s="39" t="str">
        <f aca="false">IF(I1720="Duplicate","Remove",IF(H1720="Mismatch","Exclude","Keep"))</f>
        <v>Keep</v>
      </c>
    </row>
    <row r="1721" customFormat="false" ht="15" hidden="false" customHeight="false" outlineLevel="0" collapsed="false">
      <c r="A1721" s="39" t="s">
        <v>1797</v>
      </c>
      <c r="B1721" s="40" t="n">
        <v>45891</v>
      </c>
      <c r="C1721" s="39" t="s">
        <v>136</v>
      </c>
      <c r="D1721" s="39" t="n">
        <v>3</v>
      </c>
      <c r="E1721" s="41" t="n">
        <v>74.27</v>
      </c>
      <c r="F1721" s="39" t="s">
        <v>108</v>
      </c>
      <c r="G1721" s="39" t="str">
        <f aca="false">UPPER(TRIM(C1721))</f>
        <v>P002</v>
      </c>
      <c r="H1721" s="39" t="str">
        <f aca="false">IF(ISNUMBER(MATCH(G1721,Products!$A$5:$A$24,0)),"OK","Mismatch")</f>
        <v>OK</v>
      </c>
      <c r="I1721" s="39" t="str">
        <f aca="false">IF(COUNTIF($A$5:A1721,A1721)&gt;1,"Duplicate","Unique")</f>
        <v>Unique</v>
      </c>
      <c r="J1721" s="39" t="str">
        <f aca="false">IF(I1721="Duplicate","Remove",IF(H1721="Mismatch","Exclude","Keep"))</f>
        <v>Keep</v>
      </c>
    </row>
    <row r="1722" customFormat="false" ht="15" hidden="false" customHeight="false" outlineLevel="0" collapsed="false">
      <c r="A1722" s="39" t="s">
        <v>1798</v>
      </c>
      <c r="B1722" s="40" t="n">
        <v>45891</v>
      </c>
      <c r="C1722" s="39" t="s">
        <v>112</v>
      </c>
      <c r="D1722" s="39" t="n">
        <v>3</v>
      </c>
      <c r="E1722" s="41" t="n">
        <v>53.25</v>
      </c>
      <c r="F1722" s="39" t="s">
        <v>108</v>
      </c>
      <c r="G1722" s="39" t="str">
        <f aca="false">UPPER(TRIM(C1722))</f>
        <v>P005</v>
      </c>
      <c r="H1722" s="39" t="str">
        <f aca="false">IF(ISNUMBER(MATCH(G1722,Products!$A$5:$A$24,0)),"OK","Mismatch")</f>
        <v>OK</v>
      </c>
      <c r="I1722" s="39" t="str">
        <f aca="false">IF(COUNTIF($A$5:A1722,A1722)&gt;1,"Duplicate","Unique")</f>
        <v>Unique</v>
      </c>
      <c r="J1722" s="39" t="str">
        <f aca="false">IF(I1722="Duplicate","Remove",IF(H1722="Mismatch","Exclude","Keep"))</f>
        <v>Keep</v>
      </c>
    </row>
    <row r="1723" customFormat="false" ht="15" hidden="false" customHeight="false" outlineLevel="0" collapsed="false">
      <c r="A1723" s="39" t="s">
        <v>1799</v>
      </c>
      <c r="B1723" s="40" t="n">
        <v>45891</v>
      </c>
      <c r="C1723" s="39" t="s">
        <v>177</v>
      </c>
      <c r="D1723" s="39" t="n">
        <v>4</v>
      </c>
      <c r="E1723" s="41" t="n">
        <v>43.26</v>
      </c>
      <c r="F1723" s="39" t="s">
        <v>115</v>
      </c>
      <c r="G1723" s="39" t="str">
        <f aca="false">UPPER(TRIM(C1723))</f>
        <v>P014</v>
      </c>
      <c r="H1723" s="39" t="str">
        <f aca="false">IF(ISNUMBER(MATCH(G1723,Products!$A$5:$A$24,0)),"OK","Mismatch")</f>
        <v>OK</v>
      </c>
      <c r="I1723" s="39" t="str">
        <f aca="false">IF(COUNTIF($A$5:A1723,A1723)&gt;1,"Duplicate","Unique")</f>
        <v>Unique</v>
      </c>
      <c r="J1723" s="39" t="str">
        <f aca="false">IF(I1723="Duplicate","Remove",IF(H1723="Mismatch","Exclude","Keep"))</f>
        <v>Keep</v>
      </c>
    </row>
    <row r="1724" customFormat="false" ht="15" hidden="false" customHeight="false" outlineLevel="0" collapsed="false">
      <c r="A1724" s="39" t="s">
        <v>1800</v>
      </c>
      <c r="B1724" s="40" t="n">
        <v>45891</v>
      </c>
      <c r="C1724" s="39" t="s">
        <v>183</v>
      </c>
      <c r="D1724" s="39" t="n">
        <v>4</v>
      </c>
      <c r="E1724" s="41" t="n">
        <v>185.45</v>
      </c>
      <c r="F1724" s="39" t="s">
        <v>118</v>
      </c>
      <c r="G1724" s="39" t="str">
        <f aca="false">UPPER(TRIM(C1724))</f>
        <v>P007</v>
      </c>
      <c r="H1724" s="39" t="str">
        <f aca="false">IF(ISNUMBER(MATCH(G1724,Products!$A$5:$A$24,0)),"OK","Mismatch")</f>
        <v>OK</v>
      </c>
      <c r="I1724" s="39" t="str">
        <f aca="false">IF(COUNTIF($A$5:A1724,A1724)&gt;1,"Duplicate","Unique")</f>
        <v>Unique</v>
      </c>
      <c r="J1724" s="39" t="str">
        <f aca="false">IF(I1724="Duplicate","Remove",IF(H1724="Mismatch","Exclude","Keep"))</f>
        <v>Keep</v>
      </c>
    </row>
    <row r="1725" customFormat="false" ht="15" hidden="false" customHeight="false" outlineLevel="0" collapsed="false">
      <c r="A1725" s="39" t="s">
        <v>1801</v>
      </c>
      <c r="B1725" s="40" t="n">
        <v>45891</v>
      </c>
      <c r="C1725" s="39" t="s">
        <v>121</v>
      </c>
      <c r="D1725" s="39" t="n">
        <v>3</v>
      </c>
      <c r="E1725" s="41" t="n">
        <v>111.83</v>
      </c>
      <c r="F1725" s="39" t="s">
        <v>105</v>
      </c>
      <c r="G1725" s="39" t="str">
        <f aca="false">UPPER(TRIM(C1725))</f>
        <v>P018</v>
      </c>
      <c r="H1725" s="39" t="str">
        <f aca="false">IF(ISNUMBER(MATCH(G1725,Products!$A$5:$A$24,0)),"OK","Mismatch")</f>
        <v>OK</v>
      </c>
      <c r="I1725" s="39" t="str">
        <f aca="false">IF(COUNTIF($A$5:A1725,A1725)&gt;1,"Duplicate","Unique")</f>
        <v>Unique</v>
      </c>
      <c r="J1725" s="39" t="str">
        <f aca="false">IF(I1725="Duplicate","Remove",IF(H1725="Mismatch","Exclude","Keep"))</f>
        <v>Keep</v>
      </c>
    </row>
    <row r="1726" customFormat="false" ht="15" hidden="false" customHeight="false" outlineLevel="0" collapsed="false">
      <c r="A1726" s="39" t="s">
        <v>1802</v>
      </c>
      <c r="B1726" s="40" t="n">
        <v>45891</v>
      </c>
      <c r="C1726" s="39" t="s">
        <v>177</v>
      </c>
      <c r="D1726" s="39" t="n">
        <v>4</v>
      </c>
      <c r="E1726" s="41" t="n">
        <v>41.95</v>
      </c>
      <c r="F1726" s="39" t="s">
        <v>105</v>
      </c>
      <c r="G1726" s="39" t="str">
        <f aca="false">UPPER(TRIM(C1726))</f>
        <v>P014</v>
      </c>
      <c r="H1726" s="39" t="str">
        <f aca="false">IF(ISNUMBER(MATCH(G1726,Products!$A$5:$A$24,0)),"OK","Mismatch")</f>
        <v>OK</v>
      </c>
      <c r="I1726" s="39" t="str">
        <f aca="false">IF(COUNTIF($A$5:A1726,A1726)&gt;1,"Duplicate","Unique")</f>
        <v>Unique</v>
      </c>
      <c r="J1726" s="39" t="str">
        <f aca="false">IF(I1726="Duplicate","Remove",IF(H1726="Mismatch","Exclude","Keep"))</f>
        <v>Keep</v>
      </c>
    </row>
    <row r="1727" customFormat="false" ht="15" hidden="false" customHeight="false" outlineLevel="0" collapsed="false">
      <c r="A1727" s="39" t="s">
        <v>1803</v>
      </c>
      <c r="B1727" s="40" t="n">
        <v>45891</v>
      </c>
      <c r="C1727" s="39" t="s">
        <v>139</v>
      </c>
      <c r="D1727" s="39" t="n">
        <v>1</v>
      </c>
      <c r="E1727" s="41" t="n">
        <v>126.6</v>
      </c>
      <c r="F1727" s="39" t="s">
        <v>105</v>
      </c>
      <c r="G1727" s="39" t="str">
        <f aca="false">UPPER(TRIM(C1727))</f>
        <v>P006</v>
      </c>
      <c r="H1727" s="39" t="str">
        <f aca="false">IF(ISNUMBER(MATCH(G1727,Products!$A$5:$A$24,0)),"OK","Mismatch")</f>
        <v>OK</v>
      </c>
      <c r="I1727" s="39" t="str">
        <f aca="false">IF(COUNTIF($A$5:A1727,A1727)&gt;1,"Duplicate","Unique")</f>
        <v>Unique</v>
      </c>
      <c r="J1727" s="39" t="str">
        <f aca="false">IF(I1727="Duplicate","Remove",IF(H1727="Mismatch","Exclude","Keep"))</f>
        <v>Keep</v>
      </c>
    </row>
    <row r="1728" customFormat="false" ht="15" hidden="false" customHeight="false" outlineLevel="0" collapsed="false">
      <c r="A1728" s="39" t="s">
        <v>1804</v>
      </c>
      <c r="B1728" s="40" t="n">
        <v>45891</v>
      </c>
      <c r="C1728" s="39" t="s">
        <v>126</v>
      </c>
      <c r="D1728" s="39" t="n">
        <v>2</v>
      </c>
      <c r="E1728" s="41" t="n">
        <v>23.64</v>
      </c>
      <c r="F1728" s="39" t="s">
        <v>118</v>
      </c>
      <c r="G1728" s="39" t="str">
        <f aca="false">UPPER(TRIM(C1728))</f>
        <v>P001</v>
      </c>
      <c r="H1728" s="39" t="str">
        <f aca="false">IF(ISNUMBER(MATCH(G1728,Products!$A$5:$A$24,0)),"OK","Mismatch")</f>
        <v>OK</v>
      </c>
      <c r="I1728" s="39" t="str">
        <f aca="false">IF(COUNTIF($A$5:A1728,A1728)&gt;1,"Duplicate","Unique")</f>
        <v>Unique</v>
      </c>
      <c r="J1728" s="39" t="str">
        <f aca="false">IF(I1728="Duplicate","Remove",IF(H1728="Mismatch","Exclude","Keep"))</f>
        <v>Keep</v>
      </c>
    </row>
    <row r="1729" customFormat="false" ht="15" hidden="false" customHeight="false" outlineLevel="0" collapsed="false">
      <c r="A1729" s="39" t="s">
        <v>1805</v>
      </c>
      <c r="B1729" s="40" t="n">
        <v>45892</v>
      </c>
      <c r="C1729" s="39" t="s">
        <v>144</v>
      </c>
      <c r="D1729" s="39" t="n">
        <v>2</v>
      </c>
      <c r="E1729" s="41" t="n">
        <v>54.29</v>
      </c>
      <c r="F1729" s="39" t="s">
        <v>108</v>
      </c>
      <c r="G1729" s="39" t="str">
        <f aca="false">UPPER(TRIM(C1729))</f>
        <v>P013</v>
      </c>
      <c r="H1729" s="39" t="str">
        <f aca="false">IF(ISNUMBER(MATCH(G1729,Products!$A$5:$A$24,0)),"OK","Mismatch")</f>
        <v>OK</v>
      </c>
      <c r="I1729" s="39" t="str">
        <f aca="false">IF(COUNTIF($A$5:A1729,A1729)&gt;1,"Duplicate","Unique")</f>
        <v>Unique</v>
      </c>
      <c r="J1729" s="39" t="str">
        <f aca="false">IF(I1729="Duplicate","Remove",IF(H1729="Mismatch","Exclude","Keep"))</f>
        <v>Keep</v>
      </c>
    </row>
    <row r="1730" customFormat="false" ht="15" hidden="false" customHeight="false" outlineLevel="0" collapsed="false">
      <c r="A1730" s="39" t="s">
        <v>1806</v>
      </c>
      <c r="B1730" s="40" t="n">
        <v>45892</v>
      </c>
      <c r="C1730" s="39" t="s">
        <v>133</v>
      </c>
      <c r="D1730" s="39" t="n">
        <v>1</v>
      </c>
      <c r="E1730" s="41" t="n">
        <v>8.99</v>
      </c>
      <c r="F1730" s="39" t="s">
        <v>105</v>
      </c>
      <c r="G1730" s="39" t="str">
        <f aca="false">UPPER(TRIM(C1730))</f>
        <v>P019</v>
      </c>
      <c r="H1730" s="39" t="str">
        <f aca="false">IF(ISNUMBER(MATCH(G1730,Products!$A$5:$A$24,0)),"OK","Mismatch")</f>
        <v>OK</v>
      </c>
      <c r="I1730" s="39" t="str">
        <f aca="false">IF(COUNTIF($A$5:A1730,A1730)&gt;1,"Duplicate","Unique")</f>
        <v>Unique</v>
      </c>
      <c r="J1730" s="39" t="str">
        <f aca="false">IF(I1730="Duplicate","Remove",IF(H1730="Mismatch","Exclude","Keep"))</f>
        <v>Keep</v>
      </c>
    </row>
    <row r="1731" customFormat="false" ht="15" hidden="false" customHeight="false" outlineLevel="0" collapsed="false">
      <c r="A1731" s="39" t="s">
        <v>1807</v>
      </c>
      <c r="B1731" s="40" t="n">
        <v>45892</v>
      </c>
      <c r="C1731" s="39" t="s">
        <v>133</v>
      </c>
      <c r="D1731" s="39" t="n">
        <v>6</v>
      </c>
      <c r="E1731" s="41" t="n">
        <v>8.85</v>
      </c>
      <c r="F1731" s="39" t="s">
        <v>108</v>
      </c>
      <c r="G1731" s="39" t="str">
        <f aca="false">UPPER(TRIM(C1731))</f>
        <v>P019</v>
      </c>
      <c r="H1731" s="39" t="str">
        <f aca="false">IF(ISNUMBER(MATCH(G1731,Products!$A$5:$A$24,0)),"OK","Mismatch")</f>
        <v>OK</v>
      </c>
      <c r="I1731" s="39" t="str">
        <f aca="false">IF(COUNTIF($A$5:A1731,A1731)&gt;1,"Duplicate","Unique")</f>
        <v>Unique</v>
      </c>
      <c r="J1731" s="39" t="str">
        <f aca="false">IF(I1731="Duplicate","Remove",IF(H1731="Mismatch","Exclude","Keep"))</f>
        <v>Keep</v>
      </c>
    </row>
    <row r="1732" customFormat="false" ht="15" hidden="false" customHeight="false" outlineLevel="0" collapsed="false">
      <c r="A1732" s="39" t="s">
        <v>1808</v>
      </c>
      <c r="B1732" s="40" t="n">
        <v>45892</v>
      </c>
      <c r="C1732" s="39" t="s">
        <v>110</v>
      </c>
      <c r="D1732" s="39" t="n">
        <v>3</v>
      </c>
      <c r="E1732" s="41" t="n">
        <v>13.84</v>
      </c>
      <c r="F1732" s="39" t="s">
        <v>108</v>
      </c>
      <c r="G1732" s="39" t="str">
        <f aca="false">UPPER(TRIM(C1732))</f>
        <v>P016</v>
      </c>
      <c r="H1732" s="39" t="str">
        <f aca="false">IF(ISNUMBER(MATCH(G1732,Products!$A$5:$A$24,0)),"OK","Mismatch")</f>
        <v>OK</v>
      </c>
      <c r="I1732" s="39" t="str">
        <f aca="false">IF(COUNTIF($A$5:A1732,A1732)&gt;1,"Duplicate","Unique")</f>
        <v>Unique</v>
      </c>
      <c r="J1732" s="39" t="str">
        <f aca="false">IF(I1732="Duplicate","Remove",IF(H1732="Mismatch","Exclude","Keep"))</f>
        <v>Keep</v>
      </c>
    </row>
    <row r="1733" customFormat="false" ht="15" hidden="false" customHeight="false" outlineLevel="0" collapsed="false">
      <c r="A1733" s="39" t="s">
        <v>1809</v>
      </c>
      <c r="B1733" s="40" t="n">
        <v>45892</v>
      </c>
      <c r="C1733" s="39" t="s">
        <v>162</v>
      </c>
      <c r="D1733" s="39" t="n">
        <v>2</v>
      </c>
      <c r="E1733" s="41" t="n">
        <v>63.68</v>
      </c>
      <c r="F1733" s="39" t="s">
        <v>118</v>
      </c>
      <c r="G1733" s="39" t="str">
        <f aca="false">UPPER(TRIM(C1733))</f>
        <v>P017</v>
      </c>
      <c r="H1733" s="39" t="str">
        <f aca="false">IF(ISNUMBER(MATCH(G1733,Products!$A$5:$A$24,0)),"OK","Mismatch")</f>
        <v>OK</v>
      </c>
      <c r="I1733" s="39" t="str">
        <f aca="false">IF(COUNTIF($A$5:A1733,A1733)&gt;1,"Duplicate","Unique")</f>
        <v>Unique</v>
      </c>
      <c r="J1733" s="39" t="str">
        <f aca="false">IF(I1733="Duplicate","Remove",IF(H1733="Mismatch","Exclude","Keep"))</f>
        <v>Keep</v>
      </c>
    </row>
    <row r="1734" customFormat="false" ht="15" hidden="false" customHeight="false" outlineLevel="0" collapsed="false">
      <c r="A1734" s="39" t="s">
        <v>1810</v>
      </c>
      <c r="B1734" s="40" t="n">
        <v>45892</v>
      </c>
      <c r="C1734" s="39" t="s">
        <v>162</v>
      </c>
      <c r="D1734" s="39" t="n">
        <v>5</v>
      </c>
      <c r="E1734" s="41" t="n">
        <v>67.37</v>
      </c>
      <c r="F1734" s="39" t="s">
        <v>105</v>
      </c>
      <c r="G1734" s="39" t="str">
        <f aca="false">UPPER(TRIM(C1734))</f>
        <v>P017</v>
      </c>
      <c r="H1734" s="39" t="str">
        <f aca="false">IF(ISNUMBER(MATCH(G1734,Products!$A$5:$A$24,0)),"OK","Mismatch")</f>
        <v>OK</v>
      </c>
      <c r="I1734" s="39" t="str">
        <f aca="false">IF(COUNTIF($A$5:A1734,A1734)&gt;1,"Duplicate","Unique")</f>
        <v>Unique</v>
      </c>
      <c r="J1734" s="39" t="str">
        <f aca="false">IF(I1734="Duplicate","Remove",IF(H1734="Mismatch","Exclude","Keep"))</f>
        <v>Keep</v>
      </c>
    </row>
    <row r="1735" customFormat="false" ht="15" hidden="false" customHeight="false" outlineLevel="0" collapsed="false">
      <c r="A1735" s="39" t="s">
        <v>1811</v>
      </c>
      <c r="B1735" s="40" t="n">
        <v>45892</v>
      </c>
      <c r="C1735" s="39" t="s">
        <v>177</v>
      </c>
      <c r="D1735" s="39" t="n">
        <v>4</v>
      </c>
      <c r="E1735" s="41" t="n">
        <v>42.16</v>
      </c>
      <c r="F1735" s="39" t="s">
        <v>115</v>
      </c>
      <c r="G1735" s="39" t="str">
        <f aca="false">UPPER(TRIM(C1735))</f>
        <v>P014</v>
      </c>
      <c r="H1735" s="39" t="str">
        <f aca="false">IF(ISNUMBER(MATCH(G1735,Products!$A$5:$A$24,0)),"OK","Mismatch")</f>
        <v>OK</v>
      </c>
      <c r="I1735" s="39" t="str">
        <f aca="false">IF(COUNTIF($A$5:A1735,A1735)&gt;1,"Duplicate","Unique")</f>
        <v>Unique</v>
      </c>
      <c r="J1735" s="39" t="str">
        <f aca="false">IF(I1735="Duplicate","Remove",IF(H1735="Mismatch","Exclude","Keep"))</f>
        <v>Keep</v>
      </c>
    </row>
    <row r="1736" customFormat="false" ht="15" hidden="false" customHeight="false" outlineLevel="0" collapsed="false">
      <c r="A1736" s="39" t="s">
        <v>1812</v>
      </c>
      <c r="B1736" s="40" t="n">
        <v>45892</v>
      </c>
      <c r="C1736" s="39" t="s">
        <v>130</v>
      </c>
      <c r="D1736" s="39" t="n">
        <v>1</v>
      </c>
      <c r="E1736" s="41" t="n">
        <v>8.45</v>
      </c>
      <c r="F1736" s="39" t="s">
        <v>108</v>
      </c>
      <c r="G1736" s="39" t="str">
        <f aca="false">UPPER(TRIM(C1736))</f>
        <v>P011</v>
      </c>
      <c r="H1736" s="39" t="str">
        <f aca="false">IF(ISNUMBER(MATCH(G1736,Products!$A$5:$A$24,0)),"OK","Mismatch")</f>
        <v>OK</v>
      </c>
      <c r="I1736" s="39" t="str">
        <f aca="false">IF(COUNTIF($A$5:A1736,A1736)&gt;1,"Duplicate","Unique")</f>
        <v>Unique</v>
      </c>
      <c r="J1736" s="39" t="str">
        <f aca="false">IF(I1736="Duplicate","Remove",IF(H1736="Mismatch","Exclude","Keep"))</f>
        <v>Keep</v>
      </c>
    </row>
    <row r="1737" customFormat="false" ht="15" hidden="false" customHeight="false" outlineLevel="0" collapsed="false">
      <c r="A1737" s="39" t="s">
        <v>1813</v>
      </c>
      <c r="B1737" s="40" t="n">
        <v>45892</v>
      </c>
      <c r="C1737" s="39" t="s">
        <v>121</v>
      </c>
      <c r="D1737" s="39" t="n">
        <v>2</v>
      </c>
      <c r="E1737" s="41" t="n">
        <v>115.2</v>
      </c>
      <c r="F1737" s="39" t="s">
        <v>105</v>
      </c>
      <c r="G1737" s="39" t="str">
        <f aca="false">UPPER(TRIM(C1737))</f>
        <v>P018</v>
      </c>
      <c r="H1737" s="39" t="str">
        <f aca="false">IF(ISNUMBER(MATCH(G1737,Products!$A$5:$A$24,0)),"OK","Mismatch")</f>
        <v>OK</v>
      </c>
      <c r="I1737" s="39" t="str">
        <f aca="false">IF(COUNTIF($A$5:A1737,A1737)&gt;1,"Duplicate","Unique")</f>
        <v>Unique</v>
      </c>
      <c r="J1737" s="39" t="str">
        <f aca="false">IF(I1737="Duplicate","Remove",IF(H1737="Mismatch","Exclude","Keep"))</f>
        <v>Keep</v>
      </c>
    </row>
    <row r="1738" customFormat="false" ht="15" hidden="false" customHeight="false" outlineLevel="0" collapsed="false">
      <c r="A1738" s="39" t="s">
        <v>1814</v>
      </c>
      <c r="B1738" s="40" t="n">
        <v>45892</v>
      </c>
      <c r="C1738" s="39" t="s">
        <v>117</v>
      </c>
      <c r="D1738" s="39" t="n">
        <v>2</v>
      </c>
      <c r="E1738" s="41" t="n">
        <v>29.81</v>
      </c>
      <c r="F1738" s="39" t="s">
        <v>105</v>
      </c>
      <c r="G1738" s="39" t="str">
        <f aca="false">UPPER(TRIM(C1738))</f>
        <v>P009</v>
      </c>
      <c r="H1738" s="39" t="str">
        <f aca="false">IF(ISNUMBER(MATCH(G1738,Products!$A$5:$A$24,0)),"OK","Mismatch")</f>
        <v>OK</v>
      </c>
      <c r="I1738" s="39" t="str">
        <f aca="false">IF(COUNTIF($A$5:A1738,A1738)&gt;1,"Duplicate","Unique")</f>
        <v>Unique</v>
      </c>
      <c r="J1738" s="39" t="str">
        <f aca="false">IF(I1738="Duplicate","Remove",IF(H1738="Mismatch","Exclude","Keep"))</f>
        <v>Keep</v>
      </c>
    </row>
    <row r="1739" customFormat="false" ht="15" hidden="false" customHeight="false" outlineLevel="0" collapsed="false">
      <c r="A1739" s="39" t="s">
        <v>1815</v>
      </c>
      <c r="B1739" s="40" t="n">
        <v>45892</v>
      </c>
      <c r="C1739" s="39" t="s">
        <v>136</v>
      </c>
      <c r="D1739" s="39" t="n">
        <v>6</v>
      </c>
      <c r="E1739" s="41" t="n">
        <v>76.18</v>
      </c>
      <c r="F1739" s="39" t="s">
        <v>108</v>
      </c>
      <c r="G1739" s="39" t="str">
        <f aca="false">UPPER(TRIM(C1739))</f>
        <v>P002</v>
      </c>
      <c r="H1739" s="39" t="str">
        <f aca="false">IF(ISNUMBER(MATCH(G1739,Products!$A$5:$A$24,0)),"OK","Mismatch")</f>
        <v>OK</v>
      </c>
      <c r="I1739" s="39" t="str">
        <f aca="false">IF(COUNTIF($A$5:A1739,A1739)&gt;1,"Duplicate","Unique")</f>
        <v>Unique</v>
      </c>
      <c r="J1739" s="39" t="str">
        <f aca="false">IF(I1739="Duplicate","Remove",IF(H1739="Mismatch","Exclude","Keep"))</f>
        <v>Keep</v>
      </c>
    </row>
    <row r="1740" customFormat="false" ht="15" hidden="false" customHeight="false" outlineLevel="0" collapsed="false">
      <c r="A1740" s="39" t="s">
        <v>1816</v>
      </c>
      <c r="B1740" s="40" t="n">
        <v>45892</v>
      </c>
      <c r="C1740" s="39" t="s">
        <v>169</v>
      </c>
      <c r="D1740" s="39" t="n">
        <v>2</v>
      </c>
      <c r="E1740" s="41" t="n">
        <v>28.3</v>
      </c>
      <c r="F1740" s="39" t="s">
        <v>115</v>
      </c>
      <c r="G1740" s="39" t="str">
        <f aca="false">UPPER(TRIM(C1740))</f>
        <v>P004</v>
      </c>
      <c r="H1740" s="39" t="str">
        <f aca="false">IF(ISNUMBER(MATCH(G1740,Products!$A$5:$A$24,0)),"OK","Mismatch")</f>
        <v>OK</v>
      </c>
      <c r="I1740" s="39" t="str">
        <f aca="false">IF(COUNTIF($A$5:A1740,A1740)&gt;1,"Duplicate","Unique")</f>
        <v>Unique</v>
      </c>
      <c r="J1740" s="39" t="str">
        <f aca="false">IF(I1740="Duplicate","Remove",IF(H1740="Mismatch","Exclude","Keep"))</f>
        <v>Keep</v>
      </c>
    </row>
    <row r="1741" customFormat="false" ht="15" hidden="false" customHeight="false" outlineLevel="0" collapsed="false">
      <c r="A1741" s="39" t="s">
        <v>1817</v>
      </c>
      <c r="B1741" s="40" t="n">
        <v>45893</v>
      </c>
      <c r="C1741" s="39" t="s">
        <v>117</v>
      </c>
      <c r="D1741" s="39" t="n">
        <v>1</v>
      </c>
      <c r="E1741" s="41" t="n">
        <v>30</v>
      </c>
      <c r="F1741" s="39" t="s">
        <v>115</v>
      </c>
      <c r="G1741" s="39" t="str">
        <f aca="false">UPPER(TRIM(C1741))</f>
        <v>P009</v>
      </c>
      <c r="H1741" s="39" t="str">
        <f aca="false">IF(ISNUMBER(MATCH(G1741,Products!$A$5:$A$24,0)),"OK","Mismatch")</f>
        <v>OK</v>
      </c>
      <c r="I1741" s="39" t="str">
        <f aca="false">IF(COUNTIF($A$5:A1741,A1741)&gt;1,"Duplicate","Unique")</f>
        <v>Unique</v>
      </c>
      <c r="J1741" s="39" t="str">
        <f aca="false">IF(I1741="Duplicate","Remove",IF(H1741="Mismatch","Exclude","Keep"))</f>
        <v>Keep</v>
      </c>
    </row>
    <row r="1742" customFormat="false" ht="15" hidden="false" customHeight="false" outlineLevel="0" collapsed="false">
      <c r="A1742" s="39" t="s">
        <v>1818</v>
      </c>
      <c r="B1742" s="40" t="n">
        <v>45893</v>
      </c>
      <c r="C1742" s="39" t="s">
        <v>139</v>
      </c>
      <c r="D1742" s="39" t="n">
        <v>1</v>
      </c>
      <c r="E1742" s="41" t="n">
        <v>120.84</v>
      </c>
      <c r="F1742" s="39" t="s">
        <v>118</v>
      </c>
      <c r="G1742" s="39" t="str">
        <f aca="false">UPPER(TRIM(C1742))</f>
        <v>P006</v>
      </c>
      <c r="H1742" s="39" t="str">
        <f aca="false">IF(ISNUMBER(MATCH(G1742,Products!$A$5:$A$24,0)),"OK","Mismatch")</f>
        <v>OK</v>
      </c>
      <c r="I1742" s="39" t="str">
        <f aca="false">IF(COUNTIF($A$5:A1742,A1742)&gt;1,"Duplicate","Unique")</f>
        <v>Unique</v>
      </c>
      <c r="J1742" s="39" t="str">
        <f aca="false">IF(I1742="Duplicate","Remove",IF(H1742="Mismatch","Exclude","Keep"))</f>
        <v>Keep</v>
      </c>
    </row>
    <row r="1743" customFormat="false" ht="15" hidden="false" customHeight="false" outlineLevel="0" collapsed="false">
      <c r="A1743" s="39" t="s">
        <v>1819</v>
      </c>
      <c r="B1743" s="40" t="n">
        <v>45893</v>
      </c>
      <c r="C1743" s="39" t="s">
        <v>112</v>
      </c>
      <c r="D1743" s="39" t="n">
        <v>3</v>
      </c>
      <c r="E1743" s="41" t="n">
        <v>50.92</v>
      </c>
      <c r="F1743" s="39" t="s">
        <v>108</v>
      </c>
      <c r="G1743" s="39" t="str">
        <f aca="false">UPPER(TRIM(C1743))</f>
        <v>P005</v>
      </c>
      <c r="H1743" s="39" t="str">
        <f aca="false">IF(ISNUMBER(MATCH(G1743,Products!$A$5:$A$24,0)),"OK","Mismatch")</f>
        <v>OK</v>
      </c>
      <c r="I1743" s="39" t="str">
        <f aca="false">IF(COUNTIF($A$5:A1743,A1743)&gt;1,"Duplicate","Unique")</f>
        <v>Unique</v>
      </c>
      <c r="J1743" s="39" t="str">
        <f aca="false">IF(I1743="Duplicate","Remove",IF(H1743="Mismatch","Exclude","Keep"))</f>
        <v>Keep</v>
      </c>
    </row>
    <row r="1744" customFormat="false" ht="15" hidden="false" customHeight="false" outlineLevel="0" collapsed="false">
      <c r="A1744" s="39" t="s">
        <v>1820</v>
      </c>
      <c r="B1744" s="40" t="n">
        <v>45893</v>
      </c>
      <c r="C1744" s="39" t="s">
        <v>130</v>
      </c>
      <c r="D1744" s="39" t="n">
        <v>3</v>
      </c>
      <c r="E1744" s="41" t="n">
        <v>8.96</v>
      </c>
      <c r="F1744" s="39" t="s">
        <v>105</v>
      </c>
      <c r="G1744" s="39" t="str">
        <f aca="false">UPPER(TRIM(C1744))</f>
        <v>P011</v>
      </c>
      <c r="H1744" s="39" t="str">
        <f aca="false">IF(ISNUMBER(MATCH(G1744,Products!$A$5:$A$24,0)),"OK","Mismatch")</f>
        <v>OK</v>
      </c>
      <c r="I1744" s="39" t="str">
        <f aca="false">IF(COUNTIF($A$5:A1744,A1744)&gt;1,"Duplicate","Unique")</f>
        <v>Unique</v>
      </c>
      <c r="J1744" s="39" t="str">
        <f aca="false">IF(I1744="Duplicate","Remove",IF(H1744="Mismatch","Exclude","Keep"))</f>
        <v>Keep</v>
      </c>
    </row>
    <row r="1745" customFormat="false" ht="15" hidden="false" customHeight="false" outlineLevel="0" collapsed="false">
      <c r="A1745" s="39" t="s">
        <v>1821</v>
      </c>
      <c r="B1745" s="40" t="n">
        <v>45893</v>
      </c>
      <c r="C1745" s="39" t="s">
        <v>133</v>
      </c>
      <c r="D1745" s="39" t="n">
        <v>5</v>
      </c>
      <c r="E1745" s="41" t="n">
        <v>8.43</v>
      </c>
      <c r="F1745" s="39" t="s">
        <v>105</v>
      </c>
      <c r="G1745" s="39" t="str">
        <f aca="false">UPPER(TRIM(C1745))</f>
        <v>P019</v>
      </c>
      <c r="H1745" s="39" t="str">
        <f aca="false">IF(ISNUMBER(MATCH(G1745,Products!$A$5:$A$24,0)),"OK","Mismatch")</f>
        <v>OK</v>
      </c>
      <c r="I1745" s="39" t="str">
        <f aca="false">IF(COUNTIF($A$5:A1745,A1745)&gt;1,"Duplicate","Unique")</f>
        <v>Unique</v>
      </c>
      <c r="J1745" s="39" t="str">
        <f aca="false">IF(I1745="Duplicate","Remove",IF(H1745="Mismatch","Exclude","Keep"))</f>
        <v>Keep</v>
      </c>
    </row>
    <row r="1746" customFormat="false" ht="15" hidden="false" customHeight="false" outlineLevel="0" collapsed="false">
      <c r="A1746" s="39" t="s">
        <v>1822</v>
      </c>
      <c r="B1746" s="40" t="n">
        <v>45894</v>
      </c>
      <c r="C1746" s="39" t="s">
        <v>126</v>
      </c>
      <c r="D1746" s="39" t="n">
        <v>2</v>
      </c>
      <c r="E1746" s="41" t="n">
        <v>24.89</v>
      </c>
      <c r="F1746" s="39" t="s">
        <v>105</v>
      </c>
      <c r="G1746" s="39" t="str">
        <f aca="false">UPPER(TRIM(C1746))</f>
        <v>P001</v>
      </c>
      <c r="H1746" s="39" t="str">
        <f aca="false">IF(ISNUMBER(MATCH(G1746,Products!$A$5:$A$24,0)),"OK","Mismatch")</f>
        <v>OK</v>
      </c>
      <c r="I1746" s="39" t="str">
        <f aca="false">IF(COUNTIF($A$5:A1746,A1746)&gt;1,"Duplicate","Unique")</f>
        <v>Unique</v>
      </c>
      <c r="J1746" s="39" t="str">
        <f aca="false">IF(I1746="Duplicate","Remove",IF(H1746="Mismatch","Exclude","Keep"))</f>
        <v>Keep</v>
      </c>
    </row>
    <row r="1747" customFormat="false" ht="15" hidden="false" customHeight="false" outlineLevel="0" collapsed="false">
      <c r="A1747" s="39" t="s">
        <v>1823</v>
      </c>
      <c r="B1747" s="40" t="n">
        <v>45894</v>
      </c>
      <c r="C1747" s="39" t="s">
        <v>112</v>
      </c>
      <c r="D1747" s="39" t="n">
        <v>2</v>
      </c>
      <c r="E1747" s="41" t="n">
        <v>51.38</v>
      </c>
      <c r="F1747" s="39" t="s">
        <v>105</v>
      </c>
      <c r="G1747" s="39" t="str">
        <f aca="false">UPPER(TRIM(C1747))</f>
        <v>P005</v>
      </c>
      <c r="H1747" s="39" t="str">
        <f aca="false">IF(ISNUMBER(MATCH(G1747,Products!$A$5:$A$24,0)),"OK","Mismatch")</f>
        <v>OK</v>
      </c>
      <c r="I1747" s="39" t="str">
        <f aca="false">IF(COUNTIF($A$5:A1747,A1747)&gt;1,"Duplicate","Unique")</f>
        <v>Unique</v>
      </c>
      <c r="J1747" s="39" t="str">
        <f aca="false">IF(I1747="Duplicate","Remove",IF(H1747="Mismatch","Exclude","Keep"))</f>
        <v>Keep</v>
      </c>
    </row>
    <row r="1748" customFormat="false" ht="15" hidden="false" customHeight="false" outlineLevel="0" collapsed="false">
      <c r="A1748" s="39" t="s">
        <v>1824</v>
      </c>
      <c r="B1748" s="40" t="n">
        <v>45894</v>
      </c>
      <c r="C1748" s="39" t="s">
        <v>169</v>
      </c>
      <c r="D1748" s="39" t="n">
        <v>1</v>
      </c>
      <c r="E1748" s="41" t="n">
        <v>26.97</v>
      </c>
      <c r="F1748" s="39" t="s">
        <v>105</v>
      </c>
      <c r="G1748" s="39" t="str">
        <f aca="false">UPPER(TRIM(C1748))</f>
        <v>P004</v>
      </c>
      <c r="H1748" s="39" t="str">
        <f aca="false">IF(ISNUMBER(MATCH(G1748,Products!$A$5:$A$24,0)),"OK","Mismatch")</f>
        <v>OK</v>
      </c>
      <c r="I1748" s="39" t="str">
        <f aca="false">IF(COUNTIF($A$5:A1748,A1748)&gt;1,"Duplicate","Unique")</f>
        <v>Unique</v>
      </c>
      <c r="J1748" s="39" t="str">
        <f aca="false">IF(I1748="Duplicate","Remove",IF(H1748="Mismatch","Exclude","Keep"))</f>
        <v>Keep</v>
      </c>
    </row>
    <row r="1749" customFormat="false" ht="15" hidden="false" customHeight="false" outlineLevel="0" collapsed="false">
      <c r="A1749" s="39" t="s">
        <v>1825</v>
      </c>
      <c r="B1749" s="40" t="n">
        <v>45894</v>
      </c>
      <c r="C1749" s="39" t="s">
        <v>139</v>
      </c>
      <c r="D1749" s="39" t="n">
        <v>3</v>
      </c>
      <c r="E1749" s="41" t="n">
        <v>121.22</v>
      </c>
      <c r="F1749" s="39" t="s">
        <v>115</v>
      </c>
      <c r="G1749" s="39" t="str">
        <f aca="false">UPPER(TRIM(C1749))</f>
        <v>P006</v>
      </c>
      <c r="H1749" s="39" t="str">
        <f aca="false">IF(ISNUMBER(MATCH(G1749,Products!$A$5:$A$24,0)),"OK","Mismatch")</f>
        <v>OK</v>
      </c>
      <c r="I1749" s="39" t="str">
        <f aca="false">IF(COUNTIF($A$5:A1749,A1749)&gt;1,"Duplicate","Unique")</f>
        <v>Unique</v>
      </c>
      <c r="J1749" s="39" t="str">
        <f aca="false">IF(I1749="Duplicate","Remove",IF(H1749="Mismatch","Exclude","Keep"))</f>
        <v>Keep</v>
      </c>
    </row>
    <row r="1750" customFormat="false" ht="15" hidden="false" customHeight="false" outlineLevel="0" collapsed="false">
      <c r="A1750" s="39" t="s">
        <v>1826</v>
      </c>
      <c r="B1750" s="40" t="n">
        <v>45894</v>
      </c>
      <c r="C1750" s="39" t="s">
        <v>112</v>
      </c>
      <c r="D1750" s="39" t="n">
        <v>5</v>
      </c>
      <c r="E1750" s="41" t="n">
        <v>51.45</v>
      </c>
      <c r="F1750" s="39" t="s">
        <v>118</v>
      </c>
      <c r="G1750" s="39" t="str">
        <f aca="false">UPPER(TRIM(C1750))</f>
        <v>P005</v>
      </c>
      <c r="H1750" s="39" t="str">
        <f aca="false">IF(ISNUMBER(MATCH(G1750,Products!$A$5:$A$24,0)),"OK","Mismatch")</f>
        <v>OK</v>
      </c>
      <c r="I1750" s="39" t="str">
        <f aca="false">IF(COUNTIF($A$5:A1750,A1750)&gt;1,"Duplicate","Unique")</f>
        <v>Unique</v>
      </c>
      <c r="J1750" s="39" t="str">
        <f aca="false">IF(I1750="Duplicate","Remove",IF(H1750="Mismatch","Exclude","Keep"))</f>
        <v>Keep</v>
      </c>
    </row>
    <row r="1751" customFormat="false" ht="15" hidden="false" customHeight="false" outlineLevel="0" collapsed="false">
      <c r="A1751" s="39" t="s">
        <v>1827</v>
      </c>
      <c r="B1751" s="40" t="n">
        <v>45894</v>
      </c>
      <c r="C1751" s="39" t="s">
        <v>126</v>
      </c>
      <c r="D1751" s="39" t="n">
        <v>1</v>
      </c>
      <c r="E1751" s="41" t="n">
        <v>24.29</v>
      </c>
      <c r="F1751" s="39" t="s">
        <v>105</v>
      </c>
      <c r="G1751" s="39" t="str">
        <f aca="false">UPPER(TRIM(C1751))</f>
        <v>P001</v>
      </c>
      <c r="H1751" s="39" t="str">
        <f aca="false">IF(ISNUMBER(MATCH(G1751,Products!$A$5:$A$24,0)),"OK","Mismatch")</f>
        <v>OK</v>
      </c>
      <c r="I1751" s="39" t="str">
        <f aca="false">IF(COUNTIF($A$5:A1751,A1751)&gt;1,"Duplicate","Unique")</f>
        <v>Unique</v>
      </c>
      <c r="J1751" s="39" t="str">
        <f aca="false">IF(I1751="Duplicate","Remove",IF(H1751="Mismatch","Exclude","Keep"))</f>
        <v>Keep</v>
      </c>
    </row>
    <row r="1752" customFormat="false" ht="15" hidden="false" customHeight="false" outlineLevel="0" collapsed="false">
      <c r="A1752" s="39" t="s">
        <v>1828</v>
      </c>
      <c r="B1752" s="40" t="n">
        <v>45894</v>
      </c>
      <c r="C1752" s="39" t="s">
        <v>126</v>
      </c>
      <c r="D1752" s="39" t="n">
        <v>1</v>
      </c>
      <c r="E1752" s="41" t="n">
        <v>24.98</v>
      </c>
      <c r="F1752" s="39" t="s">
        <v>105</v>
      </c>
      <c r="G1752" s="39" t="str">
        <f aca="false">UPPER(TRIM(C1752))</f>
        <v>P001</v>
      </c>
      <c r="H1752" s="39" t="str">
        <f aca="false">IF(ISNUMBER(MATCH(G1752,Products!$A$5:$A$24,0)),"OK","Mismatch")</f>
        <v>OK</v>
      </c>
      <c r="I1752" s="39" t="str">
        <f aca="false">IF(COUNTIF($A$5:A1752,A1752)&gt;1,"Duplicate","Unique")</f>
        <v>Unique</v>
      </c>
      <c r="J1752" s="39" t="str">
        <f aca="false">IF(I1752="Duplicate","Remove",IF(H1752="Mismatch","Exclude","Keep"))</f>
        <v>Keep</v>
      </c>
    </row>
    <row r="1753" customFormat="false" ht="15" hidden="false" customHeight="false" outlineLevel="0" collapsed="false">
      <c r="A1753" s="39" t="s">
        <v>1829</v>
      </c>
      <c r="B1753" s="40" t="n">
        <v>45895</v>
      </c>
      <c r="C1753" s="39" t="s">
        <v>126</v>
      </c>
      <c r="D1753" s="39" t="n">
        <v>1</v>
      </c>
      <c r="E1753" s="41" t="n">
        <v>23.45</v>
      </c>
      <c r="F1753" s="39" t="s">
        <v>105</v>
      </c>
      <c r="G1753" s="39" t="str">
        <f aca="false">UPPER(TRIM(C1753))</f>
        <v>P001</v>
      </c>
      <c r="H1753" s="39" t="str">
        <f aca="false">IF(ISNUMBER(MATCH(G1753,Products!$A$5:$A$24,0)),"OK","Mismatch")</f>
        <v>OK</v>
      </c>
      <c r="I1753" s="39" t="str">
        <f aca="false">IF(COUNTIF($A$5:A1753,A1753)&gt;1,"Duplicate","Unique")</f>
        <v>Unique</v>
      </c>
      <c r="J1753" s="39" t="str">
        <f aca="false">IF(I1753="Duplicate","Remove",IF(H1753="Mismatch","Exclude","Keep"))</f>
        <v>Keep</v>
      </c>
    </row>
    <row r="1754" customFormat="false" ht="15" hidden="false" customHeight="false" outlineLevel="0" collapsed="false">
      <c r="A1754" s="39" t="s">
        <v>1830</v>
      </c>
      <c r="B1754" s="40" t="n">
        <v>45895</v>
      </c>
      <c r="C1754" s="39" t="s">
        <v>169</v>
      </c>
      <c r="D1754" s="39" t="n">
        <v>1</v>
      </c>
      <c r="E1754" s="41" t="n">
        <v>26.86</v>
      </c>
      <c r="F1754" s="39" t="s">
        <v>115</v>
      </c>
      <c r="G1754" s="39" t="str">
        <f aca="false">UPPER(TRIM(C1754))</f>
        <v>P004</v>
      </c>
      <c r="H1754" s="39" t="str">
        <f aca="false">IF(ISNUMBER(MATCH(G1754,Products!$A$5:$A$24,0)),"OK","Mismatch")</f>
        <v>OK</v>
      </c>
      <c r="I1754" s="39" t="str">
        <f aca="false">IF(COUNTIF($A$5:A1754,A1754)&gt;1,"Duplicate","Unique")</f>
        <v>Unique</v>
      </c>
      <c r="J1754" s="39" t="str">
        <f aca="false">IF(I1754="Duplicate","Remove",IF(H1754="Mismatch","Exclude","Keep"))</f>
        <v>Keep</v>
      </c>
    </row>
    <row r="1755" customFormat="false" ht="15" hidden="false" customHeight="false" outlineLevel="0" collapsed="false">
      <c r="A1755" s="39" t="s">
        <v>1831</v>
      </c>
      <c r="B1755" s="40" t="n">
        <v>45895</v>
      </c>
      <c r="C1755" s="39" t="s">
        <v>153</v>
      </c>
      <c r="D1755" s="39" t="n">
        <v>1</v>
      </c>
      <c r="E1755" s="41" t="n">
        <v>170.15</v>
      </c>
      <c r="F1755" s="39" t="s">
        <v>118</v>
      </c>
      <c r="G1755" s="39" t="str">
        <f aca="false">UPPER(TRIM(C1755))</f>
        <v>P010</v>
      </c>
      <c r="H1755" s="39" t="str">
        <f aca="false">IF(ISNUMBER(MATCH(G1755,Products!$A$5:$A$24,0)),"OK","Mismatch")</f>
        <v>OK</v>
      </c>
      <c r="I1755" s="39" t="str">
        <f aca="false">IF(COUNTIF($A$5:A1755,A1755)&gt;1,"Duplicate","Unique")</f>
        <v>Unique</v>
      </c>
      <c r="J1755" s="39" t="str">
        <f aca="false">IF(I1755="Duplicate","Remove",IF(H1755="Mismatch","Exclude","Keep"))</f>
        <v>Keep</v>
      </c>
    </row>
    <row r="1756" customFormat="false" ht="15" hidden="false" customHeight="false" outlineLevel="0" collapsed="false">
      <c r="A1756" s="39" t="s">
        <v>1832</v>
      </c>
      <c r="B1756" s="40" t="n">
        <v>45895</v>
      </c>
      <c r="C1756" s="39" t="s">
        <v>110</v>
      </c>
      <c r="D1756" s="39" t="n">
        <v>1</v>
      </c>
      <c r="E1756" s="41" t="n">
        <v>13.31</v>
      </c>
      <c r="F1756" s="39" t="s">
        <v>115</v>
      </c>
      <c r="G1756" s="39" t="str">
        <f aca="false">UPPER(TRIM(C1756))</f>
        <v>P016</v>
      </c>
      <c r="H1756" s="39" t="str">
        <f aca="false">IF(ISNUMBER(MATCH(G1756,Products!$A$5:$A$24,0)),"OK","Mismatch")</f>
        <v>OK</v>
      </c>
      <c r="I1756" s="39" t="str">
        <f aca="false">IF(COUNTIF($A$5:A1756,A1756)&gt;1,"Duplicate","Unique")</f>
        <v>Unique</v>
      </c>
      <c r="J1756" s="39" t="str">
        <f aca="false">IF(I1756="Duplicate","Remove",IF(H1756="Mismatch","Exclude","Keep"))</f>
        <v>Keep</v>
      </c>
    </row>
    <row r="1757" customFormat="false" ht="15" hidden="false" customHeight="false" outlineLevel="0" collapsed="false">
      <c r="A1757" s="39" t="s">
        <v>1833</v>
      </c>
      <c r="B1757" s="40" t="n">
        <v>45895</v>
      </c>
      <c r="C1757" s="39" t="s">
        <v>104</v>
      </c>
      <c r="D1757" s="39" t="n">
        <v>1</v>
      </c>
      <c r="E1757" s="41" t="n">
        <v>15.92</v>
      </c>
      <c r="F1757" s="39" t="s">
        <v>115</v>
      </c>
      <c r="G1757" s="39" t="str">
        <f aca="false">UPPER(TRIM(C1757))</f>
        <v>P015</v>
      </c>
      <c r="H1757" s="39" t="str">
        <f aca="false">IF(ISNUMBER(MATCH(G1757,Products!$A$5:$A$24,0)),"OK","Mismatch")</f>
        <v>OK</v>
      </c>
      <c r="I1757" s="39" t="str">
        <f aca="false">IF(COUNTIF($A$5:A1757,A1757)&gt;1,"Duplicate","Unique")</f>
        <v>Unique</v>
      </c>
      <c r="J1757" s="39" t="str">
        <f aca="false">IF(I1757="Duplicate","Remove",IF(H1757="Mismatch","Exclude","Keep"))</f>
        <v>Keep</v>
      </c>
    </row>
    <row r="1758" customFormat="false" ht="15" hidden="false" customHeight="false" outlineLevel="0" collapsed="false">
      <c r="A1758" s="39" t="s">
        <v>1834</v>
      </c>
      <c r="B1758" s="40" t="n">
        <v>45895</v>
      </c>
      <c r="C1758" s="39" t="s">
        <v>126</v>
      </c>
      <c r="D1758" s="39" t="n">
        <v>2</v>
      </c>
      <c r="E1758" s="41" t="n">
        <v>23.4</v>
      </c>
      <c r="F1758" s="39" t="s">
        <v>108</v>
      </c>
      <c r="G1758" s="39" t="str">
        <f aca="false">UPPER(TRIM(C1758))</f>
        <v>P001</v>
      </c>
      <c r="H1758" s="39" t="str">
        <f aca="false">IF(ISNUMBER(MATCH(G1758,Products!$A$5:$A$24,0)),"OK","Mismatch")</f>
        <v>OK</v>
      </c>
      <c r="I1758" s="39" t="str">
        <f aca="false">IF(COUNTIF($A$5:A1758,A1758)&gt;1,"Duplicate","Unique")</f>
        <v>Unique</v>
      </c>
      <c r="J1758" s="39" t="str">
        <f aca="false">IF(I1758="Duplicate","Remove",IF(H1758="Mismatch","Exclude","Keep"))</f>
        <v>Keep</v>
      </c>
    </row>
    <row r="1759" customFormat="false" ht="15" hidden="false" customHeight="false" outlineLevel="0" collapsed="false">
      <c r="A1759" s="39" t="s">
        <v>1835</v>
      </c>
      <c r="B1759" s="40" t="n">
        <v>45895</v>
      </c>
      <c r="C1759" s="39" t="s">
        <v>104</v>
      </c>
      <c r="D1759" s="39" t="n">
        <v>4</v>
      </c>
      <c r="E1759" s="41" t="n">
        <v>15.23</v>
      </c>
      <c r="F1759" s="39" t="s">
        <v>108</v>
      </c>
      <c r="G1759" s="39" t="str">
        <f aca="false">UPPER(TRIM(C1759))</f>
        <v>P015</v>
      </c>
      <c r="H1759" s="39" t="str">
        <f aca="false">IF(ISNUMBER(MATCH(G1759,Products!$A$5:$A$24,0)),"OK","Mismatch")</f>
        <v>OK</v>
      </c>
      <c r="I1759" s="39" t="str">
        <f aca="false">IF(COUNTIF($A$5:A1759,A1759)&gt;1,"Duplicate","Unique")</f>
        <v>Unique</v>
      </c>
      <c r="J1759" s="39" t="str">
        <f aca="false">IF(I1759="Duplicate","Remove",IF(H1759="Mismatch","Exclude","Keep"))</f>
        <v>Keep</v>
      </c>
    </row>
    <row r="1760" customFormat="false" ht="15" hidden="false" customHeight="false" outlineLevel="0" collapsed="false">
      <c r="A1760" s="39" t="s">
        <v>1836</v>
      </c>
      <c r="B1760" s="40" t="n">
        <v>45895</v>
      </c>
      <c r="C1760" s="39" t="s">
        <v>128</v>
      </c>
      <c r="D1760" s="39" t="n">
        <v>2</v>
      </c>
      <c r="E1760" s="41" t="n">
        <v>35.97</v>
      </c>
      <c r="F1760" s="39" t="s">
        <v>108</v>
      </c>
      <c r="G1760" s="39" t="str">
        <f aca="false">UPPER(TRIM(C1760))</f>
        <v>P020</v>
      </c>
      <c r="H1760" s="39" t="str">
        <f aca="false">IF(ISNUMBER(MATCH(G1760,Products!$A$5:$A$24,0)),"OK","Mismatch")</f>
        <v>OK</v>
      </c>
      <c r="I1760" s="39" t="str">
        <f aca="false">IF(COUNTIF($A$5:A1760,A1760)&gt;1,"Duplicate","Unique")</f>
        <v>Unique</v>
      </c>
      <c r="J1760" s="39" t="str">
        <f aca="false">IF(I1760="Duplicate","Remove",IF(H1760="Mismatch","Exclude","Keep"))</f>
        <v>Keep</v>
      </c>
    </row>
    <row r="1761" customFormat="false" ht="15" hidden="false" customHeight="false" outlineLevel="0" collapsed="false">
      <c r="A1761" s="39" t="s">
        <v>1837</v>
      </c>
      <c r="B1761" s="40" t="n">
        <v>45895</v>
      </c>
      <c r="C1761" s="39" t="s">
        <v>110</v>
      </c>
      <c r="D1761" s="39" t="n">
        <v>3</v>
      </c>
      <c r="E1761" s="41" t="n">
        <v>13.34</v>
      </c>
      <c r="F1761" s="39" t="s">
        <v>108</v>
      </c>
      <c r="G1761" s="39" t="str">
        <f aca="false">UPPER(TRIM(C1761))</f>
        <v>P016</v>
      </c>
      <c r="H1761" s="39" t="str">
        <f aca="false">IF(ISNUMBER(MATCH(G1761,Products!$A$5:$A$24,0)),"OK","Mismatch")</f>
        <v>OK</v>
      </c>
      <c r="I1761" s="39" t="str">
        <f aca="false">IF(COUNTIF($A$5:A1761,A1761)&gt;1,"Duplicate","Unique")</f>
        <v>Unique</v>
      </c>
      <c r="J1761" s="39" t="str">
        <f aca="false">IF(I1761="Duplicate","Remove",IF(H1761="Mismatch","Exclude","Keep"))</f>
        <v>Keep</v>
      </c>
    </row>
    <row r="1762" customFormat="false" ht="15" hidden="false" customHeight="false" outlineLevel="0" collapsed="false">
      <c r="A1762" s="39" t="s">
        <v>1838</v>
      </c>
      <c r="B1762" s="40" t="n">
        <v>45895</v>
      </c>
      <c r="C1762" s="39" t="s">
        <v>117</v>
      </c>
      <c r="D1762" s="39" t="n">
        <v>3</v>
      </c>
      <c r="E1762" s="41" t="n">
        <v>29.55</v>
      </c>
      <c r="F1762" s="39" t="s">
        <v>105</v>
      </c>
      <c r="G1762" s="39" t="str">
        <f aca="false">UPPER(TRIM(C1762))</f>
        <v>P009</v>
      </c>
      <c r="H1762" s="39" t="str">
        <f aca="false">IF(ISNUMBER(MATCH(G1762,Products!$A$5:$A$24,0)),"OK","Mismatch")</f>
        <v>OK</v>
      </c>
      <c r="I1762" s="39" t="str">
        <f aca="false">IF(COUNTIF($A$5:A1762,A1762)&gt;1,"Duplicate","Unique")</f>
        <v>Unique</v>
      </c>
      <c r="J1762" s="39" t="str">
        <f aca="false">IF(I1762="Duplicate","Remove",IF(H1762="Mismatch","Exclude","Keep"))</f>
        <v>Keep</v>
      </c>
    </row>
    <row r="1763" customFormat="false" ht="15" hidden="false" customHeight="false" outlineLevel="0" collapsed="false">
      <c r="A1763" s="39" t="s">
        <v>1839</v>
      </c>
      <c r="B1763" s="40" t="n">
        <v>45896</v>
      </c>
      <c r="C1763" s="39" t="s">
        <v>107</v>
      </c>
      <c r="D1763" s="39" t="n">
        <v>5</v>
      </c>
      <c r="E1763" s="41" t="n">
        <v>33.56</v>
      </c>
      <c r="F1763" s="39" t="s">
        <v>115</v>
      </c>
      <c r="G1763" s="39" t="str">
        <f aca="false">UPPER(TRIM(C1763))</f>
        <v>P003</v>
      </c>
      <c r="H1763" s="39" t="str">
        <f aca="false">IF(ISNUMBER(MATCH(G1763,Products!$A$5:$A$24,0)),"OK","Mismatch")</f>
        <v>OK</v>
      </c>
      <c r="I1763" s="39" t="str">
        <f aca="false">IF(COUNTIF($A$5:A1763,A1763)&gt;1,"Duplicate","Unique")</f>
        <v>Unique</v>
      </c>
      <c r="J1763" s="39" t="str">
        <f aca="false">IF(I1763="Duplicate","Remove",IF(H1763="Mismatch","Exclude","Keep"))</f>
        <v>Keep</v>
      </c>
    </row>
    <row r="1764" customFormat="false" ht="15" hidden="false" customHeight="false" outlineLevel="0" collapsed="false">
      <c r="A1764" s="39" t="s">
        <v>1839</v>
      </c>
      <c r="B1764" s="40" t="n">
        <v>45896</v>
      </c>
      <c r="C1764" s="39" t="s">
        <v>107</v>
      </c>
      <c r="D1764" s="39" t="n">
        <v>5</v>
      </c>
      <c r="E1764" s="41" t="n">
        <v>33.56</v>
      </c>
      <c r="F1764" s="39" t="s">
        <v>115</v>
      </c>
      <c r="G1764" s="39" t="str">
        <f aca="false">UPPER(TRIM(C1764))</f>
        <v>P003</v>
      </c>
      <c r="H1764" s="39" t="str">
        <f aca="false">IF(ISNUMBER(MATCH(G1764,Products!$A$5:$A$24,0)),"OK","Mismatch")</f>
        <v>OK</v>
      </c>
      <c r="I1764" s="39" t="str">
        <f aca="false">IF(COUNTIF($A$5:A1764,A1764)&gt;1,"Duplicate","Unique")</f>
        <v>Duplicate</v>
      </c>
      <c r="J1764" s="39" t="str">
        <f aca="false">IF(I1764="Duplicate","Remove",IF(H1764="Mismatch","Exclude","Keep"))</f>
        <v>Remove</v>
      </c>
    </row>
    <row r="1765" customFormat="false" ht="15" hidden="false" customHeight="false" outlineLevel="0" collapsed="false">
      <c r="A1765" s="39" t="s">
        <v>1840</v>
      </c>
      <c r="B1765" s="40" t="n">
        <v>45896</v>
      </c>
      <c r="C1765" s="39" t="s">
        <v>169</v>
      </c>
      <c r="D1765" s="39" t="n">
        <v>3</v>
      </c>
      <c r="E1765" s="41" t="n">
        <v>27.76</v>
      </c>
      <c r="F1765" s="39" t="s">
        <v>105</v>
      </c>
      <c r="G1765" s="39" t="str">
        <f aca="false">UPPER(TRIM(C1765))</f>
        <v>P004</v>
      </c>
      <c r="H1765" s="39" t="str">
        <f aca="false">IF(ISNUMBER(MATCH(G1765,Products!$A$5:$A$24,0)),"OK","Mismatch")</f>
        <v>OK</v>
      </c>
      <c r="I1765" s="39" t="str">
        <f aca="false">IF(COUNTIF($A$5:A1765,A1765)&gt;1,"Duplicate","Unique")</f>
        <v>Unique</v>
      </c>
      <c r="J1765" s="39" t="str">
        <f aca="false">IF(I1765="Duplicate","Remove",IF(H1765="Mismatch","Exclude","Keep"))</f>
        <v>Keep</v>
      </c>
    </row>
    <row r="1766" customFormat="false" ht="15" hidden="false" customHeight="false" outlineLevel="0" collapsed="false">
      <c r="A1766" s="39" t="s">
        <v>1841</v>
      </c>
      <c r="B1766" s="40" t="n">
        <v>45896</v>
      </c>
      <c r="C1766" s="39" t="s">
        <v>130</v>
      </c>
      <c r="D1766" s="39" t="n">
        <v>5</v>
      </c>
      <c r="E1766" s="41" t="n">
        <v>8.72</v>
      </c>
      <c r="F1766" s="39" t="s">
        <v>118</v>
      </c>
      <c r="G1766" s="39" t="str">
        <f aca="false">UPPER(TRIM(C1766))</f>
        <v>P011</v>
      </c>
      <c r="H1766" s="39" t="str">
        <f aca="false">IF(ISNUMBER(MATCH(G1766,Products!$A$5:$A$24,0)),"OK","Mismatch")</f>
        <v>OK</v>
      </c>
      <c r="I1766" s="39" t="str">
        <f aca="false">IF(COUNTIF($A$5:A1766,A1766)&gt;1,"Duplicate","Unique")</f>
        <v>Unique</v>
      </c>
      <c r="J1766" s="39" t="str">
        <f aca="false">IF(I1766="Duplicate","Remove",IF(H1766="Mismatch","Exclude","Keep"))</f>
        <v>Keep</v>
      </c>
    </row>
    <row r="1767" customFormat="false" ht="15" hidden="false" customHeight="false" outlineLevel="0" collapsed="false">
      <c r="A1767" s="39" t="s">
        <v>1842</v>
      </c>
      <c r="B1767" s="40" t="n">
        <v>45896</v>
      </c>
      <c r="C1767" s="39" t="s">
        <v>128</v>
      </c>
      <c r="D1767" s="39" t="n">
        <v>6</v>
      </c>
      <c r="E1767" s="41" t="n">
        <v>38.49</v>
      </c>
      <c r="F1767" s="39" t="s">
        <v>115</v>
      </c>
      <c r="G1767" s="39" t="str">
        <f aca="false">UPPER(TRIM(C1767))</f>
        <v>P020</v>
      </c>
      <c r="H1767" s="39" t="str">
        <f aca="false">IF(ISNUMBER(MATCH(G1767,Products!$A$5:$A$24,0)),"OK","Mismatch")</f>
        <v>OK</v>
      </c>
      <c r="I1767" s="39" t="str">
        <f aca="false">IF(COUNTIF($A$5:A1767,A1767)&gt;1,"Duplicate","Unique")</f>
        <v>Unique</v>
      </c>
      <c r="J1767" s="39" t="str">
        <f aca="false">IF(I1767="Duplicate","Remove",IF(H1767="Mismatch","Exclude","Keep"))</f>
        <v>Keep</v>
      </c>
    </row>
    <row r="1768" customFormat="false" ht="15" hidden="false" customHeight="false" outlineLevel="0" collapsed="false">
      <c r="A1768" s="39" t="s">
        <v>1843</v>
      </c>
      <c r="B1768" s="40" t="n">
        <v>45896</v>
      </c>
      <c r="C1768" s="39" t="s">
        <v>114</v>
      </c>
      <c r="D1768" s="39" t="n">
        <v>3</v>
      </c>
      <c r="E1768" s="41" t="n">
        <v>5.91</v>
      </c>
      <c r="F1768" s="39" t="s">
        <v>115</v>
      </c>
      <c r="G1768" s="39" t="str">
        <f aca="false">UPPER(TRIM(C1768))</f>
        <v>P012</v>
      </c>
      <c r="H1768" s="39" t="str">
        <f aca="false">IF(ISNUMBER(MATCH(G1768,Products!$A$5:$A$24,0)),"OK","Mismatch")</f>
        <v>OK</v>
      </c>
      <c r="I1768" s="39" t="str">
        <f aca="false">IF(COUNTIF($A$5:A1768,A1768)&gt;1,"Duplicate","Unique")</f>
        <v>Unique</v>
      </c>
      <c r="J1768" s="39" t="str">
        <f aca="false">IF(I1768="Duplicate","Remove",IF(H1768="Mismatch","Exclude","Keep"))</f>
        <v>Keep</v>
      </c>
    </row>
    <row r="1769" customFormat="false" ht="15" hidden="false" customHeight="false" outlineLevel="0" collapsed="false">
      <c r="A1769" s="39" t="s">
        <v>1844</v>
      </c>
      <c r="B1769" s="40" t="n">
        <v>45896</v>
      </c>
      <c r="C1769" s="39" t="s">
        <v>126</v>
      </c>
      <c r="D1769" s="39" t="n">
        <v>4</v>
      </c>
      <c r="E1769" s="41" t="n">
        <v>23.31</v>
      </c>
      <c r="F1769" s="39" t="s">
        <v>108</v>
      </c>
      <c r="G1769" s="39" t="str">
        <f aca="false">UPPER(TRIM(C1769))</f>
        <v>P001</v>
      </c>
      <c r="H1769" s="39" t="str">
        <f aca="false">IF(ISNUMBER(MATCH(G1769,Products!$A$5:$A$24,0)),"OK","Mismatch")</f>
        <v>OK</v>
      </c>
      <c r="I1769" s="39" t="str">
        <f aca="false">IF(COUNTIF($A$5:A1769,A1769)&gt;1,"Duplicate","Unique")</f>
        <v>Unique</v>
      </c>
      <c r="J1769" s="39" t="str">
        <f aca="false">IF(I1769="Duplicate","Remove",IF(H1769="Mismatch","Exclude","Keep"))</f>
        <v>Keep</v>
      </c>
    </row>
    <row r="1770" customFormat="false" ht="15" hidden="false" customHeight="false" outlineLevel="0" collapsed="false">
      <c r="A1770" s="39" t="s">
        <v>1845</v>
      </c>
      <c r="B1770" s="40" t="n">
        <v>45896</v>
      </c>
      <c r="C1770" s="39" t="s">
        <v>114</v>
      </c>
      <c r="D1770" s="39" t="n">
        <v>3</v>
      </c>
      <c r="E1770" s="41" t="n">
        <v>5.88</v>
      </c>
      <c r="F1770" s="39" t="s">
        <v>105</v>
      </c>
      <c r="G1770" s="39" t="str">
        <f aca="false">UPPER(TRIM(C1770))</f>
        <v>P012</v>
      </c>
      <c r="H1770" s="39" t="str">
        <f aca="false">IF(ISNUMBER(MATCH(G1770,Products!$A$5:$A$24,0)),"OK","Mismatch")</f>
        <v>OK</v>
      </c>
      <c r="I1770" s="39" t="str">
        <f aca="false">IF(COUNTIF($A$5:A1770,A1770)&gt;1,"Duplicate","Unique")</f>
        <v>Unique</v>
      </c>
      <c r="J1770" s="39" t="str">
        <f aca="false">IF(I1770="Duplicate","Remove",IF(H1770="Mismatch","Exclude","Keep"))</f>
        <v>Keep</v>
      </c>
    </row>
    <row r="1771" customFormat="false" ht="15" hidden="false" customHeight="false" outlineLevel="0" collapsed="false">
      <c r="A1771" s="39" t="s">
        <v>1846</v>
      </c>
      <c r="B1771" s="40" t="n">
        <v>45897</v>
      </c>
      <c r="C1771" s="39" t="s">
        <v>162</v>
      </c>
      <c r="D1771" s="39" t="n">
        <v>1</v>
      </c>
      <c r="E1771" s="41" t="n">
        <v>63.88</v>
      </c>
      <c r="F1771" s="39" t="s">
        <v>108</v>
      </c>
      <c r="G1771" s="39" t="str">
        <f aca="false">UPPER(TRIM(C1771))</f>
        <v>P017</v>
      </c>
      <c r="H1771" s="39" t="str">
        <f aca="false">IF(ISNUMBER(MATCH(G1771,Products!$A$5:$A$24,0)),"OK","Mismatch")</f>
        <v>OK</v>
      </c>
      <c r="I1771" s="39" t="str">
        <f aca="false">IF(COUNTIF($A$5:A1771,A1771)&gt;1,"Duplicate","Unique")</f>
        <v>Unique</v>
      </c>
      <c r="J1771" s="39" t="str">
        <f aca="false">IF(I1771="Duplicate","Remove",IF(H1771="Mismatch","Exclude","Keep"))</f>
        <v>Keep</v>
      </c>
    </row>
    <row r="1772" customFormat="false" ht="15" hidden="false" customHeight="false" outlineLevel="0" collapsed="false">
      <c r="A1772" s="39" t="s">
        <v>1847</v>
      </c>
      <c r="B1772" s="40" t="n">
        <v>45897</v>
      </c>
      <c r="C1772" s="39" t="s">
        <v>169</v>
      </c>
      <c r="D1772" s="39" t="n">
        <v>1</v>
      </c>
      <c r="E1772" s="41" t="n">
        <v>27.3</v>
      </c>
      <c r="F1772" s="39" t="s">
        <v>118</v>
      </c>
      <c r="G1772" s="39" t="str">
        <f aca="false">UPPER(TRIM(C1772))</f>
        <v>P004</v>
      </c>
      <c r="H1772" s="39" t="str">
        <f aca="false">IF(ISNUMBER(MATCH(G1772,Products!$A$5:$A$24,0)),"OK","Mismatch")</f>
        <v>OK</v>
      </c>
      <c r="I1772" s="39" t="str">
        <f aca="false">IF(COUNTIF($A$5:A1772,A1772)&gt;1,"Duplicate","Unique")</f>
        <v>Unique</v>
      </c>
      <c r="J1772" s="39" t="str">
        <f aca="false">IF(I1772="Duplicate","Remove",IF(H1772="Mismatch","Exclude","Keep"))</f>
        <v>Keep</v>
      </c>
    </row>
    <row r="1773" customFormat="false" ht="15" hidden="false" customHeight="false" outlineLevel="0" collapsed="false">
      <c r="A1773" s="39" t="s">
        <v>1848</v>
      </c>
      <c r="B1773" s="40" t="n">
        <v>45897</v>
      </c>
      <c r="C1773" s="39" t="s">
        <v>130</v>
      </c>
      <c r="D1773" s="39" t="n">
        <v>5</v>
      </c>
      <c r="E1773" s="41" t="n">
        <v>8.3</v>
      </c>
      <c r="F1773" s="39" t="s">
        <v>108</v>
      </c>
      <c r="G1773" s="39" t="str">
        <f aca="false">UPPER(TRIM(C1773))</f>
        <v>P011</v>
      </c>
      <c r="H1773" s="39" t="str">
        <f aca="false">IF(ISNUMBER(MATCH(G1773,Products!$A$5:$A$24,0)),"OK","Mismatch")</f>
        <v>OK</v>
      </c>
      <c r="I1773" s="39" t="str">
        <f aca="false">IF(COUNTIF($A$5:A1773,A1773)&gt;1,"Duplicate","Unique")</f>
        <v>Unique</v>
      </c>
      <c r="J1773" s="39" t="str">
        <f aca="false">IF(I1773="Duplicate","Remove",IF(H1773="Mismatch","Exclude","Keep"))</f>
        <v>Keep</v>
      </c>
    </row>
    <row r="1774" customFormat="false" ht="15" hidden="false" customHeight="false" outlineLevel="0" collapsed="false">
      <c r="A1774" s="39" t="s">
        <v>1849</v>
      </c>
      <c r="B1774" s="40" t="n">
        <v>45897</v>
      </c>
      <c r="C1774" s="39" t="s">
        <v>169</v>
      </c>
      <c r="D1774" s="39" t="n">
        <v>2</v>
      </c>
      <c r="E1774" s="41" t="n">
        <v>27.94</v>
      </c>
      <c r="F1774" s="39" t="s">
        <v>108</v>
      </c>
      <c r="G1774" s="39" t="str">
        <f aca="false">UPPER(TRIM(C1774))</f>
        <v>P004</v>
      </c>
      <c r="H1774" s="39" t="str">
        <f aca="false">IF(ISNUMBER(MATCH(G1774,Products!$A$5:$A$24,0)),"OK","Mismatch")</f>
        <v>OK</v>
      </c>
      <c r="I1774" s="39" t="str">
        <f aca="false">IF(COUNTIF($A$5:A1774,A1774)&gt;1,"Duplicate","Unique")</f>
        <v>Unique</v>
      </c>
      <c r="J1774" s="39" t="str">
        <f aca="false">IF(I1774="Duplicate","Remove",IF(H1774="Mismatch","Exclude","Keep"))</f>
        <v>Keep</v>
      </c>
    </row>
    <row r="1775" customFormat="false" ht="15" hidden="false" customHeight="false" outlineLevel="0" collapsed="false">
      <c r="A1775" s="39" t="s">
        <v>1850</v>
      </c>
      <c r="B1775" s="40" t="n">
        <v>45897</v>
      </c>
      <c r="C1775" s="39" t="s">
        <v>112</v>
      </c>
      <c r="D1775" s="39" t="n">
        <v>4</v>
      </c>
      <c r="E1775" s="41" t="n">
        <v>53.4</v>
      </c>
      <c r="F1775" s="39" t="s">
        <v>105</v>
      </c>
      <c r="G1775" s="39" t="str">
        <f aca="false">UPPER(TRIM(C1775))</f>
        <v>P005</v>
      </c>
      <c r="H1775" s="39" t="str">
        <f aca="false">IF(ISNUMBER(MATCH(G1775,Products!$A$5:$A$24,0)),"OK","Mismatch")</f>
        <v>OK</v>
      </c>
      <c r="I1775" s="39" t="str">
        <f aca="false">IF(COUNTIF($A$5:A1775,A1775)&gt;1,"Duplicate","Unique")</f>
        <v>Unique</v>
      </c>
      <c r="J1775" s="39" t="str">
        <f aca="false">IF(I1775="Duplicate","Remove",IF(H1775="Mismatch","Exclude","Keep"))</f>
        <v>Keep</v>
      </c>
    </row>
    <row r="1776" customFormat="false" ht="15" hidden="false" customHeight="false" outlineLevel="0" collapsed="false">
      <c r="A1776" s="39" t="s">
        <v>1851</v>
      </c>
      <c r="B1776" s="40" t="n">
        <v>45897</v>
      </c>
      <c r="C1776" s="39" t="s">
        <v>117</v>
      </c>
      <c r="D1776" s="39" t="n">
        <v>2</v>
      </c>
      <c r="E1776" s="41" t="n">
        <v>30.84</v>
      </c>
      <c r="F1776" s="39" t="s">
        <v>115</v>
      </c>
      <c r="G1776" s="39" t="str">
        <f aca="false">UPPER(TRIM(C1776))</f>
        <v>P009</v>
      </c>
      <c r="H1776" s="39" t="str">
        <f aca="false">IF(ISNUMBER(MATCH(G1776,Products!$A$5:$A$24,0)),"OK","Mismatch")</f>
        <v>OK</v>
      </c>
      <c r="I1776" s="39" t="str">
        <f aca="false">IF(COUNTIF($A$5:A1776,A1776)&gt;1,"Duplicate","Unique")</f>
        <v>Unique</v>
      </c>
      <c r="J1776" s="39" t="str">
        <f aca="false">IF(I1776="Duplicate","Remove",IF(H1776="Mismatch","Exclude","Keep"))</f>
        <v>Keep</v>
      </c>
    </row>
    <row r="1777" customFormat="false" ht="15" hidden="false" customHeight="false" outlineLevel="0" collapsed="false">
      <c r="A1777" s="39" t="s">
        <v>1852</v>
      </c>
      <c r="B1777" s="40" t="n">
        <v>45897</v>
      </c>
      <c r="C1777" s="39" t="s">
        <v>117</v>
      </c>
      <c r="D1777" s="39" t="n">
        <v>1</v>
      </c>
      <c r="E1777" s="41" t="n">
        <v>30.11</v>
      </c>
      <c r="F1777" s="39" t="s">
        <v>115</v>
      </c>
      <c r="G1777" s="39" t="str">
        <f aca="false">UPPER(TRIM(C1777))</f>
        <v>P009</v>
      </c>
      <c r="H1777" s="39" t="str">
        <f aca="false">IF(ISNUMBER(MATCH(G1777,Products!$A$5:$A$24,0)),"OK","Mismatch")</f>
        <v>OK</v>
      </c>
      <c r="I1777" s="39" t="str">
        <f aca="false">IF(COUNTIF($A$5:A1777,A1777)&gt;1,"Duplicate","Unique")</f>
        <v>Unique</v>
      </c>
      <c r="J1777" s="39" t="str">
        <f aca="false">IF(I1777="Duplicate","Remove",IF(H1777="Mismatch","Exclude","Keep"))</f>
        <v>Keep</v>
      </c>
    </row>
    <row r="1778" customFormat="false" ht="15" hidden="false" customHeight="false" outlineLevel="0" collapsed="false">
      <c r="A1778" s="39" t="s">
        <v>1853</v>
      </c>
      <c r="B1778" s="40" t="n">
        <v>45897</v>
      </c>
      <c r="C1778" s="39" t="s">
        <v>117</v>
      </c>
      <c r="D1778" s="39" t="n">
        <v>3</v>
      </c>
      <c r="E1778" s="41" t="n">
        <v>31.32</v>
      </c>
      <c r="F1778" s="39" t="s">
        <v>108</v>
      </c>
      <c r="G1778" s="39" t="str">
        <f aca="false">UPPER(TRIM(C1778))</f>
        <v>P009</v>
      </c>
      <c r="H1778" s="39" t="str">
        <f aca="false">IF(ISNUMBER(MATCH(G1778,Products!$A$5:$A$24,0)),"OK","Mismatch")</f>
        <v>OK</v>
      </c>
      <c r="I1778" s="39" t="str">
        <f aca="false">IF(COUNTIF($A$5:A1778,A1778)&gt;1,"Duplicate","Unique")</f>
        <v>Unique</v>
      </c>
      <c r="J1778" s="39" t="str">
        <f aca="false">IF(I1778="Duplicate","Remove",IF(H1778="Mismatch","Exclude","Keep"))</f>
        <v>Keep</v>
      </c>
    </row>
    <row r="1779" customFormat="false" ht="15" hidden="false" customHeight="false" outlineLevel="0" collapsed="false">
      <c r="A1779" s="39" t="s">
        <v>1854</v>
      </c>
      <c r="B1779" s="40" t="n">
        <v>45897</v>
      </c>
      <c r="C1779" s="39" t="s">
        <v>169</v>
      </c>
      <c r="D1779" s="39" t="n">
        <v>1</v>
      </c>
      <c r="E1779" s="41" t="n">
        <v>26.9</v>
      </c>
      <c r="F1779" s="39" t="s">
        <v>108</v>
      </c>
      <c r="G1779" s="39" t="str">
        <f aca="false">UPPER(TRIM(C1779))</f>
        <v>P004</v>
      </c>
      <c r="H1779" s="39" t="str">
        <f aca="false">IF(ISNUMBER(MATCH(G1779,Products!$A$5:$A$24,0)),"OK","Mismatch")</f>
        <v>OK</v>
      </c>
      <c r="I1779" s="39" t="str">
        <f aca="false">IF(COUNTIF($A$5:A1779,A1779)&gt;1,"Duplicate","Unique")</f>
        <v>Unique</v>
      </c>
      <c r="J1779" s="39" t="str">
        <f aca="false">IF(I1779="Duplicate","Remove",IF(H1779="Mismatch","Exclude","Keep"))</f>
        <v>Keep</v>
      </c>
    </row>
    <row r="1780" customFormat="false" ht="15" hidden="false" customHeight="false" outlineLevel="0" collapsed="false">
      <c r="A1780" s="39" t="s">
        <v>1855</v>
      </c>
      <c r="B1780" s="40" t="n">
        <v>45897</v>
      </c>
      <c r="C1780" s="39" t="s">
        <v>114</v>
      </c>
      <c r="D1780" s="39" t="n">
        <v>2</v>
      </c>
      <c r="E1780" s="41" t="n">
        <v>5.75</v>
      </c>
      <c r="F1780" s="39" t="s">
        <v>108</v>
      </c>
      <c r="G1780" s="39" t="str">
        <f aca="false">UPPER(TRIM(C1780))</f>
        <v>P012</v>
      </c>
      <c r="H1780" s="39" t="str">
        <f aca="false">IF(ISNUMBER(MATCH(G1780,Products!$A$5:$A$24,0)),"OK","Mismatch")</f>
        <v>OK</v>
      </c>
      <c r="I1780" s="39" t="str">
        <f aca="false">IF(COUNTIF($A$5:A1780,A1780)&gt;1,"Duplicate","Unique")</f>
        <v>Unique</v>
      </c>
      <c r="J1780" s="39" t="str">
        <f aca="false">IF(I1780="Duplicate","Remove",IF(H1780="Mismatch","Exclude","Keep"))</f>
        <v>Keep</v>
      </c>
    </row>
    <row r="1781" customFormat="false" ht="15" hidden="false" customHeight="false" outlineLevel="0" collapsed="false">
      <c r="A1781" s="39" t="s">
        <v>1856</v>
      </c>
      <c r="B1781" s="40" t="n">
        <v>45897</v>
      </c>
      <c r="C1781" s="39" t="s">
        <v>110</v>
      </c>
      <c r="D1781" s="39" t="n">
        <v>1</v>
      </c>
      <c r="E1781" s="41" t="n">
        <v>13.46</v>
      </c>
      <c r="F1781" s="39" t="s">
        <v>105</v>
      </c>
      <c r="G1781" s="39" t="str">
        <f aca="false">UPPER(TRIM(C1781))</f>
        <v>P016</v>
      </c>
      <c r="H1781" s="39" t="str">
        <f aca="false">IF(ISNUMBER(MATCH(G1781,Products!$A$5:$A$24,0)),"OK","Mismatch")</f>
        <v>OK</v>
      </c>
      <c r="I1781" s="39" t="str">
        <f aca="false">IF(COUNTIF($A$5:A1781,A1781)&gt;1,"Duplicate","Unique")</f>
        <v>Unique</v>
      </c>
      <c r="J1781" s="39" t="str">
        <f aca="false">IF(I1781="Duplicate","Remove",IF(H1781="Mismatch","Exclude","Keep"))</f>
        <v>Keep</v>
      </c>
    </row>
    <row r="1782" customFormat="false" ht="15" hidden="false" customHeight="false" outlineLevel="0" collapsed="false">
      <c r="A1782" s="39" t="s">
        <v>1857</v>
      </c>
      <c r="B1782" s="40" t="n">
        <v>45901</v>
      </c>
      <c r="C1782" s="39" t="s">
        <v>114</v>
      </c>
      <c r="D1782" s="39" t="n">
        <v>2</v>
      </c>
      <c r="E1782" s="41" t="n">
        <v>5.82</v>
      </c>
      <c r="F1782" s="39" t="s">
        <v>108</v>
      </c>
      <c r="G1782" s="39" t="str">
        <f aca="false">UPPER(TRIM(C1782))</f>
        <v>P012</v>
      </c>
      <c r="H1782" s="39" t="str">
        <f aca="false">IF(ISNUMBER(MATCH(G1782,Products!$A$5:$A$24,0)),"OK","Mismatch")</f>
        <v>OK</v>
      </c>
      <c r="I1782" s="39" t="str">
        <f aca="false">IF(COUNTIF($A$5:A1782,A1782)&gt;1,"Duplicate","Unique")</f>
        <v>Unique</v>
      </c>
      <c r="J1782" s="39" t="str">
        <f aca="false">IF(I1782="Duplicate","Remove",IF(H1782="Mismatch","Exclude","Keep"))</f>
        <v>Keep</v>
      </c>
    </row>
    <row r="1783" customFormat="false" ht="15" hidden="false" customHeight="false" outlineLevel="0" collapsed="false">
      <c r="A1783" s="39" t="s">
        <v>1858</v>
      </c>
      <c r="B1783" s="40" t="n">
        <v>45901</v>
      </c>
      <c r="C1783" s="39" t="s">
        <v>126</v>
      </c>
      <c r="D1783" s="39" t="n">
        <v>4</v>
      </c>
      <c r="E1783" s="41" t="n">
        <v>23.06</v>
      </c>
      <c r="F1783" s="39" t="s">
        <v>108</v>
      </c>
      <c r="G1783" s="39" t="str">
        <f aca="false">UPPER(TRIM(C1783))</f>
        <v>P001</v>
      </c>
      <c r="H1783" s="39" t="str">
        <f aca="false">IF(ISNUMBER(MATCH(G1783,Products!$A$5:$A$24,0)),"OK","Mismatch")</f>
        <v>OK</v>
      </c>
      <c r="I1783" s="39" t="str">
        <f aca="false">IF(COUNTIF($A$5:A1783,A1783)&gt;1,"Duplicate","Unique")</f>
        <v>Unique</v>
      </c>
      <c r="J1783" s="39" t="str">
        <f aca="false">IF(I1783="Duplicate","Remove",IF(H1783="Mismatch","Exclude","Keep"))</f>
        <v>Keep</v>
      </c>
    </row>
    <row r="1784" customFormat="false" ht="15" hidden="false" customHeight="false" outlineLevel="0" collapsed="false">
      <c r="A1784" s="39" t="s">
        <v>3183</v>
      </c>
      <c r="B1784" s="40" t="n">
        <v>45901</v>
      </c>
      <c r="C1784" s="39" t="s">
        <v>3182</v>
      </c>
      <c r="D1784" s="39" t="n">
        <v>1</v>
      </c>
      <c r="E1784" s="41" t="n">
        <v>24.23</v>
      </c>
      <c r="F1784" s="39" t="s">
        <v>115</v>
      </c>
      <c r="G1784" s="39" t="str">
        <f aca="false">UPPER(TRIM(C1784))</f>
        <v>P909</v>
      </c>
      <c r="H1784" s="39" t="str">
        <f aca="false">IF(ISNUMBER(MATCH(G1784,Products!$A$5:$A$24,0)),"OK","Mismatch")</f>
        <v>Mismatch</v>
      </c>
      <c r="I1784" s="39" t="str">
        <f aca="false">IF(COUNTIF($A$5:A1784,A1784)&gt;1,"Duplicate","Unique")</f>
        <v>Unique</v>
      </c>
      <c r="J1784" s="39" t="str">
        <f aca="false">IF(I1784="Duplicate","Remove",IF(H1784="Mismatch","Exclude","Keep"))</f>
        <v>Exclude</v>
      </c>
    </row>
    <row r="1785" customFormat="false" ht="15" hidden="false" customHeight="false" outlineLevel="0" collapsed="false">
      <c r="A1785" s="39" t="s">
        <v>1859</v>
      </c>
      <c r="B1785" s="40" t="n">
        <v>45901</v>
      </c>
      <c r="C1785" s="39" t="s">
        <v>114</v>
      </c>
      <c r="D1785" s="39" t="n">
        <v>2</v>
      </c>
      <c r="E1785" s="41" t="n">
        <v>5.75</v>
      </c>
      <c r="F1785" s="39" t="s">
        <v>108</v>
      </c>
      <c r="G1785" s="39" t="str">
        <f aca="false">UPPER(TRIM(C1785))</f>
        <v>P012</v>
      </c>
      <c r="H1785" s="39" t="str">
        <f aca="false">IF(ISNUMBER(MATCH(G1785,Products!$A$5:$A$24,0)),"OK","Mismatch")</f>
        <v>OK</v>
      </c>
      <c r="I1785" s="39" t="str">
        <f aca="false">IF(COUNTIF($A$5:A1785,A1785)&gt;1,"Duplicate","Unique")</f>
        <v>Unique</v>
      </c>
      <c r="J1785" s="39" t="str">
        <f aca="false">IF(I1785="Duplicate","Remove",IF(H1785="Mismatch","Exclude","Keep"))</f>
        <v>Keep</v>
      </c>
    </row>
    <row r="1786" customFormat="false" ht="15" hidden="false" customHeight="false" outlineLevel="0" collapsed="false">
      <c r="A1786" s="39" t="s">
        <v>1860</v>
      </c>
      <c r="B1786" s="40" t="n">
        <v>45901</v>
      </c>
      <c r="C1786" s="39" t="s">
        <v>121</v>
      </c>
      <c r="D1786" s="39" t="n">
        <v>1</v>
      </c>
      <c r="E1786" s="41" t="n">
        <v>116.28</v>
      </c>
      <c r="F1786" s="39" t="s">
        <v>108</v>
      </c>
      <c r="G1786" s="39" t="str">
        <f aca="false">UPPER(TRIM(C1786))</f>
        <v>P018</v>
      </c>
      <c r="H1786" s="39" t="str">
        <f aca="false">IF(ISNUMBER(MATCH(G1786,Products!$A$5:$A$24,0)),"OK","Mismatch")</f>
        <v>OK</v>
      </c>
      <c r="I1786" s="39" t="str">
        <f aca="false">IF(COUNTIF($A$5:A1786,A1786)&gt;1,"Duplicate","Unique")</f>
        <v>Unique</v>
      </c>
      <c r="J1786" s="39" t="str">
        <f aca="false">IF(I1786="Duplicate","Remove",IF(H1786="Mismatch","Exclude","Keep"))</f>
        <v>Keep</v>
      </c>
    </row>
    <row r="1787" customFormat="false" ht="15" hidden="false" customHeight="false" outlineLevel="0" collapsed="false">
      <c r="A1787" s="39" t="s">
        <v>1861</v>
      </c>
      <c r="B1787" s="40" t="n">
        <v>45901</v>
      </c>
      <c r="C1787" s="39" t="s">
        <v>139</v>
      </c>
      <c r="D1787" s="39" t="n">
        <v>1</v>
      </c>
      <c r="E1787" s="41" t="n">
        <v>123.44</v>
      </c>
      <c r="F1787" s="39" t="s">
        <v>108</v>
      </c>
      <c r="G1787" s="39" t="str">
        <f aca="false">UPPER(TRIM(C1787))</f>
        <v>P006</v>
      </c>
      <c r="H1787" s="39" t="str">
        <f aca="false">IF(ISNUMBER(MATCH(G1787,Products!$A$5:$A$24,0)),"OK","Mismatch")</f>
        <v>OK</v>
      </c>
      <c r="I1787" s="39" t="str">
        <f aca="false">IF(COUNTIF($A$5:A1787,A1787)&gt;1,"Duplicate","Unique")</f>
        <v>Unique</v>
      </c>
      <c r="J1787" s="39" t="str">
        <f aca="false">IF(I1787="Duplicate","Remove",IF(H1787="Mismatch","Exclude","Keep"))</f>
        <v>Keep</v>
      </c>
    </row>
    <row r="1788" customFormat="false" ht="15" hidden="false" customHeight="false" outlineLevel="0" collapsed="false">
      <c r="A1788" s="39" t="s">
        <v>1862</v>
      </c>
      <c r="B1788" s="40" t="n">
        <v>45901</v>
      </c>
      <c r="C1788" s="39" t="s">
        <v>126</v>
      </c>
      <c r="D1788" s="39" t="n">
        <v>1</v>
      </c>
      <c r="E1788" s="41" t="n">
        <v>23.25</v>
      </c>
      <c r="F1788" s="39" t="s">
        <v>108</v>
      </c>
      <c r="G1788" s="39" t="str">
        <f aca="false">UPPER(TRIM(C1788))</f>
        <v>P001</v>
      </c>
      <c r="H1788" s="39" t="str">
        <f aca="false">IF(ISNUMBER(MATCH(G1788,Products!$A$5:$A$24,0)),"OK","Mismatch")</f>
        <v>OK</v>
      </c>
      <c r="I1788" s="39" t="str">
        <f aca="false">IF(COUNTIF($A$5:A1788,A1788)&gt;1,"Duplicate","Unique")</f>
        <v>Unique</v>
      </c>
      <c r="J1788" s="39" t="str">
        <f aca="false">IF(I1788="Duplicate","Remove",IF(H1788="Mismatch","Exclude","Keep"))</f>
        <v>Keep</v>
      </c>
    </row>
    <row r="1789" customFormat="false" ht="15" hidden="false" customHeight="false" outlineLevel="0" collapsed="false">
      <c r="A1789" s="39" t="s">
        <v>1863</v>
      </c>
      <c r="B1789" s="40" t="n">
        <v>45902</v>
      </c>
      <c r="C1789" s="39" t="s">
        <v>130</v>
      </c>
      <c r="D1789" s="39" t="n">
        <v>2</v>
      </c>
      <c r="E1789" s="41" t="n">
        <v>8.9</v>
      </c>
      <c r="F1789" s="39" t="s">
        <v>105</v>
      </c>
      <c r="G1789" s="39" t="str">
        <f aca="false">UPPER(TRIM(C1789))</f>
        <v>P011</v>
      </c>
      <c r="H1789" s="39" t="str">
        <f aca="false">IF(ISNUMBER(MATCH(G1789,Products!$A$5:$A$24,0)),"OK","Mismatch")</f>
        <v>OK</v>
      </c>
      <c r="I1789" s="39" t="str">
        <f aca="false">IF(COUNTIF($A$5:A1789,A1789)&gt;1,"Duplicate","Unique")</f>
        <v>Unique</v>
      </c>
      <c r="J1789" s="39" t="str">
        <f aca="false">IF(I1789="Duplicate","Remove",IF(H1789="Mismatch","Exclude","Keep"))</f>
        <v>Keep</v>
      </c>
    </row>
    <row r="1790" customFormat="false" ht="15" hidden="false" customHeight="false" outlineLevel="0" collapsed="false">
      <c r="A1790" s="39" t="s">
        <v>1864</v>
      </c>
      <c r="B1790" s="40" t="n">
        <v>45902</v>
      </c>
      <c r="C1790" s="39" t="s">
        <v>177</v>
      </c>
      <c r="D1790" s="39" t="n">
        <v>1</v>
      </c>
      <c r="E1790" s="41" t="n">
        <v>43.69</v>
      </c>
      <c r="F1790" s="39" t="s">
        <v>105</v>
      </c>
      <c r="G1790" s="39" t="str">
        <f aca="false">UPPER(TRIM(C1790))</f>
        <v>P014</v>
      </c>
      <c r="H1790" s="39" t="str">
        <f aca="false">IF(ISNUMBER(MATCH(G1790,Products!$A$5:$A$24,0)),"OK","Mismatch")</f>
        <v>OK</v>
      </c>
      <c r="I1790" s="39" t="str">
        <f aca="false">IF(COUNTIF($A$5:A1790,A1790)&gt;1,"Duplicate","Unique")</f>
        <v>Unique</v>
      </c>
      <c r="J1790" s="39" t="str">
        <f aca="false">IF(I1790="Duplicate","Remove",IF(H1790="Mismatch","Exclude","Keep"))</f>
        <v>Keep</v>
      </c>
    </row>
    <row r="1791" customFormat="false" ht="15" hidden="false" customHeight="false" outlineLevel="0" collapsed="false">
      <c r="A1791" s="39" t="s">
        <v>1865</v>
      </c>
      <c r="B1791" s="40" t="n">
        <v>45902</v>
      </c>
      <c r="C1791" s="39" t="s">
        <v>133</v>
      </c>
      <c r="D1791" s="39" t="n">
        <v>5</v>
      </c>
      <c r="E1791" s="41" t="n">
        <v>8.79</v>
      </c>
      <c r="F1791" s="39" t="s">
        <v>105</v>
      </c>
      <c r="G1791" s="39" t="str">
        <f aca="false">UPPER(TRIM(C1791))</f>
        <v>P019</v>
      </c>
      <c r="H1791" s="39" t="str">
        <f aca="false">IF(ISNUMBER(MATCH(G1791,Products!$A$5:$A$24,0)),"OK","Mismatch")</f>
        <v>OK</v>
      </c>
      <c r="I1791" s="39" t="str">
        <f aca="false">IF(COUNTIF($A$5:A1791,A1791)&gt;1,"Duplicate","Unique")</f>
        <v>Unique</v>
      </c>
      <c r="J1791" s="39" t="str">
        <f aca="false">IF(I1791="Duplicate","Remove",IF(H1791="Mismatch","Exclude","Keep"))</f>
        <v>Keep</v>
      </c>
    </row>
    <row r="1792" customFormat="false" ht="15" hidden="false" customHeight="false" outlineLevel="0" collapsed="false">
      <c r="A1792" s="39" t="s">
        <v>1866</v>
      </c>
      <c r="B1792" s="40" t="n">
        <v>45902</v>
      </c>
      <c r="C1792" s="39" t="s">
        <v>117</v>
      </c>
      <c r="D1792" s="39" t="n">
        <v>2</v>
      </c>
      <c r="E1792" s="41" t="n">
        <v>30.98</v>
      </c>
      <c r="F1792" s="39" t="s">
        <v>115</v>
      </c>
      <c r="G1792" s="39" t="str">
        <f aca="false">UPPER(TRIM(C1792))</f>
        <v>P009</v>
      </c>
      <c r="H1792" s="39" t="str">
        <f aca="false">IF(ISNUMBER(MATCH(G1792,Products!$A$5:$A$24,0)),"OK","Mismatch")</f>
        <v>OK</v>
      </c>
      <c r="I1792" s="39" t="str">
        <f aca="false">IF(COUNTIF($A$5:A1792,A1792)&gt;1,"Duplicate","Unique")</f>
        <v>Unique</v>
      </c>
      <c r="J1792" s="39" t="str">
        <f aca="false">IF(I1792="Duplicate","Remove",IF(H1792="Mismatch","Exclude","Keep"))</f>
        <v>Keep</v>
      </c>
    </row>
    <row r="1793" customFormat="false" ht="15" hidden="false" customHeight="false" outlineLevel="0" collapsed="false">
      <c r="A1793" s="39" t="s">
        <v>1867</v>
      </c>
      <c r="B1793" s="40" t="n">
        <v>45902</v>
      </c>
      <c r="C1793" s="39" t="s">
        <v>169</v>
      </c>
      <c r="D1793" s="39" t="n">
        <v>4</v>
      </c>
      <c r="E1793" s="41" t="n">
        <v>27.08</v>
      </c>
      <c r="F1793" s="39" t="s">
        <v>108</v>
      </c>
      <c r="G1793" s="39" t="str">
        <f aca="false">UPPER(TRIM(C1793))</f>
        <v>P004</v>
      </c>
      <c r="H1793" s="39" t="str">
        <f aca="false">IF(ISNUMBER(MATCH(G1793,Products!$A$5:$A$24,0)),"OK","Mismatch")</f>
        <v>OK</v>
      </c>
      <c r="I1793" s="39" t="str">
        <f aca="false">IF(COUNTIF($A$5:A1793,A1793)&gt;1,"Duplicate","Unique")</f>
        <v>Unique</v>
      </c>
      <c r="J1793" s="39" t="str">
        <f aca="false">IF(I1793="Duplicate","Remove",IF(H1793="Mismatch","Exclude","Keep"))</f>
        <v>Keep</v>
      </c>
    </row>
    <row r="1794" customFormat="false" ht="15" hidden="false" customHeight="false" outlineLevel="0" collapsed="false">
      <c r="A1794" s="39" t="s">
        <v>1867</v>
      </c>
      <c r="B1794" s="40" t="n">
        <v>45902</v>
      </c>
      <c r="C1794" s="39" t="s">
        <v>169</v>
      </c>
      <c r="D1794" s="39" t="n">
        <v>4</v>
      </c>
      <c r="E1794" s="41" t="n">
        <v>27.08</v>
      </c>
      <c r="F1794" s="39" t="s">
        <v>108</v>
      </c>
      <c r="G1794" s="39" t="str">
        <f aca="false">UPPER(TRIM(C1794))</f>
        <v>P004</v>
      </c>
      <c r="H1794" s="39" t="str">
        <f aca="false">IF(ISNUMBER(MATCH(G1794,Products!$A$5:$A$24,0)),"OK","Mismatch")</f>
        <v>OK</v>
      </c>
      <c r="I1794" s="39" t="str">
        <f aca="false">IF(COUNTIF($A$5:A1794,A1794)&gt;1,"Duplicate","Unique")</f>
        <v>Duplicate</v>
      </c>
      <c r="J1794" s="39" t="str">
        <f aca="false">IF(I1794="Duplicate","Remove",IF(H1794="Mismatch","Exclude","Keep"))</f>
        <v>Remove</v>
      </c>
    </row>
    <row r="1795" customFormat="false" ht="15" hidden="false" customHeight="false" outlineLevel="0" collapsed="false">
      <c r="A1795" s="39" t="s">
        <v>1868</v>
      </c>
      <c r="B1795" s="40" t="n">
        <v>45902</v>
      </c>
      <c r="C1795" s="39" t="s">
        <v>114</v>
      </c>
      <c r="D1795" s="39" t="n">
        <v>1</v>
      </c>
      <c r="E1795" s="41" t="n">
        <v>5.72</v>
      </c>
      <c r="F1795" s="39" t="s">
        <v>118</v>
      </c>
      <c r="G1795" s="39" t="str">
        <f aca="false">UPPER(TRIM(C1795))</f>
        <v>P012</v>
      </c>
      <c r="H1795" s="39" t="str">
        <f aca="false">IF(ISNUMBER(MATCH(G1795,Products!$A$5:$A$24,0)),"OK","Mismatch")</f>
        <v>OK</v>
      </c>
      <c r="I1795" s="39" t="str">
        <f aca="false">IF(COUNTIF($A$5:A1795,A1795)&gt;1,"Duplicate","Unique")</f>
        <v>Unique</v>
      </c>
      <c r="J1795" s="39" t="str">
        <f aca="false">IF(I1795="Duplicate","Remove",IF(H1795="Mismatch","Exclude","Keep"))</f>
        <v>Keep</v>
      </c>
    </row>
    <row r="1796" customFormat="false" ht="15" hidden="false" customHeight="false" outlineLevel="0" collapsed="false">
      <c r="A1796" s="39" t="s">
        <v>1869</v>
      </c>
      <c r="B1796" s="40" t="n">
        <v>45902</v>
      </c>
      <c r="C1796" s="39" t="s">
        <v>110</v>
      </c>
      <c r="D1796" s="39" t="n">
        <v>1</v>
      </c>
      <c r="E1796" s="41" t="n">
        <v>13.6</v>
      </c>
      <c r="F1796" s="39" t="s">
        <v>115</v>
      </c>
      <c r="G1796" s="39" t="str">
        <f aca="false">UPPER(TRIM(C1796))</f>
        <v>P016</v>
      </c>
      <c r="H1796" s="39" t="str">
        <f aca="false">IF(ISNUMBER(MATCH(G1796,Products!$A$5:$A$24,0)),"OK","Mismatch")</f>
        <v>OK</v>
      </c>
      <c r="I1796" s="39" t="str">
        <f aca="false">IF(COUNTIF($A$5:A1796,A1796)&gt;1,"Duplicate","Unique")</f>
        <v>Unique</v>
      </c>
      <c r="J1796" s="39" t="str">
        <f aca="false">IF(I1796="Duplicate","Remove",IF(H1796="Mismatch","Exclude","Keep"))</f>
        <v>Keep</v>
      </c>
    </row>
    <row r="1797" customFormat="false" ht="15" hidden="false" customHeight="false" outlineLevel="0" collapsed="false">
      <c r="A1797" s="39" t="s">
        <v>1870</v>
      </c>
      <c r="B1797" s="40" t="n">
        <v>45902</v>
      </c>
      <c r="C1797" s="39" t="s">
        <v>126</v>
      </c>
      <c r="D1797" s="39" t="n">
        <v>5</v>
      </c>
      <c r="E1797" s="41" t="n">
        <v>23.69</v>
      </c>
      <c r="F1797" s="39" t="s">
        <v>108</v>
      </c>
      <c r="G1797" s="39" t="str">
        <f aca="false">UPPER(TRIM(C1797))</f>
        <v>P001</v>
      </c>
      <c r="H1797" s="39" t="str">
        <f aca="false">IF(ISNUMBER(MATCH(G1797,Products!$A$5:$A$24,0)),"OK","Mismatch")</f>
        <v>OK</v>
      </c>
      <c r="I1797" s="39" t="str">
        <f aca="false">IF(COUNTIF($A$5:A1797,A1797)&gt;1,"Duplicate","Unique")</f>
        <v>Unique</v>
      </c>
      <c r="J1797" s="39" t="str">
        <f aca="false">IF(I1797="Duplicate","Remove",IF(H1797="Mismatch","Exclude","Keep"))</f>
        <v>Keep</v>
      </c>
    </row>
    <row r="1798" customFormat="false" ht="15" hidden="false" customHeight="false" outlineLevel="0" collapsed="false">
      <c r="A1798" s="39" t="s">
        <v>1871</v>
      </c>
      <c r="B1798" s="40" t="n">
        <v>45902</v>
      </c>
      <c r="C1798" s="39" t="s">
        <v>121</v>
      </c>
      <c r="D1798" s="39" t="n">
        <v>1</v>
      </c>
      <c r="E1798" s="41" t="n">
        <v>113.13</v>
      </c>
      <c r="F1798" s="39" t="s">
        <v>118</v>
      </c>
      <c r="G1798" s="39" t="str">
        <f aca="false">UPPER(TRIM(C1798))</f>
        <v>P018</v>
      </c>
      <c r="H1798" s="39" t="str">
        <f aca="false">IF(ISNUMBER(MATCH(G1798,Products!$A$5:$A$24,0)),"OK","Mismatch")</f>
        <v>OK</v>
      </c>
      <c r="I1798" s="39" t="str">
        <f aca="false">IF(COUNTIF($A$5:A1798,A1798)&gt;1,"Duplicate","Unique")</f>
        <v>Unique</v>
      </c>
      <c r="J1798" s="39" t="str">
        <f aca="false">IF(I1798="Duplicate","Remove",IF(H1798="Mismatch","Exclude","Keep"))</f>
        <v>Keep</v>
      </c>
    </row>
    <row r="1799" customFormat="false" ht="15" hidden="false" customHeight="false" outlineLevel="0" collapsed="false">
      <c r="A1799" s="39" t="s">
        <v>1872</v>
      </c>
      <c r="B1799" s="40" t="n">
        <v>45902</v>
      </c>
      <c r="C1799" s="39" t="s">
        <v>104</v>
      </c>
      <c r="D1799" s="39" t="n">
        <v>1</v>
      </c>
      <c r="E1799" s="41" t="n">
        <v>14.99</v>
      </c>
      <c r="F1799" s="39" t="s">
        <v>118</v>
      </c>
      <c r="G1799" s="39" t="str">
        <f aca="false">UPPER(TRIM(C1799))</f>
        <v>P015</v>
      </c>
      <c r="H1799" s="39" t="str">
        <f aca="false">IF(ISNUMBER(MATCH(G1799,Products!$A$5:$A$24,0)),"OK","Mismatch")</f>
        <v>OK</v>
      </c>
      <c r="I1799" s="39" t="str">
        <f aca="false">IF(COUNTIF($A$5:A1799,A1799)&gt;1,"Duplicate","Unique")</f>
        <v>Unique</v>
      </c>
      <c r="J1799" s="39" t="str">
        <f aca="false">IF(I1799="Duplicate","Remove",IF(H1799="Mismatch","Exclude","Keep"))</f>
        <v>Keep</v>
      </c>
    </row>
    <row r="1800" customFormat="false" ht="15" hidden="false" customHeight="false" outlineLevel="0" collapsed="false">
      <c r="A1800" s="39" t="s">
        <v>1873</v>
      </c>
      <c r="B1800" s="40" t="n">
        <v>45902</v>
      </c>
      <c r="C1800" s="39" t="s">
        <v>3148</v>
      </c>
      <c r="D1800" s="39" t="n">
        <v>1</v>
      </c>
      <c r="E1800" s="41" t="n">
        <v>23.56</v>
      </c>
      <c r="F1800" s="39" t="s">
        <v>118</v>
      </c>
      <c r="G1800" s="39" t="str">
        <f aca="false">UPPER(TRIM(C1800))</f>
        <v>P001</v>
      </c>
      <c r="H1800" s="39" t="str">
        <f aca="false">IF(ISNUMBER(MATCH(G1800,Products!$A$5:$A$24,0)),"OK","Mismatch")</f>
        <v>OK</v>
      </c>
      <c r="I1800" s="39" t="str">
        <f aca="false">IF(COUNTIF($A$5:A1800,A1800)&gt;1,"Duplicate","Unique")</f>
        <v>Unique</v>
      </c>
      <c r="J1800" s="39" t="str">
        <f aca="false">IF(I1800="Duplicate","Remove",IF(H1800="Mismatch","Exclude","Keep"))</f>
        <v>Keep</v>
      </c>
    </row>
    <row r="1801" customFormat="false" ht="15" hidden="false" customHeight="false" outlineLevel="0" collapsed="false">
      <c r="A1801" s="39" t="s">
        <v>1874</v>
      </c>
      <c r="B1801" s="40" t="n">
        <v>45902</v>
      </c>
      <c r="C1801" s="39" t="s">
        <v>114</v>
      </c>
      <c r="D1801" s="39" t="n">
        <v>4</v>
      </c>
      <c r="E1801" s="41" t="n">
        <v>5.55</v>
      </c>
      <c r="F1801" s="39" t="s">
        <v>108</v>
      </c>
      <c r="G1801" s="39" t="str">
        <f aca="false">UPPER(TRIM(C1801))</f>
        <v>P012</v>
      </c>
      <c r="H1801" s="39" t="str">
        <f aca="false">IF(ISNUMBER(MATCH(G1801,Products!$A$5:$A$24,0)),"OK","Mismatch")</f>
        <v>OK</v>
      </c>
      <c r="I1801" s="39" t="str">
        <f aca="false">IF(COUNTIF($A$5:A1801,A1801)&gt;1,"Duplicate","Unique")</f>
        <v>Unique</v>
      </c>
      <c r="J1801" s="39" t="str">
        <f aca="false">IF(I1801="Duplicate","Remove",IF(H1801="Mismatch","Exclude","Keep"))</f>
        <v>Keep</v>
      </c>
    </row>
    <row r="1802" customFormat="false" ht="15" hidden="false" customHeight="false" outlineLevel="0" collapsed="false">
      <c r="A1802" s="39" t="s">
        <v>1875</v>
      </c>
      <c r="B1802" s="40" t="n">
        <v>45902</v>
      </c>
      <c r="C1802" s="39" t="s">
        <v>162</v>
      </c>
      <c r="D1802" s="39" t="n">
        <v>1</v>
      </c>
      <c r="E1802" s="41" t="n">
        <v>65.66</v>
      </c>
      <c r="F1802" s="39" t="s">
        <v>115</v>
      </c>
      <c r="G1802" s="39" t="str">
        <f aca="false">UPPER(TRIM(C1802))</f>
        <v>P017</v>
      </c>
      <c r="H1802" s="39" t="str">
        <f aca="false">IF(ISNUMBER(MATCH(G1802,Products!$A$5:$A$24,0)),"OK","Mismatch")</f>
        <v>OK</v>
      </c>
      <c r="I1802" s="39" t="str">
        <f aca="false">IF(COUNTIF($A$5:A1802,A1802)&gt;1,"Duplicate","Unique")</f>
        <v>Unique</v>
      </c>
      <c r="J1802" s="39" t="str">
        <f aca="false">IF(I1802="Duplicate","Remove",IF(H1802="Mismatch","Exclude","Keep"))</f>
        <v>Keep</v>
      </c>
    </row>
    <row r="1803" customFormat="false" ht="15" hidden="false" customHeight="false" outlineLevel="0" collapsed="false">
      <c r="A1803" s="39" t="s">
        <v>1876</v>
      </c>
      <c r="B1803" s="40" t="n">
        <v>45903</v>
      </c>
      <c r="C1803" s="39" t="s">
        <v>110</v>
      </c>
      <c r="D1803" s="39" t="n">
        <v>4</v>
      </c>
      <c r="E1803" s="41" t="n">
        <v>13.41</v>
      </c>
      <c r="F1803" s="39" t="s">
        <v>105</v>
      </c>
      <c r="G1803" s="39" t="str">
        <f aca="false">UPPER(TRIM(C1803))</f>
        <v>P016</v>
      </c>
      <c r="H1803" s="39" t="str">
        <f aca="false">IF(ISNUMBER(MATCH(G1803,Products!$A$5:$A$24,0)),"OK","Mismatch")</f>
        <v>OK</v>
      </c>
      <c r="I1803" s="39" t="str">
        <f aca="false">IF(COUNTIF($A$5:A1803,A1803)&gt;1,"Duplicate","Unique")</f>
        <v>Unique</v>
      </c>
      <c r="J1803" s="39" t="str">
        <f aca="false">IF(I1803="Duplicate","Remove",IF(H1803="Mismatch","Exclude","Keep"))</f>
        <v>Keep</v>
      </c>
    </row>
    <row r="1804" customFormat="false" ht="15" hidden="false" customHeight="false" outlineLevel="0" collapsed="false">
      <c r="A1804" s="39" t="s">
        <v>1877</v>
      </c>
      <c r="B1804" s="40" t="n">
        <v>45903</v>
      </c>
      <c r="C1804" s="39" t="s">
        <v>126</v>
      </c>
      <c r="D1804" s="39" t="n">
        <v>1</v>
      </c>
      <c r="E1804" s="41" t="n">
        <v>24.46</v>
      </c>
      <c r="F1804" s="39" t="s">
        <v>108</v>
      </c>
      <c r="G1804" s="39" t="str">
        <f aca="false">UPPER(TRIM(C1804))</f>
        <v>P001</v>
      </c>
      <c r="H1804" s="39" t="str">
        <f aca="false">IF(ISNUMBER(MATCH(G1804,Products!$A$5:$A$24,0)),"OK","Mismatch")</f>
        <v>OK</v>
      </c>
      <c r="I1804" s="39" t="str">
        <f aca="false">IF(COUNTIF($A$5:A1804,A1804)&gt;1,"Duplicate","Unique")</f>
        <v>Unique</v>
      </c>
      <c r="J1804" s="39" t="str">
        <f aca="false">IF(I1804="Duplicate","Remove",IF(H1804="Mismatch","Exclude","Keep"))</f>
        <v>Keep</v>
      </c>
    </row>
    <row r="1805" customFormat="false" ht="15" hidden="false" customHeight="false" outlineLevel="0" collapsed="false">
      <c r="A1805" s="39" t="s">
        <v>1878</v>
      </c>
      <c r="B1805" s="40" t="n">
        <v>45903</v>
      </c>
      <c r="C1805" s="39" t="s">
        <v>104</v>
      </c>
      <c r="D1805" s="39" t="n">
        <v>3</v>
      </c>
      <c r="E1805" s="41" t="n">
        <v>15.6</v>
      </c>
      <c r="F1805" s="39" t="s">
        <v>118</v>
      </c>
      <c r="G1805" s="39" t="str">
        <f aca="false">UPPER(TRIM(C1805))</f>
        <v>P015</v>
      </c>
      <c r="H1805" s="39" t="str">
        <f aca="false">IF(ISNUMBER(MATCH(G1805,Products!$A$5:$A$24,0)),"OK","Mismatch")</f>
        <v>OK</v>
      </c>
      <c r="I1805" s="39" t="str">
        <f aca="false">IF(COUNTIF($A$5:A1805,A1805)&gt;1,"Duplicate","Unique")</f>
        <v>Unique</v>
      </c>
      <c r="J1805" s="39" t="str">
        <f aca="false">IF(I1805="Duplicate","Remove",IF(H1805="Mismatch","Exclude","Keep"))</f>
        <v>Keep</v>
      </c>
    </row>
    <row r="1806" customFormat="false" ht="15" hidden="false" customHeight="false" outlineLevel="0" collapsed="false">
      <c r="A1806" s="39" t="s">
        <v>1879</v>
      </c>
      <c r="B1806" s="40" t="n">
        <v>45903</v>
      </c>
      <c r="C1806" s="39" t="s">
        <v>128</v>
      </c>
      <c r="D1806" s="39" t="n">
        <v>8</v>
      </c>
      <c r="E1806" s="41" t="n">
        <v>36.96</v>
      </c>
      <c r="F1806" s="39" t="s">
        <v>118</v>
      </c>
      <c r="G1806" s="39" t="str">
        <f aca="false">UPPER(TRIM(C1806))</f>
        <v>P020</v>
      </c>
      <c r="H1806" s="39" t="str">
        <f aca="false">IF(ISNUMBER(MATCH(G1806,Products!$A$5:$A$24,0)),"OK","Mismatch")</f>
        <v>OK</v>
      </c>
      <c r="I1806" s="39" t="str">
        <f aca="false">IF(COUNTIF($A$5:A1806,A1806)&gt;1,"Duplicate","Unique")</f>
        <v>Unique</v>
      </c>
      <c r="J1806" s="39" t="str">
        <f aca="false">IF(I1806="Duplicate","Remove",IF(H1806="Mismatch","Exclude","Keep"))</f>
        <v>Keep</v>
      </c>
    </row>
    <row r="1807" customFormat="false" ht="15" hidden="false" customHeight="false" outlineLevel="0" collapsed="false">
      <c r="A1807" s="39" t="s">
        <v>1880</v>
      </c>
      <c r="B1807" s="40" t="n">
        <v>45903</v>
      </c>
      <c r="C1807" s="39" t="s">
        <v>130</v>
      </c>
      <c r="D1807" s="39" t="n">
        <v>2</v>
      </c>
      <c r="E1807" s="41" t="n">
        <v>8.29</v>
      </c>
      <c r="F1807" s="39" t="s">
        <v>115</v>
      </c>
      <c r="G1807" s="39" t="str">
        <f aca="false">UPPER(TRIM(C1807))</f>
        <v>P011</v>
      </c>
      <c r="H1807" s="39" t="str">
        <f aca="false">IF(ISNUMBER(MATCH(G1807,Products!$A$5:$A$24,0)),"OK","Mismatch")</f>
        <v>OK</v>
      </c>
      <c r="I1807" s="39" t="str">
        <f aca="false">IF(COUNTIF($A$5:A1807,A1807)&gt;1,"Duplicate","Unique")</f>
        <v>Unique</v>
      </c>
      <c r="J1807" s="39" t="str">
        <f aca="false">IF(I1807="Duplicate","Remove",IF(H1807="Mismatch","Exclude","Keep"))</f>
        <v>Keep</v>
      </c>
    </row>
    <row r="1808" customFormat="false" ht="15" hidden="false" customHeight="false" outlineLevel="0" collapsed="false">
      <c r="A1808" s="39" t="s">
        <v>1881</v>
      </c>
      <c r="B1808" s="40" t="n">
        <v>45903</v>
      </c>
      <c r="C1808" s="39" t="s">
        <v>117</v>
      </c>
      <c r="D1808" s="39" t="n">
        <v>1</v>
      </c>
      <c r="E1808" s="41" t="n">
        <v>31.64</v>
      </c>
      <c r="F1808" s="39" t="s">
        <v>115</v>
      </c>
      <c r="G1808" s="39" t="str">
        <f aca="false">UPPER(TRIM(C1808))</f>
        <v>P009</v>
      </c>
      <c r="H1808" s="39" t="str">
        <f aca="false">IF(ISNUMBER(MATCH(G1808,Products!$A$5:$A$24,0)),"OK","Mismatch")</f>
        <v>OK</v>
      </c>
      <c r="I1808" s="39" t="str">
        <f aca="false">IF(COUNTIF($A$5:A1808,A1808)&gt;1,"Duplicate","Unique")</f>
        <v>Unique</v>
      </c>
      <c r="J1808" s="39" t="str">
        <f aca="false">IF(I1808="Duplicate","Remove",IF(H1808="Mismatch","Exclude","Keep"))</f>
        <v>Keep</v>
      </c>
    </row>
    <row r="1809" customFormat="false" ht="15" hidden="false" customHeight="false" outlineLevel="0" collapsed="false">
      <c r="A1809" s="39" t="s">
        <v>1882</v>
      </c>
      <c r="B1809" s="40" t="n">
        <v>45903</v>
      </c>
      <c r="C1809" s="39" t="s">
        <v>133</v>
      </c>
      <c r="D1809" s="39" t="n">
        <v>3</v>
      </c>
      <c r="E1809" s="41" t="n">
        <v>8.73</v>
      </c>
      <c r="F1809" s="39" t="s">
        <v>105</v>
      </c>
      <c r="G1809" s="39" t="str">
        <f aca="false">UPPER(TRIM(C1809))</f>
        <v>P019</v>
      </c>
      <c r="H1809" s="39" t="str">
        <f aca="false">IF(ISNUMBER(MATCH(G1809,Products!$A$5:$A$24,0)),"OK","Mismatch")</f>
        <v>OK</v>
      </c>
      <c r="I1809" s="39" t="str">
        <f aca="false">IF(COUNTIF($A$5:A1809,A1809)&gt;1,"Duplicate","Unique")</f>
        <v>Unique</v>
      </c>
      <c r="J1809" s="39" t="str">
        <f aca="false">IF(I1809="Duplicate","Remove",IF(H1809="Mismatch","Exclude","Keep"))</f>
        <v>Keep</v>
      </c>
    </row>
    <row r="1810" customFormat="false" ht="15" hidden="false" customHeight="false" outlineLevel="0" collapsed="false">
      <c r="A1810" s="39" t="s">
        <v>1883</v>
      </c>
      <c r="B1810" s="40" t="n">
        <v>45903</v>
      </c>
      <c r="C1810" s="39" t="s">
        <v>126</v>
      </c>
      <c r="D1810" s="39" t="n">
        <v>3</v>
      </c>
      <c r="E1810" s="41" t="n">
        <v>24.72</v>
      </c>
      <c r="F1810" s="39" t="s">
        <v>115</v>
      </c>
      <c r="G1810" s="39" t="str">
        <f aca="false">UPPER(TRIM(C1810))</f>
        <v>P001</v>
      </c>
      <c r="H1810" s="39" t="str">
        <f aca="false">IF(ISNUMBER(MATCH(G1810,Products!$A$5:$A$24,0)),"OK","Mismatch")</f>
        <v>OK</v>
      </c>
      <c r="I1810" s="39" t="str">
        <f aca="false">IF(COUNTIF($A$5:A1810,A1810)&gt;1,"Duplicate","Unique")</f>
        <v>Unique</v>
      </c>
      <c r="J1810" s="39" t="str">
        <f aca="false">IF(I1810="Duplicate","Remove",IF(H1810="Mismatch","Exclude","Keep"))</f>
        <v>Keep</v>
      </c>
    </row>
    <row r="1811" customFormat="false" ht="15" hidden="false" customHeight="false" outlineLevel="0" collapsed="false">
      <c r="A1811" s="39" t="s">
        <v>1884</v>
      </c>
      <c r="B1811" s="40" t="n">
        <v>45903</v>
      </c>
      <c r="C1811" s="39" t="s">
        <v>177</v>
      </c>
      <c r="D1811" s="39" t="n">
        <v>3</v>
      </c>
      <c r="E1811" s="41" t="n">
        <v>44.59</v>
      </c>
      <c r="F1811" s="39" t="s">
        <v>118</v>
      </c>
      <c r="G1811" s="39" t="str">
        <f aca="false">UPPER(TRIM(C1811))</f>
        <v>P014</v>
      </c>
      <c r="H1811" s="39" t="str">
        <f aca="false">IF(ISNUMBER(MATCH(G1811,Products!$A$5:$A$24,0)),"OK","Mismatch")</f>
        <v>OK</v>
      </c>
      <c r="I1811" s="39" t="str">
        <f aca="false">IF(COUNTIF($A$5:A1811,A1811)&gt;1,"Duplicate","Unique")</f>
        <v>Unique</v>
      </c>
      <c r="J1811" s="39" t="str">
        <f aca="false">IF(I1811="Duplicate","Remove",IF(H1811="Mismatch","Exclude","Keep"))</f>
        <v>Keep</v>
      </c>
    </row>
    <row r="1812" customFormat="false" ht="15" hidden="false" customHeight="false" outlineLevel="0" collapsed="false">
      <c r="A1812" s="39" t="s">
        <v>1885</v>
      </c>
      <c r="B1812" s="40" t="n">
        <v>45903</v>
      </c>
      <c r="C1812" s="39" t="s">
        <v>110</v>
      </c>
      <c r="D1812" s="39" t="n">
        <v>1</v>
      </c>
      <c r="E1812" s="41" t="n">
        <v>13</v>
      </c>
      <c r="F1812" s="39" t="s">
        <v>115</v>
      </c>
      <c r="G1812" s="39" t="str">
        <f aca="false">UPPER(TRIM(C1812))</f>
        <v>P016</v>
      </c>
      <c r="H1812" s="39" t="str">
        <f aca="false">IF(ISNUMBER(MATCH(G1812,Products!$A$5:$A$24,0)),"OK","Mismatch")</f>
        <v>OK</v>
      </c>
      <c r="I1812" s="39" t="str">
        <f aca="false">IF(COUNTIF($A$5:A1812,A1812)&gt;1,"Duplicate","Unique")</f>
        <v>Unique</v>
      </c>
      <c r="J1812" s="39" t="str">
        <f aca="false">IF(I1812="Duplicate","Remove",IF(H1812="Mismatch","Exclude","Keep"))</f>
        <v>Keep</v>
      </c>
    </row>
    <row r="1813" customFormat="false" ht="15" hidden="false" customHeight="false" outlineLevel="0" collapsed="false">
      <c r="A1813" s="39" t="s">
        <v>1886</v>
      </c>
      <c r="B1813" s="40" t="n">
        <v>45903</v>
      </c>
      <c r="C1813" s="39" t="s">
        <v>104</v>
      </c>
      <c r="D1813" s="39" t="n">
        <v>1</v>
      </c>
      <c r="E1813" s="41" t="n">
        <v>14.83</v>
      </c>
      <c r="F1813" s="39" t="s">
        <v>108</v>
      </c>
      <c r="G1813" s="39" t="str">
        <f aca="false">UPPER(TRIM(C1813))</f>
        <v>P015</v>
      </c>
      <c r="H1813" s="39" t="str">
        <f aca="false">IF(ISNUMBER(MATCH(G1813,Products!$A$5:$A$24,0)),"OK","Mismatch")</f>
        <v>OK</v>
      </c>
      <c r="I1813" s="39" t="str">
        <f aca="false">IF(COUNTIF($A$5:A1813,A1813)&gt;1,"Duplicate","Unique")</f>
        <v>Unique</v>
      </c>
      <c r="J1813" s="39" t="str">
        <f aca="false">IF(I1813="Duplicate","Remove",IF(H1813="Mismatch","Exclude","Keep"))</f>
        <v>Keep</v>
      </c>
    </row>
    <row r="1814" customFormat="false" ht="15" hidden="false" customHeight="false" outlineLevel="0" collapsed="false">
      <c r="A1814" s="39" t="s">
        <v>1887</v>
      </c>
      <c r="B1814" s="40" t="n">
        <v>45903</v>
      </c>
      <c r="C1814" s="39" t="s">
        <v>117</v>
      </c>
      <c r="D1814" s="39" t="n">
        <v>3</v>
      </c>
      <c r="E1814" s="41" t="n">
        <v>31.21</v>
      </c>
      <c r="F1814" s="39" t="s">
        <v>118</v>
      </c>
      <c r="G1814" s="39" t="str">
        <f aca="false">UPPER(TRIM(C1814))</f>
        <v>P009</v>
      </c>
      <c r="H1814" s="39" t="str">
        <f aca="false">IF(ISNUMBER(MATCH(G1814,Products!$A$5:$A$24,0)),"OK","Mismatch")</f>
        <v>OK</v>
      </c>
      <c r="I1814" s="39" t="str">
        <f aca="false">IF(COUNTIF($A$5:A1814,A1814)&gt;1,"Duplicate","Unique")</f>
        <v>Unique</v>
      </c>
      <c r="J1814" s="39" t="str">
        <f aca="false">IF(I1814="Duplicate","Remove",IF(H1814="Mismatch","Exclude","Keep"))</f>
        <v>Keep</v>
      </c>
    </row>
    <row r="1815" customFormat="false" ht="15" hidden="false" customHeight="false" outlineLevel="0" collapsed="false">
      <c r="A1815" s="39" t="s">
        <v>1887</v>
      </c>
      <c r="B1815" s="40" t="n">
        <v>45903</v>
      </c>
      <c r="C1815" s="39" t="s">
        <v>117</v>
      </c>
      <c r="D1815" s="39" t="n">
        <v>3</v>
      </c>
      <c r="E1815" s="41" t="n">
        <v>31.21</v>
      </c>
      <c r="F1815" s="39" t="s">
        <v>118</v>
      </c>
      <c r="G1815" s="39" t="str">
        <f aca="false">UPPER(TRIM(C1815))</f>
        <v>P009</v>
      </c>
      <c r="H1815" s="39" t="str">
        <f aca="false">IF(ISNUMBER(MATCH(G1815,Products!$A$5:$A$24,0)),"OK","Mismatch")</f>
        <v>OK</v>
      </c>
      <c r="I1815" s="39" t="str">
        <f aca="false">IF(COUNTIF($A$5:A1815,A1815)&gt;1,"Duplicate","Unique")</f>
        <v>Duplicate</v>
      </c>
      <c r="J1815" s="39" t="str">
        <f aca="false">IF(I1815="Duplicate","Remove",IF(H1815="Mismatch","Exclude","Keep"))</f>
        <v>Remove</v>
      </c>
    </row>
    <row r="1816" customFormat="false" ht="15" hidden="false" customHeight="false" outlineLevel="0" collapsed="false">
      <c r="A1816" s="39" t="s">
        <v>1888</v>
      </c>
      <c r="B1816" s="40" t="n">
        <v>45903</v>
      </c>
      <c r="C1816" s="39" t="s">
        <v>107</v>
      </c>
      <c r="D1816" s="39" t="n">
        <v>1</v>
      </c>
      <c r="E1816" s="41" t="n">
        <v>32.61</v>
      </c>
      <c r="F1816" s="39" t="s">
        <v>118</v>
      </c>
      <c r="G1816" s="39" t="str">
        <f aca="false">UPPER(TRIM(C1816))</f>
        <v>P003</v>
      </c>
      <c r="H1816" s="39" t="str">
        <f aca="false">IF(ISNUMBER(MATCH(G1816,Products!$A$5:$A$24,0)),"OK","Mismatch")</f>
        <v>OK</v>
      </c>
      <c r="I1816" s="39" t="str">
        <f aca="false">IF(COUNTIF($A$5:A1816,A1816)&gt;1,"Duplicate","Unique")</f>
        <v>Unique</v>
      </c>
      <c r="J1816" s="39" t="str">
        <f aca="false">IF(I1816="Duplicate","Remove",IF(H1816="Mismatch","Exclude","Keep"))</f>
        <v>Keep</v>
      </c>
    </row>
    <row r="1817" customFormat="false" ht="15" hidden="false" customHeight="false" outlineLevel="0" collapsed="false">
      <c r="A1817" s="39" t="s">
        <v>1889</v>
      </c>
      <c r="B1817" s="40" t="n">
        <v>45903</v>
      </c>
      <c r="C1817" s="39" t="s">
        <v>126</v>
      </c>
      <c r="D1817" s="39" t="n">
        <v>2</v>
      </c>
      <c r="E1817" s="41" t="n">
        <v>23.39</v>
      </c>
      <c r="F1817" s="39" t="s">
        <v>115</v>
      </c>
      <c r="G1817" s="39" t="str">
        <f aca="false">UPPER(TRIM(C1817))</f>
        <v>P001</v>
      </c>
      <c r="H1817" s="39" t="str">
        <f aca="false">IF(ISNUMBER(MATCH(G1817,Products!$A$5:$A$24,0)),"OK","Mismatch")</f>
        <v>OK</v>
      </c>
      <c r="I1817" s="39" t="str">
        <f aca="false">IF(COUNTIF($A$5:A1817,A1817)&gt;1,"Duplicate","Unique")</f>
        <v>Unique</v>
      </c>
      <c r="J1817" s="39" t="str">
        <f aca="false">IF(I1817="Duplicate","Remove",IF(H1817="Mismatch","Exclude","Keep"))</f>
        <v>Keep</v>
      </c>
    </row>
    <row r="1818" customFormat="false" ht="15" hidden="false" customHeight="false" outlineLevel="0" collapsed="false">
      <c r="A1818" s="39" t="s">
        <v>3184</v>
      </c>
      <c r="B1818" s="40" t="n">
        <v>45903</v>
      </c>
      <c r="C1818" s="39" t="s">
        <v>3169</v>
      </c>
      <c r="D1818" s="39" t="n">
        <v>1</v>
      </c>
      <c r="E1818" s="41" t="n">
        <v>346.08</v>
      </c>
      <c r="F1818" s="39" t="s">
        <v>115</v>
      </c>
      <c r="G1818" s="39" t="str">
        <f aca="false">UPPER(TRIM(C1818))</f>
        <v>P905</v>
      </c>
      <c r="H1818" s="39" t="str">
        <f aca="false">IF(ISNUMBER(MATCH(G1818,Products!$A$5:$A$24,0)),"OK","Mismatch")</f>
        <v>Mismatch</v>
      </c>
      <c r="I1818" s="39" t="str">
        <f aca="false">IF(COUNTIF($A$5:A1818,A1818)&gt;1,"Duplicate","Unique")</f>
        <v>Unique</v>
      </c>
      <c r="J1818" s="39" t="str">
        <f aca="false">IF(I1818="Duplicate","Remove",IF(H1818="Mismatch","Exclude","Keep"))</f>
        <v>Exclude</v>
      </c>
    </row>
    <row r="1819" customFormat="false" ht="15" hidden="false" customHeight="false" outlineLevel="0" collapsed="false">
      <c r="A1819" s="39" t="s">
        <v>1890</v>
      </c>
      <c r="B1819" s="40" t="n">
        <v>45904</v>
      </c>
      <c r="C1819" s="39" t="s">
        <v>117</v>
      </c>
      <c r="D1819" s="39" t="n">
        <v>4</v>
      </c>
      <c r="E1819" s="41" t="n">
        <v>29.47</v>
      </c>
      <c r="F1819" s="39" t="s">
        <v>118</v>
      </c>
      <c r="G1819" s="39" t="str">
        <f aca="false">UPPER(TRIM(C1819))</f>
        <v>P009</v>
      </c>
      <c r="H1819" s="39" t="str">
        <f aca="false">IF(ISNUMBER(MATCH(G1819,Products!$A$5:$A$24,0)),"OK","Mismatch")</f>
        <v>OK</v>
      </c>
      <c r="I1819" s="39" t="str">
        <f aca="false">IF(COUNTIF($A$5:A1819,A1819)&gt;1,"Duplicate","Unique")</f>
        <v>Unique</v>
      </c>
      <c r="J1819" s="39" t="str">
        <f aca="false">IF(I1819="Duplicate","Remove",IF(H1819="Mismatch","Exclude","Keep"))</f>
        <v>Keep</v>
      </c>
    </row>
    <row r="1820" customFormat="false" ht="15" hidden="false" customHeight="false" outlineLevel="0" collapsed="false">
      <c r="A1820" s="39" t="s">
        <v>1891</v>
      </c>
      <c r="B1820" s="40" t="n">
        <v>45904</v>
      </c>
      <c r="C1820" s="39" t="s">
        <v>104</v>
      </c>
      <c r="D1820" s="39" t="n">
        <v>5</v>
      </c>
      <c r="E1820" s="41" t="n">
        <v>14.86</v>
      </c>
      <c r="F1820" s="39" t="s">
        <v>105</v>
      </c>
      <c r="G1820" s="39" t="str">
        <f aca="false">UPPER(TRIM(C1820))</f>
        <v>P015</v>
      </c>
      <c r="H1820" s="39" t="str">
        <f aca="false">IF(ISNUMBER(MATCH(G1820,Products!$A$5:$A$24,0)),"OK","Mismatch")</f>
        <v>OK</v>
      </c>
      <c r="I1820" s="39" t="str">
        <f aca="false">IF(COUNTIF($A$5:A1820,A1820)&gt;1,"Duplicate","Unique")</f>
        <v>Unique</v>
      </c>
      <c r="J1820" s="39" t="str">
        <f aca="false">IF(I1820="Duplicate","Remove",IF(H1820="Mismatch","Exclude","Keep"))</f>
        <v>Keep</v>
      </c>
    </row>
    <row r="1821" customFormat="false" ht="15" hidden="false" customHeight="false" outlineLevel="0" collapsed="false">
      <c r="A1821" s="39" t="s">
        <v>1892</v>
      </c>
      <c r="B1821" s="40" t="n">
        <v>45904</v>
      </c>
      <c r="C1821" s="39" t="s">
        <v>126</v>
      </c>
      <c r="D1821" s="39" t="n">
        <v>1</v>
      </c>
      <c r="E1821" s="41" t="n">
        <v>23.78</v>
      </c>
      <c r="F1821" s="39" t="s">
        <v>118</v>
      </c>
      <c r="G1821" s="39" t="str">
        <f aca="false">UPPER(TRIM(C1821))</f>
        <v>P001</v>
      </c>
      <c r="H1821" s="39" t="str">
        <f aca="false">IF(ISNUMBER(MATCH(G1821,Products!$A$5:$A$24,0)),"OK","Mismatch")</f>
        <v>OK</v>
      </c>
      <c r="I1821" s="39" t="str">
        <f aca="false">IF(COUNTIF($A$5:A1821,A1821)&gt;1,"Duplicate","Unique")</f>
        <v>Unique</v>
      </c>
      <c r="J1821" s="39" t="str">
        <f aca="false">IF(I1821="Duplicate","Remove",IF(H1821="Mismatch","Exclude","Keep"))</f>
        <v>Keep</v>
      </c>
    </row>
    <row r="1822" customFormat="false" ht="15" hidden="false" customHeight="false" outlineLevel="0" collapsed="false">
      <c r="A1822" s="39" t="s">
        <v>1893</v>
      </c>
      <c r="B1822" s="40" t="n">
        <v>45904</v>
      </c>
      <c r="C1822" s="39" t="s">
        <v>130</v>
      </c>
      <c r="D1822" s="39" t="n">
        <v>3</v>
      </c>
      <c r="E1822" s="41" t="n">
        <v>8.71</v>
      </c>
      <c r="F1822" s="39" t="s">
        <v>118</v>
      </c>
      <c r="G1822" s="39" t="str">
        <f aca="false">UPPER(TRIM(C1822))</f>
        <v>P011</v>
      </c>
      <c r="H1822" s="39" t="str">
        <f aca="false">IF(ISNUMBER(MATCH(G1822,Products!$A$5:$A$24,0)),"OK","Mismatch")</f>
        <v>OK</v>
      </c>
      <c r="I1822" s="39" t="str">
        <f aca="false">IF(COUNTIF($A$5:A1822,A1822)&gt;1,"Duplicate","Unique")</f>
        <v>Unique</v>
      </c>
      <c r="J1822" s="39" t="str">
        <f aca="false">IF(I1822="Duplicate","Remove",IF(H1822="Mismatch","Exclude","Keep"))</f>
        <v>Keep</v>
      </c>
    </row>
    <row r="1823" customFormat="false" ht="15" hidden="false" customHeight="false" outlineLevel="0" collapsed="false">
      <c r="A1823" s="39" t="s">
        <v>1894</v>
      </c>
      <c r="B1823" s="40" t="n">
        <v>45904</v>
      </c>
      <c r="C1823" s="39" t="s">
        <v>114</v>
      </c>
      <c r="D1823" s="39" t="n">
        <v>1</v>
      </c>
      <c r="E1823" s="41" t="n">
        <v>5.81</v>
      </c>
      <c r="F1823" s="39" t="s">
        <v>108</v>
      </c>
      <c r="G1823" s="39" t="str">
        <f aca="false">UPPER(TRIM(C1823))</f>
        <v>P012</v>
      </c>
      <c r="H1823" s="39" t="str">
        <f aca="false">IF(ISNUMBER(MATCH(G1823,Products!$A$5:$A$24,0)),"OK","Mismatch")</f>
        <v>OK</v>
      </c>
      <c r="I1823" s="39" t="str">
        <f aca="false">IF(COUNTIF($A$5:A1823,A1823)&gt;1,"Duplicate","Unique")</f>
        <v>Unique</v>
      </c>
      <c r="J1823" s="39" t="str">
        <f aca="false">IF(I1823="Duplicate","Remove",IF(H1823="Mismatch","Exclude","Keep"))</f>
        <v>Keep</v>
      </c>
    </row>
    <row r="1824" customFormat="false" ht="15" hidden="false" customHeight="false" outlineLevel="0" collapsed="false">
      <c r="A1824" s="39" t="s">
        <v>1895</v>
      </c>
      <c r="B1824" s="40" t="n">
        <v>45904</v>
      </c>
      <c r="C1824" s="39" t="s">
        <v>117</v>
      </c>
      <c r="D1824" s="39" t="n">
        <v>3</v>
      </c>
      <c r="E1824" s="41" t="n">
        <v>30.39</v>
      </c>
      <c r="F1824" s="39" t="s">
        <v>115</v>
      </c>
      <c r="G1824" s="39" t="str">
        <f aca="false">UPPER(TRIM(C1824))</f>
        <v>P009</v>
      </c>
      <c r="H1824" s="39" t="str">
        <f aca="false">IF(ISNUMBER(MATCH(G1824,Products!$A$5:$A$24,0)),"OK","Mismatch")</f>
        <v>OK</v>
      </c>
      <c r="I1824" s="39" t="str">
        <f aca="false">IF(COUNTIF($A$5:A1824,A1824)&gt;1,"Duplicate","Unique")</f>
        <v>Unique</v>
      </c>
      <c r="J1824" s="39" t="str">
        <f aca="false">IF(I1824="Duplicate","Remove",IF(H1824="Mismatch","Exclude","Keep"))</f>
        <v>Keep</v>
      </c>
    </row>
    <row r="1825" customFormat="false" ht="15" hidden="false" customHeight="false" outlineLevel="0" collapsed="false">
      <c r="A1825" s="39" t="s">
        <v>1896</v>
      </c>
      <c r="B1825" s="40" t="n">
        <v>45904</v>
      </c>
      <c r="C1825" s="39" t="s">
        <v>114</v>
      </c>
      <c r="D1825" s="39" t="n">
        <v>4</v>
      </c>
      <c r="E1825" s="41" t="n">
        <v>5.69</v>
      </c>
      <c r="F1825" s="39" t="s">
        <v>105</v>
      </c>
      <c r="G1825" s="39" t="str">
        <f aca="false">UPPER(TRIM(C1825))</f>
        <v>P012</v>
      </c>
      <c r="H1825" s="39" t="str">
        <f aca="false">IF(ISNUMBER(MATCH(G1825,Products!$A$5:$A$24,0)),"OK","Mismatch")</f>
        <v>OK</v>
      </c>
      <c r="I1825" s="39" t="str">
        <f aca="false">IF(COUNTIF($A$5:A1825,A1825)&gt;1,"Duplicate","Unique")</f>
        <v>Unique</v>
      </c>
      <c r="J1825" s="39" t="str">
        <f aca="false">IF(I1825="Duplicate","Remove",IF(H1825="Mismatch","Exclude","Keep"))</f>
        <v>Keep</v>
      </c>
    </row>
    <row r="1826" customFormat="false" ht="15" hidden="false" customHeight="false" outlineLevel="0" collapsed="false">
      <c r="A1826" s="39" t="s">
        <v>1897</v>
      </c>
      <c r="B1826" s="40" t="n">
        <v>45904</v>
      </c>
      <c r="C1826" s="39" t="s">
        <v>162</v>
      </c>
      <c r="D1826" s="39" t="n">
        <v>3</v>
      </c>
      <c r="E1826" s="41" t="n">
        <v>65.84</v>
      </c>
      <c r="F1826" s="39" t="s">
        <v>108</v>
      </c>
      <c r="G1826" s="39" t="str">
        <f aca="false">UPPER(TRIM(C1826))</f>
        <v>P017</v>
      </c>
      <c r="H1826" s="39" t="str">
        <f aca="false">IF(ISNUMBER(MATCH(G1826,Products!$A$5:$A$24,0)),"OK","Mismatch")</f>
        <v>OK</v>
      </c>
      <c r="I1826" s="39" t="str">
        <f aca="false">IF(COUNTIF($A$5:A1826,A1826)&gt;1,"Duplicate","Unique")</f>
        <v>Unique</v>
      </c>
      <c r="J1826" s="39" t="str">
        <f aca="false">IF(I1826="Duplicate","Remove",IF(H1826="Mismatch","Exclude","Keep"))</f>
        <v>Keep</v>
      </c>
    </row>
    <row r="1827" customFormat="false" ht="15" hidden="false" customHeight="false" outlineLevel="0" collapsed="false">
      <c r="A1827" s="39" t="s">
        <v>1898</v>
      </c>
      <c r="B1827" s="40" t="n">
        <v>45904</v>
      </c>
      <c r="C1827" s="39" t="s">
        <v>104</v>
      </c>
      <c r="D1827" s="39" t="n">
        <v>2</v>
      </c>
      <c r="E1827" s="41" t="n">
        <v>15.19</v>
      </c>
      <c r="F1827" s="39" t="s">
        <v>115</v>
      </c>
      <c r="G1827" s="39" t="str">
        <f aca="false">UPPER(TRIM(C1827))</f>
        <v>P015</v>
      </c>
      <c r="H1827" s="39" t="str">
        <f aca="false">IF(ISNUMBER(MATCH(G1827,Products!$A$5:$A$24,0)),"OK","Mismatch")</f>
        <v>OK</v>
      </c>
      <c r="I1827" s="39" t="str">
        <f aca="false">IF(COUNTIF($A$5:A1827,A1827)&gt;1,"Duplicate","Unique")</f>
        <v>Unique</v>
      </c>
      <c r="J1827" s="39" t="str">
        <f aca="false">IF(I1827="Duplicate","Remove",IF(H1827="Mismatch","Exclude","Keep"))</f>
        <v>Keep</v>
      </c>
    </row>
    <row r="1828" customFormat="false" ht="15" hidden="false" customHeight="false" outlineLevel="0" collapsed="false">
      <c r="A1828" s="39" t="s">
        <v>1899</v>
      </c>
      <c r="B1828" s="40" t="n">
        <v>45905</v>
      </c>
      <c r="C1828" s="39" t="s">
        <v>110</v>
      </c>
      <c r="D1828" s="39" t="n">
        <v>4</v>
      </c>
      <c r="E1828" s="41" t="n">
        <v>13.2</v>
      </c>
      <c r="F1828" s="39" t="s">
        <v>118</v>
      </c>
      <c r="G1828" s="39" t="str">
        <f aca="false">UPPER(TRIM(C1828))</f>
        <v>P016</v>
      </c>
      <c r="H1828" s="39" t="str">
        <f aca="false">IF(ISNUMBER(MATCH(G1828,Products!$A$5:$A$24,0)),"OK","Mismatch")</f>
        <v>OK</v>
      </c>
      <c r="I1828" s="39" t="str">
        <f aca="false">IF(COUNTIF($A$5:A1828,A1828)&gt;1,"Duplicate","Unique")</f>
        <v>Unique</v>
      </c>
      <c r="J1828" s="39" t="str">
        <f aca="false">IF(I1828="Duplicate","Remove",IF(H1828="Mismatch","Exclude","Keep"))</f>
        <v>Keep</v>
      </c>
    </row>
    <row r="1829" customFormat="false" ht="15" hidden="false" customHeight="false" outlineLevel="0" collapsed="false">
      <c r="A1829" s="39" t="s">
        <v>1900</v>
      </c>
      <c r="B1829" s="40" t="n">
        <v>45905</v>
      </c>
      <c r="C1829" s="39" t="s">
        <v>139</v>
      </c>
      <c r="D1829" s="39" t="n">
        <v>3</v>
      </c>
      <c r="E1829" s="41" t="n">
        <v>127.09</v>
      </c>
      <c r="F1829" s="39" t="s">
        <v>108</v>
      </c>
      <c r="G1829" s="39" t="str">
        <f aca="false">UPPER(TRIM(C1829))</f>
        <v>P006</v>
      </c>
      <c r="H1829" s="39" t="str">
        <f aca="false">IF(ISNUMBER(MATCH(G1829,Products!$A$5:$A$24,0)),"OK","Mismatch")</f>
        <v>OK</v>
      </c>
      <c r="I1829" s="39" t="str">
        <f aca="false">IF(COUNTIF($A$5:A1829,A1829)&gt;1,"Duplicate","Unique")</f>
        <v>Unique</v>
      </c>
      <c r="J1829" s="39" t="str">
        <f aca="false">IF(I1829="Duplicate","Remove",IF(H1829="Mismatch","Exclude","Keep"))</f>
        <v>Keep</v>
      </c>
    </row>
    <row r="1830" customFormat="false" ht="15" hidden="false" customHeight="false" outlineLevel="0" collapsed="false">
      <c r="A1830" s="39" t="s">
        <v>1901</v>
      </c>
      <c r="B1830" s="40" t="n">
        <v>45905</v>
      </c>
      <c r="C1830" s="39" t="s">
        <v>133</v>
      </c>
      <c r="D1830" s="39" t="n">
        <v>3</v>
      </c>
      <c r="E1830" s="41" t="n">
        <v>8.52</v>
      </c>
      <c r="F1830" s="39" t="s">
        <v>115</v>
      </c>
      <c r="G1830" s="39" t="str">
        <f aca="false">UPPER(TRIM(C1830))</f>
        <v>P019</v>
      </c>
      <c r="H1830" s="39" t="str">
        <f aca="false">IF(ISNUMBER(MATCH(G1830,Products!$A$5:$A$24,0)),"OK","Mismatch")</f>
        <v>OK</v>
      </c>
      <c r="I1830" s="39" t="str">
        <f aca="false">IF(COUNTIF($A$5:A1830,A1830)&gt;1,"Duplicate","Unique")</f>
        <v>Unique</v>
      </c>
      <c r="J1830" s="39" t="str">
        <f aca="false">IF(I1830="Duplicate","Remove",IF(H1830="Mismatch","Exclude","Keep"))</f>
        <v>Keep</v>
      </c>
    </row>
    <row r="1831" customFormat="false" ht="15" hidden="false" customHeight="false" outlineLevel="0" collapsed="false">
      <c r="A1831" s="39" t="s">
        <v>1902</v>
      </c>
      <c r="B1831" s="40" t="n">
        <v>45905</v>
      </c>
      <c r="C1831" s="39" t="s">
        <v>112</v>
      </c>
      <c r="D1831" s="39" t="n">
        <v>2</v>
      </c>
      <c r="E1831" s="41" t="n">
        <v>53.62</v>
      </c>
      <c r="F1831" s="39" t="s">
        <v>115</v>
      </c>
      <c r="G1831" s="39" t="str">
        <f aca="false">UPPER(TRIM(C1831))</f>
        <v>P005</v>
      </c>
      <c r="H1831" s="39" t="str">
        <f aca="false">IF(ISNUMBER(MATCH(G1831,Products!$A$5:$A$24,0)),"OK","Mismatch")</f>
        <v>OK</v>
      </c>
      <c r="I1831" s="39" t="str">
        <f aca="false">IF(COUNTIF($A$5:A1831,A1831)&gt;1,"Duplicate","Unique")</f>
        <v>Unique</v>
      </c>
      <c r="J1831" s="39" t="str">
        <f aca="false">IF(I1831="Duplicate","Remove",IF(H1831="Mismatch","Exclude","Keep"))</f>
        <v>Keep</v>
      </c>
    </row>
    <row r="1832" customFormat="false" ht="15" hidden="false" customHeight="false" outlineLevel="0" collapsed="false">
      <c r="A1832" s="39" t="s">
        <v>1902</v>
      </c>
      <c r="B1832" s="40" t="n">
        <v>45905</v>
      </c>
      <c r="C1832" s="39" t="s">
        <v>112</v>
      </c>
      <c r="D1832" s="39" t="n">
        <v>2</v>
      </c>
      <c r="E1832" s="41" t="n">
        <v>53.62</v>
      </c>
      <c r="F1832" s="39" t="s">
        <v>115</v>
      </c>
      <c r="G1832" s="39" t="str">
        <f aca="false">UPPER(TRIM(C1832))</f>
        <v>P005</v>
      </c>
      <c r="H1832" s="39" t="str">
        <f aca="false">IF(ISNUMBER(MATCH(G1832,Products!$A$5:$A$24,0)),"OK","Mismatch")</f>
        <v>OK</v>
      </c>
      <c r="I1832" s="39" t="str">
        <f aca="false">IF(COUNTIF($A$5:A1832,A1832)&gt;1,"Duplicate","Unique")</f>
        <v>Duplicate</v>
      </c>
      <c r="J1832" s="39" t="str">
        <f aca="false">IF(I1832="Duplicate","Remove",IF(H1832="Mismatch","Exclude","Keep"))</f>
        <v>Remove</v>
      </c>
    </row>
    <row r="1833" customFormat="false" ht="15" hidden="false" customHeight="false" outlineLevel="0" collapsed="false">
      <c r="A1833" s="39" t="s">
        <v>1903</v>
      </c>
      <c r="B1833" s="40" t="n">
        <v>45905</v>
      </c>
      <c r="C1833" s="39" t="s">
        <v>114</v>
      </c>
      <c r="D1833" s="39" t="n">
        <v>4</v>
      </c>
      <c r="E1833" s="41" t="n">
        <v>5.7</v>
      </c>
      <c r="F1833" s="39" t="s">
        <v>115</v>
      </c>
      <c r="G1833" s="39" t="str">
        <f aca="false">UPPER(TRIM(C1833))</f>
        <v>P012</v>
      </c>
      <c r="H1833" s="39" t="str">
        <f aca="false">IF(ISNUMBER(MATCH(G1833,Products!$A$5:$A$24,0)),"OK","Mismatch")</f>
        <v>OK</v>
      </c>
      <c r="I1833" s="39" t="str">
        <f aca="false">IF(COUNTIF($A$5:A1833,A1833)&gt;1,"Duplicate","Unique")</f>
        <v>Unique</v>
      </c>
      <c r="J1833" s="39" t="str">
        <f aca="false">IF(I1833="Duplicate","Remove",IF(H1833="Mismatch","Exclude","Keep"))</f>
        <v>Keep</v>
      </c>
    </row>
    <row r="1834" customFormat="false" ht="15" hidden="false" customHeight="false" outlineLevel="0" collapsed="false">
      <c r="A1834" s="39" t="s">
        <v>1904</v>
      </c>
      <c r="B1834" s="40" t="n">
        <v>45905</v>
      </c>
      <c r="C1834" s="39" t="s">
        <v>126</v>
      </c>
      <c r="D1834" s="39" t="n">
        <v>3</v>
      </c>
      <c r="E1834" s="41" t="n">
        <v>23.37</v>
      </c>
      <c r="F1834" s="39" t="s">
        <v>118</v>
      </c>
      <c r="G1834" s="39" t="str">
        <f aca="false">UPPER(TRIM(C1834))</f>
        <v>P001</v>
      </c>
      <c r="H1834" s="39" t="str">
        <f aca="false">IF(ISNUMBER(MATCH(G1834,Products!$A$5:$A$24,0)),"OK","Mismatch")</f>
        <v>OK</v>
      </c>
      <c r="I1834" s="39" t="str">
        <f aca="false">IF(COUNTIF($A$5:A1834,A1834)&gt;1,"Duplicate","Unique")</f>
        <v>Unique</v>
      </c>
      <c r="J1834" s="39" t="str">
        <f aca="false">IF(I1834="Duplicate","Remove",IF(H1834="Mismatch","Exclude","Keep"))</f>
        <v>Keep</v>
      </c>
    </row>
    <row r="1835" customFormat="false" ht="15" hidden="false" customHeight="false" outlineLevel="0" collapsed="false">
      <c r="A1835" s="39" t="s">
        <v>1905</v>
      </c>
      <c r="B1835" s="40" t="n">
        <v>45905</v>
      </c>
      <c r="C1835" s="39" t="s">
        <v>139</v>
      </c>
      <c r="D1835" s="39" t="n">
        <v>3</v>
      </c>
      <c r="E1835" s="41" t="n">
        <v>127.81</v>
      </c>
      <c r="F1835" s="39" t="s">
        <v>105</v>
      </c>
      <c r="G1835" s="39" t="str">
        <f aca="false">UPPER(TRIM(C1835))</f>
        <v>P006</v>
      </c>
      <c r="H1835" s="39" t="str">
        <f aca="false">IF(ISNUMBER(MATCH(G1835,Products!$A$5:$A$24,0)),"OK","Mismatch")</f>
        <v>OK</v>
      </c>
      <c r="I1835" s="39" t="str">
        <f aca="false">IF(COUNTIF($A$5:A1835,A1835)&gt;1,"Duplicate","Unique")</f>
        <v>Unique</v>
      </c>
      <c r="J1835" s="39" t="str">
        <f aca="false">IF(I1835="Duplicate","Remove",IF(H1835="Mismatch","Exclude","Keep"))</f>
        <v>Keep</v>
      </c>
    </row>
    <row r="1836" customFormat="false" ht="15" hidden="false" customHeight="false" outlineLevel="0" collapsed="false">
      <c r="A1836" s="39" t="s">
        <v>1906</v>
      </c>
      <c r="B1836" s="40" t="n">
        <v>45905</v>
      </c>
      <c r="C1836" s="39" t="s">
        <v>104</v>
      </c>
      <c r="D1836" s="39" t="n">
        <v>8</v>
      </c>
      <c r="E1836" s="41" t="n">
        <v>15.49</v>
      </c>
      <c r="F1836" s="39" t="s">
        <v>105</v>
      </c>
      <c r="G1836" s="39" t="str">
        <f aca="false">UPPER(TRIM(C1836))</f>
        <v>P015</v>
      </c>
      <c r="H1836" s="39" t="str">
        <f aca="false">IF(ISNUMBER(MATCH(G1836,Products!$A$5:$A$24,0)),"OK","Mismatch")</f>
        <v>OK</v>
      </c>
      <c r="I1836" s="39" t="str">
        <f aca="false">IF(COUNTIF($A$5:A1836,A1836)&gt;1,"Duplicate","Unique")</f>
        <v>Unique</v>
      </c>
      <c r="J1836" s="39" t="str">
        <f aca="false">IF(I1836="Duplicate","Remove",IF(H1836="Mismatch","Exclude","Keep"))</f>
        <v>Keep</v>
      </c>
    </row>
    <row r="1837" customFormat="false" ht="15" hidden="false" customHeight="false" outlineLevel="0" collapsed="false">
      <c r="A1837" s="39" t="s">
        <v>1906</v>
      </c>
      <c r="B1837" s="40" t="n">
        <v>45905</v>
      </c>
      <c r="C1837" s="39" t="s">
        <v>104</v>
      </c>
      <c r="D1837" s="39" t="n">
        <v>8</v>
      </c>
      <c r="E1837" s="41" t="n">
        <v>15.49</v>
      </c>
      <c r="F1837" s="39" t="s">
        <v>105</v>
      </c>
      <c r="G1837" s="39" t="str">
        <f aca="false">UPPER(TRIM(C1837))</f>
        <v>P015</v>
      </c>
      <c r="H1837" s="39" t="str">
        <f aca="false">IF(ISNUMBER(MATCH(G1837,Products!$A$5:$A$24,0)),"OK","Mismatch")</f>
        <v>OK</v>
      </c>
      <c r="I1837" s="39" t="str">
        <f aca="false">IF(COUNTIF($A$5:A1837,A1837)&gt;1,"Duplicate","Unique")</f>
        <v>Duplicate</v>
      </c>
      <c r="J1837" s="39" t="str">
        <f aca="false">IF(I1837="Duplicate","Remove",IF(H1837="Mismatch","Exclude","Keep"))</f>
        <v>Remove</v>
      </c>
    </row>
    <row r="1838" customFormat="false" ht="15" hidden="false" customHeight="false" outlineLevel="0" collapsed="false">
      <c r="A1838" s="39" t="s">
        <v>1907</v>
      </c>
      <c r="B1838" s="40" t="n">
        <v>45905</v>
      </c>
      <c r="C1838" s="39" t="s">
        <v>139</v>
      </c>
      <c r="D1838" s="39" t="n">
        <v>1</v>
      </c>
      <c r="E1838" s="41" t="n">
        <v>118.75</v>
      </c>
      <c r="F1838" s="39" t="s">
        <v>115</v>
      </c>
      <c r="G1838" s="39" t="str">
        <f aca="false">UPPER(TRIM(C1838))</f>
        <v>P006</v>
      </c>
      <c r="H1838" s="39" t="str">
        <f aca="false">IF(ISNUMBER(MATCH(G1838,Products!$A$5:$A$24,0)),"OK","Mismatch")</f>
        <v>OK</v>
      </c>
      <c r="I1838" s="39" t="str">
        <f aca="false">IF(COUNTIF($A$5:A1838,A1838)&gt;1,"Duplicate","Unique")</f>
        <v>Unique</v>
      </c>
      <c r="J1838" s="39" t="str">
        <f aca="false">IF(I1838="Duplicate","Remove",IF(H1838="Mismatch","Exclude","Keep"))</f>
        <v>Keep</v>
      </c>
    </row>
    <row r="1839" customFormat="false" ht="15" hidden="false" customHeight="false" outlineLevel="0" collapsed="false">
      <c r="A1839" s="39" t="s">
        <v>1908</v>
      </c>
      <c r="B1839" s="40" t="n">
        <v>45906</v>
      </c>
      <c r="C1839" s="39" t="s">
        <v>136</v>
      </c>
      <c r="D1839" s="39" t="n">
        <v>2</v>
      </c>
      <c r="E1839" s="41" t="n">
        <v>76.02</v>
      </c>
      <c r="F1839" s="39" t="s">
        <v>105</v>
      </c>
      <c r="G1839" s="39" t="str">
        <f aca="false">UPPER(TRIM(C1839))</f>
        <v>P002</v>
      </c>
      <c r="H1839" s="39" t="str">
        <f aca="false">IF(ISNUMBER(MATCH(G1839,Products!$A$5:$A$24,0)),"OK","Mismatch")</f>
        <v>OK</v>
      </c>
      <c r="I1839" s="39" t="str">
        <f aca="false">IF(COUNTIF($A$5:A1839,A1839)&gt;1,"Duplicate","Unique")</f>
        <v>Unique</v>
      </c>
      <c r="J1839" s="39" t="str">
        <f aca="false">IF(I1839="Duplicate","Remove",IF(H1839="Mismatch","Exclude","Keep"))</f>
        <v>Keep</v>
      </c>
    </row>
    <row r="1840" customFormat="false" ht="15" hidden="false" customHeight="false" outlineLevel="0" collapsed="false">
      <c r="A1840" s="39" t="s">
        <v>1909</v>
      </c>
      <c r="B1840" s="40" t="n">
        <v>45906</v>
      </c>
      <c r="C1840" s="39" t="s">
        <v>114</v>
      </c>
      <c r="D1840" s="39" t="n">
        <v>3</v>
      </c>
      <c r="E1840" s="41" t="n">
        <v>5.73</v>
      </c>
      <c r="F1840" s="39" t="s">
        <v>115</v>
      </c>
      <c r="G1840" s="39" t="str">
        <f aca="false">UPPER(TRIM(C1840))</f>
        <v>P012</v>
      </c>
      <c r="H1840" s="39" t="str">
        <f aca="false">IF(ISNUMBER(MATCH(G1840,Products!$A$5:$A$24,0)),"OK","Mismatch")</f>
        <v>OK</v>
      </c>
      <c r="I1840" s="39" t="str">
        <f aca="false">IF(COUNTIF($A$5:A1840,A1840)&gt;1,"Duplicate","Unique")</f>
        <v>Unique</v>
      </c>
      <c r="J1840" s="39" t="str">
        <f aca="false">IF(I1840="Duplicate","Remove",IF(H1840="Mismatch","Exclude","Keep"))</f>
        <v>Keep</v>
      </c>
    </row>
    <row r="1841" customFormat="false" ht="15" hidden="false" customHeight="false" outlineLevel="0" collapsed="false">
      <c r="A1841" s="39" t="s">
        <v>1910</v>
      </c>
      <c r="B1841" s="40" t="n">
        <v>45906</v>
      </c>
      <c r="C1841" s="39" t="s">
        <v>169</v>
      </c>
      <c r="D1841" s="39" t="n">
        <v>3</v>
      </c>
      <c r="E1841" s="41" t="n">
        <v>28.11</v>
      </c>
      <c r="F1841" s="39" t="s">
        <v>118</v>
      </c>
      <c r="G1841" s="39" t="str">
        <f aca="false">UPPER(TRIM(C1841))</f>
        <v>P004</v>
      </c>
      <c r="H1841" s="39" t="str">
        <f aca="false">IF(ISNUMBER(MATCH(G1841,Products!$A$5:$A$24,0)),"OK","Mismatch")</f>
        <v>OK</v>
      </c>
      <c r="I1841" s="39" t="str">
        <f aca="false">IF(COUNTIF($A$5:A1841,A1841)&gt;1,"Duplicate","Unique")</f>
        <v>Unique</v>
      </c>
      <c r="J1841" s="39" t="str">
        <f aca="false">IF(I1841="Duplicate","Remove",IF(H1841="Mismatch","Exclude","Keep"))</f>
        <v>Keep</v>
      </c>
    </row>
    <row r="1842" customFormat="false" ht="15" hidden="false" customHeight="false" outlineLevel="0" collapsed="false">
      <c r="A1842" s="39" t="s">
        <v>1911</v>
      </c>
      <c r="B1842" s="40" t="n">
        <v>45906</v>
      </c>
      <c r="C1842" s="39" t="s">
        <v>177</v>
      </c>
      <c r="D1842" s="39" t="n">
        <v>2</v>
      </c>
      <c r="E1842" s="41" t="n">
        <v>42.85</v>
      </c>
      <c r="F1842" s="39" t="s">
        <v>118</v>
      </c>
      <c r="G1842" s="39" t="str">
        <f aca="false">UPPER(TRIM(C1842))</f>
        <v>P014</v>
      </c>
      <c r="H1842" s="39" t="str">
        <f aca="false">IF(ISNUMBER(MATCH(G1842,Products!$A$5:$A$24,0)),"OK","Mismatch")</f>
        <v>OK</v>
      </c>
      <c r="I1842" s="39" t="str">
        <f aca="false">IF(COUNTIF($A$5:A1842,A1842)&gt;1,"Duplicate","Unique")</f>
        <v>Unique</v>
      </c>
      <c r="J1842" s="39" t="str">
        <f aca="false">IF(I1842="Duplicate","Remove",IF(H1842="Mismatch","Exclude","Keep"))</f>
        <v>Keep</v>
      </c>
    </row>
    <row r="1843" customFormat="false" ht="15" hidden="false" customHeight="false" outlineLevel="0" collapsed="false">
      <c r="A1843" s="39" t="s">
        <v>1912</v>
      </c>
      <c r="B1843" s="40" t="n">
        <v>45906</v>
      </c>
      <c r="C1843" s="39" t="s">
        <v>133</v>
      </c>
      <c r="D1843" s="39" t="n">
        <v>1</v>
      </c>
      <c r="E1843" s="41" t="n">
        <v>8.91</v>
      </c>
      <c r="F1843" s="39" t="s">
        <v>105</v>
      </c>
      <c r="G1843" s="39" t="str">
        <f aca="false">UPPER(TRIM(C1843))</f>
        <v>P019</v>
      </c>
      <c r="H1843" s="39" t="str">
        <f aca="false">IF(ISNUMBER(MATCH(G1843,Products!$A$5:$A$24,0)),"OK","Mismatch")</f>
        <v>OK</v>
      </c>
      <c r="I1843" s="39" t="str">
        <f aca="false">IF(COUNTIF($A$5:A1843,A1843)&gt;1,"Duplicate","Unique")</f>
        <v>Unique</v>
      </c>
      <c r="J1843" s="39" t="str">
        <f aca="false">IF(I1843="Duplicate","Remove",IF(H1843="Mismatch","Exclude","Keep"))</f>
        <v>Keep</v>
      </c>
    </row>
    <row r="1844" customFormat="false" ht="15" hidden="false" customHeight="false" outlineLevel="0" collapsed="false">
      <c r="A1844" s="39" t="s">
        <v>1913</v>
      </c>
      <c r="B1844" s="40" t="n">
        <v>45906</v>
      </c>
      <c r="C1844" s="39" t="s">
        <v>112</v>
      </c>
      <c r="D1844" s="39" t="n">
        <v>3</v>
      </c>
      <c r="E1844" s="41" t="n">
        <v>52.45</v>
      </c>
      <c r="F1844" s="39" t="s">
        <v>105</v>
      </c>
      <c r="G1844" s="39" t="str">
        <f aca="false">UPPER(TRIM(C1844))</f>
        <v>P005</v>
      </c>
      <c r="H1844" s="39" t="str">
        <f aca="false">IF(ISNUMBER(MATCH(G1844,Products!$A$5:$A$24,0)),"OK","Mismatch")</f>
        <v>OK</v>
      </c>
      <c r="I1844" s="39" t="str">
        <f aca="false">IF(COUNTIF($A$5:A1844,A1844)&gt;1,"Duplicate","Unique")</f>
        <v>Unique</v>
      </c>
      <c r="J1844" s="39" t="str">
        <f aca="false">IF(I1844="Duplicate","Remove",IF(H1844="Mismatch","Exclude","Keep"))</f>
        <v>Keep</v>
      </c>
    </row>
    <row r="1845" customFormat="false" ht="15" hidden="false" customHeight="false" outlineLevel="0" collapsed="false">
      <c r="A1845" s="39" t="s">
        <v>1914</v>
      </c>
      <c r="B1845" s="40" t="n">
        <v>45906</v>
      </c>
      <c r="C1845" s="39" t="s">
        <v>133</v>
      </c>
      <c r="D1845" s="39" t="n">
        <v>1</v>
      </c>
      <c r="E1845" s="41" t="n">
        <v>8.29</v>
      </c>
      <c r="F1845" s="39" t="s">
        <v>105</v>
      </c>
      <c r="G1845" s="39" t="str">
        <f aca="false">UPPER(TRIM(C1845))</f>
        <v>P019</v>
      </c>
      <c r="H1845" s="39" t="str">
        <f aca="false">IF(ISNUMBER(MATCH(G1845,Products!$A$5:$A$24,0)),"OK","Mismatch")</f>
        <v>OK</v>
      </c>
      <c r="I1845" s="39" t="str">
        <f aca="false">IF(COUNTIF($A$5:A1845,A1845)&gt;1,"Duplicate","Unique")</f>
        <v>Unique</v>
      </c>
      <c r="J1845" s="39" t="str">
        <f aca="false">IF(I1845="Duplicate","Remove",IF(H1845="Mismatch","Exclude","Keep"))</f>
        <v>Keep</v>
      </c>
    </row>
    <row r="1846" customFormat="false" ht="15" hidden="false" customHeight="false" outlineLevel="0" collapsed="false">
      <c r="A1846" s="39" t="s">
        <v>1915</v>
      </c>
      <c r="B1846" s="40" t="n">
        <v>45906</v>
      </c>
      <c r="C1846" s="39" t="s">
        <v>121</v>
      </c>
      <c r="D1846" s="39" t="n">
        <v>3</v>
      </c>
      <c r="E1846" s="41" t="n">
        <v>117.79</v>
      </c>
      <c r="F1846" s="39" t="s">
        <v>108</v>
      </c>
      <c r="G1846" s="39" t="str">
        <f aca="false">UPPER(TRIM(C1846))</f>
        <v>P018</v>
      </c>
      <c r="H1846" s="39" t="str">
        <f aca="false">IF(ISNUMBER(MATCH(G1846,Products!$A$5:$A$24,0)),"OK","Mismatch")</f>
        <v>OK</v>
      </c>
      <c r="I1846" s="39" t="str">
        <f aca="false">IF(COUNTIF($A$5:A1846,A1846)&gt;1,"Duplicate","Unique")</f>
        <v>Unique</v>
      </c>
      <c r="J1846" s="39" t="str">
        <f aca="false">IF(I1846="Duplicate","Remove",IF(H1846="Mismatch","Exclude","Keep"))</f>
        <v>Keep</v>
      </c>
    </row>
    <row r="1847" customFormat="false" ht="15" hidden="false" customHeight="false" outlineLevel="0" collapsed="false">
      <c r="A1847" s="39" t="s">
        <v>1916</v>
      </c>
      <c r="B1847" s="40" t="n">
        <v>45907</v>
      </c>
      <c r="C1847" s="39" t="s">
        <v>112</v>
      </c>
      <c r="D1847" s="39" t="n">
        <v>4</v>
      </c>
      <c r="E1847" s="41" t="n">
        <v>53.33</v>
      </c>
      <c r="F1847" s="39" t="s">
        <v>108</v>
      </c>
      <c r="G1847" s="39" t="str">
        <f aca="false">UPPER(TRIM(C1847))</f>
        <v>P005</v>
      </c>
      <c r="H1847" s="39" t="str">
        <f aca="false">IF(ISNUMBER(MATCH(G1847,Products!$A$5:$A$24,0)),"OK","Mismatch")</f>
        <v>OK</v>
      </c>
      <c r="I1847" s="39" t="str">
        <f aca="false">IF(COUNTIF($A$5:A1847,A1847)&gt;1,"Duplicate","Unique")</f>
        <v>Unique</v>
      </c>
      <c r="J1847" s="39" t="str">
        <f aca="false">IF(I1847="Duplicate","Remove",IF(H1847="Mismatch","Exclude","Keep"))</f>
        <v>Keep</v>
      </c>
    </row>
    <row r="1848" customFormat="false" ht="15" hidden="false" customHeight="false" outlineLevel="0" collapsed="false">
      <c r="A1848" s="39" t="s">
        <v>1917</v>
      </c>
      <c r="B1848" s="40" t="n">
        <v>45907</v>
      </c>
      <c r="C1848" s="39" t="s">
        <v>133</v>
      </c>
      <c r="D1848" s="39" t="n">
        <v>3</v>
      </c>
      <c r="E1848" s="41" t="n">
        <v>8.8</v>
      </c>
      <c r="F1848" s="39" t="s">
        <v>115</v>
      </c>
      <c r="G1848" s="39" t="str">
        <f aca="false">UPPER(TRIM(C1848))</f>
        <v>P019</v>
      </c>
      <c r="H1848" s="39" t="str">
        <f aca="false">IF(ISNUMBER(MATCH(G1848,Products!$A$5:$A$24,0)),"OK","Mismatch")</f>
        <v>OK</v>
      </c>
      <c r="I1848" s="39" t="str">
        <f aca="false">IF(COUNTIF($A$5:A1848,A1848)&gt;1,"Duplicate","Unique")</f>
        <v>Unique</v>
      </c>
      <c r="J1848" s="39" t="str">
        <f aca="false">IF(I1848="Duplicate","Remove",IF(H1848="Mismatch","Exclude","Keep"))</f>
        <v>Keep</v>
      </c>
    </row>
    <row r="1849" customFormat="false" ht="15" hidden="false" customHeight="false" outlineLevel="0" collapsed="false">
      <c r="A1849" s="39" t="s">
        <v>1918</v>
      </c>
      <c r="B1849" s="40" t="n">
        <v>45907</v>
      </c>
      <c r="C1849" s="39" t="s">
        <v>136</v>
      </c>
      <c r="D1849" s="39" t="n">
        <v>5</v>
      </c>
      <c r="E1849" s="41" t="n">
        <v>77.68</v>
      </c>
      <c r="F1849" s="39" t="s">
        <v>115</v>
      </c>
      <c r="G1849" s="39" t="str">
        <f aca="false">UPPER(TRIM(C1849))</f>
        <v>P002</v>
      </c>
      <c r="H1849" s="39" t="str">
        <f aca="false">IF(ISNUMBER(MATCH(G1849,Products!$A$5:$A$24,0)),"OK","Mismatch")</f>
        <v>OK</v>
      </c>
      <c r="I1849" s="39" t="str">
        <f aca="false">IF(COUNTIF($A$5:A1849,A1849)&gt;1,"Duplicate","Unique")</f>
        <v>Unique</v>
      </c>
      <c r="J1849" s="39" t="str">
        <f aca="false">IF(I1849="Duplicate","Remove",IF(H1849="Mismatch","Exclude","Keep"))</f>
        <v>Keep</v>
      </c>
    </row>
    <row r="1850" customFormat="false" ht="15" hidden="false" customHeight="false" outlineLevel="0" collapsed="false">
      <c r="A1850" s="39" t="s">
        <v>1919</v>
      </c>
      <c r="B1850" s="40" t="n">
        <v>45907</v>
      </c>
      <c r="C1850" s="39" t="s">
        <v>117</v>
      </c>
      <c r="D1850" s="39" t="n">
        <v>1</v>
      </c>
      <c r="E1850" s="41" t="n">
        <v>30.85</v>
      </c>
      <c r="F1850" s="39" t="s">
        <v>118</v>
      </c>
      <c r="G1850" s="39" t="str">
        <f aca="false">UPPER(TRIM(C1850))</f>
        <v>P009</v>
      </c>
      <c r="H1850" s="39" t="str">
        <f aca="false">IF(ISNUMBER(MATCH(G1850,Products!$A$5:$A$24,0)),"OK","Mismatch")</f>
        <v>OK</v>
      </c>
      <c r="I1850" s="39" t="str">
        <f aca="false">IF(COUNTIF($A$5:A1850,A1850)&gt;1,"Duplicate","Unique")</f>
        <v>Unique</v>
      </c>
      <c r="J1850" s="39" t="str">
        <f aca="false">IF(I1850="Duplicate","Remove",IF(H1850="Mismatch","Exclude","Keep"))</f>
        <v>Keep</v>
      </c>
    </row>
    <row r="1851" customFormat="false" ht="15" hidden="false" customHeight="false" outlineLevel="0" collapsed="false">
      <c r="A1851" s="39" t="s">
        <v>1920</v>
      </c>
      <c r="B1851" s="40" t="n">
        <v>45907</v>
      </c>
      <c r="C1851" s="39" t="s">
        <v>153</v>
      </c>
      <c r="D1851" s="39" t="n">
        <v>2</v>
      </c>
      <c r="E1851" s="41" t="n">
        <v>178.32</v>
      </c>
      <c r="F1851" s="39" t="s">
        <v>115</v>
      </c>
      <c r="G1851" s="39" t="str">
        <f aca="false">UPPER(TRIM(C1851))</f>
        <v>P010</v>
      </c>
      <c r="H1851" s="39" t="str">
        <f aca="false">IF(ISNUMBER(MATCH(G1851,Products!$A$5:$A$24,0)),"OK","Mismatch")</f>
        <v>OK</v>
      </c>
      <c r="I1851" s="39" t="str">
        <f aca="false">IF(COUNTIF($A$5:A1851,A1851)&gt;1,"Duplicate","Unique")</f>
        <v>Unique</v>
      </c>
      <c r="J1851" s="39" t="str">
        <f aca="false">IF(I1851="Duplicate","Remove",IF(H1851="Mismatch","Exclude","Keep"))</f>
        <v>Keep</v>
      </c>
    </row>
    <row r="1852" customFormat="false" ht="15" hidden="false" customHeight="false" outlineLevel="0" collapsed="false">
      <c r="A1852" s="39" t="s">
        <v>1921</v>
      </c>
      <c r="B1852" s="40" t="n">
        <v>45907</v>
      </c>
      <c r="C1852" s="39" t="s">
        <v>177</v>
      </c>
      <c r="D1852" s="39" t="n">
        <v>4</v>
      </c>
      <c r="E1852" s="41" t="n">
        <v>41.63</v>
      </c>
      <c r="F1852" s="39" t="s">
        <v>118</v>
      </c>
      <c r="G1852" s="39" t="str">
        <f aca="false">UPPER(TRIM(C1852))</f>
        <v>P014</v>
      </c>
      <c r="H1852" s="39" t="str">
        <f aca="false">IF(ISNUMBER(MATCH(G1852,Products!$A$5:$A$24,0)),"OK","Mismatch")</f>
        <v>OK</v>
      </c>
      <c r="I1852" s="39" t="str">
        <f aca="false">IF(COUNTIF($A$5:A1852,A1852)&gt;1,"Duplicate","Unique")</f>
        <v>Unique</v>
      </c>
      <c r="J1852" s="39" t="str">
        <f aca="false">IF(I1852="Duplicate","Remove",IF(H1852="Mismatch","Exclude","Keep"))</f>
        <v>Keep</v>
      </c>
    </row>
    <row r="1853" customFormat="false" ht="15" hidden="false" customHeight="false" outlineLevel="0" collapsed="false">
      <c r="A1853" s="39" t="s">
        <v>1922</v>
      </c>
      <c r="B1853" s="40" t="n">
        <v>45907</v>
      </c>
      <c r="C1853" s="39" t="s">
        <v>114</v>
      </c>
      <c r="D1853" s="39" t="n">
        <v>5</v>
      </c>
      <c r="E1853" s="41" t="n">
        <v>5.64</v>
      </c>
      <c r="F1853" s="39" t="s">
        <v>108</v>
      </c>
      <c r="G1853" s="39" t="str">
        <f aca="false">UPPER(TRIM(C1853))</f>
        <v>P012</v>
      </c>
      <c r="H1853" s="39" t="str">
        <f aca="false">IF(ISNUMBER(MATCH(G1853,Products!$A$5:$A$24,0)),"OK","Mismatch")</f>
        <v>OK</v>
      </c>
      <c r="I1853" s="39" t="str">
        <f aca="false">IF(COUNTIF($A$5:A1853,A1853)&gt;1,"Duplicate","Unique")</f>
        <v>Unique</v>
      </c>
      <c r="J1853" s="39" t="str">
        <f aca="false">IF(I1853="Duplicate","Remove",IF(H1853="Mismatch","Exclude","Keep"))</f>
        <v>Keep</v>
      </c>
    </row>
    <row r="1854" customFormat="false" ht="15" hidden="false" customHeight="false" outlineLevel="0" collapsed="false">
      <c r="A1854" s="39" t="s">
        <v>1923</v>
      </c>
      <c r="B1854" s="40" t="n">
        <v>45907</v>
      </c>
      <c r="C1854" s="39" t="s">
        <v>183</v>
      </c>
      <c r="D1854" s="39" t="n">
        <v>4</v>
      </c>
      <c r="E1854" s="41" t="n">
        <v>178.52</v>
      </c>
      <c r="F1854" s="39" t="s">
        <v>115</v>
      </c>
      <c r="G1854" s="39" t="str">
        <f aca="false">UPPER(TRIM(C1854))</f>
        <v>P007</v>
      </c>
      <c r="H1854" s="39" t="str">
        <f aca="false">IF(ISNUMBER(MATCH(G1854,Products!$A$5:$A$24,0)),"OK","Mismatch")</f>
        <v>OK</v>
      </c>
      <c r="I1854" s="39" t="str">
        <f aca="false">IF(COUNTIF($A$5:A1854,A1854)&gt;1,"Duplicate","Unique")</f>
        <v>Unique</v>
      </c>
      <c r="J1854" s="39" t="str">
        <f aca="false">IF(I1854="Duplicate","Remove",IF(H1854="Mismatch","Exclude","Keep"))</f>
        <v>Keep</v>
      </c>
    </row>
    <row r="1855" customFormat="false" ht="15" hidden="false" customHeight="false" outlineLevel="0" collapsed="false">
      <c r="A1855" s="39" t="s">
        <v>1924</v>
      </c>
      <c r="B1855" s="40" t="n">
        <v>45907</v>
      </c>
      <c r="C1855" s="39" t="s">
        <v>144</v>
      </c>
      <c r="D1855" s="39" t="n">
        <v>1</v>
      </c>
      <c r="E1855" s="41" t="n">
        <v>55.27</v>
      </c>
      <c r="F1855" s="39" t="s">
        <v>108</v>
      </c>
      <c r="G1855" s="39" t="str">
        <f aca="false">UPPER(TRIM(C1855))</f>
        <v>P013</v>
      </c>
      <c r="H1855" s="39" t="str">
        <f aca="false">IF(ISNUMBER(MATCH(G1855,Products!$A$5:$A$24,0)),"OK","Mismatch")</f>
        <v>OK</v>
      </c>
      <c r="I1855" s="39" t="str">
        <f aca="false">IF(COUNTIF($A$5:A1855,A1855)&gt;1,"Duplicate","Unique")</f>
        <v>Unique</v>
      </c>
      <c r="J1855" s="39" t="str">
        <f aca="false">IF(I1855="Duplicate","Remove",IF(H1855="Mismatch","Exclude","Keep"))</f>
        <v>Keep</v>
      </c>
    </row>
    <row r="1856" customFormat="false" ht="15" hidden="false" customHeight="false" outlineLevel="0" collapsed="false">
      <c r="A1856" s="39" t="s">
        <v>1925</v>
      </c>
      <c r="B1856" s="40" t="n">
        <v>45907</v>
      </c>
      <c r="C1856" s="39" t="s">
        <v>110</v>
      </c>
      <c r="D1856" s="39" t="n">
        <v>6</v>
      </c>
      <c r="E1856" s="41" t="n">
        <v>13.41</v>
      </c>
      <c r="F1856" s="39" t="s">
        <v>108</v>
      </c>
      <c r="G1856" s="39" t="str">
        <f aca="false">UPPER(TRIM(C1856))</f>
        <v>P016</v>
      </c>
      <c r="H1856" s="39" t="str">
        <f aca="false">IF(ISNUMBER(MATCH(G1856,Products!$A$5:$A$24,0)),"OK","Mismatch")</f>
        <v>OK</v>
      </c>
      <c r="I1856" s="39" t="str">
        <f aca="false">IF(COUNTIF($A$5:A1856,A1856)&gt;1,"Duplicate","Unique")</f>
        <v>Unique</v>
      </c>
      <c r="J1856" s="39" t="str">
        <f aca="false">IF(I1856="Duplicate","Remove",IF(H1856="Mismatch","Exclude","Keep"))</f>
        <v>Keep</v>
      </c>
    </row>
    <row r="1857" customFormat="false" ht="15" hidden="false" customHeight="false" outlineLevel="0" collapsed="false">
      <c r="A1857" s="39" t="s">
        <v>1926</v>
      </c>
      <c r="B1857" s="40" t="n">
        <v>45907</v>
      </c>
      <c r="C1857" s="39" t="s">
        <v>177</v>
      </c>
      <c r="D1857" s="39" t="n">
        <v>5</v>
      </c>
      <c r="E1857" s="41" t="n">
        <v>44.77</v>
      </c>
      <c r="F1857" s="39" t="s">
        <v>108</v>
      </c>
      <c r="G1857" s="39" t="str">
        <f aca="false">UPPER(TRIM(C1857))</f>
        <v>P014</v>
      </c>
      <c r="H1857" s="39" t="str">
        <f aca="false">IF(ISNUMBER(MATCH(G1857,Products!$A$5:$A$24,0)),"OK","Mismatch")</f>
        <v>OK</v>
      </c>
      <c r="I1857" s="39" t="str">
        <f aca="false">IF(COUNTIF($A$5:A1857,A1857)&gt;1,"Duplicate","Unique")</f>
        <v>Unique</v>
      </c>
      <c r="J1857" s="39" t="str">
        <f aca="false">IF(I1857="Duplicate","Remove",IF(H1857="Mismatch","Exclude","Keep"))</f>
        <v>Keep</v>
      </c>
    </row>
    <row r="1858" customFormat="false" ht="15" hidden="false" customHeight="false" outlineLevel="0" collapsed="false">
      <c r="A1858" s="39" t="s">
        <v>1927</v>
      </c>
      <c r="B1858" s="40" t="n">
        <v>45908</v>
      </c>
      <c r="C1858" s="39" t="s">
        <v>136</v>
      </c>
      <c r="D1858" s="39" t="n">
        <v>6</v>
      </c>
      <c r="E1858" s="41" t="n">
        <v>78.23</v>
      </c>
      <c r="F1858" s="39" t="s">
        <v>118</v>
      </c>
      <c r="G1858" s="39" t="str">
        <f aca="false">UPPER(TRIM(C1858))</f>
        <v>P002</v>
      </c>
      <c r="H1858" s="39" t="str">
        <f aca="false">IF(ISNUMBER(MATCH(G1858,Products!$A$5:$A$24,0)),"OK","Mismatch")</f>
        <v>OK</v>
      </c>
      <c r="I1858" s="39" t="str">
        <f aca="false">IF(COUNTIF($A$5:A1858,A1858)&gt;1,"Duplicate","Unique")</f>
        <v>Unique</v>
      </c>
      <c r="J1858" s="39" t="str">
        <f aca="false">IF(I1858="Duplicate","Remove",IF(H1858="Mismatch","Exclude","Keep"))</f>
        <v>Keep</v>
      </c>
    </row>
    <row r="1859" customFormat="false" ht="15" hidden="false" customHeight="false" outlineLevel="0" collapsed="false">
      <c r="A1859" s="39" t="s">
        <v>1928</v>
      </c>
      <c r="B1859" s="40" t="n">
        <v>45908</v>
      </c>
      <c r="C1859" s="39" t="s">
        <v>104</v>
      </c>
      <c r="D1859" s="39" t="n">
        <v>3</v>
      </c>
      <c r="E1859" s="41" t="n">
        <v>15.99</v>
      </c>
      <c r="F1859" s="39" t="s">
        <v>105</v>
      </c>
      <c r="G1859" s="39" t="str">
        <f aca="false">UPPER(TRIM(C1859))</f>
        <v>P015</v>
      </c>
      <c r="H1859" s="39" t="str">
        <f aca="false">IF(ISNUMBER(MATCH(G1859,Products!$A$5:$A$24,0)),"OK","Mismatch")</f>
        <v>OK</v>
      </c>
      <c r="I1859" s="39" t="str">
        <f aca="false">IF(COUNTIF($A$5:A1859,A1859)&gt;1,"Duplicate","Unique")</f>
        <v>Unique</v>
      </c>
      <c r="J1859" s="39" t="str">
        <f aca="false">IF(I1859="Duplicate","Remove",IF(H1859="Mismatch","Exclude","Keep"))</f>
        <v>Keep</v>
      </c>
    </row>
    <row r="1860" customFormat="false" ht="15" hidden="false" customHeight="false" outlineLevel="0" collapsed="false">
      <c r="A1860" s="39" t="s">
        <v>1929</v>
      </c>
      <c r="B1860" s="40" t="n">
        <v>45908</v>
      </c>
      <c r="C1860" s="39" t="s">
        <v>104</v>
      </c>
      <c r="D1860" s="39" t="n">
        <v>5</v>
      </c>
      <c r="E1860" s="41" t="n">
        <v>14.83</v>
      </c>
      <c r="F1860" s="39" t="s">
        <v>115</v>
      </c>
      <c r="G1860" s="39" t="str">
        <f aca="false">UPPER(TRIM(C1860))</f>
        <v>P015</v>
      </c>
      <c r="H1860" s="39" t="str">
        <f aca="false">IF(ISNUMBER(MATCH(G1860,Products!$A$5:$A$24,0)),"OK","Mismatch")</f>
        <v>OK</v>
      </c>
      <c r="I1860" s="39" t="str">
        <f aca="false">IF(COUNTIF($A$5:A1860,A1860)&gt;1,"Duplicate","Unique")</f>
        <v>Unique</v>
      </c>
      <c r="J1860" s="39" t="str">
        <f aca="false">IF(I1860="Duplicate","Remove",IF(H1860="Mismatch","Exclude","Keep"))</f>
        <v>Keep</v>
      </c>
    </row>
    <row r="1861" customFormat="false" ht="15" hidden="false" customHeight="false" outlineLevel="0" collapsed="false">
      <c r="A1861" s="39" t="s">
        <v>1930</v>
      </c>
      <c r="B1861" s="40" t="n">
        <v>45908</v>
      </c>
      <c r="C1861" s="39" t="s">
        <v>183</v>
      </c>
      <c r="D1861" s="39" t="n">
        <v>1</v>
      </c>
      <c r="E1861" s="41" t="n">
        <v>184.03</v>
      </c>
      <c r="F1861" s="39" t="s">
        <v>115</v>
      </c>
      <c r="G1861" s="39" t="str">
        <f aca="false">UPPER(TRIM(C1861))</f>
        <v>P007</v>
      </c>
      <c r="H1861" s="39" t="str">
        <f aca="false">IF(ISNUMBER(MATCH(G1861,Products!$A$5:$A$24,0)),"OK","Mismatch")</f>
        <v>OK</v>
      </c>
      <c r="I1861" s="39" t="str">
        <f aca="false">IF(COUNTIF($A$5:A1861,A1861)&gt;1,"Duplicate","Unique")</f>
        <v>Unique</v>
      </c>
      <c r="J1861" s="39" t="str">
        <f aca="false">IF(I1861="Duplicate","Remove",IF(H1861="Mismatch","Exclude","Keep"))</f>
        <v>Keep</v>
      </c>
    </row>
    <row r="1862" customFormat="false" ht="15" hidden="false" customHeight="false" outlineLevel="0" collapsed="false">
      <c r="A1862" s="39" t="s">
        <v>1931</v>
      </c>
      <c r="B1862" s="40" t="n">
        <v>45908</v>
      </c>
      <c r="C1862" s="39" t="s">
        <v>162</v>
      </c>
      <c r="D1862" s="39" t="n">
        <v>3</v>
      </c>
      <c r="E1862" s="41" t="n">
        <v>68.98</v>
      </c>
      <c r="F1862" s="39" t="s">
        <v>108</v>
      </c>
      <c r="G1862" s="39" t="str">
        <f aca="false">UPPER(TRIM(C1862))</f>
        <v>P017</v>
      </c>
      <c r="H1862" s="39" t="str">
        <f aca="false">IF(ISNUMBER(MATCH(G1862,Products!$A$5:$A$24,0)),"OK","Mismatch")</f>
        <v>OK</v>
      </c>
      <c r="I1862" s="39" t="str">
        <f aca="false">IF(COUNTIF($A$5:A1862,A1862)&gt;1,"Duplicate","Unique")</f>
        <v>Unique</v>
      </c>
      <c r="J1862" s="39" t="str">
        <f aca="false">IF(I1862="Duplicate","Remove",IF(H1862="Mismatch","Exclude","Keep"))</f>
        <v>Keep</v>
      </c>
    </row>
    <row r="1863" customFormat="false" ht="15" hidden="false" customHeight="false" outlineLevel="0" collapsed="false">
      <c r="A1863" s="39" t="s">
        <v>1932</v>
      </c>
      <c r="B1863" s="40" t="n">
        <v>45908</v>
      </c>
      <c r="C1863" s="39" t="s">
        <v>126</v>
      </c>
      <c r="D1863" s="39" t="n">
        <v>1</v>
      </c>
      <c r="E1863" s="41" t="n">
        <v>24.38</v>
      </c>
      <c r="F1863" s="39" t="s">
        <v>108</v>
      </c>
      <c r="G1863" s="39" t="str">
        <f aca="false">UPPER(TRIM(C1863))</f>
        <v>P001</v>
      </c>
      <c r="H1863" s="39" t="str">
        <f aca="false">IF(ISNUMBER(MATCH(G1863,Products!$A$5:$A$24,0)),"OK","Mismatch")</f>
        <v>OK</v>
      </c>
      <c r="I1863" s="39" t="str">
        <f aca="false">IF(COUNTIF($A$5:A1863,A1863)&gt;1,"Duplicate","Unique")</f>
        <v>Unique</v>
      </c>
      <c r="J1863" s="39" t="str">
        <f aca="false">IF(I1863="Duplicate","Remove",IF(H1863="Mismatch","Exclude","Keep"))</f>
        <v>Keep</v>
      </c>
    </row>
    <row r="1864" customFormat="false" ht="15" hidden="false" customHeight="false" outlineLevel="0" collapsed="false">
      <c r="A1864" s="39" t="s">
        <v>1933</v>
      </c>
      <c r="B1864" s="40" t="n">
        <v>45908</v>
      </c>
      <c r="C1864" s="39" t="s">
        <v>144</v>
      </c>
      <c r="D1864" s="39" t="n">
        <v>2</v>
      </c>
      <c r="E1864" s="41" t="n">
        <v>57.2</v>
      </c>
      <c r="F1864" s="39" t="s">
        <v>115</v>
      </c>
      <c r="G1864" s="39" t="str">
        <f aca="false">UPPER(TRIM(C1864))</f>
        <v>P013</v>
      </c>
      <c r="H1864" s="39" t="str">
        <f aca="false">IF(ISNUMBER(MATCH(G1864,Products!$A$5:$A$24,0)),"OK","Mismatch")</f>
        <v>OK</v>
      </c>
      <c r="I1864" s="39" t="str">
        <f aca="false">IF(COUNTIF($A$5:A1864,A1864)&gt;1,"Duplicate","Unique")</f>
        <v>Unique</v>
      </c>
      <c r="J1864" s="39" t="str">
        <f aca="false">IF(I1864="Duplicate","Remove",IF(H1864="Mismatch","Exclude","Keep"))</f>
        <v>Keep</v>
      </c>
    </row>
    <row r="1865" customFormat="false" ht="15" hidden="false" customHeight="false" outlineLevel="0" collapsed="false">
      <c r="A1865" s="39" t="s">
        <v>1934</v>
      </c>
      <c r="B1865" s="40" t="n">
        <v>45908</v>
      </c>
      <c r="C1865" s="39" t="s">
        <v>104</v>
      </c>
      <c r="D1865" s="39" t="n">
        <v>6</v>
      </c>
      <c r="E1865" s="41" t="n">
        <v>15.52</v>
      </c>
      <c r="F1865" s="39" t="s">
        <v>118</v>
      </c>
      <c r="G1865" s="39" t="str">
        <f aca="false">UPPER(TRIM(C1865))</f>
        <v>P015</v>
      </c>
      <c r="H1865" s="39" t="str">
        <f aca="false">IF(ISNUMBER(MATCH(G1865,Products!$A$5:$A$24,0)),"OK","Mismatch")</f>
        <v>OK</v>
      </c>
      <c r="I1865" s="39" t="str">
        <f aca="false">IF(COUNTIF($A$5:A1865,A1865)&gt;1,"Duplicate","Unique")</f>
        <v>Unique</v>
      </c>
      <c r="J1865" s="39" t="str">
        <f aca="false">IF(I1865="Duplicate","Remove",IF(H1865="Mismatch","Exclude","Keep"))</f>
        <v>Keep</v>
      </c>
    </row>
    <row r="1866" customFormat="false" ht="15" hidden="false" customHeight="false" outlineLevel="0" collapsed="false">
      <c r="A1866" s="39" t="s">
        <v>1935</v>
      </c>
      <c r="B1866" s="40" t="n">
        <v>45909</v>
      </c>
      <c r="C1866" s="39" t="s">
        <v>162</v>
      </c>
      <c r="D1866" s="39" t="n">
        <v>2</v>
      </c>
      <c r="E1866" s="41" t="n">
        <v>67.77</v>
      </c>
      <c r="F1866" s="39" t="s">
        <v>105</v>
      </c>
      <c r="G1866" s="39" t="str">
        <f aca="false">UPPER(TRIM(C1866))</f>
        <v>P017</v>
      </c>
      <c r="H1866" s="39" t="str">
        <f aca="false">IF(ISNUMBER(MATCH(G1866,Products!$A$5:$A$24,0)),"OK","Mismatch")</f>
        <v>OK</v>
      </c>
      <c r="I1866" s="39" t="str">
        <f aca="false">IF(COUNTIF($A$5:A1866,A1866)&gt;1,"Duplicate","Unique")</f>
        <v>Unique</v>
      </c>
      <c r="J1866" s="39" t="str">
        <f aca="false">IF(I1866="Duplicate","Remove",IF(H1866="Mismatch","Exclude","Keep"))</f>
        <v>Keep</v>
      </c>
    </row>
    <row r="1867" customFormat="false" ht="15" hidden="false" customHeight="false" outlineLevel="0" collapsed="false">
      <c r="A1867" s="39" t="s">
        <v>1936</v>
      </c>
      <c r="B1867" s="40" t="n">
        <v>45909</v>
      </c>
      <c r="C1867" s="39" t="s">
        <v>110</v>
      </c>
      <c r="D1867" s="39" t="n">
        <v>8</v>
      </c>
      <c r="E1867" s="41" t="n">
        <v>13.78</v>
      </c>
      <c r="F1867" s="39" t="s">
        <v>108</v>
      </c>
      <c r="G1867" s="39" t="str">
        <f aca="false">UPPER(TRIM(C1867))</f>
        <v>P016</v>
      </c>
      <c r="H1867" s="39" t="str">
        <f aca="false">IF(ISNUMBER(MATCH(G1867,Products!$A$5:$A$24,0)),"OK","Mismatch")</f>
        <v>OK</v>
      </c>
      <c r="I1867" s="39" t="str">
        <f aca="false">IF(COUNTIF($A$5:A1867,A1867)&gt;1,"Duplicate","Unique")</f>
        <v>Unique</v>
      </c>
      <c r="J1867" s="39" t="str">
        <f aca="false">IF(I1867="Duplicate","Remove",IF(H1867="Mismatch","Exclude","Keep"))</f>
        <v>Keep</v>
      </c>
    </row>
    <row r="1868" customFormat="false" ht="15" hidden="false" customHeight="false" outlineLevel="0" collapsed="false">
      <c r="A1868" s="39" t="s">
        <v>1937</v>
      </c>
      <c r="B1868" s="40" t="n">
        <v>45909</v>
      </c>
      <c r="C1868" s="39" t="s">
        <v>136</v>
      </c>
      <c r="D1868" s="39" t="n">
        <v>1</v>
      </c>
      <c r="E1868" s="41" t="n">
        <v>76.11</v>
      </c>
      <c r="F1868" s="39" t="s">
        <v>115</v>
      </c>
      <c r="G1868" s="39" t="str">
        <f aca="false">UPPER(TRIM(C1868))</f>
        <v>P002</v>
      </c>
      <c r="H1868" s="39" t="str">
        <f aca="false">IF(ISNUMBER(MATCH(G1868,Products!$A$5:$A$24,0)),"OK","Mismatch")</f>
        <v>OK</v>
      </c>
      <c r="I1868" s="39" t="str">
        <f aca="false">IF(COUNTIF($A$5:A1868,A1868)&gt;1,"Duplicate","Unique")</f>
        <v>Unique</v>
      </c>
      <c r="J1868" s="39" t="str">
        <f aca="false">IF(I1868="Duplicate","Remove",IF(H1868="Mismatch","Exclude","Keep"))</f>
        <v>Keep</v>
      </c>
    </row>
    <row r="1869" customFormat="false" ht="15" hidden="false" customHeight="false" outlineLevel="0" collapsed="false">
      <c r="A1869" s="39" t="s">
        <v>3185</v>
      </c>
      <c r="B1869" s="40" t="n">
        <v>45909</v>
      </c>
      <c r="C1869" s="39" t="s">
        <v>3186</v>
      </c>
      <c r="D1869" s="39" t="n">
        <v>1</v>
      </c>
      <c r="E1869" s="41" t="n">
        <v>118.85</v>
      </c>
      <c r="F1869" s="39" t="s">
        <v>108</v>
      </c>
      <c r="G1869" s="39" t="str">
        <f aca="false">UPPER(TRIM(C1869))</f>
        <v>P908</v>
      </c>
      <c r="H1869" s="39" t="str">
        <f aca="false">IF(ISNUMBER(MATCH(G1869,Products!$A$5:$A$24,0)),"OK","Mismatch")</f>
        <v>Mismatch</v>
      </c>
      <c r="I1869" s="39" t="str">
        <f aca="false">IF(COUNTIF($A$5:A1869,A1869)&gt;1,"Duplicate","Unique")</f>
        <v>Unique</v>
      </c>
      <c r="J1869" s="39" t="str">
        <f aca="false">IF(I1869="Duplicate","Remove",IF(H1869="Mismatch","Exclude","Keep"))</f>
        <v>Exclude</v>
      </c>
    </row>
    <row r="1870" customFormat="false" ht="15" hidden="false" customHeight="false" outlineLevel="0" collapsed="false">
      <c r="A1870" s="39" t="s">
        <v>1938</v>
      </c>
      <c r="B1870" s="40" t="n">
        <v>45909</v>
      </c>
      <c r="C1870" s="39" t="s">
        <v>117</v>
      </c>
      <c r="D1870" s="39" t="n">
        <v>1</v>
      </c>
      <c r="E1870" s="41" t="n">
        <v>29.73</v>
      </c>
      <c r="F1870" s="39" t="s">
        <v>108</v>
      </c>
      <c r="G1870" s="39" t="str">
        <f aca="false">UPPER(TRIM(C1870))</f>
        <v>P009</v>
      </c>
      <c r="H1870" s="39" t="str">
        <f aca="false">IF(ISNUMBER(MATCH(G1870,Products!$A$5:$A$24,0)),"OK","Mismatch")</f>
        <v>OK</v>
      </c>
      <c r="I1870" s="39" t="str">
        <f aca="false">IF(COUNTIF($A$5:A1870,A1870)&gt;1,"Duplicate","Unique")</f>
        <v>Unique</v>
      </c>
      <c r="J1870" s="39" t="str">
        <f aca="false">IF(I1870="Duplicate","Remove",IF(H1870="Mismatch","Exclude","Keep"))</f>
        <v>Keep</v>
      </c>
    </row>
    <row r="1871" customFormat="false" ht="15" hidden="false" customHeight="false" outlineLevel="0" collapsed="false">
      <c r="A1871" s="39" t="s">
        <v>1939</v>
      </c>
      <c r="B1871" s="40" t="n">
        <v>45909</v>
      </c>
      <c r="C1871" s="39" t="s">
        <v>130</v>
      </c>
      <c r="D1871" s="39" t="n">
        <v>1</v>
      </c>
      <c r="E1871" s="41" t="n">
        <v>8.36</v>
      </c>
      <c r="F1871" s="39" t="s">
        <v>118</v>
      </c>
      <c r="G1871" s="39" t="str">
        <f aca="false">UPPER(TRIM(C1871))</f>
        <v>P011</v>
      </c>
      <c r="H1871" s="39" t="str">
        <f aca="false">IF(ISNUMBER(MATCH(G1871,Products!$A$5:$A$24,0)),"OK","Mismatch")</f>
        <v>OK</v>
      </c>
      <c r="I1871" s="39" t="str">
        <f aca="false">IF(COUNTIF($A$5:A1871,A1871)&gt;1,"Duplicate","Unique")</f>
        <v>Unique</v>
      </c>
      <c r="J1871" s="39" t="str">
        <f aca="false">IF(I1871="Duplicate","Remove",IF(H1871="Mismatch","Exclude","Keep"))</f>
        <v>Keep</v>
      </c>
    </row>
    <row r="1872" customFormat="false" ht="15" hidden="false" customHeight="false" outlineLevel="0" collapsed="false">
      <c r="A1872" s="39" t="s">
        <v>1940</v>
      </c>
      <c r="B1872" s="40" t="n">
        <v>45909</v>
      </c>
      <c r="C1872" s="39" t="s">
        <v>162</v>
      </c>
      <c r="D1872" s="39" t="n">
        <v>1</v>
      </c>
      <c r="E1872" s="41" t="n">
        <v>64.24</v>
      </c>
      <c r="F1872" s="39" t="s">
        <v>108</v>
      </c>
      <c r="G1872" s="39" t="str">
        <f aca="false">UPPER(TRIM(C1872))</f>
        <v>P017</v>
      </c>
      <c r="H1872" s="39" t="str">
        <f aca="false">IF(ISNUMBER(MATCH(G1872,Products!$A$5:$A$24,0)),"OK","Mismatch")</f>
        <v>OK</v>
      </c>
      <c r="I1872" s="39" t="str">
        <f aca="false">IF(COUNTIF($A$5:A1872,A1872)&gt;1,"Duplicate","Unique")</f>
        <v>Unique</v>
      </c>
      <c r="J1872" s="39" t="str">
        <f aca="false">IF(I1872="Duplicate","Remove",IF(H1872="Mismatch","Exclude","Keep"))</f>
        <v>Keep</v>
      </c>
    </row>
    <row r="1873" customFormat="false" ht="15" hidden="false" customHeight="false" outlineLevel="0" collapsed="false">
      <c r="A1873" s="39" t="s">
        <v>1941</v>
      </c>
      <c r="B1873" s="40" t="n">
        <v>45909</v>
      </c>
      <c r="C1873" s="39" t="s">
        <v>183</v>
      </c>
      <c r="D1873" s="39" t="n">
        <v>4</v>
      </c>
      <c r="E1873" s="41" t="n">
        <v>188.06</v>
      </c>
      <c r="F1873" s="39" t="s">
        <v>108</v>
      </c>
      <c r="G1873" s="39" t="str">
        <f aca="false">UPPER(TRIM(C1873))</f>
        <v>P007</v>
      </c>
      <c r="H1873" s="39" t="str">
        <f aca="false">IF(ISNUMBER(MATCH(G1873,Products!$A$5:$A$24,0)),"OK","Mismatch")</f>
        <v>OK</v>
      </c>
      <c r="I1873" s="39" t="str">
        <f aca="false">IF(COUNTIF($A$5:A1873,A1873)&gt;1,"Duplicate","Unique")</f>
        <v>Unique</v>
      </c>
      <c r="J1873" s="39" t="str">
        <f aca="false">IF(I1873="Duplicate","Remove",IF(H1873="Mismatch","Exclude","Keep"))</f>
        <v>Keep</v>
      </c>
    </row>
    <row r="1874" customFormat="false" ht="15" hidden="false" customHeight="false" outlineLevel="0" collapsed="false">
      <c r="A1874" s="39" t="s">
        <v>1942</v>
      </c>
      <c r="B1874" s="40" t="n">
        <v>45909</v>
      </c>
      <c r="C1874" s="39" t="s">
        <v>133</v>
      </c>
      <c r="D1874" s="39" t="n">
        <v>2</v>
      </c>
      <c r="E1874" s="41" t="n">
        <v>8.89</v>
      </c>
      <c r="F1874" s="39" t="s">
        <v>108</v>
      </c>
      <c r="G1874" s="39" t="str">
        <f aca="false">UPPER(TRIM(C1874))</f>
        <v>P019</v>
      </c>
      <c r="H1874" s="39" t="str">
        <f aca="false">IF(ISNUMBER(MATCH(G1874,Products!$A$5:$A$24,0)),"OK","Mismatch")</f>
        <v>OK</v>
      </c>
      <c r="I1874" s="39" t="str">
        <f aca="false">IF(COUNTIF($A$5:A1874,A1874)&gt;1,"Duplicate","Unique")</f>
        <v>Unique</v>
      </c>
      <c r="J1874" s="39" t="str">
        <f aca="false">IF(I1874="Duplicate","Remove",IF(H1874="Mismatch","Exclude","Keep"))</f>
        <v>Keep</v>
      </c>
    </row>
    <row r="1875" customFormat="false" ht="15" hidden="false" customHeight="false" outlineLevel="0" collapsed="false">
      <c r="A1875" s="39" t="s">
        <v>1943</v>
      </c>
      <c r="B1875" s="40" t="n">
        <v>45909</v>
      </c>
      <c r="C1875" s="39" t="s">
        <v>110</v>
      </c>
      <c r="D1875" s="39" t="n">
        <v>5</v>
      </c>
      <c r="E1875" s="41" t="n">
        <v>13.53</v>
      </c>
      <c r="F1875" s="39" t="s">
        <v>108</v>
      </c>
      <c r="G1875" s="39" t="str">
        <f aca="false">UPPER(TRIM(C1875))</f>
        <v>P016</v>
      </c>
      <c r="H1875" s="39" t="str">
        <f aca="false">IF(ISNUMBER(MATCH(G1875,Products!$A$5:$A$24,0)),"OK","Mismatch")</f>
        <v>OK</v>
      </c>
      <c r="I1875" s="39" t="str">
        <f aca="false">IF(COUNTIF($A$5:A1875,A1875)&gt;1,"Duplicate","Unique")</f>
        <v>Unique</v>
      </c>
      <c r="J1875" s="39" t="str">
        <f aca="false">IF(I1875="Duplicate","Remove",IF(H1875="Mismatch","Exclude","Keep"))</f>
        <v>Keep</v>
      </c>
    </row>
    <row r="1876" customFormat="false" ht="15" hidden="false" customHeight="false" outlineLevel="0" collapsed="false">
      <c r="A1876" s="39" t="s">
        <v>1944</v>
      </c>
      <c r="B1876" s="40" t="n">
        <v>45910</v>
      </c>
      <c r="C1876" s="39" t="s">
        <v>107</v>
      </c>
      <c r="D1876" s="39" t="n">
        <v>1</v>
      </c>
      <c r="E1876" s="41" t="n">
        <v>34.83</v>
      </c>
      <c r="F1876" s="39" t="s">
        <v>108</v>
      </c>
      <c r="G1876" s="39" t="str">
        <f aca="false">UPPER(TRIM(C1876))</f>
        <v>P003</v>
      </c>
      <c r="H1876" s="39" t="str">
        <f aca="false">IF(ISNUMBER(MATCH(G1876,Products!$A$5:$A$24,0)),"OK","Mismatch")</f>
        <v>OK</v>
      </c>
      <c r="I1876" s="39" t="str">
        <f aca="false">IF(COUNTIF($A$5:A1876,A1876)&gt;1,"Duplicate","Unique")</f>
        <v>Unique</v>
      </c>
      <c r="J1876" s="39" t="str">
        <f aca="false">IF(I1876="Duplicate","Remove",IF(H1876="Mismatch","Exclude","Keep"))</f>
        <v>Keep</v>
      </c>
    </row>
    <row r="1877" customFormat="false" ht="15" hidden="false" customHeight="false" outlineLevel="0" collapsed="false">
      <c r="A1877" s="39" t="s">
        <v>1945</v>
      </c>
      <c r="B1877" s="40" t="n">
        <v>45910</v>
      </c>
      <c r="C1877" s="39" t="s">
        <v>110</v>
      </c>
      <c r="D1877" s="39" t="n">
        <v>1</v>
      </c>
      <c r="E1877" s="41" t="n">
        <v>13.77</v>
      </c>
      <c r="F1877" s="39" t="s">
        <v>108</v>
      </c>
      <c r="G1877" s="39" t="str">
        <f aca="false">UPPER(TRIM(C1877))</f>
        <v>P016</v>
      </c>
      <c r="H1877" s="39" t="str">
        <f aca="false">IF(ISNUMBER(MATCH(G1877,Products!$A$5:$A$24,0)),"OK","Mismatch")</f>
        <v>OK</v>
      </c>
      <c r="I1877" s="39" t="str">
        <f aca="false">IF(COUNTIF($A$5:A1877,A1877)&gt;1,"Duplicate","Unique")</f>
        <v>Unique</v>
      </c>
      <c r="J1877" s="39" t="str">
        <f aca="false">IF(I1877="Duplicate","Remove",IF(H1877="Mismatch","Exclude","Keep"))</f>
        <v>Keep</v>
      </c>
    </row>
    <row r="1878" customFormat="false" ht="15" hidden="false" customHeight="false" outlineLevel="0" collapsed="false">
      <c r="A1878" s="39" t="s">
        <v>1946</v>
      </c>
      <c r="B1878" s="40" t="n">
        <v>45910</v>
      </c>
      <c r="C1878" s="39" t="s">
        <v>112</v>
      </c>
      <c r="D1878" s="39" t="n">
        <v>4</v>
      </c>
      <c r="E1878" s="41" t="n">
        <v>54.04</v>
      </c>
      <c r="F1878" s="39" t="s">
        <v>115</v>
      </c>
      <c r="G1878" s="39" t="str">
        <f aca="false">UPPER(TRIM(C1878))</f>
        <v>P005</v>
      </c>
      <c r="H1878" s="39" t="str">
        <f aca="false">IF(ISNUMBER(MATCH(G1878,Products!$A$5:$A$24,0)),"OK","Mismatch")</f>
        <v>OK</v>
      </c>
      <c r="I1878" s="39" t="str">
        <f aca="false">IF(COUNTIF($A$5:A1878,A1878)&gt;1,"Duplicate","Unique")</f>
        <v>Unique</v>
      </c>
      <c r="J1878" s="39" t="str">
        <f aca="false">IF(I1878="Duplicate","Remove",IF(H1878="Mismatch","Exclude","Keep"))</f>
        <v>Keep</v>
      </c>
    </row>
    <row r="1879" customFormat="false" ht="15" hidden="false" customHeight="false" outlineLevel="0" collapsed="false">
      <c r="A1879" s="39" t="s">
        <v>1947</v>
      </c>
      <c r="B1879" s="40" t="n">
        <v>45910</v>
      </c>
      <c r="C1879" s="39" t="s">
        <v>126</v>
      </c>
      <c r="D1879" s="39" t="n">
        <v>5</v>
      </c>
      <c r="E1879" s="41" t="n">
        <v>24.6</v>
      </c>
      <c r="F1879" s="39" t="s">
        <v>115</v>
      </c>
      <c r="G1879" s="39" t="str">
        <f aca="false">UPPER(TRIM(C1879))</f>
        <v>P001</v>
      </c>
      <c r="H1879" s="39" t="str">
        <f aca="false">IF(ISNUMBER(MATCH(G1879,Products!$A$5:$A$24,0)),"OK","Mismatch")</f>
        <v>OK</v>
      </c>
      <c r="I1879" s="39" t="str">
        <f aca="false">IF(COUNTIF($A$5:A1879,A1879)&gt;1,"Duplicate","Unique")</f>
        <v>Unique</v>
      </c>
      <c r="J1879" s="39" t="str">
        <f aca="false">IF(I1879="Duplicate","Remove",IF(H1879="Mismatch","Exclude","Keep"))</f>
        <v>Keep</v>
      </c>
    </row>
    <row r="1880" customFormat="false" ht="15" hidden="false" customHeight="false" outlineLevel="0" collapsed="false">
      <c r="A1880" s="39" t="s">
        <v>1948</v>
      </c>
      <c r="B1880" s="40" t="n">
        <v>45910</v>
      </c>
      <c r="C1880" s="39" t="s">
        <v>130</v>
      </c>
      <c r="D1880" s="39" t="n">
        <v>4</v>
      </c>
      <c r="E1880" s="41" t="n">
        <v>8.39</v>
      </c>
      <c r="F1880" s="39" t="s">
        <v>118</v>
      </c>
      <c r="G1880" s="39" t="str">
        <f aca="false">UPPER(TRIM(C1880))</f>
        <v>P011</v>
      </c>
      <c r="H1880" s="39" t="str">
        <f aca="false">IF(ISNUMBER(MATCH(G1880,Products!$A$5:$A$24,0)),"OK","Mismatch")</f>
        <v>OK</v>
      </c>
      <c r="I1880" s="39" t="str">
        <f aca="false">IF(COUNTIF($A$5:A1880,A1880)&gt;1,"Duplicate","Unique")</f>
        <v>Unique</v>
      </c>
      <c r="J1880" s="39" t="str">
        <f aca="false">IF(I1880="Duplicate","Remove",IF(H1880="Mismatch","Exclude","Keep"))</f>
        <v>Keep</v>
      </c>
    </row>
    <row r="1881" customFormat="false" ht="15" hidden="false" customHeight="false" outlineLevel="0" collapsed="false">
      <c r="A1881" s="39" t="s">
        <v>1949</v>
      </c>
      <c r="B1881" s="40" t="n">
        <v>45910</v>
      </c>
      <c r="C1881" s="39" t="s">
        <v>114</v>
      </c>
      <c r="D1881" s="39" t="n">
        <v>5</v>
      </c>
      <c r="E1881" s="41" t="n">
        <v>5.85</v>
      </c>
      <c r="F1881" s="39" t="s">
        <v>105</v>
      </c>
      <c r="G1881" s="39" t="str">
        <f aca="false">UPPER(TRIM(C1881))</f>
        <v>P012</v>
      </c>
      <c r="H1881" s="39" t="str">
        <f aca="false">IF(ISNUMBER(MATCH(G1881,Products!$A$5:$A$24,0)),"OK","Mismatch")</f>
        <v>OK</v>
      </c>
      <c r="I1881" s="39" t="str">
        <f aca="false">IF(COUNTIF($A$5:A1881,A1881)&gt;1,"Duplicate","Unique")</f>
        <v>Unique</v>
      </c>
      <c r="J1881" s="39" t="str">
        <f aca="false">IF(I1881="Duplicate","Remove",IF(H1881="Mismatch","Exclude","Keep"))</f>
        <v>Keep</v>
      </c>
    </row>
    <row r="1882" customFormat="false" ht="15" hidden="false" customHeight="false" outlineLevel="0" collapsed="false">
      <c r="A1882" s="39" t="s">
        <v>1950</v>
      </c>
      <c r="B1882" s="40" t="n">
        <v>45910</v>
      </c>
      <c r="C1882" s="39" t="s">
        <v>126</v>
      </c>
      <c r="D1882" s="39" t="n">
        <v>6</v>
      </c>
      <c r="E1882" s="41" t="n">
        <v>23.94</v>
      </c>
      <c r="F1882" s="39" t="s">
        <v>108</v>
      </c>
      <c r="G1882" s="39" t="str">
        <f aca="false">UPPER(TRIM(C1882))</f>
        <v>P001</v>
      </c>
      <c r="H1882" s="39" t="str">
        <f aca="false">IF(ISNUMBER(MATCH(G1882,Products!$A$5:$A$24,0)),"OK","Mismatch")</f>
        <v>OK</v>
      </c>
      <c r="I1882" s="39" t="str">
        <f aca="false">IF(COUNTIF($A$5:A1882,A1882)&gt;1,"Duplicate","Unique")</f>
        <v>Unique</v>
      </c>
      <c r="J1882" s="39" t="str">
        <f aca="false">IF(I1882="Duplicate","Remove",IF(H1882="Mismatch","Exclude","Keep"))</f>
        <v>Keep</v>
      </c>
    </row>
    <row r="1883" customFormat="false" ht="15" hidden="false" customHeight="false" outlineLevel="0" collapsed="false">
      <c r="A1883" s="39" t="s">
        <v>1951</v>
      </c>
      <c r="B1883" s="40" t="n">
        <v>45910</v>
      </c>
      <c r="C1883" s="39" t="s">
        <v>110</v>
      </c>
      <c r="D1883" s="39" t="n">
        <v>2</v>
      </c>
      <c r="E1883" s="41" t="n">
        <v>12.96</v>
      </c>
      <c r="F1883" s="39" t="s">
        <v>118</v>
      </c>
      <c r="G1883" s="39" t="str">
        <f aca="false">UPPER(TRIM(C1883))</f>
        <v>P016</v>
      </c>
      <c r="H1883" s="39" t="str">
        <f aca="false">IF(ISNUMBER(MATCH(G1883,Products!$A$5:$A$24,0)),"OK","Mismatch")</f>
        <v>OK</v>
      </c>
      <c r="I1883" s="39" t="str">
        <f aca="false">IF(COUNTIF($A$5:A1883,A1883)&gt;1,"Duplicate","Unique")</f>
        <v>Unique</v>
      </c>
      <c r="J1883" s="39" t="str">
        <f aca="false">IF(I1883="Duplicate","Remove",IF(H1883="Mismatch","Exclude","Keep"))</f>
        <v>Keep</v>
      </c>
    </row>
    <row r="1884" customFormat="false" ht="15" hidden="false" customHeight="false" outlineLevel="0" collapsed="false">
      <c r="A1884" s="39" t="s">
        <v>1952</v>
      </c>
      <c r="B1884" s="40" t="n">
        <v>45910</v>
      </c>
      <c r="C1884" s="39" t="s">
        <v>183</v>
      </c>
      <c r="D1884" s="39" t="n">
        <v>2</v>
      </c>
      <c r="E1884" s="41" t="n">
        <v>184.04</v>
      </c>
      <c r="F1884" s="39" t="s">
        <v>108</v>
      </c>
      <c r="G1884" s="39" t="str">
        <f aca="false">UPPER(TRIM(C1884))</f>
        <v>P007</v>
      </c>
      <c r="H1884" s="39" t="str">
        <f aca="false">IF(ISNUMBER(MATCH(G1884,Products!$A$5:$A$24,0)),"OK","Mismatch")</f>
        <v>OK</v>
      </c>
      <c r="I1884" s="39" t="str">
        <f aca="false">IF(COUNTIF($A$5:A1884,A1884)&gt;1,"Duplicate","Unique")</f>
        <v>Unique</v>
      </c>
      <c r="J1884" s="39" t="str">
        <f aca="false">IF(I1884="Duplicate","Remove",IF(H1884="Mismatch","Exclude","Keep"))</f>
        <v>Keep</v>
      </c>
    </row>
    <row r="1885" customFormat="false" ht="15" hidden="false" customHeight="false" outlineLevel="0" collapsed="false">
      <c r="A1885" s="39" t="s">
        <v>1953</v>
      </c>
      <c r="B1885" s="40" t="n">
        <v>45910</v>
      </c>
      <c r="C1885" s="39" t="s">
        <v>153</v>
      </c>
      <c r="D1885" s="39" t="n">
        <v>6</v>
      </c>
      <c r="E1885" s="41" t="n">
        <v>166.87</v>
      </c>
      <c r="F1885" s="39" t="s">
        <v>108</v>
      </c>
      <c r="G1885" s="39" t="str">
        <f aca="false">UPPER(TRIM(C1885))</f>
        <v>P010</v>
      </c>
      <c r="H1885" s="39" t="str">
        <f aca="false">IF(ISNUMBER(MATCH(G1885,Products!$A$5:$A$24,0)),"OK","Mismatch")</f>
        <v>OK</v>
      </c>
      <c r="I1885" s="39" t="str">
        <f aca="false">IF(COUNTIF($A$5:A1885,A1885)&gt;1,"Duplicate","Unique")</f>
        <v>Unique</v>
      </c>
      <c r="J1885" s="39" t="str">
        <f aca="false">IF(I1885="Duplicate","Remove",IF(H1885="Mismatch","Exclude","Keep"))</f>
        <v>Keep</v>
      </c>
    </row>
    <row r="1886" customFormat="false" ht="15" hidden="false" customHeight="false" outlineLevel="0" collapsed="false">
      <c r="A1886" s="39" t="s">
        <v>1954</v>
      </c>
      <c r="B1886" s="40" t="n">
        <v>45911</v>
      </c>
      <c r="C1886" s="39" t="s">
        <v>169</v>
      </c>
      <c r="D1886" s="39" t="n">
        <v>2</v>
      </c>
      <c r="E1886" s="41" t="n">
        <v>27.19</v>
      </c>
      <c r="F1886" s="39" t="s">
        <v>115</v>
      </c>
      <c r="G1886" s="39" t="str">
        <f aca="false">UPPER(TRIM(C1886))</f>
        <v>P004</v>
      </c>
      <c r="H1886" s="39" t="str">
        <f aca="false">IF(ISNUMBER(MATCH(G1886,Products!$A$5:$A$24,0)),"OK","Mismatch")</f>
        <v>OK</v>
      </c>
      <c r="I1886" s="39" t="str">
        <f aca="false">IF(COUNTIF($A$5:A1886,A1886)&gt;1,"Duplicate","Unique")</f>
        <v>Unique</v>
      </c>
      <c r="J1886" s="39" t="str">
        <f aca="false">IF(I1886="Duplicate","Remove",IF(H1886="Mismatch","Exclude","Keep"))</f>
        <v>Keep</v>
      </c>
    </row>
    <row r="1887" customFormat="false" ht="15" hidden="false" customHeight="false" outlineLevel="0" collapsed="false">
      <c r="A1887" s="39" t="s">
        <v>1955</v>
      </c>
      <c r="B1887" s="40" t="n">
        <v>45911</v>
      </c>
      <c r="C1887" s="39" t="s">
        <v>117</v>
      </c>
      <c r="D1887" s="39" t="n">
        <v>6</v>
      </c>
      <c r="E1887" s="41" t="n">
        <v>30.02</v>
      </c>
      <c r="F1887" s="39" t="s">
        <v>118</v>
      </c>
      <c r="G1887" s="39" t="str">
        <f aca="false">UPPER(TRIM(C1887))</f>
        <v>P009</v>
      </c>
      <c r="H1887" s="39" t="str">
        <f aca="false">IF(ISNUMBER(MATCH(G1887,Products!$A$5:$A$24,0)),"OK","Mismatch")</f>
        <v>OK</v>
      </c>
      <c r="I1887" s="39" t="str">
        <f aca="false">IF(COUNTIF($A$5:A1887,A1887)&gt;1,"Duplicate","Unique")</f>
        <v>Unique</v>
      </c>
      <c r="J1887" s="39" t="str">
        <f aca="false">IF(I1887="Duplicate","Remove",IF(H1887="Mismatch","Exclude","Keep"))</f>
        <v>Keep</v>
      </c>
    </row>
    <row r="1888" customFormat="false" ht="15" hidden="false" customHeight="false" outlineLevel="0" collapsed="false">
      <c r="A1888" s="39" t="s">
        <v>1956</v>
      </c>
      <c r="B1888" s="40" t="n">
        <v>45911</v>
      </c>
      <c r="C1888" s="39" t="s">
        <v>130</v>
      </c>
      <c r="D1888" s="39" t="n">
        <v>3</v>
      </c>
      <c r="E1888" s="41" t="n">
        <v>8.6</v>
      </c>
      <c r="F1888" s="39" t="s">
        <v>105</v>
      </c>
      <c r="G1888" s="39" t="str">
        <f aca="false">UPPER(TRIM(C1888))</f>
        <v>P011</v>
      </c>
      <c r="H1888" s="39" t="str">
        <f aca="false">IF(ISNUMBER(MATCH(G1888,Products!$A$5:$A$24,0)),"OK","Mismatch")</f>
        <v>OK</v>
      </c>
      <c r="I1888" s="39" t="str">
        <f aca="false">IF(COUNTIF($A$5:A1888,A1888)&gt;1,"Duplicate","Unique")</f>
        <v>Unique</v>
      </c>
      <c r="J1888" s="39" t="str">
        <f aca="false">IF(I1888="Duplicate","Remove",IF(H1888="Mismatch","Exclude","Keep"))</f>
        <v>Keep</v>
      </c>
    </row>
    <row r="1889" customFormat="false" ht="15" hidden="false" customHeight="false" outlineLevel="0" collapsed="false">
      <c r="A1889" s="39" t="s">
        <v>1957</v>
      </c>
      <c r="B1889" s="40" t="n">
        <v>45911</v>
      </c>
      <c r="C1889" s="39" t="s">
        <v>107</v>
      </c>
      <c r="D1889" s="39" t="n">
        <v>1</v>
      </c>
      <c r="E1889" s="41" t="n">
        <v>33.15</v>
      </c>
      <c r="F1889" s="39" t="s">
        <v>115</v>
      </c>
      <c r="G1889" s="39" t="str">
        <f aca="false">UPPER(TRIM(C1889))</f>
        <v>P003</v>
      </c>
      <c r="H1889" s="39" t="str">
        <f aca="false">IF(ISNUMBER(MATCH(G1889,Products!$A$5:$A$24,0)),"OK","Mismatch")</f>
        <v>OK</v>
      </c>
      <c r="I1889" s="39" t="str">
        <f aca="false">IF(COUNTIF($A$5:A1889,A1889)&gt;1,"Duplicate","Unique")</f>
        <v>Unique</v>
      </c>
      <c r="J1889" s="39" t="str">
        <f aca="false">IF(I1889="Duplicate","Remove",IF(H1889="Mismatch","Exclude","Keep"))</f>
        <v>Keep</v>
      </c>
    </row>
    <row r="1890" customFormat="false" ht="15" hidden="false" customHeight="false" outlineLevel="0" collapsed="false">
      <c r="A1890" s="39" t="s">
        <v>1958</v>
      </c>
      <c r="B1890" s="40" t="n">
        <v>45911</v>
      </c>
      <c r="C1890" s="39" t="s">
        <v>130</v>
      </c>
      <c r="D1890" s="39" t="n">
        <v>1</v>
      </c>
      <c r="E1890" s="41" t="n">
        <v>8.36</v>
      </c>
      <c r="F1890" s="39" t="s">
        <v>115</v>
      </c>
      <c r="G1890" s="39" t="str">
        <f aca="false">UPPER(TRIM(C1890))</f>
        <v>P011</v>
      </c>
      <c r="H1890" s="39" t="str">
        <f aca="false">IF(ISNUMBER(MATCH(G1890,Products!$A$5:$A$24,0)),"OK","Mismatch")</f>
        <v>OK</v>
      </c>
      <c r="I1890" s="39" t="str">
        <f aca="false">IF(COUNTIF($A$5:A1890,A1890)&gt;1,"Duplicate","Unique")</f>
        <v>Unique</v>
      </c>
      <c r="J1890" s="39" t="str">
        <f aca="false">IF(I1890="Duplicate","Remove",IF(H1890="Mismatch","Exclude","Keep"))</f>
        <v>Keep</v>
      </c>
    </row>
    <row r="1891" customFormat="false" ht="15" hidden="false" customHeight="false" outlineLevel="0" collapsed="false">
      <c r="A1891" s="39" t="s">
        <v>1959</v>
      </c>
      <c r="B1891" s="40" t="n">
        <v>45911</v>
      </c>
      <c r="C1891" s="39" t="s">
        <v>104</v>
      </c>
      <c r="D1891" s="39" t="n">
        <v>1</v>
      </c>
      <c r="E1891" s="41" t="n">
        <v>15.02</v>
      </c>
      <c r="F1891" s="39" t="s">
        <v>108</v>
      </c>
      <c r="G1891" s="39" t="str">
        <f aca="false">UPPER(TRIM(C1891))</f>
        <v>P015</v>
      </c>
      <c r="H1891" s="39" t="str">
        <f aca="false">IF(ISNUMBER(MATCH(G1891,Products!$A$5:$A$24,0)),"OK","Mismatch")</f>
        <v>OK</v>
      </c>
      <c r="I1891" s="39" t="str">
        <f aca="false">IF(COUNTIF($A$5:A1891,A1891)&gt;1,"Duplicate","Unique")</f>
        <v>Unique</v>
      </c>
      <c r="J1891" s="39" t="str">
        <f aca="false">IF(I1891="Duplicate","Remove",IF(H1891="Mismatch","Exclude","Keep"))</f>
        <v>Keep</v>
      </c>
    </row>
    <row r="1892" customFormat="false" ht="15" hidden="false" customHeight="false" outlineLevel="0" collapsed="false">
      <c r="A1892" s="39" t="s">
        <v>1960</v>
      </c>
      <c r="B1892" s="40" t="n">
        <v>45911</v>
      </c>
      <c r="C1892" s="39" t="s">
        <v>169</v>
      </c>
      <c r="D1892" s="39" t="n">
        <v>4</v>
      </c>
      <c r="E1892" s="41" t="n">
        <v>28.02</v>
      </c>
      <c r="F1892" s="39" t="s">
        <v>105</v>
      </c>
      <c r="G1892" s="39" t="str">
        <f aca="false">UPPER(TRIM(C1892))</f>
        <v>P004</v>
      </c>
      <c r="H1892" s="39" t="str">
        <f aca="false">IF(ISNUMBER(MATCH(G1892,Products!$A$5:$A$24,0)),"OK","Mismatch")</f>
        <v>OK</v>
      </c>
      <c r="I1892" s="39" t="str">
        <f aca="false">IF(COUNTIF($A$5:A1892,A1892)&gt;1,"Duplicate","Unique")</f>
        <v>Unique</v>
      </c>
      <c r="J1892" s="39" t="str">
        <f aca="false">IF(I1892="Duplicate","Remove",IF(H1892="Mismatch","Exclude","Keep"))</f>
        <v>Keep</v>
      </c>
    </row>
    <row r="1893" customFormat="false" ht="15" hidden="false" customHeight="false" outlineLevel="0" collapsed="false">
      <c r="A1893" s="39" t="s">
        <v>1961</v>
      </c>
      <c r="B1893" s="40" t="n">
        <v>45911</v>
      </c>
      <c r="C1893" s="39" t="s">
        <v>183</v>
      </c>
      <c r="D1893" s="39" t="n">
        <v>1</v>
      </c>
      <c r="E1893" s="41" t="n">
        <v>174.62</v>
      </c>
      <c r="F1893" s="39" t="s">
        <v>105</v>
      </c>
      <c r="G1893" s="39" t="str">
        <f aca="false">UPPER(TRIM(C1893))</f>
        <v>P007</v>
      </c>
      <c r="H1893" s="39" t="str">
        <f aca="false">IF(ISNUMBER(MATCH(G1893,Products!$A$5:$A$24,0)),"OK","Mismatch")</f>
        <v>OK</v>
      </c>
      <c r="I1893" s="39" t="str">
        <f aca="false">IF(COUNTIF($A$5:A1893,A1893)&gt;1,"Duplicate","Unique")</f>
        <v>Unique</v>
      </c>
      <c r="J1893" s="39" t="str">
        <f aca="false">IF(I1893="Duplicate","Remove",IF(H1893="Mismatch","Exclude","Keep"))</f>
        <v>Keep</v>
      </c>
    </row>
    <row r="1894" customFormat="false" ht="15" hidden="false" customHeight="false" outlineLevel="0" collapsed="false">
      <c r="A1894" s="39" t="s">
        <v>1962</v>
      </c>
      <c r="B1894" s="40" t="n">
        <v>45911</v>
      </c>
      <c r="C1894" s="39" t="s">
        <v>126</v>
      </c>
      <c r="D1894" s="39" t="n">
        <v>6</v>
      </c>
      <c r="E1894" s="41" t="n">
        <v>24.25</v>
      </c>
      <c r="F1894" s="39" t="s">
        <v>105</v>
      </c>
      <c r="G1894" s="39" t="str">
        <f aca="false">UPPER(TRIM(C1894))</f>
        <v>P001</v>
      </c>
      <c r="H1894" s="39" t="str">
        <f aca="false">IF(ISNUMBER(MATCH(G1894,Products!$A$5:$A$24,0)),"OK","Mismatch")</f>
        <v>OK</v>
      </c>
      <c r="I1894" s="39" t="str">
        <f aca="false">IF(COUNTIF($A$5:A1894,A1894)&gt;1,"Duplicate","Unique")</f>
        <v>Unique</v>
      </c>
      <c r="J1894" s="39" t="str">
        <f aca="false">IF(I1894="Duplicate","Remove",IF(H1894="Mismatch","Exclude","Keep"))</f>
        <v>Keep</v>
      </c>
    </row>
    <row r="1895" customFormat="false" ht="15" hidden="false" customHeight="false" outlineLevel="0" collapsed="false">
      <c r="A1895" s="39" t="s">
        <v>1963</v>
      </c>
      <c r="B1895" s="40" t="n">
        <v>45911</v>
      </c>
      <c r="C1895" s="39" t="s">
        <v>104</v>
      </c>
      <c r="D1895" s="39" t="n">
        <v>3</v>
      </c>
      <c r="E1895" s="41" t="n">
        <v>14.75</v>
      </c>
      <c r="F1895" s="39" t="s">
        <v>108</v>
      </c>
      <c r="G1895" s="39" t="str">
        <f aca="false">UPPER(TRIM(C1895))</f>
        <v>P015</v>
      </c>
      <c r="H1895" s="39" t="str">
        <f aca="false">IF(ISNUMBER(MATCH(G1895,Products!$A$5:$A$24,0)),"OK","Mismatch")</f>
        <v>OK</v>
      </c>
      <c r="I1895" s="39" t="str">
        <f aca="false">IF(COUNTIF($A$5:A1895,A1895)&gt;1,"Duplicate","Unique")</f>
        <v>Unique</v>
      </c>
      <c r="J1895" s="39" t="str">
        <f aca="false">IF(I1895="Duplicate","Remove",IF(H1895="Mismatch","Exclude","Keep"))</f>
        <v>Keep</v>
      </c>
    </row>
    <row r="1896" customFormat="false" ht="15" hidden="false" customHeight="false" outlineLevel="0" collapsed="false">
      <c r="A1896" s="39" t="s">
        <v>1964</v>
      </c>
      <c r="B1896" s="40" t="n">
        <v>45911</v>
      </c>
      <c r="C1896" s="39" t="s">
        <v>110</v>
      </c>
      <c r="D1896" s="39" t="n">
        <v>3</v>
      </c>
      <c r="E1896" s="41" t="n">
        <v>13.95</v>
      </c>
      <c r="F1896" s="39" t="s">
        <v>105</v>
      </c>
      <c r="G1896" s="39" t="str">
        <f aca="false">UPPER(TRIM(C1896))</f>
        <v>P016</v>
      </c>
      <c r="H1896" s="39" t="str">
        <f aca="false">IF(ISNUMBER(MATCH(G1896,Products!$A$5:$A$24,0)),"OK","Mismatch")</f>
        <v>OK</v>
      </c>
      <c r="I1896" s="39" t="str">
        <f aca="false">IF(COUNTIF($A$5:A1896,A1896)&gt;1,"Duplicate","Unique")</f>
        <v>Unique</v>
      </c>
      <c r="J1896" s="39" t="str">
        <f aca="false">IF(I1896="Duplicate","Remove",IF(H1896="Mismatch","Exclude","Keep"))</f>
        <v>Keep</v>
      </c>
    </row>
    <row r="1897" customFormat="false" ht="15" hidden="false" customHeight="false" outlineLevel="0" collapsed="false">
      <c r="A1897" s="39" t="s">
        <v>1965</v>
      </c>
      <c r="B1897" s="40" t="n">
        <v>45911</v>
      </c>
      <c r="C1897" s="39" t="s">
        <v>128</v>
      </c>
      <c r="D1897" s="39" t="n">
        <v>2</v>
      </c>
      <c r="E1897" s="41" t="n">
        <v>36.25</v>
      </c>
      <c r="F1897" s="39" t="s">
        <v>118</v>
      </c>
      <c r="G1897" s="39" t="str">
        <f aca="false">UPPER(TRIM(C1897))</f>
        <v>P020</v>
      </c>
      <c r="H1897" s="39" t="str">
        <f aca="false">IF(ISNUMBER(MATCH(G1897,Products!$A$5:$A$24,0)),"OK","Mismatch")</f>
        <v>OK</v>
      </c>
      <c r="I1897" s="39" t="str">
        <f aca="false">IF(COUNTIF($A$5:A1897,A1897)&gt;1,"Duplicate","Unique")</f>
        <v>Unique</v>
      </c>
      <c r="J1897" s="39" t="str">
        <f aca="false">IF(I1897="Duplicate","Remove",IF(H1897="Mismatch","Exclude","Keep"))</f>
        <v>Keep</v>
      </c>
    </row>
    <row r="1898" customFormat="false" ht="15" hidden="false" customHeight="false" outlineLevel="0" collapsed="false">
      <c r="A1898" s="39" t="s">
        <v>1966</v>
      </c>
      <c r="B1898" s="40" t="n">
        <v>45911</v>
      </c>
      <c r="C1898" s="39" t="s">
        <v>136</v>
      </c>
      <c r="D1898" s="39" t="n">
        <v>3</v>
      </c>
      <c r="E1898" s="41" t="n">
        <v>75.29</v>
      </c>
      <c r="F1898" s="39" t="s">
        <v>108</v>
      </c>
      <c r="G1898" s="39" t="str">
        <f aca="false">UPPER(TRIM(C1898))</f>
        <v>P002</v>
      </c>
      <c r="H1898" s="39" t="str">
        <f aca="false">IF(ISNUMBER(MATCH(G1898,Products!$A$5:$A$24,0)),"OK","Mismatch")</f>
        <v>OK</v>
      </c>
      <c r="I1898" s="39" t="str">
        <f aca="false">IF(COUNTIF($A$5:A1898,A1898)&gt;1,"Duplicate","Unique")</f>
        <v>Unique</v>
      </c>
      <c r="J1898" s="39" t="str">
        <f aca="false">IF(I1898="Duplicate","Remove",IF(H1898="Mismatch","Exclude","Keep"))</f>
        <v>Keep</v>
      </c>
    </row>
    <row r="1899" customFormat="false" ht="15" hidden="false" customHeight="false" outlineLevel="0" collapsed="false">
      <c r="A1899" s="39" t="s">
        <v>1967</v>
      </c>
      <c r="B1899" s="40" t="n">
        <v>45912</v>
      </c>
      <c r="C1899" s="39" t="s">
        <v>130</v>
      </c>
      <c r="D1899" s="39" t="n">
        <v>3</v>
      </c>
      <c r="E1899" s="41" t="n">
        <v>8.64</v>
      </c>
      <c r="F1899" s="39" t="s">
        <v>118</v>
      </c>
      <c r="G1899" s="39" t="str">
        <f aca="false">UPPER(TRIM(C1899))</f>
        <v>P011</v>
      </c>
      <c r="H1899" s="39" t="str">
        <f aca="false">IF(ISNUMBER(MATCH(G1899,Products!$A$5:$A$24,0)),"OK","Mismatch")</f>
        <v>OK</v>
      </c>
      <c r="I1899" s="39" t="str">
        <f aca="false">IF(COUNTIF($A$5:A1899,A1899)&gt;1,"Duplicate","Unique")</f>
        <v>Unique</v>
      </c>
      <c r="J1899" s="39" t="str">
        <f aca="false">IF(I1899="Duplicate","Remove",IF(H1899="Mismatch","Exclude","Keep"))</f>
        <v>Keep</v>
      </c>
    </row>
    <row r="1900" customFormat="false" ht="15" hidden="false" customHeight="false" outlineLevel="0" collapsed="false">
      <c r="A1900" s="39" t="s">
        <v>1968</v>
      </c>
      <c r="B1900" s="40" t="n">
        <v>45912</v>
      </c>
      <c r="C1900" s="39" t="s">
        <v>126</v>
      </c>
      <c r="D1900" s="39" t="n">
        <v>4</v>
      </c>
      <c r="E1900" s="41" t="n">
        <v>23.71</v>
      </c>
      <c r="F1900" s="39" t="s">
        <v>108</v>
      </c>
      <c r="G1900" s="39" t="str">
        <f aca="false">UPPER(TRIM(C1900))</f>
        <v>P001</v>
      </c>
      <c r="H1900" s="39" t="str">
        <f aca="false">IF(ISNUMBER(MATCH(G1900,Products!$A$5:$A$24,0)),"OK","Mismatch")</f>
        <v>OK</v>
      </c>
      <c r="I1900" s="39" t="str">
        <f aca="false">IF(COUNTIF($A$5:A1900,A1900)&gt;1,"Duplicate","Unique")</f>
        <v>Unique</v>
      </c>
      <c r="J1900" s="39" t="str">
        <f aca="false">IF(I1900="Duplicate","Remove",IF(H1900="Mismatch","Exclude","Keep"))</f>
        <v>Keep</v>
      </c>
    </row>
    <row r="1901" customFormat="false" ht="15" hidden="false" customHeight="false" outlineLevel="0" collapsed="false">
      <c r="A1901" s="39" t="s">
        <v>1969</v>
      </c>
      <c r="B1901" s="40" t="n">
        <v>45912</v>
      </c>
      <c r="C1901" s="39" t="s">
        <v>305</v>
      </c>
      <c r="D1901" s="39" t="n">
        <v>1</v>
      </c>
      <c r="E1901" s="41" t="n">
        <v>347.51</v>
      </c>
      <c r="F1901" s="39" t="s">
        <v>115</v>
      </c>
      <c r="G1901" s="39" t="str">
        <f aca="false">UPPER(TRIM(C1901))</f>
        <v>P008</v>
      </c>
      <c r="H1901" s="39" t="str">
        <f aca="false">IF(ISNUMBER(MATCH(G1901,Products!$A$5:$A$24,0)),"OK","Mismatch")</f>
        <v>OK</v>
      </c>
      <c r="I1901" s="39" t="str">
        <f aca="false">IF(COUNTIF($A$5:A1901,A1901)&gt;1,"Duplicate","Unique")</f>
        <v>Unique</v>
      </c>
      <c r="J1901" s="39" t="str">
        <f aca="false">IF(I1901="Duplicate","Remove",IF(H1901="Mismatch","Exclude","Keep"))</f>
        <v>Keep</v>
      </c>
    </row>
    <row r="1902" customFormat="false" ht="15" hidden="false" customHeight="false" outlineLevel="0" collapsed="false">
      <c r="A1902" s="39" t="s">
        <v>1970</v>
      </c>
      <c r="B1902" s="40" t="n">
        <v>45912</v>
      </c>
      <c r="C1902" s="39" t="s">
        <v>169</v>
      </c>
      <c r="D1902" s="39" t="n">
        <v>1</v>
      </c>
      <c r="E1902" s="41" t="n">
        <v>27.98</v>
      </c>
      <c r="F1902" s="39" t="s">
        <v>115</v>
      </c>
      <c r="G1902" s="39" t="str">
        <f aca="false">UPPER(TRIM(C1902))</f>
        <v>P004</v>
      </c>
      <c r="H1902" s="39" t="str">
        <f aca="false">IF(ISNUMBER(MATCH(G1902,Products!$A$5:$A$24,0)),"OK","Mismatch")</f>
        <v>OK</v>
      </c>
      <c r="I1902" s="39" t="str">
        <f aca="false">IF(COUNTIF($A$5:A1902,A1902)&gt;1,"Duplicate","Unique")</f>
        <v>Unique</v>
      </c>
      <c r="J1902" s="39" t="str">
        <f aca="false">IF(I1902="Duplicate","Remove",IF(H1902="Mismatch","Exclude","Keep"))</f>
        <v>Keep</v>
      </c>
    </row>
    <row r="1903" customFormat="false" ht="15" hidden="false" customHeight="false" outlineLevel="0" collapsed="false">
      <c r="A1903" s="39" t="s">
        <v>1971</v>
      </c>
      <c r="B1903" s="40" t="n">
        <v>45912</v>
      </c>
      <c r="C1903" s="39" t="s">
        <v>104</v>
      </c>
      <c r="D1903" s="39" t="n">
        <v>1</v>
      </c>
      <c r="E1903" s="41" t="n">
        <v>15.86</v>
      </c>
      <c r="F1903" s="39" t="s">
        <v>118</v>
      </c>
      <c r="G1903" s="39" t="str">
        <f aca="false">UPPER(TRIM(C1903))</f>
        <v>P015</v>
      </c>
      <c r="H1903" s="39" t="str">
        <f aca="false">IF(ISNUMBER(MATCH(G1903,Products!$A$5:$A$24,0)),"OK","Mismatch")</f>
        <v>OK</v>
      </c>
      <c r="I1903" s="39" t="str">
        <f aca="false">IF(COUNTIF($A$5:A1903,A1903)&gt;1,"Duplicate","Unique")</f>
        <v>Unique</v>
      </c>
      <c r="J1903" s="39" t="str">
        <f aca="false">IF(I1903="Duplicate","Remove",IF(H1903="Mismatch","Exclude","Keep"))</f>
        <v>Keep</v>
      </c>
    </row>
    <row r="1904" customFormat="false" ht="15" hidden="false" customHeight="false" outlineLevel="0" collapsed="false">
      <c r="A1904" s="39" t="s">
        <v>1972</v>
      </c>
      <c r="B1904" s="40" t="n">
        <v>45912</v>
      </c>
      <c r="C1904" s="39" t="s">
        <v>139</v>
      </c>
      <c r="D1904" s="39" t="n">
        <v>6</v>
      </c>
      <c r="E1904" s="41" t="n">
        <v>124.24</v>
      </c>
      <c r="F1904" s="39" t="s">
        <v>115</v>
      </c>
      <c r="G1904" s="39" t="str">
        <f aca="false">UPPER(TRIM(C1904))</f>
        <v>P006</v>
      </c>
      <c r="H1904" s="39" t="str">
        <f aca="false">IF(ISNUMBER(MATCH(G1904,Products!$A$5:$A$24,0)),"OK","Mismatch")</f>
        <v>OK</v>
      </c>
      <c r="I1904" s="39" t="str">
        <f aca="false">IF(COUNTIF($A$5:A1904,A1904)&gt;1,"Duplicate","Unique")</f>
        <v>Unique</v>
      </c>
      <c r="J1904" s="39" t="str">
        <f aca="false">IF(I1904="Duplicate","Remove",IF(H1904="Mismatch","Exclude","Keep"))</f>
        <v>Keep</v>
      </c>
    </row>
    <row r="1905" customFormat="false" ht="15" hidden="false" customHeight="false" outlineLevel="0" collapsed="false">
      <c r="A1905" s="39" t="s">
        <v>1973</v>
      </c>
      <c r="B1905" s="40" t="n">
        <v>45912</v>
      </c>
      <c r="C1905" s="39" t="s">
        <v>121</v>
      </c>
      <c r="D1905" s="39" t="n">
        <v>1</v>
      </c>
      <c r="E1905" s="41" t="n">
        <v>113.12</v>
      </c>
      <c r="F1905" s="39" t="s">
        <v>115</v>
      </c>
      <c r="G1905" s="39" t="str">
        <f aca="false">UPPER(TRIM(C1905))</f>
        <v>P018</v>
      </c>
      <c r="H1905" s="39" t="str">
        <f aca="false">IF(ISNUMBER(MATCH(G1905,Products!$A$5:$A$24,0)),"OK","Mismatch")</f>
        <v>OK</v>
      </c>
      <c r="I1905" s="39" t="str">
        <f aca="false">IF(COUNTIF($A$5:A1905,A1905)&gt;1,"Duplicate","Unique")</f>
        <v>Unique</v>
      </c>
      <c r="J1905" s="39" t="str">
        <f aca="false">IF(I1905="Duplicate","Remove",IF(H1905="Mismatch","Exclude","Keep"))</f>
        <v>Keep</v>
      </c>
    </row>
    <row r="1906" customFormat="false" ht="15" hidden="false" customHeight="false" outlineLevel="0" collapsed="false">
      <c r="A1906" s="39" t="s">
        <v>1974</v>
      </c>
      <c r="B1906" s="40" t="n">
        <v>45912</v>
      </c>
      <c r="C1906" s="39" t="s">
        <v>114</v>
      </c>
      <c r="D1906" s="39" t="n">
        <v>2</v>
      </c>
      <c r="E1906" s="41" t="n">
        <v>5.7</v>
      </c>
      <c r="F1906" s="39" t="s">
        <v>108</v>
      </c>
      <c r="G1906" s="39" t="str">
        <f aca="false">UPPER(TRIM(C1906))</f>
        <v>P012</v>
      </c>
      <c r="H1906" s="39" t="str">
        <f aca="false">IF(ISNUMBER(MATCH(G1906,Products!$A$5:$A$24,0)),"OK","Mismatch")</f>
        <v>OK</v>
      </c>
      <c r="I1906" s="39" t="str">
        <f aca="false">IF(COUNTIF($A$5:A1906,A1906)&gt;1,"Duplicate","Unique")</f>
        <v>Unique</v>
      </c>
      <c r="J1906" s="39" t="str">
        <f aca="false">IF(I1906="Duplicate","Remove",IF(H1906="Mismatch","Exclude","Keep"))</f>
        <v>Keep</v>
      </c>
    </row>
    <row r="1907" customFormat="false" ht="15" hidden="false" customHeight="false" outlineLevel="0" collapsed="false">
      <c r="A1907" s="39" t="s">
        <v>1975</v>
      </c>
      <c r="B1907" s="40" t="n">
        <v>45912</v>
      </c>
      <c r="C1907" s="39" t="s">
        <v>112</v>
      </c>
      <c r="D1907" s="39" t="n">
        <v>1</v>
      </c>
      <c r="E1907" s="41" t="n">
        <v>52.86</v>
      </c>
      <c r="F1907" s="39" t="s">
        <v>105</v>
      </c>
      <c r="G1907" s="39" t="str">
        <f aca="false">UPPER(TRIM(C1907))</f>
        <v>P005</v>
      </c>
      <c r="H1907" s="39" t="str">
        <f aca="false">IF(ISNUMBER(MATCH(G1907,Products!$A$5:$A$24,0)),"OK","Mismatch")</f>
        <v>OK</v>
      </c>
      <c r="I1907" s="39" t="str">
        <f aca="false">IF(COUNTIF($A$5:A1907,A1907)&gt;1,"Duplicate","Unique")</f>
        <v>Unique</v>
      </c>
      <c r="J1907" s="39" t="str">
        <f aca="false">IF(I1907="Duplicate","Remove",IF(H1907="Mismatch","Exclude","Keep"))</f>
        <v>Keep</v>
      </c>
    </row>
    <row r="1908" customFormat="false" ht="15" hidden="false" customHeight="false" outlineLevel="0" collapsed="false">
      <c r="A1908" s="39" t="s">
        <v>1976</v>
      </c>
      <c r="B1908" s="40" t="n">
        <v>45912</v>
      </c>
      <c r="C1908" s="39" t="s">
        <v>183</v>
      </c>
      <c r="D1908" s="39" t="n">
        <v>1</v>
      </c>
      <c r="E1908" s="41" t="n">
        <v>176.32</v>
      </c>
      <c r="F1908" s="39" t="s">
        <v>105</v>
      </c>
      <c r="G1908" s="39" t="str">
        <f aca="false">UPPER(TRIM(C1908))</f>
        <v>P007</v>
      </c>
      <c r="H1908" s="39" t="str">
        <f aca="false">IF(ISNUMBER(MATCH(G1908,Products!$A$5:$A$24,0)),"OK","Mismatch")</f>
        <v>OK</v>
      </c>
      <c r="I1908" s="39" t="str">
        <f aca="false">IF(COUNTIF($A$5:A1908,A1908)&gt;1,"Duplicate","Unique")</f>
        <v>Unique</v>
      </c>
      <c r="J1908" s="39" t="str">
        <f aca="false">IF(I1908="Duplicate","Remove",IF(H1908="Mismatch","Exclude","Keep"))</f>
        <v>Keep</v>
      </c>
    </row>
    <row r="1909" customFormat="false" ht="15" hidden="false" customHeight="false" outlineLevel="0" collapsed="false">
      <c r="A1909" s="39" t="s">
        <v>1977</v>
      </c>
      <c r="B1909" s="40" t="n">
        <v>45913</v>
      </c>
      <c r="C1909" s="39" t="s">
        <v>117</v>
      </c>
      <c r="D1909" s="39" t="n">
        <v>2</v>
      </c>
      <c r="E1909" s="41" t="n">
        <v>31.91</v>
      </c>
      <c r="F1909" s="39" t="s">
        <v>118</v>
      </c>
      <c r="G1909" s="39" t="str">
        <f aca="false">UPPER(TRIM(C1909))</f>
        <v>P009</v>
      </c>
      <c r="H1909" s="39" t="str">
        <f aca="false">IF(ISNUMBER(MATCH(G1909,Products!$A$5:$A$24,0)),"OK","Mismatch")</f>
        <v>OK</v>
      </c>
      <c r="I1909" s="39" t="str">
        <f aca="false">IF(COUNTIF($A$5:A1909,A1909)&gt;1,"Duplicate","Unique")</f>
        <v>Unique</v>
      </c>
      <c r="J1909" s="39" t="str">
        <f aca="false">IF(I1909="Duplicate","Remove",IF(H1909="Mismatch","Exclude","Keep"))</f>
        <v>Keep</v>
      </c>
    </row>
    <row r="1910" customFormat="false" ht="15" hidden="false" customHeight="false" outlineLevel="0" collapsed="false">
      <c r="A1910" s="39" t="s">
        <v>1978</v>
      </c>
      <c r="B1910" s="40" t="n">
        <v>45913</v>
      </c>
      <c r="C1910" s="39" t="s">
        <v>126</v>
      </c>
      <c r="D1910" s="39" t="n">
        <v>3</v>
      </c>
      <c r="E1910" s="41" t="n">
        <v>24.43</v>
      </c>
      <c r="F1910" s="39" t="s">
        <v>108</v>
      </c>
      <c r="G1910" s="39" t="str">
        <f aca="false">UPPER(TRIM(C1910))</f>
        <v>P001</v>
      </c>
      <c r="H1910" s="39" t="str">
        <f aca="false">IF(ISNUMBER(MATCH(G1910,Products!$A$5:$A$24,0)),"OK","Mismatch")</f>
        <v>OK</v>
      </c>
      <c r="I1910" s="39" t="str">
        <f aca="false">IF(COUNTIF($A$5:A1910,A1910)&gt;1,"Duplicate","Unique")</f>
        <v>Unique</v>
      </c>
      <c r="J1910" s="39" t="str">
        <f aca="false">IF(I1910="Duplicate","Remove",IF(H1910="Mismatch","Exclude","Keep"))</f>
        <v>Keep</v>
      </c>
    </row>
    <row r="1911" customFormat="false" ht="15" hidden="false" customHeight="false" outlineLevel="0" collapsed="false">
      <c r="A1911" s="39" t="s">
        <v>1979</v>
      </c>
      <c r="B1911" s="40" t="n">
        <v>45913</v>
      </c>
      <c r="C1911" s="39" t="s">
        <v>169</v>
      </c>
      <c r="D1911" s="39" t="n">
        <v>6</v>
      </c>
      <c r="E1911" s="41" t="n">
        <v>28.61</v>
      </c>
      <c r="F1911" s="39" t="s">
        <v>118</v>
      </c>
      <c r="G1911" s="39" t="str">
        <f aca="false">UPPER(TRIM(C1911))</f>
        <v>P004</v>
      </c>
      <c r="H1911" s="39" t="str">
        <f aca="false">IF(ISNUMBER(MATCH(G1911,Products!$A$5:$A$24,0)),"OK","Mismatch")</f>
        <v>OK</v>
      </c>
      <c r="I1911" s="39" t="str">
        <f aca="false">IF(COUNTIF($A$5:A1911,A1911)&gt;1,"Duplicate","Unique")</f>
        <v>Unique</v>
      </c>
      <c r="J1911" s="39" t="str">
        <f aca="false">IF(I1911="Duplicate","Remove",IF(H1911="Mismatch","Exclude","Keep"))</f>
        <v>Keep</v>
      </c>
    </row>
    <row r="1912" customFormat="false" ht="15" hidden="false" customHeight="false" outlineLevel="0" collapsed="false">
      <c r="A1912" s="39" t="s">
        <v>1980</v>
      </c>
      <c r="B1912" s="40" t="n">
        <v>45913</v>
      </c>
      <c r="C1912" s="39" t="s">
        <v>177</v>
      </c>
      <c r="D1912" s="39" t="n">
        <v>4</v>
      </c>
      <c r="E1912" s="41" t="n">
        <v>42.49</v>
      </c>
      <c r="F1912" s="39" t="s">
        <v>115</v>
      </c>
      <c r="G1912" s="39" t="str">
        <f aca="false">UPPER(TRIM(C1912))</f>
        <v>P014</v>
      </c>
      <c r="H1912" s="39" t="str">
        <f aca="false">IF(ISNUMBER(MATCH(G1912,Products!$A$5:$A$24,0)),"OK","Mismatch")</f>
        <v>OK</v>
      </c>
      <c r="I1912" s="39" t="str">
        <f aca="false">IF(COUNTIF($A$5:A1912,A1912)&gt;1,"Duplicate","Unique")</f>
        <v>Unique</v>
      </c>
      <c r="J1912" s="39" t="str">
        <f aca="false">IF(I1912="Duplicate","Remove",IF(H1912="Mismatch","Exclude","Keep"))</f>
        <v>Keep</v>
      </c>
    </row>
    <row r="1913" customFormat="false" ht="15" hidden="false" customHeight="false" outlineLevel="0" collapsed="false">
      <c r="A1913" s="39" t="s">
        <v>1981</v>
      </c>
      <c r="B1913" s="40" t="n">
        <v>45913</v>
      </c>
      <c r="C1913" s="39" t="s">
        <v>110</v>
      </c>
      <c r="D1913" s="39" t="n">
        <v>3</v>
      </c>
      <c r="E1913" s="41" t="n">
        <v>13.13</v>
      </c>
      <c r="F1913" s="39" t="s">
        <v>105</v>
      </c>
      <c r="G1913" s="39" t="str">
        <f aca="false">UPPER(TRIM(C1913))</f>
        <v>P016</v>
      </c>
      <c r="H1913" s="39" t="str">
        <f aca="false">IF(ISNUMBER(MATCH(G1913,Products!$A$5:$A$24,0)),"OK","Mismatch")</f>
        <v>OK</v>
      </c>
      <c r="I1913" s="39" t="str">
        <f aca="false">IF(COUNTIF($A$5:A1913,A1913)&gt;1,"Duplicate","Unique")</f>
        <v>Unique</v>
      </c>
      <c r="J1913" s="39" t="str">
        <f aca="false">IF(I1913="Duplicate","Remove",IF(H1913="Mismatch","Exclude","Keep"))</f>
        <v>Keep</v>
      </c>
    </row>
    <row r="1914" customFormat="false" ht="15" hidden="false" customHeight="false" outlineLevel="0" collapsed="false">
      <c r="A1914" s="39" t="s">
        <v>1982</v>
      </c>
      <c r="B1914" s="40" t="n">
        <v>45913</v>
      </c>
      <c r="C1914" s="39" t="s">
        <v>104</v>
      </c>
      <c r="D1914" s="39" t="n">
        <v>1</v>
      </c>
      <c r="E1914" s="41" t="n">
        <v>15.03</v>
      </c>
      <c r="F1914" s="39" t="s">
        <v>105</v>
      </c>
      <c r="G1914" s="39" t="str">
        <f aca="false">UPPER(TRIM(C1914))</f>
        <v>P015</v>
      </c>
      <c r="H1914" s="39" t="str">
        <f aca="false">IF(ISNUMBER(MATCH(G1914,Products!$A$5:$A$24,0)),"OK","Mismatch")</f>
        <v>OK</v>
      </c>
      <c r="I1914" s="39" t="str">
        <f aca="false">IF(COUNTIF($A$5:A1914,A1914)&gt;1,"Duplicate","Unique")</f>
        <v>Unique</v>
      </c>
      <c r="J1914" s="39" t="str">
        <f aca="false">IF(I1914="Duplicate","Remove",IF(H1914="Mismatch","Exclude","Keep"))</f>
        <v>Keep</v>
      </c>
    </row>
    <row r="1915" customFormat="false" ht="15" hidden="false" customHeight="false" outlineLevel="0" collapsed="false">
      <c r="A1915" s="39" t="s">
        <v>1983</v>
      </c>
      <c r="B1915" s="40" t="n">
        <v>45913</v>
      </c>
      <c r="C1915" s="39" t="s">
        <v>117</v>
      </c>
      <c r="D1915" s="39" t="n">
        <v>3</v>
      </c>
      <c r="E1915" s="41" t="n">
        <v>31.5</v>
      </c>
      <c r="F1915" s="39" t="s">
        <v>115</v>
      </c>
      <c r="G1915" s="39" t="str">
        <f aca="false">UPPER(TRIM(C1915))</f>
        <v>P009</v>
      </c>
      <c r="H1915" s="39" t="str">
        <f aca="false">IF(ISNUMBER(MATCH(G1915,Products!$A$5:$A$24,0)),"OK","Mismatch")</f>
        <v>OK</v>
      </c>
      <c r="I1915" s="39" t="str">
        <f aca="false">IF(COUNTIF($A$5:A1915,A1915)&gt;1,"Duplicate","Unique")</f>
        <v>Unique</v>
      </c>
      <c r="J1915" s="39" t="str">
        <f aca="false">IF(I1915="Duplicate","Remove",IF(H1915="Mismatch","Exclude","Keep"))</f>
        <v>Keep</v>
      </c>
    </row>
    <row r="1916" customFormat="false" ht="15" hidden="false" customHeight="false" outlineLevel="0" collapsed="false">
      <c r="A1916" s="39" t="s">
        <v>1984</v>
      </c>
      <c r="B1916" s="40" t="n">
        <v>45913</v>
      </c>
      <c r="C1916" s="39" t="s">
        <v>121</v>
      </c>
      <c r="D1916" s="39" t="n">
        <v>2</v>
      </c>
      <c r="E1916" s="41" t="n">
        <v>109.51</v>
      </c>
      <c r="F1916" s="39" t="s">
        <v>118</v>
      </c>
      <c r="G1916" s="39" t="str">
        <f aca="false">UPPER(TRIM(C1916))</f>
        <v>P018</v>
      </c>
      <c r="H1916" s="39" t="str">
        <f aca="false">IF(ISNUMBER(MATCH(G1916,Products!$A$5:$A$24,0)),"OK","Mismatch")</f>
        <v>OK</v>
      </c>
      <c r="I1916" s="39" t="str">
        <f aca="false">IF(COUNTIF($A$5:A1916,A1916)&gt;1,"Duplicate","Unique")</f>
        <v>Unique</v>
      </c>
      <c r="J1916" s="39" t="str">
        <f aca="false">IF(I1916="Duplicate","Remove",IF(H1916="Mismatch","Exclude","Keep"))</f>
        <v>Keep</v>
      </c>
    </row>
    <row r="1917" customFormat="false" ht="15" hidden="false" customHeight="false" outlineLevel="0" collapsed="false">
      <c r="A1917" s="39" t="s">
        <v>1985</v>
      </c>
      <c r="B1917" s="40" t="n">
        <v>45913</v>
      </c>
      <c r="C1917" s="39" t="s">
        <v>153</v>
      </c>
      <c r="D1917" s="39" t="n">
        <v>2</v>
      </c>
      <c r="E1917" s="41" t="n">
        <v>170.74</v>
      </c>
      <c r="F1917" s="39" t="s">
        <v>115</v>
      </c>
      <c r="G1917" s="39" t="str">
        <f aca="false">UPPER(TRIM(C1917))</f>
        <v>P010</v>
      </c>
      <c r="H1917" s="39" t="str">
        <f aca="false">IF(ISNUMBER(MATCH(G1917,Products!$A$5:$A$24,0)),"OK","Mismatch")</f>
        <v>OK</v>
      </c>
      <c r="I1917" s="39" t="str">
        <f aca="false">IF(COUNTIF($A$5:A1917,A1917)&gt;1,"Duplicate","Unique")</f>
        <v>Unique</v>
      </c>
      <c r="J1917" s="39" t="str">
        <f aca="false">IF(I1917="Duplicate","Remove",IF(H1917="Mismatch","Exclude","Keep"))</f>
        <v>Keep</v>
      </c>
    </row>
    <row r="1918" customFormat="false" ht="15" hidden="false" customHeight="false" outlineLevel="0" collapsed="false">
      <c r="A1918" s="39" t="s">
        <v>1986</v>
      </c>
      <c r="B1918" s="40" t="n">
        <v>45913</v>
      </c>
      <c r="C1918" s="39" t="s">
        <v>169</v>
      </c>
      <c r="D1918" s="39" t="n">
        <v>3</v>
      </c>
      <c r="E1918" s="41" t="n">
        <v>27.59</v>
      </c>
      <c r="F1918" s="39" t="s">
        <v>118</v>
      </c>
      <c r="G1918" s="39" t="str">
        <f aca="false">UPPER(TRIM(C1918))</f>
        <v>P004</v>
      </c>
      <c r="H1918" s="39" t="str">
        <f aca="false">IF(ISNUMBER(MATCH(G1918,Products!$A$5:$A$24,0)),"OK","Mismatch")</f>
        <v>OK</v>
      </c>
      <c r="I1918" s="39" t="str">
        <f aca="false">IF(COUNTIF($A$5:A1918,A1918)&gt;1,"Duplicate","Unique")</f>
        <v>Unique</v>
      </c>
      <c r="J1918" s="39" t="str">
        <f aca="false">IF(I1918="Duplicate","Remove",IF(H1918="Mismatch","Exclude","Keep"))</f>
        <v>Keep</v>
      </c>
    </row>
    <row r="1919" customFormat="false" ht="15" hidden="false" customHeight="false" outlineLevel="0" collapsed="false">
      <c r="A1919" s="39" t="s">
        <v>1987</v>
      </c>
      <c r="B1919" s="40" t="n">
        <v>45913</v>
      </c>
      <c r="C1919" s="39" t="s">
        <v>104</v>
      </c>
      <c r="D1919" s="39" t="n">
        <v>4</v>
      </c>
      <c r="E1919" s="41" t="n">
        <v>15.92</v>
      </c>
      <c r="F1919" s="39" t="s">
        <v>118</v>
      </c>
      <c r="G1919" s="39" t="str">
        <f aca="false">UPPER(TRIM(C1919))</f>
        <v>P015</v>
      </c>
      <c r="H1919" s="39" t="str">
        <f aca="false">IF(ISNUMBER(MATCH(G1919,Products!$A$5:$A$24,0)),"OK","Mismatch")</f>
        <v>OK</v>
      </c>
      <c r="I1919" s="39" t="str">
        <f aca="false">IF(COUNTIF($A$5:A1919,A1919)&gt;1,"Duplicate","Unique")</f>
        <v>Unique</v>
      </c>
      <c r="J1919" s="39" t="str">
        <f aca="false">IF(I1919="Duplicate","Remove",IF(H1919="Mismatch","Exclude","Keep"))</f>
        <v>Keep</v>
      </c>
    </row>
    <row r="1920" customFormat="false" ht="15" hidden="false" customHeight="false" outlineLevel="0" collapsed="false">
      <c r="A1920" s="39" t="s">
        <v>1988</v>
      </c>
      <c r="B1920" s="40" t="n">
        <v>45913</v>
      </c>
      <c r="C1920" s="39" t="s">
        <v>183</v>
      </c>
      <c r="D1920" s="39" t="n">
        <v>1</v>
      </c>
      <c r="E1920" s="41" t="n">
        <v>184.43</v>
      </c>
      <c r="F1920" s="39" t="s">
        <v>105</v>
      </c>
      <c r="G1920" s="39" t="str">
        <f aca="false">UPPER(TRIM(C1920))</f>
        <v>P007</v>
      </c>
      <c r="H1920" s="39" t="str">
        <f aca="false">IF(ISNUMBER(MATCH(G1920,Products!$A$5:$A$24,0)),"OK","Mismatch")</f>
        <v>OK</v>
      </c>
      <c r="I1920" s="39" t="str">
        <f aca="false">IF(COUNTIF($A$5:A1920,A1920)&gt;1,"Duplicate","Unique")</f>
        <v>Unique</v>
      </c>
      <c r="J1920" s="39" t="str">
        <f aca="false">IF(I1920="Duplicate","Remove",IF(H1920="Mismatch","Exclude","Keep"))</f>
        <v>Keep</v>
      </c>
    </row>
    <row r="1921" customFormat="false" ht="15" hidden="false" customHeight="false" outlineLevel="0" collapsed="false">
      <c r="A1921" s="39" t="s">
        <v>1989</v>
      </c>
      <c r="B1921" s="40" t="n">
        <v>45914</v>
      </c>
      <c r="C1921" s="39" t="s">
        <v>114</v>
      </c>
      <c r="D1921" s="39" t="n">
        <v>4</v>
      </c>
      <c r="E1921" s="41" t="n">
        <v>5.92</v>
      </c>
      <c r="F1921" s="39" t="s">
        <v>118</v>
      </c>
      <c r="G1921" s="39" t="str">
        <f aca="false">UPPER(TRIM(C1921))</f>
        <v>P012</v>
      </c>
      <c r="H1921" s="39" t="str">
        <f aca="false">IF(ISNUMBER(MATCH(G1921,Products!$A$5:$A$24,0)),"OK","Mismatch")</f>
        <v>OK</v>
      </c>
      <c r="I1921" s="39" t="str">
        <f aca="false">IF(COUNTIF($A$5:A1921,A1921)&gt;1,"Duplicate","Unique")</f>
        <v>Unique</v>
      </c>
      <c r="J1921" s="39" t="str">
        <f aca="false">IF(I1921="Duplicate","Remove",IF(H1921="Mismatch","Exclude","Keep"))</f>
        <v>Keep</v>
      </c>
    </row>
    <row r="1922" customFormat="false" ht="15" hidden="false" customHeight="false" outlineLevel="0" collapsed="false">
      <c r="A1922" s="39" t="s">
        <v>1990</v>
      </c>
      <c r="B1922" s="40" t="n">
        <v>45914</v>
      </c>
      <c r="C1922" s="39" t="s">
        <v>128</v>
      </c>
      <c r="D1922" s="39" t="n">
        <v>3</v>
      </c>
      <c r="E1922" s="41" t="n">
        <v>38.62</v>
      </c>
      <c r="F1922" s="39" t="s">
        <v>108</v>
      </c>
      <c r="G1922" s="39" t="str">
        <f aca="false">UPPER(TRIM(C1922))</f>
        <v>P020</v>
      </c>
      <c r="H1922" s="39" t="str">
        <f aca="false">IF(ISNUMBER(MATCH(G1922,Products!$A$5:$A$24,0)),"OK","Mismatch")</f>
        <v>OK</v>
      </c>
      <c r="I1922" s="39" t="str">
        <f aca="false">IF(COUNTIF($A$5:A1922,A1922)&gt;1,"Duplicate","Unique")</f>
        <v>Unique</v>
      </c>
      <c r="J1922" s="39" t="str">
        <f aca="false">IF(I1922="Duplicate","Remove",IF(H1922="Mismatch","Exclude","Keep"))</f>
        <v>Keep</v>
      </c>
    </row>
    <row r="1923" customFormat="false" ht="15" hidden="false" customHeight="false" outlineLevel="0" collapsed="false">
      <c r="A1923" s="39" t="s">
        <v>1991</v>
      </c>
      <c r="B1923" s="40" t="n">
        <v>45914</v>
      </c>
      <c r="C1923" s="39" t="s">
        <v>121</v>
      </c>
      <c r="D1923" s="39" t="n">
        <v>3</v>
      </c>
      <c r="E1923" s="41" t="n">
        <v>115.59</v>
      </c>
      <c r="F1923" s="39" t="s">
        <v>108</v>
      </c>
      <c r="G1923" s="39" t="str">
        <f aca="false">UPPER(TRIM(C1923))</f>
        <v>P018</v>
      </c>
      <c r="H1923" s="39" t="str">
        <f aca="false">IF(ISNUMBER(MATCH(G1923,Products!$A$5:$A$24,0)),"OK","Mismatch")</f>
        <v>OK</v>
      </c>
      <c r="I1923" s="39" t="str">
        <f aca="false">IF(COUNTIF($A$5:A1923,A1923)&gt;1,"Duplicate","Unique")</f>
        <v>Unique</v>
      </c>
      <c r="J1923" s="39" t="str">
        <f aca="false">IF(I1923="Duplicate","Remove",IF(H1923="Mismatch","Exclude","Keep"))</f>
        <v>Keep</v>
      </c>
    </row>
    <row r="1924" customFormat="false" ht="15" hidden="false" customHeight="false" outlineLevel="0" collapsed="false">
      <c r="A1924" s="39" t="s">
        <v>1992</v>
      </c>
      <c r="B1924" s="40" t="n">
        <v>45914</v>
      </c>
      <c r="C1924" s="39" t="s">
        <v>133</v>
      </c>
      <c r="D1924" s="39" t="n">
        <v>1</v>
      </c>
      <c r="E1924" s="41" t="n">
        <v>8.94</v>
      </c>
      <c r="F1924" s="39" t="s">
        <v>108</v>
      </c>
      <c r="G1924" s="39" t="str">
        <f aca="false">UPPER(TRIM(C1924))</f>
        <v>P019</v>
      </c>
      <c r="H1924" s="39" t="str">
        <f aca="false">IF(ISNUMBER(MATCH(G1924,Products!$A$5:$A$24,0)),"OK","Mismatch")</f>
        <v>OK</v>
      </c>
      <c r="I1924" s="39" t="str">
        <f aca="false">IF(COUNTIF($A$5:A1924,A1924)&gt;1,"Duplicate","Unique")</f>
        <v>Unique</v>
      </c>
      <c r="J1924" s="39" t="str">
        <f aca="false">IF(I1924="Duplicate","Remove",IF(H1924="Mismatch","Exclude","Keep"))</f>
        <v>Keep</v>
      </c>
    </row>
    <row r="1925" customFormat="false" ht="15" hidden="false" customHeight="false" outlineLevel="0" collapsed="false">
      <c r="A1925" s="39" t="s">
        <v>1993</v>
      </c>
      <c r="B1925" s="40" t="n">
        <v>45914</v>
      </c>
      <c r="C1925" s="39" t="s">
        <v>144</v>
      </c>
      <c r="D1925" s="39" t="n">
        <v>2</v>
      </c>
      <c r="E1925" s="41" t="n">
        <v>57.39</v>
      </c>
      <c r="F1925" s="39" t="s">
        <v>105</v>
      </c>
      <c r="G1925" s="39" t="str">
        <f aca="false">UPPER(TRIM(C1925))</f>
        <v>P013</v>
      </c>
      <c r="H1925" s="39" t="str">
        <f aca="false">IF(ISNUMBER(MATCH(G1925,Products!$A$5:$A$24,0)),"OK","Mismatch")</f>
        <v>OK</v>
      </c>
      <c r="I1925" s="39" t="str">
        <f aca="false">IF(COUNTIF($A$5:A1925,A1925)&gt;1,"Duplicate","Unique")</f>
        <v>Unique</v>
      </c>
      <c r="J1925" s="39" t="str">
        <f aca="false">IF(I1925="Duplicate","Remove",IF(H1925="Mismatch","Exclude","Keep"))</f>
        <v>Keep</v>
      </c>
    </row>
    <row r="1926" customFormat="false" ht="15" hidden="false" customHeight="false" outlineLevel="0" collapsed="false">
      <c r="A1926" s="39" t="s">
        <v>1994</v>
      </c>
      <c r="B1926" s="40" t="n">
        <v>45914</v>
      </c>
      <c r="C1926" s="39" t="s">
        <v>133</v>
      </c>
      <c r="D1926" s="39" t="n">
        <v>2</v>
      </c>
      <c r="E1926" s="41" t="n">
        <v>8.85</v>
      </c>
      <c r="F1926" s="39" t="s">
        <v>118</v>
      </c>
      <c r="G1926" s="39" t="str">
        <f aca="false">UPPER(TRIM(C1926))</f>
        <v>P019</v>
      </c>
      <c r="H1926" s="39" t="str">
        <f aca="false">IF(ISNUMBER(MATCH(G1926,Products!$A$5:$A$24,0)),"OK","Mismatch")</f>
        <v>OK</v>
      </c>
      <c r="I1926" s="39" t="str">
        <f aca="false">IF(COUNTIF($A$5:A1926,A1926)&gt;1,"Duplicate","Unique")</f>
        <v>Unique</v>
      </c>
      <c r="J1926" s="39" t="str">
        <f aca="false">IF(I1926="Duplicate","Remove",IF(H1926="Mismatch","Exclude","Keep"))</f>
        <v>Keep</v>
      </c>
    </row>
    <row r="1927" customFormat="false" ht="15" hidden="false" customHeight="false" outlineLevel="0" collapsed="false">
      <c r="A1927" s="39" t="s">
        <v>1995</v>
      </c>
      <c r="B1927" s="40" t="n">
        <v>45914</v>
      </c>
      <c r="C1927" s="39" t="s">
        <v>183</v>
      </c>
      <c r="D1927" s="39" t="n">
        <v>1</v>
      </c>
      <c r="E1927" s="41" t="n">
        <v>186.41</v>
      </c>
      <c r="F1927" s="39" t="s">
        <v>105</v>
      </c>
      <c r="G1927" s="39" t="str">
        <f aca="false">UPPER(TRIM(C1927))</f>
        <v>P007</v>
      </c>
      <c r="H1927" s="39" t="str">
        <f aca="false">IF(ISNUMBER(MATCH(G1927,Products!$A$5:$A$24,0)),"OK","Mismatch")</f>
        <v>OK</v>
      </c>
      <c r="I1927" s="39" t="str">
        <f aca="false">IF(COUNTIF($A$5:A1927,A1927)&gt;1,"Duplicate","Unique")</f>
        <v>Unique</v>
      </c>
      <c r="J1927" s="39" t="str">
        <f aca="false">IF(I1927="Duplicate","Remove",IF(H1927="Mismatch","Exclude","Keep"))</f>
        <v>Keep</v>
      </c>
    </row>
    <row r="1928" customFormat="false" ht="15" hidden="false" customHeight="false" outlineLevel="0" collapsed="false">
      <c r="A1928" s="39" t="s">
        <v>1996</v>
      </c>
      <c r="B1928" s="40" t="n">
        <v>45914</v>
      </c>
      <c r="C1928" s="39" t="s">
        <v>114</v>
      </c>
      <c r="D1928" s="39" t="n">
        <v>3</v>
      </c>
      <c r="E1928" s="41" t="n">
        <v>5.65</v>
      </c>
      <c r="F1928" s="39" t="s">
        <v>108</v>
      </c>
      <c r="G1928" s="39" t="str">
        <f aca="false">UPPER(TRIM(C1928))</f>
        <v>P012</v>
      </c>
      <c r="H1928" s="39" t="str">
        <f aca="false">IF(ISNUMBER(MATCH(G1928,Products!$A$5:$A$24,0)),"OK","Mismatch")</f>
        <v>OK</v>
      </c>
      <c r="I1928" s="39" t="str">
        <f aca="false">IF(COUNTIF($A$5:A1928,A1928)&gt;1,"Duplicate","Unique")</f>
        <v>Unique</v>
      </c>
      <c r="J1928" s="39" t="str">
        <f aca="false">IF(I1928="Duplicate","Remove",IF(H1928="Mismatch","Exclude","Keep"))</f>
        <v>Keep</v>
      </c>
    </row>
    <row r="1929" customFormat="false" ht="15" hidden="false" customHeight="false" outlineLevel="0" collapsed="false">
      <c r="A1929" s="39" t="s">
        <v>1997</v>
      </c>
      <c r="B1929" s="40" t="n">
        <v>45914</v>
      </c>
      <c r="C1929" s="39" t="s">
        <v>121</v>
      </c>
      <c r="D1929" s="39" t="n">
        <v>3</v>
      </c>
      <c r="E1929" s="41" t="n">
        <v>115.96</v>
      </c>
      <c r="F1929" s="39" t="s">
        <v>105</v>
      </c>
      <c r="G1929" s="39" t="str">
        <f aca="false">UPPER(TRIM(C1929))</f>
        <v>P018</v>
      </c>
      <c r="H1929" s="39" t="str">
        <f aca="false">IF(ISNUMBER(MATCH(G1929,Products!$A$5:$A$24,0)),"OK","Mismatch")</f>
        <v>OK</v>
      </c>
      <c r="I1929" s="39" t="str">
        <f aca="false">IF(COUNTIF($A$5:A1929,A1929)&gt;1,"Duplicate","Unique")</f>
        <v>Unique</v>
      </c>
      <c r="J1929" s="39" t="str">
        <f aca="false">IF(I1929="Duplicate","Remove",IF(H1929="Mismatch","Exclude","Keep"))</f>
        <v>Keep</v>
      </c>
    </row>
    <row r="1930" customFormat="false" ht="15" hidden="false" customHeight="false" outlineLevel="0" collapsed="false">
      <c r="A1930" s="39" t="s">
        <v>1998</v>
      </c>
      <c r="B1930" s="40" t="n">
        <v>45915</v>
      </c>
      <c r="C1930" s="39" t="s">
        <v>107</v>
      </c>
      <c r="D1930" s="39" t="n">
        <v>2</v>
      </c>
      <c r="E1930" s="41" t="n">
        <v>32.52</v>
      </c>
      <c r="F1930" s="39" t="s">
        <v>115</v>
      </c>
      <c r="G1930" s="39" t="str">
        <f aca="false">UPPER(TRIM(C1930))</f>
        <v>P003</v>
      </c>
      <c r="H1930" s="39" t="str">
        <f aca="false">IF(ISNUMBER(MATCH(G1930,Products!$A$5:$A$24,0)),"OK","Mismatch")</f>
        <v>OK</v>
      </c>
      <c r="I1930" s="39" t="str">
        <f aca="false">IF(COUNTIF($A$5:A1930,A1930)&gt;1,"Duplicate","Unique")</f>
        <v>Unique</v>
      </c>
      <c r="J1930" s="39" t="str">
        <f aca="false">IF(I1930="Duplicate","Remove",IF(H1930="Mismatch","Exclude","Keep"))</f>
        <v>Keep</v>
      </c>
    </row>
    <row r="1931" customFormat="false" ht="15" hidden="false" customHeight="false" outlineLevel="0" collapsed="false">
      <c r="A1931" s="39" t="s">
        <v>1999</v>
      </c>
      <c r="B1931" s="40" t="n">
        <v>45915</v>
      </c>
      <c r="C1931" s="39" t="s">
        <v>114</v>
      </c>
      <c r="D1931" s="39" t="n">
        <v>1</v>
      </c>
      <c r="E1931" s="41" t="n">
        <v>5.72</v>
      </c>
      <c r="F1931" s="39" t="s">
        <v>118</v>
      </c>
      <c r="G1931" s="39" t="str">
        <f aca="false">UPPER(TRIM(C1931))</f>
        <v>P012</v>
      </c>
      <c r="H1931" s="39" t="str">
        <f aca="false">IF(ISNUMBER(MATCH(G1931,Products!$A$5:$A$24,0)),"OK","Mismatch")</f>
        <v>OK</v>
      </c>
      <c r="I1931" s="39" t="str">
        <f aca="false">IF(COUNTIF($A$5:A1931,A1931)&gt;1,"Duplicate","Unique")</f>
        <v>Unique</v>
      </c>
      <c r="J1931" s="39" t="str">
        <f aca="false">IF(I1931="Duplicate","Remove",IF(H1931="Mismatch","Exclude","Keep"))</f>
        <v>Keep</v>
      </c>
    </row>
    <row r="1932" customFormat="false" ht="15" hidden="false" customHeight="false" outlineLevel="0" collapsed="false">
      <c r="A1932" s="39" t="s">
        <v>2000</v>
      </c>
      <c r="B1932" s="40" t="n">
        <v>45915</v>
      </c>
      <c r="C1932" s="39" t="s">
        <v>139</v>
      </c>
      <c r="D1932" s="39" t="n">
        <v>2</v>
      </c>
      <c r="E1932" s="41" t="n">
        <v>122.59</v>
      </c>
      <c r="F1932" s="39" t="s">
        <v>115</v>
      </c>
      <c r="G1932" s="39" t="str">
        <f aca="false">UPPER(TRIM(C1932))</f>
        <v>P006</v>
      </c>
      <c r="H1932" s="39" t="str">
        <f aca="false">IF(ISNUMBER(MATCH(G1932,Products!$A$5:$A$24,0)),"OK","Mismatch")</f>
        <v>OK</v>
      </c>
      <c r="I1932" s="39" t="str">
        <f aca="false">IF(COUNTIF($A$5:A1932,A1932)&gt;1,"Duplicate","Unique")</f>
        <v>Unique</v>
      </c>
      <c r="J1932" s="39" t="str">
        <f aca="false">IF(I1932="Duplicate","Remove",IF(H1932="Mismatch","Exclude","Keep"))</f>
        <v>Keep</v>
      </c>
    </row>
    <row r="1933" customFormat="false" ht="15" hidden="false" customHeight="false" outlineLevel="0" collapsed="false">
      <c r="A1933" s="39" t="s">
        <v>2001</v>
      </c>
      <c r="B1933" s="40" t="n">
        <v>45915</v>
      </c>
      <c r="C1933" s="39" t="s">
        <v>110</v>
      </c>
      <c r="D1933" s="39" t="n">
        <v>1</v>
      </c>
      <c r="E1933" s="41" t="n">
        <v>13.68</v>
      </c>
      <c r="F1933" s="39" t="s">
        <v>105</v>
      </c>
      <c r="G1933" s="39" t="str">
        <f aca="false">UPPER(TRIM(C1933))</f>
        <v>P016</v>
      </c>
      <c r="H1933" s="39" t="str">
        <f aca="false">IF(ISNUMBER(MATCH(G1933,Products!$A$5:$A$24,0)),"OK","Mismatch")</f>
        <v>OK</v>
      </c>
      <c r="I1933" s="39" t="str">
        <f aca="false">IF(COUNTIF($A$5:A1933,A1933)&gt;1,"Duplicate","Unique")</f>
        <v>Unique</v>
      </c>
      <c r="J1933" s="39" t="str">
        <f aca="false">IF(I1933="Duplicate","Remove",IF(H1933="Mismatch","Exclude","Keep"))</f>
        <v>Keep</v>
      </c>
    </row>
    <row r="1934" customFormat="false" ht="15" hidden="false" customHeight="false" outlineLevel="0" collapsed="false">
      <c r="A1934" s="39" t="s">
        <v>2002</v>
      </c>
      <c r="B1934" s="40" t="n">
        <v>45915</v>
      </c>
      <c r="C1934" s="39" t="s">
        <v>117</v>
      </c>
      <c r="D1934" s="39" t="n">
        <v>1</v>
      </c>
      <c r="E1934" s="41" t="n">
        <v>30.06</v>
      </c>
      <c r="F1934" s="39" t="s">
        <v>108</v>
      </c>
      <c r="G1934" s="39" t="str">
        <f aca="false">UPPER(TRIM(C1934))</f>
        <v>P009</v>
      </c>
      <c r="H1934" s="39" t="str">
        <f aca="false">IF(ISNUMBER(MATCH(G1934,Products!$A$5:$A$24,0)),"OK","Mismatch")</f>
        <v>OK</v>
      </c>
      <c r="I1934" s="39" t="str">
        <f aca="false">IF(COUNTIF($A$5:A1934,A1934)&gt;1,"Duplicate","Unique")</f>
        <v>Unique</v>
      </c>
      <c r="J1934" s="39" t="str">
        <f aca="false">IF(I1934="Duplicate","Remove",IF(H1934="Mismatch","Exclude","Keep"))</f>
        <v>Keep</v>
      </c>
    </row>
    <row r="1935" customFormat="false" ht="15" hidden="false" customHeight="false" outlineLevel="0" collapsed="false">
      <c r="A1935" s="39" t="s">
        <v>2003</v>
      </c>
      <c r="B1935" s="40" t="n">
        <v>45915</v>
      </c>
      <c r="C1935" s="39" t="s">
        <v>139</v>
      </c>
      <c r="D1935" s="39" t="n">
        <v>5</v>
      </c>
      <c r="E1935" s="41" t="n">
        <v>125.41</v>
      </c>
      <c r="F1935" s="39" t="s">
        <v>118</v>
      </c>
      <c r="G1935" s="39" t="str">
        <f aca="false">UPPER(TRIM(C1935))</f>
        <v>P006</v>
      </c>
      <c r="H1935" s="39" t="str">
        <f aca="false">IF(ISNUMBER(MATCH(G1935,Products!$A$5:$A$24,0)),"OK","Mismatch")</f>
        <v>OK</v>
      </c>
      <c r="I1935" s="39" t="str">
        <f aca="false">IF(COUNTIF($A$5:A1935,A1935)&gt;1,"Duplicate","Unique")</f>
        <v>Unique</v>
      </c>
      <c r="J1935" s="39" t="str">
        <f aca="false">IF(I1935="Duplicate","Remove",IF(H1935="Mismatch","Exclude","Keep"))</f>
        <v>Keep</v>
      </c>
    </row>
    <row r="1936" customFormat="false" ht="15" hidden="false" customHeight="false" outlineLevel="0" collapsed="false">
      <c r="A1936" s="39" t="s">
        <v>2004</v>
      </c>
      <c r="B1936" s="40" t="n">
        <v>45915</v>
      </c>
      <c r="C1936" s="39" t="s">
        <v>183</v>
      </c>
      <c r="D1936" s="39" t="n">
        <v>1</v>
      </c>
      <c r="E1936" s="41" t="n">
        <v>180.01</v>
      </c>
      <c r="F1936" s="39" t="s">
        <v>108</v>
      </c>
      <c r="G1936" s="39" t="str">
        <f aca="false">UPPER(TRIM(C1936))</f>
        <v>P007</v>
      </c>
      <c r="H1936" s="39" t="str">
        <f aca="false">IF(ISNUMBER(MATCH(G1936,Products!$A$5:$A$24,0)),"OK","Mismatch")</f>
        <v>OK</v>
      </c>
      <c r="I1936" s="39" t="str">
        <f aca="false">IF(COUNTIF($A$5:A1936,A1936)&gt;1,"Duplicate","Unique")</f>
        <v>Unique</v>
      </c>
      <c r="J1936" s="39" t="str">
        <f aca="false">IF(I1936="Duplicate","Remove",IF(H1936="Mismatch","Exclude","Keep"))</f>
        <v>Keep</v>
      </c>
    </row>
    <row r="1937" customFormat="false" ht="15" hidden="false" customHeight="false" outlineLevel="0" collapsed="false">
      <c r="A1937" s="39" t="s">
        <v>2005</v>
      </c>
      <c r="B1937" s="40" t="n">
        <v>45915</v>
      </c>
      <c r="C1937" s="39" t="s">
        <v>107</v>
      </c>
      <c r="D1937" s="39" t="n">
        <v>1</v>
      </c>
      <c r="E1937" s="41" t="n">
        <v>34.2</v>
      </c>
      <c r="F1937" s="39" t="s">
        <v>105</v>
      </c>
      <c r="G1937" s="39" t="str">
        <f aca="false">UPPER(TRIM(C1937))</f>
        <v>P003</v>
      </c>
      <c r="H1937" s="39" t="str">
        <f aca="false">IF(ISNUMBER(MATCH(G1937,Products!$A$5:$A$24,0)),"OK","Mismatch")</f>
        <v>OK</v>
      </c>
      <c r="I1937" s="39" t="str">
        <f aca="false">IF(COUNTIF($A$5:A1937,A1937)&gt;1,"Duplicate","Unique")</f>
        <v>Unique</v>
      </c>
      <c r="J1937" s="39" t="str">
        <f aca="false">IF(I1937="Duplicate","Remove",IF(H1937="Mismatch","Exclude","Keep"))</f>
        <v>Keep</v>
      </c>
    </row>
    <row r="1938" customFormat="false" ht="15" hidden="false" customHeight="false" outlineLevel="0" collapsed="false">
      <c r="A1938" s="39" t="s">
        <v>2006</v>
      </c>
      <c r="B1938" s="40" t="n">
        <v>45915</v>
      </c>
      <c r="C1938" s="39" t="s">
        <v>110</v>
      </c>
      <c r="D1938" s="39" t="n">
        <v>3</v>
      </c>
      <c r="E1938" s="41" t="n">
        <v>13.19</v>
      </c>
      <c r="F1938" s="39" t="s">
        <v>105</v>
      </c>
      <c r="G1938" s="39" t="str">
        <f aca="false">UPPER(TRIM(C1938))</f>
        <v>P016</v>
      </c>
      <c r="H1938" s="39" t="str">
        <f aca="false">IF(ISNUMBER(MATCH(G1938,Products!$A$5:$A$24,0)),"OK","Mismatch")</f>
        <v>OK</v>
      </c>
      <c r="I1938" s="39" t="str">
        <f aca="false">IF(COUNTIF($A$5:A1938,A1938)&gt;1,"Duplicate","Unique")</f>
        <v>Unique</v>
      </c>
      <c r="J1938" s="39" t="str">
        <f aca="false">IF(I1938="Duplicate","Remove",IF(H1938="Mismatch","Exclude","Keep"))</f>
        <v>Keep</v>
      </c>
    </row>
    <row r="1939" customFormat="false" ht="15" hidden="false" customHeight="false" outlineLevel="0" collapsed="false">
      <c r="A1939" s="39" t="s">
        <v>2007</v>
      </c>
      <c r="B1939" s="40" t="n">
        <v>45915</v>
      </c>
      <c r="C1939" s="39" t="s">
        <v>107</v>
      </c>
      <c r="D1939" s="39" t="n">
        <v>2</v>
      </c>
      <c r="E1939" s="41" t="n">
        <v>33.64</v>
      </c>
      <c r="F1939" s="39" t="s">
        <v>108</v>
      </c>
      <c r="G1939" s="39" t="str">
        <f aca="false">UPPER(TRIM(C1939))</f>
        <v>P003</v>
      </c>
      <c r="H1939" s="39" t="str">
        <f aca="false">IF(ISNUMBER(MATCH(G1939,Products!$A$5:$A$24,0)),"OK","Mismatch")</f>
        <v>OK</v>
      </c>
      <c r="I1939" s="39" t="str">
        <f aca="false">IF(COUNTIF($A$5:A1939,A1939)&gt;1,"Duplicate","Unique")</f>
        <v>Unique</v>
      </c>
      <c r="J1939" s="39" t="str">
        <f aca="false">IF(I1939="Duplicate","Remove",IF(H1939="Mismatch","Exclude","Keep"))</f>
        <v>Keep</v>
      </c>
    </row>
    <row r="1940" customFormat="false" ht="15" hidden="false" customHeight="false" outlineLevel="0" collapsed="false">
      <c r="A1940" s="39" t="s">
        <v>2008</v>
      </c>
      <c r="B1940" s="40" t="n">
        <v>45915</v>
      </c>
      <c r="C1940" s="39" t="s">
        <v>117</v>
      </c>
      <c r="D1940" s="39" t="n">
        <v>2</v>
      </c>
      <c r="E1940" s="41" t="n">
        <v>30.66</v>
      </c>
      <c r="F1940" s="39" t="s">
        <v>118</v>
      </c>
      <c r="G1940" s="39" t="str">
        <f aca="false">UPPER(TRIM(C1940))</f>
        <v>P009</v>
      </c>
      <c r="H1940" s="39" t="str">
        <f aca="false">IF(ISNUMBER(MATCH(G1940,Products!$A$5:$A$24,0)),"OK","Mismatch")</f>
        <v>OK</v>
      </c>
      <c r="I1940" s="39" t="str">
        <f aca="false">IF(COUNTIF($A$5:A1940,A1940)&gt;1,"Duplicate","Unique")</f>
        <v>Unique</v>
      </c>
      <c r="J1940" s="39" t="str">
        <f aca="false">IF(I1940="Duplicate","Remove",IF(H1940="Mismatch","Exclude","Keep"))</f>
        <v>Keep</v>
      </c>
    </row>
    <row r="1941" customFormat="false" ht="15" hidden="false" customHeight="false" outlineLevel="0" collapsed="false">
      <c r="A1941" s="39" t="s">
        <v>2009</v>
      </c>
      <c r="B1941" s="40" t="n">
        <v>45915</v>
      </c>
      <c r="C1941" s="39" t="s">
        <v>126</v>
      </c>
      <c r="D1941" s="39" t="n">
        <v>4</v>
      </c>
      <c r="E1941" s="41" t="n">
        <v>24.58</v>
      </c>
      <c r="F1941" s="39" t="s">
        <v>115</v>
      </c>
      <c r="G1941" s="39" t="str">
        <f aca="false">UPPER(TRIM(C1941))</f>
        <v>P001</v>
      </c>
      <c r="H1941" s="39" t="str">
        <f aca="false">IF(ISNUMBER(MATCH(G1941,Products!$A$5:$A$24,0)),"OK","Mismatch")</f>
        <v>OK</v>
      </c>
      <c r="I1941" s="39" t="str">
        <f aca="false">IF(COUNTIF($A$5:A1941,A1941)&gt;1,"Duplicate","Unique")</f>
        <v>Unique</v>
      </c>
      <c r="J1941" s="39" t="str">
        <f aca="false">IF(I1941="Duplicate","Remove",IF(H1941="Mismatch","Exclude","Keep"))</f>
        <v>Keep</v>
      </c>
    </row>
    <row r="1942" customFormat="false" ht="15" hidden="false" customHeight="false" outlineLevel="0" collapsed="false">
      <c r="A1942" s="39" t="s">
        <v>2010</v>
      </c>
      <c r="B1942" s="40" t="n">
        <v>45916</v>
      </c>
      <c r="C1942" s="39" t="s">
        <v>305</v>
      </c>
      <c r="D1942" s="39" t="n">
        <v>5</v>
      </c>
      <c r="E1942" s="41" t="n">
        <v>326.51</v>
      </c>
      <c r="F1942" s="39" t="s">
        <v>118</v>
      </c>
      <c r="G1942" s="39" t="str">
        <f aca="false">UPPER(TRIM(C1942))</f>
        <v>P008</v>
      </c>
      <c r="H1942" s="39" t="str">
        <f aca="false">IF(ISNUMBER(MATCH(G1942,Products!$A$5:$A$24,0)),"OK","Mismatch")</f>
        <v>OK</v>
      </c>
      <c r="I1942" s="39" t="str">
        <f aca="false">IF(COUNTIF($A$5:A1942,A1942)&gt;1,"Duplicate","Unique")</f>
        <v>Unique</v>
      </c>
      <c r="J1942" s="39" t="str">
        <f aca="false">IF(I1942="Duplicate","Remove",IF(H1942="Mismatch","Exclude","Keep"))</f>
        <v>Keep</v>
      </c>
    </row>
    <row r="1943" customFormat="false" ht="15" hidden="false" customHeight="false" outlineLevel="0" collapsed="false">
      <c r="A1943" s="39" t="s">
        <v>2011</v>
      </c>
      <c r="B1943" s="40" t="n">
        <v>45916</v>
      </c>
      <c r="C1943" s="39" t="s">
        <v>126</v>
      </c>
      <c r="D1943" s="39" t="n">
        <v>3</v>
      </c>
      <c r="E1943" s="41" t="n">
        <v>23.18</v>
      </c>
      <c r="F1943" s="39" t="s">
        <v>108</v>
      </c>
      <c r="G1943" s="39" t="str">
        <f aca="false">UPPER(TRIM(C1943))</f>
        <v>P001</v>
      </c>
      <c r="H1943" s="39" t="str">
        <f aca="false">IF(ISNUMBER(MATCH(G1943,Products!$A$5:$A$24,0)),"OK","Mismatch")</f>
        <v>OK</v>
      </c>
      <c r="I1943" s="39" t="str">
        <f aca="false">IF(COUNTIF($A$5:A1943,A1943)&gt;1,"Duplicate","Unique")</f>
        <v>Unique</v>
      </c>
      <c r="J1943" s="39" t="str">
        <f aca="false">IF(I1943="Duplicate","Remove",IF(H1943="Mismatch","Exclude","Keep"))</f>
        <v>Keep</v>
      </c>
    </row>
    <row r="1944" customFormat="false" ht="15" hidden="false" customHeight="false" outlineLevel="0" collapsed="false">
      <c r="A1944" s="39" t="s">
        <v>2012</v>
      </c>
      <c r="B1944" s="40" t="n">
        <v>45916</v>
      </c>
      <c r="C1944" s="39" t="s">
        <v>136</v>
      </c>
      <c r="D1944" s="39" t="n">
        <v>4</v>
      </c>
      <c r="E1944" s="41" t="n">
        <v>78.92</v>
      </c>
      <c r="F1944" s="39" t="s">
        <v>118</v>
      </c>
      <c r="G1944" s="39" t="str">
        <f aca="false">UPPER(TRIM(C1944))</f>
        <v>P002</v>
      </c>
      <c r="H1944" s="39" t="str">
        <f aca="false">IF(ISNUMBER(MATCH(G1944,Products!$A$5:$A$24,0)),"OK","Mismatch")</f>
        <v>OK</v>
      </c>
      <c r="I1944" s="39" t="str">
        <f aca="false">IF(COUNTIF($A$5:A1944,A1944)&gt;1,"Duplicate","Unique")</f>
        <v>Unique</v>
      </c>
      <c r="J1944" s="39" t="str">
        <f aca="false">IF(I1944="Duplicate","Remove",IF(H1944="Mismatch","Exclude","Keep"))</f>
        <v>Keep</v>
      </c>
    </row>
    <row r="1945" customFormat="false" ht="15" hidden="false" customHeight="false" outlineLevel="0" collapsed="false">
      <c r="A1945" s="39" t="s">
        <v>2013</v>
      </c>
      <c r="B1945" s="40" t="n">
        <v>45916</v>
      </c>
      <c r="C1945" s="39" t="s">
        <v>126</v>
      </c>
      <c r="D1945" s="39" t="n">
        <v>2</v>
      </c>
      <c r="E1945" s="41" t="n">
        <v>24.64</v>
      </c>
      <c r="F1945" s="39" t="s">
        <v>108</v>
      </c>
      <c r="G1945" s="39" t="str">
        <f aca="false">UPPER(TRIM(C1945))</f>
        <v>P001</v>
      </c>
      <c r="H1945" s="39" t="str">
        <f aca="false">IF(ISNUMBER(MATCH(G1945,Products!$A$5:$A$24,0)),"OK","Mismatch")</f>
        <v>OK</v>
      </c>
      <c r="I1945" s="39" t="str">
        <f aca="false">IF(COUNTIF($A$5:A1945,A1945)&gt;1,"Duplicate","Unique")</f>
        <v>Unique</v>
      </c>
      <c r="J1945" s="39" t="str">
        <f aca="false">IF(I1945="Duplicate","Remove",IF(H1945="Mismatch","Exclude","Keep"))</f>
        <v>Keep</v>
      </c>
    </row>
    <row r="1946" customFormat="false" ht="15" hidden="false" customHeight="false" outlineLevel="0" collapsed="false">
      <c r="A1946" s="39" t="s">
        <v>2014</v>
      </c>
      <c r="B1946" s="40" t="n">
        <v>45916</v>
      </c>
      <c r="C1946" s="39" t="s">
        <v>114</v>
      </c>
      <c r="D1946" s="39" t="n">
        <v>1</v>
      </c>
      <c r="E1946" s="41" t="n">
        <v>5.56</v>
      </c>
      <c r="F1946" s="39" t="s">
        <v>108</v>
      </c>
      <c r="G1946" s="39" t="str">
        <f aca="false">UPPER(TRIM(C1946))</f>
        <v>P012</v>
      </c>
      <c r="H1946" s="39" t="str">
        <f aca="false">IF(ISNUMBER(MATCH(G1946,Products!$A$5:$A$24,0)),"OK","Mismatch")</f>
        <v>OK</v>
      </c>
      <c r="I1946" s="39" t="str">
        <f aca="false">IF(COUNTIF($A$5:A1946,A1946)&gt;1,"Duplicate","Unique")</f>
        <v>Unique</v>
      </c>
      <c r="J1946" s="39" t="str">
        <f aca="false">IF(I1946="Duplicate","Remove",IF(H1946="Mismatch","Exclude","Keep"))</f>
        <v>Keep</v>
      </c>
    </row>
    <row r="1947" customFormat="false" ht="15" hidden="false" customHeight="false" outlineLevel="0" collapsed="false">
      <c r="A1947" s="39" t="s">
        <v>2015</v>
      </c>
      <c r="B1947" s="40" t="n">
        <v>45916</v>
      </c>
      <c r="C1947" s="39" t="s">
        <v>130</v>
      </c>
      <c r="D1947" s="39" t="n">
        <v>3</v>
      </c>
      <c r="E1947" s="41" t="n">
        <v>8.93</v>
      </c>
      <c r="F1947" s="39" t="s">
        <v>115</v>
      </c>
      <c r="G1947" s="39" t="str">
        <f aca="false">UPPER(TRIM(C1947))</f>
        <v>P011</v>
      </c>
      <c r="H1947" s="39" t="str">
        <f aca="false">IF(ISNUMBER(MATCH(G1947,Products!$A$5:$A$24,0)),"OK","Mismatch")</f>
        <v>OK</v>
      </c>
      <c r="I1947" s="39" t="str">
        <f aca="false">IF(COUNTIF($A$5:A1947,A1947)&gt;1,"Duplicate","Unique")</f>
        <v>Unique</v>
      </c>
      <c r="J1947" s="39" t="str">
        <f aca="false">IF(I1947="Duplicate","Remove",IF(H1947="Mismatch","Exclude","Keep"))</f>
        <v>Keep</v>
      </c>
    </row>
    <row r="1948" customFormat="false" ht="15" hidden="false" customHeight="false" outlineLevel="0" collapsed="false">
      <c r="A1948" s="39" t="s">
        <v>2016</v>
      </c>
      <c r="B1948" s="40" t="n">
        <v>45916</v>
      </c>
      <c r="C1948" s="39" t="s">
        <v>112</v>
      </c>
      <c r="D1948" s="39" t="n">
        <v>2</v>
      </c>
      <c r="E1948" s="41" t="n">
        <v>52.01</v>
      </c>
      <c r="F1948" s="39" t="s">
        <v>115</v>
      </c>
      <c r="G1948" s="39" t="str">
        <f aca="false">UPPER(TRIM(C1948))</f>
        <v>P005</v>
      </c>
      <c r="H1948" s="39" t="str">
        <f aca="false">IF(ISNUMBER(MATCH(G1948,Products!$A$5:$A$24,0)),"OK","Mismatch")</f>
        <v>OK</v>
      </c>
      <c r="I1948" s="39" t="str">
        <f aca="false">IF(COUNTIF($A$5:A1948,A1948)&gt;1,"Duplicate","Unique")</f>
        <v>Unique</v>
      </c>
      <c r="J1948" s="39" t="str">
        <f aca="false">IF(I1948="Duplicate","Remove",IF(H1948="Mismatch","Exclude","Keep"))</f>
        <v>Keep</v>
      </c>
    </row>
    <row r="1949" customFormat="false" ht="15" hidden="false" customHeight="false" outlineLevel="0" collapsed="false">
      <c r="A1949" s="39" t="s">
        <v>2017</v>
      </c>
      <c r="B1949" s="40" t="n">
        <v>45916</v>
      </c>
      <c r="C1949" s="39" t="s">
        <v>128</v>
      </c>
      <c r="D1949" s="39" t="n">
        <v>1</v>
      </c>
      <c r="E1949" s="41" t="n">
        <v>36.72</v>
      </c>
      <c r="F1949" s="39" t="s">
        <v>105</v>
      </c>
      <c r="G1949" s="39" t="str">
        <f aca="false">UPPER(TRIM(C1949))</f>
        <v>P020</v>
      </c>
      <c r="H1949" s="39" t="str">
        <f aca="false">IF(ISNUMBER(MATCH(G1949,Products!$A$5:$A$24,0)),"OK","Mismatch")</f>
        <v>OK</v>
      </c>
      <c r="I1949" s="39" t="str">
        <f aca="false">IF(COUNTIF($A$5:A1949,A1949)&gt;1,"Duplicate","Unique")</f>
        <v>Unique</v>
      </c>
      <c r="J1949" s="39" t="str">
        <f aca="false">IF(I1949="Duplicate","Remove",IF(H1949="Mismatch","Exclude","Keep"))</f>
        <v>Keep</v>
      </c>
    </row>
    <row r="1950" customFormat="false" ht="15" hidden="false" customHeight="false" outlineLevel="0" collapsed="false">
      <c r="A1950" s="39" t="s">
        <v>2018</v>
      </c>
      <c r="B1950" s="40" t="n">
        <v>45916</v>
      </c>
      <c r="C1950" s="39" t="s">
        <v>117</v>
      </c>
      <c r="D1950" s="39" t="n">
        <v>1</v>
      </c>
      <c r="E1950" s="41" t="n">
        <v>30.35</v>
      </c>
      <c r="F1950" s="39" t="s">
        <v>115</v>
      </c>
      <c r="G1950" s="39" t="str">
        <f aca="false">UPPER(TRIM(C1950))</f>
        <v>P009</v>
      </c>
      <c r="H1950" s="39" t="str">
        <f aca="false">IF(ISNUMBER(MATCH(G1950,Products!$A$5:$A$24,0)),"OK","Mismatch")</f>
        <v>OK</v>
      </c>
      <c r="I1950" s="39" t="str">
        <f aca="false">IF(COUNTIF($A$5:A1950,A1950)&gt;1,"Duplicate","Unique")</f>
        <v>Unique</v>
      </c>
      <c r="J1950" s="39" t="str">
        <f aca="false">IF(I1950="Duplicate","Remove",IF(H1950="Mismatch","Exclude","Keep"))</f>
        <v>Keep</v>
      </c>
    </row>
    <row r="1951" customFormat="false" ht="15" hidden="false" customHeight="false" outlineLevel="0" collapsed="false">
      <c r="A1951" s="39" t="s">
        <v>2019</v>
      </c>
      <c r="B1951" s="40" t="n">
        <v>45916</v>
      </c>
      <c r="C1951" s="39" t="s">
        <v>126</v>
      </c>
      <c r="D1951" s="39" t="n">
        <v>2</v>
      </c>
      <c r="E1951" s="41" t="n">
        <v>23.41</v>
      </c>
      <c r="F1951" s="39" t="s">
        <v>115</v>
      </c>
      <c r="G1951" s="39" t="str">
        <f aca="false">UPPER(TRIM(C1951))</f>
        <v>P001</v>
      </c>
      <c r="H1951" s="39" t="str">
        <f aca="false">IF(ISNUMBER(MATCH(G1951,Products!$A$5:$A$24,0)),"OK","Mismatch")</f>
        <v>OK</v>
      </c>
      <c r="I1951" s="39" t="str">
        <f aca="false">IF(COUNTIF($A$5:A1951,A1951)&gt;1,"Duplicate","Unique")</f>
        <v>Unique</v>
      </c>
      <c r="J1951" s="39" t="str">
        <f aca="false">IF(I1951="Duplicate","Remove",IF(H1951="Mismatch","Exclude","Keep"))</f>
        <v>Keep</v>
      </c>
    </row>
    <row r="1952" customFormat="false" ht="15" hidden="false" customHeight="false" outlineLevel="0" collapsed="false">
      <c r="A1952" s="39" t="s">
        <v>2020</v>
      </c>
      <c r="B1952" s="40" t="n">
        <v>45916</v>
      </c>
      <c r="C1952" s="39" t="s">
        <v>177</v>
      </c>
      <c r="D1952" s="39" t="n">
        <v>8</v>
      </c>
      <c r="E1952" s="41" t="n">
        <v>42.19</v>
      </c>
      <c r="F1952" s="39" t="s">
        <v>108</v>
      </c>
      <c r="G1952" s="39" t="str">
        <f aca="false">UPPER(TRIM(C1952))</f>
        <v>P014</v>
      </c>
      <c r="H1952" s="39" t="str">
        <f aca="false">IF(ISNUMBER(MATCH(G1952,Products!$A$5:$A$24,0)),"OK","Mismatch")</f>
        <v>OK</v>
      </c>
      <c r="I1952" s="39" t="str">
        <f aca="false">IF(COUNTIF($A$5:A1952,A1952)&gt;1,"Duplicate","Unique")</f>
        <v>Unique</v>
      </c>
      <c r="J1952" s="39" t="str">
        <f aca="false">IF(I1952="Duplicate","Remove",IF(H1952="Mismatch","Exclude","Keep"))</f>
        <v>Keep</v>
      </c>
    </row>
    <row r="1953" customFormat="false" ht="15" hidden="false" customHeight="false" outlineLevel="0" collapsed="false">
      <c r="A1953" s="39" t="s">
        <v>2021</v>
      </c>
      <c r="B1953" s="40" t="n">
        <v>45916</v>
      </c>
      <c r="C1953" s="39" t="s">
        <v>133</v>
      </c>
      <c r="D1953" s="39" t="n">
        <v>1</v>
      </c>
      <c r="E1953" s="41" t="n">
        <v>8.49</v>
      </c>
      <c r="F1953" s="39" t="s">
        <v>115</v>
      </c>
      <c r="G1953" s="39" t="str">
        <f aca="false">UPPER(TRIM(C1953))</f>
        <v>P019</v>
      </c>
      <c r="H1953" s="39" t="str">
        <f aca="false">IF(ISNUMBER(MATCH(G1953,Products!$A$5:$A$24,0)),"OK","Mismatch")</f>
        <v>OK</v>
      </c>
      <c r="I1953" s="39" t="str">
        <f aca="false">IF(COUNTIF($A$5:A1953,A1953)&gt;1,"Duplicate","Unique")</f>
        <v>Unique</v>
      </c>
      <c r="J1953" s="39" t="str">
        <f aca="false">IF(I1953="Duplicate","Remove",IF(H1953="Mismatch","Exclude","Keep"))</f>
        <v>Keep</v>
      </c>
    </row>
    <row r="1954" customFormat="false" ht="15" hidden="false" customHeight="false" outlineLevel="0" collapsed="false">
      <c r="A1954" s="39" t="s">
        <v>2022</v>
      </c>
      <c r="B1954" s="40" t="n">
        <v>45916</v>
      </c>
      <c r="C1954" s="39" t="s">
        <v>117</v>
      </c>
      <c r="D1954" s="39" t="n">
        <v>1</v>
      </c>
      <c r="E1954" s="41" t="n">
        <v>31.45</v>
      </c>
      <c r="F1954" s="39" t="s">
        <v>105</v>
      </c>
      <c r="G1954" s="39" t="str">
        <f aca="false">UPPER(TRIM(C1954))</f>
        <v>P009</v>
      </c>
      <c r="H1954" s="39" t="str">
        <f aca="false">IF(ISNUMBER(MATCH(G1954,Products!$A$5:$A$24,0)),"OK","Mismatch")</f>
        <v>OK</v>
      </c>
      <c r="I1954" s="39" t="str">
        <f aca="false">IF(COUNTIF($A$5:A1954,A1954)&gt;1,"Duplicate","Unique")</f>
        <v>Unique</v>
      </c>
      <c r="J1954" s="39" t="str">
        <f aca="false">IF(I1954="Duplicate","Remove",IF(H1954="Mismatch","Exclude","Keep"))</f>
        <v>Keep</v>
      </c>
    </row>
    <row r="1955" customFormat="false" ht="15" hidden="false" customHeight="false" outlineLevel="0" collapsed="false">
      <c r="A1955" s="39" t="s">
        <v>2023</v>
      </c>
      <c r="B1955" s="40" t="n">
        <v>45916</v>
      </c>
      <c r="C1955" s="39" t="s">
        <v>177</v>
      </c>
      <c r="D1955" s="39" t="n">
        <v>2</v>
      </c>
      <c r="E1955" s="41" t="n">
        <v>41.63</v>
      </c>
      <c r="F1955" s="39" t="s">
        <v>118</v>
      </c>
      <c r="G1955" s="39" t="str">
        <f aca="false">UPPER(TRIM(C1955))</f>
        <v>P014</v>
      </c>
      <c r="H1955" s="39" t="str">
        <f aca="false">IF(ISNUMBER(MATCH(G1955,Products!$A$5:$A$24,0)),"OK","Mismatch")</f>
        <v>OK</v>
      </c>
      <c r="I1955" s="39" t="str">
        <f aca="false">IF(COUNTIF($A$5:A1955,A1955)&gt;1,"Duplicate","Unique")</f>
        <v>Unique</v>
      </c>
      <c r="J1955" s="39" t="str">
        <f aca="false">IF(I1955="Duplicate","Remove",IF(H1955="Mismatch","Exclude","Keep"))</f>
        <v>Keep</v>
      </c>
    </row>
    <row r="1956" customFormat="false" ht="15" hidden="false" customHeight="false" outlineLevel="0" collapsed="false">
      <c r="A1956" s="39" t="s">
        <v>2024</v>
      </c>
      <c r="B1956" s="40" t="n">
        <v>45916</v>
      </c>
      <c r="C1956" s="39" t="s">
        <v>139</v>
      </c>
      <c r="D1956" s="39" t="n">
        <v>1</v>
      </c>
      <c r="E1956" s="41" t="n">
        <v>125.25</v>
      </c>
      <c r="F1956" s="39" t="s">
        <v>108</v>
      </c>
      <c r="G1956" s="39" t="str">
        <f aca="false">UPPER(TRIM(C1956))</f>
        <v>P006</v>
      </c>
      <c r="H1956" s="39" t="str">
        <f aca="false">IF(ISNUMBER(MATCH(G1956,Products!$A$5:$A$24,0)),"OK","Mismatch")</f>
        <v>OK</v>
      </c>
      <c r="I1956" s="39" t="str">
        <f aca="false">IF(COUNTIF($A$5:A1956,A1956)&gt;1,"Duplicate","Unique")</f>
        <v>Unique</v>
      </c>
      <c r="J1956" s="39" t="str">
        <f aca="false">IF(I1956="Duplicate","Remove",IF(H1956="Mismatch","Exclude","Keep"))</f>
        <v>Keep</v>
      </c>
    </row>
    <row r="1957" customFormat="false" ht="15" hidden="false" customHeight="false" outlineLevel="0" collapsed="false">
      <c r="A1957" s="39" t="s">
        <v>2025</v>
      </c>
      <c r="B1957" s="40" t="n">
        <v>45916</v>
      </c>
      <c r="C1957" s="39" t="s">
        <v>114</v>
      </c>
      <c r="D1957" s="39" t="n">
        <v>6</v>
      </c>
      <c r="E1957" s="41" t="n">
        <v>5.67</v>
      </c>
      <c r="F1957" s="39" t="s">
        <v>115</v>
      </c>
      <c r="G1957" s="39" t="str">
        <f aca="false">UPPER(TRIM(C1957))</f>
        <v>P012</v>
      </c>
      <c r="H1957" s="39" t="str">
        <f aca="false">IF(ISNUMBER(MATCH(G1957,Products!$A$5:$A$24,0)),"OK","Mismatch")</f>
        <v>OK</v>
      </c>
      <c r="I1957" s="39" t="str">
        <f aca="false">IF(COUNTIF($A$5:A1957,A1957)&gt;1,"Duplicate","Unique")</f>
        <v>Unique</v>
      </c>
      <c r="J1957" s="39" t="str">
        <f aca="false">IF(I1957="Duplicate","Remove",IF(H1957="Mismatch","Exclude","Keep"))</f>
        <v>Keep</v>
      </c>
    </row>
    <row r="1958" customFormat="false" ht="15" hidden="false" customHeight="false" outlineLevel="0" collapsed="false">
      <c r="A1958" s="39" t="s">
        <v>2026</v>
      </c>
      <c r="B1958" s="40" t="n">
        <v>45916</v>
      </c>
      <c r="C1958" s="39" t="s">
        <v>177</v>
      </c>
      <c r="D1958" s="39" t="n">
        <v>2</v>
      </c>
      <c r="E1958" s="41" t="n">
        <v>41.66</v>
      </c>
      <c r="F1958" s="39" t="s">
        <v>105</v>
      </c>
      <c r="G1958" s="39" t="str">
        <f aca="false">UPPER(TRIM(C1958))</f>
        <v>P014</v>
      </c>
      <c r="H1958" s="39" t="str">
        <f aca="false">IF(ISNUMBER(MATCH(G1958,Products!$A$5:$A$24,0)),"OK","Mismatch")</f>
        <v>OK</v>
      </c>
      <c r="I1958" s="39" t="str">
        <f aca="false">IF(COUNTIF($A$5:A1958,A1958)&gt;1,"Duplicate","Unique")</f>
        <v>Unique</v>
      </c>
      <c r="J1958" s="39" t="str">
        <f aca="false">IF(I1958="Duplicate","Remove",IF(H1958="Mismatch","Exclude","Keep"))</f>
        <v>Keep</v>
      </c>
    </row>
    <row r="1959" customFormat="false" ht="15" hidden="false" customHeight="false" outlineLevel="0" collapsed="false">
      <c r="A1959" s="39" t="s">
        <v>2027</v>
      </c>
      <c r="B1959" s="40" t="n">
        <v>45916</v>
      </c>
      <c r="C1959" s="39" t="s">
        <v>177</v>
      </c>
      <c r="D1959" s="39" t="n">
        <v>1</v>
      </c>
      <c r="E1959" s="41" t="n">
        <v>43.95</v>
      </c>
      <c r="F1959" s="39" t="s">
        <v>115</v>
      </c>
      <c r="G1959" s="39" t="str">
        <f aca="false">UPPER(TRIM(C1959))</f>
        <v>P014</v>
      </c>
      <c r="H1959" s="39" t="str">
        <f aca="false">IF(ISNUMBER(MATCH(G1959,Products!$A$5:$A$24,0)),"OK","Mismatch")</f>
        <v>OK</v>
      </c>
      <c r="I1959" s="39" t="str">
        <f aca="false">IF(COUNTIF($A$5:A1959,A1959)&gt;1,"Duplicate","Unique")</f>
        <v>Unique</v>
      </c>
      <c r="J1959" s="39" t="str">
        <f aca="false">IF(I1959="Duplicate","Remove",IF(H1959="Mismatch","Exclude","Keep"))</f>
        <v>Keep</v>
      </c>
    </row>
    <row r="1960" customFormat="false" ht="15" hidden="false" customHeight="false" outlineLevel="0" collapsed="false">
      <c r="A1960" s="39" t="s">
        <v>2028</v>
      </c>
      <c r="B1960" s="40" t="n">
        <v>45916</v>
      </c>
      <c r="C1960" s="39" t="s">
        <v>139</v>
      </c>
      <c r="D1960" s="39" t="n">
        <v>4</v>
      </c>
      <c r="E1960" s="41" t="n">
        <v>123.02</v>
      </c>
      <c r="F1960" s="39" t="s">
        <v>115</v>
      </c>
      <c r="G1960" s="39" t="str">
        <f aca="false">UPPER(TRIM(C1960))</f>
        <v>P006</v>
      </c>
      <c r="H1960" s="39" t="str">
        <f aca="false">IF(ISNUMBER(MATCH(G1960,Products!$A$5:$A$24,0)),"OK","Mismatch")</f>
        <v>OK</v>
      </c>
      <c r="I1960" s="39" t="str">
        <f aca="false">IF(COUNTIF($A$5:A1960,A1960)&gt;1,"Duplicate","Unique")</f>
        <v>Unique</v>
      </c>
      <c r="J1960" s="39" t="str">
        <f aca="false">IF(I1960="Duplicate","Remove",IF(H1960="Mismatch","Exclude","Keep"))</f>
        <v>Keep</v>
      </c>
    </row>
    <row r="1961" customFormat="false" ht="15" hidden="false" customHeight="false" outlineLevel="0" collapsed="false">
      <c r="A1961" s="39" t="s">
        <v>2029</v>
      </c>
      <c r="B1961" s="40" t="n">
        <v>45916</v>
      </c>
      <c r="C1961" s="39" t="s">
        <v>104</v>
      </c>
      <c r="D1961" s="39" t="n">
        <v>1</v>
      </c>
      <c r="E1961" s="41" t="n">
        <v>15.07</v>
      </c>
      <c r="F1961" s="39" t="s">
        <v>118</v>
      </c>
      <c r="G1961" s="39" t="str">
        <f aca="false">UPPER(TRIM(C1961))</f>
        <v>P015</v>
      </c>
      <c r="H1961" s="39" t="str">
        <f aca="false">IF(ISNUMBER(MATCH(G1961,Products!$A$5:$A$24,0)),"OK","Mismatch")</f>
        <v>OK</v>
      </c>
      <c r="I1961" s="39" t="str">
        <f aca="false">IF(COUNTIF($A$5:A1961,A1961)&gt;1,"Duplicate","Unique")</f>
        <v>Unique</v>
      </c>
      <c r="J1961" s="39" t="str">
        <f aca="false">IF(I1961="Duplicate","Remove",IF(H1961="Mismatch","Exclude","Keep"))</f>
        <v>Keep</v>
      </c>
    </row>
    <row r="1962" customFormat="false" ht="15" hidden="false" customHeight="false" outlineLevel="0" collapsed="false">
      <c r="A1962" s="39" t="s">
        <v>2030</v>
      </c>
      <c r="B1962" s="40" t="n">
        <v>45917</v>
      </c>
      <c r="C1962" s="39" t="s">
        <v>133</v>
      </c>
      <c r="D1962" s="39" t="n">
        <v>1</v>
      </c>
      <c r="E1962" s="41" t="n">
        <v>8.62</v>
      </c>
      <c r="F1962" s="39" t="s">
        <v>105</v>
      </c>
      <c r="G1962" s="39" t="str">
        <f aca="false">UPPER(TRIM(C1962))</f>
        <v>P019</v>
      </c>
      <c r="H1962" s="39" t="str">
        <f aca="false">IF(ISNUMBER(MATCH(G1962,Products!$A$5:$A$24,0)),"OK","Mismatch")</f>
        <v>OK</v>
      </c>
      <c r="I1962" s="39" t="str">
        <f aca="false">IF(COUNTIF($A$5:A1962,A1962)&gt;1,"Duplicate","Unique")</f>
        <v>Unique</v>
      </c>
      <c r="J1962" s="39" t="str">
        <f aca="false">IF(I1962="Duplicate","Remove",IF(H1962="Mismatch","Exclude","Keep"))</f>
        <v>Keep</v>
      </c>
    </row>
    <row r="1963" customFormat="false" ht="15" hidden="false" customHeight="false" outlineLevel="0" collapsed="false">
      <c r="A1963" s="39" t="s">
        <v>2031</v>
      </c>
      <c r="B1963" s="40" t="n">
        <v>45917</v>
      </c>
      <c r="C1963" s="39" t="s">
        <v>133</v>
      </c>
      <c r="D1963" s="39" t="n">
        <v>2</v>
      </c>
      <c r="E1963" s="41" t="n">
        <v>8.55</v>
      </c>
      <c r="F1963" s="39" t="s">
        <v>105</v>
      </c>
      <c r="G1963" s="39" t="str">
        <f aca="false">UPPER(TRIM(C1963))</f>
        <v>P019</v>
      </c>
      <c r="H1963" s="39" t="str">
        <f aca="false">IF(ISNUMBER(MATCH(G1963,Products!$A$5:$A$24,0)),"OK","Mismatch")</f>
        <v>OK</v>
      </c>
      <c r="I1963" s="39" t="str">
        <f aca="false">IF(COUNTIF($A$5:A1963,A1963)&gt;1,"Duplicate","Unique")</f>
        <v>Unique</v>
      </c>
      <c r="J1963" s="39" t="str">
        <f aca="false">IF(I1963="Duplicate","Remove",IF(H1963="Mismatch","Exclude","Keep"))</f>
        <v>Keep</v>
      </c>
    </row>
    <row r="1964" customFormat="false" ht="15" hidden="false" customHeight="false" outlineLevel="0" collapsed="false">
      <c r="A1964" s="39" t="s">
        <v>2031</v>
      </c>
      <c r="B1964" s="40" t="n">
        <v>45917</v>
      </c>
      <c r="C1964" s="39" t="s">
        <v>133</v>
      </c>
      <c r="D1964" s="39" t="n">
        <v>2</v>
      </c>
      <c r="E1964" s="41" t="n">
        <v>8.55</v>
      </c>
      <c r="F1964" s="39" t="s">
        <v>105</v>
      </c>
      <c r="G1964" s="39" t="str">
        <f aca="false">UPPER(TRIM(C1964))</f>
        <v>P019</v>
      </c>
      <c r="H1964" s="39" t="str">
        <f aca="false">IF(ISNUMBER(MATCH(G1964,Products!$A$5:$A$24,0)),"OK","Mismatch")</f>
        <v>OK</v>
      </c>
      <c r="I1964" s="39" t="str">
        <f aca="false">IF(COUNTIF($A$5:A1964,A1964)&gt;1,"Duplicate","Unique")</f>
        <v>Duplicate</v>
      </c>
      <c r="J1964" s="39" t="str">
        <f aca="false">IF(I1964="Duplicate","Remove",IF(H1964="Mismatch","Exclude","Keep"))</f>
        <v>Remove</v>
      </c>
    </row>
    <row r="1965" customFormat="false" ht="15" hidden="false" customHeight="false" outlineLevel="0" collapsed="false">
      <c r="A1965" s="39" t="s">
        <v>2032</v>
      </c>
      <c r="B1965" s="40" t="n">
        <v>45917</v>
      </c>
      <c r="C1965" s="39" t="s">
        <v>130</v>
      </c>
      <c r="D1965" s="39" t="n">
        <v>1</v>
      </c>
      <c r="E1965" s="41" t="n">
        <v>8.69</v>
      </c>
      <c r="F1965" s="39" t="s">
        <v>108</v>
      </c>
      <c r="G1965" s="39" t="str">
        <f aca="false">UPPER(TRIM(C1965))</f>
        <v>P011</v>
      </c>
      <c r="H1965" s="39" t="str">
        <f aca="false">IF(ISNUMBER(MATCH(G1965,Products!$A$5:$A$24,0)),"OK","Mismatch")</f>
        <v>OK</v>
      </c>
      <c r="I1965" s="39" t="str">
        <f aca="false">IF(COUNTIF($A$5:A1965,A1965)&gt;1,"Duplicate","Unique")</f>
        <v>Unique</v>
      </c>
      <c r="J1965" s="39" t="str">
        <f aca="false">IF(I1965="Duplicate","Remove",IF(H1965="Mismatch","Exclude","Keep"))</f>
        <v>Keep</v>
      </c>
    </row>
    <row r="1966" customFormat="false" ht="15" hidden="false" customHeight="false" outlineLevel="0" collapsed="false">
      <c r="A1966" s="39" t="s">
        <v>2033</v>
      </c>
      <c r="B1966" s="40" t="n">
        <v>45917</v>
      </c>
      <c r="C1966" s="39" t="s">
        <v>117</v>
      </c>
      <c r="D1966" s="39" t="n">
        <v>3</v>
      </c>
      <c r="E1966" s="41" t="n">
        <v>30.3</v>
      </c>
      <c r="F1966" s="39" t="s">
        <v>115</v>
      </c>
      <c r="G1966" s="39" t="str">
        <f aca="false">UPPER(TRIM(C1966))</f>
        <v>P009</v>
      </c>
      <c r="H1966" s="39" t="str">
        <f aca="false">IF(ISNUMBER(MATCH(G1966,Products!$A$5:$A$24,0)),"OK","Mismatch")</f>
        <v>OK</v>
      </c>
      <c r="I1966" s="39" t="str">
        <f aca="false">IF(COUNTIF($A$5:A1966,A1966)&gt;1,"Duplicate","Unique")</f>
        <v>Unique</v>
      </c>
      <c r="J1966" s="39" t="str">
        <f aca="false">IF(I1966="Duplicate","Remove",IF(H1966="Mismatch","Exclude","Keep"))</f>
        <v>Keep</v>
      </c>
    </row>
    <row r="1967" customFormat="false" ht="15" hidden="false" customHeight="false" outlineLevel="0" collapsed="false">
      <c r="A1967" s="39" t="s">
        <v>2034</v>
      </c>
      <c r="B1967" s="40" t="n">
        <v>45917</v>
      </c>
      <c r="C1967" s="39" t="s">
        <v>104</v>
      </c>
      <c r="D1967" s="39" t="n">
        <v>4</v>
      </c>
      <c r="E1967" s="41" t="n">
        <v>15.48</v>
      </c>
      <c r="F1967" s="39" t="s">
        <v>105</v>
      </c>
      <c r="G1967" s="39" t="str">
        <f aca="false">UPPER(TRIM(C1967))</f>
        <v>P015</v>
      </c>
      <c r="H1967" s="39" t="str">
        <f aca="false">IF(ISNUMBER(MATCH(G1967,Products!$A$5:$A$24,0)),"OK","Mismatch")</f>
        <v>OK</v>
      </c>
      <c r="I1967" s="39" t="str">
        <f aca="false">IF(COUNTIF($A$5:A1967,A1967)&gt;1,"Duplicate","Unique")</f>
        <v>Unique</v>
      </c>
      <c r="J1967" s="39" t="str">
        <f aca="false">IF(I1967="Duplicate","Remove",IF(H1967="Mismatch","Exclude","Keep"))</f>
        <v>Keep</v>
      </c>
    </row>
    <row r="1968" customFormat="false" ht="15" hidden="false" customHeight="false" outlineLevel="0" collapsed="false">
      <c r="A1968" s="39" t="s">
        <v>2035</v>
      </c>
      <c r="B1968" s="40" t="n">
        <v>45917</v>
      </c>
      <c r="C1968" s="39" t="s">
        <v>110</v>
      </c>
      <c r="D1968" s="39" t="n">
        <v>1</v>
      </c>
      <c r="E1968" s="41" t="n">
        <v>13.82</v>
      </c>
      <c r="F1968" s="39" t="s">
        <v>105</v>
      </c>
      <c r="G1968" s="39" t="str">
        <f aca="false">UPPER(TRIM(C1968))</f>
        <v>P016</v>
      </c>
      <c r="H1968" s="39" t="str">
        <f aca="false">IF(ISNUMBER(MATCH(G1968,Products!$A$5:$A$24,0)),"OK","Mismatch")</f>
        <v>OK</v>
      </c>
      <c r="I1968" s="39" t="str">
        <f aca="false">IF(COUNTIF($A$5:A1968,A1968)&gt;1,"Duplicate","Unique")</f>
        <v>Unique</v>
      </c>
      <c r="J1968" s="39" t="str">
        <f aca="false">IF(I1968="Duplicate","Remove",IF(H1968="Mismatch","Exclude","Keep"))</f>
        <v>Keep</v>
      </c>
    </row>
    <row r="1969" customFormat="false" ht="15" hidden="false" customHeight="false" outlineLevel="0" collapsed="false">
      <c r="A1969" s="39" t="s">
        <v>2036</v>
      </c>
      <c r="B1969" s="40" t="n">
        <v>45918</v>
      </c>
      <c r="C1969" s="39" t="s">
        <v>136</v>
      </c>
      <c r="D1969" s="39" t="n">
        <v>4</v>
      </c>
      <c r="E1969" s="41" t="n">
        <v>72.97</v>
      </c>
      <c r="F1969" s="39" t="s">
        <v>115</v>
      </c>
      <c r="G1969" s="39" t="str">
        <f aca="false">UPPER(TRIM(C1969))</f>
        <v>P002</v>
      </c>
      <c r="H1969" s="39" t="str">
        <f aca="false">IF(ISNUMBER(MATCH(G1969,Products!$A$5:$A$24,0)),"OK","Mismatch")</f>
        <v>OK</v>
      </c>
      <c r="I1969" s="39" t="str">
        <f aca="false">IF(COUNTIF($A$5:A1969,A1969)&gt;1,"Duplicate","Unique")</f>
        <v>Unique</v>
      </c>
      <c r="J1969" s="39" t="str">
        <f aca="false">IF(I1969="Duplicate","Remove",IF(H1969="Mismatch","Exclude","Keep"))</f>
        <v>Keep</v>
      </c>
    </row>
    <row r="1970" customFormat="false" ht="15" hidden="false" customHeight="false" outlineLevel="0" collapsed="false">
      <c r="A1970" s="39" t="s">
        <v>2037</v>
      </c>
      <c r="B1970" s="40" t="n">
        <v>45918</v>
      </c>
      <c r="C1970" s="39" t="s">
        <v>110</v>
      </c>
      <c r="D1970" s="39" t="n">
        <v>4</v>
      </c>
      <c r="E1970" s="41" t="n">
        <v>13.68</v>
      </c>
      <c r="F1970" s="39" t="s">
        <v>115</v>
      </c>
      <c r="G1970" s="39" t="str">
        <f aca="false">UPPER(TRIM(C1970))</f>
        <v>P016</v>
      </c>
      <c r="H1970" s="39" t="str">
        <f aca="false">IF(ISNUMBER(MATCH(G1970,Products!$A$5:$A$24,0)),"OK","Mismatch")</f>
        <v>OK</v>
      </c>
      <c r="I1970" s="39" t="str">
        <f aca="false">IF(COUNTIF($A$5:A1970,A1970)&gt;1,"Duplicate","Unique")</f>
        <v>Unique</v>
      </c>
      <c r="J1970" s="39" t="str">
        <f aca="false">IF(I1970="Duplicate","Remove",IF(H1970="Mismatch","Exclude","Keep"))</f>
        <v>Keep</v>
      </c>
    </row>
    <row r="1971" customFormat="false" ht="15" hidden="false" customHeight="false" outlineLevel="0" collapsed="false">
      <c r="A1971" s="39" t="s">
        <v>2038</v>
      </c>
      <c r="B1971" s="40" t="n">
        <v>45918</v>
      </c>
      <c r="C1971" s="39" t="s">
        <v>110</v>
      </c>
      <c r="D1971" s="39" t="n">
        <v>8</v>
      </c>
      <c r="E1971" s="41" t="n">
        <v>13.92</v>
      </c>
      <c r="F1971" s="39" t="s">
        <v>108</v>
      </c>
      <c r="G1971" s="39" t="str">
        <f aca="false">UPPER(TRIM(C1971))</f>
        <v>P016</v>
      </c>
      <c r="H1971" s="39" t="str">
        <f aca="false">IF(ISNUMBER(MATCH(G1971,Products!$A$5:$A$24,0)),"OK","Mismatch")</f>
        <v>OK</v>
      </c>
      <c r="I1971" s="39" t="str">
        <f aca="false">IF(COUNTIF($A$5:A1971,A1971)&gt;1,"Duplicate","Unique")</f>
        <v>Unique</v>
      </c>
      <c r="J1971" s="39" t="str">
        <f aca="false">IF(I1971="Duplicate","Remove",IF(H1971="Mismatch","Exclude","Keep"))</f>
        <v>Keep</v>
      </c>
    </row>
    <row r="1972" customFormat="false" ht="15" hidden="false" customHeight="false" outlineLevel="0" collapsed="false">
      <c r="A1972" s="39" t="s">
        <v>2039</v>
      </c>
      <c r="B1972" s="40" t="n">
        <v>45918</v>
      </c>
      <c r="C1972" s="39" t="s">
        <v>177</v>
      </c>
      <c r="D1972" s="39" t="n">
        <v>4</v>
      </c>
      <c r="E1972" s="41" t="n">
        <v>44.14</v>
      </c>
      <c r="F1972" s="39" t="s">
        <v>105</v>
      </c>
      <c r="G1972" s="39" t="str">
        <f aca="false">UPPER(TRIM(C1972))</f>
        <v>P014</v>
      </c>
      <c r="H1972" s="39" t="str">
        <f aca="false">IF(ISNUMBER(MATCH(G1972,Products!$A$5:$A$24,0)),"OK","Mismatch")</f>
        <v>OK</v>
      </c>
      <c r="I1972" s="39" t="str">
        <f aca="false">IF(COUNTIF($A$5:A1972,A1972)&gt;1,"Duplicate","Unique")</f>
        <v>Unique</v>
      </c>
      <c r="J1972" s="39" t="str">
        <f aca="false">IF(I1972="Duplicate","Remove",IF(H1972="Mismatch","Exclude","Keep"))</f>
        <v>Keep</v>
      </c>
    </row>
    <row r="1973" customFormat="false" ht="15" hidden="false" customHeight="false" outlineLevel="0" collapsed="false">
      <c r="A1973" s="39" t="s">
        <v>2040</v>
      </c>
      <c r="B1973" s="40" t="n">
        <v>45918</v>
      </c>
      <c r="C1973" s="39" t="s">
        <v>126</v>
      </c>
      <c r="D1973" s="39" t="n">
        <v>1</v>
      </c>
      <c r="E1973" s="41" t="n">
        <v>23.28</v>
      </c>
      <c r="F1973" s="39" t="s">
        <v>118</v>
      </c>
      <c r="G1973" s="39" t="str">
        <f aca="false">UPPER(TRIM(C1973))</f>
        <v>P001</v>
      </c>
      <c r="H1973" s="39" t="str">
        <f aca="false">IF(ISNUMBER(MATCH(G1973,Products!$A$5:$A$24,0)),"OK","Mismatch")</f>
        <v>OK</v>
      </c>
      <c r="I1973" s="39" t="str">
        <f aca="false">IF(COUNTIF($A$5:A1973,A1973)&gt;1,"Duplicate","Unique")</f>
        <v>Unique</v>
      </c>
      <c r="J1973" s="39" t="str">
        <f aca="false">IF(I1973="Duplicate","Remove",IF(H1973="Mismatch","Exclude","Keep"))</f>
        <v>Keep</v>
      </c>
    </row>
    <row r="1974" customFormat="false" ht="15" hidden="false" customHeight="false" outlineLevel="0" collapsed="false">
      <c r="A1974" s="39" t="s">
        <v>2041</v>
      </c>
      <c r="B1974" s="40" t="n">
        <v>45918</v>
      </c>
      <c r="C1974" s="39" t="s">
        <v>107</v>
      </c>
      <c r="D1974" s="39" t="n">
        <v>8</v>
      </c>
      <c r="E1974" s="41" t="n">
        <v>34.63</v>
      </c>
      <c r="F1974" s="39" t="s">
        <v>108</v>
      </c>
      <c r="G1974" s="39" t="str">
        <f aca="false">UPPER(TRIM(C1974))</f>
        <v>P003</v>
      </c>
      <c r="H1974" s="39" t="str">
        <f aca="false">IF(ISNUMBER(MATCH(G1974,Products!$A$5:$A$24,0)),"OK","Mismatch")</f>
        <v>OK</v>
      </c>
      <c r="I1974" s="39" t="str">
        <f aca="false">IF(COUNTIF($A$5:A1974,A1974)&gt;1,"Duplicate","Unique")</f>
        <v>Unique</v>
      </c>
      <c r="J1974" s="39" t="str">
        <f aca="false">IF(I1974="Duplicate","Remove",IF(H1974="Mismatch","Exclude","Keep"))</f>
        <v>Keep</v>
      </c>
    </row>
    <row r="1975" customFormat="false" ht="15" hidden="false" customHeight="false" outlineLevel="0" collapsed="false">
      <c r="A1975" s="39" t="s">
        <v>2042</v>
      </c>
      <c r="B1975" s="40" t="n">
        <v>45918</v>
      </c>
      <c r="C1975" s="39" t="s">
        <v>104</v>
      </c>
      <c r="D1975" s="39" t="n">
        <v>1</v>
      </c>
      <c r="E1975" s="41" t="n">
        <v>15.77</v>
      </c>
      <c r="F1975" s="39" t="s">
        <v>108</v>
      </c>
      <c r="G1975" s="39" t="str">
        <f aca="false">UPPER(TRIM(C1975))</f>
        <v>P015</v>
      </c>
      <c r="H1975" s="39" t="str">
        <f aca="false">IF(ISNUMBER(MATCH(G1975,Products!$A$5:$A$24,0)),"OK","Mismatch")</f>
        <v>OK</v>
      </c>
      <c r="I1975" s="39" t="str">
        <f aca="false">IF(COUNTIF($A$5:A1975,A1975)&gt;1,"Duplicate","Unique")</f>
        <v>Unique</v>
      </c>
      <c r="J1975" s="39" t="str">
        <f aca="false">IF(I1975="Duplicate","Remove",IF(H1975="Mismatch","Exclude","Keep"))</f>
        <v>Keep</v>
      </c>
    </row>
    <row r="1976" customFormat="false" ht="15" hidden="false" customHeight="false" outlineLevel="0" collapsed="false">
      <c r="A1976" s="39" t="s">
        <v>2043</v>
      </c>
      <c r="B1976" s="40" t="n">
        <v>45918</v>
      </c>
      <c r="C1976" s="39" t="s">
        <v>183</v>
      </c>
      <c r="D1976" s="39" t="n">
        <v>2</v>
      </c>
      <c r="E1976" s="41" t="n">
        <v>187.37</v>
      </c>
      <c r="F1976" s="39" t="s">
        <v>108</v>
      </c>
      <c r="G1976" s="39" t="str">
        <f aca="false">UPPER(TRIM(C1976))</f>
        <v>P007</v>
      </c>
      <c r="H1976" s="39" t="str">
        <f aca="false">IF(ISNUMBER(MATCH(G1976,Products!$A$5:$A$24,0)),"OK","Mismatch")</f>
        <v>OK</v>
      </c>
      <c r="I1976" s="39" t="str">
        <f aca="false">IF(COUNTIF($A$5:A1976,A1976)&gt;1,"Duplicate","Unique")</f>
        <v>Unique</v>
      </c>
      <c r="J1976" s="39" t="str">
        <f aca="false">IF(I1976="Duplicate","Remove",IF(H1976="Mismatch","Exclude","Keep"))</f>
        <v>Keep</v>
      </c>
    </row>
    <row r="1977" customFormat="false" ht="15" hidden="false" customHeight="false" outlineLevel="0" collapsed="false">
      <c r="A1977" s="39" t="s">
        <v>2044</v>
      </c>
      <c r="B1977" s="40" t="n">
        <v>45918</v>
      </c>
      <c r="C1977" s="39" t="s">
        <v>169</v>
      </c>
      <c r="D1977" s="39" t="n">
        <v>3</v>
      </c>
      <c r="E1977" s="41" t="n">
        <v>27.91</v>
      </c>
      <c r="F1977" s="39" t="s">
        <v>118</v>
      </c>
      <c r="G1977" s="39" t="str">
        <f aca="false">UPPER(TRIM(C1977))</f>
        <v>P004</v>
      </c>
      <c r="H1977" s="39" t="str">
        <f aca="false">IF(ISNUMBER(MATCH(G1977,Products!$A$5:$A$24,0)),"OK","Mismatch")</f>
        <v>OK</v>
      </c>
      <c r="I1977" s="39" t="str">
        <f aca="false">IF(COUNTIF($A$5:A1977,A1977)&gt;1,"Duplicate","Unique")</f>
        <v>Unique</v>
      </c>
      <c r="J1977" s="39" t="str">
        <f aca="false">IF(I1977="Duplicate","Remove",IF(H1977="Mismatch","Exclude","Keep"))</f>
        <v>Keep</v>
      </c>
    </row>
    <row r="1978" customFormat="false" ht="15" hidden="false" customHeight="false" outlineLevel="0" collapsed="false">
      <c r="A1978" s="39" t="s">
        <v>2045</v>
      </c>
      <c r="B1978" s="40" t="n">
        <v>45918</v>
      </c>
      <c r="C1978" s="39" t="s">
        <v>130</v>
      </c>
      <c r="D1978" s="39" t="n">
        <v>1</v>
      </c>
      <c r="E1978" s="41" t="n">
        <v>8.77</v>
      </c>
      <c r="F1978" s="39" t="s">
        <v>118</v>
      </c>
      <c r="G1978" s="39" t="str">
        <f aca="false">UPPER(TRIM(C1978))</f>
        <v>P011</v>
      </c>
      <c r="H1978" s="39" t="str">
        <f aca="false">IF(ISNUMBER(MATCH(G1978,Products!$A$5:$A$24,0)),"OK","Mismatch")</f>
        <v>OK</v>
      </c>
      <c r="I1978" s="39" t="str">
        <f aca="false">IF(COUNTIF($A$5:A1978,A1978)&gt;1,"Duplicate","Unique")</f>
        <v>Unique</v>
      </c>
      <c r="J1978" s="39" t="str">
        <f aca="false">IF(I1978="Duplicate","Remove",IF(H1978="Mismatch","Exclude","Keep"))</f>
        <v>Keep</v>
      </c>
    </row>
    <row r="1979" customFormat="false" ht="15" hidden="false" customHeight="false" outlineLevel="0" collapsed="false">
      <c r="A1979" s="39" t="s">
        <v>2046</v>
      </c>
      <c r="B1979" s="40" t="n">
        <v>45918</v>
      </c>
      <c r="C1979" s="39" t="s">
        <v>183</v>
      </c>
      <c r="D1979" s="39" t="n">
        <v>4</v>
      </c>
      <c r="E1979" s="41" t="n">
        <v>176.63</v>
      </c>
      <c r="F1979" s="39" t="s">
        <v>108</v>
      </c>
      <c r="G1979" s="39" t="str">
        <f aca="false">UPPER(TRIM(C1979))</f>
        <v>P007</v>
      </c>
      <c r="H1979" s="39" t="str">
        <f aca="false">IF(ISNUMBER(MATCH(G1979,Products!$A$5:$A$24,0)),"OK","Mismatch")</f>
        <v>OK</v>
      </c>
      <c r="I1979" s="39" t="str">
        <f aca="false">IF(COUNTIF($A$5:A1979,A1979)&gt;1,"Duplicate","Unique")</f>
        <v>Unique</v>
      </c>
      <c r="J1979" s="39" t="str">
        <f aca="false">IF(I1979="Duplicate","Remove",IF(H1979="Mismatch","Exclude","Keep"))</f>
        <v>Keep</v>
      </c>
    </row>
    <row r="1980" customFormat="false" ht="15" hidden="false" customHeight="false" outlineLevel="0" collapsed="false">
      <c r="A1980" s="39" t="s">
        <v>2047</v>
      </c>
      <c r="B1980" s="40" t="n">
        <v>45919</v>
      </c>
      <c r="C1980" s="39" t="s">
        <v>107</v>
      </c>
      <c r="D1980" s="39" t="n">
        <v>4</v>
      </c>
      <c r="E1980" s="41" t="n">
        <v>33.91</v>
      </c>
      <c r="F1980" s="39" t="s">
        <v>118</v>
      </c>
      <c r="G1980" s="39" t="str">
        <f aca="false">UPPER(TRIM(C1980))</f>
        <v>P003</v>
      </c>
      <c r="H1980" s="39" t="str">
        <f aca="false">IF(ISNUMBER(MATCH(G1980,Products!$A$5:$A$24,0)),"OK","Mismatch")</f>
        <v>OK</v>
      </c>
      <c r="I1980" s="39" t="str">
        <f aca="false">IF(COUNTIF($A$5:A1980,A1980)&gt;1,"Duplicate","Unique")</f>
        <v>Unique</v>
      </c>
      <c r="J1980" s="39" t="str">
        <f aca="false">IF(I1980="Duplicate","Remove",IF(H1980="Mismatch","Exclude","Keep"))</f>
        <v>Keep</v>
      </c>
    </row>
    <row r="1981" customFormat="false" ht="15" hidden="false" customHeight="false" outlineLevel="0" collapsed="false">
      <c r="A1981" s="39" t="s">
        <v>2048</v>
      </c>
      <c r="B1981" s="40" t="n">
        <v>45919</v>
      </c>
      <c r="C1981" s="39" t="s">
        <v>144</v>
      </c>
      <c r="D1981" s="39" t="n">
        <v>5</v>
      </c>
      <c r="E1981" s="41" t="n">
        <v>54.44</v>
      </c>
      <c r="F1981" s="39" t="s">
        <v>105</v>
      </c>
      <c r="G1981" s="39" t="str">
        <f aca="false">UPPER(TRIM(C1981))</f>
        <v>P013</v>
      </c>
      <c r="H1981" s="39" t="str">
        <f aca="false">IF(ISNUMBER(MATCH(G1981,Products!$A$5:$A$24,0)),"OK","Mismatch")</f>
        <v>OK</v>
      </c>
      <c r="I1981" s="39" t="str">
        <f aca="false">IF(COUNTIF($A$5:A1981,A1981)&gt;1,"Duplicate","Unique")</f>
        <v>Unique</v>
      </c>
      <c r="J1981" s="39" t="str">
        <f aca="false">IF(I1981="Duplicate","Remove",IF(H1981="Mismatch","Exclude","Keep"))</f>
        <v>Keep</v>
      </c>
    </row>
    <row r="1982" customFormat="false" ht="15" hidden="false" customHeight="false" outlineLevel="0" collapsed="false">
      <c r="A1982" s="39" t="s">
        <v>2049</v>
      </c>
      <c r="B1982" s="40" t="n">
        <v>45919</v>
      </c>
      <c r="C1982" s="39" t="s">
        <v>130</v>
      </c>
      <c r="D1982" s="39" t="n">
        <v>3</v>
      </c>
      <c r="E1982" s="41" t="n">
        <v>8.59</v>
      </c>
      <c r="F1982" s="39" t="s">
        <v>108</v>
      </c>
      <c r="G1982" s="39" t="str">
        <f aca="false">UPPER(TRIM(C1982))</f>
        <v>P011</v>
      </c>
      <c r="H1982" s="39" t="str">
        <f aca="false">IF(ISNUMBER(MATCH(G1982,Products!$A$5:$A$24,0)),"OK","Mismatch")</f>
        <v>OK</v>
      </c>
      <c r="I1982" s="39" t="str">
        <f aca="false">IF(COUNTIF($A$5:A1982,A1982)&gt;1,"Duplicate","Unique")</f>
        <v>Unique</v>
      </c>
      <c r="J1982" s="39" t="str">
        <f aca="false">IF(I1982="Duplicate","Remove",IF(H1982="Mismatch","Exclude","Keep"))</f>
        <v>Keep</v>
      </c>
    </row>
    <row r="1983" customFormat="false" ht="15" hidden="false" customHeight="false" outlineLevel="0" collapsed="false">
      <c r="A1983" s="39" t="s">
        <v>2050</v>
      </c>
      <c r="B1983" s="40" t="n">
        <v>45919</v>
      </c>
      <c r="C1983" s="39" t="s">
        <v>107</v>
      </c>
      <c r="D1983" s="39" t="n">
        <v>3</v>
      </c>
      <c r="E1983" s="41" t="n">
        <v>34.46</v>
      </c>
      <c r="F1983" s="39" t="s">
        <v>118</v>
      </c>
      <c r="G1983" s="39" t="str">
        <f aca="false">UPPER(TRIM(C1983))</f>
        <v>P003</v>
      </c>
      <c r="H1983" s="39" t="str">
        <f aca="false">IF(ISNUMBER(MATCH(G1983,Products!$A$5:$A$24,0)),"OK","Mismatch")</f>
        <v>OK</v>
      </c>
      <c r="I1983" s="39" t="str">
        <f aca="false">IF(COUNTIF($A$5:A1983,A1983)&gt;1,"Duplicate","Unique")</f>
        <v>Unique</v>
      </c>
      <c r="J1983" s="39" t="str">
        <f aca="false">IF(I1983="Duplicate","Remove",IF(H1983="Mismatch","Exclude","Keep"))</f>
        <v>Keep</v>
      </c>
    </row>
    <row r="1984" customFormat="false" ht="15" hidden="false" customHeight="false" outlineLevel="0" collapsed="false">
      <c r="A1984" s="39" t="s">
        <v>2051</v>
      </c>
      <c r="B1984" s="40" t="n">
        <v>45919</v>
      </c>
      <c r="C1984" s="39" t="s">
        <v>114</v>
      </c>
      <c r="D1984" s="39" t="n">
        <v>5</v>
      </c>
      <c r="E1984" s="41" t="n">
        <v>5.55</v>
      </c>
      <c r="F1984" s="39" t="s">
        <v>108</v>
      </c>
      <c r="G1984" s="39" t="str">
        <f aca="false">UPPER(TRIM(C1984))</f>
        <v>P012</v>
      </c>
      <c r="H1984" s="39" t="str">
        <f aca="false">IF(ISNUMBER(MATCH(G1984,Products!$A$5:$A$24,0)),"OK","Mismatch")</f>
        <v>OK</v>
      </c>
      <c r="I1984" s="39" t="str">
        <f aca="false">IF(COUNTIF($A$5:A1984,A1984)&gt;1,"Duplicate","Unique")</f>
        <v>Unique</v>
      </c>
      <c r="J1984" s="39" t="str">
        <f aca="false">IF(I1984="Duplicate","Remove",IF(H1984="Mismatch","Exclude","Keep"))</f>
        <v>Keep</v>
      </c>
    </row>
    <row r="1985" customFormat="false" ht="15" hidden="false" customHeight="false" outlineLevel="0" collapsed="false">
      <c r="A1985" s="39" t="s">
        <v>2052</v>
      </c>
      <c r="B1985" s="40" t="n">
        <v>45919</v>
      </c>
      <c r="C1985" s="39" t="s">
        <v>110</v>
      </c>
      <c r="D1985" s="39" t="n">
        <v>8</v>
      </c>
      <c r="E1985" s="41" t="n">
        <v>12.89</v>
      </c>
      <c r="F1985" s="39" t="s">
        <v>118</v>
      </c>
      <c r="G1985" s="39" t="str">
        <f aca="false">UPPER(TRIM(C1985))</f>
        <v>P016</v>
      </c>
      <c r="H1985" s="39" t="str">
        <f aca="false">IF(ISNUMBER(MATCH(G1985,Products!$A$5:$A$24,0)),"OK","Mismatch")</f>
        <v>OK</v>
      </c>
      <c r="I1985" s="39" t="str">
        <f aca="false">IF(COUNTIF($A$5:A1985,A1985)&gt;1,"Duplicate","Unique")</f>
        <v>Unique</v>
      </c>
      <c r="J1985" s="39" t="str">
        <f aca="false">IF(I1985="Duplicate","Remove",IF(H1985="Mismatch","Exclude","Keep"))</f>
        <v>Keep</v>
      </c>
    </row>
    <row r="1986" customFormat="false" ht="15" hidden="false" customHeight="false" outlineLevel="0" collapsed="false">
      <c r="A1986" s="39" t="s">
        <v>2053</v>
      </c>
      <c r="B1986" s="40" t="n">
        <v>45919</v>
      </c>
      <c r="C1986" s="39" t="s">
        <v>169</v>
      </c>
      <c r="D1986" s="39" t="n">
        <v>5</v>
      </c>
      <c r="E1986" s="41" t="n">
        <v>28.49</v>
      </c>
      <c r="F1986" s="39" t="s">
        <v>115</v>
      </c>
      <c r="G1986" s="39" t="str">
        <f aca="false">UPPER(TRIM(C1986))</f>
        <v>P004</v>
      </c>
      <c r="H1986" s="39" t="str">
        <f aca="false">IF(ISNUMBER(MATCH(G1986,Products!$A$5:$A$24,0)),"OK","Mismatch")</f>
        <v>OK</v>
      </c>
      <c r="I1986" s="39" t="str">
        <f aca="false">IF(COUNTIF($A$5:A1986,A1986)&gt;1,"Duplicate","Unique")</f>
        <v>Unique</v>
      </c>
      <c r="J1986" s="39" t="str">
        <f aca="false">IF(I1986="Duplicate","Remove",IF(H1986="Mismatch","Exclude","Keep"))</f>
        <v>Keep</v>
      </c>
    </row>
    <row r="1987" customFormat="false" ht="15" hidden="false" customHeight="false" outlineLevel="0" collapsed="false">
      <c r="A1987" s="39" t="s">
        <v>2054</v>
      </c>
      <c r="B1987" s="40" t="n">
        <v>45919</v>
      </c>
      <c r="C1987" s="39" t="s">
        <v>128</v>
      </c>
      <c r="D1987" s="39" t="n">
        <v>2</v>
      </c>
      <c r="E1987" s="41" t="n">
        <v>38.56</v>
      </c>
      <c r="F1987" s="39" t="s">
        <v>118</v>
      </c>
      <c r="G1987" s="39" t="str">
        <f aca="false">UPPER(TRIM(C1987))</f>
        <v>P020</v>
      </c>
      <c r="H1987" s="39" t="str">
        <f aca="false">IF(ISNUMBER(MATCH(G1987,Products!$A$5:$A$24,0)),"OK","Mismatch")</f>
        <v>OK</v>
      </c>
      <c r="I1987" s="39" t="str">
        <f aca="false">IF(COUNTIF($A$5:A1987,A1987)&gt;1,"Duplicate","Unique")</f>
        <v>Unique</v>
      </c>
      <c r="J1987" s="39" t="str">
        <f aca="false">IF(I1987="Duplicate","Remove",IF(H1987="Mismatch","Exclude","Keep"))</f>
        <v>Keep</v>
      </c>
    </row>
    <row r="1988" customFormat="false" ht="15" hidden="false" customHeight="false" outlineLevel="0" collapsed="false">
      <c r="A1988" s="39" t="s">
        <v>2055</v>
      </c>
      <c r="B1988" s="40" t="n">
        <v>45919</v>
      </c>
      <c r="C1988" s="39" t="s">
        <v>126</v>
      </c>
      <c r="D1988" s="39" t="n">
        <v>2</v>
      </c>
      <c r="E1988" s="41" t="n">
        <v>24.93</v>
      </c>
      <c r="F1988" s="39" t="s">
        <v>118</v>
      </c>
      <c r="G1988" s="39" t="str">
        <f aca="false">UPPER(TRIM(C1988))</f>
        <v>P001</v>
      </c>
      <c r="H1988" s="39" t="str">
        <f aca="false">IF(ISNUMBER(MATCH(G1988,Products!$A$5:$A$24,0)),"OK","Mismatch")</f>
        <v>OK</v>
      </c>
      <c r="I1988" s="39" t="str">
        <f aca="false">IF(COUNTIF($A$5:A1988,A1988)&gt;1,"Duplicate","Unique")</f>
        <v>Unique</v>
      </c>
      <c r="J1988" s="39" t="str">
        <f aca="false">IF(I1988="Duplicate","Remove",IF(H1988="Mismatch","Exclude","Keep"))</f>
        <v>Keep</v>
      </c>
    </row>
    <row r="1989" customFormat="false" ht="15" hidden="false" customHeight="false" outlineLevel="0" collapsed="false">
      <c r="A1989" s="39" t="s">
        <v>2056</v>
      </c>
      <c r="B1989" s="40" t="n">
        <v>45919</v>
      </c>
      <c r="C1989" s="39" t="s">
        <v>128</v>
      </c>
      <c r="D1989" s="39" t="n">
        <v>1</v>
      </c>
      <c r="E1989" s="41" t="n">
        <v>36.09</v>
      </c>
      <c r="F1989" s="39" t="s">
        <v>115</v>
      </c>
      <c r="G1989" s="39" t="str">
        <f aca="false">UPPER(TRIM(C1989))</f>
        <v>P020</v>
      </c>
      <c r="H1989" s="39" t="str">
        <f aca="false">IF(ISNUMBER(MATCH(G1989,Products!$A$5:$A$24,0)),"OK","Mismatch")</f>
        <v>OK</v>
      </c>
      <c r="I1989" s="39" t="str">
        <f aca="false">IF(COUNTIF($A$5:A1989,A1989)&gt;1,"Duplicate","Unique")</f>
        <v>Unique</v>
      </c>
      <c r="J1989" s="39" t="str">
        <f aca="false">IF(I1989="Duplicate","Remove",IF(H1989="Mismatch","Exclude","Keep"))</f>
        <v>Keep</v>
      </c>
    </row>
    <row r="1990" customFormat="false" ht="15" hidden="false" customHeight="false" outlineLevel="0" collapsed="false">
      <c r="A1990" s="39" t="s">
        <v>2057</v>
      </c>
      <c r="B1990" s="40" t="n">
        <v>45919</v>
      </c>
      <c r="C1990" s="39" t="s">
        <v>114</v>
      </c>
      <c r="D1990" s="39" t="n">
        <v>1</v>
      </c>
      <c r="E1990" s="41" t="n">
        <v>5.83</v>
      </c>
      <c r="F1990" s="39" t="s">
        <v>108</v>
      </c>
      <c r="G1990" s="39" t="str">
        <f aca="false">UPPER(TRIM(C1990))</f>
        <v>P012</v>
      </c>
      <c r="H1990" s="39" t="str">
        <f aca="false">IF(ISNUMBER(MATCH(G1990,Products!$A$5:$A$24,0)),"OK","Mismatch")</f>
        <v>OK</v>
      </c>
      <c r="I1990" s="39" t="str">
        <f aca="false">IF(COUNTIF($A$5:A1990,A1990)&gt;1,"Duplicate","Unique")</f>
        <v>Unique</v>
      </c>
      <c r="J1990" s="39" t="str">
        <f aca="false">IF(I1990="Duplicate","Remove",IF(H1990="Mismatch","Exclude","Keep"))</f>
        <v>Keep</v>
      </c>
    </row>
    <row r="1991" customFormat="false" ht="15" hidden="false" customHeight="false" outlineLevel="0" collapsed="false">
      <c r="A1991" s="39" t="s">
        <v>2058</v>
      </c>
      <c r="B1991" s="40" t="n">
        <v>45919</v>
      </c>
      <c r="C1991" s="39" t="s">
        <v>162</v>
      </c>
      <c r="D1991" s="39" t="n">
        <v>1</v>
      </c>
      <c r="E1991" s="41" t="n">
        <v>67.43</v>
      </c>
      <c r="F1991" s="39" t="s">
        <v>108</v>
      </c>
      <c r="G1991" s="39" t="str">
        <f aca="false">UPPER(TRIM(C1991))</f>
        <v>P017</v>
      </c>
      <c r="H1991" s="39" t="str">
        <f aca="false">IF(ISNUMBER(MATCH(G1991,Products!$A$5:$A$24,0)),"OK","Mismatch")</f>
        <v>OK</v>
      </c>
      <c r="I1991" s="39" t="str">
        <f aca="false">IF(COUNTIF($A$5:A1991,A1991)&gt;1,"Duplicate","Unique")</f>
        <v>Unique</v>
      </c>
      <c r="J1991" s="39" t="str">
        <f aca="false">IF(I1991="Duplicate","Remove",IF(H1991="Mismatch","Exclude","Keep"))</f>
        <v>Keep</v>
      </c>
    </row>
    <row r="1992" customFormat="false" ht="15" hidden="false" customHeight="false" outlineLevel="0" collapsed="false">
      <c r="A1992" s="39" t="s">
        <v>2059</v>
      </c>
      <c r="B1992" s="40" t="n">
        <v>45920</v>
      </c>
      <c r="C1992" s="39" t="s">
        <v>183</v>
      </c>
      <c r="D1992" s="39" t="n">
        <v>4</v>
      </c>
      <c r="E1992" s="41" t="n">
        <v>174.69</v>
      </c>
      <c r="F1992" s="39" t="s">
        <v>108</v>
      </c>
      <c r="G1992" s="39" t="str">
        <f aca="false">UPPER(TRIM(C1992))</f>
        <v>P007</v>
      </c>
      <c r="H1992" s="39" t="str">
        <f aca="false">IF(ISNUMBER(MATCH(G1992,Products!$A$5:$A$24,0)),"OK","Mismatch")</f>
        <v>OK</v>
      </c>
      <c r="I1992" s="39" t="str">
        <f aca="false">IF(COUNTIF($A$5:A1992,A1992)&gt;1,"Duplicate","Unique")</f>
        <v>Unique</v>
      </c>
      <c r="J1992" s="39" t="str">
        <f aca="false">IF(I1992="Duplicate","Remove",IF(H1992="Mismatch","Exclude","Keep"))</f>
        <v>Keep</v>
      </c>
    </row>
    <row r="1993" customFormat="false" ht="15" hidden="false" customHeight="false" outlineLevel="0" collapsed="false">
      <c r="A1993" s="39" t="s">
        <v>2060</v>
      </c>
      <c r="B1993" s="40" t="n">
        <v>45920</v>
      </c>
      <c r="C1993" s="39" t="s">
        <v>144</v>
      </c>
      <c r="D1993" s="39" t="n">
        <v>2</v>
      </c>
      <c r="E1993" s="41" t="n">
        <v>55.96</v>
      </c>
      <c r="F1993" s="39" t="s">
        <v>108</v>
      </c>
      <c r="G1993" s="39" t="str">
        <f aca="false">UPPER(TRIM(C1993))</f>
        <v>P013</v>
      </c>
      <c r="H1993" s="39" t="str">
        <f aca="false">IF(ISNUMBER(MATCH(G1993,Products!$A$5:$A$24,0)),"OK","Mismatch")</f>
        <v>OK</v>
      </c>
      <c r="I1993" s="39" t="str">
        <f aca="false">IF(COUNTIF($A$5:A1993,A1993)&gt;1,"Duplicate","Unique")</f>
        <v>Unique</v>
      </c>
      <c r="J1993" s="39" t="str">
        <f aca="false">IF(I1993="Duplicate","Remove",IF(H1993="Mismatch","Exclude","Keep"))</f>
        <v>Keep</v>
      </c>
    </row>
    <row r="1994" customFormat="false" ht="15" hidden="false" customHeight="false" outlineLevel="0" collapsed="false">
      <c r="A1994" s="39" t="s">
        <v>2061</v>
      </c>
      <c r="B1994" s="40" t="n">
        <v>45920</v>
      </c>
      <c r="C1994" s="39" t="s">
        <v>169</v>
      </c>
      <c r="D1994" s="39" t="n">
        <v>6</v>
      </c>
      <c r="E1994" s="41" t="n">
        <v>28.52</v>
      </c>
      <c r="F1994" s="39" t="s">
        <v>105</v>
      </c>
      <c r="G1994" s="39" t="str">
        <f aca="false">UPPER(TRIM(C1994))</f>
        <v>P004</v>
      </c>
      <c r="H1994" s="39" t="str">
        <f aca="false">IF(ISNUMBER(MATCH(G1994,Products!$A$5:$A$24,0)),"OK","Mismatch")</f>
        <v>OK</v>
      </c>
      <c r="I1994" s="39" t="str">
        <f aca="false">IF(COUNTIF($A$5:A1994,A1994)&gt;1,"Duplicate","Unique")</f>
        <v>Unique</v>
      </c>
      <c r="J1994" s="39" t="str">
        <f aca="false">IF(I1994="Duplicate","Remove",IF(H1994="Mismatch","Exclude","Keep"))</f>
        <v>Keep</v>
      </c>
    </row>
    <row r="1995" customFormat="false" ht="15" hidden="false" customHeight="false" outlineLevel="0" collapsed="false">
      <c r="A1995" s="39" t="s">
        <v>2062</v>
      </c>
      <c r="B1995" s="40" t="n">
        <v>45920</v>
      </c>
      <c r="C1995" s="39" t="s">
        <v>114</v>
      </c>
      <c r="D1995" s="39" t="n">
        <v>2</v>
      </c>
      <c r="E1995" s="41" t="n">
        <v>5.53</v>
      </c>
      <c r="F1995" s="39" t="s">
        <v>108</v>
      </c>
      <c r="G1995" s="39" t="str">
        <f aca="false">UPPER(TRIM(C1995))</f>
        <v>P012</v>
      </c>
      <c r="H1995" s="39" t="str">
        <f aca="false">IF(ISNUMBER(MATCH(G1995,Products!$A$5:$A$24,0)),"OK","Mismatch")</f>
        <v>OK</v>
      </c>
      <c r="I1995" s="39" t="str">
        <f aca="false">IF(COUNTIF($A$5:A1995,A1995)&gt;1,"Duplicate","Unique")</f>
        <v>Unique</v>
      </c>
      <c r="J1995" s="39" t="str">
        <f aca="false">IF(I1995="Duplicate","Remove",IF(H1995="Mismatch","Exclude","Keep"))</f>
        <v>Keep</v>
      </c>
    </row>
    <row r="1996" customFormat="false" ht="15" hidden="false" customHeight="false" outlineLevel="0" collapsed="false">
      <c r="A1996" s="39" t="s">
        <v>2063</v>
      </c>
      <c r="B1996" s="40" t="n">
        <v>45920</v>
      </c>
      <c r="C1996" s="39" t="s">
        <v>162</v>
      </c>
      <c r="D1996" s="39" t="n">
        <v>3</v>
      </c>
      <c r="E1996" s="41" t="n">
        <v>68.72</v>
      </c>
      <c r="F1996" s="39" t="s">
        <v>118</v>
      </c>
      <c r="G1996" s="39" t="str">
        <f aca="false">UPPER(TRIM(C1996))</f>
        <v>P017</v>
      </c>
      <c r="H1996" s="39" t="str">
        <f aca="false">IF(ISNUMBER(MATCH(G1996,Products!$A$5:$A$24,0)),"OK","Mismatch")</f>
        <v>OK</v>
      </c>
      <c r="I1996" s="39" t="str">
        <f aca="false">IF(COUNTIF($A$5:A1996,A1996)&gt;1,"Duplicate","Unique")</f>
        <v>Unique</v>
      </c>
      <c r="J1996" s="39" t="str">
        <f aca="false">IF(I1996="Duplicate","Remove",IF(H1996="Mismatch","Exclude","Keep"))</f>
        <v>Keep</v>
      </c>
    </row>
    <row r="1997" customFormat="false" ht="15" hidden="false" customHeight="false" outlineLevel="0" collapsed="false">
      <c r="A1997" s="39" t="s">
        <v>2064</v>
      </c>
      <c r="B1997" s="40" t="n">
        <v>45920</v>
      </c>
      <c r="C1997" s="39" t="s">
        <v>126</v>
      </c>
      <c r="D1997" s="39" t="n">
        <v>2</v>
      </c>
      <c r="E1997" s="41" t="n">
        <v>24.13</v>
      </c>
      <c r="F1997" s="39" t="s">
        <v>118</v>
      </c>
      <c r="G1997" s="39" t="str">
        <f aca="false">UPPER(TRIM(C1997))</f>
        <v>P001</v>
      </c>
      <c r="H1997" s="39" t="str">
        <f aca="false">IF(ISNUMBER(MATCH(G1997,Products!$A$5:$A$24,0)),"OK","Mismatch")</f>
        <v>OK</v>
      </c>
      <c r="I1997" s="39" t="str">
        <f aca="false">IF(COUNTIF($A$5:A1997,A1997)&gt;1,"Duplicate","Unique")</f>
        <v>Unique</v>
      </c>
      <c r="J1997" s="39" t="str">
        <f aca="false">IF(I1997="Duplicate","Remove",IF(H1997="Mismatch","Exclude","Keep"))</f>
        <v>Keep</v>
      </c>
    </row>
    <row r="1998" customFormat="false" ht="15" hidden="false" customHeight="false" outlineLevel="0" collapsed="false">
      <c r="A1998" s="39" t="s">
        <v>2065</v>
      </c>
      <c r="B1998" s="40" t="n">
        <v>45920</v>
      </c>
      <c r="C1998" s="39" t="s">
        <v>153</v>
      </c>
      <c r="D1998" s="39" t="n">
        <v>2</v>
      </c>
      <c r="E1998" s="41" t="n">
        <v>170.22</v>
      </c>
      <c r="F1998" s="39" t="s">
        <v>108</v>
      </c>
      <c r="G1998" s="39" t="str">
        <f aca="false">UPPER(TRIM(C1998))</f>
        <v>P010</v>
      </c>
      <c r="H1998" s="39" t="str">
        <f aca="false">IF(ISNUMBER(MATCH(G1998,Products!$A$5:$A$24,0)),"OK","Mismatch")</f>
        <v>OK</v>
      </c>
      <c r="I1998" s="39" t="str">
        <f aca="false">IF(COUNTIF($A$5:A1998,A1998)&gt;1,"Duplicate","Unique")</f>
        <v>Unique</v>
      </c>
      <c r="J1998" s="39" t="str">
        <f aca="false">IF(I1998="Duplicate","Remove",IF(H1998="Mismatch","Exclude","Keep"))</f>
        <v>Keep</v>
      </c>
    </row>
    <row r="1999" customFormat="false" ht="15" hidden="false" customHeight="false" outlineLevel="0" collapsed="false">
      <c r="A1999" s="39" t="s">
        <v>2066</v>
      </c>
      <c r="B1999" s="40" t="n">
        <v>45920</v>
      </c>
      <c r="C1999" s="39" t="s">
        <v>183</v>
      </c>
      <c r="D1999" s="39" t="n">
        <v>3</v>
      </c>
      <c r="E1999" s="41" t="n">
        <v>186.78</v>
      </c>
      <c r="F1999" s="39" t="s">
        <v>115</v>
      </c>
      <c r="G1999" s="39" t="str">
        <f aca="false">UPPER(TRIM(C1999))</f>
        <v>P007</v>
      </c>
      <c r="H1999" s="39" t="str">
        <f aca="false">IF(ISNUMBER(MATCH(G1999,Products!$A$5:$A$24,0)),"OK","Mismatch")</f>
        <v>OK</v>
      </c>
      <c r="I1999" s="39" t="str">
        <f aca="false">IF(COUNTIF($A$5:A1999,A1999)&gt;1,"Duplicate","Unique")</f>
        <v>Unique</v>
      </c>
      <c r="J1999" s="39" t="str">
        <f aca="false">IF(I1999="Duplicate","Remove",IF(H1999="Mismatch","Exclude","Keep"))</f>
        <v>Keep</v>
      </c>
    </row>
    <row r="2000" customFormat="false" ht="15" hidden="false" customHeight="false" outlineLevel="0" collapsed="false">
      <c r="A2000" s="39" t="s">
        <v>2067</v>
      </c>
      <c r="B2000" s="40" t="n">
        <v>45920</v>
      </c>
      <c r="C2000" s="39" t="s">
        <v>104</v>
      </c>
      <c r="D2000" s="39" t="n">
        <v>1</v>
      </c>
      <c r="E2000" s="41" t="n">
        <v>15.6</v>
      </c>
      <c r="F2000" s="39" t="s">
        <v>105</v>
      </c>
      <c r="G2000" s="39" t="str">
        <f aca="false">UPPER(TRIM(C2000))</f>
        <v>P015</v>
      </c>
      <c r="H2000" s="39" t="str">
        <f aca="false">IF(ISNUMBER(MATCH(G2000,Products!$A$5:$A$24,0)),"OK","Mismatch")</f>
        <v>OK</v>
      </c>
      <c r="I2000" s="39" t="str">
        <f aca="false">IF(COUNTIF($A$5:A2000,A2000)&gt;1,"Duplicate","Unique")</f>
        <v>Unique</v>
      </c>
      <c r="J2000" s="39" t="str">
        <f aca="false">IF(I2000="Duplicate","Remove",IF(H2000="Mismatch","Exclude","Keep"))</f>
        <v>Keep</v>
      </c>
    </row>
    <row r="2001" customFormat="false" ht="15" hidden="false" customHeight="false" outlineLevel="0" collapsed="false">
      <c r="A2001" s="39" t="s">
        <v>2068</v>
      </c>
      <c r="B2001" s="40" t="n">
        <v>45920</v>
      </c>
      <c r="C2001" s="39" t="s">
        <v>117</v>
      </c>
      <c r="D2001" s="39" t="n">
        <v>4</v>
      </c>
      <c r="E2001" s="41" t="n">
        <v>30.62</v>
      </c>
      <c r="F2001" s="39" t="s">
        <v>108</v>
      </c>
      <c r="G2001" s="39" t="str">
        <f aca="false">UPPER(TRIM(C2001))</f>
        <v>P009</v>
      </c>
      <c r="H2001" s="39" t="str">
        <f aca="false">IF(ISNUMBER(MATCH(G2001,Products!$A$5:$A$24,0)),"OK","Mismatch")</f>
        <v>OK</v>
      </c>
      <c r="I2001" s="39" t="str">
        <f aca="false">IF(COUNTIF($A$5:A2001,A2001)&gt;1,"Duplicate","Unique")</f>
        <v>Unique</v>
      </c>
      <c r="J2001" s="39" t="str">
        <f aca="false">IF(I2001="Duplicate","Remove",IF(H2001="Mismatch","Exclude","Keep"))</f>
        <v>Keep</v>
      </c>
    </row>
    <row r="2002" customFormat="false" ht="15" hidden="false" customHeight="false" outlineLevel="0" collapsed="false">
      <c r="A2002" s="39" t="s">
        <v>2068</v>
      </c>
      <c r="B2002" s="40" t="n">
        <v>45920</v>
      </c>
      <c r="C2002" s="39" t="s">
        <v>117</v>
      </c>
      <c r="D2002" s="39" t="n">
        <v>4</v>
      </c>
      <c r="E2002" s="41" t="n">
        <v>30.62</v>
      </c>
      <c r="F2002" s="39" t="s">
        <v>108</v>
      </c>
      <c r="G2002" s="39" t="str">
        <f aca="false">UPPER(TRIM(C2002))</f>
        <v>P009</v>
      </c>
      <c r="H2002" s="39" t="str">
        <f aca="false">IF(ISNUMBER(MATCH(G2002,Products!$A$5:$A$24,0)),"OK","Mismatch")</f>
        <v>OK</v>
      </c>
      <c r="I2002" s="39" t="str">
        <f aca="false">IF(COUNTIF($A$5:A2002,A2002)&gt;1,"Duplicate","Unique")</f>
        <v>Duplicate</v>
      </c>
      <c r="J2002" s="39" t="str">
        <f aca="false">IF(I2002="Duplicate","Remove",IF(H2002="Mismatch","Exclude","Keep"))</f>
        <v>Remove</v>
      </c>
    </row>
    <row r="2003" customFormat="false" ht="15" hidden="false" customHeight="false" outlineLevel="0" collapsed="false">
      <c r="A2003" s="39" t="s">
        <v>2069</v>
      </c>
      <c r="B2003" s="40" t="n">
        <v>45920</v>
      </c>
      <c r="C2003" s="39" t="s">
        <v>117</v>
      </c>
      <c r="D2003" s="39" t="n">
        <v>2</v>
      </c>
      <c r="E2003" s="41" t="n">
        <v>31.9</v>
      </c>
      <c r="F2003" s="39" t="s">
        <v>115</v>
      </c>
      <c r="G2003" s="39" t="str">
        <f aca="false">UPPER(TRIM(C2003))</f>
        <v>P009</v>
      </c>
      <c r="H2003" s="39" t="str">
        <f aca="false">IF(ISNUMBER(MATCH(G2003,Products!$A$5:$A$24,0)),"OK","Mismatch")</f>
        <v>OK</v>
      </c>
      <c r="I2003" s="39" t="str">
        <f aca="false">IF(COUNTIF($A$5:A2003,A2003)&gt;1,"Duplicate","Unique")</f>
        <v>Unique</v>
      </c>
      <c r="J2003" s="39" t="str">
        <f aca="false">IF(I2003="Duplicate","Remove",IF(H2003="Mismatch","Exclude","Keep"))</f>
        <v>Keep</v>
      </c>
    </row>
    <row r="2004" customFormat="false" ht="15" hidden="false" customHeight="false" outlineLevel="0" collapsed="false">
      <c r="A2004" s="39" t="s">
        <v>2070</v>
      </c>
      <c r="B2004" s="40" t="n">
        <v>45920</v>
      </c>
      <c r="C2004" s="39" t="s">
        <v>133</v>
      </c>
      <c r="D2004" s="39" t="n">
        <v>1</v>
      </c>
      <c r="E2004" s="41" t="n">
        <v>8.63</v>
      </c>
      <c r="F2004" s="39" t="s">
        <v>118</v>
      </c>
      <c r="G2004" s="39" t="str">
        <f aca="false">UPPER(TRIM(C2004))</f>
        <v>P019</v>
      </c>
      <c r="H2004" s="39" t="str">
        <f aca="false">IF(ISNUMBER(MATCH(G2004,Products!$A$5:$A$24,0)),"OK","Mismatch")</f>
        <v>OK</v>
      </c>
      <c r="I2004" s="39" t="str">
        <f aca="false">IF(COUNTIF($A$5:A2004,A2004)&gt;1,"Duplicate","Unique")</f>
        <v>Unique</v>
      </c>
      <c r="J2004" s="39" t="str">
        <f aca="false">IF(I2004="Duplicate","Remove",IF(H2004="Mismatch","Exclude","Keep"))</f>
        <v>Keep</v>
      </c>
    </row>
    <row r="2005" customFormat="false" ht="15" hidden="false" customHeight="false" outlineLevel="0" collapsed="false">
      <c r="A2005" s="39" t="s">
        <v>2071</v>
      </c>
      <c r="B2005" s="40" t="n">
        <v>45920</v>
      </c>
      <c r="C2005" s="39" t="s">
        <v>117</v>
      </c>
      <c r="D2005" s="39" t="n">
        <v>3</v>
      </c>
      <c r="E2005" s="41" t="n">
        <v>31.24</v>
      </c>
      <c r="F2005" s="39" t="s">
        <v>115</v>
      </c>
      <c r="G2005" s="39" t="str">
        <f aca="false">UPPER(TRIM(C2005))</f>
        <v>P009</v>
      </c>
      <c r="H2005" s="39" t="str">
        <f aca="false">IF(ISNUMBER(MATCH(G2005,Products!$A$5:$A$24,0)),"OK","Mismatch")</f>
        <v>OK</v>
      </c>
      <c r="I2005" s="39" t="str">
        <f aca="false">IF(COUNTIF($A$5:A2005,A2005)&gt;1,"Duplicate","Unique")</f>
        <v>Unique</v>
      </c>
      <c r="J2005" s="39" t="str">
        <f aca="false">IF(I2005="Duplicate","Remove",IF(H2005="Mismatch","Exclude","Keep"))</f>
        <v>Keep</v>
      </c>
    </row>
    <row r="2006" customFormat="false" ht="15" hidden="false" customHeight="false" outlineLevel="0" collapsed="false">
      <c r="A2006" s="39" t="s">
        <v>2072</v>
      </c>
      <c r="B2006" s="40" t="n">
        <v>45920</v>
      </c>
      <c r="C2006" s="39" t="s">
        <v>153</v>
      </c>
      <c r="D2006" s="39" t="n">
        <v>4</v>
      </c>
      <c r="E2006" s="41" t="n">
        <v>177.99</v>
      </c>
      <c r="F2006" s="39" t="s">
        <v>115</v>
      </c>
      <c r="G2006" s="39" t="str">
        <f aca="false">UPPER(TRIM(C2006))</f>
        <v>P010</v>
      </c>
      <c r="H2006" s="39" t="str">
        <f aca="false">IF(ISNUMBER(MATCH(G2006,Products!$A$5:$A$24,0)),"OK","Mismatch")</f>
        <v>OK</v>
      </c>
      <c r="I2006" s="39" t="str">
        <f aca="false">IF(COUNTIF($A$5:A2006,A2006)&gt;1,"Duplicate","Unique")</f>
        <v>Unique</v>
      </c>
      <c r="J2006" s="39" t="str">
        <f aca="false">IF(I2006="Duplicate","Remove",IF(H2006="Mismatch","Exclude","Keep"))</f>
        <v>Keep</v>
      </c>
    </row>
    <row r="2007" customFormat="false" ht="15" hidden="false" customHeight="false" outlineLevel="0" collapsed="false">
      <c r="A2007" s="39" t="s">
        <v>2073</v>
      </c>
      <c r="B2007" s="40" t="n">
        <v>45920</v>
      </c>
      <c r="C2007" s="39" t="s">
        <v>162</v>
      </c>
      <c r="D2007" s="39" t="n">
        <v>1</v>
      </c>
      <c r="E2007" s="41" t="n">
        <v>65.3</v>
      </c>
      <c r="F2007" s="39" t="s">
        <v>105</v>
      </c>
      <c r="G2007" s="39" t="str">
        <f aca="false">UPPER(TRIM(C2007))</f>
        <v>P017</v>
      </c>
      <c r="H2007" s="39" t="str">
        <f aca="false">IF(ISNUMBER(MATCH(G2007,Products!$A$5:$A$24,0)),"OK","Mismatch")</f>
        <v>OK</v>
      </c>
      <c r="I2007" s="39" t="str">
        <f aca="false">IF(COUNTIF($A$5:A2007,A2007)&gt;1,"Duplicate","Unique")</f>
        <v>Unique</v>
      </c>
      <c r="J2007" s="39" t="str">
        <f aca="false">IF(I2007="Duplicate","Remove",IF(H2007="Mismatch","Exclude","Keep"))</f>
        <v>Keep</v>
      </c>
    </row>
    <row r="2008" customFormat="false" ht="15" hidden="false" customHeight="false" outlineLevel="0" collapsed="false">
      <c r="A2008" s="39" t="s">
        <v>2074</v>
      </c>
      <c r="B2008" s="40" t="n">
        <v>45920</v>
      </c>
      <c r="C2008" s="39" t="s">
        <v>133</v>
      </c>
      <c r="D2008" s="39" t="n">
        <v>1</v>
      </c>
      <c r="E2008" s="41" t="n">
        <v>8.67</v>
      </c>
      <c r="F2008" s="39" t="s">
        <v>105</v>
      </c>
      <c r="G2008" s="39" t="str">
        <f aca="false">UPPER(TRIM(C2008))</f>
        <v>P019</v>
      </c>
      <c r="H2008" s="39" t="str">
        <f aca="false">IF(ISNUMBER(MATCH(G2008,Products!$A$5:$A$24,0)),"OK","Mismatch")</f>
        <v>OK</v>
      </c>
      <c r="I2008" s="39" t="str">
        <f aca="false">IF(COUNTIF($A$5:A2008,A2008)&gt;1,"Duplicate","Unique")</f>
        <v>Unique</v>
      </c>
      <c r="J2008" s="39" t="str">
        <f aca="false">IF(I2008="Duplicate","Remove",IF(H2008="Mismatch","Exclude","Keep"))</f>
        <v>Keep</v>
      </c>
    </row>
    <row r="2009" customFormat="false" ht="15" hidden="false" customHeight="false" outlineLevel="0" collapsed="false">
      <c r="A2009" s="39" t="s">
        <v>2075</v>
      </c>
      <c r="B2009" s="40" t="n">
        <v>45921</v>
      </c>
      <c r="C2009" s="39" t="s">
        <v>104</v>
      </c>
      <c r="D2009" s="39" t="n">
        <v>2</v>
      </c>
      <c r="E2009" s="41" t="n">
        <v>14.77</v>
      </c>
      <c r="F2009" s="39" t="s">
        <v>118</v>
      </c>
      <c r="G2009" s="39" t="str">
        <f aca="false">UPPER(TRIM(C2009))</f>
        <v>P015</v>
      </c>
      <c r="H2009" s="39" t="str">
        <f aca="false">IF(ISNUMBER(MATCH(G2009,Products!$A$5:$A$24,0)),"OK","Mismatch")</f>
        <v>OK</v>
      </c>
      <c r="I2009" s="39" t="str">
        <f aca="false">IF(COUNTIF($A$5:A2009,A2009)&gt;1,"Duplicate","Unique")</f>
        <v>Unique</v>
      </c>
      <c r="J2009" s="39" t="str">
        <f aca="false">IF(I2009="Duplicate","Remove",IF(H2009="Mismatch","Exclude","Keep"))</f>
        <v>Keep</v>
      </c>
    </row>
    <row r="2010" customFormat="false" ht="15" hidden="false" customHeight="false" outlineLevel="0" collapsed="false">
      <c r="A2010" s="39" t="s">
        <v>2076</v>
      </c>
      <c r="B2010" s="40" t="n">
        <v>45921</v>
      </c>
      <c r="C2010" s="39" t="s">
        <v>114</v>
      </c>
      <c r="D2010" s="39" t="n">
        <v>2</v>
      </c>
      <c r="E2010" s="41" t="n">
        <v>5.62</v>
      </c>
      <c r="F2010" s="39" t="s">
        <v>115</v>
      </c>
      <c r="G2010" s="39" t="str">
        <f aca="false">UPPER(TRIM(C2010))</f>
        <v>P012</v>
      </c>
      <c r="H2010" s="39" t="str">
        <f aca="false">IF(ISNUMBER(MATCH(G2010,Products!$A$5:$A$24,0)),"OK","Mismatch")</f>
        <v>OK</v>
      </c>
      <c r="I2010" s="39" t="str">
        <f aca="false">IF(COUNTIF($A$5:A2010,A2010)&gt;1,"Duplicate","Unique")</f>
        <v>Unique</v>
      </c>
      <c r="J2010" s="39" t="str">
        <f aca="false">IF(I2010="Duplicate","Remove",IF(H2010="Mismatch","Exclude","Keep"))</f>
        <v>Keep</v>
      </c>
    </row>
    <row r="2011" customFormat="false" ht="15" hidden="false" customHeight="false" outlineLevel="0" collapsed="false">
      <c r="A2011" s="39" t="s">
        <v>2077</v>
      </c>
      <c r="B2011" s="40" t="n">
        <v>45921</v>
      </c>
      <c r="C2011" s="39" t="s">
        <v>169</v>
      </c>
      <c r="D2011" s="39" t="n">
        <v>2</v>
      </c>
      <c r="E2011" s="41" t="n">
        <v>26.76</v>
      </c>
      <c r="F2011" s="39" t="s">
        <v>115</v>
      </c>
      <c r="G2011" s="39" t="str">
        <f aca="false">UPPER(TRIM(C2011))</f>
        <v>P004</v>
      </c>
      <c r="H2011" s="39" t="str">
        <f aca="false">IF(ISNUMBER(MATCH(G2011,Products!$A$5:$A$24,0)),"OK","Mismatch")</f>
        <v>OK</v>
      </c>
      <c r="I2011" s="39" t="str">
        <f aca="false">IF(COUNTIF($A$5:A2011,A2011)&gt;1,"Duplicate","Unique")</f>
        <v>Unique</v>
      </c>
      <c r="J2011" s="39" t="str">
        <f aca="false">IF(I2011="Duplicate","Remove",IF(H2011="Mismatch","Exclude","Keep"))</f>
        <v>Keep</v>
      </c>
    </row>
    <row r="2012" customFormat="false" ht="15" hidden="false" customHeight="false" outlineLevel="0" collapsed="false">
      <c r="A2012" s="39" t="s">
        <v>2077</v>
      </c>
      <c r="B2012" s="40" t="n">
        <v>45921</v>
      </c>
      <c r="C2012" s="39" t="s">
        <v>169</v>
      </c>
      <c r="D2012" s="39" t="n">
        <v>2</v>
      </c>
      <c r="E2012" s="41" t="n">
        <v>26.76</v>
      </c>
      <c r="F2012" s="39" t="s">
        <v>115</v>
      </c>
      <c r="G2012" s="39" t="str">
        <f aca="false">UPPER(TRIM(C2012))</f>
        <v>P004</v>
      </c>
      <c r="H2012" s="39" t="str">
        <f aca="false">IF(ISNUMBER(MATCH(G2012,Products!$A$5:$A$24,0)),"OK","Mismatch")</f>
        <v>OK</v>
      </c>
      <c r="I2012" s="39" t="str">
        <f aca="false">IF(COUNTIF($A$5:A2012,A2012)&gt;1,"Duplicate","Unique")</f>
        <v>Duplicate</v>
      </c>
      <c r="J2012" s="39" t="str">
        <f aca="false">IF(I2012="Duplicate","Remove",IF(H2012="Mismatch","Exclude","Keep"))</f>
        <v>Remove</v>
      </c>
    </row>
    <row r="2013" customFormat="false" ht="15" hidden="false" customHeight="false" outlineLevel="0" collapsed="false">
      <c r="A2013" s="39" t="s">
        <v>2078</v>
      </c>
      <c r="B2013" s="40" t="n">
        <v>45921</v>
      </c>
      <c r="C2013" s="39" t="s">
        <v>126</v>
      </c>
      <c r="D2013" s="39" t="n">
        <v>1</v>
      </c>
      <c r="E2013" s="41" t="n">
        <v>23.27</v>
      </c>
      <c r="F2013" s="39" t="s">
        <v>115</v>
      </c>
      <c r="G2013" s="39" t="str">
        <f aca="false">UPPER(TRIM(C2013))</f>
        <v>P001</v>
      </c>
      <c r="H2013" s="39" t="str">
        <f aca="false">IF(ISNUMBER(MATCH(G2013,Products!$A$5:$A$24,0)),"OK","Mismatch")</f>
        <v>OK</v>
      </c>
      <c r="I2013" s="39" t="str">
        <f aca="false">IF(COUNTIF($A$5:A2013,A2013)&gt;1,"Duplicate","Unique")</f>
        <v>Unique</v>
      </c>
      <c r="J2013" s="39" t="str">
        <f aca="false">IF(I2013="Duplicate","Remove",IF(H2013="Mismatch","Exclude","Keep"))</f>
        <v>Keep</v>
      </c>
    </row>
    <row r="2014" customFormat="false" ht="15" hidden="false" customHeight="false" outlineLevel="0" collapsed="false">
      <c r="A2014" s="39" t="s">
        <v>2079</v>
      </c>
      <c r="B2014" s="40" t="n">
        <v>45921</v>
      </c>
      <c r="C2014" s="39" t="s">
        <v>126</v>
      </c>
      <c r="D2014" s="39" t="n">
        <v>2</v>
      </c>
      <c r="E2014" s="41" t="n">
        <v>23.56</v>
      </c>
      <c r="F2014" s="39" t="s">
        <v>105</v>
      </c>
      <c r="G2014" s="39" t="str">
        <f aca="false">UPPER(TRIM(C2014))</f>
        <v>P001</v>
      </c>
      <c r="H2014" s="39" t="str">
        <f aca="false">IF(ISNUMBER(MATCH(G2014,Products!$A$5:$A$24,0)),"OK","Mismatch")</f>
        <v>OK</v>
      </c>
      <c r="I2014" s="39" t="str">
        <f aca="false">IF(COUNTIF($A$5:A2014,A2014)&gt;1,"Duplicate","Unique")</f>
        <v>Unique</v>
      </c>
      <c r="J2014" s="39" t="str">
        <f aca="false">IF(I2014="Duplicate","Remove",IF(H2014="Mismatch","Exclude","Keep"))</f>
        <v>Keep</v>
      </c>
    </row>
    <row r="2015" customFormat="false" ht="15" hidden="false" customHeight="false" outlineLevel="0" collapsed="false">
      <c r="A2015" s="39" t="s">
        <v>2080</v>
      </c>
      <c r="B2015" s="40" t="n">
        <v>45921</v>
      </c>
      <c r="C2015" s="39" t="s">
        <v>169</v>
      </c>
      <c r="D2015" s="39" t="n">
        <v>1</v>
      </c>
      <c r="E2015" s="41" t="n">
        <v>27.92</v>
      </c>
      <c r="F2015" s="39" t="s">
        <v>105</v>
      </c>
      <c r="G2015" s="39" t="str">
        <f aca="false">UPPER(TRIM(C2015))</f>
        <v>P004</v>
      </c>
      <c r="H2015" s="39" t="str">
        <f aca="false">IF(ISNUMBER(MATCH(G2015,Products!$A$5:$A$24,0)),"OK","Mismatch")</f>
        <v>OK</v>
      </c>
      <c r="I2015" s="39" t="str">
        <f aca="false">IF(COUNTIF($A$5:A2015,A2015)&gt;1,"Duplicate","Unique")</f>
        <v>Unique</v>
      </c>
      <c r="J2015" s="39" t="str">
        <f aca="false">IF(I2015="Duplicate","Remove",IF(H2015="Mismatch","Exclude","Keep"))</f>
        <v>Keep</v>
      </c>
    </row>
    <row r="2016" customFormat="false" ht="15" hidden="false" customHeight="false" outlineLevel="0" collapsed="false">
      <c r="A2016" s="39" t="s">
        <v>2081</v>
      </c>
      <c r="B2016" s="40" t="n">
        <v>45921</v>
      </c>
      <c r="C2016" s="39" t="s">
        <v>139</v>
      </c>
      <c r="D2016" s="39" t="n">
        <v>1</v>
      </c>
      <c r="E2016" s="41" t="n">
        <v>120</v>
      </c>
      <c r="F2016" s="39" t="s">
        <v>118</v>
      </c>
      <c r="G2016" s="39" t="str">
        <f aca="false">UPPER(TRIM(C2016))</f>
        <v>P006</v>
      </c>
      <c r="H2016" s="39" t="str">
        <f aca="false">IF(ISNUMBER(MATCH(G2016,Products!$A$5:$A$24,0)),"OK","Mismatch")</f>
        <v>OK</v>
      </c>
      <c r="I2016" s="39" t="str">
        <f aca="false">IF(COUNTIF($A$5:A2016,A2016)&gt;1,"Duplicate","Unique")</f>
        <v>Unique</v>
      </c>
      <c r="J2016" s="39" t="str">
        <f aca="false">IF(I2016="Duplicate","Remove",IF(H2016="Mismatch","Exclude","Keep"))</f>
        <v>Keep</v>
      </c>
    </row>
    <row r="2017" customFormat="false" ht="15" hidden="false" customHeight="false" outlineLevel="0" collapsed="false">
      <c r="A2017" s="39" t="s">
        <v>2082</v>
      </c>
      <c r="B2017" s="40" t="n">
        <v>45921</v>
      </c>
      <c r="C2017" s="39" t="s">
        <v>136</v>
      </c>
      <c r="D2017" s="39" t="n">
        <v>1</v>
      </c>
      <c r="E2017" s="41" t="n">
        <v>76.38</v>
      </c>
      <c r="F2017" s="39" t="s">
        <v>108</v>
      </c>
      <c r="G2017" s="39" t="str">
        <f aca="false">UPPER(TRIM(C2017))</f>
        <v>P002</v>
      </c>
      <c r="H2017" s="39" t="str">
        <f aca="false">IF(ISNUMBER(MATCH(G2017,Products!$A$5:$A$24,0)),"OK","Mismatch")</f>
        <v>OK</v>
      </c>
      <c r="I2017" s="39" t="str">
        <f aca="false">IF(COUNTIF($A$5:A2017,A2017)&gt;1,"Duplicate","Unique")</f>
        <v>Unique</v>
      </c>
      <c r="J2017" s="39" t="str">
        <f aca="false">IF(I2017="Duplicate","Remove",IF(H2017="Mismatch","Exclude","Keep"))</f>
        <v>Keep</v>
      </c>
    </row>
    <row r="2018" customFormat="false" ht="15" hidden="false" customHeight="false" outlineLevel="0" collapsed="false">
      <c r="A2018" s="39" t="s">
        <v>2083</v>
      </c>
      <c r="B2018" s="40" t="n">
        <v>45922</v>
      </c>
      <c r="C2018" s="39" t="s">
        <v>110</v>
      </c>
      <c r="D2018" s="39" t="n">
        <v>2</v>
      </c>
      <c r="E2018" s="41" t="n">
        <v>13.04</v>
      </c>
      <c r="F2018" s="39" t="s">
        <v>108</v>
      </c>
      <c r="G2018" s="39" t="str">
        <f aca="false">UPPER(TRIM(C2018))</f>
        <v>P016</v>
      </c>
      <c r="H2018" s="39" t="str">
        <f aca="false">IF(ISNUMBER(MATCH(G2018,Products!$A$5:$A$24,0)),"OK","Mismatch")</f>
        <v>OK</v>
      </c>
      <c r="I2018" s="39" t="str">
        <f aca="false">IF(COUNTIF($A$5:A2018,A2018)&gt;1,"Duplicate","Unique")</f>
        <v>Unique</v>
      </c>
      <c r="J2018" s="39" t="str">
        <f aca="false">IF(I2018="Duplicate","Remove",IF(H2018="Mismatch","Exclude","Keep"))</f>
        <v>Keep</v>
      </c>
    </row>
    <row r="2019" customFormat="false" ht="15" hidden="false" customHeight="false" outlineLevel="0" collapsed="false">
      <c r="A2019" s="39" t="s">
        <v>2084</v>
      </c>
      <c r="B2019" s="40" t="n">
        <v>45922</v>
      </c>
      <c r="C2019" s="39" t="s">
        <v>133</v>
      </c>
      <c r="D2019" s="39" t="n">
        <v>1</v>
      </c>
      <c r="E2019" s="41" t="n">
        <v>8.84</v>
      </c>
      <c r="F2019" s="39" t="s">
        <v>115</v>
      </c>
      <c r="G2019" s="39" t="str">
        <f aca="false">UPPER(TRIM(C2019))</f>
        <v>P019</v>
      </c>
      <c r="H2019" s="39" t="str">
        <f aca="false">IF(ISNUMBER(MATCH(G2019,Products!$A$5:$A$24,0)),"OK","Mismatch")</f>
        <v>OK</v>
      </c>
      <c r="I2019" s="39" t="str">
        <f aca="false">IF(COUNTIF($A$5:A2019,A2019)&gt;1,"Duplicate","Unique")</f>
        <v>Unique</v>
      </c>
      <c r="J2019" s="39" t="str">
        <f aca="false">IF(I2019="Duplicate","Remove",IF(H2019="Mismatch","Exclude","Keep"))</f>
        <v>Keep</v>
      </c>
    </row>
    <row r="2020" customFormat="false" ht="15" hidden="false" customHeight="false" outlineLevel="0" collapsed="false">
      <c r="A2020" s="39" t="s">
        <v>2085</v>
      </c>
      <c r="B2020" s="40" t="n">
        <v>45922</v>
      </c>
      <c r="C2020" s="39" t="s">
        <v>128</v>
      </c>
      <c r="D2020" s="39" t="n">
        <v>4</v>
      </c>
      <c r="E2020" s="41" t="n">
        <v>36.2</v>
      </c>
      <c r="F2020" s="39" t="s">
        <v>115</v>
      </c>
      <c r="G2020" s="39" t="str">
        <f aca="false">UPPER(TRIM(C2020))</f>
        <v>P020</v>
      </c>
      <c r="H2020" s="39" t="str">
        <f aca="false">IF(ISNUMBER(MATCH(G2020,Products!$A$5:$A$24,0)),"OK","Mismatch")</f>
        <v>OK</v>
      </c>
      <c r="I2020" s="39" t="str">
        <f aca="false">IF(COUNTIF($A$5:A2020,A2020)&gt;1,"Duplicate","Unique")</f>
        <v>Unique</v>
      </c>
      <c r="J2020" s="39" t="str">
        <f aca="false">IF(I2020="Duplicate","Remove",IF(H2020="Mismatch","Exclude","Keep"))</f>
        <v>Keep</v>
      </c>
    </row>
    <row r="2021" customFormat="false" ht="15" hidden="false" customHeight="false" outlineLevel="0" collapsed="false">
      <c r="A2021" s="39" t="s">
        <v>2086</v>
      </c>
      <c r="B2021" s="40" t="n">
        <v>45923</v>
      </c>
      <c r="C2021" s="39" t="s">
        <v>130</v>
      </c>
      <c r="D2021" s="39" t="n">
        <v>1</v>
      </c>
      <c r="E2021" s="41" t="n">
        <v>8.7</v>
      </c>
      <c r="F2021" s="39" t="s">
        <v>105</v>
      </c>
      <c r="G2021" s="39" t="str">
        <f aca="false">UPPER(TRIM(C2021))</f>
        <v>P011</v>
      </c>
      <c r="H2021" s="39" t="str">
        <f aca="false">IF(ISNUMBER(MATCH(G2021,Products!$A$5:$A$24,0)),"OK","Mismatch")</f>
        <v>OK</v>
      </c>
      <c r="I2021" s="39" t="str">
        <f aca="false">IF(COUNTIF($A$5:A2021,A2021)&gt;1,"Duplicate","Unique")</f>
        <v>Unique</v>
      </c>
      <c r="J2021" s="39" t="str">
        <f aca="false">IF(I2021="Duplicate","Remove",IF(H2021="Mismatch","Exclude","Keep"))</f>
        <v>Keep</v>
      </c>
    </row>
    <row r="2022" customFormat="false" ht="15" hidden="false" customHeight="false" outlineLevel="0" collapsed="false">
      <c r="A2022" s="39" t="s">
        <v>2087</v>
      </c>
      <c r="B2022" s="40" t="n">
        <v>45923</v>
      </c>
      <c r="C2022" s="39" t="s">
        <v>128</v>
      </c>
      <c r="D2022" s="39" t="n">
        <v>1</v>
      </c>
      <c r="E2022" s="41" t="n">
        <v>38.15</v>
      </c>
      <c r="F2022" s="39" t="s">
        <v>105</v>
      </c>
      <c r="G2022" s="39" t="str">
        <f aca="false">UPPER(TRIM(C2022))</f>
        <v>P020</v>
      </c>
      <c r="H2022" s="39" t="str">
        <f aca="false">IF(ISNUMBER(MATCH(G2022,Products!$A$5:$A$24,0)),"OK","Mismatch")</f>
        <v>OK</v>
      </c>
      <c r="I2022" s="39" t="str">
        <f aca="false">IF(COUNTIF($A$5:A2022,A2022)&gt;1,"Duplicate","Unique")</f>
        <v>Unique</v>
      </c>
      <c r="J2022" s="39" t="str">
        <f aca="false">IF(I2022="Duplicate","Remove",IF(H2022="Mismatch","Exclude","Keep"))</f>
        <v>Keep</v>
      </c>
    </row>
    <row r="2023" customFormat="false" ht="15" hidden="false" customHeight="false" outlineLevel="0" collapsed="false">
      <c r="A2023" s="39" t="s">
        <v>2088</v>
      </c>
      <c r="B2023" s="40" t="n">
        <v>45923</v>
      </c>
      <c r="C2023" s="39" t="s">
        <v>110</v>
      </c>
      <c r="D2023" s="39" t="n">
        <v>3</v>
      </c>
      <c r="E2023" s="41" t="n">
        <v>13.63</v>
      </c>
      <c r="F2023" s="39" t="s">
        <v>108</v>
      </c>
      <c r="G2023" s="39" t="str">
        <f aca="false">UPPER(TRIM(C2023))</f>
        <v>P016</v>
      </c>
      <c r="H2023" s="39" t="str">
        <f aca="false">IF(ISNUMBER(MATCH(G2023,Products!$A$5:$A$24,0)),"OK","Mismatch")</f>
        <v>OK</v>
      </c>
      <c r="I2023" s="39" t="str">
        <f aca="false">IF(COUNTIF($A$5:A2023,A2023)&gt;1,"Duplicate","Unique")</f>
        <v>Unique</v>
      </c>
      <c r="J2023" s="39" t="str">
        <f aca="false">IF(I2023="Duplicate","Remove",IF(H2023="Mismatch","Exclude","Keep"))</f>
        <v>Keep</v>
      </c>
    </row>
    <row r="2024" customFormat="false" ht="15" hidden="false" customHeight="false" outlineLevel="0" collapsed="false">
      <c r="A2024" s="39" t="s">
        <v>2089</v>
      </c>
      <c r="B2024" s="40" t="n">
        <v>45923</v>
      </c>
      <c r="C2024" s="39" t="s">
        <v>117</v>
      </c>
      <c r="D2024" s="39" t="n">
        <v>6</v>
      </c>
      <c r="E2024" s="41" t="n">
        <v>29.56</v>
      </c>
      <c r="F2024" s="39" t="s">
        <v>115</v>
      </c>
      <c r="G2024" s="39" t="str">
        <f aca="false">UPPER(TRIM(C2024))</f>
        <v>P009</v>
      </c>
      <c r="H2024" s="39" t="str">
        <f aca="false">IF(ISNUMBER(MATCH(G2024,Products!$A$5:$A$24,0)),"OK","Mismatch")</f>
        <v>OK</v>
      </c>
      <c r="I2024" s="39" t="str">
        <f aca="false">IF(COUNTIF($A$5:A2024,A2024)&gt;1,"Duplicate","Unique")</f>
        <v>Unique</v>
      </c>
      <c r="J2024" s="39" t="str">
        <f aca="false">IF(I2024="Duplicate","Remove",IF(H2024="Mismatch","Exclude","Keep"))</f>
        <v>Keep</v>
      </c>
    </row>
    <row r="2025" customFormat="false" ht="15" hidden="false" customHeight="false" outlineLevel="0" collapsed="false">
      <c r="A2025" s="39" t="s">
        <v>2090</v>
      </c>
      <c r="B2025" s="40" t="n">
        <v>45923</v>
      </c>
      <c r="C2025" s="39" t="s">
        <v>305</v>
      </c>
      <c r="D2025" s="39" t="n">
        <v>2</v>
      </c>
      <c r="E2025" s="41" t="n">
        <v>329.29</v>
      </c>
      <c r="F2025" s="39" t="s">
        <v>118</v>
      </c>
      <c r="G2025" s="39" t="str">
        <f aca="false">UPPER(TRIM(C2025))</f>
        <v>P008</v>
      </c>
      <c r="H2025" s="39" t="str">
        <f aca="false">IF(ISNUMBER(MATCH(G2025,Products!$A$5:$A$24,0)),"OK","Mismatch")</f>
        <v>OK</v>
      </c>
      <c r="I2025" s="39" t="str">
        <f aca="false">IF(COUNTIF($A$5:A2025,A2025)&gt;1,"Duplicate","Unique")</f>
        <v>Unique</v>
      </c>
      <c r="J2025" s="39" t="str">
        <f aca="false">IF(I2025="Duplicate","Remove",IF(H2025="Mismatch","Exclude","Keep"))</f>
        <v>Keep</v>
      </c>
    </row>
    <row r="2026" customFormat="false" ht="15" hidden="false" customHeight="false" outlineLevel="0" collapsed="false">
      <c r="A2026" s="39" t="s">
        <v>2091</v>
      </c>
      <c r="B2026" s="40" t="n">
        <v>45923</v>
      </c>
      <c r="C2026" s="39" t="s">
        <v>117</v>
      </c>
      <c r="D2026" s="39" t="n">
        <v>3</v>
      </c>
      <c r="E2026" s="41" t="n">
        <v>30.1</v>
      </c>
      <c r="F2026" s="39" t="s">
        <v>105</v>
      </c>
      <c r="G2026" s="39" t="str">
        <f aca="false">UPPER(TRIM(C2026))</f>
        <v>P009</v>
      </c>
      <c r="H2026" s="39" t="str">
        <f aca="false">IF(ISNUMBER(MATCH(G2026,Products!$A$5:$A$24,0)),"OK","Mismatch")</f>
        <v>OK</v>
      </c>
      <c r="I2026" s="39" t="str">
        <f aca="false">IF(COUNTIF($A$5:A2026,A2026)&gt;1,"Duplicate","Unique")</f>
        <v>Unique</v>
      </c>
      <c r="J2026" s="39" t="str">
        <f aca="false">IF(I2026="Duplicate","Remove",IF(H2026="Mismatch","Exclude","Keep"))</f>
        <v>Keep</v>
      </c>
    </row>
    <row r="2027" customFormat="false" ht="15" hidden="false" customHeight="false" outlineLevel="0" collapsed="false">
      <c r="A2027" s="39" t="s">
        <v>2092</v>
      </c>
      <c r="B2027" s="40" t="n">
        <v>45923</v>
      </c>
      <c r="C2027" s="39" t="s">
        <v>153</v>
      </c>
      <c r="D2027" s="39" t="n">
        <v>1</v>
      </c>
      <c r="E2027" s="41" t="n">
        <v>165.63</v>
      </c>
      <c r="F2027" s="39" t="s">
        <v>105</v>
      </c>
      <c r="G2027" s="39" t="str">
        <f aca="false">UPPER(TRIM(C2027))</f>
        <v>P010</v>
      </c>
      <c r="H2027" s="39" t="str">
        <f aca="false">IF(ISNUMBER(MATCH(G2027,Products!$A$5:$A$24,0)),"OK","Mismatch")</f>
        <v>OK</v>
      </c>
      <c r="I2027" s="39" t="str">
        <f aca="false">IF(COUNTIF($A$5:A2027,A2027)&gt;1,"Duplicate","Unique")</f>
        <v>Unique</v>
      </c>
      <c r="J2027" s="39" t="str">
        <f aca="false">IF(I2027="Duplicate","Remove",IF(H2027="Mismatch","Exclude","Keep"))</f>
        <v>Keep</v>
      </c>
    </row>
    <row r="2028" customFormat="false" ht="15" hidden="false" customHeight="false" outlineLevel="0" collapsed="false">
      <c r="A2028" s="39" t="s">
        <v>2093</v>
      </c>
      <c r="B2028" s="40" t="n">
        <v>45923</v>
      </c>
      <c r="C2028" s="39" t="s">
        <v>133</v>
      </c>
      <c r="D2028" s="39" t="n">
        <v>1</v>
      </c>
      <c r="E2028" s="41" t="n">
        <v>8.52</v>
      </c>
      <c r="F2028" s="39" t="s">
        <v>115</v>
      </c>
      <c r="G2028" s="39" t="str">
        <f aca="false">UPPER(TRIM(C2028))</f>
        <v>P019</v>
      </c>
      <c r="H2028" s="39" t="str">
        <f aca="false">IF(ISNUMBER(MATCH(G2028,Products!$A$5:$A$24,0)),"OK","Mismatch")</f>
        <v>OK</v>
      </c>
      <c r="I2028" s="39" t="str">
        <f aca="false">IF(COUNTIF($A$5:A2028,A2028)&gt;1,"Duplicate","Unique")</f>
        <v>Unique</v>
      </c>
      <c r="J2028" s="39" t="str">
        <f aca="false">IF(I2028="Duplicate","Remove",IF(H2028="Mismatch","Exclude","Keep"))</f>
        <v>Keep</v>
      </c>
    </row>
    <row r="2029" customFormat="false" ht="15" hidden="false" customHeight="false" outlineLevel="0" collapsed="false">
      <c r="A2029" s="39" t="s">
        <v>2094</v>
      </c>
      <c r="B2029" s="40" t="n">
        <v>45923</v>
      </c>
      <c r="C2029" s="39" t="s">
        <v>139</v>
      </c>
      <c r="D2029" s="39" t="n">
        <v>2</v>
      </c>
      <c r="E2029" s="41" t="n">
        <v>128.94</v>
      </c>
      <c r="F2029" s="39" t="s">
        <v>118</v>
      </c>
      <c r="G2029" s="39" t="str">
        <f aca="false">UPPER(TRIM(C2029))</f>
        <v>P006</v>
      </c>
      <c r="H2029" s="39" t="str">
        <f aca="false">IF(ISNUMBER(MATCH(G2029,Products!$A$5:$A$24,0)),"OK","Mismatch")</f>
        <v>OK</v>
      </c>
      <c r="I2029" s="39" t="str">
        <f aca="false">IF(COUNTIF($A$5:A2029,A2029)&gt;1,"Duplicate","Unique")</f>
        <v>Unique</v>
      </c>
      <c r="J2029" s="39" t="str">
        <f aca="false">IF(I2029="Duplicate","Remove",IF(H2029="Mismatch","Exclude","Keep"))</f>
        <v>Keep</v>
      </c>
    </row>
    <row r="2030" customFormat="false" ht="15" hidden="false" customHeight="false" outlineLevel="0" collapsed="false">
      <c r="A2030" s="39" t="s">
        <v>2095</v>
      </c>
      <c r="B2030" s="40" t="n">
        <v>45923</v>
      </c>
      <c r="C2030" s="39" t="s">
        <v>114</v>
      </c>
      <c r="D2030" s="39" t="n">
        <v>5</v>
      </c>
      <c r="E2030" s="41" t="n">
        <v>5.77</v>
      </c>
      <c r="F2030" s="39" t="s">
        <v>118</v>
      </c>
      <c r="G2030" s="39" t="str">
        <f aca="false">UPPER(TRIM(C2030))</f>
        <v>P012</v>
      </c>
      <c r="H2030" s="39" t="str">
        <f aca="false">IF(ISNUMBER(MATCH(G2030,Products!$A$5:$A$24,0)),"OK","Mismatch")</f>
        <v>OK</v>
      </c>
      <c r="I2030" s="39" t="str">
        <f aca="false">IF(COUNTIF($A$5:A2030,A2030)&gt;1,"Duplicate","Unique")</f>
        <v>Unique</v>
      </c>
      <c r="J2030" s="39" t="str">
        <f aca="false">IF(I2030="Duplicate","Remove",IF(H2030="Mismatch","Exclude","Keep"))</f>
        <v>Keep</v>
      </c>
    </row>
    <row r="2031" customFormat="false" ht="15" hidden="false" customHeight="false" outlineLevel="0" collapsed="false">
      <c r="A2031" s="39" t="s">
        <v>2096</v>
      </c>
      <c r="B2031" s="40" t="n">
        <v>45923</v>
      </c>
      <c r="C2031" s="39" t="s">
        <v>130</v>
      </c>
      <c r="D2031" s="39" t="n">
        <v>2</v>
      </c>
      <c r="E2031" s="41" t="n">
        <v>8.34</v>
      </c>
      <c r="F2031" s="39" t="s">
        <v>118</v>
      </c>
      <c r="G2031" s="39" t="str">
        <f aca="false">UPPER(TRIM(C2031))</f>
        <v>P011</v>
      </c>
      <c r="H2031" s="39" t="str">
        <f aca="false">IF(ISNUMBER(MATCH(G2031,Products!$A$5:$A$24,0)),"OK","Mismatch")</f>
        <v>OK</v>
      </c>
      <c r="I2031" s="39" t="str">
        <f aca="false">IF(COUNTIF($A$5:A2031,A2031)&gt;1,"Duplicate","Unique")</f>
        <v>Unique</v>
      </c>
      <c r="J2031" s="39" t="str">
        <f aca="false">IF(I2031="Duplicate","Remove",IF(H2031="Mismatch","Exclude","Keep"))</f>
        <v>Keep</v>
      </c>
    </row>
    <row r="2032" customFormat="false" ht="15" hidden="false" customHeight="false" outlineLevel="0" collapsed="false">
      <c r="A2032" s="39" t="s">
        <v>2097</v>
      </c>
      <c r="B2032" s="40" t="n">
        <v>45924</v>
      </c>
      <c r="C2032" s="39" t="s">
        <v>114</v>
      </c>
      <c r="D2032" s="39" t="n">
        <v>2</v>
      </c>
      <c r="E2032" s="41" t="n">
        <v>5.66</v>
      </c>
      <c r="F2032" s="39" t="s">
        <v>105</v>
      </c>
      <c r="G2032" s="39" t="str">
        <f aca="false">UPPER(TRIM(C2032))</f>
        <v>P012</v>
      </c>
      <c r="H2032" s="39" t="str">
        <f aca="false">IF(ISNUMBER(MATCH(G2032,Products!$A$5:$A$24,0)),"OK","Mismatch")</f>
        <v>OK</v>
      </c>
      <c r="I2032" s="39" t="str">
        <f aca="false">IF(COUNTIF($A$5:A2032,A2032)&gt;1,"Duplicate","Unique")</f>
        <v>Unique</v>
      </c>
      <c r="J2032" s="39" t="str">
        <f aca="false">IF(I2032="Duplicate","Remove",IF(H2032="Mismatch","Exclude","Keep"))</f>
        <v>Keep</v>
      </c>
    </row>
    <row r="2033" customFormat="false" ht="15" hidden="false" customHeight="false" outlineLevel="0" collapsed="false">
      <c r="A2033" s="39" t="s">
        <v>2098</v>
      </c>
      <c r="B2033" s="40" t="n">
        <v>45924</v>
      </c>
      <c r="C2033" s="39" t="s">
        <v>121</v>
      </c>
      <c r="D2033" s="39" t="n">
        <v>1</v>
      </c>
      <c r="E2033" s="41" t="n">
        <v>110.88</v>
      </c>
      <c r="F2033" s="39" t="s">
        <v>108</v>
      </c>
      <c r="G2033" s="39" t="str">
        <f aca="false">UPPER(TRIM(C2033))</f>
        <v>P018</v>
      </c>
      <c r="H2033" s="39" t="str">
        <f aca="false">IF(ISNUMBER(MATCH(G2033,Products!$A$5:$A$24,0)),"OK","Mismatch")</f>
        <v>OK</v>
      </c>
      <c r="I2033" s="39" t="str">
        <f aca="false">IF(COUNTIF($A$5:A2033,A2033)&gt;1,"Duplicate","Unique")</f>
        <v>Unique</v>
      </c>
      <c r="J2033" s="39" t="str">
        <f aca="false">IF(I2033="Duplicate","Remove",IF(H2033="Mismatch","Exclude","Keep"))</f>
        <v>Keep</v>
      </c>
    </row>
    <row r="2034" customFormat="false" ht="15" hidden="false" customHeight="false" outlineLevel="0" collapsed="false">
      <c r="A2034" s="39" t="s">
        <v>2099</v>
      </c>
      <c r="B2034" s="40" t="n">
        <v>45924</v>
      </c>
      <c r="C2034" s="39" t="s">
        <v>112</v>
      </c>
      <c r="D2034" s="39" t="n">
        <v>2</v>
      </c>
      <c r="E2034" s="41" t="n">
        <v>52.24</v>
      </c>
      <c r="F2034" s="39" t="s">
        <v>115</v>
      </c>
      <c r="G2034" s="39" t="str">
        <f aca="false">UPPER(TRIM(C2034))</f>
        <v>P005</v>
      </c>
      <c r="H2034" s="39" t="str">
        <f aca="false">IF(ISNUMBER(MATCH(G2034,Products!$A$5:$A$24,0)),"OK","Mismatch")</f>
        <v>OK</v>
      </c>
      <c r="I2034" s="39" t="str">
        <f aca="false">IF(COUNTIF($A$5:A2034,A2034)&gt;1,"Duplicate","Unique")</f>
        <v>Unique</v>
      </c>
      <c r="J2034" s="39" t="str">
        <f aca="false">IF(I2034="Duplicate","Remove",IF(H2034="Mismatch","Exclude","Keep"))</f>
        <v>Keep</v>
      </c>
    </row>
    <row r="2035" customFormat="false" ht="15" hidden="false" customHeight="false" outlineLevel="0" collapsed="false">
      <c r="A2035" s="39" t="s">
        <v>2100</v>
      </c>
      <c r="B2035" s="40" t="n">
        <v>45925</v>
      </c>
      <c r="C2035" s="39" t="s">
        <v>104</v>
      </c>
      <c r="D2035" s="39" t="n">
        <v>4</v>
      </c>
      <c r="E2035" s="41" t="n">
        <v>14.79</v>
      </c>
      <c r="F2035" s="39" t="s">
        <v>118</v>
      </c>
      <c r="G2035" s="39" t="str">
        <f aca="false">UPPER(TRIM(C2035))</f>
        <v>P015</v>
      </c>
      <c r="H2035" s="39" t="str">
        <f aca="false">IF(ISNUMBER(MATCH(G2035,Products!$A$5:$A$24,0)),"OK","Mismatch")</f>
        <v>OK</v>
      </c>
      <c r="I2035" s="39" t="str">
        <f aca="false">IF(COUNTIF($A$5:A2035,A2035)&gt;1,"Duplicate","Unique")</f>
        <v>Unique</v>
      </c>
      <c r="J2035" s="39" t="str">
        <f aca="false">IF(I2035="Duplicate","Remove",IF(H2035="Mismatch","Exclude","Keep"))</f>
        <v>Keep</v>
      </c>
    </row>
    <row r="2036" customFormat="false" ht="15" hidden="false" customHeight="false" outlineLevel="0" collapsed="false">
      <c r="A2036" s="39" t="s">
        <v>2101</v>
      </c>
      <c r="B2036" s="40" t="n">
        <v>45925</v>
      </c>
      <c r="C2036" s="39" t="s">
        <v>110</v>
      </c>
      <c r="D2036" s="39" t="n">
        <v>6</v>
      </c>
      <c r="E2036" s="41" t="n">
        <v>13.37</v>
      </c>
      <c r="F2036" s="39" t="s">
        <v>105</v>
      </c>
      <c r="G2036" s="39" t="str">
        <f aca="false">UPPER(TRIM(C2036))</f>
        <v>P016</v>
      </c>
      <c r="H2036" s="39" t="str">
        <f aca="false">IF(ISNUMBER(MATCH(G2036,Products!$A$5:$A$24,0)),"OK","Mismatch")</f>
        <v>OK</v>
      </c>
      <c r="I2036" s="39" t="str">
        <f aca="false">IF(COUNTIF($A$5:A2036,A2036)&gt;1,"Duplicate","Unique")</f>
        <v>Unique</v>
      </c>
      <c r="J2036" s="39" t="str">
        <f aca="false">IF(I2036="Duplicate","Remove",IF(H2036="Mismatch","Exclude","Keep"))</f>
        <v>Keep</v>
      </c>
    </row>
    <row r="2037" customFormat="false" ht="15" hidden="false" customHeight="false" outlineLevel="0" collapsed="false">
      <c r="A2037" s="39" t="s">
        <v>2102</v>
      </c>
      <c r="B2037" s="40" t="n">
        <v>45925</v>
      </c>
      <c r="C2037" s="39" t="s">
        <v>114</v>
      </c>
      <c r="D2037" s="39" t="n">
        <v>1</v>
      </c>
      <c r="E2037" s="41" t="n">
        <v>5.59</v>
      </c>
      <c r="F2037" s="39" t="s">
        <v>115</v>
      </c>
      <c r="G2037" s="39" t="str">
        <f aca="false">UPPER(TRIM(C2037))</f>
        <v>P012</v>
      </c>
      <c r="H2037" s="39" t="str">
        <f aca="false">IF(ISNUMBER(MATCH(G2037,Products!$A$5:$A$24,0)),"OK","Mismatch")</f>
        <v>OK</v>
      </c>
      <c r="I2037" s="39" t="str">
        <f aca="false">IF(COUNTIF($A$5:A2037,A2037)&gt;1,"Duplicate","Unique")</f>
        <v>Unique</v>
      </c>
      <c r="J2037" s="39" t="str">
        <f aca="false">IF(I2037="Duplicate","Remove",IF(H2037="Mismatch","Exclude","Keep"))</f>
        <v>Keep</v>
      </c>
    </row>
    <row r="2038" customFormat="false" ht="15" hidden="false" customHeight="false" outlineLevel="0" collapsed="false">
      <c r="A2038" s="39" t="s">
        <v>2103</v>
      </c>
      <c r="B2038" s="40" t="n">
        <v>45925</v>
      </c>
      <c r="C2038" s="39" t="s">
        <v>126</v>
      </c>
      <c r="D2038" s="39" t="n">
        <v>1</v>
      </c>
      <c r="E2038" s="41" t="n">
        <v>23.16</v>
      </c>
      <c r="F2038" s="39" t="s">
        <v>118</v>
      </c>
      <c r="G2038" s="39" t="str">
        <f aca="false">UPPER(TRIM(C2038))</f>
        <v>P001</v>
      </c>
      <c r="H2038" s="39" t="str">
        <f aca="false">IF(ISNUMBER(MATCH(G2038,Products!$A$5:$A$24,0)),"OK","Mismatch")</f>
        <v>OK</v>
      </c>
      <c r="I2038" s="39" t="str">
        <f aca="false">IF(COUNTIF($A$5:A2038,A2038)&gt;1,"Duplicate","Unique")</f>
        <v>Unique</v>
      </c>
      <c r="J2038" s="39" t="str">
        <f aca="false">IF(I2038="Duplicate","Remove",IF(H2038="Mismatch","Exclude","Keep"))</f>
        <v>Keep</v>
      </c>
    </row>
    <row r="2039" customFormat="false" ht="15" hidden="false" customHeight="false" outlineLevel="0" collapsed="false">
      <c r="A2039" s="39" t="s">
        <v>2104</v>
      </c>
      <c r="B2039" s="40" t="n">
        <v>45925</v>
      </c>
      <c r="C2039" s="39" t="s">
        <v>136</v>
      </c>
      <c r="D2039" s="39" t="n">
        <v>4</v>
      </c>
      <c r="E2039" s="41" t="n">
        <v>76.05</v>
      </c>
      <c r="F2039" s="39" t="s">
        <v>115</v>
      </c>
      <c r="G2039" s="39" t="str">
        <f aca="false">UPPER(TRIM(C2039))</f>
        <v>P002</v>
      </c>
      <c r="H2039" s="39" t="str">
        <f aca="false">IF(ISNUMBER(MATCH(G2039,Products!$A$5:$A$24,0)),"OK","Mismatch")</f>
        <v>OK</v>
      </c>
      <c r="I2039" s="39" t="str">
        <f aca="false">IF(COUNTIF($A$5:A2039,A2039)&gt;1,"Duplicate","Unique")</f>
        <v>Unique</v>
      </c>
      <c r="J2039" s="39" t="str">
        <f aca="false">IF(I2039="Duplicate","Remove",IF(H2039="Mismatch","Exclude","Keep"))</f>
        <v>Keep</v>
      </c>
    </row>
    <row r="2040" customFormat="false" ht="15" hidden="false" customHeight="false" outlineLevel="0" collapsed="false">
      <c r="A2040" s="39" t="s">
        <v>2105</v>
      </c>
      <c r="B2040" s="40" t="n">
        <v>45925</v>
      </c>
      <c r="C2040" s="39" t="s">
        <v>107</v>
      </c>
      <c r="D2040" s="39" t="n">
        <v>3</v>
      </c>
      <c r="E2040" s="41" t="n">
        <v>34.1</v>
      </c>
      <c r="F2040" s="39" t="s">
        <v>105</v>
      </c>
      <c r="G2040" s="39" t="str">
        <f aca="false">UPPER(TRIM(C2040))</f>
        <v>P003</v>
      </c>
      <c r="H2040" s="39" t="str">
        <f aca="false">IF(ISNUMBER(MATCH(G2040,Products!$A$5:$A$24,0)),"OK","Mismatch")</f>
        <v>OK</v>
      </c>
      <c r="I2040" s="39" t="str">
        <f aca="false">IF(COUNTIF($A$5:A2040,A2040)&gt;1,"Duplicate","Unique")</f>
        <v>Unique</v>
      </c>
      <c r="J2040" s="39" t="str">
        <f aca="false">IF(I2040="Duplicate","Remove",IF(H2040="Mismatch","Exclude","Keep"))</f>
        <v>Keep</v>
      </c>
    </row>
    <row r="2041" customFormat="false" ht="15" hidden="false" customHeight="false" outlineLevel="0" collapsed="false">
      <c r="A2041" s="39" t="s">
        <v>2106</v>
      </c>
      <c r="B2041" s="40" t="n">
        <v>45925</v>
      </c>
      <c r="C2041" s="39" t="s">
        <v>112</v>
      </c>
      <c r="D2041" s="39" t="n">
        <v>4</v>
      </c>
      <c r="E2041" s="41" t="n">
        <v>53.36</v>
      </c>
      <c r="F2041" s="39" t="s">
        <v>108</v>
      </c>
      <c r="G2041" s="39" t="str">
        <f aca="false">UPPER(TRIM(C2041))</f>
        <v>P005</v>
      </c>
      <c r="H2041" s="39" t="str">
        <f aca="false">IF(ISNUMBER(MATCH(G2041,Products!$A$5:$A$24,0)),"OK","Mismatch")</f>
        <v>OK</v>
      </c>
      <c r="I2041" s="39" t="str">
        <f aca="false">IF(COUNTIF($A$5:A2041,A2041)&gt;1,"Duplicate","Unique")</f>
        <v>Unique</v>
      </c>
      <c r="J2041" s="39" t="str">
        <f aca="false">IF(I2041="Duplicate","Remove",IF(H2041="Mismatch","Exclude","Keep"))</f>
        <v>Keep</v>
      </c>
    </row>
    <row r="2042" customFormat="false" ht="15" hidden="false" customHeight="false" outlineLevel="0" collapsed="false">
      <c r="A2042" s="39" t="s">
        <v>2107</v>
      </c>
      <c r="B2042" s="40" t="n">
        <v>45925</v>
      </c>
      <c r="C2042" s="39" t="s">
        <v>126</v>
      </c>
      <c r="D2042" s="39" t="n">
        <v>6</v>
      </c>
      <c r="E2042" s="41" t="n">
        <v>24.17</v>
      </c>
      <c r="F2042" s="39" t="s">
        <v>108</v>
      </c>
      <c r="G2042" s="39" t="str">
        <f aca="false">UPPER(TRIM(C2042))</f>
        <v>P001</v>
      </c>
      <c r="H2042" s="39" t="str">
        <f aca="false">IF(ISNUMBER(MATCH(G2042,Products!$A$5:$A$24,0)),"OK","Mismatch")</f>
        <v>OK</v>
      </c>
      <c r="I2042" s="39" t="str">
        <f aca="false">IF(COUNTIF($A$5:A2042,A2042)&gt;1,"Duplicate","Unique")</f>
        <v>Unique</v>
      </c>
      <c r="J2042" s="39" t="str">
        <f aca="false">IF(I2042="Duplicate","Remove",IF(H2042="Mismatch","Exclude","Keep"))</f>
        <v>Keep</v>
      </c>
    </row>
    <row r="2043" customFormat="false" ht="15" hidden="false" customHeight="false" outlineLevel="0" collapsed="false">
      <c r="A2043" s="39" t="s">
        <v>2108</v>
      </c>
      <c r="B2043" s="40" t="n">
        <v>45925</v>
      </c>
      <c r="C2043" s="39" t="s">
        <v>139</v>
      </c>
      <c r="D2043" s="39" t="n">
        <v>8</v>
      </c>
      <c r="E2043" s="41" t="n">
        <v>126.07</v>
      </c>
      <c r="F2043" s="39" t="s">
        <v>115</v>
      </c>
      <c r="G2043" s="39" t="str">
        <f aca="false">UPPER(TRIM(C2043))</f>
        <v>P006</v>
      </c>
      <c r="H2043" s="39" t="str">
        <f aca="false">IF(ISNUMBER(MATCH(G2043,Products!$A$5:$A$24,0)),"OK","Mismatch")</f>
        <v>OK</v>
      </c>
      <c r="I2043" s="39" t="str">
        <f aca="false">IF(COUNTIF($A$5:A2043,A2043)&gt;1,"Duplicate","Unique")</f>
        <v>Unique</v>
      </c>
      <c r="J2043" s="39" t="str">
        <f aca="false">IF(I2043="Duplicate","Remove",IF(H2043="Mismatch","Exclude","Keep"))</f>
        <v>Keep</v>
      </c>
    </row>
    <row r="2044" customFormat="false" ht="15" hidden="false" customHeight="false" outlineLevel="0" collapsed="false">
      <c r="A2044" s="39" t="s">
        <v>2109</v>
      </c>
      <c r="B2044" s="40" t="n">
        <v>45925</v>
      </c>
      <c r="C2044" s="39" t="s">
        <v>104</v>
      </c>
      <c r="D2044" s="39" t="n">
        <v>3</v>
      </c>
      <c r="E2044" s="41" t="n">
        <v>15.18</v>
      </c>
      <c r="F2044" s="39" t="s">
        <v>105</v>
      </c>
      <c r="G2044" s="39" t="str">
        <f aca="false">UPPER(TRIM(C2044))</f>
        <v>P015</v>
      </c>
      <c r="H2044" s="39" t="str">
        <f aca="false">IF(ISNUMBER(MATCH(G2044,Products!$A$5:$A$24,0)),"OK","Mismatch")</f>
        <v>OK</v>
      </c>
      <c r="I2044" s="39" t="str">
        <f aca="false">IF(COUNTIF($A$5:A2044,A2044)&gt;1,"Duplicate","Unique")</f>
        <v>Unique</v>
      </c>
      <c r="J2044" s="39" t="str">
        <f aca="false">IF(I2044="Duplicate","Remove",IF(H2044="Mismatch","Exclude","Keep"))</f>
        <v>Keep</v>
      </c>
    </row>
    <row r="2045" customFormat="false" ht="15" hidden="false" customHeight="false" outlineLevel="0" collapsed="false">
      <c r="A2045" s="39" t="s">
        <v>2110</v>
      </c>
      <c r="B2045" s="40" t="n">
        <v>45926</v>
      </c>
      <c r="C2045" s="39" t="s">
        <v>133</v>
      </c>
      <c r="D2045" s="39" t="n">
        <v>3</v>
      </c>
      <c r="E2045" s="41" t="n">
        <v>8.75</v>
      </c>
      <c r="F2045" s="39" t="s">
        <v>118</v>
      </c>
      <c r="G2045" s="39" t="str">
        <f aca="false">UPPER(TRIM(C2045))</f>
        <v>P019</v>
      </c>
      <c r="H2045" s="39" t="str">
        <f aca="false">IF(ISNUMBER(MATCH(G2045,Products!$A$5:$A$24,0)),"OK","Mismatch")</f>
        <v>OK</v>
      </c>
      <c r="I2045" s="39" t="str">
        <f aca="false">IF(COUNTIF($A$5:A2045,A2045)&gt;1,"Duplicate","Unique")</f>
        <v>Unique</v>
      </c>
      <c r="J2045" s="39" t="str">
        <f aca="false">IF(I2045="Duplicate","Remove",IF(H2045="Mismatch","Exclude","Keep"))</f>
        <v>Keep</v>
      </c>
    </row>
    <row r="2046" customFormat="false" ht="15" hidden="false" customHeight="false" outlineLevel="0" collapsed="false">
      <c r="A2046" s="39" t="s">
        <v>2111</v>
      </c>
      <c r="B2046" s="40" t="n">
        <v>45926</v>
      </c>
      <c r="C2046" s="39" t="s">
        <v>144</v>
      </c>
      <c r="D2046" s="39" t="n">
        <v>1</v>
      </c>
      <c r="E2046" s="41" t="n">
        <v>56.78</v>
      </c>
      <c r="F2046" s="39" t="s">
        <v>115</v>
      </c>
      <c r="G2046" s="39" t="str">
        <f aca="false">UPPER(TRIM(C2046))</f>
        <v>P013</v>
      </c>
      <c r="H2046" s="39" t="str">
        <f aca="false">IF(ISNUMBER(MATCH(G2046,Products!$A$5:$A$24,0)),"OK","Mismatch")</f>
        <v>OK</v>
      </c>
      <c r="I2046" s="39" t="str">
        <f aca="false">IF(COUNTIF($A$5:A2046,A2046)&gt;1,"Duplicate","Unique")</f>
        <v>Unique</v>
      </c>
      <c r="J2046" s="39" t="str">
        <f aca="false">IF(I2046="Duplicate","Remove",IF(H2046="Mismatch","Exclude","Keep"))</f>
        <v>Keep</v>
      </c>
    </row>
    <row r="2047" customFormat="false" ht="15" hidden="false" customHeight="false" outlineLevel="0" collapsed="false">
      <c r="A2047" s="39" t="s">
        <v>2112</v>
      </c>
      <c r="B2047" s="40" t="n">
        <v>45926</v>
      </c>
      <c r="C2047" s="39" t="s">
        <v>130</v>
      </c>
      <c r="D2047" s="39" t="n">
        <v>5</v>
      </c>
      <c r="E2047" s="41" t="n">
        <v>8.66</v>
      </c>
      <c r="F2047" s="39" t="s">
        <v>108</v>
      </c>
      <c r="G2047" s="39" t="str">
        <f aca="false">UPPER(TRIM(C2047))</f>
        <v>P011</v>
      </c>
      <c r="H2047" s="39" t="str">
        <f aca="false">IF(ISNUMBER(MATCH(G2047,Products!$A$5:$A$24,0)),"OK","Mismatch")</f>
        <v>OK</v>
      </c>
      <c r="I2047" s="39" t="str">
        <f aca="false">IF(COUNTIF($A$5:A2047,A2047)&gt;1,"Duplicate","Unique")</f>
        <v>Unique</v>
      </c>
      <c r="J2047" s="39" t="str">
        <f aca="false">IF(I2047="Duplicate","Remove",IF(H2047="Mismatch","Exclude","Keep"))</f>
        <v>Keep</v>
      </c>
    </row>
    <row r="2048" customFormat="false" ht="15" hidden="false" customHeight="false" outlineLevel="0" collapsed="false">
      <c r="A2048" s="39" t="s">
        <v>2113</v>
      </c>
      <c r="B2048" s="40" t="n">
        <v>45926</v>
      </c>
      <c r="C2048" s="39" t="s">
        <v>133</v>
      </c>
      <c r="D2048" s="39" t="n">
        <v>3</v>
      </c>
      <c r="E2048" s="41" t="n">
        <v>8.32</v>
      </c>
      <c r="F2048" s="39" t="s">
        <v>118</v>
      </c>
      <c r="G2048" s="39" t="str">
        <f aca="false">UPPER(TRIM(C2048))</f>
        <v>P019</v>
      </c>
      <c r="H2048" s="39" t="str">
        <f aca="false">IF(ISNUMBER(MATCH(G2048,Products!$A$5:$A$24,0)),"OK","Mismatch")</f>
        <v>OK</v>
      </c>
      <c r="I2048" s="39" t="str">
        <f aca="false">IF(COUNTIF($A$5:A2048,A2048)&gt;1,"Duplicate","Unique")</f>
        <v>Unique</v>
      </c>
      <c r="J2048" s="39" t="str">
        <f aca="false">IF(I2048="Duplicate","Remove",IF(H2048="Mismatch","Exclude","Keep"))</f>
        <v>Keep</v>
      </c>
    </row>
    <row r="2049" customFormat="false" ht="15" hidden="false" customHeight="false" outlineLevel="0" collapsed="false">
      <c r="A2049" s="39" t="s">
        <v>2114</v>
      </c>
      <c r="B2049" s="40" t="n">
        <v>45926</v>
      </c>
      <c r="C2049" s="39" t="s">
        <v>144</v>
      </c>
      <c r="D2049" s="39" t="n">
        <v>1</v>
      </c>
      <c r="E2049" s="41" t="n">
        <v>54.34</v>
      </c>
      <c r="F2049" s="39" t="s">
        <v>118</v>
      </c>
      <c r="G2049" s="39" t="str">
        <f aca="false">UPPER(TRIM(C2049))</f>
        <v>P013</v>
      </c>
      <c r="H2049" s="39" t="str">
        <f aca="false">IF(ISNUMBER(MATCH(G2049,Products!$A$5:$A$24,0)),"OK","Mismatch")</f>
        <v>OK</v>
      </c>
      <c r="I2049" s="39" t="str">
        <f aca="false">IF(COUNTIF($A$5:A2049,A2049)&gt;1,"Duplicate","Unique")</f>
        <v>Unique</v>
      </c>
      <c r="J2049" s="39" t="str">
        <f aca="false">IF(I2049="Duplicate","Remove",IF(H2049="Mismatch","Exclude","Keep"))</f>
        <v>Keep</v>
      </c>
    </row>
    <row r="2050" customFormat="false" ht="15" hidden="false" customHeight="false" outlineLevel="0" collapsed="false">
      <c r="A2050" s="39" t="s">
        <v>2115</v>
      </c>
      <c r="B2050" s="40" t="n">
        <v>45926</v>
      </c>
      <c r="C2050" s="39" t="s">
        <v>126</v>
      </c>
      <c r="D2050" s="39" t="n">
        <v>3</v>
      </c>
      <c r="E2050" s="41" t="n">
        <v>24.21</v>
      </c>
      <c r="F2050" s="39" t="s">
        <v>115</v>
      </c>
      <c r="G2050" s="39" t="str">
        <f aca="false">UPPER(TRIM(C2050))</f>
        <v>P001</v>
      </c>
      <c r="H2050" s="39" t="str">
        <f aca="false">IF(ISNUMBER(MATCH(G2050,Products!$A$5:$A$24,0)),"OK","Mismatch")</f>
        <v>OK</v>
      </c>
      <c r="I2050" s="39" t="str">
        <f aca="false">IF(COUNTIF($A$5:A2050,A2050)&gt;1,"Duplicate","Unique")</f>
        <v>Unique</v>
      </c>
      <c r="J2050" s="39" t="str">
        <f aca="false">IF(I2050="Duplicate","Remove",IF(H2050="Mismatch","Exclude","Keep"))</f>
        <v>Keep</v>
      </c>
    </row>
    <row r="2051" customFormat="false" ht="15" hidden="false" customHeight="false" outlineLevel="0" collapsed="false">
      <c r="A2051" s="39" t="s">
        <v>2116</v>
      </c>
      <c r="B2051" s="40" t="n">
        <v>45926</v>
      </c>
      <c r="C2051" s="39" t="s">
        <v>130</v>
      </c>
      <c r="D2051" s="39" t="n">
        <v>3</v>
      </c>
      <c r="E2051" s="41" t="n">
        <v>8.84</v>
      </c>
      <c r="F2051" s="39" t="s">
        <v>115</v>
      </c>
      <c r="G2051" s="39" t="str">
        <f aca="false">UPPER(TRIM(C2051))</f>
        <v>P011</v>
      </c>
      <c r="H2051" s="39" t="str">
        <f aca="false">IF(ISNUMBER(MATCH(G2051,Products!$A$5:$A$24,0)),"OK","Mismatch")</f>
        <v>OK</v>
      </c>
      <c r="I2051" s="39" t="str">
        <f aca="false">IF(COUNTIF($A$5:A2051,A2051)&gt;1,"Duplicate","Unique")</f>
        <v>Unique</v>
      </c>
      <c r="J2051" s="39" t="str">
        <f aca="false">IF(I2051="Duplicate","Remove",IF(H2051="Mismatch","Exclude","Keep"))</f>
        <v>Keep</v>
      </c>
    </row>
    <row r="2052" customFormat="false" ht="15" hidden="false" customHeight="false" outlineLevel="0" collapsed="false">
      <c r="A2052" s="39" t="s">
        <v>2117</v>
      </c>
      <c r="B2052" s="40" t="n">
        <v>45927</v>
      </c>
      <c r="C2052" s="39" t="s">
        <v>144</v>
      </c>
      <c r="D2052" s="39" t="n">
        <v>3</v>
      </c>
      <c r="E2052" s="41" t="n">
        <v>57.6</v>
      </c>
      <c r="F2052" s="39" t="s">
        <v>105</v>
      </c>
      <c r="G2052" s="39" t="str">
        <f aca="false">UPPER(TRIM(C2052))</f>
        <v>P013</v>
      </c>
      <c r="H2052" s="39" t="str">
        <f aca="false">IF(ISNUMBER(MATCH(G2052,Products!$A$5:$A$24,0)),"OK","Mismatch")</f>
        <v>OK</v>
      </c>
      <c r="I2052" s="39" t="str">
        <f aca="false">IF(COUNTIF($A$5:A2052,A2052)&gt;1,"Duplicate","Unique")</f>
        <v>Unique</v>
      </c>
      <c r="J2052" s="39" t="str">
        <f aca="false">IF(I2052="Duplicate","Remove",IF(H2052="Mismatch","Exclude","Keep"))</f>
        <v>Keep</v>
      </c>
    </row>
    <row r="2053" customFormat="false" ht="15" hidden="false" customHeight="false" outlineLevel="0" collapsed="false">
      <c r="A2053" s="39" t="s">
        <v>2118</v>
      </c>
      <c r="B2053" s="40" t="n">
        <v>45927</v>
      </c>
      <c r="C2053" s="39" t="s">
        <v>177</v>
      </c>
      <c r="D2053" s="39" t="n">
        <v>1</v>
      </c>
      <c r="E2053" s="41" t="n">
        <v>41.94</v>
      </c>
      <c r="F2053" s="39" t="s">
        <v>118</v>
      </c>
      <c r="G2053" s="39" t="str">
        <f aca="false">UPPER(TRIM(C2053))</f>
        <v>P014</v>
      </c>
      <c r="H2053" s="39" t="str">
        <f aca="false">IF(ISNUMBER(MATCH(G2053,Products!$A$5:$A$24,0)),"OK","Mismatch")</f>
        <v>OK</v>
      </c>
      <c r="I2053" s="39" t="str">
        <f aca="false">IF(COUNTIF($A$5:A2053,A2053)&gt;1,"Duplicate","Unique")</f>
        <v>Unique</v>
      </c>
      <c r="J2053" s="39" t="str">
        <f aca="false">IF(I2053="Duplicate","Remove",IF(H2053="Mismatch","Exclude","Keep"))</f>
        <v>Keep</v>
      </c>
    </row>
    <row r="2054" customFormat="false" ht="15" hidden="false" customHeight="false" outlineLevel="0" collapsed="false">
      <c r="A2054" s="39" t="s">
        <v>2119</v>
      </c>
      <c r="B2054" s="40" t="n">
        <v>45927</v>
      </c>
      <c r="C2054" s="39" t="s">
        <v>114</v>
      </c>
      <c r="D2054" s="39" t="n">
        <v>2</v>
      </c>
      <c r="E2054" s="41" t="n">
        <v>5.94</v>
      </c>
      <c r="F2054" s="39" t="s">
        <v>108</v>
      </c>
      <c r="G2054" s="39" t="str">
        <f aca="false">UPPER(TRIM(C2054))</f>
        <v>P012</v>
      </c>
      <c r="H2054" s="39" t="str">
        <f aca="false">IF(ISNUMBER(MATCH(G2054,Products!$A$5:$A$24,0)),"OK","Mismatch")</f>
        <v>OK</v>
      </c>
      <c r="I2054" s="39" t="str">
        <f aca="false">IF(COUNTIF($A$5:A2054,A2054)&gt;1,"Duplicate","Unique")</f>
        <v>Unique</v>
      </c>
      <c r="J2054" s="39" t="str">
        <f aca="false">IF(I2054="Duplicate","Remove",IF(H2054="Mismatch","Exclude","Keep"))</f>
        <v>Keep</v>
      </c>
    </row>
    <row r="2055" customFormat="false" ht="15" hidden="false" customHeight="false" outlineLevel="0" collapsed="false">
      <c r="A2055" s="39" t="s">
        <v>2120</v>
      </c>
      <c r="B2055" s="40" t="n">
        <v>45927</v>
      </c>
      <c r="C2055" s="39" t="s">
        <v>162</v>
      </c>
      <c r="D2055" s="39" t="n">
        <v>2</v>
      </c>
      <c r="E2055" s="41" t="n">
        <v>65.11</v>
      </c>
      <c r="F2055" s="39" t="s">
        <v>108</v>
      </c>
      <c r="G2055" s="39" t="str">
        <f aca="false">UPPER(TRIM(C2055))</f>
        <v>P017</v>
      </c>
      <c r="H2055" s="39" t="str">
        <f aca="false">IF(ISNUMBER(MATCH(G2055,Products!$A$5:$A$24,0)),"OK","Mismatch")</f>
        <v>OK</v>
      </c>
      <c r="I2055" s="39" t="str">
        <f aca="false">IF(COUNTIF($A$5:A2055,A2055)&gt;1,"Duplicate","Unique")</f>
        <v>Unique</v>
      </c>
      <c r="J2055" s="39" t="str">
        <f aca="false">IF(I2055="Duplicate","Remove",IF(H2055="Mismatch","Exclude","Keep"))</f>
        <v>Keep</v>
      </c>
    </row>
    <row r="2056" customFormat="false" ht="15" hidden="false" customHeight="false" outlineLevel="0" collapsed="false">
      <c r="A2056" s="39" t="s">
        <v>2121</v>
      </c>
      <c r="B2056" s="40" t="n">
        <v>45927</v>
      </c>
      <c r="C2056" s="39" t="s">
        <v>114</v>
      </c>
      <c r="D2056" s="39" t="n">
        <v>3</v>
      </c>
      <c r="E2056" s="41" t="n">
        <v>5.76</v>
      </c>
      <c r="F2056" s="39" t="s">
        <v>108</v>
      </c>
      <c r="G2056" s="39" t="str">
        <f aca="false">UPPER(TRIM(C2056))</f>
        <v>P012</v>
      </c>
      <c r="H2056" s="39" t="str">
        <f aca="false">IF(ISNUMBER(MATCH(G2056,Products!$A$5:$A$24,0)),"OK","Mismatch")</f>
        <v>OK</v>
      </c>
      <c r="I2056" s="39" t="str">
        <f aca="false">IF(COUNTIF($A$5:A2056,A2056)&gt;1,"Duplicate","Unique")</f>
        <v>Unique</v>
      </c>
      <c r="J2056" s="39" t="str">
        <f aca="false">IF(I2056="Duplicate","Remove",IF(H2056="Mismatch","Exclude","Keep"))</f>
        <v>Keep</v>
      </c>
    </row>
    <row r="2057" customFormat="false" ht="15" hidden="false" customHeight="false" outlineLevel="0" collapsed="false">
      <c r="A2057" s="39" t="s">
        <v>2122</v>
      </c>
      <c r="B2057" s="40" t="n">
        <v>45927</v>
      </c>
      <c r="C2057" s="39" t="s">
        <v>114</v>
      </c>
      <c r="D2057" s="39" t="n">
        <v>1</v>
      </c>
      <c r="E2057" s="41" t="n">
        <v>5.69</v>
      </c>
      <c r="F2057" s="39" t="s">
        <v>118</v>
      </c>
      <c r="G2057" s="39" t="str">
        <f aca="false">UPPER(TRIM(C2057))</f>
        <v>P012</v>
      </c>
      <c r="H2057" s="39" t="str">
        <f aca="false">IF(ISNUMBER(MATCH(G2057,Products!$A$5:$A$24,0)),"OK","Mismatch")</f>
        <v>OK</v>
      </c>
      <c r="I2057" s="39" t="str">
        <f aca="false">IF(COUNTIF($A$5:A2057,A2057)&gt;1,"Duplicate","Unique")</f>
        <v>Unique</v>
      </c>
      <c r="J2057" s="39" t="str">
        <f aca="false">IF(I2057="Duplicate","Remove",IF(H2057="Mismatch","Exclude","Keep"))</f>
        <v>Keep</v>
      </c>
    </row>
    <row r="2058" customFormat="false" ht="15" hidden="false" customHeight="false" outlineLevel="0" collapsed="false">
      <c r="A2058" s="39" t="s">
        <v>2123</v>
      </c>
      <c r="B2058" s="40" t="n">
        <v>45927</v>
      </c>
      <c r="C2058" s="39" t="s">
        <v>136</v>
      </c>
      <c r="D2058" s="39" t="n">
        <v>3</v>
      </c>
      <c r="E2058" s="41" t="n">
        <v>76.47</v>
      </c>
      <c r="F2058" s="39" t="s">
        <v>115</v>
      </c>
      <c r="G2058" s="39" t="str">
        <f aca="false">UPPER(TRIM(C2058))</f>
        <v>P002</v>
      </c>
      <c r="H2058" s="39" t="str">
        <f aca="false">IF(ISNUMBER(MATCH(G2058,Products!$A$5:$A$24,0)),"OK","Mismatch")</f>
        <v>OK</v>
      </c>
      <c r="I2058" s="39" t="str">
        <f aca="false">IF(COUNTIF($A$5:A2058,A2058)&gt;1,"Duplicate","Unique")</f>
        <v>Unique</v>
      </c>
      <c r="J2058" s="39" t="str">
        <f aca="false">IF(I2058="Duplicate","Remove",IF(H2058="Mismatch","Exclude","Keep"))</f>
        <v>Keep</v>
      </c>
    </row>
    <row r="2059" customFormat="false" ht="15" hidden="false" customHeight="false" outlineLevel="0" collapsed="false">
      <c r="A2059" s="39" t="s">
        <v>2124</v>
      </c>
      <c r="B2059" s="40" t="n">
        <v>45927</v>
      </c>
      <c r="C2059" s="39" t="s">
        <v>114</v>
      </c>
      <c r="D2059" s="39" t="n">
        <v>1</v>
      </c>
      <c r="E2059" s="41" t="n">
        <v>5.55</v>
      </c>
      <c r="F2059" s="39" t="s">
        <v>118</v>
      </c>
      <c r="G2059" s="39" t="str">
        <f aca="false">UPPER(TRIM(C2059))</f>
        <v>P012</v>
      </c>
      <c r="H2059" s="39" t="str">
        <f aca="false">IF(ISNUMBER(MATCH(G2059,Products!$A$5:$A$24,0)),"OK","Mismatch")</f>
        <v>OK</v>
      </c>
      <c r="I2059" s="39" t="str">
        <f aca="false">IF(COUNTIF($A$5:A2059,A2059)&gt;1,"Duplicate","Unique")</f>
        <v>Unique</v>
      </c>
      <c r="J2059" s="39" t="str">
        <f aca="false">IF(I2059="Duplicate","Remove",IF(H2059="Mismatch","Exclude","Keep"))</f>
        <v>Keep</v>
      </c>
    </row>
    <row r="2060" customFormat="false" ht="15" hidden="false" customHeight="false" outlineLevel="0" collapsed="false">
      <c r="A2060" s="39" t="s">
        <v>2125</v>
      </c>
      <c r="B2060" s="40" t="n">
        <v>45927</v>
      </c>
      <c r="C2060" s="39" t="s">
        <v>183</v>
      </c>
      <c r="D2060" s="39" t="n">
        <v>1</v>
      </c>
      <c r="E2060" s="41" t="n">
        <v>179.34</v>
      </c>
      <c r="F2060" s="39" t="s">
        <v>115</v>
      </c>
      <c r="G2060" s="39" t="str">
        <f aca="false">UPPER(TRIM(C2060))</f>
        <v>P007</v>
      </c>
      <c r="H2060" s="39" t="str">
        <f aca="false">IF(ISNUMBER(MATCH(G2060,Products!$A$5:$A$24,0)),"OK","Mismatch")</f>
        <v>OK</v>
      </c>
      <c r="I2060" s="39" t="str">
        <f aca="false">IF(COUNTIF($A$5:A2060,A2060)&gt;1,"Duplicate","Unique")</f>
        <v>Unique</v>
      </c>
      <c r="J2060" s="39" t="str">
        <f aca="false">IF(I2060="Duplicate","Remove",IF(H2060="Mismatch","Exclude","Keep"))</f>
        <v>Keep</v>
      </c>
    </row>
    <row r="2061" customFormat="false" ht="15" hidden="false" customHeight="false" outlineLevel="0" collapsed="false">
      <c r="A2061" s="39" t="s">
        <v>2126</v>
      </c>
      <c r="B2061" s="40" t="n">
        <v>45928</v>
      </c>
      <c r="C2061" s="39" t="s">
        <v>169</v>
      </c>
      <c r="D2061" s="39" t="n">
        <v>5</v>
      </c>
      <c r="E2061" s="41" t="n">
        <v>27.27</v>
      </c>
      <c r="F2061" s="39" t="s">
        <v>118</v>
      </c>
      <c r="G2061" s="39" t="str">
        <f aca="false">UPPER(TRIM(C2061))</f>
        <v>P004</v>
      </c>
      <c r="H2061" s="39" t="str">
        <f aca="false">IF(ISNUMBER(MATCH(G2061,Products!$A$5:$A$24,0)),"OK","Mismatch")</f>
        <v>OK</v>
      </c>
      <c r="I2061" s="39" t="str">
        <f aca="false">IF(COUNTIF($A$5:A2061,A2061)&gt;1,"Duplicate","Unique")</f>
        <v>Unique</v>
      </c>
      <c r="J2061" s="39" t="str">
        <f aca="false">IF(I2061="Duplicate","Remove",IF(H2061="Mismatch","Exclude","Keep"))</f>
        <v>Keep</v>
      </c>
    </row>
    <row r="2062" customFormat="false" ht="15" hidden="false" customHeight="false" outlineLevel="0" collapsed="false">
      <c r="A2062" s="39" t="s">
        <v>2127</v>
      </c>
      <c r="B2062" s="40" t="n">
        <v>45928</v>
      </c>
      <c r="C2062" s="39" t="s">
        <v>133</v>
      </c>
      <c r="D2062" s="39" t="n">
        <v>5</v>
      </c>
      <c r="E2062" s="41" t="n">
        <v>8.28</v>
      </c>
      <c r="F2062" s="39" t="s">
        <v>118</v>
      </c>
      <c r="G2062" s="39" t="str">
        <f aca="false">UPPER(TRIM(C2062))</f>
        <v>P019</v>
      </c>
      <c r="H2062" s="39" t="str">
        <f aca="false">IF(ISNUMBER(MATCH(G2062,Products!$A$5:$A$24,0)),"OK","Mismatch")</f>
        <v>OK</v>
      </c>
      <c r="I2062" s="39" t="str">
        <f aca="false">IF(COUNTIF($A$5:A2062,A2062)&gt;1,"Duplicate","Unique")</f>
        <v>Unique</v>
      </c>
      <c r="J2062" s="39" t="str">
        <f aca="false">IF(I2062="Duplicate","Remove",IF(H2062="Mismatch","Exclude","Keep"))</f>
        <v>Keep</v>
      </c>
    </row>
    <row r="2063" customFormat="false" ht="15" hidden="false" customHeight="false" outlineLevel="0" collapsed="false">
      <c r="A2063" s="39" t="s">
        <v>2128</v>
      </c>
      <c r="B2063" s="40" t="n">
        <v>45928</v>
      </c>
      <c r="C2063" s="39" t="s">
        <v>3187</v>
      </c>
      <c r="D2063" s="39" t="n">
        <v>1</v>
      </c>
      <c r="E2063" s="41" t="n">
        <v>23.1</v>
      </c>
      <c r="F2063" s="39" t="s">
        <v>118</v>
      </c>
      <c r="G2063" s="39" t="str">
        <f aca="false">UPPER(TRIM(C2063))</f>
        <v>P001</v>
      </c>
      <c r="H2063" s="39" t="str">
        <f aca="false">IF(ISNUMBER(MATCH(G2063,Products!$A$5:$A$24,0)),"OK","Mismatch")</f>
        <v>OK</v>
      </c>
      <c r="I2063" s="39" t="str">
        <f aca="false">IF(COUNTIF($A$5:A2063,A2063)&gt;1,"Duplicate","Unique")</f>
        <v>Unique</v>
      </c>
      <c r="J2063" s="39" t="str">
        <f aca="false">IF(I2063="Duplicate","Remove",IF(H2063="Mismatch","Exclude","Keep"))</f>
        <v>Keep</v>
      </c>
    </row>
    <row r="2064" customFormat="false" ht="15" hidden="false" customHeight="false" outlineLevel="0" collapsed="false">
      <c r="A2064" s="39" t="s">
        <v>2129</v>
      </c>
      <c r="B2064" s="40" t="n">
        <v>45928</v>
      </c>
      <c r="C2064" s="39" t="s">
        <v>136</v>
      </c>
      <c r="D2064" s="39" t="n">
        <v>3</v>
      </c>
      <c r="E2064" s="41" t="n">
        <v>78.99</v>
      </c>
      <c r="F2064" s="39" t="s">
        <v>105</v>
      </c>
      <c r="G2064" s="39" t="str">
        <f aca="false">UPPER(TRIM(C2064))</f>
        <v>P002</v>
      </c>
      <c r="H2064" s="39" t="str">
        <f aca="false">IF(ISNUMBER(MATCH(G2064,Products!$A$5:$A$24,0)),"OK","Mismatch")</f>
        <v>OK</v>
      </c>
      <c r="I2064" s="39" t="str">
        <f aca="false">IF(COUNTIF($A$5:A2064,A2064)&gt;1,"Duplicate","Unique")</f>
        <v>Unique</v>
      </c>
      <c r="J2064" s="39" t="str">
        <f aca="false">IF(I2064="Duplicate","Remove",IF(H2064="Mismatch","Exclude","Keep"))</f>
        <v>Keep</v>
      </c>
    </row>
    <row r="2065" customFormat="false" ht="15" hidden="false" customHeight="false" outlineLevel="0" collapsed="false">
      <c r="A2065" s="39" t="s">
        <v>2130</v>
      </c>
      <c r="B2065" s="40" t="n">
        <v>45928</v>
      </c>
      <c r="C2065" s="39" t="s">
        <v>169</v>
      </c>
      <c r="D2065" s="39" t="n">
        <v>3</v>
      </c>
      <c r="E2065" s="41" t="n">
        <v>28.08</v>
      </c>
      <c r="F2065" s="39" t="s">
        <v>118</v>
      </c>
      <c r="G2065" s="39" t="str">
        <f aca="false">UPPER(TRIM(C2065))</f>
        <v>P004</v>
      </c>
      <c r="H2065" s="39" t="str">
        <f aca="false">IF(ISNUMBER(MATCH(G2065,Products!$A$5:$A$24,0)),"OK","Mismatch")</f>
        <v>OK</v>
      </c>
      <c r="I2065" s="39" t="str">
        <f aca="false">IF(COUNTIF($A$5:A2065,A2065)&gt;1,"Duplicate","Unique")</f>
        <v>Unique</v>
      </c>
      <c r="J2065" s="39" t="str">
        <f aca="false">IF(I2065="Duplicate","Remove",IF(H2065="Mismatch","Exclude","Keep"))</f>
        <v>Keep</v>
      </c>
    </row>
    <row r="2066" customFormat="false" ht="15" hidden="false" customHeight="false" outlineLevel="0" collapsed="false">
      <c r="A2066" s="39" t="s">
        <v>2131</v>
      </c>
      <c r="B2066" s="40" t="n">
        <v>45928</v>
      </c>
      <c r="C2066" s="39" t="s">
        <v>114</v>
      </c>
      <c r="D2066" s="39" t="n">
        <v>2</v>
      </c>
      <c r="E2066" s="41" t="n">
        <v>5.73</v>
      </c>
      <c r="F2066" s="39" t="s">
        <v>118</v>
      </c>
      <c r="G2066" s="39" t="str">
        <f aca="false">UPPER(TRIM(C2066))</f>
        <v>P012</v>
      </c>
      <c r="H2066" s="39" t="str">
        <f aca="false">IF(ISNUMBER(MATCH(G2066,Products!$A$5:$A$24,0)),"OK","Mismatch")</f>
        <v>OK</v>
      </c>
      <c r="I2066" s="39" t="str">
        <f aca="false">IF(COUNTIF($A$5:A2066,A2066)&gt;1,"Duplicate","Unique")</f>
        <v>Unique</v>
      </c>
      <c r="J2066" s="39" t="str">
        <f aca="false">IF(I2066="Duplicate","Remove",IF(H2066="Mismatch","Exclude","Keep"))</f>
        <v>Keep</v>
      </c>
    </row>
    <row r="2067" customFormat="false" ht="15" hidden="false" customHeight="false" outlineLevel="0" collapsed="false">
      <c r="A2067" s="39" t="s">
        <v>2132</v>
      </c>
      <c r="B2067" s="40" t="n">
        <v>45931</v>
      </c>
      <c r="C2067" s="39" t="s">
        <v>107</v>
      </c>
      <c r="D2067" s="39" t="n">
        <v>1</v>
      </c>
      <c r="E2067" s="41" t="n">
        <v>33.71</v>
      </c>
      <c r="F2067" s="39" t="s">
        <v>105</v>
      </c>
      <c r="G2067" s="39" t="str">
        <f aca="false">UPPER(TRIM(C2067))</f>
        <v>P003</v>
      </c>
      <c r="H2067" s="39" t="str">
        <f aca="false">IF(ISNUMBER(MATCH(G2067,Products!$A$5:$A$24,0)),"OK","Mismatch")</f>
        <v>OK</v>
      </c>
      <c r="I2067" s="39" t="str">
        <f aca="false">IF(COUNTIF($A$5:A2067,A2067)&gt;1,"Duplicate","Unique")</f>
        <v>Unique</v>
      </c>
      <c r="J2067" s="39" t="str">
        <f aca="false">IF(I2067="Duplicate","Remove",IF(H2067="Mismatch","Exclude","Keep"))</f>
        <v>Keep</v>
      </c>
    </row>
    <row r="2068" customFormat="false" ht="15" hidden="false" customHeight="false" outlineLevel="0" collapsed="false">
      <c r="A2068" s="39" t="s">
        <v>2133</v>
      </c>
      <c r="B2068" s="40" t="n">
        <v>45931</v>
      </c>
      <c r="C2068" s="39" t="s">
        <v>107</v>
      </c>
      <c r="D2068" s="39" t="n">
        <v>1</v>
      </c>
      <c r="E2068" s="41" t="n">
        <v>33.63</v>
      </c>
      <c r="F2068" s="39" t="s">
        <v>105</v>
      </c>
      <c r="G2068" s="39" t="str">
        <f aca="false">UPPER(TRIM(C2068))</f>
        <v>P003</v>
      </c>
      <c r="H2068" s="39" t="str">
        <f aca="false">IF(ISNUMBER(MATCH(G2068,Products!$A$5:$A$24,0)),"OK","Mismatch")</f>
        <v>OK</v>
      </c>
      <c r="I2068" s="39" t="str">
        <f aca="false">IF(COUNTIF($A$5:A2068,A2068)&gt;1,"Duplicate","Unique")</f>
        <v>Unique</v>
      </c>
      <c r="J2068" s="39" t="str">
        <f aca="false">IF(I2068="Duplicate","Remove",IF(H2068="Mismatch","Exclude","Keep"))</f>
        <v>Keep</v>
      </c>
    </row>
    <row r="2069" customFormat="false" ht="15" hidden="false" customHeight="false" outlineLevel="0" collapsed="false">
      <c r="A2069" s="39" t="s">
        <v>2134</v>
      </c>
      <c r="B2069" s="40" t="n">
        <v>45931</v>
      </c>
      <c r="C2069" s="39" t="s">
        <v>128</v>
      </c>
      <c r="D2069" s="39" t="n">
        <v>3</v>
      </c>
      <c r="E2069" s="41" t="n">
        <v>36.08</v>
      </c>
      <c r="F2069" s="39" t="s">
        <v>105</v>
      </c>
      <c r="G2069" s="39" t="str">
        <f aca="false">UPPER(TRIM(C2069))</f>
        <v>P020</v>
      </c>
      <c r="H2069" s="39" t="str">
        <f aca="false">IF(ISNUMBER(MATCH(G2069,Products!$A$5:$A$24,0)),"OK","Mismatch")</f>
        <v>OK</v>
      </c>
      <c r="I2069" s="39" t="str">
        <f aca="false">IF(COUNTIF($A$5:A2069,A2069)&gt;1,"Duplicate","Unique")</f>
        <v>Unique</v>
      </c>
      <c r="J2069" s="39" t="str">
        <f aca="false">IF(I2069="Duplicate","Remove",IF(H2069="Mismatch","Exclude","Keep"))</f>
        <v>Keep</v>
      </c>
    </row>
    <row r="2070" customFormat="false" ht="15" hidden="false" customHeight="false" outlineLevel="0" collapsed="false">
      <c r="A2070" s="39" t="s">
        <v>2135</v>
      </c>
      <c r="B2070" s="40" t="n">
        <v>45931</v>
      </c>
      <c r="C2070" s="39" t="s">
        <v>133</v>
      </c>
      <c r="D2070" s="39" t="n">
        <v>4</v>
      </c>
      <c r="E2070" s="41" t="n">
        <v>8.59</v>
      </c>
      <c r="F2070" s="39" t="s">
        <v>105</v>
      </c>
      <c r="G2070" s="39" t="str">
        <f aca="false">UPPER(TRIM(C2070))</f>
        <v>P019</v>
      </c>
      <c r="H2070" s="39" t="str">
        <f aca="false">IF(ISNUMBER(MATCH(G2070,Products!$A$5:$A$24,0)),"OK","Mismatch")</f>
        <v>OK</v>
      </c>
      <c r="I2070" s="39" t="str">
        <f aca="false">IF(COUNTIF($A$5:A2070,A2070)&gt;1,"Duplicate","Unique")</f>
        <v>Unique</v>
      </c>
      <c r="J2070" s="39" t="str">
        <f aca="false">IF(I2070="Duplicate","Remove",IF(H2070="Mismatch","Exclude","Keep"))</f>
        <v>Keep</v>
      </c>
    </row>
    <row r="2071" customFormat="false" ht="15" hidden="false" customHeight="false" outlineLevel="0" collapsed="false">
      <c r="A2071" s="39" t="s">
        <v>2136</v>
      </c>
      <c r="B2071" s="40" t="n">
        <v>45931</v>
      </c>
      <c r="C2071" s="39" t="s">
        <v>114</v>
      </c>
      <c r="D2071" s="39" t="n">
        <v>4</v>
      </c>
      <c r="E2071" s="41" t="n">
        <v>5.86</v>
      </c>
      <c r="F2071" s="39" t="s">
        <v>115</v>
      </c>
      <c r="G2071" s="39" t="str">
        <f aca="false">UPPER(TRIM(C2071))</f>
        <v>P012</v>
      </c>
      <c r="H2071" s="39" t="str">
        <f aca="false">IF(ISNUMBER(MATCH(G2071,Products!$A$5:$A$24,0)),"OK","Mismatch")</f>
        <v>OK</v>
      </c>
      <c r="I2071" s="39" t="str">
        <f aca="false">IF(COUNTIF($A$5:A2071,A2071)&gt;1,"Duplicate","Unique")</f>
        <v>Unique</v>
      </c>
      <c r="J2071" s="39" t="str">
        <f aca="false">IF(I2071="Duplicate","Remove",IF(H2071="Mismatch","Exclude","Keep"))</f>
        <v>Keep</v>
      </c>
    </row>
    <row r="2072" customFormat="false" ht="15" hidden="false" customHeight="false" outlineLevel="0" collapsed="false">
      <c r="A2072" s="39" t="s">
        <v>2137</v>
      </c>
      <c r="B2072" s="40" t="n">
        <v>45931</v>
      </c>
      <c r="C2072" s="39" t="s">
        <v>169</v>
      </c>
      <c r="D2072" s="39" t="n">
        <v>4</v>
      </c>
      <c r="E2072" s="41" t="n">
        <v>28.13</v>
      </c>
      <c r="F2072" s="39" t="s">
        <v>115</v>
      </c>
      <c r="G2072" s="39" t="str">
        <f aca="false">UPPER(TRIM(C2072))</f>
        <v>P004</v>
      </c>
      <c r="H2072" s="39" t="str">
        <f aca="false">IF(ISNUMBER(MATCH(G2072,Products!$A$5:$A$24,0)),"OK","Mismatch")</f>
        <v>OK</v>
      </c>
      <c r="I2072" s="39" t="str">
        <f aca="false">IF(COUNTIF($A$5:A2072,A2072)&gt;1,"Duplicate","Unique")</f>
        <v>Unique</v>
      </c>
      <c r="J2072" s="39" t="str">
        <f aca="false">IF(I2072="Duplicate","Remove",IF(H2072="Mismatch","Exclude","Keep"))</f>
        <v>Keep</v>
      </c>
    </row>
    <row r="2073" customFormat="false" ht="15" hidden="false" customHeight="false" outlineLevel="0" collapsed="false">
      <c r="A2073" s="39" t="s">
        <v>2138</v>
      </c>
      <c r="B2073" s="40" t="n">
        <v>45932</v>
      </c>
      <c r="C2073" s="39" t="s">
        <v>114</v>
      </c>
      <c r="D2073" s="39" t="n">
        <v>2</v>
      </c>
      <c r="E2073" s="41" t="n">
        <v>5.68</v>
      </c>
      <c r="F2073" s="39" t="s">
        <v>108</v>
      </c>
      <c r="G2073" s="39" t="str">
        <f aca="false">UPPER(TRIM(C2073))</f>
        <v>P012</v>
      </c>
      <c r="H2073" s="39" t="str">
        <f aca="false">IF(ISNUMBER(MATCH(G2073,Products!$A$5:$A$24,0)),"OK","Mismatch")</f>
        <v>OK</v>
      </c>
      <c r="I2073" s="39" t="str">
        <f aca="false">IF(COUNTIF($A$5:A2073,A2073)&gt;1,"Duplicate","Unique")</f>
        <v>Unique</v>
      </c>
      <c r="J2073" s="39" t="str">
        <f aca="false">IF(I2073="Duplicate","Remove",IF(H2073="Mismatch","Exclude","Keep"))</f>
        <v>Keep</v>
      </c>
    </row>
    <row r="2074" customFormat="false" ht="15" hidden="false" customHeight="false" outlineLevel="0" collapsed="false">
      <c r="A2074" s="39" t="s">
        <v>2139</v>
      </c>
      <c r="B2074" s="40" t="n">
        <v>45932</v>
      </c>
      <c r="C2074" s="39" t="s">
        <v>139</v>
      </c>
      <c r="D2074" s="39" t="n">
        <v>4</v>
      </c>
      <c r="E2074" s="41" t="n">
        <v>119.17</v>
      </c>
      <c r="F2074" s="39" t="s">
        <v>115</v>
      </c>
      <c r="G2074" s="39" t="str">
        <f aca="false">UPPER(TRIM(C2074))</f>
        <v>P006</v>
      </c>
      <c r="H2074" s="39" t="str">
        <f aca="false">IF(ISNUMBER(MATCH(G2074,Products!$A$5:$A$24,0)),"OK","Mismatch")</f>
        <v>OK</v>
      </c>
      <c r="I2074" s="39" t="str">
        <f aca="false">IF(COUNTIF($A$5:A2074,A2074)&gt;1,"Duplicate","Unique")</f>
        <v>Unique</v>
      </c>
      <c r="J2074" s="39" t="str">
        <f aca="false">IF(I2074="Duplicate","Remove",IF(H2074="Mismatch","Exclude","Keep"))</f>
        <v>Keep</v>
      </c>
    </row>
    <row r="2075" customFormat="false" ht="15" hidden="false" customHeight="false" outlineLevel="0" collapsed="false">
      <c r="A2075" s="39" t="s">
        <v>2140</v>
      </c>
      <c r="B2075" s="40" t="n">
        <v>45932</v>
      </c>
      <c r="C2075" s="39" t="s">
        <v>183</v>
      </c>
      <c r="D2075" s="39" t="n">
        <v>2</v>
      </c>
      <c r="E2075" s="41" t="n">
        <v>187.65</v>
      </c>
      <c r="F2075" s="39" t="s">
        <v>115</v>
      </c>
      <c r="G2075" s="39" t="str">
        <f aca="false">UPPER(TRIM(C2075))</f>
        <v>P007</v>
      </c>
      <c r="H2075" s="39" t="str">
        <f aca="false">IF(ISNUMBER(MATCH(G2075,Products!$A$5:$A$24,0)),"OK","Mismatch")</f>
        <v>OK</v>
      </c>
      <c r="I2075" s="39" t="str">
        <f aca="false">IF(COUNTIF($A$5:A2075,A2075)&gt;1,"Duplicate","Unique")</f>
        <v>Unique</v>
      </c>
      <c r="J2075" s="39" t="str">
        <f aca="false">IF(I2075="Duplicate","Remove",IF(H2075="Mismatch","Exclude","Keep"))</f>
        <v>Keep</v>
      </c>
    </row>
    <row r="2076" customFormat="false" ht="15" hidden="false" customHeight="false" outlineLevel="0" collapsed="false">
      <c r="A2076" s="39" t="s">
        <v>2141</v>
      </c>
      <c r="B2076" s="40" t="n">
        <v>45932</v>
      </c>
      <c r="C2076" s="39" t="s">
        <v>117</v>
      </c>
      <c r="D2076" s="39" t="n">
        <v>5</v>
      </c>
      <c r="E2076" s="41" t="n">
        <v>29.75</v>
      </c>
      <c r="F2076" s="39" t="s">
        <v>108</v>
      </c>
      <c r="G2076" s="39" t="str">
        <f aca="false">UPPER(TRIM(C2076))</f>
        <v>P009</v>
      </c>
      <c r="H2076" s="39" t="str">
        <f aca="false">IF(ISNUMBER(MATCH(G2076,Products!$A$5:$A$24,0)),"OK","Mismatch")</f>
        <v>OK</v>
      </c>
      <c r="I2076" s="39" t="str">
        <f aca="false">IF(COUNTIF($A$5:A2076,A2076)&gt;1,"Duplicate","Unique")</f>
        <v>Unique</v>
      </c>
      <c r="J2076" s="39" t="str">
        <f aca="false">IF(I2076="Duplicate","Remove",IF(H2076="Mismatch","Exclude","Keep"))</f>
        <v>Keep</v>
      </c>
    </row>
    <row r="2077" customFormat="false" ht="15" hidden="false" customHeight="false" outlineLevel="0" collapsed="false">
      <c r="A2077" s="39" t="s">
        <v>2142</v>
      </c>
      <c r="B2077" s="40" t="n">
        <v>45932</v>
      </c>
      <c r="C2077" s="39" t="s">
        <v>110</v>
      </c>
      <c r="D2077" s="39" t="n">
        <v>1</v>
      </c>
      <c r="E2077" s="41" t="n">
        <v>13.2</v>
      </c>
      <c r="F2077" s="39" t="s">
        <v>115</v>
      </c>
      <c r="G2077" s="39" t="str">
        <f aca="false">UPPER(TRIM(C2077))</f>
        <v>P016</v>
      </c>
      <c r="H2077" s="39" t="str">
        <f aca="false">IF(ISNUMBER(MATCH(G2077,Products!$A$5:$A$24,0)),"OK","Mismatch")</f>
        <v>OK</v>
      </c>
      <c r="I2077" s="39" t="str">
        <f aca="false">IF(COUNTIF($A$5:A2077,A2077)&gt;1,"Duplicate","Unique")</f>
        <v>Unique</v>
      </c>
      <c r="J2077" s="39" t="str">
        <f aca="false">IF(I2077="Duplicate","Remove",IF(H2077="Mismatch","Exclude","Keep"))</f>
        <v>Keep</v>
      </c>
    </row>
    <row r="2078" customFormat="false" ht="15" hidden="false" customHeight="false" outlineLevel="0" collapsed="false">
      <c r="A2078" s="39" t="s">
        <v>2143</v>
      </c>
      <c r="B2078" s="40" t="n">
        <v>45932</v>
      </c>
      <c r="C2078" s="39" t="s">
        <v>128</v>
      </c>
      <c r="D2078" s="39" t="n">
        <v>1</v>
      </c>
      <c r="E2078" s="41" t="n">
        <v>36.63</v>
      </c>
      <c r="F2078" s="39" t="s">
        <v>108</v>
      </c>
      <c r="G2078" s="39" t="str">
        <f aca="false">UPPER(TRIM(C2078))</f>
        <v>P020</v>
      </c>
      <c r="H2078" s="39" t="str">
        <f aca="false">IF(ISNUMBER(MATCH(G2078,Products!$A$5:$A$24,0)),"OK","Mismatch")</f>
        <v>OK</v>
      </c>
      <c r="I2078" s="39" t="str">
        <f aca="false">IF(COUNTIF($A$5:A2078,A2078)&gt;1,"Duplicate","Unique")</f>
        <v>Unique</v>
      </c>
      <c r="J2078" s="39" t="str">
        <f aca="false">IF(I2078="Duplicate","Remove",IF(H2078="Mismatch","Exclude","Keep"))</f>
        <v>Keep</v>
      </c>
    </row>
    <row r="2079" customFormat="false" ht="15" hidden="false" customHeight="false" outlineLevel="0" collapsed="false">
      <c r="A2079" s="39" t="s">
        <v>2144</v>
      </c>
      <c r="B2079" s="40" t="n">
        <v>45932</v>
      </c>
      <c r="C2079" s="39" t="s">
        <v>114</v>
      </c>
      <c r="D2079" s="39" t="n">
        <v>1</v>
      </c>
      <c r="E2079" s="41" t="n">
        <v>5.68</v>
      </c>
      <c r="F2079" s="39" t="s">
        <v>118</v>
      </c>
      <c r="G2079" s="39" t="str">
        <f aca="false">UPPER(TRIM(C2079))</f>
        <v>P012</v>
      </c>
      <c r="H2079" s="39" t="str">
        <f aca="false">IF(ISNUMBER(MATCH(G2079,Products!$A$5:$A$24,0)),"OK","Mismatch")</f>
        <v>OK</v>
      </c>
      <c r="I2079" s="39" t="str">
        <f aca="false">IF(COUNTIF($A$5:A2079,A2079)&gt;1,"Duplicate","Unique")</f>
        <v>Unique</v>
      </c>
      <c r="J2079" s="39" t="str">
        <f aca="false">IF(I2079="Duplicate","Remove",IF(H2079="Mismatch","Exclude","Keep"))</f>
        <v>Keep</v>
      </c>
    </row>
    <row r="2080" customFormat="false" ht="15" hidden="false" customHeight="false" outlineLevel="0" collapsed="false">
      <c r="A2080" s="39" t="s">
        <v>2145</v>
      </c>
      <c r="B2080" s="40" t="n">
        <v>45932</v>
      </c>
      <c r="C2080" s="39" t="s">
        <v>139</v>
      </c>
      <c r="D2080" s="39" t="n">
        <v>2</v>
      </c>
      <c r="E2080" s="41" t="n">
        <v>119.18</v>
      </c>
      <c r="F2080" s="39" t="s">
        <v>108</v>
      </c>
      <c r="G2080" s="39" t="str">
        <f aca="false">UPPER(TRIM(C2080))</f>
        <v>P006</v>
      </c>
      <c r="H2080" s="39" t="str">
        <f aca="false">IF(ISNUMBER(MATCH(G2080,Products!$A$5:$A$24,0)),"OK","Mismatch")</f>
        <v>OK</v>
      </c>
      <c r="I2080" s="39" t="str">
        <f aca="false">IF(COUNTIF($A$5:A2080,A2080)&gt;1,"Duplicate","Unique")</f>
        <v>Unique</v>
      </c>
      <c r="J2080" s="39" t="str">
        <f aca="false">IF(I2080="Duplicate","Remove",IF(H2080="Mismatch","Exclude","Keep"))</f>
        <v>Keep</v>
      </c>
    </row>
    <row r="2081" customFormat="false" ht="15" hidden="false" customHeight="false" outlineLevel="0" collapsed="false">
      <c r="A2081" s="39" t="s">
        <v>2146</v>
      </c>
      <c r="B2081" s="40" t="n">
        <v>45933</v>
      </c>
      <c r="C2081" s="39" t="s">
        <v>114</v>
      </c>
      <c r="D2081" s="39" t="n">
        <v>3</v>
      </c>
      <c r="E2081" s="41" t="n">
        <v>5.54</v>
      </c>
      <c r="F2081" s="39" t="s">
        <v>118</v>
      </c>
      <c r="G2081" s="39" t="str">
        <f aca="false">UPPER(TRIM(C2081))</f>
        <v>P012</v>
      </c>
      <c r="H2081" s="39" t="str">
        <f aca="false">IF(ISNUMBER(MATCH(G2081,Products!$A$5:$A$24,0)),"OK","Mismatch")</f>
        <v>OK</v>
      </c>
      <c r="I2081" s="39" t="str">
        <f aca="false">IF(COUNTIF($A$5:A2081,A2081)&gt;1,"Duplicate","Unique")</f>
        <v>Unique</v>
      </c>
      <c r="J2081" s="39" t="str">
        <f aca="false">IF(I2081="Duplicate","Remove",IF(H2081="Mismatch","Exclude","Keep"))</f>
        <v>Keep</v>
      </c>
    </row>
    <row r="2082" customFormat="false" ht="15" hidden="false" customHeight="false" outlineLevel="0" collapsed="false">
      <c r="A2082" s="39" t="s">
        <v>2147</v>
      </c>
      <c r="B2082" s="40" t="n">
        <v>45933</v>
      </c>
      <c r="C2082" s="39" t="s">
        <v>153</v>
      </c>
      <c r="D2082" s="39" t="n">
        <v>4</v>
      </c>
      <c r="E2082" s="41" t="n">
        <v>172.9</v>
      </c>
      <c r="F2082" s="39" t="s">
        <v>115</v>
      </c>
      <c r="G2082" s="39" t="str">
        <f aca="false">UPPER(TRIM(C2082))</f>
        <v>P010</v>
      </c>
      <c r="H2082" s="39" t="str">
        <f aca="false">IF(ISNUMBER(MATCH(G2082,Products!$A$5:$A$24,0)),"OK","Mismatch")</f>
        <v>OK</v>
      </c>
      <c r="I2082" s="39" t="str">
        <f aca="false">IF(COUNTIF($A$5:A2082,A2082)&gt;1,"Duplicate","Unique")</f>
        <v>Unique</v>
      </c>
      <c r="J2082" s="39" t="str">
        <f aca="false">IF(I2082="Duplicate","Remove",IF(H2082="Mismatch","Exclude","Keep"))</f>
        <v>Keep</v>
      </c>
    </row>
    <row r="2083" customFormat="false" ht="15" hidden="false" customHeight="false" outlineLevel="0" collapsed="false">
      <c r="A2083" s="39" t="s">
        <v>2148</v>
      </c>
      <c r="B2083" s="40" t="n">
        <v>45933</v>
      </c>
      <c r="C2083" s="39" t="s">
        <v>162</v>
      </c>
      <c r="D2083" s="39" t="n">
        <v>1</v>
      </c>
      <c r="E2083" s="41" t="n">
        <v>65.55</v>
      </c>
      <c r="F2083" s="39" t="s">
        <v>105</v>
      </c>
      <c r="G2083" s="39" t="str">
        <f aca="false">UPPER(TRIM(C2083))</f>
        <v>P017</v>
      </c>
      <c r="H2083" s="39" t="str">
        <f aca="false">IF(ISNUMBER(MATCH(G2083,Products!$A$5:$A$24,0)),"OK","Mismatch")</f>
        <v>OK</v>
      </c>
      <c r="I2083" s="39" t="str">
        <f aca="false">IF(COUNTIF($A$5:A2083,A2083)&gt;1,"Duplicate","Unique")</f>
        <v>Unique</v>
      </c>
      <c r="J2083" s="39" t="str">
        <f aca="false">IF(I2083="Duplicate","Remove",IF(H2083="Mismatch","Exclude","Keep"))</f>
        <v>Keep</v>
      </c>
    </row>
    <row r="2084" customFormat="false" ht="15" hidden="false" customHeight="false" outlineLevel="0" collapsed="false">
      <c r="A2084" s="39" t="s">
        <v>2149</v>
      </c>
      <c r="B2084" s="40" t="n">
        <v>45933</v>
      </c>
      <c r="C2084" s="39" t="s">
        <v>133</v>
      </c>
      <c r="D2084" s="39" t="n">
        <v>6</v>
      </c>
      <c r="E2084" s="41" t="n">
        <v>8.98</v>
      </c>
      <c r="F2084" s="39" t="s">
        <v>115</v>
      </c>
      <c r="G2084" s="39" t="str">
        <f aca="false">UPPER(TRIM(C2084))</f>
        <v>P019</v>
      </c>
      <c r="H2084" s="39" t="str">
        <f aca="false">IF(ISNUMBER(MATCH(G2084,Products!$A$5:$A$24,0)),"OK","Mismatch")</f>
        <v>OK</v>
      </c>
      <c r="I2084" s="39" t="str">
        <f aca="false">IF(COUNTIF($A$5:A2084,A2084)&gt;1,"Duplicate","Unique")</f>
        <v>Unique</v>
      </c>
      <c r="J2084" s="39" t="str">
        <f aca="false">IF(I2084="Duplicate","Remove",IF(H2084="Mismatch","Exclude","Keep"))</f>
        <v>Keep</v>
      </c>
    </row>
    <row r="2085" customFormat="false" ht="15" hidden="false" customHeight="false" outlineLevel="0" collapsed="false">
      <c r="A2085" s="39" t="s">
        <v>2150</v>
      </c>
      <c r="B2085" s="40" t="n">
        <v>45933</v>
      </c>
      <c r="C2085" s="39" t="s">
        <v>183</v>
      </c>
      <c r="D2085" s="39" t="n">
        <v>3</v>
      </c>
      <c r="E2085" s="41" t="n">
        <v>176.71</v>
      </c>
      <c r="F2085" s="39" t="s">
        <v>115</v>
      </c>
      <c r="G2085" s="39" t="str">
        <f aca="false">UPPER(TRIM(C2085))</f>
        <v>P007</v>
      </c>
      <c r="H2085" s="39" t="str">
        <f aca="false">IF(ISNUMBER(MATCH(G2085,Products!$A$5:$A$24,0)),"OK","Mismatch")</f>
        <v>OK</v>
      </c>
      <c r="I2085" s="39" t="str">
        <f aca="false">IF(COUNTIF($A$5:A2085,A2085)&gt;1,"Duplicate","Unique")</f>
        <v>Unique</v>
      </c>
      <c r="J2085" s="39" t="str">
        <f aca="false">IF(I2085="Duplicate","Remove",IF(H2085="Mismatch","Exclude","Keep"))</f>
        <v>Keep</v>
      </c>
    </row>
    <row r="2086" customFormat="false" ht="15" hidden="false" customHeight="false" outlineLevel="0" collapsed="false">
      <c r="A2086" s="39" t="s">
        <v>2151</v>
      </c>
      <c r="B2086" s="40" t="n">
        <v>45933</v>
      </c>
      <c r="C2086" s="39" t="s">
        <v>128</v>
      </c>
      <c r="D2086" s="39" t="n">
        <v>5</v>
      </c>
      <c r="E2086" s="41" t="n">
        <v>36.94</v>
      </c>
      <c r="F2086" s="39" t="s">
        <v>118</v>
      </c>
      <c r="G2086" s="39" t="str">
        <f aca="false">UPPER(TRIM(C2086))</f>
        <v>P020</v>
      </c>
      <c r="H2086" s="39" t="str">
        <f aca="false">IF(ISNUMBER(MATCH(G2086,Products!$A$5:$A$24,0)),"OK","Mismatch")</f>
        <v>OK</v>
      </c>
      <c r="I2086" s="39" t="str">
        <f aca="false">IF(COUNTIF($A$5:A2086,A2086)&gt;1,"Duplicate","Unique")</f>
        <v>Unique</v>
      </c>
      <c r="J2086" s="39" t="str">
        <f aca="false">IF(I2086="Duplicate","Remove",IF(H2086="Mismatch","Exclude","Keep"))</f>
        <v>Keep</v>
      </c>
    </row>
    <row r="2087" customFormat="false" ht="15" hidden="false" customHeight="false" outlineLevel="0" collapsed="false">
      <c r="A2087" s="39" t="s">
        <v>2152</v>
      </c>
      <c r="B2087" s="40" t="n">
        <v>45933</v>
      </c>
      <c r="C2087" s="39" t="s">
        <v>114</v>
      </c>
      <c r="D2087" s="39" t="n">
        <v>1</v>
      </c>
      <c r="E2087" s="41" t="n">
        <v>5.64</v>
      </c>
      <c r="F2087" s="39" t="s">
        <v>118</v>
      </c>
      <c r="G2087" s="39" t="str">
        <f aca="false">UPPER(TRIM(C2087))</f>
        <v>P012</v>
      </c>
      <c r="H2087" s="39" t="str">
        <f aca="false">IF(ISNUMBER(MATCH(G2087,Products!$A$5:$A$24,0)),"OK","Mismatch")</f>
        <v>OK</v>
      </c>
      <c r="I2087" s="39" t="str">
        <f aca="false">IF(COUNTIF($A$5:A2087,A2087)&gt;1,"Duplicate","Unique")</f>
        <v>Unique</v>
      </c>
      <c r="J2087" s="39" t="str">
        <f aca="false">IF(I2087="Duplicate","Remove",IF(H2087="Mismatch","Exclude","Keep"))</f>
        <v>Keep</v>
      </c>
    </row>
    <row r="2088" customFormat="false" ht="15" hidden="false" customHeight="false" outlineLevel="0" collapsed="false">
      <c r="A2088" s="39" t="s">
        <v>2153</v>
      </c>
      <c r="B2088" s="40" t="n">
        <v>45933</v>
      </c>
      <c r="C2088" s="39" t="s">
        <v>110</v>
      </c>
      <c r="D2088" s="39" t="n">
        <v>2</v>
      </c>
      <c r="E2088" s="41" t="n">
        <v>13.41</v>
      </c>
      <c r="F2088" s="39" t="s">
        <v>115</v>
      </c>
      <c r="G2088" s="39" t="str">
        <f aca="false">UPPER(TRIM(C2088))</f>
        <v>P016</v>
      </c>
      <c r="H2088" s="39" t="str">
        <f aca="false">IF(ISNUMBER(MATCH(G2088,Products!$A$5:$A$24,0)),"OK","Mismatch")</f>
        <v>OK</v>
      </c>
      <c r="I2088" s="39" t="str">
        <f aca="false">IF(COUNTIF($A$5:A2088,A2088)&gt;1,"Duplicate","Unique")</f>
        <v>Unique</v>
      </c>
      <c r="J2088" s="39" t="str">
        <f aca="false">IF(I2088="Duplicate","Remove",IF(H2088="Mismatch","Exclude","Keep"))</f>
        <v>Keep</v>
      </c>
    </row>
    <row r="2089" customFormat="false" ht="15" hidden="false" customHeight="false" outlineLevel="0" collapsed="false">
      <c r="A2089" s="39" t="s">
        <v>2154</v>
      </c>
      <c r="B2089" s="40" t="n">
        <v>45934</v>
      </c>
      <c r="C2089" s="39" t="s">
        <v>114</v>
      </c>
      <c r="D2089" s="39" t="n">
        <v>1</v>
      </c>
      <c r="E2089" s="41" t="n">
        <v>5.82</v>
      </c>
      <c r="F2089" s="39" t="s">
        <v>118</v>
      </c>
      <c r="G2089" s="39" t="str">
        <f aca="false">UPPER(TRIM(C2089))</f>
        <v>P012</v>
      </c>
      <c r="H2089" s="39" t="str">
        <f aca="false">IF(ISNUMBER(MATCH(G2089,Products!$A$5:$A$24,0)),"OK","Mismatch")</f>
        <v>OK</v>
      </c>
      <c r="I2089" s="39" t="str">
        <f aca="false">IF(COUNTIF($A$5:A2089,A2089)&gt;1,"Duplicate","Unique")</f>
        <v>Unique</v>
      </c>
      <c r="J2089" s="39" t="str">
        <f aca="false">IF(I2089="Duplicate","Remove",IF(H2089="Mismatch","Exclude","Keep"))</f>
        <v>Keep</v>
      </c>
    </row>
    <row r="2090" customFormat="false" ht="15" hidden="false" customHeight="false" outlineLevel="0" collapsed="false">
      <c r="A2090" s="39" t="s">
        <v>2155</v>
      </c>
      <c r="B2090" s="40" t="n">
        <v>45934</v>
      </c>
      <c r="C2090" s="39" t="s">
        <v>153</v>
      </c>
      <c r="D2090" s="39" t="n">
        <v>1</v>
      </c>
      <c r="E2090" s="41" t="n">
        <v>173.11</v>
      </c>
      <c r="F2090" s="39" t="s">
        <v>105</v>
      </c>
      <c r="G2090" s="39" t="str">
        <f aca="false">UPPER(TRIM(C2090))</f>
        <v>P010</v>
      </c>
      <c r="H2090" s="39" t="str">
        <f aca="false">IF(ISNUMBER(MATCH(G2090,Products!$A$5:$A$24,0)),"OK","Mismatch")</f>
        <v>OK</v>
      </c>
      <c r="I2090" s="39" t="str">
        <f aca="false">IF(COUNTIF($A$5:A2090,A2090)&gt;1,"Duplicate","Unique")</f>
        <v>Unique</v>
      </c>
      <c r="J2090" s="39" t="str">
        <f aca="false">IF(I2090="Duplicate","Remove",IF(H2090="Mismatch","Exclude","Keep"))</f>
        <v>Keep</v>
      </c>
    </row>
    <row r="2091" customFormat="false" ht="15" hidden="false" customHeight="false" outlineLevel="0" collapsed="false">
      <c r="A2091" s="39" t="s">
        <v>2156</v>
      </c>
      <c r="B2091" s="40" t="n">
        <v>45934</v>
      </c>
      <c r="C2091" s="39" t="s">
        <v>128</v>
      </c>
      <c r="D2091" s="39" t="n">
        <v>1</v>
      </c>
      <c r="E2091" s="41" t="n">
        <v>37.13</v>
      </c>
      <c r="F2091" s="39" t="s">
        <v>118</v>
      </c>
      <c r="G2091" s="39" t="str">
        <f aca="false">UPPER(TRIM(C2091))</f>
        <v>P020</v>
      </c>
      <c r="H2091" s="39" t="str">
        <f aca="false">IF(ISNUMBER(MATCH(G2091,Products!$A$5:$A$24,0)),"OK","Mismatch")</f>
        <v>OK</v>
      </c>
      <c r="I2091" s="39" t="str">
        <f aca="false">IF(COUNTIF($A$5:A2091,A2091)&gt;1,"Duplicate","Unique")</f>
        <v>Unique</v>
      </c>
      <c r="J2091" s="39" t="str">
        <f aca="false">IF(I2091="Duplicate","Remove",IF(H2091="Mismatch","Exclude","Keep"))</f>
        <v>Keep</v>
      </c>
    </row>
    <row r="2092" customFormat="false" ht="15" hidden="false" customHeight="false" outlineLevel="0" collapsed="false">
      <c r="A2092" s="39" t="s">
        <v>2157</v>
      </c>
      <c r="B2092" s="40" t="n">
        <v>45934</v>
      </c>
      <c r="C2092" s="39" t="s">
        <v>183</v>
      </c>
      <c r="D2092" s="39" t="n">
        <v>2</v>
      </c>
      <c r="E2092" s="41" t="n">
        <v>188.88</v>
      </c>
      <c r="F2092" s="39" t="s">
        <v>105</v>
      </c>
      <c r="G2092" s="39" t="str">
        <f aca="false">UPPER(TRIM(C2092))</f>
        <v>P007</v>
      </c>
      <c r="H2092" s="39" t="str">
        <f aca="false">IF(ISNUMBER(MATCH(G2092,Products!$A$5:$A$24,0)),"OK","Mismatch")</f>
        <v>OK</v>
      </c>
      <c r="I2092" s="39" t="str">
        <f aca="false">IF(COUNTIF($A$5:A2092,A2092)&gt;1,"Duplicate","Unique")</f>
        <v>Unique</v>
      </c>
      <c r="J2092" s="39" t="str">
        <f aca="false">IF(I2092="Duplicate","Remove",IF(H2092="Mismatch","Exclude","Keep"))</f>
        <v>Keep</v>
      </c>
    </row>
    <row r="2093" customFormat="false" ht="15" hidden="false" customHeight="false" outlineLevel="0" collapsed="false">
      <c r="A2093" s="39" t="s">
        <v>2158</v>
      </c>
      <c r="B2093" s="40" t="n">
        <v>45934</v>
      </c>
      <c r="C2093" s="39" t="s">
        <v>114</v>
      </c>
      <c r="D2093" s="39" t="n">
        <v>1</v>
      </c>
      <c r="E2093" s="41" t="n">
        <v>5.99</v>
      </c>
      <c r="F2093" s="39" t="s">
        <v>105</v>
      </c>
      <c r="G2093" s="39" t="str">
        <f aca="false">UPPER(TRIM(C2093))</f>
        <v>P012</v>
      </c>
      <c r="H2093" s="39" t="str">
        <f aca="false">IF(ISNUMBER(MATCH(G2093,Products!$A$5:$A$24,0)),"OK","Mismatch")</f>
        <v>OK</v>
      </c>
      <c r="I2093" s="39" t="str">
        <f aca="false">IF(COUNTIF($A$5:A2093,A2093)&gt;1,"Duplicate","Unique")</f>
        <v>Unique</v>
      </c>
      <c r="J2093" s="39" t="str">
        <f aca="false">IF(I2093="Duplicate","Remove",IF(H2093="Mismatch","Exclude","Keep"))</f>
        <v>Keep</v>
      </c>
    </row>
    <row r="2094" customFormat="false" ht="15" hidden="false" customHeight="false" outlineLevel="0" collapsed="false">
      <c r="A2094" s="39" t="s">
        <v>2159</v>
      </c>
      <c r="B2094" s="40" t="n">
        <v>45935</v>
      </c>
      <c r="C2094" s="39" t="s">
        <v>114</v>
      </c>
      <c r="D2094" s="39" t="n">
        <v>1</v>
      </c>
      <c r="E2094" s="41" t="n">
        <v>5.75</v>
      </c>
      <c r="F2094" s="39" t="s">
        <v>108</v>
      </c>
      <c r="G2094" s="39" t="str">
        <f aca="false">UPPER(TRIM(C2094))</f>
        <v>P012</v>
      </c>
      <c r="H2094" s="39" t="str">
        <f aca="false">IF(ISNUMBER(MATCH(G2094,Products!$A$5:$A$24,0)),"OK","Mismatch")</f>
        <v>OK</v>
      </c>
      <c r="I2094" s="39" t="str">
        <f aca="false">IF(COUNTIF($A$5:A2094,A2094)&gt;1,"Duplicate","Unique")</f>
        <v>Unique</v>
      </c>
      <c r="J2094" s="39" t="str">
        <f aca="false">IF(I2094="Duplicate","Remove",IF(H2094="Mismatch","Exclude","Keep"))</f>
        <v>Keep</v>
      </c>
    </row>
    <row r="2095" customFormat="false" ht="15" hidden="false" customHeight="false" outlineLevel="0" collapsed="false">
      <c r="A2095" s="39" t="s">
        <v>2160</v>
      </c>
      <c r="B2095" s="40" t="n">
        <v>45935</v>
      </c>
      <c r="C2095" s="39" t="s">
        <v>107</v>
      </c>
      <c r="D2095" s="39" t="n">
        <v>1</v>
      </c>
      <c r="E2095" s="41" t="n">
        <v>34.86</v>
      </c>
      <c r="F2095" s="39" t="s">
        <v>108</v>
      </c>
      <c r="G2095" s="39" t="str">
        <f aca="false">UPPER(TRIM(C2095))</f>
        <v>P003</v>
      </c>
      <c r="H2095" s="39" t="str">
        <f aca="false">IF(ISNUMBER(MATCH(G2095,Products!$A$5:$A$24,0)),"OK","Mismatch")</f>
        <v>OK</v>
      </c>
      <c r="I2095" s="39" t="str">
        <f aca="false">IF(COUNTIF($A$5:A2095,A2095)&gt;1,"Duplicate","Unique")</f>
        <v>Unique</v>
      </c>
      <c r="J2095" s="39" t="str">
        <f aca="false">IF(I2095="Duplicate","Remove",IF(H2095="Mismatch","Exclude","Keep"))</f>
        <v>Keep</v>
      </c>
    </row>
    <row r="2096" customFormat="false" ht="15" hidden="false" customHeight="false" outlineLevel="0" collapsed="false">
      <c r="A2096" s="39" t="s">
        <v>2161</v>
      </c>
      <c r="B2096" s="40" t="n">
        <v>45935</v>
      </c>
      <c r="C2096" s="39" t="s">
        <v>107</v>
      </c>
      <c r="D2096" s="39" t="n">
        <v>2</v>
      </c>
      <c r="E2096" s="41" t="n">
        <v>34.95</v>
      </c>
      <c r="F2096" s="39" t="s">
        <v>105</v>
      </c>
      <c r="G2096" s="39" t="str">
        <f aca="false">UPPER(TRIM(C2096))</f>
        <v>P003</v>
      </c>
      <c r="H2096" s="39" t="str">
        <f aca="false">IF(ISNUMBER(MATCH(G2096,Products!$A$5:$A$24,0)),"OK","Mismatch")</f>
        <v>OK</v>
      </c>
      <c r="I2096" s="39" t="str">
        <f aca="false">IF(COUNTIF($A$5:A2096,A2096)&gt;1,"Duplicate","Unique")</f>
        <v>Unique</v>
      </c>
      <c r="J2096" s="39" t="str">
        <f aca="false">IF(I2096="Duplicate","Remove",IF(H2096="Mismatch","Exclude","Keep"))</f>
        <v>Keep</v>
      </c>
    </row>
    <row r="2097" customFormat="false" ht="15" hidden="false" customHeight="false" outlineLevel="0" collapsed="false">
      <c r="A2097" s="39" t="s">
        <v>2162</v>
      </c>
      <c r="B2097" s="40" t="n">
        <v>45935</v>
      </c>
      <c r="C2097" s="39" t="s">
        <v>136</v>
      </c>
      <c r="D2097" s="39" t="n">
        <v>2</v>
      </c>
      <c r="E2097" s="41" t="n">
        <v>78.64</v>
      </c>
      <c r="F2097" s="39" t="s">
        <v>118</v>
      </c>
      <c r="G2097" s="39" t="str">
        <f aca="false">UPPER(TRIM(C2097))</f>
        <v>P002</v>
      </c>
      <c r="H2097" s="39" t="str">
        <f aca="false">IF(ISNUMBER(MATCH(G2097,Products!$A$5:$A$24,0)),"OK","Mismatch")</f>
        <v>OK</v>
      </c>
      <c r="I2097" s="39" t="str">
        <f aca="false">IF(COUNTIF($A$5:A2097,A2097)&gt;1,"Duplicate","Unique")</f>
        <v>Unique</v>
      </c>
      <c r="J2097" s="39" t="str">
        <f aca="false">IF(I2097="Duplicate","Remove",IF(H2097="Mismatch","Exclude","Keep"))</f>
        <v>Keep</v>
      </c>
    </row>
    <row r="2098" customFormat="false" ht="15" hidden="false" customHeight="false" outlineLevel="0" collapsed="false">
      <c r="A2098" s="39" t="s">
        <v>2163</v>
      </c>
      <c r="B2098" s="40" t="n">
        <v>45935</v>
      </c>
      <c r="C2098" s="39" t="s">
        <v>112</v>
      </c>
      <c r="D2098" s="39" t="n">
        <v>1</v>
      </c>
      <c r="E2098" s="41" t="n">
        <v>50.98</v>
      </c>
      <c r="F2098" s="39" t="s">
        <v>108</v>
      </c>
      <c r="G2098" s="39" t="str">
        <f aca="false">UPPER(TRIM(C2098))</f>
        <v>P005</v>
      </c>
      <c r="H2098" s="39" t="str">
        <f aca="false">IF(ISNUMBER(MATCH(G2098,Products!$A$5:$A$24,0)),"OK","Mismatch")</f>
        <v>OK</v>
      </c>
      <c r="I2098" s="39" t="str">
        <f aca="false">IF(COUNTIF($A$5:A2098,A2098)&gt;1,"Duplicate","Unique")</f>
        <v>Unique</v>
      </c>
      <c r="J2098" s="39" t="str">
        <f aca="false">IF(I2098="Duplicate","Remove",IF(H2098="Mismatch","Exclude","Keep"))</f>
        <v>Keep</v>
      </c>
    </row>
    <row r="2099" customFormat="false" ht="15" hidden="false" customHeight="false" outlineLevel="0" collapsed="false">
      <c r="A2099" s="39" t="s">
        <v>2164</v>
      </c>
      <c r="B2099" s="40" t="n">
        <v>45935</v>
      </c>
      <c r="C2099" s="39" t="s">
        <v>104</v>
      </c>
      <c r="D2099" s="39" t="n">
        <v>3</v>
      </c>
      <c r="E2099" s="41" t="n">
        <v>15.18</v>
      </c>
      <c r="F2099" s="39" t="s">
        <v>115</v>
      </c>
      <c r="G2099" s="39" t="str">
        <f aca="false">UPPER(TRIM(C2099))</f>
        <v>P015</v>
      </c>
      <c r="H2099" s="39" t="str">
        <f aca="false">IF(ISNUMBER(MATCH(G2099,Products!$A$5:$A$24,0)),"OK","Mismatch")</f>
        <v>OK</v>
      </c>
      <c r="I2099" s="39" t="str">
        <f aca="false">IF(COUNTIF($A$5:A2099,A2099)&gt;1,"Duplicate","Unique")</f>
        <v>Unique</v>
      </c>
      <c r="J2099" s="39" t="str">
        <f aca="false">IF(I2099="Duplicate","Remove",IF(H2099="Mismatch","Exclude","Keep"))</f>
        <v>Keep</v>
      </c>
    </row>
    <row r="2100" customFormat="false" ht="15" hidden="false" customHeight="false" outlineLevel="0" collapsed="false">
      <c r="A2100" s="39" t="s">
        <v>2165</v>
      </c>
      <c r="B2100" s="40" t="n">
        <v>45935</v>
      </c>
      <c r="C2100" s="39" t="s">
        <v>114</v>
      </c>
      <c r="D2100" s="39" t="n">
        <v>3</v>
      </c>
      <c r="E2100" s="41" t="n">
        <v>5.93</v>
      </c>
      <c r="F2100" s="39" t="s">
        <v>108</v>
      </c>
      <c r="G2100" s="39" t="str">
        <f aca="false">UPPER(TRIM(C2100))</f>
        <v>P012</v>
      </c>
      <c r="H2100" s="39" t="str">
        <f aca="false">IF(ISNUMBER(MATCH(G2100,Products!$A$5:$A$24,0)),"OK","Mismatch")</f>
        <v>OK</v>
      </c>
      <c r="I2100" s="39" t="str">
        <f aca="false">IF(COUNTIF($A$5:A2100,A2100)&gt;1,"Duplicate","Unique")</f>
        <v>Unique</v>
      </c>
      <c r="J2100" s="39" t="str">
        <f aca="false">IF(I2100="Duplicate","Remove",IF(H2100="Mismatch","Exclude","Keep"))</f>
        <v>Keep</v>
      </c>
    </row>
    <row r="2101" customFormat="false" ht="15" hidden="false" customHeight="false" outlineLevel="0" collapsed="false">
      <c r="A2101" s="39" t="s">
        <v>2166</v>
      </c>
      <c r="B2101" s="40" t="n">
        <v>45935</v>
      </c>
      <c r="C2101" s="39" t="s">
        <v>3187</v>
      </c>
      <c r="D2101" s="39" t="n">
        <v>6</v>
      </c>
      <c r="E2101" s="41" t="n">
        <v>23.67</v>
      </c>
      <c r="F2101" s="39" t="s">
        <v>105</v>
      </c>
      <c r="G2101" s="39" t="str">
        <f aca="false">UPPER(TRIM(C2101))</f>
        <v>P001</v>
      </c>
      <c r="H2101" s="39" t="str">
        <f aca="false">IF(ISNUMBER(MATCH(G2101,Products!$A$5:$A$24,0)),"OK","Mismatch")</f>
        <v>OK</v>
      </c>
      <c r="I2101" s="39" t="str">
        <f aca="false">IF(COUNTIF($A$5:A2101,A2101)&gt;1,"Duplicate","Unique")</f>
        <v>Unique</v>
      </c>
      <c r="J2101" s="39" t="str">
        <f aca="false">IF(I2101="Duplicate","Remove",IF(H2101="Mismatch","Exclude","Keep"))</f>
        <v>Keep</v>
      </c>
    </row>
    <row r="2102" customFormat="false" ht="15" hidden="false" customHeight="false" outlineLevel="0" collapsed="false">
      <c r="A2102" s="39" t="s">
        <v>2167</v>
      </c>
      <c r="B2102" s="40" t="n">
        <v>45935</v>
      </c>
      <c r="C2102" s="39" t="s">
        <v>112</v>
      </c>
      <c r="D2102" s="39" t="n">
        <v>2</v>
      </c>
      <c r="E2102" s="41" t="n">
        <v>51.04</v>
      </c>
      <c r="F2102" s="39" t="s">
        <v>105</v>
      </c>
      <c r="G2102" s="39" t="str">
        <f aca="false">UPPER(TRIM(C2102))</f>
        <v>P005</v>
      </c>
      <c r="H2102" s="39" t="str">
        <f aca="false">IF(ISNUMBER(MATCH(G2102,Products!$A$5:$A$24,0)),"OK","Mismatch")</f>
        <v>OK</v>
      </c>
      <c r="I2102" s="39" t="str">
        <f aca="false">IF(COUNTIF($A$5:A2102,A2102)&gt;1,"Duplicate","Unique")</f>
        <v>Unique</v>
      </c>
      <c r="J2102" s="39" t="str">
        <f aca="false">IF(I2102="Duplicate","Remove",IF(H2102="Mismatch","Exclude","Keep"))</f>
        <v>Keep</v>
      </c>
    </row>
    <row r="2103" customFormat="false" ht="15" hidden="false" customHeight="false" outlineLevel="0" collapsed="false">
      <c r="A2103" s="39" t="s">
        <v>2168</v>
      </c>
      <c r="B2103" s="40" t="n">
        <v>45935</v>
      </c>
      <c r="C2103" s="39" t="s">
        <v>128</v>
      </c>
      <c r="D2103" s="39" t="n">
        <v>5</v>
      </c>
      <c r="E2103" s="41" t="n">
        <v>38.39</v>
      </c>
      <c r="F2103" s="39" t="s">
        <v>105</v>
      </c>
      <c r="G2103" s="39" t="str">
        <f aca="false">UPPER(TRIM(C2103))</f>
        <v>P020</v>
      </c>
      <c r="H2103" s="39" t="str">
        <f aca="false">IF(ISNUMBER(MATCH(G2103,Products!$A$5:$A$24,0)),"OK","Mismatch")</f>
        <v>OK</v>
      </c>
      <c r="I2103" s="39" t="str">
        <f aca="false">IF(COUNTIF($A$5:A2103,A2103)&gt;1,"Duplicate","Unique")</f>
        <v>Unique</v>
      </c>
      <c r="J2103" s="39" t="str">
        <f aca="false">IF(I2103="Duplicate","Remove",IF(H2103="Mismatch","Exclude","Keep"))</f>
        <v>Keep</v>
      </c>
    </row>
    <row r="2104" customFormat="false" ht="15" hidden="false" customHeight="false" outlineLevel="0" collapsed="false">
      <c r="A2104" s="39" t="s">
        <v>2169</v>
      </c>
      <c r="B2104" s="40" t="n">
        <v>45936</v>
      </c>
      <c r="C2104" s="39" t="s">
        <v>177</v>
      </c>
      <c r="D2104" s="39" t="n">
        <v>4</v>
      </c>
      <c r="E2104" s="41" t="n">
        <v>41.6</v>
      </c>
      <c r="F2104" s="39" t="s">
        <v>115</v>
      </c>
      <c r="G2104" s="39" t="str">
        <f aca="false">UPPER(TRIM(C2104))</f>
        <v>P014</v>
      </c>
      <c r="H2104" s="39" t="str">
        <f aca="false">IF(ISNUMBER(MATCH(G2104,Products!$A$5:$A$24,0)),"OK","Mismatch")</f>
        <v>OK</v>
      </c>
      <c r="I2104" s="39" t="str">
        <f aca="false">IF(COUNTIF($A$5:A2104,A2104)&gt;1,"Duplicate","Unique")</f>
        <v>Unique</v>
      </c>
      <c r="J2104" s="39" t="str">
        <f aca="false">IF(I2104="Duplicate","Remove",IF(H2104="Mismatch","Exclude","Keep"))</f>
        <v>Keep</v>
      </c>
    </row>
    <row r="2105" customFormat="false" ht="15" hidden="false" customHeight="false" outlineLevel="0" collapsed="false">
      <c r="A2105" s="39" t="s">
        <v>2169</v>
      </c>
      <c r="B2105" s="40" t="n">
        <v>45936</v>
      </c>
      <c r="C2105" s="39" t="s">
        <v>177</v>
      </c>
      <c r="D2105" s="39" t="n">
        <v>4</v>
      </c>
      <c r="E2105" s="41" t="n">
        <v>41.6</v>
      </c>
      <c r="F2105" s="39" t="s">
        <v>115</v>
      </c>
      <c r="G2105" s="39" t="str">
        <f aca="false">UPPER(TRIM(C2105))</f>
        <v>P014</v>
      </c>
      <c r="H2105" s="39" t="str">
        <f aca="false">IF(ISNUMBER(MATCH(G2105,Products!$A$5:$A$24,0)),"OK","Mismatch")</f>
        <v>OK</v>
      </c>
      <c r="I2105" s="39" t="str">
        <f aca="false">IF(COUNTIF($A$5:A2105,A2105)&gt;1,"Duplicate","Unique")</f>
        <v>Duplicate</v>
      </c>
      <c r="J2105" s="39" t="str">
        <f aca="false">IF(I2105="Duplicate","Remove",IF(H2105="Mismatch","Exclude","Keep"))</f>
        <v>Remove</v>
      </c>
    </row>
    <row r="2106" customFormat="false" ht="15" hidden="false" customHeight="false" outlineLevel="0" collapsed="false">
      <c r="A2106" s="39" t="s">
        <v>2170</v>
      </c>
      <c r="B2106" s="40" t="n">
        <v>45936</v>
      </c>
      <c r="C2106" s="39" t="s">
        <v>130</v>
      </c>
      <c r="D2106" s="39" t="n">
        <v>8</v>
      </c>
      <c r="E2106" s="41" t="n">
        <v>8.62</v>
      </c>
      <c r="F2106" s="39" t="s">
        <v>105</v>
      </c>
      <c r="G2106" s="39" t="str">
        <f aca="false">UPPER(TRIM(C2106))</f>
        <v>P011</v>
      </c>
      <c r="H2106" s="39" t="str">
        <f aca="false">IF(ISNUMBER(MATCH(G2106,Products!$A$5:$A$24,0)),"OK","Mismatch")</f>
        <v>OK</v>
      </c>
      <c r="I2106" s="39" t="str">
        <f aca="false">IF(COUNTIF($A$5:A2106,A2106)&gt;1,"Duplicate","Unique")</f>
        <v>Unique</v>
      </c>
      <c r="J2106" s="39" t="str">
        <f aca="false">IF(I2106="Duplicate","Remove",IF(H2106="Mismatch","Exclude","Keep"))</f>
        <v>Keep</v>
      </c>
    </row>
    <row r="2107" customFormat="false" ht="15" hidden="false" customHeight="false" outlineLevel="0" collapsed="false">
      <c r="A2107" s="39" t="s">
        <v>2171</v>
      </c>
      <c r="B2107" s="40" t="n">
        <v>45936</v>
      </c>
      <c r="C2107" s="39" t="s">
        <v>104</v>
      </c>
      <c r="D2107" s="39" t="n">
        <v>2</v>
      </c>
      <c r="E2107" s="41" t="n">
        <v>15.29</v>
      </c>
      <c r="F2107" s="39" t="s">
        <v>108</v>
      </c>
      <c r="G2107" s="39" t="str">
        <f aca="false">UPPER(TRIM(C2107))</f>
        <v>P015</v>
      </c>
      <c r="H2107" s="39" t="str">
        <f aca="false">IF(ISNUMBER(MATCH(G2107,Products!$A$5:$A$24,0)),"OK","Mismatch")</f>
        <v>OK</v>
      </c>
      <c r="I2107" s="39" t="str">
        <f aca="false">IF(COUNTIF($A$5:A2107,A2107)&gt;1,"Duplicate","Unique")</f>
        <v>Unique</v>
      </c>
      <c r="J2107" s="39" t="str">
        <f aca="false">IF(I2107="Duplicate","Remove",IF(H2107="Mismatch","Exclude","Keep"))</f>
        <v>Keep</v>
      </c>
    </row>
    <row r="2108" customFormat="false" ht="15" hidden="false" customHeight="false" outlineLevel="0" collapsed="false">
      <c r="A2108" s="39" t="s">
        <v>2172</v>
      </c>
      <c r="B2108" s="40" t="n">
        <v>45936</v>
      </c>
      <c r="C2108" s="39" t="s">
        <v>121</v>
      </c>
      <c r="D2108" s="39" t="n">
        <v>5</v>
      </c>
      <c r="E2108" s="41" t="n">
        <v>115.46</v>
      </c>
      <c r="F2108" s="39" t="s">
        <v>118</v>
      </c>
      <c r="G2108" s="39" t="str">
        <f aca="false">UPPER(TRIM(C2108))</f>
        <v>P018</v>
      </c>
      <c r="H2108" s="39" t="str">
        <f aca="false">IF(ISNUMBER(MATCH(G2108,Products!$A$5:$A$24,0)),"OK","Mismatch")</f>
        <v>OK</v>
      </c>
      <c r="I2108" s="39" t="str">
        <f aca="false">IF(COUNTIF($A$5:A2108,A2108)&gt;1,"Duplicate","Unique")</f>
        <v>Unique</v>
      </c>
      <c r="J2108" s="39" t="str">
        <f aca="false">IF(I2108="Duplicate","Remove",IF(H2108="Mismatch","Exclude","Keep"))</f>
        <v>Keep</v>
      </c>
    </row>
    <row r="2109" customFormat="false" ht="15" hidden="false" customHeight="false" outlineLevel="0" collapsed="false">
      <c r="A2109" s="39" t="s">
        <v>2173</v>
      </c>
      <c r="B2109" s="40" t="n">
        <v>45936</v>
      </c>
      <c r="C2109" s="39" t="s">
        <v>112</v>
      </c>
      <c r="D2109" s="39" t="n">
        <v>1</v>
      </c>
      <c r="E2109" s="41" t="n">
        <v>52.4</v>
      </c>
      <c r="F2109" s="39" t="s">
        <v>105</v>
      </c>
      <c r="G2109" s="39" t="str">
        <f aca="false">UPPER(TRIM(C2109))</f>
        <v>P005</v>
      </c>
      <c r="H2109" s="39" t="str">
        <f aca="false">IF(ISNUMBER(MATCH(G2109,Products!$A$5:$A$24,0)),"OK","Mismatch")</f>
        <v>OK</v>
      </c>
      <c r="I2109" s="39" t="str">
        <f aca="false">IF(COUNTIF($A$5:A2109,A2109)&gt;1,"Duplicate","Unique")</f>
        <v>Unique</v>
      </c>
      <c r="J2109" s="39" t="str">
        <f aca="false">IF(I2109="Duplicate","Remove",IF(H2109="Mismatch","Exclude","Keep"))</f>
        <v>Keep</v>
      </c>
    </row>
    <row r="2110" customFormat="false" ht="15" hidden="false" customHeight="false" outlineLevel="0" collapsed="false">
      <c r="A2110" s="39" t="s">
        <v>2174</v>
      </c>
      <c r="B2110" s="40" t="n">
        <v>45936</v>
      </c>
      <c r="C2110" s="39" t="s">
        <v>162</v>
      </c>
      <c r="D2110" s="39" t="n">
        <v>4</v>
      </c>
      <c r="E2110" s="41" t="n">
        <v>67.7</v>
      </c>
      <c r="F2110" s="39" t="s">
        <v>105</v>
      </c>
      <c r="G2110" s="39" t="str">
        <f aca="false">UPPER(TRIM(C2110))</f>
        <v>P017</v>
      </c>
      <c r="H2110" s="39" t="str">
        <f aca="false">IF(ISNUMBER(MATCH(G2110,Products!$A$5:$A$24,0)),"OK","Mismatch")</f>
        <v>OK</v>
      </c>
      <c r="I2110" s="39" t="str">
        <f aca="false">IF(COUNTIF($A$5:A2110,A2110)&gt;1,"Duplicate","Unique")</f>
        <v>Unique</v>
      </c>
      <c r="J2110" s="39" t="str">
        <f aca="false">IF(I2110="Duplicate","Remove",IF(H2110="Mismatch","Exclude","Keep"))</f>
        <v>Keep</v>
      </c>
    </row>
    <row r="2111" customFormat="false" ht="15" hidden="false" customHeight="false" outlineLevel="0" collapsed="false">
      <c r="A2111" s="39" t="s">
        <v>2175</v>
      </c>
      <c r="B2111" s="40" t="n">
        <v>45936</v>
      </c>
      <c r="C2111" s="39" t="s">
        <v>162</v>
      </c>
      <c r="D2111" s="39" t="n">
        <v>2</v>
      </c>
      <c r="E2111" s="41" t="n">
        <v>67.83</v>
      </c>
      <c r="F2111" s="39" t="s">
        <v>118</v>
      </c>
      <c r="G2111" s="39" t="str">
        <f aca="false">UPPER(TRIM(C2111))</f>
        <v>P017</v>
      </c>
      <c r="H2111" s="39" t="str">
        <f aca="false">IF(ISNUMBER(MATCH(G2111,Products!$A$5:$A$24,0)),"OK","Mismatch")</f>
        <v>OK</v>
      </c>
      <c r="I2111" s="39" t="str">
        <f aca="false">IF(COUNTIF($A$5:A2111,A2111)&gt;1,"Duplicate","Unique")</f>
        <v>Unique</v>
      </c>
      <c r="J2111" s="39" t="str">
        <f aca="false">IF(I2111="Duplicate","Remove",IF(H2111="Mismatch","Exclude","Keep"))</f>
        <v>Keep</v>
      </c>
    </row>
    <row r="2112" customFormat="false" ht="15" hidden="false" customHeight="false" outlineLevel="0" collapsed="false">
      <c r="A2112" s="39" t="s">
        <v>2176</v>
      </c>
      <c r="B2112" s="40" t="n">
        <v>45936</v>
      </c>
      <c r="C2112" s="39" t="s">
        <v>126</v>
      </c>
      <c r="D2112" s="39" t="n">
        <v>4</v>
      </c>
      <c r="E2112" s="41" t="n">
        <v>23.61</v>
      </c>
      <c r="F2112" s="39" t="s">
        <v>115</v>
      </c>
      <c r="G2112" s="39" t="str">
        <f aca="false">UPPER(TRIM(C2112))</f>
        <v>P001</v>
      </c>
      <c r="H2112" s="39" t="str">
        <f aca="false">IF(ISNUMBER(MATCH(G2112,Products!$A$5:$A$24,0)),"OK","Mismatch")</f>
        <v>OK</v>
      </c>
      <c r="I2112" s="39" t="str">
        <f aca="false">IF(COUNTIF($A$5:A2112,A2112)&gt;1,"Duplicate","Unique")</f>
        <v>Unique</v>
      </c>
      <c r="J2112" s="39" t="str">
        <f aca="false">IF(I2112="Duplicate","Remove",IF(H2112="Mismatch","Exclude","Keep"))</f>
        <v>Keep</v>
      </c>
    </row>
    <row r="2113" customFormat="false" ht="15" hidden="false" customHeight="false" outlineLevel="0" collapsed="false">
      <c r="A2113" s="39" t="s">
        <v>2177</v>
      </c>
      <c r="B2113" s="40" t="n">
        <v>45936</v>
      </c>
      <c r="C2113" s="39" t="s">
        <v>104</v>
      </c>
      <c r="D2113" s="39" t="n">
        <v>3</v>
      </c>
      <c r="E2113" s="41" t="n">
        <v>15.58</v>
      </c>
      <c r="F2113" s="39" t="s">
        <v>118</v>
      </c>
      <c r="G2113" s="39" t="str">
        <f aca="false">UPPER(TRIM(C2113))</f>
        <v>P015</v>
      </c>
      <c r="H2113" s="39" t="str">
        <f aca="false">IF(ISNUMBER(MATCH(G2113,Products!$A$5:$A$24,0)),"OK","Mismatch")</f>
        <v>OK</v>
      </c>
      <c r="I2113" s="39" t="str">
        <f aca="false">IF(COUNTIF($A$5:A2113,A2113)&gt;1,"Duplicate","Unique")</f>
        <v>Unique</v>
      </c>
      <c r="J2113" s="39" t="str">
        <f aca="false">IF(I2113="Duplicate","Remove",IF(H2113="Mismatch","Exclude","Keep"))</f>
        <v>Keep</v>
      </c>
    </row>
    <row r="2114" customFormat="false" ht="15" hidden="false" customHeight="false" outlineLevel="0" collapsed="false">
      <c r="A2114" s="39" t="s">
        <v>2178</v>
      </c>
      <c r="B2114" s="40" t="n">
        <v>45936</v>
      </c>
      <c r="C2114" s="39" t="s">
        <v>136</v>
      </c>
      <c r="D2114" s="39" t="n">
        <v>5</v>
      </c>
      <c r="E2114" s="41" t="n">
        <v>74.87</v>
      </c>
      <c r="F2114" s="39" t="s">
        <v>115</v>
      </c>
      <c r="G2114" s="39" t="str">
        <f aca="false">UPPER(TRIM(C2114))</f>
        <v>P002</v>
      </c>
      <c r="H2114" s="39" t="str">
        <f aca="false">IF(ISNUMBER(MATCH(G2114,Products!$A$5:$A$24,0)),"OK","Mismatch")</f>
        <v>OK</v>
      </c>
      <c r="I2114" s="39" t="str">
        <f aca="false">IF(COUNTIF($A$5:A2114,A2114)&gt;1,"Duplicate","Unique")</f>
        <v>Unique</v>
      </c>
      <c r="J2114" s="39" t="str">
        <f aca="false">IF(I2114="Duplicate","Remove",IF(H2114="Mismatch","Exclude","Keep"))</f>
        <v>Keep</v>
      </c>
    </row>
    <row r="2115" customFormat="false" ht="15" hidden="false" customHeight="false" outlineLevel="0" collapsed="false">
      <c r="A2115" s="39" t="s">
        <v>2179</v>
      </c>
      <c r="B2115" s="40" t="n">
        <v>45936</v>
      </c>
      <c r="C2115" s="39" t="s">
        <v>169</v>
      </c>
      <c r="D2115" s="39" t="n">
        <v>3</v>
      </c>
      <c r="E2115" s="41" t="n">
        <v>28.13</v>
      </c>
      <c r="F2115" s="39" t="s">
        <v>108</v>
      </c>
      <c r="G2115" s="39" t="str">
        <f aca="false">UPPER(TRIM(C2115))</f>
        <v>P004</v>
      </c>
      <c r="H2115" s="39" t="str">
        <f aca="false">IF(ISNUMBER(MATCH(G2115,Products!$A$5:$A$24,0)),"OK","Mismatch")</f>
        <v>OK</v>
      </c>
      <c r="I2115" s="39" t="str">
        <f aca="false">IF(COUNTIF($A$5:A2115,A2115)&gt;1,"Duplicate","Unique")</f>
        <v>Unique</v>
      </c>
      <c r="J2115" s="39" t="str">
        <f aca="false">IF(I2115="Duplicate","Remove",IF(H2115="Mismatch","Exclude","Keep"))</f>
        <v>Keep</v>
      </c>
    </row>
    <row r="2116" customFormat="false" ht="15" hidden="false" customHeight="false" outlineLevel="0" collapsed="false">
      <c r="A2116" s="39" t="s">
        <v>2180</v>
      </c>
      <c r="B2116" s="40" t="n">
        <v>45936</v>
      </c>
      <c r="C2116" s="39" t="s">
        <v>130</v>
      </c>
      <c r="D2116" s="39" t="n">
        <v>1</v>
      </c>
      <c r="E2116" s="41" t="n">
        <v>8.95</v>
      </c>
      <c r="F2116" s="39" t="s">
        <v>108</v>
      </c>
      <c r="G2116" s="39" t="str">
        <f aca="false">UPPER(TRIM(C2116))</f>
        <v>P011</v>
      </c>
      <c r="H2116" s="39" t="str">
        <f aca="false">IF(ISNUMBER(MATCH(G2116,Products!$A$5:$A$24,0)),"OK","Mismatch")</f>
        <v>OK</v>
      </c>
      <c r="I2116" s="39" t="str">
        <f aca="false">IF(COUNTIF($A$5:A2116,A2116)&gt;1,"Duplicate","Unique")</f>
        <v>Unique</v>
      </c>
      <c r="J2116" s="39" t="str">
        <f aca="false">IF(I2116="Duplicate","Remove",IF(H2116="Mismatch","Exclude","Keep"))</f>
        <v>Keep</v>
      </c>
    </row>
    <row r="2117" customFormat="false" ht="15" hidden="false" customHeight="false" outlineLevel="0" collapsed="false">
      <c r="A2117" s="39" t="s">
        <v>2181</v>
      </c>
      <c r="B2117" s="40" t="n">
        <v>45937</v>
      </c>
      <c r="C2117" s="39" t="s">
        <v>183</v>
      </c>
      <c r="D2117" s="39" t="n">
        <v>2</v>
      </c>
      <c r="E2117" s="41" t="n">
        <v>174.83</v>
      </c>
      <c r="F2117" s="39" t="s">
        <v>105</v>
      </c>
      <c r="G2117" s="39" t="str">
        <f aca="false">UPPER(TRIM(C2117))</f>
        <v>P007</v>
      </c>
      <c r="H2117" s="39" t="str">
        <f aca="false">IF(ISNUMBER(MATCH(G2117,Products!$A$5:$A$24,0)),"OK","Mismatch")</f>
        <v>OK</v>
      </c>
      <c r="I2117" s="39" t="str">
        <f aca="false">IF(COUNTIF($A$5:A2117,A2117)&gt;1,"Duplicate","Unique")</f>
        <v>Unique</v>
      </c>
      <c r="J2117" s="39" t="str">
        <f aca="false">IF(I2117="Duplicate","Remove",IF(H2117="Mismatch","Exclude","Keep"))</f>
        <v>Keep</v>
      </c>
    </row>
    <row r="2118" customFormat="false" ht="15" hidden="false" customHeight="false" outlineLevel="0" collapsed="false">
      <c r="A2118" s="39" t="s">
        <v>2182</v>
      </c>
      <c r="B2118" s="40" t="n">
        <v>45937</v>
      </c>
      <c r="C2118" s="39" t="s">
        <v>117</v>
      </c>
      <c r="D2118" s="39" t="n">
        <v>3</v>
      </c>
      <c r="E2118" s="41" t="n">
        <v>31.47</v>
      </c>
      <c r="F2118" s="39" t="s">
        <v>105</v>
      </c>
      <c r="G2118" s="39" t="str">
        <f aca="false">UPPER(TRIM(C2118))</f>
        <v>P009</v>
      </c>
      <c r="H2118" s="39" t="str">
        <f aca="false">IF(ISNUMBER(MATCH(G2118,Products!$A$5:$A$24,0)),"OK","Mismatch")</f>
        <v>OK</v>
      </c>
      <c r="I2118" s="39" t="str">
        <f aca="false">IF(COUNTIF($A$5:A2118,A2118)&gt;1,"Duplicate","Unique")</f>
        <v>Unique</v>
      </c>
      <c r="J2118" s="39" t="str">
        <f aca="false">IF(I2118="Duplicate","Remove",IF(H2118="Mismatch","Exclude","Keep"))</f>
        <v>Keep</v>
      </c>
    </row>
    <row r="2119" customFormat="false" ht="15" hidden="false" customHeight="false" outlineLevel="0" collapsed="false">
      <c r="A2119" s="39" t="s">
        <v>2183</v>
      </c>
      <c r="B2119" s="40" t="n">
        <v>45937</v>
      </c>
      <c r="C2119" s="39" t="s">
        <v>136</v>
      </c>
      <c r="D2119" s="39" t="n">
        <v>2</v>
      </c>
      <c r="E2119" s="41" t="n">
        <v>76.96</v>
      </c>
      <c r="F2119" s="39" t="s">
        <v>118</v>
      </c>
      <c r="G2119" s="39" t="str">
        <f aca="false">UPPER(TRIM(C2119))</f>
        <v>P002</v>
      </c>
      <c r="H2119" s="39" t="str">
        <f aca="false">IF(ISNUMBER(MATCH(G2119,Products!$A$5:$A$24,0)),"OK","Mismatch")</f>
        <v>OK</v>
      </c>
      <c r="I2119" s="39" t="str">
        <f aca="false">IF(COUNTIF($A$5:A2119,A2119)&gt;1,"Duplicate","Unique")</f>
        <v>Unique</v>
      </c>
      <c r="J2119" s="39" t="str">
        <f aca="false">IF(I2119="Duplicate","Remove",IF(H2119="Mismatch","Exclude","Keep"))</f>
        <v>Keep</v>
      </c>
    </row>
    <row r="2120" customFormat="false" ht="15" hidden="false" customHeight="false" outlineLevel="0" collapsed="false">
      <c r="A2120" s="39" t="s">
        <v>2184</v>
      </c>
      <c r="B2120" s="40" t="n">
        <v>45937</v>
      </c>
      <c r="C2120" s="39" t="s">
        <v>126</v>
      </c>
      <c r="D2120" s="39" t="n">
        <v>4</v>
      </c>
      <c r="E2120" s="41" t="n">
        <v>23.55</v>
      </c>
      <c r="F2120" s="39" t="s">
        <v>115</v>
      </c>
      <c r="G2120" s="39" t="str">
        <f aca="false">UPPER(TRIM(C2120))</f>
        <v>P001</v>
      </c>
      <c r="H2120" s="39" t="str">
        <f aca="false">IF(ISNUMBER(MATCH(G2120,Products!$A$5:$A$24,0)),"OK","Mismatch")</f>
        <v>OK</v>
      </c>
      <c r="I2120" s="39" t="str">
        <f aca="false">IF(COUNTIF($A$5:A2120,A2120)&gt;1,"Duplicate","Unique")</f>
        <v>Unique</v>
      </c>
      <c r="J2120" s="39" t="str">
        <f aca="false">IF(I2120="Duplicate","Remove",IF(H2120="Mismatch","Exclude","Keep"))</f>
        <v>Keep</v>
      </c>
    </row>
    <row r="2121" customFormat="false" ht="15" hidden="false" customHeight="false" outlineLevel="0" collapsed="false">
      <c r="A2121" s="39" t="s">
        <v>2185</v>
      </c>
      <c r="B2121" s="40" t="n">
        <v>45937</v>
      </c>
      <c r="C2121" s="39" t="s">
        <v>128</v>
      </c>
      <c r="D2121" s="39" t="n">
        <v>1</v>
      </c>
      <c r="E2121" s="41" t="n">
        <v>38.27</v>
      </c>
      <c r="F2121" s="39" t="s">
        <v>105</v>
      </c>
      <c r="G2121" s="39" t="str">
        <f aca="false">UPPER(TRIM(C2121))</f>
        <v>P020</v>
      </c>
      <c r="H2121" s="39" t="str">
        <f aca="false">IF(ISNUMBER(MATCH(G2121,Products!$A$5:$A$24,0)),"OK","Mismatch")</f>
        <v>OK</v>
      </c>
      <c r="I2121" s="39" t="str">
        <f aca="false">IF(COUNTIF($A$5:A2121,A2121)&gt;1,"Duplicate","Unique")</f>
        <v>Unique</v>
      </c>
      <c r="J2121" s="39" t="str">
        <f aca="false">IF(I2121="Duplicate","Remove",IF(H2121="Mismatch","Exclude","Keep"))</f>
        <v>Keep</v>
      </c>
    </row>
    <row r="2122" customFormat="false" ht="15" hidden="false" customHeight="false" outlineLevel="0" collapsed="false">
      <c r="A2122" s="39" t="s">
        <v>2186</v>
      </c>
      <c r="B2122" s="40" t="n">
        <v>45937</v>
      </c>
      <c r="C2122" s="39" t="s">
        <v>153</v>
      </c>
      <c r="D2122" s="39" t="n">
        <v>1</v>
      </c>
      <c r="E2122" s="41" t="n">
        <v>177.31</v>
      </c>
      <c r="F2122" s="39" t="s">
        <v>115</v>
      </c>
      <c r="G2122" s="39" t="str">
        <f aca="false">UPPER(TRIM(C2122))</f>
        <v>P010</v>
      </c>
      <c r="H2122" s="39" t="str">
        <f aca="false">IF(ISNUMBER(MATCH(G2122,Products!$A$5:$A$24,0)),"OK","Mismatch")</f>
        <v>OK</v>
      </c>
      <c r="I2122" s="39" t="str">
        <f aca="false">IF(COUNTIF($A$5:A2122,A2122)&gt;1,"Duplicate","Unique")</f>
        <v>Unique</v>
      </c>
      <c r="J2122" s="39" t="str">
        <f aca="false">IF(I2122="Duplicate","Remove",IF(H2122="Mismatch","Exclude","Keep"))</f>
        <v>Keep</v>
      </c>
    </row>
    <row r="2123" customFormat="false" ht="15" hidden="false" customHeight="false" outlineLevel="0" collapsed="false">
      <c r="A2123" s="39" t="s">
        <v>2187</v>
      </c>
      <c r="B2123" s="40" t="n">
        <v>45937</v>
      </c>
      <c r="C2123" s="39" t="s">
        <v>136</v>
      </c>
      <c r="D2123" s="39" t="n">
        <v>8</v>
      </c>
      <c r="E2123" s="41" t="n">
        <v>72.96</v>
      </c>
      <c r="F2123" s="39" t="s">
        <v>108</v>
      </c>
      <c r="G2123" s="39" t="str">
        <f aca="false">UPPER(TRIM(C2123))</f>
        <v>P002</v>
      </c>
      <c r="H2123" s="39" t="str">
        <f aca="false">IF(ISNUMBER(MATCH(G2123,Products!$A$5:$A$24,0)),"OK","Mismatch")</f>
        <v>OK</v>
      </c>
      <c r="I2123" s="39" t="str">
        <f aca="false">IF(COUNTIF($A$5:A2123,A2123)&gt;1,"Duplicate","Unique")</f>
        <v>Unique</v>
      </c>
      <c r="J2123" s="39" t="str">
        <f aca="false">IF(I2123="Duplicate","Remove",IF(H2123="Mismatch","Exclude","Keep"))</f>
        <v>Keep</v>
      </c>
    </row>
    <row r="2124" customFormat="false" ht="15" hidden="false" customHeight="false" outlineLevel="0" collapsed="false">
      <c r="A2124" s="39" t="s">
        <v>2187</v>
      </c>
      <c r="B2124" s="40" t="n">
        <v>45937</v>
      </c>
      <c r="C2124" s="39" t="s">
        <v>136</v>
      </c>
      <c r="D2124" s="39" t="n">
        <v>8</v>
      </c>
      <c r="E2124" s="41" t="n">
        <v>72.96</v>
      </c>
      <c r="F2124" s="39" t="s">
        <v>108</v>
      </c>
      <c r="G2124" s="39" t="str">
        <f aca="false">UPPER(TRIM(C2124))</f>
        <v>P002</v>
      </c>
      <c r="H2124" s="39" t="str">
        <f aca="false">IF(ISNUMBER(MATCH(G2124,Products!$A$5:$A$24,0)),"OK","Mismatch")</f>
        <v>OK</v>
      </c>
      <c r="I2124" s="39" t="str">
        <f aca="false">IF(COUNTIF($A$5:A2124,A2124)&gt;1,"Duplicate","Unique")</f>
        <v>Duplicate</v>
      </c>
      <c r="J2124" s="39" t="str">
        <f aca="false">IF(I2124="Duplicate","Remove",IF(H2124="Mismatch","Exclude","Keep"))</f>
        <v>Remove</v>
      </c>
    </row>
    <row r="2125" customFormat="false" ht="15" hidden="false" customHeight="false" outlineLevel="0" collapsed="false">
      <c r="A2125" s="39" t="s">
        <v>2188</v>
      </c>
      <c r="B2125" s="40" t="n">
        <v>45937</v>
      </c>
      <c r="C2125" s="39" t="s">
        <v>107</v>
      </c>
      <c r="D2125" s="39" t="n">
        <v>4</v>
      </c>
      <c r="E2125" s="41" t="n">
        <v>33.74</v>
      </c>
      <c r="F2125" s="39" t="s">
        <v>118</v>
      </c>
      <c r="G2125" s="39" t="str">
        <f aca="false">UPPER(TRIM(C2125))</f>
        <v>P003</v>
      </c>
      <c r="H2125" s="39" t="str">
        <f aca="false">IF(ISNUMBER(MATCH(G2125,Products!$A$5:$A$24,0)),"OK","Mismatch")</f>
        <v>OK</v>
      </c>
      <c r="I2125" s="39" t="str">
        <f aca="false">IF(COUNTIF($A$5:A2125,A2125)&gt;1,"Duplicate","Unique")</f>
        <v>Unique</v>
      </c>
      <c r="J2125" s="39" t="str">
        <f aca="false">IF(I2125="Duplicate","Remove",IF(H2125="Mismatch","Exclude","Keep"))</f>
        <v>Keep</v>
      </c>
    </row>
    <row r="2126" customFormat="false" ht="15" hidden="false" customHeight="false" outlineLevel="0" collapsed="false">
      <c r="A2126" s="39" t="s">
        <v>2189</v>
      </c>
      <c r="B2126" s="40" t="n">
        <v>45938</v>
      </c>
      <c r="C2126" s="39" t="s">
        <v>126</v>
      </c>
      <c r="D2126" s="39" t="n">
        <v>5</v>
      </c>
      <c r="E2126" s="41" t="n">
        <v>24.22</v>
      </c>
      <c r="F2126" s="39" t="s">
        <v>108</v>
      </c>
      <c r="G2126" s="39" t="str">
        <f aca="false">UPPER(TRIM(C2126))</f>
        <v>P001</v>
      </c>
      <c r="H2126" s="39" t="str">
        <f aca="false">IF(ISNUMBER(MATCH(G2126,Products!$A$5:$A$24,0)),"OK","Mismatch")</f>
        <v>OK</v>
      </c>
      <c r="I2126" s="39" t="str">
        <f aca="false">IF(COUNTIF($A$5:A2126,A2126)&gt;1,"Duplicate","Unique")</f>
        <v>Unique</v>
      </c>
      <c r="J2126" s="39" t="str">
        <f aca="false">IF(I2126="Duplicate","Remove",IF(H2126="Mismatch","Exclude","Keep"))</f>
        <v>Keep</v>
      </c>
    </row>
    <row r="2127" customFormat="false" ht="15" hidden="false" customHeight="false" outlineLevel="0" collapsed="false">
      <c r="A2127" s="39" t="s">
        <v>2190</v>
      </c>
      <c r="B2127" s="40" t="n">
        <v>45938</v>
      </c>
      <c r="C2127" s="39" t="s">
        <v>130</v>
      </c>
      <c r="D2127" s="39" t="n">
        <v>1</v>
      </c>
      <c r="E2127" s="41" t="n">
        <v>8.8</v>
      </c>
      <c r="F2127" s="39" t="s">
        <v>118</v>
      </c>
      <c r="G2127" s="39" t="str">
        <f aca="false">UPPER(TRIM(C2127))</f>
        <v>P011</v>
      </c>
      <c r="H2127" s="39" t="str">
        <f aca="false">IF(ISNUMBER(MATCH(G2127,Products!$A$5:$A$24,0)),"OK","Mismatch")</f>
        <v>OK</v>
      </c>
      <c r="I2127" s="39" t="str">
        <f aca="false">IF(COUNTIF($A$5:A2127,A2127)&gt;1,"Duplicate","Unique")</f>
        <v>Unique</v>
      </c>
      <c r="J2127" s="39" t="str">
        <f aca="false">IF(I2127="Duplicate","Remove",IF(H2127="Mismatch","Exclude","Keep"))</f>
        <v>Keep</v>
      </c>
    </row>
    <row r="2128" customFormat="false" ht="15" hidden="false" customHeight="false" outlineLevel="0" collapsed="false">
      <c r="A2128" s="39" t="s">
        <v>2191</v>
      </c>
      <c r="B2128" s="40" t="n">
        <v>45938</v>
      </c>
      <c r="C2128" s="39" t="s">
        <v>136</v>
      </c>
      <c r="D2128" s="39" t="n">
        <v>2</v>
      </c>
      <c r="E2128" s="41" t="n">
        <v>76.18</v>
      </c>
      <c r="F2128" s="39" t="s">
        <v>108</v>
      </c>
      <c r="G2128" s="39" t="str">
        <f aca="false">UPPER(TRIM(C2128))</f>
        <v>P002</v>
      </c>
      <c r="H2128" s="39" t="str">
        <f aca="false">IF(ISNUMBER(MATCH(G2128,Products!$A$5:$A$24,0)),"OK","Mismatch")</f>
        <v>OK</v>
      </c>
      <c r="I2128" s="39" t="str">
        <f aca="false">IF(COUNTIF($A$5:A2128,A2128)&gt;1,"Duplicate","Unique")</f>
        <v>Unique</v>
      </c>
      <c r="J2128" s="39" t="str">
        <f aca="false">IF(I2128="Duplicate","Remove",IF(H2128="Mismatch","Exclude","Keep"))</f>
        <v>Keep</v>
      </c>
    </row>
    <row r="2129" customFormat="false" ht="15" hidden="false" customHeight="false" outlineLevel="0" collapsed="false">
      <c r="A2129" s="39" t="s">
        <v>2192</v>
      </c>
      <c r="B2129" s="40" t="n">
        <v>45938</v>
      </c>
      <c r="C2129" s="39" t="s">
        <v>169</v>
      </c>
      <c r="D2129" s="39" t="n">
        <v>1</v>
      </c>
      <c r="E2129" s="41" t="n">
        <v>27.48</v>
      </c>
      <c r="F2129" s="39" t="s">
        <v>115</v>
      </c>
      <c r="G2129" s="39" t="str">
        <f aca="false">UPPER(TRIM(C2129))</f>
        <v>P004</v>
      </c>
      <c r="H2129" s="39" t="str">
        <f aca="false">IF(ISNUMBER(MATCH(G2129,Products!$A$5:$A$24,0)),"OK","Mismatch")</f>
        <v>OK</v>
      </c>
      <c r="I2129" s="39" t="str">
        <f aca="false">IF(COUNTIF($A$5:A2129,A2129)&gt;1,"Duplicate","Unique")</f>
        <v>Unique</v>
      </c>
      <c r="J2129" s="39" t="str">
        <f aca="false">IF(I2129="Duplicate","Remove",IF(H2129="Mismatch","Exclude","Keep"))</f>
        <v>Keep</v>
      </c>
    </row>
    <row r="2130" customFormat="false" ht="15" hidden="false" customHeight="false" outlineLevel="0" collapsed="false">
      <c r="A2130" s="39" t="s">
        <v>2193</v>
      </c>
      <c r="B2130" s="40" t="n">
        <v>45938</v>
      </c>
      <c r="C2130" s="39" t="s">
        <v>162</v>
      </c>
      <c r="D2130" s="39" t="n">
        <v>6</v>
      </c>
      <c r="E2130" s="41" t="n">
        <v>67.03</v>
      </c>
      <c r="F2130" s="39" t="s">
        <v>118</v>
      </c>
      <c r="G2130" s="39" t="str">
        <f aca="false">UPPER(TRIM(C2130))</f>
        <v>P017</v>
      </c>
      <c r="H2130" s="39" t="str">
        <f aca="false">IF(ISNUMBER(MATCH(G2130,Products!$A$5:$A$24,0)),"OK","Mismatch")</f>
        <v>OK</v>
      </c>
      <c r="I2130" s="39" t="str">
        <f aca="false">IF(COUNTIF($A$5:A2130,A2130)&gt;1,"Duplicate","Unique")</f>
        <v>Unique</v>
      </c>
      <c r="J2130" s="39" t="str">
        <f aca="false">IF(I2130="Duplicate","Remove",IF(H2130="Mismatch","Exclude","Keep"))</f>
        <v>Keep</v>
      </c>
    </row>
    <row r="2131" customFormat="false" ht="15" hidden="false" customHeight="false" outlineLevel="0" collapsed="false">
      <c r="A2131" s="39" t="s">
        <v>2194</v>
      </c>
      <c r="B2131" s="40" t="n">
        <v>45938</v>
      </c>
      <c r="C2131" s="39" t="s">
        <v>114</v>
      </c>
      <c r="D2131" s="39" t="n">
        <v>1</v>
      </c>
      <c r="E2131" s="41" t="n">
        <v>5.57</v>
      </c>
      <c r="F2131" s="39" t="s">
        <v>108</v>
      </c>
      <c r="G2131" s="39" t="str">
        <f aca="false">UPPER(TRIM(C2131))</f>
        <v>P012</v>
      </c>
      <c r="H2131" s="39" t="str">
        <f aca="false">IF(ISNUMBER(MATCH(G2131,Products!$A$5:$A$24,0)),"OK","Mismatch")</f>
        <v>OK</v>
      </c>
      <c r="I2131" s="39" t="str">
        <f aca="false">IF(COUNTIF($A$5:A2131,A2131)&gt;1,"Duplicate","Unique")</f>
        <v>Unique</v>
      </c>
      <c r="J2131" s="39" t="str">
        <f aca="false">IF(I2131="Duplicate","Remove",IF(H2131="Mismatch","Exclude","Keep"))</f>
        <v>Keep</v>
      </c>
    </row>
    <row r="2132" customFormat="false" ht="15" hidden="false" customHeight="false" outlineLevel="0" collapsed="false">
      <c r="A2132" s="39" t="s">
        <v>2195</v>
      </c>
      <c r="B2132" s="40" t="n">
        <v>45938</v>
      </c>
      <c r="C2132" s="39" t="s">
        <v>114</v>
      </c>
      <c r="D2132" s="39" t="n">
        <v>5</v>
      </c>
      <c r="E2132" s="41" t="n">
        <v>5.66</v>
      </c>
      <c r="F2132" s="39" t="s">
        <v>115</v>
      </c>
      <c r="G2132" s="39" t="str">
        <f aca="false">UPPER(TRIM(C2132))</f>
        <v>P012</v>
      </c>
      <c r="H2132" s="39" t="str">
        <f aca="false">IF(ISNUMBER(MATCH(G2132,Products!$A$5:$A$24,0)),"OK","Mismatch")</f>
        <v>OK</v>
      </c>
      <c r="I2132" s="39" t="str">
        <f aca="false">IF(COUNTIF($A$5:A2132,A2132)&gt;1,"Duplicate","Unique")</f>
        <v>Unique</v>
      </c>
      <c r="J2132" s="39" t="str">
        <f aca="false">IF(I2132="Duplicate","Remove",IF(H2132="Mismatch","Exclude","Keep"))</f>
        <v>Keep</v>
      </c>
    </row>
    <row r="2133" customFormat="false" ht="15" hidden="false" customHeight="false" outlineLevel="0" collapsed="false">
      <c r="A2133" s="39" t="s">
        <v>2196</v>
      </c>
      <c r="B2133" s="40" t="n">
        <v>45938</v>
      </c>
      <c r="C2133" s="39" t="s">
        <v>136</v>
      </c>
      <c r="D2133" s="39" t="n">
        <v>1</v>
      </c>
      <c r="E2133" s="41" t="n">
        <v>75.31</v>
      </c>
      <c r="F2133" s="39" t="s">
        <v>105</v>
      </c>
      <c r="G2133" s="39" t="str">
        <f aca="false">UPPER(TRIM(C2133))</f>
        <v>P002</v>
      </c>
      <c r="H2133" s="39" t="str">
        <f aca="false">IF(ISNUMBER(MATCH(G2133,Products!$A$5:$A$24,0)),"OK","Mismatch")</f>
        <v>OK</v>
      </c>
      <c r="I2133" s="39" t="str">
        <f aca="false">IF(COUNTIF($A$5:A2133,A2133)&gt;1,"Duplicate","Unique")</f>
        <v>Unique</v>
      </c>
      <c r="J2133" s="39" t="str">
        <f aca="false">IF(I2133="Duplicate","Remove",IF(H2133="Mismatch","Exclude","Keep"))</f>
        <v>Keep</v>
      </c>
    </row>
    <row r="2134" customFormat="false" ht="15" hidden="false" customHeight="false" outlineLevel="0" collapsed="false">
      <c r="A2134" s="39" t="s">
        <v>2197</v>
      </c>
      <c r="B2134" s="40" t="n">
        <v>45938</v>
      </c>
      <c r="C2134" s="39" t="s">
        <v>133</v>
      </c>
      <c r="D2134" s="39" t="n">
        <v>6</v>
      </c>
      <c r="E2134" s="41" t="n">
        <v>8.55</v>
      </c>
      <c r="F2134" s="39" t="s">
        <v>118</v>
      </c>
      <c r="G2134" s="39" t="str">
        <f aca="false">UPPER(TRIM(C2134))</f>
        <v>P019</v>
      </c>
      <c r="H2134" s="39" t="str">
        <f aca="false">IF(ISNUMBER(MATCH(G2134,Products!$A$5:$A$24,0)),"OK","Mismatch")</f>
        <v>OK</v>
      </c>
      <c r="I2134" s="39" t="str">
        <f aca="false">IF(COUNTIF($A$5:A2134,A2134)&gt;1,"Duplicate","Unique")</f>
        <v>Unique</v>
      </c>
      <c r="J2134" s="39" t="str">
        <f aca="false">IF(I2134="Duplicate","Remove",IF(H2134="Mismatch","Exclude","Keep"))</f>
        <v>Keep</v>
      </c>
    </row>
    <row r="2135" customFormat="false" ht="15" hidden="false" customHeight="false" outlineLevel="0" collapsed="false">
      <c r="A2135" s="39" t="s">
        <v>2198</v>
      </c>
      <c r="B2135" s="40" t="n">
        <v>45938</v>
      </c>
      <c r="C2135" s="39" t="s">
        <v>183</v>
      </c>
      <c r="D2135" s="39" t="n">
        <v>2</v>
      </c>
      <c r="E2135" s="41" t="n">
        <v>174.31</v>
      </c>
      <c r="F2135" s="39" t="s">
        <v>105</v>
      </c>
      <c r="G2135" s="39" t="str">
        <f aca="false">UPPER(TRIM(C2135))</f>
        <v>P007</v>
      </c>
      <c r="H2135" s="39" t="str">
        <f aca="false">IF(ISNUMBER(MATCH(G2135,Products!$A$5:$A$24,0)),"OK","Mismatch")</f>
        <v>OK</v>
      </c>
      <c r="I2135" s="39" t="str">
        <f aca="false">IF(COUNTIF($A$5:A2135,A2135)&gt;1,"Duplicate","Unique")</f>
        <v>Unique</v>
      </c>
      <c r="J2135" s="39" t="str">
        <f aca="false">IF(I2135="Duplicate","Remove",IF(H2135="Mismatch","Exclude","Keep"))</f>
        <v>Keep</v>
      </c>
    </row>
    <row r="2136" customFormat="false" ht="15" hidden="false" customHeight="false" outlineLevel="0" collapsed="false">
      <c r="A2136" s="39" t="s">
        <v>2199</v>
      </c>
      <c r="B2136" s="40" t="n">
        <v>45938</v>
      </c>
      <c r="C2136" s="39" t="s">
        <v>183</v>
      </c>
      <c r="D2136" s="39" t="n">
        <v>1</v>
      </c>
      <c r="E2136" s="41" t="n">
        <v>181.27</v>
      </c>
      <c r="F2136" s="39" t="s">
        <v>105</v>
      </c>
      <c r="G2136" s="39" t="str">
        <f aca="false">UPPER(TRIM(C2136))</f>
        <v>P007</v>
      </c>
      <c r="H2136" s="39" t="str">
        <f aca="false">IF(ISNUMBER(MATCH(G2136,Products!$A$5:$A$24,0)),"OK","Mismatch")</f>
        <v>OK</v>
      </c>
      <c r="I2136" s="39" t="str">
        <f aca="false">IF(COUNTIF($A$5:A2136,A2136)&gt;1,"Duplicate","Unique")</f>
        <v>Unique</v>
      </c>
      <c r="J2136" s="39" t="str">
        <f aca="false">IF(I2136="Duplicate","Remove",IF(H2136="Mismatch","Exclude","Keep"))</f>
        <v>Keep</v>
      </c>
    </row>
    <row r="2137" customFormat="false" ht="15" hidden="false" customHeight="false" outlineLevel="0" collapsed="false">
      <c r="A2137" s="39" t="s">
        <v>2200</v>
      </c>
      <c r="B2137" s="40" t="n">
        <v>45939</v>
      </c>
      <c r="C2137" s="39" t="s">
        <v>136</v>
      </c>
      <c r="D2137" s="39" t="n">
        <v>5</v>
      </c>
      <c r="E2137" s="41" t="n">
        <v>73.03</v>
      </c>
      <c r="F2137" s="39" t="s">
        <v>118</v>
      </c>
      <c r="G2137" s="39" t="str">
        <f aca="false">UPPER(TRIM(C2137))</f>
        <v>P002</v>
      </c>
      <c r="H2137" s="39" t="str">
        <f aca="false">IF(ISNUMBER(MATCH(G2137,Products!$A$5:$A$24,0)),"OK","Mismatch")</f>
        <v>OK</v>
      </c>
      <c r="I2137" s="39" t="str">
        <f aca="false">IF(COUNTIF($A$5:A2137,A2137)&gt;1,"Duplicate","Unique")</f>
        <v>Unique</v>
      </c>
      <c r="J2137" s="39" t="str">
        <f aca="false">IF(I2137="Duplicate","Remove",IF(H2137="Mismatch","Exclude","Keep"))</f>
        <v>Keep</v>
      </c>
    </row>
    <row r="2138" customFormat="false" ht="15" hidden="false" customHeight="false" outlineLevel="0" collapsed="false">
      <c r="A2138" s="39" t="s">
        <v>2201</v>
      </c>
      <c r="B2138" s="40" t="n">
        <v>45939</v>
      </c>
      <c r="C2138" s="39" t="s">
        <v>136</v>
      </c>
      <c r="D2138" s="39" t="n">
        <v>1</v>
      </c>
      <c r="E2138" s="41" t="n">
        <v>72.97</v>
      </c>
      <c r="F2138" s="39" t="s">
        <v>108</v>
      </c>
      <c r="G2138" s="39" t="str">
        <f aca="false">UPPER(TRIM(C2138))</f>
        <v>P002</v>
      </c>
      <c r="H2138" s="39" t="str">
        <f aca="false">IF(ISNUMBER(MATCH(G2138,Products!$A$5:$A$24,0)),"OK","Mismatch")</f>
        <v>OK</v>
      </c>
      <c r="I2138" s="39" t="str">
        <f aca="false">IF(COUNTIF($A$5:A2138,A2138)&gt;1,"Duplicate","Unique")</f>
        <v>Unique</v>
      </c>
      <c r="J2138" s="39" t="str">
        <f aca="false">IF(I2138="Duplicate","Remove",IF(H2138="Mismatch","Exclude","Keep"))</f>
        <v>Keep</v>
      </c>
    </row>
    <row r="2139" customFormat="false" ht="15" hidden="false" customHeight="false" outlineLevel="0" collapsed="false">
      <c r="A2139" s="39" t="s">
        <v>2202</v>
      </c>
      <c r="B2139" s="40" t="n">
        <v>45939</v>
      </c>
      <c r="C2139" s="39" t="s">
        <v>126</v>
      </c>
      <c r="D2139" s="39" t="n">
        <v>1</v>
      </c>
      <c r="E2139" s="41" t="n">
        <v>24.46</v>
      </c>
      <c r="F2139" s="39" t="s">
        <v>118</v>
      </c>
      <c r="G2139" s="39" t="str">
        <f aca="false">UPPER(TRIM(C2139))</f>
        <v>P001</v>
      </c>
      <c r="H2139" s="39" t="str">
        <f aca="false">IF(ISNUMBER(MATCH(G2139,Products!$A$5:$A$24,0)),"OK","Mismatch")</f>
        <v>OK</v>
      </c>
      <c r="I2139" s="39" t="str">
        <f aca="false">IF(COUNTIF($A$5:A2139,A2139)&gt;1,"Duplicate","Unique")</f>
        <v>Unique</v>
      </c>
      <c r="J2139" s="39" t="str">
        <f aca="false">IF(I2139="Duplicate","Remove",IF(H2139="Mismatch","Exclude","Keep"))</f>
        <v>Keep</v>
      </c>
    </row>
    <row r="2140" customFormat="false" ht="15" hidden="false" customHeight="false" outlineLevel="0" collapsed="false">
      <c r="A2140" s="39" t="s">
        <v>2203</v>
      </c>
      <c r="B2140" s="40" t="n">
        <v>45939</v>
      </c>
      <c r="C2140" s="39" t="s">
        <v>121</v>
      </c>
      <c r="D2140" s="39" t="n">
        <v>4</v>
      </c>
      <c r="E2140" s="41" t="n">
        <v>113.49</v>
      </c>
      <c r="F2140" s="39" t="s">
        <v>118</v>
      </c>
      <c r="G2140" s="39" t="str">
        <f aca="false">UPPER(TRIM(C2140))</f>
        <v>P018</v>
      </c>
      <c r="H2140" s="39" t="str">
        <f aca="false">IF(ISNUMBER(MATCH(G2140,Products!$A$5:$A$24,0)),"OK","Mismatch")</f>
        <v>OK</v>
      </c>
      <c r="I2140" s="39" t="str">
        <f aca="false">IF(COUNTIF($A$5:A2140,A2140)&gt;1,"Duplicate","Unique")</f>
        <v>Unique</v>
      </c>
      <c r="J2140" s="39" t="str">
        <f aca="false">IF(I2140="Duplicate","Remove",IF(H2140="Mismatch","Exclude","Keep"))</f>
        <v>Keep</v>
      </c>
    </row>
    <row r="2141" customFormat="false" ht="15" hidden="false" customHeight="false" outlineLevel="0" collapsed="false">
      <c r="A2141" s="39" t="s">
        <v>2204</v>
      </c>
      <c r="B2141" s="40" t="n">
        <v>45939</v>
      </c>
      <c r="C2141" s="39" t="s">
        <v>130</v>
      </c>
      <c r="D2141" s="39" t="n">
        <v>1</v>
      </c>
      <c r="E2141" s="41" t="n">
        <v>8.97</v>
      </c>
      <c r="F2141" s="39" t="s">
        <v>108</v>
      </c>
      <c r="G2141" s="39" t="str">
        <f aca="false">UPPER(TRIM(C2141))</f>
        <v>P011</v>
      </c>
      <c r="H2141" s="39" t="str">
        <f aca="false">IF(ISNUMBER(MATCH(G2141,Products!$A$5:$A$24,0)),"OK","Mismatch")</f>
        <v>OK</v>
      </c>
      <c r="I2141" s="39" t="str">
        <f aca="false">IF(COUNTIF($A$5:A2141,A2141)&gt;1,"Duplicate","Unique")</f>
        <v>Unique</v>
      </c>
      <c r="J2141" s="39" t="str">
        <f aca="false">IF(I2141="Duplicate","Remove",IF(H2141="Mismatch","Exclude","Keep"))</f>
        <v>Keep</v>
      </c>
    </row>
    <row r="2142" customFormat="false" ht="15" hidden="false" customHeight="false" outlineLevel="0" collapsed="false">
      <c r="A2142" s="39" t="s">
        <v>2205</v>
      </c>
      <c r="B2142" s="40" t="n">
        <v>45939</v>
      </c>
      <c r="C2142" s="39" t="s">
        <v>133</v>
      </c>
      <c r="D2142" s="39" t="n">
        <v>1</v>
      </c>
      <c r="E2142" s="41" t="n">
        <v>8.94</v>
      </c>
      <c r="F2142" s="39" t="s">
        <v>118</v>
      </c>
      <c r="G2142" s="39" t="str">
        <f aca="false">UPPER(TRIM(C2142))</f>
        <v>P019</v>
      </c>
      <c r="H2142" s="39" t="str">
        <f aca="false">IF(ISNUMBER(MATCH(G2142,Products!$A$5:$A$24,0)),"OK","Mismatch")</f>
        <v>OK</v>
      </c>
      <c r="I2142" s="39" t="str">
        <f aca="false">IF(COUNTIF($A$5:A2142,A2142)&gt;1,"Duplicate","Unique")</f>
        <v>Unique</v>
      </c>
      <c r="J2142" s="39" t="str">
        <f aca="false">IF(I2142="Duplicate","Remove",IF(H2142="Mismatch","Exclude","Keep"))</f>
        <v>Keep</v>
      </c>
    </row>
    <row r="2143" customFormat="false" ht="15" hidden="false" customHeight="false" outlineLevel="0" collapsed="false">
      <c r="A2143" s="39" t="s">
        <v>2206</v>
      </c>
      <c r="B2143" s="40" t="n">
        <v>45940</v>
      </c>
      <c r="C2143" s="39" t="s">
        <v>114</v>
      </c>
      <c r="D2143" s="39" t="n">
        <v>6</v>
      </c>
      <c r="E2143" s="41" t="n">
        <v>5.73</v>
      </c>
      <c r="F2143" s="39" t="s">
        <v>115</v>
      </c>
      <c r="G2143" s="39" t="str">
        <f aca="false">UPPER(TRIM(C2143))</f>
        <v>P012</v>
      </c>
      <c r="H2143" s="39" t="str">
        <f aca="false">IF(ISNUMBER(MATCH(G2143,Products!$A$5:$A$24,0)),"OK","Mismatch")</f>
        <v>OK</v>
      </c>
      <c r="I2143" s="39" t="str">
        <f aca="false">IF(COUNTIF($A$5:A2143,A2143)&gt;1,"Duplicate","Unique")</f>
        <v>Unique</v>
      </c>
      <c r="J2143" s="39" t="str">
        <f aca="false">IF(I2143="Duplicate","Remove",IF(H2143="Mismatch","Exclude","Keep"))</f>
        <v>Keep</v>
      </c>
    </row>
    <row r="2144" customFormat="false" ht="15" hidden="false" customHeight="false" outlineLevel="0" collapsed="false">
      <c r="A2144" s="39" t="s">
        <v>2207</v>
      </c>
      <c r="B2144" s="40" t="n">
        <v>45940</v>
      </c>
      <c r="C2144" s="39" t="s">
        <v>133</v>
      </c>
      <c r="D2144" s="39" t="n">
        <v>1</v>
      </c>
      <c r="E2144" s="41" t="n">
        <v>8.5</v>
      </c>
      <c r="F2144" s="39" t="s">
        <v>105</v>
      </c>
      <c r="G2144" s="39" t="str">
        <f aca="false">UPPER(TRIM(C2144))</f>
        <v>P019</v>
      </c>
      <c r="H2144" s="39" t="str">
        <f aca="false">IF(ISNUMBER(MATCH(G2144,Products!$A$5:$A$24,0)),"OK","Mismatch")</f>
        <v>OK</v>
      </c>
      <c r="I2144" s="39" t="str">
        <f aca="false">IF(COUNTIF($A$5:A2144,A2144)&gt;1,"Duplicate","Unique")</f>
        <v>Unique</v>
      </c>
      <c r="J2144" s="39" t="str">
        <f aca="false">IF(I2144="Duplicate","Remove",IF(H2144="Mismatch","Exclude","Keep"))</f>
        <v>Keep</v>
      </c>
    </row>
    <row r="2145" customFormat="false" ht="15" hidden="false" customHeight="false" outlineLevel="0" collapsed="false">
      <c r="A2145" s="39" t="s">
        <v>2208</v>
      </c>
      <c r="B2145" s="40" t="n">
        <v>45940</v>
      </c>
      <c r="C2145" s="39" t="s">
        <v>183</v>
      </c>
      <c r="D2145" s="39" t="n">
        <v>1</v>
      </c>
      <c r="E2145" s="41" t="n">
        <v>182.72</v>
      </c>
      <c r="F2145" s="39" t="s">
        <v>115</v>
      </c>
      <c r="G2145" s="39" t="str">
        <f aca="false">UPPER(TRIM(C2145))</f>
        <v>P007</v>
      </c>
      <c r="H2145" s="39" t="str">
        <f aca="false">IF(ISNUMBER(MATCH(G2145,Products!$A$5:$A$24,0)),"OK","Mismatch")</f>
        <v>OK</v>
      </c>
      <c r="I2145" s="39" t="str">
        <f aca="false">IF(COUNTIF($A$5:A2145,A2145)&gt;1,"Duplicate","Unique")</f>
        <v>Unique</v>
      </c>
      <c r="J2145" s="39" t="str">
        <f aca="false">IF(I2145="Duplicate","Remove",IF(H2145="Mismatch","Exclude","Keep"))</f>
        <v>Keep</v>
      </c>
    </row>
    <row r="2146" customFormat="false" ht="15" hidden="false" customHeight="false" outlineLevel="0" collapsed="false">
      <c r="A2146" s="39" t="s">
        <v>2209</v>
      </c>
      <c r="B2146" s="40" t="n">
        <v>45940</v>
      </c>
      <c r="C2146" s="39" t="s">
        <v>130</v>
      </c>
      <c r="D2146" s="39" t="n">
        <v>1</v>
      </c>
      <c r="E2146" s="41" t="n">
        <v>8.51</v>
      </c>
      <c r="F2146" s="39" t="s">
        <v>108</v>
      </c>
      <c r="G2146" s="39" t="str">
        <f aca="false">UPPER(TRIM(C2146))</f>
        <v>P011</v>
      </c>
      <c r="H2146" s="39" t="str">
        <f aca="false">IF(ISNUMBER(MATCH(G2146,Products!$A$5:$A$24,0)),"OK","Mismatch")</f>
        <v>OK</v>
      </c>
      <c r="I2146" s="39" t="str">
        <f aca="false">IF(COUNTIF($A$5:A2146,A2146)&gt;1,"Duplicate","Unique")</f>
        <v>Unique</v>
      </c>
      <c r="J2146" s="39" t="str">
        <f aca="false">IF(I2146="Duplicate","Remove",IF(H2146="Mismatch","Exclude","Keep"))</f>
        <v>Keep</v>
      </c>
    </row>
    <row r="2147" customFormat="false" ht="15" hidden="false" customHeight="false" outlineLevel="0" collapsed="false">
      <c r="A2147" s="39" t="s">
        <v>2210</v>
      </c>
      <c r="B2147" s="40" t="n">
        <v>45940</v>
      </c>
      <c r="C2147" s="39" t="s">
        <v>144</v>
      </c>
      <c r="D2147" s="39" t="n">
        <v>3</v>
      </c>
      <c r="E2147" s="41" t="n">
        <v>58.4</v>
      </c>
      <c r="F2147" s="39" t="s">
        <v>115</v>
      </c>
      <c r="G2147" s="39" t="str">
        <f aca="false">UPPER(TRIM(C2147))</f>
        <v>P013</v>
      </c>
      <c r="H2147" s="39" t="str">
        <f aca="false">IF(ISNUMBER(MATCH(G2147,Products!$A$5:$A$24,0)),"OK","Mismatch")</f>
        <v>OK</v>
      </c>
      <c r="I2147" s="39" t="str">
        <f aca="false">IF(COUNTIF($A$5:A2147,A2147)&gt;1,"Duplicate","Unique")</f>
        <v>Unique</v>
      </c>
      <c r="J2147" s="39" t="str">
        <f aca="false">IF(I2147="Duplicate","Remove",IF(H2147="Mismatch","Exclude","Keep"))</f>
        <v>Keep</v>
      </c>
    </row>
    <row r="2148" customFormat="false" ht="15" hidden="false" customHeight="false" outlineLevel="0" collapsed="false">
      <c r="A2148" s="39" t="s">
        <v>2211</v>
      </c>
      <c r="B2148" s="40" t="n">
        <v>45940</v>
      </c>
      <c r="C2148" s="39" t="s">
        <v>104</v>
      </c>
      <c r="D2148" s="39" t="n">
        <v>1</v>
      </c>
      <c r="E2148" s="41" t="n">
        <v>14.76</v>
      </c>
      <c r="F2148" s="39" t="s">
        <v>108</v>
      </c>
      <c r="G2148" s="39" t="str">
        <f aca="false">UPPER(TRIM(C2148))</f>
        <v>P015</v>
      </c>
      <c r="H2148" s="39" t="str">
        <f aca="false">IF(ISNUMBER(MATCH(G2148,Products!$A$5:$A$24,0)),"OK","Mismatch")</f>
        <v>OK</v>
      </c>
      <c r="I2148" s="39" t="str">
        <f aca="false">IF(COUNTIF($A$5:A2148,A2148)&gt;1,"Duplicate","Unique")</f>
        <v>Unique</v>
      </c>
      <c r="J2148" s="39" t="str">
        <f aca="false">IF(I2148="Duplicate","Remove",IF(H2148="Mismatch","Exclude","Keep"))</f>
        <v>Keep</v>
      </c>
    </row>
    <row r="2149" customFormat="false" ht="15" hidden="false" customHeight="false" outlineLevel="0" collapsed="false">
      <c r="A2149" s="39" t="s">
        <v>2212</v>
      </c>
      <c r="B2149" s="40" t="n">
        <v>45941</v>
      </c>
      <c r="C2149" s="39" t="s">
        <v>130</v>
      </c>
      <c r="D2149" s="39" t="n">
        <v>4</v>
      </c>
      <c r="E2149" s="41" t="n">
        <v>8.54</v>
      </c>
      <c r="F2149" s="39" t="s">
        <v>105</v>
      </c>
      <c r="G2149" s="39" t="str">
        <f aca="false">UPPER(TRIM(C2149))</f>
        <v>P011</v>
      </c>
      <c r="H2149" s="39" t="str">
        <f aca="false">IF(ISNUMBER(MATCH(G2149,Products!$A$5:$A$24,0)),"OK","Mismatch")</f>
        <v>OK</v>
      </c>
      <c r="I2149" s="39" t="str">
        <f aca="false">IF(COUNTIF($A$5:A2149,A2149)&gt;1,"Duplicate","Unique")</f>
        <v>Unique</v>
      </c>
      <c r="J2149" s="39" t="str">
        <f aca="false">IF(I2149="Duplicate","Remove",IF(H2149="Mismatch","Exclude","Keep"))</f>
        <v>Keep</v>
      </c>
    </row>
    <row r="2150" customFormat="false" ht="15" hidden="false" customHeight="false" outlineLevel="0" collapsed="false">
      <c r="A2150" s="39" t="s">
        <v>2213</v>
      </c>
      <c r="B2150" s="40" t="n">
        <v>45941</v>
      </c>
      <c r="C2150" s="39" t="s">
        <v>162</v>
      </c>
      <c r="D2150" s="39" t="n">
        <v>4</v>
      </c>
      <c r="E2150" s="41" t="n">
        <v>68.89</v>
      </c>
      <c r="F2150" s="39" t="s">
        <v>108</v>
      </c>
      <c r="G2150" s="39" t="str">
        <f aca="false">UPPER(TRIM(C2150))</f>
        <v>P017</v>
      </c>
      <c r="H2150" s="39" t="str">
        <f aca="false">IF(ISNUMBER(MATCH(G2150,Products!$A$5:$A$24,0)),"OK","Mismatch")</f>
        <v>OK</v>
      </c>
      <c r="I2150" s="39" t="str">
        <f aca="false">IF(COUNTIF($A$5:A2150,A2150)&gt;1,"Duplicate","Unique")</f>
        <v>Unique</v>
      </c>
      <c r="J2150" s="39" t="str">
        <f aca="false">IF(I2150="Duplicate","Remove",IF(H2150="Mismatch","Exclude","Keep"))</f>
        <v>Keep</v>
      </c>
    </row>
    <row r="2151" customFormat="false" ht="15" hidden="false" customHeight="false" outlineLevel="0" collapsed="false">
      <c r="A2151" s="39" t="s">
        <v>2214</v>
      </c>
      <c r="B2151" s="40" t="n">
        <v>45941</v>
      </c>
      <c r="C2151" s="39" t="s">
        <v>136</v>
      </c>
      <c r="D2151" s="39" t="n">
        <v>4</v>
      </c>
      <c r="E2151" s="41" t="n">
        <v>74.77</v>
      </c>
      <c r="F2151" s="39" t="s">
        <v>115</v>
      </c>
      <c r="G2151" s="39" t="str">
        <f aca="false">UPPER(TRIM(C2151))</f>
        <v>P002</v>
      </c>
      <c r="H2151" s="39" t="str">
        <f aca="false">IF(ISNUMBER(MATCH(G2151,Products!$A$5:$A$24,0)),"OK","Mismatch")</f>
        <v>OK</v>
      </c>
      <c r="I2151" s="39" t="str">
        <f aca="false">IF(COUNTIF($A$5:A2151,A2151)&gt;1,"Duplicate","Unique")</f>
        <v>Unique</v>
      </c>
      <c r="J2151" s="39" t="str">
        <f aca="false">IF(I2151="Duplicate","Remove",IF(H2151="Mismatch","Exclude","Keep"))</f>
        <v>Keep</v>
      </c>
    </row>
    <row r="2152" customFormat="false" ht="15" hidden="false" customHeight="false" outlineLevel="0" collapsed="false">
      <c r="A2152" s="39" t="s">
        <v>2215</v>
      </c>
      <c r="B2152" s="40" t="n">
        <v>45941</v>
      </c>
      <c r="C2152" s="39" t="s">
        <v>126</v>
      </c>
      <c r="D2152" s="39" t="n">
        <v>6</v>
      </c>
      <c r="E2152" s="41" t="n">
        <v>24.97</v>
      </c>
      <c r="F2152" s="39" t="s">
        <v>118</v>
      </c>
      <c r="G2152" s="39" t="str">
        <f aca="false">UPPER(TRIM(C2152))</f>
        <v>P001</v>
      </c>
      <c r="H2152" s="39" t="str">
        <f aca="false">IF(ISNUMBER(MATCH(G2152,Products!$A$5:$A$24,0)),"OK","Mismatch")</f>
        <v>OK</v>
      </c>
      <c r="I2152" s="39" t="str">
        <f aca="false">IF(COUNTIF($A$5:A2152,A2152)&gt;1,"Duplicate","Unique")</f>
        <v>Unique</v>
      </c>
      <c r="J2152" s="39" t="str">
        <f aca="false">IF(I2152="Duplicate","Remove",IF(H2152="Mismatch","Exclude","Keep"))</f>
        <v>Keep</v>
      </c>
    </row>
    <row r="2153" customFormat="false" ht="15" hidden="false" customHeight="false" outlineLevel="0" collapsed="false">
      <c r="A2153" s="39" t="s">
        <v>2216</v>
      </c>
      <c r="B2153" s="40" t="n">
        <v>45941</v>
      </c>
      <c r="C2153" s="39" t="s">
        <v>110</v>
      </c>
      <c r="D2153" s="39" t="n">
        <v>1</v>
      </c>
      <c r="E2153" s="41" t="n">
        <v>13.54</v>
      </c>
      <c r="F2153" s="39" t="s">
        <v>118</v>
      </c>
      <c r="G2153" s="39" t="str">
        <f aca="false">UPPER(TRIM(C2153))</f>
        <v>P016</v>
      </c>
      <c r="H2153" s="39" t="str">
        <f aca="false">IF(ISNUMBER(MATCH(G2153,Products!$A$5:$A$24,0)),"OK","Mismatch")</f>
        <v>OK</v>
      </c>
      <c r="I2153" s="39" t="str">
        <f aca="false">IF(COUNTIF($A$5:A2153,A2153)&gt;1,"Duplicate","Unique")</f>
        <v>Unique</v>
      </c>
      <c r="J2153" s="39" t="str">
        <f aca="false">IF(I2153="Duplicate","Remove",IF(H2153="Mismatch","Exclude","Keep"))</f>
        <v>Keep</v>
      </c>
    </row>
    <row r="2154" customFormat="false" ht="15" hidden="false" customHeight="false" outlineLevel="0" collapsed="false">
      <c r="A2154" s="39" t="s">
        <v>2217</v>
      </c>
      <c r="B2154" s="40" t="n">
        <v>45941</v>
      </c>
      <c r="C2154" s="39" t="s">
        <v>139</v>
      </c>
      <c r="D2154" s="39" t="n">
        <v>1</v>
      </c>
      <c r="E2154" s="41" t="n">
        <v>122.32</v>
      </c>
      <c r="F2154" s="39" t="s">
        <v>115</v>
      </c>
      <c r="G2154" s="39" t="str">
        <f aca="false">UPPER(TRIM(C2154))</f>
        <v>P006</v>
      </c>
      <c r="H2154" s="39" t="str">
        <f aca="false">IF(ISNUMBER(MATCH(G2154,Products!$A$5:$A$24,0)),"OK","Mismatch")</f>
        <v>OK</v>
      </c>
      <c r="I2154" s="39" t="str">
        <f aca="false">IF(COUNTIF($A$5:A2154,A2154)&gt;1,"Duplicate","Unique")</f>
        <v>Unique</v>
      </c>
      <c r="J2154" s="39" t="str">
        <f aca="false">IF(I2154="Duplicate","Remove",IF(H2154="Mismatch","Exclude","Keep"))</f>
        <v>Keep</v>
      </c>
    </row>
    <row r="2155" customFormat="false" ht="15" hidden="false" customHeight="false" outlineLevel="0" collapsed="false">
      <c r="A2155" s="39" t="s">
        <v>2217</v>
      </c>
      <c r="B2155" s="40" t="n">
        <v>45941</v>
      </c>
      <c r="C2155" s="39" t="s">
        <v>139</v>
      </c>
      <c r="D2155" s="39" t="n">
        <v>1</v>
      </c>
      <c r="E2155" s="41" t="n">
        <v>122.32</v>
      </c>
      <c r="F2155" s="39" t="s">
        <v>115</v>
      </c>
      <c r="G2155" s="39" t="str">
        <f aca="false">UPPER(TRIM(C2155))</f>
        <v>P006</v>
      </c>
      <c r="H2155" s="39" t="str">
        <f aca="false">IF(ISNUMBER(MATCH(G2155,Products!$A$5:$A$24,0)),"OK","Mismatch")</f>
        <v>OK</v>
      </c>
      <c r="I2155" s="39" t="str">
        <f aca="false">IF(COUNTIF($A$5:A2155,A2155)&gt;1,"Duplicate","Unique")</f>
        <v>Duplicate</v>
      </c>
      <c r="J2155" s="39" t="str">
        <f aca="false">IF(I2155="Duplicate","Remove",IF(H2155="Mismatch","Exclude","Keep"))</f>
        <v>Remove</v>
      </c>
    </row>
    <row r="2156" customFormat="false" ht="15" hidden="false" customHeight="false" outlineLevel="0" collapsed="false">
      <c r="A2156" s="39" t="s">
        <v>2218</v>
      </c>
      <c r="B2156" s="40" t="n">
        <v>45941</v>
      </c>
      <c r="C2156" s="39" t="s">
        <v>177</v>
      </c>
      <c r="D2156" s="39" t="n">
        <v>1</v>
      </c>
      <c r="E2156" s="41" t="n">
        <v>41.71</v>
      </c>
      <c r="F2156" s="39" t="s">
        <v>118</v>
      </c>
      <c r="G2156" s="39" t="str">
        <f aca="false">UPPER(TRIM(C2156))</f>
        <v>P014</v>
      </c>
      <c r="H2156" s="39" t="str">
        <f aca="false">IF(ISNUMBER(MATCH(G2156,Products!$A$5:$A$24,0)),"OK","Mismatch")</f>
        <v>OK</v>
      </c>
      <c r="I2156" s="39" t="str">
        <f aca="false">IF(COUNTIF($A$5:A2156,A2156)&gt;1,"Duplicate","Unique")</f>
        <v>Unique</v>
      </c>
      <c r="J2156" s="39" t="str">
        <f aca="false">IF(I2156="Duplicate","Remove",IF(H2156="Mismatch","Exclude","Keep"))</f>
        <v>Keep</v>
      </c>
    </row>
    <row r="2157" customFormat="false" ht="15" hidden="false" customHeight="false" outlineLevel="0" collapsed="false">
      <c r="A2157" s="39" t="s">
        <v>2219</v>
      </c>
      <c r="B2157" s="40" t="n">
        <v>45941</v>
      </c>
      <c r="C2157" s="39" t="s">
        <v>121</v>
      </c>
      <c r="D2157" s="39" t="n">
        <v>1</v>
      </c>
      <c r="E2157" s="41" t="n">
        <v>109.63</v>
      </c>
      <c r="F2157" s="39" t="s">
        <v>118</v>
      </c>
      <c r="G2157" s="39" t="str">
        <f aca="false">UPPER(TRIM(C2157))</f>
        <v>P018</v>
      </c>
      <c r="H2157" s="39" t="str">
        <f aca="false">IF(ISNUMBER(MATCH(G2157,Products!$A$5:$A$24,0)),"OK","Mismatch")</f>
        <v>OK</v>
      </c>
      <c r="I2157" s="39" t="str">
        <f aca="false">IF(COUNTIF($A$5:A2157,A2157)&gt;1,"Duplicate","Unique")</f>
        <v>Unique</v>
      </c>
      <c r="J2157" s="39" t="str">
        <f aca="false">IF(I2157="Duplicate","Remove",IF(H2157="Mismatch","Exclude","Keep"))</f>
        <v>Keep</v>
      </c>
    </row>
    <row r="2158" customFormat="false" ht="15" hidden="false" customHeight="false" outlineLevel="0" collapsed="false">
      <c r="A2158" s="39" t="s">
        <v>2220</v>
      </c>
      <c r="B2158" s="40" t="n">
        <v>45942</v>
      </c>
      <c r="C2158" s="39" t="s">
        <v>133</v>
      </c>
      <c r="D2158" s="39" t="n">
        <v>4</v>
      </c>
      <c r="E2158" s="41" t="n">
        <v>8.45</v>
      </c>
      <c r="F2158" s="39" t="s">
        <v>108</v>
      </c>
      <c r="G2158" s="39" t="str">
        <f aca="false">UPPER(TRIM(C2158))</f>
        <v>P019</v>
      </c>
      <c r="H2158" s="39" t="str">
        <f aca="false">IF(ISNUMBER(MATCH(G2158,Products!$A$5:$A$24,0)),"OK","Mismatch")</f>
        <v>OK</v>
      </c>
      <c r="I2158" s="39" t="str">
        <f aca="false">IF(COUNTIF($A$5:A2158,A2158)&gt;1,"Duplicate","Unique")</f>
        <v>Unique</v>
      </c>
      <c r="J2158" s="39" t="str">
        <f aca="false">IF(I2158="Duplicate","Remove",IF(H2158="Mismatch","Exclude","Keep"))</f>
        <v>Keep</v>
      </c>
    </row>
    <row r="2159" customFormat="false" ht="15" hidden="false" customHeight="false" outlineLevel="0" collapsed="false">
      <c r="A2159" s="39" t="s">
        <v>2221</v>
      </c>
      <c r="B2159" s="40" t="n">
        <v>45942</v>
      </c>
      <c r="C2159" s="39" t="s">
        <v>121</v>
      </c>
      <c r="D2159" s="39" t="n">
        <v>1</v>
      </c>
      <c r="E2159" s="41" t="n">
        <v>113.78</v>
      </c>
      <c r="F2159" s="39" t="s">
        <v>108</v>
      </c>
      <c r="G2159" s="39" t="str">
        <f aca="false">UPPER(TRIM(C2159))</f>
        <v>P018</v>
      </c>
      <c r="H2159" s="39" t="str">
        <f aca="false">IF(ISNUMBER(MATCH(G2159,Products!$A$5:$A$24,0)),"OK","Mismatch")</f>
        <v>OK</v>
      </c>
      <c r="I2159" s="39" t="str">
        <f aca="false">IF(COUNTIF($A$5:A2159,A2159)&gt;1,"Duplicate","Unique")</f>
        <v>Unique</v>
      </c>
      <c r="J2159" s="39" t="str">
        <f aca="false">IF(I2159="Duplicate","Remove",IF(H2159="Mismatch","Exclude","Keep"))</f>
        <v>Keep</v>
      </c>
    </row>
    <row r="2160" customFormat="false" ht="15" hidden="false" customHeight="false" outlineLevel="0" collapsed="false">
      <c r="A2160" s="39" t="s">
        <v>2222</v>
      </c>
      <c r="B2160" s="40" t="n">
        <v>45942</v>
      </c>
      <c r="C2160" s="39" t="s">
        <v>305</v>
      </c>
      <c r="D2160" s="39" t="n">
        <v>5</v>
      </c>
      <c r="E2160" s="41" t="n">
        <v>344.81</v>
      </c>
      <c r="F2160" s="39" t="s">
        <v>118</v>
      </c>
      <c r="G2160" s="39" t="str">
        <f aca="false">UPPER(TRIM(C2160))</f>
        <v>P008</v>
      </c>
      <c r="H2160" s="39" t="str">
        <f aca="false">IF(ISNUMBER(MATCH(G2160,Products!$A$5:$A$24,0)),"OK","Mismatch")</f>
        <v>OK</v>
      </c>
      <c r="I2160" s="39" t="str">
        <f aca="false">IF(COUNTIF($A$5:A2160,A2160)&gt;1,"Duplicate","Unique")</f>
        <v>Unique</v>
      </c>
      <c r="J2160" s="39" t="str">
        <f aca="false">IF(I2160="Duplicate","Remove",IF(H2160="Mismatch","Exclude","Keep"))</f>
        <v>Keep</v>
      </c>
    </row>
    <row r="2161" customFormat="false" ht="15" hidden="false" customHeight="false" outlineLevel="0" collapsed="false">
      <c r="A2161" s="39" t="s">
        <v>2222</v>
      </c>
      <c r="B2161" s="40" t="n">
        <v>45942</v>
      </c>
      <c r="C2161" s="39" t="s">
        <v>305</v>
      </c>
      <c r="D2161" s="39" t="n">
        <v>5</v>
      </c>
      <c r="E2161" s="41" t="n">
        <v>344.81</v>
      </c>
      <c r="F2161" s="39" t="s">
        <v>118</v>
      </c>
      <c r="G2161" s="39" t="str">
        <f aca="false">UPPER(TRIM(C2161))</f>
        <v>P008</v>
      </c>
      <c r="H2161" s="39" t="str">
        <f aca="false">IF(ISNUMBER(MATCH(G2161,Products!$A$5:$A$24,0)),"OK","Mismatch")</f>
        <v>OK</v>
      </c>
      <c r="I2161" s="39" t="str">
        <f aca="false">IF(COUNTIF($A$5:A2161,A2161)&gt;1,"Duplicate","Unique")</f>
        <v>Duplicate</v>
      </c>
      <c r="J2161" s="39" t="str">
        <f aca="false">IF(I2161="Duplicate","Remove",IF(H2161="Mismatch","Exclude","Keep"))</f>
        <v>Remove</v>
      </c>
    </row>
    <row r="2162" customFormat="false" ht="15" hidden="false" customHeight="false" outlineLevel="0" collapsed="false">
      <c r="A2162" s="39" t="s">
        <v>2223</v>
      </c>
      <c r="B2162" s="40" t="n">
        <v>45942</v>
      </c>
      <c r="C2162" s="39" t="s">
        <v>130</v>
      </c>
      <c r="D2162" s="39" t="n">
        <v>1</v>
      </c>
      <c r="E2162" s="41" t="n">
        <v>8.34</v>
      </c>
      <c r="F2162" s="39" t="s">
        <v>115</v>
      </c>
      <c r="G2162" s="39" t="str">
        <f aca="false">UPPER(TRIM(C2162))</f>
        <v>P011</v>
      </c>
      <c r="H2162" s="39" t="str">
        <f aca="false">IF(ISNUMBER(MATCH(G2162,Products!$A$5:$A$24,0)),"OK","Mismatch")</f>
        <v>OK</v>
      </c>
      <c r="I2162" s="39" t="str">
        <f aca="false">IF(COUNTIF($A$5:A2162,A2162)&gt;1,"Duplicate","Unique")</f>
        <v>Unique</v>
      </c>
      <c r="J2162" s="39" t="str">
        <f aca="false">IF(I2162="Duplicate","Remove",IF(H2162="Mismatch","Exclude","Keep"))</f>
        <v>Keep</v>
      </c>
    </row>
    <row r="2163" customFormat="false" ht="15" hidden="false" customHeight="false" outlineLevel="0" collapsed="false">
      <c r="A2163" s="39" t="s">
        <v>2224</v>
      </c>
      <c r="B2163" s="40" t="n">
        <v>45942</v>
      </c>
      <c r="C2163" s="39" t="s">
        <v>177</v>
      </c>
      <c r="D2163" s="39" t="n">
        <v>6</v>
      </c>
      <c r="E2163" s="41" t="n">
        <v>44.3</v>
      </c>
      <c r="F2163" s="39" t="s">
        <v>105</v>
      </c>
      <c r="G2163" s="39" t="str">
        <f aca="false">UPPER(TRIM(C2163))</f>
        <v>P014</v>
      </c>
      <c r="H2163" s="39" t="str">
        <f aca="false">IF(ISNUMBER(MATCH(G2163,Products!$A$5:$A$24,0)),"OK","Mismatch")</f>
        <v>OK</v>
      </c>
      <c r="I2163" s="39" t="str">
        <f aca="false">IF(COUNTIF($A$5:A2163,A2163)&gt;1,"Duplicate","Unique")</f>
        <v>Unique</v>
      </c>
      <c r="J2163" s="39" t="str">
        <f aca="false">IF(I2163="Duplicate","Remove",IF(H2163="Mismatch","Exclude","Keep"))</f>
        <v>Keep</v>
      </c>
    </row>
    <row r="2164" customFormat="false" ht="15" hidden="false" customHeight="false" outlineLevel="0" collapsed="false">
      <c r="A2164" s="39" t="s">
        <v>2225</v>
      </c>
      <c r="B2164" s="40" t="n">
        <v>45942</v>
      </c>
      <c r="C2164" s="39" t="s">
        <v>183</v>
      </c>
      <c r="D2164" s="39" t="n">
        <v>6</v>
      </c>
      <c r="E2164" s="41" t="n">
        <v>178.76</v>
      </c>
      <c r="F2164" s="39" t="s">
        <v>115</v>
      </c>
      <c r="G2164" s="39" t="str">
        <f aca="false">UPPER(TRIM(C2164))</f>
        <v>P007</v>
      </c>
      <c r="H2164" s="39" t="str">
        <f aca="false">IF(ISNUMBER(MATCH(G2164,Products!$A$5:$A$24,0)),"OK","Mismatch")</f>
        <v>OK</v>
      </c>
      <c r="I2164" s="39" t="str">
        <f aca="false">IF(COUNTIF($A$5:A2164,A2164)&gt;1,"Duplicate","Unique")</f>
        <v>Unique</v>
      </c>
      <c r="J2164" s="39" t="str">
        <f aca="false">IF(I2164="Duplicate","Remove",IF(H2164="Mismatch","Exclude","Keep"))</f>
        <v>Keep</v>
      </c>
    </row>
    <row r="2165" customFormat="false" ht="15" hidden="false" customHeight="false" outlineLevel="0" collapsed="false">
      <c r="A2165" s="39" t="s">
        <v>2226</v>
      </c>
      <c r="B2165" s="40" t="n">
        <v>45942</v>
      </c>
      <c r="C2165" s="39" t="s">
        <v>139</v>
      </c>
      <c r="D2165" s="39" t="n">
        <v>1</v>
      </c>
      <c r="E2165" s="41" t="n">
        <v>121.95</v>
      </c>
      <c r="F2165" s="39" t="s">
        <v>105</v>
      </c>
      <c r="G2165" s="39" t="str">
        <f aca="false">UPPER(TRIM(C2165))</f>
        <v>P006</v>
      </c>
      <c r="H2165" s="39" t="str">
        <f aca="false">IF(ISNUMBER(MATCH(G2165,Products!$A$5:$A$24,0)),"OK","Mismatch")</f>
        <v>OK</v>
      </c>
      <c r="I2165" s="39" t="str">
        <f aca="false">IF(COUNTIF($A$5:A2165,A2165)&gt;1,"Duplicate","Unique")</f>
        <v>Unique</v>
      </c>
      <c r="J2165" s="39" t="str">
        <f aca="false">IF(I2165="Duplicate","Remove",IF(H2165="Mismatch","Exclude","Keep"))</f>
        <v>Keep</v>
      </c>
    </row>
    <row r="2166" customFormat="false" ht="15" hidden="false" customHeight="false" outlineLevel="0" collapsed="false">
      <c r="A2166" s="39" t="s">
        <v>2227</v>
      </c>
      <c r="B2166" s="40" t="n">
        <v>45942</v>
      </c>
      <c r="C2166" s="39" t="s">
        <v>177</v>
      </c>
      <c r="D2166" s="39" t="n">
        <v>2</v>
      </c>
      <c r="E2166" s="41" t="n">
        <v>42.37</v>
      </c>
      <c r="F2166" s="39" t="s">
        <v>105</v>
      </c>
      <c r="G2166" s="39" t="str">
        <f aca="false">UPPER(TRIM(C2166))</f>
        <v>P014</v>
      </c>
      <c r="H2166" s="39" t="str">
        <f aca="false">IF(ISNUMBER(MATCH(G2166,Products!$A$5:$A$24,0)),"OK","Mismatch")</f>
        <v>OK</v>
      </c>
      <c r="I2166" s="39" t="str">
        <f aca="false">IF(COUNTIF($A$5:A2166,A2166)&gt;1,"Duplicate","Unique")</f>
        <v>Unique</v>
      </c>
      <c r="J2166" s="39" t="str">
        <f aca="false">IF(I2166="Duplicate","Remove",IF(H2166="Mismatch","Exclude","Keep"))</f>
        <v>Keep</v>
      </c>
    </row>
    <row r="2167" customFormat="false" ht="15" hidden="false" customHeight="false" outlineLevel="0" collapsed="false">
      <c r="A2167" s="39" t="s">
        <v>2228</v>
      </c>
      <c r="B2167" s="40" t="n">
        <v>45942</v>
      </c>
      <c r="C2167" s="39" t="s">
        <v>130</v>
      </c>
      <c r="D2167" s="39" t="n">
        <v>1</v>
      </c>
      <c r="E2167" s="41" t="n">
        <v>8.88</v>
      </c>
      <c r="F2167" s="39" t="s">
        <v>108</v>
      </c>
      <c r="G2167" s="39" t="str">
        <f aca="false">UPPER(TRIM(C2167))</f>
        <v>P011</v>
      </c>
      <c r="H2167" s="39" t="str">
        <f aca="false">IF(ISNUMBER(MATCH(G2167,Products!$A$5:$A$24,0)),"OK","Mismatch")</f>
        <v>OK</v>
      </c>
      <c r="I2167" s="39" t="str">
        <f aca="false">IF(COUNTIF($A$5:A2167,A2167)&gt;1,"Duplicate","Unique")</f>
        <v>Unique</v>
      </c>
      <c r="J2167" s="39" t="str">
        <f aca="false">IF(I2167="Duplicate","Remove",IF(H2167="Mismatch","Exclude","Keep"))</f>
        <v>Keep</v>
      </c>
    </row>
    <row r="2168" customFormat="false" ht="15" hidden="false" customHeight="false" outlineLevel="0" collapsed="false">
      <c r="A2168" s="39" t="s">
        <v>2229</v>
      </c>
      <c r="B2168" s="40" t="n">
        <v>45942</v>
      </c>
      <c r="C2168" s="39" t="s">
        <v>169</v>
      </c>
      <c r="D2168" s="39" t="n">
        <v>5</v>
      </c>
      <c r="E2168" s="41" t="n">
        <v>28.73</v>
      </c>
      <c r="F2168" s="39" t="s">
        <v>108</v>
      </c>
      <c r="G2168" s="39" t="str">
        <f aca="false">UPPER(TRIM(C2168))</f>
        <v>P004</v>
      </c>
      <c r="H2168" s="39" t="str">
        <f aca="false">IF(ISNUMBER(MATCH(G2168,Products!$A$5:$A$24,0)),"OK","Mismatch")</f>
        <v>OK</v>
      </c>
      <c r="I2168" s="39" t="str">
        <f aca="false">IF(COUNTIF($A$5:A2168,A2168)&gt;1,"Duplicate","Unique")</f>
        <v>Unique</v>
      </c>
      <c r="J2168" s="39" t="str">
        <f aca="false">IF(I2168="Duplicate","Remove",IF(H2168="Mismatch","Exclude","Keep"))</f>
        <v>Keep</v>
      </c>
    </row>
    <row r="2169" customFormat="false" ht="15" hidden="false" customHeight="false" outlineLevel="0" collapsed="false">
      <c r="A2169" s="39" t="s">
        <v>2230</v>
      </c>
      <c r="B2169" s="40" t="n">
        <v>45942</v>
      </c>
      <c r="C2169" s="39" t="s">
        <v>139</v>
      </c>
      <c r="D2169" s="39" t="n">
        <v>6</v>
      </c>
      <c r="E2169" s="41" t="n">
        <v>120.74</v>
      </c>
      <c r="F2169" s="39" t="s">
        <v>115</v>
      </c>
      <c r="G2169" s="39" t="str">
        <f aca="false">UPPER(TRIM(C2169))</f>
        <v>P006</v>
      </c>
      <c r="H2169" s="39" t="str">
        <f aca="false">IF(ISNUMBER(MATCH(G2169,Products!$A$5:$A$24,0)),"OK","Mismatch")</f>
        <v>OK</v>
      </c>
      <c r="I2169" s="39" t="str">
        <f aca="false">IF(COUNTIF($A$5:A2169,A2169)&gt;1,"Duplicate","Unique")</f>
        <v>Unique</v>
      </c>
      <c r="J2169" s="39" t="str">
        <f aca="false">IF(I2169="Duplicate","Remove",IF(H2169="Mismatch","Exclude","Keep"))</f>
        <v>Keep</v>
      </c>
    </row>
    <row r="2170" customFormat="false" ht="15" hidden="false" customHeight="false" outlineLevel="0" collapsed="false">
      <c r="A2170" s="39" t="s">
        <v>2231</v>
      </c>
      <c r="B2170" s="40" t="n">
        <v>45943</v>
      </c>
      <c r="C2170" s="39" t="s">
        <v>126</v>
      </c>
      <c r="D2170" s="39" t="n">
        <v>5</v>
      </c>
      <c r="E2170" s="41" t="n">
        <v>24.04</v>
      </c>
      <c r="F2170" s="39" t="s">
        <v>108</v>
      </c>
      <c r="G2170" s="39" t="str">
        <f aca="false">UPPER(TRIM(C2170))</f>
        <v>P001</v>
      </c>
      <c r="H2170" s="39" t="str">
        <f aca="false">IF(ISNUMBER(MATCH(G2170,Products!$A$5:$A$24,0)),"OK","Mismatch")</f>
        <v>OK</v>
      </c>
      <c r="I2170" s="39" t="str">
        <f aca="false">IF(COUNTIF($A$5:A2170,A2170)&gt;1,"Duplicate","Unique")</f>
        <v>Unique</v>
      </c>
      <c r="J2170" s="39" t="str">
        <f aca="false">IF(I2170="Duplicate","Remove",IF(H2170="Mismatch","Exclude","Keep"))</f>
        <v>Keep</v>
      </c>
    </row>
    <row r="2171" customFormat="false" ht="15" hidden="false" customHeight="false" outlineLevel="0" collapsed="false">
      <c r="A2171" s="39" t="s">
        <v>2232</v>
      </c>
      <c r="B2171" s="40" t="n">
        <v>45943</v>
      </c>
      <c r="C2171" s="39" t="s">
        <v>144</v>
      </c>
      <c r="D2171" s="39" t="n">
        <v>3</v>
      </c>
      <c r="E2171" s="41" t="n">
        <v>57.17</v>
      </c>
      <c r="F2171" s="39" t="s">
        <v>105</v>
      </c>
      <c r="G2171" s="39" t="str">
        <f aca="false">UPPER(TRIM(C2171))</f>
        <v>P013</v>
      </c>
      <c r="H2171" s="39" t="str">
        <f aca="false">IF(ISNUMBER(MATCH(G2171,Products!$A$5:$A$24,0)),"OK","Mismatch")</f>
        <v>OK</v>
      </c>
      <c r="I2171" s="39" t="str">
        <f aca="false">IF(COUNTIF($A$5:A2171,A2171)&gt;1,"Duplicate","Unique")</f>
        <v>Unique</v>
      </c>
      <c r="J2171" s="39" t="str">
        <f aca="false">IF(I2171="Duplicate","Remove",IF(H2171="Mismatch","Exclude","Keep"))</f>
        <v>Keep</v>
      </c>
    </row>
    <row r="2172" customFormat="false" ht="15" hidden="false" customHeight="false" outlineLevel="0" collapsed="false">
      <c r="A2172" s="39" t="s">
        <v>2233</v>
      </c>
      <c r="B2172" s="40" t="n">
        <v>45943</v>
      </c>
      <c r="C2172" s="39" t="s">
        <v>139</v>
      </c>
      <c r="D2172" s="39" t="n">
        <v>1</v>
      </c>
      <c r="E2172" s="41" t="n">
        <v>120.44</v>
      </c>
      <c r="F2172" s="39" t="s">
        <v>105</v>
      </c>
      <c r="G2172" s="39" t="str">
        <f aca="false">UPPER(TRIM(C2172))</f>
        <v>P006</v>
      </c>
      <c r="H2172" s="39" t="str">
        <f aca="false">IF(ISNUMBER(MATCH(G2172,Products!$A$5:$A$24,0)),"OK","Mismatch")</f>
        <v>OK</v>
      </c>
      <c r="I2172" s="39" t="str">
        <f aca="false">IF(COUNTIF($A$5:A2172,A2172)&gt;1,"Duplicate","Unique")</f>
        <v>Unique</v>
      </c>
      <c r="J2172" s="39" t="str">
        <f aca="false">IF(I2172="Duplicate","Remove",IF(H2172="Mismatch","Exclude","Keep"))</f>
        <v>Keep</v>
      </c>
    </row>
    <row r="2173" customFormat="false" ht="15" hidden="false" customHeight="false" outlineLevel="0" collapsed="false">
      <c r="A2173" s="39" t="s">
        <v>2234</v>
      </c>
      <c r="B2173" s="40" t="n">
        <v>45943</v>
      </c>
      <c r="C2173" s="39" t="s">
        <v>183</v>
      </c>
      <c r="D2173" s="39" t="n">
        <v>3</v>
      </c>
      <c r="E2173" s="41" t="n">
        <v>177.75</v>
      </c>
      <c r="F2173" s="39" t="s">
        <v>118</v>
      </c>
      <c r="G2173" s="39" t="str">
        <f aca="false">UPPER(TRIM(C2173))</f>
        <v>P007</v>
      </c>
      <c r="H2173" s="39" t="str">
        <f aca="false">IF(ISNUMBER(MATCH(G2173,Products!$A$5:$A$24,0)),"OK","Mismatch")</f>
        <v>OK</v>
      </c>
      <c r="I2173" s="39" t="str">
        <f aca="false">IF(COUNTIF($A$5:A2173,A2173)&gt;1,"Duplicate","Unique")</f>
        <v>Unique</v>
      </c>
      <c r="J2173" s="39" t="str">
        <f aca="false">IF(I2173="Duplicate","Remove",IF(H2173="Mismatch","Exclude","Keep"))</f>
        <v>Keep</v>
      </c>
    </row>
    <row r="2174" customFormat="false" ht="15" hidden="false" customHeight="false" outlineLevel="0" collapsed="false">
      <c r="A2174" s="39" t="s">
        <v>2235</v>
      </c>
      <c r="B2174" s="40" t="n">
        <v>45943</v>
      </c>
      <c r="C2174" s="39" t="s">
        <v>162</v>
      </c>
      <c r="D2174" s="39" t="n">
        <v>4</v>
      </c>
      <c r="E2174" s="41" t="n">
        <v>67.14</v>
      </c>
      <c r="F2174" s="39" t="s">
        <v>118</v>
      </c>
      <c r="G2174" s="39" t="str">
        <f aca="false">UPPER(TRIM(C2174))</f>
        <v>P017</v>
      </c>
      <c r="H2174" s="39" t="str">
        <f aca="false">IF(ISNUMBER(MATCH(G2174,Products!$A$5:$A$24,0)),"OK","Mismatch")</f>
        <v>OK</v>
      </c>
      <c r="I2174" s="39" t="str">
        <f aca="false">IF(COUNTIF($A$5:A2174,A2174)&gt;1,"Duplicate","Unique")</f>
        <v>Unique</v>
      </c>
      <c r="J2174" s="39" t="str">
        <f aca="false">IF(I2174="Duplicate","Remove",IF(H2174="Mismatch","Exclude","Keep"))</f>
        <v>Keep</v>
      </c>
    </row>
    <row r="2175" customFormat="false" ht="15" hidden="false" customHeight="false" outlineLevel="0" collapsed="false">
      <c r="A2175" s="39" t="s">
        <v>2236</v>
      </c>
      <c r="B2175" s="40" t="n">
        <v>45943</v>
      </c>
      <c r="C2175" s="39" t="s">
        <v>162</v>
      </c>
      <c r="D2175" s="39" t="n">
        <v>4</v>
      </c>
      <c r="E2175" s="41" t="n">
        <v>66.48</v>
      </c>
      <c r="F2175" s="39" t="s">
        <v>108</v>
      </c>
      <c r="G2175" s="39" t="str">
        <f aca="false">UPPER(TRIM(C2175))</f>
        <v>P017</v>
      </c>
      <c r="H2175" s="39" t="str">
        <f aca="false">IF(ISNUMBER(MATCH(G2175,Products!$A$5:$A$24,0)),"OK","Mismatch")</f>
        <v>OK</v>
      </c>
      <c r="I2175" s="39" t="str">
        <f aca="false">IF(COUNTIF($A$5:A2175,A2175)&gt;1,"Duplicate","Unique")</f>
        <v>Unique</v>
      </c>
      <c r="J2175" s="39" t="str">
        <f aca="false">IF(I2175="Duplicate","Remove",IF(H2175="Mismatch","Exclude","Keep"))</f>
        <v>Keep</v>
      </c>
    </row>
    <row r="2176" customFormat="false" ht="15" hidden="false" customHeight="false" outlineLevel="0" collapsed="false">
      <c r="A2176" s="39" t="s">
        <v>2237</v>
      </c>
      <c r="B2176" s="40" t="n">
        <v>45943</v>
      </c>
      <c r="C2176" s="39" t="s">
        <v>104</v>
      </c>
      <c r="D2176" s="39" t="n">
        <v>6</v>
      </c>
      <c r="E2176" s="41" t="n">
        <v>15.62</v>
      </c>
      <c r="F2176" s="39" t="s">
        <v>118</v>
      </c>
      <c r="G2176" s="39" t="str">
        <f aca="false">UPPER(TRIM(C2176))</f>
        <v>P015</v>
      </c>
      <c r="H2176" s="39" t="str">
        <f aca="false">IF(ISNUMBER(MATCH(G2176,Products!$A$5:$A$24,0)),"OK","Mismatch")</f>
        <v>OK</v>
      </c>
      <c r="I2176" s="39" t="str">
        <f aca="false">IF(COUNTIF($A$5:A2176,A2176)&gt;1,"Duplicate","Unique")</f>
        <v>Unique</v>
      </c>
      <c r="J2176" s="39" t="str">
        <f aca="false">IF(I2176="Duplicate","Remove",IF(H2176="Mismatch","Exclude","Keep"))</f>
        <v>Keep</v>
      </c>
    </row>
    <row r="2177" customFormat="false" ht="15" hidden="false" customHeight="false" outlineLevel="0" collapsed="false">
      <c r="A2177" s="39" t="s">
        <v>2238</v>
      </c>
      <c r="B2177" s="40" t="n">
        <v>45943</v>
      </c>
      <c r="C2177" s="39" t="s">
        <v>114</v>
      </c>
      <c r="D2177" s="39" t="n">
        <v>1</v>
      </c>
      <c r="E2177" s="41" t="n">
        <v>5.86</v>
      </c>
      <c r="F2177" s="39" t="s">
        <v>118</v>
      </c>
      <c r="G2177" s="39" t="str">
        <f aca="false">UPPER(TRIM(C2177))</f>
        <v>P012</v>
      </c>
      <c r="H2177" s="39" t="str">
        <f aca="false">IF(ISNUMBER(MATCH(G2177,Products!$A$5:$A$24,0)),"OK","Mismatch")</f>
        <v>OK</v>
      </c>
      <c r="I2177" s="39" t="str">
        <f aca="false">IF(COUNTIF($A$5:A2177,A2177)&gt;1,"Duplicate","Unique")</f>
        <v>Unique</v>
      </c>
      <c r="J2177" s="39" t="str">
        <f aca="false">IF(I2177="Duplicate","Remove",IF(H2177="Mismatch","Exclude","Keep"))</f>
        <v>Keep</v>
      </c>
    </row>
    <row r="2178" customFormat="false" ht="15" hidden="false" customHeight="false" outlineLevel="0" collapsed="false">
      <c r="A2178" s="39" t="s">
        <v>2239</v>
      </c>
      <c r="B2178" s="40" t="n">
        <v>45943</v>
      </c>
      <c r="C2178" s="39" t="s">
        <v>112</v>
      </c>
      <c r="D2178" s="39" t="n">
        <v>2</v>
      </c>
      <c r="E2178" s="41" t="n">
        <v>53.84</v>
      </c>
      <c r="F2178" s="39" t="s">
        <v>115</v>
      </c>
      <c r="G2178" s="39" t="str">
        <f aca="false">UPPER(TRIM(C2178))</f>
        <v>P005</v>
      </c>
      <c r="H2178" s="39" t="str">
        <f aca="false">IF(ISNUMBER(MATCH(G2178,Products!$A$5:$A$24,0)),"OK","Mismatch")</f>
        <v>OK</v>
      </c>
      <c r="I2178" s="39" t="str">
        <f aca="false">IF(COUNTIF($A$5:A2178,A2178)&gt;1,"Duplicate","Unique")</f>
        <v>Unique</v>
      </c>
      <c r="J2178" s="39" t="str">
        <f aca="false">IF(I2178="Duplicate","Remove",IF(H2178="Mismatch","Exclude","Keep"))</f>
        <v>Keep</v>
      </c>
    </row>
    <row r="2179" customFormat="false" ht="15" hidden="false" customHeight="false" outlineLevel="0" collapsed="false">
      <c r="A2179" s="39" t="s">
        <v>2240</v>
      </c>
      <c r="B2179" s="40" t="n">
        <v>45943</v>
      </c>
      <c r="C2179" s="39" t="s">
        <v>117</v>
      </c>
      <c r="D2179" s="39" t="n">
        <v>1</v>
      </c>
      <c r="E2179" s="41" t="n">
        <v>30.18</v>
      </c>
      <c r="F2179" s="39" t="s">
        <v>105</v>
      </c>
      <c r="G2179" s="39" t="str">
        <f aca="false">UPPER(TRIM(C2179))</f>
        <v>P009</v>
      </c>
      <c r="H2179" s="39" t="str">
        <f aca="false">IF(ISNUMBER(MATCH(G2179,Products!$A$5:$A$24,0)),"OK","Mismatch")</f>
        <v>OK</v>
      </c>
      <c r="I2179" s="39" t="str">
        <f aca="false">IF(COUNTIF($A$5:A2179,A2179)&gt;1,"Duplicate","Unique")</f>
        <v>Unique</v>
      </c>
      <c r="J2179" s="39" t="str">
        <f aca="false">IF(I2179="Duplicate","Remove",IF(H2179="Mismatch","Exclude","Keep"))</f>
        <v>Keep</v>
      </c>
    </row>
    <row r="2180" customFormat="false" ht="15" hidden="false" customHeight="false" outlineLevel="0" collapsed="false">
      <c r="A2180" s="39" t="s">
        <v>2241</v>
      </c>
      <c r="B2180" s="40" t="n">
        <v>45943</v>
      </c>
      <c r="C2180" s="39" t="s">
        <v>177</v>
      </c>
      <c r="D2180" s="39" t="n">
        <v>1</v>
      </c>
      <c r="E2180" s="41" t="n">
        <v>43.91</v>
      </c>
      <c r="F2180" s="39" t="s">
        <v>115</v>
      </c>
      <c r="G2180" s="39" t="str">
        <f aca="false">UPPER(TRIM(C2180))</f>
        <v>P014</v>
      </c>
      <c r="H2180" s="39" t="str">
        <f aca="false">IF(ISNUMBER(MATCH(G2180,Products!$A$5:$A$24,0)),"OK","Mismatch")</f>
        <v>OK</v>
      </c>
      <c r="I2180" s="39" t="str">
        <f aca="false">IF(COUNTIF($A$5:A2180,A2180)&gt;1,"Duplicate","Unique")</f>
        <v>Unique</v>
      </c>
      <c r="J2180" s="39" t="str">
        <f aca="false">IF(I2180="Duplicate","Remove",IF(H2180="Mismatch","Exclude","Keep"))</f>
        <v>Keep</v>
      </c>
    </row>
    <row r="2181" customFormat="false" ht="15" hidden="false" customHeight="false" outlineLevel="0" collapsed="false">
      <c r="A2181" s="39" t="s">
        <v>2242</v>
      </c>
      <c r="B2181" s="40" t="n">
        <v>45944</v>
      </c>
      <c r="C2181" s="39" t="s">
        <v>162</v>
      </c>
      <c r="D2181" s="39" t="n">
        <v>5</v>
      </c>
      <c r="E2181" s="41" t="n">
        <v>68.42</v>
      </c>
      <c r="F2181" s="39" t="s">
        <v>118</v>
      </c>
      <c r="G2181" s="39" t="str">
        <f aca="false">UPPER(TRIM(C2181))</f>
        <v>P017</v>
      </c>
      <c r="H2181" s="39" t="str">
        <f aca="false">IF(ISNUMBER(MATCH(G2181,Products!$A$5:$A$24,0)),"OK","Mismatch")</f>
        <v>OK</v>
      </c>
      <c r="I2181" s="39" t="str">
        <f aca="false">IF(COUNTIF($A$5:A2181,A2181)&gt;1,"Duplicate","Unique")</f>
        <v>Unique</v>
      </c>
      <c r="J2181" s="39" t="str">
        <f aca="false">IF(I2181="Duplicate","Remove",IF(H2181="Mismatch","Exclude","Keep"))</f>
        <v>Keep</v>
      </c>
    </row>
    <row r="2182" customFormat="false" ht="15" hidden="false" customHeight="false" outlineLevel="0" collapsed="false">
      <c r="A2182" s="39" t="s">
        <v>2243</v>
      </c>
      <c r="B2182" s="40" t="n">
        <v>45944</v>
      </c>
      <c r="C2182" s="39" t="s">
        <v>130</v>
      </c>
      <c r="D2182" s="39" t="n">
        <v>2</v>
      </c>
      <c r="E2182" s="41" t="n">
        <v>8.53</v>
      </c>
      <c r="F2182" s="39" t="s">
        <v>115</v>
      </c>
      <c r="G2182" s="39" t="str">
        <f aca="false">UPPER(TRIM(C2182))</f>
        <v>P011</v>
      </c>
      <c r="H2182" s="39" t="str">
        <f aca="false">IF(ISNUMBER(MATCH(G2182,Products!$A$5:$A$24,0)),"OK","Mismatch")</f>
        <v>OK</v>
      </c>
      <c r="I2182" s="39" t="str">
        <f aca="false">IF(COUNTIF($A$5:A2182,A2182)&gt;1,"Duplicate","Unique")</f>
        <v>Unique</v>
      </c>
      <c r="J2182" s="39" t="str">
        <f aca="false">IF(I2182="Duplicate","Remove",IF(H2182="Mismatch","Exclude","Keep"))</f>
        <v>Keep</v>
      </c>
    </row>
    <row r="2183" customFormat="false" ht="15" hidden="false" customHeight="false" outlineLevel="0" collapsed="false">
      <c r="A2183" s="39" t="s">
        <v>2244</v>
      </c>
      <c r="B2183" s="40" t="n">
        <v>45944</v>
      </c>
      <c r="C2183" s="39" t="s">
        <v>3158</v>
      </c>
      <c r="D2183" s="39" t="n">
        <v>3</v>
      </c>
      <c r="E2183" s="41" t="n">
        <v>52.56</v>
      </c>
      <c r="F2183" s="39" t="s">
        <v>105</v>
      </c>
      <c r="G2183" s="39" t="str">
        <f aca="false">UPPER(TRIM(C2183))</f>
        <v>P005</v>
      </c>
      <c r="H2183" s="39" t="str">
        <f aca="false">IF(ISNUMBER(MATCH(G2183,Products!$A$5:$A$24,0)),"OK","Mismatch")</f>
        <v>OK</v>
      </c>
      <c r="I2183" s="39" t="str">
        <f aca="false">IF(COUNTIF($A$5:A2183,A2183)&gt;1,"Duplicate","Unique")</f>
        <v>Unique</v>
      </c>
      <c r="J2183" s="39" t="str">
        <f aca="false">IF(I2183="Duplicate","Remove",IF(H2183="Mismatch","Exclude","Keep"))</f>
        <v>Keep</v>
      </c>
    </row>
    <row r="2184" customFormat="false" ht="15" hidden="false" customHeight="false" outlineLevel="0" collapsed="false">
      <c r="A2184" s="39" t="s">
        <v>2245</v>
      </c>
      <c r="B2184" s="40" t="n">
        <v>45944</v>
      </c>
      <c r="C2184" s="39" t="s">
        <v>133</v>
      </c>
      <c r="D2184" s="39" t="n">
        <v>3</v>
      </c>
      <c r="E2184" s="41" t="n">
        <v>8.5</v>
      </c>
      <c r="F2184" s="39" t="s">
        <v>115</v>
      </c>
      <c r="G2184" s="39" t="str">
        <f aca="false">UPPER(TRIM(C2184))</f>
        <v>P019</v>
      </c>
      <c r="H2184" s="39" t="str">
        <f aca="false">IF(ISNUMBER(MATCH(G2184,Products!$A$5:$A$24,0)),"OK","Mismatch")</f>
        <v>OK</v>
      </c>
      <c r="I2184" s="39" t="str">
        <f aca="false">IF(COUNTIF($A$5:A2184,A2184)&gt;1,"Duplicate","Unique")</f>
        <v>Unique</v>
      </c>
      <c r="J2184" s="39" t="str">
        <f aca="false">IF(I2184="Duplicate","Remove",IF(H2184="Mismatch","Exclude","Keep"))</f>
        <v>Keep</v>
      </c>
    </row>
    <row r="2185" customFormat="false" ht="15" hidden="false" customHeight="false" outlineLevel="0" collapsed="false">
      <c r="A2185" s="39" t="s">
        <v>2246</v>
      </c>
      <c r="B2185" s="40" t="n">
        <v>45944</v>
      </c>
      <c r="C2185" s="39" t="s">
        <v>114</v>
      </c>
      <c r="D2185" s="39" t="n">
        <v>5</v>
      </c>
      <c r="E2185" s="41" t="n">
        <v>5.57</v>
      </c>
      <c r="F2185" s="39" t="s">
        <v>105</v>
      </c>
      <c r="G2185" s="39" t="str">
        <f aca="false">UPPER(TRIM(C2185))</f>
        <v>P012</v>
      </c>
      <c r="H2185" s="39" t="str">
        <f aca="false">IF(ISNUMBER(MATCH(G2185,Products!$A$5:$A$24,0)),"OK","Mismatch")</f>
        <v>OK</v>
      </c>
      <c r="I2185" s="39" t="str">
        <f aca="false">IF(COUNTIF($A$5:A2185,A2185)&gt;1,"Duplicate","Unique")</f>
        <v>Unique</v>
      </c>
      <c r="J2185" s="39" t="str">
        <f aca="false">IF(I2185="Duplicate","Remove",IF(H2185="Mismatch","Exclude","Keep"))</f>
        <v>Keep</v>
      </c>
    </row>
    <row r="2186" customFormat="false" ht="15" hidden="false" customHeight="false" outlineLevel="0" collapsed="false">
      <c r="A2186" s="39" t="s">
        <v>2247</v>
      </c>
      <c r="B2186" s="40" t="n">
        <v>45944</v>
      </c>
      <c r="C2186" s="39" t="s">
        <v>3157</v>
      </c>
      <c r="D2186" s="39" t="n">
        <v>1</v>
      </c>
      <c r="E2186" s="41" t="n">
        <v>15.61</v>
      </c>
      <c r="F2186" s="39" t="s">
        <v>108</v>
      </c>
      <c r="G2186" s="39" t="str">
        <f aca="false">UPPER(TRIM(C2186))</f>
        <v>P015</v>
      </c>
      <c r="H2186" s="39" t="str">
        <f aca="false">IF(ISNUMBER(MATCH(G2186,Products!$A$5:$A$24,0)),"OK","Mismatch")</f>
        <v>OK</v>
      </c>
      <c r="I2186" s="39" t="str">
        <f aca="false">IF(COUNTIF($A$5:A2186,A2186)&gt;1,"Duplicate","Unique")</f>
        <v>Unique</v>
      </c>
      <c r="J2186" s="39" t="str">
        <f aca="false">IF(I2186="Duplicate","Remove",IF(H2186="Mismatch","Exclude","Keep"))</f>
        <v>Keep</v>
      </c>
    </row>
    <row r="2187" customFormat="false" ht="15" hidden="false" customHeight="false" outlineLevel="0" collapsed="false">
      <c r="A2187" s="39" t="s">
        <v>2248</v>
      </c>
      <c r="B2187" s="40" t="n">
        <v>45944</v>
      </c>
      <c r="C2187" s="39" t="s">
        <v>305</v>
      </c>
      <c r="D2187" s="39" t="n">
        <v>2</v>
      </c>
      <c r="E2187" s="41" t="n">
        <v>343.78</v>
      </c>
      <c r="F2187" s="39" t="s">
        <v>108</v>
      </c>
      <c r="G2187" s="39" t="str">
        <f aca="false">UPPER(TRIM(C2187))</f>
        <v>P008</v>
      </c>
      <c r="H2187" s="39" t="str">
        <f aca="false">IF(ISNUMBER(MATCH(G2187,Products!$A$5:$A$24,0)),"OK","Mismatch")</f>
        <v>OK</v>
      </c>
      <c r="I2187" s="39" t="str">
        <f aca="false">IF(COUNTIF($A$5:A2187,A2187)&gt;1,"Duplicate","Unique")</f>
        <v>Unique</v>
      </c>
      <c r="J2187" s="39" t="str">
        <f aca="false">IF(I2187="Duplicate","Remove",IF(H2187="Mismatch","Exclude","Keep"))</f>
        <v>Keep</v>
      </c>
    </row>
    <row r="2188" customFormat="false" ht="15" hidden="false" customHeight="false" outlineLevel="0" collapsed="false">
      <c r="A2188" s="39" t="s">
        <v>2249</v>
      </c>
      <c r="B2188" s="40" t="n">
        <v>45945</v>
      </c>
      <c r="C2188" s="39" t="s">
        <v>114</v>
      </c>
      <c r="D2188" s="39" t="n">
        <v>1</v>
      </c>
      <c r="E2188" s="41" t="n">
        <v>5.57</v>
      </c>
      <c r="F2188" s="39" t="s">
        <v>118</v>
      </c>
      <c r="G2188" s="39" t="str">
        <f aca="false">UPPER(TRIM(C2188))</f>
        <v>P012</v>
      </c>
      <c r="H2188" s="39" t="str">
        <f aca="false">IF(ISNUMBER(MATCH(G2188,Products!$A$5:$A$24,0)),"OK","Mismatch")</f>
        <v>OK</v>
      </c>
      <c r="I2188" s="39" t="str">
        <f aca="false">IF(COUNTIF($A$5:A2188,A2188)&gt;1,"Duplicate","Unique")</f>
        <v>Unique</v>
      </c>
      <c r="J2188" s="39" t="str">
        <f aca="false">IF(I2188="Duplicate","Remove",IF(H2188="Mismatch","Exclude","Keep"))</f>
        <v>Keep</v>
      </c>
    </row>
    <row r="2189" customFormat="false" ht="15" hidden="false" customHeight="false" outlineLevel="0" collapsed="false">
      <c r="A2189" s="39" t="s">
        <v>2250</v>
      </c>
      <c r="B2189" s="40" t="n">
        <v>45945</v>
      </c>
      <c r="C2189" s="39" t="s">
        <v>130</v>
      </c>
      <c r="D2189" s="39" t="n">
        <v>5</v>
      </c>
      <c r="E2189" s="41" t="n">
        <v>8.53</v>
      </c>
      <c r="F2189" s="39" t="s">
        <v>105</v>
      </c>
      <c r="G2189" s="39" t="str">
        <f aca="false">UPPER(TRIM(C2189))</f>
        <v>P011</v>
      </c>
      <c r="H2189" s="39" t="str">
        <f aca="false">IF(ISNUMBER(MATCH(G2189,Products!$A$5:$A$24,0)),"OK","Mismatch")</f>
        <v>OK</v>
      </c>
      <c r="I2189" s="39" t="str">
        <f aca="false">IF(COUNTIF($A$5:A2189,A2189)&gt;1,"Duplicate","Unique")</f>
        <v>Unique</v>
      </c>
      <c r="J2189" s="39" t="str">
        <f aca="false">IF(I2189="Duplicate","Remove",IF(H2189="Mismatch","Exclude","Keep"))</f>
        <v>Keep</v>
      </c>
    </row>
    <row r="2190" customFormat="false" ht="15" hidden="false" customHeight="false" outlineLevel="0" collapsed="false">
      <c r="A2190" s="39" t="s">
        <v>2251</v>
      </c>
      <c r="B2190" s="40" t="n">
        <v>45945</v>
      </c>
      <c r="C2190" s="39" t="s">
        <v>126</v>
      </c>
      <c r="D2190" s="39" t="n">
        <v>5</v>
      </c>
      <c r="E2190" s="41" t="n">
        <v>23.05</v>
      </c>
      <c r="F2190" s="39" t="s">
        <v>105</v>
      </c>
      <c r="G2190" s="39" t="str">
        <f aca="false">UPPER(TRIM(C2190))</f>
        <v>P001</v>
      </c>
      <c r="H2190" s="39" t="str">
        <f aca="false">IF(ISNUMBER(MATCH(G2190,Products!$A$5:$A$24,0)),"OK","Mismatch")</f>
        <v>OK</v>
      </c>
      <c r="I2190" s="39" t="str">
        <f aca="false">IF(COUNTIF($A$5:A2190,A2190)&gt;1,"Duplicate","Unique")</f>
        <v>Unique</v>
      </c>
      <c r="J2190" s="39" t="str">
        <f aca="false">IF(I2190="Duplicate","Remove",IF(H2190="Mismatch","Exclude","Keep"))</f>
        <v>Keep</v>
      </c>
    </row>
    <row r="2191" customFormat="false" ht="15" hidden="false" customHeight="false" outlineLevel="0" collapsed="false">
      <c r="A2191" s="39" t="s">
        <v>2252</v>
      </c>
      <c r="B2191" s="40" t="n">
        <v>45945</v>
      </c>
      <c r="C2191" s="39" t="s">
        <v>177</v>
      </c>
      <c r="D2191" s="39" t="n">
        <v>1</v>
      </c>
      <c r="E2191" s="41" t="n">
        <v>44.05</v>
      </c>
      <c r="F2191" s="39" t="s">
        <v>105</v>
      </c>
      <c r="G2191" s="39" t="str">
        <f aca="false">UPPER(TRIM(C2191))</f>
        <v>P014</v>
      </c>
      <c r="H2191" s="39" t="str">
        <f aca="false">IF(ISNUMBER(MATCH(G2191,Products!$A$5:$A$24,0)),"OK","Mismatch")</f>
        <v>OK</v>
      </c>
      <c r="I2191" s="39" t="str">
        <f aca="false">IF(COUNTIF($A$5:A2191,A2191)&gt;1,"Duplicate","Unique")</f>
        <v>Unique</v>
      </c>
      <c r="J2191" s="39" t="str">
        <f aca="false">IF(I2191="Duplicate","Remove",IF(H2191="Mismatch","Exclude","Keep"))</f>
        <v>Keep</v>
      </c>
    </row>
    <row r="2192" customFormat="false" ht="15" hidden="false" customHeight="false" outlineLevel="0" collapsed="false">
      <c r="A2192" s="39" t="s">
        <v>2252</v>
      </c>
      <c r="B2192" s="40" t="n">
        <v>45945</v>
      </c>
      <c r="C2192" s="39" t="s">
        <v>177</v>
      </c>
      <c r="D2192" s="39" t="n">
        <v>1</v>
      </c>
      <c r="E2192" s="41" t="n">
        <v>44.05</v>
      </c>
      <c r="F2192" s="39" t="s">
        <v>105</v>
      </c>
      <c r="G2192" s="39" t="str">
        <f aca="false">UPPER(TRIM(C2192))</f>
        <v>P014</v>
      </c>
      <c r="H2192" s="39" t="str">
        <f aca="false">IF(ISNUMBER(MATCH(G2192,Products!$A$5:$A$24,0)),"OK","Mismatch")</f>
        <v>OK</v>
      </c>
      <c r="I2192" s="39" t="str">
        <f aca="false">IF(COUNTIF($A$5:A2192,A2192)&gt;1,"Duplicate","Unique")</f>
        <v>Duplicate</v>
      </c>
      <c r="J2192" s="39" t="str">
        <f aca="false">IF(I2192="Duplicate","Remove",IF(H2192="Mismatch","Exclude","Keep"))</f>
        <v>Remove</v>
      </c>
    </row>
    <row r="2193" customFormat="false" ht="15" hidden="false" customHeight="false" outlineLevel="0" collapsed="false">
      <c r="A2193" s="39" t="s">
        <v>2253</v>
      </c>
      <c r="B2193" s="40" t="n">
        <v>45945</v>
      </c>
      <c r="C2193" s="39" t="s">
        <v>177</v>
      </c>
      <c r="D2193" s="39" t="n">
        <v>5</v>
      </c>
      <c r="E2193" s="41" t="n">
        <v>42.91</v>
      </c>
      <c r="F2193" s="39" t="s">
        <v>105</v>
      </c>
      <c r="G2193" s="39" t="str">
        <f aca="false">UPPER(TRIM(C2193))</f>
        <v>P014</v>
      </c>
      <c r="H2193" s="39" t="str">
        <f aca="false">IF(ISNUMBER(MATCH(G2193,Products!$A$5:$A$24,0)),"OK","Mismatch")</f>
        <v>OK</v>
      </c>
      <c r="I2193" s="39" t="str">
        <f aca="false">IF(COUNTIF($A$5:A2193,A2193)&gt;1,"Duplicate","Unique")</f>
        <v>Unique</v>
      </c>
      <c r="J2193" s="39" t="str">
        <f aca="false">IF(I2193="Duplicate","Remove",IF(H2193="Mismatch","Exclude","Keep"))</f>
        <v>Keep</v>
      </c>
    </row>
    <row r="2194" customFormat="false" ht="15" hidden="false" customHeight="false" outlineLevel="0" collapsed="false">
      <c r="A2194" s="39" t="s">
        <v>2254</v>
      </c>
      <c r="B2194" s="40" t="n">
        <v>45945</v>
      </c>
      <c r="C2194" s="39" t="s">
        <v>121</v>
      </c>
      <c r="D2194" s="39" t="n">
        <v>1</v>
      </c>
      <c r="E2194" s="41" t="n">
        <v>114.15</v>
      </c>
      <c r="F2194" s="39" t="s">
        <v>118</v>
      </c>
      <c r="G2194" s="39" t="str">
        <f aca="false">UPPER(TRIM(C2194))</f>
        <v>P018</v>
      </c>
      <c r="H2194" s="39" t="str">
        <f aca="false">IF(ISNUMBER(MATCH(G2194,Products!$A$5:$A$24,0)),"OK","Mismatch")</f>
        <v>OK</v>
      </c>
      <c r="I2194" s="39" t="str">
        <f aca="false">IF(COUNTIF($A$5:A2194,A2194)&gt;1,"Duplicate","Unique")</f>
        <v>Unique</v>
      </c>
      <c r="J2194" s="39" t="str">
        <f aca="false">IF(I2194="Duplicate","Remove",IF(H2194="Mismatch","Exclude","Keep"))</f>
        <v>Keep</v>
      </c>
    </row>
    <row r="2195" customFormat="false" ht="15" hidden="false" customHeight="false" outlineLevel="0" collapsed="false">
      <c r="A2195" s="39" t="s">
        <v>2255</v>
      </c>
      <c r="B2195" s="40" t="n">
        <v>45945</v>
      </c>
      <c r="C2195" s="39" t="s">
        <v>162</v>
      </c>
      <c r="D2195" s="39" t="n">
        <v>2</v>
      </c>
      <c r="E2195" s="41" t="n">
        <v>65.88</v>
      </c>
      <c r="F2195" s="39" t="s">
        <v>105</v>
      </c>
      <c r="G2195" s="39" t="str">
        <f aca="false">UPPER(TRIM(C2195))</f>
        <v>P017</v>
      </c>
      <c r="H2195" s="39" t="str">
        <f aca="false">IF(ISNUMBER(MATCH(G2195,Products!$A$5:$A$24,0)),"OK","Mismatch")</f>
        <v>OK</v>
      </c>
      <c r="I2195" s="39" t="str">
        <f aca="false">IF(COUNTIF($A$5:A2195,A2195)&gt;1,"Duplicate","Unique")</f>
        <v>Unique</v>
      </c>
      <c r="J2195" s="39" t="str">
        <f aca="false">IF(I2195="Duplicate","Remove",IF(H2195="Mismatch","Exclude","Keep"))</f>
        <v>Keep</v>
      </c>
    </row>
    <row r="2196" customFormat="false" ht="15" hidden="false" customHeight="false" outlineLevel="0" collapsed="false">
      <c r="A2196" s="39" t="s">
        <v>2256</v>
      </c>
      <c r="B2196" s="40" t="n">
        <v>45945</v>
      </c>
      <c r="C2196" s="39" t="s">
        <v>130</v>
      </c>
      <c r="D2196" s="39" t="n">
        <v>2</v>
      </c>
      <c r="E2196" s="41" t="n">
        <v>8.32</v>
      </c>
      <c r="F2196" s="39" t="s">
        <v>115</v>
      </c>
      <c r="G2196" s="39" t="str">
        <f aca="false">UPPER(TRIM(C2196))</f>
        <v>P011</v>
      </c>
      <c r="H2196" s="39" t="str">
        <f aca="false">IF(ISNUMBER(MATCH(G2196,Products!$A$5:$A$24,0)),"OK","Mismatch")</f>
        <v>OK</v>
      </c>
      <c r="I2196" s="39" t="str">
        <f aca="false">IF(COUNTIF($A$5:A2196,A2196)&gt;1,"Duplicate","Unique")</f>
        <v>Unique</v>
      </c>
      <c r="J2196" s="39" t="str">
        <f aca="false">IF(I2196="Duplicate","Remove",IF(H2196="Mismatch","Exclude","Keep"))</f>
        <v>Keep</v>
      </c>
    </row>
    <row r="2197" customFormat="false" ht="15" hidden="false" customHeight="false" outlineLevel="0" collapsed="false">
      <c r="A2197" s="39" t="s">
        <v>2257</v>
      </c>
      <c r="B2197" s="40" t="n">
        <v>45945</v>
      </c>
      <c r="C2197" s="39" t="s">
        <v>114</v>
      </c>
      <c r="D2197" s="39" t="n">
        <v>5</v>
      </c>
      <c r="E2197" s="41" t="n">
        <v>5.98</v>
      </c>
      <c r="F2197" s="39" t="s">
        <v>108</v>
      </c>
      <c r="G2197" s="39" t="str">
        <f aca="false">UPPER(TRIM(C2197))</f>
        <v>P012</v>
      </c>
      <c r="H2197" s="39" t="str">
        <f aca="false">IF(ISNUMBER(MATCH(G2197,Products!$A$5:$A$24,0)),"OK","Mismatch")</f>
        <v>OK</v>
      </c>
      <c r="I2197" s="39" t="str">
        <f aca="false">IF(COUNTIF($A$5:A2197,A2197)&gt;1,"Duplicate","Unique")</f>
        <v>Unique</v>
      </c>
      <c r="J2197" s="39" t="str">
        <f aca="false">IF(I2197="Duplicate","Remove",IF(H2197="Mismatch","Exclude","Keep"))</f>
        <v>Keep</v>
      </c>
    </row>
    <row r="2198" customFormat="false" ht="15" hidden="false" customHeight="false" outlineLevel="0" collapsed="false">
      <c r="A2198" s="39" t="s">
        <v>2258</v>
      </c>
      <c r="B2198" s="40" t="n">
        <v>45946</v>
      </c>
      <c r="C2198" s="39" t="s">
        <v>136</v>
      </c>
      <c r="D2198" s="39" t="n">
        <v>5</v>
      </c>
      <c r="E2198" s="41" t="n">
        <v>76.88</v>
      </c>
      <c r="F2198" s="39" t="s">
        <v>118</v>
      </c>
      <c r="G2198" s="39" t="str">
        <f aca="false">UPPER(TRIM(C2198))</f>
        <v>P002</v>
      </c>
      <c r="H2198" s="39" t="str">
        <f aca="false">IF(ISNUMBER(MATCH(G2198,Products!$A$5:$A$24,0)),"OK","Mismatch")</f>
        <v>OK</v>
      </c>
      <c r="I2198" s="39" t="str">
        <f aca="false">IF(COUNTIF($A$5:A2198,A2198)&gt;1,"Duplicate","Unique")</f>
        <v>Unique</v>
      </c>
      <c r="J2198" s="39" t="str">
        <f aca="false">IF(I2198="Duplicate","Remove",IF(H2198="Mismatch","Exclude","Keep"))</f>
        <v>Keep</v>
      </c>
    </row>
    <row r="2199" customFormat="false" ht="15" hidden="false" customHeight="false" outlineLevel="0" collapsed="false">
      <c r="A2199" s="39" t="s">
        <v>2259</v>
      </c>
      <c r="B2199" s="40" t="n">
        <v>45946</v>
      </c>
      <c r="C2199" s="39" t="s">
        <v>130</v>
      </c>
      <c r="D2199" s="39" t="n">
        <v>2</v>
      </c>
      <c r="E2199" s="41" t="n">
        <v>8.36</v>
      </c>
      <c r="F2199" s="39" t="s">
        <v>108</v>
      </c>
      <c r="G2199" s="39" t="str">
        <f aca="false">UPPER(TRIM(C2199))</f>
        <v>P011</v>
      </c>
      <c r="H2199" s="39" t="str">
        <f aca="false">IF(ISNUMBER(MATCH(G2199,Products!$A$5:$A$24,0)),"OK","Mismatch")</f>
        <v>OK</v>
      </c>
      <c r="I2199" s="39" t="str">
        <f aca="false">IF(COUNTIF($A$5:A2199,A2199)&gt;1,"Duplicate","Unique")</f>
        <v>Unique</v>
      </c>
      <c r="J2199" s="39" t="str">
        <f aca="false">IF(I2199="Duplicate","Remove",IF(H2199="Mismatch","Exclude","Keep"))</f>
        <v>Keep</v>
      </c>
    </row>
    <row r="2200" customFormat="false" ht="15" hidden="false" customHeight="false" outlineLevel="0" collapsed="false">
      <c r="A2200" s="39" t="s">
        <v>2260</v>
      </c>
      <c r="B2200" s="40" t="n">
        <v>45946</v>
      </c>
      <c r="C2200" s="39" t="s">
        <v>107</v>
      </c>
      <c r="D2200" s="39" t="n">
        <v>2</v>
      </c>
      <c r="E2200" s="41" t="n">
        <v>33.11</v>
      </c>
      <c r="F2200" s="39" t="s">
        <v>105</v>
      </c>
      <c r="G2200" s="39" t="str">
        <f aca="false">UPPER(TRIM(C2200))</f>
        <v>P003</v>
      </c>
      <c r="H2200" s="39" t="str">
        <f aca="false">IF(ISNUMBER(MATCH(G2200,Products!$A$5:$A$24,0)),"OK","Mismatch")</f>
        <v>OK</v>
      </c>
      <c r="I2200" s="39" t="str">
        <f aca="false">IF(COUNTIF($A$5:A2200,A2200)&gt;1,"Duplicate","Unique")</f>
        <v>Unique</v>
      </c>
      <c r="J2200" s="39" t="str">
        <f aca="false">IF(I2200="Duplicate","Remove",IF(H2200="Mismatch","Exclude","Keep"))</f>
        <v>Keep</v>
      </c>
    </row>
    <row r="2201" customFormat="false" ht="15" hidden="false" customHeight="false" outlineLevel="0" collapsed="false">
      <c r="A2201" s="39" t="s">
        <v>2261</v>
      </c>
      <c r="B2201" s="40" t="n">
        <v>45946</v>
      </c>
      <c r="C2201" s="39" t="s">
        <v>126</v>
      </c>
      <c r="D2201" s="39" t="n">
        <v>1</v>
      </c>
      <c r="E2201" s="41" t="n">
        <v>23.61</v>
      </c>
      <c r="F2201" s="39" t="s">
        <v>105</v>
      </c>
      <c r="G2201" s="39" t="str">
        <f aca="false">UPPER(TRIM(C2201))</f>
        <v>P001</v>
      </c>
      <c r="H2201" s="39" t="str">
        <f aca="false">IF(ISNUMBER(MATCH(G2201,Products!$A$5:$A$24,0)),"OK","Mismatch")</f>
        <v>OK</v>
      </c>
      <c r="I2201" s="39" t="str">
        <f aca="false">IF(COUNTIF($A$5:A2201,A2201)&gt;1,"Duplicate","Unique")</f>
        <v>Unique</v>
      </c>
      <c r="J2201" s="39" t="str">
        <f aca="false">IF(I2201="Duplicate","Remove",IF(H2201="Mismatch","Exclude","Keep"))</f>
        <v>Keep</v>
      </c>
    </row>
    <row r="2202" customFormat="false" ht="15" hidden="false" customHeight="false" outlineLevel="0" collapsed="false">
      <c r="A2202" s="39" t="s">
        <v>2262</v>
      </c>
      <c r="B2202" s="40" t="n">
        <v>45946</v>
      </c>
      <c r="C2202" s="39" t="s">
        <v>133</v>
      </c>
      <c r="D2202" s="39" t="n">
        <v>3</v>
      </c>
      <c r="E2202" s="41" t="n">
        <v>8.97</v>
      </c>
      <c r="F2202" s="39" t="s">
        <v>118</v>
      </c>
      <c r="G2202" s="39" t="str">
        <f aca="false">UPPER(TRIM(C2202))</f>
        <v>P019</v>
      </c>
      <c r="H2202" s="39" t="str">
        <f aca="false">IF(ISNUMBER(MATCH(G2202,Products!$A$5:$A$24,0)),"OK","Mismatch")</f>
        <v>OK</v>
      </c>
      <c r="I2202" s="39" t="str">
        <f aca="false">IF(COUNTIF($A$5:A2202,A2202)&gt;1,"Duplicate","Unique")</f>
        <v>Unique</v>
      </c>
      <c r="J2202" s="39" t="str">
        <f aca="false">IF(I2202="Duplicate","Remove",IF(H2202="Mismatch","Exclude","Keep"))</f>
        <v>Keep</v>
      </c>
    </row>
    <row r="2203" customFormat="false" ht="15" hidden="false" customHeight="false" outlineLevel="0" collapsed="false">
      <c r="A2203" s="39" t="s">
        <v>2263</v>
      </c>
      <c r="B2203" s="40" t="n">
        <v>45946</v>
      </c>
      <c r="C2203" s="39" t="s">
        <v>114</v>
      </c>
      <c r="D2203" s="39" t="n">
        <v>4</v>
      </c>
      <c r="E2203" s="41" t="n">
        <v>5.96</v>
      </c>
      <c r="F2203" s="39" t="s">
        <v>118</v>
      </c>
      <c r="G2203" s="39" t="str">
        <f aca="false">UPPER(TRIM(C2203))</f>
        <v>P012</v>
      </c>
      <c r="H2203" s="39" t="str">
        <f aca="false">IF(ISNUMBER(MATCH(G2203,Products!$A$5:$A$24,0)),"OK","Mismatch")</f>
        <v>OK</v>
      </c>
      <c r="I2203" s="39" t="str">
        <f aca="false">IF(COUNTIF($A$5:A2203,A2203)&gt;1,"Duplicate","Unique")</f>
        <v>Unique</v>
      </c>
      <c r="J2203" s="39" t="str">
        <f aca="false">IF(I2203="Duplicate","Remove",IF(H2203="Mismatch","Exclude","Keep"))</f>
        <v>Keep</v>
      </c>
    </row>
    <row r="2204" customFormat="false" ht="15" hidden="false" customHeight="false" outlineLevel="0" collapsed="false">
      <c r="A2204" s="39" t="s">
        <v>2263</v>
      </c>
      <c r="B2204" s="40" t="n">
        <v>45946</v>
      </c>
      <c r="C2204" s="39" t="s">
        <v>114</v>
      </c>
      <c r="D2204" s="39" t="n">
        <v>4</v>
      </c>
      <c r="E2204" s="41" t="n">
        <v>5.96</v>
      </c>
      <c r="F2204" s="39" t="s">
        <v>118</v>
      </c>
      <c r="G2204" s="39" t="str">
        <f aca="false">UPPER(TRIM(C2204))</f>
        <v>P012</v>
      </c>
      <c r="H2204" s="39" t="str">
        <f aca="false">IF(ISNUMBER(MATCH(G2204,Products!$A$5:$A$24,0)),"OK","Mismatch")</f>
        <v>OK</v>
      </c>
      <c r="I2204" s="39" t="str">
        <f aca="false">IF(COUNTIF($A$5:A2204,A2204)&gt;1,"Duplicate","Unique")</f>
        <v>Duplicate</v>
      </c>
      <c r="J2204" s="39" t="str">
        <f aca="false">IF(I2204="Duplicate","Remove",IF(H2204="Mismatch","Exclude","Keep"))</f>
        <v>Remove</v>
      </c>
    </row>
    <row r="2205" customFormat="false" ht="15" hidden="false" customHeight="false" outlineLevel="0" collapsed="false">
      <c r="A2205" s="39" t="s">
        <v>2264</v>
      </c>
      <c r="B2205" s="40" t="n">
        <v>45946</v>
      </c>
      <c r="C2205" s="39" t="s">
        <v>177</v>
      </c>
      <c r="D2205" s="39" t="n">
        <v>1</v>
      </c>
      <c r="E2205" s="41" t="n">
        <v>41.59</v>
      </c>
      <c r="F2205" s="39" t="s">
        <v>108</v>
      </c>
      <c r="G2205" s="39" t="str">
        <f aca="false">UPPER(TRIM(C2205))</f>
        <v>P014</v>
      </c>
      <c r="H2205" s="39" t="str">
        <f aca="false">IF(ISNUMBER(MATCH(G2205,Products!$A$5:$A$24,0)),"OK","Mismatch")</f>
        <v>OK</v>
      </c>
      <c r="I2205" s="39" t="str">
        <f aca="false">IF(COUNTIF($A$5:A2205,A2205)&gt;1,"Duplicate","Unique")</f>
        <v>Unique</v>
      </c>
      <c r="J2205" s="39" t="str">
        <f aca="false">IF(I2205="Duplicate","Remove",IF(H2205="Mismatch","Exclude","Keep"))</f>
        <v>Keep</v>
      </c>
    </row>
    <row r="2206" customFormat="false" ht="15" hidden="false" customHeight="false" outlineLevel="0" collapsed="false">
      <c r="A2206" s="39" t="s">
        <v>2265</v>
      </c>
      <c r="B2206" s="40" t="n">
        <v>45946</v>
      </c>
      <c r="C2206" s="39" t="s">
        <v>139</v>
      </c>
      <c r="D2206" s="39" t="n">
        <v>2</v>
      </c>
      <c r="E2206" s="41" t="n">
        <v>125.13</v>
      </c>
      <c r="F2206" s="39" t="s">
        <v>105</v>
      </c>
      <c r="G2206" s="39" t="str">
        <f aca="false">UPPER(TRIM(C2206))</f>
        <v>P006</v>
      </c>
      <c r="H2206" s="39" t="str">
        <f aca="false">IF(ISNUMBER(MATCH(G2206,Products!$A$5:$A$24,0)),"OK","Mismatch")</f>
        <v>OK</v>
      </c>
      <c r="I2206" s="39" t="str">
        <f aca="false">IF(COUNTIF($A$5:A2206,A2206)&gt;1,"Duplicate","Unique")</f>
        <v>Unique</v>
      </c>
      <c r="J2206" s="39" t="str">
        <f aca="false">IF(I2206="Duplicate","Remove",IF(H2206="Mismatch","Exclude","Keep"))</f>
        <v>Keep</v>
      </c>
    </row>
    <row r="2207" customFormat="false" ht="15" hidden="false" customHeight="false" outlineLevel="0" collapsed="false">
      <c r="A2207" s="39" t="s">
        <v>2266</v>
      </c>
      <c r="B2207" s="40" t="n">
        <v>45946</v>
      </c>
      <c r="C2207" s="39" t="s">
        <v>112</v>
      </c>
      <c r="D2207" s="39" t="n">
        <v>2</v>
      </c>
      <c r="E2207" s="41" t="n">
        <v>54.59</v>
      </c>
      <c r="F2207" s="39" t="s">
        <v>105</v>
      </c>
      <c r="G2207" s="39" t="str">
        <f aca="false">UPPER(TRIM(C2207))</f>
        <v>P005</v>
      </c>
      <c r="H2207" s="39" t="str">
        <f aca="false">IF(ISNUMBER(MATCH(G2207,Products!$A$5:$A$24,0)),"OK","Mismatch")</f>
        <v>OK</v>
      </c>
      <c r="I2207" s="39" t="str">
        <f aca="false">IF(COUNTIF($A$5:A2207,A2207)&gt;1,"Duplicate","Unique")</f>
        <v>Unique</v>
      </c>
      <c r="J2207" s="39" t="str">
        <f aca="false">IF(I2207="Duplicate","Remove",IF(H2207="Mismatch","Exclude","Keep"))</f>
        <v>Keep</v>
      </c>
    </row>
    <row r="2208" customFormat="false" ht="15" hidden="false" customHeight="false" outlineLevel="0" collapsed="false">
      <c r="A2208" s="39" t="s">
        <v>2267</v>
      </c>
      <c r="B2208" s="40" t="n">
        <v>45947</v>
      </c>
      <c r="C2208" s="39" t="s">
        <v>153</v>
      </c>
      <c r="D2208" s="39" t="n">
        <v>4</v>
      </c>
      <c r="E2208" s="41" t="n">
        <v>167.71</v>
      </c>
      <c r="F2208" s="39" t="s">
        <v>108</v>
      </c>
      <c r="G2208" s="39" t="str">
        <f aca="false">UPPER(TRIM(C2208))</f>
        <v>P010</v>
      </c>
      <c r="H2208" s="39" t="str">
        <f aca="false">IF(ISNUMBER(MATCH(G2208,Products!$A$5:$A$24,0)),"OK","Mismatch")</f>
        <v>OK</v>
      </c>
      <c r="I2208" s="39" t="str">
        <f aca="false">IF(COUNTIF($A$5:A2208,A2208)&gt;1,"Duplicate","Unique")</f>
        <v>Unique</v>
      </c>
      <c r="J2208" s="39" t="str">
        <f aca="false">IF(I2208="Duplicate","Remove",IF(H2208="Mismatch","Exclude","Keep"))</f>
        <v>Keep</v>
      </c>
    </row>
    <row r="2209" customFormat="false" ht="15" hidden="false" customHeight="false" outlineLevel="0" collapsed="false">
      <c r="A2209" s="39" t="s">
        <v>2268</v>
      </c>
      <c r="B2209" s="40" t="n">
        <v>45947</v>
      </c>
      <c r="C2209" s="39" t="s">
        <v>139</v>
      </c>
      <c r="D2209" s="39" t="n">
        <v>2</v>
      </c>
      <c r="E2209" s="41" t="n">
        <v>121.79</v>
      </c>
      <c r="F2209" s="39" t="s">
        <v>115</v>
      </c>
      <c r="G2209" s="39" t="str">
        <f aca="false">UPPER(TRIM(C2209))</f>
        <v>P006</v>
      </c>
      <c r="H2209" s="39" t="str">
        <f aca="false">IF(ISNUMBER(MATCH(G2209,Products!$A$5:$A$24,0)),"OK","Mismatch")</f>
        <v>OK</v>
      </c>
      <c r="I2209" s="39" t="str">
        <f aca="false">IF(COUNTIF($A$5:A2209,A2209)&gt;1,"Duplicate","Unique")</f>
        <v>Unique</v>
      </c>
      <c r="J2209" s="39" t="str">
        <f aca="false">IF(I2209="Duplicate","Remove",IF(H2209="Mismatch","Exclude","Keep"))</f>
        <v>Keep</v>
      </c>
    </row>
    <row r="2210" customFormat="false" ht="15" hidden="false" customHeight="false" outlineLevel="0" collapsed="false">
      <c r="A2210" s="39" t="s">
        <v>2269</v>
      </c>
      <c r="B2210" s="40" t="n">
        <v>45947</v>
      </c>
      <c r="C2210" s="39" t="s">
        <v>177</v>
      </c>
      <c r="D2210" s="39" t="n">
        <v>1</v>
      </c>
      <c r="E2210" s="41" t="n">
        <v>41.92</v>
      </c>
      <c r="F2210" s="39" t="s">
        <v>108</v>
      </c>
      <c r="G2210" s="39" t="str">
        <f aca="false">UPPER(TRIM(C2210))</f>
        <v>P014</v>
      </c>
      <c r="H2210" s="39" t="str">
        <f aca="false">IF(ISNUMBER(MATCH(G2210,Products!$A$5:$A$24,0)),"OK","Mismatch")</f>
        <v>OK</v>
      </c>
      <c r="I2210" s="39" t="str">
        <f aca="false">IF(COUNTIF($A$5:A2210,A2210)&gt;1,"Duplicate","Unique")</f>
        <v>Unique</v>
      </c>
      <c r="J2210" s="39" t="str">
        <f aca="false">IF(I2210="Duplicate","Remove",IF(H2210="Mismatch","Exclude","Keep"))</f>
        <v>Keep</v>
      </c>
    </row>
    <row r="2211" customFormat="false" ht="15" hidden="false" customHeight="false" outlineLevel="0" collapsed="false">
      <c r="A2211" s="39" t="s">
        <v>2270</v>
      </c>
      <c r="B2211" s="40" t="n">
        <v>45947</v>
      </c>
      <c r="C2211" s="39" t="s">
        <v>153</v>
      </c>
      <c r="D2211" s="39" t="n">
        <v>2</v>
      </c>
      <c r="E2211" s="41" t="n">
        <v>173.23</v>
      </c>
      <c r="F2211" s="39" t="s">
        <v>115</v>
      </c>
      <c r="G2211" s="39" t="str">
        <f aca="false">UPPER(TRIM(C2211))</f>
        <v>P010</v>
      </c>
      <c r="H2211" s="39" t="str">
        <f aca="false">IF(ISNUMBER(MATCH(G2211,Products!$A$5:$A$24,0)),"OK","Mismatch")</f>
        <v>OK</v>
      </c>
      <c r="I2211" s="39" t="str">
        <f aca="false">IF(COUNTIF($A$5:A2211,A2211)&gt;1,"Duplicate","Unique")</f>
        <v>Unique</v>
      </c>
      <c r="J2211" s="39" t="str">
        <f aca="false">IF(I2211="Duplicate","Remove",IF(H2211="Mismatch","Exclude","Keep"))</f>
        <v>Keep</v>
      </c>
    </row>
    <row r="2212" customFormat="false" ht="15" hidden="false" customHeight="false" outlineLevel="0" collapsed="false">
      <c r="A2212" s="39" t="s">
        <v>2271</v>
      </c>
      <c r="B2212" s="40" t="n">
        <v>45947</v>
      </c>
      <c r="C2212" s="39" t="s">
        <v>107</v>
      </c>
      <c r="D2212" s="39" t="n">
        <v>3</v>
      </c>
      <c r="E2212" s="41" t="n">
        <v>32.53</v>
      </c>
      <c r="F2212" s="39" t="s">
        <v>105</v>
      </c>
      <c r="G2212" s="39" t="str">
        <f aca="false">UPPER(TRIM(C2212))</f>
        <v>P003</v>
      </c>
      <c r="H2212" s="39" t="str">
        <f aca="false">IF(ISNUMBER(MATCH(G2212,Products!$A$5:$A$24,0)),"OK","Mismatch")</f>
        <v>OK</v>
      </c>
      <c r="I2212" s="39" t="str">
        <f aca="false">IF(COUNTIF($A$5:A2212,A2212)&gt;1,"Duplicate","Unique")</f>
        <v>Unique</v>
      </c>
      <c r="J2212" s="39" t="str">
        <f aca="false">IF(I2212="Duplicate","Remove",IF(H2212="Mismatch","Exclude","Keep"))</f>
        <v>Keep</v>
      </c>
    </row>
    <row r="2213" customFormat="false" ht="15" hidden="false" customHeight="false" outlineLevel="0" collapsed="false">
      <c r="A2213" s="39" t="s">
        <v>2272</v>
      </c>
      <c r="B2213" s="40" t="n">
        <v>45948</v>
      </c>
      <c r="C2213" s="39" t="s">
        <v>112</v>
      </c>
      <c r="D2213" s="39" t="n">
        <v>8</v>
      </c>
      <c r="E2213" s="41" t="n">
        <v>52.37</v>
      </c>
      <c r="F2213" s="39" t="s">
        <v>115</v>
      </c>
      <c r="G2213" s="39" t="str">
        <f aca="false">UPPER(TRIM(C2213))</f>
        <v>P005</v>
      </c>
      <c r="H2213" s="39" t="str">
        <f aca="false">IF(ISNUMBER(MATCH(G2213,Products!$A$5:$A$24,0)),"OK","Mismatch")</f>
        <v>OK</v>
      </c>
      <c r="I2213" s="39" t="str">
        <f aca="false">IF(COUNTIF($A$5:A2213,A2213)&gt;1,"Duplicate","Unique")</f>
        <v>Unique</v>
      </c>
      <c r="J2213" s="39" t="str">
        <f aca="false">IF(I2213="Duplicate","Remove",IF(H2213="Mismatch","Exclude","Keep"))</f>
        <v>Keep</v>
      </c>
    </row>
    <row r="2214" customFormat="false" ht="15" hidden="false" customHeight="false" outlineLevel="0" collapsed="false">
      <c r="A2214" s="39" t="s">
        <v>2273</v>
      </c>
      <c r="B2214" s="40" t="n">
        <v>45948</v>
      </c>
      <c r="C2214" s="39" t="s">
        <v>162</v>
      </c>
      <c r="D2214" s="39" t="n">
        <v>2</v>
      </c>
      <c r="E2214" s="41" t="n">
        <v>63.76</v>
      </c>
      <c r="F2214" s="39" t="s">
        <v>115</v>
      </c>
      <c r="G2214" s="39" t="str">
        <f aca="false">UPPER(TRIM(C2214))</f>
        <v>P017</v>
      </c>
      <c r="H2214" s="39" t="str">
        <f aca="false">IF(ISNUMBER(MATCH(G2214,Products!$A$5:$A$24,0)),"OK","Mismatch")</f>
        <v>OK</v>
      </c>
      <c r="I2214" s="39" t="str">
        <f aca="false">IF(COUNTIF($A$5:A2214,A2214)&gt;1,"Duplicate","Unique")</f>
        <v>Unique</v>
      </c>
      <c r="J2214" s="39" t="str">
        <f aca="false">IF(I2214="Duplicate","Remove",IF(H2214="Mismatch","Exclude","Keep"))</f>
        <v>Keep</v>
      </c>
    </row>
    <row r="2215" customFormat="false" ht="15" hidden="false" customHeight="false" outlineLevel="0" collapsed="false">
      <c r="A2215" s="39" t="s">
        <v>2274</v>
      </c>
      <c r="B2215" s="40" t="n">
        <v>45948</v>
      </c>
      <c r="C2215" s="39" t="s">
        <v>114</v>
      </c>
      <c r="D2215" s="39" t="n">
        <v>3</v>
      </c>
      <c r="E2215" s="41" t="n">
        <v>5.63</v>
      </c>
      <c r="F2215" s="39" t="s">
        <v>118</v>
      </c>
      <c r="G2215" s="39" t="str">
        <f aca="false">UPPER(TRIM(C2215))</f>
        <v>P012</v>
      </c>
      <c r="H2215" s="39" t="str">
        <f aca="false">IF(ISNUMBER(MATCH(G2215,Products!$A$5:$A$24,0)),"OK","Mismatch")</f>
        <v>OK</v>
      </c>
      <c r="I2215" s="39" t="str">
        <f aca="false">IF(COUNTIF($A$5:A2215,A2215)&gt;1,"Duplicate","Unique")</f>
        <v>Unique</v>
      </c>
      <c r="J2215" s="39" t="str">
        <f aca="false">IF(I2215="Duplicate","Remove",IF(H2215="Mismatch","Exclude","Keep"))</f>
        <v>Keep</v>
      </c>
    </row>
    <row r="2216" customFormat="false" ht="15" hidden="false" customHeight="false" outlineLevel="0" collapsed="false">
      <c r="A2216" s="39" t="s">
        <v>2275</v>
      </c>
      <c r="B2216" s="40" t="n">
        <v>45948</v>
      </c>
      <c r="C2216" s="39" t="s">
        <v>144</v>
      </c>
      <c r="D2216" s="39" t="n">
        <v>1</v>
      </c>
      <c r="E2216" s="41" t="n">
        <v>57.33</v>
      </c>
      <c r="F2216" s="39" t="s">
        <v>115</v>
      </c>
      <c r="G2216" s="39" t="str">
        <f aca="false">UPPER(TRIM(C2216))</f>
        <v>P013</v>
      </c>
      <c r="H2216" s="39" t="str">
        <f aca="false">IF(ISNUMBER(MATCH(G2216,Products!$A$5:$A$24,0)),"OK","Mismatch")</f>
        <v>OK</v>
      </c>
      <c r="I2216" s="39" t="str">
        <f aca="false">IF(COUNTIF($A$5:A2216,A2216)&gt;1,"Duplicate","Unique")</f>
        <v>Unique</v>
      </c>
      <c r="J2216" s="39" t="str">
        <f aca="false">IF(I2216="Duplicate","Remove",IF(H2216="Mismatch","Exclude","Keep"))</f>
        <v>Keep</v>
      </c>
    </row>
    <row r="2217" customFormat="false" ht="15" hidden="false" customHeight="false" outlineLevel="0" collapsed="false">
      <c r="A2217" s="39" t="s">
        <v>2276</v>
      </c>
      <c r="B2217" s="40" t="n">
        <v>45948</v>
      </c>
      <c r="C2217" s="39" t="s">
        <v>133</v>
      </c>
      <c r="D2217" s="39" t="n">
        <v>1</v>
      </c>
      <c r="E2217" s="41" t="n">
        <v>8.93</v>
      </c>
      <c r="F2217" s="39" t="s">
        <v>118</v>
      </c>
      <c r="G2217" s="39" t="str">
        <f aca="false">UPPER(TRIM(C2217))</f>
        <v>P019</v>
      </c>
      <c r="H2217" s="39" t="str">
        <f aca="false">IF(ISNUMBER(MATCH(G2217,Products!$A$5:$A$24,0)),"OK","Mismatch")</f>
        <v>OK</v>
      </c>
      <c r="I2217" s="39" t="str">
        <f aca="false">IF(COUNTIF($A$5:A2217,A2217)&gt;1,"Duplicate","Unique")</f>
        <v>Unique</v>
      </c>
      <c r="J2217" s="39" t="str">
        <f aca="false">IF(I2217="Duplicate","Remove",IF(H2217="Mismatch","Exclude","Keep"))</f>
        <v>Keep</v>
      </c>
    </row>
    <row r="2218" customFormat="false" ht="15" hidden="false" customHeight="false" outlineLevel="0" collapsed="false">
      <c r="A2218" s="39" t="s">
        <v>2277</v>
      </c>
      <c r="B2218" s="40" t="n">
        <v>45948</v>
      </c>
      <c r="C2218" s="39" t="s">
        <v>114</v>
      </c>
      <c r="D2218" s="39" t="n">
        <v>4</v>
      </c>
      <c r="E2218" s="41" t="n">
        <v>5.86</v>
      </c>
      <c r="F2218" s="39" t="s">
        <v>105</v>
      </c>
      <c r="G2218" s="39" t="str">
        <f aca="false">UPPER(TRIM(C2218))</f>
        <v>P012</v>
      </c>
      <c r="H2218" s="39" t="str">
        <f aca="false">IF(ISNUMBER(MATCH(G2218,Products!$A$5:$A$24,0)),"OK","Mismatch")</f>
        <v>OK</v>
      </c>
      <c r="I2218" s="39" t="str">
        <f aca="false">IF(COUNTIF($A$5:A2218,A2218)&gt;1,"Duplicate","Unique")</f>
        <v>Unique</v>
      </c>
      <c r="J2218" s="39" t="str">
        <f aca="false">IF(I2218="Duplicate","Remove",IF(H2218="Mismatch","Exclude","Keep"))</f>
        <v>Keep</v>
      </c>
    </row>
    <row r="2219" customFormat="false" ht="15" hidden="false" customHeight="false" outlineLevel="0" collapsed="false">
      <c r="A2219" s="39" t="s">
        <v>2278</v>
      </c>
      <c r="B2219" s="40" t="n">
        <v>45948</v>
      </c>
      <c r="C2219" s="39" t="s">
        <v>3177</v>
      </c>
      <c r="D2219" s="39" t="n">
        <v>1</v>
      </c>
      <c r="E2219" s="41" t="n">
        <v>43.04</v>
      </c>
      <c r="F2219" s="39" t="s">
        <v>108</v>
      </c>
      <c r="G2219" s="39" t="str">
        <f aca="false">UPPER(TRIM(C2219))</f>
        <v>P014</v>
      </c>
      <c r="H2219" s="39" t="str">
        <f aca="false">IF(ISNUMBER(MATCH(G2219,Products!$A$5:$A$24,0)),"OK","Mismatch")</f>
        <v>OK</v>
      </c>
      <c r="I2219" s="39" t="str">
        <f aca="false">IF(COUNTIF($A$5:A2219,A2219)&gt;1,"Duplicate","Unique")</f>
        <v>Unique</v>
      </c>
      <c r="J2219" s="39" t="str">
        <f aca="false">IF(I2219="Duplicate","Remove",IF(H2219="Mismatch","Exclude","Keep"))</f>
        <v>Keep</v>
      </c>
    </row>
    <row r="2220" customFormat="false" ht="15" hidden="false" customHeight="false" outlineLevel="0" collapsed="false">
      <c r="A2220" s="39" t="s">
        <v>2278</v>
      </c>
      <c r="B2220" s="40" t="n">
        <v>45948</v>
      </c>
      <c r="C2220" s="39" t="s">
        <v>3177</v>
      </c>
      <c r="D2220" s="39" t="n">
        <v>1</v>
      </c>
      <c r="E2220" s="41" t="n">
        <v>43.04</v>
      </c>
      <c r="F2220" s="39" t="s">
        <v>108</v>
      </c>
      <c r="G2220" s="39" t="str">
        <f aca="false">UPPER(TRIM(C2220))</f>
        <v>P014</v>
      </c>
      <c r="H2220" s="39" t="str">
        <f aca="false">IF(ISNUMBER(MATCH(G2220,Products!$A$5:$A$24,0)),"OK","Mismatch")</f>
        <v>OK</v>
      </c>
      <c r="I2220" s="39" t="str">
        <f aca="false">IF(COUNTIF($A$5:A2220,A2220)&gt;1,"Duplicate","Unique")</f>
        <v>Duplicate</v>
      </c>
      <c r="J2220" s="39" t="str">
        <f aca="false">IF(I2220="Duplicate","Remove",IF(H2220="Mismatch","Exclude","Keep"))</f>
        <v>Remove</v>
      </c>
    </row>
    <row r="2221" customFormat="false" ht="15" hidden="false" customHeight="false" outlineLevel="0" collapsed="false">
      <c r="A2221" s="39" t="s">
        <v>2279</v>
      </c>
      <c r="B2221" s="40" t="n">
        <v>45948</v>
      </c>
      <c r="C2221" s="39" t="s">
        <v>153</v>
      </c>
      <c r="D2221" s="39" t="n">
        <v>3</v>
      </c>
      <c r="E2221" s="41" t="n">
        <v>176.9</v>
      </c>
      <c r="F2221" s="39" t="s">
        <v>108</v>
      </c>
      <c r="G2221" s="39" t="str">
        <f aca="false">UPPER(TRIM(C2221))</f>
        <v>P010</v>
      </c>
      <c r="H2221" s="39" t="str">
        <f aca="false">IF(ISNUMBER(MATCH(G2221,Products!$A$5:$A$24,0)),"OK","Mismatch")</f>
        <v>OK</v>
      </c>
      <c r="I2221" s="39" t="str">
        <f aca="false">IF(COUNTIF($A$5:A2221,A2221)&gt;1,"Duplicate","Unique")</f>
        <v>Unique</v>
      </c>
      <c r="J2221" s="39" t="str">
        <f aca="false">IF(I2221="Duplicate","Remove",IF(H2221="Mismatch","Exclude","Keep"))</f>
        <v>Keep</v>
      </c>
    </row>
    <row r="2222" customFormat="false" ht="15" hidden="false" customHeight="false" outlineLevel="0" collapsed="false">
      <c r="A2222" s="39" t="s">
        <v>2280</v>
      </c>
      <c r="B2222" s="40" t="n">
        <v>45948</v>
      </c>
      <c r="C2222" s="39" t="s">
        <v>104</v>
      </c>
      <c r="D2222" s="39" t="n">
        <v>2</v>
      </c>
      <c r="E2222" s="41" t="n">
        <v>15.56</v>
      </c>
      <c r="F2222" s="39" t="s">
        <v>108</v>
      </c>
      <c r="G2222" s="39" t="str">
        <f aca="false">UPPER(TRIM(C2222))</f>
        <v>P015</v>
      </c>
      <c r="H2222" s="39" t="str">
        <f aca="false">IF(ISNUMBER(MATCH(G2222,Products!$A$5:$A$24,0)),"OK","Mismatch")</f>
        <v>OK</v>
      </c>
      <c r="I2222" s="39" t="str">
        <f aca="false">IF(COUNTIF($A$5:A2222,A2222)&gt;1,"Duplicate","Unique")</f>
        <v>Unique</v>
      </c>
      <c r="J2222" s="39" t="str">
        <f aca="false">IF(I2222="Duplicate","Remove",IF(H2222="Mismatch","Exclude","Keep"))</f>
        <v>Keep</v>
      </c>
    </row>
    <row r="2223" customFormat="false" ht="15" hidden="false" customHeight="false" outlineLevel="0" collapsed="false">
      <c r="A2223" s="39" t="s">
        <v>2281</v>
      </c>
      <c r="B2223" s="40" t="n">
        <v>45948</v>
      </c>
      <c r="C2223" s="39" t="s">
        <v>107</v>
      </c>
      <c r="D2223" s="39" t="n">
        <v>1</v>
      </c>
      <c r="E2223" s="41" t="n">
        <v>34.98</v>
      </c>
      <c r="F2223" s="39" t="s">
        <v>108</v>
      </c>
      <c r="G2223" s="39" t="str">
        <f aca="false">UPPER(TRIM(C2223))</f>
        <v>P003</v>
      </c>
      <c r="H2223" s="39" t="str">
        <f aca="false">IF(ISNUMBER(MATCH(G2223,Products!$A$5:$A$24,0)),"OK","Mismatch")</f>
        <v>OK</v>
      </c>
      <c r="I2223" s="39" t="str">
        <f aca="false">IF(COUNTIF($A$5:A2223,A2223)&gt;1,"Duplicate","Unique")</f>
        <v>Unique</v>
      </c>
      <c r="J2223" s="39" t="str">
        <f aca="false">IF(I2223="Duplicate","Remove",IF(H2223="Mismatch","Exclude","Keep"))</f>
        <v>Keep</v>
      </c>
    </row>
    <row r="2224" customFormat="false" ht="15" hidden="false" customHeight="false" outlineLevel="0" collapsed="false">
      <c r="A2224" s="39" t="s">
        <v>2282</v>
      </c>
      <c r="B2224" s="40" t="n">
        <v>45948</v>
      </c>
      <c r="C2224" s="39" t="s">
        <v>110</v>
      </c>
      <c r="D2224" s="39" t="n">
        <v>2</v>
      </c>
      <c r="E2224" s="41" t="n">
        <v>13.37</v>
      </c>
      <c r="F2224" s="39" t="s">
        <v>115</v>
      </c>
      <c r="G2224" s="39" t="str">
        <f aca="false">UPPER(TRIM(C2224))</f>
        <v>P016</v>
      </c>
      <c r="H2224" s="39" t="str">
        <f aca="false">IF(ISNUMBER(MATCH(G2224,Products!$A$5:$A$24,0)),"OK","Mismatch")</f>
        <v>OK</v>
      </c>
      <c r="I2224" s="39" t="str">
        <f aca="false">IF(COUNTIF($A$5:A2224,A2224)&gt;1,"Duplicate","Unique")</f>
        <v>Unique</v>
      </c>
      <c r="J2224" s="39" t="str">
        <f aca="false">IF(I2224="Duplicate","Remove",IF(H2224="Mismatch","Exclude","Keep"))</f>
        <v>Keep</v>
      </c>
    </row>
    <row r="2225" customFormat="false" ht="15" hidden="false" customHeight="false" outlineLevel="0" collapsed="false">
      <c r="A2225" s="39" t="s">
        <v>2283</v>
      </c>
      <c r="B2225" s="40" t="n">
        <v>45948</v>
      </c>
      <c r="C2225" s="39" t="s">
        <v>107</v>
      </c>
      <c r="D2225" s="39" t="n">
        <v>8</v>
      </c>
      <c r="E2225" s="41" t="n">
        <v>33.2</v>
      </c>
      <c r="F2225" s="39" t="s">
        <v>108</v>
      </c>
      <c r="G2225" s="39" t="str">
        <f aca="false">UPPER(TRIM(C2225))</f>
        <v>P003</v>
      </c>
      <c r="H2225" s="39" t="str">
        <f aca="false">IF(ISNUMBER(MATCH(G2225,Products!$A$5:$A$24,0)),"OK","Mismatch")</f>
        <v>OK</v>
      </c>
      <c r="I2225" s="39" t="str">
        <f aca="false">IF(COUNTIF($A$5:A2225,A2225)&gt;1,"Duplicate","Unique")</f>
        <v>Unique</v>
      </c>
      <c r="J2225" s="39" t="str">
        <f aca="false">IF(I2225="Duplicate","Remove",IF(H2225="Mismatch","Exclude","Keep"))</f>
        <v>Keep</v>
      </c>
    </row>
    <row r="2226" customFormat="false" ht="15" hidden="false" customHeight="false" outlineLevel="0" collapsed="false">
      <c r="A2226" s="39" t="s">
        <v>2284</v>
      </c>
      <c r="B2226" s="40" t="n">
        <v>45948</v>
      </c>
      <c r="C2226" s="39" t="s">
        <v>305</v>
      </c>
      <c r="D2226" s="39" t="n">
        <v>1</v>
      </c>
      <c r="E2226" s="41" t="n">
        <v>347.3</v>
      </c>
      <c r="F2226" s="39" t="s">
        <v>105</v>
      </c>
      <c r="G2226" s="39" t="str">
        <f aca="false">UPPER(TRIM(C2226))</f>
        <v>P008</v>
      </c>
      <c r="H2226" s="39" t="str">
        <f aca="false">IF(ISNUMBER(MATCH(G2226,Products!$A$5:$A$24,0)),"OK","Mismatch")</f>
        <v>OK</v>
      </c>
      <c r="I2226" s="39" t="str">
        <f aca="false">IF(COUNTIF($A$5:A2226,A2226)&gt;1,"Duplicate","Unique")</f>
        <v>Unique</v>
      </c>
      <c r="J2226" s="39" t="str">
        <f aca="false">IF(I2226="Duplicate","Remove",IF(H2226="Mismatch","Exclude","Keep"))</f>
        <v>Keep</v>
      </c>
    </row>
    <row r="2227" customFormat="false" ht="15" hidden="false" customHeight="false" outlineLevel="0" collapsed="false">
      <c r="A2227" s="39" t="s">
        <v>2285</v>
      </c>
      <c r="B2227" s="40" t="n">
        <v>45949</v>
      </c>
      <c r="C2227" s="39" t="s">
        <v>128</v>
      </c>
      <c r="D2227" s="39" t="n">
        <v>2</v>
      </c>
      <c r="E2227" s="41" t="n">
        <v>38.56</v>
      </c>
      <c r="F2227" s="39" t="s">
        <v>115</v>
      </c>
      <c r="G2227" s="39" t="str">
        <f aca="false">UPPER(TRIM(C2227))</f>
        <v>P020</v>
      </c>
      <c r="H2227" s="39" t="str">
        <f aca="false">IF(ISNUMBER(MATCH(G2227,Products!$A$5:$A$24,0)),"OK","Mismatch")</f>
        <v>OK</v>
      </c>
      <c r="I2227" s="39" t="str">
        <f aca="false">IF(COUNTIF($A$5:A2227,A2227)&gt;1,"Duplicate","Unique")</f>
        <v>Unique</v>
      </c>
      <c r="J2227" s="39" t="str">
        <f aca="false">IF(I2227="Duplicate","Remove",IF(H2227="Mismatch","Exclude","Keep"))</f>
        <v>Keep</v>
      </c>
    </row>
    <row r="2228" customFormat="false" ht="15" hidden="false" customHeight="false" outlineLevel="0" collapsed="false">
      <c r="A2228" s="39" t="s">
        <v>2286</v>
      </c>
      <c r="B2228" s="40" t="n">
        <v>45949</v>
      </c>
      <c r="C2228" s="39" t="s">
        <v>136</v>
      </c>
      <c r="D2228" s="39" t="n">
        <v>4</v>
      </c>
      <c r="E2228" s="41" t="n">
        <v>76.88</v>
      </c>
      <c r="F2228" s="39" t="s">
        <v>118</v>
      </c>
      <c r="G2228" s="39" t="str">
        <f aca="false">UPPER(TRIM(C2228))</f>
        <v>P002</v>
      </c>
      <c r="H2228" s="39" t="str">
        <f aca="false">IF(ISNUMBER(MATCH(G2228,Products!$A$5:$A$24,0)),"OK","Mismatch")</f>
        <v>OK</v>
      </c>
      <c r="I2228" s="39" t="str">
        <f aca="false">IF(COUNTIF($A$5:A2228,A2228)&gt;1,"Duplicate","Unique")</f>
        <v>Unique</v>
      </c>
      <c r="J2228" s="39" t="str">
        <f aca="false">IF(I2228="Duplicate","Remove",IF(H2228="Mismatch","Exclude","Keep"))</f>
        <v>Keep</v>
      </c>
    </row>
    <row r="2229" customFormat="false" ht="15" hidden="false" customHeight="false" outlineLevel="0" collapsed="false">
      <c r="A2229" s="39" t="s">
        <v>2287</v>
      </c>
      <c r="B2229" s="40" t="n">
        <v>45949</v>
      </c>
      <c r="C2229" s="39" t="s">
        <v>169</v>
      </c>
      <c r="D2229" s="39" t="n">
        <v>3</v>
      </c>
      <c r="E2229" s="41" t="n">
        <v>28.68</v>
      </c>
      <c r="F2229" s="39" t="s">
        <v>118</v>
      </c>
      <c r="G2229" s="39" t="str">
        <f aca="false">UPPER(TRIM(C2229))</f>
        <v>P004</v>
      </c>
      <c r="H2229" s="39" t="str">
        <f aca="false">IF(ISNUMBER(MATCH(G2229,Products!$A$5:$A$24,0)),"OK","Mismatch")</f>
        <v>OK</v>
      </c>
      <c r="I2229" s="39" t="str">
        <f aca="false">IF(COUNTIF($A$5:A2229,A2229)&gt;1,"Duplicate","Unique")</f>
        <v>Unique</v>
      </c>
      <c r="J2229" s="39" t="str">
        <f aca="false">IF(I2229="Duplicate","Remove",IF(H2229="Mismatch","Exclude","Keep"))</f>
        <v>Keep</v>
      </c>
    </row>
    <row r="2230" customFormat="false" ht="15" hidden="false" customHeight="false" outlineLevel="0" collapsed="false">
      <c r="A2230" s="39" t="s">
        <v>2288</v>
      </c>
      <c r="B2230" s="40" t="n">
        <v>45949</v>
      </c>
      <c r="C2230" s="39" t="s">
        <v>130</v>
      </c>
      <c r="D2230" s="39" t="n">
        <v>3</v>
      </c>
      <c r="E2230" s="41" t="n">
        <v>8.72</v>
      </c>
      <c r="F2230" s="39" t="s">
        <v>105</v>
      </c>
      <c r="G2230" s="39" t="str">
        <f aca="false">UPPER(TRIM(C2230))</f>
        <v>P011</v>
      </c>
      <c r="H2230" s="39" t="str">
        <f aca="false">IF(ISNUMBER(MATCH(G2230,Products!$A$5:$A$24,0)),"OK","Mismatch")</f>
        <v>OK</v>
      </c>
      <c r="I2230" s="39" t="str">
        <f aca="false">IF(COUNTIF($A$5:A2230,A2230)&gt;1,"Duplicate","Unique")</f>
        <v>Unique</v>
      </c>
      <c r="J2230" s="39" t="str">
        <f aca="false">IF(I2230="Duplicate","Remove",IF(H2230="Mismatch","Exclude","Keep"))</f>
        <v>Keep</v>
      </c>
    </row>
    <row r="2231" customFormat="false" ht="15" hidden="false" customHeight="false" outlineLevel="0" collapsed="false">
      <c r="A2231" s="39" t="s">
        <v>2289</v>
      </c>
      <c r="B2231" s="40" t="n">
        <v>45949</v>
      </c>
      <c r="C2231" s="39" t="s">
        <v>133</v>
      </c>
      <c r="D2231" s="39" t="n">
        <v>4</v>
      </c>
      <c r="E2231" s="41" t="n">
        <v>8.38</v>
      </c>
      <c r="F2231" s="39" t="s">
        <v>105</v>
      </c>
      <c r="G2231" s="39" t="str">
        <f aca="false">UPPER(TRIM(C2231))</f>
        <v>P019</v>
      </c>
      <c r="H2231" s="39" t="str">
        <f aca="false">IF(ISNUMBER(MATCH(G2231,Products!$A$5:$A$24,0)),"OK","Mismatch")</f>
        <v>OK</v>
      </c>
      <c r="I2231" s="39" t="str">
        <f aca="false">IF(COUNTIF($A$5:A2231,A2231)&gt;1,"Duplicate","Unique")</f>
        <v>Unique</v>
      </c>
      <c r="J2231" s="39" t="str">
        <f aca="false">IF(I2231="Duplicate","Remove",IF(H2231="Mismatch","Exclude","Keep"))</f>
        <v>Keep</v>
      </c>
    </row>
    <row r="2232" customFormat="false" ht="15" hidden="false" customHeight="false" outlineLevel="0" collapsed="false">
      <c r="A2232" s="39" t="s">
        <v>2289</v>
      </c>
      <c r="B2232" s="40" t="n">
        <v>45949</v>
      </c>
      <c r="C2232" s="39" t="s">
        <v>133</v>
      </c>
      <c r="D2232" s="39" t="n">
        <v>4</v>
      </c>
      <c r="E2232" s="41" t="n">
        <v>8.38</v>
      </c>
      <c r="F2232" s="39" t="s">
        <v>105</v>
      </c>
      <c r="G2232" s="39" t="str">
        <f aca="false">UPPER(TRIM(C2232))</f>
        <v>P019</v>
      </c>
      <c r="H2232" s="39" t="str">
        <f aca="false">IF(ISNUMBER(MATCH(G2232,Products!$A$5:$A$24,0)),"OK","Mismatch")</f>
        <v>OK</v>
      </c>
      <c r="I2232" s="39" t="str">
        <f aca="false">IF(COUNTIF($A$5:A2232,A2232)&gt;1,"Duplicate","Unique")</f>
        <v>Duplicate</v>
      </c>
      <c r="J2232" s="39" t="str">
        <f aca="false">IF(I2232="Duplicate","Remove",IF(H2232="Mismatch","Exclude","Keep"))</f>
        <v>Remove</v>
      </c>
    </row>
    <row r="2233" customFormat="false" ht="15" hidden="false" customHeight="false" outlineLevel="0" collapsed="false">
      <c r="A2233" s="39" t="s">
        <v>2290</v>
      </c>
      <c r="B2233" s="40" t="n">
        <v>45949</v>
      </c>
      <c r="C2233" s="39" t="s">
        <v>107</v>
      </c>
      <c r="D2233" s="39" t="n">
        <v>1</v>
      </c>
      <c r="E2233" s="41" t="n">
        <v>32.96</v>
      </c>
      <c r="F2233" s="39" t="s">
        <v>105</v>
      </c>
      <c r="G2233" s="39" t="str">
        <f aca="false">UPPER(TRIM(C2233))</f>
        <v>P003</v>
      </c>
      <c r="H2233" s="39" t="str">
        <f aca="false">IF(ISNUMBER(MATCH(G2233,Products!$A$5:$A$24,0)),"OK","Mismatch")</f>
        <v>OK</v>
      </c>
      <c r="I2233" s="39" t="str">
        <f aca="false">IF(COUNTIF($A$5:A2233,A2233)&gt;1,"Duplicate","Unique")</f>
        <v>Unique</v>
      </c>
      <c r="J2233" s="39" t="str">
        <f aca="false">IF(I2233="Duplicate","Remove",IF(H2233="Mismatch","Exclude","Keep"))</f>
        <v>Keep</v>
      </c>
    </row>
    <row r="2234" customFormat="false" ht="15" hidden="false" customHeight="false" outlineLevel="0" collapsed="false">
      <c r="A2234" s="39" t="s">
        <v>2291</v>
      </c>
      <c r="B2234" s="40" t="n">
        <v>45949</v>
      </c>
      <c r="C2234" s="39" t="s">
        <v>114</v>
      </c>
      <c r="D2234" s="39" t="n">
        <v>1</v>
      </c>
      <c r="E2234" s="41" t="n">
        <v>5.6</v>
      </c>
      <c r="F2234" s="39" t="s">
        <v>115</v>
      </c>
      <c r="G2234" s="39" t="str">
        <f aca="false">UPPER(TRIM(C2234))</f>
        <v>P012</v>
      </c>
      <c r="H2234" s="39" t="str">
        <f aca="false">IF(ISNUMBER(MATCH(G2234,Products!$A$5:$A$24,0)),"OK","Mismatch")</f>
        <v>OK</v>
      </c>
      <c r="I2234" s="39" t="str">
        <f aca="false">IF(COUNTIF($A$5:A2234,A2234)&gt;1,"Duplicate","Unique")</f>
        <v>Unique</v>
      </c>
      <c r="J2234" s="39" t="str">
        <f aca="false">IF(I2234="Duplicate","Remove",IF(H2234="Mismatch","Exclude","Keep"))</f>
        <v>Keep</v>
      </c>
    </row>
    <row r="2235" customFormat="false" ht="15" hidden="false" customHeight="false" outlineLevel="0" collapsed="false">
      <c r="A2235" s="39" t="s">
        <v>2292</v>
      </c>
      <c r="B2235" s="40" t="n">
        <v>45949</v>
      </c>
      <c r="C2235" s="39" t="s">
        <v>104</v>
      </c>
      <c r="D2235" s="39" t="n">
        <v>3</v>
      </c>
      <c r="E2235" s="41" t="n">
        <v>15.74</v>
      </c>
      <c r="F2235" s="39" t="s">
        <v>115</v>
      </c>
      <c r="G2235" s="39" t="str">
        <f aca="false">UPPER(TRIM(C2235))</f>
        <v>P015</v>
      </c>
      <c r="H2235" s="39" t="str">
        <f aca="false">IF(ISNUMBER(MATCH(G2235,Products!$A$5:$A$24,0)),"OK","Mismatch")</f>
        <v>OK</v>
      </c>
      <c r="I2235" s="39" t="str">
        <f aca="false">IF(COUNTIF($A$5:A2235,A2235)&gt;1,"Duplicate","Unique")</f>
        <v>Unique</v>
      </c>
      <c r="J2235" s="39" t="str">
        <f aca="false">IF(I2235="Duplicate","Remove",IF(H2235="Mismatch","Exclude","Keep"))</f>
        <v>Keep</v>
      </c>
    </row>
    <row r="2236" customFormat="false" ht="15" hidden="false" customHeight="false" outlineLevel="0" collapsed="false">
      <c r="A2236" s="39" t="s">
        <v>2293</v>
      </c>
      <c r="B2236" s="40" t="n">
        <v>45949</v>
      </c>
      <c r="C2236" s="39" t="s">
        <v>133</v>
      </c>
      <c r="D2236" s="39" t="n">
        <v>3</v>
      </c>
      <c r="E2236" s="41" t="n">
        <v>8.45</v>
      </c>
      <c r="F2236" s="39" t="s">
        <v>118</v>
      </c>
      <c r="G2236" s="39" t="str">
        <f aca="false">UPPER(TRIM(C2236))</f>
        <v>P019</v>
      </c>
      <c r="H2236" s="39" t="str">
        <f aca="false">IF(ISNUMBER(MATCH(G2236,Products!$A$5:$A$24,0)),"OK","Mismatch")</f>
        <v>OK</v>
      </c>
      <c r="I2236" s="39" t="str">
        <f aca="false">IF(COUNTIF($A$5:A2236,A2236)&gt;1,"Duplicate","Unique")</f>
        <v>Unique</v>
      </c>
      <c r="J2236" s="39" t="str">
        <f aca="false">IF(I2236="Duplicate","Remove",IF(H2236="Mismatch","Exclude","Keep"))</f>
        <v>Keep</v>
      </c>
    </row>
    <row r="2237" customFormat="false" ht="15" hidden="false" customHeight="false" outlineLevel="0" collapsed="false">
      <c r="A2237" s="39" t="s">
        <v>2294</v>
      </c>
      <c r="B2237" s="40" t="n">
        <v>45950</v>
      </c>
      <c r="C2237" s="39" t="s">
        <v>114</v>
      </c>
      <c r="D2237" s="39" t="n">
        <v>2</v>
      </c>
      <c r="E2237" s="41" t="n">
        <v>5.77</v>
      </c>
      <c r="F2237" s="39" t="s">
        <v>118</v>
      </c>
      <c r="G2237" s="39" t="str">
        <f aca="false">UPPER(TRIM(C2237))</f>
        <v>P012</v>
      </c>
      <c r="H2237" s="39" t="str">
        <f aca="false">IF(ISNUMBER(MATCH(G2237,Products!$A$5:$A$24,0)),"OK","Mismatch")</f>
        <v>OK</v>
      </c>
      <c r="I2237" s="39" t="str">
        <f aca="false">IF(COUNTIF($A$5:A2237,A2237)&gt;1,"Duplicate","Unique")</f>
        <v>Unique</v>
      </c>
      <c r="J2237" s="39" t="str">
        <f aca="false">IF(I2237="Duplicate","Remove",IF(H2237="Mismatch","Exclude","Keep"))</f>
        <v>Keep</v>
      </c>
    </row>
    <row r="2238" customFormat="false" ht="15" hidden="false" customHeight="false" outlineLevel="0" collapsed="false">
      <c r="A2238" s="39" t="s">
        <v>2295</v>
      </c>
      <c r="B2238" s="40" t="n">
        <v>45950</v>
      </c>
      <c r="C2238" s="39" t="s">
        <v>305</v>
      </c>
      <c r="D2238" s="39" t="n">
        <v>4</v>
      </c>
      <c r="E2238" s="41" t="n">
        <v>347.58</v>
      </c>
      <c r="F2238" s="39" t="s">
        <v>115</v>
      </c>
      <c r="G2238" s="39" t="str">
        <f aca="false">UPPER(TRIM(C2238))</f>
        <v>P008</v>
      </c>
      <c r="H2238" s="39" t="str">
        <f aca="false">IF(ISNUMBER(MATCH(G2238,Products!$A$5:$A$24,0)),"OK","Mismatch")</f>
        <v>OK</v>
      </c>
      <c r="I2238" s="39" t="str">
        <f aca="false">IF(COUNTIF($A$5:A2238,A2238)&gt;1,"Duplicate","Unique")</f>
        <v>Unique</v>
      </c>
      <c r="J2238" s="39" t="str">
        <f aca="false">IF(I2238="Duplicate","Remove",IF(H2238="Mismatch","Exclude","Keep"))</f>
        <v>Keep</v>
      </c>
    </row>
    <row r="2239" customFormat="false" ht="15" hidden="false" customHeight="false" outlineLevel="0" collapsed="false">
      <c r="A2239" s="39" t="s">
        <v>2296</v>
      </c>
      <c r="B2239" s="40" t="n">
        <v>45950</v>
      </c>
      <c r="C2239" s="39" t="s">
        <v>139</v>
      </c>
      <c r="D2239" s="39" t="n">
        <v>3</v>
      </c>
      <c r="E2239" s="41" t="n">
        <v>123.84</v>
      </c>
      <c r="F2239" s="39" t="s">
        <v>108</v>
      </c>
      <c r="G2239" s="39" t="str">
        <f aca="false">UPPER(TRIM(C2239))</f>
        <v>P006</v>
      </c>
      <c r="H2239" s="39" t="str">
        <f aca="false">IF(ISNUMBER(MATCH(G2239,Products!$A$5:$A$24,0)),"OK","Mismatch")</f>
        <v>OK</v>
      </c>
      <c r="I2239" s="39" t="str">
        <f aca="false">IF(COUNTIF($A$5:A2239,A2239)&gt;1,"Duplicate","Unique")</f>
        <v>Unique</v>
      </c>
      <c r="J2239" s="39" t="str">
        <f aca="false">IF(I2239="Duplicate","Remove",IF(H2239="Mismatch","Exclude","Keep"))</f>
        <v>Keep</v>
      </c>
    </row>
    <row r="2240" customFormat="false" ht="15" hidden="false" customHeight="false" outlineLevel="0" collapsed="false">
      <c r="A2240" s="39" t="s">
        <v>2297</v>
      </c>
      <c r="B2240" s="40" t="n">
        <v>45950</v>
      </c>
      <c r="C2240" s="39" t="s">
        <v>107</v>
      </c>
      <c r="D2240" s="39" t="n">
        <v>1</v>
      </c>
      <c r="E2240" s="41" t="n">
        <v>32.96</v>
      </c>
      <c r="F2240" s="39" t="s">
        <v>108</v>
      </c>
      <c r="G2240" s="39" t="str">
        <f aca="false">UPPER(TRIM(C2240))</f>
        <v>P003</v>
      </c>
      <c r="H2240" s="39" t="str">
        <f aca="false">IF(ISNUMBER(MATCH(G2240,Products!$A$5:$A$24,0)),"OK","Mismatch")</f>
        <v>OK</v>
      </c>
      <c r="I2240" s="39" t="str">
        <f aca="false">IF(COUNTIF($A$5:A2240,A2240)&gt;1,"Duplicate","Unique")</f>
        <v>Unique</v>
      </c>
      <c r="J2240" s="39" t="str">
        <f aca="false">IF(I2240="Duplicate","Remove",IF(H2240="Mismatch","Exclude","Keep"))</f>
        <v>Keep</v>
      </c>
    </row>
    <row r="2241" customFormat="false" ht="15" hidden="false" customHeight="false" outlineLevel="0" collapsed="false">
      <c r="A2241" s="39" t="s">
        <v>2298</v>
      </c>
      <c r="B2241" s="40" t="n">
        <v>45950</v>
      </c>
      <c r="C2241" s="39" t="s">
        <v>117</v>
      </c>
      <c r="D2241" s="39" t="n">
        <v>4</v>
      </c>
      <c r="E2241" s="41" t="n">
        <v>31.09</v>
      </c>
      <c r="F2241" s="39" t="s">
        <v>118</v>
      </c>
      <c r="G2241" s="39" t="str">
        <f aca="false">UPPER(TRIM(C2241))</f>
        <v>P009</v>
      </c>
      <c r="H2241" s="39" t="str">
        <f aca="false">IF(ISNUMBER(MATCH(G2241,Products!$A$5:$A$24,0)),"OK","Mismatch")</f>
        <v>OK</v>
      </c>
      <c r="I2241" s="39" t="str">
        <f aca="false">IF(COUNTIF($A$5:A2241,A2241)&gt;1,"Duplicate","Unique")</f>
        <v>Unique</v>
      </c>
      <c r="J2241" s="39" t="str">
        <f aca="false">IF(I2241="Duplicate","Remove",IF(H2241="Mismatch","Exclude","Keep"))</f>
        <v>Keep</v>
      </c>
    </row>
    <row r="2242" customFormat="false" ht="15" hidden="false" customHeight="false" outlineLevel="0" collapsed="false">
      <c r="A2242" s="39" t="s">
        <v>2299</v>
      </c>
      <c r="B2242" s="40" t="n">
        <v>45950</v>
      </c>
      <c r="C2242" s="39" t="s">
        <v>133</v>
      </c>
      <c r="D2242" s="39" t="n">
        <v>5</v>
      </c>
      <c r="E2242" s="41" t="n">
        <v>8.58</v>
      </c>
      <c r="F2242" s="39" t="s">
        <v>108</v>
      </c>
      <c r="G2242" s="39" t="str">
        <f aca="false">UPPER(TRIM(C2242))</f>
        <v>P019</v>
      </c>
      <c r="H2242" s="39" t="str">
        <f aca="false">IF(ISNUMBER(MATCH(G2242,Products!$A$5:$A$24,0)),"OK","Mismatch")</f>
        <v>OK</v>
      </c>
      <c r="I2242" s="39" t="str">
        <f aca="false">IF(COUNTIF($A$5:A2242,A2242)&gt;1,"Duplicate","Unique")</f>
        <v>Unique</v>
      </c>
      <c r="J2242" s="39" t="str">
        <f aca="false">IF(I2242="Duplicate","Remove",IF(H2242="Mismatch","Exclude","Keep"))</f>
        <v>Keep</v>
      </c>
    </row>
    <row r="2243" customFormat="false" ht="15" hidden="false" customHeight="false" outlineLevel="0" collapsed="false">
      <c r="A2243" s="39" t="s">
        <v>2300</v>
      </c>
      <c r="B2243" s="40" t="n">
        <v>45951</v>
      </c>
      <c r="C2243" s="39" t="s">
        <v>183</v>
      </c>
      <c r="D2243" s="39" t="n">
        <v>3</v>
      </c>
      <c r="E2243" s="41" t="n">
        <v>173.96</v>
      </c>
      <c r="F2243" s="39" t="s">
        <v>115</v>
      </c>
      <c r="G2243" s="39" t="str">
        <f aca="false">UPPER(TRIM(C2243))</f>
        <v>P007</v>
      </c>
      <c r="H2243" s="39" t="str">
        <f aca="false">IF(ISNUMBER(MATCH(G2243,Products!$A$5:$A$24,0)),"OK","Mismatch")</f>
        <v>OK</v>
      </c>
      <c r="I2243" s="39" t="str">
        <f aca="false">IF(COUNTIF($A$5:A2243,A2243)&gt;1,"Duplicate","Unique")</f>
        <v>Unique</v>
      </c>
      <c r="J2243" s="39" t="str">
        <f aca="false">IF(I2243="Duplicate","Remove",IF(H2243="Mismatch","Exclude","Keep"))</f>
        <v>Keep</v>
      </c>
    </row>
    <row r="2244" customFormat="false" ht="15" hidden="false" customHeight="false" outlineLevel="0" collapsed="false">
      <c r="A2244" s="39" t="s">
        <v>2301</v>
      </c>
      <c r="B2244" s="40" t="n">
        <v>45951</v>
      </c>
      <c r="C2244" s="39" t="s">
        <v>162</v>
      </c>
      <c r="D2244" s="39" t="n">
        <v>1</v>
      </c>
      <c r="E2244" s="41" t="n">
        <v>68.77</v>
      </c>
      <c r="F2244" s="39" t="s">
        <v>118</v>
      </c>
      <c r="G2244" s="39" t="str">
        <f aca="false">UPPER(TRIM(C2244))</f>
        <v>P017</v>
      </c>
      <c r="H2244" s="39" t="str">
        <f aca="false">IF(ISNUMBER(MATCH(G2244,Products!$A$5:$A$24,0)),"OK","Mismatch")</f>
        <v>OK</v>
      </c>
      <c r="I2244" s="39" t="str">
        <f aca="false">IF(COUNTIF($A$5:A2244,A2244)&gt;1,"Duplicate","Unique")</f>
        <v>Unique</v>
      </c>
      <c r="J2244" s="39" t="str">
        <f aca="false">IF(I2244="Duplicate","Remove",IF(H2244="Mismatch","Exclude","Keep"))</f>
        <v>Keep</v>
      </c>
    </row>
    <row r="2245" customFormat="false" ht="15" hidden="false" customHeight="false" outlineLevel="0" collapsed="false">
      <c r="A2245" s="39" t="s">
        <v>2302</v>
      </c>
      <c r="B2245" s="40" t="n">
        <v>45951</v>
      </c>
      <c r="C2245" s="39" t="s">
        <v>139</v>
      </c>
      <c r="D2245" s="39" t="n">
        <v>1</v>
      </c>
      <c r="E2245" s="41" t="n">
        <v>119.84</v>
      </c>
      <c r="F2245" s="39" t="s">
        <v>105</v>
      </c>
      <c r="G2245" s="39" t="str">
        <f aca="false">UPPER(TRIM(C2245))</f>
        <v>P006</v>
      </c>
      <c r="H2245" s="39" t="str">
        <f aca="false">IF(ISNUMBER(MATCH(G2245,Products!$A$5:$A$24,0)),"OK","Mismatch")</f>
        <v>OK</v>
      </c>
      <c r="I2245" s="39" t="str">
        <f aca="false">IF(COUNTIF($A$5:A2245,A2245)&gt;1,"Duplicate","Unique")</f>
        <v>Unique</v>
      </c>
      <c r="J2245" s="39" t="str">
        <f aca="false">IF(I2245="Duplicate","Remove",IF(H2245="Mismatch","Exclude","Keep"))</f>
        <v>Keep</v>
      </c>
    </row>
    <row r="2246" customFormat="false" ht="15" hidden="false" customHeight="false" outlineLevel="0" collapsed="false">
      <c r="A2246" s="39" t="s">
        <v>2303</v>
      </c>
      <c r="B2246" s="40" t="n">
        <v>45951</v>
      </c>
      <c r="C2246" s="39" t="s">
        <v>114</v>
      </c>
      <c r="D2246" s="39" t="n">
        <v>4</v>
      </c>
      <c r="E2246" s="41" t="n">
        <v>5.71</v>
      </c>
      <c r="F2246" s="39" t="s">
        <v>115</v>
      </c>
      <c r="G2246" s="39" t="str">
        <f aca="false">UPPER(TRIM(C2246))</f>
        <v>P012</v>
      </c>
      <c r="H2246" s="39" t="str">
        <f aca="false">IF(ISNUMBER(MATCH(G2246,Products!$A$5:$A$24,0)),"OK","Mismatch")</f>
        <v>OK</v>
      </c>
      <c r="I2246" s="39" t="str">
        <f aca="false">IF(COUNTIF($A$5:A2246,A2246)&gt;1,"Duplicate","Unique")</f>
        <v>Unique</v>
      </c>
      <c r="J2246" s="39" t="str">
        <f aca="false">IF(I2246="Duplicate","Remove",IF(H2246="Mismatch","Exclude","Keep"))</f>
        <v>Keep</v>
      </c>
    </row>
    <row r="2247" customFormat="false" ht="15" hidden="false" customHeight="false" outlineLevel="0" collapsed="false">
      <c r="A2247" s="39" t="s">
        <v>2304</v>
      </c>
      <c r="B2247" s="40" t="n">
        <v>45951</v>
      </c>
      <c r="C2247" s="39" t="s">
        <v>104</v>
      </c>
      <c r="D2247" s="39" t="n">
        <v>1</v>
      </c>
      <c r="E2247" s="41" t="n">
        <v>15.76</v>
      </c>
      <c r="F2247" s="39" t="s">
        <v>118</v>
      </c>
      <c r="G2247" s="39" t="str">
        <f aca="false">UPPER(TRIM(C2247))</f>
        <v>P015</v>
      </c>
      <c r="H2247" s="39" t="str">
        <f aca="false">IF(ISNUMBER(MATCH(G2247,Products!$A$5:$A$24,0)),"OK","Mismatch")</f>
        <v>OK</v>
      </c>
      <c r="I2247" s="39" t="str">
        <f aca="false">IF(COUNTIF($A$5:A2247,A2247)&gt;1,"Duplicate","Unique")</f>
        <v>Unique</v>
      </c>
      <c r="J2247" s="39" t="str">
        <f aca="false">IF(I2247="Duplicate","Remove",IF(H2247="Mismatch","Exclude","Keep"))</f>
        <v>Keep</v>
      </c>
    </row>
    <row r="2248" customFormat="false" ht="15" hidden="false" customHeight="false" outlineLevel="0" collapsed="false">
      <c r="A2248" s="39" t="s">
        <v>2305</v>
      </c>
      <c r="B2248" s="40" t="n">
        <v>45951</v>
      </c>
      <c r="C2248" s="39" t="s">
        <v>133</v>
      </c>
      <c r="D2248" s="39" t="n">
        <v>2</v>
      </c>
      <c r="E2248" s="41" t="n">
        <v>8.31</v>
      </c>
      <c r="F2248" s="39" t="s">
        <v>108</v>
      </c>
      <c r="G2248" s="39" t="str">
        <f aca="false">UPPER(TRIM(C2248))</f>
        <v>P019</v>
      </c>
      <c r="H2248" s="39" t="str">
        <f aca="false">IF(ISNUMBER(MATCH(G2248,Products!$A$5:$A$24,0)),"OK","Mismatch")</f>
        <v>OK</v>
      </c>
      <c r="I2248" s="39" t="str">
        <f aca="false">IF(COUNTIF($A$5:A2248,A2248)&gt;1,"Duplicate","Unique")</f>
        <v>Unique</v>
      </c>
      <c r="J2248" s="39" t="str">
        <f aca="false">IF(I2248="Duplicate","Remove",IF(H2248="Mismatch","Exclude","Keep"))</f>
        <v>Keep</v>
      </c>
    </row>
    <row r="2249" customFormat="false" ht="15" hidden="false" customHeight="false" outlineLevel="0" collapsed="false">
      <c r="A2249" s="39" t="s">
        <v>2306</v>
      </c>
      <c r="B2249" s="40" t="n">
        <v>45951</v>
      </c>
      <c r="C2249" s="39" t="s">
        <v>183</v>
      </c>
      <c r="D2249" s="39" t="n">
        <v>1</v>
      </c>
      <c r="E2249" s="41" t="n">
        <v>188.22</v>
      </c>
      <c r="F2249" s="39" t="s">
        <v>118</v>
      </c>
      <c r="G2249" s="39" t="str">
        <f aca="false">UPPER(TRIM(C2249))</f>
        <v>P007</v>
      </c>
      <c r="H2249" s="39" t="str">
        <f aca="false">IF(ISNUMBER(MATCH(G2249,Products!$A$5:$A$24,0)),"OK","Mismatch")</f>
        <v>OK</v>
      </c>
      <c r="I2249" s="39" t="str">
        <f aca="false">IF(COUNTIF($A$5:A2249,A2249)&gt;1,"Duplicate","Unique")</f>
        <v>Unique</v>
      </c>
      <c r="J2249" s="39" t="str">
        <f aca="false">IF(I2249="Duplicate","Remove",IF(H2249="Mismatch","Exclude","Keep"))</f>
        <v>Keep</v>
      </c>
    </row>
    <row r="2250" customFormat="false" ht="15" hidden="false" customHeight="false" outlineLevel="0" collapsed="false">
      <c r="A2250" s="39" t="s">
        <v>2307</v>
      </c>
      <c r="B2250" s="40" t="n">
        <v>45951</v>
      </c>
      <c r="C2250" s="39" t="s">
        <v>126</v>
      </c>
      <c r="D2250" s="39" t="n">
        <v>2</v>
      </c>
      <c r="E2250" s="41" t="n">
        <v>23.55</v>
      </c>
      <c r="F2250" s="39" t="s">
        <v>118</v>
      </c>
      <c r="G2250" s="39" t="str">
        <f aca="false">UPPER(TRIM(C2250))</f>
        <v>P001</v>
      </c>
      <c r="H2250" s="39" t="str">
        <f aca="false">IF(ISNUMBER(MATCH(G2250,Products!$A$5:$A$24,0)),"OK","Mismatch")</f>
        <v>OK</v>
      </c>
      <c r="I2250" s="39" t="str">
        <f aca="false">IF(COUNTIF($A$5:A2250,A2250)&gt;1,"Duplicate","Unique")</f>
        <v>Unique</v>
      </c>
      <c r="J2250" s="39" t="str">
        <f aca="false">IF(I2250="Duplicate","Remove",IF(H2250="Mismatch","Exclude","Keep"))</f>
        <v>Keep</v>
      </c>
    </row>
    <row r="2251" customFormat="false" ht="15" hidden="false" customHeight="false" outlineLevel="0" collapsed="false">
      <c r="A2251" s="39" t="s">
        <v>2308</v>
      </c>
      <c r="B2251" s="40" t="n">
        <v>45951</v>
      </c>
      <c r="C2251" s="39" t="s">
        <v>121</v>
      </c>
      <c r="D2251" s="39" t="n">
        <v>1</v>
      </c>
      <c r="E2251" s="41" t="n">
        <v>110.23</v>
      </c>
      <c r="F2251" s="39" t="s">
        <v>115</v>
      </c>
      <c r="G2251" s="39" t="str">
        <f aca="false">UPPER(TRIM(C2251))</f>
        <v>P018</v>
      </c>
      <c r="H2251" s="39" t="str">
        <f aca="false">IF(ISNUMBER(MATCH(G2251,Products!$A$5:$A$24,0)),"OK","Mismatch")</f>
        <v>OK</v>
      </c>
      <c r="I2251" s="39" t="str">
        <f aca="false">IF(COUNTIF($A$5:A2251,A2251)&gt;1,"Duplicate","Unique")</f>
        <v>Unique</v>
      </c>
      <c r="J2251" s="39" t="str">
        <f aca="false">IF(I2251="Duplicate","Remove",IF(H2251="Mismatch","Exclude","Keep"))</f>
        <v>Keep</v>
      </c>
    </row>
    <row r="2252" customFormat="false" ht="15" hidden="false" customHeight="false" outlineLevel="0" collapsed="false">
      <c r="A2252" s="39" t="s">
        <v>2309</v>
      </c>
      <c r="B2252" s="40" t="n">
        <v>45951</v>
      </c>
      <c r="C2252" s="39" t="s">
        <v>121</v>
      </c>
      <c r="D2252" s="39" t="n">
        <v>1</v>
      </c>
      <c r="E2252" s="41" t="n">
        <v>117.21</v>
      </c>
      <c r="F2252" s="39" t="s">
        <v>105</v>
      </c>
      <c r="G2252" s="39" t="str">
        <f aca="false">UPPER(TRIM(C2252))</f>
        <v>P018</v>
      </c>
      <c r="H2252" s="39" t="str">
        <f aca="false">IF(ISNUMBER(MATCH(G2252,Products!$A$5:$A$24,0)),"OK","Mismatch")</f>
        <v>OK</v>
      </c>
      <c r="I2252" s="39" t="str">
        <f aca="false">IF(COUNTIF($A$5:A2252,A2252)&gt;1,"Duplicate","Unique")</f>
        <v>Unique</v>
      </c>
      <c r="J2252" s="39" t="str">
        <f aca="false">IF(I2252="Duplicate","Remove",IF(H2252="Mismatch","Exclude","Keep"))</f>
        <v>Keep</v>
      </c>
    </row>
    <row r="2253" customFormat="false" ht="15" hidden="false" customHeight="false" outlineLevel="0" collapsed="false">
      <c r="A2253" s="39" t="s">
        <v>2310</v>
      </c>
      <c r="B2253" s="40" t="n">
        <v>45951</v>
      </c>
      <c r="C2253" s="39" t="s">
        <v>104</v>
      </c>
      <c r="D2253" s="39" t="n">
        <v>2</v>
      </c>
      <c r="E2253" s="41" t="n">
        <v>15.93</v>
      </c>
      <c r="F2253" s="39" t="s">
        <v>108</v>
      </c>
      <c r="G2253" s="39" t="str">
        <f aca="false">UPPER(TRIM(C2253))</f>
        <v>P015</v>
      </c>
      <c r="H2253" s="39" t="str">
        <f aca="false">IF(ISNUMBER(MATCH(G2253,Products!$A$5:$A$24,0)),"OK","Mismatch")</f>
        <v>OK</v>
      </c>
      <c r="I2253" s="39" t="str">
        <f aca="false">IF(COUNTIF($A$5:A2253,A2253)&gt;1,"Duplicate","Unique")</f>
        <v>Unique</v>
      </c>
      <c r="J2253" s="39" t="str">
        <f aca="false">IF(I2253="Duplicate","Remove",IF(H2253="Mismatch","Exclude","Keep"))</f>
        <v>Keep</v>
      </c>
    </row>
    <row r="2254" customFormat="false" ht="15" hidden="false" customHeight="false" outlineLevel="0" collapsed="false">
      <c r="A2254" s="39" t="s">
        <v>2311</v>
      </c>
      <c r="B2254" s="40" t="n">
        <v>45951</v>
      </c>
      <c r="C2254" s="39" t="s">
        <v>136</v>
      </c>
      <c r="D2254" s="39" t="n">
        <v>1</v>
      </c>
      <c r="E2254" s="41" t="n">
        <v>72.77</v>
      </c>
      <c r="F2254" s="39" t="s">
        <v>105</v>
      </c>
      <c r="G2254" s="39" t="str">
        <f aca="false">UPPER(TRIM(C2254))</f>
        <v>P002</v>
      </c>
      <c r="H2254" s="39" t="str">
        <f aca="false">IF(ISNUMBER(MATCH(G2254,Products!$A$5:$A$24,0)),"OK","Mismatch")</f>
        <v>OK</v>
      </c>
      <c r="I2254" s="39" t="str">
        <f aca="false">IF(COUNTIF($A$5:A2254,A2254)&gt;1,"Duplicate","Unique")</f>
        <v>Unique</v>
      </c>
      <c r="J2254" s="39" t="str">
        <f aca="false">IF(I2254="Duplicate","Remove",IF(H2254="Mismatch","Exclude","Keep"))</f>
        <v>Keep</v>
      </c>
    </row>
    <row r="2255" customFormat="false" ht="15" hidden="false" customHeight="false" outlineLevel="0" collapsed="false">
      <c r="A2255" s="39" t="s">
        <v>2312</v>
      </c>
      <c r="B2255" s="40" t="n">
        <v>45952</v>
      </c>
      <c r="C2255" s="39" t="s">
        <v>153</v>
      </c>
      <c r="D2255" s="39" t="n">
        <v>5</v>
      </c>
      <c r="E2255" s="41" t="n">
        <v>176.06</v>
      </c>
      <c r="F2255" s="39" t="s">
        <v>108</v>
      </c>
      <c r="G2255" s="39" t="str">
        <f aca="false">UPPER(TRIM(C2255))</f>
        <v>P010</v>
      </c>
      <c r="H2255" s="39" t="str">
        <f aca="false">IF(ISNUMBER(MATCH(G2255,Products!$A$5:$A$24,0)),"OK","Mismatch")</f>
        <v>OK</v>
      </c>
      <c r="I2255" s="39" t="str">
        <f aca="false">IF(COUNTIF($A$5:A2255,A2255)&gt;1,"Duplicate","Unique")</f>
        <v>Unique</v>
      </c>
      <c r="J2255" s="39" t="str">
        <f aca="false">IF(I2255="Duplicate","Remove",IF(H2255="Mismatch","Exclude","Keep"))</f>
        <v>Keep</v>
      </c>
    </row>
    <row r="2256" customFormat="false" ht="15" hidden="false" customHeight="false" outlineLevel="0" collapsed="false">
      <c r="A2256" s="39" t="s">
        <v>2313</v>
      </c>
      <c r="B2256" s="40" t="n">
        <v>45952</v>
      </c>
      <c r="C2256" s="39" t="s">
        <v>107</v>
      </c>
      <c r="D2256" s="39" t="n">
        <v>1</v>
      </c>
      <c r="E2256" s="41" t="n">
        <v>34.87</v>
      </c>
      <c r="F2256" s="39" t="s">
        <v>105</v>
      </c>
      <c r="G2256" s="39" t="str">
        <f aca="false">UPPER(TRIM(C2256))</f>
        <v>P003</v>
      </c>
      <c r="H2256" s="39" t="str">
        <f aca="false">IF(ISNUMBER(MATCH(G2256,Products!$A$5:$A$24,0)),"OK","Mismatch")</f>
        <v>OK</v>
      </c>
      <c r="I2256" s="39" t="str">
        <f aca="false">IF(COUNTIF($A$5:A2256,A2256)&gt;1,"Duplicate","Unique")</f>
        <v>Unique</v>
      </c>
      <c r="J2256" s="39" t="str">
        <f aca="false">IF(I2256="Duplicate","Remove",IF(H2256="Mismatch","Exclude","Keep"))</f>
        <v>Keep</v>
      </c>
    </row>
    <row r="2257" customFormat="false" ht="15" hidden="false" customHeight="false" outlineLevel="0" collapsed="false">
      <c r="A2257" s="39" t="s">
        <v>2314</v>
      </c>
      <c r="B2257" s="40" t="n">
        <v>45952</v>
      </c>
      <c r="C2257" s="39" t="s">
        <v>136</v>
      </c>
      <c r="D2257" s="39" t="n">
        <v>1</v>
      </c>
      <c r="E2257" s="41" t="n">
        <v>73.75</v>
      </c>
      <c r="F2257" s="39" t="s">
        <v>118</v>
      </c>
      <c r="G2257" s="39" t="str">
        <f aca="false">UPPER(TRIM(C2257))</f>
        <v>P002</v>
      </c>
      <c r="H2257" s="39" t="str">
        <f aca="false">IF(ISNUMBER(MATCH(G2257,Products!$A$5:$A$24,0)),"OK","Mismatch")</f>
        <v>OK</v>
      </c>
      <c r="I2257" s="39" t="str">
        <f aca="false">IF(COUNTIF($A$5:A2257,A2257)&gt;1,"Duplicate","Unique")</f>
        <v>Unique</v>
      </c>
      <c r="J2257" s="39" t="str">
        <f aca="false">IF(I2257="Duplicate","Remove",IF(H2257="Mismatch","Exclude","Keep"))</f>
        <v>Keep</v>
      </c>
    </row>
    <row r="2258" customFormat="false" ht="15" hidden="false" customHeight="false" outlineLevel="0" collapsed="false">
      <c r="A2258" s="39" t="s">
        <v>2315</v>
      </c>
      <c r="B2258" s="40" t="n">
        <v>45952</v>
      </c>
      <c r="C2258" s="39" t="s">
        <v>130</v>
      </c>
      <c r="D2258" s="39" t="n">
        <v>3</v>
      </c>
      <c r="E2258" s="41" t="n">
        <v>8.91</v>
      </c>
      <c r="F2258" s="39" t="s">
        <v>118</v>
      </c>
      <c r="G2258" s="39" t="str">
        <f aca="false">UPPER(TRIM(C2258))</f>
        <v>P011</v>
      </c>
      <c r="H2258" s="39" t="str">
        <f aca="false">IF(ISNUMBER(MATCH(G2258,Products!$A$5:$A$24,0)),"OK","Mismatch")</f>
        <v>OK</v>
      </c>
      <c r="I2258" s="39" t="str">
        <f aca="false">IF(COUNTIF($A$5:A2258,A2258)&gt;1,"Duplicate","Unique")</f>
        <v>Unique</v>
      </c>
      <c r="J2258" s="39" t="str">
        <f aca="false">IF(I2258="Duplicate","Remove",IF(H2258="Mismatch","Exclude","Keep"))</f>
        <v>Keep</v>
      </c>
    </row>
    <row r="2259" customFormat="false" ht="15" hidden="false" customHeight="false" outlineLevel="0" collapsed="false">
      <c r="A2259" s="39" t="s">
        <v>2316</v>
      </c>
      <c r="B2259" s="40" t="n">
        <v>45952</v>
      </c>
      <c r="C2259" s="39" t="s">
        <v>104</v>
      </c>
      <c r="D2259" s="39" t="n">
        <v>2</v>
      </c>
      <c r="E2259" s="41" t="n">
        <v>15.44</v>
      </c>
      <c r="F2259" s="39" t="s">
        <v>115</v>
      </c>
      <c r="G2259" s="39" t="str">
        <f aca="false">UPPER(TRIM(C2259))</f>
        <v>P015</v>
      </c>
      <c r="H2259" s="39" t="str">
        <f aca="false">IF(ISNUMBER(MATCH(G2259,Products!$A$5:$A$24,0)),"OK","Mismatch")</f>
        <v>OK</v>
      </c>
      <c r="I2259" s="39" t="str">
        <f aca="false">IF(COUNTIF($A$5:A2259,A2259)&gt;1,"Duplicate","Unique")</f>
        <v>Unique</v>
      </c>
      <c r="J2259" s="39" t="str">
        <f aca="false">IF(I2259="Duplicate","Remove",IF(H2259="Mismatch","Exclude","Keep"))</f>
        <v>Keep</v>
      </c>
    </row>
    <row r="2260" customFormat="false" ht="15" hidden="false" customHeight="false" outlineLevel="0" collapsed="false">
      <c r="A2260" s="39" t="s">
        <v>2317</v>
      </c>
      <c r="B2260" s="40" t="n">
        <v>45952</v>
      </c>
      <c r="C2260" s="39" t="s">
        <v>110</v>
      </c>
      <c r="D2260" s="39" t="n">
        <v>4</v>
      </c>
      <c r="E2260" s="41" t="n">
        <v>13.92</v>
      </c>
      <c r="F2260" s="39" t="s">
        <v>105</v>
      </c>
      <c r="G2260" s="39" t="str">
        <f aca="false">UPPER(TRIM(C2260))</f>
        <v>P016</v>
      </c>
      <c r="H2260" s="39" t="str">
        <f aca="false">IF(ISNUMBER(MATCH(G2260,Products!$A$5:$A$24,0)),"OK","Mismatch")</f>
        <v>OK</v>
      </c>
      <c r="I2260" s="39" t="str">
        <f aca="false">IF(COUNTIF($A$5:A2260,A2260)&gt;1,"Duplicate","Unique")</f>
        <v>Unique</v>
      </c>
      <c r="J2260" s="39" t="str">
        <f aca="false">IF(I2260="Duplicate","Remove",IF(H2260="Mismatch","Exclude","Keep"))</f>
        <v>Keep</v>
      </c>
    </row>
    <row r="2261" customFormat="false" ht="15" hidden="false" customHeight="false" outlineLevel="0" collapsed="false">
      <c r="A2261" s="39" t="s">
        <v>2318</v>
      </c>
      <c r="B2261" s="40" t="n">
        <v>45952</v>
      </c>
      <c r="C2261" s="39" t="s">
        <v>133</v>
      </c>
      <c r="D2261" s="39" t="n">
        <v>3</v>
      </c>
      <c r="E2261" s="41" t="n">
        <v>8.97</v>
      </c>
      <c r="F2261" s="39" t="s">
        <v>108</v>
      </c>
      <c r="G2261" s="39" t="str">
        <f aca="false">UPPER(TRIM(C2261))</f>
        <v>P019</v>
      </c>
      <c r="H2261" s="39" t="str">
        <f aca="false">IF(ISNUMBER(MATCH(G2261,Products!$A$5:$A$24,0)),"OK","Mismatch")</f>
        <v>OK</v>
      </c>
      <c r="I2261" s="39" t="str">
        <f aca="false">IF(COUNTIF($A$5:A2261,A2261)&gt;1,"Duplicate","Unique")</f>
        <v>Unique</v>
      </c>
      <c r="J2261" s="39" t="str">
        <f aca="false">IF(I2261="Duplicate","Remove",IF(H2261="Mismatch","Exclude","Keep"))</f>
        <v>Keep</v>
      </c>
    </row>
    <row r="2262" customFormat="false" ht="15" hidden="false" customHeight="false" outlineLevel="0" collapsed="false">
      <c r="A2262" s="39" t="s">
        <v>2319</v>
      </c>
      <c r="B2262" s="40" t="n">
        <v>45952</v>
      </c>
      <c r="C2262" s="39" t="s">
        <v>177</v>
      </c>
      <c r="D2262" s="39" t="n">
        <v>3</v>
      </c>
      <c r="E2262" s="41" t="n">
        <v>42.01</v>
      </c>
      <c r="F2262" s="39" t="s">
        <v>105</v>
      </c>
      <c r="G2262" s="39" t="str">
        <f aca="false">UPPER(TRIM(C2262))</f>
        <v>P014</v>
      </c>
      <c r="H2262" s="39" t="str">
        <f aca="false">IF(ISNUMBER(MATCH(G2262,Products!$A$5:$A$24,0)),"OK","Mismatch")</f>
        <v>OK</v>
      </c>
      <c r="I2262" s="39" t="str">
        <f aca="false">IF(COUNTIF($A$5:A2262,A2262)&gt;1,"Duplicate","Unique")</f>
        <v>Unique</v>
      </c>
      <c r="J2262" s="39" t="str">
        <f aca="false">IF(I2262="Duplicate","Remove",IF(H2262="Mismatch","Exclude","Keep"))</f>
        <v>Keep</v>
      </c>
    </row>
    <row r="2263" customFormat="false" ht="15" hidden="false" customHeight="false" outlineLevel="0" collapsed="false">
      <c r="A2263" s="39" t="s">
        <v>2320</v>
      </c>
      <c r="B2263" s="40" t="n">
        <v>45953</v>
      </c>
      <c r="C2263" s="39" t="s">
        <v>126</v>
      </c>
      <c r="D2263" s="39" t="n">
        <v>2</v>
      </c>
      <c r="E2263" s="41" t="n">
        <v>24.87</v>
      </c>
      <c r="F2263" s="39" t="s">
        <v>118</v>
      </c>
      <c r="G2263" s="39" t="str">
        <f aca="false">UPPER(TRIM(C2263))</f>
        <v>P001</v>
      </c>
      <c r="H2263" s="39" t="str">
        <f aca="false">IF(ISNUMBER(MATCH(G2263,Products!$A$5:$A$24,0)),"OK","Mismatch")</f>
        <v>OK</v>
      </c>
      <c r="I2263" s="39" t="str">
        <f aca="false">IF(COUNTIF($A$5:A2263,A2263)&gt;1,"Duplicate","Unique")</f>
        <v>Unique</v>
      </c>
      <c r="J2263" s="39" t="str">
        <f aca="false">IF(I2263="Duplicate","Remove",IF(H2263="Mismatch","Exclude","Keep"))</f>
        <v>Keep</v>
      </c>
    </row>
    <row r="2264" customFormat="false" ht="15" hidden="false" customHeight="false" outlineLevel="0" collapsed="false">
      <c r="A2264" s="39" t="s">
        <v>2321</v>
      </c>
      <c r="B2264" s="40" t="n">
        <v>45953</v>
      </c>
      <c r="C2264" s="39" t="s">
        <v>136</v>
      </c>
      <c r="D2264" s="39" t="n">
        <v>5</v>
      </c>
      <c r="E2264" s="41" t="n">
        <v>74.89</v>
      </c>
      <c r="F2264" s="39" t="s">
        <v>118</v>
      </c>
      <c r="G2264" s="39" t="str">
        <f aca="false">UPPER(TRIM(C2264))</f>
        <v>P002</v>
      </c>
      <c r="H2264" s="39" t="str">
        <f aca="false">IF(ISNUMBER(MATCH(G2264,Products!$A$5:$A$24,0)),"OK","Mismatch")</f>
        <v>OK</v>
      </c>
      <c r="I2264" s="39" t="str">
        <f aca="false">IF(COUNTIF($A$5:A2264,A2264)&gt;1,"Duplicate","Unique")</f>
        <v>Unique</v>
      </c>
      <c r="J2264" s="39" t="str">
        <f aca="false">IF(I2264="Duplicate","Remove",IF(H2264="Mismatch","Exclude","Keep"))</f>
        <v>Keep</v>
      </c>
    </row>
    <row r="2265" customFormat="false" ht="15" hidden="false" customHeight="false" outlineLevel="0" collapsed="false">
      <c r="A2265" s="39" t="s">
        <v>2322</v>
      </c>
      <c r="B2265" s="40" t="n">
        <v>45953</v>
      </c>
      <c r="C2265" s="39" t="s">
        <v>104</v>
      </c>
      <c r="D2265" s="39" t="n">
        <v>4</v>
      </c>
      <c r="E2265" s="41" t="n">
        <v>15.71</v>
      </c>
      <c r="F2265" s="39" t="s">
        <v>108</v>
      </c>
      <c r="G2265" s="39" t="str">
        <f aca="false">UPPER(TRIM(C2265))</f>
        <v>P015</v>
      </c>
      <c r="H2265" s="39" t="str">
        <f aca="false">IF(ISNUMBER(MATCH(G2265,Products!$A$5:$A$24,0)),"OK","Mismatch")</f>
        <v>OK</v>
      </c>
      <c r="I2265" s="39" t="str">
        <f aca="false">IF(COUNTIF($A$5:A2265,A2265)&gt;1,"Duplicate","Unique")</f>
        <v>Unique</v>
      </c>
      <c r="J2265" s="39" t="str">
        <f aca="false">IF(I2265="Duplicate","Remove",IF(H2265="Mismatch","Exclude","Keep"))</f>
        <v>Keep</v>
      </c>
    </row>
    <row r="2266" customFormat="false" ht="15" hidden="false" customHeight="false" outlineLevel="0" collapsed="false">
      <c r="A2266" s="39" t="s">
        <v>2323</v>
      </c>
      <c r="B2266" s="40" t="n">
        <v>45953</v>
      </c>
      <c r="C2266" s="39" t="s">
        <v>136</v>
      </c>
      <c r="D2266" s="39" t="n">
        <v>2</v>
      </c>
      <c r="E2266" s="41" t="n">
        <v>74.63</v>
      </c>
      <c r="F2266" s="39" t="s">
        <v>108</v>
      </c>
      <c r="G2266" s="39" t="str">
        <f aca="false">UPPER(TRIM(C2266))</f>
        <v>P002</v>
      </c>
      <c r="H2266" s="39" t="str">
        <f aca="false">IF(ISNUMBER(MATCH(G2266,Products!$A$5:$A$24,0)),"OK","Mismatch")</f>
        <v>OK</v>
      </c>
      <c r="I2266" s="39" t="str">
        <f aca="false">IF(COUNTIF($A$5:A2266,A2266)&gt;1,"Duplicate","Unique")</f>
        <v>Unique</v>
      </c>
      <c r="J2266" s="39" t="str">
        <f aca="false">IF(I2266="Duplicate","Remove",IF(H2266="Mismatch","Exclude","Keep"))</f>
        <v>Keep</v>
      </c>
    </row>
    <row r="2267" customFormat="false" ht="15" hidden="false" customHeight="false" outlineLevel="0" collapsed="false">
      <c r="A2267" s="39" t="s">
        <v>2324</v>
      </c>
      <c r="B2267" s="40" t="n">
        <v>45953</v>
      </c>
      <c r="C2267" s="39" t="s">
        <v>136</v>
      </c>
      <c r="D2267" s="39" t="n">
        <v>3</v>
      </c>
      <c r="E2267" s="41" t="n">
        <v>73.16</v>
      </c>
      <c r="F2267" s="39" t="s">
        <v>108</v>
      </c>
      <c r="G2267" s="39" t="str">
        <f aca="false">UPPER(TRIM(C2267))</f>
        <v>P002</v>
      </c>
      <c r="H2267" s="39" t="str">
        <f aca="false">IF(ISNUMBER(MATCH(G2267,Products!$A$5:$A$24,0)),"OK","Mismatch")</f>
        <v>OK</v>
      </c>
      <c r="I2267" s="39" t="str">
        <f aca="false">IF(COUNTIF($A$5:A2267,A2267)&gt;1,"Duplicate","Unique")</f>
        <v>Unique</v>
      </c>
      <c r="J2267" s="39" t="str">
        <f aca="false">IF(I2267="Duplicate","Remove",IF(H2267="Mismatch","Exclude","Keep"))</f>
        <v>Keep</v>
      </c>
    </row>
    <row r="2268" customFormat="false" ht="15" hidden="false" customHeight="false" outlineLevel="0" collapsed="false">
      <c r="A2268" s="39" t="s">
        <v>2325</v>
      </c>
      <c r="B2268" s="40" t="n">
        <v>45953</v>
      </c>
      <c r="C2268" s="39" t="s">
        <v>110</v>
      </c>
      <c r="D2268" s="39" t="n">
        <v>2</v>
      </c>
      <c r="E2268" s="41" t="n">
        <v>13.92</v>
      </c>
      <c r="F2268" s="39" t="s">
        <v>108</v>
      </c>
      <c r="G2268" s="39" t="str">
        <f aca="false">UPPER(TRIM(C2268))</f>
        <v>P016</v>
      </c>
      <c r="H2268" s="39" t="str">
        <f aca="false">IF(ISNUMBER(MATCH(G2268,Products!$A$5:$A$24,0)),"OK","Mismatch")</f>
        <v>OK</v>
      </c>
      <c r="I2268" s="39" t="str">
        <f aca="false">IF(COUNTIF($A$5:A2268,A2268)&gt;1,"Duplicate","Unique")</f>
        <v>Unique</v>
      </c>
      <c r="J2268" s="39" t="str">
        <f aca="false">IF(I2268="Duplicate","Remove",IF(H2268="Mismatch","Exclude","Keep"))</f>
        <v>Keep</v>
      </c>
    </row>
    <row r="2269" customFormat="false" ht="15" hidden="false" customHeight="false" outlineLevel="0" collapsed="false">
      <c r="A2269" s="39" t="s">
        <v>2326</v>
      </c>
      <c r="B2269" s="40" t="n">
        <v>45953</v>
      </c>
      <c r="C2269" s="39" t="s">
        <v>104</v>
      </c>
      <c r="D2269" s="39" t="n">
        <v>6</v>
      </c>
      <c r="E2269" s="41" t="n">
        <v>15.3</v>
      </c>
      <c r="F2269" s="39" t="s">
        <v>115</v>
      </c>
      <c r="G2269" s="39" t="str">
        <f aca="false">UPPER(TRIM(C2269))</f>
        <v>P015</v>
      </c>
      <c r="H2269" s="39" t="str">
        <f aca="false">IF(ISNUMBER(MATCH(G2269,Products!$A$5:$A$24,0)),"OK","Mismatch")</f>
        <v>OK</v>
      </c>
      <c r="I2269" s="39" t="str">
        <f aca="false">IF(COUNTIF($A$5:A2269,A2269)&gt;1,"Duplicate","Unique")</f>
        <v>Unique</v>
      </c>
      <c r="J2269" s="39" t="str">
        <f aca="false">IF(I2269="Duplicate","Remove",IF(H2269="Mismatch","Exclude","Keep"))</f>
        <v>Keep</v>
      </c>
    </row>
    <row r="2270" customFormat="false" ht="15" hidden="false" customHeight="false" outlineLevel="0" collapsed="false">
      <c r="A2270" s="39" t="s">
        <v>2327</v>
      </c>
      <c r="B2270" s="40" t="n">
        <v>45954</v>
      </c>
      <c r="C2270" s="39" t="s">
        <v>133</v>
      </c>
      <c r="D2270" s="39" t="n">
        <v>6</v>
      </c>
      <c r="E2270" s="41" t="n">
        <v>8.87</v>
      </c>
      <c r="F2270" s="39" t="s">
        <v>108</v>
      </c>
      <c r="G2270" s="39" t="str">
        <f aca="false">UPPER(TRIM(C2270))</f>
        <v>P019</v>
      </c>
      <c r="H2270" s="39" t="str">
        <f aca="false">IF(ISNUMBER(MATCH(G2270,Products!$A$5:$A$24,0)),"OK","Mismatch")</f>
        <v>OK</v>
      </c>
      <c r="I2270" s="39" t="str">
        <f aca="false">IF(COUNTIF($A$5:A2270,A2270)&gt;1,"Duplicate","Unique")</f>
        <v>Unique</v>
      </c>
      <c r="J2270" s="39" t="str">
        <f aca="false">IF(I2270="Duplicate","Remove",IF(H2270="Mismatch","Exclude","Keep"))</f>
        <v>Keep</v>
      </c>
    </row>
    <row r="2271" customFormat="false" ht="15" hidden="false" customHeight="false" outlineLevel="0" collapsed="false">
      <c r="A2271" s="39" t="s">
        <v>2328</v>
      </c>
      <c r="B2271" s="40" t="n">
        <v>45954</v>
      </c>
      <c r="C2271" s="39" t="s">
        <v>114</v>
      </c>
      <c r="D2271" s="39" t="n">
        <v>1</v>
      </c>
      <c r="E2271" s="41" t="n">
        <v>5.73</v>
      </c>
      <c r="F2271" s="39" t="s">
        <v>115</v>
      </c>
      <c r="G2271" s="39" t="str">
        <f aca="false">UPPER(TRIM(C2271))</f>
        <v>P012</v>
      </c>
      <c r="H2271" s="39" t="str">
        <f aca="false">IF(ISNUMBER(MATCH(G2271,Products!$A$5:$A$24,0)),"OK","Mismatch")</f>
        <v>OK</v>
      </c>
      <c r="I2271" s="39" t="str">
        <f aca="false">IF(COUNTIF($A$5:A2271,A2271)&gt;1,"Duplicate","Unique")</f>
        <v>Unique</v>
      </c>
      <c r="J2271" s="39" t="str">
        <f aca="false">IF(I2271="Duplicate","Remove",IF(H2271="Mismatch","Exclude","Keep"))</f>
        <v>Keep</v>
      </c>
    </row>
    <row r="2272" customFormat="false" ht="15" hidden="false" customHeight="false" outlineLevel="0" collapsed="false">
      <c r="A2272" s="39" t="s">
        <v>2329</v>
      </c>
      <c r="B2272" s="40" t="n">
        <v>45954</v>
      </c>
      <c r="C2272" s="39" t="s">
        <v>130</v>
      </c>
      <c r="D2272" s="39" t="n">
        <v>4</v>
      </c>
      <c r="E2272" s="41" t="n">
        <v>8.76</v>
      </c>
      <c r="F2272" s="39" t="s">
        <v>105</v>
      </c>
      <c r="G2272" s="39" t="str">
        <f aca="false">UPPER(TRIM(C2272))</f>
        <v>P011</v>
      </c>
      <c r="H2272" s="39" t="str">
        <f aca="false">IF(ISNUMBER(MATCH(G2272,Products!$A$5:$A$24,0)),"OK","Mismatch")</f>
        <v>OK</v>
      </c>
      <c r="I2272" s="39" t="str">
        <f aca="false">IF(COUNTIF($A$5:A2272,A2272)&gt;1,"Duplicate","Unique")</f>
        <v>Unique</v>
      </c>
      <c r="J2272" s="39" t="str">
        <f aca="false">IF(I2272="Duplicate","Remove",IF(H2272="Mismatch","Exclude","Keep"))</f>
        <v>Keep</v>
      </c>
    </row>
    <row r="2273" customFormat="false" ht="15" hidden="false" customHeight="false" outlineLevel="0" collapsed="false">
      <c r="A2273" s="39" t="s">
        <v>2330</v>
      </c>
      <c r="B2273" s="40" t="n">
        <v>45954</v>
      </c>
      <c r="C2273" s="39" t="s">
        <v>126</v>
      </c>
      <c r="D2273" s="39" t="n">
        <v>3</v>
      </c>
      <c r="E2273" s="41" t="n">
        <v>23.62</v>
      </c>
      <c r="F2273" s="39" t="s">
        <v>108</v>
      </c>
      <c r="G2273" s="39" t="str">
        <f aca="false">UPPER(TRIM(C2273))</f>
        <v>P001</v>
      </c>
      <c r="H2273" s="39" t="str">
        <f aca="false">IF(ISNUMBER(MATCH(G2273,Products!$A$5:$A$24,0)),"OK","Mismatch")</f>
        <v>OK</v>
      </c>
      <c r="I2273" s="39" t="str">
        <f aca="false">IF(COUNTIF($A$5:A2273,A2273)&gt;1,"Duplicate","Unique")</f>
        <v>Unique</v>
      </c>
      <c r="J2273" s="39" t="str">
        <f aca="false">IF(I2273="Duplicate","Remove",IF(H2273="Mismatch","Exclude","Keep"))</f>
        <v>Keep</v>
      </c>
    </row>
    <row r="2274" customFormat="false" ht="15" hidden="false" customHeight="false" outlineLevel="0" collapsed="false">
      <c r="A2274" s="39" t="s">
        <v>2331</v>
      </c>
      <c r="B2274" s="40" t="n">
        <v>45954</v>
      </c>
      <c r="C2274" s="39" t="s">
        <v>133</v>
      </c>
      <c r="D2274" s="39" t="n">
        <v>1</v>
      </c>
      <c r="E2274" s="41" t="n">
        <v>8.53</v>
      </c>
      <c r="F2274" s="39" t="s">
        <v>115</v>
      </c>
      <c r="G2274" s="39" t="str">
        <f aca="false">UPPER(TRIM(C2274))</f>
        <v>P019</v>
      </c>
      <c r="H2274" s="39" t="str">
        <f aca="false">IF(ISNUMBER(MATCH(G2274,Products!$A$5:$A$24,0)),"OK","Mismatch")</f>
        <v>OK</v>
      </c>
      <c r="I2274" s="39" t="str">
        <f aca="false">IF(COUNTIF($A$5:A2274,A2274)&gt;1,"Duplicate","Unique")</f>
        <v>Unique</v>
      </c>
      <c r="J2274" s="39" t="str">
        <f aca="false">IF(I2274="Duplicate","Remove",IF(H2274="Mismatch","Exclude","Keep"))</f>
        <v>Keep</v>
      </c>
    </row>
    <row r="2275" customFormat="false" ht="15" hidden="false" customHeight="false" outlineLevel="0" collapsed="false">
      <c r="A2275" s="39" t="s">
        <v>2332</v>
      </c>
      <c r="B2275" s="40" t="n">
        <v>45954</v>
      </c>
      <c r="C2275" s="39" t="s">
        <v>169</v>
      </c>
      <c r="D2275" s="39" t="n">
        <v>3</v>
      </c>
      <c r="E2275" s="41" t="n">
        <v>28.57</v>
      </c>
      <c r="F2275" s="39" t="s">
        <v>108</v>
      </c>
      <c r="G2275" s="39" t="str">
        <f aca="false">UPPER(TRIM(C2275))</f>
        <v>P004</v>
      </c>
      <c r="H2275" s="39" t="str">
        <f aca="false">IF(ISNUMBER(MATCH(G2275,Products!$A$5:$A$24,0)),"OK","Mismatch")</f>
        <v>OK</v>
      </c>
      <c r="I2275" s="39" t="str">
        <f aca="false">IF(COUNTIF($A$5:A2275,A2275)&gt;1,"Duplicate","Unique")</f>
        <v>Unique</v>
      </c>
      <c r="J2275" s="39" t="str">
        <f aca="false">IF(I2275="Duplicate","Remove",IF(H2275="Mismatch","Exclude","Keep"))</f>
        <v>Keep</v>
      </c>
    </row>
    <row r="2276" customFormat="false" ht="15" hidden="false" customHeight="false" outlineLevel="0" collapsed="false">
      <c r="A2276" s="39" t="s">
        <v>2333</v>
      </c>
      <c r="B2276" s="40" t="n">
        <v>45954</v>
      </c>
      <c r="C2276" s="39" t="s">
        <v>177</v>
      </c>
      <c r="D2276" s="39" t="n">
        <v>3</v>
      </c>
      <c r="E2276" s="41" t="n">
        <v>43.79</v>
      </c>
      <c r="F2276" s="39" t="s">
        <v>105</v>
      </c>
      <c r="G2276" s="39" t="str">
        <f aca="false">UPPER(TRIM(C2276))</f>
        <v>P014</v>
      </c>
      <c r="H2276" s="39" t="str">
        <f aca="false">IF(ISNUMBER(MATCH(G2276,Products!$A$5:$A$24,0)),"OK","Mismatch")</f>
        <v>OK</v>
      </c>
      <c r="I2276" s="39" t="str">
        <f aca="false">IF(COUNTIF($A$5:A2276,A2276)&gt;1,"Duplicate","Unique")</f>
        <v>Unique</v>
      </c>
      <c r="J2276" s="39" t="str">
        <f aca="false">IF(I2276="Duplicate","Remove",IF(H2276="Mismatch","Exclude","Keep"))</f>
        <v>Keep</v>
      </c>
    </row>
    <row r="2277" customFormat="false" ht="15" hidden="false" customHeight="false" outlineLevel="0" collapsed="false">
      <c r="A2277" s="39" t="s">
        <v>2334</v>
      </c>
      <c r="B2277" s="40" t="n">
        <v>45954</v>
      </c>
      <c r="C2277" s="39" t="s">
        <v>114</v>
      </c>
      <c r="D2277" s="39" t="n">
        <v>1</v>
      </c>
      <c r="E2277" s="41" t="n">
        <v>5.7</v>
      </c>
      <c r="F2277" s="39" t="s">
        <v>115</v>
      </c>
      <c r="G2277" s="39" t="str">
        <f aca="false">UPPER(TRIM(C2277))</f>
        <v>P012</v>
      </c>
      <c r="H2277" s="39" t="str">
        <f aca="false">IF(ISNUMBER(MATCH(G2277,Products!$A$5:$A$24,0)),"OK","Mismatch")</f>
        <v>OK</v>
      </c>
      <c r="I2277" s="39" t="str">
        <f aca="false">IF(COUNTIF($A$5:A2277,A2277)&gt;1,"Duplicate","Unique")</f>
        <v>Unique</v>
      </c>
      <c r="J2277" s="39" t="str">
        <f aca="false">IF(I2277="Duplicate","Remove",IF(H2277="Mismatch","Exclude","Keep"))</f>
        <v>Keep</v>
      </c>
    </row>
    <row r="2278" customFormat="false" ht="15" hidden="false" customHeight="false" outlineLevel="0" collapsed="false">
      <c r="A2278" s="39" t="s">
        <v>2335</v>
      </c>
      <c r="B2278" s="40" t="n">
        <v>45954</v>
      </c>
      <c r="C2278" s="39" t="s">
        <v>114</v>
      </c>
      <c r="D2278" s="39" t="n">
        <v>1</v>
      </c>
      <c r="E2278" s="41" t="n">
        <v>5.58</v>
      </c>
      <c r="F2278" s="39" t="s">
        <v>105</v>
      </c>
      <c r="G2278" s="39" t="str">
        <f aca="false">UPPER(TRIM(C2278))</f>
        <v>P012</v>
      </c>
      <c r="H2278" s="39" t="str">
        <f aca="false">IF(ISNUMBER(MATCH(G2278,Products!$A$5:$A$24,0)),"OK","Mismatch")</f>
        <v>OK</v>
      </c>
      <c r="I2278" s="39" t="str">
        <f aca="false">IF(COUNTIF($A$5:A2278,A2278)&gt;1,"Duplicate","Unique")</f>
        <v>Unique</v>
      </c>
      <c r="J2278" s="39" t="str">
        <f aca="false">IF(I2278="Duplicate","Remove",IF(H2278="Mismatch","Exclude","Keep"))</f>
        <v>Keep</v>
      </c>
    </row>
    <row r="2279" customFormat="false" ht="15" hidden="false" customHeight="false" outlineLevel="0" collapsed="false">
      <c r="A2279" s="39" t="s">
        <v>2336</v>
      </c>
      <c r="B2279" s="40" t="n">
        <v>45955</v>
      </c>
      <c r="C2279" s="39" t="s">
        <v>136</v>
      </c>
      <c r="D2279" s="39" t="n">
        <v>3</v>
      </c>
      <c r="E2279" s="41" t="n">
        <v>76.11</v>
      </c>
      <c r="F2279" s="39" t="s">
        <v>115</v>
      </c>
      <c r="G2279" s="39" t="str">
        <f aca="false">UPPER(TRIM(C2279))</f>
        <v>P002</v>
      </c>
      <c r="H2279" s="39" t="str">
        <f aca="false">IF(ISNUMBER(MATCH(G2279,Products!$A$5:$A$24,0)),"OK","Mismatch")</f>
        <v>OK</v>
      </c>
      <c r="I2279" s="39" t="str">
        <f aca="false">IF(COUNTIF($A$5:A2279,A2279)&gt;1,"Duplicate","Unique")</f>
        <v>Unique</v>
      </c>
      <c r="J2279" s="39" t="str">
        <f aca="false">IF(I2279="Duplicate","Remove",IF(H2279="Mismatch","Exclude","Keep"))</f>
        <v>Keep</v>
      </c>
    </row>
    <row r="2280" customFormat="false" ht="15" hidden="false" customHeight="false" outlineLevel="0" collapsed="false">
      <c r="A2280" s="39" t="s">
        <v>2337</v>
      </c>
      <c r="B2280" s="40" t="n">
        <v>45955</v>
      </c>
      <c r="C2280" s="39" t="s">
        <v>117</v>
      </c>
      <c r="D2280" s="39" t="n">
        <v>4</v>
      </c>
      <c r="E2280" s="41" t="n">
        <v>31.7</v>
      </c>
      <c r="F2280" s="39" t="s">
        <v>108</v>
      </c>
      <c r="G2280" s="39" t="str">
        <f aca="false">UPPER(TRIM(C2280))</f>
        <v>P009</v>
      </c>
      <c r="H2280" s="39" t="str">
        <f aca="false">IF(ISNUMBER(MATCH(G2280,Products!$A$5:$A$24,0)),"OK","Mismatch")</f>
        <v>OK</v>
      </c>
      <c r="I2280" s="39" t="str">
        <f aca="false">IF(COUNTIF($A$5:A2280,A2280)&gt;1,"Duplicate","Unique")</f>
        <v>Unique</v>
      </c>
      <c r="J2280" s="39" t="str">
        <f aca="false">IF(I2280="Duplicate","Remove",IF(H2280="Mismatch","Exclude","Keep"))</f>
        <v>Keep</v>
      </c>
    </row>
    <row r="2281" customFormat="false" ht="15" hidden="false" customHeight="false" outlineLevel="0" collapsed="false">
      <c r="A2281" s="39" t="s">
        <v>2338</v>
      </c>
      <c r="B2281" s="40" t="n">
        <v>45955</v>
      </c>
      <c r="C2281" s="39" t="s">
        <v>177</v>
      </c>
      <c r="D2281" s="39" t="n">
        <v>5</v>
      </c>
      <c r="E2281" s="41" t="n">
        <v>43.17</v>
      </c>
      <c r="F2281" s="39" t="s">
        <v>105</v>
      </c>
      <c r="G2281" s="39" t="str">
        <f aca="false">UPPER(TRIM(C2281))</f>
        <v>P014</v>
      </c>
      <c r="H2281" s="39" t="str">
        <f aca="false">IF(ISNUMBER(MATCH(G2281,Products!$A$5:$A$24,0)),"OK","Mismatch")</f>
        <v>OK</v>
      </c>
      <c r="I2281" s="39" t="str">
        <f aca="false">IF(COUNTIF($A$5:A2281,A2281)&gt;1,"Duplicate","Unique")</f>
        <v>Unique</v>
      </c>
      <c r="J2281" s="39" t="str">
        <f aca="false">IF(I2281="Duplicate","Remove",IF(H2281="Mismatch","Exclude","Keep"))</f>
        <v>Keep</v>
      </c>
    </row>
    <row r="2282" customFormat="false" ht="15" hidden="false" customHeight="false" outlineLevel="0" collapsed="false">
      <c r="A2282" s="39" t="s">
        <v>2339</v>
      </c>
      <c r="B2282" s="40" t="n">
        <v>45955</v>
      </c>
      <c r="C2282" s="39" t="s">
        <v>177</v>
      </c>
      <c r="D2282" s="39" t="n">
        <v>1</v>
      </c>
      <c r="E2282" s="41" t="n">
        <v>43.84</v>
      </c>
      <c r="F2282" s="39" t="s">
        <v>115</v>
      </c>
      <c r="G2282" s="39" t="str">
        <f aca="false">UPPER(TRIM(C2282))</f>
        <v>P014</v>
      </c>
      <c r="H2282" s="39" t="str">
        <f aca="false">IF(ISNUMBER(MATCH(G2282,Products!$A$5:$A$24,0)),"OK","Mismatch")</f>
        <v>OK</v>
      </c>
      <c r="I2282" s="39" t="str">
        <f aca="false">IF(COUNTIF($A$5:A2282,A2282)&gt;1,"Duplicate","Unique")</f>
        <v>Unique</v>
      </c>
      <c r="J2282" s="39" t="str">
        <f aca="false">IF(I2282="Duplicate","Remove",IF(H2282="Mismatch","Exclude","Keep"))</f>
        <v>Keep</v>
      </c>
    </row>
    <row r="2283" customFormat="false" ht="15" hidden="false" customHeight="false" outlineLevel="0" collapsed="false">
      <c r="A2283" s="39" t="s">
        <v>2340</v>
      </c>
      <c r="B2283" s="40" t="n">
        <v>45955</v>
      </c>
      <c r="C2283" s="39" t="s">
        <v>183</v>
      </c>
      <c r="D2283" s="39" t="n">
        <v>8</v>
      </c>
      <c r="E2283" s="41" t="n">
        <v>187.93</v>
      </c>
      <c r="F2283" s="39" t="s">
        <v>118</v>
      </c>
      <c r="G2283" s="39" t="str">
        <f aca="false">UPPER(TRIM(C2283))</f>
        <v>P007</v>
      </c>
      <c r="H2283" s="39" t="str">
        <f aca="false">IF(ISNUMBER(MATCH(G2283,Products!$A$5:$A$24,0)),"OK","Mismatch")</f>
        <v>OK</v>
      </c>
      <c r="I2283" s="39" t="str">
        <f aca="false">IF(COUNTIF($A$5:A2283,A2283)&gt;1,"Duplicate","Unique")</f>
        <v>Unique</v>
      </c>
      <c r="J2283" s="39" t="str">
        <f aca="false">IF(I2283="Duplicate","Remove",IF(H2283="Mismatch","Exclude","Keep"))</f>
        <v>Keep</v>
      </c>
    </row>
    <row r="2284" customFormat="false" ht="15" hidden="false" customHeight="false" outlineLevel="0" collapsed="false">
      <c r="A2284" s="39" t="s">
        <v>2341</v>
      </c>
      <c r="B2284" s="40" t="n">
        <v>45955</v>
      </c>
      <c r="C2284" s="39" t="s">
        <v>3156</v>
      </c>
      <c r="D2284" s="39" t="n">
        <v>3</v>
      </c>
      <c r="E2284" s="41" t="n">
        <v>176.97</v>
      </c>
      <c r="F2284" s="39" t="s">
        <v>115</v>
      </c>
      <c r="G2284" s="39" t="str">
        <f aca="false">UPPER(TRIM(C2284))</f>
        <v>P007</v>
      </c>
      <c r="H2284" s="39" t="str">
        <f aca="false">IF(ISNUMBER(MATCH(G2284,Products!$A$5:$A$24,0)),"OK","Mismatch")</f>
        <v>OK</v>
      </c>
      <c r="I2284" s="39" t="str">
        <f aca="false">IF(COUNTIF($A$5:A2284,A2284)&gt;1,"Duplicate","Unique")</f>
        <v>Unique</v>
      </c>
      <c r="J2284" s="39" t="str">
        <f aca="false">IF(I2284="Duplicate","Remove",IF(H2284="Mismatch","Exclude","Keep"))</f>
        <v>Keep</v>
      </c>
    </row>
    <row r="2285" customFormat="false" ht="15" hidden="false" customHeight="false" outlineLevel="0" collapsed="false">
      <c r="A2285" s="39" t="s">
        <v>2342</v>
      </c>
      <c r="B2285" s="40" t="n">
        <v>45955</v>
      </c>
      <c r="C2285" s="39" t="s">
        <v>117</v>
      </c>
      <c r="D2285" s="39" t="n">
        <v>5</v>
      </c>
      <c r="E2285" s="41" t="n">
        <v>31.73</v>
      </c>
      <c r="F2285" s="39" t="s">
        <v>108</v>
      </c>
      <c r="G2285" s="39" t="str">
        <f aca="false">UPPER(TRIM(C2285))</f>
        <v>P009</v>
      </c>
      <c r="H2285" s="39" t="str">
        <f aca="false">IF(ISNUMBER(MATCH(G2285,Products!$A$5:$A$24,0)),"OK","Mismatch")</f>
        <v>OK</v>
      </c>
      <c r="I2285" s="39" t="str">
        <f aca="false">IF(COUNTIF($A$5:A2285,A2285)&gt;1,"Duplicate","Unique")</f>
        <v>Unique</v>
      </c>
      <c r="J2285" s="39" t="str">
        <f aca="false">IF(I2285="Duplicate","Remove",IF(H2285="Mismatch","Exclude","Keep"))</f>
        <v>Keep</v>
      </c>
    </row>
    <row r="2286" customFormat="false" ht="15" hidden="false" customHeight="false" outlineLevel="0" collapsed="false">
      <c r="A2286" s="39" t="s">
        <v>2343</v>
      </c>
      <c r="B2286" s="40" t="n">
        <v>45955</v>
      </c>
      <c r="C2286" s="39" t="s">
        <v>177</v>
      </c>
      <c r="D2286" s="39" t="n">
        <v>2</v>
      </c>
      <c r="E2286" s="41" t="n">
        <v>43.01</v>
      </c>
      <c r="F2286" s="39" t="s">
        <v>118</v>
      </c>
      <c r="G2286" s="39" t="str">
        <f aca="false">UPPER(TRIM(C2286))</f>
        <v>P014</v>
      </c>
      <c r="H2286" s="39" t="str">
        <f aca="false">IF(ISNUMBER(MATCH(G2286,Products!$A$5:$A$24,0)),"OK","Mismatch")</f>
        <v>OK</v>
      </c>
      <c r="I2286" s="39" t="str">
        <f aca="false">IF(COUNTIF($A$5:A2286,A2286)&gt;1,"Duplicate","Unique")</f>
        <v>Unique</v>
      </c>
      <c r="J2286" s="39" t="str">
        <f aca="false">IF(I2286="Duplicate","Remove",IF(H2286="Mismatch","Exclude","Keep"))</f>
        <v>Keep</v>
      </c>
    </row>
    <row r="2287" customFormat="false" ht="15" hidden="false" customHeight="false" outlineLevel="0" collapsed="false">
      <c r="A2287" s="39" t="s">
        <v>2344</v>
      </c>
      <c r="B2287" s="40" t="n">
        <v>45956</v>
      </c>
      <c r="C2287" s="39" t="s">
        <v>114</v>
      </c>
      <c r="D2287" s="39" t="n">
        <v>3</v>
      </c>
      <c r="E2287" s="41" t="n">
        <v>5.83</v>
      </c>
      <c r="F2287" s="39" t="s">
        <v>105</v>
      </c>
      <c r="G2287" s="39" t="str">
        <f aca="false">UPPER(TRIM(C2287))</f>
        <v>P012</v>
      </c>
      <c r="H2287" s="39" t="str">
        <f aca="false">IF(ISNUMBER(MATCH(G2287,Products!$A$5:$A$24,0)),"OK","Mismatch")</f>
        <v>OK</v>
      </c>
      <c r="I2287" s="39" t="str">
        <f aca="false">IF(COUNTIF($A$5:A2287,A2287)&gt;1,"Duplicate","Unique")</f>
        <v>Unique</v>
      </c>
      <c r="J2287" s="39" t="str">
        <f aca="false">IF(I2287="Duplicate","Remove",IF(H2287="Mismatch","Exclude","Keep"))</f>
        <v>Keep</v>
      </c>
    </row>
    <row r="2288" customFormat="false" ht="15" hidden="false" customHeight="false" outlineLevel="0" collapsed="false">
      <c r="A2288" s="39" t="s">
        <v>2345</v>
      </c>
      <c r="B2288" s="40" t="n">
        <v>45956</v>
      </c>
      <c r="C2288" s="39" t="s">
        <v>114</v>
      </c>
      <c r="D2288" s="39" t="n">
        <v>1</v>
      </c>
      <c r="E2288" s="41" t="n">
        <v>5.58</v>
      </c>
      <c r="F2288" s="39" t="s">
        <v>115</v>
      </c>
      <c r="G2288" s="39" t="str">
        <f aca="false">UPPER(TRIM(C2288))</f>
        <v>P012</v>
      </c>
      <c r="H2288" s="39" t="str">
        <f aca="false">IF(ISNUMBER(MATCH(G2288,Products!$A$5:$A$24,0)),"OK","Mismatch")</f>
        <v>OK</v>
      </c>
      <c r="I2288" s="39" t="str">
        <f aca="false">IF(COUNTIF($A$5:A2288,A2288)&gt;1,"Duplicate","Unique")</f>
        <v>Unique</v>
      </c>
      <c r="J2288" s="39" t="str">
        <f aca="false">IF(I2288="Duplicate","Remove",IF(H2288="Mismatch","Exclude","Keep"))</f>
        <v>Keep</v>
      </c>
    </row>
    <row r="2289" customFormat="false" ht="15" hidden="false" customHeight="false" outlineLevel="0" collapsed="false">
      <c r="A2289" s="39" t="s">
        <v>2346</v>
      </c>
      <c r="B2289" s="40" t="n">
        <v>45956</v>
      </c>
      <c r="C2289" s="39" t="s">
        <v>139</v>
      </c>
      <c r="D2289" s="39" t="n">
        <v>2</v>
      </c>
      <c r="E2289" s="41" t="n">
        <v>126.14</v>
      </c>
      <c r="F2289" s="39" t="s">
        <v>118</v>
      </c>
      <c r="G2289" s="39" t="str">
        <f aca="false">UPPER(TRIM(C2289))</f>
        <v>P006</v>
      </c>
      <c r="H2289" s="39" t="str">
        <f aca="false">IF(ISNUMBER(MATCH(G2289,Products!$A$5:$A$24,0)),"OK","Mismatch")</f>
        <v>OK</v>
      </c>
      <c r="I2289" s="39" t="str">
        <f aca="false">IF(COUNTIF($A$5:A2289,A2289)&gt;1,"Duplicate","Unique")</f>
        <v>Unique</v>
      </c>
      <c r="J2289" s="39" t="str">
        <f aca="false">IF(I2289="Duplicate","Remove",IF(H2289="Mismatch","Exclude","Keep"))</f>
        <v>Keep</v>
      </c>
    </row>
    <row r="2290" customFormat="false" ht="15" hidden="false" customHeight="false" outlineLevel="0" collapsed="false">
      <c r="A2290" s="39" t="s">
        <v>2347</v>
      </c>
      <c r="B2290" s="40" t="n">
        <v>45956</v>
      </c>
      <c r="C2290" s="39" t="s">
        <v>110</v>
      </c>
      <c r="D2290" s="39" t="n">
        <v>1</v>
      </c>
      <c r="E2290" s="41" t="n">
        <v>12.94</v>
      </c>
      <c r="F2290" s="39" t="s">
        <v>118</v>
      </c>
      <c r="G2290" s="39" t="str">
        <f aca="false">UPPER(TRIM(C2290))</f>
        <v>P016</v>
      </c>
      <c r="H2290" s="39" t="str">
        <f aca="false">IF(ISNUMBER(MATCH(G2290,Products!$A$5:$A$24,0)),"OK","Mismatch")</f>
        <v>OK</v>
      </c>
      <c r="I2290" s="39" t="str">
        <f aca="false">IF(COUNTIF($A$5:A2290,A2290)&gt;1,"Duplicate","Unique")</f>
        <v>Unique</v>
      </c>
      <c r="J2290" s="39" t="str">
        <f aca="false">IF(I2290="Duplicate","Remove",IF(H2290="Mismatch","Exclude","Keep"))</f>
        <v>Keep</v>
      </c>
    </row>
    <row r="2291" customFormat="false" ht="15" hidden="false" customHeight="false" outlineLevel="0" collapsed="false">
      <c r="A2291" s="39" t="s">
        <v>2348</v>
      </c>
      <c r="B2291" s="40" t="n">
        <v>45956</v>
      </c>
      <c r="C2291" s="39" t="s">
        <v>114</v>
      </c>
      <c r="D2291" s="39" t="n">
        <v>2</v>
      </c>
      <c r="E2291" s="41" t="n">
        <v>5.99</v>
      </c>
      <c r="F2291" s="39" t="s">
        <v>118</v>
      </c>
      <c r="G2291" s="39" t="str">
        <f aca="false">UPPER(TRIM(C2291))</f>
        <v>P012</v>
      </c>
      <c r="H2291" s="39" t="str">
        <f aca="false">IF(ISNUMBER(MATCH(G2291,Products!$A$5:$A$24,0)),"OK","Mismatch")</f>
        <v>OK</v>
      </c>
      <c r="I2291" s="39" t="str">
        <f aca="false">IF(COUNTIF($A$5:A2291,A2291)&gt;1,"Duplicate","Unique")</f>
        <v>Unique</v>
      </c>
      <c r="J2291" s="39" t="str">
        <f aca="false">IF(I2291="Duplicate","Remove",IF(H2291="Mismatch","Exclude","Keep"))</f>
        <v>Keep</v>
      </c>
    </row>
    <row r="2292" customFormat="false" ht="15" hidden="false" customHeight="false" outlineLevel="0" collapsed="false">
      <c r="A2292" s="39" t="s">
        <v>2349</v>
      </c>
      <c r="B2292" s="40" t="n">
        <v>45956</v>
      </c>
      <c r="C2292" s="39" t="s">
        <v>128</v>
      </c>
      <c r="D2292" s="39" t="n">
        <v>1</v>
      </c>
      <c r="E2292" s="41" t="n">
        <v>37.71</v>
      </c>
      <c r="F2292" s="39" t="s">
        <v>108</v>
      </c>
      <c r="G2292" s="39" t="str">
        <f aca="false">UPPER(TRIM(C2292))</f>
        <v>P020</v>
      </c>
      <c r="H2292" s="39" t="str">
        <f aca="false">IF(ISNUMBER(MATCH(G2292,Products!$A$5:$A$24,0)),"OK","Mismatch")</f>
        <v>OK</v>
      </c>
      <c r="I2292" s="39" t="str">
        <f aca="false">IF(COUNTIF($A$5:A2292,A2292)&gt;1,"Duplicate","Unique")</f>
        <v>Unique</v>
      </c>
      <c r="J2292" s="39" t="str">
        <f aca="false">IF(I2292="Duplicate","Remove",IF(H2292="Mismatch","Exclude","Keep"))</f>
        <v>Keep</v>
      </c>
    </row>
    <row r="2293" customFormat="false" ht="15" hidden="false" customHeight="false" outlineLevel="0" collapsed="false">
      <c r="A2293" s="39" t="s">
        <v>2350</v>
      </c>
      <c r="B2293" s="40" t="n">
        <v>45956</v>
      </c>
      <c r="C2293" s="39" t="s">
        <v>114</v>
      </c>
      <c r="D2293" s="39" t="n">
        <v>3</v>
      </c>
      <c r="E2293" s="41" t="n">
        <v>5.72</v>
      </c>
      <c r="F2293" s="39" t="s">
        <v>118</v>
      </c>
      <c r="G2293" s="39" t="str">
        <f aca="false">UPPER(TRIM(C2293))</f>
        <v>P012</v>
      </c>
      <c r="H2293" s="39" t="str">
        <f aca="false">IF(ISNUMBER(MATCH(G2293,Products!$A$5:$A$24,0)),"OK","Mismatch")</f>
        <v>OK</v>
      </c>
      <c r="I2293" s="39" t="str">
        <f aca="false">IF(COUNTIF($A$5:A2293,A2293)&gt;1,"Duplicate","Unique")</f>
        <v>Unique</v>
      </c>
      <c r="J2293" s="39" t="str">
        <f aca="false">IF(I2293="Duplicate","Remove",IF(H2293="Mismatch","Exclude","Keep"))</f>
        <v>Keep</v>
      </c>
    </row>
    <row r="2294" customFormat="false" ht="15" hidden="false" customHeight="false" outlineLevel="0" collapsed="false">
      <c r="A2294" s="39" t="s">
        <v>2351</v>
      </c>
      <c r="B2294" s="40" t="n">
        <v>45956</v>
      </c>
      <c r="C2294" s="39" t="s">
        <v>126</v>
      </c>
      <c r="D2294" s="39" t="n">
        <v>4</v>
      </c>
      <c r="E2294" s="41" t="n">
        <v>24.61</v>
      </c>
      <c r="F2294" s="39" t="s">
        <v>118</v>
      </c>
      <c r="G2294" s="39" t="str">
        <f aca="false">UPPER(TRIM(C2294))</f>
        <v>P001</v>
      </c>
      <c r="H2294" s="39" t="str">
        <f aca="false">IF(ISNUMBER(MATCH(G2294,Products!$A$5:$A$24,0)),"OK","Mismatch")</f>
        <v>OK</v>
      </c>
      <c r="I2294" s="39" t="str">
        <f aca="false">IF(COUNTIF($A$5:A2294,A2294)&gt;1,"Duplicate","Unique")</f>
        <v>Unique</v>
      </c>
      <c r="J2294" s="39" t="str">
        <f aca="false">IF(I2294="Duplicate","Remove",IF(H2294="Mismatch","Exclude","Keep"))</f>
        <v>Keep</v>
      </c>
    </row>
    <row r="2295" customFormat="false" ht="15" hidden="false" customHeight="false" outlineLevel="0" collapsed="false">
      <c r="A2295" s="39" t="s">
        <v>2352</v>
      </c>
      <c r="B2295" s="40" t="n">
        <v>45957</v>
      </c>
      <c r="C2295" s="39" t="s">
        <v>162</v>
      </c>
      <c r="D2295" s="39" t="n">
        <v>1</v>
      </c>
      <c r="E2295" s="41" t="n">
        <v>66.33</v>
      </c>
      <c r="F2295" s="39" t="s">
        <v>108</v>
      </c>
      <c r="G2295" s="39" t="str">
        <f aca="false">UPPER(TRIM(C2295))</f>
        <v>P017</v>
      </c>
      <c r="H2295" s="39" t="str">
        <f aca="false">IF(ISNUMBER(MATCH(G2295,Products!$A$5:$A$24,0)),"OK","Mismatch")</f>
        <v>OK</v>
      </c>
      <c r="I2295" s="39" t="str">
        <f aca="false">IF(COUNTIF($A$5:A2295,A2295)&gt;1,"Duplicate","Unique")</f>
        <v>Unique</v>
      </c>
      <c r="J2295" s="39" t="str">
        <f aca="false">IF(I2295="Duplicate","Remove",IF(H2295="Mismatch","Exclude","Keep"))</f>
        <v>Keep</v>
      </c>
    </row>
    <row r="2296" customFormat="false" ht="15" hidden="false" customHeight="false" outlineLevel="0" collapsed="false">
      <c r="A2296" s="39" t="s">
        <v>2352</v>
      </c>
      <c r="B2296" s="40" t="n">
        <v>45957</v>
      </c>
      <c r="C2296" s="39" t="s">
        <v>162</v>
      </c>
      <c r="D2296" s="39" t="n">
        <v>1</v>
      </c>
      <c r="E2296" s="41" t="n">
        <v>66.33</v>
      </c>
      <c r="F2296" s="39" t="s">
        <v>108</v>
      </c>
      <c r="G2296" s="39" t="str">
        <f aca="false">UPPER(TRIM(C2296))</f>
        <v>P017</v>
      </c>
      <c r="H2296" s="39" t="str">
        <f aca="false">IF(ISNUMBER(MATCH(G2296,Products!$A$5:$A$24,0)),"OK","Mismatch")</f>
        <v>OK</v>
      </c>
      <c r="I2296" s="39" t="str">
        <f aca="false">IF(COUNTIF($A$5:A2296,A2296)&gt;1,"Duplicate","Unique")</f>
        <v>Duplicate</v>
      </c>
      <c r="J2296" s="39" t="str">
        <f aca="false">IF(I2296="Duplicate","Remove",IF(H2296="Mismatch","Exclude","Keep"))</f>
        <v>Remove</v>
      </c>
    </row>
    <row r="2297" customFormat="false" ht="15" hidden="false" customHeight="false" outlineLevel="0" collapsed="false">
      <c r="A2297" s="39" t="s">
        <v>2353</v>
      </c>
      <c r="B2297" s="40" t="n">
        <v>45957</v>
      </c>
      <c r="C2297" s="39" t="s">
        <v>169</v>
      </c>
      <c r="D2297" s="39" t="n">
        <v>1</v>
      </c>
      <c r="E2297" s="41" t="n">
        <v>26.8</v>
      </c>
      <c r="F2297" s="39" t="s">
        <v>105</v>
      </c>
      <c r="G2297" s="39" t="str">
        <f aca="false">UPPER(TRIM(C2297))</f>
        <v>P004</v>
      </c>
      <c r="H2297" s="39" t="str">
        <f aca="false">IF(ISNUMBER(MATCH(G2297,Products!$A$5:$A$24,0)),"OK","Mismatch")</f>
        <v>OK</v>
      </c>
      <c r="I2297" s="39" t="str">
        <f aca="false">IF(COUNTIF($A$5:A2297,A2297)&gt;1,"Duplicate","Unique")</f>
        <v>Unique</v>
      </c>
      <c r="J2297" s="39" t="str">
        <f aca="false">IF(I2297="Duplicate","Remove",IF(H2297="Mismatch","Exclude","Keep"))</f>
        <v>Keep</v>
      </c>
    </row>
    <row r="2298" customFormat="false" ht="15" hidden="false" customHeight="false" outlineLevel="0" collapsed="false">
      <c r="A2298" s="39" t="s">
        <v>2354</v>
      </c>
      <c r="B2298" s="40" t="n">
        <v>45957</v>
      </c>
      <c r="C2298" s="39" t="s">
        <v>126</v>
      </c>
      <c r="D2298" s="39" t="n">
        <v>3</v>
      </c>
      <c r="E2298" s="41" t="n">
        <v>24.38</v>
      </c>
      <c r="F2298" s="39" t="s">
        <v>108</v>
      </c>
      <c r="G2298" s="39" t="str">
        <f aca="false">UPPER(TRIM(C2298))</f>
        <v>P001</v>
      </c>
      <c r="H2298" s="39" t="str">
        <f aca="false">IF(ISNUMBER(MATCH(G2298,Products!$A$5:$A$24,0)),"OK","Mismatch")</f>
        <v>OK</v>
      </c>
      <c r="I2298" s="39" t="str">
        <f aca="false">IF(COUNTIF($A$5:A2298,A2298)&gt;1,"Duplicate","Unique")</f>
        <v>Unique</v>
      </c>
      <c r="J2298" s="39" t="str">
        <f aca="false">IF(I2298="Duplicate","Remove",IF(H2298="Mismatch","Exclude","Keep"))</f>
        <v>Keep</v>
      </c>
    </row>
    <row r="2299" customFormat="false" ht="15" hidden="false" customHeight="false" outlineLevel="0" collapsed="false">
      <c r="A2299" s="39" t="s">
        <v>2355</v>
      </c>
      <c r="B2299" s="40" t="n">
        <v>45957</v>
      </c>
      <c r="C2299" s="39" t="s">
        <v>169</v>
      </c>
      <c r="D2299" s="39" t="n">
        <v>2</v>
      </c>
      <c r="E2299" s="41" t="n">
        <v>26.97</v>
      </c>
      <c r="F2299" s="39" t="s">
        <v>108</v>
      </c>
      <c r="G2299" s="39" t="str">
        <f aca="false">UPPER(TRIM(C2299))</f>
        <v>P004</v>
      </c>
      <c r="H2299" s="39" t="str">
        <f aca="false">IF(ISNUMBER(MATCH(G2299,Products!$A$5:$A$24,0)),"OK","Mismatch")</f>
        <v>OK</v>
      </c>
      <c r="I2299" s="39" t="str">
        <f aca="false">IF(COUNTIF($A$5:A2299,A2299)&gt;1,"Duplicate","Unique")</f>
        <v>Unique</v>
      </c>
      <c r="J2299" s="39" t="str">
        <f aca="false">IF(I2299="Duplicate","Remove",IF(H2299="Mismatch","Exclude","Keep"))</f>
        <v>Keep</v>
      </c>
    </row>
    <row r="2300" customFormat="false" ht="15" hidden="false" customHeight="false" outlineLevel="0" collapsed="false">
      <c r="A2300" s="39" t="s">
        <v>2356</v>
      </c>
      <c r="B2300" s="40" t="n">
        <v>45957</v>
      </c>
      <c r="C2300" s="39" t="s">
        <v>136</v>
      </c>
      <c r="D2300" s="39" t="n">
        <v>4</v>
      </c>
      <c r="E2300" s="41" t="n">
        <v>73.81</v>
      </c>
      <c r="F2300" s="39" t="s">
        <v>118</v>
      </c>
      <c r="G2300" s="39" t="str">
        <f aca="false">UPPER(TRIM(C2300))</f>
        <v>P002</v>
      </c>
      <c r="H2300" s="39" t="str">
        <f aca="false">IF(ISNUMBER(MATCH(G2300,Products!$A$5:$A$24,0)),"OK","Mismatch")</f>
        <v>OK</v>
      </c>
      <c r="I2300" s="39" t="str">
        <f aca="false">IF(COUNTIF($A$5:A2300,A2300)&gt;1,"Duplicate","Unique")</f>
        <v>Unique</v>
      </c>
      <c r="J2300" s="39" t="str">
        <f aca="false">IF(I2300="Duplicate","Remove",IF(H2300="Mismatch","Exclude","Keep"))</f>
        <v>Keep</v>
      </c>
    </row>
    <row r="2301" customFormat="false" ht="15" hidden="false" customHeight="false" outlineLevel="0" collapsed="false">
      <c r="A2301" s="39" t="s">
        <v>2357</v>
      </c>
      <c r="B2301" s="40" t="n">
        <v>45957</v>
      </c>
      <c r="C2301" s="39" t="s">
        <v>117</v>
      </c>
      <c r="D2301" s="39" t="n">
        <v>2</v>
      </c>
      <c r="E2301" s="41" t="n">
        <v>31.27</v>
      </c>
      <c r="F2301" s="39" t="s">
        <v>105</v>
      </c>
      <c r="G2301" s="39" t="str">
        <f aca="false">UPPER(TRIM(C2301))</f>
        <v>P009</v>
      </c>
      <c r="H2301" s="39" t="str">
        <f aca="false">IF(ISNUMBER(MATCH(G2301,Products!$A$5:$A$24,0)),"OK","Mismatch")</f>
        <v>OK</v>
      </c>
      <c r="I2301" s="39" t="str">
        <f aca="false">IF(COUNTIF($A$5:A2301,A2301)&gt;1,"Duplicate","Unique")</f>
        <v>Unique</v>
      </c>
      <c r="J2301" s="39" t="str">
        <f aca="false">IF(I2301="Duplicate","Remove",IF(H2301="Mismatch","Exclude","Keep"))</f>
        <v>Keep</v>
      </c>
    </row>
    <row r="2302" customFormat="false" ht="15" hidden="false" customHeight="false" outlineLevel="0" collapsed="false">
      <c r="A2302" s="39" t="s">
        <v>2358</v>
      </c>
      <c r="B2302" s="40" t="n">
        <v>45957</v>
      </c>
      <c r="C2302" s="39" t="s">
        <v>183</v>
      </c>
      <c r="D2302" s="39" t="n">
        <v>2</v>
      </c>
      <c r="E2302" s="41" t="n">
        <v>185.82</v>
      </c>
      <c r="F2302" s="39" t="s">
        <v>105</v>
      </c>
      <c r="G2302" s="39" t="str">
        <f aca="false">UPPER(TRIM(C2302))</f>
        <v>P007</v>
      </c>
      <c r="H2302" s="39" t="str">
        <f aca="false">IF(ISNUMBER(MATCH(G2302,Products!$A$5:$A$24,0)),"OK","Mismatch")</f>
        <v>OK</v>
      </c>
      <c r="I2302" s="39" t="str">
        <f aca="false">IF(COUNTIF($A$5:A2302,A2302)&gt;1,"Duplicate","Unique")</f>
        <v>Unique</v>
      </c>
      <c r="J2302" s="39" t="str">
        <f aca="false">IF(I2302="Duplicate","Remove",IF(H2302="Mismatch","Exclude","Keep"))</f>
        <v>Keep</v>
      </c>
    </row>
    <row r="2303" customFormat="false" ht="15" hidden="false" customHeight="false" outlineLevel="0" collapsed="false">
      <c r="A2303" s="39" t="s">
        <v>2359</v>
      </c>
      <c r="B2303" s="40" t="n">
        <v>45957</v>
      </c>
      <c r="C2303" s="39" t="s">
        <v>128</v>
      </c>
      <c r="D2303" s="39" t="n">
        <v>1</v>
      </c>
      <c r="E2303" s="41" t="n">
        <v>38.69</v>
      </c>
      <c r="F2303" s="39" t="s">
        <v>105</v>
      </c>
      <c r="G2303" s="39" t="str">
        <f aca="false">UPPER(TRIM(C2303))</f>
        <v>P020</v>
      </c>
      <c r="H2303" s="39" t="str">
        <f aca="false">IF(ISNUMBER(MATCH(G2303,Products!$A$5:$A$24,0)),"OK","Mismatch")</f>
        <v>OK</v>
      </c>
      <c r="I2303" s="39" t="str">
        <f aca="false">IF(COUNTIF($A$5:A2303,A2303)&gt;1,"Duplicate","Unique")</f>
        <v>Unique</v>
      </c>
      <c r="J2303" s="39" t="str">
        <f aca="false">IF(I2303="Duplicate","Remove",IF(H2303="Mismatch","Exclude","Keep"))</f>
        <v>Keep</v>
      </c>
    </row>
    <row r="2304" customFormat="false" ht="15" hidden="false" customHeight="false" outlineLevel="0" collapsed="false">
      <c r="A2304" s="39" t="s">
        <v>2360</v>
      </c>
      <c r="B2304" s="40" t="n">
        <v>45957</v>
      </c>
      <c r="C2304" s="39" t="s">
        <v>153</v>
      </c>
      <c r="D2304" s="39" t="n">
        <v>1</v>
      </c>
      <c r="E2304" s="41" t="n">
        <v>176.84</v>
      </c>
      <c r="F2304" s="39" t="s">
        <v>118</v>
      </c>
      <c r="G2304" s="39" t="str">
        <f aca="false">UPPER(TRIM(C2304))</f>
        <v>P010</v>
      </c>
      <c r="H2304" s="39" t="str">
        <f aca="false">IF(ISNUMBER(MATCH(G2304,Products!$A$5:$A$24,0)),"OK","Mismatch")</f>
        <v>OK</v>
      </c>
      <c r="I2304" s="39" t="str">
        <f aca="false">IF(COUNTIF($A$5:A2304,A2304)&gt;1,"Duplicate","Unique")</f>
        <v>Unique</v>
      </c>
      <c r="J2304" s="39" t="str">
        <f aca="false">IF(I2304="Duplicate","Remove",IF(H2304="Mismatch","Exclude","Keep"))</f>
        <v>Keep</v>
      </c>
    </row>
    <row r="2305" customFormat="false" ht="15" hidden="false" customHeight="false" outlineLevel="0" collapsed="false">
      <c r="A2305" s="39" t="s">
        <v>2361</v>
      </c>
      <c r="B2305" s="40" t="n">
        <v>45957</v>
      </c>
      <c r="C2305" s="39" t="s">
        <v>130</v>
      </c>
      <c r="D2305" s="39" t="n">
        <v>3</v>
      </c>
      <c r="E2305" s="41" t="n">
        <v>8.57</v>
      </c>
      <c r="F2305" s="39" t="s">
        <v>115</v>
      </c>
      <c r="G2305" s="39" t="str">
        <f aca="false">UPPER(TRIM(C2305))</f>
        <v>P011</v>
      </c>
      <c r="H2305" s="39" t="str">
        <f aca="false">IF(ISNUMBER(MATCH(G2305,Products!$A$5:$A$24,0)),"OK","Mismatch")</f>
        <v>OK</v>
      </c>
      <c r="I2305" s="39" t="str">
        <f aca="false">IF(COUNTIF($A$5:A2305,A2305)&gt;1,"Duplicate","Unique")</f>
        <v>Unique</v>
      </c>
      <c r="J2305" s="39" t="str">
        <f aca="false">IF(I2305="Duplicate","Remove",IF(H2305="Mismatch","Exclude","Keep"))</f>
        <v>Keep</v>
      </c>
    </row>
    <row r="2306" customFormat="false" ht="15" hidden="false" customHeight="false" outlineLevel="0" collapsed="false">
      <c r="A2306" s="39" t="s">
        <v>2362</v>
      </c>
      <c r="B2306" s="40" t="n">
        <v>45958</v>
      </c>
      <c r="C2306" s="39" t="s">
        <v>104</v>
      </c>
      <c r="D2306" s="39" t="n">
        <v>3</v>
      </c>
      <c r="E2306" s="41" t="n">
        <v>15.54</v>
      </c>
      <c r="F2306" s="39" t="s">
        <v>108</v>
      </c>
      <c r="G2306" s="39" t="str">
        <f aca="false">UPPER(TRIM(C2306))</f>
        <v>P015</v>
      </c>
      <c r="H2306" s="39" t="str">
        <f aca="false">IF(ISNUMBER(MATCH(G2306,Products!$A$5:$A$24,0)),"OK","Mismatch")</f>
        <v>OK</v>
      </c>
      <c r="I2306" s="39" t="str">
        <f aca="false">IF(COUNTIF($A$5:A2306,A2306)&gt;1,"Duplicate","Unique")</f>
        <v>Unique</v>
      </c>
      <c r="J2306" s="39" t="str">
        <f aca="false">IF(I2306="Duplicate","Remove",IF(H2306="Mismatch","Exclude","Keep"))</f>
        <v>Keep</v>
      </c>
    </row>
    <row r="2307" customFormat="false" ht="15" hidden="false" customHeight="false" outlineLevel="0" collapsed="false">
      <c r="A2307" s="39" t="s">
        <v>2363</v>
      </c>
      <c r="B2307" s="40" t="n">
        <v>45958</v>
      </c>
      <c r="C2307" s="39" t="s">
        <v>126</v>
      </c>
      <c r="D2307" s="39" t="n">
        <v>2</v>
      </c>
      <c r="E2307" s="41" t="n">
        <v>23.03</v>
      </c>
      <c r="F2307" s="39" t="s">
        <v>115</v>
      </c>
      <c r="G2307" s="39" t="str">
        <f aca="false">UPPER(TRIM(C2307))</f>
        <v>P001</v>
      </c>
      <c r="H2307" s="39" t="str">
        <f aca="false">IF(ISNUMBER(MATCH(G2307,Products!$A$5:$A$24,0)),"OK","Mismatch")</f>
        <v>OK</v>
      </c>
      <c r="I2307" s="39" t="str">
        <f aca="false">IF(COUNTIF($A$5:A2307,A2307)&gt;1,"Duplicate","Unique")</f>
        <v>Unique</v>
      </c>
      <c r="J2307" s="39" t="str">
        <f aca="false">IF(I2307="Duplicate","Remove",IF(H2307="Mismatch","Exclude","Keep"))</f>
        <v>Keep</v>
      </c>
    </row>
    <row r="2308" customFormat="false" ht="15" hidden="false" customHeight="false" outlineLevel="0" collapsed="false">
      <c r="A2308" s="39" t="s">
        <v>2364</v>
      </c>
      <c r="B2308" s="40" t="n">
        <v>45958</v>
      </c>
      <c r="C2308" s="39" t="s">
        <v>162</v>
      </c>
      <c r="D2308" s="39" t="n">
        <v>1</v>
      </c>
      <c r="E2308" s="41" t="n">
        <v>68.12</v>
      </c>
      <c r="F2308" s="39" t="s">
        <v>108</v>
      </c>
      <c r="G2308" s="39" t="str">
        <f aca="false">UPPER(TRIM(C2308))</f>
        <v>P017</v>
      </c>
      <c r="H2308" s="39" t="str">
        <f aca="false">IF(ISNUMBER(MATCH(G2308,Products!$A$5:$A$24,0)),"OK","Mismatch")</f>
        <v>OK</v>
      </c>
      <c r="I2308" s="39" t="str">
        <f aca="false">IF(COUNTIF($A$5:A2308,A2308)&gt;1,"Duplicate","Unique")</f>
        <v>Unique</v>
      </c>
      <c r="J2308" s="39" t="str">
        <f aca="false">IF(I2308="Duplicate","Remove",IF(H2308="Mismatch","Exclude","Keep"))</f>
        <v>Keep</v>
      </c>
    </row>
    <row r="2309" customFormat="false" ht="15" hidden="false" customHeight="false" outlineLevel="0" collapsed="false">
      <c r="A2309" s="39" t="s">
        <v>2365</v>
      </c>
      <c r="B2309" s="40" t="n">
        <v>45958</v>
      </c>
      <c r="C2309" s="39" t="s">
        <v>136</v>
      </c>
      <c r="D2309" s="39" t="n">
        <v>1</v>
      </c>
      <c r="E2309" s="41" t="n">
        <v>75.82</v>
      </c>
      <c r="F2309" s="39" t="s">
        <v>118</v>
      </c>
      <c r="G2309" s="39" t="str">
        <f aca="false">UPPER(TRIM(C2309))</f>
        <v>P002</v>
      </c>
      <c r="H2309" s="39" t="str">
        <f aca="false">IF(ISNUMBER(MATCH(G2309,Products!$A$5:$A$24,0)),"OK","Mismatch")</f>
        <v>OK</v>
      </c>
      <c r="I2309" s="39" t="str">
        <f aca="false">IF(COUNTIF($A$5:A2309,A2309)&gt;1,"Duplicate","Unique")</f>
        <v>Unique</v>
      </c>
      <c r="J2309" s="39" t="str">
        <f aca="false">IF(I2309="Duplicate","Remove",IF(H2309="Mismatch","Exclude","Keep"))</f>
        <v>Keep</v>
      </c>
    </row>
    <row r="2310" customFormat="false" ht="15" hidden="false" customHeight="false" outlineLevel="0" collapsed="false">
      <c r="A2310" s="39" t="s">
        <v>2366</v>
      </c>
      <c r="B2310" s="40" t="n">
        <v>45958</v>
      </c>
      <c r="C2310" s="39" t="s">
        <v>153</v>
      </c>
      <c r="D2310" s="39" t="n">
        <v>2</v>
      </c>
      <c r="E2310" s="41" t="n">
        <v>167.11</v>
      </c>
      <c r="F2310" s="39" t="s">
        <v>115</v>
      </c>
      <c r="G2310" s="39" t="str">
        <f aca="false">UPPER(TRIM(C2310))</f>
        <v>P010</v>
      </c>
      <c r="H2310" s="39" t="str">
        <f aca="false">IF(ISNUMBER(MATCH(G2310,Products!$A$5:$A$24,0)),"OK","Mismatch")</f>
        <v>OK</v>
      </c>
      <c r="I2310" s="39" t="str">
        <f aca="false">IF(COUNTIF($A$5:A2310,A2310)&gt;1,"Duplicate","Unique")</f>
        <v>Unique</v>
      </c>
      <c r="J2310" s="39" t="str">
        <f aca="false">IF(I2310="Duplicate","Remove",IF(H2310="Mismatch","Exclude","Keep"))</f>
        <v>Keep</v>
      </c>
    </row>
    <row r="2311" customFormat="false" ht="15" hidden="false" customHeight="false" outlineLevel="0" collapsed="false">
      <c r="A2311" s="39" t="s">
        <v>2367</v>
      </c>
      <c r="B2311" s="40" t="n">
        <v>45958</v>
      </c>
      <c r="C2311" s="39" t="s">
        <v>110</v>
      </c>
      <c r="D2311" s="39" t="n">
        <v>2</v>
      </c>
      <c r="E2311" s="41" t="n">
        <v>13.97</v>
      </c>
      <c r="F2311" s="39" t="s">
        <v>115</v>
      </c>
      <c r="G2311" s="39" t="str">
        <f aca="false">UPPER(TRIM(C2311))</f>
        <v>P016</v>
      </c>
      <c r="H2311" s="39" t="str">
        <f aca="false">IF(ISNUMBER(MATCH(G2311,Products!$A$5:$A$24,0)),"OK","Mismatch")</f>
        <v>OK</v>
      </c>
      <c r="I2311" s="39" t="str">
        <f aca="false">IF(COUNTIF($A$5:A2311,A2311)&gt;1,"Duplicate","Unique")</f>
        <v>Unique</v>
      </c>
      <c r="J2311" s="39" t="str">
        <f aca="false">IF(I2311="Duplicate","Remove",IF(H2311="Mismatch","Exclude","Keep"))</f>
        <v>Keep</v>
      </c>
    </row>
    <row r="2312" customFormat="false" ht="15" hidden="false" customHeight="false" outlineLevel="0" collapsed="false">
      <c r="A2312" s="39" t="s">
        <v>2368</v>
      </c>
      <c r="B2312" s="40" t="n">
        <v>45958</v>
      </c>
      <c r="C2312" s="39" t="s">
        <v>117</v>
      </c>
      <c r="D2312" s="39" t="n">
        <v>1</v>
      </c>
      <c r="E2312" s="41" t="n">
        <v>29.45</v>
      </c>
      <c r="F2312" s="39" t="s">
        <v>115</v>
      </c>
      <c r="G2312" s="39" t="str">
        <f aca="false">UPPER(TRIM(C2312))</f>
        <v>P009</v>
      </c>
      <c r="H2312" s="39" t="str">
        <f aca="false">IF(ISNUMBER(MATCH(G2312,Products!$A$5:$A$24,0)),"OK","Mismatch")</f>
        <v>OK</v>
      </c>
      <c r="I2312" s="39" t="str">
        <f aca="false">IF(COUNTIF($A$5:A2312,A2312)&gt;1,"Duplicate","Unique")</f>
        <v>Unique</v>
      </c>
      <c r="J2312" s="39" t="str">
        <f aca="false">IF(I2312="Duplicate","Remove",IF(H2312="Mismatch","Exclude","Keep"))</f>
        <v>Keep</v>
      </c>
    </row>
    <row r="2313" customFormat="false" ht="15" hidden="false" customHeight="false" outlineLevel="0" collapsed="false">
      <c r="A2313" s="39" t="s">
        <v>2369</v>
      </c>
      <c r="B2313" s="40" t="n">
        <v>45958</v>
      </c>
      <c r="C2313" s="39" t="s">
        <v>133</v>
      </c>
      <c r="D2313" s="39" t="n">
        <v>4</v>
      </c>
      <c r="E2313" s="41" t="n">
        <v>8.68</v>
      </c>
      <c r="F2313" s="39" t="s">
        <v>105</v>
      </c>
      <c r="G2313" s="39" t="str">
        <f aca="false">UPPER(TRIM(C2313))</f>
        <v>P019</v>
      </c>
      <c r="H2313" s="39" t="str">
        <f aca="false">IF(ISNUMBER(MATCH(G2313,Products!$A$5:$A$24,0)),"OK","Mismatch")</f>
        <v>OK</v>
      </c>
      <c r="I2313" s="39" t="str">
        <f aca="false">IF(COUNTIF($A$5:A2313,A2313)&gt;1,"Duplicate","Unique")</f>
        <v>Unique</v>
      </c>
      <c r="J2313" s="39" t="str">
        <f aca="false">IF(I2313="Duplicate","Remove",IF(H2313="Mismatch","Exclude","Keep"))</f>
        <v>Keep</v>
      </c>
    </row>
    <row r="2314" customFormat="false" ht="15" hidden="false" customHeight="false" outlineLevel="0" collapsed="false">
      <c r="A2314" s="39" t="s">
        <v>2370</v>
      </c>
      <c r="B2314" s="40" t="n">
        <v>45958</v>
      </c>
      <c r="C2314" s="39" t="s">
        <v>121</v>
      </c>
      <c r="D2314" s="39" t="n">
        <v>6</v>
      </c>
      <c r="E2314" s="41" t="n">
        <v>114.56</v>
      </c>
      <c r="F2314" s="39" t="s">
        <v>118</v>
      </c>
      <c r="G2314" s="39" t="str">
        <f aca="false">UPPER(TRIM(C2314))</f>
        <v>P018</v>
      </c>
      <c r="H2314" s="39" t="str">
        <f aca="false">IF(ISNUMBER(MATCH(G2314,Products!$A$5:$A$24,0)),"OK","Mismatch")</f>
        <v>OK</v>
      </c>
      <c r="I2314" s="39" t="str">
        <f aca="false">IF(COUNTIF($A$5:A2314,A2314)&gt;1,"Duplicate","Unique")</f>
        <v>Unique</v>
      </c>
      <c r="J2314" s="39" t="str">
        <f aca="false">IF(I2314="Duplicate","Remove",IF(H2314="Mismatch","Exclude","Keep"))</f>
        <v>Keep</v>
      </c>
    </row>
    <row r="2315" customFormat="false" ht="15" hidden="false" customHeight="false" outlineLevel="0" collapsed="false">
      <c r="A2315" s="39" t="s">
        <v>2371</v>
      </c>
      <c r="B2315" s="40" t="n">
        <v>45958</v>
      </c>
      <c r="C2315" s="39" t="s">
        <v>121</v>
      </c>
      <c r="D2315" s="39" t="n">
        <v>2</v>
      </c>
      <c r="E2315" s="41" t="n">
        <v>115.43</v>
      </c>
      <c r="F2315" s="39" t="s">
        <v>108</v>
      </c>
      <c r="G2315" s="39" t="str">
        <f aca="false">UPPER(TRIM(C2315))</f>
        <v>P018</v>
      </c>
      <c r="H2315" s="39" t="str">
        <f aca="false">IF(ISNUMBER(MATCH(G2315,Products!$A$5:$A$24,0)),"OK","Mismatch")</f>
        <v>OK</v>
      </c>
      <c r="I2315" s="39" t="str">
        <f aca="false">IF(COUNTIF($A$5:A2315,A2315)&gt;1,"Duplicate","Unique")</f>
        <v>Unique</v>
      </c>
      <c r="J2315" s="39" t="str">
        <f aca="false">IF(I2315="Duplicate","Remove",IF(H2315="Mismatch","Exclude","Keep"))</f>
        <v>Keep</v>
      </c>
    </row>
    <row r="2316" customFormat="false" ht="15" hidden="false" customHeight="false" outlineLevel="0" collapsed="false">
      <c r="A2316" s="39" t="s">
        <v>2372</v>
      </c>
      <c r="B2316" s="40" t="n">
        <v>45962</v>
      </c>
      <c r="C2316" s="39" t="s">
        <v>305</v>
      </c>
      <c r="D2316" s="39" t="n">
        <v>3</v>
      </c>
      <c r="E2316" s="41" t="n">
        <v>334.09</v>
      </c>
      <c r="F2316" s="39" t="s">
        <v>108</v>
      </c>
      <c r="G2316" s="39" t="str">
        <f aca="false">UPPER(TRIM(C2316))</f>
        <v>P008</v>
      </c>
      <c r="H2316" s="39" t="str">
        <f aca="false">IF(ISNUMBER(MATCH(G2316,Products!$A$5:$A$24,0)),"OK","Mismatch")</f>
        <v>OK</v>
      </c>
      <c r="I2316" s="39" t="str">
        <f aca="false">IF(COUNTIF($A$5:A2316,A2316)&gt;1,"Duplicate","Unique")</f>
        <v>Unique</v>
      </c>
      <c r="J2316" s="39" t="str">
        <f aca="false">IF(I2316="Duplicate","Remove",IF(H2316="Mismatch","Exclude","Keep"))</f>
        <v>Keep</v>
      </c>
    </row>
    <row r="2317" customFormat="false" ht="15" hidden="false" customHeight="false" outlineLevel="0" collapsed="false">
      <c r="A2317" s="39" t="s">
        <v>2373</v>
      </c>
      <c r="B2317" s="40" t="n">
        <v>45962</v>
      </c>
      <c r="C2317" s="39" t="s">
        <v>305</v>
      </c>
      <c r="D2317" s="39" t="n">
        <v>1</v>
      </c>
      <c r="E2317" s="41" t="n">
        <v>341.13</v>
      </c>
      <c r="F2317" s="39" t="s">
        <v>118</v>
      </c>
      <c r="G2317" s="39" t="str">
        <f aca="false">UPPER(TRIM(C2317))</f>
        <v>P008</v>
      </c>
      <c r="H2317" s="39" t="str">
        <f aca="false">IF(ISNUMBER(MATCH(G2317,Products!$A$5:$A$24,0)),"OK","Mismatch")</f>
        <v>OK</v>
      </c>
      <c r="I2317" s="39" t="str">
        <f aca="false">IF(COUNTIF($A$5:A2317,A2317)&gt;1,"Duplicate","Unique")</f>
        <v>Unique</v>
      </c>
      <c r="J2317" s="39" t="str">
        <f aca="false">IF(I2317="Duplicate","Remove",IF(H2317="Mismatch","Exclude","Keep"))</f>
        <v>Keep</v>
      </c>
    </row>
    <row r="2318" customFormat="false" ht="15" hidden="false" customHeight="false" outlineLevel="0" collapsed="false">
      <c r="A2318" s="39" t="s">
        <v>2374</v>
      </c>
      <c r="B2318" s="40" t="n">
        <v>45962</v>
      </c>
      <c r="C2318" s="39" t="s">
        <v>133</v>
      </c>
      <c r="D2318" s="39" t="n">
        <v>4</v>
      </c>
      <c r="E2318" s="41" t="n">
        <v>8.73</v>
      </c>
      <c r="F2318" s="39" t="s">
        <v>118</v>
      </c>
      <c r="G2318" s="39" t="str">
        <f aca="false">UPPER(TRIM(C2318))</f>
        <v>P019</v>
      </c>
      <c r="H2318" s="39" t="str">
        <f aca="false">IF(ISNUMBER(MATCH(G2318,Products!$A$5:$A$24,0)),"OK","Mismatch")</f>
        <v>OK</v>
      </c>
      <c r="I2318" s="39" t="str">
        <f aca="false">IF(COUNTIF($A$5:A2318,A2318)&gt;1,"Duplicate","Unique")</f>
        <v>Unique</v>
      </c>
      <c r="J2318" s="39" t="str">
        <f aca="false">IF(I2318="Duplicate","Remove",IF(H2318="Mismatch","Exclude","Keep"))</f>
        <v>Keep</v>
      </c>
    </row>
    <row r="2319" customFormat="false" ht="15" hidden="false" customHeight="false" outlineLevel="0" collapsed="false">
      <c r="A2319" s="39" t="s">
        <v>2375</v>
      </c>
      <c r="B2319" s="40" t="n">
        <v>45962</v>
      </c>
      <c r="C2319" s="39" t="s">
        <v>110</v>
      </c>
      <c r="D2319" s="39" t="n">
        <v>5</v>
      </c>
      <c r="E2319" s="41" t="n">
        <v>13.64</v>
      </c>
      <c r="F2319" s="39" t="s">
        <v>115</v>
      </c>
      <c r="G2319" s="39" t="str">
        <f aca="false">UPPER(TRIM(C2319))</f>
        <v>P016</v>
      </c>
      <c r="H2319" s="39" t="str">
        <f aca="false">IF(ISNUMBER(MATCH(G2319,Products!$A$5:$A$24,0)),"OK","Mismatch")</f>
        <v>OK</v>
      </c>
      <c r="I2319" s="39" t="str">
        <f aca="false">IF(COUNTIF($A$5:A2319,A2319)&gt;1,"Duplicate","Unique")</f>
        <v>Unique</v>
      </c>
      <c r="J2319" s="39" t="str">
        <f aca="false">IF(I2319="Duplicate","Remove",IF(H2319="Mismatch","Exclude","Keep"))</f>
        <v>Keep</v>
      </c>
    </row>
    <row r="2320" customFormat="false" ht="15" hidden="false" customHeight="false" outlineLevel="0" collapsed="false">
      <c r="A2320" s="39" t="s">
        <v>2376</v>
      </c>
      <c r="B2320" s="40" t="n">
        <v>45962</v>
      </c>
      <c r="C2320" s="39" t="s">
        <v>130</v>
      </c>
      <c r="D2320" s="39" t="n">
        <v>3</v>
      </c>
      <c r="E2320" s="41" t="n">
        <v>8.29</v>
      </c>
      <c r="F2320" s="39" t="s">
        <v>115</v>
      </c>
      <c r="G2320" s="39" t="str">
        <f aca="false">UPPER(TRIM(C2320))</f>
        <v>P011</v>
      </c>
      <c r="H2320" s="39" t="str">
        <f aca="false">IF(ISNUMBER(MATCH(G2320,Products!$A$5:$A$24,0)),"OK","Mismatch")</f>
        <v>OK</v>
      </c>
      <c r="I2320" s="39" t="str">
        <f aca="false">IF(COUNTIF($A$5:A2320,A2320)&gt;1,"Duplicate","Unique")</f>
        <v>Unique</v>
      </c>
      <c r="J2320" s="39" t="str">
        <f aca="false">IF(I2320="Duplicate","Remove",IF(H2320="Mismatch","Exclude","Keep"))</f>
        <v>Keep</v>
      </c>
    </row>
    <row r="2321" customFormat="false" ht="15" hidden="false" customHeight="false" outlineLevel="0" collapsed="false">
      <c r="A2321" s="39" t="s">
        <v>2377</v>
      </c>
      <c r="B2321" s="40" t="n">
        <v>45962</v>
      </c>
      <c r="C2321" s="39" t="s">
        <v>169</v>
      </c>
      <c r="D2321" s="39" t="n">
        <v>1</v>
      </c>
      <c r="E2321" s="41" t="n">
        <v>27.8</v>
      </c>
      <c r="F2321" s="39" t="s">
        <v>105</v>
      </c>
      <c r="G2321" s="39" t="str">
        <f aca="false">UPPER(TRIM(C2321))</f>
        <v>P004</v>
      </c>
      <c r="H2321" s="39" t="str">
        <f aca="false">IF(ISNUMBER(MATCH(G2321,Products!$A$5:$A$24,0)),"OK","Mismatch")</f>
        <v>OK</v>
      </c>
      <c r="I2321" s="39" t="str">
        <f aca="false">IF(COUNTIF($A$5:A2321,A2321)&gt;1,"Duplicate","Unique")</f>
        <v>Unique</v>
      </c>
      <c r="J2321" s="39" t="str">
        <f aca="false">IF(I2321="Duplicate","Remove",IF(H2321="Mismatch","Exclude","Keep"))</f>
        <v>Keep</v>
      </c>
    </row>
    <row r="2322" customFormat="false" ht="15" hidden="false" customHeight="false" outlineLevel="0" collapsed="false">
      <c r="A2322" s="39" t="s">
        <v>2378</v>
      </c>
      <c r="B2322" s="40" t="n">
        <v>45962</v>
      </c>
      <c r="C2322" s="39" t="s">
        <v>139</v>
      </c>
      <c r="D2322" s="39" t="n">
        <v>3</v>
      </c>
      <c r="E2322" s="41" t="n">
        <v>122.09</v>
      </c>
      <c r="F2322" s="39" t="s">
        <v>115</v>
      </c>
      <c r="G2322" s="39" t="str">
        <f aca="false">UPPER(TRIM(C2322))</f>
        <v>P006</v>
      </c>
      <c r="H2322" s="39" t="str">
        <f aca="false">IF(ISNUMBER(MATCH(G2322,Products!$A$5:$A$24,0)),"OK","Mismatch")</f>
        <v>OK</v>
      </c>
      <c r="I2322" s="39" t="str">
        <f aca="false">IF(COUNTIF($A$5:A2322,A2322)&gt;1,"Duplicate","Unique")</f>
        <v>Unique</v>
      </c>
      <c r="J2322" s="39" t="str">
        <f aca="false">IF(I2322="Duplicate","Remove",IF(H2322="Mismatch","Exclude","Keep"))</f>
        <v>Keep</v>
      </c>
    </row>
    <row r="2323" customFormat="false" ht="15" hidden="false" customHeight="false" outlineLevel="0" collapsed="false">
      <c r="A2323" s="39" t="s">
        <v>2379</v>
      </c>
      <c r="B2323" s="40" t="n">
        <v>45962</v>
      </c>
      <c r="C2323" s="39" t="s">
        <v>112</v>
      </c>
      <c r="D2323" s="39" t="n">
        <v>5</v>
      </c>
      <c r="E2323" s="41" t="n">
        <v>51.52</v>
      </c>
      <c r="F2323" s="39" t="s">
        <v>108</v>
      </c>
      <c r="G2323" s="39" t="str">
        <f aca="false">UPPER(TRIM(C2323))</f>
        <v>P005</v>
      </c>
      <c r="H2323" s="39" t="str">
        <f aca="false">IF(ISNUMBER(MATCH(G2323,Products!$A$5:$A$24,0)),"OK","Mismatch")</f>
        <v>OK</v>
      </c>
      <c r="I2323" s="39" t="str">
        <f aca="false">IF(COUNTIF($A$5:A2323,A2323)&gt;1,"Duplicate","Unique")</f>
        <v>Unique</v>
      </c>
      <c r="J2323" s="39" t="str">
        <f aca="false">IF(I2323="Duplicate","Remove",IF(H2323="Mismatch","Exclude","Keep"))</f>
        <v>Keep</v>
      </c>
    </row>
    <row r="2324" customFormat="false" ht="15" hidden="false" customHeight="false" outlineLevel="0" collapsed="false">
      <c r="A2324" s="39" t="s">
        <v>2380</v>
      </c>
      <c r="B2324" s="40" t="n">
        <v>45962</v>
      </c>
      <c r="C2324" s="39" t="s">
        <v>107</v>
      </c>
      <c r="D2324" s="39" t="n">
        <v>1</v>
      </c>
      <c r="E2324" s="41" t="n">
        <v>32.5</v>
      </c>
      <c r="F2324" s="39" t="s">
        <v>115</v>
      </c>
      <c r="G2324" s="39" t="str">
        <f aca="false">UPPER(TRIM(C2324))</f>
        <v>P003</v>
      </c>
      <c r="H2324" s="39" t="str">
        <f aca="false">IF(ISNUMBER(MATCH(G2324,Products!$A$5:$A$24,0)),"OK","Mismatch")</f>
        <v>OK</v>
      </c>
      <c r="I2324" s="39" t="str">
        <f aca="false">IF(COUNTIF($A$5:A2324,A2324)&gt;1,"Duplicate","Unique")</f>
        <v>Unique</v>
      </c>
      <c r="J2324" s="39" t="str">
        <f aca="false">IF(I2324="Duplicate","Remove",IF(H2324="Mismatch","Exclude","Keep"))</f>
        <v>Keep</v>
      </c>
    </row>
    <row r="2325" customFormat="false" ht="15" hidden="false" customHeight="false" outlineLevel="0" collapsed="false">
      <c r="A2325" s="39" t="s">
        <v>2381</v>
      </c>
      <c r="B2325" s="40" t="n">
        <v>45962</v>
      </c>
      <c r="C2325" s="39" t="s">
        <v>114</v>
      </c>
      <c r="D2325" s="39" t="n">
        <v>2</v>
      </c>
      <c r="E2325" s="41" t="n">
        <v>5.99</v>
      </c>
      <c r="F2325" s="39" t="s">
        <v>105</v>
      </c>
      <c r="G2325" s="39" t="str">
        <f aca="false">UPPER(TRIM(C2325))</f>
        <v>P012</v>
      </c>
      <c r="H2325" s="39" t="str">
        <f aca="false">IF(ISNUMBER(MATCH(G2325,Products!$A$5:$A$24,0)),"OK","Mismatch")</f>
        <v>OK</v>
      </c>
      <c r="I2325" s="39" t="str">
        <f aca="false">IF(COUNTIF($A$5:A2325,A2325)&gt;1,"Duplicate","Unique")</f>
        <v>Unique</v>
      </c>
      <c r="J2325" s="39" t="str">
        <f aca="false">IF(I2325="Duplicate","Remove",IF(H2325="Mismatch","Exclude","Keep"))</f>
        <v>Keep</v>
      </c>
    </row>
    <row r="2326" customFormat="false" ht="15" hidden="false" customHeight="false" outlineLevel="0" collapsed="false">
      <c r="A2326" s="39" t="s">
        <v>2382</v>
      </c>
      <c r="B2326" s="40" t="n">
        <v>45962</v>
      </c>
      <c r="C2326" s="39" t="s">
        <v>133</v>
      </c>
      <c r="D2326" s="39" t="n">
        <v>1</v>
      </c>
      <c r="E2326" s="41" t="n">
        <v>8.89</v>
      </c>
      <c r="F2326" s="39" t="s">
        <v>105</v>
      </c>
      <c r="G2326" s="39" t="str">
        <f aca="false">UPPER(TRIM(C2326))</f>
        <v>P019</v>
      </c>
      <c r="H2326" s="39" t="str">
        <f aca="false">IF(ISNUMBER(MATCH(G2326,Products!$A$5:$A$24,0)),"OK","Mismatch")</f>
        <v>OK</v>
      </c>
      <c r="I2326" s="39" t="str">
        <f aca="false">IF(COUNTIF($A$5:A2326,A2326)&gt;1,"Duplicate","Unique")</f>
        <v>Unique</v>
      </c>
      <c r="J2326" s="39" t="str">
        <f aca="false">IF(I2326="Duplicate","Remove",IF(H2326="Mismatch","Exclude","Keep"))</f>
        <v>Keep</v>
      </c>
    </row>
    <row r="2327" customFormat="false" ht="15" hidden="false" customHeight="false" outlineLevel="0" collapsed="false">
      <c r="A2327" s="39" t="s">
        <v>2383</v>
      </c>
      <c r="B2327" s="40" t="n">
        <v>45962</v>
      </c>
      <c r="C2327" s="39" t="s">
        <v>114</v>
      </c>
      <c r="D2327" s="39" t="n">
        <v>1</v>
      </c>
      <c r="E2327" s="41" t="n">
        <v>5.73</v>
      </c>
      <c r="F2327" s="39" t="s">
        <v>108</v>
      </c>
      <c r="G2327" s="39" t="str">
        <f aca="false">UPPER(TRIM(C2327))</f>
        <v>P012</v>
      </c>
      <c r="H2327" s="39" t="str">
        <f aca="false">IF(ISNUMBER(MATCH(G2327,Products!$A$5:$A$24,0)),"OK","Mismatch")</f>
        <v>OK</v>
      </c>
      <c r="I2327" s="39" t="str">
        <f aca="false">IF(COUNTIF($A$5:A2327,A2327)&gt;1,"Duplicate","Unique")</f>
        <v>Unique</v>
      </c>
      <c r="J2327" s="39" t="str">
        <f aca="false">IF(I2327="Duplicate","Remove",IF(H2327="Mismatch","Exclude","Keep"))</f>
        <v>Keep</v>
      </c>
    </row>
    <row r="2328" customFormat="false" ht="15" hidden="false" customHeight="false" outlineLevel="0" collapsed="false">
      <c r="A2328" s="39" t="s">
        <v>2384</v>
      </c>
      <c r="B2328" s="40" t="n">
        <v>45962</v>
      </c>
      <c r="C2328" s="39" t="s">
        <v>104</v>
      </c>
      <c r="D2328" s="39" t="n">
        <v>2</v>
      </c>
      <c r="E2328" s="41" t="n">
        <v>15.74</v>
      </c>
      <c r="F2328" s="39" t="s">
        <v>105</v>
      </c>
      <c r="G2328" s="39" t="str">
        <f aca="false">UPPER(TRIM(C2328))</f>
        <v>P015</v>
      </c>
      <c r="H2328" s="39" t="str">
        <f aca="false">IF(ISNUMBER(MATCH(G2328,Products!$A$5:$A$24,0)),"OK","Mismatch")</f>
        <v>OK</v>
      </c>
      <c r="I2328" s="39" t="str">
        <f aca="false">IF(COUNTIF($A$5:A2328,A2328)&gt;1,"Duplicate","Unique")</f>
        <v>Unique</v>
      </c>
      <c r="J2328" s="39" t="str">
        <f aca="false">IF(I2328="Duplicate","Remove",IF(H2328="Mismatch","Exclude","Keep"))</f>
        <v>Keep</v>
      </c>
    </row>
    <row r="2329" customFormat="false" ht="15" hidden="false" customHeight="false" outlineLevel="0" collapsed="false">
      <c r="A2329" s="39" t="s">
        <v>2385</v>
      </c>
      <c r="B2329" s="40" t="n">
        <v>45962</v>
      </c>
      <c r="C2329" s="39" t="s">
        <v>104</v>
      </c>
      <c r="D2329" s="39" t="n">
        <v>2</v>
      </c>
      <c r="E2329" s="41" t="n">
        <v>15.41</v>
      </c>
      <c r="F2329" s="39" t="s">
        <v>108</v>
      </c>
      <c r="G2329" s="39" t="str">
        <f aca="false">UPPER(TRIM(C2329))</f>
        <v>P015</v>
      </c>
      <c r="H2329" s="39" t="str">
        <f aca="false">IF(ISNUMBER(MATCH(G2329,Products!$A$5:$A$24,0)),"OK","Mismatch")</f>
        <v>OK</v>
      </c>
      <c r="I2329" s="39" t="str">
        <f aca="false">IF(COUNTIF($A$5:A2329,A2329)&gt;1,"Duplicate","Unique")</f>
        <v>Unique</v>
      </c>
      <c r="J2329" s="39" t="str">
        <f aca="false">IF(I2329="Duplicate","Remove",IF(H2329="Mismatch","Exclude","Keep"))</f>
        <v>Keep</v>
      </c>
    </row>
    <row r="2330" customFormat="false" ht="15" hidden="false" customHeight="false" outlineLevel="0" collapsed="false">
      <c r="A2330" s="39" t="s">
        <v>2386</v>
      </c>
      <c r="B2330" s="40" t="n">
        <v>45962</v>
      </c>
      <c r="C2330" s="39" t="s">
        <v>177</v>
      </c>
      <c r="D2330" s="39" t="n">
        <v>1</v>
      </c>
      <c r="E2330" s="41" t="n">
        <v>41.94</v>
      </c>
      <c r="F2330" s="39" t="s">
        <v>105</v>
      </c>
      <c r="G2330" s="39" t="str">
        <f aca="false">UPPER(TRIM(C2330))</f>
        <v>P014</v>
      </c>
      <c r="H2330" s="39" t="str">
        <f aca="false">IF(ISNUMBER(MATCH(G2330,Products!$A$5:$A$24,0)),"OK","Mismatch")</f>
        <v>OK</v>
      </c>
      <c r="I2330" s="39" t="str">
        <f aca="false">IF(COUNTIF($A$5:A2330,A2330)&gt;1,"Duplicate","Unique")</f>
        <v>Unique</v>
      </c>
      <c r="J2330" s="39" t="str">
        <f aca="false">IF(I2330="Duplicate","Remove",IF(H2330="Mismatch","Exclude","Keep"))</f>
        <v>Keep</v>
      </c>
    </row>
    <row r="2331" customFormat="false" ht="15" hidden="false" customHeight="false" outlineLevel="0" collapsed="false">
      <c r="A2331" s="39" t="s">
        <v>2387</v>
      </c>
      <c r="B2331" s="40" t="n">
        <v>45962</v>
      </c>
      <c r="C2331" s="39" t="s">
        <v>144</v>
      </c>
      <c r="D2331" s="39" t="n">
        <v>3</v>
      </c>
      <c r="E2331" s="41" t="n">
        <v>54.5</v>
      </c>
      <c r="F2331" s="39" t="s">
        <v>118</v>
      </c>
      <c r="G2331" s="39" t="str">
        <f aca="false">UPPER(TRIM(C2331))</f>
        <v>P013</v>
      </c>
      <c r="H2331" s="39" t="str">
        <f aca="false">IF(ISNUMBER(MATCH(G2331,Products!$A$5:$A$24,0)),"OK","Mismatch")</f>
        <v>OK</v>
      </c>
      <c r="I2331" s="39" t="str">
        <f aca="false">IF(COUNTIF($A$5:A2331,A2331)&gt;1,"Duplicate","Unique")</f>
        <v>Unique</v>
      </c>
      <c r="J2331" s="39" t="str">
        <f aca="false">IF(I2331="Duplicate","Remove",IF(H2331="Mismatch","Exclude","Keep"))</f>
        <v>Keep</v>
      </c>
    </row>
    <row r="2332" customFormat="false" ht="15" hidden="false" customHeight="false" outlineLevel="0" collapsed="false">
      <c r="A2332" s="39" t="s">
        <v>2388</v>
      </c>
      <c r="B2332" s="40" t="n">
        <v>45963</v>
      </c>
      <c r="C2332" s="39" t="s">
        <v>104</v>
      </c>
      <c r="D2332" s="39" t="n">
        <v>1</v>
      </c>
      <c r="E2332" s="41" t="n">
        <v>15.86</v>
      </c>
      <c r="F2332" s="39" t="s">
        <v>105</v>
      </c>
      <c r="G2332" s="39" t="str">
        <f aca="false">UPPER(TRIM(C2332))</f>
        <v>P015</v>
      </c>
      <c r="H2332" s="39" t="str">
        <f aca="false">IF(ISNUMBER(MATCH(G2332,Products!$A$5:$A$24,0)),"OK","Mismatch")</f>
        <v>OK</v>
      </c>
      <c r="I2332" s="39" t="str">
        <f aca="false">IF(COUNTIF($A$5:A2332,A2332)&gt;1,"Duplicate","Unique")</f>
        <v>Unique</v>
      </c>
      <c r="J2332" s="39" t="str">
        <f aca="false">IF(I2332="Duplicate","Remove",IF(H2332="Mismatch","Exclude","Keep"))</f>
        <v>Keep</v>
      </c>
    </row>
    <row r="2333" customFormat="false" ht="15" hidden="false" customHeight="false" outlineLevel="0" collapsed="false">
      <c r="A2333" s="39" t="s">
        <v>2389</v>
      </c>
      <c r="B2333" s="40" t="n">
        <v>45963</v>
      </c>
      <c r="C2333" s="39" t="s">
        <v>177</v>
      </c>
      <c r="D2333" s="39" t="n">
        <v>3</v>
      </c>
      <c r="E2333" s="41" t="n">
        <v>42.66</v>
      </c>
      <c r="F2333" s="39" t="s">
        <v>105</v>
      </c>
      <c r="G2333" s="39" t="str">
        <f aca="false">UPPER(TRIM(C2333))</f>
        <v>P014</v>
      </c>
      <c r="H2333" s="39" t="str">
        <f aca="false">IF(ISNUMBER(MATCH(G2333,Products!$A$5:$A$24,0)),"OK","Mismatch")</f>
        <v>OK</v>
      </c>
      <c r="I2333" s="39" t="str">
        <f aca="false">IF(COUNTIF($A$5:A2333,A2333)&gt;1,"Duplicate","Unique")</f>
        <v>Unique</v>
      </c>
      <c r="J2333" s="39" t="str">
        <f aca="false">IF(I2333="Duplicate","Remove",IF(H2333="Mismatch","Exclude","Keep"))</f>
        <v>Keep</v>
      </c>
    </row>
    <row r="2334" customFormat="false" ht="15" hidden="false" customHeight="false" outlineLevel="0" collapsed="false">
      <c r="A2334" s="39" t="s">
        <v>2390</v>
      </c>
      <c r="B2334" s="40" t="n">
        <v>45963</v>
      </c>
      <c r="C2334" s="39" t="s">
        <v>133</v>
      </c>
      <c r="D2334" s="39" t="n">
        <v>3</v>
      </c>
      <c r="E2334" s="41" t="n">
        <v>9</v>
      </c>
      <c r="F2334" s="39" t="s">
        <v>108</v>
      </c>
      <c r="G2334" s="39" t="str">
        <f aca="false">UPPER(TRIM(C2334))</f>
        <v>P019</v>
      </c>
      <c r="H2334" s="39" t="str">
        <f aca="false">IF(ISNUMBER(MATCH(G2334,Products!$A$5:$A$24,0)),"OK","Mismatch")</f>
        <v>OK</v>
      </c>
      <c r="I2334" s="39" t="str">
        <f aca="false">IF(COUNTIF($A$5:A2334,A2334)&gt;1,"Duplicate","Unique")</f>
        <v>Unique</v>
      </c>
      <c r="J2334" s="39" t="str">
        <f aca="false">IF(I2334="Duplicate","Remove",IF(H2334="Mismatch","Exclude","Keep"))</f>
        <v>Keep</v>
      </c>
    </row>
    <row r="2335" customFormat="false" ht="15" hidden="false" customHeight="false" outlineLevel="0" collapsed="false">
      <c r="A2335" s="39" t="s">
        <v>2391</v>
      </c>
      <c r="B2335" s="40" t="n">
        <v>45963</v>
      </c>
      <c r="C2335" s="39" t="s">
        <v>162</v>
      </c>
      <c r="D2335" s="39" t="n">
        <v>1</v>
      </c>
      <c r="E2335" s="41" t="n">
        <v>65.26</v>
      </c>
      <c r="F2335" s="39" t="s">
        <v>115</v>
      </c>
      <c r="G2335" s="39" t="str">
        <f aca="false">UPPER(TRIM(C2335))</f>
        <v>P017</v>
      </c>
      <c r="H2335" s="39" t="str">
        <f aca="false">IF(ISNUMBER(MATCH(G2335,Products!$A$5:$A$24,0)),"OK","Mismatch")</f>
        <v>OK</v>
      </c>
      <c r="I2335" s="39" t="str">
        <f aca="false">IF(COUNTIF($A$5:A2335,A2335)&gt;1,"Duplicate","Unique")</f>
        <v>Unique</v>
      </c>
      <c r="J2335" s="39" t="str">
        <f aca="false">IF(I2335="Duplicate","Remove",IF(H2335="Mismatch","Exclude","Keep"))</f>
        <v>Keep</v>
      </c>
    </row>
    <row r="2336" customFormat="false" ht="15" hidden="false" customHeight="false" outlineLevel="0" collapsed="false">
      <c r="A2336" s="39" t="s">
        <v>2392</v>
      </c>
      <c r="B2336" s="40" t="n">
        <v>45963</v>
      </c>
      <c r="C2336" s="39" t="s">
        <v>112</v>
      </c>
      <c r="D2336" s="39" t="n">
        <v>4</v>
      </c>
      <c r="E2336" s="41" t="n">
        <v>52.24</v>
      </c>
      <c r="F2336" s="39" t="s">
        <v>118</v>
      </c>
      <c r="G2336" s="39" t="str">
        <f aca="false">UPPER(TRIM(C2336))</f>
        <v>P005</v>
      </c>
      <c r="H2336" s="39" t="str">
        <f aca="false">IF(ISNUMBER(MATCH(G2336,Products!$A$5:$A$24,0)),"OK","Mismatch")</f>
        <v>OK</v>
      </c>
      <c r="I2336" s="39" t="str">
        <f aca="false">IF(COUNTIF($A$5:A2336,A2336)&gt;1,"Duplicate","Unique")</f>
        <v>Unique</v>
      </c>
      <c r="J2336" s="39" t="str">
        <f aca="false">IF(I2336="Duplicate","Remove",IF(H2336="Mismatch","Exclude","Keep"))</f>
        <v>Keep</v>
      </c>
    </row>
    <row r="2337" customFormat="false" ht="15" hidden="false" customHeight="false" outlineLevel="0" collapsed="false">
      <c r="A2337" s="39" t="s">
        <v>2393</v>
      </c>
      <c r="B2337" s="40" t="n">
        <v>45963</v>
      </c>
      <c r="C2337" s="39" t="s">
        <v>139</v>
      </c>
      <c r="D2337" s="39" t="n">
        <v>1</v>
      </c>
      <c r="E2337" s="41" t="n">
        <v>123.08</v>
      </c>
      <c r="F2337" s="39" t="s">
        <v>108</v>
      </c>
      <c r="G2337" s="39" t="str">
        <f aca="false">UPPER(TRIM(C2337))</f>
        <v>P006</v>
      </c>
      <c r="H2337" s="39" t="str">
        <f aca="false">IF(ISNUMBER(MATCH(G2337,Products!$A$5:$A$24,0)),"OK","Mismatch")</f>
        <v>OK</v>
      </c>
      <c r="I2337" s="39" t="str">
        <f aca="false">IF(COUNTIF($A$5:A2337,A2337)&gt;1,"Duplicate","Unique")</f>
        <v>Unique</v>
      </c>
      <c r="J2337" s="39" t="str">
        <f aca="false">IF(I2337="Duplicate","Remove",IF(H2337="Mismatch","Exclude","Keep"))</f>
        <v>Keep</v>
      </c>
    </row>
    <row r="2338" customFormat="false" ht="15" hidden="false" customHeight="false" outlineLevel="0" collapsed="false">
      <c r="A2338" s="39" t="s">
        <v>2394</v>
      </c>
      <c r="B2338" s="40" t="n">
        <v>45963</v>
      </c>
      <c r="C2338" s="39" t="s">
        <v>110</v>
      </c>
      <c r="D2338" s="39" t="n">
        <v>3</v>
      </c>
      <c r="E2338" s="41" t="n">
        <v>13.63</v>
      </c>
      <c r="F2338" s="39" t="s">
        <v>118</v>
      </c>
      <c r="G2338" s="39" t="str">
        <f aca="false">UPPER(TRIM(C2338))</f>
        <v>P016</v>
      </c>
      <c r="H2338" s="39" t="str">
        <f aca="false">IF(ISNUMBER(MATCH(G2338,Products!$A$5:$A$24,0)),"OK","Mismatch")</f>
        <v>OK</v>
      </c>
      <c r="I2338" s="39" t="str">
        <f aca="false">IF(COUNTIF($A$5:A2338,A2338)&gt;1,"Duplicate","Unique")</f>
        <v>Unique</v>
      </c>
      <c r="J2338" s="39" t="str">
        <f aca="false">IF(I2338="Duplicate","Remove",IF(H2338="Mismatch","Exclude","Keep"))</f>
        <v>Keep</v>
      </c>
    </row>
    <row r="2339" customFormat="false" ht="15" hidden="false" customHeight="false" outlineLevel="0" collapsed="false">
      <c r="A2339" s="39" t="s">
        <v>2395</v>
      </c>
      <c r="B2339" s="40" t="n">
        <v>45963</v>
      </c>
      <c r="C2339" s="39" t="s">
        <v>110</v>
      </c>
      <c r="D2339" s="39" t="n">
        <v>1</v>
      </c>
      <c r="E2339" s="41" t="n">
        <v>13.5</v>
      </c>
      <c r="F2339" s="39" t="s">
        <v>105</v>
      </c>
      <c r="G2339" s="39" t="str">
        <f aca="false">UPPER(TRIM(C2339))</f>
        <v>P016</v>
      </c>
      <c r="H2339" s="39" t="str">
        <f aca="false">IF(ISNUMBER(MATCH(G2339,Products!$A$5:$A$24,0)),"OK","Mismatch")</f>
        <v>OK</v>
      </c>
      <c r="I2339" s="39" t="str">
        <f aca="false">IF(COUNTIF($A$5:A2339,A2339)&gt;1,"Duplicate","Unique")</f>
        <v>Unique</v>
      </c>
      <c r="J2339" s="39" t="str">
        <f aca="false">IF(I2339="Duplicate","Remove",IF(H2339="Mismatch","Exclude","Keep"))</f>
        <v>Keep</v>
      </c>
    </row>
    <row r="2340" customFormat="false" ht="15" hidden="false" customHeight="false" outlineLevel="0" collapsed="false">
      <c r="A2340" s="39" t="s">
        <v>2396</v>
      </c>
      <c r="B2340" s="40" t="n">
        <v>45963</v>
      </c>
      <c r="C2340" s="39" t="s">
        <v>121</v>
      </c>
      <c r="D2340" s="39" t="n">
        <v>4</v>
      </c>
      <c r="E2340" s="41" t="n">
        <v>116.24</v>
      </c>
      <c r="F2340" s="39" t="s">
        <v>118</v>
      </c>
      <c r="G2340" s="39" t="str">
        <f aca="false">UPPER(TRIM(C2340))</f>
        <v>P018</v>
      </c>
      <c r="H2340" s="39" t="str">
        <f aca="false">IF(ISNUMBER(MATCH(G2340,Products!$A$5:$A$24,0)),"OK","Mismatch")</f>
        <v>OK</v>
      </c>
      <c r="I2340" s="39" t="str">
        <f aca="false">IF(COUNTIF($A$5:A2340,A2340)&gt;1,"Duplicate","Unique")</f>
        <v>Unique</v>
      </c>
      <c r="J2340" s="39" t="str">
        <f aca="false">IF(I2340="Duplicate","Remove",IF(H2340="Mismatch","Exclude","Keep"))</f>
        <v>Keep</v>
      </c>
    </row>
    <row r="2341" customFormat="false" ht="15" hidden="false" customHeight="false" outlineLevel="0" collapsed="false">
      <c r="A2341" s="39" t="s">
        <v>2397</v>
      </c>
      <c r="B2341" s="40" t="n">
        <v>45963</v>
      </c>
      <c r="C2341" s="39" t="s">
        <v>117</v>
      </c>
      <c r="D2341" s="39" t="n">
        <v>1</v>
      </c>
      <c r="E2341" s="41" t="n">
        <v>31.46</v>
      </c>
      <c r="F2341" s="39" t="s">
        <v>115</v>
      </c>
      <c r="G2341" s="39" t="str">
        <f aca="false">UPPER(TRIM(C2341))</f>
        <v>P009</v>
      </c>
      <c r="H2341" s="39" t="str">
        <f aca="false">IF(ISNUMBER(MATCH(G2341,Products!$A$5:$A$24,0)),"OK","Mismatch")</f>
        <v>OK</v>
      </c>
      <c r="I2341" s="39" t="str">
        <f aca="false">IF(COUNTIF($A$5:A2341,A2341)&gt;1,"Duplicate","Unique")</f>
        <v>Unique</v>
      </c>
      <c r="J2341" s="39" t="str">
        <f aca="false">IF(I2341="Duplicate","Remove",IF(H2341="Mismatch","Exclude","Keep"))</f>
        <v>Keep</v>
      </c>
    </row>
    <row r="2342" customFormat="false" ht="15" hidden="false" customHeight="false" outlineLevel="0" collapsed="false">
      <c r="A2342" s="39" t="s">
        <v>2397</v>
      </c>
      <c r="B2342" s="40" t="n">
        <v>45963</v>
      </c>
      <c r="C2342" s="39" t="s">
        <v>117</v>
      </c>
      <c r="D2342" s="39" t="n">
        <v>1</v>
      </c>
      <c r="E2342" s="41" t="n">
        <v>31.46</v>
      </c>
      <c r="F2342" s="39" t="s">
        <v>115</v>
      </c>
      <c r="G2342" s="39" t="str">
        <f aca="false">UPPER(TRIM(C2342))</f>
        <v>P009</v>
      </c>
      <c r="H2342" s="39" t="str">
        <f aca="false">IF(ISNUMBER(MATCH(G2342,Products!$A$5:$A$24,0)),"OK","Mismatch")</f>
        <v>OK</v>
      </c>
      <c r="I2342" s="39" t="str">
        <f aca="false">IF(COUNTIF($A$5:A2342,A2342)&gt;1,"Duplicate","Unique")</f>
        <v>Duplicate</v>
      </c>
      <c r="J2342" s="39" t="str">
        <f aca="false">IF(I2342="Duplicate","Remove",IF(H2342="Mismatch","Exclude","Keep"))</f>
        <v>Remove</v>
      </c>
    </row>
    <row r="2343" customFormat="false" ht="15" hidden="false" customHeight="false" outlineLevel="0" collapsed="false">
      <c r="A2343" s="39" t="s">
        <v>2398</v>
      </c>
      <c r="B2343" s="40" t="n">
        <v>45964</v>
      </c>
      <c r="C2343" s="39" t="s">
        <v>110</v>
      </c>
      <c r="D2343" s="39" t="n">
        <v>1</v>
      </c>
      <c r="E2343" s="41" t="n">
        <v>13.75</v>
      </c>
      <c r="F2343" s="39" t="s">
        <v>118</v>
      </c>
      <c r="G2343" s="39" t="str">
        <f aca="false">UPPER(TRIM(C2343))</f>
        <v>P016</v>
      </c>
      <c r="H2343" s="39" t="str">
        <f aca="false">IF(ISNUMBER(MATCH(G2343,Products!$A$5:$A$24,0)),"OK","Mismatch")</f>
        <v>OK</v>
      </c>
      <c r="I2343" s="39" t="str">
        <f aca="false">IF(COUNTIF($A$5:A2343,A2343)&gt;1,"Duplicate","Unique")</f>
        <v>Unique</v>
      </c>
      <c r="J2343" s="39" t="str">
        <f aca="false">IF(I2343="Duplicate","Remove",IF(H2343="Mismatch","Exclude","Keep"))</f>
        <v>Keep</v>
      </c>
    </row>
    <row r="2344" customFormat="false" ht="15" hidden="false" customHeight="false" outlineLevel="0" collapsed="false">
      <c r="A2344" s="39" t="s">
        <v>2399</v>
      </c>
      <c r="B2344" s="40" t="n">
        <v>45964</v>
      </c>
      <c r="C2344" s="39" t="s">
        <v>128</v>
      </c>
      <c r="D2344" s="39" t="n">
        <v>3</v>
      </c>
      <c r="E2344" s="41" t="n">
        <v>38.61</v>
      </c>
      <c r="F2344" s="39" t="s">
        <v>105</v>
      </c>
      <c r="G2344" s="39" t="str">
        <f aca="false">UPPER(TRIM(C2344))</f>
        <v>P020</v>
      </c>
      <c r="H2344" s="39" t="str">
        <f aca="false">IF(ISNUMBER(MATCH(G2344,Products!$A$5:$A$24,0)),"OK","Mismatch")</f>
        <v>OK</v>
      </c>
      <c r="I2344" s="39" t="str">
        <f aca="false">IF(COUNTIF($A$5:A2344,A2344)&gt;1,"Duplicate","Unique")</f>
        <v>Unique</v>
      </c>
      <c r="J2344" s="39" t="str">
        <f aca="false">IF(I2344="Duplicate","Remove",IF(H2344="Mismatch","Exclude","Keep"))</f>
        <v>Keep</v>
      </c>
    </row>
    <row r="2345" customFormat="false" ht="15" hidden="false" customHeight="false" outlineLevel="0" collapsed="false">
      <c r="A2345" s="39" t="s">
        <v>2400</v>
      </c>
      <c r="B2345" s="40" t="n">
        <v>45964</v>
      </c>
      <c r="C2345" s="39" t="s">
        <v>121</v>
      </c>
      <c r="D2345" s="39" t="n">
        <v>2</v>
      </c>
      <c r="E2345" s="41" t="n">
        <v>114.17</v>
      </c>
      <c r="F2345" s="39" t="s">
        <v>108</v>
      </c>
      <c r="G2345" s="39" t="str">
        <f aca="false">UPPER(TRIM(C2345))</f>
        <v>P018</v>
      </c>
      <c r="H2345" s="39" t="str">
        <f aca="false">IF(ISNUMBER(MATCH(G2345,Products!$A$5:$A$24,0)),"OK","Mismatch")</f>
        <v>OK</v>
      </c>
      <c r="I2345" s="39" t="str">
        <f aca="false">IF(COUNTIF($A$5:A2345,A2345)&gt;1,"Duplicate","Unique")</f>
        <v>Unique</v>
      </c>
      <c r="J2345" s="39" t="str">
        <f aca="false">IF(I2345="Duplicate","Remove",IF(H2345="Mismatch","Exclude","Keep"))</f>
        <v>Keep</v>
      </c>
    </row>
    <row r="2346" customFormat="false" ht="15" hidden="false" customHeight="false" outlineLevel="0" collapsed="false">
      <c r="A2346" s="39" t="s">
        <v>2401</v>
      </c>
      <c r="B2346" s="40" t="n">
        <v>45964</v>
      </c>
      <c r="C2346" s="39" t="s">
        <v>117</v>
      </c>
      <c r="D2346" s="39" t="n">
        <v>4</v>
      </c>
      <c r="E2346" s="41" t="n">
        <v>30.84</v>
      </c>
      <c r="F2346" s="39" t="s">
        <v>108</v>
      </c>
      <c r="G2346" s="39" t="str">
        <f aca="false">UPPER(TRIM(C2346))</f>
        <v>P009</v>
      </c>
      <c r="H2346" s="39" t="str">
        <f aca="false">IF(ISNUMBER(MATCH(G2346,Products!$A$5:$A$24,0)),"OK","Mismatch")</f>
        <v>OK</v>
      </c>
      <c r="I2346" s="39" t="str">
        <f aca="false">IF(COUNTIF($A$5:A2346,A2346)&gt;1,"Duplicate","Unique")</f>
        <v>Unique</v>
      </c>
      <c r="J2346" s="39" t="str">
        <f aca="false">IF(I2346="Duplicate","Remove",IF(H2346="Mismatch","Exclude","Keep"))</f>
        <v>Keep</v>
      </c>
    </row>
    <row r="2347" customFormat="false" ht="15" hidden="false" customHeight="false" outlineLevel="0" collapsed="false">
      <c r="A2347" s="39" t="s">
        <v>2402</v>
      </c>
      <c r="B2347" s="40" t="n">
        <v>45964</v>
      </c>
      <c r="C2347" s="39" t="s">
        <v>3188</v>
      </c>
      <c r="D2347" s="39" t="n">
        <v>2</v>
      </c>
      <c r="E2347" s="41" t="n">
        <v>27.8</v>
      </c>
      <c r="F2347" s="39" t="s">
        <v>115</v>
      </c>
      <c r="G2347" s="39" t="str">
        <f aca="false">UPPER(TRIM(C2347))</f>
        <v>P004</v>
      </c>
      <c r="H2347" s="39" t="str">
        <f aca="false">IF(ISNUMBER(MATCH(G2347,Products!$A$5:$A$24,0)),"OK","Mismatch")</f>
        <v>OK</v>
      </c>
      <c r="I2347" s="39" t="str">
        <f aca="false">IF(COUNTIF($A$5:A2347,A2347)&gt;1,"Duplicate","Unique")</f>
        <v>Unique</v>
      </c>
      <c r="J2347" s="39" t="str">
        <f aca="false">IF(I2347="Duplicate","Remove",IF(H2347="Mismatch","Exclude","Keep"))</f>
        <v>Keep</v>
      </c>
    </row>
    <row r="2348" customFormat="false" ht="15" hidden="false" customHeight="false" outlineLevel="0" collapsed="false">
      <c r="A2348" s="39" t="s">
        <v>2403</v>
      </c>
      <c r="B2348" s="40" t="n">
        <v>45964</v>
      </c>
      <c r="C2348" s="39" t="s">
        <v>112</v>
      </c>
      <c r="D2348" s="39" t="n">
        <v>2</v>
      </c>
      <c r="E2348" s="41" t="n">
        <v>52.16</v>
      </c>
      <c r="F2348" s="39" t="s">
        <v>105</v>
      </c>
      <c r="G2348" s="39" t="str">
        <f aca="false">UPPER(TRIM(C2348))</f>
        <v>P005</v>
      </c>
      <c r="H2348" s="39" t="str">
        <f aca="false">IF(ISNUMBER(MATCH(G2348,Products!$A$5:$A$24,0)),"OK","Mismatch")</f>
        <v>OK</v>
      </c>
      <c r="I2348" s="39" t="str">
        <f aca="false">IF(COUNTIF($A$5:A2348,A2348)&gt;1,"Duplicate","Unique")</f>
        <v>Unique</v>
      </c>
      <c r="J2348" s="39" t="str">
        <f aca="false">IF(I2348="Duplicate","Remove",IF(H2348="Mismatch","Exclude","Keep"))</f>
        <v>Keep</v>
      </c>
    </row>
    <row r="2349" customFormat="false" ht="15" hidden="false" customHeight="false" outlineLevel="0" collapsed="false">
      <c r="A2349" s="39" t="s">
        <v>2404</v>
      </c>
      <c r="B2349" s="40" t="n">
        <v>45964</v>
      </c>
      <c r="C2349" s="39" t="s">
        <v>114</v>
      </c>
      <c r="D2349" s="39" t="n">
        <v>3</v>
      </c>
      <c r="E2349" s="41" t="n">
        <v>5.91</v>
      </c>
      <c r="F2349" s="39" t="s">
        <v>118</v>
      </c>
      <c r="G2349" s="39" t="str">
        <f aca="false">UPPER(TRIM(C2349))</f>
        <v>P012</v>
      </c>
      <c r="H2349" s="39" t="str">
        <f aca="false">IF(ISNUMBER(MATCH(G2349,Products!$A$5:$A$24,0)),"OK","Mismatch")</f>
        <v>OK</v>
      </c>
      <c r="I2349" s="39" t="str">
        <f aca="false">IF(COUNTIF($A$5:A2349,A2349)&gt;1,"Duplicate","Unique")</f>
        <v>Unique</v>
      </c>
      <c r="J2349" s="39" t="str">
        <f aca="false">IF(I2349="Duplicate","Remove",IF(H2349="Mismatch","Exclude","Keep"))</f>
        <v>Keep</v>
      </c>
    </row>
    <row r="2350" customFormat="false" ht="15" hidden="false" customHeight="false" outlineLevel="0" collapsed="false">
      <c r="A2350" s="39" t="s">
        <v>2405</v>
      </c>
      <c r="B2350" s="40" t="n">
        <v>45964</v>
      </c>
      <c r="C2350" s="39" t="s">
        <v>133</v>
      </c>
      <c r="D2350" s="39" t="n">
        <v>2</v>
      </c>
      <c r="E2350" s="41" t="n">
        <v>8.54</v>
      </c>
      <c r="F2350" s="39" t="s">
        <v>118</v>
      </c>
      <c r="G2350" s="39" t="str">
        <f aca="false">UPPER(TRIM(C2350))</f>
        <v>P019</v>
      </c>
      <c r="H2350" s="39" t="str">
        <f aca="false">IF(ISNUMBER(MATCH(G2350,Products!$A$5:$A$24,0)),"OK","Mismatch")</f>
        <v>OK</v>
      </c>
      <c r="I2350" s="39" t="str">
        <f aca="false">IF(COUNTIF($A$5:A2350,A2350)&gt;1,"Duplicate","Unique")</f>
        <v>Unique</v>
      </c>
      <c r="J2350" s="39" t="str">
        <f aca="false">IF(I2350="Duplicate","Remove",IF(H2350="Mismatch","Exclude","Keep"))</f>
        <v>Keep</v>
      </c>
    </row>
    <row r="2351" customFormat="false" ht="15" hidden="false" customHeight="false" outlineLevel="0" collapsed="false">
      <c r="A2351" s="39" t="s">
        <v>2406</v>
      </c>
      <c r="B2351" s="40" t="n">
        <v>45964</v>
      </c>
      <c r="C2351" s="39" t="s">
        <v>112</v>
      </c>
      <c r="D2351" s="39" t="n">
        <v>4</v>
      </c>
      <c r="E2351" s="41" t="n">
        <v>53.63</v>
      </c>
      <c r="F2351" s="39" t="s">
        <v>108</v>
      </c>
      <c r="G2351" s="39" t="str">
        <f aca="false">UPPER(TRIM(C2351))</f>
        <v>P005</v>
      </c>
      <c r="H2351" s="39" t="str">
        <f aca="false">IF(ISNUMBER(MATCH(G2351,Products!$A$5:$A$24,0)),"OK","Mismatch")</f>
        <v>OK</v>
      </c>
      <c r="I2351" s="39" t="str">
        <f aca="false">IF(COUNTIF($A$5:A2351,A2351)&gt;1,"Duplicate","Unique")</f>
        <v>Unique</v>
      </c>
      <c r="J2351" s="39" t="str">
        <f aca="false">IF(I2351="Duplicate","Remove",IF(H2351="Mismatch","Exclude","Keep"))</f>
        <v>Keep</v>
      </c>
    </row>
    <row r="2352" customFormat="false" ht="15" hidden="false" customHeight="false" outlineLevel="0" collapsed="false">
      <c r="A2352" s="39" t="s">
        <v>2407</v>
      </c>
      <c r="B2352" s="40" t="n">
        <v>45964</v>
      </c>
      <c r="C2352" s="39" t="s">
        <v>126</v>
      </c>
      <c r="D2352" s="39" t="n">
        <v>2</v>
      </c>
      <c r="E2352" s="41" t="n">
        <v>24.27</v>
      </c>
      <c r="F2352" s="39" t="s">
        <v>118</v>
      </c>
      <c r="G2352" s="39" t="str">
        <f aca="false">UPPER(TRIM(C2352))</f>
        <v>P001</v>
      </c>
      <c r="H2352" s="39" t="str">
        <f aca="false">IF(ISNUMBER(MATCH(G2352,Products!$A$5:$A$24,0)),"OK","Mismatch")</f>
        <v>OK</v>
      </c>
      <c r="I2352" s="39" t="str">
        <f aca="false">IF(COUNTIF($A$5:A2352,A2352)&gt;1,"Duplicate","Unique")</f>
        <v>Unique</v>
      </c>
      <c r="J2352" s="39" t="str">
        <f aca="false">IF(I2352="Duplicate","Remove",IF(H2352="Mismatch","Exclude","Keep"))</f>
        <v>Keep</v>
      </c>
    </row>
    <row r="2353" customFormat="false" ht="15" hidden="false" customHeight="false" outlineLevel="0" collapsed="false">
      <c r="A2353" s="39" t="s">
        <v>2408</v>
      </c>
      <c r="B2353" s="40" t="n">
        <v>45964</v>
      </c>
      <c r="C2353" s="39" t="s">
        <v>114</v>
      </c>
      <c r="D2353" s="39" t="n">
        <v>2</v>
      </c>
      <c r="E2353" s="41" t="n">
        <v>5.83</v>
      </c>
      <c r="F2353" s="39" t="s">
        <v>115</v>
      </c>
      <c r="G2353" s="39" t="str">
        <f aca="false">UPPER(TRIM(C2353))</f>
        <v>P012</v>
      </c>
      <c r="H2353" s="39" t="str">
        <f aca="false">IF(ISNUMBER(MATCH(G2353,Products!$A$5:$A$24,0)),"OK","Mismatch")</f>
        <v>OK</v>
      </c>
      <c r="I2353" s="39" t="str">
        <f aca="false">IF(COUNTIF($A$5:A2353,A2353)&gt;1,"Duplicate","Unique")</f>
        <v>Unique</v>
      </c>
      <c r="J2353" s="39" t="str">
        <f aca="false">IF(I2353="Duplicate","Remove",IF(H2353="Mismatch","Exclude","Keep"))</f>
        <v>Keep</v>
      </c>
    </row>
    <row r="2354" customFormat="false" ht="15" hidden="false" customHeight="false" outlineLevel="0" collapsed="false">
      <c r="A2354" s="39" t="s">
        <v>2409</v>
      </c>
      <c r="B2354" s="40" t="n">
        <v>45965</v>
      </c>
      <c r="C2354" s="39" t="s">
        <v>139</v>
      </c>
      <c r="D2354" s="39" t="n">
        <v>1</v>
      </c>
      <c r="E2354" s="41" t="n">
        <v>121.14</v>
      </c>
      <c r="F2354" s="39" t="s">
        <v>105</v>
      </c>
      <c r="G2354" s="39" t="str">
        <f aca="false">UPPER(TRIM(C2354))</f>
        <v>P006</v>
      </c>
      <c r="H2354" s="39" t="str">
        <f aca="false">IF(ISNUMBER(MATCH(G2354,Products!$A$5:$A$24,0)),"OK","Mismatch")</f>
        <v>OK</v>
      </c>
      <c r="I2354" s="39" t="str">
        <f aca="false">IF(COUNTIF($A$5:A2354,A2354)&gt;1,"Duplicate","Unique")</f>
        <v>Unique</v>
      </c>
      <c r="J2354" s="39" t="str">
        <f aca="false">IF(I2354="Duplicate","Remove",IF(H2354="Mismatch","Exclude","Keep"))</f>
        <v>Keep</v>
      </c>
    </row>
    <row r="2355" customFormat="false" ht="15" hidden="false" customHeight="false" outlineLevel="0" collapsed="false">
      <c r="A2355" s="39" t="s">
        <v>2410</v>
      </c>
      <c r="B2355" s="40" t="n">
        <v>45965</v>
      </c>
      <c r="C2355" s="39" t="s">
        <v>117</v>
      </c>
      <c r="D2355" s="39" t="n">
        <v>4</v>
      </c>
      <c r="E2355" s="41" t="n">
        <v>30.5</v>
      </c>
      <c r="F2355" s="39" t="s">
        <v>118</v>
      </c>
      <c r="G2355" s="39" t="str">
        <f aca="false">UPPER(TRIM(C2355))</f>
        <v>P009</v>
      </c>
      <c r="H2355" s="39" t="str">
        <f aca="false">IF(ISNUMBER(MATCH(G2355,Products!$A$5:$A$24,0)),"OK","Mismatch")</f>
        <v>OK</v>
      </c>
      <c r="I2355" s="39" t="str">
        <f aca="false">IF(COUNTIF($A$5:A2355,A2355)&gt;1,"Duplicate","Unique")</f>
        <v>Unique</v>
      </c>
      <c r="J2355" s="39" t="str">
        <f aca="false">IF(I2355="Duplicate","Remove",IF(H2355="Mismatch","Exclude","Keep"))</f>
        <v>Keep</v>
      </c>
    </row>
    <row r="2356" customFormat="false" ht="15" hidden="false" customHeight="false" outlineLevel="0" collapsed="false">
      <c r="A2356" s="39" t="s">
        <v>2411</v>
      </c>
      <c r="B2356" s="40" t="n">
        <v>45965</v>
      </c>
      <c r="C2356" s="39" t="s">
        <v>130</v>
      </c>
      <c r="D2356" s="39" t="n">
        <v>5</v>
      </c>
      <c r="E2356" s="41" t="n">
        <v>8.61</v>
      </c>
      <c r="F2356" s="39" t="s">
        <v>108</v>
      </c>
      <c r="G2356" s="39" t="str">
        <f aca="false">UPPER(TRIM(C2356))</f>
        <v>P011</v>
      </c>
      <c r="H2356" s="39" t="str">
        <f aca="false">IF(ISNUMBER(MATCH(G2356,Products!$A$5:$A$24,0)),"OK","Mismatch")</f>
        <v>OK</v>
      </c>
      <c r="I2356" s="39" t="str">
        <f aca="false">IF(COUNTIF($A$5:A2356,A2356)&gt;1,"Duplicate","Unique")</f>
        <v>Unique</v>
      </c>
      <c r="J2356" s="39" t="str">
        <f aca="false">IF(I2356="Duplicate","Remove",IF(H2356="Mismatch","Exclude","Keep"))</f>
        <v>Keep</v>
      </c>
    </row>
    <row r="2357" customFormat="false" ht="15" hidden="false" customHeight="false" outlineLevel="0" collapsed="false">
      <c r="A2357" s="39" t="s">
        <v>2412</v>
      </c>
      <c r="B2357" s="40" t="n">
        <v>45965</v>
      </c>
      <c r="C2357" s="39" t="s">
        <v>126</v>
      </c>
      <c r="D2357" s="39" t="n">
        <v>1</v>
      </c>
      <c r="E2357" s="41" t="n">
        <v>23.37</v>
      </c>
      <c r="F2357" s="39" t="s">
        <v>105</v>
      </c>
      <c r="G2357" s="39" t="str">
        <f aca="false">UPPER(TRIM(C2357))</f>
        <v>P001</v>
      </c>
      <c r="H2357" s="39" t="str">
        <f aca="false">IF(ISNUMBER(MATCH(G2357,Products!$A$5:$A$24,0)),"OK","Mismatch")</f>
        <v>OK</v>
      </c>
      <c r="I2357" s="39" t="str">
        <f aca="false">IF(COUNTIF($A$5:A2357,A2357)&gt;1,"Duplicate","Unique")</f>
        <v>Unique</v>
      </c>
      <c r="J2357" s="39" t="str">
        <f aca="false">IF(I2357="Duplicate","Remove",IF(H2357="Mismatch","Exclude","Keep"))</f>
        <v>Keep</v>
      </c>
    </row>
    <row r="2358" customFormat="false" ht="15" hidden="false" customHeight="false" outlineLevel="0" collapsed="false">
      <c r="A2358" s="39" t="s">
        <v>2413</v>
      </c>
      <c r="B2358" s="40" t="n">
        <v>45965</v>
      </c>
      <c r="C2358" s="39" t="s">
        <v>169</v>
      </c>
      <c r="D2358" s="39" t="n">
        <v>3</v>
      </c>
      <c r="E2358" s="41" t="n">
        <v>28.6</v>
      </c>
      <c r="F2358" s="39" t="s">
        <v>115</v>
      </c>
      <c r="G2358" s="39" t="str">
        <f aca="false">UPPER(TRIM(C2358))</f>
        <v>P004</v>
      </c>
      <c r="H2358" s="39" t="str">
        <f aca="false">IF(ISNUMBER(MATCH(G2358,Products!$A$5:$A$24,0)),"OK","Mismatch")</f>
        <v>OK</v>
      </c>
      <c r="I2358" s="39" t="str">
        <f aca="false">IF(COUNTIF($A$5:A2358,A2358)&gt;1,"Duplicate","Unique")</f>
        <v>Unique</v>
      </c>
      <c r="J2358" s="39" t="str">
        <f aca="false">IF(I2358="Duplicate","Remove",IF(H2358="Mismatch","Exclude","Keep"))</f>
        <v>Keep</v>
      </c>
    </row>
    <row r="2359" customFormat="false" ht="15" hidden="false" customHeight="false" outlineLevel="0" collapsed="false">
      <c r="A2359" s="39" t="s">
        <v>2414</v>
      </c>
      <c r="B2359" s="40" t="n">
        <v>45965</v>
      </c>
      <c r="C2359" s="39" t="s">
        <v>104</v>
      </c>
      <c r="D2359" s="39" t="n">
        <v>2</v>
      </c>
      <c r="E2359" s="41" t="n">
        <v>15.62</v>
      </c>
      <c r="F2359" s="39" t="s">
        <v>115</v>
      </c>
      <c r="G2359" s="39" t="str">
        <f aca="false">UPPER(TRIM(C2359))</f>
        <v>P015</v>
      </c>
      <c r="H2359" s="39" t="str">
        <f aca="false">IF(ISNUMBER(MATCH(G2359,Products!$A$5:$A$24,0)),"OK","Mismatch")</f>
        <v>OK</v>
      </c>
      <c r="I2359" s="39" t="str">
        <f aca="false">IF(COUNTIF($A$5:A2359,A2359)&gt;1,"Duplicate","Unique")</f>
        <v>Unique</v>
      </c>
      <c r="J2359" s="39" t="str">
        <f aca="false">IF(I2359="Duplicate","Remove",IF(H2359="Mismatch","Exclude","Keep"))</f>
        <v>Keep</v>
      </c>
    </row>
    <row r="2360" customFormat="false" ht="15" hidden="false" customHeight="false" outlineLevel="0" collapsed="false">
      <c r="A2360" s="39" t="s">
        <v>2415</v>
      </c>
      <c r="B2360" s="40" t="n">
        <v>45965</v>
      </c>
      <c r="C2360" s="39" t="s">
        <v>305</v>
      </c>
      <c r="D2360" s="39" t="n">
        <v>2</v>
      </c>
      <c r="E2360" s="41" t="n">
        <v>331.93</v>
      </c>
      <c r="F2360" s="39" t="s">
        <v>108</v>
      </c>
      <c r="G2360" s="39" t="str">
        <f aca="false">UPPER(TRIM(C2360))</f>
        <v>P008</v>
      </c>
      <c r="H2360" s="39" t="str">
        <f aca="false">IF(ISNUMBER(MATCH(G2360,Products!$A$5:$A$24,0)),"OK","Mismatch")</f>
        <v>OK</v>
      </c>
      <c r="I2360" s="39" t="str">
        <f aca="false">IF(COUNTIF($A$5:A2360,A2360)&gt;1,"Duplicate","Unique")</f>
        <v>Unique</v>
      </c>
      <c r="J2360" s="39" t="str">
        <f aca="false">IF(I2360="Duplicate","Remove",IF(H2360="Mismatch","Exclude","Keep"))</f>
        <v>Keep</v>
      </c>
    </row>
    <row r="2361" customFormat="false" ht="15" hidden="false" customHeight="false" outlineLevel="0" collapsed="false">
      <c r="A2361" s="39" t="s">
        <v>2416</v>
      </c>
      <c r="B2361" s="40" t="n">
        <v>45965</v>
      </c>
      <c r="C2361" s="39" t="s">
        <v>126</v>
      </c>
      <c r="D2361" s="39" t="n">
        <v>1</v>
      </c>
      <c r="E2361" s="41" t="n">
        <v>24.07</v>
      </c>
      <c r="F2361" s="39" t="s">
        <v>118</v>
      </c>
      <c r="G2361" s="39" t="str">
        <f aca="false">UPPER(TRIM(C2361))</f>
        <v>P001</v>
      </c>
      <c r="H2361" s="39" t="str">
        <f aca="false">IF(ISNUMBER(MATCH(G2361,Products!$A$5:$A$24,0)),"OK","Mismatch")</f>
        <v>OK</v>
      </c>
      <c r="I2361" s="39" t="str">
        <f aca="false">IF(COUNTIF($A$5:A2361,A2361)&gt;1,"Duplicate","Unique")</f>
        <v>Unique</v>
      </c>
      <c r="J2361" s="39" t="str">
        <f aca="false">IF(I2361="Duplicate","Remove",IF(H2361="Mismatch","Exclude","Keep"))</f>
        <v>Keep</v>
      </c>
    </row>
    <row r="2362" customFormat="false" ht="15" hidden="false" customHeight="false" outlineLevel="0" collapsed="false">
      <c r="A2362" s="39" t="s">
        <v>2417</v>
      </c>
      <c r="B2362" s="40" t="n">
        <v>45965</v>
      </c>
      <c r="C2362" s="39" t="s">
        <v>144</v>
      </c>
      <c r="D2362" s="39" t="n">
        <v>1</v>
      </c>
      <c r="E2362" s="41" t="n">
        <v>56.1</v>
      </c>
      <c r="F2362" s="39" t="s">
        <v>105</v>
      </c>
      <c r="G2362" s="39" t="str">
        <f aca="false">UPPER(TRIM(C2362))</f>
        <v>P013</v>
      </c>
      <c r="H2362" s="39" t="str">
        <f aca="false">IF(ISNUMBER(MATCH(G2362,Products!$A$5:$A$24,0)),"OK","Mismatch")</f>
        <v>OK</v>
      </c>
      <c r="I2362" s="39" t="str">
        <f aca="false">IF(COUNTIF($A$5:A2362,A2362)&gt;1,"Duplicate","Unique")</f>
        <v>Unique</v>
      </c>
      <c r="J2362" s="39" t="str">
        <f aca="false">IF(I2362="Duplicate","Remove",IF(H2362="Mismatch","Exclude","Keep"))</f>
        <v>Keep</v>
      </c>
    </row>
    <row r="2363" customFormat="false" ht="15" hidden="false" customHeight="false" outlineLevel="0" collapsed="false">
      <c r="A2363" s="39" t="s">
        <v>2418</v>
      </c>
      <c r="B2363" s="40" t="n">
        <v>45965</v>
      </c>
      <c r="C2363" s="39" t="s">
        <v>114</v>
      </c>
      <c r="D2363" s="39" t="n">
        <v>1</v>
      </c>
      <c r="E2363" s="41" t="n">
        <v>5.74</v>
      </c>
      <c r="F2363" s="39" t="s">
        <v>108</v>
      </c>
      <c r="G2363" s="39" t="str">
        <f aca="false">UPPER(TRIM(C2363))</f>
        <v>P012</v>
      </c>
      <c r="H2363" s="39" t="str">
        <f aca="false">IF(ISNUMBER(MATCH(G2363,Products!$A$5:$A$24,0)),"OK","Mismatch")</f>
        <v>OK</v>
      </c>
      <c r="I2363" s="39" t="str">
        <f aca="false">IF(COUNTIF($A$5:A2363,A2363)&gt;1,"Duplicate","Unique")</f>
        <v>Unique</v>
      </c>
      <c r="J2363" s="39" t="str">
        <f aca="false">IF(I2363="Duplicate","Remove",IF(H2363="Mismatch","Exclude","Keep"))</f>
        <v>Keep</v>
      </c>
    </row>
    <row r="2364" customFormat="false" ht="15" hidden="false" customHeight="false" outlineLevel="0" collapsed="false">
      <c r="A2364" s="39" t="s">
        <v>2419</v>
      </c>
      <c r="B2364" s="40" t="n">
        <v>45965</v>
      </c>
      <c r="C2364" s="39" t="s">
        <v>305</v>
      </c>
      <c r="D2364" s="39" t="n">
        <v>5</v>
      </c>
      <c r="E2364" s="41" t="n">
        <v>339.72</v>
      </c>
      <c r="F2364" s="39" t="s">
        <v>118</v>
      </c>
      <c r="G2364" s="39" t="str">
        <f aca="false">UPPER(TRIM(C2364))</f>
        <v>P008</v>
      </c>
      <c r="H2364" s="39" t="str">
        <f aca="false">IF(ISNUMBER(MATCH(G2364,Products!$A$5:$A$24,0)),"OK","Mismatch")</f>
        <v>OK</v>
      </c>
      <c r="I2364" s="39" t="str">
        <f aca="false">IF(COUNTIF($A$5:A2364,A2364)&gt;1,"Duplicate","Unique")</f>
        <v>Unique</v>
      </c>
      <c r="J2364" s="39" t="str">
        <f aca="false">IF(I2364="Duplicate","Remove",IF(H2364="Mismatch","Exclude","Keep"))</f>
        <v>Keep</v>
      </c>
    </row>
    <row r="2365" customFormat="false" ht="15" hidden="false" customHeight="false" outlineLevel="0" collapsed="false">
      <c r="A2365" s="39" t="s">
        <v>2420</v>
      </c>
      <c r="B2365" s="40" t="n">
        <v>45965</v>
      </c>
      <c r="C2365" s="39" t="s">
        <v>114</v>
      </c>
      <c r="D2365" s="39" t="n">
        <v>3</v>
      </c>
      <c r="E2365" s="41" t="n">
        <v>5.93</v>
      </c>
      <c r="F2365" s="39" t="s">
        <v>108</v>
      </c>
      <c r="G2365" s="39" t="str">
        <f aca="false">UPPER(TRIM(C2365))</f>
        <v>P012</v>
      </c>
      <c r="H2365" s="39" t="str">
        <f aca="false">IF(ISNUMBER(MATCH(G2365,Products!$A$5:$A$24,0)),"OK","Mismatch")</f>
        <v>OK</v>
      </c>
      <c r="I2365" s="39" t="str">
        <f aca="false">IF(COUNTIF($A$5:A2365,A2365)&gt;1,"Duplicate","Unique")</f>
        <v>Unique</v>
      </c>
      <c r="J2365" s="39" t="str">
        <f aca="false">IF(I2365="Duplicate","Remove",IF(H2365="Mismatch","Exclude","Keep"))</f>
        <v>Keep</v>
      </c>
    </row>
    <row r="2366" customFormat="false" ht="15" hidden="false" customHeight="false" outlineLevel="0" collapsed="false">
      <c r="A2366" s="39" t="s">
        <v>2421</v>
      </c>
      <c r="B2366" s="40" t="n">
        <v>45965</v>
      </c>
      <c r="C2366" s="39" t="s">
        <v>126</v>
      </c>
      <c r="D2366" s="39" t="n">
        <v>1</v>
      </c>
      <c r="E2366" s="41" t="n">
        <v>23.86</v>
      </c>
      <c r="F2366" s="39" t="s">
        <v>118</v>
      </c>
      <c r="G2366" s="39" t="str">
        <f aca="false">UPPER(TRIM(C2366))</f>
        <v>P001</v>
      </c>
      <c r="H2366" s="39" t="str">
        <f aca="false">IF(ISNUMBER(MATCH(G2366,Products!$A$5:$A$24,0)),"OK","Mismatch")</f>
        <v>OK</v>
      </c>
      <c r="I2366" s="39" t="str">
        <f aca="false">IF(COUNTIF($A$5:A2366,A2366)&gt;1,"Duplicate","Unique")</f>
        <v>Unique</v>
      </c>
      <c r="J2366" s="39" t="str">
        <f aca="false">IF(I2366="Duplicate","Remove",IF(H2366="Mismatch","Exclude","Keep"))</f>
        <v>Keep</v>
      </c>
    </row>
    <row r="2367" customFormat="false" ht="15" hidden="false" customHeight="false" outlineLevel="0" collapsed="false">
      <c r="A2367" s="39" t="s">
        <v>2422</v>
      </c>
      <c r="B2367" s="40" t="n">
        <v>45965</v>
      </c>
      <c r="C2367" s="39" t="s">
        <v>169</v>
      </c>
      <c r="D2367" s="39" t="n">
        <v>3</v>
      </c>
      <c r="E2367" s="41" t="n">
        <v>27.32</v>
      </c>
      <c r="F2367" s="39" t="s">
        <v>115</v>
      </c>
      <c r="G2367" s="39" t="str">
        <f aca="false">UPPER(TRIM(C2367))</f>
        <v>P004</v>
      </c>
      <c r="H2367" s="39" t="str">
        <f aca="false">IF(ISNUMBER(MATCH(G2367,Products!$A$5:$A$24,0)),"OK","Mismatch")</f>
        <v>OK</v>
      </c>
      <c r="I2367" s="39" t="str">
        <f aca="false">IF(COUNTIF($A$5:A2367,A2367)&gt;1,"Duplicate","Unique")</f>
        <v>Unique</v>
      </c>
      <c r="J2367" s="39" t="str">
        <f aca="false">IF(I2367="Duplicate","Remove",IF(H2367="Mismatch","Exclude","Keep"))</f>
        <v>Keep</v>
      </c>
    </row>
    <row r="2368" customFormat="false" ht="15" hidden="false" customHeight="false" outlineLevel="0" collapsed="false">
      <c r="A2368" s="39" t="s">
        <v>2423</v>
      </c>
      <c r="B2368" s="40" t="n">
        <v>45965</v>
      </c>
      <c r="C2368" s="39" t="s">
        <v>133</v>
      </c>
      <c r="D2368" s="39" t="n">
        <v>2</v>
      </c>
      <c r="E2368" s="41" t="n">
        <v>9</v>
      </c>
      <c r="F2368" s="39" t="s">
        <v>115</v>
      </c>
      <c r="G2368" s="39" t="str">
        <f aca="false">UPPER(TRIM(C2368))</f>
        <v>P019</v>
      </c>
      <c r="H2368" s="39" t="str">
        <f aca="false">IF(ISNUMBER(MATCH(G2368,Products!$A$5:$A$24,0)),"OK","Mismatch")</f>
        <v>OK</v>
      </c>
      <c r="I2368" s="39" t="str">
        <f aca="false">IF(COUNTIF($A$5:A2368,A2368)&gt;1,"Duplicate","Unique")</f>
        <v>Unique</v>
      </c>
      <c r="J2368" s="39" t="str">
        <f aca="false">IF(I2368="Duplicate","Remove",IF(H2368="Mismatch","Exclude","Keep"))</f>
        <v>Keep</v>
      </c>
    </row>
    <row r="2369" customFormat="false" ht="15" hidden="false" customHeight="false" outlineLevel="0" collapsed="false">
      <c r="A2369" s="39" t="s">
        <v>2424</v>
      </c>
      <c r="B2369" s="40" t="n">
        <v>45966</v>
      </c>
      <c r="C2369" s="39" t="s">
        <v>136</v>
      </c>
      <c r="D2369" s="39" t="n">
        <v>2</v>
      </c>
      <c r="E2369" s="41" t="n">
        <v>77.01</v>
      </c>
      <c r="F2369" s="39" t="s">
        <v>105</v>
      </c>
      <c r="G2369" s="39" t="str">
        <f aca="false">UPPER(TRIM(C2369))</f>
        <v>P002</v>
      </c>
      <c r="H2369" s="39" t="str">
        <f aca="false">IF(ISNUMBER(MATCH(G2369,Products!$A$5:$A$24,0)),"OK","Mismatch")</f>
        <v>OK</v>
      </c>
      <c r="I2369" s="39" t="str">
        <f aca="false">IF(COUNTIF($A$5:A2369,A2369)&gt;1,"Duplicate","Unique")</f>
        <v>Unique</v>
      </c>
      <c r="J2369" s="39" t="str">
        <f aca="false">IF(I2369="Duplicate","Remove",IF(H2369="Mismatch","Exclude","Keep"))</f>
        <v>Keep</v>
      </c>
    </row>
    <row r="2370" customFormat="false" ht="15" hidden="false" customHeight="false" outlineLevel="0" collapsed="false">
      <c r="A2370" s="39" t="s">
        <v>2425</v>
      </c>
      <c r="B2370" s="40" t="n">
        <v>45966</v>
      </c>
      <c r="C2370" s="39" t="s">
        <v>114</v>
      </c>
      <c r="D2370" s="39" t="n">
        <v>1</v>
      </c>
      <c r="E2370" s="41" t="n">
        <v>5.99</v>
      </c>
      <c r="F2370" s="39" t="s">
        <v>118</v>
      </c>
      <c r="G2370" s="39" t="str">
        <f aca="false">UPPER(TRIM(C2370))</f>
        <v>P012</v>
      </c>
      <c r="H2370" s="39" t="str">
        <f aca="false">IF(ISNUMBER(MATCH(G2370,Products!$A$5:$A$24,0)),"OK","Mismatch")</f>
        <v>OK</v>
      </c>
      <c r="I2370" s="39" t="str">
        <f aca="false">IF(COUNTIF($A$5:A2370,A2370)&gt;1,"Duplicate","Unique")</f>
        <v>Unique</v>
      </c>
      <c r="J2370" s="39" t="str">
        <f aca="false">IF(I2370="Duplicate","Remove",IF(H2370="Mismatch","Exclude","Keep"))</f>
        <v>Keep</v>
      </c>
    </row>
    <row r="2371" customFormat="false" ht="15" hidden="false" customHeight="false" outlineLevel="0" collapsed="false">
      <c r="A2371" s="39" t="s">
        <v>2426</v>
      </c>
      <c r="B2371" s="40" t="n">
        <v>45966</v>
      </c>
      <c r="C2371" s="39" t="s">
        <v>162</v>
      </c>
      <c r="D2371" s="39" t="n">
        <v>4</v>
      </c>
      <c r="E2371" s="41" t="n">
        <v>66.73</v>
      </c>
      <c r="F2371" s="39" t="s">
        <v>118</v>
      </c>
      <c r="G2371" s="39" t="str">
        <f aca="false">UPPER(TRIM(C2371))</f>
        <v>P017</v>
      </c>
      <c r="H2371" s="39" t="str">
        <f aca="false">IF(ISNUMBER(MATCH(G2371,Products!$A$5:$A$24,0)),"OK","Mismatch")</f>
        <v>OK</v>
      </c>
      <c r="I2371" s="39" t="str">
        <f aca="false">IF(COUNTIF($A$5:A2371,A2371)&gt;1,"Duplicate","Unique")</f>
        <v>Unique</v>
      </c>
      <c r="J2371" s="39" t="str">
        <f aca="false">IF(I2371="Duplicate","Remove",IF(H2371="Mismatch","Exclude","Keep"))</f>
        <v>Keep</v>
      </c>
    </row>
    <row r="2372" customFormat="false" ht="15" hidden="false" customHeight="false" outlineLevel="0" collapsed="false">
      <c r="A2372" s="39" t="s">
        <v>2427</v>
      </c>
      <c r="B2372" s="40" t="n">
        <v>45966</v>
      </c>
      <c r="C2372" s="39" t="s">
        <v>169</v>
      </c>
      <c r="D2372" s="39" t="n">
        <v>2</v>
      </c>
      <c r="E2372" s="41" t="n">
        <v>28.13</v>
      </c>
      <c r="F2372" s="39" t="s">
        <v>115</v>
      </c>
      <c r="G2372" s="39" t="str">
        <f aca="false">UPPER(TRIM(C2372))</f>
        <v>P004</v>
      </c>
      <c r="H2372" s="39" t="str">
        <f aca="false">IF(ISNUMBER(MATCH(G2372,Products!$A$5:$A$24,0)),"OK","Mismatch")</f>
        <v>OK</v>
      </c>
      <c r="I2372" s="39" t="str">
        <f aca="false">IF(COUNTIF($A$5:A2372,A2372)&gt;1,"Duplicate","Unique")</f>
        <v>Unique</v>
      </c>
      <c r="J2372" s="39" t="str">
        <f aca="false">IF(I2372="Duplicate","Remove",IF(H2372="Mismatch","Exclude","Keep"))</f>
        <v>Keep</v>
      </c>
    </row>
    <row r="2373" customFormat="false" ht="15" hidden="false" customHeight="false" outlineLevel="0" collapsed="false">
      <c r="A2373" s="39" t="s">
        <v>2428</v>
      </c>
      <c r="B2373" s="40" t="n">
        <v>45966</v>
      </c>
      <c r="C2373" s="39" t="s">
        <v>136</v>
      </c>
      <c r="D2373" s="39" t="n">
        <v>2</v>
      </c>
      <c r="E2373" s="41" t="n">
        <v>77.56</v>
      </c>
      <c r="F2373" s="39" t="s">
        <v>118</v>
      </c>
      <c r="G2373" s="39" t="str">
        <f aca="false">UPPER(TRIM(C2373))</f>
        <v>P002</v>
      </c>
      <c r="H2373" s="39" t="str">
        <f aca="false">IF(ISNUMBER(MATCH(G2373,Products!$A$5:$A$24,0)),"OK","Mismatch")</f>
        <v>OK</v>
      </c>
      <c r="I2373" s="39" t="str">
        <f aca="false">IF(COUNTIF($A$5:A2373,A2373)&gt;1,"Duplicate","Unique")</f>
        <v>Unique</v>
      </c>
      <c r="J2373" s="39" t="str">
        <f aca="false">IF(I2373="Duplicate","Remove",IF(H2373="Mismatch","Exclude","Keep"))</f>
        <v>Keep</v>
      </c>
    </row>
    <row r="2374" customFormat="false" ht="15" hidden="false" customHeight="false" outlineLevel="0" collapsed="false">
      <c r="A2374" s="39" t="s">
        <v>2429</v>
      </c>
      <c r="B2374" s="40" t="n">
        <v>45966</v>
      </c>
      <c r="C2374" s="39" t="s">
        <v>104</v>
      </c>
      <c r="D2374" s="39" t="n">
        <v>6</v>
      </c>
      <c r="E2374" s="41" t="n">
        <v>15.31</v>
      </c>
      <c r="F2374" s="39" t="s">
        <v>115</v>
      </c>
      <c r="G2374" s="39" t="str">
        <f aca="false">UPPER(TRIM(C2374))</f>
        <v>P015</v>
      </c>
      <c r="H2374" s="39" t="str">
        <f aca="false">IF(ISNUMBER(MATCH(G2374,Products!$A$5:$A$24,0)),"OK","Mismatch")</f>
        <v>OK</v>
      </c>
      <c r="I2374" s="39" t="str">
        <f aca="false">IF(COUNTIF($A$5:A2374,A2374)&gt;1,"Duplicate","Unique")</f>
        <v>Unique</v>
      </c>
      <c r="J2374" s="39" t="str">
        <f aca="false">IF(I2374="Duplicate","Remove",IF(H2374="Mismatch","Exclude","Keep"))</f>
        <v>Keep</v>
      </c>
    </row>
    <row r="2375" customFormat="false" ht="15" hidden="false" customHeight="false" outlineLevel="0" collapsed="false">
      <c r="A2375" s="39" t="s">
        <v>2430</v>
      </c>
      <c r="B2375" s="40" t="n">
        <v>45966</v>
      </c>
      <c r="C2375" s="39" t="s">
        <v>177</v>
      </c>
      <c r="D2375" s="39" t="n">
        <v>2</v>
      </c>
      <c r="E2375" s="41" t="n">
        <v>41.57</v>
      </c>
      <c r="F2375" s="39" t="s">
        <v>118</v>
      </c>
      <c r="G2375" s="39" t="str">
        <f aca="false">UPPER(TRIM(C2375))</f>
        <v>P014</v>
      </c>
      <c r="H2375" s="39" t="str">
        <f aca="false">IF(ISNUMBER(MATCH(G2375,Products!$A$5:$A$24,0)),"OK","Mismatch")</f>
        <v>OK</v>
      </c>
      <c r="I2375" s="39" t="str">
        <f aca="false">IF(COUNTIF($A$5:A2375,A2375)&gt;1,"Duplicate","Unique")</f>
        <v>Unique</v>
      </c>
      <c r="J2375" s="39" t="str">
        <f aca="false">IF(I2375="Duplicate","Remove",IF(H2375="Mismatch","Exclude","Keep"))</f>
        <v>Keep</v>
      </c>
    </row>
    <row r="2376" customFormat="false" ht="15" hidden="false" customHeight="false" outlineLevel="0" collapsed="false">
      <c r="A2376" s="39" t="s">
        <v>2431</v>
      </c>
      <c r="B2376" s="40" t="n">
        <v>45966</v>
      </c>
      <c r="C2376" s="39" t="s">
        <v>126</v>
      </c>
      <c r="D2376" s="39" t="n">
        <v>1</v>
      </c>
      <c r="E2376" s="41" t="n">
        <v>23.42</v>
      </c>
      <c r="F2376" s="39" t="s">
        <v>108</v>
      </c>
      <c r="G2376" s="39" t="str">
        <f aca="false">UPPER(TRIM(C2376))</f>
        <v>P001</v>
      </c>
      <c r="H2376" s="39" t="str">
        <f aca="false">IF(ISNUMBER(MATCH(G2376,Products!$A$5:$A$24,0)),"OK","Mismatch")</f>
        <v>OK</v>
      </c>
      <c r="I2376" s="39" t="str">
        <f aca="false">IF(COUNTIF($A$5:A2376,A2376)&gt;1,"Duplicate","Unique")</f>
        <v>Unique</v>
      </c>
      <c r="J2376" s="39" t="str">
        <f aca="false">IF(I2376="Duplicate","Remove",IF(H2376="Mismatch","Exclude","Keep"))</f>
        <v>Keep</v>
      </c>
    </row>
    <row r="2377" customFormat="false" ht="15" hidden="false" customHeight="false" outlineLevel="0" collapsed="false">
      <c r="A2377" s="39" t="s">
        <v>2432</v>
      </c>
      <c r="B2377" s="40" t="n">
        <v>45966</v>
      </c>
      <c r="C2377" s="39" t="s">
        <v>128</v>
      </c>
      <c r="D2377" s="39" t="n">
        <v>2</v>
      </c>
      <c r="E2377" s="41" t="n">
        <v>37.33</v>
      </c>
      <c r="F2377" s="39" t="s">
        <v>118</v>
      </c>
      <c r="G2377" s="39" t="str">
        <f aca="false">UPPER(TRIM(C2377))</f>
        <v>P020</v>
      </c>
      <c r="H2377" s="39" t="str">
        <f aca="false">IF(ISNUMBER(MATCH(G2377,Products!$A$5:$A$24,0)),"OK","Mismatch")</f>
        <v>OK</v>
      </c>
      <c r="I2377" s="39" t="str">
        <f aca="false">IF(COUNTIF($A$5:A2377,A2377)&gt;1,"Duplicate","Unique")</f>
        <v>Unique</v>
      </c>
      <c r="J2377" s="39" t="str">
        <f aca="false">IF(I2377="Duplicate","Remove",IF(H2377="Mismatch","Exclude","Keep"))</f>
        <v>Keep</v>
      </c>
    </row>
    <row r="2378" customFormat="false" ht="15" hidden="false" customHeight="false" outlineLevel="0" collapsed="false">
      <c r="A2378" s="39" t="s">
        <v>2433</v>
      </c>
      <c r="B2378" s="40" t="n">
        <v>45966</v>
      </c>
      <c r="C2378" s="39" t="s">
        <v>104</v>
      </c>
      <c r="D2378" s="39" t="n">
        <v>6</v>
      </c>
      <c r="E2378" s="41" t="n">
        <v>15.62</v>
      </c>
      <c r="F2378" s="39" t="s">
        <v>115</v>
      </c>
      <c r="G2378" s="39" t="str">
        <f aca="false">UPPER(TRIM(C2378))</f>
        <v>P015</v>
      </c>
      <c r="H2378" s="39" t="str">
        <f aca="false">IF(ISNUMBER(MATCH(G2378,Products!$A$5:$A$24,0)),"OK","Mismatch")</f>
        <v>OK</v>
      </c>
      <c r="I2378" s="39" t="str">
        <f aca="false">IF(COUNTIF($A$5:A2378,A2378)&gt;1,"Duplicate","Unique")</f>
        <v>Unique</v>
      </c>
      <c r="J2378" s="39" t="str">
        <f aca="false">IF(I2378="Duplicate","Remove",IF(H2378="Mismatch","Exclude","Keep"))</f>
        <v>Keep</v>
      </c>
    </row>
    <row r="2379" customFormat="false" ht="15" hidden="false" customHeight="false" outlineLevel="0" collapsed="false">
      <c r="A2379" s="39" t="s">
        <v>2434</v>
      </c>
      <c r="B2379" s="40" t="n">
        <v>45966</v>
      </c>
      <c r="C2379" s="39" t="s">
        <v>112</v>
      </c>
      <c r="D2379" s="39" t="n">
        <v>2</v>
      </c>
      <c r="E2379" s="41" t="n">
        <v>50.86</v>
      </c>
      <c r="F2379" s="39" t="s">
        <v>115</v>
      </c>
      <c r="G2379" s="39" t="str">
        <f aca="false">UPPER(TRIM(C2379))</f>
        <v>P005</v>
      </c>
      <c r="H2379" s="39" t="str">
        <f aca="false">IF(ISNUMBER(MATCH(G2379,Products!$A$5:$A$24,0)),"OK","Mismatch")</f>
        <v>OK</v>
      </c>
      <c r="I2379" s="39" t="str">
        <f aca="false">IF(COUNTIF($A$5:A2379,A2379)&gt;1,"Duplicate","Unique")</f>
        <v>Unique</v>
      </c>
      <c r="J2379" s="39" t="str">
        <f aca="false">IF(I2379="Duplicate","Remove",IF(H2379="Mismatch","Exclude","Keep"))</f>
        <v>Keep</v>
      </c>
    </row>
    <row r="2380" customFormat="false" ht="15" hidden="false" customHeight="false" outlineLevel="0" collapsed="false">
      <c r="A2380" s="39" t="s">
        <v>2435</v>
      </c>
      <c r="B2380" s="40" t="n">
        <v>45966</v>
      </c>
      <c r="C2380" s="39" t="s">
        <v>114</v>
      </c>
      <c r="D2380" s="39" t="n">
        <v>5</v>
      </c>
      <c r="E2380" s="41" t="n">
        <v>5.64</v>
      </c>
      <c r="F2380" s="39" t="s">
        <v>108</v>
      </c>
      <c r="G2380" s="39" t="str">
        <f aca="false">UPPER(TRIM(C2380))</f>
        <v>P012</v>
      </c>
      <c r="H2380" s="39" t="str">
        <f aca="false">IF(ISNUMBER(MATCH(G2380,Products!$A$5:$A$24,0)),"OK","Mismatch")</f>
        <v>OK</v>
      </c>
      <c r="I2380" s="39" t="str">
        <f aca="false">IF(COUNTIF($A$5:A2380,A2380)&gt;1,"Duplicate","Unique")</f>
        <v>Unique</v>
      </c>
      <c r="J2380" s="39" t="str">
        <f aca="false">IF(I2380="Duplicate","Remove",IF(H2380="Mismatch","Exclude","Keep"))</f>
        <v>Keep</v>
      </c>
    </row>
    <row r="2381" customFormat="false" ht="15" hidden="false" customHeight="false" outlineLevel="0" collapsed="false">
      <c r="A2381" s="39" t="s">
        <v>2436</v>
      </c>
      <c r="B2381" s="40" t="n">
        <v>45966</v>
      </c>
      <c r="C2381" s="39" t="s">
        <v>153</v>
      </c>
      <c r="D2381" s="39" t="n">
        <v>1</v>
      </c>
      <c r="E2381" s="41" t="n">
        <v>174.1</v>
      </c>
      <c r="F2381" s="39" t="s">
        <v>108</v>
      </c>
      <c r="G2381" s="39" t="str">
        <f aca="false">UPPER(TRIM(C2381))</f>
        <v>P010</v>
      </c>
      <c r="H2381" s="39" t="str">
        <f aca="false">IF(ISNUMBER(MATCH(G2381,Products!$A$5:$A$24,0)),"OK","Mismatch")</f>
        <v>OK</v>
      </c>
      <c r="I2381" s="39" t="str">
        <f aca="false">IF(COUNTIF($A$5:A2381,A2381)&gt;1,"Duplicate","Unique")</f>
        <v>Unique</v>
      </c>
      <c r="J2381" s="39" t="str">
        <f aca="false">IF(I2381="Duplicate","Remove",IF(H2381="Mismatch","Exclude","Keep"))</f>
        <v>Keep</v>
      </c>
    </row>
    <row r="2382" customFormat="false" ht="15" hidden="false" customHeight="false" outlineLevel="0" collapsed="false">
      <c r="A2382" s="39" t="s">
        <v>2437</v>
      </c>
      <c r="B2382" s="40" t="n">
        <v>45966</v>
      </c>
      <c r="C2382" s="39" t="s">
        <v>107</v>
      </c>
      <c r="D2382" s="39" t="n">
        <v>2</v>
      </c>
      <c r="E2382" s="41" t="n">
        <v>34.16</v>
      </c>
      <c r="F2382" s="39" t="s">
        <v>118</v>
      </c>
      <c r="G2382" s="39" t="str">
        <f aca="false">UPPER(TRIM(C2382))</f>
        <v>P003</v>
      </c>
      <c r="H2382" s="39" t="str">
        <f aca="false">IF(ISNUMBER(MATCH(G2382,Products!$A$5:$A$24,0)),"OK","Mismatch")</f>
        <v>OK</v>
      </c>
      <c r="I2382" s="39" t="str">
        <f aca="false">IF(COUNTIF($A$5:A2382,A2382)&gt;1,"Duplicate","Unique")</f>
        <v>Unique</v>
      </c>
      <c r="J2382" s="39" t="str">
        <f aca="false">IF(I2382="Duplicate","Remove",IF(H2382="Mismatch","Exclude","Keep"))</f>
        <v>Keep</v>
      </c>
    </row>
    <row r="2383" customFormat="false" ht="15" hidden="false" customHeight="false" outlineLevel="0" collapsed="false">
      <c r="A2383" s="39" t="s">
        <v>2438</v>
      </c>
      <c r="B2383" s="40" t="n">
        <v>45966</v>
      </c>
      <c r="C2383" s="39" t="s">
        <v>133</v>
      </c>
      <c r="D2383" s="39" t="n">
        <v>6</v>
      </c>
      <c r="E2383" s="41" t="n">
        <v>8.49</v>
      </c>
      <c r="F2383" s="39" t="s">
        <v>118</v>
      </c>
      <c r="G2383" s="39" t="str">
        <f aca="false">UPPER(TRIM(C2383))</f>
        <v>P019</v>
      </c>
      <c r="H2383" s="39" t="str">
        <f aca="false">IF(ISNUMBER(MATCH(G2383,Products!$A$5:$A$24,0)),"OK","Mismatch")</f>
        <v>OK</v>
      </c>
      <c r="I2383" s="39" t="str">
        <f aca="false">IF(COUNTIF($A$5:A2383,A2383)&gt;1,"Duplicate","Unique")</f>
        <v>Unique</v>
      </c>
      <c r="J2383" s="39" t="str">
        <f aca="false">IF(I2383="Duplicate","Remove",IF(H2383="Mismatch","Exclude","Keep"))</f>
        <v>Keep</v>
      </c>
    </row>
    <row r="2384" customFormat="false" ht="15" hidden="false" customHeight="false" outlineLevel="0" collapsed="false">
      <c r="A2384" s="39" t="s">
        <v>2439</v>
      </c>
      <c r="B2384" s="40" t="n">
        <v>45966</v>
      </c>
      <c r="C2384" s="39" t="s">
        <v>130</v>
      </c>
      <c r="D2384" s="39" t="n">
        <v>6</v>
      </c>
      <c r="E2384" s="41" t="n">
        <v>8.66</v>
      </c>
      <c r="F2384" s="39" t="s">
        <v>105</v>
      </c>
      <c r="G2384" s="39" t="str">
        <f aca="false">UPPER(TRIM(C2384))</f>
        <v>P011</v>
      </c>
      <c r="H2384" s="39" t="str">
        <f aca="false">IF(ISNUMBER(MATCH(G2384,Products!$A$5:$A$24,0)),"OK","Mismatch")</f>
        <v>OK</v>
      </c>
      <c r="I2384" s="39" t="str">
        <f aca="false">IF(COUNTIF($A$5:A2384,A2384)&gt;1,"Duplicate","Unique")</f>
        <v>Unique</v>
      </c>
      <c r="J2384" s="39" t="str">
        <f aca="false">IF(I2384="Duplicate","Remove",IF(H2384="Mismatch","Exclude","Keep"))</f>
        <v>Keep</v>
      </c>
    </row>
    <row r="2385" customFormat="false" ht="15" hidden="false" customHeight="false" outlineLevel="0" collapsed="false">
      <c r="A2385" s="39" t="s">
        <v>2440</v>
      </c>
      <c r="B2385" s="40" t="n">
        <v>45966</v>
      </c>
      <c r="C2385" s="39" t="s">
        <v>169</v>
      </c>
      <c r="D2385" s="39" t="n">
        <v>2</v>
      </c>
      <c r="E2385" s="41" t="n">
        <v>27.08</v>
      </c>
      <c r="F2385" s="39" t="s">
        <v>105</v>
      </c>
      <c r="G2385" s="39" t="str">
        <f aca="false">UPPER(TRIM(C2385))</f>
        <v>P004</v>
      </c>
      <c r="H2385" s="39" t="str">
        <f aca="false">IF(ISNUMBER(MATCH(G2385,Products!$A$5:$A$24,0)),"OK","Mismatch")</f>
        <v>OK</v>
      </c>
      <c r="I2385" s="39" t="str">
        <f aca="false">IF(COUNTIF($A$5:A2385,A2385)&gt;1,"Duplicate","Unique")</f>
        <v>Unique</v>
      </c>
      <c r="J2385" s="39" t="str">
        <f aca="false">IF(I2385="Duplicate","Remove",IF(H2385="Mismatch","Exclude","Keep"))</f>
        <v>Keep</v>
      </c>
    </row>
    <row r="2386" customFormat="false" ht="15" hidden="false" customHeight="false" outlineLevel="0" collapsed="false">
      <c r="A2386" s="39" t="s">
        <v>2441</v>
      </c>
      <c r="B2386" s="40" t="n">
        <v>45966</v>
      </c>
      <c r="C2386" s="39" t="s">
        <v>130</v>
      </c>
      <c r="D2386" s="39" t="n">
        <v>4</v>
      </c>
      <c r="E2386" s="41" t="n">
        <v>8.83</v>
      </c>
      <c r="F2386" s="39" t="s">
        <v>105</v>
      </c>
      <c r="G2386" s="39" t="str">
        <f aca="false">UPPER(TRIM(C2386))</f>
        <v>P011</v>
      </c>
      <c r="H2386" s="39" t="str">
        <f aca="false">IF(ISNUMBER(MATCH(G2386,Products!$A$5:$A$24,0)),"OK","Mismatch")</f>
        <v>OK</v>
      </c>
      <c r="I2386" s="39" t="str">
        <f aca="false">IF(COUNTIF($A$5:A2386,A2386)&gt;1,"Duplicate","Unique")</f>
        <v>Unique</v>
      </c>
      <c r="J2386" s="39" t="str">
        <f aca="false">IF(I2386="Duplicate","Remove",IF(H2386="Mismatch","Exclude","Keep"))</f>
        <v>Keep</v>
      </c>
    </row>
    <row r="2387" customFormat="false" ht="15" hidden="false" customHeight="false" outlineLevel="0" collapsed="false">
      <c r="A2387" s="39" t="s">
        <v>2442</v>
      </c>
      <c r="B2387" s="40" t="n">
        <v>45967</v>
      </c>
      <c r="C2387" s="39" t="s">
        <v>130</v>
      </c>
      <c r="D2387" s="39" t="n">
        <v>1</v>
      </c>
      <c r="E2387" s="41" t="n">
        <v>8.91</v>
      </c>
      <c r="F2387" s="39" t="s">
        <v>115</v>
      </c>
      <c r="G2387" s="39" t="str">
        <f aca="false">UPPER(TRIM(C2387))</f>
        <v>P011</v>
      </c>
      <c r="H2387" s="39" t="str">
        <f aca="false">IF(ISNUMBER(MATCH(G2387,Products!$A$5:$A$24,0)),"OK","Mismatch")</f>
        <v>OK</v>
      </c>
      <c r="I2387" s="39" t="str">
        <f aca="false">IF(COUNTIF($A$5:A2387,A2387)&gt;1,"Duplicate","Unique")</f>
        <v>Unique</v>
      </c>
      <c r="J2387" s="39" t="str">
        <f aca="false">IF(I2387="Duplicate","Remove",IF(H2387="Mismatch","Exclude","Keep"))</f>
        <v>Keep</v>
      </c>
    </row>
    <row r="2388" customFormat="false" ht="15" hidden="false" customHeight="false" outlineLevel="0" collapsed="false">
      <c r="A2388" s="39" t="s">
        <v>2443</v>
      </c>
      <c r="B2388" s="40" t="n">
        <v>45967</v>
      </c>
      <c r="C2388" s="39" t="s">
        <v>130</v>
      </c>
      <c r="D2388" s="39" t="n">
        <v>4</v>
      </c>
      <c r="E2388" s="41" t="n">
        <v>8.51</v>
      </c>
      <c r="F2388" s="39" t="s">
        <v>105</v>
      </c>
      <c r="G2388" s="39" t="str">
        <f aca="false">UPPER(TRIM(C2388))</f>
        <v>P011</v>
      </c>
      <c r="H2388" s="39" t="str">
        <f aca="false">IF(ISNUMBER(MATCH(G2388,Products!$A$5:$A$24,0)),"OK","Mismatch")</f>
        <v>OK</v>
      </c>
      <c r="I2388" s="39" t="str">
        <f aca="false">IF(COUNTIF($A$5:A2388,A2388)&gt;1,"Duplicate","Unique")</f>
        <v>Unique</v>
      </c>
      <c r="J2388" s="39" t="str">
        <f aca="false">IF(I2388="Duplicate","Remove",IF(H2388="Mismatch","Exclude","Keep"))</f>
        <v>Keep</v>
      </c>
    </row>
    <row r="2389" customFormat="false" ht="15" hidden="false" customHeight="false" outlineLevel="0" collapsed="false">
      <c r="A2389" s="39" t="s">
        <v>2444</v>
      </c>
      <c r="B2389" s="40" t="n">
        <v>45967</v>
      </c>
      <c r="C2389" s="39" t="s">
        <v>126</v>
      </c>
      <c r="D2389" s="39" t="n">
        <v>3</v>
      </c>
      <c r="E2389" s="41" t="n">
        <v>24.94</v>
      </c>
      <c r="F2389" s="39" t="s">
        <v>105</v>
      </c>
      <c r="G2389" s="39" t="str">
        <f aca="false">UPPER(TRIM(C2389))</f>
        <v>P001</v>
      </c>
      <c r="H2389" s="39" t="str">
        <f aca="false">IF(ISNUMBER(MATCH(G2389,Products!$A$5:$A$24,0)),"OK","Mismatch")</f>
        <v>OK</v>
      </c>
      <c r="I2389" s="39" t="str">
        <f aca="false">IF(COUNTIF($A$5:A2389,A2389)&gt;1,"Duplicate","Unique")</f>
        <v>Unique</v>
      </c>
      <c r="J2389" s="39" t="str">
        <f aca="false">IF(I2389="Duplicate","Remove",IF(H2389="Mismatch","Exclude","Keep"))</f>
        <v>Keep</v>
      </c>
    </row>
    <row r="2390" customFormat="false" ht="15" hidden="false" customHeight="false" outlineLevel="0" collapsed="false">
      <c r="A2390" s="39" t="s">
        <v>2445</v>
      </c>
      <c r="B2390" s="40" t="n">
        <v>45967</v>
      </c>
      <c r="C2390" s="39" t="s">
        <v>114</v>
      </c>
      <c r="D2390" s="39" t="n">
        <v>2</v>
      </c>
      <c r="E2390" s="41" t="n">
        <v>5.69</v>
      </c>
      <c r="F2390" s="39" t="s">
        <v>105</v>
      </c>
      <c r="G2390" s="39" t="str">
        <f aca="false">UPPER(TRIM(C2390))</f>
        <v>P012</v>
      </c>
      <c r="H2390" s="39" t="str">
        <f aca="false">IF(ISNUMBER(MATCH(G2390,Products!$A$5:$A$24,0)),"OK","Mismatch")</f>
        <v>OK</v>
      </c>
      <c r="I2390" s="39" t="str">
        <f aca="false">IF(COUNTIF($A$5:A2390,A2390)&gt;1,"Duplicate","Unique")</f>
        <v>Unique</v>
      </c>
      <c r="J2390" s="39" t="str">
        <f aca="false">IF(I2390="Duplicate","Remove",IF(H2390="Mismatch","Exclude","Keep"))</f>
        <v>Keep</v>
      </c>
    </row>
    <row r="2391" customFormat="false" ht="15" hidden="false" customHeight="false" outlineLevel="0" collapsed="false">
      <c r="A2391" s="39" t="s">
        <v>2446</v>
      </c>
      <c r="B2391" s="40" t="n">
        <v>45967</v>
      </c>
      <c r="C2391" s="39" t="s">
        <v>104</v>
      </c>
      <c r="D2391" s="39" t="n">
        <v>3</v>
      </c>
      <c r="E2391" s="41" t="n">
        <v>15.38</v>
      </c>
      <c r="F2391" s="39" t="s">
        <v>108</v>
      </c>
      <c r="G2391" s="39" t="str">
        <f aca="false">UPPER(TRIM(C2391))</f>
        <v>P015</v>
      </c>
      <c r="H2391" s="39" t="str">
        <f aca="false">IF(ISNUMBER(MATCH(G2391,Products!$A$5:$A$24,0)),"OK","Mismatch")</f>
        <v>OK</v>
      </c>
      <c r="I2391" s="39" t="str">
        <f aca="false">IF(COUNTIF($A$5:A2391,A2391)&gt;1,"Duplicate","Unique")</f>
        <v>Unique</v>
      </c>
      <c r="J2391" s="39" t="str">
        <f aca="false">IF(I2391="Duplicate","Remove",IF(H2391="Mismatch","Exclude","Keep"))</f>
        <v>Keep</v>
      </c>
    </row>
    <row r="2392" customFormat="false" ht="15" hidden="false" customHeight="false" outlineLevel="0" collapsed="false">
      <c r="A2392" s="39" t="s">
        <v>2447</v>
      </c>
      <c r="B2392" s="40" t="n">
        <v>45967</v>
      </c>
      <c r="C2392" s="39" t="s">
        <v>133</v>
      </c>
      <c r="D2392" s="39" t="n">
        <v>2</v>
      </c>
      <c r="E2392" s="41" t="n">
        <v>8.51</v>
      </c>
      <c r="F2392" s="39" t="s">
        <v>118</v>
      </c>
      <c r="G2392" s="39" t="str">
        <f aca="false">UPPER(TRIM(C2392))</f>
        <v>P019</v>
      </c>
      <c r="H2392" s="39" t="str">
        <f aca="false">IF(ISNUMBER(MATCH(G2392,Products!$A$5:$A$24,0)),"OK","Mismatch")</f>
        <v>OK</v>
      </c>
      <c r="I2392" s="39" t="str">
        <f aca="false">IF(COUNTIF($A$5:A2392,A2392)&gt;1,"Duplicate","Unique")</f>
        <v>Unique</v>
      </c>
      <c r="J2392" s="39" t="str">
        <f aca="false">IF(I2392="Duplicate","Remove",IF(H2392="Mismatch","Exclude","Keep"))</f>
        <v>Keep</v>
      </c>
    </row>
    <row r="2393" customFormat="false" ht="15" hidden="false" customHeight="false" outlineLevel="0" collapsed="false">
      <c r="A2393" s="39" t="s">
        <v>2448</v>
      </c>
      <c r="B2393" s="40" t="n">
        <v>45967</v>
      </c>
      <c r="C2393" s="39" t="s">
        <v>183</v>
      </c>
      <c r="D2393" s="39" t="n">
        <v>1</v>
      </c>
      <c r="E2393" s="41" t="n">
        <v>185.57</v>
      </c>
      <c r="F2393" s="39" t="s">
        <v>108</v>
      </c>
      <c r="G2393" s="39" t="str">
        <f aca="false">UPPER(TRIM(C2393))</f>
        <v>P007</v>
      </c>
      <c r="H2393" s="39" t="str">
        <f aca="false">IF(ISNUMBER(MATCH(G2393,Products!$A$5:$A$24,0)),"OK","Mismatch")</f>
        <v>OK</v>
      </c>
      <c r="I2393" s="39" t="str">
        <f aca="false">IF(COUNTIF($A$5:A2393,A2393)&gt;1,"Duplicate","Unique")</f>
        <v>Unique</v>
      </c>
      <c r="J2393" s="39" t="str">
        <f aca="false">IF(I2393="Duplicate","Remove",IF(H2393="Mismatch","Exclude","Keep"))</f>
        <v>Keep</v>
      </c>
    </row>
    <row r="2394" customFormat="false" ht="15" hidden="false" customHeight="false" outlineLevel="0" collapsed="false">
      <c r="A2394" s="39" t="s">
        <v>2449</v>
      </c>
      <c r="B2394" s="40" t="n">
        <v>45967</v>
      </c>
      <c r="C2394" s="39" t="s">
        <v>153</v>
      </c>
      <c r="D2394" s="39" t="n">
        <v>3</v>
      </c>
      <c r="E2394" s="41" t="n">
        <v>165.52</v>
      </c>
      <c r="F2394" s="39" t="s">
        <v>115</v>
      </c>
      <c r="G2394" s="39" t="str">
        <f aca="false">UPPER(TRIM(C2394))</f>
        <v>P010</v>
      </c>
      <c r="H2394" s="39" t="str">
        <f aca="false">IF(ISNUMBER(MATCH(G2394,Products!$A$5:$A$24,0)),"OK","Mismatch")</f>
        <v>OK</v>
      </c>
      <c r="I2394" s="39" t="str">
        <f aca="false">IF(COUNTIF($A$5:A2394,A2394)&gt;1,"Duplicate","Unique")</f>
        <v>Unique</v>
      </c>
      <c r="J2394" s="39" t="str">
        <f aca="false">IF(I2394="Duplicate","Remove",IF(H2394="Mismatch","Exclude","Keep"))</f>
        <v>Keep</v>
      </c>
    </row>
    <row r="2395" customFormat="false" ht="15" hidden="false" customHeight="false" outlineLevel="0" collapsed="false">
      <c r="A2395" s="39" t="s">
        <v>2450</v>
      </c>
      <c r="B2395" s="40" t="n">
        <v>45967</v>
      </c>
      <c r="C2395" s="39" t="s">
        <v>126</v>
      </c>
      <c r="D2395" s="39" t="n">
        <v>1</v>
      </c>
      <c r="E2395" s="41" t="n">
        <v>23.46</v>
      </c>
      <c r="F2395" s="39" t="s">
        <v>118</v>
      </c>
      <c r="G2395" s="39" t="str">
        <f aca="false">UPPER(TRIM(C2395))</f>
        <v>P001</v>
      </c>
      <c r="H2395" s="39" t="str">
        <f aca="false">IF(ISNUMBER(MATCH(G2395,Products!$A$5:$A$24,0)),"OK","Mismatch")</f>
        <v>OK</v>
      </c>
      <c r="I2395" s="39" t="str">
        <f aca="false">IF(COUNTIF($A$5:A2395,A2395)&gt;1,"Duplicate","Unique")</f>
        <v>Unique</v>
      </c>
      <c r="J2395" s="39" t="str">
        <f aca="false">IF(I2395="Duplicate","Remove",IF(H2395="Mismatch","Exclude","Keep"))</f>
        <v>Keep</v>
      </c>
    </row>
    <row r="2396" customFormat="false" ht="15" hidden="false" customHeight="false" outlineLevel="0" collapsed="false">
      <c r="A2396" s="39" t="s">
        <v>2451</v>
      </c>
      <c r="B2396" s="40" t="n">
        <v>45967</v>
      </c>
      <c r="C2396" s="39" t="s">
        <v>136</v>
      </c>
      <c r="D2396" s="39" t="n">
        <v>1</v>
      </c>
      <c r="E2396" s="41" t="n">
        <v>77.37</v>
      </c>
      <c r="F2396" s="39" t="s">
        <v>108</v>
      </c>
      <c r="G2396" s="39" t="str">
        <f aca="false">UPPER(TRIM(C2396))</f>
        <v>P002</v>
      </c>
      <c r="H2396" s="39" t="str">
        <f aca="false">IF(ISNUMBER(MATCH(G2396,Products!$A$5:$A$24,0)),"OK","Mismatch")</f>
        <v>OK</v>
      </c>
      <c r="I2396" s="39" t="str">
        <f aca="false">IF(COUNTIF($A$5:A2396,A2396)&gt;1,"Duplicate","Unique")</f>
        <v>Unique</v>
      </c>
      <c r="J2396" s="39" t="str">
        <f aca="false">IF(I2396="Duplicate","Remove",IF(H2396="Mismatch","Exclude","Keep"))</f>
        <v>Keep</v>
      </c>
    </row>
    <row r="2397" customFormat="false" ht="15" hidden="false" customHeight="false" outlineLevel="0" collapsed="false">
      <c r="A2397" s="39" t="s">
        <v>3189</v>
      </c>
      <c r="B2397" s="40" t="n">
        <v>45967</v>
      </c>
      <c r="C2397" s="39" t="s">
        <v>3190</v>
      </c>
      <c r="D2397" s="39" t="n">
        <v>2</v>
      </c>
      <c r="E2397" s="41" t="n">
        <v>24.06</v>
      </c>
      <c r="F2397" s="39" t="s">
        <v>105</v>
      </c>
      <c r="G2397" s="39" t="str">
        <f aca="false">UPPER(TRIM(C2397))</f>
        <v>P900</v>
      </c>
      <c r="H2397" s="39" t="str">
        <f aca="false">IF(ISNUMBER(MATCH(G2397,Products!$A$5:$A$24,0)),"OK","Mismatch")</f>
        <v>Mismatch</v>
      </c>
      <c r="I2397" s="39" t="str">
        <f aca="false">IF(COUNTIF($A$5:A2397,A2397)&gt;1,"Duplicate","Unique")</f>
        <v>Unique</v>
      </c>
      <c r="J2397" s="39" t="str">
        <f aca="false">IF(I2397="Duplicate","Remove",IF(H2397="Mismatch","Exclude","Keep"))</f>
        <v>Exclude</v>
      </c>
    </row>
    <row r="2398" customFormat="false" ht="15" hidden="false" customHeight="false" outlineLevel="0" collapsed="false">
      <c r="A2398" s="39" t="s">
        <v>2452</v>
      </c>
      <c r="B2398" s="40" t="n">
        <v>45967</v>
      </c>
      <c r="C2398" s="39" t="s">
        <v>139</v>
      </c>
      <c r="D2398" s="39" t="n">
        <v>3</v>
      </c>
      <c r="E2398" s="41" t="n">
        <v>121.61</v>
      </c>
      <c r="F2398" s="39" t="s">
        <v>108</v>
      </c>
      <c r="G2398" s="39" t="str">
        <f aca="false">UPPER(TRIM(C2398))</f>
        <v>P006</v>
      </c>
      <c r="H2398" s="39" t="str">
        <f aca="false">IF(ISNUMBER(MATCH(G2398,Products!$A$5:$A$24,0)),"OK","Mismatch")</f>
        <v>OK</v>
      </c>
      <c r="I2398" s="39" t="str">
        <f aca="false">IF(COUNTIF($A$5:A2398,A2398)&gt;1,"Duplicate","Unique")</f>
        <v>Unique</v>
      </c>
      <c r="J2398" s="39" t="str">
        <f aca="false">IF(I2398="Duplicate","Remove",IF(H2398="Mismatch","Exclude","Keep"))</f>
        <v>Keep</v>
      </c>
    </row>
    <row r="2399" customFormat="false" ht="15" hidden="false" customHeight="false" outlineLevel="0" collapsed="false">
      <c r="A2399" s="39" t="s">
        <v>2453</v>
      </c>
      <c r="B2399" s="40" t="n">
        <v>45968</v>
      </c>
      <c r="C2399" s="39" t="s">
        <v>107</v>
      </c>
      <c r="D2399" s="39" t="n">
        <v>2</v>
      </c>
      <c r="E2399" s="41" t="n">
        <v>32.56</v>
      </c>
      <c r="F2399" s="39" t="s">
        <v>115</v>
      </c>
      <c r="G2399" s="39" t="str">
        <f aca="false">UPPER(TRIM(C2399))</f>
        <v>P003</v>
      </c>
      <c r="H2399" s="39" t="str">
        <f aca="false">IF(ISNUMBER(MATCH(G2399,Products!$A$5:$A$24,0)),"OK","Mismatch")</f>
        <v>OK</v>
      </c>
      <c r="I2399" s="39" t="str">
        <f aca="false">IF(COUNTIF($A$5:A2399,A2399)&gt;1,"Duplicate","Unique")</f>
        <v>Unique</v>
      </c>
      <c r="J2399" s="39" t="str">
        <f aca="false">IF(I2399="Duplicate","Remove",IF(H2399="Mismatch","Exclude","Keep"))</f>
        <v>Keep</v>
      </c>
    </row>
    <row r="2400" customFormat="false" ht="15" hidden="false" customHeight="false" outlineLevel="0" collapsed="false">
      <c r="A2400" s="39" t="s">
        <v>2454</v>
      </c>
      <c r="B2400" s="40" t="n">
        <v>45968</v>
      </c>
      <c r="C2400" s="39" t="s">
        <v>133</v>
      </c>
      <c r="D2400" s="39" t="n">
        <v>3</v>
      </c>
      <c r="E2400" s="41" t="n">
        <v>8.65</v>
      </c>
      <c r="F2400" s="39" t="s">
        <v>118</v>
      </c>
      <c r="G2400" s="39" t="str">
        <f aca="false">UPPER(TRIM(C2400))</f>
        <v>P019</v>
      </c>
      <c r="H2400" s="39" t="str">
        <f aca="false">IF(ISNUMBER(MATCH(G2400,Products!$A$5:$A$24,0)),"OK","Mismatch")</f>
        <v>OK</v>
      </c>
      <c r="I2400" s="39" t="str">
        <f aca="false">IF(COUNTIF($A$5:A2400,A2400)&gt;1,"Duplicate","Unique")</f>
        <v>Unique</v>
      </c>
      <c r="J2400" s="39" t="str">
        <f aca="false">IF(I2400="Duplicate","Remove",IF(H2400="Mismatch","Exclude","Keep"))</f>
        <v>Keep</v>
      </c>
    </row>
    <row r="2401" customFormat="false" ht="15" hidden="false" customHeight="false" outlineLevel="0" collapsed="false">
      <c r="A2401" s="39" t="s">
        <v>2455</v>
      </c>
      <c r="B2401" s="40" t="n">
        <v>45968</v>
      </c>
      <c r="C2401" s="39" t="s">
        <v>117</v>
      </c>
      <c r="D2401" s="39" t="n">
        <v>1</v>
      </c>
      <c r="E2401" s="41" t="n">
        <v>30.34</v>
      </c>
      <c r="F2401" s="39" t="s">
        <v>105</v>
      </c>
      <c r="G2401" s="39" t="str">
        <f aca="false">UPPER(TRIM(C2401))</f>
        <v>P009</v>
      </c>
      <c r="H2401" s="39" t="str">
        <f aca="false">IF(ISNUMBER(MATCH(G2401,Products!$A$5:$A$24,0)),"OK","Mismatch")</f>
        <v>OK</v>
      </c>
      <c r="I2401" s="39" t="str">
        <f aca="false">IF(COUNTIF($A$5:A2401,A2401)&gt;1,"Duplicate","Unique")</f>
        <v>Unique</v>
      </c>
      <c r="J2401" s="39" t="str">
        <f aca="false">IF(I2401="Duplicate","Remove",IF(H2401="Mismatch","Exclude","Keep"))</f>
        <v>Keep</v>
      </c>
    </row>
    <row r="2402" customFormat="false" ht="15" hidden="false" customHeight="false" outlineLevel="0" collapsed="false">
      <c r="A2402" s="39" t="s">
        <v>2456</v>
      </c>
      <c r="B2402" s="40" t="n">
        <v>45968</v>
      </c>
      <c r="C2402" s="39" t="s">
        <v>177</v>
      </c>
      <c r="D2402" s="39" t="n">
        <v>5</v>
      </c>
      <c r="E2402" s="41" t="n">
        <v>43.88</v>
      </c>
      <c r="F2402" s="39" t="s">
        <v>118</v>
      </c>
      <c r="G2402" s="39" t="str">
        <f aca="false">UPPER(TRIM(C2402))</f>
        <v>P014</v>
      </c>
      <c r="H2402" s="39" t="str">
        <f aca="false">IF(ISNUMBER(MATCH(G2402,Products!$A$5:$A$24,0)),"OK","Mismatch")</f>
        <v>OK</v>
      </c>
      <c r="I2402" s="39" t="str">
        <f aca="false">IF(COUNTIF($A$5:A2402,A2402)&gt;1,"Duplicate","Unique")</f>
        <v>Unique</v>
      </c>
      <c r="J2402" s="39" t="str">
        <f aca="false">IF(I2402="Duplicate","Remove",IF(H2402="Mismatch","Exclude","Keep"))</f>
        <v>Keep</v>
      </c>
    </row>
    <row r="2403" customFormat="false" ht="15" hidden="false" customHeight="false" outlineLevel="0" collapsed="false">
      <c r="A2403" s="39" t="s">
        <v>2457</v>
      </c>
      <c r="B2403" s="40" t="n">
        <v>45968</v>
      </c>
      <c r="C2403" s="39" t="s">
        <v>112</v>
      </c>
      <c r="D2403" s="39" t="n">
        <v>2</v>
      </c>
      <c r="E2403" s="41" t="n">
        <v>51.26</v>
      </c>
      <c r="F2403" s="39" t="s">
        <v>115</v>
      </c>
      <c r="G2403" s="39" t="str">
        <f aca="false">UPPER(TRIM(C2403))</f>
        <v>P005</v>
      </c>
      <c r="H2403" s="39" t="str">
        <f aca="false">IF(ISNUMBER(MATCH(G2403,Products!$A$5:$A$24,0)),"OK","Mismatch")</f>
        <v>OK</v>
      </c>
      <c r="I2403" s="39" t="str">
        <f aca="false">IF(COUNTIF($A$5:A2403,A2403)&gt;1,"Duplicate","Unique")</f>
        <v>Unique</v>
      </c>
      <c r="J2403" s="39" t="str">
        <f aca="false">IF(I2403="Duplicate","Remove",IF(H2403="Mismatch","Exclude","Keep"))</f>
        <v>Keep</v>
      </c>
    </row>
    <row r="2404" customFormat="false" ht="15" hidden="false" customHeight="false" outlineLevel="0" collapsed="false">
      <c r="A2404" s="39" t="s">
        <v>2458</v>
      </c>
      <c r="B2404" s="40" t="n">
        <v>45968</v>
      </c>
      <c r="C2404" s="39" t="s">
        <v>130</v>
      </c>
      <c r="D2404" s="39" t="n">
        <v>2</v>
      </c>
      <c r="E2404" s="41" t="n">
        <v>8.76</v>
      </c>
      <c r="F2404" s="39" t="s">
        <v>118</v>
      </c>
      <c r="G2404" s="39" t="str">
        <f aca="false">UPPER(TRIM(C2404))</f>
        <v>P011</v>
      </c>
      <c r="H2404" s="39" t="str">
        <f aca="false">IF(ISNUMBER(MATCH(G2404,Products!$A$5:$A$24,0)),"OK","Mismatch")</f>
        <v>OK</v>
      </c>
      <c r="I2404" s="39" t="str">
        <f aca="false">IF(COUNTIF($A$5:A2404,A2404)&gt;1,"Duplicate","Unique")</f>
        <v>Unique</v>
      </c>
      <c r="J2404" s="39" t="str">
        <f aca="false">IF(I2404="Duplicate","Remove",IF(H2404="Mismatch","Exclude","Keep"))</f>
        <v>Keep</v>
      </c>
    </row>
    <row r="2405" customFormat="false" ht="15" hidden="false" customHeight="false" outlineLevel="0" collapsed="false">
      <c r="A2405" s="39" t="s">
        <v>2459</v>
      </c>
      <c r="B2405" s="40" t="n">
        <v>45968</v>
      </c>
      <c r="C2405" s="39" t="s">
        <v>139</v>
      </c>
      <c r="D2405" s="39" t="n">
        <v>2</v>
      </c>
      <c r="E2405" s="41" t="n">
        <v>126.8</v>
      </c>
      <c r="F2405" s="39" t="s">
        <v>108</v>
      </c>
      <c r="G2405" s="39" t="str">
        <f aca="false">UPPER(TRIM(C2405))</f>
        <v>P006</v>
      </c>
      <c r="H2405" s="39" t="str">
        <f aca="false">IF(ISNUMBER(MATCH(G2405,Products!$A$5:$A$24,0)),"OK","Mismatch")</f>
        <v>OK</v>
      </c>
      <c r="I2405" s="39" t="str">
        <f aca="false">IF(COUNTIF($A$5:A2405,A2405)&gt;1,"Duplicate","Unique")</f>
        <v>Unique</v>
      </c>
      <c r="J2405" s="39" t="str">
        <f aca="false">IF(I2405="Duplicate","Remove",IF(H2405="Mismatch","Exclude","Keep"))</f>
        <v>Keep</v>
      </c>
    </row>
    <row r="2406" customFormat="false" ht="15" hidden="false" customHeight="false" outlineLevel="0" collapsed="false">
      <c r="A2406" s="39" t="s">
        <v>2460</v>
      </c>
      <c r="B2406" s="40" t="n">
        <v>45968</v>
      </c>
      <c r="C2406" s="39" t="s">
        <v>144</v>
      </c>
      <c r="D2406" s="39" t="n">
        <v>2</v>
      </c>
      <c r="E2406" s="41" t="n">
        <v>57.1</v>
      </c>
      <c r="F2406" s="39" t="s">
        <v>105</v>
      </c>
      <c r="G2406" s="39" t="str">
        <f aca="false">UPPER(TRIM(C2406))</f>
        <v>P013</v>
      </c>
      <c r="H2406" s="39" t="str">
        <f aca="false">IF(ISNUMBER(MATCH(G2406,Products!$A$5:$A$24,0)),"OK","Mismatch")</f>
        <v>OK</v>
      </c>
      <c r="I2406" s="39" t="str">
        <f aca="false">IF(COUNTIF($A$5:A2406,A2406)&gt;1,"Duplicate","Unique")</f>
        <v>Unique</v>
      </c>
      <c r="J2406" s="39" t="str">
        <f aca="false">IF(I2406="Duplicate","Remove",IF(H2406="Mismatch","Exclude","Keep"))</f>
        <v>Keep</v>
      </c>
    </row>
    <row r="2407" customFormat="false" ht="15" hidden="false" customHeight="false" outlineLevel="0" collapsed="false">
      <c r="A2407" s="39" t="s">
        <v>2461</v>
      </c>
      <c r="B2407" s="40" t="n">
        <v>45968</v>
      </c>
      <c r="C2407" s="39" t="s">
        <v>110</v>
      </c>
      <c r="D2407" s="39" t="n">
        <v>2</v>
      </c>
      <c r="E2407" s="41" t="n">
        <v>13.66</v>
      </c>
      <c r="F2407" s="39" t="s">
        <v>115</v>
      </c>
      <c r="G2407" s="39" t="str">
        <f aca="false">UPPER(TRIM(C2407))</f>
        <v>P016</v>
      </c>
      <c r="H2407" s="39" t="str">
        <f aca="false">IF(ISNUMBER(MATCH(G2407,Products!$A$5:$A$24,0)),"OK","Mismatch")</f>
        <v>OK</v>
      </c>
      <c r="I2407" s="39" t="str">
        <f aca="false">IF(COUNTIF($A$5:A2407,A2407)&gt;1,"Duplicate","Unique")</f>
        <v>Unique</v>
      </c>
      <c r="J2407" s="39" t="str">
        <f aca="false">IF(I2407="Duplicate","Remove",IF(H2407="Mismatch","Exclude","Keep"))</f>
        <v>Keep</v>
      </c>
    </row>
    <row r="2408" customFormat="false" ht="15" hidden="false" customHeight="false" outlineLevel="0" collapsed="false">
      <c r="A2408" s="39" t="s">
        <v>2462</v>
      </c>
      <c r="B2408" s="40" t="n">
        <v>45968</v>
      </c>
      <c r="C2408" s="39" t="s">
        <v>136</v>
      </c>
      <c r="D2408" s="39" t="n">
        <v>3</v>
      </c>
      <c r="E2408" s="41" t="n">
        <v>73.99</v>
      </c>
      <c r="F2408" s="39" t="s">
        <v>115</v>
      </c>
      <c r="G2408" s="39" t="str">
        <f aca="false">UPPER(TRIM(C2408))</f>
        <v>P002</v>
      </c>
      <c r="H2408" s="39" t="str">
        <f aca="false">IF(ISNUMBER(MATCH(G2408,Products!$A$5:$A$24,0)),"OK","Mismatch")</f>
        <v>OK</v>
      </c>
      <c r="I2408" s="39" t="str">
        <f aca="false">IF(COUNTIF($A$5:A2408,A2408)&gt;1,"Duplicate","Unique")</f>
        <v>Unique</v>
      </c>
      <c r="J2408" s="39" t="str">
        <f aca="false">IF(I2408="Duplicate","Remove",IF(H2408="Mismatch","Exclude","Keep"))</f>
        <v>Keep</v>
      </c>
    </row>
    <row r="2409" customFormat="false" ht="15" hidden="false" customHeight="false" outlineLevel="0" collapsed="false">
      <c r="A2409" s="39" t="s">
        <v>2463</v>
      </c>
      <c r="B2409" s="40" t="n">
        <v>45968</v>
      </c>
      <c r="C2409" s="39" t="s">
        <v>114</v>
      </c>
      <c r="D2409" s="39" t="n">
        <v>3</v>
      </c>
      <c r="E2409" s="41" t="n">
        <v>5.83</v>
      </c>
      <c r="F2409" s="39" t="s">
        <v>105</v>
      </c>
      <c r="G2409" s="39" t="str">
        <f aca="false">UPPER(TRIM(C2409))</f>
        <v>P012</v>
      </c>
      <c r="H2409" s="39" t="str">
        <f aca="false">IF(ISNUMBER(MATCH(G2409,Products!$A$5:$A$24,0)),"OK","Mismatch")</f>
        <v>OK</v>
      </c>
      <c r="I2409" s="39" t="str">
        <f aca="false">IF(COUNTIF($A$5:A2409,A2409)&gt;1,"Duplicate","Unique")</f>
        <v>Unique</v>
      </c>
      <c r="J2409" s="39" t="str">
        <f aca="false">IF(I2409="Duplicate","Remove",IF(H2409="Mismatch","Exclude","Keep"))</f>
        <v>Keep</v>
      </c>
    </row>
    <row r="2410" customFormat="false" ht="15" hidden="false" customHeight="false" outlineLevel="0" collapsed="false">
      <c r="A2410" s="39" t="s">
        <v>2464</v>
      </c>
      <c r="B2410" s="40" t="n">
        <v>45968</v>
      </c>
      <c r="C2410" s="39" t="s">
        <v>133</v>
      </c>
      <c r="D2410" s="39" t="n">
        <v>2</v>
      </c>
      <c r="E2410" s="41" t="n">
        <v>8.47</v>
      </c>
      <c r="F2410" s="39" t="s">
        <v>118</v>
      </c>
      <c r="G2410" s="39" t="str">
        <f aca="false">UPPER(TRIM(C2410))</f>
        <v>P019</v>
      </c>
      <c r="H2410" s="39" t="str">
        <f aca="false">IF(ISNUMBER(MATCH(G2410,Products!$A$5:$A$24,0)),"OK","Mismatch")</f>
        <v>OK</v>
      </c>
      <c r="I2410" s="39" t="str">
        <f aca="false">IF(COUNTIF($A$5:A2410,A2410)&gt;1,"Duplicate","Unique")</f>
        <v>Unique</v>
      </c>
      <c r="J2410" s="39" t="str">
        <f aca="false">IF(I2410="Duplicate","Remove",IF(H2410="Mismatch","Exclude","Keep"))</f>
        <v>Keep</v>
      </c>
    </row>
    <row r="2411" customFormat="false" ht="15" hidden="false" customHeight="false" outlineLevel="0" collapsed="false">
      <c r="A2411" s="39" t="s">
        <v>2465</v>
      </c>
      <c r="B2411" s="40" t="n">
        <v>45968</v>
      </c>
      <c r="C2411" s="39" t="s">
        <v>130</v>
      </c>
      <c r="D2411" s="39" t="n">
        <v>2</v>
      </c>
      <c r="E2411" s="41" t="n">
        <v>8.88</v>
      </c>
      <c r="F2411" s="39" t="s">
        <v>115</v>
      </c>
      <c r="G2411" s="39" t="str">
        <f aca="false">UPPER(TRIM(C2411))</f>
        <v>P011</v>
      </c>
      <c r="H2411" s="39" t="str">
        <f aca="false">IF(ISNUMBER(MATCH(G2411,Products!$A$5:$A$24,0)),"OK","Mismatch")</f>
        <v>OK</v>
      </c>
      <c r="I2411" s="39" t="str">
        <f aca="false">IF(COUNTIF($A$5:A2411,A2411)&gt;1,"Duplicate","Unique")</f>
        <v>Unique</v>
      </c>
      <c r="J2411" s="39" t="str">
        <f aca="false">IF(I2411="Duplicate","Remove",IF(H2411="Mismatch","Exclude","Keep"))</f>
        <v>Keep</v>
      </c>
    </row>
    <row r="2412" customFormat="false" ht="15" hidden="false" customHeight="false" outlineLevel="0" collapsed="false">
      <c r="A2412" s="39" t="s">
        <v>2466</v>
      </c>
      <c r="B2412" s="40" t="n">
        <v>45968</v>
      </c>
      <c r="C2412" s="39" t="s">
        <v>177</v>
      </c>
      <c r="D2412" s="39" t="n">
        <v>2</v>
      </c>
      <c r="E2412" s="41" t="n">
        <v>42.49</v>
      </c>
      <c r="F2412" s="39" t="s">
        <v>108</v>
      </c>
      <c r="G2412" s="39" t="str">
        <f aca="false">UPPER(TRIM(C2412))</f>
        <v>P014</v>
      </c>
      <c r="H2412" s="39" t="str">
        <f aca="false">IF(ISNUMBER(MATCH(G2412,Products!$A$5:$A$24,0)),"OK","Mismatch")</f>
        <v>OK</v>
      </c>
      <c r="I2412" s="39" t="str">
        <f aca="false">IF(COUNTIF($A$5:A2412,A2412)&gt;1,"Duplicate","Unique")</f>
        <v>Unique</v>
      </c>
      <c r="J2412" s="39" t="str">
        <f aca="false">IF(I2412="Duplicate","Remove",IF(H2412="Mismatch","Exclude","Keep"))</f>
        <v>Keep</v>
      </c>
    </row>
    <row r="2413" customFormat="false" ht="15" hidden="false" customHeight="false" outlineLevel="0" collapsed="false">
      <c r="A2413" s="39" t="s">
        <v>2467</v>
      </c>
      <c r="B2413" s="40" t="n">
        <v>45968</v>
      </c>
      <c r="C2413" s="39" t="s">
        <v>133</v>
      </c>
      <c r="D2413" s="39" t="n">
        <v>3</v>
      </c>
      <c r="E2413" s="41" t="n">
        <v>8.35</v>
      </c>
      <c r="F2413" s="39" t="s">
        <v>105</v>
      </c>
      <c r="G2413" s="39" t="str">
        <f aca="false">UPPER(TRIM(C2413))</f>
        <v>P019</v>
      </c>
      <c r="H2413" s="39" t="str">
        <f aca="false">IF(ISNUMBER(MATCH(G2413,Products!$A$5:$A$24,0)),"OK","Mismatch")</f>
        <v>OK</v>
      </c>
      <c r="I2413" s="39" t="str">
        <f aca="false">IF(COUNTIF($A$5:A2413,A2413)&gt;1,"Duplicate","Unique")</f>
        <v>Unique</v>
      </c>
      <c r="J2413" s="39" t="str">
        <f aca="false">IF(I2413="Duplicate","Remove",IF(H2413="Mismatch","Exclude","Keep"))</f>
        <v>Keep</v>
      </c>
    </row>
    <row r="2414" customFormat="false" ht="15" hidden="false" customHeight="false" outlineLevel="0" collapsed="false">
      <c r="A2414" s="39" t="s">
        <v>2468</v>
      </c>
      <c r="B2414" s="40" t="n">
        <v>45968</v>
      </c>
      <c r="C2414" s="39" t="s">
        <v>126</v>
      </c>
      <c r="D2414" s="39" t="n">
        <v>2</v>
      </c>
      <c r="E2414" s="41" t="n">
        <v>23.33</v>
      </c>
      <c r="F2414" s="39" t="s">
        <v>115</v>
      </c>
      <c r="G2414" s="39" t="str">
        <f aca="false">UPPER(TRIM(C2414))</f>
        <v>P001</v>
      </c>
      <c r="H2414" s="39" t="str">
        <f aca="false">IF(ISNUMBER(MATCH(G2414,Products!$A$5:$A$24,0)),"OK","Mismatch")</f>
        <v>OK</v>
      </c>
      <c r="I2414" s="39" t="str">
        <f aca="false">IF(COUNTIF($A$5:A2414,A2414)&gt;1,"Duplicate","Unique")</f>
        <v>Unique</v>
      </c>
      <c r="J2414" s="39" t="str">
        <f aca="false">IF(I2414="Duplicate","Remove",IF(H2414="Mismatch","Exclude","Keep"))</f>
        <v>Keep</v>
      </c>
    </row>
    <row r="2415" customFormat="false" ht="15" hidden="false" customHeight="false" outlineLevel="0" collapsed="false">
      <c r="A2415" s="39" t="s">
        <v>2469</v>
      </c>
      <c r="B2415" s="40" t="n">
        <v>45968</v>
      </c>
      <c r="C2415" s="39" t="s">
        <v>128</v>
      </c>
      <c r="D2415" s="39" t="n">
        <v>2</v>
      </c>
      <c r="E2415" s="41" t="n">
        <v>37.54</v>
      </c>
      <c r="F2415" s="39" t="s">
        <v>108</v>
      </c>
      <c r="G2415" s="39" t="str">
        <f aca="false">UPPER(TRIM(C2415))</f>
        <v>P020</v>
      </c>
      <c r="H2415" s="39" t="str">
        <f aca="false">IF(ISNUMBER(MATCH(G2415,Products!$A$5:$A$24,0)),"OK","Mismatch")</f>
        <v>OK</v>
      </c>
      <c r="I2415" s="39" t="str">
        <f aca="false">IF(COUNTIF($A$5:A2415,A2415)&gt;1,"Duplicate","Unique")</f>
        <v>Unique</v>
      </c>
      <c r="J2415" s="39" t="str">
        <f aca="false">IF(I2415="Duplicate","Remove",IF(H2415="Mismatch","Exclude","Keep"))</f>
        <v>Keep</v>
      </c>
    </row>
    <row r="2416" customFormat="false" ht="15" hidden="false" customHeight="false" outlineLevel="0" collapsed="false">
      <c r="A2416" s="39" t="s">
        <v>2470</v>
      </c>
      <c r="B2416" s="40" t="n">
        <v>45968</v>
      </c>
      <c r="C2416" s="39" t="s">
        <v>110</v>
      </c>
      <c r="D2416" s="39" t="n">
        <v>3</v>
      </c>
      <c r="E2416" s="41" t="n">
        <v>12.96</v>
      </c>
      <c r="F2416" s="39" t="s">
        <v>105</v>
      </c>
      <c r="G2416" s="39" t="str">
        <f aca="false">UPPER(TRIM(C2416))</f>
        <v>P016</v>
      </c>
      <c r="H2416" s="39" t="str">
        <f aca="false">IF(ISNUMBER(MATCH(G2416,Products!$A$5:$A$24,0)),"OK","Mismatch")</f>
        <v>OK</v>
      </c>
      <c r="I2416" s="39" t="str">
        <f aca="false">IF(COUNTIF($A$5:A2416,A2416)&gt;1,"Duplicate","Unique")</f>
        <v>Unique</v>
      </c>
      <c r="J2416" s="39" t="str">
        <f aca="false">IF(I2416="Duplicate","Remove",IF(H2416="Mismatch","Exclude","Keep"))</f>
        <v>Keep</v>
      </c>
    </row>
    <row r="2417" customFormat="false" ht="15" hidden="false" customHeight="false" outlineLevel="0" collapsed="false">
      <c r="A2417" s="39" t="s">
        <v>2471</v>
      </c>
      <c r="B2417" s="40" t="n">
        <v>45968</v>
      </c>
      <c r="C2417" s="39" t="s">
        <v>114</v>
      </c>
      <c r="D2417" s="39" t="n">
        <v>1</v>
      </c>
      <c r="E2417" s="41" t="n">
        <v>5.86</v>
      </c>
      <c r="F2417" s="39" t="s">
        <v>108</v>
      </c>
      <c r="G2417" s="39" t="str">
        <f aca="false">UPPER(TRIM(C2417))</f>
        <v>P012</v>
      </c>
      <c r="H2417" s="39" t="str">
        <f aca="false">IF(ISNUMBER(MATCH(G2417,Products!$A$5:$A$24,0)),"OK","Mismatch")</f>
        <v>OK</v>
      </c>
      <c r="I2417" s="39" t="str">
        <f aca="false">IF(COUNTIF($A$5:A2417,A2417)&gt;1,"Duplicate","Unique")</f>
        <v>Unique</v>
      </c>
      <c r="J2417" s="39" t="str">
        <f aca="false">IF(I2417="Duplicate","Remove",IF(H2417="Mismatch","Exclude","Keep"))</f>
        <v>Keep</v>
      </c>
    </row>
    <row r="2418" customFormat="false" ht="15" hidden="false" customHeight="false" outlineLevel="0" collapsed="false">
      <c r="A2418" s="39" t="s">
        <v>2472</v>
      </c>
      <c r="B2418" s="40" t="n">
        <v>45968</v>
      </c>
      <c r="C2418" s="39" t="s">
        <v>169</v>
      </c>
      <c r="D2418" s="39" t="n">
        <v>3</v>
      </c>
      <c r="E2418" s="41" t="n">
        <v>28.05</v>
      </c>
      <c r="F2418" s="39" t="s">
        <v>115</v>
      </c>
      <c r="G2418" s="39" t="str">
        <f aca="false">UPPER(TRIM(C2418))</f>
        <v>P004</v>
      </c>
      <c r="H2418" s="39" t="str">
        <f aca="false">IF(ISNUMBER(MATCH(G2418,Products!$A$5:$A$24,0)),"OK","Mismatch")</f>
        <v>OK</v>
      </c>
      <c r="I2418" s="39" t="str">
        <f aca="false">IF(COUNTIF($A$5:A2418,A2418)&gt;1,"Duplicate","Unique")</f>
        <v>Unique</v>
      </c>
      <c r="J2418" s="39" t="str">
        <f aca="false">IF(I2418="Duplicate","Remove",IF(H2418="Mismatch","Exclude","Keep"))</f>
        <v>Keep</v>
      </c>
    </row>
    <row r="2419" customFormat="false" ht="15" hidden="false" customHeight="false" outlineLevel="0" collapsed="false">
      <c r="A2419" s="39" t="s">
        <v>2473</v>
      </c>
      <c r="B2419" s="40" t="n">
        <v>45969</v>
      </c>
      <c r="C2419" s="39" t="s">
        <v>104</v>
      </c>
      <c r="D2419" s="39" t="n">
        <v>5</v>
      </c>
      <c r="E2419" s="41" t="n">
        <v>15.33</v>
      </c>
      <c r="F2419" s="39" t="s">
        <v>108</v>
      </c>
      <c r="G2419" s="39" t="str">
        <f aca="false">UPPER(TRIM(C2419))</f>
        <v>P015</v>
      </c>
      <c r="H2419" s="39" t="str">
        <f aca="false">IF(ISNUMBER(MATCH(G2419,Products!$A$5:$A$24,0)),"OK","Mismatch")</f>
        <v>OK</v>
      </c>
      <c r="I2419" s="39" t="str">
        <f aca="false">IF(COUNTIF($A$5:A2419,A2419)&gt;1,"Duplicate","Unique")</f>
        <v>Unique</v>
      </c>
      <c r="J2419" s="39" t="str">
        <f aca="false">IF(I2419="Duplicate","Remove",IF(H2419="Mismatch","Exclude","Keep"))</f>
        <v>Keep</v>
      </c>
    </row>
    <row r="2420" customFormat="false" ht="15" hidden="false" customHeight="false" outlineLevel="0" collapsed="false">
      <c r="A2420" s="39" t="s">
        <v>2474</v>
      </c>
      <c r="B2420" s="40" t="n">
        <v>45969</v>
      </c>
      <c r="C2420" s="39" t="s">
        <v>305</v>
      </c>
      <c r="D2420" s="39" t="n">
        <v>3</v>
      </c>
      <c r="E2420" s="41" t="n">
        <v>335.49</v>
      </c>
      <c r="F2420" s="39" t="s">
        <v>115</v>
      </c>
      <c r="G2420" s="39" t="str">
        <f aca="false">UPPER(TRIM(C2420))</f>
        <v>P008</v>
      </c>
      <c r="H2420" s="39" t="str">
        <f aca="false">IF(ISNUMBER(MATCH(G2420,Products!$A$5:$A$24,0)),"OK","Mismatch")</f>
        <v>OK</v>
      </c>
      <c r="I2420" s="39" t="str">
        <f aca="false">IF(COUNTIF($A$5:A2420,A2420)&gt;1,"Duplicate","Unique")</f>
        <v>Unique</v>
      </c>
      <c r="J2420" s="39" t="str">
        <f aca="false">IF(I2420="Duplicate","Remove",IF(H2420="Mismatch","Exclude","Keep"))</f>
        <v>Keep</v>
      </c>
    </row>
    <row r="2421" customFormat="false" ht="15" hidden="false" customHeight="false" outlineLevel="0" collapsed="false">
      <c r="A2421" s="39" t="s">
        <v>2474</v>
      </c>
      <c r="B2421" s="40" t="n">
        <v>45969</v>
      </c>
      <c r="C2421" s="39" t="s">
        <v>305</v>
      </c>
      <c r="D2421" s="39" t="n">
        <v>3</v>
      </c>
      <c r="E2421" s="41" t="n">
        <v>335.49</v>
      </c>
      <c r="F2421" s="39" t="s">
        <v>115</v>
      </c>
      <c r="G2421" s="39" t="str">
        <f aca="false">UPPER(TRIM(C2421))</f>
        <v>P008</v>
      </c>
      <c r="H2421" s="39" t="str">
        <f aca="false">IF(ISNUMBER(MATCH(G2421,Products!$A$5:$A$24,0)),"OK","Mismatch")</f>
        <v>OK</v>
      </c>
      <c r="I2421" s="39" t="str">
        <f aca="false">IF(COUNTIF($A$5:A2421,A2421)&gt;1,"Duplicate","Unique")</f>
        <v>Duplicate</v>
      </c>
      <c r="J2421" s="39" t="str">
        <f aca="false">IF(I2421="Duplicate","Remove",IF(H2421="Mismatch","Exclude","Keep"))</f>
        <v>Remove</v>
      </c>
    </row>
    <row r="2422" customFormat="false" ht="15" hidden="false" customHeight="false" outlineLevel="0" collapsed="false">
      <c r="A2422" s="39" t="s">
        <v>2475</v>
      </c>
      <c r="B2422" s="40" t="n">
        <v>45969</v>
      </c>
      <c r="C2422" s="39" t="s">
        <v>107</v>
      </c>
      <c r="D2422" s="39" t="n">
        <v>1</v>
      </c>
      <c r="E2422" s="41" t="n">
        <v>33.04</v>
      </c>
      <c r="F2422" s="39" t="s">
        <v>118</v>
      </c>
      <c r="G2422" s="39" t="str">
        <f aca="false">UPPER(TRIM(C2422))</f>
        <v>P003</v>
      </c>
      <c r="H2422" s="39" t="str">
        <f aca="false">IF(ISNUMBER(MATCH(G2422,Products!$A$5:$A$24,0)),"OK","Mismatch")</f>
        <v>OK</v>
      </c>
      <c r="I2422" s="39" t="str">
        <f aca="false">IF(COUNTIF($A$5:A2422,A2422)&gt;1,"Duplicate","Unique")</f>
        <v>Unique</v>
      </c>
      <c r="J2422" s="39" t="str">
        <f aca="false">IF(I2422="Duplicate","Remove",IF(H2422="Mismatch","Exclude","Keep"))</f>
        <v>Keep</v>
      </c>
    </row>
    <row r="2423" customFormat="false" ht="15" hidden="false" customHeight="false" outlineLevel="0" collapsed="false">
      <c r="A2423" s="39" t="s">
        <v>2476</v>
      </c>
      <c r="B2423" s="40" t="n">
        <v>45969</v>
      </c>
      <c r="C2423" s="39" t="s">
        <v>177</v>
      </c>
      <c r="D2423" s="39" t="n">
        <v>1</v>
      </c>
      <c r="E2423" s="41" t="n">
        <v>42.02</v>
      </c>
      <c r="F2423" s="39" t="s">
        <v>115</v>
      </c>
      <c r="G2423" s="39" t="str">
        <f aca="false">UPPER(TRIM(C2423))</f>
        <v>P014</v>
      </c>
      <c r="H2423" s="39" t="str">
        <f aca="false">IF(ISNUMBER(MATCH(G2423,Products!$A$5:$A$24,0)),"OK","Mismatch")</f>
        <v>OK</v>
      </c>
      <c r="I2423" s="39" t="str">
        <f aca="false">IF(COUNTIF($A$5:A2423,A2423)&gt;1,"Duplicate","Unique")</f>
        <v>Unique</v>
      </c>
      <c r="J2423" s="39" t="str">
        <f aca="false">IF(I2423="Duplicate","Remove",IF(H2423="Mismatch","Exclude","Keep"))</f>
        <v>Keep</v>
      </c>
    </row>
    <row r="2424" customFormat="false" ht="15" hidden="false" customHeight="false" outlineLevel="0" collapsed="false">
      <c r="A2424" s="39" t="s">
        <v>2477</v>
      </c>
      <c r="B2424" s="40" t="n">
        <v>45969</v>
      </c>
      <c r="C2424" s="39" t="s">
        <v>305</v>
      </c>
      <c r="D2424" s="39" t="n">
        <v>3</v>
      </c>
      <c r="E2424" s="41" t="n">
        <v>347.88</v>
      </c>
      <c r="F2424" s="39" t="s">
        <v>108</v>
      </c>
      <c r="G2424" s="39" t="str">
        <f aca="false">UPPER(TRIM(C2424))</f>
        <v>P008</v>
      </c>
      <c r="H2424" s="39" t="str">
        <f aca="false">IF(ISNUMBER(MATCH(G2424,Products!$A$5:$A$24,0)),"OK","Mismatch")</f>
        <v>OK</v>
      </c>
      <c r="I2424" s="39" t="str">
        <f aca="false">IF(COUNTIF($A$5:A2424,A2424)&gt;1,"Duplicate","Unique")</f>
        <v>Unique</v>
      </c>
      <c r="J2424" s="39" t="str">
        <f aca="false">IF(I2424="Duplicate","Remove",IF(H2424="Mismatch","Exclude","Keep"))</f>
        <v>Keep</v>
      </c>
    </row>
    <row r="2425" customFormat="false" ht="15" hidden="false" customHeight="false" outlineLevel="0" collapsed="false">
      <c r="A2425" s="39" t="s">
        <v>2478</v>
      </c>
      <c r="B2425" s="40" t="n">
        <v>45969</v>
      </c>
      <c r="C2425" s="39" t="s">
        <v>130</v>
      </c>
      <c r="D2425" s="39" t="n">
        <v>3</v>
      </c>
      <c r="E2425" s="41" t="n">
        <v>8.82</v>
      </c>
      <c r="F2425" s="39" t="s">
        <v>108</v>
      </c>
      <c r="G2425" s="39" t="str">
        <f aca="false">UPPER(TRIM(C2425))</f>
        <v>P011</v>
      </c>
      <c r="H2425" s="39" t="str">
        <f aca="false">IF(ISNUMBER(MATCH(G2425,Products!$A$5:$A$24,0)),"OK","Mismatch")</f>
        <v>OK</v>
      </c>
      <c r="I2425" s="39" t="str">
        <f aca="false">IF(COUNTIF($A$5:A2425,A2425)&gt;1,"Duplicate","Unique")</f>
        <v>Unique</v>
      </c>
      <c r="J2425" s="39" t="str">
        <f aca="false">IF(I2425="Duplicate","Remove",IF(H2425="Mismatch","Exclude","Keep"))</f>
        <v>Keep</v>
      </c>
    </row>
    <row r="2426" customFormat="false" ht="15" hidden="false" customHeight="false" outlineLevel="0" collapsed="false">
      <c r="A2426" s="39" t="s">
        <v>2479</v>
      </c>
      <c r="B2426" s="40" t="n">
        <v>45969</v>
      </c>
      <c r="C2426" s="39" t="s">
        <v>107</v>
      </c>
      <c r="D2426" s="39" t="n">
        <v>1</v>
      </c>
      <c r="E2426" s="41" t="n">
        <v>34.98</v>
      </c>
      <c r="F2426" s="39" t="s">
        <v>115</v>
      </c>
      <c r="G2426" s="39" t="str">
        <f aca="false">UPPER(TRIM(C2426))</f>
        <v>P003</v>
      </c>
      <c r="H2426" s="39" t="str">
        <f aca="false">IF(ISNUMBER(MATCH(G2426,Products!$A$5:$A$24,0)),"OK","Mismatch")</f>
        <v>OK</v>
      </c>
      <c r="I2426" s="39" t="str">
        <f aca="false">IF(COUNTIF($A$5:A2426,A2426)&gt;1,"Duplicate","Unique")</f>
        <v>Unique</v>
      </c>
      <c r="J2426" s="39" t="str">
        <f aca="false">IF(I2426="Duplicate","Remove",IF(H2426="Mismatch","Exclude","Keep"))</f>
        <v>Keep</v>
      </c>
    </row>
    <row r="2427" customFormat="false" ht="15" hidden="false" customHeight="false" outlineLevel="0" collapsed="false">
      <c r="A2427" s="39" t="s">
        <v>2480</v>
      </c>
      <c r="B2427" s="40" t="n">
        <v>45969</v>
      </c>
      <c r="C2427" s="39" t="s">
        <v>139</v>
      </c>
      <c r="D2427" s="39" t="n">
        <v>2</v>
      </c>
      <c r="E2427" s="41" t="n">
        <v>120.44</v>
      </c>
      <c r="F2427" s="39" t="s">
        <v>118</v>
      </c>
      <c r="G2427" s="39" t="str">
        <f aca="false">UPPER(TRIM(C2427))</f>
        <v>P006</v>
      </c>
      <c r="H2427" s="39" t="str">
        <f aca="false">IF(ISNUMBER(MATCH(G2427,Products!$A$5:$A$24,0)),"OK","Mismatch")</f>
        <v>OK</v>
      </c>
      <c r="I2427" s="39" t="str">
        <f aca="false">IF(COUNTIF($A$5:A2427,A2427)&gt;1,"Duplicate","Unique")</f>
        <v>Unique</v>
      </c>
      <c r="J2427" s="39" t="str">
        <f aca="false">IF(I2427="Duplicate","Remove",IF(H2427="Mismatch","Exclude","Keep"))</f>
        <v>Keep</v>
      </c>
    </row>
    <row r="2428" customFormat="false" ht="15" hidden="false" customHeight="false" outlineLevel="0" collapsed="false">
      <c r="A2428" s="39" t="s">
        <v>2481</v>
      </c>
      <c r="B2428" s="40" t="n">
        <v>45969</v>
      </c>
      <c r="C2428" s="39" t="s">
        <v>139</v>
      </c>
      <c r="D2428" s="39" t="n">
        <v>4</v>
      </c>
      <c r="E2428" s="41" t="n">
        <v>127.36</v>
      </c>
      <c r="F2428" s="39" t="s">
        <v>108</v>
      </c>
      <c r="G2428" s="39" t="str">
        <f aca="false">UPPER(TRIM(C2428))</f>
        <v>P006</v>
      </c>
      <c r="H2428" s="39" t="str">
        <f aca="false">IF(ISNUMBER(MATCH(G2428,Products!$A$5:$A$24,0)),"OK","Mismatch")</f>
        <v>OK</v>
      </c>
      <c r="I2428" s="39" t="str">
        <f aca="false">IF(COUNTIF($A$5:A2428,A2428)&gt;1,"Duplicate","Unique")</f>
        <v>Unique</v>
      </c>
      <c r="J2428" s="39" t="str">
        <f aca="false">IF(I2428="Duplicate","Remove",IF(H2428="Mismatch","Exclude","Keep"))</f>
        <v>Keep</v>
      </c>
    </row>
    <row r="2429" customFormat="false" ht="15" hidden="false" customHeight="false" outlineLevel="0" collapsed="false">
      <c r="A2429" s="39" t="s">
        <v>2482</v>
      </c>
      <c r="B2429" s="40" t="n">
        <v>45969</v>
      </c>
      <c r="C2429" s="39" t="s">
        <v>107</v>
      </c>
      <c r="D2429" s="39" t="n">
        <v>1</v>
      </c>
      <c r="E2429" s="41" t="n">
        <v>33.27</v>
      </c>
      <c r="F2429" s="39" t="s">
        <v>108</v>
      </c>
      <c r="G2429" s="39" t="str">
        <f aca="false">UPPER(TRIM(C2429))</f>
        <v>P003</v>
      </c>
      <c r="H2429" s="39" t="str">
        <f aca="false">IF(ISNUMBER(MATCH(G2429,Products!$A$5:$A$24,0)),"OK","Mismatch")</f>
        <v>OK</v>
      </c>
      <c r="I2429" s="39" t="str">
        <f aca="false">IF(COUNTIF($A$5:A2429,A2429)&gt;1,"Duplicate","Unique")</f>
        <v>Unique</v>
      </c>
      <c r="J2429" s="39" t="str">
        <f aca="false">IF(I2429="Duplicate","Remove",IF(H2429="Mismatch","Exclude","Keep"))</f>
        <v>Keep</v>
      </c>
    </row>
    <row r="2430" customFormat="false" ht="15" hidden="false" customHeight="false" outlineLevel="0" collapsed="false">
      <c r="A2430" s="39" t="s">
        <v>2483</v>
      </c>
      <c r="B2430" s="40" t="n">
        <v>45969</v>
      </c>
      <c r="C2430" s="39" t="s">
        <v>128</v>
      </c>
      <c r="D2430" s="39" t="n">
        <v>1</v>
      </c>
      <c r="E2430" s="41" t="n">
        <v>38.81</v>
      </c>
      <c r="F2430" s="39" t="s">
        <v>118</v>
      </c>
      <c r="G2430" s="39" t="str">
        <f aca="false">UPPER(TRIM(C2430))</f>
        <v>P020</v>
      </c>
      <c r="H2430" s="39" t="str">
        <f aca="false">IF(ISNUMBER(MATCH(G2430,Products!$A$5:$A$24,0)),"OK","Mismatch")</f>
        <v>OK</v>
      </c>
      <c r="I2430" s="39" t="str">
        <f aca="false">IF(COUNTIF($A$5:A2430,A2430)&gt;1,"Duplicate","Unique")</f>
        <v>Unique</v>
      </c>
      <c r="J2430" s="39" t="str">
        <f aca="false">IF(I2430="Duplicate","Remove",IF(H2430="Mismatch","Exclude","Keep"))</f>
        <v>Keep</v>
      </c>
    </row>
    <row r="2431" customFormat="false" ht="15" hidden="false" customHeight="false" outlineLevel="0" collapsed="false">
      <c r="A2431" s="39" t="s">
        <v>2484</v>
      </c>
      <c r="B2431" s="40" t="n">
        <v>45969</v>
      </c>
      <c r="C2431" s="39" t="s">
        <v>136</v>
      </c>
      <c r="D2431" s="39" t="n">
        <v>4</v>
      </c>
      <c r="E2431" s="41" t="n">
        <v>74.75</v>
      </c>
      <c r="F2431" s="39" t="s">
        <v>118</v>
      </c>
      <c r="G2431" s="39" t="str">
        <f aca="false">UPPER(TRIM(C2431))</f>
        <v>P002</v>
      </c>
      <c r="H2431" s="39" t="str">
        <f aca="false">IF(ISNUMBER(MATCH(G2431,Products!$A$5:$A$24,0)),"OK","Mismatch")</f>
        <v>OK</v>
      </c>
      <c r="I2431" s="39" t="str">
        <f aca="false">IF(COUNTIF($A$5:A2431,A2431)&gt;1,"Duplicate","Unique")</f>
        <v>Unique</v>
      </c>
      <c r="J2431" s="39" t="str">
        <f aca="false">IF(I2431="Duplicate","Remove",IF(H2431="Mismatch","Exclude","Keep"))</f>
        <v>Keep</v>
      </c>
    </row>
    <row r="2432" customFormat="false" ht="15" hidden="false" customHeight="false" outlineLevel="0" collapsed="false">
      <c r="A2432" s="39" t="s">
        <v>2485</v>
      </c>
      <c r="B2432" s="40" t="n">
        <v>45970</v>
      </c>
      <c r="C2432" s="39" t="s">
        <v>110</v>
      </c>
      <c r="D2432" s="39" t="n">
        <v>1</v>
      </c>
      <c r="E2432" s="41" t="n">
        <v>13.68</v>
      </c>
      <c r="F2432" s="39" t="s">
        <v>108</v>
      </c>
      <c r="G2432" s="39" t="str">
        <f aca="false">UPPER(TRIM(C2432))</f>
        <v>P016</v>
      </c>
      <c r="H2432" s="39" t="str">
        <f aca="false">IF(ISNUMBER(MATCH(G2432,Products!$A$5:$A$24,0)),"OK","Mismatch")</f>
        <v>OK</v>
      </c>
      <c r="I2432" s="39" t="str">
        <f aca="false">IF(COUNTIF($A$5:A2432,A2432)&gt;1,"Duplicate","Unique")</f>
        <v>Unique</v>
      </c>
      <c r="J2432" s="39" t="str">
        <f aca="false">IF(I2432="Duplicate","Remove",IF(H2432="Mismatch","Exclude","Keep"))</f>
        <v>Keep</v>
      </c>
    </row>
    <row r="2433" customFormat="false" ht="15" hidden="false" customHeight="false" outlineLevel="0" collapsed="false">
      <c r="A2433" s="39" t="s">
        <v>2486</v>
      </c>
      <c r="B2433" s="40" t="n">
        <v>45970</v>
      </c>
      <c r="C2433" s="39" t="s">
        <v>136</v>
      </c>
      <c r="D2433" s="39" t="n">
        <v>2</v>
      </c>
      <c r="E2433" s="41" t="n">
        <v>78.95</v>
      </c>
      <c r="F2433" s="39" t="s">
        <v>118</v>
      </c>
      <c r="G2433" s="39" t="str">
        <f aca="false">UPPER(TRIM(C2433))</f>
        <v>P002</v>
      </c>
      <c r="H2433" s="39" t="str">
        <f aca="false">IF(ISNUMBER(MATCH(G2433,Products!$A$5:$A$24,0)),"OK","Mismatch")</f>
        <v>OK</v>
      </c>
      <c r="I2433" s="39" t="str">
        <f aca="false">IF(COUNTIF($A$5:A2433,A2433)&gt;1,"Duplicate","Unique")</f>
        <v>Unique</v>
      </c>
      <c r="J2433" s="39" t="str">
        <f aca="false">IF(I2433="Duplicate","Remove",IF(H2433="Mismatch","Exclude","Keep"))</f>
        <v>Keep</v>
      </c>
    </row>
    <row r="2434" customFormat="false" ht="15" hidden="false" customHeight="false" outlineLevel="0" collapsed="false">
      <c r="A2434" s="39" t="s">
        <v>2487</v>
      </c>
      <c r="B2434" s="40" t="n">
        <v>45970</v>
      </c>
      <c r="C2434" s="39" t="s">
        <v>162</v>
      </c>
      <c r="D2434" s="39" t="n">
        <v>3</v>
      </c>
      <c r="E2434" s="41" t="n">
        <v>67.23</v>
      </c>
      <c r="F2434" s="39" t="s">
        <v>108</v>
      </c>
      <c r="G2434" s="39" t="str">
        <f aca="false">UPPER(TRIM(C2434))</f>
        <v>P017</v>
      </c>
      <c r="H2434" s="39" t="str">
        <f aca="false">IF(ISNUMBER(MATCH(G2434,Products!$A$5:$A$24,0)),"OK","Mismatch")</f>
        <v>OK</v>
      </c>
      <c r="I2434" s="39" t="str">
        <f aca="false">IF(COUNTIF($A$5:A2434,A2434)&gt;1,"Duplicate","Unique")</f>
        <v>Unique</v>
      </c>
      <c r="J2434" s="39" t="str">
        <f aca="false">IF(I2434="Duplicate","Remove",IF(H2434="Mismatch","Exclude","Keep"))</f>
        <v>Keep</v>
      </c>
    </row>
    <row r="2435" customFormat="false" ht="15" hidden="false" customHeight="false" outlineLevel="0" collapsed="false">
      <c r="A2435" s="39" t="s">
        <v>2488</v>
      </c>
      <c r="B2435" s="40" t="n">
        <v>45970</v>
      </c>
      <c r="C2435" s="39" t="s">
        <v>130</v>
      </c>
      <c r="D2435" s="39" t="n">
        <v>1</v>
      </c>
      <c r="E2435" s="41" t="n">
        <v>8.9</v>
      </c>
      <c r="F2435" s="39" t="s">
        <v>108</v>
      </c>
      <c r="G2435" s="39" t="str">
        <f aca="false">UPPER(TRIM(C2435))</f>
        <v>P011</v>
      </c>
      <c r="H2435" s="39" t="str">
        <f aca="false">IF(ISNUMBER(MATCH(G2435,Products!$A$5:$A$24,0)),"OK","Mismatch")</f>
        <v>OK</v>
      </c>
      <c r="I2435" s="39" t="str">
        <f aca="false">IF(COUNTIF($A$5:A2435,A2435)&gt;1,"Duplicate","Unique")</f>
        <v>Unique</v>
      </c>
      <c r="J2435" s="39" t="str">
        <f aca="false">IF(I2435="Duplicate","Remove",IF(H2435="Mismatch","Exclude","Keep"))</f>
        <v>Keep</v>
      </c>
    </row>
    <row r="2436" customFormat="false" ht="15" hidden="false" customHeight="false" outlineLevel="0" collapsed="false">
      <c r="A2436" s="39" t="s">
        <v>2489</v>
      </c>
      <c r="B2436" s="40" t="n">
        <v>45970</v>
      </c>
      <c r="C2436" s="39" t="s">
        <v>177</v>
      </c>
      <c r="D2436" s="39" t="n">
        <v>2</v>
      </c>
      <c r="E2436" s="41" t="n">
        <v>42.13</v>
      </c>
      <c r="F2436" s="39" t="s">
        <v>108</v>
      </c>
      <c r="G2436" s="39" t="str">
        <f aca="false">UPPER(TRIM(C2436))</f>
        <v>P014</v>
      </c>
      <c r="H2436" s="39" t="str">
        <f aca="false">IF(ISNUMBER(MATCH(G2436,Products!$A$5:$A$24,0)),"OK","Mismatch")</f>
        <v>OK</v>
      </c>
      <c r="I2436" s="39" t="str">
        <f aca="false">IF(COUNTIF($A$5:A2436,A2436)&gt;1,"Duplicate","Unique")</f>
        <v>Unique</v>
      </c>
      <c r="J2436" s="39" t="str">
        <f aca="false">IF(I2436="Duplicate","Remove",IF(H2436="Mismatch","Exclude","Keep"))</f>
        <v>Keep</v>
      </c>
    </row>
    <row r="2437" customFormat="false" ht="15" hidden="false" customHeight="false" outlineLevel="0" collapsed="false">
      <c r="A2437" s="39" t="s">
        <v>2490</v>
      </c>
      <c r="B2437" s="40" t="n">
        <v>45970</v>
      </c>
      <c r="C2437" s="39" t="s">
        <v>126</v>
      </c>
      <c r="D2437" s="39" t="n">
        <v>1</v>
      </c>
      <c r="E2437" s="41" t="n">
        <v>23.85</v>
      </c>
      <c r="F2437" s="39" t="s">
        <v>118</v>
      </c>
      <c r="G2437" s="39" t="str">
        <f aca="false">UPPER(TRIM(C2437))</f>
        <v>P001</v>
      </c>
      <c r="H2437" s="39" t="str">
        <f aca="false">IF(ISNUMBER(MATCH(G2437,Products!$A$5:$A$24,0)),"OK","Mismatch")</f>
        <v>OK</v>
      </c>
      <c r="I2437" s="39" t="str">
        <f aca="false">IF(COUNTIF($A$5:A2437,A2437)&gt;1,"Duplicate","Unique")</f>
        <v>Unique</v>
      </c>
      <c r="J2437" s="39" t="str">
        <f aca="false">IF(I2437="Duplicate","Remove",IF(H2437="Mismatch","Exclude","Keep"))</f>
        <v>Keep</v>
      </c>
    </row>
    <row r="2438" customFormat="false" ht="15" hidden="false" customHeight="false" outlineLevel="0" collapsed="false">
      <c r="A2438" s="39" t="s">
        <v>2491</v>
      </c>
      <c r="B2438" s="40" t="n">
        <v>45970</v>
      </c>
      <c r="C2438" s="39" t="s">
        <v>139</v>
      </c>
      <c r="D2438" s="39" t="n">
        <v>3</v>
      </c>
      <c r="E2438" s="41" t="n">
        <v>125.72</v>
      </c>
      <c r="F2438" s="39" t="s">
        <v>108</v>
      </c>
      <c r="G2438" s="39" t="str">
        <f aca="false">UPPER(TRIM(C2438))</f>
        <v>P006</v>
      </c>
      <c r="H2438" s="39" t="str">
        <f aca="false">IF(ISNUMBER(MATCH(G2438,Products!$A$5:$A$24,0)),"OK","Mismatch")</f>
        <v>OK</v>
      </c>
      <c r="I2438" s="39" t="str">
        <f aca="false">IF(COUNTIF($A$5:A2438,A2438)&gt;1,"Duplicate","Unique")</f>
        <v>Unique</v>
      </c>
      <c r="J2438" s="39" t="str">
        <f aca="false">IF(I2438="Duplicate","Remove",IF(H2438="Mismatch","Exclude","Keep"))</f>
        <v>Keep</v>
      </c>
    </row>
    <row r="2439" customFormat="false" ht="15" hidden="false" customHeight="false" outlineLevel="0" collapsed="false">
      <c r="A2439" s="39" t="s">
        <v>2492</v>
      </c>
      <c r="B2439" s="40" t="n">
        <v>45970</v>
      </c>
      <c r="C2439" s="39" t="s">
        <v>104</v>
      </c>
      <c r="D2439" s="39" t="n">
        <v>3</v>
      </c>
      <c r="E2439" s="41" t="n">
        <v>15.09</v>
      </c>
      <c r="F2439" s="39" t="s">
        <v>108</v>
      </c>
      <c r="G2439" s="39" t="str">
        <f aca="false">UPPER(TRIM(C2439))</f>
        <v>P015</v>
      </c>
      <c r="H2439" s="39" t="str">
        <f aca="false">IF(ISNUMBER(MATCH(G2439,Products!$A$5:$A$24,0)),"OK","Mismatch")</f>
        <v>OK</v>
      </c>
      <c r="I2439" s="39" t="str">
        <f aca="false">IF(COUNTIF($A$5:A2439,A2439)&gt;1,"Duplicate","Unique")</f>
        <v>Unique</v>
      </c>
      <c r="J2439" s="39" t="str">
        <f aca="false">IF(I2439="Duplicate","Remove",IF(H2439="Mismatch","Exclude","Keep"))</f>
        <v>Keep</v>
      </c>
    </row>
    <row r="2440" customFormat="false" ht="15" hidden="false" customHeight="false" outlineLevel="0" collapsed="false">
      <c r="A2440" s="39" t="s">
        <v>2493</v>
      </c>
      <c r="B2440" s="40" t="n">
        <v>45970</v>
      </c>
      <c r="C2440" s="39" t="s">
        <v>130</v>
      </c>
      <c r="D2440" s="39" t="n">
        <v>3</v>
      </c>
      <c r="E2440" s="41" t="n">
        <v>8.92</v>
      </c>
      <c r="F2440" s="39" t="s">
        <v>108</v>
      </c>
      <c r="G2440" s="39" t="str">
        <f aca="false">UPPER(TRIM(C2440))</f>
        <v>P011</v>
      </c>
      <c r="H2440" s="39" t="str">
        <f aca="false">IF(ISNUMBER(MATCH(G2440,Products!$A$5:$A$24,0)),"OK","Mismatch")</f>
        <v>OK</v>
      </c>
      <c r="I2440" s="39" t="str">
        <f aca="false">IF(COUNTIF($A$5:A2440,A2440)&gt;1,"Duplicate","Unique")</f>
        <v>Unique</v>
      </c>
      <c r="J2440" s="39" t="str">
        <f aca="false">IF(I2440="Duplicate","Remove",IF(H2440="Mismatch","Exclude","Keep"))</f>
        <v>Keep</v>
      </c>
    </row>
    <row r="2441" customFormat="false" ht="15" hidden="false" customHeight="false" outlineLevel="0" collapsed="false">
      <c r="A2441" s="39" t="s">
        <v>2494</v>
      </c>
      <c r="B2441" s="40" t="n">
        <v>45970</v>
      </c>
      <c r="C2441" s="39" t="s">
        <v>162</v>
      </c>
      <c r="D2441" s="39" t="n">
        <v>2</v>
      </c>
      <c r="E2441" s="41" t="n">
        <v>66.32</v>
      </c>
      <c r="F2441" s="39" t="s">
        <v>108</v>
      </c>
      <c r="G2441" s="39" t="str">
        <f aca="false">UPPER(TRIM(C2441))</f>
        <v>P017</v>
      </c>
      <c r="H2441" s="39" t="str">
        <f aca="false">IF(ISNUMBER(MATCH(G2441,Products!$A$5:$A$24,0)),"OK","Mismatch")</f>
        <v>OK</v>
      </c>
      <c r="I2441" s="39" t="str">
        <f aca="false">IF(COUNTIF($A$5:A2441,A2441)&gt;1,"Duplicate","Unique")</f>
        <v>Unique</v>
      </c>
      <c r="J2441" s="39" t="str">
        <f aca="false">IF(I2441="Duplicate","Remove",IF(H2441="Mismatch","Exclude","Keep"))</f>
        <v>Keep</v>
      </c>
    </row>
    <row r="2442" customFormat="false" ht="15" hidden="false" customHeight="false" outlineLevel="0" collapsed="false">
      <c r="A2442" s="39" t="s">
        <v>2495</v>
      </c>
      <c r="B2442" s="40" t="n">
        <v>45970</v>
      </c>
      <c r="C2442" s="39" t="s">
        <v>104</v>
      </c>
      <c r="D2442" s="39" t="n">
        <v>1</v>
      </c>
      <c r="E2442" s="41" t="n">
        <v>15.17</v>
      </c>
      <c r="F2442" s="39" t="s">
        <v>118</v>
      </c>
      <c r="G2442" s="39" t="str">
        <f aca="false">UPPER(TRIM(C2442))</f>
        <v>P015</v>
      </c>
      <c r="H2442" s="39" t="str">
        <f aca="false">IF(ISNUMBER(MATCH(G2442,Products!$A$5:$A$24,0)),"OK","Mismatch")</f>
        <v>OK</v>
      </c>
      <c r="I2442" s="39" t="str">
        <f aca="false">IF(COUNTIF($A$5:A2442,A2442)&gt;1,"Duplicate","Unique")</f>
        <v>Unique</v>
      </c>
      <c r="J2442" s="39" t="str">
        <f aca="false">IF(I2442="Duplicate","Remove",IF(H2442="Mismatch","Exclude","Keep"))</f>
        <v>Keep</v>
      </c>
    </row>
    <row r="2443" customFormat="false" ht="15" hidden="false" customHeight="false" outlineLevel="0" collapsed="false">
      <c r="A2443" s="39" t="s">
        <v>2496</v>
      </c>
      <c r="B2443" s="40" t="n">
        <v>45970</v>
      </c>
      <c r="C2443" s="39" t="s">
        <v>136</v>
      </c>
      <c r="D2443" s="39" t="n">
        <v>1</v>
      </c>
      <c r="E2443" s="41" t="n">
        <v>77.94</v>
      </c>
      <c r="F2443" s="39" t="s">
        <v>115</v>
      </c>
      <c r="G2443" s="39" t="str">
        <f aca="false">UPPER(TRIM(C2443))</f>
        <v>P002</v>
      </c>
      <c r="H2443" s="39" t="str">
        <f aca="false">IF(ISNUMBER(MATCH(G2443,Products!$A$5:$A$24,0)),"OK","Mismatch")</f>
        <v>OK</v>
      </c>
      <c r="I2443" s="39" t="str">
        <f aca="false">IF(COUNTIF($A$5:A2443,A2443)&gt;1,"Duplicate","Unique")</f>
        <v>Unique</v>
      </c>
      <c r="J2443" s="39" t="str">
        <f aca="false">IF(I2443="Duplicate","Remove",IF(H2443="Mismatch","Exclude","Keep"))</f>
        <v>Keep</v>
      </c>
    </row>
    <row r="2444" customFormat="false" ht="15" hidden="false" customHeight="false" outlineLevel="0" collapsed="false">
      <c r="A2444" s="39" t="s">
        <v>2497</v>
      </c>
      <c r="B2444" s="40" t="n">
        <v>45971</v>
      </c>
      <c r="C2444" s="39" t="s">
        <v>126</v>
      </c>
      <c r="D2444" s="39" t="n">
        <v>1</v>
      </c>
      <c r="E2444" s="41" t="n">
        <v>24.18</v>
      </c>
      <c r="F2444" s="39" t="s">
        <v>115</v>
      </c>
      <c r="G2444" s="39" t="str">
        <f aca="false">UPPER(TRIM(C2444))</f>
        <v>P001</v>
      </c>
      <c r="H2444" s="39" t="str">
        <f aca="false">IF(ISNUMBER(MATCH(G2444,Products!$A$5:$A$24,0)),"OK","Mismatch")</f>
        <v>OK</v>
      </c>
      <c r="I2444" s="39" t="str">
        <f aca="false">IF(COUNTIF($A$5:A2444,A2444)&gt;1,"Duplicate","Unique")</f>
        <v>Unique</v>
      </c>
      <c r="J2444" s="39" t="str">
        <f aca="false">IF(I2444="Duplicate","Remove",IF(H2444="Mismatch","Exclude","Keep"))</f>
        <v>Keep</v>
      </c>
    </row>
    <row r="2445" customFormat="false" ht="15" hidden="false" customHeight="false" outlineLevel="0" collapsed="false">
      <c r="A2445" s="39" t="s">
        <v>2498</v>
      </c>
      <c r="B2445" s="40" t="n">
        <v>45971</v>
      </c>
      <c r="C2445" s="39" t="s">
        <v>112</v>
      </c>
      <c r="D2445" s="39" t="n">
        <v>1</v>
      </c>
      <c r="E2445" s="41" t="n">
        <v>52.89</v>
      </c>
      <c r="F2445" s="39" t="s">
        <v>115</v>
      </c>
      <c r="G2445" s="39" t="str">
        <f aca="false">UPPER(TRIM(C2445))</f>
        <v>P005</v>
      </c>
      <c r="H2445" s="39" t="str">
        <f aca="false">IF(ISNUMBER(MATCH(G2445,Products!$A$5:$A$24,0)),"OK","Mismatch")</f>
        <v>OK</v>
      </c>
      <c r="I2445" s="39" t="str">
        <f aca="false">IF(COUNTIF($A$5:A2445,A2445)&gt;1,"Duplicate","Unique")</f>
        <v>Unique</v>
      </c>
      <c r="J2445" s="39" t="str">
        <f aca="false">IF(I2445="Duplicate","Remove",IF(H2445="Mismatch","Exclude","Keep"))</f>
        <v>Keep</v>
      </c>
    </row>
    <row r="2446" customFormat="false" ht="15" hidden="false" customHeight="false" outlineLevel="0" collapsed="false">
      <c r="A2446" s="39" t="s">
        <v>2498</v>
      </c>
      <c r="B2446" s="40" t="n">
        <v>45971</v>
      </c>
      <c r="C2446" s="39" t="s">
        <v>112</v>
      </c>
      <c r="D2446" s="39" t="n">
        <v>1</v>
      </c>
      <c r="E2446" s="41" t="n">
        <v>52.89</v>
      </c>
      <c r="F2446" s="39" t="s">
        <v>115</v>
      </c>
      <c r="G2446" s="39" t="str">
        <f aca="false">UPPER(TRIM(C2446))</f>
        <v>P005</v>
      </c>
      <c r="H2446" s="39" t="str">
        <f aca="false">IF(ISNUMBER(MATCH(G2446,Products!$A$5:$A$24,0)),"OK","Mismatch")</f>
        <v>OK</v>
      </c>
      <c r="I2446" s="39" t="str">
        <f aca="false">IF(COUNTIF($A$5:A2446,A2446)&gt;1,"Duplicate","Unique")</f>
        <v>Duplicate</v>
      </c>
      <c r="J2446" s="39" t="str">
        <f aca="false">IF(I2446="Duplicate","Remove",IF(H2446="Mismatch","Exclude","Keep"))</f>
        <v>Remove</v>
      </c>
    </row>
    <row r="2447" customFormat="false" ht="15" hidden="false" customHeight="false" outlineLevel="0" collapsed="false">
      <c r="A2447" s="39" t="s">
        <v>2499</v>
      </c>
      <c r="B2447" s="40" t="n">
        <v>45971</v>
      </c>
      <c r="C2447" s="39" t="s">
        <v>130</v>
      </c>
      <c r="D2447" s="39" t="n">
        <v>2</v>
      </c>
      <c r="E2447" s="41" t="n">
        <v>8.5</v>
      </c>
      <c r="F2447" s="39" t="s">
        <v>108</v>
      </c>
      <c r="G2447" s="39" t="str">
        <f aca="false">UPPER(TRIM(C2447))</f>
        <v>P011</v>
      </c>
      <c r="H2447" s="39" t="str">
        <f aca="false">IF(ISNUMBER(MATCH(G2447,Products!$A$5:$A$24,0)),"OK","Mismatch")</f>
        <v>OK</v>
      </c>
      <c r="I2447" s="39" t="str">
        <f aca="false">IF(COUNTIF($A$5:A2447,A2447)&gt;1,"Duplicate","Unique")</f>
        <v>Unique</v>
      </c>
      <c r="J2447" s="39" t="str">
        <f aca="false">IF(I2447="Duplicate","Remove",IF(H2447="Mismatch","Exclude","Keep"))</f>
        <v>Keep</v>
      </c>
    </row>
    <row r="2448" customFormat="false" ht="15" hidden="false" customHeight="false" outlineLevel="0" collapsed="false">
      <c r="A2448" s="39" t="s">
        <v>2500</v>
      </c>
      <c r="B2448" s="40" t="n">
        <v>45971</v>
      </c>
      <c r="C2448" s="39" t="s">
        <v>104</v>
      </c>
      <c r="D2448" s="39" t="n">
        <v>6</v>
      </c>
      <c r="E2448" s="41" t="n">
        <v>15.48</v>
      </c>
      <c r="F2448" s="39" t="s">
        <v>105</v>
      </c>
      <c r="G2448" s="39" t="str">
        <f aca="false">UPPER(TRIM(C2448))</f>
        <v>P015</v>
      </c>
      <c r="H2448" s="39" t="str">
        <f aca="false">IF(ISNUMBER(MATCH(G2448,Products!$A$5:$A$24,0)),"OK","Mismatch")</f>
        <v>OK</v>
      </c>
      <c r="I2448" s="39" t="str">
        <f aca="false">IF(COUNTIF($A$5:A2448,A2448)&gt;1,"Duplicate","Unique")</f>
        <v>Unique</v>
      </c>
      <c r="J2448" s="39" t="str">
        <f aca="false">IF(I2448="Duplicate","Remove",IF(H2448="Mismatch","Exclude","Keep"))</f>
        <v>Keep</v>
      </c>
    </row>
    <row r="2449" customFormat="false" ht="15" hidden="false" customHeight="false" outlineLevel="0" collapsed="false">
      <c r="A2449" s="39" t="s">
        <v>2501</v>
      </c>
      <c r="B2449" s="40" t="n">
        <v>45971</v>
      </c>
      <c r="C2449" s="39" t="s">
        <v>126</v>
      </c>
      <c r="D2449" s="39" t="n">
        <v>1</v>
      </c>
      <c r="E2449" s="41" t="n">
        <v>23.6</v>
      </c>
      <c r="F2449" s="39" t="s">
        <v>118</v>
      </c>
      <c r="G2449" s="39" t="str">
        <f aca="false">UPPER(TRIM(C2449))</f>
        <v>P001</v>
      </c>
      <c r="H2449" s="39" t="str">
        <f aca="false">IF(ISNUMBER(MATCH(G2449,Products!$A$5:$A$24,0)),"OK","Mismatch")</f>
        <v>OK</v>
      </c>
      <c r="I2449" s="39" t="str">
        <f aca="false">IF(COUNTIF($A$5:A2449,A2449)&gt;1,"Duplicate","Unique")</f>
        <v>Unique</v>
      </c>
      <c r="J2449" s="39" t="str">
        <f aca="false">IF(I2449="Duplicate","Remove",IF(H2449="Mismatch","Exclude","Keep"))</f>
        <v>Keep</v>
      </c>
    </row>
    <row r="2450" customFormat="false" ht="15" hidden="false" customHeight="false" outlineLevel="0" collapsed="false">
      <c r="A2450" s="39" t="s">
        <v>2502</v>
      </c>
      <c r="B2450" s="40" t="n">
        <v>45971</v>
      </c>
      <c r="C2450" s="39" t="s">
        <v>112</v>
      </c>
      <c r="D2450" s="39" t="n">
        <v>5</v>
      </c>
      <c r="E2450" s="41" t="n">
        <v>54.22</v>
      </c>
      <c r="F2450" s="39" t="s">
        <v>118</v>
      </c>
      <c r="G2450" s="39" t="str">
        <f aca="false">UPPER(TRIM(C2450))</f>
        <v>P005</v>
      </c>
      <c r="H2450" s="39" t="str">
        <f aca="false">IF(ISNUMBER(MATCH(G2450,Products!$A$5:$A$24,0)),"OK","Mismatch")</f>
        <v>OK</v>
      </c>
      <c r="I2450" s="39" t="str">
        <f aca="false">IF(COUNTIF($A$5:A2450,A2450)&gt;1,"Duplicate","Unique")</f>
        <v>Unique</v>
      </c>
      <c r="J2450" s="39" t="str">
        <f aca="false">IF(I2450="Duplicate","Remove",IF(H2450="Mismatch","Exclude","Keep"))</f>
        <v>Keep</v>
      </c>
    </row>
    <row r="2451" customFormat="false" ht="15" hidden="false" customHeight="false" outlineLevel="0" collapsed="false">
      <c r="A2451" s="39" t="s">
        <v>2503</v>
      </c>
      <c r="B2451" s="40" t="n">
        <v>45971</v>
      </c>
      <c r="C2451" s="39" t="s">
        <v>133</v>
      </c>
      <c r="D2451" s="39" t="n">
        <v>5</v>
      </c>
      <c r="E2451" s="41" t="n">
        <v>8.94</v>
      </c>
      <c r="F2451" s="39" t="s">
        <v>108</v>
      </c>
      <c r="G2451" s="39" t="str">
        <f aca="false">UPPER(TRIM(C2451))</f>
        <v>P019</v>
      </c>
      <c r="H2451" s="39" t="str">
        <f aca="false">IF(ISNUMBER(MATCH(G2451,Products!$A$5:$A$24,0)),"OK","Mismatch")</f>
        <v>OK</v>
      </c>
      <c r="I2451" s="39" t="str">
        <f aca="false">IF(COUNTIF($A$5:A2451,A2451)&gt;1,"Duplicate","Unique")</f>
        <v>Unique</v>
      </c>
      <c r="J2451" s="39" t="str">
        <f aca="false">IF(I2451="Duplicate","Remove",IF(H2451="Mismatch","Exclude","Keep"))</f>
        <v>Keep</v>
      </c>
    </row>
    <row r="2452" customFormat="false" ht="15" hidden="false" customHeight="false" outlineLevel="0" collapsed="false">
      <c r="A2452" s="39" t="s">
        <v>2504</v>
      </c>
      <c r="B2452" s="40" t="n">
        <v>45971</v>
      </c>
      <c r="C2452" s="39" t="s">
        <v>177</v>
      </c>
      <c r="D2452" s="39" t="n">
        <v>6</v>
      </c>
      <c r="E2452" s="41" t="n">
        <v>44.31</v>
      </c>
      <c r="F2452" s="39" t="s">
        <v>108</v>
      </c>
      <c r="G2452" s="39" t="str">
        <f aca="false">UPPER(TRIM(C2452))</f>
        <v>P014</v>
      </c>
      <c r="H2452" s="39" t="str">
        <f aca="false">IF(ISNUMBER(MATCH(G2452,Products!$A$5:$A$24,0)),"OK","Mismatch")</f>
        <v>OK</v>
      </c>
      <c r="I2452" s="39" t="str">
        <f aca="false">IF(COUNTIF($A$5:A2452,A2452)&gt;1,"Duplicate","Unique")</f>
        <v>Unique</v>
      </c>
      <c r="J2452" s="39" t="str">
        <f aca="false">IF(I2452="Duplicate","Remove",IF(H2452="Mismatch","Exclude","Keep"))</f>
        <v>Keep</v>
      </c>
    </row>
    <row r="2453" customFormat="false" ht="15" hidden="false" customHeight="false" outlineLevel="0" collapsed="false">
      <c r="A2453" s="39" t="s">
        <v>2505</v>
      </c>
      <c r="B2453" s="40" t="n">
        <v>45971</v>
      </c>
      <c r="C2453" s="39" t="s">
        <v>169</v>
      </c>
      <c r="D2453" s="39" t="n">
        <v>1</v>
      </c>
      <c r="E2453" s="41" t="n">
        <v>28.18</v>
      </c>
      <c r="F2453" s="39" t="s">
        <v>118</v>
      </c>
      <c r="G2453" s="39" t="str">
        <f aca="false">UPPER(TRIM(C2453))</f>
        <v>P004</v>
      </c>
      <c r="H2453" s="39" t="str">
        <f aca="false">IF(ISNUMBER(MATCH(G2453,Products!$A$5:$A$24,0)),"OK","Mismatch")</f>
        <v>OK</v>
      </c>
      <c r="I2453" s="39" t="str">
        <f aca="false">IF(COUNTIF($A$5:A2453,A2453)&gt;1,"Duplicate","Unique")</f>
        <v>Unique</v>
      </c>
      <c r="J2453" s="39" t="str">
        <f aca="false">IF(I2453="Duplicate","Remove",IF(H2453="Mismatch","Exclude","Keep"))</f>
        <v>Keep</v>
      </c>
    </row>
    <row r="2454" customFormat="false" ht="15" hidden="false" customHeight="false" outlineLevel="0" collapsed="false">
      <c r="A2454" s="39" t="s">
        <v>2506</v>
      </c>
      <c r="B2454" s="40" t="n">
        <v>45971</v>
      </c>
      <c r="C2454" s="39" t="s">
        <v>130</v>
      </c>
      <c r="D2454" s="39" t="n">
        <v>5</v>
      </c>
      <c r="E2454" s="41" t="n">
        <v>8.6</v>
      </c>
      <c r="F2454" s="39" t="s">
        <v>115</v>
      </c>
      <c r="G2454" s="39" t="str">
        <f aca="false">UPPER(TRIM(C2454))</f>
        <v>P011</v>
      </c>
      <c r="H2454" s="39" t="str">
        <f aca="false">IF(ISNUMBER(MATCH(G2454,Products!$A$5:$A$24,0)),"OK","Mismatch")</f>
        <v>OK</v>
      </c>
      <c r="I2454" s="39" t="str">
        <f aca="false">IF(COUNTIF($A$5:A2454,A2454)&gt;1,"Duplicate","Unique")</f>
        <v>Unique</v>
      </c>
      <c r="J2454" s="39" t="str">
        <f aca="false">IF(I2454="Duplicate","Remove",IF(H2454="Mismatch","Exclude","Keep"))</f>
        <v>Keep</v>
      </c>
    </row>
    <row r="2455" customFormat="false" ht="15" hidden="false" customHeight="false" outlineLevel="0" collapsed="false">
      <c r="A2455" s="39" t="s">
        <v>2507</v>
      </c>
      <c r="B2455" s="40" t="n">
        <v>45972</v>
      </c>
      <c r="C2455" s="39" t="s">
        <v>112</v>
      </c>
      <c r="D2455" s="39" t="n">
        <v>1</v>
      </c>
      <c r="E2455" s="41" t="n">
        <v>51.08</v>
      </c>
      <c r="F2455" s="39" t="s">
        <v>118</v>
      </c>
      <c r="G2455" s="39" t="str">
        <f aca="false">UPPER(TRIM(C2455))</f>
        <v>P005</v>
      </c>
      <c r="H2455" s="39" t="str">
        <f aca="false">IF(ISNUMBER(MATCH(G2455,Products!$A$5:$A$24,0)),"OK","Mismatch")</f>
        <v>OK</v>
      </c>
      <c r="I2455" s="39" t="str">
        <f aca="false">IF(COUNTIF($A$5:A2455,A2455)&gt;1,"Duplicate","Unique")</f>
        <v>Unique</v>
      </c>
      <c r="J2455" s="39" t="str">
        <f aca="false">IF(I2455="Duplicate","Remove",IF(H2455="Mismatch","Exclude","Keep"))</f>
        <v>Keep</v>
      </c>
    </row>
    <row r="2456" customFormat="false" ht="15" hidden="false" customHeight="false" outlineLevel="0" collapsed="false">
      <c r="A2456" s="39" t="s">
        <v>2508</v>
      </c>
      <c r="B2456" s="40" t="n">
        <v>45972</v>
      </c>
      <c r="C2456" s="39" t="s">
        <v>110</v>
      </c>
      <c r="D2456" s="39" t="n">
        <v>1</v>
      </c>
      <c r="E2456" s="41" t="n">
        <v>13.98</v>
      </c>
      <c r="F2456" s="39" t="s">
        <v>105</v>
      </c>
      <c r="G2456" s="39" t="str">
        <f aca="false">UPPER(TRIM(C2456))</f>
        <v>P016</v>
      </c>
      <c r="H2456" s="39" t="str">
        <f aca="false">IF(ISNUMBER(MATCH(G2456,Products!$A$5:$A$24,0)),"OK","Mismatch")</f>
        <v>OK</v>
      </c>
      <c r="I2456" s="39" t="str">
        <f aca="false">IF(COUNTIF($A$5:A2456,A2456)&gt;1,"Duplicate","Unique")</f>
        <v>Unique</v>
      </c>
      <c r="J2456" s="39" t="str">
        <f aca="false">IF(I2456="Duplicate","Remove",IF(H2456="Mismatch","Exclude","Keep"))</f>
        <v>Keep</v>
      </c>
    </row>
    <row r="2457" customFormat="false" ht="15" hidden="false" customHeight="false" outlineLevel="0" collapsed="false">
      <c r="A2457" s="39" t="s">
        <v>2509</v>
      </c>
      <c r="B2457" s="40" t="n">
        <v>45972</v>
      </c>
      <c r="C2457" s="39" t="s">
        <v>133</v>
      </c>
      <c r="D2457" s="39" t="n">
        <v>3</v>
      </c>
      <c r="E2457" s="41" t="n">
        <v>8.72</v>
      </c>
      <c r="F2457" s="39" t="s">
        <v>118</v>
      </c>
      <c r="G2457" s="39" t="str">
        <f aca="false">UPPER(TRIM(C2457))</f>
        <v>P019</v>
      </c>
      <c r="H2457" s="39" t="str">
        <f aca="false">IF(ISNUMBER(MATCH(G2457,Products!$A$5:$A$24,0)),"OK","Mismatch")</f>
        <v>OK</v>
      </c>
      <c r="I2457" s="39" t="str">
        <f aca="false">IF(COUNTIF($A$5:A2457,A2457)&gt;1,"Duplicate","Unique")</f>
        <v>Unique</v>
      </c>
      <c r="J2457" s="39" t="str">
        <f aca="false">IF(I2457="Duplicate","Remove",IF(H2457="Mismatch","Exclude","Keep"))</f>
        <v>Keep</v>
      </c>
    </row>
    <row r="2458" customFormat="false" ht="15" hidden="false" customHeight="false" outlineLevel="0" collapsed="false">
      <c r="A2458" s="39" t="s">
        <v>2510</v>
      </c>
      <c r="B2458" s="40" t="n">
        <v>45972</v>
      </c>
      <c r="C2458" s="39" t="s">
        <v>112</v>
      </c>
      <c r="D2458" s="39" t="n">
        <v>2</v>
      </c>
      <c r="E2458" s="41" t="n">
        <v>53.64</v>
      </c>
      <c r="F2458" s="39" t="s">
        <v>105</v>
      </c>
      <c r="G2458" s="39" t="str">
        <f aca="false">UPPER(TRIM(C2458))</f>
        <v>P005</v>
      </c>
      <c r="H2458" s="39" t="str">
        <f aca="false">IF(ISNUMBER(MATCH(G2458,Products!$A$5:$A$24,0)),"OK","Mismatch")</f>
        <v>OK</v>
      </c>
      <c r="I2458" s="39" t="str">
        <f aca="false">IF(COUNTIF($A$5:A2458,A2458)&gt;1,"Duplicate","Unique")</f>
        <v>Unique</v>
      </c>
      <c r="J2458" s="39" t="str">
        <f aca="false">IF(I2458="Duplicate","Remove",IF(H2458="Mismatch","Exclude","Keep"))</f>
        <v>Keep</v>
      </c>
    </row>
    <row r="2459" customFormat="false" ht="15" hidden="false" customHeight="false" outlineLevel="0" collapsed="false">
      <c r="A2459" s="39" t="s">
        <v>2511</v>
      </c>
      <c r="B2459" s="40" t="n">
        <v>45972</v>
      </c>
      <c r="C2459" s="39" t="s">
        <v>183</v>
      </c>
      <c r="D2459" s="39" t="n">
        <v>1</v>
      </c>
      <c r="E2459" s="41" t="n">
        <v>187.74</v>
      </c>
      <c r="F2459" s="39" t="s">
        <v>105</v>
      </c>
      <c r="G2459" s="39" t="str">
        <f aca="false">UPPER(TRIM(C2459))</f>
        <v>P007</v>
      </c>
      <c r="H2459" s="39" t="str">
        <f aca="false">IF(ISNUMBER(MATCH(G2459,Products!$A$5:$A$24,0)),"OK","Mismatch")</f>
        <v>OK</v>
      </c>
      <c r="I2459" s="39" t="str">
        <f aca="false">IF(COUNTIF($A$5:A2459,A2459)&gt;1,"Duplicate","Unique")</f>
        <v>Unique</v>
      </c>
      <c r="J2459" s="39" t="str">
        <f aca="false">IF(I2459="Duplicate","Remove",IF(H2459="Mismatch","Exclude","Keep"))</f>
        <v>Keep</v>
      </c>
    </row>
    <row r="2460" customFormat="false" ht="15" hidden="false" customHeight="false" outlineLevel="0" collapsed="false">
      <c r="A2460" s="39" t="s">
        <v>2512</v>
      </c>
      <c r="B2460" s="40" t="n">
        <v>45972</v>
      </c>
      <c r="C2460" s="39" t="s">
        <v>114</v>
      </c>
      <c r="D2460" s="39" t="n">
        <v>2</v>
      </c>
      <c r="E2460" s="41" t="n">
        <v>5.92</v>
      </c>
      <c r="F2460" s="39" t="s">
        <v>118</v>
      </c>
      <c r="G2460" s="39" t="str">
        <f aca="false">UPPER(TRIM(C2460))</f>
        <v>P012</v>
      </c>
      <c r="H2460" s="39" t="str">
        <f aca="false">IF(ISNUMBER(MATCH(G2460,Products!$A$5:$A$24,0)),"OK","Mismatch")</f>
        <v>OK</v>
      </c>
      <c r="I2460" s="39" t="str">
        <f aca="false">IF(COUNTIF($A$5:A2460,A2460)&gt;1,"Duplicate","Unique")</f>
        <v>Unique</v>
      </c>
      <c r="J2460" s="39" t="str">
        <f aca="false">IF(I2460="Duplicate","Remove",IF(H2460="Mismatch","Exclude","Keep"))</f>
        <v>Keep</v>
      </c>
    </row>
    <row r="2461" customFormat="false" ht="15" hidden="false" customHeight="false" outlineLevel="0" collapsed="false">
      <c r="A2461" s="39" t="s">
        <v>2513</v>
      </c>
      <c r="B2461" s="40" t="n">
        <v>45972</v>
      </c>
      <c r="C2461" s="39" t="s">
        <v>3155</v>
      </c>
      <c r="D2461" s="39" t="n">
        <v>1</v>
      </c>
      <c r="E2461" s="41" t="n">
        <v>8.36</v>
      </c>
      <c r="F2461" s="39" t="s">
        <v>108</v>
      </c>
      <c r="G2461" s="39" t="str">
        <f aca="false">UPPER(TRIM(C2461))</f>
        <v>P011</v>
      </c>
      <c r="H2461" s="39" t="str">
        <f aca="false">IF(ISNUMBER(MATCH(G2461,Products!$A$5:$A$24,0)),"OK","Mismatch")</f>
        <v>OK</v>
      </c>
      <c r="I2461" s="39" t="str">
        <f aca="false">IF(COUNTIF($A$5:A2461,A2461)&gt;1,"Duplicate","Unique")</f>
        <v>Unique</v>
      </c>
      <c r="J2461" s="39" t="str">
        <f aca="false">IF(I2461="Duplicate","Remove",IF(H2461="Mismatch","Exclude","Keep"))</f>
        <v>Keep</v>
      </c>
    </row>
    <row r="2462" customFormat="false" ht="15" hidden="false" customHeight="false" outlineLevel="0" collapsed="false">
      <c r="A2462" s="39" t="s">
        <v>2514</v>
      </c>
      <c r="B2462" s="40" t="n">
        <v>45972</v>
      </c>
      <c r="C2462" s="39" t="s">
        <v>3191</v>
      </c>
      <c r="D2462" s="39" t="n">
        <v>6</v>
      </c>
      <c r="E2462" s="41" t="n">
        <v>13.93</v>
      </c>
      <c r="F2462" s="39" t="s">
        <v>105</v>
      </c>
      <c r="G2462" s="39" t="str">
        <f aca="false">UPPER(TRIM(C2462))</f>
        <v>P016</v>
      </c>
      <c r="H2462" s="39" t="str">
        <f aca="false">IF(ISNUMBER(MATCH(G2462,Products!$A$5:$A$24,0)),"OK","Mismatch")</f>
        <v>OK</v>
      </c>
      <c r="I2462" s="39" t="str">
        <f aca="false">IF(COUNTIF($A$5:A2462,A2462)&gt;1,"Duplicate","Unique")</f>
        <v>Unique</v>
      </c>
      <c r="J2462" s="39" t="str">
        <f aca="false">IF(I2462="Duplicate","Remove",IF(H2462="Mismatch","Exclude","Keep"))</f>
        <v>Keep</v>
      </c>
    </row>
    <row r="2463" customFormat="false" ht="15" hidden="false" customHeight="false" outlineLevel="0" collapsed="false">
      <c r="A2463" s="39" t="s">
        <v>2515</v>
      </c>
      <c r="B2463" s="40" t="n">
        <v>45972</v>
      </c>
      <c r="C2463" s="39" t="s">
        <v>117</v>
      </c>
      <c r="D2463" s="39" t="n">
        <v>1</v>
      </c>
      <c r="E2463" s="41" t="n">
        <v>30.69</v>
      </c>
      <c r="F2463" s="39" t="s">
        <v>115</v>
      </c>
      <c r="G2463" s="39" t="str">
        <f aca="false">UPPER(TRIM(C2463))</f>
        <v>P009</v>
      </c>
      <c r="H2463" s="39" t="str">
        <f aca="false">IF(ISNUMBER(MATCH(G2463,Products!$A$5:$A$24,0)),"OK","Mismatch")</f>
        <v>OK</v>
      </c>
      <c r="I2463" s="39" t="str">
        <f aca="false">IF(COUNTIF($A$5:A2463,A2463)&gt;1,"Duplicate","Unique")</f>
        <v>Unique</v>
      </c>
      <c r="J2463" s="39" t="str">
        <f aca="false">IF(I2463="Duplicate","Remove",IF(H2463="Mismatch","Exclude","Keep"))</f>
        <v>Keep</v>
      </c>
    </row>
    <row r="2464" customFormat="false" ht="15" hidden="false" customHeight="false" outlineLevel="0" collapsed="false">
      <c r="A2464" s="39" t="s">
        <v>2516</v>
      </c>
      <c r="B2464" s="40" t="n">
        <v>45972</v>
      </c>
      <c r="C2464" s="39" t="s">
        <v>104</v>
      </c>
      <c r="D2464" s="39" t="n">
        <v>8</v>
      </c>
      <c r="E2464" s="41" t="n">
        <v>15.27</v>
      </c>
      <c r="F2464" s="39" t="s">
        <v>118</v>
      </c>
      <c r="G2464" s="39" t="str">
        <f aca="false">UPPER(TRIM(C2464))</f>
        <v>P015</v>
      </c>
      <c r="H2464" s="39" t="str">
        <f aca="false">IF(ISNUMBER(MATCH(G2464,Products!$A$5:$A$24,0)),"OK","Mismatch")</f>
        <v>OK</v>
      </c>
      <c r="I2464" s="39" t="str">
        <f aca="false">IF(COUNTIF($A$5:A2464,A2464)&gt;1,"Duplicate","Unique")</f>
        <v>Unique</v>
      </c>
      <c r="J2464" s="39" t="str">
        <f aca="false">IF(I2464="Duplicate","Remove",IF(H2464="Mismatch","Exclude","Keep"))</f>
        <v>Keep</v>
      </c>
    </row>
    <row r="2465" customFormat="false" ht="15" hidden="false" customHeight="false" outlineLevel="0" collapsed="false">
      <c r="A2465" s="39" t="s">
        <v>2516</v>
      </c>
      <c r="B2465" s="40" t="n">
        <v>45972</v>
      </c>
      <c r="C2465" s="39" t="s">
        <v>104</v>
      </c>
      <c r="D2465" s="39" t="n">
        <v>8</v>
      </c>
      <c r="E2465" s="41" t="n">
        <v>15.27</v>
      </c>
      <c r="F2465" s="39" t="s">
        <v>118</v>
      </c>
      <c r="G2465" s="39" t="str">
        <f aca="false">UPPER(TRIM(C2465))</f>
        <v>P015</v>
      </c>
      <c r="H2465" s="39" t="str">
        <f aca="false">IF(ISNUMBER(MATCH(G2465,Products!$A$5:$A$24,0)),"OK","Mismatch")</f>
        <v>OK</v>
      </c>
      <c r="I2465" s="39" t="str">
        <f aca="false">IF(COUNTIF($A$5:A2465,A2465)&gt;1,"Duplicate","Unique")</f>
        <v>Duplicate</v>
      </c>
      <c r="J2465" s="39" t="str">
        <f aca="false">IF(I2465="Duplicate","Remove",IF(H2465="Mismatch","Exclude","Keep"))</f>
        <v>Remove</v>
      </c>
    </row>
    <row r="2466" customFormat="false" ht="15" hidden="false" customHeight="false" outlineLevel="0" collapsed="false">
      <c r="A2466" s="39" t="s">
        <v>2517</v>
      </c>
      <c r="B2466" s="40" t="n">
        <v>45972</v>
      </c>
      <c r="C2466" s="39" t="s">
        <v>133</v>
      </c>
      <c r="D2466" s="39" t="n">
        <v>2</v>
      </c>
      <c r="E2466" s="41" t="n">
        <v>8.94</v>
      </c>
      <c r="F2466" s="39" t="s">
        <v>108</v>
      </c>
      <c r="G2466" s="39" t="str">
        <f aca="false">UPPER(TRIM(C2466))</f>
        <v>P019</v>
      </c>
      <c r="H2466" s="39" t="str">
        <f aca="false">IF(ISNUMBER(MATCH(G2466,Products!$A$5:$A$24,0)),"OK","Mismatch")</f>
        <v>OK</v>
      </c>
      <c r="I2466" s="39" t="str">
        <f aca="false">IF(COUNTIF($A$5:A2466,A2466)&gt;1,"Duplicate","Unique")</f>
        <v>Unique</v>
      </c>
      <c r="J2466" s="39" t="str">
        <f aca="false">IF(I2466="Duplicate","Remove",IF(H2466="Mismatch","Exclude","Keep"))</f>
        <v>Keep</v>
      </c>
    </row>
    <row r="2467" customFormat="false" ht="15" hidden="false" customHeight="false" outlineLevel="0" collapsed="false">
      <c r="A2467" s="39" t="s">
        <v>2518</v>
      </c>
      <c r="B2467" s="40" t="n">
        <v>45972</v>
      </c>
      <c r="C2467" s="39" t="s">
        <v>133</v>
      </c>
      <c r="D2467" s="39" t="n">
        <v>1</v>
      </c>
      <c r="E2467" s="41" t="n">
        <v>8.58</v>
      </c>
      <c r="F2467" s="39" t="s">
        <v>108</v>
      </c>
      <c r="G2467" s="39" t="str">
        <f aca="false">UPPER(TRIM(C2467))</f>
        <v>P019</v>
      </c>
      <c r="H2467" s="39" t="str">
        <f aca="false">IF(ISNUMBER(MATCH(G2467,Products!$A$5:$A$24,0)),"OK","Mismatch")</f>
        <v>OK</v>
      </c>
      <c r="I2467" s="39" t="str">
        <f aca="false">IF(COUNTIF($A$5:A2467,A2467)&gt;1,"Duplicate","Unique")</f>
        <v>Unique</v>
      </c>
      <c r="J2467" s="39" t="str">
        <f aca="false">IF(I2467="Duplicate","Remove",IF(H2467="Mismatch","Exclude","Keep"))</f>
        <v>Keep</v>
      </c>
    </row>
    <row r="2468" customFormat="false" ht="15" hidden="false" customHeight="false" outlineLevel="0" collapsed="false">
      <c r="A2468" s="39" t="s">
        <v>2519</v>
      </c>
      <c r="B2468" s="40" t="n">
        <v>45972</v>
      </c>
      <c r="C2468" s="39" t="s">
        <v>114</v>
      </c>
      <c r="D2468" s="39" t="n">
        <v>4</v>
      </c>
      <c r="E2468" s="41" t="n">
        <v>5.99</v>
      </c>
      <c r="F2468" s="39" t="s">
        <v>105</v>
      </c>
      <c r="G2468" s="39" t="str">
        <f aca="false">UPPER(TRIM(C2468))</f>
        <v>P012</v>
      </c>
      <c r="H2468" s="39" t="str">
        <f aca="false">IF(ISNUMBER(MATCH(G2468,Products!$A$5:$A$24,0)),"OK","Mismatch")</f>
        <v>OK</v>
      </c>
      <c r="I2468" s="39" t="str">
        <f aca="false">IF(COUNTIF($A$5:A2468,A2468)&gt;1,"Duplicate","Unique")</f>
        <v>Unique</v>
      </c>
      <c r="J2468" s="39" t="str">
        <f aca="false">IF(I2468="Duplicate","Remove",IF(H2468="Mismatch","Exclude","Keep"))</f>
        <v>Keep</v>
      </c>
    </row>
    <row r="2469" customFormat="false" ht="15" hidden="false" customHeight="false" outlineLevel="0" collapsed="false">
      <c r="A2469" s="39" t="s">
        <v>2520</v>
      </c>
      <c r="B2469" s="40" t="n">
        <v>45972</v>
      </c>
      <c r="C2469" s="39" t="s">
        <v>153</v>
      </c>
      <c r="D2469" s="39" t="n">
        <v>5</v>
      </c>
      <c r="E2469" s="41" t="n">
        <v>174.02</v>
      </c>
      <c r="F2469" s="39" t="s">
        <v>115</v>
      </c>
      <c r="G2469" s="39" t="str">
        <f aca="false">UPPER(TRIM(C2469))</f>
        <v>P010</v>
      </c>
      <c r="H2469" s="39" t="str">
        <f aca="false">IF(ISNUMBER(MATCH(G2469,Products!$A$5:$A$24,0)),"OK","Mismatch")</f>
        <v>OK</v>
      </c>
      <c r="I2469" s="39" t="str">
        <f aca="false">IF(COUNTIF($A$5:A2469,A2469)&gt;1,"Duplicate","Unique")</f>
        <v>Unique</v>
      </c>
      <c r="J2469" s="39" t="str">
        <f aca="false">IF(I2469="Duplicate","Remove",IF(H2469="Mismatch","Exclude","Keep"))</f>
        <v>Keep</v>
      </c>
    </row>
    <row r="2470" customFormat="false" ht="15" hidden="false" customHeight="false" outlineLevel="0" collapsed="false">
      <c r="A2470" s="39" t="s">
        <v>2521</v>
      </c>
      <c r="B2470" s="40" t="n">
        <v>45973</v>
      </c>
      <c r="C2470" s="39" t="s">
        <v>305</v>
      </c>
      <c r="D2470" s="39" t="n">
        <v>2</v>
      </c>
      <c r="E2470" s="41" t="n">
        <v>332.87</v>
      </c>
      <c r="F2470" s="39" t="s">
        <v>115</v>
      </c>
      <c r="G2470" s="39" t="str">
        <f aca="false">UPPER(TRIM(C2470))</f>
        <v>P008</v>
      </c>
      <c r="H2470" s="39" t="str">
        <f aca="false">IF(ISNUMBER(MATCH(G2470,Products!$A$5:$A$24,0)),"OK","Mismatch")</f>
        <v>OK</v>
      </c>
      <c r="I2470" s="39" t="str">
        <f aca="false">IF(COUNTIF($A$5:A2470,A2470)&gt;1,"Duplicate","Unique")</f>
        <v>Unique</v>
      </c>
      <c r="J2470" s="39" t="str">
        <f aca="false">IF(I2470="Duplicate","Remove",IF(H2470="Mismatch","Exclude","Keep"))</f>
        <v>Keep</v>
      </c>
    </row>
    <row r="2471" customFormat="false" ht="15" hidden="false" customHeight="false" outlineLevel="0" collapsed="false">
      <c r="A2471" s="39" t="s">
        <v>2521</v>
      </c>
      <c r="B2471" s="40" t="n">
        <v>45973</v>
      </c>
      <c r="C2471" s="39" t="s">
        <v>305</v>
      </c>
      <c r="D2471" s="39" t="n">
        <v>2</v>
      </c>
      <c r="E2471" s="41" t="n">
        <v>332.87</v>
      </c>
      <c r="F2471" s="39" t="s">
        <v>115</v>
      </c>
      <c r="G2471" s="39" t="str">
        <f aca="false">UPPER(TRIM(C2471))</f>
        <v>P008</v>
      </c>
      <c r="H2471" s="39" t="str">
        <f aca="false">IF(ISNUMBER(MATCH(G2471,Products!$A$5:$A$24,0)),"OK","Mismatch")</f>
        <v>OK</v>
      </c>
      <c r="I2471" s="39" t="str">
        <f aca="false">IF(COUNTIF($A$5:A2471,A2471)&gt;1,"Duplicate","Unique")</f>
        <v>Duplicate</v>
      </c>
      <c r="J2471" s="39" t="str">
        <f aca="false">IF(I2471="Duplicate","Remove",IF(H2471="Mismatch","Exclude","Keep"))</f>
        <v>Remove</v>
      </c>
    </row>
    <row r="2472" customFormat="false" ht="15" hidden="false" customHeight="false" outlineLevel="0" collapsed="false">
      <c r="A2472" s="39" t="s">
        <v>2522</v>
      </c>
      <c r="B2472" s="40" t="n">
        <v>45973</v>
      </c>
      <c r="C2472" s="39" t="s">
        <v>183</v>
      </c>
      <c r="D2472" s="39" t="n">
        <v>2</v>
      </c>
      <c r="E2472" s="41" t="n">
        <v>183.51</v>
      </c>
      <c r="F2472" s="39" t="s">
        <v>115</v>
      </c>
      <c r="G2472" s="39" t="str">
        <f aca="false">UPPER(TRIM(C2472))</f>
        <v>P007</v>
      </c>
      <c r="H2472" s="39" t="str">
        <f aca="false">IF(ISNUMBER(MATCH(G2472,Products!$A$5:$A$24,0)),"OK","Mismatch")</f>
        <v>OK</v>
      </c>
      <c r="I2472" s="39" t="str">
        <f aca="false">IF(COUNTIF($A$5:A2472,A2472)&gt;1,"Duplicate","Unique")</f>
        <v>Unique</v>
      </c>
      <c r="J2472" s="39" t="str">
        <f aca="false">IF(I2472="Duplicate","Remove",IF(H2472="Mismatch","Exclude","Keep"))</f>
        <v>Keep</v>
      </c>
    </row>
    <row r="2473" customFormat="false" ht="15" hidden="false" customHeight="false" outlineLevel="0" collapsed="false">
      <c r="A2473" s="39" t="s">
        <v>2523</v>
      </c>
      <c r="B2473" s="40" t="n">
        <v>45973</v>
      </c>
      <c r="C2473" s="39" t="s">
        <v>117</v>
      </c>
      <c r="D2473" s="39" t="n">
        <v>2</v>
      </c>
      <c r="E2473" s="41" t="n">
        <v>31.5</v>
      </c>
      <c r="F2473" s="39" t="s">
        <v>118</v>
      </c>
      <c r="G2473" s="39" t="str">
        <f aca="false">UPPER(TRIM(C2473))</f>
        <v>P009</v>
      </c>
      <c r="H2473" s="39" t="str">
        <f aca="false">IF(ISNUMBER(MATCH(G2473,Products!$A$5:$A$24,0)),"OK","Mismatch")</f>
        <v>OK</v>
      </c>
      <c r="I2473" s="39" t="str">
        <f aca="false">IF(COUNTIF($A$5:A2473,A2473)&gt;1,"Duplicate","Unique")</f>
        <v>Unique</v>
      </c>
      <c r="J2473" s="39" t="str">
        <f aca="false">IF(I2473="Duplicate","Remove",IF(H2473="Mismatch","Exclude","Keep"))</f>
        <v>Keep</v>
      </c>
    </row>
    <row r="2474" customFormat="false" ht="15" hidden="false" customHeight="false" outlineLevel="0" collapsed="false">
      <c r="A2474" s="39" t="s">
        <v>2524</v>
      </c>
      <c r="B2474" s="40" t="n">
        <v>45973</v>
      </c>
      <c r="C2474" s="39" t="s">
        <v>3188</v>
      </c>
      <c r="D2474" s="39" t="n">
        <v>1</v>
      </c>
      <c r="E2474" s="41" t="n">
        <v>28.81</v>
      </c>
      <c r="F2474" s="39" t="s">
        <v>118</v>
      </c>
      <c r="G2474" s="39" t="str">
        <f aca="false">UPPER(TRIM(C2474))</f>
        <v>P004</v>
      </c>
      <c r="H2474" s="39" t="str">
        <f aca="false">IF(ISNUMBER(MATCH(G2474,Products!$A$5:$A$24,0)),"OK","Mismatch")</f>
        <v>OK</v>
      </c>
      <c r="I2474" s="39" t="str">
        <f aca="false">IF(COUNTIF($A$5:A2474,A2474)&gt;1,"Duplicate","Unique")</f>
        <v>Unique</v>
      </c>
      <c r="J2474" s="39" t="str">
        <f aca="false">IF(I2474="Duplicate","Remove",IF(H2474="Mismatch","Exclude","Keep"))</f>
        <v>Keep</v>
      </c>
    </row>
    <row r="2475" customFormat="false" ht="15" hidden="false" customHeight="false" outlineLevel="0" collapsed="false">
      <c r="A2475" s="39" t="s">
        <v>2525</v>
      </c>
      <c r="B2475" s="40" t="n">
        <v>45973</v>
      </c>
      <c r="C2475" s="39" t="s">
        <v>107</v>
      </c>
      <c r="D2475" s="39" t="n">
        <v>1</v>
      </c>
      <c r="E2475" s="41" t="n">
        <v>34.37</v>
      </c>
      <c r="F2475" s="39" t="s">
        <v>118</v>
      </c>
      <c r="G2475" s="39" t="str">
        <f aca="false">UPPER(TRIM(C2475))</f>
        <v>P003</v>
      </c>
      <c r="H2475" s="39" t="str">
        <f aca="false">IF(ISNUMBER(MATCH(G2475,Products!$A$5:$A$24,0)),"OK","Mismatch")</f>
        <v>OK</v>
      </c>
      <c r="I2475" s="39" t="str">
        <f aca="false">IF(COUNTIF($A$5:A2475,A2475)&gt;1,"Duplicate","Unique")</f>
        <v>Unique</v>
      </c>
      <c r="J2475" s="39" t="str">
        <f aca="false">IF(I2475="Duplicate","Remove",IF(H2475="Mismatch","Exclude","Keep"))</f>
        <v>Keep</v>
      </c>
    </row>
    <row r="2476" customFormat="false" ht="15" hidden="false" customHeight="false" outlineLevel="0" collapsed="false">
      <c r="A2476" s="39" t="s">
        <v>2526</v>
      </c>
      <c r="B2476" s="40" t="n">
        <v>45973</v>
      </c>
      <c r="C2476" s="39" t="s">
        <v>130</v>
      </c>
      <c r="D2476" s="39" t="n">
        <v>2</v>
      </c>
      <c r="E2476" s="41" t="n">
        <v>8.58</v>
      </c>
      <c r="F2476" s="39" t="s">
        <v>108</v>
      </c>
      <c r="G2476" s="39" t="str">
        <f aca="false">UPPER(TRIM(C2476))</f>
        <v>P011</v>
      </c>
      <c r="H2476" s="39" t="str">
        <f aca="false">IF(ISNUMBER(MATCH(G2476,Products!$A$5:$A$24,0)),"OK","Mismatch")</f>
        <v>OK</v>
      </c>
      <c r="I2476" s="39" t="str">
        <f aca="false">IF(COUNTIF($A$5:A2476,A2476)&gt;1,"Duplicate","Unique")</f>
        <v>Unique</v>
      </c>
      <c r="J2476" s="39" t="str">
        <f aca="false">IF(I2476="Duplicate","Remove",IF(H2476="Mismatch","Exclude","Keep"))</f>
        <v>Keep</v>
      </c>
    </row>
    <row r="2477" customFormat="false" ht="15" hidden="false" customHeight="false" outlineLevel="0" collapsed="false">
      <c r="A2477" s="39" t="s">
        <v>2527</v>
      </c>
      <c r="B2477" s="40" t="n">
        <v>45973</v>
      </c>
      <c r="C2477" s="39" t="s">
        <v>144</v>
      </c>
      <c r="D2477" s="39" t="n">
        <v>4</v>
      </c>
      <c r="E2477" s="41" t="n">
        <v>58.33</v>
      </c>
      <c r="F2477" s="39" t="s">
        <v>105</v>
      </c>
      <c r="G2477" s="39" t="str">
        <f aca="false">UPPER(TRIM(C2477))</f>
        <v>P013</v>
      </c>
      <c r="H2477" s="39" t="str">
        <f aca="false">IF(ISNUMBER(MATCH(G2477,Products!$A$5:$A$24,0)),"OK","Mismatch")</f>
        <v>OK</v>
      </c>
      <c r="I2477" s="39" t="str">
        <f aca="false">IF(COUNTIF($A$5:A2477,A2477)&gt;1,"Duplicate","Unique")</f>
        <v>Unique</v>
      </c>
      <c r="J2477" s="39" t="str">
        <f aca="false">IF(I2477="Duplicate","Remove",IF(H2477="Mismatch","Exclude","Keep"))</f>
        <v>Keep</v>
      </c>
    </row>
    <row r="2478" customFormat="false" ht="15" hidden="false" customHeight="false" outlineLevel="0" collapsed="false">
      <c r="A2478" s="39" t="s">
        <v>2528</v>
      </c>
      <c r="B2478" s="40" t="n">
        <v>45973</v>
      </c>
      <c r="C2478" s="39" t="s">
        <v>139</v>
      </c>
      <c r="D2478" s="39" t="n">
        <v>4</v>
      </c>
      <c r="E2478" s="41" t="n">
        <v>120.24</v>
      </c>
      <c r="F2478" s="39" t="s">
        <v>105</v>
      </c>
      <c r="G2478" s="39" t="str">
        <f aca="false">UPPER(TRIM(C2478))</f>
        <v>P006</v>
      </c>
      <c r="H2478" s="39" t="str">
        <f aca="false">IF(ISNUMBER(MATCH(G2478,Products!$A$5:$A$24,0)),"OK","Mismatch")</f>
        <v>OK</v>
      </c>
      <c r="I2478" s="39" t="str">
        <f aca="false">IF(COUNTIF($A$5:A2478,A2478)&gt;1,"Duplicate","Unique")</f>
        <v>Unique</v>
      </c>
      <c r="J2478" s="39" t="str">
        <f aca="false">IF(I2478="Duplicate","Remove",IF(H2478="Mismatch","Exclude","Keep"))</f>
        <v>Keep</v>
      </c>
    </row>
    <row r="2479" customFormat="false" ht="15" hidden="false" customHeight="false" outlineLevel="0" collapsed="false">
      <c r="A2479" s="39" t="s">
        <v>2529</v>
      </c>
      <c r="B2479" s="40" t="n">
        <v>45973</v>
      </c>
      <c r="C2479" s="39" t="s">
        <v>177</v>
      </c>
      <c r="D2479" s="39" t="n">
        <v>2</v>
      </c>
      <c r="E2479" s="41" t="n">
        <v>41.46</v>
      </c>
      <c r="F2479" s="39" t="s">
        <v>108</v>
      </c>
      <c r="G2479" s="39" t="str">
        <f aca="false">UPPER(TRIM(C2479))</f>
        <v>P014</v>
      </c>
      <c r="H2479" s="39" t="str">
        <f aca="false">IF(ISNUMBER(MATCH(G2479,Products!$A$5:$A$24,0)),"OK","Mismatch")</f>
        <v>OK</v>
      </c>
      <c r="I2479" s="39" t="str">
        <f aca="false">IF(COUNTIF($A$5:A2479,A2479)&gt;1,"Duplicate","Unique")</f>
        <v>Unique</v>
      </c>
      <c r="J2479" s="39" t="str">
        <f aca="false">IF(I2479="Duplicate","Remove",IF(H2479="Mismatch","Exclude","Keep"))</f>
        <v>Keep</v>
      </c>
    </row>
    <row r="2480" customFormat="false" ht="15" hidden="false" customHeight="false" outlineLevel="0" collapsed="false">
      <c r="A2480" s="39" t="s">
        <v>2530</v>
      </c>
      <c r="B2480" s="40" t="n">
        <v>45973</v>
      </c>
      <c r="C2480" s="39" t="s">
        <v>121</v>
      </c>
      <c r="D2480" s="39" t="n">
        <v>3</v>
      </c>
      <c r="E2480" s="41" t="n">
        <v>114.63</v>
      </c>
      <c r="F2480" s="39" t="s">
        <v>115</v>
      </c>
      <c r="G2480" s="39" t="str">
        <f aca="false">UPPER(TRIM(C2480))</f>
        <v>P018</v>
      </c>
      <c r="H2480" s="39" t="str">
        <f aca="false">IF(ISNUMBER(MATCH(G2480,Products!$A$5:$A$24,0)),"OK","Mismatch")</f>
        <v>OK</v>
      </c>
      <c r="I2480" s="39" t="str">
        <f aca="false">IF(COUNTIF($A$5:A2480,A2480)&gt;1,"Duplicate","Unique")</f>
        <v>Unique</v>
      </c>
      <c r="J2480" s="39" t="str">
        <f aca="false">IF(I2480="Duplicate","Remove",IF(H2480="Mismatch","Exclude","Keep"))</f>
        <v>Keep</v>
      </c>
    </row>
    <row r="2481" customFormat="false" ht="15" hidden="false" customHeight="false" outlineLevel="0" collapsed="false">
      <c r="A2481" s="39" t="s">
        <v>2531</v>
      </c>
      <c r="B2481" s="40" t="n">
        <v>45973</v>
      </c>
      <c r="C2481" s="39" t="s">
        <v>162</v>
      </c>
      <c r="D2481" s="39" t="n">
        <v>5</v>
      </c>
      <c r="E2481" s="41" t="n">
        <v>63.99</v>
      </c>
      <c r="F2481" s="39" t="s">
        <v>108</v>
      </c>
      <c r="G2481" s="39" t="str">
        <f aca="false">UPPER(TRIM(C2481))</f>
        <v>P017</v>
      </c>
      <c r="H2481" s="39" t="str">
        <f aca="false">IF(ISNUMBER(MATCH(G2481,Products!$A$5:$A$24,0)),"OK","Mismatch")</f>
        <v>OK</v>
      </c>
      <c r="I2481" s="39" t="str">
        <f aca="false">IF(COUNTIF($A$5:A2481,A2481)&gt;1,"Duplicate","Unique")</f>
        <v>Unique</v>
      </c>
      <c r="J2481" s="39" t="str">
        <f aca="false">IF(I2481="Duplicate","Remove",IF(H2481="Mismatch","Exclude","Keep"))</f>
        <v>Keep</v>
      </c>
    </row>
    <row r="2482" customFormat="false" ht="15" hidden="false" customHeight="false" outlineLevel="0" collapsed="false">
      <c r="A2482" s="39" t="s">
        <v>2532</v>
      </c>
      <c r="B2482" s="40" t="n">
        <v>45973</v>
      </c>
      <c r="C2482" s="39" t="s">
        <v>114</v>
      </c>
      <c r="D2482" s="39" t="n">
        <v>5</v>
      </c>
      <c r="E2482" s="41" t="n">
        <v>5.77</v>
      </c>
      <c r="F2482" s="39" t="s">
        <v>105</v>
      </c>
      <c r="G2482" s="39" t="str">
        <f aca="false">UPPER(TRIM(C2482))</f>
        <v>P012</v>
      </c>
      <c r="H2482" s="39" t="str">
        <f aca="false">IF(ISNUMBER(MATCH(G2482,Products!$A$5:$A$24,0)),"OK","Mismatch")</f>
        <v>OK</v>
      </c>
      <c r="I2482" s="39" t="str">
        <f aca="false">IF(COUNTIF($A$5:A2482,A2482)&gt;1,"Duplicate","Unique")</f>
        <v>Unique</v>
      </c>
      <c r="J2482" s="39" t="str">
        <f aca="false">IF(I2482="Duplicate","Remove",IF(H2482="Mismatch","Exclude","Keep"))</f>
        <v>Keep</v>
      </c>
    </row>
    <row r="2483" customFormat="false" ht="15" hidden="false" customHeight="false" outlineLevel="0" collapsed="false">
      <c r="A2483" s="39" t="s">
        <v>2533</v>
      </c>
      <c r="B2483" s="40" t="n">
        <v>45973</v>
      </c>
      <c r="C2483" s="39" t="s">
        <v>107</v>
      </c>
      <c r="D2483" s="39" t="n">
        <v>4</v>
      </c>
      <c r="E2483" s="41" t="n">
        <v>32.52</v>
      </c>
      <c r="F2483" s="39" t="s">
        <v>105</v>
      </c>
      <c r="G2483" s="39" t="str">
        <f aca="false">UPPER(TRIM(C2483))</f>
        <v>P003</v>
      </c>
      <c r="H2483" s="39" t="str">
        <f aca="false">IF(ISNUMBER(MATCH(G2483,Products!$A$5:$A$24,0)),"OK","Mismatch")</f>
        <v>OK</v>
      </c>
      <c r="I2483" s="39" t="str">
        <f aca="false">IF(COUNTIF($A$5:A2483,A2483)&gt;1,"Duplicate","Unique")</f>
        <v>Unique</v>
      </c>
      <c r="J2483" s="39" t="str">
        <f aca="false">IF(I2483="Duplicate","Remove",IF(H2483="Mismatch","Exclude","Keep"))</f>
        <v>Keep</v>
      </c>
    </row>
    <row r="2484" customFormat="false" ht="15" hidden="false" customHeight="false" outlineLevel="0" collapsed="false">
      <c r="A2484" s="39" t="s">
        <v>2534</v>
      </c>
      <c r="B2484" s="40" t="n">
        <v>45973</v>
      </c>
      <c r="C2484" s="39" t="s">
        <v>133</v>
      </c>
      <c r="D2484" s="39" t="n">
        <v>6</v>
      </c>
      <c r="E2484" s="41" t="n">
        <v>8.48</v>
      </c>
      <c r="F2484" s="39" t="s">
        <v>115</v>
      </c>
      <c r="G2484" s="39" t="str">
        <f aca="false">UPPER(TRIM(C2484))</f>
        <v>P019</v>
      </c>
      <c r="H2484" s="39" t="str">
        <f aca="false">IF(ISNUMBER(MATCH(G2484,Products!$A$5:$A$24,0)),"OK","Mismatch")</f>
        <v>OK</v>
      </c>
      <c r="I2484" s="39" t="str">
        <f aca="false">IF(COUNTIF($A$5:A2484,A2484)&gt;1,"Duplicate","Unique")</f>
        <v>Unique</v>
      </c>
      <c r="J2484" s="39" t="str">
        <f aca="false">IF(I2484="Duplicate","Remove",IF(H2484="Mismatch","Exclude","Keep"))</f>
        <v>Keep</v>
      </c>
    </row>
    <row r="2485" customFormat="false" ht="15" hidden="false" customHeight="false" outlineLevel="0" collapsed="false">
      <c r="A2485" s="39" t="s">
        <v>2535</v>
      </c>
      <c r="B2485" s="40" t="n">
        <v>45974</v>
      </c>
      <c r="C2485" s="39" t="s">
        <v>153</v>
      </c>
      <c r="D2485" s="39" t="n">
        <v>1</v>
      </c>
      <c r="E2485" s="41" t="n">
        <v>168.9</v>
      </c>
      <c r="F2485" s="39" t="s">
        <v>105</v>
      </c>
      <c r="G2485" s="39" t="str">
        <f aca="false">UPPER(TRIM(C2485))</f>
        <v>P010</v>
      </c>
      <c r="H2485" s="39" t="str">
        <f aca="false">IF(ISNUMBER(MATCH(G2485,Products!$A$5:$A$24,0)),"OK","Mismatch")</f>
        <v>OK</v>
      </c>
      <c r="I2485" s="39" t="str">
        <f aca="false">IF(COUNTIF($A$5:A2485,A2485)&gt;1,"Duplicate","Unique")</f>
        <v>Unique</v>
      </c>
      <c r="J2485" s="39" t="str">
        <f aca="false">IF(I2485="Duplicate","Remove",IF(H2485="Mismatch","Exclude","Keep"))</f>
        <v>Keep</v>
      </c>
    </row>
    <row r="2486" customFormat="false" ht="15" hidden="false" customHeight="false" outlineLevel="0" collapsed="false">
      <c r="A2486" s="39" t="s">
        <v>2536</v>
      </c>
      <c r="B2486" s="40" t="n">
        <v>45974</v>
      </c>
      <c r="C2486" s="39" t="s">
        <v>128</v>
      </c>
      <c r="D2486" s="39" t="n">
        <v>2</v>
      </c>
      <c r="E2486" s="41" t="n">
        <v>38.74</v>
      </c>
      <c r="F2486" s="39" t="s">
        <v>115</v>
      </c>
      <c r="G2486" s="39" t="str">
        <f aca="false">UPPER(TRIM(C2486))</f>
        <v>P020</v>
      </c>
      <c r="H2486" s="39" t="str">
        <f aca="false">IF(ISNUMBER(MATCH(G2486,Products!$A$5:$A$24,0)),"OK","Mismatch")</f>
        <v>OK</v>
      </c>
      <c r="I2486" s="39" t="str">
        <f aca="false">IF(COUNTIF($A$5:A2486,A2486)&gt;1,"Duplicate","Unique")</f>
        <v>Unique</v>
      </c>
      <c r="J2486" s="39" t="str">
        <f aca="false">IF(I2486="Duplicate","Remove",IF(H2486="Mismatch","Exclude","Keep"))</f>
        <v>Keep</v>
      </c>
    </row>
    <row r="2487" customFormat="false" ht="15" hidden="false" customHeight="false" outlineLevel="0" collapsed="false">
      <c r="A2487" s="39" t="s">
        <v>2537</v>
      </c>
      <c r="B2487" s="40" t="n">
        <v>45974</v>
      </c>
      <c r="C2487" s="39" t="s">
        <v>114</v>
      </c>
      <c r="D2487" s="39" t="n">
        <v>1</v>
      </c>
      <c r="E2487" s="41" t="n">
        <v>5.64</v>
      </c>
      <c r="F2487" s="39" t="s">
        <v>108</v>
      </c>
      <c r="G2487" s="39" t="str">
        <f aca="false">UPPER(TRIM(C2487))</f>
        <v>P012</v>
      </c>
      <c r="H2487" s="39" t="str">
        <f aca="false">IF(ISNUMBER(MATCH(G2487,Products!$A$5:$A$24,0)),"OK","Mismatch")</f>
        <v>OK</v>
      </c>
      <c r="I2487" s="39" t="str">
        <f aca="false">IF(COUNTIF($A$5:A2487,A2487)&gt;1,"Duplicate","Unique")</f>
        <v>Unique</v>
      </c>
      <c r="J2487" s="39" t="str">
        <f aca="false">IF(I2487="Duplicate","Remove",IF(H2487="Mismatch","Exclude","Keep"))</f>
        <v>Keep</v>
      </c>
    </row>
    <row r="2488" customFormat="false" ht="15" hidden="false" customHeight="false" outlineLevel="0" collapsed="false">
      <c r="A2488" s="39" t="s">
        <v>2538</v>
      </c>
      <c r="B2488" s="40" t="n">
        <v>45974</v>
      </c>
      <c r="C2488" s="39" t="s">
        <v>162</v>
      </c>
      <c r="D2488" s="39" t="n">
        <v>1</v>
      </c>
      <c r="E2488" s="41" t="n">
        <v>65.66</v>
      </c>
      <c r="F2488" s="39" t="s">
        <v>115</v>
      </c>
      <c r="G2488" s="39" t="str">
        <f aca="false">UPPER(TRIM(C2488))</f>
        <v>P017</v>
      </c>
      <c r="H2488" s="39" t="str">
        <f aca="false">IF(ISNUMBER(MATCH(G2488,Products!$A$5:$A$24,0)),"OK","Mismatch")</f>
        <v>OK</v>
      </c>
      <c r="I2488" s="39" t="str">
        <f aca="false">IF(COUNTIF($A$5:A2488,A2488)&gt;1,"Duplicate","Unique")</f>
        <v>Unique</v>
      </c>
      <c r="J2488" s="39" t="str">
        <f aca="false">IF(I2488="Duplicate","Remove",IF(H2488="Mismatch","Exclude","Keep"))</f>
        <v>Keep</v>
      </c>
    </row>
    <row r="2489" customFormat="false" ht="15" hidden="false" customHeight="false" outlineLevel="0" collapsed="false">
      <c r="A2489" s="39" t="s">
        <v>2539</v>
      </c>
      <c r="B2489" s="40" t="n">
        <v>45974</v>
      </c>
      <c r="C2489" s="39" t="s">
        <v>133</v>
      </c>
      <c r="D2489" s="39" t="n">
        <v>1</v>
      </c>
      <c r="E2489" s="41" t="n">
        <v>8.85</v>
      </c>
      <c r="F2489" s="39" t="s">
        <v>108</v>
      </c>
      <c r="G2489" s="39" t="str">
        <f aca="false">UPPER(TRIM(C2489))</f>
        <v>P019</v>
      </c>
      <c r="H2489" s="39" t="str">
        <f aca="false">IF(ISNUMBER(MATCH(G2489,Products!$A$5:$A$24,0)),"OK","Mismatch")</f>
        <v>OK</v>
      </c>
      <c r="I2489" s="39" t="str">
        <f aca="false">IF(COUNTIF($A$5:A2489,A2489)&gt;1,"Duplicate","Unique")</f>
        <v>Unique</v>
      </c>
      <c r="J2489" s="39" t="str">
        <f aca="false">IF(I2489="Duplicate","Remove",IF(H2489="Mismatch","Exclude","Keep"))</f>
        <v>Keep</v>
      </c>
    </row>
    <row r="2490" customFormat="false" ht="15" hidden="false" customHeight="false" outlineLevel="0" collapsed="false">
      <c r="A2490" s="39" t="s">
        <v>2540</v>
      </c>
      <c r="B2490" s="40" t="n">
        <v>45974</v>
      </c>
      <c r="C2490" s="39" t="s">
        <v>153</v>
      </c>
      <c r="D2490" s="39" t="n">
        <v>2</v>
      </c>
      <c r="E2490" s="41" t="n">
        <v>175.1</v>
      </c>
      <c r="F2490" s="39" t="s">
        <v>105</v>
      </c>
      <c r="G2490" s="39" t="str">
        <f aca="false">UPPER(TRIM(C2490))</f>
        <v>P010</v>
      </c>
      <c r="H2490" s="39" t="str">
        <f aca="false">IF(ISNUMBER(MATCH(G2490,Products!$A$5:$A$24,0)),"OK","Mismatch")</f>
        <v>OK</v>
      </c>
      <c r="I2490" s="39" t="str">
        <f aca="false">IF(COUNTIF($A$5:A2490,A2490)&gt;1,"Duplicate","Unique")</f>
        <v>Unique</v>
      </c>
      <c r="J2490" s="39" t="str">
        <f aca="false">IF(I2490="Duplicate","Remove",IF(H2490="Mismatch","Exclude","Keep"))</f>
        <v>Keep</v>
      </c>
    </row>
    <row r="2491" customFormat="false" ht="15" hidden="false" customHeight="false" outlineLevel="0" collapsed="false">
      <c r="A2491" s="39" t="s">
        <v>2541</v>
      </c>
      <c r="B2491" s="40" t="n">
        <v>45974</v>
      </c>
      <c r="C2491" s="39" t="s">
        <v>183</v>
      </c>
      <c r="D2491" s="39" t="n">
        <v>1</v>
      </c>
      <c r="E2491" s="41" t="n">
        <v>180.47</v>
      </c>
      <c r="F2491" s="39" t="s">
        <v>105</v>
      </c>
      <c r="G2491" s="39" t="str">
        <f aca="false">UPPER(TRIM(C2491))</f>
        <v>P007</v>
      </c>
      <c r="H2491" s="39" t="str">
        <f aca="false">IF(ISNUMBER(MATCH(G2491,Products!$A$5:$A$24,0)),"OK","Mismatch")</f>
        <v>OK</v>
      </c>
      <c r="I2491" s="39" t="str">
        <f aca="false">IF(COUNTIF($A$5:A2491,A2491)&gt;1,"Duplicate","Unique")</f>
        <v>Unique</v>
      </c>
      <c r="J2491" s="39" t="str">
        <f aca="false">IF(I2491="Duplicate","Remove",IF(H2491="Mismatch","Exclude","Keep"))</f>
        <v>Keep</v>
      </c>
    </row>
    <row r="2492" customFormat="false" ht="15" hidden="false" customHeight="false" outlineLevel="0" collapsed="false">
      <c r="A2492" s="39" t="s">
        <v>2542</v>
      </c>
      <c r="B2492" s="40" t="n">
        <v>45974</v>
      </c>
      <c r="C2492" s="39" t="s">
        <v>114</v>
      </c>
      <c r="D2492" s="39" t="n">
        <v>3</v>
      </c>
      <c r="E2492" s="41" t="n">
        <v>5.79</v>
      </c>
      <c r="F2492" s="39" t="s">
        <v>115</v>
      </c>
      <c r="G2492" s="39" t="str">
        <f aca="false">UPPER(TRIM(C2492))</f>
        <v>P012</v>
      </c>
      <c r="H2492" s="39" t="str">
        <f aca="false">IF(ISNUMBER(MATCH(G2492,Products!$A$5:$A$24,0)),"OK","Mismatch")</f>
        <v>OK</v>
      </c>
      <c r="I2492" s="39" t="str">
        <f aca="false">IF(COUNTIF($A$5:A2492,A2492)&gt;1,"Duplicate","Unique")</f>
        <v>Unique</v>
      </c>
      <c r="J2492" s="39" t="str">
        <f aca="false">IF(I2492="Duplicate","Remove",IF(H2492="Mismatch","Exclude","Keep"))</f>
        <v>Keep</v>
      </c>
    </row>
    <row r="2493" customFormat="false" ht="15" hidden="false" customHeight="false" outlineLevel="0" collapsed="false">
      <c r="A2493" s="39" t="s">
        <v>2543</v>
      </c>
      <c r="B2493" s="40" t="n">
        <v>45974</v>
      </c>
      <c r="C2493" s="39" t="s">
        <v>183</v>
      </c>
      <c r="D2493" s="39" t="n">
        <v>4</v>
      </c>
      <c r="E2493" s="41" t="n">
        <v>181.01</v>
      </c>
      <c r="F2493" s="39" t="s">
        <v>105</v>
      </c>
      <c r="G2493" s="39" t="str">
        <f aca="false">UPPER(TRIM(C2493))</f>
        <v>P007</v>
      </c>
      <c r="H2493" s="39" t="str">
        <f aca="false">IF(ISNUMBER(MATCH(G2493,Products!$A$5:$A$24,0)),"OK","Mismatch")</f>
        <v>OK</v>
      </c>
      <c r="I2493" s="39" t="str">
        <f aca="false">IF(COUNTIF($A$5:A2493,A2493)&gt;1,"Duplicate","Unique")</f>
        <v>Unique</v>
      </c>
      <c r="J2493" s="39" t="str">
        <f aca="false">IF(I2493="Duplicate","Remove",IF(H2493="Mismatch","Exclude","Keep"))</f>
        <v>Keep</v>
      </c>
    </row>
    <row r="2494" customFormat="false" ht="15" hidden="false" customHeight="false" outlineLevel="0" collapsed="false">
      <c r="A2494" s="39" t="s">
        <v>2544</v>
      </c>
      <c r="B2494" s="40" t="n">
        <v>45974</v>
      </c>
      <c r="C2494" s="39" t="s">
        <v>126</v>
      </c>
      <c r="D2494" s="39" t="n">
        <v>4</v>
      </c>
      <c r="E2494" s="41" t="n">
        <v>23.8</v>
      </c>
      <c r="F2494" s="39" t="s">
        <v>118</v>
      </c>
      <c r="G2494" s="39" t="str">
        <f aca="false">UPPER(TRIM(C2494))</f>
        <v>P001</v>
      </c>
      <c r="H2494" s="39" t="str">
        <f aca="false">IF(ISNUMBER(MATCH(G2494,Products!$A$5:$A$24,0)),"OK","Mismatch")</f>
        <v>OK</v>
      </c>
      <c r="I2494" s="39" t="str">
        <f aca="false">IF(COUNTIF($A$5:A2494,A2494)&gt;1,"Duplicate","Unique")</f>
        <v>Unique</v>
      </c>
      <c r="J2494" s="39" t="str">
        <f aca="false">IF(I2494="Duplicate","Remove",IF(H2494="Mismatch","Exclude","Keep"))</f>
        <v>Keep</v>
      </c>
    </row>
    <row r="2495" customFormat="false" ht="15" hidden="false" customHeight="false" outlineLevel="0" collapsed="false">
      <c r="A2495" s="39" t="s">
        <v>2545</v>
      </c>
      <c r="B2495" s="40" t="n">
        <v>45974</v>
      </c>
      <c r="C2495" s="39" t="s">
        <v>126</v>
      </c>
      <c r="D2495" s="39" t="n">
        <v>8</v>
      </c>
      <c r="E2495" s="41" t="n">
        <v>24.57</v>
      </c>
      <c r="F2495" s="39" t="s">
        <v>105</v>
      </c>
      <c r="G2495" s="39" t="str">
        <f aca="false">UPPER(TRIM(C2495))</f>
        <v>P001</v>
      </c>
      <c r="H2495" s="39" t="str">
        <f aca="false">IF(ISNUMBER(MATCH(G2495,Products!$A$5:$A$24,0)),"OK","Mismatch")</f>
        <v>OK</v>
      </c>
      <c r="I2495" s="39" t="str">
        <f aca="false">IF(COUNTIF($A$5:A2495,A2495)&gt;1,"Duplicate","Unique")</f>
        <v>Unique</v>
      </c>
      <c r="J2495" s="39" t="str">
        <f aca="false">IF(I2495="Duplicate","Remove",IF(H2495="Mismatch","Exclude","Keep"))</f>
        <v>Keep</v>
      </c>
    </row>
    <row r="2496" customFormat="false" ht="15" hidden="false" customHeight="false" outlineLevel="0" collapsed="false">
      <c r="A2496" s="39" t="s">
        <v>2546</v>
      </c>
      <c r="B2496" s="40" t="n">
        <v>45974</v>
      </c>
      <c r="C2496" s="39" t="s">
        <v>107</v>
      </c>
      <c r="D2496" s="39" t="n">
        <v>5</v>
      </c>
      <c r="E2496" s="41" t="n">
        <v>34.24</v>
      </c>
      <c r="F2496" s="39" t="s">
        <v>118</v>
      </c>
      <c r="G2496" s="39" t="str">
        <f aca="false">UPPER(TRIM(C2496))</f>
        <v>P003</v>
      </c>
      <c r="H2496" s="39" t="str">
        <f aca="false">IF(ISNUMBER(MATCH(G2496,Products!$A$5:$A$24,0)),"OK","Mismatch")</f>
        <v>OK</v>
      </c>
      <c r="I2496" s="39" t="str">
        <f aca="false">IF(COUNTIF($A$5:A2496,A2496)&gt;1,"Duplicate","Unique")</f>
        <v>Unique</v>
      </c>
      <c r="J2496" s="39" t="str">
        <f aca="false">IF(I2496="Duplicate","Remove",IF(H2496="Mismatch","Exclude","Keep"))</f>
        <v>Keep</v>
      </c>
    </row>
    <row r="2497" customFormat="false" ht="15" hidden="false" customHeight="false" outlineLevel="0" collapsed="false">
      <c r="A2497" s="39" t="s">
        <v>2547</v>
      </c>
      <c r="B2497" s="40" t="n">
        <v>45974</v>
      </c>
      <c r="C2497" s="39" t="s">
        <v>126</v>
      </c>
      <c r="D2497" s="39" t="n">
        <v>3</v>
      </c>
      <c r="E2497" s="41" t="n">
        <v>23.89</v>
      </c>
      <c r="F2497" s="39" t="s">
        <v>118</v>
      </c>
      <c r="G2497" s="39" t="str">
        <f aca="false">UPPER(TRIM(C2497))</f>
        <v>P001</v>
      </c>
      <c r="H2497" s="39" t="str">
        <f aca="false">IF(ISNUMBER(MATCH(G2497,Products!$A$5:$A$24,0)),"OK","Mismatch")</f>
        <v>OK</v>
      </c>
      <c r="I2497" s="39" t="str">
        <f aca="false">IF(COUNTIF($A$5:A2497,A2497)&gt;1,"Duplicate","Unique")</f>
        <v>Unique</v>
      </c>
      <c r="J2497" s="39" t="str">
        <f aca="false">IF(I2497="Duplicate","Remove",IF(H2497="Mismatch","Exclude","Keep"))</f>
        <v>Keep</v>
      </c>
    </row>
    <row r="2498" customFormat="false" ht="15" hidden="false" customHeight="false" outlineLevel="0" collapsed="false">
      <c r="A2498" s="39" t="s">
        <v>2548</v>
      </c>
      <c r="B2498" s="40" t="n">
        <v>45974</v>
      </c>
      <c r="C2498" s="39" t="s">
        <v>128</v>
      </c>
      <c r="D2498" s="39" t="n">
        <v>4</v>
      </c>
      <c r="E2498" s="41" t="n">
        <v>36.34</v>
      </c>
      <c r="F2498" s="39" t="s">
        <v>118</v>
      </c>
      <c r="G2498" s="39" t="str">
        <f aca="false">UPPER(TRIM(C2498))</f>
        <v>P020</v>
      </c>
      <c r="H2498" s="39" t="str">
        <f aca="false">IF(ISNUMBER(MATCH(G2498,Products!$A$5:$A$24,0)),"OK","Mismatch")</f>
        <v>OK</v>
      </c>
      <c r="I2498" s="39" t="str">
        <f aca="false">IF(COUNTIF($A$5:A2498,A2498)&gt;1,"Duplicate","Unique")</f>
        <v>Unique</v>
      </c>
      <c r="J2498" s="39" t="str">
        <f aca="false">IF(I2498="Duplicate","Remove",IF(H2498="Mismatch","Exclude","Keep"))</f>
        <v>Keep</v>
      </c>
    </row>
    <row r="2499" customFormat="false" ht="15" hidden="false" customHeight="false" outlineLevel="0" collapsed="false">
      <c r="A2499" s="39" t="s">
        <v>2549</v>
      </c>
      <c r="B2499" s="40" t="n">
        <v>45974</v>
      </c>
      <c r="C2499" s="39" t="s">
        <v>110</v>
      </c>
      <c r="D2499" s="39" t="n">
        <v>3</v>
      </c>
      <c r="E2499" s="41" t="n">
        <v>12.98</v>
      </c>
      <c r="F2499" s="39" t="s">
        <v>108</v>
      </c>
      <c r="G2499" s="39" t="str">
        <f aca="false">UPPER(TRIM(C2499))</f>
        <v>P016</v>
      </c>
      <c r="H2499" s="39" t="str">
        <f aca="false">IF(ISNUMBER(MATCH(G2499,Products!$A$5:$A$24,0)),"OK","Mismatch")</f>
        <v>OK</v>
      </c>
      <c r="I2499" s="39" t="str">
        <f aca="false">IF(COUNTIF($A$5:A2499,A2499)&gt;1,"Duplicate","Unique")</f>
        <v>Unique</v>
      </c>
      <c r="J2499" s="39" t="str">
        <f aca="false">IF(I2499="Duplicate","Remove",IF(H2499="Mismatch","Exclude","Keep"))</f>
        <v>Keep</v>
      </c>
    </row>
    <row r="2500" customFormat="false" ht="15" hidden="false" customHeight="false" outlineLevel="0" collapsed="false">
      <c r="A2500" s="39" t="s">
        <v>2550</v>
      </c>
      <c r="B2500" s="40" t="n">
        <v>45974</v>
      </c>
      <c r="C2500" s="39" t="s">
        <v>130</v>
      </c>
      <c r="D2500" s="39" t="n">
        <v>6</v>
      </c>
      <c r="E2500" s="41" t="n">
        <v>8.78</v>
      </c>
      <c r="F2500" s="39" t="s">
        <v>105</v>
      </c>
      <c r="G2500" s="39" t="str">
        <f aca="false">UPPER(TRIM(C2500))</f>
        <v>P011</v>
      </c>
      <c r="H2500" s="39" t="str">
        <f aca="false">IF(ISNUMBER(MATCH(G2500,Products!$A$5:$A$24,0)),"OK","Mismatch")</f>
        <v>OK</v>
      </c>
      <c r="I2500" s="39" t="str">
        <f aca="false">IF(COUNTIF($A$5:A2500,A2500)&gt;1,"Duplicate","Unique")</f>
        <v>Unique</v>
      </c>
      <c r="J2500" s="39" t="str">
        <f aca="false">IF(I2500="Duplicate","Remove",IF(H2500="Mismatch","Exclude","Keep"))</f>
        <v>Keep</v>
      </c>
    </row>
    <row r="2501" customFormat="false" ht="15" hidden="false" customHeight="false" outlineLevel="0" collapsed="false">
      <c r="A2501" s="39" t="s">
        <v>2551</v>
      </c>
      <c r="B2501" s="40" t="n">
        <v>45975</v>
      </c>
      <c r="C2501" s="39" t="s">
        <v>130</v>
      </c>
      <c r="D2501" s="39" t="n">
        <v>3</v>
      </c>
      <c r="E2501" s="41" t="n">
        <v>8.82</v>
      </c>
      <c r="F2501" s="39" t="s">
        <v>115</v>
      </c>
      <c r="G2501" s="39" t="str">
        <f aca="false">UPPER(TRIM(C2501))</f>
        <v>P011</v>
      </c>
      <c r="H2501" s="39" t="str">
        <f aca="false">IF(ISNUMBER(MATCH(G2501,Products!$A$5:$A$24,0)),"OK","Mismatch")</f>
        <v>OK</v>
      </c>
      <c r="I2501" s="39" t="str">
        <f aca="false">IF(COUNTIF($A$5:A2501,A2501)&gt;1,"Duplicate","Unique")</f>
        <v>Unique</v>
      </c>
      <c r="J2501" s="39" t="str">
        <f aca="false">IF(I2501="Duplicate","Remove",IF(H2501="Mismatch","Exclude","Keep"))</f>
        <v>Keep</v>
      </c>
    </row>
    <row r="2502" customFormat="false" ht="15" hidden="false" customHeight="false" outlineLevel="0" collapsed="false">
      <c r="A2502" s="39" t="s">
        <v>2552</v>
      </c>
      <c r="B2502" s="40" t="n">
        <v>45975</v>
      </c>
      <c r="C2502" s="39" t="s">
        <v>130</v>
      </c>
      <c r="D2502" s="39" t="n">
        <v>2</v>
      </c>
      <c r="E2502" s="41" t="n">
        <v>8.41</v>
      </c>
      <c r="F2502" s="39" t="s">
        <v>118</v>
      </c>
      <c r="G2502" s="39" t="str">
        <f aca="false">UPPER(TRIM(C2502))</f>
        <v>P011</v>
      </c>
      <c r="H2502" s="39" t="str">
        <f aca="false">IF(ISNUMBER(MATCH(G2502,Products!$A$5:$A$24,0)),"OK","Mismatch")</f>
        <v>OK</v>
      </c>
      <c r="I2502" s="39" t="str">
        <f aca="false">IF(COUNTIF($A$5:A2502,A2502)&gt;1,"Duplicate","Unique")</f>
        <v>Unique</v>
      </c>
      <c r="J2502" s="39" t="str">
        <f aca="false">IF(I2502="Duplicate","Remove",IF(H2502="Mismatch","Exclude","Keep"))</f>
        <v>Keep</v>
      </c>
    </row>
    <row r="2503" customFormat="false" ht="15" hidden="false" customHeight="false" outlineLevel="0" collapsed="false">
      <c r="A2503" s="39" t="s">
        <v>2553</v>
      </c>
      <c r="B2503" s="40" t="n">
        <v>45975</v>
      </c>
      <c r="C2503" s="39" t="s">
        <v>117</v>
      </c>
      <c r="D2503" s="39" t="n">
        <v>2</v>
      </c>
      <c r="E2503" s="41" t="n">
        <v>31.07</v>
      </c>
      <c r="F2503" s="39" t="s">
        <v>115</v>
      </c>
      <c r="G2503" s="39" t="str">
        <f aca="false">UPPER(TRIM(C2503))</f>
        <v>P009</v>
      </c>
      <c r="H2503" s="39" t="str">
        <f aca="false">IF(ISNUMBER(MATCH(G2503,Products!$A$5:$A$24,0)),"OK","Mismatch")</f>
        <v>OK</v>
      </c>
      <c r="I2503" s="39" t="str">
        <f aca="false">IF(COUNTIF($A$5:A2503,A2503)&gt;1,"Duplicate","Unique")</f>
        <v>Unique</v>
      </c>
      <c r="J2503" s="39" t="str">
        <f aca="false">IF(I2503="Duplicate","Remove",IF(H2503="Mismatch","Exclude","Keep"))</f>
        <v>Keep</v>
      </c>
    </row>
    <row r="2504" customFormat="false" ht="15" hidden="false" customHeight="false" outlineLevel="0" collapsed="false">
      <c r="A2504" s="39" t="s">
        <v>2554</v>
      </c>
      <c r="B2504" s="40" t="n">
        <v>45975</v>
      </c>
      <c r="C2504" s="39" t="s">
        <v>107</v>
      </c>
      <c r="D2504" s="39" t="n">
        <v>2</v>
      </c>
      <c r="E2504" s="41" t="n">
        <v>33.16</v>
      </c>
      <c r="F2504" s="39" t="s">
        <v>108</v>
      </c>
      <c r="G2504" s="39" t="str">
        <f aca="false">UPPER(TRIM(C2504))</f>
        <v>P003</v>
      </c>
      <c r="H2504" s="39" t="str">
        <f aca="false">IF(ISNUMBER(MATCH(G2504,Products!$A$5:$A$24,0)),"OK","Mismatch")</f>
        <v>OK</v>
      </c>
      <c r="I2504" s="39" t="str">
        <f aca="false">IF(COUNTIF($A$5:A2504,A2504)&gt;1,"Duplicate","Unique")</f>
        <v>Unique</v>
      </c>
      <c r="J2504" s="39" t="str">
        <f aca="false">IF(I2504="Duplicate","Remove",IF(H2504="Mismatch","Exclude","Keep"))</f>
        <v>Keep</v>
      </c>
    </row>
    <row r="2505" customFormat="false" ht="15" hidden="false" customHeight="false" outlineLevel="0" collapsed="false">
      <c r="A2505" s="39" t="s">
        <v>2555</v>
      </c>
      <c r="B2505" s="40" t="n">
        <v>45975</v>
      </c>
      <c r="C2505" s="39" t="s">
        <v>104</v>
      </c>
      <c r="D2505" s="39" t="n">
        <v>5</v>
      </c>
      <c r="E2505" s="41" t="n">
        <v>14.99</v>
      </c>
      <c r="F2505" s="39" t="s">
        <v>108</v>
      </c>
      <c r="G2505" s="39" t="str">
        <f aca="false">UPPER(TRIM(C2505))</f>
        <v>P015</v>
      </c>
      <c r="H2505" s="39" t="str">
        <f aca="false">IF(ISNUMBER(MATCH(G2505,Products!$A$5:$A$24,0)),"OK","Mismatch")</f>
        <v>OK</v>
      </c>
      <c r="I2505" s="39" t="str">
        <f aca="false">IF(COUNTIF($A$5:A2505,A2505)&gt;1,"Duplicate","Unique")</f>
        <v>Unique</v>
      </c>
      <c r="J2505" s="39" t="str">
        <f aca="false">IF(I2505="Duplicate","Remove",IF(H2505="Mismatch","Exclude","Keep"))</f>
        <v>Keep</v>
      </c>
    </row>
    <row r="2506" customFormat="false" ht="15" hidden="false" customHeight="false" outlineLevel="0" collapsed="false">
      <c r="A2506" s="39" t="s">
        <v>2556</v>
      </c>
      <c r="B2506" s="40" t="n">
        <v>45975</v>
      </c>
      <c r="C2506" s="39" t="s">
        <v>130</v>
      </c>
      <c r="D2506" s="39" t="n">
        <v>3</v>
      </c>
      <c r="E2506" s="41" t="n">
        <v>8.51</v>
      </c>
      <c r="F2506" s="39" t="s">
        <v>108</v>
      </c>
      <c r="G2506" s="39" t="str">
        <f aca="false">UPPER(TRIM(C2506))</f>
        <v>P011</v>
      </c>
      <c r="H2506" s="39" t="str">
        <f aca="false">IF(ISNUMBER(MATCH(G2506,Products!$A$5:$A$24,0)),"OK","Mismatch")</f>
        <v>OK</v>
      </c>
      <c r="I2506" s="39" t="str">
        <f aca="false">IF(COUNTIF($A$5:A2506,A2506)&gt;1,"Duplicate","Unique")</f>
        <v>Unique</v>
      </c>
      <c r="J2506" s="39" t="str">
        <f aca="false">IF(I2506="Duplicate","Remove",IF(H2506="Mismatch","Exclude","Keep"))</f>
        <v>Keep</v>
      </c>
    </row>
    <row r="2507" customFormat="false" ht="15" hidden="false" customHeight="false" outlineLevel="0" collapsed="false">
      <c r="A2507" s="39" t="s">
        <v>2557</v>
      </c>
      <c r="B2507" s="40" t="n">
        <v>45975</v>
      </c>
      <c r="C2507" s="39" t="s">
        <v>133</v>
      </c>
      <c r="D2507" s="39" t="n">
        <v>3</v>
      </c>
      <c r="E2507" s="41" t="n">
        <v>8.64</v>
      </c>
      <c r="F2507" s="39" t="s">
        <v>108</v>
      </c>
      <c r="G2507" s="39" t="str">
        <f aca="false">UPPER(TRIM(C2507))</f>
        <v>P019</v>
      </c>
      <c r="H2507" s="39" t="str">
        <f aca="false">IF(ISNUMBER(MATCH(G2507,Products!$A$5:$A$24,0)),"OK","Mismatch")</f>
        <v>OK</v>
      </c>
      <c r="I2507" s="39" t="str">
        <f aca="false">IF(COUNTIF($A$5:A2507,A2507)&gt;1,"Duplicate","Unique")</f>
        <v>Unique</v>
      </c>
      <c r="J2507" s="39" t="str">
        <f aca="false">IF(I2507="Duplicate","Remove",IF(H2507="Mismatch","Exclude","Keep"))</f>
        <v>Keep</v>
      </c>
    </row>
    <row r="2508" customFormat="false" ht="15" hidden="false" customHeight="false" outlineLevel="0" collapsed="false">
      <c r="A2508" s="39" t="s">
        <v>2558</v>
      </c>
      <c r="B2508" s="40" t="n">
        <v>45975</v>
      </c>
      <c r="C2508" s="39" t="s">
        <v>110</v>
      </c>
      <c r="D2508" s="39" t="n">
        <v>1</v>
      </c>
      <c r="E2508" s="41" t="n">
        <v>13.5</v>
      </c>
      <c r="F2508" s="39" t="s">
        <v>118</v>
      </c>
      <c r="G2508" s="39" t="str">
        <f aca="false">UPPER(TRIM(C2508))</f>
        <v>P016</v>
      </c>
      <c r="H2508" s="39" t="str">
        <f aca="false">IF(ISNUMBER(MATCH(G2508,Products!$A$5:$A$24,0)),"OK","Mismatch")</f>
        <v>OK</v>
      </c>
      <c r="I2508" s="39" t="str">
        <f aca="false">IF(COUNTIF($A$5:A2508,A2508)&gt;1,"Duplicate","Unique")</f>
        <v>Unique</v>
      </c>
      <c r="J2508" s="39" t="str">
        <f aca="false">IF(I2508="Duplicate","Remove",IF(H2508="Mismatch","Exclude","Keep"))</f>
        <v>Keep</v>
      </c>
    </row>
    <row r="2509" customFormat="false" ht="15" hidden="false" customHeight="false" outlineLevel="0" collapsed="false">
      <c r="A2509" s="39" t="s">
        <v>2559</v>
      </c>
      <c r="B2509" s="40" t="n">
        <v>45975</v>
      </c>
      <c r="C2509" s="39" t="s">
        <v>136</v>
      </c>
      <c r="D2509" s="39" t="n">
        <v>5</v>
      </c>
      <c r="E2509" s="41" t="n">
        <v>76.04</v>
      </c>
      <c r="F2509" s="39" t="s">
        <v>115</v>
      </c>
      <c r="G2509" s="39" t="str">
        <f aca="false">UPPER(TRIM(C2509))</f>
        <v>P002</v>
      </c>
      <c r="H2509" s="39" t="str">
        <f aca="false">IF(ISNUMBER(MATCH(G2509,Products!$A$5:$A$24,0)),"OK","Mismatch")</f>
        <v>OK</v>
      </c>
      <c r="I2509" s="39" t="str">
        <f aca="false">IF(COUNTIF($A$5:A2509,A2509)&gt;1,"Duplicate","Unique")</f>
        <v>Unique</v>
      </c>
      <c r="J2509" s="39" t="str">
        <f aca="false">IF(I2509="Duplicate","Remove",IF(H2509="Mismatch","Exclude","Keep"))</f>
        <v>Keep</v>
      </c>
    </row>
    <row r="2510" customFormat="false" ht="15" hidden="false" customHeight="false" outlineLevel="0" collapsed="false">
      <c r="A2510" s="39" t="s">
        <v>2560</v>
      </c>
      <c r="B2510" s="40" t="n">
        <v>45975</v>
      </c>
      <c r="C2510" s="39" t="s">
        <v>114</v>
      </c>
      <c r="D2510" s="39" t="n">
        <v>3</v>
      </c>
      <c r="E2510" s="41" t="n">
        <v>5.7</v>
      </c>
      <c r="F2510" s="39" t="s">
        <v>118</v>
      </c>
      <c r="G2510" s="39" t="str">
        <f aca="false">UPPER(TRIM(C2510))</f>
        <v>P012</v>
      </c>
      <c r="H2510" s="39" t="str">
        <f aca="false">IF(ISNUMBER(MATCH(G2510,Products!$A$5:$A$24,0)),"OK","Mismatch")</f>
        <v>OK</v>
      </c>
      <c r="I2510" s="39" t="str">
        <f aca="false">IF(COUNTIF($A$5:A2510,A2510)&gt;1,"Duplicate","Unique")</f>
        <v>Unique</v>
      </c>
      <c r="J2510" s="39" t="str">
        <f aca="false">IF(I2510="Duplicate","Remove",IF(H2510="Mismatch","Exclude","Keep"))</f>
        <v>Keep</v>
      </c>
    </row>
    <row r="2511" customFormat="false" ht="15" hidden="false" customHeight="false" outlineLevel="0" collapsed="false">
      <c r="A2511" s="39" t="s">
        <v>2561</v>
      </c>
      <c r="B2511" s="40" t="n">
        <v>45975</v>
      </c>
      <c r="C2511" s="39" t="s">
        <v>133</v>
      </c>
      <c r="D2511" s="39" t="n">
        <v>3</v>
      </c>
      <c r="E2511" s="41" t="n">
        <v>8.96</v>
      </c>
      <c r="F2511" s="39" t="s">
        <v>105</v>
      </c>
      <c r="G2511" s="39" t="str">
        <f aca="false">UPPER(TRIM(C2511))</f>
        <v>P019</v>
      </c>
      <c r="H2511" s="39" t="str">
        <f aca="false">IF(ISNUMBER(MATCH(G2511,Products!$A$5:$A$24,0)),"OK","Mismatch")</f>
        <v>OK</v>
      </c>
      <c r="I2511" s="39" t="str">
        <f aca="false">IF(COUNTIF($A$5:A2511,A2511)&gt;1,"Duplicate","Unique")</f>
        <v>Unique</v>
      </c>
      <c r="J2511" s="39" t="str">
        <f aca="false">IF(I2511="Duplicate","Remove",IF(H2511="Mismatch","Exclude","Keep"))</f>
        <v>Keep</v>
      </c>
    </row>
    <row r="2512" customFormat="false" ht="15" hidden="false" customHeight="false" outlineLevel="0" collapsed="false">
      <c r="A2512" s="39" t="s">
        <v>2562</v>
      </c>
      <c r="B2512" s="40" t="n">
        <v>45976</v>
      </c>
      <c r="C2512" s="39" t="s">
        <v>126</v>
      </c>
      <c r="D2512" s="39" t="n">
        <v>2</v>
      </c>
      <c r="E2512" s="41" t="n">
        <v>24.78</v>
      </c>
      <c r="F2512" s="39" t="s">
        <v>108</v>
      </c>
      <c r="G2512" s="39" t="str">
        <f aca="false">UPPER(TRIM(C2512))</f>
        <v>P001</v>
      </c>
      <c r="H2512" s="39" t="str">
        <f aca="false">IF(ISNUMBER(MATCH(G2512,Products!$A$5:$A$24,0)),"OK","Mismatch")</f>
        <v>OK</v>
      </c>
      <c r="I2512" s="39" t="str">
        <f aca="false">IF(COUNTIF($A$5:A2512,A2512)&gt;1,"Duplicate","Unique")</f>
        <v>Unique</v>
      </c>
      <c r="J2512" s="39" t="str">
        <f aca="false">IF(I2512="Duplicate","Remove",IF(H2512="Mismatch","Exclude","Keep"))</f>
        <v>Keep</v>
      </c>
    </row>
    <row r="2513" customFormat="false" ht="15" hidden="false" customHeight="false" outlineLevel="0" collapsed="false">
      <c r="A2513" s="39" t="s">
        <v>2563</v>
      </c>
      <c r="B2513" s="40" t="n">
        <v>45976</v>
      </c>
      <c r="C2513" s="39" t="s">
        <v>126</v>
      </c>
      <c r="D2513" s="39" t="n">
        <v>2</v>
      </c>
      <c r="E2513" s="41" t="n">
        <v>24.13</v>
      </c>
      <c r="F2513" s="39" t="s">
        <v>118</v>
      </c>
      <c r="G2513" s="39" t="str">
        <f aca="false">UPPER(TRIM(C2513))</f>
        <v>P001</v>
      </c>
      <c r="H2513" s="39" t="str">
        <f aca="false">IF(ISNUMBER(MATCH(G2513,Products!$A$5:$A$24,0)),"OK","Mismatch")</f>
        <v>OK</v>
      </c>
      <c r="I2513" s="39" t="str">
        <f aca="false">IF(COUNTIF($A$5:A2513,A2513)&gt;1,"Duplicate","Unique")</f>
        <v>Unique</v>
      </c>
      <c r="J2513" s="39" t="str">
        <f aca="false">IF(I2513="Duplicate","Remove",IF(H2513="Mismatch","Exclude","Keep"))</f>
        <v>Keep</v>
      </c>
    </row>
    <row r="2514" customFormat="false" ht="15" hidden="false" customHeight="false" outlineLevel="0" collapsed="false">
      <c r="A2514" s="39" t="s">
        <v>2564</v>
      </c>
      <c r="B2514" s="40" t="n">
        <v>45976</v>
      </c>
      <c r="C2514" s="39" t="s">
        <v>130</v>
      </c>
      <c r="D2514" s="39" t="n">
        <v>4</v>
      </c>
      <c r="E2514" s="41" t="n">
        <v>8.78</v>
      </c>
      <c r="F2514" s="39" t="s">
        <v>105</v>
      </c>
      <c r="G2514" s="39" t="str">
        <f aca="false">UPPER(TRIM(C2514))</f>
        <v>P011</v>
      </c>
      <c r="H2514" s="39" t="str">
        <f aca="false">IF(ISNUMBER(MATCH(G2514,Products!$A$5:$A$24,0)),"OK","Mismatch")</f>
        <v>OK</v>
      </c>
      <c r="I2514" s="39" t="str">
        <f aca="false">IF(COUNTIF($A$5:A2514,A2514)&gt;1,"Duplicate","Unique")</f>
        <v>Unique</v>
      </c>
      <c r="J2514" s="39" t="str">
        <f aca="false">IF(I2514="Duplicate","Remove",IF(H2514="Mismatch","Exclude","Keep"))</f>
        <v>Keep</v>
      </c>
    </row>
    <row r="2515" customFormat="false" ht="15" hidden="false" customHeight="false" outlineLevel="0" collapsed="false">
      <c r="A2515" s="39" t="s">
        <v>2565</v>
      </c>
      <c r="B2515" s="40" t="n">
        <v>45976</v>
      </c>
      <c r="C2515" s="39" t="s">
        <v>130</v>
      </c>
      <c r="D2515" s="39" t="n">
        <v>1</v>
      </c>
      <c r="E2515" s="41" t="n">
        <v>8.3</v>
      </c>
      <c r="F2515" s="39" t="s">
        <v>108</v>
      </c>
      <c r="G2515" s="39" t="str">
        <f aca="false">UPPER(TRIM(C2515))</f>
        <v>P011</v>
      </c>
      <c r="H2515" s="39" t="str">
        <f aca="false">IF(ISNUMBER(MATCH(G2515,Products!$A$5:$A$24,0)),"OK","Mismatch")</f>
        <v>OK</v>
      </c>
      <c r="I2515" s="39" t="str">
        <f aca="false">IF(COUNTIF($A$5:A2515,A2515)&gt;1,"Duplicate","Unique")</f>
        <v>Unique</v>
      </c>
      <c r="J2515" s="39" t="str">
        <f aca="false">IF(I2515="Duplicate","Remove",IF(H2515="Mismatch","Exclude","Keep"))</f>
        <v>Keep</v>
      </c>
    </row>
    <row r="2516" customFormat="false" ht="15" hidden="false" customHeight="false" outlineLevel="0" collapsed="false">
      <c r="A2516" s="39" t="s">
        <v>2566</v>
      </c>
      <c r="B2516" s="40" t="n">
        <v>45976</v>
      </c>
      <c r="C2516" s="39" t="s">
        <v>112</v>
      </c>
      <c r="D2516" s="39" t="n">
        <v>2</v>
      </c>
      <c r="E2516" s="41" t="n">
        <v>50.97</v>
      </c>
      <c r="F2516" s="39" t="s">
        <v>105</v>
      </c>
      <c r="G2516" s="39" t="str">
        <f aca="false">UPPER(TRIM(C2516))</f>
        <v>P005</v>
      </c>
      <c r="H2516" s="39" t="str">
        <f aca="false">IF(ISNUMBER(MATCH(G2516,Products!$A$5:$A$24,0)),"OK","Mismatch")</f>
        <v>OK</v>
      </c>
      <c r="I2516" s="39" t="str">
        <f aca="false">IF(COUNTIF($A$5:A2516,A2516)&gt;1,"Duplicate","Unique")</f>
        <v>Unique</v>
      </c>
      <c r="J2516" s="39" t="str">
        <f aca="false">IF(I2516="Duplicate","Remove",IF(H2516="Mismatch","Exclude","Keep"))</f>
        <v>Keep</v>
      </c>
    </row>
    <row r="2517" customFormat="false" ht="15" hidden="false" customHeight="false" outlineLevel="0" collapsed="false">
      <c r="A2517" s="39" t="s">
        <v>2567</v>
      </c>
      <c r="B2517" s="40" t="n">
        <v>45976</v>
      </c>
      <c r="C2517" s="39" t="s">
        <v>114</v>
      </c>
      <c r="D2517" s="39" t="n">
        <v>3</v>
      </c>
      <c r="E2517" s="41" t="n">
        <v>5.62</v>
      </c>
      <c r="F2517" s="39" t="s">
        <v>105</v>
      </c>
      <c r="G2517" s="39" t="str">
        <f aca="false">UPPER(TRIM(C2517))</f>
        <v>P012</v>
      </c>
      <c r="H2517" s="39" t="str">
        <f aca="false">IF(ISNUMBER(MATCH(G2517,Products!$A$5:$A$24,0)),"OK","Mismatch")</f>
        <v>OK</v>
      </c>
      <c r="I2517" s="39" t="str">
        <f aca="false">IF(COUNTIF($A$5:A2517,A2517)&gt;1,"Duplicate","Unique")</f>
        <v>Unique</v>
      </c>
      <c r="J2517" s="39" t="str">
        <f aca="false">IF(I2517="Duplicate","Remove",IF(H2517="Mismatch","Exclude","Keep"))</f>
        <v>Keep</v>
      </c>
    </row>
    <row r="2518" customFormat="false" ht="15" hidden="false" customHeight="false" outlineLevel="0" collapsed="false">
      <c r="A2518" s="39" t="s">
        <v>2568</v>
      </c>
      <c r="B2518" s="40" t="n">
        <v>45976</v>
      </c>
      <c r="C2518" s="39" t="s">
        <v>126</v>
      </c>
      <c r="D2518" s="39" t="n">
        <v>1</v>
      </c>
      <c r="E2518" s="41" t="n">
        <v>23.48</v>
      </c>
      <c r="F2518" s="39" t="s">
        <v>118</v>
      </c>
      <c r="G2518" s="39" t="str">
        <f aca="false">UPPER(TRIM(C2518))</f>
        <v>P001</v>
      </c>
      <c r="H2518" s="39" t="str">
        <f aca="false">IF(ISNUMBER(MATCH(G2518,Products!$A$5:$A$24,0)),"OK","Mismatch")</f>
        <v>OK</v>
      </c>
      <c r="I2518" s="39" t="str">
        <f aca="false">IF(COUNTIF($A$5:A2518,A2518)&gt;1,"Duplicate","Unique")</f>
        <v>Unique</v>
      </c>
      <c r="J2518" s="39" t="str">
        <f aca="false">IF(I2518="Duplicate","Remove",IF(H2518="Mismatch","Exclude","Keep"))</f>
        <v>Keep</v>
      </c>
    </row>
    <row r="2519" customFormat="false" ht="15" hidden="false" customHeight="false" outlineLevel="0" collapsed="false">
      <c r="A2519" s="39" t="s">
        <v>2569</v>
      </c>
      <c r="B2519" s="40" t="n">
        <v>45976</v>
      </c>
      <c r="C2519" s="39" t="s">
        <v>112</v>
      </c>
      <c r="D2519" s="39" t="n">
        <v>1</v>
      </c>
      <c r="E2519" s="41" t="n">
        <v>51.93</v>
      </c>
      <c r="F2519" s="39" t="s">
        <v>105</v>
      </c>
      <c r="G2519" s="39" t="str">
        <f aca="false">UPPER(TRIM(C2519))</f>
        <v>P005</v>
      </c>
      <c r="H2519" s="39" t="str">
        <f aca="false">IF(ISNUMBER(MATCH(G2519,Products!$A$5:$A$24,0)),"OK","Mismatch")</f>
        <v>OK</v>
      </c>
      <c r="I2519" s="39" t="str">
        <f aca="false">IF(COUNTIF($A$5:A2519,A2519)&gt;1,"Duplicate","Unique")</f>
        <v>Unique</v>
      </c>
      <c r="J2519" s="39" t="str">
        <f aca="false">IF(I2519="Duplicate","Remove",IF(H2519="Mismatch","Exclude","Keep"))</f>
        <v>Keep</v>
      </c>
    </row>
    <row r="2520" customFormat="false" ht="15" hidden="false" customHeight="false" outlineLevel="0" collapsed="false">
      <c r="A2520" s="39" t="s">
        <v>2570</v>
      </c>
      <c r="B2520" s="40" t="n">
        <v>45976</v>
      </c>
      <c r="C2520" s="39" t="s">
        <v>107</v>
      </c>
      <c r="D2520" s="39" t="n">
        <v>1</v>
      </c>
      <c r="E2520" s="41" t="n">
        <v>32.9</v>
      </c>
      <c r="F2520" s="39" t="s">
        <v>115</v>
      </c>
      <c r="G2520" s="39" t="str">
        <f aca="false">UPPER(TRIM(C2520))</f>
        <v>P003</v>
      </c>
      <c r="H2520" s="39" t="str">
        <f aca="false">IF(ISNUMBER(MATCH(G2520,Products!$A$5:$A$24,0)),"OK","Mismatch")</f>
        <v>OK</v>
      </c>
      <c r="I2520" s="39" t="str">
        <f aca="false">IF(COUNTIF($A$5:A2520,A2520)&gt;1,"Duplicate","Unique")</f>
        <v>Unique</v>
      </c>
      <c r="J2520" s="39" t="str">
        <f aca="false">IF(I2520="Duplicate","Remove",IF(H2520="Mismatch","Exclude","Keep"))</f>
        <v>Keep</v>
      </c>
    </row>
    <row r="2521" customFormat="false" ht="15" hidden="false" customHeight="false" outlineLevel="0" collapsed="false">
      <c r="A2521" s="39" t="s">
        <v>2571</v>
      </c>
      <c r="B2521" s="40" t="n">
        <v>45976</v>
      </c>
      <c r="C2521" s="39" t="s">
        <v>114</v>
      </c>
      <c r="D2521" s="39" t="n">
        <v>3</v>
      </c>
      <c r="E2521" s="41" t="n">
        <v>5.85</v>
      </c>
      <c r="F2521" s="39" t="s">
        <v>108</v>
      </c>
      <c r="G2521" s="39" t="str">
        <f aca="false">UPPER(TRIM(C2521))</f>
        <v>P012</v>
      </c>
      <c r="H2521" s="39" t="str">
        <f aca="false">IF(ISNUMBER(MATCH(G2521,Products!$A$5:$A$24,0)),"OK","Mismatch")</f>
        <v>OK</v>
      </c>
      <c r="I2521" s="39" t="str">
        <f aca="false">IF(COUNTIF($A$5:A2521,A2521)&gt;1,"Duplicate","Unique")</f>
        <v>Unique</v>
      </c>
      <c r="J2521" s="39" t="str">
        <f aca="false">IF(I2521="Duplicate","Remove",IF(H2521="Mismatch","Exclude","Keep"))</f>
        <v>Keep</v>
      </c>
    </row>
    <row r="2522" customFormat="false" ht="15" hidden="false" customHeight="false" outlineLevel="0" collapsed="false">
      <c r="A2522" s="39" t="s">
        <v>2572</v>
      </c>
      <c r="B2522" s="40" t="n">
        <v>45977</v>
      </c>
      <c r="C2522" s="39" t="s">
        <v>162</v>
      </c>
      <c r="D2522" s="39" t="n">
        <v>3</v>
      </c>
      <c r="E2522" s="41" t="n">
        <v>66.66</v>
      </c>
      <c r="F2522" s="39" t="s">
        <v>118</v>
      </c>
      <c r="G2522" s="39" t="str">
        <f aca="false">UPPER(TRIM(C2522))</f>
        <v>P017</v>
      </c>
      <c r="H2522" s="39" t="str">
        <f aca="false">IF(ISNUMBER(MATCH(G2522,Products!$A$5:$A$24,0)),"OK","Mismatch")</f>
        <v>OK</v>
      </c>
      <c r="I2522" s="39" t="str">
        <f aca="false">IF(COUNTIF($A$5:A2522,A2522)&gt;1,"Duplicate","Unique")</f>
        <v>Unique</v>
      </c>
      <c r="J2522" s="39" t="str">
        <f aca="false">IF(I2522="Duplicate","Remove",IF(H2522="Mismatch","Exclude","Keep"))</f>
        <v>Keep</v>
      </c>
    </row>
    <row r="2523" customFormat="false" ht="15" hidden="false" customHeight="false" outlineLevel="0" collapsed="false">
      <c r="A2523" s="39" t="s">
        <v>2573</v>
      </c>
      <c r="B2523" s="40" t="n">
        <v>45977</v>
      </c>
      <c r="C2523" s="39" t="s">
        <v>110</v>
      </c>
      <c r="D2523" s="39" t="n">
        <v>3</v>
      </c>
      <c r="E2523" s="41" t="n">
        <v>13.61</v>
      </c>
      <c r="F2523" s="39" t="s">
        <v>108</v>
      </c>
      <c r="G2523" s="39" t="str">
        <f aca="false">UPPER(TRIM(C2523))</f>
        <v>P016</v>
      </c>
      <c r="H2523" s="39" t="str">
        <f aca="false">IF(ISNUMBER(MATCH(G2523,Products!$A$5:$A$24,0)),"OK","Mismatch")</f>
        <v>OK</v>
      </c>
      <c r="I2523" s="39" t="str">
        <f aca="false">IF(COUNTIF($A$5:A2523,A2523)&gt;1,"Duplicate","Unique")</f>
        <v>Unique</v>
      </c>
      <c r="J2523" s="39" t="str">
        <f aca="false">IF(I2523="Duplicate","Remove",IF(H2523="Mismatch","Exclude","Keep"))</f>
        <v>Keep</v>
      </c>
    </row>
    <row r="2524" customFormat="false" ht="15" hidden="false" customHeight="false" outlineLevel="0" collapsed="false">
      <c r="A2524" s="39" t="s">
        <v>2574</v>
      </c>
      <c r="B2524" s="40" t="n">
        <v>45977</v>
      </c>
      <c r="C2524" s="39" t="s">
        <v>183</v>
      </c>
      <c r="D2524" s="39" t="n">
        <v>1</v>
      </c>
      <c r="E2524" s="41" t="n">
        <v>182.24</v>
      </c>
      <c r="F2524" s="39" t="s">
        <v>105</v>
      </c>
      <c r="G2524" s="39" t="str">
        <f aca="false">UPPER(TRIM(C2524))</f>
        <v>P007</v>
      </c>
      <c r="H2524" s="39" t="str">
        <f aca="false">IF(ISNUMBER(MATCH(G2524,Products!$A$5:$A$24,0)),"OK","Mismatch")</f>
        <v>OK</v>
      </c>
      <c r="I2524" s="39" t="str">
        <f aca="false">IF(COUNTIF($A$5:A2524,A2524)&gt;1,"Duplicate","Unique")</f>
        <v>Unique</v>
      </c>
      <c r="J2524" s="39" t="str">
        <f aca="false">IF(I2524="Duplicate","Remove",IF(H2524="Mismatch","Exclude","Keep"))</f>
        <v>Keep</v>
      </c>
    </row>
    <row r="2525" customFormat="false" ht="15" hidden="false" customHeight="false" outlineLevel="0" collapsed="false">
      <c r="A2525" s="39" t="s">
        <v>2575</v>
      </c>
      <c r="B2525" s="40" t="n">
        <v>45977</v>
      </c>
      <c r="C2525" s="39" t="s">
        <v>110</v>
      </c>
      <c r="D2525" s="39" t="n">
        <v>4</v>
      </c>
      <c r="E2525" s="41" t="n">
        <v>13.28</v>
      </c>
      <c r="F2525" s="39" t="s">
        <v>118</v>
      </c>
      <c r="G2525" s="39" t="str">
        <f aca="false">UPPER(TRIM(C2525))</f>
        <v>P016</v>
      </c>
      <c r="H2525" s="39" t="str">
        <f aca="false">IF(ISNUMBER(MATCH(G2525,Products!$A$5:$A$24,0)),"OK","Mismatch")</f>
        <v>OK</v>
      </c>
      <c r="I2525" s="39" t="str">
        <f aca="false">IF(COUNTIF($A$5:A2525,A2525)&gt;1,"Duplicate","Unique")</f>
        <v>Unique</v>
      </c>
      <c r="J2525" s="39" t="str">
        <f aca="false">IF(I2525="Duplicate","Remove",IF(H2525="Mismatch","Exclude","Keep"))</f>
        <v>Keep</v>
      </c>
    </row>
    <row r="2526" customFormat="false" ht="15" hidden="false" customHeight="false" outlineLevel="0" collapsed="false">
      <c r="A2526" s="39" t="s">
        <v>2576</v>
      </c>
      <c r="B2526" s="40" t="n">
        <v>45977</v>
      </c>
      <c r="C2526" s="39" t="s">
        <v>128</v>
      </c>
      <c r="D2526" s="39" t="n">
        <v>1</v>
      </c>
      <c r="E2526" s="41" t="n">
        <v>37.06</v>
      </c>
      <c r="F2526" s="39" t="s">
        <v>118</v>
      </c>
      <c r="G2526" s="39" t="str">
        <f aca="false">UPPER(TRIM(C2526))</f>
        <v>P020</v>
      </c>
      <c r="H2526" s="39" t="str">
        <f aca="false">IF(ISNUMBER(MATCH(G2526,Products!$A$5:$A$24,0)),"OK","Mismatch")</f>
        <v>OK</v>
      </c>
      <c r="I2526" s="39" t="str">
        <f aca="false">IF(COUNTIF($A$5:A2526,A2526)&gt;1,"Duplicate","Unique")</f>
        <v>Unique</v>
      </c>
      <c r="J2526" s="39" t="str">
        <f aca="false">IF(I2526="Duplicate","Remove",IF(H2526="Mismatch","Exclude","Keep"))</f>
        <v>Keep</v>
      </c>
    </row>
    <row r="2527" customFormat="false" ht="15" hidden="false" customHeight="false" outlineLevel="0" collapsed="false">
      <c r="A2527" s="39" t="s">
        <v>2577</v>
      </c>
      <c r="B2527" s="40" t="n">
        <v>45977</v>
      </c>
      <c r="C2527" s="39" t="s">
        <v>107</v>
      </c>
      <c r="D2527" s="39" t="n">
        <v>2</v>
      </c>
      <c r="E2527" s="41" t="n">
        <v>32.94</v>
      </c>
      <c r="F2527" s="39" t="s">
        <v>118</v>
      </c>
      <c r="G2527" s="39" t="str">
        <f aca="false">UPPER(TRIM(C2527))</f>
        <v>P003</v>
      </c>
      <c r="H2527" s="39" t="str">
        <f aca="false">IF(ISNUMBER(MATCH(G2527,Products!$A$5:$A$24,0)),"OK","Mismatch")</f>
        <v>OK</v>
      </c>
      <c r="I2527" s="39" t="str">
        <f aca="false">IF(COUNTIF($A$5:A2527,A2527)&gt;1,"Duplicate","Unique")</f>
        <v>Unique</v>
      </c>
      <c r="J2527" s="39" t="str">
        <f aca="false">IF(I2527="Duplicate","Remove",IF(H2527="Mismatch","Exclude","Keep"))</f>
        <v>Keep</v>
      </c>
    </row>
    <row r="2528" customFormat="false" ht="15" hidden="false" customHeight="false" outlineLevel="0" collapsed="false">
      <c r="A2528" s="39" t="s">
        <v>2578</v>
      </c>
      <c r="B2528" s="40" t="n">
        <v>45977</v>
      </c>
      <c r="C2528" s="39" t="s">
        <v>117</v>
      </c>
      <c r="D2528" s="39" t="n">
        <v>3</v>
      </c>
      <c r="E2528" s="41" t="n">
        <v>30.3</v>
      </c>
      <c r="F2528" s="39" t="s">
        <v>108</v>
      </c>
      <c r="G2528" s="39" t="str">
        <f aca="false">UPPER(TRIM(C2528))</f>
        <v>P009</v>
      </c>
      <c r="H2528" s="39" t="str">
        <f aca="false">IF(ISNUMBER(MATCH(G2528,Products!$A$5:$A$24,0)),"OK","Mismatch")</f>
        <v>OK</v>
      </c>
      <c r="I2528" s="39" t="str">
        <f aca="false">IF(COUNTIF($A$5:A2528,A2528)&gt;1,"Duplicate","Unique")</f>
        <v>Unique</v>
      </c>
      <c r="J2528" s="39" t="str">
        <f aca="false">IF(I2528="Duplicate","Remove",IF(H2528="Mismatch","Exclude","Keep"))</f>
        <v>Keep</v>
      </c>
    </row>
    <row r="2529" customFormat="false" ht="15" hidden="false" customHeight="false" outlineLevel="0" collapsed="false">
      <c r="A2529" s="39" t="s">
        <v>2579</v>
      </c>
      <c r="B2529" s="40" t="n">
        <v>45977</v>
      </c>
      <c r="C2529" s="39" t="s">
        <v>126</v>
      </c>
      <c r="D2529" s="39" t="n">
        <v>5</v>
      </c>
      <c r="E2529" s="41" t="n">
        <v>24.24</v>
      </c>
      <c r="F2529" s="39" t="s">
        <v>108</v>
      </c>
      <c r="G2529" s="39" t="str">
        <f aca="false">UPPER(TRIM(C2529))</f>
        <v>P001</v>
      </c>
      <c r="H2529" s="39" t="str">
        <f aca="false">IF(ISNUMBER(MATCH(G2529,Products!$A$5:$A$24,0)),"OK","Mismatch")</f>
        <v>OK</v>
      </c>
      <c r="I2529" s="39" t="str">
        <f aca="false">IF(COUNTIF($A$5:A2529,A2529)&gt;1,"Duplicate","Unique")</f>
        <v>Unique</v>
      </c>
      <c r="J2529" s="39" t="str">
        <f aca="false">IF(I2529="Duplicate","Remove",IF(H2529="Mismatch","Exclude","Keep"))</f>
        <v>Keep</v>
      </c>
    </row>
    <row r="2530" customFormat="false" ht="15" hidden="false" customHeight="false" outlineLevel="0" collapsed="false">
      <c r="A2530" s="39" t="s">
        <v>2580</v>
      </c>
      <c r="B2530" s="40" t="n">
        <v>45977</v>
      </c>
      <c r="C2530" s="39" t="s">
        <v>110</v>
      </c>
      <c r="D2530" s="39" t="n">
        <v>5</v>
      </c>
      <c r="E2530" s="41" t="n">
        <v>13.99</v>
      </c>
      <c r="F2530" s="39" t="s">
        <v>105</v>
      </c>
      <c r="G2530" s="39" t="str">
        <f aca="false">UPPER(TRIM(C2530))</f>
        <v>P016</v>
      </c>
      <c r="H2530" s="39" t="str">
        <f aca="false">IF(ISNUMBER(MATCH(G2530,Products!$A$5:$A$24,0)),"OK","Mismatch")</f>
        <v>OK</v>
      </c>
      <c r="I2530" s="39" t="str">
        <f aca="false">IF(COUNTIF($A$5:A2530,A2530)&gt;1,"Duplicate","Unique")</f>
        <v>Unique</v>
      </c>
      <c r="J2530" s="39" t="str">
        <f aca="false">IF(I2530="Duplicate","Remove",IF(H2530="Mismatch","Exclude","Keep"))</f>
        <v>Keep</v>
      </c>
    </row>
    <row r="2531" customFormat="false" ht="15" hidden="false" customHeight="false" outlineLevel="0" collapsed="false">
      <c r="A2531" s="39" t="s">
        <v>2581</v>
      </c>
      <c r="B2531" s="40" t="n">
        <v>45977</v>
      </c>
      <c r="C2531" s="39" t="s">
        <v>133</v>
      </c>
      <c r="D2531" s="39" t="n">
        <v>3</v>
      </c>
      <c r="E2531" s="41" t="n">
        <v>8.91</v>
      </c>
      <c r="F2531" s="39" t="s">
        <v>105</v>
      </c>
      <c r="G2531" s="39" t="str">
        <f aca="false">UPPER(TRIM(C2531))</f>
        <v>P019</v>
      </c>
      <c r="H2531" s="39" t="str">
        <f aca="false">IF(ISNUMBER(MATCH(G2531,Products!$A$5:$A$24,0)),"OK","Mismatch")</f>
        <v>OK</v>
      </c>
      <c r="I2531" s="39" t="str">
        <f aca="false">IF(COUNTIF($A$5:A2531,A2531)&gt;1,"Duplicate","Unique")</f>
        <v>Unique</v>
      </c>
      <c r="J2531" s="39" t="str">
        <f aca="false">IF(I2531="Duplicate","Remove",IF(H2531="Mismatch","Exclude","Keep"))</f>
        <v>Keep</v>
      </c>
    </row>
    <row r="2532" customFormat="false" ht="15" hidden="false" customHeight="false" outlineLevel="0" collapsed="false">
      <c r="A2532" s="39" t="s">
        <v>2582</v>
      </c>
      <c r="B2532" s="40" t="n">
        <v>45978</v>
      </c>
      <c r="C2532" s="39" t="s">
        <v>136</v>
      </c>
      <c r="D2532" s="39" t="n">
        <v>5</v>
      </c>
      <c r="E2532" s="41" t="n">
        <v>78.77</v>
      </c>
      <c r="F2532" s="39" t="s">
        <v>118</v>
      </c>
      <c r="G2532" s="39" t="str">
        <f aca="false">UPPER(TRIM(C2532))</f>
        <v>P002</v>
      </c>
      <c r="H2532" s="39" t="str">
        <f aca="false">IF(ISNUMBER(MATCH(G2532,Products!$A$5:$A$24,0)),"OK","Mismatch")</f>
        <v>OK</v>
      </c>
      <c r="I2532" s="39" t="str">
        <f aca="false">IF(COUNTIF($A$5:A2532,A2532)&gt;1,"Duplicate","Unique")</f>
        <v>Unique</v>
      </c>
      <c r="J2532" s="39" t="str">
        <f aca="false">IF(I2532="Duplicate","Remove",IF(H2532="Mismatch","Exclude","Keep"))</f>
        <v>Keep</v>
      </c>
    </row>
    <row r="2533" customFormat="false" ht="15" hidden="false" customHeight="false" outlineLevel="0" collapsed="false">
      <c r="A2533" s="39" t="s">
        <v>2583</v>
      </c>
      <c r="B2533" s="40" t="n">
        <v>45978</v>
      </c>
      <c r="C2533" s="39" t="s">
        <v>114</v>
      </c>
      <c r="D2533" s="39" t="n">
        <v>6</v>
      </c>
      <c r="E2533" s="41" t="n">
        <v>5.54</v>
      </c>
      <c r="F2533" s="39" t="s">
        <v>118</v>
      </c>
      <c r="G2533" s="39" t="str">
        <f aca="false">UPPER(TRIM(C2533))</f>
        <v>P012</v>
      </c>
      <c r="H2533" s="39" t="str">
        <f aca="false">IF(ISNUMBER(MATCH(G2533,Products!$A$5:$A$24,0)),"OK","Mismatch")</f>
        <v>OK</v>
      </c>
      <c r="I2533" s="39" t="str">
        <f aca="false">IF(COUNTIF($A$5:A2533,A2533)&gt;1,"Duplicate","Unique")</f>
        <v>Unique</v>
      </c>
      <c r="J2533" s="39" t="str">
        <f aca="false">IF(I2533="Duplicate","Remove",IF(H2533="Mismatch","Exclude","Keep"))</f>
        <v>Keep</v>
      </c>
    </row>
    <row r="2534" customFormat="false" ht="15" hidden="false" customHeight="false" outlineLevel="0" collapsed="false">
      <c r="A2534" s="39" t="s">
        <v>2584</v>
      </c>
      <c r="B2534" s="40" t="n">
        <v>45978</v>
      </c>
      <c r="C2534" s="39" t="s">
        <v>183</v>
      </c>
      <c r="D2534" s="39" t="n">
        <v>2</v>
      </c>
      <c r="E2534" s="41" t="n">
        <v>178.38</v>
      </c>
      <c r="F2534" s="39" t="s">
        <v>108</v>
      </c>
      <c r="G2534" s="39" t="str">
        <f aca="false">UPPER(TRIM(C2534))</f>
        <v>P007</v>
      </c>
      <c r="H2534" s="39" t="str">
        <f aca="false">IF(ISNUMBER(MATCH(G2534,Products!$A$5:$A$24,0)),"OK","Mismatch")</f>
        <v>OK</v>
      </c>
      <c r="I2534" s="39" t="str">
        <f aca="false">IF(COUNTIF($A$5:A2534,A2534)&gt;1,"Duplicate","Unique")</f>
        <v>Unique</v>
      </c>
      <c r="J2534" s="39" t="str">
        <f aca="false">IF(I2534="Duplicate","Remove",IF(H2534="Mismatch","Exclude","Keep"))</f>
        <v>Keep</v>
      </c>
    </row>
    <row r="2535" customFormat="false" ht="15" hidden="false" customHeight="false" outlineLevel="0" collapsed="false">
      <c r="A2535" s="39" t="s">
        <v>2585</v>
      </c>
      <c r="B2535" s="40" t="n">
        <v>45978</v>
      </c>
      <c r="C2535" s="39" t="s">
        <v>169</v>
      </c>
      <c r="D2535" s="39" t="n">
        <v>2</v>
      </c>
      <c r="E2535" s="41" t="n">
        <v>27.66</v>
      </c>
      <c r="F2535" s="39" t="s">
        <v>108</v>
      </c>
      <c r="G2535" s="39" t="str">
        <f aca="false">UPPER(TRIM(C2535))</f>
        <v>P004</v>
      </c>
      <c r="H2535" s="39" t="str">
        <f aca="false">IF(ISNUMBER(MATCH(G2535,Products!$A$5:$A$24,0)),"OK","Mismatch")</f>
        <v>OK</v>
      </c>
      <c r="I2535" s="39" t="str">
        <f aca="false">IF(COUNTIF($A$5:A2535,A2535)&gt;1,"Duplicate","Unique")</f>
        <v>Unique</v>
      </c>
      <c r="J2535" s="39" t="str">
        <f aca="false">IF(I2535="Duplicate","Remove",IF(H2535="Mismatch","Exclude","Keep"))</f>
        <v>Keep</v>
      </c>
    </row>
    <row r="2536" customFormat="false" ht="15" hidden="false" customHeight="false" outlineLevel="0" collapsed="false">
      <c r="A2536" s="39" t="s">
        <v>2586</v>
      </c>
      <c r="B2536" s="40" t="n">
        <v>45978</v>
      </c>
      <c r="C2536" s="39" t="s">
        <v>130</v>
      </c>
      <c r="D2536" s="39" t="n">
        <v>2</v>
      </c>
      <c r="E2536" s="41" t="n">
        <v>8.82</v>
      </c>
      <c r="F2536" s="39" t="s">
        <v>105</v>
      </c>
      <c r="G2536" s="39" t="str">
        <f aca="false">UPPER(TRIM(C2536))</f>
        <v>P011</v>
      </c>
      <c r="H2536" s="39" t="str">
        <f aca="false">IF(ISNUMBER(MATCH(G2536,Products!$A$5:$A$24,0)),"OK","Mismatch")</f>
        <v>OK</v>
      </c>
      <c r="I2536" s="39" t="str">
        <f aca="false">IF(COUNTIF($A$5:A2536,A2536)&gt;1,"Duplicate","Unique")</f>
        <v>Unique</v>
      </c>
      <c r="J2536" s="39" t="str">
        <f aca="false">IF(I2536="Duplicate","Remove",IF(H2536="Mismatch","Exclude","Keep"))</f>
        <v>Keep</v>
      </c>
    </row>
    <row r="2537" customFormat="false" ht="15" hidden="false" customHeight="false" outlineLevel="0" collapsed="false">
      <c r="A2537" s="39" t="s">
        <v>2587</v>
      </c>
      <c r="B2537" s="40" t="n">
        <v>45978</v>
      </c>
      <c r="C2537" s="39" t="s">
        <v>117</v>
      </c>
      <c r="D2537" s="39" t="n">
        <v>1</v>
      </c>
      <c r="E2537" s="41" t="n">
        <v>31.07</v>
      </c>
      <c r="F2537" s="39" t="s">
        <v>115</v>
      </c>
      <c r="G2537" s="39" t="str">
        <f aca="false">UPPER(TRIM(C2537))</f>
        <v>P009</v>
      </c>
      <c r="H2537" s="39" t="str">
        <f aca="false">IF(ISNUMBER(MATCH(G2537,Products!$A$5:$A$24,0)),"OK","Mismatch")</f>
        <v>OK</v>
      </c>
      <c r="I2537" s="39" t="str">
        <f aca="false">IF(COUNTIF($A$5:A2537,A2537)&gt;1,"Duplicate","Unique")</f>
        <v>Unique</v>
      </c>
      <c r="J2537" s="39" t="str">
        <f aca="false">IF(I2537="Duplicate","Remove",IF(H2537="Mismatch","Exclude","Keep"))</f>
        <v>Keep</v>
      </c>
    </row>
    <row r="2538" customFormat="false" ht="15" hidden="false" customHeight="false" outlineLevel="0" collapsed="false">
      <c r="A2538" s="39" t="s">
        <v>2588</v>
      </c>
      <c r="B2538" s="40" t="n">
        <v>45978</v>
      </c>
      <c r="C2538" s="39" t="s">
        <v>136</v>
      </c>
      <c r="D2538" s="39" t="n">
        <v>3</v>
      </c>
      <c r="E2538" s="41" t="n">
        <v>75.89</v>
      </c>
      <c r="F2538" s="39" t="s">
        <v>118</v>
      </c>
      <c r="G2538" s="39" t="str">
        <f aca="false">UPPER(TRIM(C2538))</f>
        <v>P002</v>
      </c>
      <c r="H2538" s="39" t="str">
        <f aca="false">IF(ISNUMBER(MATCH(G2538,Products!$A$5:$A$24,0)),"OK","Mismatch")</f>
        <v>OK</v>
      </c>
      <c r="I2538" s="39" t="str">
        <f aca="false">IF(COUNTIF($A$5:A2538,A2538)&gt;1,"Duplicate","Unique")</f>
        <v>Unique</v>
      </c>
      <c r="J2538" s="39" t="str">
        <f aca="false">IF(I2538="Duplicate","Remove",IF(H2538="Mismatch","Exclude","Keep"))</f>
        <v>Keep</v>
      </c>
    </row>
    <row r="2539" customFormat="false" ht="15" hidden="false" customHeight="false" outlineLevel="0" collapsed="false">
      <c r="A2539" s="39" t="s">
        <v>2589</v>
      </c>
      <c r="B2539" s="40" t="n">
        <v>45978</v>
      </c>
      <c r="C2539" s="39" t="s">
        <v>130</v>
      </c>
      <c r="D2539" s="39" t="n">
        <v>2</v>
      </c>
      <c r="E2539" s="41" t="n">
        <v>8.44</v>
      </c>
      <c r="F2539" s="39" t="s">
        <v>115</v>
      </c>
      <c r="G2539" s="39" t="str">
        <f aca="false">UPPER(TRIM(C2539))</f>
        <v>P011</v>
      </c>
      <c r="H2539" s="39" t="str">
        <f aca="false">IF(ISNUMBER(MATCH(G2539,Products!$A$5:$A$24,0)),"OK","Mismatch")</f>
        <v>OK</v>
      </c>
      <c r="I2539" s="39" t="str">
        <f aca="false">IF(COUNTIF($A$5:A2539,A2539)&gt;1,"Duplicate","Unique")</f>
        <v>Unique</v>
      </c>
      <c r="J2539" s="39" t="str">
        <f aca="false">IF(I2539="Duplicate","Remove",IF(H2539="Mismatch","Exclude","Keep"))</f>
        <v>Keep</v>
      </c>
    </row>
    <row r="2540" customFormat="false" ht="15" hidden="false" customHeight="false" outlineLevel="0" collapsed="false">
      <c r="A2540" s="39" t="s">
        <v>2590</v>
      </c>
      <c r="B2540" s="40" t="n">
        <v>45978</v>
      </c>
      <c r="C2540" s="39" t="s">
        <v>104</v>
      </c>
      <c r="D2540" s="39" t="n">
        <v>3</v>
      </c>
      <c r="E2540" s="41" t="n">
        <v>15.61</v>
      </c>
      <c r="F2540" s="39" t="s">
        <v>115</v>
      </c>
      <c r="G2540" s="39" t="str">
        <f aca="false">UPPER(TRIM(C2540))</f>
        <v>P015</v>
      </c>
      <c r="H2540" s="39" t="str">
        <f aca="false">IF(ISNUMBER(MATCH(G2540,Products!$A$5:$A$24,0)),"OK","Mismatch")</f>
        <v>OK</v>
      </c>
      <c r="I2540" s="39" t="str">
        <f aca="false">IF(COUNTIF($A$5:A2540,A2540)&gt;1,"Duplicate","Unique")</f>
        <v>Unique</v>
      </c>
      <c r="J2540" s="39" t="str">
        <f aca="false">IF(I2540="Duplicate","Remove",IF(H2540="Mismatch","Exclude","Keep"))</f>
        <v>Keep</v>
      </c>
    </row>
    <row r="2541" customFormat="false" ht="15" hidden="false" customHeight="false" outlineLevel="0" collapsed="false">
      <c r="A2541" s="39" t="s">
        <v>2591</v>
      </c>
      <c r="B2541" s="40" t="n">
        <v>45978</v>
      </c>
      <c r="C2541" s="39" t="s">
        <v>112</v>
      </c>
      <c r="D2541" s="39" t="n">
        <v>3</v>
      </c>
      <c r="E2541" s="41" t="n">
        <v>54.97</v>
      </c>
      <c r="F2541" s="39" t="s">
        <v>108</v>
      </c>
      <c r="G2541" s="39" t="str">
        <f aca="false">UPPER(TRIM(C2541))</f>
        <v>P005</v>
      </c>
      <c r="H2541" s="39" t="str">
        <f aca="false">IF(ISNUMBER(MATCH(G2541,Products!$A$5:$A$24,0)),"OK","Mismatch")</f>
        <v>OK</v>
      </c>
      <c r="I2541" s="39" t="str">
        <f aca="false">IF(COUNTIF($A$5:A2541,A2541)&gt;1,"Duplicate","Unique")</f>
        <v>Unique</v>
      </c>
      <c r="J2541" s="39" t="str">
        <f aca="false">IF(I2541="Duplicate","Remove",IF(H2541="Mismatch","Exclude","Keep"))</f>
        <v>Keep</v>
      </c>
    </row>
    <row r="2542" customFormat="false" ht="15" hidden="false" customHeight="false" outlineLevel="0" collapsed="false">
      <c r="A2542" s="39" t="s">
        <v>2592</v>
      </c>
      <c r="B2542" s="40" t="n">
        <v>45978</v>
      </c>
      <c r="C2542" s="39" t="s">
        <v>177</v>
      </c>
      <c r="D2542" s="39" t="n">
        <v>2</v>
      </c>
      <c r="E2542" s="41" t="n">
        <v>41.78</v>
      </c>
      <c r="F2542" s="39" t="s">
        <v>108</v>
      </c>
      <c r="G2542" s="39" t="str">
        <f aca="false">UPPER(TRIM(C2542))</f>
        <v>P014</v>
      </c>
      <c r="H2542" s="39" t="str">
        <f aca="false">IF(ISNUMBER(MATCH(G2542,Products!$A$5:$A$24,0)),"OK","Mismatch")</f>
        <v>OK</v>
      </c>
      <c r="I2542" s="39" t="str">
        <f aca="false">IF(COUNTIF($A$5:A2542,A2542)&gt;1,"Duplicate","Unique")</f>
        <v>Unique</v>
      </c>
      <c r="J2542" s="39" t="str">
        <f aca="false">IF(I2542="Duplicate","Remove",IF(H2542="Mismatch","Exclude","Keep"))</f>
        <v>Keep</v>
      </c>
    </row>
    <row r="2543" customFormat="false" ht="15" hidden="false" customHeight="false" outlineLevel="0" collapsed="false">
      <c r="A2543" s="39" t="s">
        <v>2593</v>
      </c>
      <c r="B2543" s="40" t="n">
        <v>45978</v>
      </c>
      <c r="C2543" s="39" t="s">
        <v>162</v>
      </c>
      <c r="D2543" s="39" t="n">
        <v>6</v>
      </c>
      <c r="E2543" s="41" t="n">
        <v>67.74</v>
      </c>
      <c r="F2543" s="39" t="s">
        <v>105</v>
      </c>
      <c r="G2543" s="39" t="str">
        <f aca="false">UPPER(TRIM(C2543))</f>
        <v>P017</v>
      </c>
      <c r="H2543" s="39" t="str">
        <f aca="false">IF(ISNUMBER(MATCH(G2543,Products!$A$5:$A$24,0)),"OK","Mismatch")</f>
        <v>OK</v>
      </c>
      <c r="I2543" s="39" t="str">
        <f aca="false">IF(COUNTIF($A$5:A2543,A2543)&gt;1,"Duplicate","Unique")</f>
        <v>Unique</v>
      </c>
      <c r="J2543" s="39" t="str">
        <f aca="false">IF(I2543="Duplicate","Remove",IF(H2543="Mismatch","Exclude","Keep"))</f>
        <v>Keep</v>
      </c>
    </row>
    <row r="2544" customFormat="false" ht="15" hidden="false" customHeight="false" outlineLevel="0" collapsed="false">
      <c r="A2544" s="39" t="s">
        <v>2594</v>
      </c>
      <c r="B2544" s="40" t="n">
        <v>45978</v>
      </c>
      <c r="C2544" s="39" t="s">
        <v>133</v>
      </c>
      <c r="D2544" s="39" t="n">
        <v>3</v>
      </c>
      <c r="E2544" s="41" t="n">
        <v>8.67</v>
      </c>
      <c r="F2544" s="39" t="s">
        <v>118</v>
      </c>
      <c r="G2544" s="39" t="str">
        <f aca="false">UPPER(TRIM(C2544))</f>
        <v>P019</v>
      </c>
      <c r="H2544" s="39" t="str">
        <f aca="false">IF(ISNUMBER(MATCH(G2544,Products!$A$5:$A$24,0)),"OK","Mismatch")</f>
        <v>OK</v>
      </c>
      <c r="I2544" s="39" t="str">
        <f aca="false">IF(COUNTIF($A$5:A2544,A2544)&gt;1,"Duplicate","Unique")</f>
        <v>Unique</v>
      </c>
      <c r="J2544" s="39" t="str">
        <f aca="false">IF(I2544="Duplicate","Remove",IF(H2544="Mismatch","Exclude","Keep"))</f>
        <v>Keep</v>
      </c>
    </row>
    <row r="2545" customFormat="false" ht="15" hidden="false" customHeight="false" outlineLevel="0" collapsed="false">
      <c r="A2545" s="39" t="s">
        <v>2595</v>
      </c>
      <c r="B2545" s="40" t="n">
        <v>45978</v>
      </c>
      <c r="C2545" s="39" t="s">
        <v>121</v>
      </c>
      <c r="D2545" s="39" t="n">
        <v>1</v>
      </c>
      <c r="E2545" s="41" t="n">
        <v>116.72</v>
      </c>
      <c r="F2545" s="39" t="s">
        <v>108</v>
      </c>
      <c r="G2545" s="39" t="str">
        <f aca="false">UPPER(TRIM(C2545))</f>
        <v>P018</v>
      </c>
      <c r="H2545" s="39" t="str">
        <f aca="false">IF(ISNUMBER(MATCH(G2545,Products!$A$5:$A$24,0)),"OK","Mismatch")</f>
        <v>OK</v>
      </c>
      <c r="I2545" s="39" t="str">
        <f aca="false">IF(COUNTIF($A$5:A2545,A2545)&gt;1,"Duplicate","Unique")</f>
        <v>Unique</v>
      </c>
      <c r="J2545" s="39" t="str">
        <f aca="false">IF(I2545="Duplicate","Remove",IF(H2545="Mismatch","Exclude","Keep"))</f>
        <v>Keep</v>
      </c>
    </row>
    <row r="2546" customFormat="false" ht="15" hidden="false" customHeight="false" outlineLevel="0" collapsed="false">
      <c r="A2546" s="39" t="s">
        <v>2596</v>
      </c>
      <c r="B2546" s="40" t="n">
        <v>45978</v>
      </c>
      <c r="C2546" s="39" t="s">
        <v>183</v>
      </c>
      <c r="D2546" s="39" t="n">
        <v>1</v>
      </c>
      <c r="E2546" s="41" t="n">
        <v>177.35</v>
      </c>
      <c r="F2546" s="39" t="s">
        <v>108</v>
      </c>
      <c r="G2546" s="39" t="str">
        <f aca="false">UPPER(TRIM(C2546))</f>
        <v>P007</v>
      </c>
      <c r="H2546" s="39" t="str">
        <f aca="false">IF(ISNUMBER(MATCH(G2546,Products!$A$5:$A$24,0)),"OK","Mismatch")</f>
        <v>OK</v>
      </c>
      <c r="I2546" s="39" t="str">
        <f aca="false">IF(COUNTIF($A$5:A2546,A2546)&gt;1,"Duplicate","Unique")</f>
        <v>Unique</v>
      </c>
      <c r="J2546" s="39" t="str">
        <f aca="false">IF(I2546="Duplicate","Remove",IF(H2546="Mismatch","Exclude","Keep"))</f>
        <v>Keep</v>
      </c>
    </row>
    <row r="2547" customFormat="false" ht="15" hidden="false" customHeight="false" outlineLevel="0" collapsed="false">
      <c r="A2547" s="39" t="s">
        <v>2597</v>
      </c>
      <c r="B2547" s="40" t="n">
        <v>45978</v>
      </c>
      <c r="C2547" s="39" t="s">
        <v>114</v>
      </c>
      <c r="D2547" s="39" t="n">
        <v>2</v>
      </c>
      <c r="E2547" s="41" t="n">
        <v>5.78</v>
      </c>
      <c r="F2547" s="39" t="s">
        <v>105</v>
      </c>
      <c r="G2547" s="39" t="str">
        <f aca="false">UPPER(TRIM(C2547))</f>
        <v>P012</v>
      </c>
      <c r="H2547" s="39" t="str">
        <f aca="false">IF(ISNUMBER(MATCH(G2547,Products!$A$5:$A$24,0)),"OK","Mismatch")</f>
        <v>OK</v>
      </c>
      <c r="I2547" s="39" t="str">
        <f aca="false">IF(COUNTIF($A$5:A2547,A2547)&gt;1,"Duplicate","Unique")</f>
        <v>Unique</v>
      </c>
      <c r="J2547" s="39" t="str">
        <f aca="false">IF(I2547="Duplicate","Remove",IF(H2547="Mismatch","Exclude","Keep"))</f>
        <v>Keep</v>
      </c>
    </row>
    <row r="2548" customFormat="false" ht="15" hidden="false" customHeight="false" outlineLevel="0" collapsed="false">
      <c r="A2548" s="39" t="s">
        <v>2598</v>
      </c>
      <c r="B2548" s="40" t="n">
        <v>45978</v>
      </c>
      <c r="C2548" s="39" t="s">
        <v>112</v>
      </c>
      <c r="D2548" s="39" t="n">
        <v>3</v>
      </c>
      <c r="E2548" s="41" t="n">
        <v>53.86</v>
      </c>
      <c r="F2548" s="39" t="s">
        <v>115</v>
      </c>
      <c r="G2548" s="39" t="str">
        <f aca="false">UPPER(TRIM(C2548))</f>
        <v>P005</v>
      </c>
      <c r="H2548" s="39" t="str">
        <f aca="false">IF(ISNUMBER(MATCH(G2548,Products!$A$5:$A$24,0)),"OK","Mismatch")</f>
        <v>OK</v>
      </c>
      <c r="I2548" s="39" t="str">
        <f aca="false">IF(COUNTIF($A$5:A2548,A2548)&gt;1,"Duplicate","Unique")</f>
        <v>Unique</v>
      </c>
      <c r="J2548" s="39" t="str">
        <f aca="false">IF(I2548="Duplicate","Remove",IF(H2548="Mismatch","Exclude","Keep"))</f>
        <v>Keep</v>
      </c>
    </row>
    <row r="2549" customFormat="false" ht="15" hidden="false" customHeight="false" outlineLevel="0" collapsed="false">
      <c r="A2549" s="39" t="s">
        <v>2599</v>
      </c>
      <c r="B2549" s="40" t="n">
        <v>45978</v>
      </c>
      <c r="C2549" s="39" t="s">
        <v>104</v>
      </c>
      <c r="D2549" s="39" t="n">
        <v>4</v>
      </c>
      <c r="E2549" s="41" t="n">
        <v>16</v>
      </c>
      <c r="F2549" s="39" t="s">
        <v>105</v>
      </c>
      <c r="G2549" s="39" t="str">
        <f aca="false">UPPER(TRIM(C2549))</f>
        <v>P015</v>
      </c>
      <c r="H2549" s="39" t="str">
        <f aca="false">IF(ISNUMBER(MATCH(G2549,Products!$A$5:$A$24,0)),"OK","Mismatch")</f>
        <v>OK</v>
      </c>
      <c r="I2549" s="39" t="str">
        <f aca="false">IF(COUNTIF($A$5:A2549,A2549)&gt;1,"Duplicate","Unique")</f>
        <v>Unique</v>
      </c>
      <c r="J2549" s="39" t="str">
        <f aca="false">IF(I2549="Duplicate","Remove",IF(H2549="Mismatch","Exclude","Keep"))</f>
        <v>Keep</v>
      </c>
    </row>
    <row r="2550" customFormat="false" ht="15" hidden="false" customHeight="false" outlineLevel="0" collapsed="false">
      <c r="A2550" s="39" t="s">
        <v>2600</v>
      </c>
      <c r="B2550" s="40" t="n">
        <v>45978</v>
      </c>
      <c r="C2550" s="39" t="s">
        <v>177</v>
      </c>
      <c r="D2550" s="39" t="n">
        <v>4</v>
      </c>
      <c r="E2550" s="41" t="n">
        <v>44.49</v>
      </c>
      <c r="F2550" s="39" t="s">
        <v>105</v>
      </c>
      <c r="G2550" s="39" t="str">
        <f aca="false">UPPER(TRIM(C2550))</f>
        <v>P014</v>
      </c>
      <c r="H2550" s="39" t="str">
        <f aca="false">IF(ISNUMBER(MATCH(G2550,Products!$A$5:$A$24,0)),"OK","Mismatch")</f>
        <v>OK</v>
      </c>
      <c r="I2550" s="39" t="str">
        <f aca="false">IF(COUNTIF($A$5:A2550,A2550)&gt;1,"Duplicate","Unique")</f>
        <v>Unique</v>
      </c>
      <c r="J2550" s="39" t="str">
        <f aca="false">IF(I2550="Duplicate","Remove",IF(H2550="Mismatch","Exclude","Keep"))</f>
        <v>Keep</v>
      </c>
    </row>
    <row r="2551" customFormat="false" ht="15" hidden="false" customHeight="false" outlineLevel="0" collapsed="false">
      <c r="A2551" s="39" t="s">
        <v>2601</v>
      </c>
      <c r="B2551" s="40" t="n">
        <v>45979</v>
      </c>
      <c r="C2551" s="39" t="s">
        <v>177</v>
      </c>
      <c r="D2551" s="39" t="n">
        <v>1</v>
      </c>
      <c r="E2551" s="41" t="n">
        <v>41.52</v>
      </c>
      <c r="F2551" s="39" t="s">
        <v>115</v>
      </c>
      <c r="G2551" s="39" t="str">
        <f aca="false">UPPER(TRIM(C2551))</f>
        <v>P014</v>
      </c>
      <c r="H2551" s="39" t="str">
        <f aca="false">IF(ISNUMBER(MATCH(G2551,Products!$A$5:$A$24,0)),"OK","Mismatch")</f>
        <v>OK</v>
      </c>
      <c r="I2551" s="39" t="str">
        <f aca="false">IF(COUNTIF($A$5:A2551,A2551)&gt;1,"Duplicate","Unique")</f>
        <v>Unique</v>
      </c>
      <c r="J2551" s="39" t="str">
        <f aca="false">IF(I2551="Duplicate","Remove",IF(H2551="Mismatch","Exclude","Keep"))</f>
        <v>Keep</v>
      </c>
    </row>
    <row r="2552" customFormat="false" ht="15" hidden="false" customHeight="false" outlineLevel="0" collapsed="false">
      <c r="A2552" s="39" t="s">
        <v>2602</v>
      </c>
      <c r="B2552" s="40" t="n">
        <v>45979</v>
      </c>
      <c r="C2552" s="39" t="s">
        <v>162</v>
      </c>
      <c r="D2552" s="39" t="n">
        <v>1</v>
      </c>
      <c r="E2552" s="41" t="n">
        <v>66.1</v>
      </c>
      <c r="F2552" s="39" t="s">
        <v>108</v>
      </c>
      <c r="G2552" s="39" t="str">
        <f aca="false">UPPER(TRIM(C2552))</f>
        <v>P017</v>
      </c>
      <c r="H2552" s="39" t="str">
        <f aca="false">IF(ISNUMBER(MATCH(G2552,Products!$A$5:$A$24,0)),"OK","Mismatch")</f>
        <v>OK</v>
      </c>
      <c r="I2552" s="39" t="str">
        <f aca="false">IF(COUNTIF($A$5:A2552,A2552)&gt;1,"Duplicate","Unique")</f>
        <v>Unique</v>
      </c>
      <c r="J2552" s="39" t="str">
        <f aca="false">IF(I2552="Duplicate","Remove",IF(H2552="Mismatch","Exclude","Keep"))</f>
        <v>Keep</v>
      </c>
    </row>
    <row r="2553" customFormat="false" ht="15" hidden="false" customHeight="false" outlineLevel="0" collapsed="false">
      <c r="A2553" s="39" t="s">
        <v>2603</v>
      </c>
      <c r="B2553" s="40" t="n">
        <v>45979</v>
      </c>
      <c r="C2553" s="39" t="s">
        <v>177</v>
      </c>
      <c r="D2553" s="39" t="n">
        <v>1</v>
      </c>
      <c r="E2553" s="41" t="n">
        <v>44.58</v>
      </c>
      <c r="F2553" s="39" t="s">
        <v>115</v>
      </c>
      <c r="G2553" s="39" t="str">
        <f aca="false">UPPER(TRIM(C2553))</f>
        <v>P014</v>
      </c>
      <c r="H2553" s="39" t="str">
        <f aca="false">IF(ISNUMBER(MATCH(G2553,Products!$A$5:$A$24,0)),"OK","Mismatch")</f>
        <v>OK</v>
      </c>
      <c r="I2553" s="39" t="str">
        <f aca="false">IF(COUNTIF($A$5:A2553,A2553)&gt;1,"Duplicate","Unique")</f>
        <v>Unique</v>
      </c>
      <c r="J2553" s="39" t="str">
        <f aca="false">IF(I2553="Duplicate","Remove",IF(H2553="Mismatch","Exclude","Keep"))</f>
        <v>Keep</v>
      </c>
    </row>
    <row r="2554" customFormat="false" ht="15" hidden="false" customHeight="false" outlineLevel="0" collapsed="false">
      <c r="A2554" s="39" t="s">
        <v>2604</v>
      </c>
      <c r="B2554" s="40" t="n">
        <v>45979</v>
      </c>
      <c r="C2554" s="39" t="s">
        <v>114</v>
      </c>
      <c r="D2554" s="39" t="n">
        <v>2</v>
      </c>
      <c r="E2554" s="41" t="n">
        <v>5.58</v>
      </c>
      <c r="F2554" s="39" t="s">
        <v>115</v>
      </c>
      <c r="G2554" s="39" t="str">
        <f aca="false">UPPER(TRIM(C2554))</f>
        <v>P012</v>
      </c>
      <c r="H2554" s="39" t="str">
        <f aca="false">IF(ISNUMBER(MATCH(G2554,Products!$A$5:$A$24,0)),"OK","Mismatch")</f>
        <v>OK</v>
      </c>
      <c r="I2554" s="39" t="str">
        <f aca="false">IF(COUNTIF($A$5:A2554,A2554)&gt;1,"Duplicate","Unique")</f>
        <v>Unique</v>
      </c>
      <c r="J2554" s="39" t="str">
        <f aca="false">IF(I2554="Duplicate","Remove",IF(H2554="Mismatch","Exclude","Keep"))</f>
        <v>Keep</v>
      </c>
    </row>
    <row r="2555" customFormat="false" ht="15" hidden="false" customHeight="false" outlineLevel="0" collapsed="false">
      <c r="A2555" s="39" t="s">
        <v>2605</v>
      </c>
      <c r="B2555" s="40" t="n">
        <v>45979</v>
      </c>
      <c r="C2555" s="39" t="s">
        <v>112</v>
      </c>
      <c r="D2555" s="39" t="n">
        <v>2</v>
      </c>
      <c r="E2555" s="41" t="n">
        <v>54.02</v>
      </c>
      <c r="F2555" s="39" t="s">
        <v>105</v>
      </c>
      <c r="G2555" s="39" t="str">
        <f aca="false">UPPER(TRIM(C2555))</f>
        <v>P005</v>
      </c>
      <c r="H2555" s="39" t="str">
        <f aca="false">IF(ISNUMBER(MATCH(G2555,Products!$A$5:$A$24,0)),"OK","Mismatch")</f>
        <v>OK</v>
      </c>
      <c r="I2555" s="39" t="str">
        <f aca="false">IF(COUNTIF($A$5:A2555,A2555)&gt;1,"Duplicate","Unique")</f>
        <v>Unique</v>
      </c>
      <c r="J2555" s="39" t="str">
        <f aca="false">IF(I2555="Duplicate","Remove",IF(H2555="Mismatch","Exclude","Keep"))</f>
        <v>Keep</v>
      </c>
    </row>
    <row r="2556" customFormat="false" ht="15" hidden="false" customHeight="false" outlineLevel="0" collapsed="false">
      <c r="A2556" s="39" t="s">
        <v>2606</v>
      </c>
      <c r="B2556" s="40" t="n">
        <v>45979</v>
      </c>
      <c r="C2556" s="39" t="s">
        <v>126</v>
      </c>
      <c r="D2556" s="39" t="n">
        <v>8</v>
      </c>
      <c r="E2556" s="41" t="n">
        <v>23.36</v>
      </c>
      <c r="F2556" s="39" t="s">
        <v>105</v>
      </c>
      <c r="G2556" s="39" t="str">
        <f aca="false">UPPER(TRIM(C2556))</f>
        <v>P001</v>
      </c>
      <c r="H2556" s="39" t="str">
        <f aca="false">IF(ISNUMBER(MATCH(G2556,Products!$A$5:$A$24,0)),"OK","Mismatch")</f>
        <v>OK</v>
      </c>
      <c r="I2556" s="39" t="str">
        <f aca="false">IF(COUNTIF($A$5:A2556,A2556)&gt;1,"Duplicate","Unique")</f>
        <v>Unique</v>
      </c>
      <c r="J2556" s="39" t="str">
        <f aca="false">IF(I2556="Duplicate","Remove",IF(H2556="Mismatch","Exclude","Keep"))</f>
        <v>Keep</v>
      </c>
    </row>
    <row r="2557" customFormat="false" ht="15" hidden="false" customHeight="false" outlineLevel="0" collapsed="false">
      <c r="A2557" s="39" t="s">
        <v>2607</v>
      </c>
      <c r="B2557" s="40" t="n">
        <v>45979</v>
      </c>
      <c r="C2557" s="39" t="s">
        <v>130</v>
      </c>
      <c r="D2557" s="39" t="n">
        <v>2</v>
      </c>
      <c r="E2557" s="41" t="n">
        <v>8.29</v>
      </c>
      <c r="F2557" s="39" t="s">
        <v>108</v>
      </c>
      <c r="G2557" s="39" t="str">
        <f aca="false">UPPER(TRIM(C2557))</f>
        <v>P011</v>
      </c>
      <c r="H2557" s="39" t="str">
        <f aca="false">IF(ISNUMBER(MATCH(G2557,Products!$A$5:$A$24,0)),"OK","Mismatch")</f>
        <v>OK</v>
      </c>
      <c r="I2557" s="39" t="str">
        <f aca="false">IF(COUNTIF($A$5:A2557,A2557)&gt;1,"Duplicate","Unique")</f>
        <v>Unique</v>
      </c>
      <c r="J2557" s="39" t="str">
        <f aca="false">IF(I2557="Duplicate","Remove",IF(H2557="Mismatch","Exclude","Keep"))</f>
        <v>Keep</v>
      </c>
    </row>
    <row r="2558" customFormat="false" ht="15" hidden="false" customHeight="false" outlineLevel="0" collapsed="false">
      <c r="A2558" s="39" t="s">
        <v>2608</v>
      </c>
      <c r="B2558" s="40" t="n">
        <v>45979</v>
      </c>
      <c r="C2558" s="39" t="s">
        <v>128</v>
      </c>
      <c r="D2558" s="39" t="n">
        <v>1</v>
      </c>
      <c r="E2558" s="41" t="n">
        <v>36.79</v>
      </c>
      <c r="F2558" s="39" t="s">
        <v>105</v>
      </c>
      <c r="G2558" s="39" t="str">
        <f aca="false">UPPER(TRIM(C2558))</f>
        <v>P020</v>
      </c>
      <c r="H2558" s="39" t="str">
        <f aca="false">IF(ISNUMBER(MATCH(G2558,Products!$A$5:$A$24,0)),"OK","Mismatch")</f>
        <v>OK</v>
      </c>
      <c r="I2558" s="39" t="str">
        <f aca="false">IF(COUNTIF($A$5:A2558,A2558)&gt;1,"Duplicate","Unique")</f>
        <v>Unique</v>
      </c>
      <c r="J2558" s="39" t="str">
        <f aca="false">IF(I2558="Duplicate","Remove",IF(H2558="Mismatch","Exclude","Keep"))</f>
        <v>Keep</v>
      </c>
    </row>
    <row r="2559" customFormat="false" ht="15" hidden="false" customHeight="false" outlineLevel="0" collapsed="false">
      <c r="A2559" s="39" t="s">
        <v>2609</v>
      </c>
      <c r="B2559" s="40" t="n">
        <v>45979</v>
      </c>
      <c r="C2559" s="39" t="s">
        <v>133</v>
      </c>
      <c r="D2559" s="39" t="n">
        <v>1</v>
      </c>
      <c r="E2559" s="41" t="n">
        <v>8.47</v>
      </c>
      <c r="F2559" s="39" t="s">
        <v>115</v>
      </c>
      <c r="G2559" s="39" t="str">
        <f aca="false">UPPER(TRIM(C2559))</f>
        <v>P019</v>
      </c>
      <c r="H2559" s="39" t="str">
        <f aca="false">IF(ISNUMBER(MATCH(G2559,Products!$A$5:$A$24,0)),"OK","Mismatch")</f>
        <v>OK</v>
      </c>
      <c r="I2559" s="39" t="str">
        <f aca="false">IF(COUNTIF($A$5:A2559,A2559)&gt;1,"Duplicate","Unique")</f>
        <v>Unique</v>
      </c>
      <c r="J2559" s="39" t="str">
        <f aca="false">IF(I2559="Duplicate","Remove",IF(H2559="Mismatch","Exclude","Keep"))</f>
        <v>Keep</v>
      </c>
    </row>
    <row r="2560" customFormat="false" ht="15" hidden="false" customHeight="false" outlineLevel="0" collapsed="false">
      <c r="A2560" s="39" t="s">
        <v>2610</v>
      </c>
      <c r="B2560" s="40" t="n">
        <v>45979</v>
      </c>
      <c r="C2560" s="39" t="s">
        <v>117</v>
      </c>
      <c r="D2560" s="39" t="n">
        <v>8</v>
      </c>
      <c r="E2560" s="41" t="n">
        <v>30.85</v>
      </c>
      <c r="F2560" s="39" t="s">
        <v>115</v>
      </c>
      <c r="G2560" s="39" t="str">
        <f aca="false">UPPER(TRIM(C2560))</f>
        <v>P009</v>
      </c>
      <c r="H2560" s="39" t="str">
        <f aca="false">IF(ISNUMBER(MATCH(G2560,Products!$A$5:$A$24,0)),"OK","Mismatch")</f>
        <v>OK</v>
      </c>
      <c r="I2560" s="39" t="str">
        <f aca="false">IF(COUNTIF($A$5:A2560,A2560)&gt;1,"Duplicate","Unique")</f>
        <v>Unique</v>
      </c>
      <c r="J2560" s="39" t="str">
        <f aca="false">IF(I2560="Duplicate","Remove",IF(H2560="Mismatch","Exclude","Keep"))</f>
        <v>Keep</v>
      </c>
    </row>
    <row r="2561" customFormat="false" ht="15" hidden="false" customHeight="false" outlineLevel="0" collapsed="false">
      <c r="A2561" s="39" t="s">
        <v>2611</v>
      </c>
      <c r="B2561" s="40" t="n">
        <v>45979</v>
      </c>
      <c r="C2561" s="39" t="s">
        <v>183</v>
      </c>
      <c r="D2561" s="39" t="n">
        <v>1</v>
      </c>
      <c r="E2561" s="41" t="n">
        <v>181.96</v>
      </c>
      <c r="F2561" s="39" t="s">
        <v>108</v>
      </c>
      <c r="G2561" s="39" t="str">
        <f aca="false">UPPER(TRIM(C2561))</f>
        <v>P007</v>
      </c>
      <c r="H2561" s="39" t="str">
        <f aca="false">IF(ISNUMBER(MATCH(G2561,Products!$A$5:$A$24,0)),"OK","Mismatch")</f>
        <v>OK</v>
      </c>
      <c r="I2561" s="39" t="str">
        <f aca="false">IF(COUNTIF($A$5:A2561,A2561)&gt;1,"Duplicate","Unique")</f>
        <v>Unique</v>
      </c>
      <c r="J2561" s="39" t="str">
        <f aca="false">IF(I2561="Duplicate","Remove",IF(H2561="Mismatch","Exclude","Keep"))</f>
        <v>Keep</v>
      </c>
    </row>
    <row r="2562" customFormat="false" ht="15" hidden="false" customHeight="false" outlineLevel="0" collapsed="false">
      <c r="A2562" s="39" t="s">
        <v>2612</v>
      </c>
      <c r="B2562" s="40" t="n">
        <v>45980</v>
      </c>
      <c r="C2562" s="39" t="s">
        <v>153</v>
      </c>
      <c r="D2562" s="39" t="n">
        <v>1</v>
      </c>
      <c r="E2562" s="41" t="n">
        <v>164.72</v>
      </c>
      <c r="F2562" s="39" t="s">
        <v>108</v>
      </c>
      <c r="G2562" s="39" t="str">
        <f aca="false">UPPER(TRIM(C2562))</f>
        <v>P010</v>
      </c>
      <c r="H2562" s="39" t="str">
        <f aca="false">IF(ISNUMBER(MATCH(G2562,Products!$A$5:$A$24,0)),"OK","Mismatch")</f>
        <v>OK</v>
      </c>
      <c r="I2562" s="39" t="str">
        <f aca="false">IF(COUNTIF($A$5:A2562,A2562)&gt;1,"Duplicate","Unique")</f>
        <v>Unique</v>
      </c>
      <c r="J2562" s="39" t="str">
        <f aca="false">IF(I2562="Duplicate","Remove",IF(H2562="Mismatch","Exclude","Keep"))</f>
        <v>Keep</v>
      </c>
    </row>
    <row r="2563" customFormat="false" ht="15" hidden="false" customHeight="false" outlineLevel="0" collapsed="false">
      <c r="A2563" s="39" t="s">
        <v>2613</v>
      </c>
      <c r="B2563" s="40" t="n">
        <v>45980</v>
      </c>
      <c r="C2563" s="39" t="s">
        <v>126</v>
      </c>
      <c r="D2563" s="39" t="n">
        <v>2</v>
      </c>
      <c r="E2563" s="41" t="n">
        <v>24.2</v>
      </c>
      <c r="F2563" s="39" t="s">
        <v>105</v>
      </c>
      <c r="G2563" s="39" t="str">
        <f aca="false">UPPER(TRIM(C2563))</f>
        <v>P001</v>
      </c>
      <c r="H2563" s="39" t="str">
        <f aca="false">IF(ISNUMBER(MATCH(G2563,Products!$A$5:$A$24,0)),"OK","Mismatch")</f>
        <v>OK</v>
      </c>
      <c r="I2563" s="39" t="str">
        <f aca="false">IF(COUNTIF($A$5:A2563,A2563)&gt;1,"Duplicate","Unique")</f>
        <v>Unique</v>
      </c>
      <c r="J2563" s="39" t="str">
        <f aca="false">IF(I2563="Duplicate","Remove",IF(H2563="Mismatch","Exclude","Keep"))</f>
        <v>Keep</v>
      </c>
    </row>
    <row r="2564" customFormat="false" ht="15" hidden="false" customHeight="false" outlineLevel="0" collapsed="false">
      <c r="A2564" s="39" t="s">
        <v>2614</v>
      </c>
      <c r="B2564" s="40" t="n">
        <v>45980</v>
      </c>
      <c r="C2564" s="39" t="s">
        <v>104</v>
      </c>
      <c r="D2564" s="39" t="n">
        <v>2</v>
      </c>
      <c r="E2564" s="41" t="n">
        <v>14.72</v>
      </c>
      <c r="F2564" s="39" t="s">
        <v>118</v>
      </c>
      <c r="G2564" s="39" t="str">
        <f aca="false">UPPER(TRIM(C2564))</f>
        <v>P015</v>
      </c>
      <c r="H2564" s="39" t="str">
        <f aca="false">IF(ISNUMBER(MATCH(G2564,Products!$A$5:$A$24,0)),"OK","Mismatch")</f>
        <v>OK</v>
      </c>
      <c r="I2564" s="39" t="str">
        <f aca="false">IF(COUNTIF($A$5:A2564,A2564)&gt;1,"Duplicate","Unique")</f>
        <v>Unique</v>
      </c>
      <c r="J2564" s="39" t="str">
        <f aca="false">IF(I2564="Duplicate","Remove",IF(H2564="Mismatch","Exclude","Keep"))</f>
        <v>Keep</v>
      </c>
    </row>
    <row r="2565" customFormat="false" ht="15" hidden="false" customHeight="false" outlineLevel="0" collapsed="false">
      <c r="A2565" s="39" t="s">
        <v>2615</v>
      </c>
      <c r="B2565" s="40" t="n">
        <v>45980</v>
      </c>
      <c r="C2565" s="39" t="s">
        <v>126</v>
      </c>
      <c r="D2565" s="39" t="n">
        <v>3</v>
      </c>
      <c r="E2565" s="41" t="n">
        <v>23.47</v>
      </c>
      <c r="F2565" s="39" t="s">
        <v>105</v>
      </c>
      <c r="G2565" s="39" t="str">
        <f aca="false">UPPER(TRIM(C2565))</f>
        <v>P001</v>
      </c>
      <c r="H2565" s="39" t="str">
        <f aca="false">IF(ISNUMBER(MATCH(G2565,Products!$A$5:$A$24,0)),"OK","Mismatch")</f>
        <v>OK</v>
      </c>
      <c r="I2565" s="39" t="str">
        <f aca="false">IF(COUNTIF($A$5:A2565,A2565)&gt;1,"Duplicate","Unique")</f>
        <v>Unique</v>
      </c>
      <c r="J2565" s="39" t="str">
        <f aca="false">IF(I2565="Duplicate","Remove",IF(H2565="Mismatch","Exclude","Keep"))</f>
        <v>Keep</v>
      </c>
    </row>
    <row r="2566" customFormat="false" ht="15" hidden="false" customHeight="false" outlineLevel="0" collapsed="false">
      <c r="A2566" s="39" t="s">
        <v>2616</v>
      </c>
      <c r="B2566" s="40" t="n">
        <v>45980</v>
      </c>
      <c r="C2566" s="39" t="s">
        <v>104</v>
      </c>
      <c r="D2566" s="39" t="n">
        <v>2</v>
      </c>
      <c r="E2566" s="41" t="n">
        <v>15.61</v>
      </c>
      <c r="F2566" s="39" t="s">
        <v>105</v>
      </c>
      <c r="G2566" s="39" t="str">
        <f aca="false">UPPER(TRIM(C2566))</f>
        <v>P015</v>
      </c>
      <c r="H2566" s="39" t="str">
        <f aca="false">IF(ISNUMBER(MATCH(G2566,Products!$A$5:$A$24,0)),"OK","Mismatch")</f>
        <v>OK</v>
      </c>
      <c r="I2566" s="39" t="str">
        <f aca="false">IF(COUNTIF($A$5:A2566,A2566)&gt;1,"Duplicate","Unique")</f>
        <v>Unique</v>
      </c>
      <c r="J2566" s="39" t="str">
        <f aca="false">IF(I2566="Duplicate","Remove",IF(H2566="Mismatch","Exclude","Keep"))</f>
        <v>Keep</v>
      </c>
    </row>
    <row r="2567" customFormat="false" ht="15" hidden="false" customHeight="false" outlineLevel="0" collapsed="false">
      <c r="A2567" s="39" t="s">
        <v>2617</v>
      </c>
      <c r="B2567" s="40" t="n">
        <v>45980</v>
      </c>
      <c r="C2567" s="39" t="s">
        <v>133</v>
      </c>
      <c r="D2567" s="39" t="n">
        <v>4</v>
      </c>
      <c r="E2567" s="41" t="n">
        <v>8.8</v>
      </c>
      <c r="F2567" s="39" t="s">
        <v>105</v>
      </c>
      <c r="G2567" s="39" t="str">
        <f aca="false">UPPER(TRIM(C2567))</f>
        <v>P019</v>
      </c>
      <c r="H2567" s="39" t="str">
        <f aca="false">IF(ISNUMBER(MATCH(G2567,Products!$A$5:$A$24,0)),"OK","Mismatch")</f>
        <v>OK</v>
      </c>
      <c r="I2567" s="39" t="str">
        <f aca="false">IF(COUNTIF($A$5:A2567,A2567)&gt;1,"Duplicate","Unique")</f>
        <v>Unique</v>
      </c>
      <c r="J2567" s="39" t="str">
        <f aca="false">IF(I2567="Duplicate","Remove",IF(H2567="Mismatch","Exclude","Keep"))</f>
        <v>Keep</v>
      </c>
    </row>
    <row r="2568" customFormat="false" ht="15" hidden="false" customHeight="false" outlineLevel="0" collapsed="false">
      <c r="A2568" s="39" t="s">
        <v>2618</v>
      </c>
      <c r="B2568" s="40" t="n">
        <v>45980</v>
      </c>
      <c r="C2568" s="39" t="s">
        <v>305</v>
      </c>
      <c r="D2568" s="39" t="n">
        <v>1</v>
      </c>
      <c r="E2568" s="41" t="n">
        <v>334.81</v>
      </c>
      <c r="F2568" s="39" t="s">
        <v>115</v>
      </c>
      <c r="G2568" s="39" t="str">
        <f aca="false">UPPER(TRIM(C2568))</f>
        <v>P008</v>
      </c>
      <c r="H2568" s="39" t="str">
        <f aca="false">IF(ISNUMBER(MATCH(G2568,Products!$A$5:$A$24,0)),"OK","Mismatch")</f>
        <v>OK</v>
      </c>
      <c r="I2568" s="39" t="str">
        <f aca="false">IF(COUNTIF($A$5:A2568,A2568)&gt;1,"Duplicate","Unique")</f>
        <v>Unique</v>
      </c>
      <c r="J2568" s="39" t="str">
        <f aca="false">IF(I2568="Duplicate","Remove",IF(H2568="Mismatch","Exclude","Keep"))</f>
        <v>Keep</v>
      </c>
    </row>
    <row r="2569" customFormat="false" ht="15" hidden="false" customHeight="false" outlineLevel="0" collapsed="false">
      <c r="A2569" s="39" t="s">
        <v>2619</v>
      </c>
      <c r="B2569" s="40" t="n">
        <v>45980</v>
      </c>
      <c r="C2569" s="39" t="s">
        <v>114</v>
      </c>
      <c r="D2569" s="39" t="n">
        <v>1</v>
      </c>
      <c r="E2569" s="41" t="n">
        <v>5.95</v>
      </c>
      <c r="F2569" s="39" t="s">
        <v>115</v>
      </c>
      <c r="G2569" s="39" t="str">
        <f aca="false">UPPER(TRIM(C2569))</f>
        <v>P012</v>
      </c>
      <c r="H2569" s="39" t="str">
        <f aca="false">IF(ISNUMBER(MATCH(G2569,Products!$A$5:$A$24,0)),"OK","Mismatch")</f>
        <v>OK</v>
      </c>
      <c r="I2569" s="39" t="str">
        <f aca="false">IF(COUNTIF($A$5:A2569,A2569)&gt;1,"Duplicate","Unique")</f>
        <v>Unique</v>
      </c>
      <c r="J2569" s="39" t="str">
        <f aca="false">IF(I2569="Duplicate","Remove",IF(H2569="Mismatch","Exclude","Keep"))</f>
        <v>Keep</v>
      </c>
    </row>
    <row r="2570" customFormat="false" ht="15" hidden="false" customHeight="false" outlineLevel="0" collapsed="false">
      <c r="A2570" s="39" t="s">
        <v>2620</v>
      </c>
      <c r="B2570" s="40" t="n">
        <v>45980</v>
      </c>
      <c r="C2570" s="39" t="s">
        <v>139</v>
      </c>
      <c r="D2570" s="39" t="n">
        <v>5</v>
      </c>
      <c r="E2570" s="41" t="n">
        <v>122.96</v>
      </c>
      <c r="F2570" s="39" t="s">
        <v>108</v>
      </c>
      <c r="G2570" s="39" t="str">
        <f aca="false">UPPER(TRIM(C2570))</f>
        <v>P006</v>
      </c>
      <c r="H2570" s="39" t="str">
        <f aca="false">IF(ISNUMBER(MATCH(G2570,Products!$A$5:$A$24,0)),"OK","Mismatch")</f>
        <v>OK</v>
      </c>
      <c r="I2570" s="39" t="str">
        <f aca="false">IF(COUNTIF($A$5:A2570,A2570)&gt;1,"Duplicate","Unique")</f>
        <v>Unique</v>
      </c>
      <c r="J2570" s="39" t="str">
        <f aca="false">IF(I2570="Duplicate","Remove",IF(H2570="Mismatch","Exclude","Keep"))</f>
        <v>Keep</v>
      </c>
    </row>
    <row r="2571" customFormat="false" ht="15" hidden="false" customHeight="false" outlineLevel="0" collapsed="false">
      <c r="A2571" s="39" t="s">
        <v>2621</v>
      </c>
      <c r="B2571" s="40" t="n">
        <v>45980</v>
      </c>
      <c r="C2571" s="39" t="s">
        <v>177</v>
      </c>
      <c r="D2571" s="39" t="n">
        <v>3</v>
      </c>
      <c r="E2571" s="41" t="n">
        <v>41.77</v>
      </c>
      <c r="F2571" s="39" t="s">
        <v>105</v>
      </c>
      <c r="G2571" s="39" t="str">
        <f aca="false">UPPER(TRIM(C2571))</f>
        <v>P014</v>
      </c>
      <c r="H2571" s="39" t="str">
        <f aca="false">IF(ISNUMBER(MATCH(G2571,Products!$A$5:$A$24,0)),"OK","Mismatch")</f>
        <v>OK</v>
      </c>
      <c r="I2571" s="39" t="str">
        <f aca="false">IF(COUNTIF($A$5:A2571,A2571)&gt;1,"Duplicate","Unique")</f>
        <v>Unique</v>
      </c>
      <c r="J2571" s="39" t="str">
        <f aca="false">IF(I2571="Duplicate","Remove",IF(H2571="Mismatch","Exclude","Keep"))</f>
        <v>Keep</v>
      </c>
    </row>
    <row r="2572" customFormat="false" ht="15" hidden="false" customHeight="false" outlineLevel="0" collapsed="false">
      <c r="A2572" s="39" t="s">
        <v>2622</v>
      </c>
      <c r="B2572" s="40" t="n">
        <v>45980</v>
      </c>
      <c r="C2572" s="39" t="s">
        <v>107</v>
      </c>
      <c r="D2572" s="39" t="n">
        <v>1</v>
      </c>
      <c r="E2572" s="41" t="n">
        <v>34.58</v>
      </c>
      <c r="F2572" s="39" t="s">
        <v>118</v>
      </c>
      <c r="G2572" s="39" t="str">
        <f aca="false">UPPER(TRIM(C2572))</f>
        <v>P003</v>
      </c>
      <c r="H2572" s="39" t="str">
        <f aca="false">IF(ISNUMBER(MATCH(G2572,Products!$A$5:$A$24,0)),"OK","Mismatch")</f>
        <v>OK</v>
      </c>
      <c r="I2572" s="39" t="str">
        <f aca="false">IF(COUNTIF($A$5:A2572,A2572)&gt;1,"Duplicate","Unique")</f>
        <v>Unique</v>
      </c>
      <c r="J2572" s="39" t="str">
        <f aca="false">IF(I2572="Duplicate","Remove",IF(H2572="Mismatch","Exclude","Keep"))</f>
        <v>Keep</v>
      </c>
    </row>
    <row r="2573" customFormat="false" ht="15" hidden="false" customHeight="false" outlineLevel="0" collapsed="false">
      <c r="A2573" s="39" t="s">
        <v>2623</v>
      </c>
      <c r="B2573" s="40" t="n">
        <v>45980</v>
      </c>
      <c r="C2573" s="39" t="s">
        <v>114</v>
      </c>
      <c r="D2573" s="39" t="n">
        <v>3</v>
      </c>
      <c r="E2573" s="41" t="n">
        <v>5.66</v>
      </c>
      <c r="F2573" s="39" t="s">
        <v>115</v>
      </c>
      <c r="G2573" s="39" t="str">
        <f aca="false">UPPER(TRIM(C2573))</f>
        <v>P012</v>
      </c>
      <c r="H2573" s="39" t="str">
        <f aca="false">IF(ISNUMBER(MATCH(G2573,Products!$A$5:$A$24,0)),"OK","Mismatch")</f>
        <v>OK</v>
      </c>
      <c r="I2573" s="39" t="str">
        <f aca="false">IF(COUNTIF($A$5:A2573,A2573)&gt;1,"Duplicate","Unique")</f>
        <v>Unique</v>
      </c>
      <c r="J2573" s="39" t="str">
        <f aca="false">IF(I2573="Duplicate","Remove",IF(H2573="Mismatch","Exclude","Keep"))</f>
        <v>Keep</v>
      </c>
    </row>
    <row r="2574" customFormat="false" ht="15" hidden="false" customHeight="false" outlineLevel="0" collapsed="false">
      <c r="A2574" s="39" t="s">
        <v>2624</v>
      </c>
      <c r="B2574" s="40" t="n">
        <v>45980</v>
      </c>
      <c r="C2574" s="39" t="s">
        <v>139</v>
      </c>
      <c r="D2574" s="39" t="n">
        <v>3</v>
      </c>
      <c r="E2574" s="41" t="n">
        <v>123.96</v>
      </c>
      <c r="F2574" s="39" t="s">
        <v>118</v>
      </c>
      <c r="G2574" s="39" t="str">
        <f aca="false">UPPER(TRIM(C2574))</f>
        <v>P006</v>
      </c>
      <c r="H2574" s="39" t="str">
        <f aca="false">IF(ISNUMBER(MATCH(G2574,Products!$A$5:$A$24,0)),"OK","Mismatch")</f>
        <v>OK</v>
      </c>
      <c r="I2574" s="39" t="str">
        <f aca="false">IF(COUNTIF($A$5:A2574,A2574)&gt;1,"Duplicate","Unique")</f>
        <v>Unique</v>
      </c>
      <c r="J2574" s="39" t="str">
        <f aca="false">IF(I2574="Duplicate","Remove",IF(H2574="Mismatch","Exclude","Keep"))</f>
        <v>Keep</v>
      </c>
    </row>
    <row r="2575" customFormat="false" ht="15" hidden="false" customHeight="false" outlineLevel="0" collapsed="false">
      <c r="A2575" s="39" t="s">
        <v>2625</v>
      </c>
      <c r="B2575" s="40" t="n">
        <v>45981</v>
      </c>
      <c r="C2575" s="39" t="s">
        <v>110</v>
      </c>
      <c r="D2575" s="39" t="n">
        <v>3</v>
      </c>
      <c r="E2575" s="41" t="n">
        <v>13.06</v>
      </c>
      <c r="F2575" s="39" t="s">
        <v>105</v>
      </c>
      <c r="G2575" s="39" t="str">
        <f aca="false">UPPER(TRIM(C2575))</f>
        <v>P016</v>
      </c>
      <c r="H2575" s="39" t="str">
        <f aca="false">IF(ISNUMBER(MATCH(G2575,Products!$A$5:$A$24,0)),"OK","Mismatch")</f>
        <v>OK</v>
      </c>
      <c r="I2575" s="39" t="str">
        <f aca="false">IF(COUNTIF($A$5:A2575,A2575)&gt;1,"Duplicate","Unique")</f>
        <v>Unique</v>
      </c>
      <c r="J2575" s="39" t="str">
        <f aca="false">IF(I2575="Duplicate","Remove",IF(H2575="Mismatch","Exclude","Keep"))</f>
        <v>Keep</v>
      </c>
    </row>
    <row r="2576" customFormat="false" ht="15" hidden="false" customHeight="false" outlineLevel="0" collapsed="false">
      <c r="A2576" s="39" t="s">
        <v>2626</v>
      </c>
      <c r="B2576" s="40" t="n">
        <v>45981</v>
      </c>
      <c r="C2576" s="39" t="s">
        <v>126</v>
      </c>
      <c r="D2576" s="39" t="n">
        <v>2</v>
      </c>
      <c r="E2576" s="41" t="n">
        <v>24.53</v>
      </c>
      <c r="F2576" s="39" t="s">
        <v>105</v>
      </c>
      <c r="G2576" s="39" t="str">
        <f aca="false">UPPER(TRIM(C2576))</f>
        <v>P001</v>
      </c>
      <c r="H2576" s="39" t="str">
        <f aca="false">IF(ISNUMBER(MATCH(G2576,Products!$A$5:$A$24,0)),"OK","Mismatch")</f>
        <v>OK</v>
      </c>
      <c r="I2576" s="39" t="str">
        <f aca="false">IF(COUNTIF($A$5:A2576,A2576)&gt;1,"Duplicate","Unique")</f>
        <v>Unique</v>
      </c>
      <c r="J2576" s="39" t="str">
        <f aca="false">IF(I2576="Duplicate","Remove",IF(H2576="Mismatch","Exclude","Keep"))</f>
        <v>Keep</v>
      </c>
    </row>
    <row r="2577" customFormat="false" ht="15" hidden="false" customHeight="false" outlineLevel="0" collapsed="false">
      <c r="A2577" s="39" t="s">
        <v>2627</v>
      </c>
      <c r="B2577" s="40" t="n">
        <v>45981</v>
      </c>
      <c r="C2577" s="39" t="s">
        <v>130</v>
      </c>
      <c r="D2577" s="39" t="n">
        <v>3</v>
      </c>
      <c r="E2577" s="41" t="n">
        <v>8.82</v>
      </c>
      <c r="F2577" s="39" t="s">
        <v>108</v>
      </c>
      <c r="G2577" s="39" t="str">
        <f aca="false">UPPER(TRIM(C2577))</f>
        <v>P011</v>
      </c>
      <c r="H2577" s="39" t="str">
        <f aca="false">IF(ISNUMBER(MATCH(G2577,Products!$A$5:$A$24,0)),"OK","Mismatch")</f>
        <v>OK</v>
      </c>
      <c r="I2577" s="39" t="str">
        <f aca="false">IF(COUNTIF($A$5:A2577,A2577)&gt;1,"Duplicate","Unique")</f>
        <v>Unique</v>
      </c>
      <c r="J2577" s="39" t="str">
        <f aca="false">IF(I2577="Duplicate","Remove",IF(H2577="Mismatch","Exclude","Keep"))</f>
        <v>Keep</v>
      </c>
    </row>
    <row r="2578" customFormat="false" ht="15" hidden="false" customHeight="false" outlineLevel="0" collapsed="false">
      <c r="A2578" s="39" t="s">
        <v>2628</v>
      </c>
      <c r="B2578" s="40" t="n">
        <v>45981</v>
      </c>
      <c r="C2578" s="39" t="s">
        <v>117</v>
      </c>
      <c r="D2578" s="39" t="n">
        <v>2</v>
      </c>
      <c r="E2578" s="41" t="n">
        <v>30.06</v>
      </c>
      <c r="F2578" s="39" t="s">
        <v>115</v>
      </c>
      <c r="G2578" s="39" t="str">
        <f aca="false">UPPER(TRIM(C2578))</f>
        <v>P009</v>
      </c>
      <c r="H2578" s="39" t="str">
        <f aca="false">IF(ISNUMBER(MATCH(G2578,Products!$A$5:$A$24,0)),"OK","Mismatch")</f>
        <v>OK</v>
      </c>
      <c r="I2578" s="39" t="str">
        <f aca="false">IF(COUNTIF($A$5:A2578,A2578)&gt;1,"Duplicate","Unique")</f>
        <v>Unique</v>
      </c>
      <c r="J2578" s="39" t="str">
        <f aca="false">IF(I2578="Duplicate","Remove",IF(H2578="Mismatch","Exclude","Keep"))</f>
        <v>Keep</v>
      </c>
    </row>
    <row r="2579" customFormat="false" ht="15" hidden="false" customHeight="false" outlineLevel="0" collapsed="false">
      <c r="A2579" s="39" t="s">
        <v>2629</v>
      </c>
      <c r="B2579" s="40" t="n">
        <v>45981</v>
      </c>
      <c r="C2579" s="39" t="s">
        <v>126</v>
      </c>
      <c r="D2579" s="39" t="n">
        <v>2</v>
      </c>
      <c r="E2579" s="41" t="n">
        <v>24.44</v>
      </c>
      <c r="F2579" s="39" t="s">
        <v>108</v>
      </c>
      <c r="G2579" s="39" t="str">
        <f aca="false">UPPER(TRIM(C2579))</f>
        <v>P001</v>
      </c>
      <c r="H2579" s="39" t="str">
        <f aca="false">IF(ISNUMBER(MATCH(G2579,Products!$A$5:$A$24,0)),"OK","Mismatch")</f>
        <v>OK</v>
      </c>
      <c r="I2579" s="39" t="str">
        <f aca="false">IF(COUNTIF($A$5:A2579,A2579)&gt;1,"Duplicate","Unique")</f>
        <v>Unique</v>
      </c>
      <c r="J2579" s="39" t="str">
        <f aca="false">IF(I2579="Duplicate","Remove",IF(H2579="Mismatch","Exclude","Keep"))</f>
        <v>Keep</v>
      </c>
    </row>
    <row r="2580" customFormat="false" ht="15" hidden="false" customHeight="false" outlineLevel="0" collapsed="false">
      <c r="A2580" s="39" t="s">
        <v>2630</v>
      </c>
      <c r="B2580" s="40" t="n">
        <v>45981</v>
      </c>
      <c r="C2580" s="39" t="s">
        <v>177</v>
      </c>
      <c r="D2580" s="39" t="n">
        <v>1</v>
      </c>
      <c r="E2580" s="41" t="n">
        <v>42.4</v>
      </c>
      <c r="F2580" s="39" t="s">
        <v>108</v>
      </c>
      <c r="G2580" s="39" t="str">
        <f aca="false">UPPER(TRIM(C2580))</f>
        <v>P014</v>
      </c>
      <c r="H2580" s="39" t="str">
        <f aca="false">IF(ISNUMBER(MATCH(G2580,Products!$A$5:$A$24,0)),"OK","Mismatch")</f>
        <v>OK</v>
      </c>
      <c r="I2580" s="39" t="str">
        <f aca="false">IF(COUNTIF($A$5:A2580,A2580)&gt;1,"Duplicate","Unique")</f>
        <v>Unique</v>
      </c>
      <c r="J2580" s="39" t="str">
        <f aca="false">IF(I2580="Duplicate","Remove",IF(H2580="Mismatch","Exclude","Keep"))</f>
        <v>Keep</v>
      </c>
    </row>
    <row r="2581" customFormat="false" ht="15" hidden="false" customHeight="false" outlineLevel="0" collapsed="false">
      <c r="A2581" s="39" t="s">
        <v>2631</v>
      </c>
      <c r="B2581" s="40" t="n">
        <v>45981</v>
      </c>
      <c r="C2581" s="39" t="s">
        <v>133</v>
      </c>
      <c r="D2581" s="39" t="n">
        <v>2</v>
      </c>
      <c r="E2581" s="41" t="n">
        <v>8.42</v>
      </c>
      <c r="F2581" s="39" t="s">
        <v>115</v>
      </c>
      <c r="G2581" s="39" t="str">
        <f aca="false">UPPER(TRIM(C2581))</f>
        <v>P019</v>
      </c>
      <c r="H2581" s="39" t="str">
        <f aca="false">IF(ISNUMBER(MATCH(G2581,Products!$A$5:$A$24,0)),"OK","Mismatch")</f>
        <v>OK</v>
      </c>
      <c r="I2581" s="39" t="str">
        <f aca="false">IF(COUNTIF($A$5:A2581,A2581)&gt;1,"Duplicate","Unique")</f>
        <v>Unique</v>
      </c>
      <c r="J2581" s="39" t="str">
        <f aca="false">IF(I2581="Duplicate","Remove",IF(H2581="Mismatch","Exclude","Keep"))</f>
        <v>Keep</v>
      </c>
    </row>
    <row r="2582" customFormat="false" ht="15" hidden="false" customHeight="false" outlineLevel="0" collapsed="false">
      <c r="A2582" s="39" t="s">
        <v>2632</v>
      </c>
      <c r="B2582" s="40" t="n">
        <v>45981</v>
      </c>
      <c r="C2582" s="39" t="s">
        <v>126</v>
      </c>
      <c r="D2582" s="39" t="n">
        <v>6</v>
      </c>
      <c r="E2582" s="41" t="n">
        <v>24.5</v>
      </c>
      <c r="F2582" s="39" t="s">
        <v>118</v>
      </c>
      <c r="G2582" s="39" t="str">
        <f aca="false">UPPER(TRIM(C2582))</f>
        <v>P001</v>
      </c>
      <c r="H2582" s="39" t="str">
        <f aca="false">IF(ISNUMBER(MATCH(G2582,Products!$A$5:$A$24,0)),"OK","Mismatch")</f>
        <v>OK</v>
      </c>
      <c r="I2582" s="39" t="str">
        <f aca="false">IF(COUNTIF($A$5:A2582,A2582)&gt;1,"Duplicate","Unique")</f>
        <v>Unique</v>
      </c>
      <c r="J2582" s="39" t="str">
        <f aca="false">IF(I2582="Duplicate","Remove",IF(H2582="Mismatch","Exclude","Keep"))</f>
        <v>Keep</v>
      </c>
    </row>
    <row r="2583" customFormat="false" ht="15" hidden="false" customHeight="false" outlineLevel="0" collapsed="false">
      <c r="A2583" s="39" t="s">
        <v>2633</v>
      </c>
      <c r="B2583" s="40" t="n">
        <v>45981</v>
      </c>
      <c r="C2583" s="39" t="s">
        <v>110</v>
      </c>
      <c r="D2583" s="39" t="n">
        <v>1</v>
      </c>
      <c r="E2583" s="41" t="n">
        <v>13.88</v>
      </c>
      <c r="F2583" s="39" t="s">
        <v>108</v>
      </c>
      <c r="G2583" s="39" t="str">
        <f aca="false">UPPER(TRIM(C2583))</f>
        <v>P016</v>
      </c>
      <c r="H2583" s="39" t="str">
        <f aca="false">IF(ISNUMBER(MATCH(G2583,Products!$A$5:$A$24,0)),"OK","Mismatch")</f>
        <v>OK</v>
      </c>
      <c r="I2583" s="39" t="str">
        <f aca="false">IF(COUNTIF($A$5:A2583,A2583)&gt;1,"Duplicate","Unique")</f>
        <v>Unique</v>
      </c>
      <c r="J2583" s="39" t="str">
        <f aca="false">IF(I2583="Duplicate","Remove",IF(H2583="Mismatch","Exclude","Keep"))</f>
        <v>Keep</v>
      </c>
    </row>
    <row r="2584" customFormat="false" ht="15" hidden="false" customHeight="false" outlineLevel="0" collapsed="false">
      <c r="A2584" s="39" t="s">
        <v>2634</v>
      </c>
      <c r="B2584" s="40" t="n">
        <v>45981</v>
      </c>
      <c r="C2584" s="39" t="s">
        <v>110</v>
      </c>
      <c r="D2584" s="39" t="n">
        <v>2</v>
      </c>
      <c r="E2584" s="41" t="n">
        <v>13.13</v>
      </c>
      <c r="F2584" s="39" t="s">
        <v>105</v>
      </c>
      <c r="G2584" s="39" t="str">
        <f aca="false">UPPER(TRIM(C2584))</f>
        <v>P016</v>
      </c>
      <c r="H2584" s="39" t="str">
        <f aca="false">IF(ISNUMBER(MATCH(G2584,Products!$A$5:$A$24,0)),"OK","Mismatch")</f>
        <v>OK</v>
      </c>
      <c r="I2584" s="39" t="str">
        <f aca="false">IF(COUNTIF($A$5:A2584,A2584)&gt;1,"Duplicate","Unique")</f>
        <v>Unique</v>
      </c>
      <c r="J2584" s="39" t="str">
        <f aca="false">IF(I2584="Duplicate","Remove",IF(H2584="Mismatch","Exclude","Keep"))</f>
        <v>Keep</v>
      </c>
    </row>
    <row r="2585" customFormat="false" ht="15" hidden="false" customHeight="false" outlineLevel="0" collapsed="false">
      <c r="A2585" s="39" t="s">
        <v>2635</v>
      </c>
      <c r="B2585" s="40" t="n">
        <v>45981</v>
      </c>
      <c r="C2585" s="39" t="s">
        <v>107</v>
      </c>
      <c r="D2585" s="39" t="n">
        <v>1</v>
      </c>
      <c r="E2585" s="41" t="n">
        <v>34.31</v>
      </c>
      <c r="F2585" s="39" t="s">
        <v>118</v>
      </c>
      <c r="G2585" s="39" t="str">
        <f aca="false">UPPER(TRIM(C2585))</f>
        <v>P003</v>
      </c>
      <c r="H2585" s="39" t="str">
        <f aca="false">IF(ISNUMBER(MATCH(G2585,Products!$A$5:$A$24,0)),"OK","Mismatch")</f>
        <v>OK</v>
      </c>
      <c r="I2585" s="39" t="str">
        <f aca="false">IF(COUNTIF($A$5:A2585,A2585)&gt;1,"Duplicate","Unique")</f>
        <v>Unique</v>
      </c>
      <c r="J2585" s="39" t="str">
        <f aca="false">IF(I2585="Duplicate","Remove",IF(H2585="Mismatch","Exclude","Keep"))</f>
        <v>Keep</v>
      </c>
    </row>
    <row r="2586" customFormat="false" ht="15" hidden="false" customHeight="false" outlineLevel="0" collapsed="false">
      <c r="A2586" s="39" t="s">
        <v>2636</v>
      </c>
      <c r="B2586" s="40" t="n">
        <v>45981</v>
      </c>
      <c r="C2586" s="39" t="s">
        <v>162</v>
      </c>
      <c r="D2586" s="39" t="n">
        <v>2</v>
      </c>
      <c r="E2586" s="41" t="n">
        <v>68.21</v>
      </c>
      <c r="F2586" s="39" t="s">
        <v>105</v>
      </c>
      <c r="G2586" s="39" t="str">
        <f aca="false">UPPER(TRIM(C2586))</f>
        <v>P017</v>
      </c>
      <c r="H2586" s="39" t="str">
        <f aca="false">IF(ISNUMBER(MATCH(G2586,Products!$A$5:$A$24,0)),"OK","Mismatch")</f>
        <v>OK</v>
      </c>
      <c r="I2586" s="39" t="str">
        <f aca="false">IF(COUNTIF($A$5:A2586,A2586)&gt;1,"Duplicate","Unique")</f>
        <v>Unique</v>
      </c>
      <c r="J2586" s="39" t="str">
        <f aca="false">IF(I2586="Duplicate","Remove",IF(H2586="Mismatch","Exclude","Keep"))</f>
        <v>Keep</v>
      </c>
    </row>
    <row r="2587" customFormat="false" ht="15" hidden="false" customHeight="false" outlineLevel="0" collapsed="false">
      <c r="A2587" s="39" t="s">
        <v>2636</v>
      </c>
      <c r="B2587" s="40" t="n">
        <v>45981</v>
      </c>
      <c r="C2587" s="39" t="s">
        <v>162</v>
      </c>
      <c r="D2587" s="39" t="n">
        <v>2</v>
      </c>
      <c r="E2587" s="41" t="n">
        <v>68.21</v>
      </c>
      <c r="F2587" s="39" t="s">
        <v>105</v>
      </c>
      <c r="G2587" s="39" t="str">
        <f aca="false">UPPER(TRIM(C2587))</f>
        <v>P017</v>
      </c>
      <c r="H2587" s="39" t="str">
        <f aca="false">IF(ISNUMBER(MATCH(G2587,Products!$A$5:$A$24,0)),"OK","Mismatch")</f>
        <v>OK</v>
      </c>
      <c r="I2587" s="39" t="str">
        <f aca="false">IF(COUNTIF($A$5:A2587,A2587)&gt;1,"Duplicate","Unique")</f>
        <v>Duplicate</v>
      </c>
      <c r="J2587" s="39" t="str">
        <f aca="false">IF(I2587="Duplicate","Remove",IF(H2587="Mismatch","Exclude","Keep"))</f>
        <v>Remove</v>
      </c>
    </row>
    <row r="2588" customFormat="false" ht="15" hidden="false" customHeight="false" outlineLevel="0" collapsed="false">
      <c r="A2588" s="39" t="s">
        <v>2637</v>
      </c>
      <c r="B2588" s="40" t="n">
        <v>45981</v>
      </c>
      <c r="C2588" s="39" t="s">
        <v>133</v>
      </c>
      <c r="D2588" s="39" t="n">
        <v>2</v>
      </c>
      <c r="E2588" s="41" t="n">
        <v>8.87</v>
      </c>
      <c r="F2588" s="39" t="s">
        <v>118</v>
      </c>
      <c r="G2588" s="39" t="str">
        <f aca="false">UPPER(TRIM(C2588))</f>
        <v>P019</v>
      </c>
      <c r="H2588" s="39" t="str">
        <f aca="false">IF(ISNUMBER(MATCH(G2588,Products!$A$5:$A$24,0)),"OK","Mismatch")</f>
        <v>OK</v>
      </c>
      <c r="I2588" s="39" t="str">
        <f aca="false">IF(COUNTIF($A$5:A2588,A2588)&gt;1,"Duplicate","Unique")</f>
        <v>Unique</v>
      </c>
      <c r="J2588" s="39" t="str">
        <f aca="false">IF(I2588="Duplicate","Remove",IF(H2588="Mismatch","Exclude","Keep"))</f>
        <v>Keep</v>
      </c>
    </row>
    <row r="2589" customFormat="false" ht="15" hidden="false" customHeight="false" outlineLevel="0" collapsed="false">
      <c r="A2589" s="39" t="s">
        <v>2638</v>
      </c>
      <c r="B2589" s="40" t="n">
        <v>45981</v>
      </c>
      <c r="C2589" s="39" t="s">
        <v>114</v>
      </c>
      <c r="D2589" s="39" t="n">
        <v>2</v>
      </c>
      <c r="E2589" s="41" t="n">
        <v>5.78</v>
      </c>
      <c r="F2589" s="39" t="s">
        <v>105</v>
      </c>
      <c r="G2589" s="39" t="str">
        <f aca="false">UPPER(TRIM(C2589))</f>
        <v>P012</v>
      </c>
      <c r="H2589" s="39" t="str">
        <f aca="false">IF(ISNUMBER(MATCH(G2589,Products!$A$5:$A$24,0)),"OK","Mismatch")</f>
        <v>OK</v>
      </c>
      <c r="I2589" s="39" t="str">
        <f aca="false">IF(COUNTIF($A$5:A2589,A2589)&gt;1,"Duplicate","Unique")</f>
        <v>Unique</v>
      </c>
      <c r="J2589" s="39" t="str">
        <f aca="false">IF(I2589="Duplicate","Remove",IF(H2589="Mismatch","Exclude","Keep"))</f>
        <v>Keep</v>
      </c>
    </row>
    <row r="2590" customFormat="false" ht="15" hidden="false" customHeight="false" outlineLevel="0" collapsed="false">
      <c r="A2590" s="39" t="s">
        <v>2639</v>
      </c>
      <c r="B2590" s="40" t="n">
        <v>45981</v>
      </c>
      <c r="C2590" s="39" t="s">
        <v>117</v>
      </c>
      <c r="D2590" s="39" t="n">
        <v>4</v>
      </c>
      <c r="E2590" s="41" t="n">
        <v>31.44</v>
      </c>
      <c r="F2590" s="39" t="s">
        <v>118</v>
      </c>
      <c r="G2590" s="39" t="str">
        <f aca="false">UPPER(TRIM(C2590))</f>
        <v>P009</v>
      </c>
      <c r="H2590" s="39" t="str">
        <f aca="false">IF(ISNUMBER(MATCH(G2590,Products!$A$5:$A$24,0)),"OK","Mismatch")</f>
        <v>OK</v>
      </c>
      <c r="I2590" s="39" t="str">
        <f aca="false">IF(COUNTIF($A$5:A2590,A2590)&gt;1,"Duplicate","Unique")</f>
        <v>Unique</v>
      </c>
      <c r="J2590" s="39" t="str">
        <f aca="false">IF(I2590="Duplicate","Remove",IF(H2590="Mismatch","Exclude","Keep"))</f>
        <v>Keep</v>
      </c>
    </row>
    <row r="2591" customFormat="false" ht="15" hidden="false" customHeight="false" outlineLevel="0" collapsed="false">
      <c r="A2591" s="39" t="s">
        <v>2640</v>
      </c>
      <c r="B2591" s="40" t="n">
        <v>45981</v>
      </c>
      <c r="C2591" s="39" t="s">
        <v>117</v>
      </c>
      <c r="D2591" s="39" t="n">
        <v>3</v>
      </c>
      <c r="E2591" s="41" t="n">
        <v>30.4</v>
      </c>
      <c r="F2591" s="39" t="s">
        <v>118</v>
      </c>
      <c r="G2591" s="39" t="str">
        <f aca="false">UPPER(TRIM(C2591))</f>
        <v>P009</v>
      </c>
      <c r="H2591" s="39" t="str">
        <f aca="false">IF(ISNUMBER(MATCH(G2591,Products!$A$5:$A$24,0)),"OK","Mismatch")</f>
        <v>OK</v>
      </c>
      <c r="I2591" s="39" t="str">
        <f aca="false">IF(COUNTIF($A$5:A2591,A2591)&gt;1,"Duplicate","Unique")</f>
        <v>Unique</v>
      </c>
      <c r="J2591" s="39" t="str">
        <f aca="false">IF(I2591="Duplicate","Remove",IF(H2591="Mismatch","Exclude","Keep"))</f>
        <v>Keep</v>
      </c>
    </row>
    <row r="2592" customFormat="false" ht="15" hidden="false" customHeight="false" outlineLevel="0" collapsed="false">
      <c r="A2592" s="39" t="s">
        <v>2641</v>
      </c>
      <c r="B2592" s="40" t="n">
        <v>45981</v>
      </c>
      <c r="C2592" s="39" t="s">
        <v>3148</v>
      </c>
      <c r="D2592" s="39" t="n">
        <v>1</v>
      </c>
      <c r="E2592" s="41" t="n">
        <v>23.08</v>
      </c>
      <c r="F2592" s="39" t="s">
        <v>115</v>
      </c>
      <c r="G2592" s="39" t="str">
        <f aca="false">UPPER(TRIM(C2592))</f>
        <v>P001</v>
      </c>
      <c r="H2592" s="39" t="str">
        <f aca="false">IF(ISNUMBER(MATCH(G2592,Products!$A$5:$A$24,0)),"OK","Mismatch")</f>
        <v>OK</v>
      </c>
      <c r="I2592" s="39" t="str">
        <f aca="false">IF(COUNTIF($A$5:A2592,A2592)&gt;1,"Duplicate","Unique")</f>
        <v>Unique</v>
      </c>
      <c r="J2592" s="39" t="str">
        <f aca="false">IF(I2592="Duplicate","Remove",IF(H2592="Mismatch","Exclude","Keep"))</f>
        <v>Keep</v>
      </c>
    </row>
    <row r="2593" customFormat="false" ht="15" hidden="false" customHeight="false" outlineLevel="0" collapsed="false">
      <c r="A2593" s="39" t="s">
        <v>2642</v>
      </c>
      <c r="B2593" s="40" t="n">
        <v>45982</v>
      </c>
      <c r="C2593" s="39" t="s">
        <v>107</v>
      </c>
      <c r="D2593" s="39" t="n">
        <v>2</v>
      </c>
      <c r="E2593" s="41" t="n">
        <v>33.04</v>
      </c>
      <c r="F2593" s="39" t="s">
        <v>108</v>
      </c>
      <c r="G2593" s="39" t="str">
        <f aca="false">UPPER(TRIM(C2593))</f>
        <v>P003</v>
      </c>
      <c r="H2593" s="39" t="str">
        <f aca="false">IF(ISNUMBER(MATCH(G2593,Products!$A$5:$A$24,0)),"OK","Mismatch")</f>
        <v>OK</v>
      </c>
      <c r="I2593" s="39" t="str">
        <f aca="false">IF(COUNTIF($A$5:A2593,A2593)&gt;1,"Duplicate","Unique")</f>
        <v>Unique</v>
      </c>
      <c r="J2593" s="39" t="str">
        <f aca="false">IF(I2593="Duplicate","Remove",IF(H2593="Mismatch","Exclude","Keep"))</f>
        <v>Keep</v>
      </c>
    </row>
    <row r="2594" customFormat="false" ht="15" hidden="false" customHeight="false" outlineLevel="0" collapsed="false">
      <c r="A2594" s="39" t="s">
        <v>2643</v>
      </c>
      <c r="B2594" s="40" t="n">
        <v>45982</v>
      </c>
      <c r="C2594" s="39" t="s">
        <v>130</v>
      </c>
      <c r="D2594" s="39" t="n">
        <v>4</v>
      </c>
      <c r="E2594" s="41" t="n">
        <v>8.58</v>
      </c>
      <c r="F2594" s="39" t="s">
        <v>118</v>
      </c>
      <c r="G2594" s="39" t="str">
        <f aca="false">UPPER(TRIM(C2594))</f>
        <v>P011</v>
      </c>
      <c r="H2594" s="39" t="str">
        <f aca="false">IF(ISNUMBER(MATCH(G2594,Products!$A$5:$A$24,0)),"OK","Mismatch")</f>
        <v>OK</v>
      </c>
      <c r="I2594" s="39" t="str">
        <f aca="false">IF(COUNTIF($A$5:A2594,A2594)&gt;1,"Duplicate","Unique")</f>
        <v>Unique</v>
      </c>
      <c r="J2594" s="39" t="str">
        <f aca="false">IF(I2594="Duplicate","Remove",IF(H2594="Mismatch","Exclude","Keep"))</f>
        <v>Keep</v>
      </c>
    </row>
    <row r="2595" customFormat="false" ht="15" hidden="false" customHeight="false" outlineLevel="0" collapsed="false">
      <c r="A2595" s="39" t="s">
        <v>2644</v>
      </c>
      <c r="B2595" s="40" t="n">
        <v>45982</v>
      </c>
      <c r="C2595" s="39" t="s">
        <v>136</v>
      </c>
      <c r="D2595" s="39" t="n">
        <v>1</v>
      </c>
      <c r="E2595" s="41" t="n">
        <v>78.06</v>
      </c>
      <c r="F2595" s="39" t="s">
        <v>105</v>
      </c>
      <c r="G2595" s="39" t="str">
        <f aca="false">UPPER(TRIM(C2595))</f>
        <v>P002</v>
      </c>
      <c r="H2595" s="39" t="str">
        <f aca="false">IF(ISNUMBER(MATCH(G2595,Products!$A$5:$A$24,0)),"OK","Mismatch")</f>
        <v>OK</v>
      </c>
      <c r="I2595" s="39" t="str">
        <f aca="false">IF(COUNTIF($A$5:A2595,A2595)&gt;1,"Duplicate","Unique")</f>
        <v>Unique</v>
      </c>
      <c r="J2595" s="39" t="str">
        <f aca="false">IF(I2595="Duplicate","Remove",IF(H2595="Mismatch","Exclude","Keep"))</f>
        <v>Keep</v>
      </c>
    </row>
    <row r="2596" customFormat="false" ht="15" hidden="false" customHeight="false" outlineLevel="0" collapsed="false">
      <c r="A2596" s="39" t="s">
        <v>2645</v>
      </c>
      <c r="B2596" s="40" t="n">
        <v>45982</v>
      </c>
      <c r="C2596" s="39" t="s">
        <v>114</v>
      </c>
      <c r="D2596" s="39" t="n">
        <v>1</v>
      </c>
      <c r="E2596" s="41" t="n">
        <v>5.72</v>
      </c>
      <c r="F2596" s="39" t="s">
        <v>115</v>
      </c>
      <c r="G2596" s="39" t="str">
        <f aca="false">UPPER(TRIM(C2596))</f>
        <v>P012</v>
      </c>
      <c r="H2596" s="39" t="str">
        <f aca="false">IF(ISNUMBER(MATCH(G2596,Products!$A$5:$A$24,0)),"OK","Mismatch")</f>
        <v>OK</v>
      </c>
      <c r="I2596" s="39" t="str">
        <f aca="false">IF(COUNTIF($A$5:A2596,A2596)&gt;1,"Duplicate","Unique")</f>
        <v>Unique</v>
      </c>
      <c r="J2596" s="39" t="str">
        <f aca="false">IF(I2596="Duplicate","Remove",IF(H2596="Mismatch","Exclude","Keep"))</f>
        <v>Keep</v>
      </c>
    </row>
    <row r="2597" customFormat="false" ht="15" hidden="false" customHeight="false" outlineLevel="0" collapsed="false">
      <c r="A2597" s="39" t="s">
        <v>2646</v>
      </c>
      <c r="B2597" s="40" t="n">
        <v>45982</v>
      </c>
      <c r="C2597" s="39" t="s">
        <v>126</v>
      </c>
      <c r="D2597" s="39" t="n">
        <v>1</v>
      </c>
      <c r="E2597" s="41" t="n">
        <v>23.83</v>
      </c>
      <c r="F2597" s="39" t="s">
        <v>115</v>
      </c>
      <c r="G2597" s="39" t="str">
        <f aca="false">UPPER(TRIM(C2597))</f>
        <v>P001</v>
      </c>
      <c r="H2597" s="39" t="str">
        <f aca="false">IF(ISNUMBER(MATCH(G2597,Products!$A$5:$A$24,0)),"OK","Mismatch")</f>
        <v>OK</v>
      </c>
      <c r="I2597" s="39" t="str">
        <f aca="false">IF(COUNTIF($A$5:A2597,A2597)&gt;1,"Duplicate","Unique")</f>
        <v>Unique</v>
      </c>
      <c r="J2597" s="39" t="str">
        <f aca="false">IF(I2597="Duplicate","Remove",IF(H2597="Mismatch","Exclude","Keep"))</f>
        <v>Keep</v>
      </c>
    </row>
    <row r="2598" customFormat="false" ht="15" hidden="false" customHeight="false" outlineLevel="0" collapsed="false">
      <c r="A2598" s="39" t="s">
        <v>2647</v>
      </c>
      <c r="B2598" s="40" t="n">
        <v>45982</v>
      </c>
      <c r="C2598" s="39" t="s">
        <v>114</v>
      </c>
      <c r="D2598" s="39" t="n">
        <v>2</v>
      </c>
      <c r="E2598" s="41" t="n">
        <v>5.65</v>
      </c>
      <c r="F2598" s="39" t="s">
        <v>115</v>
      </c>
      <c r="G2598" s="39" t="str">
        <f aca="false">UPPER(TRIM(C2598))</f>
        <v>P012</v>
      </c>
      <c r="H2598" s="39" t="str">
        <f aca="false">IF(ISNUMBER(MATCH(G2598,Products!$A$5:$A$24,0)),"OK","Mismatch")</f>
        <v>OK</v>
      </c>
      <c r="I2598" s="39" t="str">
        <f aca="false">IF(COUNTIF($A$5:A2598,A2598)&gt;1,"Duplicate","Unique")</f>
        <v>Unique</v>
      </c>
      <c r="J2598" s="39" t="str">
        <f aca="false">IF(I2598="Duplicate","Remove",IF(H2598="Mismatch","Exclude","Keep"))</f>
        <v>Keep</v>
      </c>
    </row>
    <row r="2599" customFormat="false" ht="15" hidden="false" customHeight="false" outlineLevel="0" collapsed="false">
      <c r="A2599" s="39" t="s">
        <v>2648</v>
      </c>
      <c r="B2599" s="40" t="n">
        <v>45982</v>
      </c>
      <c r="C2599" s="39" t="s">
        <v>136</v>
      </c>
      <c r="D2599" s="39" t="n">
        <v>2</v>
      </c>
      <c r="E2599" s="41" t="n">
        <v>73.59</v>
      </c>
      <c r="F2599" s="39" t="s">
        <v>108</v>
      </c>
      <c r="G2599" s="39" t="str">
        <f aca="false">UPPER(TRIM(C2599))</f>
        <v>P002</v>
      </c>
      <c r="H2599" s="39" t="str">
        <f aca="false">IF(ISNUMBER(MATCH(G2599,Products!$A$5:$A$24,0)),"OK","Mismatch")</f>
        <v>OK</v>
      </c>
      <c r="I2599" s="39" t="str">
        <f aca="false">IF(COUNTIF($A$5:A2599,A2599)&gt;1,"Duplicate","Unique")</f>
        <v>Unique</v>
      </c>
      <c r="J2599" s="39" t="str">
        <f aca="false">IF(I2599="Duplicate","Remove",IF(H2599="Mismatch","Exclude","Keep"))</f>
        <v>Keep</v>
      </c>
    </row>
    <row r="2600" customFormat="false" ht="15" hidden="false" customHeight="false" outlineLevel="0" collapsed="false">
      <c r="A2600" s="39" t="s">
        <v>2649</v>
      </c>
      <c r="B2600" s="40" t="n">
        <v>45982</v>
      </c>
      <c r="C2600" s="39" t="s">
        <v>126</v>
      </c>
      <c r="D2600" s="39" t="n">
        <v>1</v>
      </c>
      <c r="E2600" s="41" t="n">
        <v>24.76</v>
      </c>
      <c r="F2600" s="39" t="s">
        <v>105</v>
      </c>
      <c r="G2600" s="39" t="str">
        <f aca="false">UPPER(TRIM(C2600))</f>
        <v>P001</v>
      </c>
      <c r="H2600" s="39" t="str">
        <f aca="false">IF(ISNUMBER(MATCH(G2600,Products!$A$5:$A$24,0)),"OK","Mismatch")</f>
        <v>OK</v>
      </c>
      <c r="I2600" s="39" t="str">
        <f aca="false">IF(COUNTIF($A$5:A2600,A2600)&gt;1,"Duplicate","Unique")</f>
        <v>Unique</v>
      </c>
      <c r="J2600" s="39" t="str">
        <f aca="false">IF(I2600="Duplicate","Remove",IF(H2600="Mismatch","Exclude","Keep"))</f>
        <v>Keep</v>
      </c>
    </row>
    <row r="2601" customFormat="false" ht="15" hidden="false" customHeight="false" outlineLevel="0" collapsed="false">
      <c r="A2601" s="39" t="s">
        <v>2650</v>
      </c>
      <c r="B2601" s="40" t="n">
        <v>45982</v>
      </c>
      <c r="C2601" s="39" t="s">
        <v>133</v>
      </c>
      <c r="D2601" s="39" t="n">
        <v>2</v>
      </c>
      <c r="E2601" s="41" t="n">
        <v>8.71</v>
      </c>
      <c r="F2601" s="39" t="s">
        <v>115</v>
      </c>
      <c r="G2601" s="39" t="str">
        <f aca="false">UPPER(TRIM(C2601))</f>
        <v>P019</v>
      </c>
      <c r="H2601" s="39" t="str">
        <f aca="false">IF(ISNUMBER(MATCH(G2601,Products!$A$5:$A$24,0)),"OK","Mismatch")</f>
        <v>OK</v>
      </c>
      <c r="I2601" s="39" t="str">
        <f aca="false">IF(COUNTIF($A$5:A2601,A2601)&gt;1,"Duplicate","Unique")</f>
        <v>Unique</v>
      </c>
      <c r="J2601" s="39" t="str">
        <f aca="false">IF(I2601="Duplicate","Remove",IF(H2601="Mismatch","Exclude","Keep"))</f>
        <v>Keep</v>
      </c>
    </row>
    <row r="2602" customFormat="false" ht="15" hidden="false" customHeight="false" outlineLevel="0" collapsed="false">
      <c r="A2602" s="39" t="s">
        <v>2651</v>
      </c>
      <c r="B2602" s="40" t="n">
        <v>45982</v>
      </c>
      <c r="C2602" s="39" t="s">
        <v>114</v>
      </c>
      <c r="D2602" s="39" t="n">
        <v>1</v>
      </c>
      <c r="E2602" s="41" t="n">
        <v>5.95</v>
      </c>
      <c r="F2602" s="39" t="s">
        <v>115</v>
      </c>
      <c r="G2602" s="39" t="str">
        <f aca="false">UPPER(TRIM(C2602))</f>
        <v>P012</v>
      </c>
      <c r="H2602" s="39" t="str">
        <f aca="false">IF(ISNUMBER(MATCH(G2602,Products!$A$5:$A$24,0)),"OK","Mismatch")</f>
        <v>OK</v>
      </c>
      <c r="I2602" s="39" t="str">
        <f aca="false">IF(COUNTIF($A$5:A2602,A2602)&gt;1,"Duplicate","Unique")</f>
        <v>Unique</v>
      </c>
      <c r="J2602" s="39" t="str">
        <f aca="false">IF(I2602="Duplicate","Remove",IF(H2602="Mismatch","Exclude","Keep"))</f>
        <v>Keep</v>
      </c>
    </row>
    <row r="2603" customFormat="false" ht="15" hidden="false" customHeight="false" outlineLevel="0" collapsed="false">
      <c r="A2603" s="39" t="s">
        <v>2652</v>
      </c>
      <c r="B2603" s="40" t="n">
        <v>45982</v>
      </c>
      <c r="C2603" s="39" t="s">
        <v>107</v>
      </c>
      <c r="D2603" s="39" t="n">
        <v>1</v>
      </c>
      <c r="E2603" s="41" t="n">
        <v>33.68</v>
      </c>
      <c r="F2603" s="39" t="s">
        <v>105</v>
      </c>
      <c r="G2603" s="39" t="str">
        <f aca="false">UPPER(TRIM(C2603))</f>
        <v>P003</v>
      </c>
      <c r="H2603" s="39" t="str">
        <f aca="false">IF(ISNUMBER(MATCH(G2603,Products!$A$5:$A$24,0)),"OK","Mismatch")</f>
        <v>OK</v>
      </c>
      <c r="I2603" s="39" t="str">
        <f aca="false">IF(COUNTIF($A$5:A2603,A2603)&gt;1,"Duplicate","Unique")</f>
        <v>Unique</v>
      </c>
      <c r="J2603" s="39" t="str">
        <f aca="false">IF(I2603="Duplicate","Remove",IF(H2603="Mismatch","Exclude","Keep"))</f>
        <v>Keep</v>
      </c>
    </row>
    <row r="2604" customFormat="false" ht="15" hidden="false" customHeight="false" outlineLevel="0" collapsed="false">
      <c r="A2604" s="39" t="s">
        <v>2653</v>
      </c>
      <c r="B2604" s="40" t="n">
        <v>45983</v>
      </c>
      <c r="C2604" s="39" t="s">
        <v>110</v>
      </c>
      <c r="D2604" s="39" t="n">
        <v>2</v>
      </c>
      <c r="E2604" s="41" t="n">
        <v>13.91</v>
      </c>
      <c r="F2604" s="39" t="s">
        <v>105</v>
      </c>
      <c r="G2604" s="39" t="str">
        <f aca="false">UPPER(TRIM(C2604))</f>
        <v>P016</v>
      </c>
      <c r="H2604" s="39" t="str">
        <f aca="false">IF(ISNUMBER(MATCH(G2604,Products!$A$5:$A$24,0)),"OK","Mismatch")</f>
        <v>OK</v>
      </c>
      <c r="I2604" s="39" t="str">
        <f aca="false">IF(COUNTIF($A$5:A2604,A2604)&gt;1,"Duplicate","Unique")</f>
        <v>Unique</v>
      </c>
      <c r="J2604" s="39" t="str">
        <f aca="false">IF(I2604="Duplicate","Remove",IF(H2604="Mismatch","Exclude","Keep"))</f>
        <v>Keep</v>
      </c>
    </row>
    <row r="2605" customFormat="false" ht="15" hidden="false" customHeight="false" outlineLevel="0" collapsed="false">
      <c r="A2605" s="39" t="s">
        <v>2654</v>
      </c>
      <c r="B2605" s="40" t="n">
        <v>45983</v>
      </c>
      <c r="C2605" s="39" t="s">
        <v>107</v>
      </c>
      <c r="D2605" s="39" t="n">
        <v>2</v>
      </c>
      <c r="E2605" s="41" t="n">
        <v>34</v>
      </c>
      <c r="F2605" s="39" t="s">
        <v>105</v>
      </c>
      <c r="G2605" s="39" t="str">
        <f aca="false">UPPER(TRIM(C2605))</f>
        <v>P003</v>
      </c>
      <c r="H2605" s="39" t="str">
        <f aca="false">IF(ISNUMBER(MATCH(G2605,Products!$A$5:$A$24,0)),"OK","Mismatch")</f>
        <v>OK</v>
      </c>
      <c r="I2605" s="39" t="str">
        <f aca="false">IF(COUNTIF($A$5:A2605,A2605)&gt;1,"Duplicate","Unique")</f>
        <v>Unique</v>
      </c>
      <c r="J2605" s="39" t="str">
        <f aca="false">IF(I2605="Duplicate","Remove",IF(H2605="Mismatch","Exclude","Keep"))</f>
        <v>Keep</v>
      </c>
    </row>
    <row r="2606" customFormat="false" ht="15" hidden="false" customHeight="false" outlineLevel="0" collapsed="false">
      <c r="A2606" s="39" t="s">
        <v>2655</v>
      </c>
      <c r="B2606" s="40" t="n">
        <v>45983</v>
      </c>
      <c r="C2606" s="39" t="s">
        <v>126</v>
      </c>
      <c r="D2606" s="39" t="n">
        <v>2</v>
      </c>
      <c r="E2606" s="41" t="n">
        <v>23.94</v>
      </c>
      <c r="F2606" s="39" t="s">
        <v>105</v>
      </c>
      <c r="G2606" s="39" t="str">
        <f aca="false">UPPER(TRIM(C2606))</f>
        <v>P001</v>
      </c>
      <c r="H2606" s="39" t="str">
        <f aca="false">IF(ISNUMBER(MATCH(G2606,Products!$A$5:$A$24,0)),"OK","Mismatch")</f>
        <v>OK</v>
      </c>
      <c r="I2606" s="39" t="str">
        <f aca="false">IF(COUNTIF($A$5:A2606,A2606)&gt;1,"Duplicate","Unique")</f>
        <v>Unique</v>
      </c>
      <c r="J2606" s="39" t="str">
        <f aca="false">IF(I2606="Duplicate","Remove",IF(H2606="Mismatch","Exclude","Keep"))</f>
        <v>Keep</v>
      </c>
    </row>
    <row r="2607" customFormat="false" ht="15" hidden="false" customHeight="false" outlineLevel="0" collapsed="false">
      <c r="A2607" s="39" t="s">
        <v>2656</v>
      </c>
      <c r="B2607" s="40" t="n">
        <v>45983</v>
      </c>
      <c r="C2607" s="39" t="s">
        <v>139</v>
      </c>
      <c r="D2607" s="39" t="n">
        <v>1</v>
      </c>
      <c r="E2607" s="41" t="n">
        <v>126.94</v>
      </c>
      <c r="F2607" s="39" t="s">
        <v>118</v>
      </c>
      <c r="G2607" s="39" t="str">
        <f aca="false">UPPER(TRIM(C2607))</f>
        <v>P006</v>
      </c>
      <c r="H2607" s="39" t="str">
        <f aca="false">IF(ISNUMBER(MATCH(G2607,Products!$A$5:$A$24,0)),"OK","Mismatch")</f>
        <v>OK</v>
      </c>
      <c r="I2607" s="39" t="str">
        <f aca="false">IF(COUNTIF($A$5:A2607,A2607)&gt;1,"Duplicate","Unique")</f>
        <v>Unique</v>
      </c>
      <c r="J2607" s="39" t="str">
        <f aca="false">IF(I2607="Duplicate","Remove",IF(H2607="Mismatch","Exclude","Keep"))</f>
        <v>Keep</v>
      </c>
    </row>
    <row r="2608" customFormat="false" ht="15" hidden="false" customHeight="false" outlineLevel="0" collapsed="false">
      <c r="A2608" s="39" t="s">
        <v>2657</v>
      </c>
      <c r="B2608" s="40" t="n">
        <v>45983</v>
      </c>
      <c r="C2608" s="39" t="s">
        <v>162</v>
      </c>
      <c r="D2608" s="39" t="n">
        <v>1</v>
      </c>
      <c r="E2608" s="41" t="n">
        <v>65.47</v>
      </c>
      <c r="F2608" s="39" t="s">
        <v>115</v>
      </c>
      <c r="G2608" s="39" t="str">
        <f aca="false">UPPER(TRIM(C2608))</f>
        <v>P017</v>
      </c>
      <c r="H2608" s="39" t="str">
        <f aca="false">IF(ISNUMBER(MATCH(G2608,Products!$A$5:$A$24,0)),"OK","Mismatch")</f>
        <v>OK</v>
      </c>
      <c r="I2608" s="39" t="str">
        <f aca="false">IF(COUNTIF($A$5:A2608,A2608)&gt;1,"Duplicate","Unique")</f>
        <v>Unique</v>
      </c>
      <c r="J2608" s="39" t="str">
        <f aca="false">IF(I2608="Duplicate","Remove",IF(H2608="Mismatch","Exclude","Keep"))</f>
        <v>Keep</v>
      </c>
    </row>
    <row r="2609" customFormat="false" ht="15" hidden="false" customHeight="false" outlineLevel="0" collapsed="false">
      <c r="A2609" s="39" t="s">
        <v>2658</v>
      </c>
      <c r="B2609" s="40" t="n">
        <v>45983</v>
      </c>
      <c r="C2609" s="39" t="s">
        <v>117</v>
      </c>
      <c r="D2609" s="39" t="n">
        <v>2</v>
      </c>
      <c r="E2609" s="41" t="n">
        <v>31.88</v>
      </c>
      <c r="F2609" s="39" t="s">
        <v>115</v>
      </c>
      <c r="G2609" s="39" t="str">
        <f aca="false">UPPER(TRIM(C2609))</f>
        <v>P009</v>
      </c>
      <c r="H2609" s="39" t="str">
        <f aca="false">IF(ISNUMBER(MATCH(G2609,Products!$A$5:$A$24,0)),"OK","Mismatch")</f>
        <v>OK</v>
      </c>
      <c r="I2609" s="39" t="str">
        <f aca="false">IF(COUNTIF($A$5:A2609,A2609)&gt;1,"Duplicate","Unique")</f>
        <v>Unique</v>
      </c>
      <c r="J2609" s="39" t="str">
        <f aca="false">IF(I2609="Duplicate","Remove",IF(H2609="Mismatch","Exclude","Keep"))</f>
        <v>Keep</v>
      </c>
    </row>
    <row r="2610" customFormat="false" ht="15" hidden="false" customHeight="false" outlineLevel="0" collapsed="false">
      <c r="A2610" s="39" t="s">
        <v>2659</v>
      </c>
      <c r="B2610" s="40" t="n">
        <v>45983</v>
      </c>
      <c r="C2610" s="39" t="s">
        <v>153</v>
      </c>
      <c r="D2610" s="39" t="n">
        <v>1</v>
      </c>
      <c r="E2610" s="41" t="n">
        <v>166.93</v>
      </c>
      <c r="F2610" s="39" t="s">
        <v>118</v>
      </c>
      <c r="G2610" s="39" t="str">
        <f aca="false">UPPER(TRIM(C2610))</f>
        <v>P010</v>
      </c>
      <c r="H2610" s="39" t="str">
        <f aca="false">IF(ISNUMBER(MATCH(G2610,Products!$A$5:$A$24,0)),"OK","Mismatch")</f>
        <v>OK</v>
      </c>
      <c r="I2610" s="39" t="str">
        <f aca="false">IF(COUNTIF($A$5:A2610,A2610)&gt;1,"Duplicate","Unique")</f>
        <v>Unique</v>
      </c>
      <c r="J2610" s="39" t="str">
        <f aca="false">IF(I2610="Duplicate","Remove",IF(H2610="Mismatch","Exclude","Keep"))</f>
        <v>Keep</v>
      </c>
    </row>
    <row r="2611" customFormat="false" ht="15" hidden="false" customHeight="false" outlineLevel="0" collapsed="false">
      <c r="A2611" s="39" t="s">
        <v>2660</v>
      </c>
      <c r="B2611" s="40" t="n">
        <v>45983</v>
      </c>
      <c r="C2611" s="39" t="s">
        <v>104</v>
      </c>
      <c r="D2611" s="39" t="n">
        <v>1</v>
      </c>
      <c r="E2611" s="41" t="n">
        <v>15.22</v>
      </c>
      <c r="F2611" s="39" t="s">
        <v>105</v>
      </c>
      <c r="G2611" s="39" t="str">
        <f aca="false">UPPER(TRIM(C2611))</f>
        <v>P015</v>
      </c>
      <c r="H2611" s="39" t="str">
        <f aca="false">IF(ISNUMBER(MATCH(G2611,Products!$A$5:$A$24,0)),"OK","Mismatch")</f>
        <v>OK</v>
      </c>
      <c r="I2611" s="39" t="str">
        <f aca="false">IF(COUNTIF($A$5:A2611,A2611)&gt;1,"Duplicate","Unique")</f>
        <v>Unique</v>
      </c>
      <c r="J2611" s="39" t="str">
        <f aca="false">IF(I2611="Duplicate","Remove",IF(H2611="Mismatch","Exclude","Keep"))</f>
        <v>Keep</v>
      </c>
    </row>
    <row r="2612" customFormat="false" ht="15" hidden="false" customHeight="false" outlineLevel="0" collapsed="false">
      <c r="A2612" s="39" t="s">
        <v>2661</v>
      </c>
      <c r="B2612" s="40" t="n">
        <v>45983</v>
      </c>
      <c r="C2612" s="39" t="s">
        <v>177</v>
      </c>
      <c r="D2612" s="39" t="n">
        <v>1</v>
      </c>
      <c r="E2612" s="41" t="n">
        <v>43.03</v>
      </c>
      <c r="F2612" s="39" t="s">
        <v>105</v>
      </c>
      <c r="G2612" s="39" t="str">
        <f aca="false">UPPER(TRIM(C2612))</f>
        <v>P014</v>
      </c>
      <c r="H2612" s="39" t="str">
        <f aca="false">IF(ISNUMBER(MATCH(G2612,Products!$A$5:$A$24,0)),"OK","Mismatch")</f>
        <v>OK</v>
      </c>
      <c r="I2612" s="39" t="str">
        <f aca="false">IF(COUNTIF($A$5:A2612,A2612)&gt;1,"Duplicate","Unique")</f>
        <v>Unique</v>
      </c>
      <c r="J2612" s="39" t="str">
        <f aca="false">IF(I2612="Duplicate","Remove",IF(H2612="Mismatch","Exclude","Keep"))</f>
        <v>Keep</v>
      </c>
    </row>
    <row r="2613" customFormat="false" ht="15" hidden="false" customHeight="false" outlineLevel="0" collapsed="false">
      <c r="A2613" s="39" t="s">
        <v>2662</v>
      </c>
      <c r="B2613" s="40" t="n">
        <v>45983</v>
      </c>
      <c r="C2613" s="39" t="s">
        <v>114</v>
      </c>
      <c r="D2613" s="39" t="n">
        <v>5</v>
      </c>
      <c r="E2613" s="41" t="n">
        <v>5.86</v>
      </c>
      <c r="F2613" s="39" t="s">
        <v>118</v>
      </c>
      <c r="G2613" s="39" t="str">
        <f aca="false">UPPER(TRIM(C2613))</f>
        <v>P012</v>
      </c>
      <c r="H2613" s="39" t="str">
        <f aca="false">IF(ISNUMBER(MATCH(G2613,Products!$A$5:$A$24,0)),"OK","Mismatch")</f>
        <v>OK</v>
      </c>
      <c r="I2613" s="39" t="str">
        <f aca="false">IF(COUNTIF($A$5:A2613,A2613)&gt;1,"Duplicate","Unique")</f>
        <v>Unique</v>
      </c>
      <c r="J2613" s="39" t="str">
        <f aca="false">IF(I2613="Duplicate","Remove",IF(H2613="Mismatch","Exclude","Keep"))</f>
        <v>Keep</v>
      </c>
    </row>
    <row r="2614" customFormat="false" ht="15" hidden="false" customHeight="false" outlineLevel="0" collapsed="false">
      <c r="A2614" s="39" t="s">
        <v>2663</v>
      </c>
      <c r="B2614" s="40" t="n">
        <v>45983</v>
      </c>
      <c r="C2614" s="39" t="s">
        <v>114</v>
      </c>
      <c r="D2614" s="39" t="n">
        <v>3</v>
      </c>
      <c r="E2614" s="41" t="n">
        <v>5.78</v>
      </c>
      <c r="F2614" s="39" t="s">
        <v>115</v>
      </c>
      <c r="G2614" s="39" t="str">
        <f aca="false">UPPER(TRIM(C2614))</f>
        <v>P012</v>
      </c>
      <c r="H2614" s="39" t="str">
        <f aca="false">IF(ISNUMBER(MATCH(G2614,Products!$A$5:$A$24,0)),"OK","Mismatch")</f>
        <v>OK</v>
      </c>
      <c r="I2614" s="39" t="str">
        <f aca="false">IF(COUNTIF($A$5:A2614,A2614)&gt;1,"Duplicate","Unique")</f>
        <v>Unique</v>
      </c>
      <c r="J2614" s="39" t="str">
        <f aca="false">IF(I2614="Duplicate","Remove",IF(H2614="Mismatch","Exclude","Keep"))</f>
        <v>Keep</v>
      </c>
    </row>
    <row r="2615" customFormat="false" ht="15" hidden="false" customHeight="false" outlineLevel="0" collapsed="false">
      <c r="A2615" s="39" t="s">
        <v>2664</v>
      </c>
      <c r="B2615" s="40" t="n">
        <v>45983</v>
      </c>
      <c r="C2615" s="39" t="s">
        <v>177</v>
      </c>
      <c r="D2615" s="39" t="n">
        <v>1</v>
      </c>
      <c r="E2615" s="41" t="n">
        <v>42.3</v>
      </c>
      <c r="F2615" s="39" t="s">
        <v>108</v>
      </c>
      <c r="G2615" s="39" t="str">
        <f aca="false">UPPER(TRIM(C2615))</f>
        <v>P014</v>
      </c>
      <c r="H2615" s="39" t="str">
        <f aca="false">IF(ISNUMBER(MATCH(G2615,Products!$A$5:$A$24,0)),"OK","Mismatch")</f>
        <v>OK</v>
      </c>
      <c r="I2615" s="39" t="str">
        <f aca="false">IF(COUNTIF($A$5:A2615,A2615)&gt;1,"Duplicate","Unique")</f>
        <v>Unique</v>
      </c>
      <c r="J2615" s="39" t="str">
        <f aca="false">IF(I2615="Duplicate","Remove",IF(H2615="Mismatch","Exclude","Keep"))</f>
        <v>Keep</v>
      </c>
    </row>
    <row r="2616" customFormat="false" ht="15" hidden="false" customHeight="false" outlineLevel="0" collapsed="false">
      <c r="A2616" s="39" t="s">
        <v>2665</v>
      </c>
      <c r="B2616" s="40" t="n">
        <v>45983</v>
      </c>
      <c r="C2616" s="39" t="s">
        <v>139</v>
      </c>
      <c r="D2616" s="39" t="n">
        <v>3</v>
      </c>
      <c r="E2616" s="41" t="n">
        <v>123.8</v>
      </c>
      <c r="F2616" s="39" t="s">
        <v>108</v>
      </c>
      <c r="G2616" s="39" t="str">
        <f aca="false">UPPER(TRIM(C2616))</f>
        <v>P006</v>
      </c>
      <c r="H2616" s="39" t="str">
        <f aca="false">IF(ISNUMBER(MATCH(G2616,Products!$A$5:$A$24,0)),"OK","Mismatch")</f>
        <v>OK</v>
      </c>
      <c r="I2616" s="39" t="str">
        <f aca="false">IF(COUNTIF($A$5:A2616,A2616)&gt;1,"Duplicate","Unique")</f>
        <v>Unique</v>
      </c>
      <c r="J2616" s="39" t="str">
        <f aca="false">IF(I2616="Duplicate","Remove",IF(H2616="Mismatch","Exclude","Keep"))</f>
        <v>Keep</v>
      </c>
    </row>
    <row r="2617" customFormat="false" ht="15" hidden="false" customHeight="false" outlineLevel="0" collapsed="false">
      <c r="A2617" s="39" t="s">
        <v>2666</v>
      </c>
      <c r="B2617" s="40" t="n">
        <v>45983</v>
      </c>
      <c r="C2617" s="39" t="s">
        <v>130</v>
      </c>
      <c r="D2617" s="39" t="n">
        <v>1</v>
      </c>
      <c r="E2617" s="41" t="n">
        <v>8.32</v>
      </c>
      <c r="F2617" s="39" t="s">
        <v>108</v>
      </c>
      <c r="G2617" s="39" t="str">
        <f aca="false">UPPER(TRIM(C2617))</f>
        <v>P011</v>
      </c>
      <c r="H2617" s="39" t="str">
        <f aca="false">IF(ISNUMBER(MATCH(G2617,Products!$A$5:$A$24,0)),"OK","Mismatch")</f>
        <v>OK</v>
      </c>
      <c r="I2617" s="39" t="str">
        <f aca="false">IF(COUNTIF($A$5:A2617,A2617)&gt;1,"Duplicate","Unique")</f>
        <v>Unique</v>
      </c>
      <c r="J2617" s="39" t="str">
        <f aca="false">IF(I2617="Duplicate","Remove",IF(H2617="Mismatch","Exclude","Keep"))</f>
        <v>Keep</v>
      </c>
    </row>
    <row r="2618" customFormat="false" ht="15" hidden="false" customHeight="false" outlineLevel="0" collapsed="false">
      <c r="A2618" s="39" t="s">
        <v>2667</v>
      </c>
      <c r="B2618" s="40" t="n">
        <v>45983</v>
      </c>
      <c r="C2618" s="39" t="s">
        <v>128</v>
      </c>
      <c r="D2618" s="39" t="n">
        <v>2</v>
      </c>
      <c r="E2618" s="41" t="n">
        <v>36.3</v>
      </c>
      <c r="F2618" s="39" t="s">
        <v>115</v>
      </c>
      <c r="G2618" s="39" t="str">
        <f aca="false">UPPER(TRIM(C2618))</f>
        <v>P020</v>
      </c>
      <c r="H2618" s="39" t="str">
        <f aca="false">IF(ISNUMBER(MATCH(G2618,Products!$A$5:$A$24,0)),"OK","Mismatch")</f>
        <v>OK</v>
      </c>
      <c r="I2618" s="39" t="str">
        <f aca="false">IF(COUNTIF($A$5:A2618,A2618)&gt;1,"Duplicate","Unique")</f>
        <v>Unique</v>
      </c>
      <c r="J2618" s="39" t="str">
        <f aca="false">IF(I2618="Duplicate","Remove",IF(H2618="Mismatch","Exclude","Keep"))</f>
        <v>Keep</v>
      </c>
    </row>
    <row r="2619" customFormat="false" ht="15" hidden="false" customHeight="false" outlineLevel="0" collapsed="false">
      <c r="A2619" s="39" t="s">
        <v>2668</v>
      </c>
      <c r="B2619" s="40" t="n">
        <v>45983</v>
      </c>
      <c r="C2619" s="39" t="s">
        <v>107</v>
      </c>
      <c r="D2619" s="39" t="n">
        <v>3</v>
      </c>
      <c r="E2619" s="41" t="n">
        <v>32.9</v>
      </c>
      <c r="F2619" s="39" t="s">
        <v>108</v>
      </c>
      <c r="G2619" s="39" t="str">
        <f aca="false">UPPER(TRIM(C2619))</f>
        <v>P003</v>
      </c>
      <c r="H2619" s="39" t="str">
        <f aca="false">IF(ISNUMBER(MATCH(G2619,Products!$A$5:$A$24,0)),"OK","Mismatch")</f>
        <v>OK</v>
      </c>
      <c r="I2619" s="39" t="str">
        <f aca="false">IF(COUNTIF($A$5:A2619,A2619)&gt;1,"Duplicate","Unique")</f>
        <v>Unique</v>
      </c>
      <c r="J2619" s="39" t="str">
        <f aca="false">IF(I2619="Duplicate","Remove",IF(H2619="Mismatch","Exclude","Keep"))</f>
        <v>Keep</v>
      </c>
    </row>
    <row r="2620" customFormat="false" ht="15" hidden="false" customHeight="false" outlineLevel="0" collapsed="false">
      <c r="A2620" s="39" t="s">
        <v>2669</v>
      </c>
      <c r="B2620" s="40" t="n">
        <v>45983</v>
      </c>
      <c r="C2620" s="39" t="s">
        <v>114</v>
      </c>
      <c r="D2620" s="39" t="n">
        <v>8</v>
      </c>
      <c r="E2620" s="41" t="n">
        <v>5.64</v>
      </c>
      <c r="F2620" s="39" t="s">
        <v>118</v>
      </c>
      <c r="G2620" s="39" t="str">
        <f aca="false">UPPER(TRIM(C2620))</f>
        <v>P012</v>
      </c>
      <c r="H2620" s="39" t="str">
        <f aca="false">IF(ISNUMBER(MATCH(G2620,Products!$A$5:$A$24,0)),"OK","Mismatch")</f>
        <v>OK</v>
      </c>
      <c r="I2620" s="39" t="str">
        <f aca="false">IF(COUNTIF($A$5:A2620,A2620)&gt;1,"Duplicate","Unique")</f>
        <v>Unique</v>
      </c>
      <c r="J2620" s="39" t="str">
        <f aca="false">IF(I2620="Duplicate","Remove",IF(H2620="Mismatch","Exclude","Keep"))</f>
        <v>Keep</v>
      </c>
    </row>
    <row r="2621" customFormat="false" ht="15" hidden="false" customHeight="false" outlineLevel="0" collapsed="false">
      <c r="A2621" s="39" t="s">
        <v>2670</v>
      </c>
      <c r="B2621" s="40" t="n">
        <v>45983</v>
      </c>
      <c r="C2621" s="39" t="s">
        <v>117</v>
      </c>
      <c r="D2621" s="39" t="n">
        <v>1</v>
      </c>
      <c r="E2621" s="41" t="n">
        <v>29.58</v>
      </c>
      <c r="F2621" s="39" t="s">
        <v>115</v>
      </c>
      <c r="G2621" s="39" t="str">
        <f aca="false">UPPER(TRIM(C2621))</f>
        <v>P009</v>
      </c>
      <c r="H2621" s="39" t="str">
        <f aca="false">IF(ISNUMBER(MATCH(G2621,Products!$A$5:$A$24,0)),"OK","Mismatch")</f>
        <v>OK</v>
      </c>
      <c r="I2621" s="39" t="str">
        <f aca="false">IF(COUNTIF($A$5:A2621,A2621)&gt;1,"Duplicate","Unique")</f>
        <v>Unique</v>
      </c>
      <c r="J2621" s="39" t="str">
        <f aca="false">IF(I2621="Duplicate","Remove",IF(H2621="Mismatch","Exclude","Keep"))</f>
        <v>Keep</v>
      </c>
    </row>
    <row r="2622" customFormat="false" ht="15" hidden="false" customHeight="false" outlineLevel="0" collapsed="false">
      <c r="A2622" s="39" t="s">
        <v>2671</v>
      </c>
      <c r="B2622" s="40" t="n">
        <v>45983</v>
      </c>
      <c r="C2622" s="39" t="s">
        <v>114</v>
      </c>
      <c r="D2622" s="39" t="n">
        <v>5</v>
      </c>
      <c r="E2622" s="41" t="n">
        <v>5.89</v>
      </c>
      <c r="F2622" s="39" t="s">
        <v>118</v>
      </c>
      <c r="G2622" s="39" t="str">
        <f aca="false">UPPER(TRIM(C2622))</f>
        <v>P012</v>
      </c>
      <c r="H2622" s="39" t="str">
        <f aca="false">IF(ISNUMBER(MATCH(G2622,Products!$A$5:$A$24,0)),"OK","Mismatch")</f>
        <v>OK</v>
      </c>
      <c r="I2622" s="39" t="str">
        <f aca="false">IF(COUNTIF($A$5:A2622,A2622)&gt;1,"Duplicate","Unique")</f>
        <v>Unique</v>
      </c>
      <c r="J2622" s="39" t="str">
        <f aca="false">IF(I2622="Duplicate","Remove",IF(H2622="Mismatch","Exclude","Keep"))</f>
        <v>Keep</v>
      </c>
    </row>
    <row r="2623" customFormat="false" ht="15" hidden="false" customHeight="false" outlineLevel="0" collapsed="false">
      <c r="A2623" s="39" t="s">
        <v>2672</v>
      </c>
      <c r="B2623" s="40" t="n">
        <v>45984</v>
      </c>
      <c r="C2623" s="39" t="s">
        <v>114</v>
      </c>
      <c r="D2623" s="39" t="n">
        <v>4</v>
      </c>
      <c r="E2623" s="41" t="n">
        <v>5.61</v>
      </c>
      <c r="F2623" s="39" t="s">
        <v>108</v>
      </c>
      <c r="G2623" s="39" t="str">
        <f aca="false">UPPER(TRIM(C2623))</f>
        <v>P012</v>
      </c>
      <c r="H2623" s="39" t="str">
        <f aca="false">IF(ISNUMBER(MATCH(G2623,Products!$A$5:$A$24,0)),"OK","Mismatch")</f>
        <v>OK</v>
      </c>
      <c r="I2623" s="39" t="str">
        <f aca="false">IF(COUNTIF($A$5:A2623,A2623)&gt;1,"Duplicate","Unique")</f>
        <v>Unique</v>
      </c>
      <c r="J2623" s="39" t="str">
        <f aca="false">IF(I2623="Duplicate","Remove",IF(H2623="Mismatch","Exclude","Keep"))</f>
        <v>Keep</v>
      </c>
    </row>
    <row r="2624" customFormat="false" ht="15" hidden="false" customHeight="false" outlineLevel="0" collapsed="false">
      <c r="A2624" s="39" t="s">
        <v>2673</v>
      </c>
      <c r="B2624" s="40" t="n">
        <v>45984</v>
      </c>
      <c r="C2624" s="39" t="s">
        <v>177</v>
      </c>
      <c r="D2624" s="39" t="n">
        <v>1</v>
      </c>
      <c r="E2624" s="41" t="n">
        <v>41.51</v>
      </c>
      <c r="F2624" s="39" t="s">
        <v>115</v>
      </c>
      <c r="G2624" s="39" t="str">
        <f aca="false">UPPER(TRIM(C2624))</f>
        <v>P014</v>
      </c>
      <c r="H2624" s="39" t="str">
        <f aca="false">IF(ISNUMBER(MATCH(G2624,Products!$A$5:$A$24,0)),"OK","Mismatch")</f>
        <v>OK</v>
      </c>
      <c r="I2624" s="39" t="str">
        <f aca="false">IF(COUNTIF($A$5:A2624,A2624)&gt;1,"Duplicate","Unique")</f>
        <v>Unique</v>
      </c>
      <c r="J2624" s="39" t="str">
        <f aca="false">IF(I2624="Duplicate","Remove",IF(H2624="Mismatch","Exclude","Keep"))</f>
        <v>Keep</v>
      </c>
    </row>
    <row r="2625" customFormat="false" ht="15" hidden="false" customHeight="false" outlineLevel="0" collapsed="false">
      <c r="A2625" s="39" t="s">
        <v>2674</v>
      </c>
      <c r="B2625" s="40" t="n">
        <v>45984</v>
      </c>
      <c r="C2625" s="39" t="s">
        <v>130</v>
      </c>
      <c r="D2625" s="39" t="n">
        <v>2</v>
      </c>
      <c r="E2625" s="41" t="n">
        <v>8.38</v>
      </c>
      <c r="F2625" s="39" t="s">
        <v>105</v>
      </c>
      <c r="G2625" s="39" t="str">
        <f aca="false">UPPER(TRIM(C2625))</f>
        <v>P011</v>
      </c>
      <c r="H2625" s="39" t="str">
        <f aca="false">IF(ISNUMBER(MATCH(G2625,Products!$A$5:$A$24,0)),"OK","Mismatch")</f>
        <v>OK</v>
      </c>
      <c r="I2625" s="39" t="str">
        <f aca="false">IF(COUNTIF($A$5:A2625,A2625)&gt;1,"Duplicate","Unique")</f>
        <v>Unique</v>
      </c>
      <c r="J2625" s="39" t="str">
        <f aca="false">IF(I2625="Duplicate","Remove",IF(H2625="Mismatch","Exclude","Keep"))</f>
        <v>Keep</v>
      </c>
    </row>
    <row r="2626" customFormat="false" ht="15" hidden="false" customHeight="false" outlineLevel="0" collapsed="false">
      <c r="A2626" s="39" t="s">
        <v>2675</v>
      </c>
      <c r="B2626" s="40" t="n">
        <v>45984</v>
      </c>
      <c r="C2626" s="39" t="s">
        <v>169</v>
      </c>
      <c r="D2626" s="39" t="n">
        <v>2</v>
      </c>
      <c r="E2626" s="41" t="n">
        <v>27.91</v>
      </c>
      <c r="F2626" s="39" t="s">
        <v>118</v>
      </c>
      <c r="G2626" s="39" t="str">
        <f aca="false">UPPER(TRIM(C2626))</f>
        <v>P004</v>
      </c>
      <c r="H2626" s="39" t="str">
        <f aca="false">IF(ISNUMBER(MATCH(G2626,Products!$A$5:$A$24,0)),"OK","Mismatch")</f>
        <v>OK</v>
      </c>
      <c r="I2626" s="39" t="str">
        <f aca="false">IF(COUNTIF($A$5:A2626,A2626)&gt;1,"Duplicate","Unique")</f>
        <v>Unique</v>
      </c>
      <c r="J2626" s="39" t="str">
        <f aca="false">IF(I2626="Duplicate","Remove",IF(H2626="Mismatch","Exclude","Keep"))</f>
        <v>Keep</v>
      </c>
    </row>
    <row r="2627" customFormat="false" ht="15" hidden="false" customHeight="false" outlineLevel="0" collapsed="false">
      <c r="A2627" s="39" t="s">
        <v>2676</v>
      </c>
      <c r="B2627" s="40" t="n">
        <v>45984</v>
      </c>
      <c r="C2627" s="39" t="s">
        <v>133</v>
      </c>
      <c r="D2627" s="39" t="n">
        <v>1</v>
      </c>
      <c r="E2627" s="41" t="n">
        <v>8.78</v>
      </c>
      <c r="F2627" s="39" t="s">
        <v>115</v>
      </c>
      <c r="G2627" s="39" t="str">
        <f aca="false">UPPER(TRIM(C2627))</f>
        <v>P019</v>
      </c>
      <c r="H2627" s="39" t="str">
        <f aca="false">IF(ISNUMBER(MATCH(G2627,Products!$A$5:$A$24,0)),"OK","Mismatch")</f>
        <v>OK</v>
      </c>
      <c r="I2627" s="39" t="str">
        <f aca="false">IF(COUNTIF($A$5:A2627,A2627)&gt;1,"Duplicate","Unique")</f>
        <v>Unique</v>
      </c>
      <c r="J2627" s="39" t="str">
        <f aca="false">IF(I2627="Duplicate","Remove",IF(H2627="Mismatch","Exclude","Keep"))</f>
        <v>Keep</v>
      </c>
    </row>
    <row r="2628" customFormat="false" ht="15" hidden="false" customHeight="false" outlineLevel="0" collapsed="false">
      <c r="A2628" s="39" t="s">
        <v>2677</v>
      </c>
      <c r="B2628" s="40" t="n">
        <v>45984</v>
      </c>
      <c r="C2628" s="39" t="s">
        <v>110</v>
      </c>
      <c r="D2628" s="39" t="n">
        <v>4</v>
      </c>
      <c r="E2628" s="41" t="n">
        <v>13.32</v>
      </c>
      <c r="F2628" s="39" t="s">
        <v>115</v>
      </c>
      <c r="G2628" s="39" t="str">
        <f aca="false">UPPER(TRIM(C2628))</f>
        <v>P016</v>
      </c>
      <c r="H2628" s="39" t="str">
        <f aca="false">IF(ISNUMBER(MATCH(G2628,Products!$A$5:$A$24,0)),"OK","Mismatch")</f>
        <v>OK</v>
      </c>
      <c r="I2628" s="39" t="str">
        <f aca="false">IF(COUNTIF($A$5:A2628,A2628)&gt;1,"Duplicate","Unique")</f>
        <v>Unique</v>
      </c>
      <c r="J2628" s="39" t="str">
        <f aca="false">IF(I2628="Duplicate","Remove",IF(H2628="Mismatch","Exclude","Keep"))</f>
        <v>Keep</v>
      </c>
    </row>
    <row r="2629" customFormat="false" ht="15" hidden="false" customHeight="false" outlineLevel="0" collapsed="false">
      <c r="A2629" s="39" t="s">
        <v>2678</v>
      </c>
      <c r="B2629" s="40" t="n">
        <v>45984</v>
      </c>
      <c r="C2629" s="39" t="s">
        <v>104</v>
      </c>
      <c r="D2629" s="39" t="n">
        <v>2</v>
      </c>
      <c r="E2629" s="41" t="n">
        <v>15.51</v>
      </c>
      <c r="F2629" s="39" t="s">
        <v>108</v>
      </c>
      <c r="G2629" s="39" t="str">
        <f aca="false">UPPER(TRIM(C2629))</f>
        <v>P015</v>
      </c>
      <c r="H2629" s="39" t="str">
        <f aca="false">IF(ISNUMBER(MATCH(G2629,Products!$A$5:$A$24,0)),"OK","Mismatch")</f>
        <v>OK</v>
      </c>
      <c r="I2629" s="39" t="str">
        <f aca="false">IF(COUNTIF($A$5:A2629,A2629)&gt;1,"Duplicate","Unique")</f>
        <v>Unique</v>
      </c>
      <c r="J2629" s="39" t="str">
        <f aca="false">IF(I2629="Duplicate","Remove",IF(H2629="Mismatch","Exclude","Keep"))</f>
        <v>Keep</v>
      </c>
    </row>
    <row r="2630" customFormat="false" ht="15" hidden="false" customHeight="false" outlineLevel="0" collapsed="false">
      <c r="A2630" s="39" t="s">
        <v>2679</v>
      </c>
      <c r="B2630" s="40" t="n">
        <v>45984</v>
      </c>
      <c r="C2630" s="39" t="s">
        <v>117</v>
      </c>
      <c r="D2630" s="39" t="n">
        <v>3</v>
      </c>
      <c r="E2630" s="41" t="n">
        <v>31.75</v>
      </c>
      <c r="F2630" s="39" t="s">
        <v>105</v>
      </c>
      <c r="G2630" s="39" t="str">
        <f aca="false">UPPER(TRIM(C2630))</f>
        <v>P009</v>
      </c>
      <c r="H2630" s="39" t="str">
        <f aca="false">IF(ISNUMBER(MATCH(G2630,Products!$A$5:$A$24,0)),"OK","Mismatch")</f>
        <v>OK</v>
      </c>
      <c r="I2630" s="39" t="str">
        <f aca="false">IF(COUNTIF($A$5:A2630,A2630)&gt;1,"Duplicate","Unique")</f>
        <v>Unique</v>
      </c>
      <c r="J2630" s="39" t="str">
        <f aca="false">IF(I2630="Duplicate","Remove",IF(H2630="Mismatch","Exclude","Keep"))</f>
        <v>Keep</v>
      </c>
    </row>
    <row r="2631" customFormat="false" ht="15" hidden="false" customHeight="false" outlineLevel="0" collapsed="false">
      <c r="A2631" s="39" t="s">
        <v>2680</v>
      </c>
      <c r="B2631" s="40" t="n">
        <v>45984</v>
      </c>
      <c r="C2631" s="39" t="s">
        <v>136</v>
      </c>
      <c r="D2631" s="39" t="n">
        <v>8</v>
      </c>
      <c r="E2631" s="41" t="n">
        <v>75.04</v>
      </c>
      <c r="F2631" s="39" t="s">
        <v>118</v>
      </c>
      <c r="G2631" s="39" t="str">
        <f aca="false">UPPER(TRIM(C2631))</f>
        <v>P002</v>
      </c>
      <c r="H2631" s="39" t="str">
        <f aca="false">IF(ISNUMBER(MATCH(G2631,Products!$A$5:$A$24,0)),"OK","Mismatch")</f>
        <v>OK</v>
      </c>
      <c r="I2631" s="39" t="str">
        <f aca="false">IF(COUNTIF($A$5:A2631,A2631)&gt;1,"Duplicate","Unique")</f>
        <v>Unique</v>
      </c>
      <c r="J2631" s="39" t="str">
        <f aca="false">IF(I2631="Duplicate","Remove",IF(H2631="Mismatch","Exclude","Keep"))</f>
        <v>Keep</v>
      </c>
    </row>
    <row r="2632" customFormat="false" ht="15" hidden="false" customHeight="false" outlineLevel="0" collapsed="false">
      <c r="A2632" s="39" t="s">
        <v>2681</v>
      </c>
      <c r="B2632" s="40" t="n">
        <v>45984</v>
      </c>
      <c r="C2632" s="39" t="s">
        <v>162</v>
      </c>
      <c r="D2632" s="39" t="n">
        <v>1</v>
      </c>
      <c r="E2632" s="41" t="n">
        <v>67.14</v>
      </c>
      <c r="F2632" s="39" t="s">
        <v>108</v>
      </c>
      <c r="G2632" s="39" t="str">
        <f aca="false">UPPER(TRIM(C2632))</f>
        <v>P017</v>
      </c>
      <c r="H2632" s="39" t="str">
        <f aca="false">IF(ISNUMBER(MATCH(G2632,Products!$A$5:$A$24,0)),"OK","Mismatch")</f>
        <v>OK</v>
      </c>
      <c r="I2632" s="39" t="str">
        <f aca="false">IF(COUNTIF($A$5:A2632,A2632)&gt;1,"Duplicate","Unique")</f>
        <v>Unique</v>
      </c>
      <c r="J2632" s="39" t="str">
        <f aca="false">IF(I2632="Duplicate","Remove",IF(H2632="Mismatch","Exclude","Keep"))</f>
        <v>Keep</v>
      </c>
    </row>
    <row r="2633" customFormat="false" ht="15" hidden="false" customHeight="false" outlineLevel="0" collapsed="false">
      <c r="A2633" s="39" t="s">
        <v>2682</v>
      </c>
      <c r="B2633" s="40" t="n">
        <v>45985</v>
      </c>
      <c r="C2633" s="39" t="s">
        <v>104</v>
      </c>
      <c r="D2633" s="39" t="n">
        <v>3</v>
      </c>
      <c r="E2633" s="41" t="n">
        <v>15.57</v>
      </c>
      <c r="F2633" s="39" t="s">
        <v>108</v>
      </c>
      <c r="G2633" s="39" t="str">
        <f aca="false">UPPER(TRIM(C2633))</f>
        <v>P015</v>
      </c>
      <c r="H2633" s="39" t="str">
        <f aca="false">IF(ISNUMBER(MATCH(G2633,Products!$A$5:$A$24,0)),"OK","Mismatch")</f>
        <v>OK</v>
      </c>
      <c r="I2633" s="39" t="str">
        <f aca="false">IF(COUNTIF($A$5:A2633,A2633)&gt;1,"Duplicate","Unique")</f>
        <v>Unique</v>
      </c>
      <c r="J2633" s="39" t="str">
        <f aca="false">IF(I2633="Duplicate","Remove",IF(H2633="Mismatch","Exclude","Keep"))</f>
        <v>Keep</v>
      </c>
    </row>
    <row r="2634" customFormat="false" ht="15" hidden="false" customHeight="false" outlineLevel="0" collapsed="false">
      <c r="A2634" s="39" t="s">
        <v>2683</v>
      </c>
      <c r="B2634" s="40" t="n">
        <v>45985</v>
      </c>
      <c r="C2634" s="39" t="s">
        <v>133</v>
      </c>
      <c r="D2634" s="39" t="n">
        <v>2</v>
      </c>
      <c r="E2634" s="41" t="n">
        <v>8.91</v>
      </c>
      <c r="F2634" s="39" t="s">
        <v>108</v>
      </c>
      <c r="G2634" s="39" t="str">
        <f aca="false">UPPER(TRIM(C2634))</f>
        <v>P019</v>
      </c>
      <c r="H2634" s="39" t="str">
        <f aca="false">IF(ISNUMBER(MATCH(G2634,Products!$A$5:$A$24,0)),"OK","Mismatch")</f>
        <v>OK</v>
      </c>
      <c r="I2634" s="39" t="str">
        <f aca="false">IF(COUNTIF($A$5:A2634,A2634)&gt;1,"Duplicate","Unique")</f>
        <v>Unique</v>
      </c>
      <c r="J2634" s="39" t="str">
        <f aca="false">IF(I2634="Duplicate","Remove",IF(H2634="Mismatch","Exclude","Keep"))</f>
        <v>Keep</v>
      </c>
    </row>
    <row r="2635" customFormat="false" ht="15" hidden="false" customHeight="false" outlineLevel="0" collapsed="false">
      <c r="A2635" s="39" t="s">
        <v>2684</v>
      </c>
      <c r="B2635" s="40" t="n">
        <v>45985</v>
      </c>
      <c r="C2635" s="39" t="s">
        <v>136</v>
      </c>
      <c r="D2635" s="39" t="n">
        <v>1</v>
      </c>
      <c r="E2635" s="41" t="n">
        <v>77.09</v>
      </c>
      <c r="F2635" s="39" t="s">
        <v>118</v>
      </c>
      <c r="G2635" s="39" t="str">
        <f aca="false">UPPER(TRIM(C2635))</f>
        <v>P002</v>
      </c>
      <c r="H2635" s="39" t="str">
        <f aca="false">IF(ISNUMBER(MATCH(G2635,Products!$A$5:$A$24,0)),"OK","Mismatch")</f>
        <v>OK</v>
      </c>
      <c r="I2635" s="39" t="str">
        <f aca="false">IF(COUNTIF($A$5:A2635,A2635)&gt;1,"Duplicate","Unique")</f>
        <v>Unique</v>
      </c>
      <c r="J2635" s="39" t="str">
        <f aca="false">IF(I2635="Duplicate","Remove",IF(H2635="Mismatch","Exclude","Keep"))</f>
        <v>Keep</v>
      </c>
    </row>
    <row r="2636" customFormat="false" ht="15" hidden="false" customHeight="false" outlineLevel="0" collapsed="false">
      <c r="A2636" s="39" t="s">
        <v>2685</v>
      </c>
      <c r="B2636" s="40" t="n">
        <v>45985</v>
      </c>
      <c r="C2636" s="39" t="s">
        <v>133</v>
      </c>
      <c r="D2636" s="39" t="n">
        <v>4</v>
      </c>
      <c r="E2636" s="41" t="n">
        <v>8.3</v>
      </c>
      <c r="F2636" s="39" t="s">
        <v>118</v>
      </c>
      <c r="G2636" s="39" t="str">
        <f aca="false">UPPER(TRIM(C2636))</f>
        <v>P019</v>
      </c>
      <c r="H2636" s="39" t="str">
        <f aca="false">IF(ISNUMBER(MATCH(G2636,Products!$A$5:$A$24,0)),"OK","Mismatch")</f>
        <v>OK</v>
      </c>
      <c r="I2636" s="39" t="str">
        <f aca="false">IF(COUNTIF($A$5:A2636,A2636)&gt;1,"Duplicate","Unique")</f>
        <v>Unique</v>
      </c>
      <c r="J2636" s="39" t="str">
        <f aca="false">IF(I2636="Duplicate","Remove",IF(H2636="Mismatch","Exclude","Keep"))</f>
        <v>Keep</v>
      </c>
    </row>
    <row r="2637" customFormat="false" ht="15" hidden="false" customHeight="false" outlineLevel="0" collapsed="false">
      <c r="A2637" s="39" t="s">
        <v>2686</v>
      </c>
      <c r="B2637" s="40" t="n">
        <v>45985</v>
      </c>
      <c r="C2637" s="39" t="s">
        <v>104</v>
      </c>
      <c r="D2637" s="39" t="n">
        <v>6</v>
      </c>
      <c r="E2637" s="41" t="n">
        <v>15.74</v>
      </c>
      <c r="F2637" s="39" t="s">
        <v>118</v>
      </c>
      <c r="G2637" s="39" t="str">
        <f aca="false">UPPER(TRIM(C2637))</f>
        <v>P015</v>
      </c>
      <c r="H2637" s="39" t="str">
        <f aca="false">IF(ISNUMBER(MATCH(G2637,Products!$A$5:$A$24,0)),"OK","Mismatch")</f>
        <v>OK</v>
      </c>
      <c r="I2637" s="39" t="str">
        <f aca="false">IF(COUNTIF($A$5:A2637,A2637)&gt;1,"Duplicate","Unique")</f>
        <v>Unique</v>
      </c>
      <c r="J2637" s="39" t="str">
        <f aca="false">IF(I2637="Duplicate","Remove",IF(H2637="Mismatch","Exclude","Keep"))</f>
        <v>Keep</v>
      </c>
    </row>
    <row r="2638" customFormat="false" ht="15" hidden="false" customHeight="false" outlineLevel="0" collapsed="false">
      <c r="A2638" s="39" t="s">
        <v>2687</v>
      </c>
      <c r="B2638" s="40" t="n">
        <v>45985</v>
      </c>
      <c r="C2638" s="39" t="s">
        <v>126</v>
      </c>
      <c r="D2638" s="39" t="n">
        <v>3</v>
      </c>
      <c r="E2638" s="41" t="n">
        <v>23.19</v>
      </c>
      <c r="F2638" s="39" t="s">
        <v>118</v>
      </c>
      <c r="G2638" s="39" t="str">
        <f aca="false">UPPER(TRIM(C2638))</f>
        <v>P001</v>
      </c>
      <c r="H2638" s="39" t="str">
        <f aca="false">IF(ISNUMBER(MATCH(G2638,Products!$A$5:$A$24,0)),"OK","Mismatch")</f>
        <v>OK</v>
      </c>
      <c r="I2638" s="39" t="str">
        <f aca="false">IF(COUNTIF($A$5:A2638,A2638)&gt;1,"Duplicate","Unique")</f>
        <v>Unique</v>
      </c>
      <c r="J2638" s="39" t="str">
        <f aca="false">IF(I2638="Duplicate","Remove",IF(H2638="Mismatch","Exclude","Keep"))</f>
        <v>Keep</v>
      </c>
    </row>
    <row r="2639" customFormat="false" ht="15" hidden="false" customHeight="false" outlineLevel="0" collapsed="false">
      <c r="A2639" s="39" t="s">
        <v>2688</v>
      </c>
      <c r="B2639" s="40" t="n">
        <v>45985</v>
      </c>
      <c r="C2639" s="39" t="s">
        <v>162</v>
      </c>
      <c r="D2639" s="39" t="n">
        <v>2</v>
      </c>
      <c r="E2639" s="41" t="n">
        <v>67.37</v>
      </c>
      <c r="F2639" s="39" t="s">
        <v>118</v>
      </c>
      <c r="G2639" s="39" t="str">
        <f aca="false">UPPER(TRIM(C2639))</f>
        <v>P017</v>
      </c>
      <c r="H2639" s="39" t="str">
        <f aca="false">IF(ISNUMBER(MATCH(G2639,Products!$A$5:$A$24,0)),"OK","Mismatch")</f>
        <v>OK</v>
      </c>
      <c r="I2639" s="39" t="str">
        <f aca="false">IF(COUNTIF($A$5:A2639,A2639)&gt;1,"Duplicate","Unique")</f>
        <v>Unique</v>
      </c>
      <c r="J2639" s="39" t="str">
        <f aca="false">IF(I2639="Duplicate","Remove",IF(H2639="Mismatch","Exclude","Keep"))</f>
        <v>Keep</v>
      </c>
    </row>
    <row r="2640" customFormat="false" ht="15" hidden="false" customHeight="false" outlineLevel="0" collapsed="false">
      <c r="A2640" s="39" t="s">
        <v>2689</v>
      </c>
      <c r="B2640" s="40" t="n">
        <v>45985</v>
      </c>
      <c r="C2640" s="39" t="s">
        <v>114</v>
      </c>
      <c r="D2640" s="39" t="n">
        <v>6</v>
      </c>
      <c r="E2640" s="41" t="n">
        <v>5.62</v>
      </c>
      <c r="F2640" s="39" t="s">
        <v>118</v>
      </c>
      <c r="G2640" s="39" t="str">
        <f aca="false">UPPER(TRIM(C2640))</f>
        <v>P012</v>
      </c>
      <c r="H2640" s="39" t="str">
        <f aca="false">IF(ISNUMBER(MATCH(G2640,Products!$A$5:$A$24,0)),"OK","Mismatch")</f>
        <v>OK</v>
      </c>
      <c r="I2640" s="39" t="str">
        <f aca="false">IF(COUNTIF($A$5:A2640,A2640)&gt;1,"Duplicate","Unique")</f>
        <v>Unique</v>
      </c>
      <c r="J2640" s="39" t="str">
        <f aca="false">IF(I2640="Duplicate","Remove",IF(H2640="Mismatch","Exclude","Keep"))</f>
        <v>Keep</v>
      </c>
    </row>
    <row r="2641" customFormat="false" ht="15" hidden="false" customHeight="false" outlineLevel="0" collapsed="false">
      <c r="A2641" s="39" t="s">
        <v>2690</v>
      </c>
      <c r="B2641" s="40" t="n">
        <v>45985</v>
      </c>
      <c r="C2641" s="39" t="s">
        <v>139</v>
      </c>
      <c r="D2641" s="39" t="n">
        <v>3</v>
      </c>
      <c r="E2641" s="41" t="n">
        <v>125.3</v>
      </c>
      <c r="F2641" s="39" t="s">
        <v>118</v>
      </c>
      <c r="G2641" s="39" t="str">
        <f aca="false">UPPER(TRIM(C2641))</f>
        <v>P006</v>
      </c>
      <c r="H2641" s="39" t="str">
        <f aca="false">IF(ISNUMBER(MATCH(G2641,Products!$A$5:$A$24,0)),"OK","Mismatch")</f>
        <v>OK</v>
      </c>
      <c r="I2641" s="39" t="str">
        <f aca="false">IF(COUNTIF($A$5:A2641,A2641)&gt;1,"Duplicate","Unique")</f>
        <v>Unique</v>
      </c>
      <c r="J2641" s="39" t="str">
        <f aca="false">IF(I2641="Duplicate","Remove",IF(H2641="Mismatch","Exclude","Keep"))</f>
        <v>Keep</v>
      </c>
    </row>
    <row r="2642" customFormat="false" ht="15" hidden="false" customHeight="false" outlineLevel="0" collapsed="false">
      <c r="A2642" s="39" t="s">
        <v>2691</v>
      </c>
      <c r="B2642" s="40" t="n">
        <v>45986</v>
      </c>
      <c r="C2642" s="39" t="s">
        <v>128</v>
      </c>
      <c r="D2642" s="39" t="n">
        <v>3</v>
      </c>
      <c r="E2642" s="41" t="n">
        <v>36.81</v>
      </c>
      <c r="F2642" s="39" t="s">
        <v>115</v>
      </c>
      <c r="G2642" s="39" t="str">
        <f aca="false">UPPER(TRIM(C2642))</f>
        <v>P020</v>
      </c>
      <c r="H2642" s="39" t="str">
        <f aca="false">IF(ISNUMBER(MATCH(G2642,Products!$A$5:$A$24,0)),"OK","Mismatch")</f>
        <v>OK</v>
      </c>
      <c r="I2642" s="39" t="str">
        <f aca="false">IF(COUNTIF($A$5:A2642,A2642)&gt;1,"Duplicate","Unique")</f>
        <v>Unique</v>
      </c>
      <c r="J2642" s="39" t="str">
        <f aca="false">IF(I2642="Duplicate","Remove",IF(H2642="Mismatch","Exclude","Keep"))</f>
        <v>Keep</v>
      </c>
    </row>
    <row r="2643" customFormat="false" ht="15" hidden="false" customHeight="false" outlineLevel="0" collapsed="false">
      <c r="A2643" s="39" t="s">
        <v>2692</v>
      </c>
      <c r="B2643" s="40" t="n">
        <v>45986</v>
      </c>
      <c r="C2643" s="39" t="s">
        <v>126</v>
      </c>
      <c r="D2643" s="39" t="n">
        <v>2</v>
      </c>
      <c r="E2643" s="41" t="n">
        <v>24.52</v>
      </c>
      <c r="F2643" s="39" t="s">
        <v>118</v>
      </c>
      <c r="G2643" s="39" t="str">
        <f aca="false">UPPER(TRIM(C2643))</f>
        <v>P001</v>
      </c>
      <c r="H2643" s="39" t="str">
        <f aca="false">IF(ISNUMBER(MATCH(G2643,Products!$A$5:$A$24,0)),"OK","Mismatch")</f>
        <v>OK</v>
      </c>
      <c r="I2643" s="39" t="str">
        <f aca="false">IF(COUNTIF($A$5:A2643,A2643)&gt;1,"Duplicate","Unique")</f>
        <v>Unique</v>
      </c>
      <c r="J2643" s="39" t="str">
        <f aca="false">IF(I2643="Duplicate","Remove",IF(H2643="Mismatch","Exclude","Keep"))</f>
        <v>Keep</v>
      </c>
    </row>
    <row r="2644" customFormat="false" ht="15" hidden="false" customHeight="false" outlineLevel="0" collapsed="false">
      <c r="A2644" s="39" t="s">
        <v>2693</v>
      </c>
      <c r="B2644" s="40" t="n">
        <v>45986</v>
      </c>
      <c r="C2644" s="39" t="s">
        <v>130</v>
      </c>
      <c r="D2644" s="39" t="n">
        <v>6</v>
      </c>
      <c r="E2644" s="41" t="n">
        <v>8.53</v>
      </c>
      <c r="F2644" s="39" t="s">
        <v>108</v>
      </c>
      <c r="G2644" s="39" t="str">
        <f aca="false">UPPER(TRIM(C2644))</f>
        <v>P011</v>
      </c>
      <c r="H2644" s="39" t="str">
        <f aca="false">IF(ISNUMBER(MATCH(G2644,Products!$A$5:$A$24,0)),"OK","Mismatch")</f>
        <v>OK</v>
      </c>
      <c r="I2644" s="39" t="str">
        <f aca="false">IF(COUNTIF($A$5:A2644,A2644)&gt;1,"Duplicate","Unique")</f>
        <v>Unique</v>
      </c>
      <c r="J2644" s="39" t="str">
        <f aca="false">IF(I2644="Duplicate","Remove",IF(H2644="Mismatch","Exclude","Keep"))</f>
        <v>Keep</v>
      </c>
    </row>
    <row r="2645" customFormat="false" ht="15" hidden="false" customHeight="false" outlineLevel="0" collapsed="false">
      <c r="A2645" s="39" t="s">
        <v>2694</v>
      </c>
      <c r="B2645" s="40" t="n">
        <v>45986</v>
      </c>
      <c r="C2645" s="39" t="s">
        <v>169</v>
      </c>
      <c r="D2645" s="39" t="n">
        <v>2</v>
      </c>
      <c r="E2645" s="41" t="n">
        <v>27.51</v>
      </c>
      <c r="F2645" s="39" t="s">
        <v>118</v>
      </c>
      <c r="G2645" s="39" t="str">
        <f aca="false">UPPER(TRIM(C2645))</f>
        <v>P004</v>
      </c>
      <c r="H2645" s="39" t="str">
        <f aca="false">IF(ISNUMBER(MATCH(G2645,Products!$A$5:$A$24,0)),"OK","Mismatch")</f>
        <v>OK</v>
      </c>
      <c r="I2645" s="39" t="str">
        <f aca="false">IF(COUNTIF($A$5:A2645,A2645)&gt;1,"Duplicate","Unique")</f>
        <v>Unique</v>
      </c>
      <c r="J2645" s="39" t="str">
        <f aca="false">IF(I2645="Duplicate","Remove",IF(H2645="Mismatch","Exclude","Keep"))</f>
        <v>Keep</v>
      </c>
    </row>
    <row r="2646" customFormat="false" ht="15" hidden="false" customHeight="false" outlineLevel="0" collapsed="false">
      <c r="A2646" s="39" t="s">
        <v>2695</v>
      </c>
      <c r="B2646" s="40" t="n">
        <v>45986</v>
      </c>
      <c r="C2646" s="39" t="s">
        <v>126</v>
      </c>
      <c r="D2646" s="39" t="n">
        <v>6</v>
      </c>
      <c r="E2646" s="41" t="n">
        <v>24.3</v>
      </c>
      <c r="F2646" s="39" t="s">
        <v>108</v>
      </c>
      <c r="G2646" s="39" t="str">
        <f aca="false">UPPER(TRIM(C2646))</f>
        <v>P001</v>
      </c>
      <c r="H2646" s="39" t="str">
        <f aca="false">IF(ISNUMBER(MATCH(G2646,Products!$A$5:$A$24,0)),"OK","Mismatch")</f>
        <v>OK</v>
      </c>
      <c r="I2646" s="39" t="str">
        <f aca="false">IF(COUNTIF($A$5:A2646,A2646)&gt;1,"Duplicate","Unique")</f>
        <v>Unique</v>
      </c>
      <c r="J2646" s="39" t="str">
        <f aca="false">IF(I2646="Duplicate","Remove",IF(H2646="Mismatch","Exclude","Keep"))</f>
        <v>Keep</v>
      </c>
    </row>
    <row r="2647" customFormat="false" ht="15" hidden="false" customHeight="false" outlineLevel="0" collapsed="false">
      <c r="A2647" s="39" t="s">
        <v>2696</v>
      </c>
      <c r="B2647" s="40" t="n">
        <v>45986</v>
      </c>
      <c r="C2647" s="39" t="s">
        <v>139</v>
      </c>
      <c r="D2647" s="39" t="n">
        <v>4</v>
      </c>
      <c r="E2647" s="41" t="n">
        <v>126.42</v>
      </c>
      <c r="F2647" s="39" t="s">
        <v>115</v>
      </c>
      <c r="G2647" s="39" t="str">
        <f aca="false">UPPER(TRIM(C2647))</f>
        <v>P006</v>
      </c>
      <c r="H2647" s="39" t="str">
        <f aca="false">IF(ISNUMBER(MATCH(G2647,Products!$A$5:$A$24,0)),"OK","Mismatch")</f>
        <v>OK</v>
      </c>
      <c r="I2647" s="39" t="str">
        <f aca="false">IF(COUNTIF($A$5:A2647,A2647)&gt;1,"Duplicate","Unique")</f>
        <v>Unique</v>
      </c>
      <c r="J2647" s="39" t="str">
        <f aca="false">IF(I2647="Duplicate","Remove",IF(H2647="Mismatch","Exclude","Keep"))</f>
        <v>Keep</v>
      </c>
    </row>
    <row r="2648" customFormat="false" ht="15" hidden="false" customHeight="false" outlineLevel="0" collapsed="false">
      <c r="A2648" s="39" t="s">
        <v>2697</v>
      </c>
      <c r="B2648" s="40" t="n">
        <v>45986</v>
      </c>
      <c r="C2648" s="39" t="s">
        <v>183</v>
      </c>
      <c r="D2648" s="39" t="n">
        <v>4</v>
      </c>
      <c r="E2648" s="41" t="n">
        <v>186.55</v>
      </c>
      <c r="F2648" s="39" t="s">
        <v>115</v>
      </c>
      <c r="G2648" s="39" t="str">
        <f aca="false">UPPER(TRIM(C2648))</f>
        <v>P007</v>
      </c>
      <c r="H2648" s="39" t="str">
        <f aca="false">IF(ISNUMBER(MATCH(G2648,Products!$A$5:$A$24,0)),"OK","Mismatch")</f>
        <v>OK</v>
      </c>
      <c r="I2648" s="39" t="str">
        <f aca="false">IF(COUNTIF($A$5:A2648,A2648)&gt;1,"Duplicate","Unique")</f>
        <v>Unique</v>
      </c>
      <c r="J2648" s="39" t="str">
        <f aca="false">IF(I2648="Duplicate","Remove",IF(H2648="Mismatch","Exclude","Keep"))</f>
        <v>Keep</v>
      </c>
    </row>
    <row r="2649" customFormat="false" ht="15" hidden="false" customHeight="false" outlineLevel="0" collapsed="false">
      <c r="A2649" s="39" t="s">
        <v>2697</v>
      </c>
      <c r="B2649" s="40" t="n">
        <v>45986</v>
      </c>
      <c r="C2649" s="39" t="s">
        <v>183</v>
      </c>
      <c r="D2649" s="39" t="n">
        <v>4</v>
      </c>
      <c r="E2649" s="41" t="n">
        <v>186.55</v>
      </c>
      <c r="F2649" s="39" t="s">
        <v>115</v>
      </c>
      <c r="G2649" s="39" t="str">
        <f aca="false">UPPER(TRIM(C2649))</f>
        <v>P007</v>
      </c>
      <c r="H2649" s="39" t="str">
        <f aca="false">IF(ISNUMBER(MATCH(G2649,Products!$A$5:$A$24,0)),"OK","Mismatch")</f>
        <v>OK</v>
      </c>
      <c r="I2649" s="39" t="str">
        <f aca="false">IF(COUNTIF($A$5:A2649,A2649)&gt;1,"Duplicate","Unique")</f>
        <v>Duplicate</v>
      </c>
      <c r="J2649" s="39" t="str">
        <f aca="false">IF(I2649="Duplicate","Remove",IF(H2649="Mismatch","Exclude","Keep"))</f>
        <v>Remove</v>
      </c>
    </row>
    <row r="2650" customFormat="false" ht="15" hidden="false" customHeight="false" outlineLevel="0" collapsed="false">
      <c r="A2650" s="39" t="s">
        <v>2698</v>
      </c>
      <c r="B2650" s="40" t="n">
        <v>45986</v>
      </c>
      <c r="C2650" s="39" t="s">
        <v>130</v>
      </c>
      <c r="D2650" s="39" t="n">
        <v>3</v>
      </c>
      <c r="E2650" s="41" t="n">
        <v>8.9</v>
      </c>
      <c r="F2650" s="39" t="s">
        <v>105</v>
      </c>
      <c r="G2650" s="39" t="str">
        <f aca="false">UPPER(TRIM(C2650))</f>
        <v>P011</v>
      </c>
      <c r="H2650" s="39" t="str">
        <f aca="false">IF(ISNUMBER(MATCH(G2650,Products!$A$5:$A$24,0)),"OK","Mismatch")</f>
        <v>OK</v>
      </c>
      <c r="I2650" s="39" t="str">
        <f aca="false">IF(COUNTIF($A$5:A2650,A2650)&gt;1,"Duplicate","Unique")</f>
        <v>Unique</v>
      </c>
      <c r="J2650" s="39" t="str">
        <f aca="false">IF(I2650="Duplicate","Remove",IF(H2650="Mismatch","Exclude","Keep"))</f>
        <v>Keep</v>
      </c>
    </row>
    <row r="2651" customFormat="false" ht="15" hidden="false" customHeight="false" outlineLevel="0" collapsed="false">
      <c r="A2651" s="39" t="s">
        <v>2699</v>
      </c>
      <c r="B2651" s="40" t="n">
        <v>45986</v>
      </c>
      <c r="C2651" s="39" t="s">
        <v>169</v>
      </c>
      <c r="D2651" s="39" t="n">
        <v>2</v>
      </c>
      <c r="E2651" s="41" t="n">
        <v>28.58</v>
      </c>
      <c r="F2651" s="39" t="s">
        <v>115</v>
      </c>
      <c r="G2651" s="39" t="str">
        <f aca="false">UPPER(TRIM(C2651))</f>
        <v>P004</v>
      </c>
      <c r="H2651" s="39" t="str">
        <f aca="false">IF(ISNUMBER(MATCH(G2651,Products!$A$5:$A$24,0)),"OK","Mismatch")</f>
        <v>OK</v>
      </c>
      <c r="I2651" s="39" t="str">
        <f aca="false">IF(COUNTIF($A$5:A2651,A2651)&gt;1,"Duplicate","Unique")</f>
        <v>Unique</v>
      </c>
      <c r="J2651" s="39" t="str">
        <f aca="false">IF(I2651="Duplicate","Remove",IF(H2651="Mismatch","Exclude","Keep"))</f>
        <v>Keep</v>
      </c>
    </row>
    <row r="2652" customFormat="false" ht="15" hidden="false" customHeight="false" outlineLevel="0" collapsed="false">
      <c r="A2652" s="39" t="s">
        <v>2700</v>
      </c>
      <c r="B2652" s="40" t="n">
        <v>45986</v>
      </c>
      <c r="C2652" s="39" t="s">
        <v>110</v>
      </c>
      <c r="D2652" s="39" t="n">
        <v>1</v>
      </c>
      <c r="E2652" s="41" t="n">
        <v>13.07</v>
      </c>
      <c r="F2652" s="39" t="s">
        <v>118</v>
      </c>
      <c r="G2652" s="39" t="str">
        <f aca="false">UPPER(TRIM(C2652))</f>
        <v>P016</v>
      </c>
      <c r="H2652" s="39" t="str">
        <f aca="false">IF(ISNUMBER(MATCH(G2652,Products!$A$5:$A$24,0)),"OK","Mismatch")</f>
        <v>OK</v>
      </c>
      <c r="I2652" s="39" t="str">
        <f aca="false">IF(COUNTIF($A$5:A2652,A2652)&gt;1,"Duplicate","Unique")</f>
        <v>Unique</v>
      </c>
      <c r="J2652" s="39" t="str">
        <f aca="false">IF(I2652="Duplicate","Remove",IF(H2652="Mismatch","Exclude","Keep"))</f>
        <v>Keep</v>
      </c>
    </row>
    <row r="2653" customFormat="false" ht="15" hidden="false" customHeight="false" outlineLevel="0" collapsed="false">
      <c r="A2653" s="39" t="s">
        <v>2701</v>
      </c>
      <c r="B2653" s="40" t="n">
        <v>45986</v>
      </c>
      <c r="C2653" s="39" t="s">
        <v>133</v>
      </c>
      <c r="D2653" s="39" t="n">
        <v>2</v>
      </c>
      <c r="E2653" s="41" t="n">
        <v>8.65</v>
      </c>
      <c r="F2653" s="39" t="s">
        <v>105</v>
      </c>
      <c r="G2653" s="39" t="str">
        <f aca="false">UPPER(TRIM(C2653))</f>
        <v>P019</v>
      </c>
      <c r="H2653" s="39" t="str">
        <f aca="false">IF(ISNUMBER(MATCH(G2653,Products!$A$5:$A$24,0)),"OK","Mismatch")</f>
        <v>OK</v>
      </c>
      <c r="I2653" s="39" t="str">
        <f aca="false">IF(COUNTIF($A$5:A2653,A2653)&gt;1,"Duplicate","Unique")</f>
        <v>Unique</v>
      </c>
      <c r="J2653" s="39" t="str">
        <f aca="false">IF(I2653="Duplicate","Remove",IF(H2653="Mismatch","Exclude","Keep"))</f>
        <v>Keep</v>
      </c>
    </row>
    <row r="2654" customFormat="false" ht="15" hidden="false" customHeight="false" outlineLevel="0" collapsed="false">
      <c r="A2654" s="39" t="s">
        <v>2702</v>
      </c>
      <c r="B2654" s="40" t="n">
        <v>45986</v>
      </c>
      <c r="C2654" s="39" t="s">
        <v>183</v>
      </c>
      <c r="D2654" s="39" t="n">
        <v>1</v>
      </c>
      <c r="E2654" s="41" t="n">
        <v>185.11</v>
      </c>
      <c r="F2654" s="39" t="s">
        <v>105</v>
      </c>
      <c r="G2654" s="39" t="str">
        <f aca="false">UPPER(TRIM(C2654))</f>
        <v>P007</v>
      </c>
      <c r="H2654" s="39" t="str">
        <f aca="false">IF(ISNUMBER(MATCH(G2654,Products!$A$5:$A$24,0)),"OK","Mismatch")</f>
        <v>OK</v>
      </c>
      <c r="I2654" s="39" t="str">
        <f aca="false">IF(COUNTIF($A$5:A2654,A2654)&gt;1,"Duplicate","Unique")</f>
        <v>Unique</v>
      </c>
      <c r="J2654" s="39" t="str">
        <f aca="false">IF(I2654="Duplicate","Remove",IF(H2654="Mismatch","Exclude","Keep"))</f>
        <v>Keep</v>
      </c>
    </row>
    <row r="2655" customFormat="false" ht="15" hidden="false" customHeight="false" outlineLevel="0" collapsed="false">
      <c r="A2655" s="39" t="s">
        <v>2703</v>
      </c>
      <c r="B2655" s="40" t="n">
        <v>45986</v>
      </c>
      <c r="C2655" s="39" t="s">
        <v>107</v>
      </c>
      <c r="D2655" s="39" t="n">
        <v>2</v>
      </c>
      <c r="E2655" s="41" t="n">
        <v>32.5</v>
      </c>
      <c r="F2655" s="39" t="s">
        <v>118</v>
      </c>
      <c r="G2655" s="39" t="str">
        <f aca="false">UPPER(TRIM(C2655))</f>
        <v>P003</v>
      </c>
      <c r="H2655" s="39" t="str">
        <f aca="false">IF(ISNUMBER(MATCH(G2655,Products!$A$5:$A$24,0)),"OK","Mismatch")</f>
        <v>OK</v>
      </c>
      <c r="I2655" s="39" t="str">
        <f aca="false">IF(COUNTIF($A$5:A2655,A2655)&gt;1,"Duplicate","Unique")</f>
        <v>Unique</v>
      </c>
      <c r="J2655" s="39" t="str">
        <f aca="false">IF(I2655="Duplicate","Remove",IF(H2655="Mismatch","Exclude","Keep"))</f>
        <v>Keep</v>
      </c>
    </row>
    <row r="2656" customFormat="false" ht="15" hidden="false" customHeight="false" outlineLevel="0" collapsed="false">
      <c r="A2656" s="39" t="s">
        <v>2704</v>
      </c>
      <c r="B2656" s="40" t="n">
        <v>45986</v>
      </c>
      <c r="C2656" s="39" t="s">
        <v>104</v>
      </c>
      <c r="D2656" s="39" t="n">
        <v>3</v>
      </c>
      <c r="E2656" s="41" t="n">
        <v>14.79</v>
      </c>
      <c r="F2656" s="39" t="s">
        <v>115</v>
      </c>
      <c r="G2656" s="39" t="str">
        <f aca="false">UPPER(TRIM(C2656))</f>
        <v>P015</v>
      </c>
      <c r="H2656" s="39" t="str">
        <f aca="false">IF(ISNUMBER(MATCH(G2656,Products!$A$5:$A$24,0)),"OK","Mismatch")</f>
        <v>OK</v>
      </c>
      <c r="I2656" s="39" t="str">
        <f aca="false">IF(COUNTIF($A$5:A2656,A2656)&gt;1,"Duplicate","Unique")</f>
        <v>Unique</v>
      </c>
      <c r="J2656" s="39" t="str">
        <f aca="false">IF(I2656="Duplicate","Remove",IF(H2656="Mismatch","Exclude","Keep"))</f>
        <v>Keep</v>
      </c>
    </row>
    <row r="2657" customFormat="false" ht="15" hidden="false" customHeight="false" outlineLevel="0" collapsed="false">
      <c r="A2657" s="39" t="s">
        <v>2705</v>
      </c>
      <c r="B2657" s="40" t="n">
        <v>45986</v>
      </c>
      <c r="C2657" s="39" t="s">
        <v>110</v>
      </c>
      <c r="D2657" s="39" t="n">
        <v>4</v>
      </c>
      <c r="E2657" s="41" t="n">
        <v>13.47</v>
      </c>
      <c r="F2657" s="39" t="s">
        <v>105</v>
      </c>
      <c r="G2657" s="39" t="str">
        <f aca="false">UPPER(TRIM(C2657))</f>
        <v>P016</v>
      </c>
      <c r="H2657" s="39" t="str">
        <f aca="false">IF(ISNUMBER(MATCH(G2657,Products!$A$5:$A$24,0)),"OK","Mismatch")</f>
        <v>OK</v>
      </c>
      <c r="I2657" s="39" t="str">
        <f aca="false">IF(COUNTIF($A$5:A2657,A2657)&gt;1,"Duplicate","Unique")</f>
        <v>Unique</v>
      </c>
      <c r="J2657" s="39" t="str">
        <f aca="false">IF(I2657="Duplicate","Remove",IF(H2657="Mismatch","Exclude","Keep"))</f>
        <v>Keep</v>
      </c>
    </row>
    <row r="2658" customFormat="false" ht="15" hidden="false" customHeight="false" outlineLevel="0" collapsed="false">
      <c r="A2658" s="39" t="s">
        <v>2706</v>
      </c>
      <c r="B2658" s="40" t="n">
        <v>45986</v>
      </c>
      <c r="C2658" s="39" t="s">
        <v>139</v>
      </c>
      <c r="D2658" s="39" t="n">
        <v>8</v>
      </c>
      <c r="E2658" s="41" t="n">
        <v>128.86</v>
      </c>
      <c r="F2658" s="39" t="s">
        <v>105</v>
      </c>
      <c r="G2658" s="39" t="str">
        <f aca="false">UPPER(TRIM(C2658))</f>
        <v>P006</v>
      </c>
      <c r="H2658" s="39" t="str">
        <f aca="false">IF(ISNUMBER(MATCH(G2658,Products!$A$5:$A$24,0)),"OK","Mismatch")</f>
        <v>OK</v>
      </c>
      <c r="I2658" s="39" t="str">
        <f aca="false">IF(COUNTIF($A$5:A2658,A2658)&gt;1,"Duplicate","Unique")</f>
        <v>Unique</v>
      </c>
      <c r="J2658" s="39" t="str">
        <f aca="false">IF(I2658="Duplicate","Remove",IF(H2658="Mismatch","Exclude","Keep"))</f>
        <v>Keep</v>
      </c>
    </row>
    <row r="2659" customFormat="false" ht="15" hidden="false" customHeight="false" outlineLevel="0" collapsed="false">
      <c r="A2659" s="39" t="s">
        <v>2707</v>
      </c>
      <c r="B2659" s="40" t="n">
        <v>45986</v>
      </c>
      <c r="C2659" s="39" t="s">
        <v>144</v>
      </c>
      <c r="D2659" s="39" t="n">
        <v>4</v>
      </c>
      <c r="E2659" s="41" t="n">
        <v>57.06</v>
      </c>
      <c r="F2659" s="39" t="s">
        <v>105</v>
      </c>
      <c r="G2659" s="39" t="str">
        <f aca="false">UPPER(TRIM(C2659))</f>
        <v>P013</v>
      </c>
      <c r="H2659" s="39" t="str">
        <f aca="false">IF(ISNUMBER(MATCH(G2659,Products!$A$5:$A$24,0)),"OK","Mismatch")</f>
        <v>OK</v>
      </c>
      <c r="I2659" s="39" t="str">
        <f aca="false">IF(COUNTIF($A$5:A2659,A2659)&gt;1,"Duplicate","Unique")</f>
        <v>Unique</v>
      </c>
      <c r="J2659" s="39" t="str">
        <f aca="false">IF(I2659="Duplicate","Remove",IF(H2659="Mismatch","Exclude","Keep"))</f>
        <v>Keep</v>
      </c>
    </row>
    <row r="2660" customFormat="false" ht="15" hidden="false" customHeight="false" outlineLevel="0" collapsed="false">
      <c r="A2660" s="39" t="s">
        <v>2708</v>
      </c>
      <c r="B2660" s="40" t="n">
        <v>45987</v>
      </c>
      <c r="C2660" s="39" t="s">
        <v>130</v>
      </c>
      <c r="D2660" s="39" t="n">
        <v>2</v>
      </c>
      <c r="E2660" s="41" t="n">
        <v>8.92</v>
      </c>
      <c r="F2660" s="39" t="s">
        <v>105</v>
      </c>
      <c r="G2660" s="39" t="str">
        <f aca="false">UPPER(TRIM(C2660))</f>
        <v>P011</v>
      </c>
      <c r="H2660" s="39" t="str">
        <f aca="false">IF(ISNUMBER(MATCH(G2660,Products!$A$5:$A$24,0)),"OK","Mismatch")</f>
        <v>OK</v>
      </c>
      <c r="I2660" s="39" t="str">
        <f aca="false">IF(COUNTIF($A$5:A2660,A2660)&gt;1,"Duplicate","Unique")</f>
        <v>Unique</v>
      </c>
      <c r="J2660" s="39" t="str">
        <f aca="false">IF(I2660="Duplicate","Remove",IF(H2660="Mismatch","Exclude","Keep"))</f>
        <v>Keep</v>
      </c>
    </row>
    <row r="2661" customFormat="false" ht="15" hidden="false" customHeight="false" outlineLevel="0" collapsed="false">
      <c r="A2661" s="39" t="s">
        <v>2709</v>
      </c>
      <c r="B2661" s="40" t="n">
        <v>45987</v>
      </c>
      <c r="C2661" s="39" t="s">
        <v>130</v>
      </c>
      <c r="D2661" s="39" t="n">
        <v>3</v>
      </c>
      <c r="E2661" s="41" t="n">
        <v>8.48</v>
      </c>
      <c r="F2661" s="39" t="s">
        <v>105</v>
      </c>
      <c r="G2661" s="39" t="str">
        <f aca="false">UPPER(TRIM(C2661))</f>
        <v>P011</v>
      </c>
      <c r="H2661" s="39" t="str">
        <f aca="false">IF(ISNUMBER(MATCH(G2661,Products!$A$5:$A$24,0)),"OK","Mismatch")</f>
        <v>OK</v>
      </c>
      <c r="I2661" s="39" t="str">
        <f aca="false">IF(COUNTIF($A$5:A2661,A2661)&gt;1,"Duplicate","Unique")</f>
        <v>Unique</v>
      </c>
      <c r="J2661" s="39" t="str">
        <f aca="false">IF(I2661="Duplicate","Remove",IF(H2661="Mismatch","Exclude","Keep"))</f>
        <v>Keep</v>
      </c>
    </row>
    <row r="2662" customFormat="false" ht="15" hidden="false" customHeight="false" outlineLevel="0" collapsed="false">
      <c r="A2662" s="39" t="s">
        <v>2710</v>
      </c>
      <c r="B2662" s="40" t="n">
        <v>45987</v>
      </c>
      <c r="C2662" s="39" t="s">
        <v>136</v>
      </c>
      <c r="D2662" s="39" t="n">
        <v>2</v>
      </c>
      <c r="E2662" s="41" t="n">
        <v>78.94</v>
      </c>
      <c r="F2662" s="39" t="s">
        <v>105</v>
      </c>
      <c r="G2662" s="39" t="str">
        <f aca="false">UPPER(TRIM(C2662))</f>
        <v>P002</v>
      </c>
      <c r="H2662" s="39" t="str">
        <f aca="false">IF(ISNUMBER(MATCH(G2662,Products!$A$5:$A$24,0)),"OK","Mismatch")</f>
        <v>OK</v>
      </c>
      <c r="I2662" s="39" t="str">
        <f aca="false">IF(COUNTIF($A$5:A2662,A2662)&gt;1,"Duplicate","Unique")</f>
        <v>Unique</v>
      </c>
      <c r="J2662" s="39" t="str">
        <f aca="false">IF(I2662="Duplicate","Remove",IF(H2662="Mismatch","Exclude","Keep"))</f>
        <v>Keep</v>
      </c>
    </row>
    <row r="2663" customFormat="false" ht="15" hidden="false" customHeight="false" outlineLevel="0" collapsed="false">
      <c r="A2663" s="39" t="s">
        <v>2711</v>
      </c>
      <c r="B2663" s="40" t="n">
        <v>45987</v>
      </c>
      <c r="C2663" s="39" t="s">
        <v>112</v>
      </c>
      <c r="D2663" s="39" t="n">
        <v>2</v>
      </c>
      <c r="E2663" s="41" t="n">
        <v>53.17</v>
      </c>
      <c r="F2663" s="39" t="s">
        <v>105</v>
      </c>
      <c r="G2663" s="39" t="str">
        <f aca="false">UPPER(TRIM(C2663))</f>
        <v>P005</v>
      </c>
      <c r="H2663" s="39" t="str">
        <f aca="false">IF(ISNUMBER(MATCH(G2663,Products!$A$5:$A$24,0)),"OK","Mismatch")</f>
        <v>OK</v>
      </c>
      <c r="I2663" s="39" t="str">
        <f aca="false">IF(COUNTIF($A$5:A2663,A2663)&gt;1,"Duplicate","Unique")</f>
        <v>Unique</v>
      </c>
      <c r="J2663" s="39" t="str">
        <f aca="false">IF(I2663="Duplicate","Remove",IF(H2663="Mismatch","Exclude","Keep"))</f>
        <v>Keep</v>
      </c>
    </row>
    <row r="2664" customFormat="false" ht="15" hidden="false" customHeight="false" outlineLevel="0" collapsed="false">
      <c r="A2664" s="39" t="s">
        <v>2712</v>
      </c>
      <c r="B2664" s="40" t="n">
        <v>45987</v>
      </c>
      <c r="C2664" s="39" t="s">
        <v>177</v>
      </c>
      <c r="D2664" s="39" t="n">
        <v>4</v>
      </c>
      <c r="E2664" s="41" t="n">
        <v>43.32</v>
      </c>
      <c r="F2664" s="39" t="s">
        <v>115</v>
      </c>
      <c r="G2664" s="39" t="str">
        <f aca="false">UPPER(TRIM(C2664))</f>
        <v>P014</v>
      </c>
      <c r="H2664" s="39" t="str">
        <f aca="false">IF(ISNUMBER(MATCH(G2664,Products!$A$5:$A$24,0)),"OK","Mismatch")</f>
        <v>OK</v>
      </c>
      <c r="I2664" s="39" t="str">
        <f aca="false">IF(COUNTIF($A$5:A2664,A2664)&gt;1,"Duplicate","Unique")</f>
        <v>Unique</v>
      </c>
      <c r="J2664" s="39" t="str">
        <f aca="false">IF(I2664="Duplicate","Remove",IF(H2664="Mismatch","Exclude","Keep"))</f>
        <v>Keep</v>
      </c>
    </row>
    <row r="2665" customFormat="false" ht="15" hidden="false" customHeight="false" outlineLevel="0" collapsed="false">
      <c r="A2665" s="39" t="s">
        <v>2713</v>
      </c>
      <c r="B2665" s="40" t="n">
        <v>45987</v>
      </c>
      <c r="C2665" s="39" t="s">
        <v>107</v>
      </c>
      <c r="D2665" s="39" t="n">
        <v>2</v>
      </c>
      <c r="E2665" s="41" t="n">
        <v>34.13</v>
      </c>
      <c r="F2665" s="39" t="s">
        <v>118</v>
      </c>
      <c r="G2665" s="39" t="str">
        <f aca="false">UPPER(TRIM(C2665))</f>
        <v>P003</v>
      </c>
      <c r="H2665" s="39" t="str">
        <f aca="false">IF(ISNUMBER(MATCH(G2665,Products!$A$5:$A$24,0)),"OK","Mismatch")</f>
        <v>OK</v>
      </c>
      <c r="I2665" s="39" t="str">
        <f aca="false">IF(COUNTIF($A$5:A2665,A2665)&gt;1,"Duplicate","Unique")</f>
        <v>Unique</v>
      </c>
      <c r="J2665" s="39" t="str">
        <f aca="false">IF(I2665="Duplicate","Remove",IF(H2665="Mismatch","Exclude","Keep"))</f>
        <v>Keep</v>
      </c>
    </row>
    <row r="2666" customFormat="false" ht="15" hidden="false" customHeight="false" outlineLevel="0" collapsed="false">
      <c r="A2666" s="39" t="s">
        <v>2714</v>
      </c>
      <c r="B2666" s="40" t="n">
        <v>45987</v>
      </c>
      <c r="C2666" s="39" t="s">
        <v>117</v>
      </c>
      <c r="D2666" s="39" t="n">
        <v>1</v>
      </c>
      <c r="E2666" s="41" t="n">
        <v>29.81</v>
      </c>
      <c r="F2666" s="39" t="s">
        <v>108</v>
      </c>
      <c r="G2666" s="39" t="str">
        <f aca="false">UPPER(TRIM(C2666))</f>
        <v>P009</v>
      </c>
      <c r="H2666" s="39" t="str">
        <f aca="false">IF(ISNUMBER(MATCH(G2666,Products!$A$5:$A$24,0)),"OK","Mismatch")</f>
        <v>OK</v>
      </c>
      <c r="I2666" s="39" t="str">
        <f aca="false">IF(COUNTIF($A$5:A2666,A2666)&gt;1,"Duplicate","Unique")</f>
        <v>Unique</v>
      </c>
      <c r="J2666" s="39" t="str">
        <f aca="false">IF(I2666="Duplicate","Remove",IF(H2666="Mismatch","Exclude","Keep"))</f>
        <v>Keep</v>
      </c>
    </row>
    <row r="2667" customFormat="false" ht="15" hidden="false" customHeight="false" outlineLevel="0" collapsed="false">
      <c r="A2667" s="39" t="s">
        <v>2715</v>
      </c>
      <c r="B2667" s="40" t="n">
        <v>45987</v>
      </c>
      <c r="C2667" s="39" t="s">
        <v>121</v>
      </c>
      <c r="D2667" s="39" t="n">
        <v>2</v>
      </c>
      <c r="E2667" s="41" t="n">
        <v>111.33</v>
      </c>
      <c r="F2667" s="39" t="s">
        <v>108</v>
      </c>
      <c r="G2667" s="39" t="str">
        <f aca="false">UPPER(TRIM(C2667))</f>
        <v>P018</v>
      </c>
      <c r="H2667" s="39" t="str">
        <f aca="false">IF(ISNUMBER(MATCH(G2667,Products!$A$5:$A$24,0)),"OK","Mismatch")</f>
        <v>OK</v>
      </c>
      <c r="I2667" s="39" t="str">
        <f aca="false">IF(COUNTIF($A$5:A2667,A2667)&gt;1,"Duplicate","Unique")</f>
        <v>Unique</v>
      </c>
      <c r="J2667" s="39" t="str">
        <f aca="false">IF(I2667="Duplicate","Remove",IF(H2667="Mismatch","Exclude","Keep"))</f>
        <v>Keep</v>
      </c>
    </row>
    <row r="2668" customFormat="false" ht="15" hidden="false" customHeight="false" outlineLevel="0" collapsed="false">
      <c r="A2668" s="39" t="s">
        <v>2716</v>
      </c>
      <c r="B2668" s="40" t="n">
        <v>45987</v>
      </c>
      <c r="C2668" s="39" t="s">
        <v>144</v>
      </c>
      <c r="D2668" s="39" t="n">
        <v>5</v>
      </c>
      <c r="E2668" s="41" t="n">
        <v>55.38</v>
      </c>
      <c r="F2668" s="39" t="s">
        <v>118</v>
      </c>
      <c r="G2668" s="39" t="str">
        <f aca="false">UPPER(TRIM(C2668))</f>
        <v>P013</v>
      </c>
      <c r="H2668" s="39" t="str">
        <f aca="false">IF(ISNUMBER(MATCH(G2668,Products!$A$5:$A$24,0)),"OK","Mismatch")</f>
        <v>OK</v>
      </c>
      <c r="I2668" s="39" t="str">
        <f aca="false">IF(COUNTIF($A$5:A2668,A2668)&gt;1,"Duplicate","Unique")</f>
        <v>Unique</v>
      </c>
      <c r="J2668" s="39" t="str">
        <f aca="false">IF(I2668="Duplicate","Remove",IF(H2668="Mismatch","Exclude","Keep"))</f>
        <v>Keep</v>
      </c>
    </row>
    <row r="2669" customFormat="false" ht="15" hidden="false" customHeight="false" outlineLevel="0" collapsed="false">
      <c r="A2669" s="39" t="s">
        <v>2717</v>
      </c>
      <c r="B2669" s="40" t="n">
        <v>45987</v>
      </c>
      <c r="C2669" s="39" t="s">
        <v>130</v>
      </c>
      <c r="D2669" s="39" t="n">
        <v>1</v>
      </c>
      <c r="E2669" s="41" t="n">
        <v>8.84</v>
      </c>
      <c r="F2669" s="39" t="s">
        <v>115</v>
      </c>
      <c r="G2669" s="39" t="str">
        <f aca="false">UPPER(TRIM(C2669))</f>
        <v>P011</v>
      </c>
      <c r="H2669" s="39" t="str">
        <f aca="false">IF(ISNUMBER(MATCH(G2669,Products!$A$5:$A$24,0)),"OK","Mismatch")</f>
        <v>OK</v>
      </c>
      <c r="I2669" s="39" t="str">
        <f aca="false">IF(COUNTIF($A$5:A2669,A2669)&gt;1,"Duplicate","Unique")</f>
        <v>Unique</v>
      </c>
      <c r="J2669" s="39" t="str">
        <f aca="false">IF(I2669="Duplicate","Remove",IF(H2669="Mismatch","Exclude","Keep"))</f>
        <v>Keep</v>
      </c>
    </row>
    <row r="2670" customFormat="false" ht="15" hidden="false" customHeight="false" outlineLevel="0" collapsed="false">
      <c r="A2670" s="39" t="s">
        <v>2718</v>
      </c>
      <c r="B2670" s="40" t="n">
        <v>45987</v>
      </c>
      <c r="C2670" s="39" t="s">
        <v>169</v>
      </c>
      <c r="D2670" s="39" t="n">
        <v>2</v>
      </c>
      <c r="E2670" s="41" t="n">
        <v>28.54</v>
      </c>
      <c r="F2670" s="39" t="s">
        <v>118</v>
      </c>
      <c r="G2670" s="39" t="str">
        <f aca="false">UPPER(TRIM(C2670))</f>
        <v>P004</v>
      </c>
      <c r="H2670" s="39" t="str">
        <f aca="false">IF(ISNUMBER(MATCH(G2670,Products!$A$5:$A$24,0)),"OK","Mismatch")</f>
        <v>OK</v>
      </c>
      <c r="I2670" s="39" t="str">
        <f aca="false">IF(COUNTIF($A$5:A2670,A2670)&gt;1,"Duplicate","Unique")</f>
        <v>Unique</v>
      </c>
      <c r="J2670" s="39" t="str">
        <f aca="false">IF(I2670="Duplicate","Remove",IF(H2670="Mismatch","Exclude","Keep"))</f>
        <v>Keep</v>
      </c>
    </row>
    <row r="2671" customFormat="false" ht="15" hidden="false" customHeight="false" outlineLevel="0" collapsed="false">
      <c r="A2671" s="39" t="s">
        <v>2719</v>
      </c>
      <c r="B2671" s="40" t="n">
        <v>45987</v>
      </c>
      <c r="C2671" s="39" t="s">
        <v>112</v>
      </c>
      <c r="D2671" s="39" t="n">
        <v>2</v>
      </c>
      <c r="E2671" s="41" t="n">
        <v>50.98</v>
      </c>
      <c r="F2671" s="39" t="s">
        <v>108</v>
      </c>
      <c r="G2671" s="39" t="str">
        <f aca="false">UPPER(TRIM(C2671))</f>
        <v>P005</v>
      </c>
      <c r="H2671" s="39" t="str">
        <f aca="false">IF(ISNUMBER(MATCH(G2671,Products!$A$5:$A$24,0)),"OK","Mismatch")</f>
        <v>OK</v>
      </c>
      <c r="I2671" s="39" t="str">
        <f aca="false">IF(COUNTIF($A$5:A2671,A2671)&gt;1,"Duplicate","Unique")</f>
        <v>Unique</v>
      </c>
      <c r="J2671" s="39" t="str">
        <f aca="false">IF(I2671="Duplicate","Remove",IF(H2671="Mismatch","Exclude","Keep"))</f>
        <v>Keep</v>
      </c>
    </row>
    <row r="2672" customFormat="false" ht="15" hidden="false" customHeight="false" outlineLevel="0" collapsed="false">
      <c r="A2672" s="39" t="s">
        <v>2720</v>
      </c>
      <c r="B2672" s="40" t="n">
        <v>45987</v>
      </c>
      <c r="C2672" s="39" t="s">
        <v>121</v>
      </c>
      <c r="D2672" s="39" t="n">
        <v>3</v>
      </c>
      <c r="E2672" s="41" t="n">
        <v>114.68</v>
      </c>
      <c r="F2672" s="39" t="s">
        <v>105</v>
      </c>
      <c r="G2672" s="39" t="str">
        <f aca="false">UPPER(TRIM(C2672))</f>
        <v>P018</v>
      </c>
      <c r="H2672" s="39" t="str">
        <f aca="false">IF(ISNUMBER(MATCH(G2672,Products!$A$5:$A$24,0)),"OK","Mismatch")</f>
        <v>OK</v>
      </c>
      <c r="I2672" s="39" t="str">
        <f aca="false">IF(COUNTIF($A$5:A2672,A2672)&gt;1,"Duplicate","Unique")</f>
        <v>Unique</v>
      </c>
      <c r="J2672" s="39" t="str">
        <f aca="false">IF(I2672="Duplicate","Remove",IF(H2672="Mismatch","Exclude","Keep"))</f>
        <v>Keep</v>
      </c>
    </row>
    <row r="2673" customFormat="false" ht="15" hidden="false" customHeight="false" outlineLevel="0" collapsed="false">
      <c r="A2673" s="39" t="s">
        <v>2721</v>
      </c>
      <c r="B2673" s="40" t="n">
        <v>45987</v>
      </c>
      <c r="C2673" s="39" t="s">
        <v>133</v>
      </c>
      <c r="D2673" s="39" t="n">
        <v>5</v>
      </c>
      <c r="E2673" s="41" t="n">
        <v>8.6</v>
      </c>
      <c r="F2673" s="39" t="s">
        <v>115</v>
      </c>
      <c r="G2673" s="39" t="str">
        <f aca="false">UPPER(TRIM(C2673))</f>
        <v>P019</v>
      </c>
      <c r="H2673" s="39" t="str">
        <f aca="false">IF(ISNUMBER(MATCH(G2673,Products!$A$5:$A$24,0)),"OK","Mismatch")</f>
        <v>OK</v>
      </c>
      <c r="I2673" s="39" t="str">
        <f aca="false">IF(COUNTIF($A$5:A2673,A2673)&gt;1,"Duplicate","Unique")</f>
        <v>Unique</v>
      </c>
      <c r="J2673" s="39" t="str">
        <f aca="false">IF(I2673="Duplicate","Remove",IF(H2673="Mismatch","Exclude","Keep"))</f>
        <v>Keep</v>
      </c>
    </row>
    <row r="2674" customFormat="false" ht="15" hidden="false" customHeight="false" outlineLevel="0" collapsed="false">
      <c r="A2674" s="39" t="s">
        <v>2722</v>
      </c>
      <c r="B2674" s="40" t="n">
        <v>45987</v>
      </c>
      <c r="C2674" s="39" t="s">
        <v>107</v>
      </c>
      <c r="D2674" s="39" t="n">
        <v>1</v>
      </c>
      <c r="E2674" s="41" t="n">
        <v>33.21</v>
      </c>
      <c r="F2674" s="39" t="s">
        <v>105</v>
      </c>
      <c r="G2674" s="39" t="str">
        <f aca="false">UPPER(TRIM(C2674))</f>
        <v>P003</v>
      </c>
      <c r="H2674" s="39" t="str">
        <f aca="false">IF(ISNUMBER(MATCH(G2674,Products!$A$5:$A$24,0)),"OK","Mismatch")</f>
        <v>OK</v>
      </c>
      <c r="I2674" s="39" t="str">
        <f aca="false">IF(COUNTIF($A$5:A2674,A2674)&gt;1,"Duplicate","Unique")</f>
        <v>Unique</v>
      </c>
      <c r="J2674" s="39" t="str">
        <f aca="false">IF(I2674="Duplicate","Remove",IF(H2674="Mismatch","Exclude","Keep"))</f>
        <v>Keep</v>
      </c>
    </row>
    <row r="2675" customFormat="false" ht="15" hidden="false" customHeight="false" outlineLevel="0" collapsed="false">
      <c r="A2675" s="39" t="s">
        <v>2723</v>
      </c>
      <c r="B2675" s="40" t="n">
        <v>45988</v>
      </c>
      <c r="C2675" s="39" t="s">
        <v>133</v>
      </c>
      <c r="D2675" s="39" t="n">
        <v>4</v>
      </c>
      <c r="E2675" s="41" t="n">
        <v>8.64</v>
      </c>
      <c r="F2675" s="39" t="s">
        <v>108</v>
      </c>
      <c r="G2675" s="39" t="str">
        <f aca="false">UPPER(TRIM(C2675))</f>
        <v>P019</v>
      </c>
      <c r="H2675" s="39" t="str">
        <f aca="false">IF(ISNUMBER(MATCH(G2675,Products!$A$5:$A$24,0)),"OK","Mismatch")</f>
        <v>OK</v>
      </c>
      <c r="I2675" s="39" t="str">
        <f aca="false">IF(COUNTIF($A$5:A2675,A2675)&gt;1,"Duplicate","Unique")</f>
        <v>Unique</v>
      </c>
      <c r="J2675" s="39" t="str">
        <f aca="false">IF(I2675="Duplicate","Remove",IF(H2675="Mismatch","Exclude","Keep"))</f>
        <v>Keep</v>
      </c>
    </row>
    <row r="2676" customFormat="false" ht="15" hidden="false" customHeight="false" outlineLevel="0" collapsed="false">
      <c r="A2676" s="39" t="s">
        <v>2723</v>
      </c>
      <c r="B2676" s="40" t="n">
        <v>45988</v>
      </c>
      <c r="C2676" s="39" t="s">
        <v>133</v>
      </c>
      <c r="D2676" s="39" t="n">
        <v>4</v>
      </c>
      <c r="E2676" s="41" t="n">
        <v>8.64</v>
      </c>
      <c r="F2676" s="39" t="s">
        <v>108</v>
      </c>
      <c r="G2676" s="39" t="str">
        <f aca="false">UPPER(TRIM(C2676))</f>
        <v>P019</v>
      </c>
      <c r="H2676" s="39" t="str">
        <f aca="false">IF(ISNUMBER(MATCH(G2676,Products!$A$5:$A$24,0)),"OK","Mismatch")</f>
        <v>OK</v>
      </c>
      <c r="I2676" s="39" t="str">
        <f aca="false">IF(COUNTIF($A$5:A2676,A2676)&gt;1,"Duplicate","Unique")</f>
        <v>Duplicate</v>
      </c>
      <c r="J2676" s="39" t="str">
        <f aca="false">IF(I2676="Duplicate","Remove",IF(H2676="Mismatch","Exclude","Keep"))</f>
        <v>Remove</v>
      </c>
    </row>
    <row r="2677" customFormat="false" ht="15" hidden="false" customHeight="false" outlineLevel="0" collapsed="false">
      <c r="A2677" s="39" t="s">
        <v>2724</v>
      </c>
      <c r="B2677" s="40" t="n">
        <v>45988</v>
      </c>
      <c r="C2677" s="39" t="s">
        <v>169</v>
      </c>
      <c r="D2677" s="39" t="n">
        <v>1</v>
      </c>
      <c r="E2677" s="41" t="n">
        <v>28.97</v>
      </c>
      <c r="F2677" s="39" t="s">
        <v>115</v>
      </c>
      <c r="G2677" s="39" t="str">
        <f aca="false">UPPER(TRIM(C2677))</f>
        <v>P004</v>
      </c>
      <c r="H2677" s="39" t="str">
        <f aca="false">IF(ISNUMBER(MATCH(G2677,Products!$A$5:$A$24,0)),"OK","Mismatch")</f>
        <v>OK</v>
      </c>
      <c r="I2677" s="39" t="str">
        <f aca="false">IF(COUNTIF($A$5:A2677,A2677)&gt;1,"Duplicate","Unique")</f>
        <v>Unique</v>
      </c>
      <c r="J2677" s="39" t="str">
        <f aca="false">IF(I2677="Duplicate","Remove",IF(H2677="Mismatch","Exclude","Keep"))</f>
        <v>Keep</v>
      </c>
    </row>
    <row r="2678" customFormat="false" ht="15" hidden="false" customHeight="false" outlineLevel="0" collapsed="false">
      <c r="A2678" s="39" t="s">
        <v>2725</v>
      </c>
      <c r="B2678" s="40" t="n">
        <v>45988</v>
      </c>
      <c r="C2678" s="39" t="s">
        <v>130</v>
      </c>
      <c r="D2678" s="39" t="n">
        <v>3</v>
      </c>
      <c r="E2678" s="41" t="n">
        <v>8.59</v>
      </c>
      <c r="F2678" s="39" t="s">
        <v>115</v>
      </c>
      <c r="G2678" s="39" t="str">
        <f aca="false">UPPER(TRIM(C2678))</f>
        <v>P011</v>
      </c>
      <c r="H2678" s="39" t="str">
        <f aca="false">IF(ISNUMBER(MATCH(G2678,Products!$A$5:$A$24,0)),"OK","Mismatch")</f>
        <v>OK</v>
      </c>
      <c r="I2678" s="39" t="str">
        <f aca="false">IF(COUNTIF($A$5:A2678,A2678)&gt;1,"Duplicate","Unique")</f>
        <v>Unique</v>
      </c>
      <c r="J2678" s="39" t="str">
        <f aca="false">IF(I2678="Duplicate","Remove",IF(H2678="Mismatch","Exclude","Keep"))</f>
        <v>Keep</v>
      </c>
    </row>
    <row r="2679" customFormat="false" ht="15" hidden="false" customHeight="false" outlineLevel="0" collapsed="false">
      <c r="A2679" s="39" t="s">
        <v>2726</v>
      </c>
      <c r="B2679" s="40" t="n">
        <v>45988</v>
      </c>
      <c r="C2679" s="39" t="s">
        <v>169</v>
      </c>
      <c r="D2679" s="39" t="n">
        <v>1</v>
      </c>
      <c r="E2679" s="41" t="n">
        <v>27.52</v>
      </c>
      <c r="F2679" s="39" t="s">
        <v>108</v>
      </c>
      <c r="G2679" s="39" t="str">
        <f aca="false">UPPER(TRIM(C2679))</f>
        <v>P004</v>
      </c>
      <c r="H2679" s="39" t="str">
        <f aca="false">IF(ISNUMBER(MATCH(G2679,Products!$A$5:$A$24,0)),"OK","Mismatch")</f>
        <v>OK</v>
      </c>
      <c r="I2679" s="39" t="str">
        <f aca="false">IF(COUNTIF($A$5:A2679,A2679)&gt;1,"Duplicate","Unique")</f>
        <v>Unique</v>
      </c>
      <c r="J2679" s="39" t="str">
        <f aca="false">IF(I2679="Duplicate","Remove",IF(H2679="Mismatch","Exclude","Keep"))</f>
        <v>Keep</v>
      </c>
    </row>
    <row r="2680" customFormat="false" ht="15" hidden="false" customHeight="false" outlineLevel="0" collapsed="false">
      <c r="A2680" s="39" t="s">
        <v>2727</v>
      </c>
      <c r="B2680" s="40" t="n">
        <v>45988</v>
      </c>
      <c r="C2680" s="39" t="s">
        <v>183</v>
      </c>
      <c r="D2680" s="39" t="n">
        <v>1</v>
      </c>
      <c r="E2680" s="41" t="n">
        <v>175.11</v>
      </c>
      <c r="F2680" s="39" t="s">
        <v>105</v>
      </c>
      <c r="G2680" s="39" t="str">
        <f aca="false">UPPER(TRIM(C2680))</f>
        <v>P007</v>
      </c>
      <c r="H2680" s="39" t="str">
        <f aca="false">IF(ISNUMBER(MATCH(G2680,Products!$A$5:$A$24,0)),"OK","Mismatch")</f>
        <v>OK</v>
      </c>
      <c r="I2680" s="39" t="str">
        <f aca="false">IF(COUNTIF($A$5:A2680,A2680)&gt;1,"Duplicate","Unique")</f>
        <v>Unique</v>
      </c>
      <c r="J2680" s="39" t="str">
        <f aca="false">IF(I2680="Duplicate","Remove",IF(H2680="Mismatch","Exclude","Keep"))</f>
        <v>Keep</v>
      </c>
    </row>
    <row r="2681" customFormat="false" ht="15" hidden="false" customHeight="false" outlineLevel="0" collapsed="false">
      <c r="A2681" s="39" t="s">
        <v>2728</v>
      </c>
      <c r="B2681" s="40" t="n">
        <v>45988</v>
      </c>
      <c r="C2681" s="39" t="s">
        <v>3192</v>
      </c>
      <c r="D2681" s="39" t="n">
        <v>4</v>
      </c>
      <c r="E2681" s="41" t="n">
        <v>125.26</v>
      </c>
      <c r="F2681" s="39" t="s">
        <v>108</v>
      </c>
      <c r="G2681" s="39" t="str">
        <f aca="false">UPPER(TRIM(C2681))</f>
        <v>P006</v>
      </c>
      <c r="H2681" s="39" t="str">
        <f aca="false">IF(ISNUMBER(MATCH(G2681,Products!$A$5:$A$24,0)),"OK","Mismatch")</f>
        <v>OK</v>
      </c>
      <c r="I2681" s="39" t="str">
        <f aca="false">IF(COUNTIF($A$5:A2681,A2681)&gt;1,"Duplicate","Unique")</f>
        <v>Unique</v>
      </c>
      <c r="J2681" s="39" t="str">
        <f aca="false">IF(I2681="Duplicate","Remove",IF(H2681="Mismatch","Exclude","Keep"))</f>
        <v>Keep</v>
      </c>
    </row>
    <row r="2682" customFormat="false" ht="15" hidden="false" customHeight="false" outlineLevel="0" collapsed="false">
      <c r="A2682" s="39" t="s">
        <v>2729</v>
      </c>
      <c r="B2682" s="40" t="n">
        <v>45988</v>
      </c>
      <c r="C2682" s="39" t="s">
        <v>104</v>
      </c>
      <c r="D2682" s="39" t="n">
        <v>1</v>
      </c>
      <c r="E2682" s="41" t="n">
        <v>14.88</v>
      </c>
      <c r="F2682" s="39" t="s">
        <v>105</v>
      </c>
      <c r="G2682" s="39" t="str">
        <f aca="false">UPPER(TRIM(C2682))</f>
        <v>P015</v>
      </c>
      <c r="H2682" s="39" t="str">
        <f aca="false">IF(ISNUMBER(MATCH(G2682,Products!$A$5:$A$24,0)),"OK","Mismatch")</f>
        <v>OK</v>
      </c>
      <c r="I2682" s="39" t="str">
        <f aca="false">IF(COUNTIF($A$5:A2682,A2682)&gt;1,"Duplicate","Unique")</f>
        <v>Unique</v>
      </c>
      <c r="J2682" s="39" t="str">
        <f aca="false">IF(I2682="Duplicate","Remove",IF(H2682="Mismatch","Exclude","Keep"))</f>
        <v>Keep</v>
      </c>
    </row>
    <row r="2683" customFormat="false" ht="15" hidden="false" customHeight="false" outlineLevel="0" collapsed="false">
      <c r="A2683" s="39" t="s">
        <v>2730</v>
      </c>
      <c r="B2683" s="40" t="n">
        <v>45988</v>
      </c>
      <c r="C2683" s="39" t="s">
        <v>114</v>
      </c>
      <c r="D2683" s="39" t="n">
        <v>3</v>
      </c>
      <c r="E2683" s="41" t="n">
        <v>5.8</v>
      </c>
      <c r="F2683" s="39" t="s">
        <v>108</v>
      </c>
      <c r="G2683" s="39" t="str">
        <f aca="false">UPPER(TRIM(C2683))</f>
        <v>P012</v>
      </c>
      <c r="H2683" s="39" t="str">
        <f aca="false">IF(ISNUMBER(MATCH(G2683,Products!$A$5:$A$24,0)),"OK","Mismatch")</f>
        <v>OK</v>
      </c>
      <c r="I2683" s="39" t="str">
        <f aca="false">IF(COUNTIF($A$5:A2683,A2683)&gt;1,"Duplicate","Unique")</f>
        <v>Unique</v>
      </c>
      <c r="J2683" s="39" t="str">
        <f aca="false">IF(I2683="Duplicate","Remove",IF(H2683="Mismatch","Exclude","Keep"))</f>
        <v>Keep</v>
      </c>
    </row>
    <row r="2684" customFormat="false" ht="15" hidden="false" customHeight="false" outlineLevel="0" collapsed="false">
      <c r="A2684" s="39" t="s">
        <v>2731</v>
      </c>
      <c r="B2684" s="40" t="n">
        <v>45988</v>
      </c>
      <c r="C2684" s="39" t="s">
        <v>133</v>
      </c>
      <c r="D2684" s="39" t="n">
        <v>4</v>
      </c>
      <c r="E2684" s="41" t="n">
        <v>8.6</v>
      </c>
      <c r="F2684" s="39" t="s">
        <v>108</v>
      </c>
      <c r="G2684" s="39" t="str">
        <f aca="false">UPPER(TRIM(C2684))</f>
        <v>P019</v>
      </c>
      <c r="H2684" s="39" t="str">
        <f aca="false">IF(ISNUMBER(MATCH(G2684,Products!$A$5:$A$24,0)),"OK","Mismatch")</f>
        <v>OK</v>
      </c>
      <c r="I2684" s="39" t="str">
        <f aca="false">IF(COUNTIF($A$5:A2684,A2684)&gt;1,"Duplicate","Unique")</f>
        <v>Unique</v>
      </c>
      <c r="J2684" s="39" t="str">
        <f aca="false">IF(I2684="Duplicate","Remove",IF(H2684="Mismatch","Exclude","Keep"))</f>
        <v>Keep</v>
      </c>
    </row>
    <row r="2685" customFormat="false" ht="15" hidden="false" customHeight="false" outlineLevel="0" collapsed="false">
      <c r="A2685" s="39" t="s">
        <v>2732</v>
      </c>
      <c r="B2685" s="40" t="n">
        <v>45989</v>
      </c>
      <c r="C2685" s="39" t="s">
        <v>169</v>
      </c>
      <c r="D2685" s="39" t="n">
        <v>1</v>
      </c>
      <c r="E2685" s="41" t="n">
        <v>26.69</v>
      </c>
      <c r="F2685" s="39" t="s">
        <v>115</v>
      </c>
      <c r="G2685" s="39" t="str">
        <f aca="false">UPPER(TRIM(C2685))</f>
        <v>P004</v>
      </c>
      <c r="H2685" s="39" t="str">
        <f aca="false">IF(ISNUMBER(MATCH(G2685,Products!$A$5:$A$24,0)),"OK","Mismatch")</f>
        <v>OK</v>
      </c>
      <c r="I2685" s="39" t="str">
        <f aca="false">IF(COUNTIF($A$5:A2685,A2685)&gt;1,"Duplicate","Unique")</f>
        <v>Unique</v>
      </c>
      <c r="J2685" s="39" t="str">
        <f aca="false">IF(I2685="Duplicate","Remove",IF(H2685="Mismatch","Exclude","Keep"))</f>
        <v>Keep</v>
      </c>
    </row>
    <row r="2686" customFormat="false" ht="15" hidden="false" customHeight="false" outlineLevel="0" collapsed="false">
      <c r="A2686" s="39" t="s">
        <v>2733</v>
      </c>
      <c r="B2686" s="40" t="n">
        <v>45989</v>
      </c>
      <c r="C2686" s="39" t="s">
        <v>130</v>
      </c>
      <c r="D2686" s="39" t="n">
        <v>3</v>
      </c>
      <c r="E2686" s="41" t="n">
        <v>8.91</v>
      </c>
      <c r="F2686" s="39" t="s">
        <v>118</v>
      </c>
      <c r="G2686" s="39" t="str">
        <f aca="false">UPPER(TRIM(C2686))</f>
        <v>P011</v>
      </c>
      <c r="H2686" s="39" t="str">
        <f aca="false">IF(ISNUMBER(MATCH(G2686,Products!$A$5:$A$24,0)),"OK","Mismatch")</f>
        <v>OK</v>
      </c>
      <c r="I2686" s="39" t="str">
        <f aca="false">IF(COUNTIF($A$5:A2686,A2686)&gt;1,"Duplicate","Unique")</f>
        <v>Unique</v>
      </c>
      <c r="J2686" s="39" t="str">
        <f aca="false">IF(I2686="Duplicate","Remove",IF(H2686="Mismatch","Exclude","Keep"))</f>
        <v>Keep</v>
      </c>
    </row>
    <row r="2687" customFormat="false" ht="15" hidden="false" customHeight="false" outlineLevel="0" collapsed="false">
      <c r="A2687" s="39" t="s">
        <v>2734</v>
      </c>
      <c r="B2687" s="40" t="n">
        <v>45989</v>
      </c>
      <c r="C2687" s="39" t="s">
        <v>126</v>
      </c>
      <c r="D2687" s="39" t="n">
        <v>6</v>
      </c>
      <c r="E2687" s="41" t="n">
        <v>24.58</v>
      </c>
      <c r="F2687" s="39" t="s">
        <v>118</v>
      </c>
      <c r="G2687" s="39" t="str">
        <f aca="false">UPPER(TRIM(C2687))</f>
        <v>P001</v>
      </c>
      <c r="H2687" s="39" t="str">
        <f aca="false">IF(ISNUMBER(MATCH(G2687,Products!$A$5:$A$24,0)),"OK","Mismatch")</f>
        <v>OK</v>
      </c>
      <c r="I2687" s="39" t="str">
        <f aca="false">IF(COUNTIF($A$5:A2687,A2687)&gt;1,"Duplicate","Unique")</f>
        <v>Unique</v>
      </c>
      <c r="J2687" s="39" t="str">
        <f aca="false">IF(I2687="Duplicate","Remove",IF(H2687="Mismatch","Exclude","Keep"))</f>
        <v>Keep</v>
      </c>
    </row>
    <row r="2688" customFormat="false" ht="15" hidden="false" customHeight="false" outlineLevel="0" collapsed="false">
      <c r="A2688" s="39" t="s">
        <v>2735</v>
      </c>
      <c r="B2688" s="40" t="n">
        <v>45989</v>
      </c>
      <c r="C2688" s="39" t="s">
        <v>114</v>
      </c>
      <c r="D2688" s="39" t="n">
        <v>4</v>
      </c>
      <c r="E2688" s="41" t="n">
        <v>5.63</v>
      </c>
      <c r="F2688" s="39" t="s">
        <v>118</v>
      </c>
      <c r="G2688" s="39" t="str">
        <f aca="false">UPPER(TRIM(C2688))</f>
        <v>P012</v>
      </c>
      <c r="H2688" s="39" t="str">
        <f aca="false">IF(ISNUMBER(MATCH(G2688,Products!$A$5:$A$24,0)),"OK","Mismatch")</f>
        <v>OK</v>
      </c>
      <c r="I2688" s="39" t="str">
        <f aca="false">IF(COUNTIF($A$5:A2688,A2688)&gt;1,"Duplicate","Unique")</f>
        <v>Unique</v>
      </c>
      <c r="J2688" s="39" t="str">
        <f aca="false">IF(I2688="Duplicate","Remove",IF(H2688="Mismatch","Exclude","Keep"))</f>
        <v>Keep</v>
      </c>
    </row>
    <row r="2689" customFormat="false" ht="15" hidden="false" customHeight="false" outlineLevel="0" collapsed="false">
      <c r="A2689" s="39" t="s">
        <v>2736</v>
      </c>
      <c r="B2689" s="40" t="n">
        <v>45989</v>
      </c>
      <c r="C2689" s="39" t="s">
        <v>177</v>
      </c>
      <c r="D2689" s="39" t="n">
        <v>1</v>
      </c>
      <c r="E2689" s="41" t="n">
        <v>42.86</v>
      </c>
      <c r="F2689" s="39" t="s">
        <v>118</v>
      </c>
      <c r="G2689" s="39" t="str">
        <f aca="false">UPPER(TRIM(C2689))</f>
        <v>P014</v>
      </c>
      <c r="H2689" s="39" t="str">
        <f aca="false">IF(ISNUMBER(MATCH(G2689,Products!$A$5:$A$24,0)),"OK","Mismatch")</f>
        <v>OK</v>
      </c>
      <c r="I2689" s="39" t="str">
        <f aca="false">IF(COUNTIF($A$5:A2689,A2689)&gt;1,"Duplicate","Unique")</f>
        <v>Unique</v>
      </c>
      <c r="J2689" s="39" t="str">
        <f aca="false">IF(I2689="Duplicate","Remove",IF(H2689="Mismatch","Exclude","Keep"))</f>
        <v>Keep</v>
      </c>
    </row>
    <row r="2690" customFormat="false" ht="15" hidden="false" customHeight="false" outlineLevel="0" collapsed="false">
      <c r="A2690" s="39" t="s">
        <v>2737</v>
      </c>
      <c r="B2690" s="40" t="n">
        <v>45989</v>
      </c>
      <c r="C2690" s="39" t="s">
        <v>169</v>
      </c>
      <c r="D2690" s="39" t="n">
        <v>5</v>
      </c>
      <c r="E2690" s="41" t="n">
        <v>28.24</v>
      </c>
      <c r="F2690" s="39" t="s">
        <v>105</v>
      </c>
      <c r="G2690" s="39" t="str">
        <f aca="false">UPPER(TRIM(C2690))</f>
        <v>P004</v>
      </c>
      <c r="H2690" s="39" t="str">
        <f aca="false">IF(ISNUMBER(MATCH(G2690,Products!$A$5:$A$24,0)),"OK","Mismatch")</f>
        <v>OK</v>
      </c>
      <c r="I2690" s="39" t="str">
        <f aca="false">IF(COUNTIF($A$5:A2690,A2690)&gt;1,"Duplicate","Unique")</f>
        <v>Unique</v>
      </c>
      <c r="J2690" s="39" t="str">
        <f aca="false">IF(I2690="Duplicate","Remove",IF(H2690="Mismatch","Exclude","Keep"))</f>
        <v>Keep</v>
      </c>
    </row>
    <row r="2691" customFormat="false" ht="15" hidden="false" customHeight="false" outlineLevel="0" collapsed="false">
      <c r="A2691" s="39" t="s">
        <v>2738</v>
      </c>
      <c r="B2691" s="40" t="n">
        <v>45989</v>
      </c>
      <c r="C2691" s="39" t="s">
        <v>136</v>
      </c>
      <c r="D2691" s="39" t="n">
        <v>1</v>
      </c>
      <c r="E2691" s="41" t="n">
        <v>75.99</v>
      </c>
      <c r="F2691" s="39" t="s">
        <v>105</v>
      </c>
      <c r="G2691" s="39" t="str">
        <f aca="false">UPPER(TRIM(C2691))</f>
        <v>P002</v>
      </c>
      <c r="H2691" s="39" t="str">
        <f aca="false">IF(ISNUMBER(MATCH(G2691,Products!$A$5:$A$24,0)),"OK","Mismatch")</f>
        <v>OK</v>
      </c>
      <c r="I2691" s="39" t="str">
        <f aca="false">IF(COUNTIF($A$5:A2691,A2691)&gt;1,"Duplicate","Unique")</f>
        <v>Unique</v>
      </c>
      <c r="J2691" s="39" t="str">
        <f aca="false">IF(I2691="Duplicate","Remove",IF(H2691="Mismatch","Exclude","Keep"))</f>
        <v>Keep</v>
      </c>
    </row>
    <row r="2692" customFormat="false" ht="15" hidden="false" customHeight="false" outlineLevel="0" collapsed="false">
      <c r="A2692" s="39" t="s">
        <v>2739</v>
      </c>
      <c r="B2692" s="40" t="n">
        <v>45989</v>
      </c>
      <c r="C2692" s="39" t="s">
        <v>136</v>
      </c>
      <c r="D2692" s="39" t="n">
        <v>2</v>
      </c>
      <c r="E2692" s="41" t="n">
        <v>75.94</v>
      </c>
      <c r="F2692" s="39" t="s">
        <v>118</v>
      </c>
      <c r="G2692" s="39" t="str">
        <f aca="false">UPPER(TRIM(C2692))</f>
        <v>P002</v>
      </c>
      <c r="H2692" s="39" t="str">
        <f aca="false">IF(ISNUMBER(MATCH(G2692,Products!$A$5:$A$24,0)),"OK","Mismatch")</f>
        <v>OK</v>
      </c>
      <c r="I2692" s="39" t="str">
        <f aca="false">IF(COUNTIF($A$5:A2692,A2692)&gt;1,"Duplicate","Unique")</f>
        <v>Unique</v>
      </c>
      <c r="J2692" s="39" t="str">
        <f aca="false">IF(I2692="Duplicate","Remove",IF(H2692="Mismatch","Exclude","Keep"))</f>
        <v>Keep</v>
      </c>
    </row>
    <row r="2693" customFormat="false" ht="15" hidden="false" customHeight="false" outlineLevel="0" collapsed="false">
      <c r="A2693" s="39" t="s">
        <v>2740</v>
      </c>
      <c r="B2693" s="40" t="n">
        <v>45989</v>
      </c>
      <c r="C2693" s="39" t="s">
        <v>126</v>
      </c>
      <c r="D2693" s="39" t="n">
        <v>1</v>
      </c>
      <c r="E2693" s="41" t="n">
        <v>23.74</v>
      </c>
      <c r="F2693" s="39" t="s">
        <v>115</v>
      </c>
      <c r="G2693" s="39" t="str">
        <f aca="false">UPPER(TRIM(C2693))</f>
        <v>P001</v>
      </c>
      <c r="H2693" s="39" t="str">
        <f aca="false">IF(ISNUMBER(MATCH(G2693,Products!$A$5:$A$24,0)),"OK","Mismatch")</f>
        <v>OK</v>
      </c>
      <c r="I2693" s="39" t="str">
        <f aca="false">IF(COUNTIF($A$5:A2693,A2693)&gt;1,"Duplicate","Unique")</f>
        <v>Unique</v>
      </c>
      <c r="J2693" s="39" t="str">
        <f aca="false">IF(I2693="Duplicate","Remove",IF(H2693="Mismatch","Exclude","Keep"))</f>
        <v>Keep</v>
      </c>
    </row>
    <row r="2694" customFormat="false" ht="15" hidden="false" customHeight="false" outlineLevel="0" collapsed="false">
      <c r="A2694" s="39" t="s">
        <v>2741</v>
      </c>
      <c r="B2694" s="40" t="n">
        <v>45989</v>
      </c>
      <c r="C2694" s="39" t="s">
        <v>117</v>
      </c>
      <c r="D2694" s="39" t="n">
        <v>2</v>
      </c>
      <c r="E2694" s="41" t="n">
        <v>30.97</v>
      </c>
      <c r="F2694" s="39" t="s">
        <v>115</v>
      </c>
      <c r="G2694" s="39" t="str">
        <f aca="false">UPPER(TRIM(C2694))</f>
        <v>P009</v>
      </c>
      <c r="H2694" s="39" t="str">
        <f aca="false">IF(ISNUMBER(MATCH(G2694,Products!$A$5:$A$24,0)),"OK","Mismatch")</f>
        <v>OK</v>
      </c>
      <c r="I2694" s="39" t="str">
        <f aca="false">IF(COUNTIF($A$5:A2694,A2694)&gt;1,"Duplicate","Unique")</f>
        <v>Unique</v>
      </c>
      <c r="J2694" s="39" t="str">
        <f aca="false">IF(I2694="Duplicate","Remove",IF(H2694="Mismatch","Exclude","Keep"))</f>
        <v>Keep</v>
      </c>
    </row>
    <row r="2695" customFormat="false" ht="15" hidden="false" customHeight="false" outlineLevel="0" collapsed="false">
      <c r="A2695" s="39" t="s">
        <v>2742</v>
      </c>
      <c r="B2695" s="40" t="n">
        <v>45989</v>
      </c>
      <c r="C2695" s="39" t="s">
        <v>126</v>
      </c>
      <c r="D2695" s="39" t="n">
        <v>2</v>
      </c>
      <c r="E2695" s="41" t="n">
        <v>24.33</v>
      </c>
      <c r="F2695" s="39" t="s">
        <v>118</v>
      </c>
      <c r="G2695" s="39" t="str">
        <f aca="false">UPPER(TRIM(C2695))</f>
        <v>P001</v>
      </c>
      <c r="H2695" s="39" t="str">
        <f aca="false">IF(ISNUMBER(MATCH(G2695,Products!$A$5:$A$24,0)),"OK","Mismatch")</f>
        <v>OK</v>
      </c>
      <c r="I2695" s="39" t="str">
        <f aca="false">IF(COUNTIF($A$5:A2695,A2695)&gt;1,"Duplicate","Unique")</f>
        <v>Unique</v>
      </c>
      <c r="J2695" s="39" t="str">
        <f aca="false">IF(I2695="Duplicate","Remove",IF(H2695="Mismatch","Exclude","Keep"))</f>
        <v>Keep</v>
      </c>
    </row>
    <row r="2696" customFormat="false" ht="15" hidden="false" customHeight="false" outlineLevel="0" collapsed="false">
      <c r="A2696" s="39" t="s">
        <v>2743</v>
      </c>
      <c r="B2696" s="40" t="n">
        <v>45989</v>
      </c>
      <c r="C2696" s="39" t="s">
        <v>114</v>
      </c>
      <c r="D2696" s="39" t="n">
        <v>5</v>
      </c>
      <c r="E2696" s="41" t="n">
        <v>5.53</v>
      </c>
      <c r="F2696" s="39" t="s">
        <v>105</v>
      </c>
      <c r="G2696" s="39" t="str">
        <f aca="false">UPPER(TRIM(C2696))</f>
        <v>P012</v>
      </c>
      <c r="H2696" s="39" t="str">
        <f aca="false">IF(ISNUMBER(MATCH(G2696,Products!$A$5:$A$24,0)),"OK","Mismatch")</f>
        <v>OK</v>
      </c>
      <c r="I2696" s="39" t="str">
        <f aca="false">IF(COUNTIF($A$5:A2696,A2696)&gt;1,"Duplicate","Unique")</f>
        <v>Unique</v>
      </c>
      <c r="J2696" s="39" t="str">
        <f aca="false">IF(I2696="Duplicate","Remove",IF(H2696="Mismatch","Exclude","Keep"))</f>
        <v>Keep</v>
      </c>
    </row>
    <row r="2697" customFormat="false" ht="15" hidden="false" customHeight="false" outlineLevel="0" collapsed="false">
      <c r="A2697" s="39" t="s">
        <v>2744</v>
      </c>
      <c r="B2697" s="40" t="n">
        <v>45989</v>
      </c>
      <c r="C2697" s="39" t="s">
        <v>130</v>
      </c>
      <c r="D2697" s="39" t="n">
        <v>2</v>
      </c>
      <c r="E2697" s="41" t="n">
        <v>8.39</v>
      </c>
      <c r="F2697" s="39" t="s">
        <v>118</v>
      </c>
      <c r="G2697" s="39" t="str">
        <f aca="false">UPPER(TRIM(C2697))</f>
        <v>P011</v>
      </c>
      <c r="H2697" s="39" t="str">
        <f aca="false">IF(ISNUMBER(MATCH(G2697,Products!$A$5:$A$24,0)),"OK","Mismatch")</f>
        <v>OK</v>
      </c>
      <c r="I2697" s="39" t="str">
        <f aca="false">IF(COUNTIF($A$5:A2697,A2697)&gt;1,"Duplicate","Unique")</f>
        <v>Unique</v>
      </c>
      <c r="J2697" s="39" t="str">
        <f aca="false">IF(I2697="Duplicate","Remove",IF(H2697="Mismatch","Exclude","Keep"))</f>
        <v>Keep</v>
      </c>
    </row>
    <row r="2698" customFormat="false" ht="15" hidden="false" customHeight="false" outlineLevel="0" collapsed="false">
      <c r="A2698" s="39" t="s">
        <v>2745</v>
      </c>
      <c r="B2698" s="40" t="n">
        <v>45992</v>
      </c>
      <c r="C2698" s="39" t="s">
        <v>126</v>
      </c>
      <c r="D2698" s="39" t="n">
        <v>3</v>
      </c>
      <c r="E2698" s="41" t="n">
        <v>23.95</v>
      </c>
      <c r="F2698" s="39" t="s">
        <v>115</v>
      </c>
      <c r="G2698" s="39" t="str">
        <f aca="false">UPPER(TRIM(C2698))</f>
        <v>P001</v>
      </c>
      <c r="H2698" s="39" t="str">
        <f aca="false">IF(ISNUMBER(MATCH(G2698,Products!$A$5:$A$24,0)),"OK","Mismatch")</f>
        <v>OK</v>
      </c>
      <c r="I2698" s="39" t="str">
        <f aca="false">IF(COUNTIF($A$5:A2698,A2698)&gt;1,"Duplicate","Unique")</f>
        <v>Unique</v>
      </c>
      <c r="J2698" s="39" t="str">
        <f aca="false">IF(I2698="Duplicate","Remove",IF(H2698="Mismatch","Exclude","Keep"))</f>
        <v>Keep</v>
      </c>
    </row>
    <row r="2699" customFormat="false" ht="15" hidden="false" customHeight="false" outlineLevel="0" collapsed="false">
      <c r="A2699" s="39" t="s">
        <v>2746</v>
      </c>
      <c r="B2699" s="40" t="n">
        <v>45992</v>
      </c>
      <c r="C2699" s="39" t="s">
        <v>126</v>
      </c>
      <c r="D2699" s="39" t="n">
        <v>1</v>
      </c>
      <c r="E2699" s="41" t="n">
        <v>23.63</v>
      </c>
      <c r="F2699" s="39" t="s">
        <v>108</v>
      </c>
      <c r="G2699" s="39" t="str">
        <f aca="false">UPPER(TRIM(C2699))</f>
        <v>P001</v>
      </c>
      <c r="H2699" s="39" t="str">
        <f aca="false">IF(ISNUMBER(MATCH(G2699,Products!$A$5:$A$24,0)),"OK","Mismatch")</f>
        <v>OK</v>
      </c>
      <c r="I2699" s="39" t="str">
        <f aca="false">IF(COUNTIF($A$5:A2699,A2699)&gt;1,"Duplicate","Unique")</f>
        <v>Unique</v>
      </c>
      <c r="J2699" s="39" t="str">
        <f aca="false">IF(I2699="Duplicate","Remove",IF(H2699="Mismatch","Exclude","Keep"))</f>
        <v>Keep</v>
      </c>
    </row>
    <row r="2700" customFormat="false" ht="15" hidden="false" customHeight="false" outlineLevel="0" collapsed="false">
      <c r="A2700" s="39" t="s">
        <v>2747</v>
      </c>
      <c r="B2700" s="40" t="n">
        <v>45992</v>
      </c>
      <c r="C2700" s="39" t="s">
        <v>107</v>
      </c>
      <c r="D2700" s="39" t="n">
        <v>1</v>
      </c>
      <c r="E2700" s="41" t="n">
        <v>33.18</v>
      </c>
      <c r="F2700" s="39" t="s">
        <v>108</v>
      </c>
      <c r="G2700" s="39" t="str">
        <f aca="false">UPPER(TRIM(C2700))</f>
        <v>P003</v>
      </c>
      <c r="H2700" s="39" t="str">
        <f aca="false">IF(ISNUMBER(MATCH(G2700,Products!$A$5:$A$24,0)),"OK","Mismatch")</f>
        <v>OK</v>
      </c>
      <c r="I2700" s="39" t="str">
        <f aca="false">IF(COUNTIF($A$5:A2700,A2700)&gt;1,"Duplicate","Unique")</f>
        <v>Unique</v>
      </c>
      <c r="J2700" s="39" t="str">
        <f aca="false">IF(I2700="Duplicate","Remove",IF(H2700="Mismatch","Exclude","Keep"))</f>
        <v>Keep</v>
      </c>
    </row>
    <row r="2701" customFormat="false" ht="15" hidden="false" customHeight="false" outlineLevel="0" collapsed="false">
      <c r="A2701" s="39" t="s">
        <v>2748</v>
      </c>
      <c r="B2701" s="40" t="n">
        <v>45992</v>
      </c>
      <c r="C2701" s="39" t="s">
        <v>126</v>
      </c>
      <c r="D2701" s="39" t="n">
        <v>3</v>
      </c>
      <c r="E2701" s="41" t="n">
        <v>23.23</v>
      </c>
      <c r="F2701" s="39" t="s">
        <v>108</v>
      </c>
      <c r="G2701" s="39" t="str">
        <f aca="false">UPPER(TRIM(C2701))</f>
        <v>P001</v>
      </c>
      <c r="H2701" s="39" t="str">
        <f aca="false">IF(ISNUMBER(MATCH(G2701,Products!$A$5:$A$24,0)),"OK","Mismatch")</f>
        <v>OK</v>
      </c>
      <c r="I2701" s="39" t="str">
        <f aca="false">IF(COUNTIF($A$5:A2701,A2701)&gt;1,"Duplicate","Unique")</f>
        <v>Unique</v>
      </c>
      <c r="J2701" s="39" t="str">
        <f aca="false">IF(I2701="Duplicate","Remove",IF(H2701="Mismatch","Exclude","Keep"))</f>
        <v>Keep</v>
      </c>
    </row>
    <row r="2702" customFormat="false" ht="15" hidden="false" customHeight="false" outlineLevel="0" collapsed="false">
      <c r="A2702" s="39" t="s">
        <v>2749</v>
      </c>
      <c r="B2702" s="40" t="n">
        <v>45992</v>
      </c>
      <c r="C2702" s="39" t="s">
        <v>114</v>
      </c>
      <c r="D2702" s="39" t="n">
        <v>4</v>
      </c>
      <c r="E2702" s="41" t="n">
        <v>5.81</v>
      </c>
      <c r="F2702" s="39" t="s">
        <v>115</v>
      </c>
      <c r="G2702" s="39" t="str">
        <f aca="false">UPPER(TRIM(C2702))</f>
        <v>P012</v>
      </c>
      <c r="H2702" s="39" t="str">
        <f aca="false">IF(ISNUMBER(MATCH(G2702,Products!$A$5:$A$24,0)),"OK","Mismatch")</f>
        <v>OK</v>
      </c>
      <c r="I2702" s="39" t="str">
        <f aca="false">IF(COUNTIF($A$5:A2702,A2702)&gt;1,"Duplicate","Unique")</f>
        <v>Unique</v>
      </c>
      <c r="J2702" s="39" t="str">
        <f aca="false">IF(I2702="Duplicate","Remove",IF(H2702="Mismatch","Exclude","Keep"))</f>
        <v>Keep</v>
      </c>
    </row>
    <row r="2703" customFormat="false" ht="15" hidden="false" customHeight="false" outlineLevel="0" collapsed="false">
      <c r="A2703" s="39" t="s">
        <v>2750</v>
      </c>
      <c r="B2703" s="40" t="n">
        <v>45992</v>
      </c>
      <c r="C2703" s="39" t="s">
        <v>130</v>
      </c>
      <c r="D2703" s="39" t="n">
        <v>2</v>
      </c>
      <c r="E2703" s="41" t="n">
        <v>8.32</v>
      </c>
      <c r="F2703" s="39" t="s">
        <v>105</v>
      </c>
      <c r="G2703" s="39" t="str">
        <f aca="false">UPPER(TRIM(C2703))</f>
        <v>P011</v>
      </c>
      <c r="H2703" s="39" t="str">
        <f aca="false">IF(ISNUMBER(MATCH(G2703,Products!$A$5:$A$24,0)),"OK","Mismatch")</f>
        <v>OK</v>
      </c>
      <c r="I2703" s="39" t="str">
        <f aca="false">IF(COUNTIF($A$5:A2703,A2703)&gt;1,"Duplicate","Unique")</f>
        <v>Unique</v>
      </c>
      <c r="J2703" s="39" t="str">
        <f aca="false">IF(I2703="Duplicate","Remove",IF(H2703="Mismatch","Exclude","Keep"))</f>
        <v>Keep</v>
      </c>
    </row>
    <row r="2704" customFormat="false" ht="15" hidden="false" customHeight="false" outlineLevel="0" collapsed="false">
      <c r="A2704" s="39" t="s">
        <v>2751</v>
      </c>
      <c r="B2704" s="40" t="n">
        <v>45992</v>
      </c>
      <c r="C2704" s="39" t="s">
        <v>126</v>
      </c>
      <c r="D2704" s="39" t="n">
        <v>1</v>
      </c>
      <c r="E2704" s="41" t="n">
        <v>23.02</v>
      </c>
      <c r="F2704" s="39" t="s">
        <v>118</v>
      </c>
      <c r="G2704" s="39" t="str">
        <f aca="false">UPPER(TRIM(C2704))</f>
        <v>P001</v>
      </c>
      <c r="H2704" s="39" t="str">
        <f aca="false">IF(ISNUMBER(MATCH(G2704,Products!$A$5:$A$24,0)),"OK","Mismatch")</f>
        <v>OK</v>
      </c>
      <c r="I2704" s="39" t="str">
        <f aca="false">IF(COUNTIF($A$5:A2704,A2704)&gt;1,"Duplicate","Unique")</f>
        <v>Unique</v>
      </c>
      <c r="J2704" s="39" t="str">
        <f aca="false">IF(I2704="Duplicate","Remove",IF(H2704="Mismatch","Exclude","Keep"))</f>
        <v>Keep</v>
      </c>
    </row>
    <row r="2705" customFormat="false" ht="15" hidden="false" customHeight="false" outlineLevel="0" collapsed="false">
      <c r="A2705" s="39" t="s">
        <v>2752</v>
      </c>
      <c r="B2705" s="40" t="n">
        <v>45992</v>
      </c>
      <c r="C2705" s="39" t="s">
        <v>139</v>
      </c>
      <c r="D2705" s="39" t="n">
        <v>2</v>
      </c>
      <c r="E2705" s="41" t="n">
        <v>120.82</v>
      </c>
      <c r="F2705" s="39" t="s">
        <v>105</v>
      </c>
      <c r="G2705" s="39" t="str">
        <f aca="false">UPPER(TRIM(C2705))</f>
        <v>P006</v>
      </c>
      <c r="H2705" s="39" t="str">
        <f aca="false">IF(ISNUMBER(MATCH(G2705,Products!$A$5:$A$24,0)),"OK","Mismatch")</f>
        <v>OK</v>
      </c>
      <c r="I2705" s="39" t="str">
        <f aca="false">IF(COUNTIF($A$5:A2705,A2705)&gt;1,"Duplicate","Unique")</f>
        <v>Unique</v>
      </c>
      <c r="J2705" s="39" t="str">
        <f aca="false">IF(I2705="Duplicate","Remove",IF(H2705="Mismatch","Exclude","Keep"))</f>
        <v>Keep</v>
      </c>
    </row>
    <row r="2706" customFormat="false" ht="15" hidden="false" customHeight="false" outlineLevel="0" collapsed="false">
      <c r="A2706" s="39" t="s">
        <v>2753</v>
      </c>
      <c r="B2706" s="40" t="n">
        <v>45992</v>
      </c>
      <c r="C2706" s="39" t="s">
        <v>130</v>
      </c>
      <c r="D2706" s="39" t="n">
        <v>3</v>
      </c>
      <c r="E2706" s="41" t="n">
        <v>8.5</v>
      </c>
      <c r="F2706" s="39" t="s">
        <v>118</v>
      </c>
      <c r="G2706" s="39" t="str">
        <f aca="false">UPPER(TRIM(C2706))</f>
        <v>P011</v>
      </c>
      <c r="H2706" s="39" t="str">
        <f aca="false">IF(ISNUMBER(MATCH(G2706,Products!$A$5:$A$24,0)),"OK","Mismatch")</f>
        <v>OK</v>
      </c>
      <c r="I2706" s="39" t="str">
        <f aca="false">IF(COUNTIF($A$5:A2706,A2706)&gt;1,"Duplicate","Unique")</f>
        <v>Unique</v>
      </c>
      <c r="J2706" s="39" t="str">
        <f aca="false">IF(I2706="Duplicate","Remove",IF(H2706="Mismatch","Exclude","Keep"))</f>
        <v>Keep</v>
      </c>
    </row>
    <row r="2707" customFormat="false" ht="15" hidden="false" customHeight="false" outlineLevel="0" collapsed="false">
      <c r="A2707" s="39" t="s">
        <v>2754</v>
      </c>
      <c r="B2707" s="40" t="n">
        <v>45992</v>
      </c>
      <c r="C2707" s="39" t="s">
        <v>169</v>
      </c>
      <c r="D2707" s="39" t="n">
        <v>4</v>
      </c>
      <c r="E2707" s="41" t="n">
        <v>26.92</v>
      </c>
      <c r="F2707" s="39" t="s">
        <v>105</v>
      </c>
      <c r="G2707" s="39" t="str">
        <f aca="false">UPPER(TRIM(C2707))</f>
        <v>P004</v>
      </c>
      <c r="H2707" s="39" t="str">
        <f aca="false">IF(ISNUMBER(MATCH(G2707,Products!$A$5:$A$24,0)),"OK","Mismatch")</f>
        <v>OK</v>
      </c>
      <c r="I2707" s="39" t="str">
        <f aca="false">IF(COUNTIF($A$5:A2707,A2707)&gt;1,"Duplicate","Unique")</f>
        <v>Unique</v>
      </c>
      <c r="J2707" s="39" t="str">
        <f aca="false">IF(I2707="Duplicate","Remove",IF(H2707="Mismatch","Exclude","Keep"))</f>
        <v>Keep</v>
      </c>
    </row>
    <row r="2708" customFormat="false" ht="15" hidden="false" customHeight="false" outlineLevel="0" collapsed="false">
      <c r="A2708" s="39" t="s">
        <v>2755</v>
      </c>
      <c r="B2708" s="40" t="n">
        <v>45992</v>
      </c>
      <c r="C2708" s="39" t="s">
        <v>144</v>
      </c>
      <c r="D2708" s="39" t="n">
        <v>1</v>
      </c>
      <c r="E2708" s="41" t="n">
        <v>56.34</v>
      </c>
      <c r="F2708" s="39" t="s">
        <v>108</v>
      </c>
      <c r="G2708" s="39" t="str">
        <f aca="false">UPPER(TRIM(C2708))</f>
        <v>P013</v>
      </c>
      <c r="H2708" s="39" t="str">
        <f aca="false">IF(ISNUMBER(MATCH(G2708,Products!$A$5:$A$24,0)),"OK","Mismatch")</f>
        <v>OK</v>
      </c>
      <c r="I2708" s="39" t="str">
        <f aca="false">IF(COUNTIF($A$5:A2708,A2708)&gt;1,"Duplicate","Unique")</f>
        <v>Unique</v>
      </c>
      <c r="J2708" s="39" t="str">
        <f aca="false">IF(I2708="Duplicate","Remove",IF(H2708="Mismatch","Exclude","Keep"))</f>
        <v>Keep</v>
      </c>
    </row>
    <row r="2709" customFormat="false" ht="15" hidden="false" customHeight="false" outlineLevel="0" collapsed="false">
      <c r="A2709" s="39" t="s">
        <v>2756</v>
      </c>
      <c r="B2709" s="40" t="n">
        <v>45992</v>
      </c>
      <c r="C2709" s="39" t="s">
        <v>104</v>
      </c>
      <c r="D2709" s="39" t="n">
        <v>2</v>
      </c>
      <c r="E2709" s="41" t="n">
        <v>15.95</v>
      </c>
      <c r="F2709" s="39" t="s">
        <v>118</v>
      </c>
      <c r="G2709" s="39" t="str">
        <f aca="false">UPPER(TRIM(C2709))</f>
        <v>P015</v>
      </c>
      <c r="H2709" s="39" t="str">
        <f aca="false">IF(ISNUMBER(MATCH(G2709,Products!$A$5:$A$24,0)),"OK","Mismatch")</f>
        <v>OK</v>
      </c>
      <c r="I2709" s="39" t="str">
        <f aca="false">IF(COUNTIF($A$5:A2709,A2709)&gt;1,"Duplicate","Unique")</f>
        <v>Unique</v>
      </c>
      <c r="J2709" s="39" t="str">
        <f aca="false">IF(I2709="Duplicate","Remove",IF(H2709="Mismatch","Exclude","Keep"))</f>
        <v>Keep</v>
      </c>
    </row>
    <row r="2710" customFormat="false" ht="15" hidden="false" customHeight="false" outlineLevel="0" collapsed="false">
      <c r="A2710" s="39" t="s">
        <v>2757</v>
      </c>
      <c r="B2710" s="40" t="n">
        <v>45992</v>
      </c>
      <c r="C2710" s="39" t="s">
        <v>117</v>
      </c>
      <c r="D2710" s="39" t="n">
        <v>1</v>
      </c>
      <c r="E2710" s="41" t="n">
        <v>31.32</v>
      </c>
      <c r="F2710" s="39" t="s">
        <v>105</v>
      </c>
      <c r="G2710" s="39" t="str">
        <f aca="false">UPPER(TRIM(C2710))</f>
        <v>P009</v>
      </c>
      <c r="H2710" s="39" t="str">
        <f aca="false">IF(ISNUMBER(MATCH(G2710,Products!$A$5:$A$24,0)),"OK","Mismatch")</f>
        <v>OK</v>
      </c>
      <c r="I2710" s="39" t="str">
        <f aca="false">IF(COUNTIF($A$5:A2710,A2710)&gt;1,"Duplicate","Unique")</f>
        <v>Unique</v>
      </c>
      <c r="J2710" s="39" t="str">
        <f aca="false">IF(I2710="Duplicate","Remove",IF(H2710="Mismatch","Exclude","Keep"))</f>
        <v>Keep</v>
      </c>
    </row>
    <row r="2711" customFormat="false" ht="15" hidden="false" customHeight="false" outlineLevel="0" collapsed="false">
      <c r="A2711" s="39" t="s">
        <v>2758</v>
      </c>
      <c r="B2711" s="40" t="n">
        <v>45993</v>
      </c>
      <c r="C2711" s="39" t="s">
        <v>183</v>
      </c>
      <c r="D2711" s="39" t="n">
        <v>3</v>
      </c>
      <c r="E2711" s="41" t="n">
        <v>187.38</v>
      </c>
      <c r="F2711" s="39" t="s">
        <v>108</v>
      </c>
      <c r="G2711" s="39" t="str">
        <f aca="false">UPPER(TRIM(C2711))</f>
        <v>P007</v>
      </c>
      <c r="H2711" s="39" t="str">
        <f aca="false">IF(ISNUMBER(MATCH(G2711,Products!$A$5:$A$24,0)),"OK","Mismatch")</f>
        <v>OK</v>
      </c>
      <c r="I2711" s="39" t="str">
        <f aca="false">IF(COUNTIF($A$5:A2711,A2711)&gt;1,"Duplicate","Unique")</f>
        <v>Unique</v>
      </c>
      <c r="J2711" s="39" t="str">
        <f aca="false">IF(I2711="Duplicate","Remove",IF(H2711="Mismatch","Exclude","Keep"))</f>
        <v>Keep</v>
      </c>
    </row>
    <row r="2712" customFormat="false" ht="15" hidden="false" customHeight="false" outlineLevel="0" collapsed="false">
      <c r="A2712" s="39" t="s">
        <v>2759</v>
      </c>
      <c r="B2712" s="40" t="n">
        <v>45993</v>
      </c>
      <c r="C2712" s="39" t="s">
        <v>110</v>
      </c>
      <c r="D2712" s="39" t="n">
        <v>6</v>
      </c>
      <c r="E2712" s="41" t="n">
        <v>13.34</v>
      </c>
      <c r="F2712" s="39" t="s">
        <v>105</v>
      </c>
      <c r="G2712" s="39" t="str">
        <f aca="false">UPPER(TRIM(C2712))</f>
        <v>P016</v>
      </c>
      <c r="H2712" s="39" t="str">
        <f aca="false">IF(ISNUMBER(MATCH(G2712,Products!$A$5:$A$24,0)),"OK","Mismatch")</f>
        <v>OK</v>
      </c>
      <c r="I2712" s="39" t="str">
        <f aca="false">IF(COUNTIF($A$5:A2712,A2712)&gt;1,"Duplicate","Unique")</f>
        <v>Unique</v>
      </c>
      <c r="J2712" s="39" t="str">
        <f aca="false">IF(I2712="Duplicate","Remove",IF(H2712="Mismatch","Exclude","Keep"))</f>
        <v>Keep</v>
      </c>
    </row>
    <row r="2713" customFormat="false" ht="15" hidden="false" customHeight="false" outlineLevel="0" collapsed="false">
      <c r="A2713" s="39" t="s">
        <v>2760</v>
      </c>
      <c r="B2713" s="40" t="n">
        <v>45993</v>
      </c>
      <c r="C2713" s="39" t="s">
        <v>133</v>
      </c>
      <c r="D2713" s="39" t="n">
        <v>4</v>
      </c>
      <c r="E2713" s="41" t="n">
        <v>8.88</v>
      </c>
      <c r="F2713" s="39" t="s">
        <v>108</v>
      </c>
      <c r="G2713" s="39" t="str">
        <f aca="false">UPPER(TRIM(C2713))</f>
        <v>P019</v>
      </c>
      <c r="H2713" s="39" t="str">
        <f aca="false">IF(ISNUMBER(MATCH(G2713,Products!$A$5:$A$24,0)),"OK","Mismatch")</f>
        <v>OK</v>
      </c>
      <c r="I2713" s="39" t="str">
        <f aca="false">IF(COUNTIF($A$5:A2713,A2713)&gt;1,"Duplicate","Unique")</f>
        <v>Unique</v>
      </c>
      <c r="J2713" s="39" t="str">
        <f aca="false">IF(I2713="Duplicate","Remove",IF(H2713="Mismatch","Exclude","Keep"))</f>
        <v>Keep</v>
      </c>
    </row>
    <row r="2714" customFormat="false" ht="15" hidden="false" customHeight="false" outlineLevel="0" collapsed="false">
      <c r="A2714" s="39" t="s">
        <v>2761</v>
      </c>
      <c r="B2714" s="40" t="n">
        <v>45993</v>
      </c>
      <c r="C2714" s="39" t="s">
        <v>133</v>
      </c>
      <c r="D2714" s="39" t="n">
        <v>2</v>
      </c>
      <c r="E2714" s="41" t="n">
        <v>8.58</v>
      </c>
      <c r="F2714" s="39" t="s">
        <v>115</v>
      </c>
      <c r="G2714" s="39" t="str">
        <f aca="false">UPPER(TRIM(C2714))</f>
        <v>P019</v>
      </c>
      <c r="H2714" s="39" t="str">
        <f aca="false">IF(ISNUMBER(MATCH(G2714,Products!$A$5:$A$24,0)),"OK","Mismatch")</f>
        <v>OK</v>
      </c>
      <c r="I2714" s="39" t="str">
        <f aca="false">IF(COUNTIF($A$5:A2714,A2714)&gt;1,"Duplicate","Unique")</f>
        <v>Unique</v>
      </c>
      <c r="J2714" s="39" t="str">
        <f aca="false">IF(I2714="Duplicate","Remove",IF(H2714="Mismatch","Exclude","Keep"))</f>
        <v>Keep</v>
      </c>
    </row>
    <row r="2715" customFormat="false" ht="15" hidden="false" customHeight="false" outlineLevel="0" collapsed="false">
      <c r="A2715" s="39" t="s">
        <v>2762</v>
      </c>
      <c r="B2715" s="40" t="n">
        <v>45993</v>
      </c>
      <c r="C2715" s="39" t="s">
        <v>183</v>
      </c>
      <c r="D2715" s="39" t="n">
        <v>2</v>
      </c>
      <c r="E2715" s="41" t="n">
        <v>183.47</v>
      </c>
      <c r="F2715" s="39" t="s">
        <v>115</v>
      </c>
      <c r="G2715" s="39" t="str">
        <f aca="false">UPPER(TRIM(C2715))</f>
        <v>P007</v>
      </c>
      <c r="H2715" s="39" t="str">
        <f aca="false">IF(ISNUMBER(MATCH(G2715,Products!$A$5:$A$24,0)),"OK","Mismatch")</f>
        <v>OK</v>
      </c>
      <c r="I2715" s="39" t="str">
        <f aca="false">IF(COUNTIF($A$5:A2715,A2715)&gt;1,"Duplicate","Unique")</f>
        <v>Unique</v>
      </c>
      <c r="J2715" s="39" t="str">
        <f aca="false">IF(I2715="Duplicate","Remove",IF(H2715="Mismatch","Exclude","Keep"))</f>
        <v>Keep</v>
      </c>
    </row>
    <row r="2716" customFormat="false" ht="15" hidden="false" customHeight="false" outlineLevel="0" collapsed="false">
      <c r="A2716" s="39" t="s">
        <v>2763</v>
      </c>
      <c r="B2716" s="40" t="n">
        <v>45993</v>
      </c>
      <c r="C2716" s="39" t="s">
        <v>162</v>
      </c>
      <c r="D2716" s="39" t="n">
        <v>5</v>
      </c>
      <c r="E2716" s="41" t="n">
        <v>65.57</v>
      </c>
      <c r="F2716" s="39" t="s">
        <v>105</v>
      </c>
      <c r="G2716" s="39" t="str">
        <f aca="false">UPPER(TRIM(C2716))</f>
        <v>P017</v>
      </c>
      <c r="H2716" s="39" t="str">
        <f aca="false">IF(ISNUMBER(MATCH(G2716,Products!$A$5:$A$24,0)),"OK","Mismatch")</f>
        <v>OK</v>
      </c>
      <c r="I2716" s="39" t="str">
        <f aca="false">IF(COUNTIF($A$5:A2716,A2716)&gt;1,"Duplicate","Unique")</f>
        <v>Unique</v>
      </c>
      <c r="J2716" s="39" t="str">
        <f aca="false">IF(I2716="Duplicate","Remove",IF(H2716="Mismatch","Exclude","Keep"))</f>
        <v>Keep</v>
      </c>
    </row>
    <row r="2717" customFormat="false" ht="15" hidden="false" customHeight="false" outlineLevel="0" collapsed="false">
      <c r="A2717" s="39" t="s">
        <v>2764</v>
      </c>
      <c r="B2717" s="40" t="n">
        <v>45993</v>
      </c>
      <c r="C2717" s="39" t="s">
        <v>121</v>
      </c>
      <c r="D2717" s="39" t="n">
        <v>1</v>
      </c>
      <c r="E2717" s="41" t="n">
        <v>113.76</v>
      </c>
      <c r="F2717" s="39" t="s">
        <v>108</v>
      </c>
      <c r="G2717" s="39" t="str">
        <f aca="false">UPPER(TRIM(C2717))</f>
        <v>P018</v>
      </c>
      <c r="H2717" s="39" t="str">
        <f aca="false">IF(ISNUMBER(MATCH(G2717,Products!$A$5:$A$24,0)),"OK","Mismatch")</f>
        <v>OK</v>
      </c>
      <c r="I2717" s="39" t="str">
        <f aca="false">IF(COUNTIF($A$5:A2717,A2717)&gt;1,"Duplicate","Unique")</f>
        <v>Unique</v>
      </c>
      <c r="J2717" s="39" t="str">
        <f aca="false">IF(I2717="Duplicate","Remove",IF(H2717="Mismatch","Exclude","Keep"))</f>
        <v>Keep</v>
      </c>
    </row>
    <row r="2718" customFormat="false" ht="15" hidden="false" customHeight="false" outlineLevel="0" collapsed="false">
      <c r="A2718" s="39" t="s">
        <v>2765</v>
      </c>
      <c r="B2718" s="40" t="n">
        <v>45994</v>
      </c>
      <c r="C2718" s="39" t="s">
        <v>126</v>
      </c>
      <c r="D2718" s="39" t="n">
        <v>6</v>
      </c>
      <c r="E2718" s="41" t="n">
        <v>23.75</v>
      </c>
      <c r="F2718" s="39" t="s">
        <v>108</v>
      </c>
      <c r="G2718" s="39" t="str">
        <f aca="false">UPPER(TRIM(C2718))</f>
        <v>P001</v>
      </c>
      <c r="H2718" s="39" t="str">
        <f aca="false">IF(ISNUMBER(MATCH(G2718,Products!$A$5:$A$24,0)),"OK","Mismatch")</f>
        <v>OK</v>
      </c>
      <c r="I2718" s="39" t="str">
        <f aca="false">IF(COUNTIF($A$5:A2718,A2718)&gt;1,"Duplicate","Unique")</f>
        <v>Unique</v>
      </c>
      <c r="J2718" s="39" t="str">
        <f aca="false">IF(I2718="Duplicate","Remove",IF(H2718="Mismatch","Exclude","Keep"))</f>
        <v>Keep</v>
      </c>
    </row>
    <row r="2719" customFormat="false" ht="15" hidden="false" customHeight="false" outlineLevel="0" collapsed="false">
      <c r="A2719" s="39" t="s">
        <v>2766</v>
      </c>
      <c r="B2719" s="40" t="n">
        <v>45994</v>
      </c>
      <c r="C2719" s="39" t="s">
        <v>107</v>
      </c>
      <c r="D2719" s="39" t="n">
        <v>3</v>
      </c>
      <c r="E2719" s="41" t="n">
        <v>33.95</v>
      </c>
      <c r="F2719" s="39" t="s">
        <v>115</v>
      </c>
      <c r="G2719" s="39" t="str">
        <f aca="false">UPPER(TRIM(C2719))</f>
        <v>P003</v>
      </c>
      <c r="H2719" s="39" t="str">
        <f aca="false">IF(ISNUMBER(MATCH(G2719,Products!$A$5:$A$24,0)),"OK","Mismatch")</f>
        <v>OK</v>
      </c>
      <c r="I2719" s="39" t="str">
        <f aca="false">IF(COUNTIF($A$5:A2719,A2719)&gt;1,"Duplicate","Unique")</f>
        <v>Unique</v>
      </c>
      <c r="J2719" s="39" t="str">
        <f aca="false">IF(I2719="Duplicate","Remove",IF(H2719="Mismatch","Exclude","Keep"))</f>
        <v>Keep</v>
      </c>
    </row>
    <row r="2720" customFormat="false" ht="15" hidden="false" customHeight="false" outlineLevel="0" collapsed="false">
      <c r="A2720" s="39" t="s">
        <v>2767</v>
      </c>
      <c r="B2720" s="40" t="n">
        <v>45994</v>
      </c>
      <c r="C2720" s="39" t="s">
        <v>130</v>
      </c>
      <c r="D2720" s="39" t="n">
        <v>1</v>
      </c>
      <c r="E2720" s="41" t="n">
        <v>8.68</v>
      </c>
      <c r="F2720" s="39" t="s">
        <v>108</v>
      </c>
      <c r="G2720" s="39" t="str">
        <f aca="false">UPPER(TRIM(C2720))</f>
        <v>P011</v>
      </c>
      <c r="H2720" s="39" t="str">
        <f aca="false">IF(ISNUMBER(MATCH(G2720,Products!$A$5:$A$24,0)),"OK","Mismatch")</f>
        <v>OK</v>
      </c>
      <c r="I2720" s="39" t="str">
        <f aca="false">IF(COUNTIF($A$5:A2720,A2720)&gt;1,"Duplicate","Unique")</f>
        <v>Unique</v>
      </c>
      <c r="J2720" s="39" t="str">
        <f aca="false">IF(I2720="Duplicate","Remove",IF(H2720="Mismatch","Exclude","Keep"))</f>
        <v>Keep</v>
      </c>
    </row>
    <row r="2721" customFormat="false" ht="15" hidden="false" customHeight="false" outlineLevel="0" collapsed="false">
      <c r="A2721" s="39" t="s">
        <v>2768</v>
      </c>
      <c r="B2721" s="40" t="n">
        <v>45994</v>
      </c>
      <c r="C2721" s="39" t="s">
        <v>169</v>
      </c>
      <c r="D2721" s="39" t="n">
        <v>5</v>
      </c>
      <c r="E2721" s="41" t="n">
        <v>26.71</v>
      </c>
      <c r="F2721" s="39" t="s">
        <v>108</v>
      </c>
      <c r="G2721" s="39" t="str">
        <f aca="false">UPPER(TRIM(C2721))</f>
        <v>P004</v>
      </c>
      <c r="H2721" s="39" t="str">
        <f aca="false">IF(ISNUMBER(MATCH(G2721,Products!$A$5:$A$24,0)),"OK","Mismatch")</f>
        <v>OK</v>
      </c>
      <c r="I2721" s="39" t="str">
        <f aca="false">IF(COUNTIF($A$5:A2721,A2721)&gt;1,"Duplicate","Unique")</f>
        <v>Unique</v>
      </c>
      <c r="J2721" s="39" t="str">
        <f aca="false">IF(I2721="Duplicate","Remove",IF(H2721="Mismatch","Exclude","Keep"))</f>
        <v>Keep</v>
      </c>
    </row>
    <row r="2722" customFormat="false" ht="15" hidden="false" customHeight="false" outlineLevel="0" collapsed="false">
      <c r="A2722" s="39" t="s">
        <v>2769</v>
      </c>
      <c r="B2722" s="40" t="n">
        <v>45994</v>
      </c>
      <c r="C2722" s="39" t="s">
        <v>117</v>
      </c>
      <c r="D2722" s="39" t="n">
        <v>2</v>
      </c>
      <c r="E2722" s="41" t="n">
        <v>30.84</v>
      </c>
      <c r="F2722" s="39" t="s">
        <v>118</v>
      </c>
      <c r="G2722" s="39" t="str">
        <f aca="false">UPPER(TRIM(C2722))</f>
        <v>P009</v>
      </c>
      <c r="H2722" s="39" t="str">
        <f aca="false">IF(ISNUMBER(MATCH(G2722,Products!$A$5:$A$24,0)),"OK","Mismatch")</f>
        <v>OK</v>
      </c>
      <c r="I2722" s="39" t="str">
        <f aca="false">IF(COUNTIF($A$5:A2722,A2722)&gt;1,"Duplicate","Unique")</f>
        <v>Unique</v>
      </c>
      <c r="J2722" s="39" t="str">
        <f aca="false">IF(I2722="Duplicate","Remove",IF(H2722="Mismatch","Exclude","Keep"))</f>
        <v>Keep</v>
      </c>
    </row>
    <row r="2723" customFormat="false" ht="15" hidden="false" customHeight="false" outlineLevel="0" collapsed="false">
      <c r="A2723" s="39" t="s">
        <v>2770</v>
      </c>
      <c r="B2723" s="40" t="n">
        <v>45994</v>
      </c>
      <c r="C2723" s="39" t="s">
        <v>114</v>
      </c>
      <c r="D2723" s="39" t="n">
        <v>2</v>
      </c>
      <c r="E2723" s="41" t="n">
        <v>5.98</v>
      </c>
      <c r="F2723" s="39" t="s">
        <v>108</v>
      </c>
      <c r="G2723" s="39" t="str">
        <f aca="false">UPPER(TRIM(C2723))</f>
        <v>P012</v>
      </c>
      <c r="H2723" s="39" t="str">
        <f aca="false">IF(ISNUMBER(MATCH(G2723,Products!$A$5:$A$24,0)),"OK","Mismatch")</f>
        <v>OK</v>
      </c>
      <c r="I2723" s="39" t="str">
        <f aca="false">IF(COUNTIF($A$5:A2723,A2723)&gt;1,"Duplicate","Unique")</f>
        <v>Unique</v>
      </c>
      <c r="J2723" s="39" t="str">
        <f aca="false">IF(I2723="Duplicate","Remove",IF(H2723="Mismatch","Exclude","Keep"))</f>
        <v>Keep</v>
      </c>
    </row>
    <row r="2724" customFormat="false" ht="15" hidden="false" customHeight="false" outlineLevel="0" collapsed="false">
      <c r="A2724" s="39" t="s">
        <v>2771</v>
      </c>
      <c r="B2724" s="40" t="n">
        <v>45994</v>
      </c>
      <c r="C2724" s="39" t="s">
        <v>183</v>
      </c>
      <c r="D2724" s="39" t="n">
        <v>1</v>
      </c>
      <c r="E2724" s="41" t="n">
        <v>174.33</v>
      </c>
      <c r="F2724" s="39" t="s">
        <v>118</v>
      </c>
      <c r="G2724" s="39" t="str">
        <f aca="false">UPPER(TRIM(C2724))</f>
        <v>P007</v>
      </c>
      <c r="H2724" s="39" t="str">
        <f aca="false">IF(ISNUMBER(MATCH(G2724,Products!$A$5:$A$24,0)),"OK","Mismatch")</f>
        <v>OK</v>
      </c>
      <c r="I2724" s="39" t="str">
        <f aca="false">IF(COUNTIF($A$5:A2724,A2724)&gt;1,"Duplicate","Unique")</f>
        <v>Unique</v>
      </c>
      <c r="J2724" s="39" t="str">
        <f aca="false">IF(I2724="Duplicate","Remove",IF(H2724="Mismatch","Exclude","Keep"))</f>
        <v>Keep</v>
      </c>
    </row>
    <row r="2725" customFormat="false" ht="15" hidden="false" customHeight="false" outlineLevel="0" collapsed="false">
      <c r="A2725" s="39" t="s">
        <v>2772</v>
      </c>
      <c r="B2725" s="40" t="n">
        <v>45994</v>
      </c>
      <c r="C2725" s="39" t="s">
        <v>114</v>
      </c>
      <c r="D2725" s="39" t="n">
        <v>2</v>
      </c>
      <c r="E2725" s="41" t="n">
        <v>5.84</v>
      </c>
      <c r="F2725" s="39" t="s">
        <v>105</v>
      </c>
      <c r="G2725" s="39" t="str">
        <f aca="false">UPPER(TRIM(C2725))</f>
        <v>P012</v>
      </c>
      <c r="H2725" s="39" t="str">
        <f aca="false">IF(ISNUMBER(MATCH(G2725,Products!$A$5:$A$24,0)),"OK","Mismatch")</f>
        <v>OK</v>
      </c>
      <c r="I2725" s="39" t="str">
        <f aca="false">IF(COUNTIF($A$5:A2725,A2725)&gt;1,"Duplicate","Unique")</f>
        <v>Unique</v>
      </c>
      <c r="J2725" s="39" t="str">
        <f aca="false">IF(I2725="Duplicate","Remove",IF(H2725="Mismatch","Exclude","Keep"))</f>
        <v>Keep</v>
      </c>
    </row>
    <row r="2726" customFormat="false" ht="15" hidden="false" customHeight="false" outlineLevel="0" collapsed="false">
      <c r="A2726" s="39" t="s">
        <v>2773</v>
      </c>
      <c r="B2726" s="40" t="n">
        <v>45994</v>
      </c>
      <c r="C2726" s="39" t="s">
        <v>110</v>
      </c>
      <c r="D2726" s="39" t="n">
        <v>2</v>
      </c>
      <c r="E2726" s="41" t="n">
        <v>12.97</v>
      </c>
      <c r="F2726" s="39" t="s">
        <v>105</v>
      </c>
      <c r="G2726" s="39" t="str">
        <f aca="false">UPPER(TRIM(C2726))</f>
        <v>P016</v>
      </c>
      <c r="H2726" s="39" t="str">
        <f aca="false">IF(ISNUMBER(MATCH(G2726,Products!$A$5:$A$24,0)),"OK","Mismatch")</f>
        <v>OK</v>
      </c>
      <c r="I2726" s="39" t="str">
        <f aca="false">IF(COUNTIF($A$5:A2726,A2726)&gt;1,"Duplicate","Unique")</f>
        <v>Unique</v>
      </c>
      <c r="J2726" s="39" t="str">
        <f aca="false">IF(I2726="Duplicate","Remove",IF(H2726="Mismatch","Exclude","Keep"))</f>
        <v>Keep</v>
      </c>
    </row>
    <row r="2727" customFormat="false" ht="15" hidden="false" customHeight="false" outlineLevel="0" collapsed="false">
      <c r="A2727" s="39" t="s">
        <v>2774</v>
      </c>
      <c r="B2727" s="40" t="n">
        <v>45994</v>
      </c>
      <c r="C2727" s="39" t="s">
        <v>183</v>
      </c>
      <c r="D2727" s="39" t="n">
        <v>1</v>
      </c>
      <c r="E2727" s="41" t="n">
        <v>176.82</v>
      </c>
      <c r="F2727" s="39" t="s">
        <v>115</v>
      </c>
      <c r="G2727" s="39" t="str">
        <f aca="false">UPPER(TRIM(C2727))</f>
        <v>P007</v>
      </c>
      <c r="H2727" s="39" t="str">
        <f aca="false">IF(ISNUMBER(MATCH(G2727,Products!$A$5:$A$24,0)),"OK","Mismatch")</f>
        <v>OK</v>
      </c>
      <c r="I2727" s="39" t="str">
        <f aca="false">IF(COUNTIF($A$5:A2727,A2727)&gt;1,"Duplicate","Unique")</f>
        <v>Unique</v>
      </c>
      <c r="J2727" s="39" t="str">
        <f aca="false">IF(I2727="Duplicate","Remove",IF(H2727="Mismatch","Exclude","Keep"))</f>
        <v>Keep</v>
      </c>
    </row>
    <row r="2728" customFormat="false" ht="15" hidden="false" customHeight="false" outlineLevel="0" collapsed="false">
      <c r="A2728" s="39" t="s">
        <v>2775</v>
      </c>
      <c r="B2728" s="40" t="n">
        <v>45994</v>
      </c>
      <c r="C2728" s="39" t="s">
        <v>117</v>
      </c>
      <c r="D2728" s="39" t="n">
        <v>1</v>
      </c>
      <c r="E2728" s="41" t="n">
        <v>30.85</v>
      </c>
      <c r="F2728" s="39" t="s">
        <v>108</v>
      </c>
      <c r="G2728" s="39" t="str">
        <f aca="false">UPPER(TRIM(C2728))</f>
        <v>P009</v>
      </c>
      <c r="H2728" s="39" t="str">
        <f aca="false">IF(ISNUMBER(MATCH(G2728,Products!$A$5:$A$24,0)),"OK","Mismatch")</f>
        <v>OK</v>
      </c>
      <c r="I2728" s="39" t="str">
        <f aca="false">IF(COUNTIF($A$5:A2728,A2728)&gt;1,"Duplicate","Unique")</f>
        <v>Unique</v>
      </c>
      <c r="J2728" s="39" t="str">
        <f aca="false">IF(I2728="Duplicate","Remove",IF(H2728="Mismatch","Exclude","Keep"))</f>
        <v>Keep</v>
      </c>
    </row>
    <row r="2729" customFormat="false" ht="15" hidden="false" customHeight="false" outlineLevel="0" collapsed="false">
      <c r="A2729" s="39" t="s">
        <v>2776</v>
      </c>
      <c r="B2729" s="40" t="n">
        <v>45994</v>
      </c>
      <c r="C2729" s="39" t="s">
        <v>126</v>
      </c>
      <c r="D2729" s="39" t="n">
        <v>4</v>
      </c>
      <c r="E2729" s="41" t="n">
        <v>23.12</v>
      </c>
      <c r="F2729" s="39" t="s">
        <v>105</v>
      </c>
      <c r="G2729" s="39" t="str">
        <f aca="false">UPPER(TRIM(C2729))</f>
        <v>P001</v>
      </c>
      <c r="H2729" s="39" t="str">
        <f aca="false">IF(ISNUMBER(MATCH(G2729,Products!$A$5:$A$24,0)),"OK","Mismatch")</f>
        <v>OK</v>
      </c>
      <c r="I2729" s="39" t="str">
        <f aca="false">IF(COUNTIF($A$5:A2729,A2729)&gt;1,"Duplicate","Unique")</f>
        <v>Unique</v>
      </c>
      <c r="J2729" s="39" t="str">
        <f aca="false">IF(I2729="Duplicate","Remove",IF(H2729="Mismatch","Exclude","Keep"))</f>
        <v>Keep</v>
      </c>
    </row>
    <row r="2730" customFormat="false" ht="15" hidden="false" customHeight="false" outlineLevel="0" collapsed="false">
      <c r="A2730" s="39" t="s">
        <v>2777</v>
      </c>
      <c r="B2730" s="40" t="n">
        <v>45994</v>
      </c>
      <c r="C2730" s="39" t="s">
        <v>126</v>
      </c>
      <c r="D2730" s="39" t="n">
        <v>2</v>
      </c>
      <c r="E2730" s="41" t="n">
        <v>23.47</v>
      </c>
      <c r="F2730" s="39" t="s">
        <v>105</v>
      </c>
      <c r="G2730" s="39" t="str">
        <f aca="false">UPPER(TRIM(C2730))</f>
        <v>P001</v>
      </c>
      <c r="H2730" s="39" t="str">
        <f aca="false">IF(ISNUMBER(MATCH(G2730,Products!$A$5:$A$24,0)),"OK","Mismatch")</f>
        <v>OK</v>
      </c>
      <c r="I2730" s="39" t="str">
        <f aca="false">IF(COUNTIF($A$5:A2730,A2730)&gt;1,"Duplicate","Unique")</f>
        <v>Unique</v>
      </c>
      <c r="J2730" s="39" t="str">
        <f aca="false">IF(I2730="Duplicate","Remove",IF(H2730="Mismatch","Exclude","Keep"))</f>
        <v>Keep</v>
      </c>
    </row>
    <row r="2731" customFormat="false" ht="15" hidden="false" customHeight="false" outlineLevel="0" collapsed="false">
      <c r="A2731" s="39" t="s">
        <v>2778</v>
      </c>
      <c r="B2731" s="40" t="n">
        <v>45994</v>
      </c>
      <c r="C2731" s="39" t="s">
        <v>107</v>
      </c>
      <c r="D2731" s="39" t="n">
        <v>4</v>
      </c>
      <c r="E2731" s="41" t="n">
        <v>34.86</v>
      </c>
      <c r="F2731" s="39" t="s">
        <v>108</v>
      </c>
      <c r="G2731" s="39" t="str">
        <f aca="false">UPPER(TRIM(C2731))</f>
        <v>P003</v>
      </c>
      <c r="H2731" s="39" t="str">
        <f aca="false">IF(ISNUMBER(MATCH(G2731,Products!$A$5:$A$24,0)),"OK","Mismatch")</f>
        <v>OK</v>
      </c>
      <c r="I2731" s="39" t="str">
        <f aca="false">IF(COUNTIF($A$5:A2731,A2731)&gt;1,"Duplicate","Unique")</f>
        <v>Unique</v>
      </c>
      <c r="J2731" s="39" t="str">
        <f aca="false">IF(I2731="Duplicate","Remove",IF(H2731="Mismatch","Exclude","Keep"))</f>
        <v>Keep</v>
      </c>
    </row>
    <row r="2732" customFormat="false" ht="15" hidden="false" customHeight="false" outlineLevel="0" collapsed="false">
      <c r="A2732" s="39" t="s">
        <v>2779</v>
      </c>
      <c r="B2732" s="40" t="n">
        <v>45994</v>
      </c>
      <c r="C2732" s="39" t="s">
        <v>139</v>
      </c>
      <c r="D2732" s="39" t="n">
        <v>3</v>
      </c>
      <c r="E2732" s="41" t="n">
        <v>128.36</v>
      </c>
      <c r="F2732" s="39" t="s">
        <v>115</v>
      </c>
      <c r="G2732" s="39" t="str">
        <f aca="false">UPPER(TRIM(C2732))</f>
        <v>P006</v>
      </c>
      <c r="H2732" s="39" t="str">
        <f aca="false">IF(ISNUMBER(MATCH(G2732,Products!$A$5:$A$24,0)),"OK","Mismatch")</f>
        <v>OK</v>
      </c>
      <c r="I2732" s="39" t="str">
        <f aca="false">IF(COUNTIF($A$5:A2732,A2732)&gt;1,"Duplicate","Unique")</f>
        <v>Unique</v>
      </c>
      <c r="J2732" s="39" t="str">
        <f aca="false">IF(I2732="Duplicate","Remove",IF(H2732="Mismatch","Exclude","Keep"))</f>
        <v>Keep</v>
      </c>
    </row>
    <row r="2733" customFormat="false" ht="15" hidden="false" customHeight="false" outlineLevel="0" collapsed="false">
      <c r="A2733" s="39" t="s">
        <v>2780</v>
      </c>
      <c r="B2733" s="40" t="n">
        <v>45994</v>
      </c>
      <c r="C2733" s="39" t="s">
        <v>162</v>
      </c>
      <c r="D2733" s="39" t="n">
        <v>1</v>
      </c>
      <c r="E2733" s="41" t="n">
        <v>64.08</v>
      </c>
      <c r="F2733" s="39" t="s">
        <v>105</v>
      </c>
      <c r="G2733" s="39" t="str">
        <f aca="false">UPPER(TRIM(C2733))</f>
        <v>P017</v>
      </c>
      <c r="H2733" s="39" t="str">
        <f aca="false">IF(ISNUMBER(MATCH(G2733,Products!$A$5:$A$24,0)),"OK","Mismatch")</f>
        <v>OK</v>
      </c>
      <c r="I2733" s="39" t="str">
        <f aca="false">IF(COUNTIF($A$5:A2733,A2733)&gt;1,"Duplicate","Unique")</f>
        <v>Unique</v>
      </c>
      <c r="J2733" s="39" t="str">
        <f aca="false">IF(I2733="Duplicate","Remove",IF(H2733="Mismatch","Exclude","Keep"))</f>
        <v>Keep</v>
      </c>
    </row>
    <row r="2734" customFormat="false" ht="15" hidden="false" customHeight="false" outlineLevel="0" collapsed="false">
      <c r="A2734" s="39" t="s">
        <v>2781</v>
      </c>
      <c r="B2734" s="40" t="n">
        <v>45994</v>
      </c>
      <c r="C2734" s="39" t="s">
        <v>162</v>
      </c>
      <c r="D2734" s="39" t="n">
        <v>3</v>
      </c>
      <c r="E2734" s="41" t="n">
        <v>68.7</v>
      </c>
      <c r="F2734" s="39" t="s">
        <v>108</v>
      </c>
      <c r="G2734" s="39" t="str">
        <f aca="false">UPPER(TRIM(C2734))</f>
        <v>P017</v>
      </c>
      <c r="H2734" s="39" t="str">
        <f aca="false">IF(ISNUMBER(MATCH(G2734,Products!$A$5:$A$24,0)),"OK","Mismatch")</f>
        <v>OK</v>
      </c>
      <c r="I2734" s="39" t="str">
        <f aca="false">IF(COUNTIF($A$5:A2734,A2734)&gt;1,"Duplicate","Unique")</f>
        <v>Unique</v>
      </c>
      <c r="J2734" s="39" t="str">
        <f aca="false">IF(I2734="Duplicate","Remove",IF(H2734="Mismatch","Exclude","Keep"))</f>
        <v>Keep</v>
      </c>
    </row>
    <row r="2735" customFormat="false" ht="15" hidden="false" customHeight="false" outlineLevel="0" collapsed="false">
      <c r="A2735" s="39" t="s">
        <v>2782</v>
      </c>
      <c r="B2735" s="40" t="n">
        <v>45994</v>
      </c>
      <c r="C2735" s="39" t="s">
        <v>305</v>
      </c>
      <c r="D2735" s="39" t="n">
        <v>3</v>
      </c>
      <c r="E2735" s="41" t="n">
        <v>329.75</v>
      </c>
      <c r="F2735" s="39" t="s">
        <v>108</v>
      </c>
      <c r="G2735" s="39" t="str">
        <f aca="false">UPPER(TRIM(C2735))</f>
        <v>P008</v>
      </c>
      <c r="H2735" s="39" t="str">
        <f aca="false">IF(ISNUMBER(MATCH(G2735,Products!$A$5:$A$24,0)),"OK","Mismatch")</f>
        <v>OK</v>
      </c>
      <c r="I2735" s="39" t="str">
        <f aca="false">IF(COUNTIF($A$5:A2735,A2735)&gt;1,"Duplicate","Unique")</f>
        <v>Unique</v>
      </c>
      <c r="J2735" s="39" t="str">
        <f aca="false">IF(I2735="Duplicate","Remove",IF(H2735="Mismatch","Exclude","Keep"))</f>
        <v>Keep</v>
      </c>
    </row>
    <row r="2736" customFormat="false" ht="15" hidden="false" customHeight="false" outlineLevel="0" collapsed="false">
      <c r="A2736" s="39" t="s">
        <v>2783</v>
      </c>
      <c r="B2736" s="40" t="n">
        <v>45994</v>
      </c>
      <c r="C2736" s="39" t="s">
        <v>128</v>
      </c>
      <c r="D2736" s="39" t="n">
        <v>2</v>
      </c>
      <c r="E2736" s="41" t="n">
        <v>37.51</v>
      </c>
      <c r="F2736" s="39" t="s">
        <v>118</v>
      </c>
      <c r="G2736" s="39" t="str">
        <f aca="false">UPPER(TRIM(C2736))</f>
        <v>P020</v>
      </c>
      <c r="H2736" s="39" t="str">
        <f aca="false">IF(ISNUMBER(MATCH(G2736,Products!$A$5:$A$24,0)),"OK","Mismatch")</f>
        <v>OK</v>
      </c>
      <c r="I2736" s="39" t="str">
        <f aca="false">IF(COUNTIF($A$5:A2736,A2736)&gt;1,"Duplicate","Unique")</f>
        <v>Unique</v>
      </c>
      <c r="J2736" s="39" t="str">
        <f aca="false">IF(I2736="Duplicate","Remove",IF(H2736="Mismatch","Exclude","Keep"))</f>
        <v>Keep</v>
      </c>
    </row>
    <row r="2737" customFormat="false" ht="15" hidden="false" customHeight="false" outlineLevel="0" collapsed="false">
      <c r="A2737" s="39" t="s">
        <v>2784</v>
      </c>
      <c r="B2737" s="40" t="n">
        <v>45994</v>
      </c>
      <c r="C2737" s="39" t="s">
        <v>130</v>
      </c>
      <c r="D2737" s="39" t="n">
        <v>1</v>
      </c>
      <c r="E2737" s="41" t="n">
        <v>8.34</v>
      </c>
      <c r="F2737" s="39" t="s">
        <v>105</v>
      </c>
      <c r="G2737" s="39" t="str">
        <f aca="false">UPPER(TRIM(C2737))</f>
        <v>P011</v>
      </c>
      <c r="H2737" s="39" t="str">
        <f aca="false">IF(ISNUMBER(MATCH(G2737,Products!$A$5:$A$24,0)),"OK","Mismatch")</f>
        <v>OK</v>
      </c>
      <c r="I2737" s="39" t="str">
        <f aca="false">IF(COUNTIF($A$5:A2737,A2737)&gt;1,"Duplicate","Unique")</f>
        <v>Unique</v>
      </c>
      <c r="J2737" s="39" t="str">
        <f aca="false">IF(I2737="Duplicate","Remove",IF(H2737="Mismatch","Exclude","Keep"))</f>
        <v>Keep</v>
      </c>
    </row>
    <row r="2738" customFormat="false" ht="15" hidden="false" customHeight="false" outlineLevel="0" collapsed="false">
      <c r="A2738" s="39" t="s">
        <v>2785</v>
      </c>
      <c r="B2738" s="40" t="n">
        <v>45995</v>
      </c>
      <c r="C2738" s="39" t="s">
        <v>153</v>
      </c>
      <c r="D2738" s="39" t="n">
        <v>6</v>
      </c>
      <c r="E2738" s="41" t="n">
        <v>174.94</v>
      </c>
      <c r="F2738" s="39" t="s">
        <v>108</v>
      </c>
      <c r="G2738" s="39" t="str">
        <f aca="false">UPPER(TRIM(C2738))</f>
        <v>P010</v>
      </c>
      <c r="H2738" s="39" t="str">
        <f aca="false">IF(ISNUMBER(MATCH(G2738,Products!$A$5:$A$24,0)),"OK","Mismatch")</f>
        <v>OK</v>
      </c>
      <c r="I2738" s="39" t="str">
        <f aca="false">IF(COUNTIF($A$5:A2738,A2738)&gt;1,"Duplicate","Unique")</f>
        <v>Unique</v>
      </c>
      <c r="J2738" s="39" t="str">
        <f aca="false">IF(I2738="Duplicate","Remove",IF(H2738="Mismatch","Exclude","Keep"))</f>
        <v>Keep</v>
      </c>
    </row>
    <row r="2739" customFormat="false" ht="15" hidden="false" customHeight="false" outlineLevel="0" collapsed="false">
      <c r="A2739" s="39" t="s">
        <v>2786</v>
      </c>
      <c r="B2739" s="40" t="n">
        <v>45995</v>
      </c>
      <c r="C2739" s="39" t="s">
        <v>136</v>
      </c>
      <c r="D2739" s="39" t="n">
        <v>2</v>
      </c>
      <c r="E2739" s="41" t="n">
        <v>77.31</v>
      </c>
      <c r="F2739" s="39" t="s">
        <v>108</v>
      </c>
      <c r="G2739" s="39" t="str">
        <f aca="false">UPPER(TRIM(C2739))</f>
        <v>P002</v>
      </c>
      <c r="H2739" s="39" t="str">
        <f aca="false">IF(ISNUMBER(MATCH(G2739,Products!$A$5:$A$24,0)),"OK","Mismatch")</f>
        <v>OK</v>
      </c>
      <c r="I2739" s="39" t="str">
        <f aca="false">IF(COUNTIF($A$5:A2739,A2739)&gt;1,"Duplicate","Unique")</f>
        <v>Unique</v>
      </c>
      <c r="J2739" s="39" t="str">
        <f aca="false">IF(I2739="Duplicate","Remove",IF(H2739="Mismatch","Exclude","Keep"))</f>
        <v>Keep</v>
      </c>
    </row>
    <row r="2740" customFormat="false" ht="15" hidden="false" customHeight="false" outlineLevel="0" collapsed="false">
      <c r="A2740" s="39" t="s">
        <v>2787</v>
      </c>
      <c r="B2740" s="40" t="n">
        <v>45995</v>
      </c>
      <c r="C2740" s="39" t="s">
        <v>130</v>
      </c>
      <c r="D2740" s="39" t="n">
        <v>5</v>
      </c>
      <c r="E2740" s="41" t="n">
        <v>8.81</v>
      </c>
      <c r="F2740" s="39" t="s">
        <v>108</v>
      </c>
      <c r="G2740" s="39" t="str">
        <f aca="false">UPPER(TRIM(C2740))</f>
        <v>P011</v>
      </c>
      <c r="H2740" s="39" t="str">
        <f aca="false">IF(ISNUMBER(MATCH(G2740,Products!$A$5:$A$24,0)),"OK","Mismatch")</f>
        <v>OK</v>
      </c>
      <c r="I2740" s="39" t="str">
        <f aca="false">IF(COUNTIF($A$5:A2740,A2740)&gt;1,"Duplicate","Unique")</f>
        <v>Unique</v>
      </c>
      <c r="J2740" s="39" t="str">
        <f aca="false">IF(I2740="Duplicate","Remove",IF(H2740="Mismatch","Exclude","Keep"))</f>
        <v>Keep</v>
      </c>
    </row>
    <row r="2741" customFormat="false" ht="15" hidden="false" customHeight="false" outlineLevel="0" collapsed="false">
      <c r="A2741" s="39" t="s">
        <v>2788</v>
      </c>
      <c r="B2741" s="40" t="n">
        <v>45995</v>
      </c>
      <c r="C2741" s="39" t="s">
        <v>144</v>
      </c>
      <c r="D2741" s="39" t="n">
        <v>6</v>
      </c>
      <c r="E2741" s="41" t="n">
        <v>57.56</v>
      </c>
      <c r="F2741" s="39" t="s">
        <v>115</v>
      </c>
      <c r="G2741" s="39" t="str">
        <f aca="false">UPPER(TRIM(C2741))</f>
        <v>P013</v>
      </c>
      <c r="H2741" s="39" t="str">
        <f aca="false">IF(ISNUMBER(MATCH(G2741,Products!$A$5:$A$24,0)),"OK","Mismatch")</f>
        <v>OK</v>
      </c>
      <c r="I2741" s="39" t="str">
        <f aca="false">IF(COUNTIF($A$5:A2741,A2741)&gt;1,"Duplicate","Unique")</f>
        <v>Unique</v>
      </c>
      <c r="J2741" s="39" t="str">
        <f aca="false">IF(I2741="Duplicate","Remove",IF(H2741="Mismatch","Exclude","Keep"))</f>
        <v>Keep</v>
      </c>
    </row>
    <row r="2742" customFormat="false" ht="15" hidden="false" customHeight="false" outlineLevel="0" collapsed="false">
      <c r="A2742" s="39" t="s">
        <v>2789</v>
      </c>
      <c r="B2742" s="40" t="n">
        <v>45995</v>
      </c>
      <c r="C2742" s="39" t="s">
        <v>107</v>
      </c>
      <c r="D2742" s="39" t="n">
        <v>2</v>
      </c>
      <c r="E2742" s="41" t="n">
        <v>32.23</v>
      </c>
      <c r="F2742" s="39" t="s">
        <v>108</v>
      </c>
      <c r="G2742" s="39" t="str">
        <f aca="false">UPPER(TRIM(C2742))</f>
        <v>P003</v>
      </c>
      <c r="H2742" s="39" t="str">
        <f aca="false">IF(ISNUMBER(MATCH(G2742,Products!$A$5:$A$24,0)),"OK","Mismatch")</f>
        <v>OK</v>
      </c>
      <c r="I2742" s="39" t="str">
        <f aca="false">IF(COUNTIF($A$5:A2742,A2742)&gt;1,"Duplicate","Unique")</f>
        <v>Unique</v>
      </c>
      <c r="J2742" s="39" t="str">
        <f aca="false">IF(I2742="Duplicate","Remove",IF(H2742="Mismatch","Exclude","Keep"))</f>
        <v>Keep</v>
      </c>
    </row>
    <row r="2743" customFormat="false" ht="15" hidden="false" customHeight="false" outlineLevel="0" collapsed="false">
      <c r="A2743" s="39" t="s">
        <v>2790</v>
      </c>
      <c r="B2743" s="40" t="n">
        <v>45995</v>
      </c>
      <c r="C2743" s="39" t="s">
        <v>130</v>
      </c>
      <c r="D2743" s="39" t="n">
        <v>1</v>
      </c>
      <c r="E2743" s="41" t="n">
        <v>8.33</v>
      </c>
      <c r="F2743" s="39" t="s">
        <v>115</v>
      </c>
      <c r="G2743" s="39" t="str">
        <f aca="false">UPPER(TRIM(C2743))</f>
        <v>P011</v>
      </c>
      <c r="H2743" s="39" t="str">
        <f aca="false">IF(ISNUMBER(MATCH(G2743,Products!$A$5:$A$24,0)),"OK","Mismatch")</f>
        <v>OK</v>
      </c>
      <c r="I2743" s="39" t="str">
        <f aca="false">IF(COUNTIF($A$5:A2743,A2743)&gt;1,"Duplicate","Unique")</f>
        <v>Unique</v>
      </c>
      <c r="J2743" s="39" t="str">
        <f aca="false">IF(I2743="Duplicate","Remove",IF(H2743="Mismatch","Exclude","Keep"))</f>
        <v>Keep</v>
      </c>
    </row>
    <row r="2744" customFormat="false" ht="15" hidden="false" customHeight="false" outlineLevel="0" collapsed="false">
      <c r="A2744" s="39" t="s">
        <v>2791</v>
      </c>
      <c r="B2744" s="40" t="n">
        <v>45995</v>
      </c>
      <c r="C2744" s="39" t="s">
        <v>126</v>
      </c>
      <c r="D2744" s="39" t="n">
        <v>2</v>
      </c>
      <c r="E2744" s="41" t="n">
        <v>24.58</v>
      </c>
      <c r="F2744" s="39" t="s">
        <v>115</v>
      </c>
      <c r="G2744" s="39" t="str">
        <f aca="false">UPPER(TRIM(C2744))</f>
        <v>P001</v>
      </c>
      <c r="H2744" s="39" t="str">
        <f aca="false">IF(ISNUMBER(MATCH(G2744,Products!$A$5:$A$24,0)),"OK","Mismatch")</f>
        <v>OK</v>
      </c>
      <c r="I2744" s="39" t="str">
        <f aca="false">IF(COUNTIF($A$5:A2744,A2744)&gt;1,"Duplicate","Unique")</f>
        <v>Unique</v>
      </c>
      <c r="J2744" s="39" t="str">
        <f aca="false">IF(I2744="Duplicate","Remove",IF(H2744="Mismatch","Exclude","Keep"))</f>
        <v>Keep</v>
      </c>
    </row>
    <row r="2745" customFormat="false" ht="15" hidden="false" customHeight="false" outlineLevel="0" collapsed="false">
      <c r="A2745" s="39" t="s">
        <v>2792</v>
      </c>
      <c r="B2745" s="40" t="n">
        <v>45995</v>
      </c>
      <c r="C2745" s="39" t="s">
        <v>110</v>
      </c>
      <c r="D2745" s="39" t="n">
        <v>2</v>
      </c>
      <c r="E2745" s="41" t="n">
        <v>13.82</v>
      </c>
      <c r="F2745" s="39" t="s">
        <v>105</v>
      </c>
      <c r="G2745" s="39" t="str">
        <f aca="false">UPPER(TRIM(C2745))</f>
        <v>P016</v>
      </c>
      <c r="H2745" s="39" t="str">
        <f aca="false">IF(ISNUMBER(MATCH(G2745,Products!$A$5:$A$24,0)),"OK","Mismatch")</f>
        <v>OK</v>
      </c>
      <c r="I2745" s="39" t="str">
        <f aca="false">IF(COUNTIF($A$5:A2745,A2745)&gt;1,"Duplicate","Unique")</f>
        <v>Unique</v>
      </c>
      <c r="J2745" s="39" t="str">
        <f aca="false">IF(I2745="Duplicate","Remove",IF(H2745="Mismatch","Exclude","Keep"))</f>
        <v>Keep</v>
      </c>
    </row>
    <row r="2746" customFormat="false" ht="15" hidden="false" customHeight="false" outlineLevel="0" collapsed="false">
      <c r="A2746" s="39" t="s">
        <v>2793</v>
      </c>
      <c r="B2746" s="40" t="n">
        <v>45995</v>
      </c>
      <c r="C2746" s="39" t="s">
        <v>117</v>
      </c>
      <c r="D2746" s="39" t="n">
        <v>1</v>
      </c>
      <c r="E2746" s="41" t="n">
        <v>31.44</v>
      </c>
      <c r="F2746" s="39" t="s">
        <v>108</v>
      </c>
      <c r="G2746" s="39" t="str">
        <f aca="false">UPPER(TRIM(C2746))</f>
        <v>P009</v>
      </c>
      <c r="H2746" s="39" t="str">
        <f aca="false">IF(ISNUMBER(MATCH(G2746,Products!$A$5:$A$24,0)),"OK","Mismatch")</f>
        <v>OK</v>
      </c>
      <c r="I2746" s="39" t="str">
        <f aca="false">IF(COUNTIF($A$5:A2746,A2746)&gt;1,"Duplicate","Unique")</f>
        <v>Unique</v>
      </c>
      <c r="J2746" s="39" t="str">
        <f aca="false">IF(I2746="Duplicate","Remove",IF(H2746="Mismatch","Exclude","Keep"))</f>
        <v>Keep</v>
      </c>
    </row>
    <row r="2747" customFormat="false" ht="15" hidden="false" customHeight="false" outlineLevel="0" collapsed="false">
      <c r="A2747" s="39" t="s">
        <v>2794</v>
      </c>
      <c r="B2747" s="40" t="n">
        <v>45995</v>
      </c>
      <c r="C2747" s="39" t="s">
        <v>139</v>
      </c>
      <c r="D2747" s="39" t="n">
        <v>6</v>
      </c>
      <c r="E2747" s="41" t="n">
        <v>122.37</v>
      </c>
      <c r="F2747" s="39" t="s">
        <v>105</v>
      </c>
      <c r="G2747" s="39" t="str">
        <f aca="false">UPPER(TRIM(C2747))</f>
        <v>P006</v>
      </c>
      <c r="H2747" s="39" t="str">
        <f aca="false">IF(ISNUMBER(MATCH(G2747,Products!$A$5:$A$24,0)),"OK","Mismatch")</f>
        <v>OK</v>
      </c>
      <c r="I2747" s="39" t="str">
        <f aca="false">IF(COUNTIF($A$5:A2747,A2747)&gt;1,"Duplicate","Unique")</f>
        <v>Unique</v>
      </c>
      <c r="J2747" s="39" t="str">
        <f aca="false">IF(I2747="Duplicate","Remove",IF(H2747="Mismatch","Exclude","Keep"))</f>
        <v>Keep</v>
      </c>
    </row>
    <row r="2748" customFormat="false" ht="15" hidden="false" customHeight="false" outlineLevel="0" collapsed="false">
      <c r="A2748" s="39" t="s">
        <v>2795</v>
      </c>
      <c r="B2748" s="40" t="n">
        <v>45995</v>
      </c>
      <c r="C2748" s="39" t="s">
        <v>117</v>
      </c>
      <c r="D2748" s="39" t="n">
        <v>8</v>
      </c>
      <c r="E2748" s="41" t="n">
        <v>30.62</v>
      </c>
      <c r="F2748" s="39" t="s">
        <v>115</v>
      </c>
      <c r="G2748" s="39" t="str">
        <f aca="false">UPPER(TRIM(C2748))</f>
        <v>P009</v>
      </c>
      <c r="H2748" s="39" t="str">
        <f aca="false">IF(ISNUMBER(MATCH(G2748,Products!$A$5:$A$24,0)),"OK","Mismatch")</f>
        <v>OK</v>
      </c>
      <c r="I2748" s="39" t="str">
        <f aca="false">IF(COUNTIF($A$5:A2748,A2748)&gt;1,"Duplicate","Unique")</f>
        <v>Unique</v>
      </c>
      <c r="J2748" s="39" t="str">
        <f aca="false">IF(I2748="Duplicate","Remove",IF(H2748="Mismatch","Exclude","Keep"))</f>
        <v>Keep</v>
      </c>
    </row>
    <row r="2749" customFormat="false" ht="15" hidden="false" customHeight="false" outlineLevel="0" collapsed="false">
      <c r="A2749" s="39" t="s">
        <v>2796</v>
      </c>
      <c r="B2749" s="40" t="n">
        <v>45995</v>
      </c>
      <c r="C2749" s="39" t="s">
        <v>107</v>
      </c>
      <c r="D2749" s="39" t="n">
        <v>4</v>
      </c>
      <c r="E2749" s="41" t="n">
        <v>32.74</v>
      </c>
      <c r="F2749" s="39" t="s">
        <v>115</v>
      </c>
      <c r="G2749" s="39" t="str">
        <f aca="false">UPPER(TRIM(C2749))</f>
        <v>P003</v>
      </c>
      <c r="H2749" s="39" t="str">
        <f aca="false">IF(ISNUMBER(MATCH(G2749,Products!$A$5:$A$24,0)),"OK","Mismatch")</f>
        <v>OK</v>
      </c>
      <c r="I2749" s="39" t="str">
        <f aca="false">IF(COUNTIF($A$5:A2749,A2749)&gt;1,"Duplicate","Unique")</f>
        <v>Unique</v>
      </c>
      <c r="J2749" s="39" t="str">
        <f aca="false">IF(I2749="Duplicate","Remove",IF(H2749="Mismatch","Exclude","Keep"))</f>
        <v>Keep</v>
      </c>
    </row>
    <row r="2750" customFormat="false" ht="15" hidden="false" customHeight="false" outlineLevel="0" collapsed="false">
      <c r="A2750" s="39" t="s">
        <v>2797</v>
      </c>
      <c r="B2750" s="40" t="n">
        <v>45995</v>
      </c>
      <c r="C2750" s="39" t="s">
        <v>136</v>
      </c>
      <c r="D2750" s="39" t="n">
        <v>6</v>
      </c>
      <c r="E2750" s="41" t="n">
        <v>78.85</v>
      </c>
      <c r="F2750" s="39" t="s">
        <v>115</v>
      </c>
      <c r="G2750" s="39" t="str">
        <f aca="false">UPPER(TRIM(C2750))</f>
        <v>P002</v>
      </c>
      <c r="H2750" s="39" t="str">
        <f aca="false">IF(ISNUMBER(MATCH(G2750,Products!$A$5:$A$24,0)),"OK","Mismatch")</f>
        <v>OK</v>
      </c>
      <c r="I2750" s="39" t="str">
        <f aca="false">IF(COUNTIF($A$5:A2750,A2750)&gt;1,"Duplicate","Unique")</f>
        <v>Unique</v>
      </c>
      <c r="J2750" s="39" t="str">
        <f aca="false">IF(I2750="Duplicate","Remove",IF(H2750="Mismatch","Exclude","Keep"))</f>
        <v>Keep</v>
      </c>
    </row>
    <row r="2751" customFormat="false" ht="15" hidden="false" customHeight="false" outlineLevel="0" collapsed="false">
      <c r="A2751" s="39" t="s">
        <v>2798</v>
      </c>
      <c r="B2751" s="40" t="n">
        <v>45995</v>
      </c>
      <c r="C2751" s="39" t="s">
        <v>104</v>
      </c>
      <c r="D2751" s="39" t="n">
        <v>1</v>
      </c>
      <c r="E2751" s="41" t="n">
        <v>15.74</v>
      </c>
      <c r="F2751" s="39" t="s">
        <v>105</v>
      </c>
      <c r="G2751" s="39" t="str">
        <f aca="false">UPPER(TRIM(C2751))</f>
        <v>P015</v>
      </c>
      <c r="H2751" s="39" t="str">
        <f aca="false">IF(ISNUMBER(MATCH(G2751,Products!$A$5:$A$24,0)),"OK","Mismatch")</f>
        <v>OK</v>
      </c>
      <c r="I2751" s="39" t="str">
        <f aca="false">IF(COUNTIF($A$5:A2751,A2751)&gt;1,"Duplicate","Unique")</f>
        <v>Unique</v>
      </c>
      <c r="J2751" s="39" t="str">
        <f aca="false">IF(I2751="Duplicate","Remove",IF(H2751="Mismatch","Exclude","Keep"))</f>
        <v>Keep</v>
      </c>
    </row>
    <row r="2752" customFormat="false" ht="15" hidden="false" customHeight="false" outlineLevel="0" collapsed="false">
      <c r="A2752" s="39" t="s">
        <v>2799</v>
      </c>
      <c r="B2752" s="40" t="n">
        <v>45995</v>
      </c>
      <c r="C2752" s="39" t="s">
        <v>104</v>
      </c>
      <c r="D2752" s="39" t="n">
        <v>5</v>
      </c>
      <c r="E2752" s="41" t="n">
        <v>14.95</v>
      </c>
      <c r="F2752" s="39" t="s">
        <v>108</v>
      </c>
      <c r="G2752" s="39" t="str">
        <f aca="false">UPPER(TRIM(C2752))</f>
        <v>P015</v>
      </c>
      <c r="H2752" s="39" t="str">
        <f aca="false">IF(ISNUMBER(MATCH(G2752,Products!$A$5:$A$24,0)),"OK","Mismatch")</f>
        <v>OK</v>
      </c>
      <c r="I2752" s="39" t="str">
        <f aca="false">IF(COUNTIF($A$5:A2752,A2752)&gt;1,"Duplicate","Unique")</f>
        <v>Unique</v>
      </c>
      <c r="J2752" s="39" t="str">
        <f aca="false">IF(I2752="Duplicate","Remove",IF(H2752="Mismatch","Exclude","Keep"))</f>
        <v>Keep</v>
      </c>
    </row>
    <row r="2753" customFormat="false" ht="15" hidden="false" customHeight="false" outlineLevel="0" collapsed="false">
      <c r="A2753" s="39" t="s">
        <v>2800</v>
      </c>
      <c r="B2753" s="40" t="n">
        <v>45995</v>
      </c>
      <c r="C2753" s="39" t="s">
        <v>162</v>
      </c>
      <c r="D2753" s="39" t="n">
        <v>1</v>
      </c>
      <c r="E2753" s="41" t="n">
        <v>63.54</v>
      </c>
      <c r="F2753" s="39" t="s">
        <v>108</v>
      </c>
      <c r="G2753" s="39" t="str">
        <f aca="false">UPPER(TRIM(C2753))</f>
        <v>P017</v>
      </c>
      <c r="H2753" s="39" t="str">
        <f aca="false">IF(ISNUMBER(MATCH(G2753,Products!$A$5:$A$24,0)),"OK","Mismatch")</f>
        <v>OK</v>
      </c>
      <c r="I2753" s="39" t="str">
        <f aca="false">IF(COUNTIF($A$5:A2753,A2753)&gt;1,"Duplicate","Unique")</f>
        <v>Unique</v>
      </c>
      <c r="J2753" s="39" t="str">
        <f aca="false">IF(I2753="Duplicate","Remove",IF(H2753="Mismatch","Exclude","Keep"))</f>
        <v>Keep</v>
      </c>
    </row>
    <row r="2754" customFormat="false" ht="15" hidden="false" customHeight="false" outlineLevel="0" collapsed="false">
      <c r="A2754" s="39" t="s">
        <v>2801</v>
      </c>
      <c r="B2754" s="40" t="n">
        <v>45996</v>
      </c>
      <c r="C2754" s="39" t="s">
        <v>3193</v>
      </c>
      <c r="D2754" s="39" t="n">
        <v>2</v>
      </c>
      <c r="E2754" s="41" t="n">
        <v>42.56</v>
      </c>
      <c r="F2754" s="39" t="s">
        <v>105</v>
      </c>
      <c r="G2754" s="39" t="str">
        <f aca="false">UPPER(TRIM(C2754))</f>
        <v>P014</v>
      </c>
      <c r="H2754" s="39" t="str">
        <f aca="false">IF(ISNUMBER(MATCH(G2754,Products!$A$5:$A$24,0)),"OK","Mismatch")</f>
        <v>OK</v>
      </c>
      <c r="I2754" s="39" t="str">
        <f aca="false">IF(COUNTIF($A$5:A2754,A2754)&gt;1,"Duplicate","Unique")</f>
        <v>Unique</v>
      </c>
      <c r="J2754" s="39" t="str">
        <f aca="false">IF(I2754="Duplicate","Remove",IF(H2754="Mismatch","Exclude","Keep"))</f>
        <v>Keep</v>
      </c>
    </row>
    <row r="2755" customFormat="false" ht="15" hidden="false" customHeight="false" outlineLevel="0" collapsed="false">
      <c r="A2755" s="39" t="s">
        <v>2802</v>
      </c>
      <c r="B2755" s="40" t="n">
        <v>45996</v>
      </c>
      <c r="C2755" s="39" t="s">
        <v>107</v>
      </c>
      <c r="D2755" s="39" t="n">
        <v>3</v>
      </c>
      <c r="E2755" s="41" t="n">
        <v>34.84</v>
      </c>
      <c r="F2755" s="39" t="s">
        <v>115</v>
      </c>
      <c r="G2755" s="39" t="str">
        <f aca="false">UPPER(TRIM(C2755))</f>
        <v>P003</v>
      </c>
      <c r="H2755" s="39" t="str">
        <f aca="false">IF(ISNUMBER(MATCH(G2755,Products!$A$5:$A$24,0)),"OK","Mismatch")</f>
        <v>OK</v>
      </c>
      <c r="I2755" s="39" t="str">
        <f aca="false">IF(COUNTIF($A$5:A2755,A2755)&gt;1,"Duplicate","Unique")</f>
        <v>Unique</v>
      </c>
      <c r="J2755" s="39" t="str">
        <f aca="false">IF(I2755="Duplicate","Remove",IF(H2755="Mismatch","Exclude","Keep"))</f>
        <v>Keep</v>
      </c>
    </row>
    <row r="2756" customFormat="false" ht="15" hidden="false" customHeight="false" outlineLevel="0" collapsed="false">
      <c r="A2756" s="39" t="s">
        <v>2803</v>
      </c>
      <c r="B2756" s="40" t="n">
        <v>45996</v>
      </c>
      <c r="C2756" s="39" t="s">
        <v>162</v>
      </c>
      <c r="D2756" s="39" t="n">
        <v>5</v>
      </c>
      <c r="E2756" s="41" t="n">
        <v>63.81</v>
      </c>
      <c r="F2756" s="39" t="s">
        <v>115</v>
      </c>
      <c r="G2756" s="39" t="str">
        <f aca="false">UPPER(TRIM(C2756))</f>
        <v>P017</v>
      </c>
      <c r="H2756" s="39" t="str">
        <f aca="false">IF(ISNUMBER(MATCH(G2756,Products!$A$5:$A$24,0)),"OK","Mismatch")</f>
        <v>OK</v>
      </c>
      <c r="I2756" s="39" t="str">
        <f aca="false">IF(COUNTIF($A$5:A2756,A2756)&gt;1,"Duplicate","Unique")</f>
        <v>Unique</v>
      </c>
      <c r="J2756" s="39" t="str">
        <f aca="false">IF(I2756="Duplicate","Remove",IF(H2756="Mismatch","Exclude","Keep"))</f>
        <v>Keep</v>
      </c>
    </row>
    <row r="2757" customFormat="false" ht="15" hidden="false" customHeight="false" outlineLevel="0" collapsed="false">
      <c r="A2757" s="39" t="s">
        <v>2804</v>
      </c>
      <c r="B2757" s="40" t="n">
        <v>45996</v>
      </c>
      <c r="C2757" s="39" t="s">
        <v>114</v>
      </c>
      <c r="D2757" s="39" t="n">
        <v>1</v>
      </c>
      <c r="E2757" s="41" t="n">
        <v>5.63</v>
      </c>
      <c r="F2757" s="39" t="s">
        <v>105</v>
      </c>
      <c r="G2757" s="39" t="str">
        <f aca="false">UPPER(TRIM(C2757))</f>
        <v>P012</v>
      </c>
      <c r="H2757" s="39" t="str">
        <f aca="false">IF(ISNUMBER(MATCH(G2757,Products!$A$5:$A$24,0)),"OK","Mismatch")</f>
        <v>OK</v>
      </c>
      <c r="I2757" s="39" t="str">
        <f aca="false">IF(COUNTIF($A$5:A2757,A2757)&gt;1,"Duplicate","Unique")</f>
        <v>Unique</v>
      </c>
      <c r="J2757" s="39" t="str">
        <f aca="false">IF(I2757="Duplicate","Remove",IF(H2757="Mismatch","Exclude","Keep"))</f>
        <v>Keep</v>
      </c>
    </row>
    <row r="2758" customFormat="false" ht="15" hidden="false" customHeight="false" outlineLevel="0" collapsed="false">
      <c r="A2758" s="39" t="s">
        <v>2805</v>
      </c>
      <c r="B2758" s="40" t="n">
        <v>45996</v>
      </c>
      <c r="C2758" s="39" t="s">
        <v>3193</v>
      </c>
      <c r="D2758" s="39" t="n">
        <v>2</v>
      </c>
      <c r="E2758" s="41" t="n">
        <v>43.57</v>
      </c>
      <c r="F2758" s="39" t="s">
        <v>105</v>
      </c>
      <c r="G2758" s="39" t="str">
        <f aca="false">UPPER(TRIM(C2758))</f>
        <v>P014</v>
      </c>
      <c r="H2758" s="39" t="str">
        <f aca="false">IF(ISNUMBER(MATCH(G2758,Products!$A$5:$A$24,0)),"OK","Mismatch")</f>
        <v>OK</v>
      </c>
      <c r="I2758" s="39" t="str">
        <f aca="false">IF(COUNTIF($A$5:A2758,A2758)&gt;1,"Duplicate","Unique")</f>
        <v>Unique</v>
      </c>
      <c r="J2758" s="39" t="str">
        <f aca="false">IF(I2758="Duplicate","Remove",IF(H2758="Mismatch","Exclude","Keep"))</f>
        <v>Keep</v>
      </c>
    </row>
    <row r="2759" customFormat="false" ht="15" hidden="false" customHeight="false" outlineLevel="0" collapsed="false">
      <c r="A2759" s="39" t="s">
        <v>2806</v>
      </c>
      <c r="B2759" s="40" t="n">
        <v>45996</v>
      </c>
      <c r="C2759" s="39" t="s">
        <v>136</v>
      </c>
      <c r="D2759" s="39" t="n">
        <v>2</v>
      </c>
      <c r="E2759" s="41" t="n">
        <v>75.36</v>
      </c>
      <c r="F2759" s="39" t="s">
        <v>118</v>
      </c>
      <c r="G2759" s="39" t="str">
        <f aca="false">UPPER(TRIM(C2759))</f>
        <v>P002</v>
      </c>
      <c r="H2759" s="39" t="str">
        <f aca="false">IF(ISNUMBER(MATCH(G2759,Products!$A$5:$A$24,0)),"OK","Mismatch")</f>
        <v>OK</v>
      </c>
      <c r="I2759" s="39" t="str">
        <f aca="false">IF(COUNTIF($A$5:A2759,A2759)&gt;1,"Duplicate","Unique")</f>
        <v>Unique</v>
      </c>
      <c r="J2759" s="39" t="str">
        <f aca="false">IF(I2759="Duplicate","Remove",IF(H2759="Mismatch","Exclude","Keep"))</f>
        <v>Keep</v>
      </c>
    </row>
    <row r="2760" customFormat="false" ht="15" hidden="false" customHeight="false" outlineLevel="0" collapsed="false">
      <c r="A2760" s="39" t="s">
        <v>2807</v>
      </c>
      <c r="B2760" s="40" t="n">
        <v>45996</v>
      </c>
      <c r="C2760" s="39" t="s">
        <v>114</v>
      </c>
      <c r="D2760" s="39" t="n">
        <v>2</v>
      </c>
      <c r="E2760" s="41" t="n">
        <v>5.87</v>
      </c>
      <c r="F2760" s="39" t="s">
        <v>105</v>
      </c>
      <c r="G2760" s="39" t="str">
        <f aca="false">UPPER(TRIM(C2760))</f>
        <v>P012</v>
      </c>
      <c r="H2760" s="39" t="str">
        <f aca="false">IF(ISNUMBER(MATCH(G2760,Products!$A$5:$A$24,0)),"OK","Mismatch")</f>
        <v>OK</v>
      </c>
      <c r="I2760" s="39" t="str">
        <f aca="false">IF(COUNTIF($A$5:A2760,A2760)&gt;1,"Duplicate","Unique")</f>
        <v>Unique</v>
      </c>
      <c r="J2760" s="39" t="str">
        <f aca="false">IF(I2760="Duplicate","Remove",IF(H2760="Mismatch","Exclude","Keep"))</f>
        <v>Keep</v>
      </c>
    </row>
    <row r="2761" customFormat="false" ht="15" hidden="false" customHeight="false" outlineLevel="0" collapsed="false">
      <c r="A2761" s="39" t="s">
        <v>2808</v>
      </c>
      <c r="B2761" s="40" t="n">
        <v>45997</v>
      </c>
      <c r="C2761" s="39" t="s">
        <v>169</v>
      </c>
      <c r="D2761" s="39" t="n">
        <v>4</v>
      </c>
      <c r="E2761" s="41" t="n">
        <v>28.72</v>
      </c>
      <c r="F2761" s="39" t="s">
        <v>115</v>
      </c>
      <c r="G2761" s="39" t="str">
        <f aca="false">UPPER(TRIM(C2761))</f>
        <v>P004</v>
      </c>
      <c r="H2761" s="39" t="str">
        <f aca="false">IF(ISNUMBER(MATCH(G2761,Products!$A$5:$A$24,0)),"OK","Mismatch")</f>
        <v>OK</v>
      </c>
      <c r="I2761" s="39" t="str">
        <f aca="false">IF(COUNTIF($A$5:A2761,A2761)&gt;1,"Duplicate","Unique")</f>
        <v>Unique</v>
      </c>
      <c r="J2761" s="39" t="str">
        <f aca="false">IF(I2761="Duplicate","Remove",IF(H2761="Mismatch","Exclude","Keep"))</f>
        <v>Keep</v>
      </c>
    </row>
    <row r="2762" customFormat="false" ht="15" hidden="false" customHeight="false" outlineLevel="0" collapsed="false">
      <c r="A2762" s="39" t="s">
        <v>2809</v>
      </c>
      <c r="B2762" s="40" t="n">
        <v>45997</v>
      </c>
      <c r="C2762" s="39" t="s">
        <v>107</v>
      </c>
      <c r="D2762" s="39" t="n">
        <v>4</v>
      </c>
      <c r="E2762" s="41" t="n">
        <v>33.26</v>
      </c>
      <c r="F2762" s="39" t="s">
        <v>105</v>
      </c>
      <c r="G2762" s="39" t="str">
        <f aca="false">UPPER(TRIM(C2762))</f>
        <v>P003</v>
      </c>
      <c r="H2762" s="39" t="str">
        <f aca="false">IF(ISNUMBER(MATCH(G2762,Products!$A$5:$A$24,0)),"OK","Mismatch")</f>
        <v>OK</v>
      </c>
      <c r="I2762" s="39" t="str">
        <f aca="false">IF(COUNTIF($A$5:A2762,A2762)&gt;1,"Duplicate","Unique")</f>
        <v>Unique</v>
      </c>
      <c r="J2762" s="39" t="str">
        <f aca="false">IF(I2762="Duplicate","Remove",IF(H2762="Mismatch","Exclude","Keep"))</f>
        <v>Keep</v>
      </c>
    </row>
    <row r="2763" customFormat="false" ht="15" hidden="false" customHeight="false" outlineLevel="0" collapsed="false">
      <c r="A2763" s="39" t="s">
        <v>2810</v>
      </c>
      <c r="B2763" s="40" t="n">
        <v>45997</v>
      </c>
      <c r="C2763" s="39" t="s">
        <v>136</v>
      </c>
      <c r="D2763" s="39" t="n">
        <v>3</v>
      </c>
      <c r="E2763" s="41" t="n">
        <v>78.28</v>
      </c>
      <c r="F2763" s="39" t="s">
        <v>105</v>
      </c>
      <c r="G2763" s="39" t="str">
        <f aca="false">UPPER(TRIM(C2763))</f>
        <v>P002</v>
      </c>
      <c r="H2763" s="39" t="str">
        <f aca="false">IF(ISNUMBER(MATCH(G2763,Products!$A$5:$A$24,0)),"OK","Mismatch")</f>
        <v>OK</v>
      </c>
      <c r="I2763" s="39" t="str">
        <f aca="false">IF(COUNTIF($A$5:A2763,A2763)&gt;1,"Duplicate","Unique")</f>
        <v>Unique</v>
      </c>
      <c r="J2763" s="39" t="str">
        <f aca="false">IF(I2763="Duplicate","Remove",IF(H2763="Mismatch","Exclude","Keep"))</f>
        <v>Keep</v>
      </c>
    </row>
    <row r="2764" customFormat="false" ht="15" hidden="false" customHeight="false" outlineLevel="0" collapsed="false">
      <c r="A2764" s="39" t="s">
        <v>2811</v>
      </c>
      <c r="B2764" s="40" t="n">
        <v>45997</v>
      </c>
      <c r="C2764" s="39" t="s">
        <v>130</v>
      </c>
      <c r="D2764" s="39" t="n">
        <v>4</v>
      </c>
      <c r="E2764" s="41" t="n">
        <v>8.9</v>
      </c>
      <c r="F2764" s="39" t="s">
        <v>108</v>
      </c>
      <c r="G2764" s="39" t="str">
        <f aca="false">UPPER(TRIM(C2764))</f>
        <v>P011</v>
      </c>
      <c r="H2764" s="39" t="str">
        <f aca="false">IF(ISNUMBER(MATCH(G2764,Products!$A$5:$A$24,0)),"OK","Mismatch")</f>
        <v>OK</v>
      </c>
      <c r="I2764" s="39" t="str">
        <f aca="false">IF(COUNTIF($A$5:A2764,A2764)&gt;1,"Duplicate","Unique")</f>
        <v>Unique</v>
      </c>
      <c r="J2764" s="39" t="str">
        <f aca="false">IF(I2764="Duplicate","Remove",IF(H2764="Mismatch","Exclude","Keep"))</f>
        <v>Keep</v>
      </c>
    </row>
    <row r="2765" customFormat="false" ht="15" hidden="false" customHeight="false" outlineLevel="0" collapsed="false">
      <c r="A2765" s="39" t="s">
        <v>2812</v>
      </c>
      <c r="B2765" s="40" t="n">
        <v>45997</v>
      </c>
      <c r="C2765" s="39" t="s">
        <v>162</v>
      </c>
      <c r="D2765" s="39" t="n">
        <v>2</v>
      </c>
      <c r="E2765" s="41" t="n">
        <v>63.85</v>
      </c>
      <c r="F2765" s="39" t="s">
        <v>108</v>
      </c>
      <c r="G2765" s="39" t="str">
        <f aca="false">UPPER(TRIM(C2765))</f>
        <v>P017</v>
      </c>
      <c r="H2765" s="39" t="str">
        <f aca="false">IF(ISNUMBER(MATCH(G2765,Products!$A$5:$A$24,0)),"OK","Mismatch")</f>
        <v>OK</v>
      </c>
      <c r="I2765" s="39" t="str">
        <f aca="false">IF(COUNTIF($A$5:A2765,A2765)&gt;1,"Duplicate","Unique")</f>
        <v>Unique</v>
      </c>
      <c r="J2765" s="39" t="str">
        <f aca="false">IF(I2765="Duplicate","Remove",IF(H2765="Mismatch","Exclude","Keep"))</f>
        <v>Keep</v>
      </c>
    </row>
    <row r="2766" customFormat="false" ht="15" hidden="false" customHeight="false" outlineLevel="0" collapsed="false">
      <c r="A2766" s="39" t="s">
        <v>2813</v>
      </c>
      <c r="B2766" s="40" t="n">
        <v>45997</v>
      </c>
      <c r="C2766" s="39" t="s">
        <v>126</v>
      </c>
      <c r="D2766" s="39" t="n">
        <v>1</v>
      </c>
      <c r="E2766" s="41" t="n">
        <v>23.96</v>
      </c>
      <c r="F2766" s="39" t="s">
        <v>108</v>
      </c>
      <c r="G2766" s="39" t="str">
        <f aca="false">UPPER(TRIM(C2766))</f>
        <v>P001</v>
      </c>
      <c r="H2766" s="39" t="str">
        <f aca="false">IF(ISNUMBER(MATCH(G2766,Products!$A$5:$A$24,0)),"OK","Mismatch")</f>
        <v>OK</v>
      </c>
      <c r="I2766" s="39" t="str">
        <f aca="false">IF(COUNTIF($A$5:A2766,A2766)&gt;1,"Duplicate","Unique")</f>
        <v>Unique</v>
      </c>
      <c r="J2766" s="39" t="str">
        <f aca="false">IF(I2766="Duplicate","Remove",IF(H2766="Mismatch","Exclude","Keep"))</f>
        <v>Keep</v>
      </c>
    </row>
    <row r="2767" customFormat="false" ht="15" hidden="false" customHeight="false" outlineLevel="0" collapsed="false">
      <c r="A2767" s="39" t="s">
        <v>2814</v>
      </c>
      <c r="B2767" s="40" t="n">
        <v>45997</v>
      </c>
      <c r="C2767" s="39" t="s">
        <v>183</v>
      </c>
      <c r="D2767" s="39" t="n">
        <v>1</v>
      </c>
      <c r="E2767" s="41" t="n">
        <v>184.48</v>
      </c>
      <c r="F2767" s="39" t="s">
        <v>115</v>
      </c>
      <c r="G2767" s="39" t="str">
        <f aca="false">UPPER(TRIM(C2767))</f>
        <v>P007</v>
      </c>
      <c r="H2767" s="39" t="str">
        <f aca="false">IF(ISNUMBER(MATCH(G2767,Products!$A$5:$A$24,0)),"OK","Mismatch")</f>
        <v>OK</v>
      </c>
      <c r="I2767" s="39" t="str">
        <f aca="false">IF(COUNTIF($A$5:A2767,A2767)&gt;1,"Duplicate","Unique")</f>
        <v>Unique</v>
      </c>
      <c r="J2767" s="39" t="str">
        <f aca="false">IF(I2767="Duplicate","Remove",IF(H2767="Mismatch","Exclude","Keep"))</f>
        <v>Keep</v>
      </c>
    </row>
    <row r="2768" customFormat="false" ht="15" hidden="false" customHeight="false" outlineLevel="0" collapsed="false">
      <c r="A2768" s="39" t="s">
        <v>2815</v>
      </c>
      <c r="B2768" s="40" t="n">
        <v>45997</v>
      </c>
      <c r="C2768" s="39" t="s">
        <v>126</v>
      </c>
      <c r="D2768" s="39" t="n">
        <v>4</v>
      </c>
      <c r="E2768" s="41" t="n">
        <v>23.29</v>
      </c>
      <c r="F2768" s="39" t="s">
        <v>105</v>
      </c>
      <c r="G2768" s="39" t="str">
        <f aca="false">UPPER(TRIM(C2768))</f>
        <v>P001</v>
      </c>
      <c r="H2768" s="39" t="str">
        <f aca="false">IF(ISNUMBER(MATCH(G2768,Products!$A$5:$A$24,0)),"OK","Mismatch")</f>
        <v>OK</v>
      </c>
      <c r="I2768" s="39" t="str">
        <f aca="false">IF(COUNTIF($A$5:A2768,A2768)&gt;1,"Duplicate","Unique")</f>
        <v>Unique</v>
      </c>
      <c r="J2768" s="39" t="str">
        <f aca="false">IF(I2768="Duplicate","Remove",IF(H2768="Mismatch","Exclude","Keep"))</f>
        <v>Keep</v>
      </c>
    </row>
    <row r="2769" customFormat="false" ht="15" hidden="false" customHeight="false" outlineLevel="0" collapsed="false">
      <c r="A2769" s="39" t="s">
        <v>2816</v>
      </c>
      <c r="B2769" s="40" t="n">
        <v>45997</v>
      </c>
      <c r="C2769" s="39" t="s">
        <v>107</v>
      </c>
      <c r="D2769" s="39" t="n">
        <v>1</v>
      </c>
      <c r="E2769" s="41" t="n">
        <v>33.97</v>
      </c>
      <c r="F2769" s="39" t="s">
        <v>115</v>
      </c>
      <c r="G2769" s="39" t="str">
        <f aca="false">UPPER(TRIM(C2769))</f>
        <v>P003</v>
      </c>
      <c r="H2769" s="39" t="str">
        <f aca="false">IF(ISNUMBER(MATCH(G2769,Products!$A$5:$A$24,0)),"OK","Mismatch")</f>
        <v>OK</v>
      </c>
      <c r="I2769" s="39" t="str">
        <f aca="false">IF(COUNTIF($A$5:A2769,A2769)&gt;1,"Duplicate","Unique")</f>
        <v>Unique</v>
      </c>
      <c r="J2769" s="39" t="str">
        <f aca="false">IF(I2769="Duplicate","Remove",IF(H2769="Mismatch","Exclude","Keep"))</f>
        <v>Keep</v>
      </c>
    </row>
    <row r="2770" customFormat="false" ht="15" hidden="false" customHeight="false" outlineLevel="0" collapsed="false">
      <c r="A2770" s="39" t="s">
        <v>2817</v>
      </c>
      <c r="B2770" s="40" t="n">
        <v>45997</v>
      </c>
      <c r="C2770" s="39" t="s">
        <v>177</v>
      </c>
      <c r="D2770" s="39" t="n">
        <v>3</v>
      </c>
      <c r="E2770" s="41" t="n">
        <v>44.99</v>
      </c>
      <c r="F2770" s="39" t="s">
        <v>105</v>
      </c>
      <c r="G2770" s="39" t="str">
        <f aca="false">UPPER(TRIM(C2770))</f>
        <v>P014</v>
      </c>
      <c r="H2770" s="39" t="str">
        <f aca="false">IF(ISNUMBER(MATCH(G2770,Products!$A$5:$A$24,0)),"OK","Mismatch")</f>
        <v>OK</v>
      </c>
      <c r="I2770" s="39" t="str">
        <f aca="false">IF(COUNTIF($A$5:A2770,A2770)&gt;1,"Duplicate","Unique")</f>
        <v>Unique</v>
      </c>
      <c r="J2770" s="39" t="str">
        <f aca="false">IF(I2770="Duplicate","Remove",IF(H2770="Mismatch","Exclude","Keep"))</f>
        <v>Keep</v>
      </c>
    </row>
    <row r="2771" customFormat="false" ht="15" hidden="false" customHeight="false" outlineLevel="0" collapsed="false">
      <c r="A2771" s="39" t="s">
        <v>2818</v>
      </c>
      <c r="B2771" s="40" t="n">
        <v>45997</v>
      </c>
      <c r="C2771" s="39" t="s">
        <v>130</v>
      </c>
      <c r="D2771" s="39" t="n">
        <v>3</v>
      </c>
      <c r="E2771" s="41" t="n">
        <v>8.39</v>
      </c>
      <c r="F2771" s="39" t="s">
        <v>118</v>
      </c>
      <c r="G2771" s="39" t="str">
        <f aca="false">UPPER(TRIM(C2771))</f>
        <v>P011</v>
      </c>
      <c r="H2771" s="39" t="str">
        <f aca="false">IF(ISNUMBER(MATCH(G2771,Products!$A$5:$A$24,0)),"OK","Mismatch")</f>
        <v>OK</v>
      </c>
      <c r="I2771" s="39" t="str">
        <f aca="false">IF(COUNTIF($A$5:A2771,A2771)&gt;1,"Duplicate","Unique")</f>
        <v>Unique</v>
      </c>
      <c r="J2771" s="39" t="str">
        <f aca="false">IF(I2771="Duplicate","Remove",IF(H2771="Mismatch","Exclude","Keep"))</f>
        <v>Keep</v>
      </c>
    </row>
    <row r="2772" customFormat="false" ht="15" hidden="false" customHeight="false" outlineLevel="0" collapsed="false">
      <c r="A2772" s="39" t="s">
        <v>2819</v>
      </c>
      <c r="B2772" s="40" t="n">
        <v>45998</v>
      </c>
      <c r="C2772" s="39" t="s">
        <v>117</v>
      </c>
      <c r="D2772" s="39" t="n">
        <v>3</v>
      </c>
      <c r="E2772" s="41" t="n">
        <v>31.96</v>
      </c>
      <c r="F2772" s="39" t="s">
        <v>115</v>
      </c>
      <c r="G2772" s="39" t="str">
        <f aca="false">UPPER(TRIM(C2772))</f>
        <v>P009</v>
      </c>
      <c r="H2772" s="39" t="str">
        <f aca="false">IF(ISNUMBER(MATCH(G2772,Products!$A$5:$A$24,0)),"OK","Mismatch")</f>
        <v>OK</v>
      </c>
      <c r="I2772" s="39" t="str">
        <f aca="false">IF(COUNTIF($A$5:A2772,A2772)&gt;1,"Duplicate","Unique")</f>
        <v>Unique</v>
      </c>
      <c r="J2772" s="39" t="str">
        <f aca="false">IF(I2772="Duplicate","Remove",IF(H2772="Mismatch","Exclude","Keep"))</f>
        <v>Keep</v>
      </c>
    </row>
    <row r="2773" customFormat="false" ht="15" hidden="false" customHeight="false" outlineLevel="0" collapsed="false">
      <c r="A2773" s="39" t="s">
        <v>2820</v>
      </c>
      <c r="B2773" s="40" t="n">
        <v>45998</v>
      </c>
      <c r="C2773" s="39" t="s">
        <v>153</v>
      </c>
      <c r="D2773" s="39" t="n">
        <v>1</v>
      </c>
      <c r="E2773" s="41" t="n">
        <v>176.26</v>
      </c>
      <c r="F2773" s="39" t="s">
        <v>105</v>
      </c>
      <c r="G2773" s="39" t="str">
        <f aca="false">UPPER(TRIM(C2773))</f>
        <v>P010</v>
      </c>
      <c r="H2773" s="39" t="str">
        <f aca="false">IF(ISNUMBER(MATCH(G2773,Products!$A$5:$A$24,0)),"OK","Mismatch")</f>
        <v>OK</v>
      </c>
      <c r="I2773" s="39" t="str">
        <f aca="false">IF(COUNTIF($A$5:A2773,A2773)&gt;1,"Duplicate","Unique")</f>
        <v>Unique</v>
      </c>
      <c r="J2773" s="39" t="str">
        <f aca="false">IF(I2773="Duplicate","Remove",IF(H2773="Mismatch","Exclude","Keep"))</f>
        <v>Keep</v>
      </c>
    </row>
    <row r="2774" customFormat="false" ht="15" hidden="false" customHeight="false" outlineLevel="0" collapsed="false">
      <c r="A2774" s="39" t="s">
        <v>2821</v>
      </c>
      <c r="B2774" s="40" t="n">
        <v>45998</v>
      </c>
      <c r="C2774" s="39" t="s">
        <v>104</v>
      </c>
      <c r="D2774" s="39" t="n">
        <v>2</v>
      </c>
      <c r="E2774" s="41" t="n">
        <v>15.91</v>
      </c>
      <c r="F2774" s="39" t="s">
        <v>108</v>
      </c>
      <c r="G2774" s="39" t="str">
        <f aca="false">UPPER(TRIM(C2774))</f>
        <v>P015</v>
      </c>
      <c r="H2774" s="39" t="str">
        <f aca="false">IF(ISNUMBER(MATCH(G2774,Products!$A$5:$A$24,0)),"OK","Mismatch")</f>
        <v>OK</v>
      </c>
      <c r="I2774" s="39" t="str">
        <f aca="false">IF(COUNTIF($A$5:A2774,A2774)&gt;1,"Duplicate","Unique")</f>
        <v>Unique</v>
      </c>
      <c r="J2774" s="39" t="str">
        <f aca="false">IF(I2774="Duplicate","Remove",IF(H2774="Mismatch","Exclude","Keep"))</f>
        <v>Keep</v>
      </c>
    </row>
    <row r="2775" customFormat="false" ht="15" hidden="false" customHeight="false" outlineLevel="0" collapsed="false">
      <c r="A2775" s="39" t="s">
        <v>2822</v>
      </c>
      <c r="B2775" s="40" t="n">
        <v>45998</v>
      </c>
      <c r="C2775" s="39" t="s">
        <v>3194</v>
      </c>
      <c r="D2775" s="39" t="n">
        <v>2</v>
      </c>
      <c r="E2775" s="41" t="n">
        <v>34.22</v>
      </c>
      <c r="F2775" s="39" t="s">
        <v>115</v>
      </c>
      <c r="G2775" s="39" t="str">
        <f aca="false">UPPER(TRIM(C2775))</f>
        <v>P003</v>
      </c>
      <c r="H2775" s="39" t="str">
        <f aca="false">IF(ISNUMBER(MATCH(G2775,Products!$A$5:$A$24,0)),"OK","Mismatch")</f>
        <v>OK</v>
      </c>
      <c r="I2775" s="39" t="str">
        <f aca="false">IF(COUNTIF($A$5:A2775,A2775)&gt;1,"Duplicate","Unique")</f>
        <v>Unique</v>
      </c>
      <c r="J2775" s="39" t="str">
        <f aca="false">IF(I2775="Duplicate","Remove",IF(H2775="Mismatch","Exclude","Keep"))</f>
        <v>Keep</v>
      </c>
    </row>
    <row r="2776" customFormat="false" ht="15" hidden="false" customHeight="false" outlineLevel="0" collapsed="false">
      <c r="A2776" s="39" t="s">
        <v>2823</v>
      </c>
      <c r="B2776" s="40" t="n">
        <v>45998</v>
      </c>
      <c r="C2776" s="39" t="s">
        <v>110</v>
      </c>
      <c r="D2776" s="39" t="n">
        <v>4</v>
      </c>
      <c r="E2776" s="41" t="n">
        <v>13.38</v>
      </c>
      <c r="F2776" s="39" t="s">
        <v>105</v>
      </c>
      <c r="G2776" s="39" t="str">
        <f aca="false">UPPER(TRIM(C2776))</f>
        <v>P016</v>
      </c>
      <c r="H2776" s="39" t="str">
        <f aca="false">IF(ISNUMBER(MATCH(G2776,Products!$A$5:$A$24,0)),"OK","Mismatch")</f>
        <v>OK</v>
      </c>
      <c r="I2776" s="39" t="str">
        <f aca="false">IF(COUNTIF($A$5:A2776,A2776)&gt;1,"Duplicate","Unique")</f>
        <v>Unique</v>
      </c>
      <c r="J2776" s="39" t="str">
        <f aca="false">IF(I2776="Duplicate","Remove",IF(H2776="Mismatch","Exclude","Keep"))</f>
        <v>Keep</v>
      </c>
    </row>
    <row r="2777" customFormat="false" ht="15" hidden="false" customHeight="false" outlineLevel="0" collapsed="false">
      <c r="A2777" s="39" t="s">
        <v>2824</v>
      </c>
      <c r="B2777" s="40" t="n">
        <v>45998</v>
      </c>
      <c r="C2777" s="39" t="s">
        <v>114</v>
      </c>
      <c r="D2777" s="39" t="n">
        <v>4</v>
      </c>
      <c r="E2777" s="41" t="n">
        <v>5.75</v>
      </c>
      <c r="F2777" s="39" t="s">
        <v>108</v>
      </c>
      <c r="G2777" s="39" t="str">
        <f aca="false">UPPER(TRIM(C2777))</f>
        <v>P012</v>
      </c>
      <c r="H2777" s="39" t="str">
        <f aca="false">IF(ISNUMBER(MATCH(G2777,Products!$A$5:$A$24,0)),"OK","Mismatch")</f>
        <v>OK</v>
      </c>
      <c r="I2777" s="39" t="str">
        <f aca="false">IF(COUNTIF($A$5:A2777,A2777)&gt;1,"Duplicate","Unique")</f>
        <v>Unique</v>
      </c>
      <c r="J2777" s="39" t="str">
        <f aca="false">IF(I2777="Duplicate","Remove",IF(H2777="Mismatch","Exclude","Keep"))</f>
        <v>Keep</v>
      </c>
    </row>
    <row r="2778" customFormat="false" ht="15" hidden="false" customHeight="false" outlineLevel="0" collapsed="false">
      <c r="A2778" s="39" t="s">
        <v>2825</v>
      </c>
      <c r="B2778" s="40" t="n">
        <v>45998</v>
      </c>
      <c r="C2778" s="39" t="s">
        <v>107</v>
      </c>
      <c r="D2778" s="39" t="n">
        <v>2</v>
      </c>
      <c r="E2778" s="41" t="n">
        <v>33.03</v>
      </c>
      <c r="F2778" s="39" t="s">
        <v>108</v>
      </c>
      <c r="G2778" s="39" t="str">
        <f aca="false">UPPER(TRIM(C2778))</f>
        <v>P003</v>
      </c>
      <c r="H2778" s="39" t="str">
        <f aca="false">IF(ISNUMBER(MATCH(G2778,Products!$A$5:$A$24,0)),"OK","Mismatch")</f>
        <v>OK</v>
      </c>
      <c r="I2778" s="39" t="str">
        <f aca="false">IF(COUNTIF($A$5:A2778,A2778)&gt;1,"Duplicate","Unique")</f>
        <v>Unique</v>
      </c>
      <c r="J2778" s="39" t="str">
        <f aca="false">IF(I2778="Duplicate","Remove",IF(H2778="Mismatch","Exclude","Keep"))</f>
        <v>Keep</v>
      </c>
    </row>
    <row r="2779" customFormat="false" ht="15" hidden="false" customHeight="false" outlineLevel="0" collapsed="false">
      <c r="A2779" s="39" t="s">
        <v>2826</v>
      </c>
      <c r="B2779" s="40" t="n">
        <v>45998</v>
      </c>
      <c r="C2779" s="39" t="s">
        <v>133</v>
      </c>
      <c r="D2779" s="39" t="n">
        <v>2</v>
      </c>
      <c r="E2779" s="41" t="n">
        <v>8.48</v>
      </c>
      <c r="F2779" s="39" t="s">
        <v>105</v>
      </c>
      <c r="G2779" s="39" t="str">
        <f aca="false">UPPER(TRIM(C2779))</f>
        <v>P019</v>
      </c>
      <c r="H2779" s="39" t="str">
        <f aca="false">IF(ISNUMBER(MATCH(G2779,Products!$A$5:$A$24,0)),"OK","Mismatch")</f>
        <v>OK</v>
      </c>
      <c r="I2779" s="39" t="str">
        <f aca="false">IF(COUNTIF($A$5:A2779,A2779)&gt;1,"Duplicate","Unique")</f>
        <v>Unique</v>
      </c>
      <c r="J2779" s="39" t="str">
        <f aca="false">IF(I2779="Duplicate","Remove",IF(H2779="Mismatch","Exclude","Keep"))</f>
        <v>Keep</v>
      </c>
    </row>
    <row r="2780" customFormat="false" ht="15" hidden="false" customHeight="false" outlineLevel="0" collapsed="false">
      <c r="A2780" s="39" t="s">
        <v>2827</v>
      </c>
      <c r="B2780" s="40" t="n">
        <v>45998</v>
      </c>
      <c r="C2780" s="39" t="s">
        <v>121</v>
      </c>
      <c r="D2780" s="39" t="n">
        <v>1</v>
      </c>
      <c r="E2780" s="41" t="n">
        <v>117.27</v>
      </c>
      <c r="F2780" s="39" t="s">
        <v>108</v>
      </c>
      <c r="G2780" s="39" t="str">
        <f aca="false">UPPER(TRIM(C2780))</f>
        <v>P018</v>
      </c>
      <c r="H2780" s="39" t="str">
        <f aca="false">IF(ISNUMBER(MATCH(G2780,Products!$A$5:$A$24,0)),"OK","Mismatch")</f>
        <v>OK</v>
      </c>
      <c r="I2780" s="39" t="str">
        <f aca="false">IF(COUNTIF($A$5:A2780,A2780)&gt;1,"Duplicate","Unique")</f>
        <v>Unique</v>
      </c>
      <c r="J2780" s="39" t="str">
        <f aca="false">IF(I2780="Duplicate","Remove",IF(H2780="Mismatch","Exclude","Keep"))</f>
        <v>Keep</v>
      </c>
    </row>
    <row r="2781" customFormat="false" ht="15" hidden="false" customHeight="false" outlineLevel="0" collapsed="false">
      <c r="A2781" s="39" t="s">
        <v>2828</v>
      </c>
      <c r="B2781" s="40" t="n">
        <v>45998</v>
      </c>
      <c r="C2781" s="39" t="s">
        <v>117</v>
      </c>
      <c r="D2781" s="39" t="n">
        <v>4</v>
      </c>
      <c r="E2781" s="41" t="n">
        <v>31.19</v>
      </c>
      <c r="F2781" s="39" t="s">
        <v>115</v>
      </c>
      <c r="G2781" s="39" t="str">
        <f aca="false">UPPER(TRIM(C2781))</f>
        <v>P009</v>
      </c>
      <c r="H2781" s="39" t="str">
        <f aca="false">IF(ISNUMBER(MATCH(G2781,Products!$A$5:$A$24,0)),"OK","Mismatch")</f>
        <v>OK</v>
      </c>
      <c r="I2781" s="39" t="str">
        <f aca="false">IF(COUNTIF($A$5:A2781,A2781)&gt;1,"Duplicate","Unique")</f>
        <v>Unique</v>
      </c>
      <c r="J2781" s="39" t="str">
        <f aca="false">IF(I2781="Duplicate","Remove",IF(H2781="Mismatch","Exclude","Keep"))</f>
        <v>Keep</v>
      </c>
    </row>
    <row r="2782" customFormat="false" ht="15" hidden="false" customHeight="false" outlineLevel="0" collapsed="false">
      <c r="A2782" s="39" t="s">
        <v>2829</v>
      </c>
      <c r="B2782" s="40" t="n">
        <v>45998</v>
      </c>
      <c r="C2782" s="39" t="s">
        <v>112</v>
      </c>
      <c r="D2782" s="39" t="n">
        <v>2</v>
      </c>
      <c r="E2782" s="41" t="n">
        <v>53.85</v>
      </c>
      <c r="F2782" s="39" t="s">
        <v>108</v>
      </c>
      <c r="G2782" s="39" t="str">
        <f aca="false">UPPER(TRIM(C2782))</f>
        <v>P005</v>
      </c>
      <c r="H2782" s="39" t="str">
        <f aca="false">IF(ISNUMBER(MATCH(G2782,Products!$A$5:$A$24,0)),"OK","Mismatch")</f>
        <v>OK</v>
      </c>
      <c r="I2782" s="39" t="str">
        <f aca="false">IF(COUNTIF($A$5:A2782,A2782)&gt;1,"Duplicate","Unique")</f>
        <v>Unique</v>
      </c>
      <c r="J2782" s="39" t="str">
        <f aca="false">IF(I2782="Duplicate","Remove",IF(H2782="Mismatch","Exclude","Keep"))</f>
        <v>Keep</v>
      </c>
    </row>
    <row r="2783" customFormat="false" ht="15" hidden="false" customHeight="false" outlineLevel="0" collapsed="false">
      <c r="A2783" s="39" t="s">
        <v>2830</v>
      </c>
      <c r="B2783" s="40" t="n">
        <v>45998</v>
      </c>
      <c r="C2783" s="39" t="s">
        <v>117</v>
      </c>
      <c r="D2783" s="39" t="n">
        <v>4</v>
      </c>
      <c r="E2783" s="41" t="n">
        <v>31.43</v>
      </c>
      <c r="F2783" s="39" t="s">
        <v>105</v>
      </c>
      <c r="G2783" s="39" t="str">
        <f aca="false">UPPER(TRIM(C2783))</f>
        <v>P009</v>
      </c>
      <c r="H2783" s="39" t="str">
        <f aca="false">IF(ISNUMBER(MATCH(G2783,Products!$A$5:$A$24,0)),"OK","Mismatch")</f>
        <v>OK</v>
      </c>
      <c r="I2783" s="39" t="str">
        <f aca="false">IF(COUNTIF($A$5:A2783,A2783)&gt;1,"Duplicate","Unique")</f>
        <v>Unique</v>
      </c>
      <c r="J2783" s="39" t="str">
        <f aca="false">IF(I2783="Duplicate","Remove",IF(H2783="Mismatch","Exclude","Keep"))</f>
        <v>Keep</v>
      </c>
    </row>
    <row r="2784" customFormat="false" ht="15" hidden="false" customHeight="false" outlineLevel="0" collapsed="false">
      <c r="A2784" s="39" t="s">
        <v>2831</v>
      </c>
      <c r="B2784" s="40" t="n">
        <v>45999</v>
      </c>
      <c r="C2784" s="39" t="s">
        <v>144</v>
      </c>
      <c r="D2784" s="39" t="n">
        <v>2</v>
      </c>
      <c r="E2784" s="41" t="n">
        <v>58.58</v>
      </c>
      <c r="F2784" s="39" t="s">
        <v>118</v>
      </c>
      <c r="G2784" s="39" t="str">
        <f aca="false">UPPER(TRIM(C2784))</f>
        <v>P013</v>
      </c>
      <c r="H2784" s="39" t="str">
        <f aca="false">IF(ISNUMBER(MATCH(G2784,Products!$A$5:$A$24,0)),"OK","Mismatch")</f>
        <v>OK</v>
      </c>
      <c r="I2784" s="39" t="str">
        <f aca="false">IF(COUNTIF($A$5:A2784,A2784)&gt;1,"Duplicate","Unique")</f>
        <v>Unique</v>
      </c>
      <c r="J2784" s="39" t="str">
        <f aca="false">IF(I2784="Duplicate","Remove",IF(H2784="Mismatch","Exclude","Keep"))</f>
        <v>Keep</v>
      </c>
    </row>
    <row r="2785" customFormat="false" ht="15" hidden="false" customHeight="false" outlineLevel="0" collapsed="false">
      <c r="A2785" s="39" t="s">
        <v>2832</v>
      </c>
      <c r="B2785" s="40" t="n">
        <v>45999</v>
      </c>
      <c r="C2785" s="39" t="s">
        <v>107</v>
      </c>
      <c r="D2785" s="39" t="n">
        <v>2</v>
      </c>
      <c r="E2785" s="41" t="n">
        <v>34.97</v>
      </c>
      <c r="F2785" s="39" t="s">
        <v>115</v>
      </c>
      <c r="G2785" s="39" t="str">
        <f aca="false">UPPER(TRIM(C2785))</f>
        <v>P003</v>
      </c>
      <c r="H2785" s="39" t="str">
        <f aca="false">IF(ISNUMBER(MATCH(G2785,Products!$A$5:$A$24,0)),"OK","Mismatch")</f>
        <v>OK</v>
      </c>
      <c r="I2785" s="39" t="str">
        <f aca="false">IF(COUNTIF($A$5:A2785,A2785)&gt;1,"Duplicate","Unique")</f>
        <v>Unique</v>
      </c>
      <c r="J2785" s="39" t="str">
        <f aca="false">IF(I2785="Duplicate","Remove",IF(H2785="Mismatch","Exclude","Keep"))</f>
        <v>Keep</v>
      </c>
    </row>
    <row r="2786" customFormat="false" ht="15" hidden="false" customHeight="false" outlineLevel="0" collapsed="false">
      <c r="A2786" s="39" t="s">
        <v>2833</v>
      </c>
      <c r="B2786" s="40" t="n">
        <v>45999</v>
      </c>
      <c r="C2786" s="39" t="s">
        <v>110</v>
      </c>
      <c r="D2786" s="39" t="n">
        <v>2</v>
      </c>
      <c r="E2786" s="41" t="n">
        <v>13.69</v>
      </c>
      <c r="F2786" s="39" t="s">
        <v>118</v>
      </c>
      <c r="G2786" s="39" t="str">
        <f aca="false">UPPER(TRIM(C2786))</f>
        <v>P016</v>
      </c>
      <c r="H2786" s="39" t="str">
        <f aca="false">IF(ISNUMBER(MATCH(G2786,Products!$A$5:$A$24,0)),"OK","Mismatch")</f>
        <v>OK</v>
      </c>
      <c r="I2786" s="39" t="str">
        <f aca="false">IF(COUNTIF($A$5:A2786,A2786)&gt;1,"Duplicate","Unique")</f>
        <v>Unique</v>
      </c>
      <c r="J2786" s="39" t="str">
        <f aca="false">IF(I2786="Duplicate","Remove",IF(H2786="Mismatch","Exclude","Keep"))</f>
        <v>Keep</v>
      </c>
    </row>
    <row r="2787" customFormat="false" ht="15" hidden="false" customHeight="false" outlineLevel="0" collapsed="false">
      <c r="A2787" s="39" t="s">
        <v>2834</v>
      </c>
      <c r="B2787" s="40" t="n">
        <v>45999</v>
      </c>
      <c r="C2787" s="39" t="s">
        <v>107</v>
      </c>
      <c r="D2787" s="39" t="n">
        <v>1</v>
      </c>
      <c r="E2787" s="41" t="n">
        <v>34.34</v>
      </c>
      <c r="F2787" s="39" t="s">
        <v>105</v>
      </c>
      <c r="G2787" s="39" t="str">
        <f aca="false">UPPER(TRIM(C2787))</f>
        <v>P003</v>
      </c>
      <c r="H2787" s="39" t="str">
        <f aca="false">IF(ISNUMBER(MATCH(G2787,Products!$A$5:$A$24,0)),"OK","Mismatch")</f>
        <v>OK</v>
      </c>
      <c r="I2787" s="39" t="str">
        <f aca="false">IF(COUNTIF($A$5:A2787,A2787)&gt;1,"Duplicate","Unique")</f>
        <v>Unique</v>
      </c>
      <c r="J2787" s="39" t="str">
        <f aca="false">IF(I2787="Duplicate","Remove",IF(H2787="Mismatch","Exclude","Keep"))</f>
        <v>Keep</v>
      </c>
    </row>
    <row r="2788" customFormat="false" ht="15" hidden="false" customHeight="false" outlineLevel="0" collapsed="false">
      <c r="A2788" s="39" t="s">
        <v>2835</v>
      </c>
      <c r="B2788" s="40" t="n">
        <v>45999</v>
      </c>
      <c r="C2788" s="39" t="s">
        <v>112</v>
      </c>
      <c r="D2788" s="39" t="n">
        <v>1</v>
      </c>
      <c r="E2788" s="41" t="n">
        <v>51.23</v>
      </c>
      <c r="F2788" s="39" t="s">
        <v>108</v>
      </c>
      <c r="G2788" s="39" t="str">
        <f aca="false">UPPER(TRIM(C2788))</f>
        <v>P005</v>
      </c>
      <c r="H2788" s="39" t="str">
        <f aca="false">IF(ISNUMBER(MATCH(G2788,Products!$A$5:$A$24,0)),"OK","Mismatch")</f>
        <v>OK</v>
      </c>
      <c r="I2788" s="39" t="str">
        <f aca="false">IF(COUNTIF($A$5:A2788,A2788)&gt;1,"Duplicate","Unique")</f>
        <v>Unique</v>
      </c>
      <c r="J2788" s="39" t="str">
        <f aca="false">IF(I2788="Duplicate","Remove",IF(H2788="Mismatch","Exclude","Keep"))</f>
        <v>Keep</v>
      </c>
    </row>
    <row r="2789" customFormat="false" ht="15" hidden="false" customHeight="false" outlineLevel="0" collapsed="false">
      <c r="A2789" s="39" t="s">
        <v>2836</v>
      </c>
      <c r="B2789" s="40" t="n">
        <v>45999</v>
      </c>
      <c r="C2789" s="39" t="s">
        <v>130</v>
      </c>
      <c r="D2789" s="39" t="n">
        <v>1</v>
      </c>
      <c r="E2789" s="41" t="n">
        <v>8.9</v>
      </c>
      <c r="F2789" s="39" t="s">
        <v>115</v>
      </c>
      <c r="G2789" s="39" t="str">
        <f aca="false">UPPER(TRIM(C2789))</f>
        <v>P011</v>
      </c>
      <c r="H2789" s="39" t="str">
        <f aca="false">IF(ISNUMBER(MATCH(G2789,Products!$A$5:$A$24,0)),"OK","Mismatch")</f>
        <v>OK</v>
      </c>
      <c r="I2789" s="39" t="str">
        <f aca="false">IF(COUNTIF($A$5:A2789,A2789)&gt;1,"Duplicate","Unique")</f>
        <v>Unique</v>
      </c>
      <c r="J2789" s="39" t="str">
        <f aca="false">IF(I2789="Duplicate","Remove",IF(H2789="Mismatch","Exclude","Keep"))</f>
        <v>Keep</v>
      </c>
    </row>
    <row r="2790" customFormat="false" ht="15" hidden="false" customHeight="false" outlineLevel="0" collapsed="false">
      <c r="A2790" s="39" t="s">
        <v>2837</v>
      </c>
      <c r="B2790" s="40" t="n">
        <v>45999</v>
      </c>
      <c r="C2790" s="39" t="s">
        <v>130</v>
      </c>
      <c r="D2790" s="39" t="n">
        <v>2</v>
      </c>
      <c r="E2790" s="41" t="n">
        <v>8.61</v>
      </c>
      <c r="F2790" s="39" t="s">
        <v>118</v>
      </c>
      <c r="G2790" s="39" t="str">
        <f aca="false">UPPER(TRIM(C2790))</f>
        <v>P011</v>
      </c>
      <c r="H2790" s="39" t="str">
        <f aca="false">IF(ISNUMBER(MATCH(G2790,Products!$A$5:$A$24,0)),"OK","Mismatch")</f>
        <v>OK</v>
      </c>
      <c r="I2790" s="39" t="str">
        <f aca="false">IF(COUNTIF($A$5:A2790,A2790)&gt;1,"Duplicate","Unique")</f>
        <v>Unique</v>
      </c>
      <c r="J2790" s="39" t="str">
        <f aca="false">IF(I2790="Duplicate","Remove",IF(H2790="Mismatch","Exclude","Keep"))</f>
        <v>Keep</v>
      </c>
    </row>
    <row r="2791" customFormat="false" ht="15" hidden="false" customHeight="false" outlineLevel="0" collapsed="false">
      <c r="A2791" s="39" t="s">
        <v>2838</v>
      </c>
      <c r="B2791" s="40" t="n">
        <v>45999</v>
      </c>
      <c r="C2791" s="39" t="s">
        <v>130</v>
      </c>
      <c r="D2791" s="39" t="n">
        <v>3</v>
      </c>
      <c r="E2791" s="41" t="n">
        <v>8.54</v>
      </c>
      <c r="F2791" s="39" t="s">
        <v>105</v>
      </c>
      <c r="G2791" s="39" t="str">
        <f aca="false">UPPER(TRIM(C2791))</f>
        <v>P011</v>
      </c>
      <c r="H2791" s="39" t="str">
        <f aca="false">IF(ISNUMBER(MATCH(G2791,Products!$A$5:$A$24,0)),"OK","Mismatch")</f>
        <v>OK</v>
      </c>
      <c r="I2791" s="39" t="str">
        <f aca="false">IF(COUNTIF($A$5:A2791,A2791)&gt;1,"Duplicate","Unique")</f>
        <v>Unique</v>
      </c>
      <c r="J2791" s="39" t="str">
        <f aca="false">IF(I2791="Duplicate","Remove",IF(H2791="Mismatch","Exclude","Keep"))</f>
        <v>Keep</v>
      </c>
    </row>
    <row r="2792" customFormat="false" ht="15" hidden="false" customHeight="false" outlineLevel="0" collapsed="false">
      <c r="A2792" s="39" t="s">
        <v>2839</v>
      </c>
      <c r="B2792" s="40" t="n">
        <v>45999</v>
      </c>
      <c r="C2792" s="39" t="s">
        <v>162</v>
      </c>
      <c r="D2792" s="39" t="n">
        <v>3</v>
      </c>
      <c r="E2792" s="41" t="n">
        <v>67.25</v>
      </c>
      <c r="F2792" s="39" t="s">
        <v>118</v>
      </c>
      <c r="G2792" s="39" t="str">
        <f aca="false">UPPER(TRIM(C2792))</f>
        <v>P017</v>
      </c>
      <c r="H2792" s="39" t="str">
        <f aca="false">IF(ISNUMBER(MATCH(G2792,Products!$A$5:$A$24,0)),"OK","Mismatch")</f>
        <v>OK</v>
      </c>
      <c r="I2792" s="39" t="str">
        <f aca="false">IF(COUNTIF($A$5:A2792,A2792)&gt;1,"Duplicate","Unique")</f>
        <v>Unique</v>
      </c>
      <c r="J2792" s="39" t="str">
        <f aca="false">IF(I2792="Duplicate","Remove",IF(H2792="Mismatch","Exclude","Keep"))</f>
        <v>Keep</v>
      </c>
    </row>
    <row r="2793" customFormat="false" ht="15" hidden="false" customHeight="false" outlineLevel="0" collapsed="false">
      <c r="A2793" s="39" t="s">
        <v>2840</v>
      </c>
      <c r="B2793" s="40" t="n">
        <v>45999</v>
      </c>
      <c r="C2793" s="39" t="s">
        <v>126</v>
      </c>
      <c r="D2793" s="39" t="n">
        <v>4</v>
      </c>
      <c r="E2793" s="41" t="n">
        <v>23.08</v>
      </c>
      <c r="F2793" s="39" t="s">
        <v>108</v>
      </c>
      <c r="G2793" s="39" t="str">
        <f aca="false">UPPER(TRIM(C2793))</f>
        <v>P001</v>
      </c>
      <c r="H2793" s="39" t="str">
        <f aca="false">IF(ISNUMBER(MATCH(G2793,Products!$A$5:$A$24,0)),"OK","Mismatch")</f>
        <v>OK</v>
      </c>
      <c r="I2793" s="39" t="str">
        <f aca="false">IF(COUNTIF($A$5:A2793,A2793)&gt;1,"Duplicate","Unique")</f>
        <v>Unique</v>
      </c>
      <c r="J2793" s="39" t="str">
        <f aca="false">IF(I2793="Duplicate","Remove",IF(H2793="Mismatch","Exclude","Keep"))</f>
        <v>Keep</v>
      </c>
    </row>
    <row r="2794" customFormat="false" ht="15" hidden="false" customHeight="false" outlineLevel="0" collapsed="false">
      <c r="A2794" s="39" t="s">
        <v>2841</v>
      </c>
      <c r="B2794" s="40" t="n">
        <v>45999</v>
      </c>
      <c r="C2794" s="39" t="s">
        <v>136</v>
      </c>
      <c r="D2794" s="39" t="n">
        <v>3</v>
      </c>
      <c r="E2794" s="41" t="n">
        <v>78.62</v>
      </c>
      <c r="F2794" s="39" t="s">
        <v>115</v>
      </c>
      <c r="G2794" s="39" t="str">
        <f aca="false">UPPER(TRIM(C2794))</f>
        <v>P002</v>
      </c>
      <c r="H2794" s="39" t="str">
        <f aca="false">IF(ISNUMBER(MATCH(G2794,Products!$A$5:$A$24,0)),"OK","Mismatch")</f>
        <v>OK</v>
      </c>
      <c r="I2794" s="39" t="str">
        <f aca="false">IF(COUNTIF($A$5:A2794,A2794)&gt;1,"Duplicate","Unique")</f>
        <v>Unique</v>
      </c>
      <c r="J2794" s="39" t="str">
        <f aca="false">IF(I2794="Duplicate","Remove",IF(H2794="Mismatch","Exclude","Keep"))</f>
        <v>Keep</v>
      </c>
    </row>
    <row r="2795" customFormat="false" ht="15" hidden="false" customHeight="false" outlineLevel="0" collapsed="false">
      <c r="A2795" s="39" t="s">
        <v>2842</v>
      </c>
      <c r="B2795" s="40" t="n">
        <v>45999</v>
      </c>
      <c r="C2795" s="39" t="s">
        <v>104</v>
      </c>
      <c r="D2795" s="39" t="n">
        <v>1</v>
      </c>
      <c r="E2795" s="41" t="n">
        <v>14.94</v>
      </c>
      <c r="F2795" s="39" t="s">
        <v>118</v>
      </c>
      <c r="G2795" s="39" t="str">
        <f aca="false">UPPER(TRIM(C2795))</f>
        <v>P015</v>
      </c>
      <c r="H2795" s="39" t="str">
        <f aca="false">IF(ISNUMBER(MATCH(G2795,Products!$A$5:$A$24,0)),"OK","Mismatch")</f>
        <v>OK</v>
      </c>
      <c r="I2795" s="39" t="str">
        <f aca="false">IF(COUNTIF($A$5:A2795,A2795)&gt;1,"Duplicate","Unique")</f>
        <v>Unique</v>
      </c>
      <c r="J2795" s="39" t="str">
        <f aca="false">IF(I2795="Duplicate","Remove",IF(H2795="Mismatch","Exclude","Keep"))</f>
        <v>Keep</v>
      </c>
    </row>
    <row r="2796" customFormat="false" ht="15" hidden="false" customHeight="false" outlineLevel="0" collapsed="false">
      <c r="A2796" s="39" t="s">
        <v>2843</v>
      </c>
      <c r="B2796" s="40" t="n">
        <v>45999</v>
      </c>
      <c r="C2796" s="39" t="s">
        <v>183</v>
      </c>
      <c r="D2796" s="39" t="n">
        <v>1</v>
      </c>
      <c r="E2796" s="41" t="n">
        <v>183.24</v>
      </c>
      <c r="F2796" s="39" t="s">
        <v>108</v>
      </c>
      <c r="G2796" s="39" t="str">
        <f aca="false">UPPER(TRIM(C2796))</f>
        <v>P007</v>
      </c>
      <c r="H2796" s="39" t="str">
        <f aca="false">IF(ISNUMBER(MATCH(G2796,Products!$A$5:$A$24,0)),"OK","Mismatch")</f>
        <v>OK</v>
      </c>
      <c r="I2796" s="39" t="str">
        <f aca="false">IF(COUNTIF($A$5:A2796,A2796)&gt;1,"Duplicate","Unique")</f>
        <v>Unique</v>
      </c>
      <c r="J2796" s="39" t="str">
        <f aca="false">IF(I2796="Duplicate","Remove",IF(H2796="Mismatch","Exclude","Keep"))</f>
        <v>Keep</v>
      </c>
    </row>
    <row r="2797" customFormat="false" ht="15" hidden="false" customHeight="false" outlineLevel="0" collapsed="false">
      <c r="A2797" s="39" t="s">
        <v>2844</v>
      </c>
      <c r="B2797" s="40" t="n">
        <v>45999</v>
      </c>
      <c r="C2797" s="39" t="s">
        <v>136</v>
      </c>
      <c r="D2797" s="39" t="n">
        <v>1</v>
      </c>
      <c r="E2797" s="41" t="n">
        <v>77.62</v>
      </c>
      <c r="F2797" s="39" t="s">
        <v>105</v>
      </c>
      <c r="G2797" s="39" t="str">
        <f aca="false">UPPER(TRIM(C2797))</f>
        <v>P002</v>
      </c>
      <c r="H2797" s="39" t="str">
        <f aca="false">IF(ISNUMBER(MATCH(G2797,Products!$A$5:$A$24,0)),"OK","Mismatch")</f>
        <v>OK</v>
      </c>
      <c r="I2797" s="39" t="str">
        <f aca="false">IF(COUNTIF($A$5:A2797,A2797)&gt;1,"Duplicate","Unique")</f>
        <v>Unique</v>
      </c>
      <c r="J2797" s="39" t="str">
        <f aca="false">IF(I2797="Duplicate","Remove",IF(H2797="Mismatch","Exclude","Keep"))</f>
        <v>Keep</v>
      </c>
    </row>
    <row r="2798" customFormat="false" ht="15" hidden="false" customHeight="false" outlineLevel="0" collapsed="false">
      <c r="A2798" s="39" t="s">
        <v>2845</v>
      </c>
      <c r="B2798" s="40" t="n">
        <v>45999</v>
      </c>
      <c r="C2798" s="39" t="s">
        <v>112</v>
      </c>
      <c r="D2798" s="39" t="n">
        <v>3</v>
      </c>
      <c r="E2798" s="41" t="n">
        <v>50.64</v>
      </c>
      <c r="F2798" s="39" t="s">
        <v>108</v>
      </c>
      <c r="G2798" s="39" t="str">
        <f aca="false">UPPER(TRIM(C2798))</f>
        <v>P005</v>
      </c>
      <c r="H2798" s="39" t="str">
        <f aca="false">IF(ISNUMBER(MATCH(G2798,Products!$A$5:$A$24,0)),"OK","Mismatch")</f>
        <v>OK</v>
      </c>
      <c r="I2798" s="39" t="str">
        <f aca="false">IF(COUNTIF($A$5:A2798,A2798)&gt;1,"Duplicate","Unique")</f>
        <v>Unique</v>
      </c>
      <c r="J2798" s="39" t="str">
        <f aca="false">IF(I2798="Duplicate","Remove",IF(H2798="Mismatch","Exclude","Keep"))</f>
        <v>Keep</v>
      </c>
    </row>
    <row r="2799" customFormat="false" ht="15" hidden="false" customHeight="false" outlineLevel="0" collapsed="false">
      <c r="A2799" s="39" t="s">
        <v>2845</v>
      </c>
      <c r="B2799" s="40" t="n">
        <v>45999</v>
      </c>
      <c r="C2799" s="39" t="s">
        <v>112</v>
      </c>
      <c r="D2799" s="39" t="n">
        <v>3</v>
      </c>
      <c r="E2799" s="41" t="n">
        <v>50.64</v>
      </c>
      <c r="F2799" s="39" t="s">
        <v>108</v>
      </c>
      <c r="G2799" s="39" t="str">
        <f aca="false">UPPER(TRIM(C2799))</f>
        <v>P005</v>
      </c>
      <c r="H2799" s="39" t="str">
        <f aca="false">IF(ISNUMBER(MATCH(G2799,Products!$A$5:$A$24,0)),"OK","Mismatch")</f>
        <v>OK</v>
      </c>
      <c r="I2799" s="39" t="str">
        <f aca="false">IF(COUNTIF($A$5:A2799,A2799)&gt;1,"Duplicate","Unique")</f>
        <v>Duplicate</v>
      </c>
      <c r="J2799" s="39" t="str">
        <f aca="false">IF(I2799="Duplicate","Remove",IF(H2799="Mismatch","Exclude","Keep"))</f>
        <v>Remove</v>
      </c>
    </row>
    <row r="2800" customFormat="false" ht="15" hidden="false" customHeight="false" outlineLevel="0" collapsed="false">
      <c r="A2800" s="39" t="s">
        <v>2846</v>
      </c>
      <c r="B2800" s="40" t="n">
        <v>45999</v>
      </c>
      <c r="C2800" s="39" t="s">
        <v>169</v>
      </c>
      <c r="D2800" s="39" t="n">
        <v>2</v>
      </c>
      <c r="E2800" s="41" t="n">
        <v>28.96</v>
      </c>
      <c r="F2800" s="39" t="s">
        <v>115</v>
      </c>
      <c r="G2800" s="39" t="str">
        <f aca="false">UPPER(TRIM(C2800))</f>
        <v>P004</v>
      </c>
      <c r="H2800" s="39" t="str">
        <f aca="false">IF(ISNUMBER(MATCH(G2800,Products!$A$5:$A$24,0)),"OK","Mismatch")</f>
        <v>OK</v>
      </c>
      <c r="I2800" s="39" t="str">
        <f aca="false">IF(COUNTIF($A$5:A2800,A2800)&gt;1,"Duplicate","Unique")</f>
        <v>Unique</v>
      </c>
      <c r="J2800" s="39" t="str">
        <f aca="false">IF(I2800="Duplicate","Remove",IF(H2800="Mismatch","Exclude","Keep"))</f>
        <v>Keep</v>
      </c>
    </row>
    <row r="2801" customFormat="false" ht="15" hidden="false" customHeight="false" outlineLevel="0" collapsed="false">
      <c r="A2801" s="39" t="s">
        <v>2847</v>
      </c>
      <c r="B2801" s="40" t="n">
        <v>45999</v>
      </c>
      <c r="C2801" s="39" t="s">
        <v>128</v>
      </c>
      <c r="D2801" s="39" t="n">
        <v>2</v>
      </c>
      <c r="E2801" s="41" t="n">
        <v>36.39</v>
      </c>
      <c r="F2801" s="39" t="s">
        <v>115</v>
      </c>
      <c r="G2801" s="39" t="str">
        <f aca="false">UPPER(TRIM(C2801))</f>
        <v>P020</v>
      </c>
      <c r="H2801" s="39" t="str">
        <f aca="false">IF(ISNUMBER(MATCH(G2801,Products!$A$5:$A$24,0)),"OK","Mismatch")</f>
        <v>OK</v>
      </c>
      <c r="I2801" s="39" t="str">
        <f aca="false">IF(COUNTIF($A$5:A2801,A2801)&gt;1,"Duplicate","Unique")</f>
        <v>Unique</v>
      </c>
      <c r="J2801" s="39" t="str">
        <f aca="false">IF(I2801="Duplicate","Remove",IF(H2801="Mismatch","Exclude","Keep"))</f>
        <v>Keep</v>
      </c>
    </row>
    <row r="2802" customFormat="false" ht="15" hidden="false" customHeight="false" outlineLevel="0" collapsed="false">
      <c r="A2802" s="39" t="s">
        <v>2848</v>
      </c>
      <c r="B2802" s="40" t="n">
        <v>45999</v>
      </c>
      <c r="C2802" s="39" t="s">
        <v>144</v>
      </c>
      <c r="D2802" s="39" t="n">
        <v>3</v>
      </c>
      <c r="E2802" s="41" t="n">
        <v>54.73</v>
      </c>
      <c r="F2802" s="39" t="s">
        <v>118</v>
      </c>
      <c r="G2802" s="39" t="str">
        <f aca="false">UPPER(TRIM(C2802))</f>
        <v>P013</v>
      </c>
      <c r="H2802" s="39" t="str">
        <f aca="false">IF(ISNUMBER(MATCH(G2802,Products!$A$5:$A$24,0)),"OK","Mismatch")</f>
        <v>OK</v>
      </c>
      <c r="I2802" s="39" t="str">
        <f aca="false">IF(COUNTIF($A$5:A2802,A2802)&gt;1,"Duplicate","Unique")</f>
        <v>Unique</v>
      </c>
      <c r="J2802" s="39" t="str">
        <f aca="false">IF(I2802="Duplicate","Remove",IF(H2802="Mismatch","Exclude","Keep"))</f>
        <v>Keep</v>
      </c>
    </row>
    <row r="2803" customFormat="false" ht="15" hidden="false" customHeight="false" outlineLevel="0" collapsed="false">
      <c r="A2803" s="39" t="s">
        <v>2849</v>
      </c>
      <c r="B2803" s="40" t="n">
        <v>46000</v>
      </c>
      <c r="C2803" s="39" t="s">
        <v>177</v>
      </c>
      <c r="D2803" s="39" t="n">
        <v>4</v>
      </c>
      <c r="E2803" s="41" t="n">
        <v>43.08</v>
      </c>
      <c r="F2803" s="39" t="s">
        <v>115</v>
      </c>
      <c r="G2803" s="39" t="str">
        <f aca="false">UPPER(TRIM(C2803))</f>
        <v>P014</v>
      </c>
      <c r="H2803" s="39" t="str">
        <f aca="false">IF(ISNUMBER(MATCH(G2803,Products!$A$5:$A$24,0)),"OK","Mismatch")</f>
        <v>OK</v>
      </c>
      <c r="I2803" s="39" t="str">
        <f aca="false">IF(COUNTIF($A$5:A2803,A2803)&gt;1,"Duplicate","Unique")</f>
        <v>Unique</v>
      </c>
      <c r="J2803" s="39" t="str">
        <f aca="false">IF(I2803="Duplicate","Remove",IF(H2803="Mismatch","Exclude","Keep"))</f>
        <v>Keep</v>
      </c>
    </row>
    <row r="2804" customFormat="false" ht="15" hidden="false" customHeight="false" outlineLevel="0" collapsed="false">
      <c r="A2804" s="39" t="s">
        <v>2850</v>
      </c>
      <c r="B2804" s="40" t="n">
        <v>46000</v>
      </c>
      <c r="C2804" s="39" t="s">
        <v>169</v>
      </c>
      <c r="D2804" s="39" t="n">
        <v>1</v>
      </c>
      <c r="E2804" s="41" t="n">
        <v>28.67</v>
      </c>
      <c r="F2804" s="39" t="s">
        <v>118</v>
      </c>
      <c r="G2804" s="39" t="str">
        <f aca="false">UPPER(TRIM(C2804))</f>
        <v>P004</v>
      </c>
      <c r="H2804" s="39" t="str">
        <f aca="false">IF(ISNUMBER(MATCH(G2804,Products!$A$5:$A$24,0)),"OK","Mismatch")</f>
        <v>OK</v>
      </c>
      <c r="I2804" s="39" t="str">
        <f aca="false">IF(COUNTIF($A$5:A2804,A2804)&gt;1,"Duplicate","Unique")</f>
        <v>Unique</v>
      </c>
      <c r="J2804" s="39" t="str">
        <f aca="false">IF(I2804="Duplicate","Remove",IF(H2804="Mismatch","Exclude","Keep"))</f>
        <v>Keep</v>
      </c>
    </row>
    <row r="2805" customFormat="false" ht="15" hidden="false" customHeight="false" outlineLevel="0" collapsed="false">
      <c r="A2805" s="39" t="s">
        <v>2851</v>
      </c>
      <c r="B2805" s="40" t="n">
        <v>46000</v>
      </c>
      <c r="C2805" s="39" t="s">
        <v>305</v>
      </c>
      <c r="D2805" s="39" t="n">
        <v>6</v>
      </c>
      <c r="E2805" s="41" t="n">
        <v>348.6</v>
      </c>
      <c r="F2805" s="39" t="s">
        <v>115</v>
      </c>
      <c r="G2805" s="39" t="str">
        <f aca="false">UPPER(TRIM(C2805))</f>
        <v>P008</v>
      </c>
      <c r="H2805" s="39" t="str">
        <f aca="false">IF(ISNUMBER(MATCH(G2805,Products!$A$5:$A$24,0)),"OK","Mismatch")</f>
        <v>OK</v>
      </c>
      <c r="I2805" s="39" t="str">
        <f aca="false">IF(COUNTIF($A$5:A2805,A2805)&gt;1,"Duplicate","Unique")</f>
        <v>Unique</v>
      </c>
      <c r="J2805" s="39" t="str">
        <f aca="false">IF(I2805="Duplicate","Remove",IF(H2805="Mismatch","Exclude","Keep"))</f>
        <v>Keep</v>
      </c>
    </row>
    <row r="2806" customFormat="false" ht="15" hidden="false" customHeight="false" outlineLevel="0" collapsed="false">
      <c r="A2806" s="39" t="s">
        <v>2852</v>
      </c>
      <c r="B2806" s="40" t="n">
        <v>46000</v>
      </c>
      <c r="C2806" s="39" t="s">
        <v>130</v>
      </c>
      <c r="D2806" s="39" t="n">
        <v>5</v>
      </c>
      <c r="E2806" s="41" t="n">
        <v>8.32</v>
      </c>
      <c r="F2806" s="39" t="s">
        <v>118</v>
      </c>
      <c r="G2806" s="39" t="str">
        <f aca="false">UPPER(TRIM(C2806))</f>
        <v>P011</v>
      </c>
      <c r="H2806" s="39" t="str">
        <f aca="false">IF(ISNUMBER(MATCH(G2806,Products!$A$5:$A$24,0)),"OK","Mismatch")</f>
        <v>OK</v>
      </c>
      <c r="I2806" s="39" t="str">
        <f aca="false">IF(COUNTIF($A$5:A2806,A2806)&gt;1,"Duplicate","Unique")</f>
        <v>Unique</v>
      </c>
      <c r="J2806" s="39" t="str">
        <f aca="false">IF(I2806="Duplicate","Remove",IF(H2806="Mismatch","Exclude","Keep"))</f>
        <v>Keep</v>
      </c>
    </row>
    <row r="2807" customFormat="false" ht="15" hidden="false" customHeight="false" outlineLevel="0" collapsed="false">
      <c r="A2807" s="39" t="s">
        <v>2853</v>
      </c>
      <c r="B2807" s="40" t="n">
        <v>46000</v>
      </c>
      <c r="C2807" s="39" t="s">
        <v>112</v>
      </c>
      <c r="D2807" s="39" t="n">
        <v>2</v>
      </c>
      <c r="E2807" s="41" t="n">
        <v>54.08</v>
      </c>
      <c r="F2807" s="39" t="s">
        <v>115</v>
      </c>
      <c r="G2807" s="39" t="str">
        <f aca="false">UPPER(TRIM(C2807))</f>
        <v>P005</v>
      </c>
      <c r="H2807" s="39" t="str">
        <f aca="false">IF(ISNUMBER(MATCH(G2807,Products!$A$5:$A$24,0)),"OK","Mismatch")</f>
        <v>OK</v>
      </c>
      <c r="I2807" s="39" t="str">
        <f aca="false">IF(COUNTIF($A$5:A2807,A2807)&gt;1,"Duplicate","Unique")</f>
        <v>Unique</v>
      </c>
      <c r="J2807" s="39" t="str">
        <f aca="false">IF(I2807="Duplicate","Remove",IF(H2807="Mismatch","Exclude","Keep"))</f>
        <v>Keep</v>
      </c>
    </row>
    <row r="2808" customFormat="false" ht="15" hidden="false" customHeight="false" outlineLevel="0" collapsed="false">
      <c r="A2808" s="39" t="s">
        <v>2854</v>
      </c>
      <c r="B2808" s="40" t="n">
        <v>46000</v>
      </c>
      <c r="C2808" s="39" t="s">
        <v>117</v>
      </c>
      <c r="D2808" s="39" t="n">
        <v>4</v>
      </c>
      <c r="E2808" s="41" t="n">
        <v>31.32</v>
      </c>
      <c r="F2808" s="39" t="s">
        <v>108</v>
      </c>
      <c r="G2808" s="39" t="str">
        <f aca="false">UPPER(TRIM(C2808))</f>
        <v>P009</v>
      </c>
      <c r="H2808" s="39" t="str">
        <f aca="false">IF(ISNUMBER(MATCH(G2808,Products!$A$5:$A$24,0)),"OK","Mismatch")</f>
        <v>OK</v>
      </c>
      <c r="I2808" s="39" t="str">
        <f aca="false">IF(COUNTIF($A$5:A2808,A2808)&gt;1,"Duplicate","Unique")</f>
        <v>Unique</v>
      </c>
      <c r="J2808" s="39" t="str">
        <f aca="false">IF(I2808="Duplicate","Remove",IF(H2808="Mismatch","Exclude","Keep"))</f>
        <v>Keep</v>
      </c>
    </row>
    <row r="2809" customFormat="false" ht="15" hidden="false" customHeight="false" outlineLevel="0" collapsed="false">
      <c r="A2809" s="39" t="s">
        <v>2855</v>
      </c>
      <c r="B2809" s="40" t="n">
        <v>46000</v>
      </c>
      <c r="C2809" s="39" t="s">
        <v>126</v>
      </c>
      <c r="D2809" s="39" t="n">
        <v>3</v>
      </c>
      <c r="E2809" s="41" t="n">
        <v>24.92</v>
      </c>
      <c r="F2809" s="39" t="s">
        <v>105</v>
      </c>
      <c r="G2809" s="39" t="str">
        <f aca="false">UPPER(TRIM(C2809))</f>
        <v>P001</v>
      </c>
      <c r="H2809" s="39" t="str">
        <f aca="false">IF(ISNUMBER(MATCH(G2809,Products!$A$5:$A$24,0)),"OK","Mismatch")</f>
        <v>OK</v>
      </c>
      <c r="I2809" s="39" t="str">
        <f aca="false">IF(COUNTIF($A$5:A2809,A2809)&gt;1,"Duplicate","Unique")</f>
        <v>Unique</v>
      </c>
      <c r="J2809" s="39" t="str">
        <f aca="false">IF(I2809="Duplicate","Remove",IF(H2809="Mismatch","Exclude","Keep"))</f>
        <v>Keep</v>
      </c>
    </row>
    <row r="2810" customFormat="false" ht="15" hidden="false" customHeight="false" outlineLevel="0" collapsed="false">
      <c r="A2810" s="39" t="s">
        <v>2856</v>
      </c>
      <c r="B2810" s="40" t="n">
        <v>46000</v>
      </c>
      <c r="C2810" s="39" t="s">
        <v>114</v>
      </c>
      <c r="D2810" s="39" t="n">
        <v>3</v>
      </c>
      <c r="E2810" s="41" t="n">
        <v>5.62</v>
      </c>
      <c r="F2810" s="39" t="s">
        <v>118</v>
      </c>
      <c r="G2810" s="39" t="str">
        <f aca="false">UPPER(TRIM(C2810))</f>
        <v>P012</v>
      </c>
      <c r="H2810" s="39" t="str">
        <f aca="false">IF(ISNUMBER(MATCH(G2810,Products!$A$5:$A$24,0)),"OK","Mismatch")</f>
        <v>OK</v>
      </c>
      <c r="I2810" s="39" t="str">
        <f aca="false">IF(COUNTIF($A$5:A2810,A2810)&gt;1,"Duplicate","Unique")</f>
        <v>Unique</v>
      </c>
      <c r="J2810" s="39" t="str">
        <f aca="false">IF(I2810="Duplicate","Remove",IF(H2810="Mismatch","Exclude","Keep"))</f>
        <v>Keep</v>
      </c>
    </row>
    <row r="2811" customFormat="false" ht="15" hidden="false" customHeight="false" outlineLevel="0" collapsed="false">
      <c r="A2811" s="39" t="s">
        <v>2857</v>
      </c>
      <c r="B2811" s="40" t="n">
        <v>46000</v>
      </c>
      <c r="C2811" s="39" t="s">
        <v>114</v>
      </c>
      <c r="D2811" s="39" t="n">
        <v>3</v>
      </c>
      <c r="E2811" s="41" t="n">
        <v>5.58</v>
      </c>
      <c r="F2811" s="39" t="s">
        <v>108</v>
      </c>
      <c r="G2811" s="39" t="str">
        <f aca="false">UPPER(TRIM(C2811))</f>
        <v>P012</v>
      </c>
      <c r="H2811" s="39" t="str">
        <f aca="false">IF(ISNUMBER(MATCH(G2811,Products!$A$5:$A$24,0)),"OK","Mismatch")</f>
        <v>OK</v>
      </c>
      <c r="I2811" s="39" t="str">
        <f aca="false">IF(COUNTIF($A$5:A2811,A2811)&gt;1,"Duplicate","Unique")</f>
        <v>Unique</v>
      </c>
      <c r="J2811" s="39" t="str">
        <f aca="false">IF(I2811="Duplicate","Remove",IF(H2811="Mismatch","Exclude","Keep"))</f>
        <v>Keep</v>
      </c>
    </row>
    <row r="2812" customFormat="false" ht="15" hidden="false" customHeight="false" outlineLevel="0" collapsed="false">
      <c r="A2812" s="39" t="s">
        <v>2858</v>
      </c>
      <c r="B2812" s="40" t="n">
        <v>46000</v>
      </c>
      <c r="C2812" s="39" t="s">
        <v>130</v>
      </c>
      <c r="D2812" s="39" t="n">
        <v>3</v>
      </c>
      <c r="E2812" s="41" t="n">
        <v>8.64</v>
      </c>
      <c r="F2812" s="39" t="s">
        <v>105</v>
      </c>
      <c r="G2812" s="39" t="str">
        <f aca="false">UPPER(TRIM(C2812))</f>
        <v>P011</v>
      </c>
      <c r="H2812" s="39" t="str">
        <f aca="false">IF(ISNUMBER(MATCH(G2812,Products!$A$5:$A$24,0)),"OK","Mismatch")</f>
        <v>OK</v>
      </c>
      <c r="I2812" s="39" t="str">
        <f aca="false">IF(COUNTIF($A$5:A2812,A2812)&gt;1,"Duplicate","Unique")</f>
        <v>Unique</v>
      </c>
      <c r="J2812" s="39" t="str">
        <f aca="false">IF(I2812="Duplicate","Remove",IF(H2812="Mismatch","Exclude","Keep"))</f>
        <v>Keep</v>
      </c>
    </row>
    <row r="2813" customFormat="false" ht="15" hidden="false" customHeight="false" outlineLevel="0" collapsed="false">
      <c r="A2813" s="39" t="s">
        <v>2859</v>
      </c>
      <c r="B2813" s="40" t="n">
        <v>46000</v>
      </c>
      <c r="C2813" s="39" t="s">
        <v>162</v>
      </c>
      <c r="D2813" s="39" t="n">
        <v>1</v>
      </c>
      <c r="E2813" s="41" t="n">
        <v>66.22</v>
      </c>
      <c r="F2813" s="39" t="s">
        <v>118</v>
      </c>
      <c r="G2813" s="39" t="str">
        <f aca="false">UPPER(TRIM(C2813))</f>
        <v>P017</v>
      </c>
      <c r="H2813" s="39" t="str">
        <f aca="false">IF(ISNUMBER(MATCH(G2813,Products!$A$5:$A$24,0)),"OK","Mismatch")</f>
        <v>OK</v>
      </c>
      <c r="I2813" s="39" t="str">
        <f aca="false">IF(COUNTIF($A$5:A2813,A2813)&gt;1,"Duplicate","Unique")</f>
        <v>Unique</v>
      </c>
      <c r="J2813" s="39" t="str">
        <f aca="false">IF(I2813="Duplicate","Remove",IF(H2813="Mismatch","Exclude","Keep"))</f>
        <v>Keep</v>
      </c>
    </row>
    <row r="2814" customFormat="false" ht="15" hidden="false" customHeight="false" outlineLevel="0" collapsed="false">
      <c r="A2814" s="39" t="s">
        <v>2860</v>
      </c>
      <c r="B2814" s="40" t="n">
        <v>46000</v>
      </c>
      <c r="C2814" s="39" t="s">
        <v>110</v>
      </c>
      <c r="D2814" s="39" t="n">
        <v>1</v>
      </c>
      <c r="E2814" s="41" t="n">
        <v>13.8</v>
      </c>
      <c r="F2814" s="39" t="s">
        <v>105</v>
      </c>
      <c r="G2814" s="39" t="str">
        <f aca="false">UPPER(TRIM(C2814))</f>
        <v>P016</v>
      </c>
      <c r="H2814" s="39" t="str">
        <f aca="false">IF(ISNUMBER(MATCH(G2814,Products!$A$5:$A$24,0)),"OK","Mismatch")</f>
        <v>OK</v>
      </c>
      <c r="I2814" s="39" t="str">
        <f aca="false">IF(COUNTIF($A$5:A2814,A2814)&gt;1,"Duplicate","Unique")</f>
        <v>Unique</v>
      </c>
      <c r="J2814" s="39" t="str">
        <f aca="false">IF(I2814="Duplicate","Remove",IF(H2814="Mismatch","Exclude","Keep"))</f>
        <v>Keep</v>
      </c>
    </row>
    <row r="2815" customFormat="false" ht="15" hidden="false" customHeight="false" outlineLevel="0" collapsed="false">
      <c r="A2815" s="39" t="s">
        <v>2861</v>
      </c>
      <c r="B2815" s="40" t="n">
        <v>46000</v>
      </c>
      <c r="C2815" s="39" t="s">
        <v>114</v>
      </c>
      <c r="D2815" s="39" t="n">
        <v>2</v>
      </c>
      <c r="E2815" s="41" t="n">
        <v>5.95</v>
      </c>
      <c r="F2815" s="39" t="s">
        <v>105</v>
      </c>
      <c r="G2815" s="39" t="str">
        <f aca="false">UPPER(TRIM(C2815))</f>
        <v>P012</v>
      </c>
      <c r="H2815" s="39" t="str">
        <f aca="false">IF(ISNUMBER(MATCH(G2815,Products!$A$5:$A$24,0)),"OK","Mismatch")</f>
        <v>OK</v>
      </c>
      <c r="I2815" s="39" t="str">
        <f aca="false">IF(COUNTIF($A$5:A2815,A2815)&gt;1,"Duplicate","Unique")</f>
        <v>Unique</v>
      </c>
      <c r="J2815" s="39" t="str">
        <f aca="false">IF(I2815="Duplicate","Remove",IF(H2815="Mismatch","Exclude","Keep"))</f>
        <v>Keep</v>
      </c>
    </row>
    <row r="2816" customFormat="false" ht="15" hidden="false" customHeight="false" outlineLevel="0" collapsed="false">
      <c r="A2816" s="39" t="s">
        <v>2862</v>
      </c>
      <c r="B2816" s="40" t="n">
        <v>46000</v>
      </c>
      <c r="C2816" s="39" t="s">
        <v>153</v>
      </c>
      <c r="D2816" s="39" t="n">
        <v>3</v>
      </c>
      <c r="E2816" s="41" t="n">
        <v>177.66</v>
      </c>
      <c r="F2816" s="39" t="s">
        <v>118</v>
      </c>
      <c r="G2816" s="39" t="str">
        <f aca="false">UPPER(TRIM(C2816))</f>
        <v>P010</v>
      </c>
      <c r="H2816" s="39" t="str">
        <f aca="false">IF(ISNUMBER(MATCH(G2816,Products!$A$5:$A$24,0)),"OK","Mismatch")</f>
        <v>OK</v>
      </c>
      <c r="I2816" s="39" t="str">
        <f aca="false">IF(COUNTIF($A$5:A2816,A2816)&gt;1,"Duplicate","Unique")</f>
        <v>Unique</v>
      </c>
      <c r="J2816" s="39" t="str">
        <f aca="false">IF(I2816="Duplicate","Remove",IF(H2816="Mismatch","Exclude","Keep"))</f>
        <v>Keep</v>
      </c>
    </row>
    <row r="2817" customFormat="false" ht="15" hidden="false" customHeight="false" outlineLevel="0" collapsed="false">
      <c r="A2817" s="39" t="s">
        <v>2863</v>
      </c>
      <c r="B2817" s="40" t="n">
        <v>46000</v>
      </c>
      <c r="C2817" s="39" t="s">
        <v>139</v>
      </c>
      <c r="D2817" s="39" t="n">
        <v>2</v>
      </c>
      <c r="E2817" s="41" t="n">
        <v>126.76</v>
      </c>
      <c r="F2817" s="39" t="s">
        <v>115</v>
      </c>
      <c r="G2817" s="39" t="str">
        <f aca="false">UPPER(TRIM(C2817))</f>
        <v>P006</v>
      </c>
      <c r="H2817" s="39" t="str">
        <f aca="false">IF(ISNUMBER(MATCH(G2817,Products!$A$5:$A$24,0)),"OK","Mismatch")</f>
        <v>OK</v>
      </c>
      <c r="I2817" s="39" t="str">
        <f aca="false">IF(COUNTIF($A$5:A2817,A2817)&gt;1,"Duplicate","Unique")</f>
        <v>Unique</v>
      </c>
      <c r="J2817" s="39" t="str">
        <f aca="false">IF(I2817="Duplicate","Remove",IF(H2817="Mismatch","Exclude","Keep"))</f>
        <v>Keep</v>
      </c>
    </row>
    <row r="2818" customFormat="false" ht="15" hidden="false" customHeight="false" outlineLevel="0" collapsed="false">
      <c r="A2818" s="39" t="s">
        <v>2864</v>
      </c>
      <c r="B2818" s="40" t="n">
        <v>46000</v>
      </c>
      <c r="C2818" s="39" t="s">
        <v>136</v>
      </c>
      <c r="D2818" s="39" t="n">
        <v>4</v>
      </c>
      <c r="E2818" s="41" t="n">
        <v>77.06</v>
      </c>
      <c r="F2818" s="39" t="s">
        <v>108</v>
      </c>
      <c r="G2818" s="39" t="str">
        <f aca="false">UPPER(TRIM(C2818))</f>
        <v>P002</v>
      </c>
      <c r="H2818" s="39" t="str">
        <f aca="false">IF(ISNUMBER(MATCH(G2818,Products!$A$5:$A$24,0)),"OK","Mismatch")</f>
        <v>OK</v>
      </c>
      <c r="I2818" s="39" t="str">
        <f aca="false">IF(COUNTIF($A$5:A2818,A2818)&gt;1,"Duplicate","Unique")</f>
        <v>Unique</v>
      </c>
      <c r="J2818" s="39" t="str">
        <f aca="false">IF(I2818="Duplicate","Remove",IF(H2818="Mismatch","Exclude","Keep"))</f>
        <v>Keep</v>
      </c>
    </row>
    <row r="2819" customFormat="false" ht="15" hidden="false" customHeight="false" outlineLevel="0" collapsed="false">
      <c r="A2819" s="39" t="s">
        <v>2865</v>
      </c>
      <c r="B2819" s="40" t="n">
        <v>46000</v>
      </c>
      <c r="C2819" s="39" t="s">
        <v>110</v>
      </c>
      <c r="D2819" s="39" t="n">
        <v>1</v>
      </c>
      <c r="E2819" s="41" t="n">
        <v>13.4</v>
      </c>
      <c r="F2819" s="39" t="s">
        <v>108</v>
      </c>
      <c r="G2819" s="39" t="str">
        <f aca="false">UPPER(TRIM(C2819))</f>
        <v>P016</v>
      </c>
      <c r="H2819" s="39" t="str">
        <f aca="false">IF(ISNUMBER(MATCH(G2819,Products!$A$5:$A$24,0)),"OK","Mismatch")</f>
        <v>OK</v>
      </c>
      <c r="I2819" s="39" t="str">
        <f aca="false">IF(COUNTIF($A$5:A2819,A2819)&gt;1,"Duplicate","Unique")</f>
        <v>Unique</v>
      </c>
      <c r="J2819" s="39" t="str">
        <f aca="false">IF(I2819="Duplicate","Remove",IF(H2819="Mismatch","Exclude","Keep"))</f>
        <v>Keep</v>
      </c>
    </row>
    <row r="2820" customFormat="false" ht="15" hidden="false" customHeight="false" outlineLevel="0" collapsed="false">
      <c r="A2820" s="39" t="s">
        <v>2866</v>
      </c>
      <c r="B2820" s="40" t="n">
        <v>46000</v>
      </c>
      <c r="C2820" s="39" t="s">
        <v>114</v>
      </c>
      <c r="D2820" s="39" t="n">
        <v>1</v>
      </c>
      <c r="E2820" s="41" t="n">
        <v>5.64</v>
      </c>
      <c r="F2820" s="39" t="s">
        <v>118</v>
      </c>
      <c r="G2820" s="39" t="str">
        <f aca="false">UPPER(TRIM(C2820))</f>
        <v>P012</v>
      </c>
      <c r="H2820" s="39" t="str">
        <f aca="false">IF(ISNUMBER(MATCH(G2820,Products!$A$5:$A$24,0)),"OK","Mismatch")</f>
        <v>OK</v>
      </c>
      <c r="I2820" s="39" t="str">
        <f aca="false">IF(COUNTIF($A$5:A2820,A2820)&gt;1,"Duplicate","Unique")</f>
        <v>Unique</v>
      </c>
      <c r="J2820" s="39" t="str">
        <f aca="false">IF(I2820="Duplicate","Remove",IF(H2820="Mismatch","Exclude","Keep"))</f>
        <v>Keep</v>
      </c>
    </row>
    <row r="2821" customFormat="false" ht="15" hidden="false" customHeight="false" outlineLevel="0" collapsed="false">
      <c r="A2821" s="39" t="s">
        <v>2867</v>
      </c>
      <c r="B2821" s="40" t="n">
        <v>46000</v>
      </c>
      <c r="C2821" s="39" t="s">
        <v>169</v>
      </c>
      <c r="D2821" s="39" t="n">
        <v>5</v>
      </c>
      <c r="E2821" s="41" t="n">
        <v>27.03</v>
      </c>
      <c r="F2821" s="39" t="s">
        <v>115</v>
      </c>
      <c r="G2821" s="39" t="str">
        <f aca="false">UPPER(TRIM(C2821))</f>
        <v>P004</v>
      </c>
      <c r="H2821" s="39" t="str">
        <f aca="false">IF(ISNUMBER(MATCH(G2821,Products!$A$5:$A$24,0)),"OK","Mismatch")</f>
        <v>OK</v>
      </c>
      <c r="I2821" s="39" t="str">
        <f aca="false">IF(COUNTIF($A$5:A2821,A2821)&gt;1,"Duplicate","Unique")</f>
        <v>Unique</v>
      </c>
      <c r="J2821" s="39" t="str">
        <f aca="false">IF(I2821="Duplicate","Remove",IF(H2821="Mismatch","Exclude","Keep"))</f>
        <v>Keep</v>
      </c>
    </row>
    <row r="2822" customFormat="false" ht="15" hidden="false" customHeight="false" outlineLevel="0" collapsed="false">
      <c r="A2822" s="39" t="s">
        <v>2868</v>
      </c>
      <c r="B2822" s="40" t="n">
        <v>46001</v>
      </c>
      <c r="C2822" s="39" t="s">
        <v>104</v>
      </c>
      <c r="D2822" s="39" t="n">
        <v>1</v>
      </c>
      <c r="E2822" s="41" t="n">
        <v>14.84</v>
      </c>
      <c r="F2822" s="39" t="s">
        <v>118</v>
      </c>
      <c r="G2822" s="39" t="str">
        <f aca="false">UPPER(TRIM(C2822))</f>
        <v>P015</v>
      </c>
      <c r="H2822" s="39" t="str">
        <f aca="false">IF(ISNUMBER(MATCH(G2822,Products!$A$5:$A$24,0)),"OK","Mismatch")</f>
        <v>OK</v>
      </c>
      <c r="I2822" s="39" t="str">
        <f aca="false">IF(COUNTIF($A$5:A2822,A2822)&gt;1,"Duplicate","Unique")</f>
        <v>Unique</v>
      </c>
      <c r="J2822" s="39" t="str">
        <f aca="false">IF(I2822="Duplicate","Remove",IF(H2822="Mismatch","Exclude","Keep"))</f>
        <v>Keep</v>
      </c>
    </row>
    <row r="2823" customFormat="false" ht="15" hidden="false" customHeight="false" outlineLevel="0" collapsed="false">
      <c r="A2823" s="39" t="s">
        <v>2869</v>
      </c>
      <c r="B2823" s="40" t="n">
        <v>46001</v>
      </c>
      <c r="C2823" s="39" t="s">
        <v>169</v>
      </c>
      <c r="D2823" s="39" t="n">
        <v>2</v>
      </c>
      <c r="E2823" s="41" t="n">
        <v>28.48</v>
      </c>
      <c r="F2823" s="39" t="s">
        <v>108</v>
      </c>
      <c r="G2823" s="39" t="str">
        <f aca="false">UPPER(TRIM(C2823))</f>
        <v>P004</v>
      </c>
      <c r="H2823" s="39" t="str">
        <f aca="false">IF(ISNUMBER(MATCH(G2823,Products!$A$5:$A$24,0)),"OK","Mismatch")</f>
        <v>OK</v>
      </c>
      <c r="I2823" s="39" t="str">
        <f aca="false">IF(COUNTIF($A$5:A2823,A2823)&gt;1,"Duplicate","Unique")</f>
        <v>Unique</v>
      </c>
      <c r="J2823" s="39" t="str">
        <f aca="false">IF(I2823="Duplicate","Remove",IF(H2823="Mismatch","Exclude","Keep"))</f>
        <v>Keep</v>
      </c>
    </row>
    <row r="2824" customFormat="false" ht="15" hidden="false" customHeight="false" outlineLevel="0" collapsed="false">
      <c r="A2824" s="39" t="s">
        <v>2870</v>
      </c>
      <c r="B2824" s="40" t="n">
        <v>46001</v>
      </c>
      <c r="C2824" s="39" t="s">
        <v>162</v>
      </c>
      <c r="D2824" s="39" t="n">
        <v>3</v>
      </c>
      <c r="E2824" s="41" t="n">
        <v>67.9</v>
      </c>
      <c r="F2824" s="39" t="s">
        <v>118</v>
      </c>
      <c r="G2824" s="39" t="str">
        <f aca="false">UPPER(TRIM(C2824))</f>
        <v>P017</v>
      </c>
      <c r="H2824" s="39" t="str">
        <f aca="false">IF(ISNUMBER(MATCH(G2824,Products!$A$5:$A$24,0)),"OK","Mismatch")</f>
        <v>OK</v>
      </c>
      <c r="I2824" s="39" t="str">
        <f aca="false">IF(COUNTIF($A$5:A2824,A2824)&gt;1,"Duplicate","Unique")</f>
        <v>Unique</v>
      </c>
      <c r="J2824" s="39" t="str">
        <f aca="false">IF(I2824="Duplicate","Remove",IF(H2824="Mismatch","Exclude","Keep"))</f>
        <v>Keep</v>
      </c>
    </row>
    <row r="2825" customFormat="false" ht="15" hidden="false" customHeight="false" outlineLevel="0" collapsed="false">
      <c r="A2825" s="39" t="s">
        <v>2871</v>
      </c>
      <c r="B2825" s="40" t="n">
        <v>46001</v>
      </c>
      <c r="C2825" s="39" t="s">
        <v>177</v>
      </c>
      <c r="D2825" s="39" t="n">
        <v>1</v>
      </c>
      <c r="E2825" s="41" t="n">
        <v>44.89</v>
      </c>
      <c r="F2825" s="39" t="s">
        <v>108</v>
      </c>
      <c r="G2825" s="39" t="str">
        <f aca="false">UPPER(TRIM(C2825))</f>
        <v>P014</v>
      </c>
      <c r="H2825" s="39" t="str">
        <f aca="false">IF(ISNUMBER(MATCH(G2825,Products!$A$5:$A$24,0)),"OK","Mismatch")</f>
        <v>OK</v>
      </c>
      <c r="I2825" s="39" t="str">
        <f aca="false">IF(COUNTIF($A$5:A2825,A2825)&gt;1,"Duplicate","Unique")</f>
        <v>Unique</v>
      </c>
      <c r="J2825" s="39" t="str">
        <f aca="false">IF(I2825="Duplicate","Remove",IF(H2825="Mismatch","Exclude","Keep"))</f>
        <v>Keep</v>
      </c>
    </row>
    <row r="2826" customFormat="false" ht="15" hidden="false" customHeight="false" outlineLevel="0" collapsed="false">
      <c r="A2826" s="39" t="s">
        <v>2872</v>
      </c>
      <c r="B2826" s="40" t="n">
        <v>46001</v>
      </c>
      <c r="C2826" s="39" t="s">
        <v>126</v>
      </c>
      <c r="D2826" s="39" t="n">
        <v>3</v>
      </c>
      <c r="E2826" s="41" t="n">
        <v>24.35</v>
      </c>
      <c r="F2826" s="39" t="s">
        <v>108</v>
      </c>
      <c r="G2826" s="39" t="str">
        <f aca="false">UPPER(TRIM(C2826))</f>
        <v>P001</v>
      </c>
      <c r="H2826" s="39" t="str">
        <f aca="false">IF(ISNUMBER(MATCH(G2826,Products!$A$5:$A$24,0)),"OK","Mismatch")</f>
        <v>OK</v>
      </c>
      <c r="I2826" s="39" t="str">
        <f aca="false">IF(COUNTIF($A$5:A2826,A2826)&gt;1,"Duplicate","Unique")</f>
        <v>Unique</v>
      </c>
      <c r="J2826" s="39" t="str">
        <f aca="false">IF(I2826="Duplicate","Remove",IF(H2826="Mismatch","Exclude","Keep"))</f>
        <v>Keep</v>
      </c>
    </row>
    <row r="2827" customFormat="false" ht="15" hidden="false" customHeight="false" outlineLevel="0" collapsed="false">
      <c r="A2827" s="39" t="s">
        <v>2873</v>
      </c>
      <c r="B2827" s="40" t="n">
        <v>46001</v>
      </c>
      <c r="C2827" s="39" t="s">
        <v>126</v>
      </c>
      <c r="D2827" s="39" t="n">
        <v>1</v>
      </c>
      <c r="E2827" s="41" t="n">
        <v>24.64</v>
      </c>
      <c r="F2827" s="39" t="s">
        <v>105</v>
      </c>
      <c r="G2827" s="39" t="str">
        <f aca="false">UPPER(TRIM(C2827))</f>
        <v>P001</v>
      </c>
      <c r="H2827" s="39" t="str">
        <f aca="false">IF(ISNUMBER(MATCH(G2827,Products!$A$5:$A$24,0)),"OK","Mismatch")</f>
        <v>OK</v>
      </c>
      <c r="I2827" s="39" t="str">
        <f aca="false">IF(COUNTIF($A$5:A2827,A2827)&gt;1,"Duplicate","Unique")</f>
        <v>Unique</v>
      </c>
      <c r="J2827" s="39" t="str">
        <f aca="false">IF(I2827="Duplicate","Remove",IF(H2827="Mismatch","Exclude","Keep"))</f>
        <v>Keep</v>
      </c>
    </row>
    <row r="2828" customFormat="false" ht="15" hidden="false" customHeight="false" outlineLevel="0" collapsed="false">
      <c r="A2828" s="39" t="s">
        <v>2874</v>
      </c>
      <c r="B2828" s="40" t="n">
        <v>46002</v>
      </c>
      <c r="C2828" s="39" t="s">
        <v>136</v>
      </c>
      <c r="D2828" s="39" t="n">
        <v>2</v>
      </c>
      <c r="E2828" s="41" t="n">
        <v>75.72</v>
      </c>
      <c r="F2828" s="39" t="s">
        <v>108</v>
      </c>
      <c r="G2828" s="39" t="str">
        <f aca="false">UPPER(TRIM(C2828))</f>
        <v>P002</v>
      </c>
      <c r="H2828" s="39" t="str">
        <f aca="false">IF(ISNUMBER(MATCH(G2828,Products!$A$5:$A$24,0)),"OK","Mismatch")</f>
        <v>OK</v>
      </c>
      <c r="I2828" s="39" t="str">
        <f aca="false">IF(COUNTIF($A$5:A2828,A2828)&gt;1,"Duplicate","Unique")</f>
        <v>Unique</v>
      </c>
      <c r="J2828" s="39" t="str">
        <f aca="false">IF(I2828="Duplicate","Remove",IF(H2828="Mismatch","Exclude","Keep"))</f>
        <v>Keep</v>
      </c>
    </row>
    <row r="2829" customFormat="false" ht="15" hidden="false" customHeight="false" outlineLevel="0" collapsed="false">
      <c r="A2829" s="39" t="s">
        <v>2875</v>
      </c>
      <c r="B2829" s="40" t="n">
        <v>46002</v>
      </c>
      <c r="C2829" s="39" t="s">
        <v>117</v>
      </c>
      <c r="D2829" s="39" t="n">
        <v>5</v>
      </c>
      <c r="E2829" s="41" t="n">
        <v>31.09</v>
      </c>
      <c r="F2829" s="39" t="s">
        <v>118</v>
      </c>
      <c r="G2829" s="39" t="str">
        <f aca="false">UPPER(TRIM(C2829))</f>
        <v>P009</v>
      </c>
      <c r="H2829" s="39" t="str">
        <f aca="false">IF(ISNUMBER(MATCH(G2829,Products!$A$5:$A$24,0)),"OK","Mismatch")</f>
        <v>OK</v>
      </c>
      <c r="I2829" s="39" t="str">
        <f aca="false">IF(COUNTIF($A$5:A2829,A2829)&gt;1,"Duplicate","Unique")</f>
        <v>Unique</v>
      </c>
      <c r="J2829" s="39" t="str">
        <f aca="false">IF(I2829="Duplicate","Remove",IF(H2829="Mismatch","Exclude","Keep"))</f>
        <v>Keep</v>
      </c>
    </row>
    <row r="2830" customFormat="false" ht="15" hidden="false" customHeight="false" outlineLevel="0" collapsed="false">
      <c r="A2830" s="39" t="s">
        <v>2876</v>
      </c>
      <c r="B2830" s="40" t="n">
        <v>46002</v>
      </c>
      <c r="C2830" s="39" t="s">
        <v>305</v>
      </c>
      <c r="D2830" s="39" t="n">
        <v>1</v>
      </c>
      <c r="E2830" s="41" t="n">
        <v>335.29</v>
      </c>
      <c r="F2830" s="39" t="s">
        <v>108</v>
      </c>
      <c r="G2830" s="39" t="str">
        <f aca="false">UPPER(TRIM(C2830))</f>
        <v>P008</v>
      </c>
      <c r="H2830" s="39" t="str">
        <f aca="false">IF(ISNUMBER(MATCH(G2830,Products!$A$5:$A$24,0)),"OK","Mismatch")</f>
        <v>OK</v>
      </c>
      <c r="I2830" s="39" t="str">
        <f aca="false">IF(COUNTIF($A$5:A2830,A2830)&gt;1,"Duplicate","Unique")</f>
        <v>Unique</v>
      </c>
      <c r="J2830" s="39" t="str">
        <f aca="false">IF(I2830="Duplicate","Remove",IF(H2830="Mismatch","Exclude","Keep"))</f>
        <v>Keep</v>
      </c>
    </row>
    <row r="2831" customFormat="false" ht="15" hidden="false" customHeight="false" outlineLevel="0" collapsed="false">
      <c r="A2831" s="39" t="s">
        <v>2877</v>
      </c>
      <c r="B2831" s="40" t="n">
        <v>46002</v>
      </c>
      <c r="C2831" s="39" t="s">
        <v>117</v>
      </c>
      <c r="D2831" s="39" t="n">
        <v>1</v>
      </c>
      <c r="E2831" s="41" t="n">
        <v>30.91</v>
      </c>
      <c r="F2831" s="39" t="s">
        <v>108</v>
      </c>
      <c r="G2831" s="39" t="str">
        <f aca="false">UPPER(TRIM(C2831))</f>
        <v>P009</v>
      </c>
      <c r="H2831" s="39" t="str">
        <f aca="false">IF(ISNUMBER(MATCH(G2831,Products!$A$5:$A$24,0)),"OK","Mismatch")</f>
        <v>OK</v>
      </c>
      <c r="I2831" s="39" t="str">
        <f aca="false">IF(COUNTIF($A$5:A2831,A2831)&gt;1,"Duplicate","Unique")</f>
        <v>Unique</v>
      </c>
      <c r="J2831" s="39" t="str">
        <f aca="false">IF(I2831="Duplicate","Remove",IF(H2831="Mismatch","Exclude","Keep"))</f>
        <v>Keep</v>
      </c>
    </row>
    <row r="2832" customFormat="false" ht="15" hidden="false" customHeight="false" outlineLevel="0" collapsed="false">
      <c r="A2832" s="39" t="s">
        <v>2878</v>
      </c>
      <c r="B2832" s="40" t="n">
        <v>46002</v>
      </c>
      <c r="C2832" s="39" t="s">
        <v>183</v>
      </c>
      <c r="D2832" s="39" t="n">
        <v>1</v>
      </c>
      <c r="E2832" s="41" t="n">
        <v>186.06</v>
      </c>
      <c r="F2832" s="39" t="s">
        <v>105</v>
      </c>
      <c r="G2832" s="39" t="str">
        <f aca="false">UPPER(TRIM(C2832))</f>
        <v>P007</v>
      </c>
      <c r="H2832" s="39" t="str">
        <f aca="false">IF(ISNUMBER(MATCH(G2832,Products!$A$5:$A$24,0)),"OK","Mismatch")</f>
        <v>OK</v>
      </c>
      <c r="I2832" s="39" t="str">
        <f aca="false">IF(COUNTIF($A$5:A2832,A2832)&gt;1,"Duplicate","Unique")</f>
        <v>Unique</v>
      </c>
      <c r="J2832" s="39" t="str">
        <f aca="false">IF(I2832="Duplicate","Remove",IF(H2832="Mismatch","Exclude","Keep"))</f>
        <v>Keep</v>
      </c>
    </row>
    <row r="2833" customFormat="false" ht="15" hidden="false" customHeight="false" outlineLevel="0" collapsed="false">
      <c r="A2833" s="39" t="s">
        <v>2879</v>
      </c>
      <c r="B2833" s="40" t="n">
        <v>46002</v>
      </c>
      <c r="C2833" s="39" t="s">
        <v>114</v>
      </c>
      <c r="D2833" s="39" t="n">
        <v>1</v>
      </c>
      <c r="E2833" s="41" t="n">
        <v>5.94</v>
      </c>
      <c r="F2833" s="39" t="s">
        <v>108</v>
      </c>
      <c r="G2833" s="39" t="str">
        <f aca="false">UPPER(TRIM(C2833))</f>
        <v>P012</v>
      </c>
      <c r="H2833" s="39" t="str">
        <f aca="false">IF(ISNUMBER(MATCH(G2833,Products!$A$5:$A$24,0)),"OK","Mismatch")</f>
        <v>OK</v>
      </c>
      <c r="I2833" s="39" t="str">
        <f aca="false">IF(COUNTIF($A$5:A2833,A2833)&gt;1,"Duplicate","Unique")</f>
        <v>Unique</v>
      </c>
      <c r="J2833" s="39" t="str">
        <f aca="false">IF(I2833="Duplicate","Remove",IF(H2833="Mismatch","Exclude","Keep"))</f>
        <v>Keep</v>
      </c>
    </row>
    <row r="2834" customFormat="false" ht="15" hidden="false" customHeight="false" outlineLevel="0" collapsed="false">
      <c r="A2834" s="39" t="s">
        <v>2880</v>
      </c>
      <c r="B2834" s="40" t="n">
        <v>46002</v>
      </c>
      <c r="C2834" s="39" t="s">
        <v>177</v>
      </c>
      <c r="D2834" s="39" t="n">
        <v>3</v>
      </c>
      <c r="E2834" s="41" t="n">
        <v>44.48</v>
      </c>
      <c r="F2834" s="39" t="s">
        <v>115</v>
      </c>
      <c r="G2834" s="39" t="str">
        <f aca="false">UPPER(TRIM(C2834))</f>
        <v>P014</v>
      </c>
      <c r="H2834" s="39" t="str">
        <f aca="false">IF(ISNUMBER(MATCH(G2834,Products!$A$5:$A$24,0)),"OK","Mismatch")</f>
        <v>OK</v>
      </c>
      <c r="I2834" s="39" t="str">
        <f aca="false">IF(COUNTIF($A$5:A2834,A2834)&gt;1,"Duplicate","Unique")</f>
        <v>Unique</v>
      </c>
      <c r="J2834" s="39" t="str">
        <f aca="false">IF(I2834="Duplicate","Remove",IF(H2834="Mismatch","Exclude","Keep"))</f>
        <v>Keep</v>
      </c>
    </row>
    <row r="2835" customFormat="false" ht="15" hidden="false" customHeight="false" outlineLevel="0" collapsed="false">
      <c r="A2835" s="39" t="s">
        <v>2881</v>
      </c>
      <c r="B2835" s="40" t="n">
        <v>46002</v>
      </c>
      <c r="C2835" s="39" t="s">
        <v>130</v>
      </c>
      <c r="D2835" s="39" t="n">
        <v>1</v>
      </c>
      <c r="E2835" s="41" t="n">
        <v>8.81</v>
      </c>
      <c r="F2835" s="39" t="s">
        <v>105</v>
      </c>
      <c r="G2835" s="39" t="str">
        <f aca="false">UPPER(TRIM(C2835))</f>
        <v>P011</v>
      </c>
      <c r="H2835" s="39" t="str">
        <f aca="false">IF(ISNUMBER(MATCH(G2835,Products!$A$5:$A$24,0)),"OK","Mismatch")</f>
        <v>OK</v>
      </c>
      <c r="I2835" s="39" t="str">
        <f aca="false">IF(COUNTIF($A$5:A2835,A2835)&gt;1,"Duplicate","Unique")</f>
        <v>Unique</v>
      </c>
      <c r="J2835" s="39" t="str">
        <f aca="false">IF(I2835="Duplicate","Remove",IF(H2835="Mismatch","Exclude","Keep"))</f>
        <v>Keep</v>
      </c>
    </row>
    <row r="2836" customFormat="false" ht="15" hidden="false" customHeight="false" outlineLevel="0" collapsed="false">
      <c r="A2836" s="39" t="s">
        <v>2881</v>
      </c>
      <c r="B2836" s="40" t="n">
        <v>46002</v>
      </c>
      <c r="C2836" s="39" t="s">
        <v>130</v>
      </c>
      <c r="D2836" s="39" t="n">
        <v>1</v>
      </c>
      <c r="E2836" s="41" t="n">
        <v>8.81</v>
      </c>
      <c r="F2836" s="39" t="s">
        <v>105</v>
      </c>
      <c r="G2836" s="39" t="str">
        <f aca="false">UPPER(TRIM(C2836))</f>
        <v>P011</v>
      </c>
      <c r="H2836" s="39" t="str">
        <f aca="false">IF(ISNUMBER(MATCH(G2836,Products!$A$5:$A$24,0)),"OK","Mismatch")</f>
        <v>OK</v>
      </c>
      <c r="I2836" s="39" t="str">
        <f aca="false">IF(COUNTIF($A$5:A2836,A2836)&gt;1,"Duplicate","Unique")</f>
        <v>Duplicate</v>
      </c>
      <c r="J2836" s="39" t="str">
        <f aca="false">IF(I2836="Duplicate","Remove",IF(H2836="Mismatch","Exclude","Keep"))</f>
        <v>Remove</v>
      </c>
    </row>
    <row r="2837" customFormat="false" ht="15" hidden="false" customHeight="false" outlineLevel="0" collapsed="false">
      <c r="A2837" s="39" t="s">
        <v>2882</v>
      </c>
      <c r="B2837" s="40" t="n">
        <v>46002</v>
      </c>
      <c r="C2837" s="39" t="s">
        <v>114</v>
      </c>
      <c r="D2837" s="39" t="n">
        <v>5</v>
      </c>
      <c r="E2837" s="41" t="n">
        <v>5.78</v>
      </c>
      <c r="F2837" s="39" t="s">
        <v>115</v>
      </c>
      <c r="G2837" s="39" t="str">
        <f aca="false">UPPER(TRIM(C2837))</f>
        <v>P012</v>
      </c>
      <c r="H2837" s="39" t="str">
        <f aca="false">IF(ISNUMBER(MATCH(G2837,Products!$A$5:$A$24,0)),"OK","Mismatch")</f>
        <v>OK</v>
      </c>
      <c r="I2837" s="39" t="str">
        <f aca="false">IF(COUNTIF($A$5:A2837,A2837)&gt;1,"Duplicate","Unique")</f>
        <v>Unique</v>
      </c>
      <c r="J2837" s="39" t="str">
        <f aca="false">IF(I2837="Duplicate","Remove",IF(H2837="Mismatch","Exclude","Keep"))</f>
        <v>Keep</v>
      </c>
    </row>
    <row r="2838" customFormat="false" ht="15" hidden="false" customHeight="false" outlineLevel="0" collapsed="false">
      <c r="A2838" s="39" t="s">
        <v>2883</v>
      </c>
      <c r="B2838" s="40" t="n">
        <v>46002</v>
      </c>
      <c r="C2838" s="39" t="s">
        <v>104</v>
      </c>
      <c r="D2838" s="39" t="n">
        <v>2</v>
      </c>
      <c r="E2838" s="41" t="n">
        <v>14.87</v>
      </c>
      <c r="F2838" s="39" t="s">
        <v>105</v>
      </c>
      <c r="G2838" s="39" t="str">
        <f aca="false">UPPER(TRIM(C2838))</f>
        <v>P015</v>
      </c>
      <c r="H2838" s="39" t="str">
        <f aca="false">IF(ISNUMBER(MATCH(G2838,Products!$A$5:$A$24,0)),"OK","Mismatch")</f>
        <v>OK</v>
      </c>
      <c r="I2838" s="39" t="str">
        <f aca="false">IF(COUNTIF($A$5:A2838,A2838)&gt;1,"Duplicate","Unique")</f>
        <v>Unique</v>
      </c>
      <c r="J2838" s="39" t="str">
        <f aca="false">IF(I2838="Duplicate","Remove",IF(H2838="Mismatch","Exclude","Keep"))</f>
        <v>Keep</v>
      </c>
    </row>
    <row r="2839" customFormat="false" ht="15" hidden="false" customHeight="false" outlineLevel="0" collapsed="false">
      <c r="A2839" s="39" t="s">
        <v>2883</v>
      </c>
      <c r="B2839" s="40" t="n">
        <v>46002</v>
      </c>
      <c r="C2839" s="39" t="s">
        <v>104</v>
      </c>
      <c r="D2839" s="39" t="n">
        <v>2</v>
      </c>
      <c r="E2839" s="41" t="n">
        <v>14.87</v>
      </c>
      <c r="F2839" s="39" t="s">
        <v>105</v>
      </c>
      <c r="G2839" s="39" t="str">
        <f aca="false">UPPER(TRIM(C2839))</f>
        <v>P015</v>
      </c>
      <c r="H2839" s="39" t="str">
        <f aca="false">IF(ISNUMBER(MATCH(G2839,Products!$A$5:$A$24,0)),"OK","Mismatch")</f>
        <v>OK</v>
      </c>
      <c r="I2839" s="39" t="str">
        <f aca="false">IF(COUNTIF($A$5:A2839,A2839)&gt;1,"Duplicate","Unique")</f>
        <v>Duplicate</v>
      </c>
      <c r="J2839" s="39" t="str">
        <f aca="false">IF(I2839="Duplicate","Remove",IF(H2839="Mismatch","Exclude","Keep"))</f>
        <v>Remove</v>
      </c>
    </row>
    <row r="2840" customFormat="false" ht="15" hidden="false" customHeight="false" outlineLevel="0" collapsed="false">
      <c r="A2840" s="39" t="s">
        <v>2884</v>
      </c>
      <c r="B2840" s="40" t="n">
        <v>46002</v>
      </c>
      <c r="C2840" s="39" t="s">
        <v>104</v>
      </c>
      <c r="D2840" s="39" t="n">
        <v>2</v>
      </c>
      <c r="E2840" s="41" t="n">
        <v>15.52</v>
      </c>
      <c r="F2840" s="39" t="s">
        <v>105</v>
      </c>
      <c r="G2840" s="39" t="str">
        <f aca="false">UPPER(TRIM(C2840))</f>
        <v>P015</v>
      </c>
      <c r="H2840" s="39" t="str">
        <f aca="false">IF(ISNUMBER(MATCH(G2840,Products!$A$5:$A$24,0)),"OK","Mismatch")</f>
        <v>OK</v>
      </c>
      <c r="I2840" s="39" t="str">
        <f aca="false">IF(COUNTIF($A$5:A2840,A2840)&gt;1,"Duplicate","Unique")</f>
        <v>Unique</v>
      </c>
      <c r="J2840" s="39" t="str">
        <f aca="false">IF(I2840="Duplicate","Remove",IF(H2840="Mismatch","Exclude","Keep"))</f>
        <v>Keep</v>
      </c>
    </row>
    <row r="2841" customFormat="false" ht="15" hidden="false" customHeight="false" outlineLevel="0" collapsed="false">
      <c r="A2841" s="39" t="s">
        <v>2885</v>
      </c>
      <c r="B2841" s="40" t="n">
        <v>46003</v>
      </c>
      <c r="C2841" s="39" t="s">
        <v>162</v>
      </c>
      <c r="D2841" s="39" t="n">
        <v>3</v>
      </c>
      <c r="E2841" s="41" t="n">
        <v>65.42</v>
      </c>
      <c r="F2841" s="39" t="s">
        <v>118</v>
      </c>
      <c r="G2841" s="39" t="str">
        <f aca="false">UPPER(TRIM(C2841))</f>
        <v>P017</v>
      </c>
      <c r="H2841" s="39" t="str">
        <f aca="false">IF(ISNUMBER(MATCH(G2841,Products!$A$5:$A$24,0)),"OK","Mismatch")</f>
        <v>OK</v>
      </c>
      <c r="I2841" s="39" t="str">
        <f aca="false">IF(COUNTIF($A$5:A2841,A2841)&gt;1,"Duplicate","Unique")</f>
        <v>Unique</v>
      </c>
      <c r="J2841" s="39" t="str">
        <f aca="false">IF(I2841="Duplicate","Remove",IF(H2841="Mismatch","Exclude","Keep"))</f>
        <v>Keep</v>
      </c>
    </row>
    <row r="2842" customFormat="false" ht="15" hidden="false" customHeight="false" outlineLevel="0" collapsed="false">
      <c r="A2842" s="39" t="s">
        <v>2886</v>
      </c>
      <c r="B2842" s="40" t="n">
        <v>46003</v>
      </c>
      <c r="C2842" s="39" t="s">
        <v>153</v>
      </c>
      <c r="D2842" s="39" t="n">
        <v>2</v>
      </c>
      <c r="E2842" s="41" t="n">
        <v>171.94</v>
      </c>
      <c r="F2842" s="39" t="s">
        <v>105</v>
      </c>
      <c r="G2842" s="39" t="str">
        <f aca="false">UPPER(TRIM(C2842))</f>
        <v>P010</v>
      </c>
      <c r="H2842" s="39" t="str">
        <f aca="false">IF(ISNUMBER(MATCH(G2842,Products!$A$5:$A$24,0)),"OK","Mismatch")</f>
        <v>OK</v>
      </c>
      <c r="I2842" s="39" t="str">
        <f aca="false">IF(COUNTIF($A$5:A2842,A2842)&gt;1,"Duplicate","Unique")</f>
        <v>Unique</v>
      </c>
      <c r="J2842" s="39" t="str">
        <f aca="false">IF(I2842="Duplicate","Remove",IF(H2842="Mismatch","Exclude","Keep"))</f>
        <v>Keep</v>
      </c>
    </row>
    <row r="2843" customFormat="false" ht="15" hidden="false" customHeight="false" outlineLevel="0" collapsed="false">
      <c r="A2843" s="39" t="s">
        <v>2887</v>
      </c>
      <c r="B2843" s="40" t="n">
        <v>46003</v>
      </c>
      <c r="C2843" s="39" t="s">
        <v>305</v>
      </c>
      <c r="D2843" s="39" t="n">
        <v>1</v>
      </c>
      <c r="E2843" s="41" t="n">
        <v>338.3</v>
      </c>
      <c r="F2843" s="39" t="s">
        <v>118</v>
      </c>
      <c r="G2843" s="39" t="str">
        <f aca="false">UPPER(TRIM(C2843))</f>
        <v>P008</v>
      </c>
      <c r="H2843" s="39" t="str">
        <f aca="false">IF(ISNUMBER(MATCH(G2843,Products!$A$5:$A$24,0)),"OK","Mismatch")</f>
        <v>OK</v>
      </c>
      <c r="I2843" s="39" t="str">
        <f aca="false">IF(COUNTIF($A$5:A2843,A2843)&gt;1,"Duplicate","Unique")</f>
        <v>Unique</v>
      </c>
      <c r="J2843" s="39" t="str">
        <f aca="false">IF(I2843="Duplicate","Remove",IF(H2843="Mismatch","Exclude","Keep"))</f>
        <v>Keep</v>
      </c>
    </row>
    <row r="2844" customFormat="false" ht="15" hidden="false" customHeight="false" outlineLevel="0" collapsed="false">
      <c r="A2844" s="39" t="s">
        <v>2888</v>
      </c>
      <c r="B2844" s="40" t="n">
        <v>46003</v>
      </c>
      <c r="C2844" s="39" t="s">
        <v>169</v>
      </c>
      <c r="D2844" s="39" t="n">
        <v>5</v>
      </c>
      <c r="E2844" s="41" t="n">
        <v>27.61</v>
      </c>
      <c r="F2844" s="39" t="s">
        <v>108</v>
      </c>
      <c r="G2844" s="39" t="str">
        <f aca="false">UPPER(TRIM(C2844))</f>
        <v>P004</v>
      </c>
      <c r="H2844" s="39" t="str">
        <f aca="false">IF(ISNUMBER(MATCH(G2844,Products!$A$5:$A$24,0)),"OK","Mismatch")</f>
        <v>OK</v>
      </c>
      <c r="I2844" s="39" t="str">
        <f aca="false">IF(COUNTIF($A$5:A2844,A2844)&gt;1,"Duplicate","Unique")</f>
        <v>Unique</v>
      </c>
      <c r="J2844" s="39" t="str">
        <f aca="false">IF(I2844="Duplicate","Remove",IF(H2844="Mismatch","Exclude","Keep"))</f>
        <v>Keep</v>
      </c>
    </row>
    <row r="2845" customFormat="false" ht="15" hidden="false" customHeight="false" outlineLevel="0" collapsed="false">
      <c r="A2845" s="39" t="s">
        <v>2889</v>
      </c>
      <c r="B2845" s="40" t="n">
        <v>46003</v>
      </c>
      <c r="C2845" s="39" t="s">
        <v>126</v>
      </c>
      <c r="D2845" s="39" t="n">
        <v>3</v>
      </c>
      <c r="E2845" s="41" t="n">
        <v>24.91</v>
      </c>
      <c r="F2845" s="39" t="s">
        <v>115</v>
      </c>
      <c r="G2845" s="39" t="str">
        <f aca="false">UPPER(TRIM(C2845))</f>
        <v>P001</v>
      </c>
      <c r="H2845" s="39" t="str">
        <f aca="false">IF(ISNUMBER(MATCH(G2845,Products!$A$5:$A$24,0)),"OK","Mismatch")</f>
        <v>OK</v>
      </c>
      <c r="I2845" s="39" t="str">
        <f aca="false">IF(COUNTIF($A$5:A2845,A2845)&gt;1,"Duplicate","Unique")</f>
        <v>Unique</v>
      </c>
      <c r="J2845" s="39" t="str">
        <f aca="false">IF(I2845="Duplicate","Remove",IF(H2845="Mismatch","Exclude","Keep"))</f>
        <v>Keep</v>
      </c>
    </row>
    <row r="2846" customFormat="false" ht="15" hidden="false" customHeight="false" outlineLevel="0" collapsed="false">
      <c r="A2846" s="39" t="s">
        <v>2889</v>
      </c>
      <c r="B2846" s="40" t="n">
        <v>46003</v>
      </c>
      <c r="C2846" s="39" t="s">
        <v>126</v>
      </c>
      <c r="D2846" s="39" t="n">
        <v>3</v>
      </c>
      <c r="E2846" s="41" t="n">
        <v>24.91</v>
      </c>
      <c r="F2846" s="39" t="s">
        <v>115</v>
      </c>
      <c r="G2846" s="39" t="str">
        <f aca="false">UPPER(TRIM(C2846))</f>
        <v>P001</v>
      </c>
      <c r="H2846" s="39" t="str">
        <f aca="false">IF(ISNUMBER(MATCH(G2846,Products!$A$5:$A$24,0)),"OK","Mismatch")</f>
        <v>OK</v>
      </c>
      <c r="I2846" s="39" t="str">
        <f aca="false">IF(COUNTIF($A$5:A2846,A2846)&gt;1,"Duplicate","Unique")</f>
        <v>Duplicate</v>
      </c>
      <c r="J2846" s="39" t="str">
        <f aca="false">IF(I2846="Duplicate","Remove",IF(H2846="Mismatch","Exclude","Keep"))</f>
        <v>Remove</v>
      </c>
    </row>
    <row r="2847" customFormat="false" ht="15" hidden="false" customHeight="false" outlineLevel="0" collapsed="false">
      <c r="A2847" s="39" t="s">
        <v>2890</v>
      </c>
      <c r="B2847" s="40" t="n">
        <v>46003</v>
      </c>
      <c r="C2847" s="39" t="s">
        <v>107</v>
      </c>
      <c r="D2847" s="39" t="n">
        <v>2</v>
      </c>
      <c r="E2847" s="41" t="n">
        <v>34.71</v>
      </c>
      <c r="F2847" s="39" t="s">
        <v>115</v>
      </c>
      <c r="G2847" s="39" t="str">
        <f aca="false">UPPER(TRIM(C2847))</f>
        <v>P003</v>
      </c>
      <c r="H2847" s="39" t="str">
        <f aca="false">IF(ISNUMBER(MATCH(G2847,Products!$A$5:$A$24,0)),"OK","Mismatch")</f>
        <v>OK</v>
      </c>
      <c r="I2847" s="39" t="str">
        <f aca="false">IF(COUNTIF($A$5:A2847,A2847)&gt;1,"Duplicate","Unique")</f>
        <v>Unique</v>
      </c>
      <c r="J2847" s="39" t="str">
        <f aca="false">IF(I2847="Duplicate","Remove",IF(H2847="Mismatch","Exclude","Keep"))</f>
        <v>Keep</v>
      </c>
    </row>
    <row r="2848" customFormat="false" ht="15" hidden="false" customHeight="false" outlineLevel="0" collapsed="false">
      <c r="A2848" s="39" t="s">
        <v>2891</v>
      </c>
      <c r="B2848" s="40" t="n">
        <v>46003</v>
      </c>
      <c r="C2848" s="39" t="s">
        <v>177</v>
      </c>
      <c r="D2848" s="39" t="n">
        <v>2</v>
      </c>
      <c r="E2848" s="41" t="n">
        <v>41.64</v>
      </c>
      <c r="F2848" s="39" t="s">
        <v>108</v>
      </c>
      <c r="G2848" s="39" t="str">
        <f aca="false">UPPER(TRIM(C2848))</f>
        <v>P014</v>
      </c>
      <c r="H2848" s="39" t="str">
        <f aca="false">IF(ISNUMBER(MATCH(G2848,Products!$A$5:$A$24,0)),"OK","Mismatch")</f>
        <v>OK</v>
      </c>
      <c r="I2848" s="39" t="str">
        <f aca="false">IF(COUNTIF($A$5:A2848,A2848)&gt;1,"Duplicate","Unique")</f>
        <v>Unique</v>
      </c>
      <c r="J2848" s="39" t="str">
        <f aca="false">IF(I2848="Duplicate","Remove",IF(H2848="Mismatch","Exclude","Keep"))</f>
        <v>Keep</v>
      </c>
    </row>
    <row r="2849" customFormat="false" ht="15" hidden="false" customHeight="false" outlineLevel="0" collapsed="false">
      <c r="A2849" s="39" t="s">
        <v>2892</v>
      </c>
      <c r="B2849" s="40" t="n">
        <v>46003</v>
      </c>
      <c r="C2849" s="39" t="s">
        <v>136</v>
      </c>
      <c r="D2849" s="39" t="n">
        <v>2</v>
      </c>
      <c r="E2849" s="41" t="n">
        <v>74.35</v>
      </c>
      <c r="F2849" s="39" t="s">
        <v>118</v>
      </c>
      <c r="G2849" s="39" t="str">
        <f aca="false">UPPER(TRIM(C2849))</f>
        <v>P002</v>
      </c>
      <c r="H2849" s="39" t="str">
        <f aca="false">IF(ISNUMBER(MATCH(G2849,Products!$A$5:$A$24,0)),"OK","Mismatch")</f>
        <v>OK</v>
      </c>
      <c r="I2849" s="39" t="str">
        <f aca="false">IF(COUNTIF($A$5:A2849,A2849)&gt;1,"Duplicate","Unique")</f>
        <v>Unique</v>
      </c>
      <c r="J2849" s="39" t="str">
        <f aca="false">IF(I2849="Duplicate","Remove",IF(H2849="Mismatch","Exclude","Keep"))</f>
        <v>Keep</v>
      </c>
    </row>
    <row r="2850" customFormat="false" ht="15" hidden="false" customHeight="false" outlineLevel="0" collapsed="false">
      <c r="A2850" s="39" t="s">
        <v>2893</v>
      </c>
      <c r="B2850" s="40" t="n">
        <v>46003</v>
      </c>
      <c r="C2850" s="39" t="s">
        <v>126</v>
      </c>
      <c r="D2850" s="39" t="n">
        <v>2</v>
      </c>
      <c r="E2850" s="41" t="n">
        <v>23.48</v>
      </c>
      <c r="F2850" s="39" t="s">
        <v>108</v>
      </c>
      <c r="G2850" s="39" t="str">
        <f aca="false">UPPER(TRIM(C2850))</f>
        <v>P001</v>
      </c>
      <c r="H2850" s="39" t="str">
        <f aca="false">IF(ISNUMBER(MATCH(G2850,Products!$A$5:$A$24,0)),"OK","Mismatch")</f>
        <v>OK</v>
      </c>
      <c r="I2850" s="39" t="str">
        <f aca="false">IF(COUNTIF($A$5:A2850,A2850)&gt;1,"Duplicate","Unique")</f>
        <v>Unique</v>
      </c>
      <c r="J2850" s="39" t="str">
        <f aca="false">IF(I2850="Duplicate","Remove",IF(H2850="Mismatch","Exclude","Keep"))</f>
        <v>Keep</v>
      </c>
    </row>
    <row r="2851" customFormat="false" ht="15" hidden="false" customHeight="false" outlineLevel="0" collapsed="false">
      <c r="A2851" s="39" t="s">
        <v>2894</v>
      </c>
      <c r="B2851" s="40" t="n">
        <v>46003</v>
      </c>
      <c r="C2851" s="39" t="s">
        <v>117</v>
      </c>
      <c r="D2851" s="39" t="n">
        <v>1</v>
      </c>
      <c r="E2851" s="41" t="n">
        <v>30.66</v>
      </c>
      <c r="F2851" s="39" t="s">
        <v>105</v>
      </c>
      <c r="G2851" s="39" t="str">
        <f aca="false">UPPER(TRIM(C2851))</f>
        <v>P009</v>
      </c>
      <c r="H2851" s="39" t="str">
        <f aca="false">IF(ISNUMBER(MATCH(G2851,Products!$A$5:$A$24,0)),"OK","Mismatch")</f>
        <v>OK</v>
      </c>
      <c r="I2851" s="39" t="str">
        <f aca="false">IF(COUNTIF($A$5:A2851,A2851)&gt;1,"Duplicate","Unique")</f>
        <v>Unique</v>
      </c>
      <c r="J2851" s="39" t="str">
        <f aca="false">IF(I2851="Duplicate","Remove",IF(H2851="Mismatch","Exclude","Keep"))</f>
        <v>Keep</v>
      </c>
    </row>
    <row r="2852" customFormat="false" ht="15" hidden="false" customHeight="false" outlineLevel="0" collapsed="false">
      <c r="A2852" s="39" t="s">
        <v>2895</v>
      </c>
      <c r="B2852" s="40" t="n">
        <v>46003</v>
      </c>
      <c r="C2852" s="39" t="s">
        <v>169</v>
      </c>
      <c r="D2852" s="39" t="n">
        <v>1</v>
      </c>
      <c r="E2852" s="41" t="n">
        <v>27.48</v>
      </c>
      <c r="F2852" s="39" t="s">
        <v>118</v>
      </c>
      <c r="G2852" s="39" t="str">
        <f aca="false">UPPER(TRIM(C2852))</f>
        <v>P004</v>
      </c>
      <c r="H2852" s="39" t="str">
        <f aca="false">IF(ISNUMBER(MATCH(G2852,Products!$A$5:$A$24,0)),"OK","Mismatch")</f>
        <v>OK</v>
      </c>
      <c r="I2852" s="39" t="str">
        <f aca="false">IF(COUNTIF($A$5:A2852,A2852)&gt;1,"Duplicate","Unique")</f>
        <v>Unique</v>
      </c>
      <c r="J2852" s="39" t="str">
        <f aca="false">IF(I2852="Duplicate","Remove",IF(H2852="Mismatch","Exclude","Keep"))</f>
        <v>Keep</v>
      </c>
    </row>
    <row r="2853" customFormat="false" ht="15" hidden="false" customHeight="false" outlineLevel="0" collapsed="false">
      <c r="A2853" s="39" t="s">
        <v>2896</v>
      </c>
      <c r="B2853" s="40" t="n">
        <v>46003</v>
      </c>
      <c r="C2853" s="39" t="s">
        <v>169</v>
      </c>
      <c r="D2853" s="39" t="n">
        <v>1</v>
      </c>
      <c r="E2853" s="41" t="n">
        <v>28.95</v>
      </c>
      <c r="F2853" s="39" t="s">
        <v>115</v>
      </c>
      <c r="G2853" s="39" t="str">
        <f aca="false">UPPER(TRIM(C2853))</f>
        <v>P004</v>
      </c>
      <c r="H2853" s="39" t="str">
        <f aca="false">IF(ISNUMBER(MATCH(G2853,Products!$A$5:$A$24,0)),"OK","Mismatch")</f>
        <v>OK</v>
      </c>
      <c r="I2853" s="39" t="str">
        <f aca="false">IF(COUNTIF($A$5:A2853,A2853)&gt;1,"Duplicate","Unique")</f>
        <v>Unique</v>
      </c>
      <c r="J2853" s="39" t="str">
        <f aca="false">IF(I2853="Duplicate","Remove",IF(H2853="Mismatch","Exclude","Keep"))</f>
        <v>Keep</v>
      </c>
    </row>
    <row r="2854" customFormat="false" ht="15" hidden="false" customHeight="false" outlineLevel="0" collapsed="false">
      <c r="A2854" s="39" t="s">
        <v>2897</v>
      </c>
      <c r="B2854" s="40" t="n">
        <v>46004</v>
      </c>
      <c r="C2854" s="39" t="s">
        <v>121</v>
      </c>
      <c r="D2854" s="39" t="n">
        <v>2</v>
      </c>
      <c r="E2854" s="41" t="n">
        <v>109.97</v>
      </c>
      <c r="F2854" s="39" t="s">
        <v>108</v>
      </c>
      <c r="G2854" s="39" t="str">
        <f aca="false">UPPER(TRIM(C2854))</f>
        <v>P018</v>
      </c>
      <c r="H2854" s="39" t="str">
        <f aca="false">IF(ISNUMBER(MATCH(G2854,Products!$A$5:$A$24,0)),"OK","Mismatch")</f>
        <v>OK</v>
      </c>
      <c r="I2854" s="39" t="str">
        <f aca="false">IF(COUNTIF($A$5:A2854,A2854)&gt;1,"Duplicate","Unique")</f>
        <v>Unique</v>
      </c>
      <c r="J2854" s="39" t="str">
        <f aca="false">IF(I2854="Duplicate","Remove",IF(H2854="Mismatch","Exclude","Keep"))</f>
        <v>Keep</v>
      </c>
    </row>
    <row r="2855" customFormat="false" ht="15" hidden="false" customHeight="false" outlineLevel="0" collapsed="false">
      <c r="A2855" s="39" t="s">
        <v>2898</v>
      </c>
      <c r="B2855" s="40" t="n">
        <v>46004</v>
      </c>
      <c r="C2855" s="39" t="s">
        <v>144</v>
      </c>
      <c r="D2855" s="39" t="n">
        <v>3</v>
      </c>
      <c r="E2855" s="41" t="n">
        <v>54.3</v>
      </c>
      <c r="F2855" s="39" t="s">
        <v>105</v>
      </c>
      <c r="G2855" s="39" t="str">
        <f aca="false">UPPER(TRIM(C2855))</f>
        <v>P013</v>
      </c>
      <c r="H2855" s="39" t="str">
        <f aca="false">IF(ISNUMBER(MATCH(G2855,Products!$A$5:$A$24,0)),"OK","Mismatch")</f>
        <v>OK</v>
      </c>
      <c r="I2855" s="39" t="str">
        <f aca="false">IF(COUNTIF($A$5:A2855,A2855)&gt;1,"Duplicate","Unique")</f>
        <v>Unique</v>
      </c>
      <c r="J2855" s="39" t="str">
        <f aca="false">IF(I2855="Duplicate","Remove",IF(H2855="Mismatch","Exclude","Keep"))</f>
        <v>Keep</v>
      </c>
    </row>
    <row r="2856" customFormat="false" ht="15" hidden="false" customHeight="false" outlineLevel="0" collapsed="false">
      <c r="A2856" s="39" t="s">
        <v>2899</v>
      </c>
      <c r="B2856" s="40" t="n">
        <v>46004</v>
      </c>
      <c r="C2856" s="39" t="s">
        <v>177</v>
      </c>
      <c r="D2856" s="39" t="n">
        <v>1</v>
      </c>
      <c r="E2856" s="41" t="n">
        <v>43.71</v>
      </c>
      <c r="F2856" s="39" t="s">
        <v>115</v>
      </c>
      <c r="G2856" s="39" t="str">
        <f aca="false">UPPER(TRIM(C2856))</f>
        <v>P014</v>
      </c>
      <c r="H2856" s="39" t="str">
        <f aca="false">IF(ISNUMBER(MATCH(G2856,Products!$A$5:$A$24,0)),"OK","Mismatch")</f>
        <v>OK</v>
      </c>
      <c r="I2856" s="39" t="str">
        <f aca="false">IF(COUNTIF($A$5:A2856,A2856)&gt;1,"Duplicate","Unique")</f>
        <v>Unique</v>
      </c>
      <c r="J2856" s="39" t="str">
        <f aca="false">IF(I2856="Duplicate","Remove",IF(H2856="Mismatch","Exclude","Keep"))</f>
        <v>Keep</v>
      </c>
    </row>
    <row r="2857" customFormat="false" ht="15" hidden="false" customHeight="false" outlineLevel="0" collapsed="false">
      <c r="A2857" s="39" t="s">
        <v>2900</v>
      </c>
      <c r="B2857" s="40" t="n">
        <v>46004</v>
      </c>
      <c r="C2857" s="39" t="s">
        <v>177</v>
      </c>
      <c r="D2857" s="39" t="n">
        <v>6</v>
      </c>
      <c r="E2857" s="41" t="n">
        <v>42.08</v>
      </c>
      <c r="F2857" s="39" t="s">
        <v>108</v>
      </c>
      <c r="G2857" s="39" t="str">
        <f aca="false">UPPER(TRIM(C2857))</f>
        <v>P014</v>
      </c>
      <c r="H2857" s="39" t="str">
        <f aca="false">IF(ISNUMBER(MATCH(G2857,Products!$A$5:$A$24,0)),"OK","Mismatch")</f>
        <v>OK</v>
      </c>
      <c r="I2857" s="39" t="str">
        <f aca="false">IF(COUNTIF($A$5:A2857,A2857)&gt;1,"Duplicate","Unique")</f>
        <v>Unique</v>
      </c>
      <c r="J2857" s="39" t="str">
        <f aca="false">IF(I2857="Duplicate","Remove",IF(H2857="Mismatch","Exclude","Keep"))</f>
        <v>Keep</v>
      </c>
    </row>
    <row r="2858" customFormat="false" ht="15" hidden="false" customHeight="false" outlineLevel="0" collapsed="false">
      <c r="A2858" s="39" t="s">
        <v>2901</v>
      </c>
      <c r="B2858" s="40" t="n">
        <v>46004</v>
      </c>
      <c r="C2858" s="39" t="s">
        <v>114</v>
      </c>
      <c r="D2858" s="39" t="n">
        <v>2</v>
      </c>
      <c r="E2858" s="41" t="n">
        <v>5.66</v>
      </c>
      <c r="F2858" s="39" t="s">
        <v>108</v>
      </c>
      <c r="G2858" s="39" t="str">
        <f aca="false">UPPER(TRIM(C2858))</f>
        <v>P012</v>
      </c>
      <c r="H2858" s="39" t="str">
        <f aca="false">IF(ISNUMBER(MATCH(G2858,Products!$A$5:$A$24,0)),"OK","Mismatch")</f>
        <v>OK</v>
      </c>
      <c r="I2858" s="39" t="str">
        <f aca="false">IF(COUNTIF($A$5:A2858,A2858)&gt;1,"Duplicate","Unique")</f>
        <v>Unique</v>
      </c>
      <c r="J2858" s="39" t="str">
        <f aca="false">IF(I2858="Duplicate","Remove",IF(H2858="Mismatch","Exclude","Keep"))</f>
        <v>Keep</v>
      </c>
    </row>
    <row r="2859" customFormat="false" ht="15" hidden="false" customHeight="false" outlineLevel="0" collapsed="false">
      <c r="A2859" s="39" t="s">
        <v>2902</v>
      </c>
      <c r="B2859" s="40" t="n">
        <v>46004</v>
      </c>
      <c r="C2859" s="39" t="s">
        <v>104</v>
      </c>
      <c r="D2859" s="39" t="n">
        <v>4</v>
      </c>
      <c r="E2859" s="41" t="n">
        <v>15.8</v>
      </c>
      <c r="F2859" s="39" t="s">
        <v>105</v>
      </c>
      <c r="G2859" s="39" t="str">
        <f aca="false">UPPER(TRIM(C2859))</f>
        <v>P015</v>
      </c>
      <c r="H2859" s="39" t="str">
        <f aca="false">IF(ISNUMBER(MATCH(G2859,Products!$A$5:$A$24,0)),"OK","Mismatch")</f>
        <v>OK</v>
      </c>
      <c r="I2859" s="39" t="str">
        <f aca="false">IF(COUNTIF($A$5:A2859,A2859)&gt;1,"Duplicate","Unique")</f>
        <v>Unique</v>
      </c>
      <c r="J2859" s="39" t="str">
        <f aca="false">IF(I2859="Duplicate","Remove",IF(H2859="Mismatch","Exclude","Keep"))</f>
        <v>Keep</v>
      </c>
    </row>
    <row r="2860" customFormat="false" ht="15" hidden="false" customHeight="false" outlineLevel="0" collapsed="false">
      <c r="A2860" s="39" t="s">
        <v>2903</v>
      </c>
      <c r="B2860" s="40" t="n">
        <v>46004</v>
      </c>
      <c r="C2860" s="39" t="s">
        <v>177</v>
      </c>
      <c r="D2860" s="39" t="n">
        <v>8</v>
      </c>
      <c r="E2860" s="41" t="n">
        <v>43.61</v>
      </c>
      <c r="F2860" s="39" t="s">
        <v>115</v>
      </c>
      <c r="G2860" s="39" t="str">
        <f aca="false">UPPER(TRIM(C2860))</f>
        <v>P014</v>
      </c>
      <c r="H2860" s="39" t="str">
        <f aca="false">IF(ISNUMBER(MATCH(G2860,Products!$A$5:$A$24,0)),"OK","Mismatch")</f>
        <v>OK</v>
      </c>
      <c r="I2860" s="39" t="str">
        <f aca="false">IF(COUNTIF($A$5:A2860,A2860)&gt;1,"Duplicate","Unique")</f>
        <v>Unique</v>
      </c>
      <c r="J2860" s="39" t="str">
        <f aca="false">IF(I2860="Duplicate","Remove",IF(H2860="Mismatch","Exclude","Keep"))</f>
        <v>Keep</v>
      </c>
    </row>
    <row r="2861" customFormat="false" ht="15" hidden="false" customHeight="false" outlineLevel="0" collapsed="false">
      <c r="A2861" s="39" t="s">
        <v>2904</v>
      </c>
      <c r="B2861" s="40" t="n">
        <v>46004</v>
      </c>
      <c r="C2861" s="39" t="s">
        <v>133</v>
      </c>
      <c r="D2861" s="39" t="n">
        <v>1</v>
      </c>
      <c r="E2861" s="41" t="n">
        <v>8.65</v>
      </c>
      <c r="F2861" s="39" t="s">
        <v>118</v>
      </c>
      <c r="G2861" s="39" t="str">
        <f aca="false">UPPER(TRIM(C2861))</f>
        <v>P019</v>
      </c>
      <c r="H2861" s="39" t="str">
        <f aca="false">IF(ISNUMBER(MATCH(G2861,Products!$A$5:$A$24,0)),"OK","Mismatch")</f>
        <v>OK</v>
      </c>
      <c r="I2861" s="39" t="str">
        <f aca="false">IF(COUNTIF($A$5:A2861,A2861)&gt;1,"Duplicate","Unique")</f>
        <v>Unique</v>
      </c>
      <c r="J2861" s="39" t="str">
        <f aca="false">IF(I2861="Duplicate","Remove",IF(H2861="Mismatch","Exclude","Keep"))</f>
        <v>Keep</v>
      </c>
    </row>
    <row r="2862" customFormat="false" ht="15" hidden="false" customHeight="false" outlineLevel="0" collapsed="false">
      <c r="A2862" s="39" t="s">
        <v>2905</v>
      </c>
      <c r="B2862" s="40" t="n">
        <v>46004</v>
      </c>
      <c r="C2862" s="39" t="s">
        <v>110</v>
      </c>
      <c r="D2862" s="39" t="n">
        <v>1</v>
      </c>
      <c r="E2862" s="41" t="n">
        <v>13.84</v>
      </c>
      <c r="F2862" s="39" t="s">
        <v>118</v>
      </c>
      <c r="G2862" s="39" t="str">
        <f aca="false">UPPER(TRIM(C2862))</f>
        <v>P016</v>
      </c>
      <c r="H2862" s="39" t="str">
        <f aca="false">IF(ISNUMBER(MATCH(G2862,Products!$A$5:$A$24,0)),"OK","Mismatch")</f>
        <v>OK</v>
      </c>
      <c r="I2862" s="39" t="str">
        <f aca="false">IF(COUNTIF($A$5:A2862,A2862)&gt;1,"Duplicate","Unique")</f>
        <v>Unique</v>
      </c>
      <c r="J2862" s="39" t="str">
        <f aca="false">IF(I2862="Duplicate","Remove",IF(H2862="Mismatch","Exclude","Keep"))</f>
        <v>Keep</v>
      </c>
    </row>
    <row r="2863" customFormat="false" ht="15" hidden="false" customHeight="false" outlineLevel="0" collapsed="false">
      <c r="A2863" s="39" t="s">
        <v>2906</v>
      </c>
      <c r="B2863" s="40" t="n">
        <v>46004</v>
      </c>
      <c r="C2863" s="39" t="s">
        <v>107</v>
      </c>
      <c r="D2863" s="39" t="n">
        <v>3</v>
      </c>
      <c r="E2863" s="41" t="n">
        <v>34.03</v>
      </c>
      <c r="F2863" s="39" t="s">
        <v>118</v>
      </c>
      <c r="G2863" s="39" t="str">
        <f aca="false">UPPER(TRIM(C2863))</f>
        <v>P003</v>
      </c>
      <c r="H2863" s="39" t="str">
        <f aca="false">IF(ISNUMBER(MATCH(G2863,Products!$A$5:$A$24,0)),"OK","Mismatch")</f>
        <v>OK</v>
      </c>
      <c r="I2863" s="39" t="str">
        <f aca="false">IF(COUNTIF($A$5:A2863,A2863)&gt;1,"Duplicate","Unique")</f>
        <v>Unique</v>
      </c>
      <c r="J2863" s="39" t="str">
        <f aca="false">IF(I2863="Duplicate","Remove",IF(H2863="Mismatch","Exclude","Keep"))</f>
        <v>Keep</v>
      </c>
    </row>
    <row r="2864" customFormat="false" ht="15" hidden="false" customHeight="false" outlineLevel="0" collapsed="false">
      <c r="A2864" s="39" t="s">
        <v>2907</v>
      </c>
      <c r="B2864" s="40" t="n">
        <v>46004</v>
      </c>
      <c r="C2864" s="39" t="s">
        <v>3195</v>
      </c>
      <c r="D2864" s="39" t="n">
        <v>4</v>
      </c>
      <c r="E2864" s="41" t="n">
        <v>8.96</v>
      </c>
      <c r="F2864" s="39" t="s">
        <v>105</v>
      </c>
      <c r="G2864" s="39" t="str">
        <f aca="false">UPPER(TRIM(C2864))</f>
        <v>P011</v>
      </c>
      <c r="H2864" s="39" t="str">
        <f aca="false">IF(ISNUMBER(MATCH(G2864,Products!$A$5:$A$24,0)),"OK","Mismatch")</f>
        <v>OK</v>
      </c>
      <c r="I2864" s="39" t="str">
        <f aca="false">IF(COUNTIF($A$5:A2864,A2864)&gt;1,"Duplicate","Unique")</f>
        <v>Unique</v>
      </c>
      <c r="J2864" s="39" t="str">
        <f aca="false">IF(I2864="Duplicate","Remove",IF(H2864="Mismatch","Exclude","Keep"))</f>
        <v>Keep</v>
      </c>
    </row>
    <row r="2865" customFormat="false" ht="15" hidden="false" customHeight="false" outlineLevel="0" collapsed="false">
      <c r="A2865" s="39" t="s">
        <v>2908</v>
      </c>
      <c r="B2865" s="40" t="n">
        <v>46004</v>
      </c>
      <c r="C2865" s="39" t="s">
        <v>169</v>
      </c>
      <c r="D2865" s="39" t="n">
        <v>2</v>
      </c>
      <c r="E2865" s="41" t="n">
        <v>27.25</v>
      </c>
      <c r="F2865" s="39" t="s">
        <v>105</v>
      </c>
      <c r="G2865" s="39" t="str">
        <f aca="false">UPPER(TRIM(C2865))</f>
        <v>P004</v>
      </c>
      <c r="H2865" s="39" t="str">
        <f aca="false">IF(ISNUMBER(MATCH(G2865,Products!$A$5:$A$24,0)),"OK","Mismatch")</f>
        <v>OK</v>
      </c>
      <c r="I2865" s="39" t="str">
        <f aca="false">IF(COUNTIF($A$5:A2865,A2865)&gt;1,"Duplicate","Unique")</f>
        <v>Unique</v>
      </c>
      <c r="J2865" s="39" t="str">
        <f aca="false">IF(I2865="Duplicate","Remove",IF(H2865="Mismatch","Exclude","Keep"))</f>
        <v>Keep</v>
      </c>
    </row>
    <row r="2866" customFormat="false" ht="15" hidden="false" customHeight="false" outlineLevel="0" collapsed="false">
      <c r="A2866" s="39" t="s">
        <v>2909</v>
      </c>
      <c r="B2866" s="40" t="n">
        <v>46004</v>
      </c>
      <c r="C2866" s="39" t="s">
        <v>117</v>
      </c>
      <c r="D2866" s="39" t="n">
        <v>1</v>
      </c>
      <c r="E2866" s="41" t="n">
        <v>30.65</v>
      </c>
      <c r="F2866" s="39" t="s">
        <v>105</v>
      </c>
      <c r="G2866" s="39" t="str">
        <f aca="false">UPPER(TRIM(C2866))</f>
        <v>P009</v>
      </c>
      <c r="H2866" s="39" t="str">
        <f aca="false">IF(ISNUMBER(MATCH(G2866,Products!$A$5:$A$24,0)),"OK","Mismatch")</f>
        <v>OK</v>
      </c>
      <c r="I2866" s="39" t="str">
        <f aca="false">IF(COUNTIF($A$5:A2866,A2866)&gt;1,"Duplicate","Unique")</f>
        <v>Unique</v>
      </c>
      <c r="J2866" s="39" t="str">
        <f aca="false">IF(I2866="Duplicate","Remove",IF(H2866="Mismatch","Exclude","Keep"))</f>
        <v>Keep</v>
      </c>
    </row>
    <row r="2867" customFormat="false" ht="15" hidden="false" customHeight="false" outlineLevel="0" collapsed="false">
      <c r="A2867" s="39" t="s">
        <v>2910</v>
      </c>
      <c r="B2867" s="40" t="n">
        <v>46004</v>
      </c>
      <c r="C2867" s="39" t="s">
        <v>104</v>
      </c>
      <c r="D2867" s="39" t="n">
        <v>1</v>
      </c>
      <c r="E2867" s="41" t="n">
        <v>14.91</v>
      </c>
      <c r="F2867" s="39" t="s">
        <v>118</v>
      </c>
      <c r="G2867" s="39" t="str">
        <f aca="false">UPPER(TRIM(C2867))</f>
        <v>P015</v>
      </c>
      <c r="H2867" s="39" t="str">
        <f aca="false">IF(ISNUMBER(MATCH(G2867,Products!$A$5:$A$24,0)),"OK","Mismatch")</f>
        <v>OK</v>
      </c>
      <c r="I2867" s="39" t="str">
        <f aca="false">IF(COUNTIF($A$5:A2867,A2867)&gt;1,"Duplicate","Unique")</f>
        <v>Unique</v>
      </c>
      <c r="J2867" s="39" t="str">
        <f aca="false">IF(I2867="Duplicate","Remove",IF(H2867="Mismatch","Exclude","Keep"))</f>
        <v>Keep</v>
      </c>
    </row>
    <row r="2868" customFormat="false" ht="15" hidden="false" customHeight="false" outlineLevel="0" collapsed="false">
      <c r="A2868" s="39" t="s">
        <v>2911</v>
      </c>
      <c r="B2868" s="40" t="n">
        <v>46004</v>
      </c>
      <c r="C2868" s="39" t="s">
        <v>128</v>
      </c>
      <c r="D2868" s="39" t="n">
        <v>2</v>
      </c>
      <c r="E2868" s="41" t="n">
        <v>36.37</v>
      </c>
      <c r="F2868" s="39" t="s">
        <v>105</v>
      </c>
      <c r="G2868" s="39" t="str">
        <f aca="false">UPPER(TRIM(C2868))</f>
        <v>P020</v>
      </c>
      <c r="H2868" s="39" t="str">
        <f aca="false">IF(ISNUMBER(MATCH(G2868,Products!$A$5:$A$24,0)),"OK","Mismatch")</f>
        <v>OK</v>
      </c>
      <c r="I2868" s="39" t="str">
        <f aca="false">IF(COUNTIF($A$5:A2868,A2868)&gt;1,"Duplicate","Unique")</f>
        <v>Unique</v>
      </c>
      <c r="J2868" s="39" t="str">
        <f aca="false">IF(I2868="Duplicate","Remove",IF(H2868="Mismatch","Exclude","Keep"))</f>
        <v>Keep</v>
      </c>
    </row>
    <row r="2869" customFormat="false" ht="15" hidden="false" customHeight="false" outlineLevel="0" collapsed="false">
      <c r="A2869" s="39" t="s">
        <v>2912</v>
      </c>
      <c r="B2869" s="40" t="n">
        <v>46004</v>
      </c>
      <c r="C2869" s="39" t="s">
        <v>133</v>
      </c>
      <c r="D2869" s="39" t="n">
        <v>2</v>
      </c>
      <c r="E2869" s="41" t="n">
        <v>8.52</v>
      </c>
      <c r="F2869" s="39" t="s">
        <v>115</v>
      </c>
      <c r="G2869" s="39" t="str">
        <f aca="false">UPPER(TRIM(C2869))</f>
        <v>P019</v>
      </c>
      <c r="H2869" s="39" t="str">
        <f aca="false">IF(ISNUMBER(MATCH(G2869,Products!$A$5:$A$24,0)),"OK","Mismatch")</f>
        <v>OK</v>
      </c>
      <c r="I2869" s="39" t="str">
        <f aca="false">IF(COUNTIF($A$5:A2869,A2869)&gt;1,"Duplicate","Unique")</f>
        <v>Unique</v>
      </c>
      <c r="J2869" s="39" t="str">
        <f aca="false">IF(I2869="Duplicate","Remove",IF(H2869="Mismatch","Exclude","Keep"))</f>
        <v>Keep</v>
      </c>
    </row>
    <row r="2870" customFormat="false" ht="15" hidden="false" customHeight="false" outlineLevel="0" collapsed="false">
      <c r="A2870" s="39" t="s">
        <v>2913</v>
      </c>
      <c r="B2870" s="40" t="n">
        <v>46004</v>
      </c>
      <c r="C2870" s="39" t="s">
        <v>126</v>
      </c>
      <c r="D2870" s="39" t="n">
        <v>2</v>
      </c>
      <c r="E2870" s="41" t="n">
        <v>23.91</v>
      </c>
      <c r="F2870" s="39" t="s">
        <v>105</v>
      </c>
      <c r="G2870" s="39" t="str">
        <f aca="false">UPPER(TRIM(C2870))</f>
        <v>P001</v>
      </c>
      <c r="H2870" s="39" t="str">
        <f aca="false">IF(ISNUMBER(MATCH(G2870,Products!$A$5:$A$24,0)),"OK","Mismatch")</f>
        <v>OK</v>
      </c>
      <c r="I2870" s="39" t="str">
        <f aca="false">IF(COUNTIF($A$5:A2870,A2870)&gt;1,"Duplicate","Unique")</f>
        <v>Unique</v>
      </c>
      <c r="J2870" s="39" t="str">
        <f aca="false">IF(I2870="Duplicate","Remove",IF(H2870="Mismatch","Exclude","Keep"))</f>
        <v>Keep</v>
      </c>
    </row>
    <row r="2871" customFormat="false" ht="15" hidden="false" customHeight="false" outlineLevel="0" collapsed="false">
      <c r="A2871" s="39" t="s">
        <v>2913</v>
      </c>
      <c r="B2871" s="40" t="n">
        <v>46004</v>
      </c>
      <c r="C2871" s="39" t="s">
        <v>126</v>
      </c>
      <c r="D2871" s="39" t="n">
        <v>2</v>
      </c>
      <c r="E2871" s="41" t="n">
        <v>23.91</v>
      </c>
      <c r="F2871" s="39" t="s">
        <v>105</v>
      </c>
      <c r="G2871" s="39" t="str">
        <f aca="false">UPPER(TRIM(C2871))</f>
        <v>P001</v>
      </c>
      <c r="H2871" s="39" t="str">
        <f aca="false">IF(ISNUMBER(MATCH(G2871,Products!$A$5:$A$24,0)),"OK","Mismatch")</f>
        <v>OK</v>
      </c>
      <c r="I2871" s="39" t="str">
        <f aca="false">IF(COUNTIF($A$5:A2871,A2871)&gt;1,"Duplicate","Unique")</f>
        <v>Duplicate</v>
      </c>
      <c r="J2871" s="39" t="str">
        <f aca="false">IF(I2871="Duplicate","Remove",IF(H2871="Mismatch","Exclude","Keep"))</f>
        <v>Remove</v>
      </c>
    </row>
    <row r="2872" customFormat="false" ht="15" hidden="false" customHeight="false" outlineLevel="0" collapsed="false">
      <c r="A2872" s="39" t="s">
        <v>2914</v>
      </c>
      <c r="B2872" s="40" t="n">
        <v>46004</v>
      </c>
      <c r="C2872" s="39" t="s">
        <v>114</v>
      </c>
      <c r="D2872" s="39" t="n">
        <v>2</v>
      </c>
      <c r="E2872" s="41" t="n">
        <v>5.99</v>
      </c>
      <c r="F2872" s="39" t="s">
        <v>115</v>
      </c>
      <c r="G2872" s="39" t="str">
        <f aca="false">UPPER(TRIM(C2872))</f>
        <v>P012</v>
      </c>
      <c r="H2872" s="39" t="str">
        <f aca="false">IF(ISNUMBER(MATCH(G2872,Products!$A$5:$A$24,0)),"OK","Mismatch")</f>
        <v>OK</v>
      </c>
      <c r="I2872" s="39" t="str">
        <f aca="false">IF(COUNTIF($A$5:A2872,A2872)&gt;1,"Duplicate","Unique")</f>
        <v>Unique</v>
      </c>
      <c r="J2872" s="39" t="str">
        <f aca="false">IF(I2872="Duplicate","Remove",IF(H2872="Mismatch","Exclude","Keep"))</f>
        <v>Keep</v>
      </c>
    </row>
    <row r="2873" customFormat="false" ht="15" hidden="false" customHeight="false" outlineLevel="0" collapsed="false">
      <c r="A2873" s="39" t="s">
        <v>2915</v>
      </c>
      <c r="B2873" s="40" t="n">
        <v>46005</v>
      </c>
      <c r="C2873" s="39" t="s">
        <v>104</v>
      </c>
      <c r="D2873" s="39" t="n">
        <v>3</v>
      </c>
      <c r="E2873" s="41" t="n">
        <v>14.97</v>
      </c>
      <c r="F2873" s="39" t="s">
        <v>118</v>
      </c>
      <c r="G2873" s="39" t="str">
        <f aca="false">UPPER(TRIM(C2873))</f>
        <v>P015</v>
      </c>
      <c r="H2873" s="39" t="str">
        <f aca="false">IF(ISNUMBER(MATCH(G2873,Products!$A$5:$A$24,0)),"OK","Mismatch")</f>
        <v>OK</v>
      </c>
      <c r="I2873" s="39" t="str">
        <f aca="false">IF(COUNTIF($A$5:A2873,A2873)&gt;1,"Duplicate","Unique")</f>
        <v>Unique</v>
      </c>
      <c r="J2873" s="39" t="str">
        <f aca="false">IF(I2873="Duplicate","Remove",IF(H2873="Mismatch","Exclude","Keep"))</f>
        <v>Keep</v>
      </c>
    </row>
    <row r="2874" customFormat="false" ht="15" hidden="false" customHeight="false" outlineLevel="0" collapsed="false">
      <c r="A2874" s="39" t="s">
        <v>2916</v>
      </c>
      <c r="B2874" s="40" t="n">
        <v>46005</v>
      </c>
      <c r="C2874" s="39" t="s">
        <v>144</v>
      </c>
      <c r="D2874" s="39" t="n">
        <v>1</v>
      </c>
      <c r="E2874" s="41" t="n">
        <v>57.93</v>
      </c>
      <c r="F2874" s="39" t="s">
        <v>105</v>
      </c>
      <c r="G2874" s="39" t="str">
        <f aca="false">UPPER(TRIM(C2874))</f>
        <v>P013</v>
      </c>
      <c r="H2874" s="39" t="str">
        <f aca="false">IF(ISNUMBER(MATCH(G2874,Products!$A$5:$A$24,0)),"OK","Mismatch")</f>
        <v>OK</v>
      </c>
      <c r="I2874" s="39" t="str">
        <f aca="false">IF(COUNTIF($A$5:A2874,A2874)&gt;1,"Duplicate","Unique")</f>
        <v>Unique</v>
      </c>
      <c r="J2874" s="39" t="str">
        <f aca="false">IF(I2874="Duplicate","Remove",IF(H2874="Mismatch","Exclude","Keep"))</f>
        <v>Keep</v>
      </c>
    </row>
    <row r="2875" customFormat="false" ht="15" hidden="false" customHeight="false" outlineLevel="0" collapsed="false">
      <c r="A2875" s="39" t="s">
        <v>2917</v>
      </c>
      <c r="B2875" s="40" t="n">
        <v>46005</v>
      </c>
      <c r="C2875" s="39" t="s">
        <v>183</v>
      </c>
      <c r="D2875" s="39" t="n">
        <v>1</v>
      </c>
      <c r="E2875" s="41" t="n">
        <v>177.61</v>
      </c>
      <c r="F2875" s="39" t="s">
        <v>108</v>
      </c>
      <c r="G2875" s="39" t="str">
        <f aca="false">UPPER(TRIM(C2875))</f>
        <v>P007</v>
      </c>
      <c r="H2875" s="39" t="str">
        <f aca="false">IF(ISNUMBER(MATCH(G2875,Products!$A$5:$A$24,0)),"OK","Mismatch")</f>
        <v>OK</v>
      </c>
      <c r="I2875" s="39" t="str">
        <f aca="false">IF(COUNTIF($A$5:A2875,A2875)&gt;1,"Duplicate","Unique")</f>
        <v>Unique</v>
      </c>
      <c r="J2875" s="39" t="str">
        <f aca="false">IF(I2875="Duplicate","Remove",IF(H2875="Mismatch","Exclude","Keep"))</f>
        <v>Keep</v>
      </c>
    </row>
    <row r="2876" customFormat="false" ht="15" hidden="false" customHeight="false" outlineLevel="0" collapsed="false">
      <c r="A2876" s="39" t="s">
        <v>2918</v>
      </c>
      <c r="B2876" s="40" t="n">
        <v>46005</v>
      </c>
      <c r="C2876" s="39" t="s">
        <v>130</v>
      </c>
      <c r="D2876" s="39" t="n">
        <v>1</v>
      </c>
      <c r="E2876" s="41" t="n">
        <v>8.45</v>
      </c>
      <c r="F2876" s="39" t="s">
        <v>105</v>
      </c>
      <c r="G2876" s="39" t="str">
        <f aca="false">UPPER(TRIM(C2876))</f>
        <v>P011</v>
      </c>
      <c r="H2876" s="39" t="str">
        <f aca="false">IF(ISNUMBER(MATCH(G2876,Products!$A$5:$A$24,0)),"OK","Mismatch")</f>
        <v>OK</v>
      </c>
      <c r="I2876" s="39" t="str">
        <f aca="false">IF(COUNTIF($A$5:A2876,A2876)&gt;1,"Duplicate","Unique")</f>
        <v>Unique</v>
      </c>
      <c r="J2876" s="39" t="str">
        <f aca="false">IF(I2876="Duplicate","Remove",IF(H2876="Mismatch","Exclude","Keep"))</f>
        <v>Keep</v>
      </c>
    </row>
    <row r="2877" customFormat="false" ht="15" hidden="false" customHeight="false" outlineLevel="0" collapsed="false">
      <c r="A2877" s="39" t="s">
        <v>2919</v>
      </c>
      <c r="B2877" s="40" t="n">
        <v>46005</v>
      </c>
      <c r="C2877" s="39" t="s">
        <v>107</v>
      </c>
      <c r="D2877" s="39" t="n">
        <v>2</v>
      </c>
      <c r="E2877" s="41" t="n">
        <v>34.14</v>
      </c>
      <c r="F2877" s="39" t="s">
        <v>105</v>
      </c>
      <c r="G2877" s="39" t="str">
        <f aca="false">UPPER(TRIM(C2877))</f>
        <v>P003</v>
      </c>
      <c r="H2877" s="39" t="str">
        <f aca="false">IF(ISNUMBER(MATCH(G2877,Products!$A$5:$A$24,0)),"OK","Mismatch")</f>
        <v>OK</v>
      </c>
      <c r="I2877" s="39" t="str">
        <f aca="false">IF(COUNTIF($A$5:A2877,A2877)&gt;1,"Duplicate","Unique")</f>
        <v>Unique</v>
      </c>
      <c r="J2877" s="39" t="str">
        <f aca="false">IF(I2877="Duplicate","Remove",IF(H2877="Mismatch","Exclude","Keep"))</f>
        <v>Keep</v>
      </c>
    </row>
    <row r="2878" customFormat="false" ht="15" hidden="false" customHeight="false" outlineLevel="0" collapsed="false">
      <c r="A2878" s="39" t="s">
        <v>2920</v>
      </c>
      <c r="B2878" s="40" t="n">
        <v>46005</v>
      </c>
      <c r="C2878" s="39" t="s">
        <v>117</v>
      </c>
      <c r="D2878" s="39" t="n">
        <v>2</v>
      </c>
      <c r="E2878" s="41" t="n">
        <v>30.83</v>
      </c>
      <c r="F2878" s="39" t="s">
        <v>118</v>
      </c>
      <c r="G2878" s="39" t="str">
        <f aca="false">UPPER(TRIM(C2878))</f>
        <v>P009</v>
      </c>
      <c r="H2878" s="39" t="str">
        <f aca="false">IF(ISNUMBER(MATCH(G2878,Products!$A$5:$A$24,0)),"OK","Mismatch")</f>
        <v>OK</v>
      </c>
      <c r="I2878" s="39" t="str">
        <f aca="false">IF(COUNTIF($A$5:A2878,A2878)&gt;1,"Duplicate","Unique")</f>
        <v>Unique</v>
      </c>
      <c r="J2878" s="39" t="str">
        <f aca="false">IF(I2878="Duplicate","Remove",IF(H2878="Mismatch","Exclude","Keep"))</f>
        <v>Keep</v>
      </c>
    </row>
    <row r="2879" customFormat="false" ht="15" hidden="false" customHeight="false" outlineLevel="0" collapsed="false">
      <c r="A2879" s="39" t="s">
        <v>2921</v>
      </c>
      <c r="B2879" s="40" t="n">
        <v>46005</v>
      </c>
      <c r="C2879" s="39" t="s">
        <v>126</v>
      </c>
      <c r="D2879" s="39" t="n">
        <v>2</v>
      </c>
      <c r="E2879" s="41" t="n">
        <v>23.31</v>
      </c>
      <c r="F2879" s="39" t="s">
        <v>108</v>
      </c>
      <c r="G2879" s="39" t="str">
        <f aca="false">UPPER(TRIM(C2879))</f>
        <v>P001</v>
      </c>
      <c r="H2879" s="39" t="str">
        <f aca="false">IF(ISNUMBER(MATCH(G2879,Products!$A$5:$A$24,0)),"OK","Mismatch")</f>
        <v>OK</v>
      </c>
      <c r="I2879" s="39" t="str">
        <f aca="false">IF(COUNTIF($A$5:A2879,A2879)&gt;1,"Duplicate","Unique")</f>
        <v>Unique</v>
      </c>
      <c r="J2879" s="39" t="str">
        <f aca="false">IF(I2879="Duplicate","Remove",IF(H2879="Mismatch","Exclude","Keep"))</f>
        <v>Keep</v>
      </c>
    </row>
    <row r="2880" customFormat="false" ht="15" hidden="false" customHeight="false" outlineLevel="0" collapsed="false">
      <c r="A2880" s="39" t="s">
        <v>2922</v>
      </c>
      <c r="B2880" s="40" t="n">
        <v>46005</v>
      </c>
      <c r="C2880" s="39" t="s">
        <v>110</v>
      </c>
      <c r="D2880" s="39" t="n">
        <v>3</v>
      </c>
      <c r="E2880" s="41" t="n">
        <v>13.44</v>
      </c>
      <c r="F2880" s="39" t="s">
        <v>105</v>
      </c>
      <c r="G2880" s="39" t="str">
        <f aca="false">UPPER(TRIM(C2880))</f>
        <v>P016</v>
      </c>
      <c r="H2880" s="39" t="str">
        <f aca="false">IF(ISNUMBER(MATCH(G2880,Products!$A$5:$A$24,0)),"OK","Mismatch")</f>
        <v>OK</v>
      </c>
      <c r="I2880" s="39" t="str">
        <f aca="false">IF(COUNTIF($A$5:A2880,A2880)&gt;1,"Duplicate","Unique")</f>
        <v>Unique</v>
      </c>
      <c r="J2880" s="39" t="str">
        <f aca="false">IF(I2880="Duplicate","Remove",IF(H2880="Mismatch","Exclude","Keep"))</f>
        <v>Keep</v>
      </c>
    </row>
    <row r="2881" customFormat="false" ht="15" hidden="false" customHeight="false" outlineLevel="0" collapsed="false">
      <c r="A2881" s="39" t="s">
        <v>2923</v>
      </c>
      <c r="B2881" s="40" t="n">
        <v>46005</v>
      </c>
      <c r="C2881" s="39" t="s">
        <v>104</v>
      </c>
      <c r="D2881" s="39" t="n">
        <v>1</v>
      </c>
      <c r="E2881" s="41" t="n">
        <v>15.87</v>
      </c>
      <c r="F2881" s="39" t="s">
        <v>105</v>
      </c>
      <c r="G2881" s="39" t="str">
        <f aca="false">UPPER(TRIM(C2881))</f>
        <v>P015</v>
      </c>
      <c r="H2881" s="39" t="str">
        <f aca="false">IF(ISNUMBER(MATCH(G2881,Products!$A$5:$A$24,0)),"OK","Mismatch")</f>
        <v>OK</v>
      </c>
      <c r="I2881" s="39" t="str">
        <f aca="false">IF(COUNTIF($A$5:A2881,A2881)&gt;1,"Duplicate","Unique")</f>
        <v>Unique</v>
      </c>
      <c r="J2881" s="39" t="str">
        <f aca="false">IF(I2881="Duplicate","Remove",IF(H2881="Mismatch","Exclude","Keep"))</f>
        <v>Keep</v>
      </c>
    </row>
    <row r="2882" customFormat="false" ht="15" hidden="false" customHeight="false" outlineLevel="0" collapsed="false">
      <c r="A2882" s="39" t="s">
        <v>2924</v>
      </c>
      <c r="B2882" s="40" t="n">
        <v>46005</v>
      </c>
      <c r="C2882" s="39" t="s">
        <v>144</v>
      </c>
      <c r="D2882" s="39" t="n">
        <v>4</v>
      </c>
      <c r="E2882" s="41" t="n">
        <v>58.05</v>
      </c>
      <c r="F2882" s="39" t="s">
        <v>108</v>
      </c>
      <c r="G2882" s="39" t="str">
        <f aca="false">UPPER(TRIM(C2882))</f>
        <v>P013</v>
      </c>
      <c r="H2882" s="39" t="str">
        <f aca="false">IF(ISNUMBER(MATCH(G2882,Products!$A$5:$A$24,0)),"OK","Mismatch")</f>
        <v>OK</v>
      </c>
      <c r="I2882" s="39" t="str">
        <f aca="false">IF(COUNTIF($A$5:A2882,A2882)&gt;1,"Duplicate","Unique")</f>
        <v>Unique</v>
      </c>
      <c r="J2882" s="39" t="str">
        <f aca="false">IF(I2882="Duplicate","Remove",IF(H2882="Mismatch","Exclude","Keep"))</f>
        <v>Keep</v>
      </c>
    </row>
    <row r="2883" customFormat="false" ht="15" hidden="false" customHeight="false" outlineLevel="0" collapsed="false">
      <c r="A2883" s="39" t="s">
        <v>2925</v>
      </c>
      <c r="B2883" s="40" t="n">
        <v>46005</v>
      </c>
      <c r="C2883" s="39" t="s">
        <v>136</v>
      </c>
      <c r="D2883" s="39" t="n">
        <v>2</v>
      </c>
      <c r="E2883" s="41" t="n">
        <v>76.98</v>
      </c>
      <c r="F2883" s="39" t="s">
        <v>108</v>
      </c>
      <c r="G2883" s="39" t="str">
        <f aca="false">UPPER(TRIM(C2883))</f>
        <v>P002</v>
      </c>
      <c r="H2883" s="39" t="str">
        <f aca="false">IF(ISNUMBER(MATCH(G2883,Products!$A$5:$A$24,0)),"OK","Mismatch")</f>
        <v>OK</v>
      </c>
      <c r="I2883" s="39" t="str">
        <f aca="false">IF(COUNTIF($A$5:A2883,A2883)&gt;1,"Duplicate","Unique")</f>
        <v>Unique</v>
      </c>
      <c r="J2883" s="39" t="str">
        <f aca="false">IF(I2883="Duplicate","Remove",IF(H2883="Mismatch","Exclude","Keep"))</f>
        <v>Keep</v>
      </c>
    </row>
    <row r="2884" customFormat="false" ht="15" hidden="false" customHeight="false" outlineLevel="0" collapsed="false">
      <c r="A2884" s="39" t="s">
        <v>2926</v>
      </c>
      <c r="B2884" s="40" t="n">
        <v>46005</v>
      </c>
      <c r="C2884" s="39" t="s">
        <v>3193</v>
      </c>
      <c r="D2884" s="39" t="n">
        <v>2</v>
      </c>
      <c r="E2884" s="41" t="n">
        <v>44.22</v>
      </c>
      <c r="F2884" s="39" t="s">
        <v>118</v>
      </c>
      <c r="G2884" s="39" t="str">
        <f aca="false">UPPER(TRIM(C2884))</f>
        <v>P014</v>
      </c>
      <c r="H2884" s="39" t="str">
        <f aca="false">IF(ISNUMBER(MATCH(G2884,Products!$A$5:$A$24,0)),"OK","Mismatch")</f>
        <v>OK</v>
      </c>
      <c r="I2884" s="39" t="str">
        <f aca="false">IF(COUNTIF($A$5:A2884,A2884)&gt;1,"Duplicate","Unique")</f>
        <v>Unique</v>
      </c>
      <c r="J2884" s="39" t="str">
        <f aca="false">IF(I2884="Duplicate","Remove",IF(H2884="Mismatch","Exclude","Keep"))</f>
        <v>Keep</v>
      </c>
    </row>
    <row r="2885" customFormat="false" ht="15" hidden="false" customHeight="false" outlineLevel="0" collapsed="false">
      <c r="A2885" s="39" t="s">
        <v>2927</v>
      </c>
      <c r="B2885" s="40" t="n">
        <v>46005</v>
      </c>
      <c r="C2885" s="39" t="s">
        <v>133</v>
      </c>
      <c r="D2885" s="39" t="n">
        <v>5</v>
      </c>
      <c r="E2885" s="41" t="n">
        <v>8.94</v>
      </c>
      <c r="F2885" s="39" t="s">
        <v>108</v>
      </c>
      <c r="G2885" s="39" t="str">
        <f aca="false">UPPER(TRIM(C2885))</f>
        <v>P019</v>
      </c>
      <c r="H2885" s="39" t="str">
        <f aca="false">IF(ISNUMBER(MATCH(G2885,Products!$A$5:$A$24,0)),"OK","Mismatch")</f>
        <v>OK</v>
      </c>
      <c r="I2885" s="39" t="str">
        <f aca="false">IF(COUNTIF($A$5:A2885,A2885)&gt;1,"Duplicate","Unique")</f>
        <v>Unique</v>
      </c>
      <c r="J2885" s="39" t="str">
        <f aca="false">IF(I2885="Duplicate","Remove",IF(H2885="Mismatch","Exclude","Keep"))</f>
        <v>Keep</v>
      </c>
    </row>
    <row r="2886" customFormat="false" ht="15" hidden="false" customHeight="false" outlineLevel="0" collapsed="false">
      <c r="A2886" s="39" t="s">
        <v>2928</v>
      </c>
      <c r="B2886" s="40" t="n">
        <v>46005</v>
      </c>
      <c r="C2886" s="39" t="s">
        <v>169</v>
      </c>
      <c r="D2886" s="39" t="n">
        <v>6</v>
      </c>
      <c r="E2886" s="41" t="n">
        <v>27.79</v>
      </c>
      <c r="F2886" s="39" t="s">
        <v>115</v>
      </c>
      <c r="G2886" s="39" t="str">
        <f aca="false">UPPER(TRIM(C2886))</f>
        <v>P004</v>
      </c>
      <c r="H2886" s="39" t="str">
        <f aca="false">IF(ISNUMBER(MATCH(G2886,Products!$A$5:$A$24,0)),"OK","Mismatch")</f>
        <v>OK</v>
      </c>
      <c r="I2886" s="39" t="str">
        <f aca="false">IF(COUNTIF($A$5:A2886,A2886)&gt;1,"Duplicate","Unique")</f>
        <v>Unique</v>
      </c>
      <c r="J2886" s="39" t="str">
        <f aca="false">IF(I2886="Duplicate","Remove",IF(H2886="Mismatch","Exclude","Keep"))</f>
        <v>Keep</v>
      </c>
    </row>
    <row r="2887" customFormat="false" ht="15" hidden="false" customHeight="false" outlineLevel="0" collapsed="false">
      <c r="A2887" s="39" t="s">
        <v>2929</v>
      </c>
      <c r="B2887" s="40" t="n">
        <v>46005</v>
      </c>
      <c r="C2887" s="39" t="s">
        <v>3191</v>
      </c>
      <c r="D2887" s="39" t="n">
        <v>5</v>
      </c>
      <c r="E2887" s="41" t="n">
        <v>13.96</v>
      </c>
      <c r="F2887" s="39" t="s">
        <v>108</v>
      </c>
      <c r="G2887" s="39" t="str">
        <f aca="false">UPPER(TRIM(C2887))</f>
        <v>P016</v>
      </c>
      <c r="H2887" s="39" t="str">
        <f aca="false">IF(ISNUMBER(MATCH(G2887,Products!$A$5:$A$24,0)),"OK","Mismatch")</f>
        <v>OK</v>
      </c>
      <c r="I2887" s="39" t="str">
        <f aca="false">IF(COUNTIF($A$5:A2887,A2887)&gt;1,"Duplicate","Unique")</f>
        <v>Unique</v>
      </c>
      <c r="J2887" s="39" t="str">
        <f aca="false">IF(I2887="Duplicate","Remove",IF(H2887="Mismatch","Exclude","Keep"))</f>
        <v>Keep</v>
      </c>
    </row>
    <row r="2888" customFormat="false" ht="15" hidden="false" customHeight="false" outlineLevel="0" collapsed="false">
      <c r="A2888" s="39" t="s">
        <v>2930</v>
      </c>
      <c r="B2888" s="40" t="n">
        <v>46005</v>
      </c>
      <c r="C2888" s="39" t="s">
        <v>144</v>
      </c>
      <c r="D2888" s="39" t="n">
        <v>1</v>
      </c>
      <c r="E2888" s="41" t="n">
        <v>57.69</v>
      </c>
      <c r="F2888" s="39" t="s">
        <v>115</v>
      </c>
      <c r="G2888" s="39" t="str">
        <f aca="false">UPPER(TRIM(C2888))</f>
        <v>P013</v>
      </c>
      <c r="H2888" s="39" t="str">
        <f aca="false">IF(ISNUMBER(MATCH(G2888,Products!$A$5:$A$24,0)),"OK","Mismatch")</f>
        <v>OK</v>
      </c>
      <c r="I2888" s="39" t="str">
        <f aca="false">IF(COUNTIF($A$5:A2888,A2888)&gt;1,"Duplicate","Unique")</f>
        <v>Unique</v>
      </c>
      <c r="J2888" s="39" t="str">
        <f aca="false">IF(I2888="Duplicate","Remove",IF(H2888="Mismatch","Exclude","Keep"))</f>
        <v>Keep</v>
      </c>
    </row>
    <row r="2889" customFormat="false" ht="15" hidden="false" customHeight="false" outlineLevel="0" collapsed="false">
      <c r="A2889" s="39" t="s">
        <v>2931</v>
      </c>
      <c r="B2889" s="40" t="n">
        <v>46006</v>
      </c>
      <c r="C2889" s="39" t="s">
        <v>169</v>
      </c>
      <c r="D2889" s="39" t="n">
        <v>3</v>
      </c>
      <c r="E2889" s="41" t="n">
        <v>28.24</v>
      </c>
      <c r="F2889" s="39" t="s">
        <v>105</v>
      </c>
      <c r="G2889" s="39" t="str">
        <f aca="false">UPPER(TRIM(C2889))</f>
        <v>P004</v>
      </c>
      <c r="H2889" s="39" t="str">
        <f aca="false">IF(ISNUMBER(MATCH(G2889,Products!$A$5:$A$24,0)),"OK","Mismatch")</f>
        <v>OK</v>
      </c>
      <c r="I2889" s="39" t="str">
        <f aca="false">IF(COUNTIF($A$5:A2889,A2889)&gt;1,"Duplicate","Unique")</f>
        <v>Unique</v>
      </c>
      <c r="J2889" s="39" t="str">
        <f aca="false">IF(I2889="Duplicate","Remove",IF(H2889="Mismatch","Exclude","Keep"))</f>
        <v>Keep</v>
      </c>
    </row>
    <row r="2890" customFormat="false" ht="15" hidden="false" customHeight="false" outlineLevel="0" collapsed="false">
      <c r="A2890" s="39" t="s">
        <v>2931</v>
      </c>
      <c r="B2890" s="40" t="n">
        <v>46006</v>
      </c>
      <c r="C2890" s="39" t="s">
        <v>169</v>
      </c>
      <c r="D2890" s="39" t="n">
        <v>3</v>
      </c>
      <c r="E2890" s="41" t="n">
        <v>28.24</v>
      </c>
      <c r="F2890" s="39" t="s">
        <v>105</v>
      </c>
      <c r="G2890" s="39" t="str">
        <f aca="false">UPPER(TRIM(C2890))</f>
        <v>P004</v>
      </c>
      <c r="H2890" s="39" t="str">
        <f aca="false">IF(ISNUMBER(MATCH(G2890,Products!$A$5:$A$24,0)),"OK","Mismatch")</f>
        <v>OK</v>
      </c>
      <c r="I2890" s="39" t="str">
        <f aca="false">IF(COUNTIF($A$5:A2890,A2890)&gt;1,"Duplicate","Unique")</f>
        <v>Duplicate</v>
      </c>
      <c r="J2890" s="39" t="str">
        <f aca="false">IF(I2890="Duplicate","Remove",IF(H2890="Mismatch","Exclude","Keep"))</f>
        <v>Remove</v>
      </c>
    </row>
    <row r="2891" customFormat="false" ht="15" hidden="false" customHeight="false" outlineLevel="0" collapsed="false">
      <c r="A2891" s="39" t="s">
        <v>2932</v>
      </c>
      <c r="B2891" s="40" t="n">
        <v>46006</v>
      </c>
      <c r="C2891" s="39" t="s">
        <v>130</v>
      </c>
      <c r="D2891" s="39" t="n">
        <v>1</v>
      </c>
      <c r="E2891" s="41" t="n">
        <v>8.71</v>
      </c>
      <c r="F2891" s="39" t="s">
        <v>105</v>
      </c>
      <c r="G2891" s="39" t="str">
        <f aca="false">UPPER(TRIM(C2891))</f>
        <v>P011</v>
      </c>
      <c r="H2891" s="39" t="str">
        <f aca="false">IF(ISNUMBER(MATCH(G2891,Products!$A$5:$A$24,0)),"OK","Mismatch")</f>
        <v>OK</v>
      </c>
      <c r="I2891" s="39" t="str">
        <f aca="false">IF(COUNTIF($A$5:A2891,A2891)&gt;1,"Duplicate","Unique")</f>
        <v>Unique</v>
      </c>
      <c r="J2891" s="39" t="str">
        <f aca="false">IF(I2891="Duplicate","Remove",IF(H2891="Mismatch","Exclude","Keep"))</f>
        <v>Keep</v>
      </c>
    </row>
    <row r="2892" customFormat="false" ht="15" hidden="false" customHeight="false" outlineLevel="0" collapsed="false">
      <c r="A2892" s="39" t="s">
        <v>2933</v>
      </c>
      <c r="B2892" s="40" t="n">
        <v>46006</v>
      </c>
      <c r="C2892" s="39" t="s">
        <v>114</v>
      </c>
      <c r="D2892" s="39" t="n">
        <v>2</v>
      </c>
      <c r="E2892" s="41" t="n">
        <v>5.62</v>
      </c>
      <c r="F2892" s="39" t="s">
        <v>115</v>
      </c>
      <c r="G2892" s="39" t="str">
        <f aca="false">UPPER(TRIM(C2892))</f>
        <v>P012</v>
      </c>
      <c r="H2892" s="39" t="str">
        <f aca="false">IF(ISNUMBER(MATCH(G2892,Products!$A$5:$A$24,0)),"OK","Mismatch")</f>
        <v>OK</v>
      </c>
      <c r="I2892" s="39" t="str">
        <f aca="false">IF(COUNTIF($A$5:A2892,A2892)&gt;1,"Duplicate","Unique")</f>
        <v>Unique</v>
      </c>
      <c r="J2892" s="39" t="str">
        <f aca="false">IF(I2892="Duplicate","Remove",IF(H2892="Mismatch","Exclude","Keep"))</f>
        <v>Keep</v>
      </c>
    </row>
    <row r="2893" customFormat="false" ht="15" hidden="false" customHeight="false" outlineLevel="0" collapsed="false">
      <c r="A2893" s="39" t="s">
        <v>2934</v>
      </c>
      <c r="B2893" s="40" t="n">
        <v>46006</v>
      </c>
      <c r="C2893" s="39" t="s">
        <v>114</v>
      </c>
      <c r="D2893" s="39" t="n">
        <v>2</v>
      </c>
      <c r="E2893" s="41" t="n">
        <v>5.82</v>
      </c>
      <c r="F2893" s="39" t="s">
        <v>105</v>
      </c>
      <c r="G2893" s="39" t="str">
        <f aca="false">UPPER(TRIM(C2893))</f>
        <v>P012</v>
      </c>
      <c r="H2893" s="39" t="str">
        <f aca="false">IF(ISNUMBER(MATCH(G2893,Products!$A$5:$A$24,0)),"OK","Mismatch")</f>
        <v>OK</v>
      </c>
      <c r="I2893" s="39" t="str">
        <f aca="false">IF(COUNTIF($A$5:A2893,A2893)&gt;1,"Duplicate","Unique")</f>
        <v>Unique</v>
      </c>
      <c r="J2893" s="39" t="str">
        <f aca="false">IF(I2893="Duplicate","Remove",IF(H2893="Mismatch","Exclude","Keep"))</f>
        <v>Keep</v>
      </c>
    </row>
    <row r="2894" customFormat="false" ht="15" hidden="false" customHeight="false" outlineLevel="0" collapsed="false">
      <c r="A2894" s="39" t="s">
        <v>2935</v>
      </c>
      <c r="B2894" s="40" t="n">
        <v>46006</v>
      </c>
      <c r="C2894" s="39" t="s">
        <v>133</v>
      </c>
      <c r="D2894" s="39" t="n">
        <v>3</v>
      </c>
      <c r="E2894" s="41" t="n">
        <v>8.39</v>
      </c>
      <c r="F2894" s="39" t="s">
        <v>108</v>
      </c>
      <c r="G2894" s="39" t="str">
        <f aca="false">UPPER(TRIM(C2894))</f>
        <v>P019</v>
      </c>
      <c r="H2894" s="39" t="str">
        <f aca="false">IF(ISNUMBER(MATCH(G2894,Products!$A$5:$A$24,0)),"OK","Mismatch")</f>
        <v>OK</v>
      </c>
      <c r="I2894" s="39" t="str">
        <f aca="false">IF(COUNTIF($A$5:A2894,A2894)&gt;1,"Duplicate","Unique")</f>
        <v>Unique</v>
      </c>
      <c r="J2894" s="39" t="str">
        <f aca="false">IF(I2894="Duplicate","Remove",IF(H2894="Mismatch","Exclude","Keep"))</f>
        <v>Keep</v>
      </c>
    </row>
    <row r="2895" customFormat="false" ht="15" hidden="false" customHeight="false" outlineLevel="0" collapsed="false">
      <c r="A2895" s="39" t="s">
        <v>2936</v>
      </c>
      <c r="B2895" s="40" t="n">
        <v>46006</v>
      </c>
      <c r="C2895" s="39" t="s">
        <v>130</v>
      </c>
      <c r="D2895" s="39" t="n">
        <v>1</v>
      </c>
      <c r="E2895" s="41" t="n">
        <v>8.59</v>
      </c>
      <c r="F2895" s="39" t="s">
        <v>115</v>
      </c>
      <c r="G2895" s="39" t="str">
        <f aca="false">UPPER(TRIM(C2895))</f>
        <v>P011</v>
      </c>
      <c r="H2895" s="39" t="str">
        <f aca="false">IF(ISNUMBER(MATCH(G2895,Products!$A$5:$A$24,0)),"OK","Mismatch")</f>
        <v>OK</v>
      </c>
      <c r="I2895" s="39" t="str">
        <f aca="false">IF(COUNTIF($A$5:A2895,A2895)&gt;1,"Duplicate","Unique")</f>
        <v>Unique</v>
      </c>
      <c r="J2895" s="39" t="str">
        <f aca="false">IF(I2895="Duplicate","Remove",IF(H2895="Mismatch","Exclude","Keep"))</f>
        <v>Keep</v>
      </c>
    </row>
    <row r="2896" customFormat="false" ht="15" hidden="false" customHeight="false" outlineLevel="0" collapsed="false">
      <c r="A2896" s="39" t="s">
        <v>2937</v>
      </c>
      <c r="B2896" s="40" t="n">
        <v>46006</v>
      </c>
      <c r="C2896" s="39" t="s">
        <v>112</v>
      </c>
      <c r="D2896" s="39" t="n">
        <v>6</v>
      </c>
      <c r="E2896" s="41" t="n">
        <v>53.67</v>
      </c>
      <c r="F2896" s="39" t="s">
        <v>105</v>
      </c>
      <c r="G2896" s="39" t="str">
        <f aca="false">UPPER(TRIM(C2896))</f>
        <v>P005</v>
      </c>
      <c r="H2896" s="39" t="str">
        <f aca="false">IF(ISNUMBER(MATCH(G2896,Products!$A$5:$A$24,0)),"OK","Mismatch")</f>
        <v>OK</v>
      </c>
      <c r="I2896" s="39" t="str">
        <f aca="false">IF(COUNTIF($A$5:A2896,A2896)&gt;1,"Duplicate","Unique")</f>
        <v>Unique</v>
      </c>
      <c r="J2896" s="39" t="str">
        <f aca="false">IF(I2896="Duplicate","Remove",IF(H2896="Mismatch","Exclude","Keep"))</f>
        <v>Keep</v>
      </c>
    </row>
    <row r="2897" customFormat="false" ht="15" hidden="false" customHeight="false" outlineLevel="0" collapsed="false">
      <c r="A2897" s="39" t="s">
        <v>2938</v>
      </c>
      <c r="B2897" s="40" t="n">
        <v>46006</v>
      </c>
      <c r="C2897" s="39" t="s">
        <v>112</v>
      </c>
      <c r="D2897" s="39" t="n">
        <v>2</v>
      </c>
      <c r="E2897" s="41" t="n">
        <v>54.09</v>
      </c>
      <c r="F2897" s="39" t="s">
        <v>118</v>
      </c>
      <c r="G2897" s="39" t="str">
        <f aca="false">UPPER(TRIM(C2897))</f>
        <v>P005</v>
      </c>
      <c r="H2897" s="39" t="str">
        <f aca="false">IF(ISNUMBER(MATCH(G2897,Products!$A$5:$A$24,0)),"OK","Mismatch")</f>
        <v>OK</v>
      </c>
      <c r="I2897" s="39" t="str">
        <f aca="false">IF(COUNTIF($A$5:A2897,A2897)&gt;1,"Duplicate","Unique")</f>
        <v>Unique</v>
      </c>
      <c r="J2897" s="39" t="str">
        <f aca="false">IF(I2897="Duplicate","Remove",IF(H2897="Mismatch","Exclude","Keep"))</f>
        <v>Keep</v>
      </c>
    </row>
    <row r="2898" customFormat="false" ht="15" hidden="false" customHeight="false" outlineLevel="0" collapsed="false">
      <c r="A2898" s="39" t="s">
        <v>2939</v>
      </c>
      <c r="B2898" s="40" t="n">
        <v>46006</v>
      </c>
      <c r="C2898" s="39" t="s">
        <v>110</v>
      </c>
      <c r="D2898" s="39" t="n">
        <v>2</v>
      </c>
      <c r="E2898" s="41" t="n">
        <v>13.22</v>
      </c>
      <c r="F2898" s="39" t="s">
        <v>105</v>
      </c>
      <c r="G2898" s="39" t="str">
        <f aca="false">UPPER(TRIM(C2898))</f>
        <v>P016</v>
      </c>
      <c r="H2898" s="39" t="str">
        <f aca="false">IF(ISNUMBER(MATCH(G2898,Products!$A$5:$A$24,0)),"OK","Mismatch")</f>
        <v>OK</v>
      </c>
      <c r="I2898" s="39" t="str">
        <f aca="false">IF(COUNTIF($A$5:A2898,A2898)&gt;1,"Duplicate","Unique")</f>
        <v>Unique</v>
      </c>
      <c r="J2898" s="39" t="str">
        <f aca="false">IF(I2898="Duplicate","Remove",IF(H2898="Mismatch","Exclude","Keep"))</f>
        <v>Keep</v>
      </c>
    </row>
    <row r="2899" customFormat="false" ht="15" hidden="false" customHeight="false" outlineLevel="0" collapsed="false">
      <c r="A2899" s="39" t="s">
        <v>2940</v>
      </c>
      <c r="B2899" s="40" t="n">
        <v>46006</v>
      </c>
      <c r="C2899" s="39" t="s">
        <v>117</v>
      </c>
      <c r="D2899" s="39" t="n">
        <v>4</v>
      </c>
      <c r="E2899" s="41" t="n">
        <v>30.46</v>
      </c>
      <c r="F2899" s="39" t="s">
        <v>118</v>
      </c>
      <c r="G2899" s="39" t="str">
        <f aca="false">UPPER(TRIM(C2899))</f>
        <v>P009</v>
      </c>
      <c r="H2899" s="39" t="str">
        <f aca="false">IF(ISNUMBER(MATCH(G2899,Products!$A$5:$A$24,0)),"OK","Mismatch")</f>
        <v>OK</v>
      </c>
      <c r="I2899" s="39" t="str">
        <f aca="false">IF(COUNTIF($A$5:A2899,A2899)&gt;1,"Duplicate","Unique")</f>
        <v>Unique</v>
      </c>
      <c r="J2899" s="39" t="str">
        <f aca="false">IF(I2899="Duplicate","Remove",IF(H2899="Mismatch","Exclude","Keep"))</f>
        <v>Keep</v>
      </c>
    </row>
    <row r="2900" customFormat="false" ht="15" hidden="false" customHeight="false" outlineLevel="0" collapsed="false">
      <c r="A2900" s="39" t="s">
        <v>2941</v>
      </c>
      <c r="B2900" s="40" t="n">
        <v>46006</v>
      </c>
      <c r="C2900" s="39" t="s">
        <v>133</v>
      </c>
      <c r="D2900" s="39" t="n">
        <v>1</v>
      </c>
      <c r="E2900" s="41" t="n">
        <v>8.8</v>
      </c>
      <c r="F2900" s="39" t="s">
        <v>108</v>
      </c>
      <c r="G2900" s="39" t="str">
        <f aca="false">UPPER(TRIM(C2900))</f>
        <v>P019</v>
      </c>
      <c r="H2900" s="39" t="str">
        <f aca="false">IF(ISNUMBER(MATCH(G2900,Products!$A$5:$A$24,0)),"OK","Mismatch")</f>
        <v>OK</v>
      </c>
      <c r="I2900" s="39" t="str">
        <f aca="false">IF(COUNTIF($A$5:A2900,A2900)&gt;1,"Duplicate","Unique")</f>
        <v>Unique</v>
      </c>
      <c r="J2900" s="39" t="str">
        <f aca="false">IF(I2900="Duplicate","Remove",IF(H2900="Mismatch","Exclude","Keep"))</f>
        <v>Keep</v>
      </c>
    </row>
    <row r="2901" customFormat="false" ht="15" hidden="false" customHeight="false" outlineLevel="0" collapsed="false">
      <c r="A2901" s="39" t="s">
        <v>2942</v>
      </c>
      <c r="B2901" s="40" t="n">
        <v>46006</v>
      </c>
      <c r="C2901" s="39" t="s">
        <v>112</v>
      </c>
      <c r="D2901" s="39" t="n">
        <v>2</v>
      </c>
      <c r="E2901" s="41" t="n">
        <v>53.34</v>
      </c>
      <c r="F2901" s="39" t="s">
        <v>108</v>
      </c>
      <c r="G2901" s="39" t="str">
        <f aca="false">UPPER(TRIM(C2901))</f>
        <v>P005</v>
      </c>
      <c r="H2901" s="39" t="str">
        <f aca="false">IF(ISNUMBER(MATCH(G2901,Products!$A$5:$A$24,0)),"OK","Mismatch")</f>
        <v>OK</v>
      </c>
      <c r="I2901" s="39" t="str">
        <f aca="false">IF(COUNTIF($A$5:A2901,A2901)&gt;1,"Duplicate","Unique")</f>
        <v>Unique</v>
      </c>
      <c r="J2901" s="39" t="str">
        <f aca="false">IF(I2901="Duplicate","Remove",IF(H2901="Mismatch","Exclude","Keep"))</f>
        <v>Keep</v>
      </c>
    </row>
    <row r="2902" customFormat="false" ht="15" hidden="false" customHeight="false" outlineLevel="0" collapsed="false">
      <c r="A2902" s="39" t="s">
        <v>2943</v>
      </c>
      <c r="B2902" s="40" t="n">
        <v>46006</v>
      </c>
      <c r="C2902" s="39" t="s">
        <v>104</v>
      </c>
      <c r="D2902" s="39" t="n">
        <v>3</v>
      </c>
      <c r="E2902" s="41" t="n">
        <v>14.97</v>
      </c>
      <c r="F2902" s="39" t="s">
        <v>108</v>
      </c>
      <c r="G2902" s="39" t="str">
        <f aca="false">UPPER(TRIM(C2902))</f>
        <v>P015</v>
      </c>
      <c r="H2902" s="39" t="str">
        <f aca="false">IF(ISNUMBER(MATCH(G2902,Products!$A$5:$A$24,0)),"OK","Mismatch")</f>
        <v>OK</v>
      </c>
      <c r="I2902" s="39" t="str">
        <f aca="false">IF(COUNTIF($A$5:A2902,A2902)&gt;1,"Duplicate","Unique")</f>
        <v>Unique</v>
      </c>
      <c r="J2902" s="39" t="str">
        <f aca="false">IF(I2902="Duplicate","Remove",IF(H2902="Mismatch","Exclude","Keep"))</f>
        <v>Keep</v>
      </c>
    </row>
    <row r="2903" customFormat="false" ht="15" hidden="false" customHeight="false" outlineLevel="0" collapsed="false">
      <c r="A2903" s="39" t="s">
        <v>2944</v>
      </c>
      <c r="B2903" s="40" t="n">
        <v>46006</v>
      </c>
      <c r="C2903" s="39" t="s">
        <v>177</v>
      </c>
      <c r="D2903" s="39" t="n">
        <v>6</v>
      </c>
      <c r="E2903" s="41" t="n">
        <v>42.41</v>
      </c>
      <c r="F2903" s="39" t="s">
        <v>118</v>
      </c>
      <c r="G2903" s="39" t="str">
        <f aca="false">UPPER(TRIM(C2903))</f>
        <v>P014</v>
      </c>
      <c r="H2903" s="39" t="str">
        <f aca="false">IF(ISNUMBER(MATCH(G2903,Products!$A$5:$A$24,0)),"OK","Mismatch")</f>
        <v>OK</v>
      </c>
      <c r="I2903" s="39" t="str">
        <f aca="false">IF(COUNTIF($A$5:A2903,A2903)&gt;1,"Duplicate","Unique")</f>
        <v>Unique</v>
      </c>
      <c r="J2903" s="39" t="str">
        <f aca="false">IF(I2903="Duplicate","Remove",IF(H2903="Mismatch","Exclude","Keep"))</f>
        <v>Keep</v>
      </c>
    </row>
    <row r="2904" customFormat="false" ht="15" hidden="false" customHeight="false" outlineLevel="0" collapsed="false">
      <c r="A2904" s="39" t="s">
        <v>2945</v>
      </c>
      <c r="B2904" s="40" t="n">
        <v>46006</v>
      </c>
      <c r="C2904" s="39" t="s">
        <v>130</v>
      </c>
      <c r="D2904" s="39" t="n">
        <v>2</v>
      </c>
      <c r="E2904" s="41" t="n">
        <v>8.97</v>
      </c>
      <c r="F2904" s="39" t="s">
        <v>118</v>
      </c>
      <c r="G2904" s="39" t="str">
        <f aca="false">UPPER(TRIM(C2904))</f>
        <v>P011</v>
      </c>
      <c r="H2904" s="39" t="str">
        <f aca="false">IF(ISNUMBER(MATCH(G2904,Products!$A$5:$A$24,0)),"OK","Mismatch")</f>
        <v>OK</v>
      </c>
      <c r="I2904" s="39" t="str">
        <f aca="false">IF(COUNTIF($A$5:A2904,A2904)&gt;1,"Duplicate","Unique")</f>
        <v>Unique</v>
      </c>
      <c r="J2904" s="39" t="str">
        <f aca="false">IF(I2904="Duplicate","Remove",IF(H2904="Mismatch","Exclude","Keep"))</f>
        <v>Keep</v>
      </c>
    </row>
    <row r="2905" customFormat="false" ht="15" hidden="false" customHeight="false" outlineLevel="0" collapsed="false">
      <c r="A2905" s="39" t="s">
        <v>2946</v>
      </c>
      <c r="B2905" s="40" t="n">
        <v>46007</v>
      </c>
      <c r="C2905" s="39" t="s">
        <v>177</v>
      </c>
      <c r="D2905" s="39" t="n">
        <v>2</v>
      </c>
      <c r="E2905" s="41" t="n">
        <v>42.63</v>
      </c>
      <c r="F2905" s="39" t="s">
        <v>115</v>
      </c>
      <c r="G2905" s="39" t="str">
        <f aca="false">UPPER(TRIM(C2905))</f>
        <v>P014</v>
      </c>
      <c r="H2905" s="39" t="str">
        <f aca="false">IF(ISNUMBER(MATCH(G2905,Products!$A$5:$A$24,0)),"OK","Mismatch")</f>
        <v>OK</v>
      </c>
      <c r="I2905" s="39" t="str">
        <f aca="false">IF(COUNTIF($A$5:A2905,A2905)&gt;1,"Duplicate","Unique")</f>
        <v>Unique</v>
      </c>
      <c r="J2905" s="39" t="str">
        <f aca="false">IF(I2905="Duplicate","Remove",IF(H2905="Mismatch","Exclude","Keep"))</f>
        <v>Keep</v>
      </c>
    </row>
    <row r="2906" customFormat="false" ht="15" hidden="false" customHeight="false" outlineLevel="0" collapsed="false">
      <c r="A2906" s="39" t="s">
        <v>2947</v>
      </c>
      <c r="B2906" s="40" t="n">
        <v>46007</v>
      </c>
      <c r="C2906" s="39" t="s">
        <v>133</v>
      </c>
      <c r="D2906" s="39" t="n">
        <v>2</v>
      </c>
      <c r="E2906" s="41" t="n">
        <v>8.76</v>
      </c>
      <c r="F2906" s="39" t="s">
        <v>108</v>
      </c>
      <c r="G2906" s="39" t="str">
        <f aca="false">UPPER(TRIM(C2906))</f>
        <v>P019</v>
      </c>
      <c r="H2906" s="39" t="str">
        <f aca="false">IF(ISNUMBER(MATCH(G2906,Products!$A$5:$A$24,0)),"OK","Mismatch")</f>
        <v>OK</v>
      </c>
      <c r="I2906" s="39" t="str">
        <f aca="false">IF(COUNTIF($A$5:A2906,A2906)&gt;1,"Duplicate","Unique")</f>
        <v>Unique</v>
      </c>
      <c r="J2906" s="39" t="str">
        <f aca="false">IF(I2906="Duplicate","Remove",IF(H2906="Mismatch","Exclude","Keep"))</f>
        <v>Keep</v>
      </c>
    </row>
    <row r="2907" customFormat="false" ht="15" hidden="false" customHeight="false" outlineLevel="0" collapsed="false">
      <c r="A2907" s="39" t="s">
        <v>2948</v>
      </c>
      <c r="B2907" s="40" t="n">
        <v>46007</v>
      </c>
      <c r="C2907" s="39" t="s">
        <v>183</v>
      </c>
      <c r="D2907" s="39" t="n">
        <v>3</v>
      </c>
      <c r="E2907" s="41" t="n">
        <v>184</v>
      </c>
      <c r="F2907" s="39" t="s">
        <v>118</v>
      </c>
      <c r="G2907" s="39" t="str">
        <f aca="false">UPPER(TRIM(C2907))</f>
        <v>P007</v>
      </c>
      <c r="H2907" s="39" t="str">
        <f aca="false">IF(ISNUMBER(MATCH(G2907,Products!$A$5:$A$24,0)),"OK","Mismatch")</f>
        <v>OK</v>
      </c>
      <c r="I2907" s="39" t="str">
        <f aca="false">IF(COUNTIF($A$5:A2907,A2907)&gt;1,"Duplicate","Unique")</f>
        <v>Unique</v>
      </c>
      <c r="J2907" s="39" t="str">
        <f aca="false">IF(I2907="Duplicate","Remove",IF(H2907="Mismatch","Exclude","Keep"))</f>
        <v>Keep</v>
      </c>
    </row>
    <row r="2908" customFormat="false" ht="15" hidden="false" customHeight="false" outlineLevel="0" collapsed="false">
      <c r="A2908" s="39" t="s">
        <v>2949</v>
      </c>
      <c r="B2908" s="40" t="n">
        <v>46007</v>
      </c>
      <c r="C2908" s="39" t="s">
        <v>3196</v>
      </c>
      <c r="D2908" s="39" t="n">
        <v>1</v>
      </c>
      <c r="E2908" s="41" t="n">
        <v>114.23</v>
      </c>
      <c r="F2908" s="39" t="s">
        <v>118</v>
      </c>
      <c r="G2908" s="39" t="str">
        <f aca="false">UPPER(TRIM(C2908))</f>
        <v>P018</v>
      </c>
      <c r="H2908" s="39" t="str">
        <f aca="false">IF(ISNUMBER(MATCH(G2908,Products!$A$5:$A$24,0)),"OK","Mismatch")</f>
        <v>OK</v>
      </c>
      <c r="I2908" s="39" t="str">
        <f aca="false">IF(COUNTIF($A$5:A2908,A2908)&gt;1,"Duplicate","Unique")</f>
        <v>Unique</v>
      </c>
      <c r="J2908" s="39" t="str">
        <f aca="false">IF(I2908="Duplicate","Remove",IF(H2908="Mismatch","Exclude","Keep"))</f>
        <v>Keep</v>
      </c>
    </row>
    <row r="2909" customFormat="false" ht="15" hidden="false" customHeight="false" outlineLevel="0" collapsed="false">
      <c r="A2909" s="39" t="s">
        <v>2950</v>
      </c>
      <c r="B2909" s="40" t="n">
        <v>46007</v>
      </c>
      <c r="C2909" s="39" t="s">
        <v>169</v>
      </c>
      <c r="D2909" s="39" t="n">
        <v>3</v>
      </c>
      <c r="E2909" s="41" t="n">
        <v>28.45</v>
      </c>
      <c r="F2909" s="39" t="s">
        <v>118</v>
      </c>
      <c r="G2909" s="39" t="str">
        <f aca="false">UPPER(TRIM(C2909))</f>
        <v>P004</v>
      </c>
      <c r="H2909" s="39" t="str">
        <f aca="false">IF(ISNUMBER(MATCH(G2909,Products!$A$5:$A$24,0)),"OK","Mismatch")</f>
        <v>OK</v>
      </c>
      <c r="I2909" s="39" t="str">
        <f aca="false">IF(COUNTIF($A$5:A2909,A2909)&gt;1,"Duplicate","Unique")</f>
        <v>Unique</v>
      </c>
      <c r="J2909" s="39" t="str">
        <f aca="false">IF(I2909="Duplicate","Remove",IF(H2909="Mismatch","Exclude","Keep"))</f>
        <v>Keep</v>
      </c>
    </row>
    <row r="2910" customFormat="false" ht="15" hidden="false" customHeight="false" outlineLevel="0" collapsed="false">
      <c r="A2910" s="39" t="s">
        <v>2951</v>
      </c>
      <c r="B2910" s="40" t="n">
        <v>46007</v>
      </c>
      <c r="C2910" s="39" t="s">
        <v>130</v>
      </c>
      <c r="D2910" s="39" t="n">
        <v>4</v>
      </c>
      <c r="E2910" s="41" t="n">
        <v>8.53</v>
      </c>
      <c r="F2910" s="39" t="s">
        <v>118</v>
      </c>
      <c r="G2910" s="39" t="str">
        <f aca="false">UPPER(TRIM(C2910))</f>
        <v>P011</v>
      </c>
      <c r="H2910" s="39" t="str">
        <f aca="false">IF(ISNUMBER(MATCH(G2910,Products!$A$5:$A$24,0)),"OK","Mismatch")</f>
        <v>OK</v>
      </c>
      <c r="I2910" s="39" t="str">
        <f aca="false">IF(COUNTIF($A$5:A2910,A2910)&gt;1,"Duplicate","Unique")</f>
        <v>Unique</v>
      </c>
      <c r="J2910" s="39" t="str">
        <f aca="false">IF(I2910="Duplicate","Remove",IF(H2910="Mismatch","Exclude","Keep"))</f>
        <v>Keep</v>
      </c>
    </row>
    <row r="2911" customFormat="false" ht="15" hidden="false" customHeight="false" outlineLevel="0" collapsed="false">
      <c r="A2911" s="39" t="s">
        <v>2952</v>
      </c>
      <c r="B2911" s="40" t="n">
        <v>46007</v>
      </c>
      <c r="C2911" s="39" t="s">
        <v>130</v>
      </c>
      <c r="D2911" s="39" t="n">
        <v>3</v>
      </c>
      <c r="E2911" s="41" t="n">
        <v>8.31</v>
      </c>
      <c r="F2911" s="39" t="s">
        <v>118</v>
      </c>
      <c r="G2911" s="39" t="str">
        <f aca="false">UPPER(TRIM(C2911))</f>
        <v>P011</v>
      </c>
      <c r="H2911" s="39" t="str">
        <f aca="false">IF(ISNUMBER(MATCH(G2911,Products!$A$5:$A$24,0)),"OK","Mismatch")</f>
        <v>OK</v>
      </c>
      <c r="I2911" s="39" t="str">
        <f aca="false">IF(COUNTIF($A$5:A2911,A2911)&gt;1,"Duplicate","Unique")</f>
        <v>Unique</v>
      </c>
      <c r="J2911" s="39" t="str">
        <f aca="false">IF(I2911="Duplicate","Remove",IF(H2911="Mismatch","Exclude","Keep"))</f>
        <v>Keep</v>
      </c>
    </row>
    <row r="2912" customFormat="false" ht="15" hidden="false" customHeight="false" outlineLevel="0" collapsed="false">
      <c r="A2912" s="39" t="s">
        <v>2953</v>
      </c>
      <c r="B2912" s="40" t="n">
        <v>46007</v>
      </c>
      <c r="C2912" s="39" t="s">
        <v>169</v>
      </c>
      <c r="D2912" s="39" t="n">
        <v>1</v>
      </c>
      <c r="E2912" s="41" t="n">
        <v>27.32</v>
      </c>
      <c r="F2912" s="39" t="s">
        <v>105</v>
      </c>
      <c r="G2912" s="39" t="str">
        <f aca="false">UPPER(TRIM(C2912))</f>
        <v>P004</v>
      </c>
      <c r="H2912" s="39" t="str">
        <f aca="false">IF(ISNUMBER(MATCH(G2912,Products!$A$5:$A$24,0)),"OK","Mismatch")</f>
        <v>OK</v>
      </c>
      <c r="I2912" s="39" t="str">
        <f aca="false">IF(COUNTIF($A$5:A2912,A2912)&gt;1,"Duplicate","Unique")</f>
        <v>Unique</v>
      </c>
      <c r="J2912" s="39" t="str">
        <f aca="false">IF(I2912="Duplicate","Remove",IF(H2912="Mismatch","Exclude","Keep"))</f>
        <v>Keep</v>
      </c>
    </row>
    <row r="2913" customFormat="false" ht="15" hidden="false" customHeight="false" outlineLevel="0" collapsed="false">
      <c r="A2913" s="39" t="s">
        <v>2954</v>
      </c>
      <c r="B2913" s="40" t="n">
        <v>46007</v>
      </c>
      <c r="C2913" s="39" t="s">
        <v>183</v>
      </c>
      <c r="D2913" s="39" t="n">
        <v>1</v>
      </c>
      <c r="E2913" s="41" t="n">
        <v>186.92</v>
      </c>
      <c r="F2913" s="39" t="s">
        <v>118</v>
      </c>
      <c r="G2913" s="39" t="str">
        <f aca="false">UPPER(TRIM(C2913))</f>
        <v>P007</v>
      </c>
      <c r="H2913" s="39" t="str">
        <f aca="false">IF(ISNUMBER(MATCH(G2913,Products!$A$5:$A$24,0)),"OK","Mismatch")</f>
        <v>OK</v>
      </c>
      <c r="I2913" s="39" t="str">
        <f aca="false">IF(COUNTIF($A$5:A2913,A2913)&gt;1,"Duplicate","Unique")</f>
        <v>Unique</v>
      </c>
      <c r="J2913" s="39" t="str">
        <f aca="false">IF(I2913="Duplicate","Remove",IF(H2913="Mismatch","Exclude","Keep"))</f>
        <v>Keep</v>
      </c>
    </row>
    <row r="2914" customFormat="false" ht="15" hidden="false" customHeight="false" outlineLevel="0" collapsed="false">
      <c r="A2914" s="39" t="s">
        <v>2955</v>
      </c>
      <c r="B2914" s="40" t="n">
        <v>46007</v>
      </c>
      <c r="C2914" s="39" t="s">
        <v>121</v>
      </c>
      <c r="D2914" s="39" t="n">
        <v>2</v>
      </c>
      <c r="E2914" s="41" t="n">
        <v>109.77</v>
      </c>
      <c r="F2914" s="39" t="s">
        <v>115</v>
      </c>
      <c r="G2914" s="39" t="str">
        <f aca="false">UPPER(TRIM(C2914))</f>
        <v>P018</v>
      </c>
      <c r="H2914" s="39" t="str">
        <f aca="false">IF(ISNUMBER(MATCH(G2914,Products!$A$5:$A$24,0)),"OK","Mismatch")</f>
        <v>OK</v>
      </c>
      <c r="I2914" s="39" t="str">
        <f aca="false">IF(COUNTIF($A$5:A2914,A2914)&gt;1,"Duplicate","Unique")</f>
        <v>Unique</v>
      </c>
      <c r="J2914" s="39" t="str">
        <f aca="false">IF(I2914="Duplicate","Remove",IF(H2914="Mismatch","Exclude","Keep"))</f>
        <v>Keep</v>
      </c>
    </row>
    <row r="2915" customFormat="false" ht="15" hidden="false" customHeight="false" outlineLevel="0" collapsed="false">
      <c r="A2915" s="39" t="s">
        <v>2956</v>
      </c>
      <c r="B2915" s="40" t="n">
        <v>46007</v>
      </c>
      <c r="C2915" s="39" t="s">
        <v>177</v>
      </c>
      <c r="D2915" s="39" t="n">
        <v>1</v>
      </c>
      <c r="E2915" s="41" t="n">
        <v>42.13</v>
      </c>
      <c r="F2915" s="39" t="s">
        <v>108</v>
      </c>
      <c r="G2915" s="39" t="str">
        <f aca="false">UPPER(TRIM(C2915))</f>
        <v>P014</v>
      </c>
      <c r="H2915" s="39" t="str">
        <f aca="false">IF(ISNUMBER(MATCH(G2915,Products!$A$5:$A$24,0)),"OK","Mismatch")</f>
        <v>OK</v>
      </c>
      <c r="I2915" s="39" t="str">
        <f aca="false">IF(COUNTIF($A$5:A2915,A2915)&gt;1,"Duplicate","Unique")</f>
        <v>Unique</v>
      </c>
      <c r="J2915" s="39" t="str">
        <f aca="false">IF(I2915="Duplicate","Remove",IF(H2915="Mismatch","Exclude","Keep"))</f>
        <v>Keep</v>
      </c>
    </row>
    <row r="2916" customFormat="false" ht="15" hidden="false" customHeight="false" outlineLevel="0" collapsed="false">
      <c r="A2916" s="39" t="s">
        <v>2957</v>
      </c>
      <c r="B2916" s="40" t="n">
        <v>46007</v>
      </c>
      <c r="C2916" s="39" t="s">
        <v>104</v>
      </c>
      <c r="D2916" s="39" t="n">
        <v>1</v>
      </c>
      <c r="E2916" s="41" t="n">
        <v>14.77</v>
      </c>
      <c r="F2916" s="39" t="s">
        <v>108</v>
      </c>
      <c r="G2916" s="39" t="str">
        <f aca="false">UPPER(TRIM(C2916))</f>
        <v>P015</v>
      </c>
      <c r="H2916" s="39" t="str">
        <f aca="false">IF(ISNUMBER(MATCH(G2916,Products!$A$5:$A$24,0)),"OK","Mismatch")</f>
        <v>OK</v>
      </c>
      <c r="I2916" s="39" t="str">
        <f aca="false">IF(COUNTIF($A$5:A2916,A2916)&gt;1,"Duplicate","Unique")</f>
        <v>Unique</v>
      </c>
      <c r="J2916" s="39" t="str">
        <f aca="false">IF(I2916="Duplicate","Remove",IF(H2916="Mismatch","Exclude","Keep"))</f>
        <v>Keep</v>
      </c>
    </row>
    <row r="2917" customFormat="false" ht="15" hidden="false" customHeight="false" outlineLevel="0" collapsed="false">
      <c r="A2917" s="39" t="s">
        <v>2958</v>
      </c>
      <c r="B2917" s="40" t="n">
        <v>46007</v>
      </c>
      <c r="C2917" s="39" t="s">
        <v>128</v>
      </c>
      <c r="D2917" s="39" t="n">
        <v>1</v>
      </c>
      <c r="E2917" s="41" t="n">
        <v>36.42</v>
      </c>
      <c r="F2917" s="39" t="s">
        <v>118</v>
      </c>
      <c r="G2917" s="39" t="str">
        <f aca="false">UPPER(TRIM(C2917))</f>
        <v>P020</v>
      </c>
      <c r="H2917" s="39" t="str">
        <f aca="false">IF(ISNUMBER(MATCH(G2917,Products!$A$5:$A$24,0)),"OK","Mismatch")</f>
        <v>OK</v>
      </c>
      <c r="I2917" s="39" t="str">
        <f aca="false">IF(COUNTIF($A$5:A2917,A2917)&gt;1,"Duplicate","Unique")</f>
        <v>Unique</v>
      </c>
      <c r="J2917" s="39" t="str">
        <f aca="false">IF(I2917="Duplicate","Remove",IF(H2917="Mismatch","Exclude","Keep"))</f>
        <v>Keep</v>
      </c>
    </row>
    <row r="2918" customFormat="false" ht="15" hidden="false" customHeight="false" outlineLevel="0" collapsed="false">
      <c r="A2918" s="39" t="s">
        <v>2959</v>
      </c>
      <c r="B2918" s="40" t="n">
        <v>46007</v>
      </c>
      <c r="C2918" s="39" t="s">
        <v>117</v>
      </c>
      <c r="D2918" s="39" t="n">
        <v>1</v>
      </c>
      <c r="E2918" s="41" t="n">
        <v>31.26</v>
      </c>
      <c r="F2918" s="39" t="s">
        <v>118</v>
      </c>
      <c r="G2918" s="39" t="str">
        <f aca="false">UPPER(TRIM(C2918))</f>
        <v>P009</v>
      </c>
      <c r="H2918" s="39" t="str">
        <f aca="false">IF(ISNUMBER(MATCH(G2918,Products!$A$5:$A$24,0)),"OK","Mismatch")</f>
        <v>OK</v>
      </c>
      <c r="I2918" s="39" t="str">
        <f aca="false">IF(COUNTIF($A$5:A2918,A2918)&gt;1,"Duplicate","Unique")</f>
        <v>Unique</v>
      </c>
      <c r="J2918" s="39" t="str">
        <f aca="false">IF(I2918="Duplicate","Remove",IF(H2918="Mismatch","Exclude","Keep"))</f>
        <v>Keep</v>
      </c>
    </row>
    <row r="2919" customFormat="false" ht="15" hidden="false" customHeight="false" outlineLevel="0" collapsed="false">
      <c r="A2919" s="39" t="s">
        <v>2960</v>
      </c>
      <c r="B2919" s="40" t="n">
        <v>46007</v>
      </c>
      <c r="C2919" s="39" t="s">
        <v>133</v>
      </c>
      <c r="D2919" s="39" t="n">
        <v>6</v>
      </c>
      <c r="E2919" s="41" t="n">
        <v>8.88</v>
      </c>
      <c r="F2919" s="39" t="s">
        <v>105</v>
      </c>
      <c r="G2919" s="39" t="str">
        <f aca="false">UPPER(TRIM(C2919))</f>
        <v>P019</v>
      </c>
      <c r="H2919" s="39" t="str">
        <f aca="false">IF(ISNUMBER(MATCH(G2919,Products!$A$5:$A$24,0)),"OK","Mismatch")</f>
        <v>OK</v>
      </c>
      <c r="I2919" s="39" t="str">
        <f aca="false">IF(COUNTIF($A$5:A2919,A2919)&gt;1,"Duplicate","Unique")</f>
        <v>Unique</v>
      </c>
      <c r="J2919" s="39" t="str">
        <f aca="false">IF(I2919="Duplicate","Remove",IF(H2919="Mismatch","Exclude","Keep"))</f>
        <v>Keep</v>
      </c>
    </row>
    <row r="2920" customFormat="false" ht="15" hidden="false" customHeight="false" outlineLevel="0" collapsed="false">
      <c r="A2920" s="39" t="s">
        <v>2961</v>
      </c>
      <c r="B2920" s="40" t="n">
        <v>46008</v>
      </c>
      <c r="C2920" s="39" t="s">
        <v>144</v>
      </c>
      <c r="D2920" s="39" t="n">
        <v>1</v>
      </c>
      <c r="E2920" s="41" t="n">
        <v>57.69</v>
      </c>
      <c r="F2920" s="39" t="s">
        <v>108</v>
      </c>
      <c r="G2920" s="39" t="str">
        <f aca="false">UPPER(TRIM(C2920))</f>
        <v>P013</v>
      </c>
      <c r="H2920" s="39" t="str">
        <f aca="false">IF(ISNUMBER(MATCH(G2920,Products!$A$5:$A$24,0)),"OK","Mismatch")</f>
        <v>OK</v>
      </c>
      <c r="I2920" s="39" t="str">
        <f aca="false">IF(COUNTIF($A$5:A2920,A2920)&gt;1,"Duplicate","Unique")</f>
        <v>Unique</v>
      </c>
      <c r="J2920" s="39" t="str">
        <f aca="false">IF(I2920="Duplicate","Remove",IF(H2920="Mismatch","Exclude","Keep"))</f>
        <v>Keep</v>
      </c>
    </row>
    <row r="2921" customFormat="false" ht="15" hidden="false" customHeight="false" outlineLevel="0" collapsed="false">
      <c r="A2921" s="39" t="s">
        <v>2962</v>
      </c>
      <c r="B2921" s="40" t="n">
        <v>46008</v>
      </c>
      <c r="C2921" s="39" t="s">
        <v>121</v>
      </c>
      <c r="D2921" s="39" t="n">
        <v>3</v>
      </c>
      <c r="E2921" s="41" t="n">
        <v>110.46</v>
      </c>
      <c r="F2921" s="39" t="s">
        <v>115</v>
      </c>
      <c r="G2921" s="39" t="str">
        <f aca="false">UPPER(TRIM(C2921))</f>
        <v>P018</v>
      </c>
      <c r="H2921" s="39" t="str">
        <f aca="false">IF(ISNUMBER(MATCH(G2921,Products!$A$5:$A$24,0)),"OK","Mismatch")</f>
        <v>OK</v>
      </c>
      <c r="I2921" s="39" t="str">
        <f aca="false">IF(COUNTIF($A$5:A2921,A2921)&gt;1,"Duplicate","Unique")</f>
        <v>Unique</v>
      </c>
      <c r="J2921" s="39" t="str">
        <f aca="false">IF(I2921="Duplicate","Remove",IF(H2921="Mismatch","Exclude","Keep"))</f>
        <v>Keep</v>
      </c>
    </row>
    <row r="2922" customFormat="false" ht="15" hidden="false" customHeight="false" outlineLevel="0" collapsed="false">
      <c r="A2922" s="39" t="s">
        <v>2963</v>
      </c>
      <c r="B2922" s="40" t="n">
        <v>46008</v>
      </c>
      <c r="C2922" s="39" t="s">
        <v>112</v>
      </c>
      <c r="D2922" s="39" t="n">
        <v>2</v>
      </c>
      <c r="E2922" s="41" t="n">
        <v>51.42</v>
      </c>
      <c r="F2922" s="39" t="s">
        <v>118</v>
      </c>
      <c r="G2922" s="39" t="str">
        <f aca="false">UPPER(TRIM(C2922))</f>
        <v>P005</v>
      </c>
      <c r="H2922" s="39" t="str">
        <f aca="false">IF(ISNUMBER(MATCH(G2922,Products!$A$5:$A$24,0)),"OK","Mismatch")</f>
        <v>OK</v>
      </c>
      <c r="I2922" s="39" t="str">
        <f aca="false">IF(COUNTIF($A$5:A2922,A2922)&gt;1,"Duplicate","Unique")</f>
        <v>Unique</v>
      </c>
      <c r="J2922" s="39" t="str">
        <f aca="false">IF(I2922="Duplicate","Remove",IF(H2922="Mismatch","Exclude","Keep"))</f>
        <v>Keep</v>
      </c>
    </row>
    <row r="2923" customFormat="false" ht="15" hidden="false" customHeight="false" outlineLevel="0" collapsed="false">
      <c r="A2923" s="39" t="s">
        <v>2964</v>
      </c>
      <c r="B2923" s="40" t="n">
        <v>46008</v>
      </c>
      <c r="C2923" s="39" t="s">
        <v>117</v>
      </c>
      <c r="D2923" s="39" t="n">
        <v>3</v>
      </c>
      <c r="E2923" s="41" t="n">
        <v>29.66</v>
      </c>
      <c r="F2923" s="39" t="s">
        <v>108</v>
      </c>
      <c r="G2923" s="39" t="str">
        <f aca="false">UPPER(TRIM(C2923))</f>
        <v>P009</v>
      </c>
      <c r="H2923" s="39" t="str">
        <f aca="false">IF(ISNUMBER(MATCH(G2923,Products!$A$5:$A$24,0)),"OK","Mismatch")</f>
        <v>OK</v>
      </c>
      <c r="I2923" s="39" t="str">
        <f aca="false">IF(COUNTIF($A$5:A2923,A2923)&gt;1,"Duplicate","Unique")</f>
        <v>Unique</v>
      </c>
      <c r="J2923" s="39" t="str">
        <f aca="false">IF(I2923="Duplicate","Remove",IF(H2923="Mismatch","Exclude","Keep"))</f>
        <v>Keep</v>
      </c>
    </row>
    <row r="2924" customFormat="false" ht="15" hidden="false" customHeight="false" outlineLevel="0" collapsed="false">
      <c r="A2924" s="39" t="s">
        <v>2965</v>
      </c>
      <c r="B2924" s="40" t="n">
        <v>46008</v>
      </c>
      <c r="C2924" s="39" t="s">
        <v>183</v>
      </c>
      <c r="D2924" s="39" t="n">
        <v>3</v>
      </c>
      <c r="E2924" s="41" t="n">
        <v>176.11</v>
      </c>
      <c r="F2924" s="39" t="s">
        <v>108</v>
      </c>
      <c r="G2924" s="39" t="str">
        <f aca="false">UPPER(TRIM(C2924))</f>
        <v>P007</v>
      </c>
      <c r="H2924" s="39" t="str">
        <f aca="false">IF(ISNUMBER(MATCH(G2924,Products!$A$5:$A$24,0)),"OK","Mismatch")</f>
        <v>OK</v>
      </c>
      <c r="I2924" s="39" t="str">
        <f aca="false">IF(COUNTIF($A$5:A2924,A2924)&gt;1,"Duplicate","Unique")</f>
        <v>Unique</v>
      </c>
      <c r="J2924" s="39" t="str">
        <f aca="false">IF(I2924="Duplicate","Remove",IF(H2924="Mismatch","Exclude","Keep"))</f>
        <v>Keep</v>
      </c>
    </row>
    <row r="2925" customFormat="false" ht="15" hidden="false" customHeight="false" outlineLevel="0" collapsed="false">
      <c r="A2925" s="39" t="s">
        <v>2966</v>
      </c>
      <c r="B2925" s="40" t="n">
        <v>46008</v>
      </c>
      <c r="C2925" s="39" t="s">
        <v>112</v>
      </c>
      <c r="D2925" s="39" t="n">
        <v>2</v>
      </c>
      <c r="E2925" s="41" t="n">
        <v>53.21</v>
      </c>
      <c r="F2925" s="39" t="s">
        <v>118</v>
      </c>
      <c r="G2925" s="39" t="str">
        <f aca="false">UPPER(TRIM(C2925))</f>
        <v>P005</v>
      </c>
      <c r="H2925" s="39" t="str">
        <f aca="false">IF(ISNUMBER(MATCH(G2925,Products!$A$5:$A$24,0)),"OK","Mismatch")</f>
        <v>OK</v>
      </c>
      <c r="I2925" s="39" t="str">
        <f aca="false">IF(COUNTIF($A$5:A2925,A2925)&gt;1,"Duplicate","Unique")</f>
        <v>Unique</v>
      </c>
      <c r="J2925" s="39" t="str">
        <f aca="false">IF(I2925="Duplicate","Remove",IF(H2925="Mismatch","Exclude","Keep"))</f>
        <v>Keep</v>
      </c>
    </row>
    <row r="2926" customFormat="false" ht="15" hidden="false" customHeight="false" outlineLevel="0" collapsed="false">
      <c r="A2926" s="39" t="s">
        <v>2967</v>
      </c>
      <c r="B2926" s="40" t="n">
        <v>46008</v>
      </c>
      <c r="C2926" s="39" t="s">
        <v>107</v>
      </c>
      <c r="D2926" s="39" t="n">
        <v>3</v>
      </c>
      <c r="E2926" s="41" t="n">
        <v>32.51</v>
      </c>
      <c r="F2926" s="39" t="s">
        <v>115</v>
      </c>
      <c r="G2926" s="39" t="str">
        <f aca="false">UPPER(TRIM(C2926))</f>
        <v>P003</v>
      </c>
      <c r="H2926" s="39" t="str">
        <f aca="false">IF(ISNUMBER(MATCH(G2926,Products!$A$5:$A$24,0)),"OK","Mismatch")</f>
        <v>OK</v>
      </c>
      <c r="I2926" s="39" t="str">
        <f aca="false">IF(COUNTIF($A$5:A2926,A2926)&gt;1,"Duplicate","Unique")</f>
        <v>Unique</v>
      </c>
      <c r="J2926" s="39" t="str">
        <f aca="false">IF(I2926="Duplicate","Remove",IF(H2926="Mismatch","Exclude","Keep"))</f>
        <v>Keep</v>
      </c>
    </row>
    <row r="2927" customFormat="false" ht="15" hidden="false" customHeight="false" outlineLevel="0" collapsed="false">
      <c r="A2927" s="39" t="s">
        <v>2968</v>
      </c>
      <c r="B2927" s="40" t="n">
        <v>46008</v>
      </c>
      <c r="C2927" s="39" t="s">
        <v>126</v>
      </c>
      <c r="D2927" s="39" t="n">
        <v>1</v>
      </c>
      <c r="E2927" s="41" t="n">
        <v>24.25</v>
      </c>
      <c r="F2927" s="39" t="s">
        <v>118</v>
      </c>
      <c r="G2927" s="39" t="str">
        <f aca="false">UPPER(TRIM(C2927))</f>
        <v>P001</v>
      </c>
      <c r="H2927" s="39" t="str">
        <f aca="false">IF(ISNUMBER(MATCH(G2927,Products!$A$5:$A$24,0)),"OK","Mismatch")</f>
        <v>OK</v>
      </c>
      <c r="I2927" s="39" t="str">
        <f aca="false">IF(COUNTIF($A$5:A2927,A2927)&gt;1,"Duplicate","Unique")</f>
        <v>Unique</v>
      </c>
      <c r="J2927" s="39" t="str">
        <f aca="false">IF(I2927="Duplicate","Remove",IF(H2927="Mismatch","Exclude","Keep"))</f>
        <v>Keep</v>
      </c>
    </row>
    <row r="2928" customFormat="false" ht="15" hidden="false" customHeight="false" outlineLevel="0" collapsed="false">
      <c r="A2928" s="39" t="s">
        <v>2969</v>
      </c>
      <c r="B2928" s="40" t="n">
        <v>46008</v>
      </c>
      <c r="C2928" s="39" t="s">
        <v>117</v>
      </c>
      <c r="D2928" s="39" t="n">
        <v>3</v>
      </c>
      <c r="E2928" s="41" t="n">
        <v>31.6</v>
      </c>
      <c r="F2928" s="39" t="s">
        <v>118</v>
      </c>
      <c r="G2928" s="39" t="str">
        <f aca="false">UPPER(TRIM(C2928))</f>
        <v>P009</v>
      </c>
      <c r="H2928" s="39" t="str">
        <f aca="false">IF(ISNUMBER(MATCH(G2928,Products!$A$5:$A$24,0)),"OK","Mismatch")</f>
        <v>OK</v>
      </c>
      <c r="I2928" s="39" t="str">
        <f aca="false">IF(COUNTIF($A$5:A2928,A2928)&gt;1,"Duplicate","Unique")</f>
        <v>Unique</v>
      </c>
      <c r="J2928" s="39" t="str">
        <f aca="false">IF(I2928="Duplicate","Remove",IF(H2928="Mismatch","Exclude","Keep"))</f>
        <v>Keep</v>
      </c>
    </row>
    <row r="2929" customFormat="false" ht="15" hidden="false" customHeight="false" outlineLevel="0" collapsed="false">
      <c r="A2929" s="39" t="s">
        <v>2970</v>
      </c>
      <c r="B2929" s="40" t="n">
        <v>46008</v>
      </c>
      <c r="C2929" s="39" t="s">
        <v>130</v>
      </c>
      <c r="D2929" s="39" t="n">
        <v>5</v>
      </c>
      <c r="E2929" s="41" t="n">
        <v>8.86</v>
      </c>
      <c r="F2929" s="39" t="s">
        <v>105</v>
      </c>
      <c r="G2929" s="39" t="str">
        <f aca="false">UPPER(TRIM(C2929))</f>
        <v>P011</v>
      </c>
      <c r="H2929" s="39" t="str">
        <f aca="false">IF(ISNUMBER(MATCH(G2929,Products!$A$5:$A$24,0)),"OK","Mismatch")</f>
        <v>OK</v>
      </c>
      <c r="I2929" s="39" t="str">
        <f aca="false">IF(COUNTIF($A$5:A2929,A2929)&gt;1,"Duplicate","Unique")</f>
        <v>Unique</v>
      </c>
      <c r="J2929" s="39" t="str">
        <f aca="false">IF(I2929="Duplicate","Remove",IF(H2929="Mismatch","Exclude","Keep"))</f>
        <v>Keep</v>
      </c>
    </row>
    <row r="2930" customFormat="false" ht="15" hidden="false" customHeight="false" outlineLevel="0" collapsed="false">
      <c r="A2930" s="39" t="s">
        <v>2971</v>
      </c>
      <c r="B2930" s="40" t="n">
        <v>46008</v>
      </c>
      <c r="C2930" s="39" t="s">
        <v>110</v>
      </c>
      <c r="D2930" s="39" t="n">
        <v>3</v>
      </c>
      <c r="E2930" s="41" t="n">
        <v>13.26</v>
      </c>
      <c r="F2930" s="39" t="s">
        <v>105</v>
      </c>
      <c r="G2930" s="39" t="str">
        <f aca="false">UPPER(TRIM(C2930))</f>
        <v>P016</v>
      </c>
      <c r="H2930" s="39" t="str">
        <f aca="false">IF(ISNUMBER(MATCH(G2930,Products!$A$5:$A$24,0)),"OK","Mismatch")</f>
        <v>OK</v>
      </c>
      <c r="I2930" s="39" t="str">
        <f aca="false">IF(COUNTIF($A$5:A2930,A2930)&gt;1,"Duplicate","Unique")</f>
        <v>Unique</v>
      </c>
      <c r="J2930" s="39" t="str">
        <f aca="false">IF(I2930="Duplicate","Remove",IF(H2930="Mismatch","Exclude","Keep"))</f>
        <v>Keep</v>
      </c>
    </row>
    <row r="2931" customFormat="false" ht="15" hidden="false" customHeight="false" outlineLevel="0" collapsed="false">
      <c r="A2931" s="39" t="s">
        <v>2972</v>
      </c>
      <c r="B2931" s="40" t="n">
        <v>46008</v>
      </c>
      <c r="C2931" s="39" t="s">
        <v>169</v>
      </c>
      <c r="D2931" s="39" t="n">
        <v>5</v>
      </c>
      <c r="E2931" s="41" t="n">
        <v>28.55</v>
      </c>
      <c r="F2931" s="39" t="s">
        <v>118</v>
      </c>
      <c r="G2931" s="39" t="str">
        <f aca="false">UPPER(TRIM(C2931))</f>
        <v>P004</v>
      </c>
      <c r="H2931" s="39" t="str">
        <f aca="false">IF(ISNUMBER(MATCH(G2931,Products!$A$5:$A$24,0)),"OK","Mismatch")</f>
        <v>OK</v>
      </c>
      <c r="I2931" s="39" t="str">
        <f aca="false">IF(COUNTIF($A$5:A2931,A2931)&gt;1,"Duplicate","Unique")</f>
        <v>Unique</v>
      </c>
      <c r="J2931" s="39" t="str">
        <f aca="false">IF(I2931="Duplicate","Remove",IF(H2931="Mismatch","Exclude","Keep"))</f>
        <v>Keep</v>
      </c>
    </row>
    <row r="2932" customFormat="false" ht="15" hidden="false" customHeight="false" outlineLevel="0" collapsed="false">
      <c r="A2932" s="39" t="s">
        <v>2973</v>
      </c>
      <c r="B2932" s="40" t="n">
        <v>46009</v>
      </c>
      <c r="C2932" s="39" t="s">
        <v>177</v>
      </c>
      <c r="D2932" s="39" t="n">
        <v>5</v>
      </c>
      <c r="E2932" s="41" t="n">
        <v>42.68</v>
      </c>
      <c r="F2932" s="39" t="s">
        <v>115</v>
      </c>
      <c r="G2932" s="39" t="str">
        <f aca="false">UPPER(TRIM(C2932))</f>
        <v>P014</v>
      </c>
      <c r="H2932" s="39" t="str">
        <f aca="false">IF(ISNUMBER(MATCH(G2932,Products!$A$5:$A$24,0)),"OK","Mismatch")</f>
        <v>OK</v>
      </c>
      <c r="I2932" s="39" t="str">
        <f aca="false">IF(COUNTIF($A$5:A2932,A2932)&gt;1,"Duplicate","Unique")</f>
        <v>Unique</v>
      </c>
      <c r="J2932" s="39" t="str">
        <f aca="false">IF(I2932="Duplicate","Remove",IF(H2932="Mismatch","Exclude","Keep"))</f>
        <v>Keep</v>
      </c>
    </row>
    <row r="2933" customFormat="false" ht="15" hidden="false" customHeight="false" outlineLevel="0" collapsed="false">
      <c r="A2933" s="39" t="s">
        <v>2974</v>
      </c>
      <c r="B2933" s="40" t="n">
        <v>46009</v>
      </c>
      <c r="C2933" s="39" t="s">
        <v>162</v>
      </c>
      <c r="D2933" s="39" t="n">
        <v>1</v>
      </c>
      <c r="E2933" s="41" t="n">
        <v>65.36</v>
      </c>
      <c r="F2933" s="39" t="s">
        <v>105</v>
      </c>
      <c r="G2933" s="39" t="str">
        <f aca="false">UPPER(TRIM(C2933))</f>
        <v>P017</v>
      </c>
      <c r="H2933" s="39" t="str">
        <f aca="false">IF(ISNUMBER(MATCH(G2933,Products!$A$5:$A$24,0)),"OK","Mismatch")</f>
        <v>OK</v>
      </c>
      <c r="I2933" s="39" t="str">
        <f aca="false">IF(COUNTIF($A$5:A2933,A2933)&gt;1,"Duplicate","Unique")</f>
        <v>Unique</v>
      </c>
      <c r="J2933" s="39" t="str">
        <f aca="false">IF(I2933="Duplicate","Remove",IF(H2933="Mismatch","Exclude","Keep"))</f>
        <v>Keep</v>
      </c>
    </row>
    <row r="2934" customFormat="false" ht="15" hidden="false" customHeight="false" outlineLevel="0" collapsed="false">
      <c r="A2934" s="39" t="s">
        <v>2975</v>
      </c>
      <c r="B2934" s="40" t="n">
        <v>46009</v>
      </c>
      <c r="C2934" s="39" t="s">
        <v>139</v>
      </c>
      <c r="D2934" s="39" t="n">
        <v>6</v>
      </c>
      <c r="E2934" s="41" t="n">
        <v>127.43</v>
      </c>
      <c r="F2934" s="39" t="s">
        <v>105</v>
      </c>
      <c r="G2934" s="39" t="str">
        <f aca="false">UPPER(TRIM(C2934))</f>
        <v>P006</v>
      </c>
      <c r="H2934" s="39" t="str">
        <f aca="false">IF(ISNUMBER(MATCH(G2934,Products!$A$5:$A$24,0)),"OK","Mismatch")</f>
        <v>OK</v>
      </c>
      <c r="I2934" s="39" t="str">
        <f aca="false">IF(COUNTIF($A$5:A2934,A2934)&gt;1,"Duplicate","Unique")</f>
        <v>Unique</v>
      </c>
      <c r="J2934" s="39" t="str">
        <f aca="false">IF(I2934="Duplicate","Remove",IF(H2934="Mismatch","Exclude","Keep"))</f>
        <v>Keep</v>
      </c>
    </row>
    <row r="2935" customFormat="false" ht="15" hidden="false" customHeight="false" outlineLevel="0" collapsed="false">
      <c r="A2935" s="39" t="s">
        <v>2976</v>
      </c>
      <c r="B2935" s="40" t="n">
        <v>46009</v>
      </c>
      <c r="C2935" s="39" t="s">
        <v>114</v>
      </c>
      <c r="D2935" s="39" t="n">
        <v>5</v>
      </c>
      <c r="E2935" s="41" t="n">
        <v>5.83</v>
      </c>
      <c r="F2935" s="39" t="s">
        <v>108</v>
      </c>
      <c r="G2935" s="39" t="str">
        <f aca="false">UPPER(TRIM(C2935))</f>
        <v>P012</v>
      </c>
      <c r="H2935" s="39" t="str">
        <f aca="false">IF(ISNUMBER(MATCH(G2935,Products!$A$5:$A$24,0)),"OK","Mismatch")</f>
        <v>OK</v>
      </c>
      <c r="I2935" s="39" t="str">
        <f aca="false">IF(COUNTIF($A$5:A2935,A2935)&gt;1,"Duplicate","Unique")</f>
        <v>Unique</v>
      </c>
      <c r="J2935" s="39" t="str">
        <f aca="false">IF(I2935="Duplicate","Remove",IF(H2935="Mismatch","Exclude","Keep"))</f>
        <v>Keep</v>
      </c>
    </row>
    <row r="2936" customFormat="false" ht="15" hidden="false" customHeight="false" outlineLevel="0" collapsed="false">
      <c r="A2936" s="39" t="s">
        <v>2977</v>
      </c>
      <c r="B2936" s="40" t="n">
        <v>46009</v>
      </c>
      <c r="C2936" s="39" t="s">
        <v>130</v>
      </c>
      <c r="D2936" s="39" t="n">
        <v>2</v>
      </c>
      <c r="E2936" s="41" t="n">
        <v>8.39</v>
      </c>
      <c r="F2936" s="39" t="s">
        <v>105</v>
      </c>
      <c r="G2936" s="39" t="str">
        <f aca="false">UPPER(TRIM(C2936))</f>
        <v>P011</v>
      </c>
      <c r="H2936" s="39" t="str">
        <f aca="false">IF(ISNUMBER(MATCH(G2936,Products!$A$5:$A$24,0)),"OK","Mismatch")</f>
        <v>OK</v>
      </c>
      <c r="I2936" s="39" t="str">
        <f aca="false">IF(COUNTIF($A$5:A2936,A2936)&gt;1,"Duplicate","Unique")</f>
        <v>Unique</v>
      </c>
      <c r="J2936" s="39" t="str">
        <f aca="false">IF(I2936="Duplicate","Remove",IF(H2936="Mismatch","Exclude","Keep"))</f>
        <v>Keep</v>
      </c>
    </row>
    <row r="2937" customFormat="false" ht="15" hidden="false" customHeight="false" outlineLevel="0" collapsed="false">
      <c r="A2937" s="39" t="s">
        <v>2978</v>
      </c>
      <c r="B2937" s="40" t="n">
        <v>46009</v>
      </c>
      <c r="C2937" s="39" t="s">
        <v>133</v>
      </c>
      <c r="D2937" s="39" t="n">
        <v>1</v>
      </c>
      <c r="E2937" s="41" t="n">
        <v>8.43</v>
      </c>
      <c r="F2937" s="39" t="s">
        <v>105</v>
      </c>
      <c r="G2937" s="39" t="str">
        <f aca="false">UPPER(TRIM(C2937))</f>
        <v>P019</v>
      </c>
      <c r="H2937" s="39" t="str">
        <f aca="false">IF(ISNUMBER(MATCH(G2937,Products!$A$5:$A$24,0)),"OK","Mismatch")</f>
        <v>OK</v>
      </c>
      <c r="I2937" s="39" t="str">
        <f aca="false">IF(COUNTIF($A$5:A2937,A2937)&gt;1,"Duplicate","Unique")</f>
        <v>Unique</v>
      </c>
      <c r="J2937" s="39" t="str">
        <f aca="false">IF(I2937="Duplicate","Remove",IF(H2937="Mismatch","Exclude","Keep"))</f>
        <v>Keep</v>
      </c>
    </row>
    <row r="2938" customFormat="false" ht="15" hidden="false" customHeight="false" outlineLevel="0" collapsed="false">
      <c r="A2938" s="39" t="s">
        <v>2979</v>
      </c>
      <c r="B2938" s="40" t="n">
        <v>46009</v>
      </c>
      <c r="C2938" s="39" t="s">
        <v>136</v>
      </c>
      <c r="D2938" s="39" t="n">
        <v>5</v>
      </c>
      <c r="E2938" s="41" t="n">
        <v>76.38</v>
      </c>
      <c r="F2938" s="39" t="s">
        <v>108</v>
      </c>
      <c r="G2938" s="39" t="str">
        <f aca="false">UPPER(TRIM(C2938))</f>
        <v>P002</v>
      </c>
      <c r="H2938" s="39" t="str">
        <f aca="false">IF(ISNUMBER(MATCH(G2938,Products!$A$5:$A$24,0)),"OK","Mismatch")</f>
        <v>OK</v>
      </c>
      <c r="I2938" s="39" t="str">
        <f aca="false">IF(COUNTIF($A$5:A2938,A2938)&gt;1,"Duplicate","Unique")</f>
        <v>Unique</v>
      </c>
      <c r="J2938" s="39" t="str">
        <f aca="false">IF(I2938="Duplicate","Remove",IF(H2938="Mismatch","Exclude","Keep"))</f>
        <v>Keep</v>
      </c>
    </row>
    <row r="2939" customFormat="false" ht="15" hidden="false" customHeight="false" outlineLevel="0" collapsed="false">
      <c r="A2939" s="39" t="s">
        <v>2980</v>
      </c>
      <c r="B2939" s="40" t="n">
        <v>46009</v>
      </c>
      <c r="C2939" s="39" t="s">
        <v>114</v>
      </c>
      <c r="D2939" s="39" t="n">
        <v>2</v>
      </c>
      <c r="E2939" s="41" t="n">
        <v>5.77</v>
      </c>
      <c r="F2939" s="39" t="s">
        <v>108</v>
      </c>
      <c r="G2939" s="39" t="str">
        <f aca="false">UPPER(TRIM(C2939))</f>
        <v>P012</v>
      </c>
      <c r="H2939" s="39" t="str">
        <f aca="false">IF(ISNUMBER(MATCH(G2939,Products!$A$5:$A$24,0)),"OK","Mismatch")</f>
        <v>OK</v>
      </c>
      <c r="I2939" s="39" t="str">
        <f aca="false">IF(COUNTIF($A$5:A2939,A2939)&gt;1,"Duplicate","Unique")</f>
        <v>Unique</v>
      </c>
      <c r="J2939" s="39" t="str">
        <f aca="false">IF(I2939="Duplicate","Remove",IF(H2939="Mismatch","Exclude","Keep"))</f>
        <v>Keep</v>
      </c>
    </row>
    <row r="2940" customFormat="false" ht="15" hidden="false" customHeight="false" outlineLevel="0" collapsed="false">
      <c r="A2940" s="39" t="s">
        <v>2981</v>
      </c>
      <c r="B2940" s="40" t="n">
        <v>46009</v>
      </c>
      <c r="C2940" s="39" t="s">
        <v>139</v>
      </c>
      <c r="D2940" s="39" t="n">
        <v>2</v>
      </c>
      <c r="E2940" s="41" t="n">
        <v>127.66</v>
      </c>
      <c r="F2940" s="39" t="s">
        <v>105</v>
      </c>
      <c r="G2940" s="39" t="str">
        <f aca="false">UPPER(TRIM(C2940))</f>
        <v>P006</v>
      </c>
      <c r="H2940" s="39" t="str">
        <f aca="false">IF(ISNUMBER(MATCH(G2940,Products!$A$5:$A$24,0)),"OK","Mismatch")</f>
        <v>OK</v>
      </c>
      <c r="I2940" s="39" t="str">
        <f aca="false">IF(COUNTIF($A$5:A2940,A2940)&gt;1,"Duplicate","Unique")</f>
        <v>Unique</v>
      </c>
      <c r="J2940" s="39" t="str">
        <f aca="false">IF(I2940="Duplicate","Remove",IF(H2940="Mismatch","Exclude","Keep"))</f>
        <v>Keep</v>
      </c>
    </row>
    <row r="2941" customFormat="false" ht="15" hidden="false" customHeight="false" outlineLevel="0" collapsed="false">
      <c r="A2941" s="39" t="s">
        <v>2982</v>
      </c>
      <c r="B2941" s="40" t="n">
        <v>46009</v>
      </c>
      <c r="C2941" s="39" t="s">
        <v>117</v>
      </c>
      <c r="D2941" s="39" t="n">
        <v>4</v>
      </c>
      <c r="E2941" s="41" t="n">
        <v>29.44</v>
      </c>
      <c r="F2941" s="39" t="s">
        <v>105</v>
      </c>
      <c r="G2941" s="39" t="str">
        <f aca="false">UPPER(TRIM(C2941))</f>
        <v>P009</v>
      </c>
      <c r="H2941" s="39" t="str">
        <f aca="false">IF(ISNUMBER(MATCH(G2941,Products!$A$5:$A$24,0)),"OK","Mismatch")</f>
        <v>OK</v>
      </c>
      <c r="I2941" s="39" t="str">
        <f aca="false">IF(COUNTIF($A$5:A2941,A2941)&gt;1,"Duplicate","Unique")</f>
        <v>Unique</v>
      </c>
      <c r="J2941" s="39" t="str">
        <f aca="false">IF(I2941="Duplicate","Remove",IF(H2941="Mismatch","Exclude","Keep"))</f>
        <v>Keep</v>
      </c>
    </row>
    <row r="2942" customFormat="false" ht="15" hidden="false" customHeight="false" outlineLevel="0" collapsed="false">
      <c r="A2942" s="39" t="s">
        <v>2982</v>
      </c>
      <c r="B2942" s="40" t="n">
        <v>46009</v>
      </c>
      <c r="C2942" s="39" t="s">
        <v>117</v>
      </c>
      <c r="D2942" s="39" t="n">
        <v>4</v>
      </c>
      <c r="E2942" s="41" t="n">
        <v>29.44</v>
      </c>
      <c r="F2942" s="39" t="s">
        <v>105</v>
      </c>
      <c r="G2942" s="39" t="str">
        <f aca="false">UPPER(TRIM(C2942))</f>
        <v>P009</v>
      </c>
      <c r="H2942" s="39" t="str">
        <f aca="false">IF(ISNUMBER(MATCH(G2942,Products!$A$5:$A$24,0)),"OK","Mismatch")</f>
        <v>OK</v>
      </c>
      <c r="I2942" s="39" t="str">
        <f aca="false">IF(COUNTIF($A$5:A2942,A2942)&gt;1,"Duplicate","Unique")</f>
        <v>Duplicate</v>
      </c>
      <c r="J2942" s="39" t="str">
        <f aca="false">IF(I2942="Duplicate","Remove",IF(H2942="Mismatch","Exclude","Keep"))</f>
        <v>Remove</v>
      </c>
    </row>
    <row r="2943" customFormat="false" ht="15" hidden="false" customHeight="false" outlineLevel="0" collapsed="false">
      <c r="A2943" s="39" t="s">
        <v>2983</v>
      </c>
      <c r="B2943" s="40" t="n">
        <v>46009</v>
      </c>
      <c r="C2943" s="39" t="s">
        <v>126</v>
      </c>
      <c r="D2943" s="39" t="n">
        <v>1</v>
      </c>
      <c r="E2943" s="41" t="n">
        <v>23.59</v>
      </c>
      <c r="F2943" s="39" t="s">
        <v>115</v>
      </c>
      <c r="G2943" s="39" t="str">
        <f aca="false">UPPER(TRIM(C2943))</f>
        <v>P001</v>
      </c>
      <c r="H2943" s="39" t="str">
        <f aca="false">IF(ISNUMBER(MATCH(G2943,Products!$A$5:$A$24,0)),"OK","Mismatch")</f>
        <v>OK</v>
      </c>
      <c r="I2943" s="39" t="str">
        <f aca="false">IF(COUNTIF($A$5:A2943,A2943)&gt;1,"Duplicate","Unique")</f>
        <v>Unique</v>
      </c>
      <c r="J2943" s="39" t="str">
        <f aca="false">IF(I2943="Duplicate","Remove",IF(H2943="Mismatch","Exclude","Keep"))</f>
        <v>Keep</v>
      </c>
    </row>
    <row r="2944" customFormat="false" ht="15" hidden="false" customHeight="false" outlineLevel="0" collapsed="false">
      <c r="A2944" s="39" t="s">
        <v>2984</v>
      </c>
      <c r="B2944" s="40" t="n">
        <v>46009</v>
      </c>
      <c r="C2944" s="39" t="s">
        <v>169</v>
      </c>
      <c r="D2944" s="39" t="n">
        <v>6</v>
      </c>
      <c r="E2944" s="41" t="n">
        <v>27.6</v>
      </c>
      <c r="F2944" s="39" t="s">
        <v>115</v>
      </c>
      <c r="G2944" s="39" t="str">
        <f aca="false">UPPER(TRIM(C2944))</f>
        <v>P004</v>
      </c>
      <c r="H2944" s="39" t="str">
        <f aca="false">IF(ISNUMBER(MATCH(G2944,Products!$A$5:$A$24,0)),"OK","Mismatch")</f>
        <v>OK</v>
      </c>
      <c r="I2944" s="39" t="str">
        <f aca="false">IF(COUNTIF($A$5:A2944,A2944)&gt;1,"Duplicate","Unique")</f>
        <v>Unique</v>
      </c>
      <c r="J2944" s="39" t="str">
        <f aca="false">IF(I2944="Duplicate","Remove",IF(H2944="Mismatch","Exclude","Keep"))</f>
        <v>Keep</v>
      </c>
    </row>
    <row r="2945" customFormat="false" ht="15" hidden="false" customHeight="false" outlineLevel="0" collapsed="false">
      <c r="A2945" s="39" t="s">
        <v>2985</v>
      </c>
      <c r="B2945" s="40" t="n">
        <v>46009</v>
      </c>
      <c r="C2945" s="39" t="s">
        <v>114</v>
      </c>
      <c r="D2945" s="39" t="n">
        <v>3</v>
      </c>
      <c r="E2945" s="41" t="n">
        <v>5.63</v>
      </c>
      <c r="F2945" s="39" t="s">
        <v>105</v>
      </c>
      <c r="G2945" s="39" t="str">
        <f aca="false">UPPER(TRIM(C2945))</f>
        <v>P012</v>
      </c>
      <c r="H2945" s="39" t="str">
        <f aca="false">IF(ISNUMBER(MATCH(G2945,Products!$A$5:$A$24,0)),"OK","Mismatch")</f>
        <v>OK</v>
      </c>
      <c r="I2945" s="39" t="str">
        <f aca="false">IF(COUNTIF($A$5:A2945,A2945)&gt;1,"Duplicate","Unique")</f>
        <v>Unique</v>
      </c>
      <c r="J2945" s="39" t="str">
        <f aca="false">IF(I2945="Duplicate","Remove",IF(H2945="Mismatch","Exclude","Keep"))</f>
        <v>Keep</v>
      </c>
    </row>
    <row r="2946" customFormat="false" ht="15" hidden="false" customHeight="false" outlineLevel="0" collapsed="false">
      <c r="A2946" s="39" t="s">
        <v>2986</v>
      </c>
      <c r="B2946" s="40" t="n">
        <v>46009</v>
      </c>
      <c r="C2946" s="39" t="s">
        <v>169</v>
      </c>
      <c r="D2946" s="39" t="n">
        <v>4</v>
      </c>
      <c r="E2946" s="41" t="n">
        <v>28.31</v>
      </c>
      <c r="F2946" s="39" t="s">
        <v>108</v>
      </c>
      <c r="G2946" s="39" t="str">
        <f aca="false">UPPER(TRIM(C2946))</f>
        <v>P004</v>
      </c>
      <c r="H2946" s="39" t="str">
        <f aca="false">IF(ISNUMBER(MATCH(G2946,Products!$A$5:$A$24,0)),"OK","Mismatch")</f>
        <v>OK</v>
      </c>
      <c r="I2946" s="39" t="str">
        <f aca="false">IF(COUNTIF($A$5:A2946,A2946)&gt;1,"Duplicate","Unique")</f>
        <v>Unique</v>
      </c>
      <c r="J2946" s="39" t="str">
        <f aca="false">IF(I2946="Duplicate","Remove",IF(H2946="Mismatch","Exclude","Keep"))</f>
        <v>Keep</v>
      </c>
    </row>
    <row r="2947" customFormat="false" ht="15" hidden="false" customHeight="false" outlineLevel="0" collapsed="false">
      <c r="A2947" s="39" t="s">
        <v>2987</v>
      </c>
      <c r="B2947" s="40" t="n">
        <v>46010</v>
      </c>
      <c r="C2947" s="39" t="s">
        <v>162</v>
      </c>
      <c r="D2947" s="39" t="n">
        <v>4</v>
      </c>
      <c r="E2947" s="41" t="n">
        <v>67.78</v>
      </c>
      <c r="F2947" s="39" t="s">
        <v>115</v>
      </c>
      <c r="G2947" s="39" t="str">
        <f aca="false">UPPER(TRIM(C2947))</f>
        <v>P017</v>
      </c>
      <c r="H2947" s="39" t="str">
        <f aca="false">IF(ISNUMBER(MATCH(G2947,Products!$A$5:$A$24,0)),"OK","Mismatch")</f>
        <v>OK</v>
      </c>
      <c r="I2947" s="39" t="str">
        <f aca="false">IF(COUNTIF($A$5:A2947,A2947)&gt;1,"Duplicate","Unique")</f>
        <v>Unique</v>
      </c>
      <c r="J2947" s="39" t="str">
        <f aca="false">IF(I2947="Duplicate","Remove",IF(H2947="Mismatch","Exclude","Keep"))</f>
        <v>Keep</v>
      </c>
    </row>
    <row r="2948" customFormat="false" ht="15" hidden="false" customHeight="false" outlineLevel="0" collapsed="false">
      <c r="A2948" s="39" t="s">
        <v>2988</v>
      </c>
      <c r="B2948" s="40" t="n">
        <v>46010</v>
      </c>
      <c r="C2948" s="39" t="s">
        <v>133</v>
      </c>
      <c r="D2948" s="39" t="n">
        <v>5</v>
      </c>
      <c r="E2948" s="41" t="n">
        <v>8.82</v>
      </c>
      <c r="F2948" s="39" t="s">
        <v>108</v>
      </c>
      <c r="G2948" s="39" t="str">
        <f aca="false">UPPER(TRIM(C2948))</f>
        <v>P019</v>
      </c>
      <c r="H2948" s="39" t="str">
        <f aca="false">IF(ISNUMBER(MATCH(G2948,Products!$A$5:$A$24,0)),"OK","Mismatch")</f>
        <v>OK</v>
      </c>
      <c r="I2948" s="39" t="str">
        <f aca="false">IF(COUNTIF($A$5:A2948,A2948)&gt;1,"Duplicate","Unique")</f>
        <v>Unique</v>
      </c>
      <c r="J2948" s="39" t="str">
        <f aca="false">IF(I2948="Duplicate","Remove",IF(H2948="Mismatch","Exclude","Keep"))</f>
        <v>Keep</v>
      </c>
    </row>
    <row r="2949" customFormat="false" ht="15" hidden="false" customHeight="false" outlineLevel="0" collapsed="false">
      <c r="A2949" s="39" t="s">
        <v>2989</v>
      </c>
      <c r="B2949" s="40" t="n">
        <v>46010</v>
      </c>
      <c r="C2949" s="39" t="s">
        <v>126</v>
      </c>
      <c r="D2949" s="39" t="n">
        <v>1</v>
      </c>
      <c r="E2949" s="41" t="n">
        <v>23.74</v>
      </c>
      <c r="F2949" s="39" t="s">
        <v>118</v>
      </c>
      <c r="G2949" s="39" t="str">
        <f aca="false">UPPER(TRIM(C2949))</f>
        <v>P001</v>
      </c>
      <c r="H2949" s="39" t="str">
        <f aca="false">IF(ISNUMBER(MATCH(G2949,Products!$A$5:$A$24,0)),"OK","Mismatch")</f>
        <v>OK</v>
      </c>
      <c r="I2949" s="39" t="str">
        <f aca="false">IF(COUNTIF($A$5:A2949,A2949)&gt;1,"Duplicate","Unique")</f>
        <v>Unique</v>
      </c>
      <c r="J2949" s="39" t="str">
        <f aca="false">IF(I2949="Duplicate","Remove",IF(H2949="Mismatch","Exclude","Keep"))</f>
        <v>Keep</v>
      </c>
    </row>
    <row r="2950" customFormat="false" ht="15" hidden="false" customHeight="false" outlineLevel="0" collapsed="false">
      <c r="A2950" s="39" t="s">
        <v>2990</v>
      </c>
      <c r="B2950" s="40" t="n">
        <v>46010</v>
      </c>
      <c r="C2950" s="39" t="s">
        <v>162</v>
      </c>
      <c r="D2950" s="39" t="n">
        <v>1</v>
      </c>
      <c r="E2950" s="41" t="n">
        <v>64.48</v>
      </c>
      <c r="F2950" s="39" t="s">
        <v>108</v>
      </c>
      <c r="G2950" s="39" t="str">
        <f aca="false">UPPER(TRIM(C2950))</f>
        <v>P017</v>
      </c>
      <c r="H2950" s="39" t="str">
        <f aca="false">IF(ISNUMBER(MATCH(G2950,Products!$A$5:$A$24,0)),"OK","Mismatch")</f>
        <v>OK</v>
      </c>
      <c r="I2950" s="39" t="str">
        <f aca="false">IF(COUNTIF($A$5:A2950,A2950)&gt;1,"Duplicate","Unique")</f>
        <v>Unique</v>
      </c>
      <c r="J2950" s="39" t="str">
        <f aca="false">IF(I2950="Duplicate","Remove",IF(H2950="Mismatch","Exclude","Keep"))</f>
        <v>Keep</v>
      </c>
    </row>
    <row r="2951" customFormat="false" ht="15" hidden="false" customHeight="false" outlineLevel="0" collapsed="false">
      <c r="A2951" s="39" t="s">
        <v>2991</v>
      </c>
      <c r="B2951" s="40" t="n">
        <v>46010</v>
      </c>
      <c r="C2951" s="39" t="s">
        <v>110</v>
      </c>
      <c r="D2951" s="39" t="n">
        <v>5</v>
      </c>
      <c r="E2951" s="41" t="n">
        <v>13.62</v>
      </c>
      <c r="F2951" s="39" t="s">
        <v>108</v>
      </c>
      <c r="G2951" s="39" t="str">
        <f aca="false">UPPER(TRIM(C2951))</f>
        <v>P016</v>
      </c>
      <c r="H2951" s="39" t="str">
        <f aca="false">IF(ISNUMBER(MATCH(G2951,Products!$A$5:$A$24,0)),"OK","Mismatch")</f>
        <v>OK</v>
      </c>
      <c r="I2951" s="39" t="str">
        <f aca="false">IF(COUNTIF($A$5:A2951,A2951)&gt;1,"Duplicate","Unique")</f>
        <v>Unique</v>
      </c>
      <c r="J2951" s="39" t="str">
        <f aca="false">IF(I2951="Duplicate","Remove",IF(H2951="Mismatch","Exclude","Keep"))</f>
        <v>Keep</v>
      </c>
    </row>
    <row r="2952" customFormat="false" ht="15" hidden="false" customHeight="false" outlineLevel="0" collapsed="false">
      <c r="A2952" s="39" t="s">
        <v>2992</v>
      </c>
      <c r="B2952" s="40" t="n">
        <v>46010</v>
      </c>
      <c r="C2952" s="39" t="s">
        <v>128</v>
      </c>
      <c r="D2952" s="39" t="n">
        <v>1</v>
      </c>
      <c r="E2952" s="41" t="n">
        <v>38.67</v>
      </c>
      <c r="F2952" s="39" t="s">
        <v>118</v>
      </c>
      <c r="G2952" s="39" t="str">
        <f aca="false">UPPER(TRIM(C2952))</f>
        <v>P020</v>
      </c>
      <c r="H2952" s="39" t="str">
        <f aca="false">IF(ISNUMBER(MATCH(G2952,Products!$A$5:$A$24,0)),"OK","Mismatch")</f>
        <v>OK</v>
      </c>
      <c r="I2952" s="39" t="str">
        <f aca="false">IF(COUNTIF($A$5:A2952,A2952)&gt;1,"Duplicate","Unique")</f>
        <v>Unique</v>
      </c>
      <c r="J2952" s="39" t="str">
        <f aca="false">IF(I2952="Duplicate","Remove",IF(H2952="Mismatch","Exclude","Keep"))</f>
        <v>Keep</v>
      </c>
    </row>
    <row r="2953" customFormat="false" ht="15" hidden="false" customHeight="false" outlineLevel="0" collapsed="false">
      <c r="A2953" s="39" t="s">
        <v>2993</v>
      </c>
      <c r="B2953" s="40" t="n">
        <v>46010</v>
      </c>
      <c r="C2953" s="39" t="s">
        <v>107</v>
      </c>
      <c r="D2953" s="39" t="n">
        <v>2</v>
      </c>
      <c r="E2953" s="41" t="n">
        <v>34.61</v>
      </c>
      <c r="F2953" s="39" t="s">
        <v>115</v>
      </c>
      <c r="G2953" s="39" t="str">
        <f aca="false">UPPER(TRIM(C2953))</f>
        <v>P003</v>
      </c>
      <c r="H2953" s="39" t="str">
        <f aca="false">IF(ISNUMBER(MATCH(G2953,Products!$A$5:$A$24,0)),"OK","Mismatch")</f>
        <v>OK</v>
      </c>
      <c r="I2953" s="39" t="str">
        <f aca="false">IF(COUNTIF($A$5:A2953,A2953)&gt;1,"Duplicate","Unique")</f>
        <v>Unique</v>
      </c>
      <c r="J2953" s="39" t="str">
        <f aca="false">IF(I2953="Duplicate","Remove",IF(H2953="Mismatch","Exclude","Keep"))</f>
        <v>Keep</v>
      </c>
    </row>
    <row r="2954" customFormat="false" ht="15" hidden="false" customHeight="false" outlineLevel="0" collapsed="false">
      <c r="A2954" s="39" t="s">
        <v>2994</v>
      </c>
      <c r="B2954" s="40" t="n">
        <v>46010</v>
      </c>
      <c r="C2954" s="39" t="s">
        <v>139</v>
      </c>
      <c r="D2954" s="39" t="n">
        <v>1</v>
      </c>
      <c r="E2954" s="41" t="n">
        <v>128.81</v>
      </c>
      <c r="F2954" s="39" t="s">
        <v>108</v>
      </c>
      <c r="G2954" s="39" t="str">
        <f aca="false">UPPER(TRIM(C2954))</f>
        <v>P006</v>
      </c>
      <c r="H2954" s="39" t="str">
        <f aca="false">IF(ISNUMBER(MATCH(G2954,Products!$A$5:$A$24,0)),"OK","Mismatch")</f>
        <v>OK</v>
      </c>
      <c r="I2954" s="39" t="str">
        <f aca="false">IF(COUNTIF($A$5:A2954,A2954)&gt;1,"Duplicate","Unique")</f>
        <v>Unique</v>
      </c>
      <c r="J2954" s="39" t="str">
        <f aca="false">IF(I2954="Duplicate","Remove",IF(H2954="Mismatch","Exclude","Keep"))</f>
        <v>Keep</v>
      </c>
    </row>
    <row r="2955" customFormat="false" ht="15" hidden="false" customHeight="false" outlineLevel="0" collapsed="false">
      <c r="A2955" s="39" t="s">
        <v>2995</v>
      </c>
      <c r="B2955" s="40" t="n">
        <v>46010</v>
      </c>
      <c r="C2955" s="39" t="s">
        <v>133</v>
      </c>
      <c r="D2955" s="39" t="n">
        <v>5</v>
      </c>
      <c r="E2955" s="41" t="n">
        <v>8.68</v>
      </c>
      <c r="F2955" s="39" t="s">
        <v>118</v>
      </c>
      <c r="G2955" s="39" t="str">
        <f aca="false">UPPER(TRIM(C2955))</f>
        <v>P019</v>
      </c>
      <c r="H2955" s="39" t="str">
        <f aca="false">IF(ISNUMBER(MATCH(G2955,Products!$A$5:$A$24,0)),"OK","Mismatch")</f>
        <v>OK</v>
      </c>
      <c r="I2955" s="39" t="str">
        <f aca="false">IF(COUNTIF($A$5:A2955,A2955)&gt;1,"Duplicate","Unique")</f>
        <v>Unique</v>
      </c>
      <c r="J2955" s="39" t="str">
        <f aca="false">IF(I2955="Duplicate","Remove",IF(H2955="Mismatch","Exclude","Keep"))</f>
        <v>Keep</v>
      </c>
    </row>
    <row r="2956" customFormat="false" ht="15" hidden="false" customHeight="false" outlineLevel="0" collapsed="false">
      <c r="A2956" s="39" t="s">
        <v>2996</v>
      </c>
      <c r="B2956" s="40" t="n">
        <v>46011</v>
      </c>
      <c r="C2956" s="39" t="s">
        <v>3180</v>
      </c>
      <c r="D2956" s="39" t="n">
        <v>2</v>
      </c>
      <c r="E2956" s="41" t="n">
        <v>5.9</v>
      </c>
      <c r="F2956" s="39" t="s">
        <v>115</v>
      </c>
      <c r="G2956" s="39" t="str">
        <f aca="false">UPPER(TRIM(C2956))</f>
        <v>P012</v>
      </c>
      <c r="H2956" s="39" t="str">
        <f aca="false">IF(ISNUMBER(MATCH(G2956,Products!$A$5:$A$24,0)),"OK","Mismatch")</f>
        <v>OK</v>
      </c>
      <c r="I2956" s="39" t="str">
        <f aca="false">IF(COUNTIF($A$5:A2956,A2956)&gt;1,"Duplicate","Unique")</f>
        <v>Unique</v>
      </c>
      <c r="J2956" s="39" t="str">
        <f aca="false">IF(I2956="Duplicate","Remove",IF(H2956="Mismatch","Exclude","Keep"))</f>
        <v>Keep</v>
      </c>
    </row>
    <row r="2957" customFormat="false" ht="15" hidden="false" customHeight="false" outlineLevel="0" collapsed="false">
      <c r="A2957" s="39" t="s">
        <v>2997</v>
      </c>
      <c r="B2957" s="40" t="n">
        <v>46011</v>
      </c>
      <c r="C2957" s="39" t="s">
        <v>136</v>
      </c>
      <c r="D2957" s="39" t="n">
        <v>2</v>
      </c>
      <c r="E2957" s="41" t="n">
        <v>75.9</v>
      </c>
      <c r="F2957" s="39" t="s">
        <v>108</v>
      </c>
      <c r="G2957" s="39" t="str">
        <f aca="false">UPPER(TRIM(C2957))</f>
        <v>P002</v>
      </c>
      <c r="H2957" s="39" t="str">
        <f aca="false">IF(ISNUMBER(MATCH(G2957,Products!$A$5:$A$24,0)),"OK","Mismatch")</f>
        <v>OK</v>
      </c>
      <c r="I2957" s="39" t="str">
        <f aca="false">IF(COUNTIF($A$5:A2957,A2957)&gt;1,"Duplicate","Unique")</f>
        <v>Unique</v>
      </c>
      <c r="J2957" s="39" t="str">
        <f aca="false">IF(I2957="Duplicate","Remove",IF(H2957="Mismatch","Exclude","Keep"))</f>
        <v>Keep</v>
      </c>
    </row>
    <row r="2958" customFormat="false" ht="15" hidden="false" customHeight="false" outlineLevel="0" collapsed="false">
      <c r="A2958" s="39" t="s">
        <v>2998</v>
      </c>
      <c r="B2958" s="40" t="n">
        <v>46011</v>
      </c>
      <c r="C2958" s="39" t="s">
        <v>114</v>
      </c>
      <c r="D2958" s="39" t="n">
        <v>4</v>
      </c>
      <c r="E2958" s="41" t="n">
        <v>5.81</v>
      </c>
      <c r="F2958" s="39" t="s">
        <v>115</v>
      </c>
      <c r="G2958" s="39" t="str">
        <f aca="false">UPPER(TRIM(C2958))</f>
        <v>P012</v>
      </c>
      <c r="H2958" s="39" t="str">
        <f aca="false">IF(ISNUMBER(MATCH(G2958,Products!$A$5:$A$24,0)),"OK","Mismatch")</f>
        <v>OK</v>
      </c>
      <c r="I2958" s="39" t="str">
        <f aca="false">IF(COUNTIF($A$5:A2958,A2958)&gt;1,"Duplicate","Unique")</f>
        <v>Unique</v>
      </c>
      <c r="J2958" s="39" t="str">
        <f aca="false">IF(I2958="Duplicate","Remove",IF(H2958="Mismatch","Exclude","Keep"))</f>
        <v>Keep</v>
      </c>
    </row>
    <row r="2959" customFormat="false" ht="15" hidden="false" customHeight="false" outlineLevel="0" collapsed="false">
      <c r="A2959" s="39" t="s">
        <v>2999</v>
      </c>
      <c r="B2959" s="40" t="n">
        <v>46011</v>
      </c>
      <c r="C2959" s="39" t="s">
        <v>128</v>
      </c>
      <c r="D2959" s="39" t="n">
        <v>1</v>
      </c>
      <c r="E2959" s="41" t="n">
        <v>36.94</v>
      </c>
      <c r="F2959" s="39" t="s">
        <v>105</v>
      </c>
      <c r="G2959" s="39" t="str">
        <f aca="false">UPPER(TRIM(C2959))</f>
        <v>P020</v>
      </c>
      <c r="H2959" s="39" t="str">
        <f aca="false">IF(ISNUMBER(MATCH(G2959,Products!$A$5:$A$24,0)),"OK","Mismatch")</f>
        <v>OK</v>
      </c>
      <c r="I2959" s="39" t="str">
        <f aca="false">IF(COUNTIF($A$5:A2959,A2959)&gt;1,"Duplicate","Unique")</f>
        <v>Unique</v>
      </c>
      <c r="J2959" s="39" t="str">
        <f aca="false">IF(I2959="Duplicate","Remove",IF(H2959="Mismatch","Exclude","Keep"))</f>
        <v>Keep</v>
      </c>
    </row>
    <row r="2960" customFormat="false" ht="15" hidden="false" customHeight="false" outlineLevel="0" collapsed="false">
      <c r="A2960" s="39" t="s">
        <v>3000</v>
      </c>
      <c r="B2960" s="40" t="n">
        <v>46011</v>
      </c>
      <c r="C2960" s="39" t="s">
        <v>153</v>
      </c>
      <c r="D2960" s="39" t="n">
        <v>2</v>
      </c>
      <c r="E2960" s="41" t="n">
        <v>172</v>
      </c>
      <c r="F2960" s="39" t="s">
        <v>105</v>
      </c>
      <c r="G2960" s="39" t="str">
        <f aca="false">UPPER(TRIM(C2960))</f>
        <v>P010</v>
      </c>
      <c r="H2960" s="39" t="str">
        <f aca="false">IF(ISNUMBER(MATCH(G2960,Products!$A$5:$A$24,0)),"OK","Mismatch")</f>
        <v>OK</v>
      </c>
      <c r="I2960" s="39" t="str">
        <f aca="false">IF(COUNTIF($A$5:A2960,A2960)&gt;1,"Duplicate","Unique")</f>
        <v>Unique</v>
      </c>
      <c r="J2960" s="39" t="str">
        <f aca="false">IF(I2960="Duplicate","Remove",IF(H2960="Mismatch","Exclude","Keep"))</f>
        <v>Keep</v>
      </c>
    </row>
    <row r="2961" customFormat="false" ht="15" hidden="false" customHeight="false" outlineLevel="0" collapsed="false">
      <c r="A2961" s="39" t="s">
        <v>3001</v>
      </c>
      <c r="B2961" s="40" t="n">
        <v>46011</v>
      </c>
      <c r="C2961" s="39" t="s">
        <v>177</v>
      </c>
      <c r="D2961" s="39" t="n">
        <v>4</v>
      </c>
      <c r="E2961" s="41" t="n">
        <v>43.16</v>
      </c>
      <c r="F2961" s="39" t="s">
        <v>105</v>
      </c>
      <c r="G2961" s="39" t="str">
        <f aca="false">UPPER(TRIM(C2961))</f>
        <v>P014</v>
      </c>
      <c r="H2961" s="39" t="str">
        <f aca="false">IF(ISNUMBER(MATCH(G2961,Products!$A$5:$A$24,0)),"OK","Mismatch")</f>
        <v>OK</v>
      </c>
      <c r="I2961" s="39" t="str">
        <f aca="false">IF(COUNTIF($A$5:A2961,A2961)&gt;1,"Duplicate","Unique")</f>
        <v>Unique</v>
      </c>
      <c r="J2961" s="39" t="str">
        <f aca="false">IF(I2961="Duplicate","Remove",IF(H2961="Mismatch","Exclude","Keep"))</f>
        <v>Keep</v>
      </c>
    </row>
    <row r="2962" customFormat="false" ht="15" hidden="false" customHeight="false" outlineLevel="0" collapsed="false">
      <c r="A2962" s="39" t="s">
        <v>3002</v>
      </c>
      <c r="B2962" s="40" t="n">
        <v>46011</v>
      </c>
      <c r="C2962" s="39" t="s">
        <v>128</v>
      </c>
      <c r="D2962" s="39" t="n">
        <v>5</v>
      </c>
      <c r="E2962" s="41" t="n">
        <v>37.07</v>
      </c>
      <c r="F2962" s="39" t="s">
        <v>108</v>
      </c>
      <c r="G2962" s="39" t="str">
        <f aca="false">UPPER(TRIM(C2962))</f>
        <v>P020</v>
      </c>
      <c r="H2962" s="39" t="str">
        <f aca="false">IF(ISNUMBER(MATCH(G2962,Products!$A$5:$A$24,0)),"OK","Mismatch")</f>
        <v>OK</v>
      </c>
      <c r="I2962" s="39" t="str">
        <f aca="false">IF(COUNTIF($A$5:A2962,A2962)&gt;1,"Duplicate","Unique")</f>
        <v>Unique</v>
      </c>
      <c r="J2962" s="39" t="str">
        <f aca="false">IF(I2962="Duplicate","Remove",IF(H2962="Mismatch","Exclude","Keep"))</f>
        <v>Keep</v>
      </c>
    </row>
    <row r="2963" customFormat="false" ht="15" hidden="false" customHeight="false" outlineLevel="0" collapsed="false">
      <c r="A2963" s="39" t="s">
        <v>3003</v>
      </c>
      <c r="B2963" s="40" t="n">
        <v>46011</v>
      </c>
      <c r="C2963" s="39" t="s">
        <v>110</v>
      </c>
      <c r="D2963" s="39" t="n">
        <v>2</v>
      </c>
      <c r="E2963" s="41" t="n">
        <v>13.42</v>
      </c>
      <c r="F2963" s="39" t="s">
        <v>115</v>
      </c>
      <c r="G2963" s="39" t="str">
        <f aca="false">UPPER(TRIM(C2963))</f>
        <v>P016</v>
      </c>
      <c r="H2963" s="39" t="str">
        <f aca="false">IF(ISNUMBER(MATCH(G2963,Products!$A$5:$A$24,0)),"OK","Mismatch")</f>
        <v>OK</v>
      </c>
      <c r="I2963" s="39" t="str">
        <f aca="false">IF(COUNTIF($A$5:A2963,A2963)&gt;1,"Duplicate","Unique")</f>
        <v>Unique</v>
      </c>
      <c r="J2963" s="39" t="str">
        <f aca="false">IF(I2963="Duplicate","Remove",IF(H2963="Mismatch","Exclude","Keep"))</f>
        <v>Keep</v>
      </c>
    </row>
    <row r="2964" customFormat="false" ht="15" hidden="false" customHeight="false" outlineLevel="0" collapsed="false">
      <c r="A2964" s="39" t="s">
        <v>3004</v>
      </c>
      <c r="B2964" s="40" t="n">
        <v>46011</v>
      </c>
      <c r="C2964" s="39" t="s">
        <v>305</v>
      </c>
      <c r="D2964" s="39" t="n">
        <v>3</v>
      </c>
      <c r="E2964" s="41" t="n">
        <v>342.47</v>
      </c>
      <c r="F2964" s="39" t="s">
        <v>118</v>
      </c>
      <c r="G2964" s="39" t="str">
        <f aca="false">UPPER(TRIM(C2964))</f>
        <v>P008</v>
      </c>
      <c r="H2964" s="39" t="str">
        <f aca="false">IF(ISNUMBER(MATCH(G2964,Products!$A$5:$A$24,0)),"OK","Mismatch")</f>
        <v>OK</v>
      </c>
      <c r="I2964" s="39" t="str">
        <f aca="false">IF(COUNTIF($A$5:A2964,A2964)&gt;1,"Duplicate","Unique")</f>
        <v>Unique</v>
      </c>
      <c r="J2964" s="39" t="str">
        <f aca="false">IF(I2964="Duplicate","Remove",IF(H2964="Mismatch","Exclude","Keep"))</f>
        <v>Keep</v>
      </c>
    </row>
    <row r="2965" customFormat="false" ht="15" hidden="false" customHeight="false" outlineLevel="0" collapsed="false">
      <c r="A2965" s="39" t="s">
        <v>3005</v>
      </c>
      <c r="B2965" s="40" t="n">
        <v>46011</v>
      </c>
      <c r="C2965" s="39" t="s">
        <v>162</v>
      </c>
      <c r="D2965" s="39" t="n">
        <v>2</v>
      </c>
      <c r="E2965" s="41" t="n">
        <v>66.47</v>
      </c>
      <c r="F2965" s="39" t="s">
        <v>118</v>
      </c>
      <c r="G2965" s="39" t="str">
        <f aca="false">UPPER(TRIM(C2965))</f>
        <v>P017</v>
      </c>
      <c r="H2965" s="39" t="str">
        <f aca="false">IF(ISNUMBER(MATCH(G2965,Products!$A$5:$A$24,0)),"OK","Mismatch")</f>
        <v>OK</v>
      </c>
      <c r="I2965" s="39" t="str">
        <f aca="false">IF(COUNTIF($A$5:A2965,A2965)&gt;1,"Duplicate","Unique")</f>
        <v>Unique</v>
      </c>
      <c r="J2965" s="39" t="str">
        <f aca="false">IF(I2965="Duplicate","Remove",IF(H2965="Mismatch","Exclude","Keep"))</f>
        <v>Keep</v>
      </c>
    </row>
    <row r="2966" customFormat="false" ht="15" hidden="false" customHeight="false" outlineLevel="0" collapsed="false">
      <c r="A2966" s="39" t="s">
        <v>3006</v>
      </c>
      <c r="B2966" s="40" t="n">
        <v>46011</v>
      </c>
      <c r="C2966" s="39" t="s">
        <v>110</v>
      </c>
      <c r="D2966" s="39" t="n">
        <v>2</v>
      </c>
      <c r="E2966" s="41" t="n">
        <v>13.93</v>
      </c>
      <c r="F2966" s="39" t="s">
        <v>105</v>
      </c>
      <c r="G2966" s="39" t="str">
        <f aca="false">UPPER(TRIM(C2966))</f>
        <v>P016</v>
      </c>
      <c r="H2966" s="39" t="str">
        <f aca="false">IF(ISNUMBER(MATCH(G2966,Products!$A$5:$A$24,0)),"OK","Mismatch")</f>
        <v>OK</v>
      </c>
      <c r="I2966" s="39" t="str">
        <f aca="false">IF(COUNTIF($A$5:A2966,A2966)&gt;1,"Duplicate","Unique")</f>
        <v>Unique</v>
      </c>
      <c r="J2966" s="39" t="str">
        <f aca="false">IF(I2966="Duplicate","Remove",IF(H2966="Mismatch","Exclude","Keep"))</f>
        <v>Keep</v>
      </c>
    </row>
    <row r="2967" customFormat="false" ht="15" hidden="false" customHeight="false" outlineLevel="0" collapsed="false">
      <c r="A2967" s="39" t="s">
        <v>3007</v>
      </c>
      <c r="B2967" s="40" t="n">
        <v>46011</v>
      </c>
      <c r="C2967" s="39" t="s">
        <v>136</v>
      </c>
      <c r="D2967" s="39" t="n">
        <v>1</v>
      </c>
      <c r="E2967" s="41" t="n">
        <v>75.93</v>
      </c>
      <c r="F2967" s="39" t="s">
        <v>118</v>
      </c>
      <c r="G2967" s="39" t="str">
        <f aca="false">UPPER(TRIM(C2967))</f>
        <v>P002</v>
      </c>
      <c r="H2967" s="39" t="str">
        <f aca="false">IF(ISNUMBER(MATCH(G2967,Products!$A$5:$A$24,0)),"OK","Mismatch")</f>
        <v>OK</v>
      </c>
      <c r="I2967" s="39" t="str">
        <f aca="false">IF(COUNTIF($A$5:A2967,A2967)&gt;1,"Duplicate","Unique")</f>
        <v>Unique</v>
      </c>
      <c r="J2967" s="39" t="str">
        <f aca="false">IF(I2967="Duplicate","Remove",IF(H2967="Mismatch","Exclude","Keep"))</f>
        <v>Keep</v>
      </c>
    </row>
    <row r="2968" customFormat="false" ht="15" hidden="false" customHeight="false" outlineLevel="0" collapsed="false">
      <c r="A2968" s="39" t="s">
        <v>3008</v>
      </c>
      <c r="B2968" s="40" t="n">
        <v>46011</v>
      </c>
      <c r="C2968" s="39" t="s">
        <v>117</v>
      </c>
      <c r="D2968" s="39" t="n">
        <v>6</v>
      </c>
      <c r="E2968" s="41" t="n">
        <v>31.14</v>
      </c>
      <c r="F2968" s="39" t="s">
        <v>118</v>
      </c>
      <c r="G2968" s="39" t="str">
        <f aca="false">UPPER(TRIM(C2968))</f>
        <v>P009</v>
      </c>
      <c r="H2968" s="39" t="str">
        <f aca="false">IF(ISNUMBER(MATCH(G2968,Products!$A$5:$A$24,0)),"OK","Mismatch")</f>
        <v>OK</v>
      </c>
      <c r="I2968" s="39" t="str">
        <f aca="false">IF(COUNTIF($A$5:A2968,A2968)&gt;1,"Duplicate","Unique")</f>
        <v>Unique</v>
      </c>
      <c r="J2968" s="39" t="str">
        <f aca="false">IF(I2968="Duplicate","Remove",IF(H2968="Mismatch","Exclude","Keep"))</f>
        <v>Keep</v>
      </c>
    </row>
    <row r="2969" customFormat="false" ht="15" hidden="false" customHeight="false" outlineLevel="0" collapsed="false">
      <c r="A2969" s="39" t="s">
        <v>3009</v>
      </c>
      <c r="B2969" s="40" t="n">
        <v>46011</v>
      </c>
      <c r="C2969" s="39" t="s">
        <v>128</v>
      </c>
      <c r="D2969" s="39" t="n">
        <v>4</v>
      </c>
      <c r="E2969" s="41" t="n">
        <v>35.99</v>
      </c>
      <c r="F2969" s="39" t="s">
        <v>105</v>
      </c>
      <c r="G2969" s="39" t="str">
        <f aca="false">UPPER(TRIM(C2969))</f>
        <v>P020</v>
      </c>
      <c r="H2969" s="39" t="str">
        <f aca="false">IF(ISNUMBER(MATCH(G2969,Products!$A$5:$A$24,0)),"OK","Mismatch")</f>
        <v>OK</v>
      </c>
      <c r="I2969" s="39" t="str">
        <f aca="false">IF(COUNTIF($A$5:A2969,A2969)&gt;1,"Duplicate","Unique")</f>
        <v>Unique</v>
      </c>
      <c r="J2969" s="39" t="str">
        <f aca="false">IF(I2969="Duplicate","Remove",IF(H2969="Mismatch","Exclude","Keep"))</f>
        <v>Keep</v>
      </c>
    </row>
    <row r="2970" customFormat="false" ht="15" hidden="false" customHeight="false" outlineLevel="0" collapsed="false">
      <c r="A2970" s="39" t="s">
        <v>3010</v>
      </c>
      <c r="B2970" s="40" t="n">
        <v>46011</v>
      </c>
      <c r="C2970" s="39" t="s">
        <v>183</v>
      </c>
      <c r="D2970" s="39" t="n">
        <v>1</v>
      </c>
      <c r="E2970" s="41" t="n">
        <v>180.88</v>
      </c>
      <c r="F2970" s="39" t="s">
        <v>108</v>
      </c>
      <c r="G2970" s="39" t="str">
        <f aca="false">UPPER(TRIM(C2970))</f>
        <v>P007</v>
      </c>
      <c r="H2970" s="39" t="str">
        <f aca="false">IF(ISNUMBER(MATCH(G2970,Products!$A$5:$A$24,0)),"OK","Mismatch")</f>
        <v>OK</v>
      </c>
      <c r="I2970" s="39" t="str">
        <f aca="false">IF(COUNTIF($A$5:A2970,A2970)&gt;1,"Duplicate","Unique")</f>
        <v>Unique</v>
      </c>
      <c r="J2970" s="39" t="str">
        <f aca="false">IF(I2970="Duplicate","Remove",IF(H2970="Mismatch","Exclude","Keep"))</f>
        <v>Keep</v>
      </c>
    </row>
    <row r="2971" customFormat="false" ht="15" hidden="false" customHeight="false" outlineLevel="0" collapsed="false">
      <c r="A2971" s="39" t="s">
        <v>3011</v>
      </c>
      <c r="B2971" s="40" t="n">
        <v>46011</v>
      </c>
      <c r="C2971" s="39" t="s">
        <v>128</v>
      </c>
      <c r="D2971" s="39" t="n">
        <v>4</v>
      </c>
      <c r="E2971" s="41" t="n">
        <v>38.2</v>
      </c>
      <c r="F2971" s="39" t="s">
        <v>115</v>
      </c>
      <c r="G2971" s="39" t="str">
        <f aca="false">UPPER(TRIM(C2971))</f>
        <v>P020</v>
      </c>
      <c r="H2971" s="39" t="str">
        <f aca="false">IF(ISNUMBER(MATCH(G2971,Products!$A$5:$A$24,0)),"OK","Mismatch")</f>
        <v>OK</v>
      </c>
      <c r="I2971" s="39" t="str">
        <f aca="false">IF(COUNTIF($A$5:A2971,A2971)&gt;1,"Duplicate","Unique")</f>
        <v>Unique</v>
      </c>
      <c r="J2971" s="39" t="str">
        <f aca="false">IF(I2971="Duplicate","Remove",IF(H2971="Mismatch","Exclude","Keep"))</f>
        <v>Keep</v>
      </c>
    </row>
    <row r="2972" customFormat="false" ht="15" hidden="false" customHeight="false" outlineLevel="0" collapsed="false">
      <c r="A2972" s="39" t="s">
        <v>3012</v>
      </c>
      <c r="B2972" s="40" t="n">
        <v>46011</v>
      </c>
      <c r="C2972" s="39" t="s">
        <v>126</v>
      </c>
      <c r="D2972" s="39" t="n">
        <v>3</v>
      </c>
      <c r="E2972" s="41" t="n">
        <v>23.96</v>
      </c>
      <c r="F2972" s="39" t="s">
        <v>105</v>
      </c>
      <c r="G2972" s="39" t="str">
        <f aca="false">UPPER(TRIM(C2972))</f>
        <v>P001</v>
      </c>
      <c r="H2972" s="39" t="str">
        <f aca="false">IF(ISNUMBER(MATCH(G2972,Products!$A$5:$A$24,0)),"OK","Mismatch")</f>
        <v>OK</v>
      </c>
      <c r="I2972" s="39" t="str">
        <f aca="false">IF(COUNTIF($A$5:A2972,A2972)&gt;1,"Duplicate","Unique")</f>
        <v>Unique</v>
      </c>
      <c r="J2972" s="39" t="str">
        <f aca="false">IF(I2972="Duplicate","Remove",IF(H2972="Mismatch","Exclude","Keep"))</f>
        <v>Keep</v>
      </c>
    </row>
    <row r="2973" customFormat="false" ht="15" hidden="false" customHeight="false" outlineLevel="0" collapsed="false">
      <c r="A2973" s="39" t="s">
        <v>3013</v>
      </c>
      <c r="B2973" s="40" t="n">
        <v>46011</v>
      </c>
      <c r="C2973" s="39" t="s">
        <v>162</v>
      </c>
      <c r="D2973" s="39" t="n">
        <v>3</v>
      </c>
      <c r="E2973" s="41" t="n">
        <v>68.64</v>
      </c>
      <c r="F2973" s="39" t="s">
        <v>108</v>
      </c>
      <c r="G2973" s="39" t="str">
        <f aca="false">UPPER(TRIM(C2973))</f>
        <v>P017</v>
      </c>
      <c r="H2973" s="39" t="str">
        <f aca="false">IF(ISNUMBER(MATCH(G2973,Products!$A$5:$A$24,0)),"OK","Mismatch")</f>
        <v>OK</v>
      </c>
      <c r="I2973" s="39" t="str">
        <f aca="false">IF(COUNTIF($A$5:A2973,A2973)&gt;1,"Duplicate","Unique")</f>
        <v>Unique</v>
      </c>
      <c r="J2973" s="39" t="str">
        <f aca="false">IF(I2973="Duplicate","Remove",IF(H2973="Mismatch","Exclude","Keep"))</f>
        <v>Keep</v>
      </c>
    </row>
    <row r="2974" customFormat="false" ht="15" hidden="false" customHeight="false" outlineLevel="0" collapsed="false">
      <c r="A2974" s="39" t="s">
        <v>3014</v>
      </c>
      <c r="B2974" s="40" t="n">
        <v>46011</v>
      </c>
      <c r="C2974" s="39" t="s">
        <v>133</v>
      </c>
      <c r="D2974" s="39" t="n">
        <v>2</v>
      </c>
      <c r="E2974" s="41" t="n">
        <v>8.33</v>
      </c>
      <c r="F2974" s="39" t="s">
        <v>105</v>
      </c>
      <c r="G2974" s="39" t="str">
        <f aca="false">UPPER(TRIM(C2974))</f>
        <v>P019</v>
      </c>
      <c r="H2974" s="39" t="str">
        <f aca="false">IF(ISNUMBER(MATCH(G2974,Products!$A$5:$A$24,0)),"OK","Mismatch")</f>
        <v>OK</v>
      </c>
      <c r="I2974" s="39" t="str">
        <f aca="false">IF(COUNTIF($A$5:A2974,A2974)&gt;1,"Duplicate","Unique")</f>
        <v>Unique</v>
      </c>
      <c r="J2974" s="39" t="str">
        <f aca="false">IF(I2974="Duplicate","Remove",IF(H2974="Mismatch","Exclude","Keep"))</f>
        <v>Keep</v>
      </c>
    </row>
    <row r="2975" customFormat="false" ht="15" hidden="false" customHeight="false" outlineLevel="0" collapsed="false">
      <c r="A2975" s="39" t="s">
        <v>3015</v>
      </c>
      <c r="B2975" s="40" t="n">
        <v>46012</v>
      </c>
      <c r="C2975" s="39" t="s">
        <v>107</v>
      </c>
      <c r="D2975" s="39" t="n">
        <v>2</v>
      </c>
      <c r="E2975" s="41" t="n">
        <v>32.46</v>
      </c>
      <c r="F2975" s="39" t="s">
        <v>118</v>
      </c>
      <c r="G2975" s="39" t="str">
        <f aca="false">UPPER(TRIM(C2975))</f>
        <v>P003</v>
      </c>
      <c r="H2975" s="39" t="str">
        <f aca="false">IF(ISNUMBER(MATCH(G2975,Products!$A$5:$A$24,0)),"OK","Mismatch")</f>
        <v>OK</v>
      </c>
      <c r="I2975" s="39" t="str">
        <f aca="false">IF(COUNTIF($A$5:A2975,A2975)&gt;1,"Duplicate","Unique")</f>
        <v>Unique</v>
      </c>
      <c r="J2975" s="39" t="str">
        <f aca="false">IF(I2975="Duplicate","Remove",IF(H2975="Mismatch","Exclude","Keep"))</f>
        <v>Keep</v>
      </c>
    </row>
    <row r="2976" customFormat="false" ht="15" hidden="false" customHeight="false" outlineLevel="0" collapsed="false">
      <c r="A2976" s="39" t="s">
        <v>3016</v>
      </c>
      <c r="B2976" s="40" t="n">
        <v>46012</v>
      </c>
      <c r="C2976" s="39" t="s">
        <v>3191</v>
      </c>
      <c r="D2976" s="39" t="n">
        <v>1</v>
      </c>
      <c r="E2976" s="41" t="n">
        <v>13.14</v>
      </c>
      <c r="F2976" s="39" t="s">
        <v>118</v>
      </c>
      <c r="G2976" s="39" t="str">
        <f aca="false">UPPER(TRIM(C2976))</f>
        <v>P016</v>
      </c>
      <c r="H2976" s="39" t="str">
        <f aca="false">IF(ISNUMBER(MATCH(G2976,Products!$A$5:$A$24,0)),"OK","Mismatch")</f>
        <v>OK</v>
      </c>
      <c r="I2976" s="39" t="str">
        <f aca="false">IF(COUNTIF($A$5:A2976,A2976)&gt;1,"Duplicate","Unique")</f>
        <v>Unique</v>
      </c>
      <c r="J2976" s="39" t="str">
        <f aca="false">IF(I2976="Duplicate","Remove",IF(H2976="Mismatch","Exclude","Keep"))</f>
        <v>Keep</v>
      </c>
    </row>
    <row r="2977" customFormat="false" ht="15" hidden="false" customHeight="false" outlineLevel="0" collapsed="false">
      <c r="A2977" s="39" t="s">
        <v>3017</v>
      </c>
      <c r="B2977" s="40" t="n">
        <v>46012</v>
      </c>
      <c r="C2977" s="39" t="s">
        <v>130</v>
      </c>
      <c r="D2977" s="39" t="n">
        <v>3</v>
      </c>
      <c r="E2977" s="41" t="n">
        <v>8.91</v>
      </c>
      <c r="F2977" s="39" t="s">
        <v>108</v>
      </c>
      <c r="G2977" s="39" t="str">
        <f aca="false">UPPER(TRIM(C2977))</f>
        <v>P011</v>
      </c>
      <c r="H2977" s="39" t="str">
        <f aca="false">IF(ISNUMBER(MATCH(G2977,Products!$A$5:$A$24,0)),"OK","Mismatch")</f>
        <v>OK</v>
      </c>
      <c r="I2977" s="39" t="str">
        <f aca="false">IF(COUNTIF($A$5:A2977,A2977)&gt;1,"Duplicate","Unique")</f>
        <v>Unique</v>
      </c>
      <c r="J2977" s="39" t="str">
        <f aca="false">IF(I2977="Duplicate","Remove",IF(H2977="Mismatch","Exclude","Keep"))</f>
        <v>Keep</v>
      </c>
    </row>
    <row r="2978" customFormat="false" ht="15" hidden="false" customHeight="false" outlineLevel="0" collapsed="false">
      <c r="A2978" s="39" t="s">
        <v>3018</v>
      </c>
      <c r="B2978" s="40" t="n">
        <v>46012</v>
      </c>
      <c r="C2978" s="39" t="s">
        <v>130</v>
      </c>
      <c r="D2978" s="39" t="n">
        <v>1</v>
      </c>
      <c r="E2978" s="41" t="n">
        <v>8.83</v>
      </c>
      <c r="F2978" s="39" t="s">
        <v>108</v>
      </c>
      <c r="G2978" s="39" t="str">
        <f aca="false">UPPER(TRIM(C2978))</f>
        <v>P011</v>
      </c>
      <c r="H2978" s="39" t="str">
        <f aca="false">IF(ISNUMBER(MATCH(G2978,Products!$A$5:$A$24,0)),"OK","Mismatch")</f>
        <v>OK</v>
      </c>
      <c r="I2978" s="39" t="str">
        <f aca="false">IF(COUNTIF($A$5:A2978,A2978)&gt;1,"Duplicate","Unique")</f>
        <v>Unique</v>
      </c>
      <c r="J2978" s="39" t="str">
        <f aca="false">IF(I2978="Duplicate","Remove",IF(H2978="Mismatch","Exclude","Keep"))</f>
        <v>Keep</v>
      </c>
    </row>
    <row r="2979" customFormat="false" ht="15" hidden="false" customHeight="false" outlineLevel="0" collapsed="false">
      <c r="A2979" s="39" t="s">
        <v>3019</v>
      </c>
      <c r="B2979" s="40" t="n">
        <v>46012</v>
      </c>
      <c r="C2979" s="39" t="s">
        <v>121</v>
      </c>
      <c r="D2979" s="39" t="n">
        <v>1</v>
      </c>
      <c r="E2979" s="41" t="n">
        <v>114.97</v>
      </c>
      <c r="F2979" s="39" t="s">
        <v>118</v>
      </c>
      <c r="G2979" s="39" t="str">
        <f aca="false">UPPER(TRIM(C2979))</f>
        <v>P018</v>
      </c>
      <c r="H2979" s="39" t="str">
        <f aca="false">IF(ISNUMBER(MATCH(G2979,Products!$A$5:$A$24,0)),"OK","Mismatch")</f>
        <v>OK</v>
      </c>
      <c r="I2979" s="39" t="str">
        <f aca="false">IF(COUNTIF($A$5:A2979,A2979)&gt;1,"Duplicate","Unique")</f>
        <v>Unique</v>
      </c>
      <c r="J2979" s="39" t="str">
        <f aca="false">IF(I2979="Duplicate","Remove",IF(H2979="Mismatch","Exclude","Keep"))</f>
        <v>Keep</v>
      </c>
    </row>
    <row r="2980" customFormat="false" ht="15" hidden="false" customHeight="false" outlineLevel="0" collapsed="false">
      <c r="A2980" s="39" t="s">
        <v>3020</v>
      </c>
      <c r="B2980" s="40" t="n">
        <v>46012</v>
      </c>
      <c r="C2980" s="39" t="s">
        <v>114</v>
      </c>
      <c r="D2980" s="39" t="n">
        <v>1</v>
      </c>
      <c r="E2980" s="41" t="n">
        <v>5.97</v>
      </c>
      <c r="F2980" s="39" t="s">
        <v>115</v>
      </c>
      <c r="G2980" s="39" t="str">
        <f aca="false">UPPER(TRIM(C2980))</f>
        <v>P012</v>
      </c>
      <c r="H2980" s="39" t="str">
        <f aca="false">IF(ISNUMBER(MATCH(G2980,Products!$A$5:$A$24,0)),"OK","Mismatch")</f>
        <v>OK</v>
      </c>
      <c r="I2980" s="39" t="str">
        <f aca="false">IF(COUNTIF($A$5:A2980,A2980)&gt;1,"Duplicate","Unique")</f>
        <v>Unique</v>
      </c>
      <c r="J2980" s="39" t="str">
        <f aca="false">IF(I2980="Duplicate","Remove",IF(H2980="Mismatch","Exclude","Keep"))</f>
        <v>Keep</v>
      </c>
    </row>
    <row r="2981" customFormat="false" ht="15" hidden="false" customHeight="false" outlineLevel="0" collapsed="false">
      <c r="A2981" s="39" t="s">
        <v>3021</v>
      </c>
      <c r="B2981" s="40" t="n">
        <v>46012</v>
      </c>
      <c r="C2981" s="39" t="s">
        <v>104</v>
      </c>
      <c r="D2981" s="39" t="n">
        <v>4</v>
      </c>
      <c r="E2981" s="41" t="n">
        <v>15.78</v>
      </c>
      <c r="F2981" s="39" t="s">
        <v>118</v>
      </c>
      <c r="G2981" s="39" t="str">
        <f aca="false">UPPER(TRIM(C2981))</f>
        <v>P015</v>
      </c>
      <c r="H2981" s="39" t="str">
        <f aca="false">IF(ISNUMBER(MATCH(G2981,Products!$A$5:$A$24,0)),"OK","Mismatch")</f>
        <v>OK</v>
      </c>
      <c r="I2981" s="39" t="str">
        <f aca="false">IF(COUNTIF($A$5:A2981,A2981)&gt;1,"Duplicate","Unique")</f>
        <v>Unique</v>
      </c>
      <c r="J2981" s="39" t="str">
        <f aca="false">IF(I2981="Duplicate","Remove",IF(H2981="Mismatch","Exclude","Keep"))</f>
        <v>Keep</v>
      </c>
    </row>
    <row r="2982" customFormat="false" ht="15" hidden="false" customHeight="false" outlineLevel="0" collapsed="false">
      <c r="A2982" s="39" t="s">
        <v>3022</v>
      </c>
      <c r="B2982" s="40" t="n">
        <v>46012</v>
      </c>
      <c r="C2982" s="39" t="s">
        <v>133</v>
      </c>
      <c r="D2982" s="39" t="n">
        <v>4</v>
      </c>
      <c r="E2982" s="41" t="n">
        <v>8.79</v>
      </c>
      <c r="F2982" s="39" t="s">
        <v>118</v>
      </c>
      <c r="G2982" s="39" t="str">
        <f aca="false">UPPER(TRIM(C2982))</f>
        <v>P019</v>
      </c>
      <c r="H2982" s="39" t="str">
        <f aca="false">IF(ISNUMBER(MATCH(G2982,Products!$A$5:$A$24,0)),"OK","Mismatch")</f>
        <v>OK</v>
      </c>
      <c r="I2982" s="39" t="str">
        <f aca="false">IF(COUNTIF($A$5:A2982,A2982)&gt;1,"Duplicate","Unique")</f>
        <v>Unique</v>
      </c>
      <c r="J2982" s="39" t="str">
        <f aca="false">IF(I2982="Duplicate","Remove",IF(H2982="Mismatch","Exclude","Keep"))</f>
        <v>Keep</v>
      </c>
    </row>
    <row r="2983" customFormat="false" ht="15" hidden="false" customHeight="false" outlineLevel="0" collapsed="false">
      <c r="A2983" s="39" t="s">
        <v>3023</v>
      </c>
      <c r="B2983" s="40" t="n">
        <v>46012</v>
      </c>
      <c r="C2983" s="39" t="s">
        <v>107</v>
      </c>
      <c r="D2983" s="39" t="n">
        <v>1</v>
      </c>
      <c r="E2983" s="41" t="n">
        <v>32.89</v>
      </c>
      <c r="F2983" s="39" t="s">
        <v>108</v>
      </c>
      <c r="G2983" s="39" t="str">
        <f aca="false">UPPER(TRIM(C2983))</f>
        <v>P003</v>
      </c>
      <c r="H2983" s="39" t="str">
        <f aca="false">IF(ISNUMBER(MATCH(G2983,Products!$A$5:$A$24,0)),"OK","Mismatch")</f>
        <v>OK</v>
      </c>
      <c r="I2983" s="39" t="str">
        <f aca="false">IF(COUNTIF($A$5:A2983,A2983)&gt;1,"Duplicate","Unique")</f>
        <v>Unique</v>
      </c>
      <c r="J2983" s="39" t="str">
        <f aca="false">IF(I2983="Duplicate","Remove",IF(H2983="Mismatch","Exclude","Keep"))</f>
        <v>Keep</v>
      </c>
    </row>
    <row r="2984" customFormat="false" ht="15" hidden="false" customHeight="false" outlineLevel="0" collapsed="false">
      <c r="A2984" s="39" t="s">
        <v>3024</v>
      </c>
      <c r="B2984" s="40" t="n">
        <v>46012</v>
      </c>
      <c r="C2984" s="39" t="s">
        <v>133</v>
      </c>
      <c r="D2984" s="39" t="n">
        <v>2</v>
      </c>
      <c r="E2984" s="41" t="n">
        <v>8.44</v>
      </c>
      <c r="F2984" s="39" t="s">
        <v>108</v>
      </c>
      <c r="G2984" s="39" t="str">
        <f aca="false">UPPER(TRIM(C2984))</f>
        <v>P019</v>
      </c>
      <c r="H2984" s="39" t="str">
        <f aca="false">IF(ISNUMBER(MATCH(G2984,Products!$A$5:$A$24,0)),"OK","Mismatch")</f>
        <v>OK</v>
      </c>
      <c r="I2984" s="39" t="str">
        <f aca="false">IF(COUNTIF($A$5:A2984,A2984)&gt;1,"Duplicate","Unique")</f>
        <v>Unique</v>
      </c>
      <c r="J2984" s="39" t="str">
        <f aca="false">IF(I2984="Duplicate","Remove",IF(H2984="Mismatch","Exclude","Keep"))</f>
        <v>Keep</v>
      </c>
    </row>
    <row r="2985" customFormat="false" ht="15" hidden="false" customHeight="false" outlineLevel="0" collapsed="false">
      <c r="A2985" s="39" t="s">
        <v>3025</v>
      </c>
      <c r="B2985" s="40" t="n">
        <v>46012</v>
      </c>
      <c r="C2985" s="39" t="s">
        <v>114</v>
      </c>
      <c r="D2985" s="39" t="n">
        <v>1</v>
      </c>
      <c r="E2985" s="41" t="n">
        <v>5.65</v>
      </c>
      <c r="F2985" s="39" t="s">
        <v>105</v>
      </c>
      <c r="G2985" s="39" t="str">
        <f aca="false">UPPER(TRIM(C2985))</f>
        <v>P012</v>
      </c>
      <c r="H2985" s="39" t="str">
        <f aca="false">IF(ISNUMBER(MATCH(G2985,Products!$A$5:$A$24,0)),"OK","Mismatch")</f>
        <v>OK</v>
      </c>
      <c r="I2985" s="39" t="str">
        <f aca="false">IF(COUNTIF($A$5:A2985,A2985)&gt;1,"Duplicate","Unique")</f>
        <v>Unique</v>
      </c>
      <c r="J2985" s="39" t="str">
        <f aca="false">IF(I2985="Duplicate","Remove",IF(H2985="Mismatch","Exclude","Keep"))</f>
        <v>Keep</v>
      </c>
    </row>
    <row r="2986" customFormat="false" ht="15" hidden="false" customHeight="false" outlineLevel="0" collapsed="false">
      <c r="A2986" s="39" t="s">
        <v>3026</v>
      </c>
      <c r="B2986" s="40" t="n">
        <v>46012</v>
      </c>
      <c r="C2986" s="39" t="s">
        <v>130</v>
      </c>
      <c r="D2986" s="39" t="n">
        <v>5</v>
      </c>
      <c r="E2986" s="41" t="n">
        <v>8.91</v>
      </c>
      <c r="F2986" s="39" t="s">
        <v>118</v>
      </c>
      <c r="G2986" s="39" t="str">
        <f aca="false">UPPER(TRIM(C2986))</f>
        <v>P011</v>
      </c>
      <c r="H2986" s="39" t="str">
        <f aca="false">IF(ISNUMBER(MATCH(G2986,Products!$A$5:$A$24,0)),"OK","Mismatch")</f>
        <v>OK</v>
      </c>
      <c r="I2986" s="39" t="str">
        <f aca="false">IF(COUNTIF($A$5:A2986,A2986)&gt;1,"Duplicate","Unique")</f>
        <v>Unique</v>
      </c>
      <c r="J2986" s="39" t="str">
        <f aca="false">IF(I2986="Duplicate","Remove",IF(H2986="Mismatch","Exclude","Keep"))</f>
        <v>Keep</v>
      </c>
    </row>
    <row r="2987" customFormat="false" ht="15" hidden="false" customHeight="false" outlineLevel="0" collapsed="false">
      <c r="A2987" s="39" t="s">
        <v>3027</v>
      </c>
      <c r="B2987" s="40" t="n">
        <v>46012</v>
      </c>
      <c r="C2987" s="39" t="s">
        <v>112</v>
      </c>
      <c r="D2987" s="39" t="n">
        <v>4</v>
      </c>
      <c r="E2987" s="41" t="n">
        <v>53.14</v>
      </c>
      <c r="F2987" s="39" t="s">
        <v>118</v>
      </c>
      <c r="G2987" s="39" t="str">
        <f aca="false">UPPER(TRIM(C2987))</f>
        <v>P005</v>
      </c>
      <c r="H2987" s="39" t="str">
        <f aca="false">IF(ISNUMBER(MATCH(G2987,Products!$A$5:$A$24,0)),"OK","Mismatch")</f>
        <v>OK</v>
      </c>
      <c r="I2987" s="39" t="str">
        <f aca="false">IF(COUNTIF($A$5:A2987,A2987)&gt;1,"Duplicate","Unique")</f>
        <v>Unique</v>
      </c>
      <c r="J2987" s="39" t="str">
        <f aca="false">IF(I2987="Duplicate","Remove",IF(H2987="Mismatch","Exclude","Keep"))</f>
        <v>Keep</v>
      </c>
    </row>
    <row r="2988" customFormat="false" ht="15" hidden="false" customHeight="false" outlineLevel="0" collapsed="false">
      <c r="A2988" s="39" t="s">
        <v>3028</v>
      </c>
      <c r="B2988" s="40" t="n">
        <v>46012</v>
      </c>
      <c r="C2988" s="39" t="s">
        <v>107</v>
      </c>
      <c r="D2988" s="39" t="n">
        <v>4</v>
      </c>
      <c r="E2988" s="41" t="n">
        <v>33.66</v>
      </c>
      <c r="F2988" s="39" t="s">
        <v>105</v>
      </c>
      <c r="G2988" s="39" t="str">
        <f aca="false">UPPER(TRIM(C2988))</f>
        <v>P003</v>
      </c>
      <c r="H2988" s="39" t="str">
        <f aca="false">IF(ISNUMBER(MATCH(G2988,Products!$A$5:$A$24,0)),"OK","Mismatch")</f>
        <v>OK</v>
      </c>
      <c r="I2988" s="39" t="str">
        <f aca="false">IF(COUNTIF($A$5:A2988,A2988)&gt;1,"Duplicate","Unique")</f>
        <v>Unique</v>
      </c>
      <c r="J2988" s="39" t="str">
        <f aca="false">IF(I2988="Duplicate","Remove",IF(H2988="Mismatch","Exclude","Keep"))</f>
        <v>Keep</v>
      </c>
    </row>
    <row r="2989" customFormat="false" ht="15" hidden="false" customHeight="false" outlineLevel="0" collapsed="false">
      <c r="A2989" s="39" t="s">
        <v>3029</v>
      </c>
      <c r="B2989" s="40" t="n">
        <v>46012</v>
      </c>
      <c r="C2989" s="39" t="s">
        <v>130</v>
      </c>
      <c r="D2989" s="39" t="n">
        <v>1</v>
      </c>
      <c r="E2989" s="41" t="n">
        <v>8.85</v>
      </c>
      <c r="F2989" s="39" t="s">
        <v>108</v>
      </c>
      <c r="G2989" s="39" t="str">
        <f aca="false">UPPER(TRIM(C2989))</f>
        <v>P011</v>
      </c>
      <c r="H2989" s="39" t="str">
        <f aca="false">IF(ISNUMBER(MATCH(G2989,Products!$A$5:$A$24,0)),"OK","Mismatch")</f>
        <v>OK</v>
      </c>
      <c r="I2989" s="39" t="str">
        <f aca="false">IF(COUNTIF($A$5:A2989,A2989)&gt;1,"Duplicate","Unique")</f>
        <v>Unique</v>
      </c>
      <c r="J2989" s="39" t="str">
        <f aca="false">IF(I2989="Duplicate","Remove",IF(H2989="Mismatch","Exclude","Keep"))</f>
        <v>Keep</v>
      </c>
    </row>
    <row r="2990" customFormat="false" ht="15" hidden="false" customHeight="false" outlineLevel="0" collapsed="false">
      <c r="A2990" s="39" t="s">
        <v>3030</v>
      </c>
      <c r="B2990" s="40" t="n">
        <v>46012</v>
      </c>
      <c r="C2990" s="39" t="s">
        <v>110</v>
      </c>
      <c r="D2990" s="39" t="n">
        <v>2</v>
      </c>
      <c r="E2990" s="41" t="n">
        <v>13.69</v>
      </c>
      <c r="F2990" s="39" t="s">
        <v>118</v>
      </c>
      <c r="G2990" s="39" t="str">
        <f aca="false">UPPER(TRIM(C2990))</f>
        <v>P016</v>
      </c>
      <c r="H2990" s="39" t="str">
        <f aca="false">IF(ISNUMBER(MATCH(G2990,Products!$A$5:$A$24,0)),"OK","Mismatch")</f>
        <v>OK</v>
      </c>
      <c r="I2990" s="39" t="str">
        <f aca="false">IF(COUNTIF($A$5:A2990,A2990)&gt;1,"Duplicate","Unique")</f>
        <v>Unique</v>
      </c>
      <c r="J2990" s="39" t="str">
        <f aca="false">IF(I2990="Duplicate","Remove",IF(H2990="Mismatch","Exclude","Keep"))</f>
        <v>Keep</v>
      </c>
    </row>
    <row r="2991" customFormat="false" ht="15" hidden="false" customHeight="false" outlineLevel="0" collapsed="false">
      <c r="A2991" s="39" t="s">
        <v>3031</v>
      </c>
      <c r="B2991" s="40" t="n">
        <v>46012</v>
      </c>
      <c r="C2991" s="39" t="s">
        <v>117</v>
      </c>
      <c r="D2991" s="39" t="n">
        <v>2</v>
      </c>
      <c r="E2991" s="41" t="n">
        <v>30.36</v>
      </c>
      <c r="F2991" s="39" t="s">
        <v>118</v>
      </c>
      <c r="G2991" s="39" t="str">
        <f aca="false">UPPER(TRIM(C2991))</f>
        <v>P009</v>
      </c>
      <c r="H2991" s="39" t="str">
        <f aca="false">IF(ISNUMBER(MATCH(G2991,Products!$A$5:$A$24,0)),"OK","Mismatch")</f>
        <v>OK</v>
      </c>
      <c r="I2991" s="39" t="str">
        <f aca="false">IF(COUNTIF($A$5:A2991,A2991)&gt;1,"Duplicate","Unique")</f>
        <v>Unique</v>
      </c>
      <c r="J2991" s="39" t="str">
        <f aca="false">IF(I2991="Duplicate","Remove",IF(H2991="Mismatch","Exclude","Keep"))</f>
        <v>Keep</v>
      </c>
    </row>
    <row r="2992" customFormat="false" ht="15" hidden="false" customHeight="false" outlineLevel="0" collapsed="false">
      <c r="A2992" s="39" t="s">
        <v>3197</v>
      </c>
      <c r="B2992" s="40" t="n">
        <v>46012</v>
      </c>
      <c r="C2992" s="39" t="s">
        <v>3198</v>
      </c>
      <c r="D2992" s="39" t="n">
        <v>5</v>
      </c>
      <c r="E2992" s="41" t="n">
        <v>28.12</v>
      </c>
      <c r="F2992" s="39" t="s">
        <v>105</v>
      </c>
      <c r="G2992" s="39" t="str">
        <f aca="false">UPPER(TRIM(C2992))</f>
        <v>P903</v>
      </c>
      <c r="H2992" s="39" t="str">
        <f aca="false">IF(ISNUMBER(MATCH(G2992,Products!$A$5:$A$24,0)),"OK","Mismatch")</f>
        <v>Mismatch</v>
      </c>
      <c r="I2992" s="39" t="str">
        <f aca="false">IF(COUNTIF($A$5:A2992,A2992)&gt;1,"Duplicate","Unique")</f>
        <v>Unique</v>
      </c>
      <c r="J2992" s="39" t="str">
        <f aca="false">IF(I2992="Duplicate","Remove",IF(H2992="Mismatch","Exclude","Keep"))</f>
        <v>Exclude</v>
      </c>
    </row>
    <row r="2993" customFormat="false" ht="15" hidden="false" customHeight="false" outlineLevel="0" collapsed="false">
      <c r="A2993" s="39" t="s">
        <v>3032</v>
      </c>
      <c r="B2993" s="40" t="n">
        <v>46012</v>
      </c>
      <c r="C2993" s="39" t="s">
        <v>112</v>
      </c>
      <c r="D2993" s="39" t="n">
        <v>2</v>
      </c>
      <c r="E2993" s="41" t="n">
        <v>54.7</v>
      </c>
      <c r="F2993" s="39" t="s">
        <v>108</v>
      </c>
      <c r="G2993" s="39" t="str">
        <f aca="false">UPPER(TRIM(C2993))</f>
        <v>P005</v>
      </c>
      <c r="H2993" s="39" t="str">
        <f aca="false">IF(ISNUMBER(MATCH(G2993,Products!$A$5:$A$24,0)),"OK","Mismatch")</f>
        <v>OK</v>
      </c>
      <c r="I2993" s="39" t="str">
        <f aca="false">IF(COUNTIF($A$5:A2993,A2993)&gt;1,"Duplicate","Unique")</f>
        <v>Unique</v>
      </c>
      <c r="J2993" s="39" t="str">
        <f aca="false">IF(I2993="Duplicate","Remove",IF(H2993="Mismatch","Exclude","Keep"))</f>
        <v>Keep</v>
      </c>
    </row>
    <row r="2994" customFormat="false" ht="15" hidden="false" customHeight="false" outlineLevel="0" collapsed="false">
      <c r="A2994" s="39" t="s">
        <v>3033</v>
      </c>
      <c r="B2994" s="40" t="n">
        <v>46013</v>
      </c>
      <c r="C2994" s="39" t="s">
        <v>114</v>
      </c>
      <c r="D2994" s="39" t="n">
        <v>3</v>
      </c>
      <c r="E2994" s="41" t="n">
        <v>5.61</v>
      </c>
      <c r="F2994" s="39" t="s">
        <v>118</v>
      </c>
      <c r="G2994" s="39" t="str">
        <f aca="false">UPPER(TRIM(C2994))</f>
        <v>P012</v>
      </c>
      <c r="H2994" s="39" t="str">
        <f aca="false">IF(ISNUMBER(MATCH(G2994,Products!$A$5:$A$24,0)),"OK","Mismatch")</f>
        <v>OK</v>
      </c>
      <c r="I2994" s="39" t="str">
        <f aca="false">IF(COUNTIF($A$5:A2994,A2994)&gt;1,"Duplicate","Unique")</f>
        <v>Unique</v>
      </c>
      <c r="J2994" s="39" t="str">
        <f aca="false">IF(I2994="Duplicate","Remove",IF(H2994="Mismatch","Exclude","Keep"))</f>
        <v>Keep</v>
      </c>
    </row>
    <row r="2995" customFormat="false" ht="15" hidden="false" customHeight="false" outlineLevel="0" collapsed="false">
      <c r="A2995" s="39" t="s">
        <v>3034</v>
      </c>
      <c r="B2995" s="40" t="n">
        <v>46013</v>
      </c>
      <c r="C2995" s="39" t="s">
        <v>126</v>
      </c>
      <c r="D2995" s="39" t="n">
        <v>2</v>
      </c>
      <c r="E2995" s="41" t="n">
        <v>23.55</v>
      </c>
      <c r="F2995" s="39" t="s">
        <v>118</v>
      </c>
      <c r="G2995" s="39" t="str">
        <f aca="false">UPPER(TRIM(C2995))</f>
        <v>P001</v>
      </c>
      <c r="H2995" s="39" t="str">
        <f aca="false">IF(ISNUMBER(MATCH(G2995,Products!$A$5:$A$24,0)),"OK","Mismatch")</f>
        <v>OK</v>
      </c>
      <c r="I2995" s="39" t="str">
        <f aca="false">IF(COUNTIF($A$5:A2995,A2995)&gt;1,"Duplicate","Unique")</f>
        <v>Unique</v>
      </c>
      <c r="J2995" s="39" t="str">
        <f aca="false">IF(I2995="Duplicate","Remove",IF(H2995="Mismatch","Exclude","Keep"))</f>
        <v>Keep</v>
      </c>
    </row>
    <row r="2996" customFormat="false" ht="15" hidden="false" customHeight="false" outlineLevel="0" collapsed="false">
      <c r="A2996" s="39" t="s">
        <v>3035</v>
      </c>
      <c r="B2996" s="40" t="n">
        <v>46013</v>
      </c>
      <c r="C2996" s="39" t="s">
        <v>107</v>
      </c>
      <c r="D2996" s="39" t="n">
        <v>3</v>
      </c>
      <c r="E2996" s="41" t="n">
        <v>33</v>
      </c>
      <c r="F2996" s="39" t="s">
        <v>108</v>
      </c>
      <c r="G2996" s="39" t="str">
        <f aca="false">UPPER(TRIM(C2996))</f>
        <v>P003</v>
      </c>
      <c r="H2996" s="39" t="str">
        <f aca="false">IF(ISNUMBER(MATCH(G2996,Products!$A$5:$A$24,0)),"OK","Mismatch")</f>
        <v>OK</v>
      </c>
      <c r="I2996" s="39" t="str">
        <f aca="false">IF(COUNTIF($A$5:A2996,A2996)&gt;1,"Duplicate","Unique")</f>
        <v>Unique</v>
      </c>
      <c r="J2996" s="39" t="str">
        <f aca="false">IF(I2996="Duplicate","Remove",IF(H2996="Mismatch","Exclude","Keep"))</f>
        <v>Keep</v>
      </c>
    </row>
    <row r="2997" customFormat="false" ht="15" hidden="false" customHeight="false" outlineLevel="0" collapsed="false">
      <c r="A2997" s="39" t="s">
        <v>3036</v>
      </c>
      <c r="B2997" s="40" t="n">
        <v>46013</v>
      </c>
      <c r="C2997" s="39" t="s">
        <v>114</v>
      </c>
      <c r="D2997" s="39" t="n">
        <v>4</v>
      </c>
      <c r="E2997" s="41" t="n">
        <v>5.89</v>
      </c>
      <c r="F2997" s="39" t="s">
        <v>108</v>
      </c>
      <c r="G2997" s="39" t="str">
        <f aca="false">UPPER(TRIM(C2997))</f>
        <v>P012</v>
      </c>
      <c r="H2997" s="39" t="str">
        <f aca="false">IF(ISNUMBER(MATCH(G2997,Products!$A$5:$A$24,0)),"OK","Mismatch")</f>
        <v>OK</v>
      </c>
      <c r="I2997" s="39" t="str">
        <f aca="false">IF(COUNTIF($A$5:A2997,A2997)&gt;1,"Duplicate","Unique")</f>
        <v>Unique</v>
      </c>
      <c r="J2997" s="39" t="str">
        <f aca="false">IF(I2997="Duplicate","Remove",IF(H2997="Mismatch","Exclude","Keep"))</f>
        <v>Keep</v>
      </c>
    </row>
    <row r="2998" customFormat="false" ht="15" hidden="false" customHeight="false" outlineLevel="0" collapsed="false">
      <c r="A2998" s="39" t="s">
        <v>3037</v>
      </c>
      <c r="B2998" s="40" t="n">
        <v>46013</v>
      </c>
      <c r="C2998" s="39" t="s">
        <v>133</v>
      </c>
      <c r="D2998" s="39" t="n">
        <v>5</v>
      </c>
      <c r="E2998" s="41" t="n">
        <v>8.53</v>
      </c>
      <c r="F2998" s="39" t="s">
        <v>118</v>
      </c>
      <c r="G2998" s="39" t="str">
        <f aca="false">UPPER(TRIM(C2998))</f>
        <v>P019</v>
      </c>
      <c r="H2998" s="39" t="str">
        <f aca="false">IF(ISNUMBER(MATCH(G2998,Products!$A$5:$A$24,0)),"OK","Mismatch")</f>
        <v>OK</v>
      </c>
      <c r="I2998" s="39" t="str">
        <f aca="false">IF(COUNTIF($A$5:A2998,A2998)&gt;1,"Duplicate","Unique")</f>
        <v>Unique</v>
      </c>
      <c r="J2998" s="39" t="str">
        <f aca="false">IF(I2998="Duplicate","Remove",IF(H2998="Mismatch","Exclude","Keep"))</f>
        <v>Keep</v>
      </c>
    </row>
    <row r="2999" customFormat="false" ht="15" hidden="false" customHeight="false" outlineLevel="0" collapsed="false">
      <c r="A2999" s="39" t="s">
        <v>3038</v>
      </c>
      <c r="B2999" s="40" t="n">
        <v>46013</v>
      </c>
      <c r="C2999" s="39" t="s">
        <v>136</v>
      </c>
      <c r="D2999" s="39" t="n">
        <v>2</v>
      </c>
      <c r="E2999" s="41" t="n">
        <v>75.11</v>
      </c>
      <c r="F2999" s="39" t="s">
        <v>108</v>
      </c>
      <c r="G2999" s="39" t="str">
        <f aca="false">UPPER(TRIM(C2999))</f>
        <v>P002</v>
      </c>
      <c r="H2999" s="39" t="str">
        <f aca="false">IF(ISNUMBER(MATCH(G2999,Products!$A$5:$A$24,0)),"OK","Mismatch")</f>
        <v>OK</v>
      </c>
      <c r="I2999" s="39" t="str">
        <f aca="false">IF(COUNTIF($A$5:A2999,A2999)&gt;1,"Duplicate","Unique")</f>
        <v>Unique</v>
      </c>
      <c r="J2999" s="39" t="str">
        <f aca="false">IF(I2999="Duplicate","Remove",IF(H2999="Mismatch","Exclude","Keep"))</f>
        <v>Keep</v>
      </c>
    </row>
    <row r="3000" customFormat="false" ht="15" hidden="false" customHeight="false" outlineLevel="0" collapsed="false">
      <c r="A3000" s="39" t="s">
        <v>3039</v>
      </c>
      <c r="B3000" s="40" t="n">
        <v>46013</v>
      </c>
      <c r="C3000" s="39" t="s">
        <v>121</v>
      </c>
      <c r="D3000" s="39" t="n">
        <v>2</v>
      </c>
      <c r="E3000" s="41" t="n">
        <v>111.08</v>
      </c>
      <c r="F3000" s="39" t="s">
        <v>108</v>
      </c>
      <c r="G3000" s="39" t="str">
        <f aca="false">UPPER(TRIM(C3000))</f>
        <v>P018</v>
      </c>
      <c r="H3000" s="39" t="str">
        <f aca="false">IF(ISNUMBER(MATCH(G3000,Products!$A$5:$A$24,0)),"OK","Mismatch")</f>
        <v>OK</v>
      </c>
      <c r="I3000" s="39" t="str">
        <f aca="false">IF(COUNTIF($A$5:A3000,A3000)&gt;1,"Duplicate","Unique")</f>
        <v>Unique</v>
      </c>
      <c r="J3000" s="39" t="str">
        <f aca="false">IF(I3000="Duplicate","Remove",IF(H3000="Mismatch","Exclude","Keep"))</f>
        <v>Keep</v>
      </c>
    </row>
    <row r="3001" customFormat="false" ht="15" hidden="false" customHeight="false" outlineLevel="0" collapsed="false">
      <c r="A3001" s="39" t="s">
        <v>3040</v>
      </c>
      <c r="B3001" s="40" t="n">
        <v>46013</v>
      </c>
      <c r="C3001" s="39" t="s">
        <v>121</v>
      </c>
      <c r="D3001" s="39" t="n">
        <v>3</v>
      </c>
      <c r="E3001" s="41" t="n">
        <v>118.28</v>
      </c>
      <c r="F3001" s="39" t="s">
        <v>108</v>
      </c>
      <c r="G3001" s="39" t="str">
        <f aca="false">UPPER(TRIM(C3001))</f>
        <v>P018</v>
      </c>
      <c r="H3001" s="39" t="str">
        <f aca="false">IF(ISNUMBER(MATCH(G3001,Products!$A$5:$A$24,0)),"OK","Mismatch")</f>
        <v>OK</v>
      </c>
      <c r="I3001" s="39" t="str">
        <f aca="false">IF(COUNTIF($A$5:A3001,A3001)&gt;1,"Duplicate","Unique")</f>
        <v>Unique</v>
      </c>
      <c r="J3001" s="39" t="str">
        <f aca="false">IF(I3001="Duplicate","Remove",IF(H3001="Mismatch","Exclude","Keep"))</f>
        <v>Keep</v>
      </c>
    </row>
    <row r="3002" customFormat="false" ht="15" hidden="false" customHeight="false" outlineLevel="0" collapsed="false">
      <c r="A3002" s="39" t="s">
        <v>3041</v>
      </c>
      <c r="B3002" s="40" t="n">
        <v>46013</v>
      </c>
      <c r="C3002" s="39" t="s">
        <v>144</v>
      </c>
      <c r="D3002" s="39" t="n">
        <v>5</v>
      </c>
      <c r="E3002" s="41" t="n">
        <v>58.37</v>
      </c>
      <c r="F3002" s="39" t="s">
        <v>108</v>
      </c>
      <c r="G3002" s="39" t="str">
        <f aca="false">UPPER(TRIM(C3002))</f>
        <v>P013</v>
      </c>
      <c r="H3002" s="39" t="str">
        <f aca="false">IF(ISNUMBER(MATCH(G3002,Products!$A$5:$A$24,0)),"OK","Mismatch")</f>
        <v>OK</v>
      </c>
      <c r="I3002" s="39" t="str">
        <f aca="false">IF(COUNTIF($A$5:A3002,A3002)&gt;1,"Duplicate","Unique")</f>
        <v>Unique</v>
      </c>
      <c r="J3002" s="39" t="str">
        <f aca="false">IF(I3002="Duplicate","Remove",IF(H3002="Mismatch","Exclude","Keep"))</f>
        <v>Keep</v>
      </c>
    </row>
    <row r="3003" customFormat="false" ht="15" hidden="false" customHeight="false" outlineLevel="0" collapsed="false">
      <c r="A3003" s="39" t="s">
        <v>3042</v>
      </c>
      <c r="B3003" s="40" t="n">
        <v>46013</v>
      </c>
      <c r="C3003" s="39" t="s">
        <v>117</v>
      </c>
      <c r="D3003" s="39" t="n">
        <v>3</v>
      </c>
      <c r="E3003" s="41" t="n">
        <v>31.79</v>
      </c>
      <c r="F3003" s="39" t="s">
        <v>115</v>
      </c>
      <c r="G3003" s="39" t="str">
        <f aca="false">UPPER(TRIM(C3003))</f>
        <v>P009</v>
      </c>
      <c r="H3003" s="39" t="str">
        <f aca="false">IF(ISNUMBER(MATCH(G3003,Products!$A$5:$A$24,0)),"OK","Mismatch")</f>
        <v>OK</v>
      </c>
      <c r="I3003" s="39" t="str">
        <f aca="false">IF(COUNTIF($A$5:A3003,A3003)&gt;1,"Duplicate","Unique")</f>
        <v>Unique</v>
      </c>
      <c r="J3003" s="39" t="str">
        <f aca="false">IF(I3003="Duplicate","Remove",IF(H3003="Mismatch","Exclude","Keep"))</f>
        <v>Keep</v>
      </c>
    </row>
    <row r="3004" customFormat="false" ht="15" hidden="false" customHeight="false" outlineLevel="0" collapsed="false">
      <c r="A3004" s="39" t="s">
        <v>3043</v>
      </c>
      <c r="B3004" s="40" t="n">
        <v>46013</v>
      </c>
      <c r="C3004" s="39" t="s">
        <v>117</v>
      </c>
      <c r="D3004" s="39" t="n">
        <v>1</v>
      </c>
      <c r="E3004" s="41" t="n">
        <v>31.05</v>
      </c>
      <c r="F3004" s="39" t="s">
        <v>115</v>
      </c>
      <c r="G3004" s="39" t="str">
        <f aca="false">UPPER(TRIM(C3004))</f>
        <v>P009</v>
      </c>
      <c r="H3004" s="39" t="str">
        <f aca="false">IF(ISNUMBER(MATCH(G3004,Products!$A$5:$A$24,0)),"OK","Mismatch")</f>
        <v>OK</v>
      </c>
      <c r="I3004" s="39" t="str">
        <f aca="false">IF(COUNTIF($A$5:A3004,A3004)&gt;1,"Duplicate","Unique")</f>
        <v>Unique</v>
      </c>
      <c r="J3004" s="39" t="str">
        <f aca="false">IF(I3004="Duplicate","Remove",IF(H3004="Mismatch","Exclude","Keep"))</f>
        <v>Keep</v>
      </c>
    </row>
    <row r="3005" customFormat="false" ht="15" hidden="false" customHeight="false" outlineLevel="0" collapsed="false">
      <c r="A3005" s="39" t="s">
        <v>3044</v>
      </c>
      <c r="B3005" s="40" t="n">
        <v>46014</v>
      </c>
      <c r="C3005" s="39" t="s">
        <v>126</v>
      </c>
      <c r="D3005" s="39" t="n">
        <v>1</v>
      </c>
      <c r="E3005" s="41" t="n">
        <v>23.63</v>
      </c>
      <c r="F3005" s="39" t="s">
        <v>105</v>
      </c>
      <c r="G3005" s="39" t="str">
        <f aca="false">UPPER(TRIM(C3005))</f>
        <v>P001</v>
      </c>
      <c r="H3005" s="39" t="str">
        <f aca="false">IF(ISNUMBER(MATCH(G3005,Products!$A$5:$A$24,0)),"OK","Mismatch")</f>
        <v>OK</v>
      </c>
      <c r="I3005" s="39" t="str">
        <f aca="false">IF(COUNTIF($A$5:A3005,A3005)&gt;1,"Duplicate","Unique")</f>
        <v>Unique</v>
      </c>
      <c r="J3005" s="39" t="str">
        <f aca="false">IF(I3005="Duplicate","Remove",IF(H3005="Mismatch","Exclude","Keep"))</f>
        <v>Keep</v>
      </c>
    </row>
    <row r="3006" customFormat="false" ht="15" hidden="false" customHeight="false" outlineLevel="0" collapsed="false">
      <c r="A3006" s="39" t="s">
        <v>3045</v>
      </c>
      <c r="B3006" s="40" t="n">
        <v>46014</v>
      </c>
      <c r="C3006" s="39" t="s">
        <v>128</v>
      </c>
      <c r="D3006" s="39" t="n">
        <v>3</v>
      </c>
      <c r="E3006" s="41" t="n">
        <v>38.33</v>
      </c>
      <c r="F3006" s="39" t="s">
        <v>108</v>
      </c>
      <c r="G3006" s="39" t="str">
        <f aca="false">UPPER(TRIM(C3006))</f>
        <v>P020</v>
      </c>
      <c r="H3006" s="39" t="str">
        <f aca="false">IF(ISNUMBER(MATCH(G3006,Products!$A$5:$A$24,0)),"OK","Mismatch")</f>
        <v>OK</v>
      </c>
      <c r="I3006" s="39" t="str">
        <f aca="false">IF(COUNTIF($A$5:A3006,A3006)&gt;1,"Duplicate","Unique")</f>
        <v>Unique</v>
      </c>
      <c r="J3006" s="39" t="str">
        <f aca="false">IF(I3006="Duplicate","Remove",IF(H3006="Mismatch","Exclude","Keep"))</f>
        <v>Keep</v>
      </c>
    </row>
    <row r="3007" customFormat="false" ht="15" hidden="false" customHeight="false" outlineLevel="0" collapsed="false">
      <c r="A3007" s="39" t="s">
        <v>3046</v>
      </c>
      <c r="B3007" s="40" t="n">
        <v>46014</v>
      </c>
      <c r="C3007" s="39" t="s">
        <v>117</v>
      </c>
      <c r="D3007" s="39" t="n">
        <v>2</v>
      </c>
      <c r="E3007" s="41" t="n">
        <v>30.88</v>
      </c>
      <c r="F3007" s="39" t="s">
        <v>108</v>
      </c>
      <c r="G3007" s="39" t="str">
        <f aca="false">UPPER(TRIM(C3007))</f>
        <v>P009</v>
      </c>
      <c r="H3007" s="39" t="str">
        <f aca="false">IF(ISNUMBER(MATCH(G3007,Products!$A$5:$A$24,0)),"OK","Mismatch")</f>
        <v>OK</v>
      </c>
      <c r="I3007" s="39" t="str">
        <f aca="false">IF(COUNTIF($A$5:A3007,A3007)&gt;1,"Duplicate","Unique")</f>
        <v>Unique</v>
      </c>
      <c r="J3007" s="39" t="str">
        <f aca="false">IF(I3007="Duplicate","Remove",IF(H3007="Mismatch","Exclude","Keep"))</f>
        <v>Keep</v>
      </c>
    </row>
    <row r="3008" customFormat="false" ht="15" hidden="false" customHeight="false" outlineLevel="0" collapsed="false">
      <c r="A3008" s="39" t="s">
        <v>3047</v>
      </c>
      <c r="B3008" s="40" t="n">
        <v>46014</v>
      </c>
      <c r="C3008" s="39" t="s">
        <v>133</v>
      </c>
      <c r="D3008" s="39" t="n">
        <v>3</v>
      </c>
      <c r="E3008" s="41" t="n">
        <v>8.8</v>
      </c>
      <c r="F3008" s="39" t="s">
        <v>115</v>
      </c>
      <c r="G3008" s="39" t="str">
        <f aca="false">UPPER(TRIM(C3008))</f>
        <v>P019</v>
      </c>
      <c r="H3008" s="39" t="str">
        <f aca="false">IF(ISNUMBER(MATCH(G3008,Products!$A$5:$A$24,0)),"OK","Mismatch")</f>
        <v>OK</v>
      </c>
      <c r="I3008" s="39" t="str">
        <f aca="false">IF(COUNTIF($A$5:A3008,A3008)&gt;1,"Duplicate","Unique")</f>
        <v>Unique</v>
      </c>
      <c r="J3008" s="39" t="str">
        <f aca="false">IF(I3008="Duplicate","Remove",IF(H3008="Mismatch","Exclude","Keep"))</f>
        <v>Keep</v>
      </c>
    </row>
    <row r="3009" customFormat="false" ht="15" hidden="false" customHeight="false" outlineLevel="0" collapsed="false">
      <c r="A3009" s="39" t="s">
        <v>3048</v>
      </c>
      <c r="B3009" s="40" t="n">
        <v>46014</v>
      </c>
      <c r="C3009" s="39" t="s">
        <v>136</v>
      </c>
      <c r="D3009" s="39" t="n">
        <v>1</v>
      </c>
      <c r="E3009" s="41" t="n">
        <v>72.84</v>
      </c>
      <c r="F3009" s="39" t="s">
        <v>108</v>
      </c>
      <c r="G3009" s="39" t="str">
        <f aca="false">UPPER(TRIM(C3009))</f>
        <v>P002</v>
      </c>
      <c r="H3009" s="39" t="str">
        <f aca="false">IF(ISNUMBER(MATCH(G3009,Products!$A$5:$A$24,0)),"OK","Mismatch")</f>
        <v>OK</v>
      </c>
      <c r="I3009" s="39" t="str">
        <f aca="false">IF(COUNTIF($A$5:A3009,A3009)&gt;1,"Duplicate","Unique")</f>
        <v>Unique</v>
      </c>
      <c r="J3009" s="39" t="str">
        <f aca="false">IF(I3009="Duplicate","Remove",IF(H3009="Mismatch","Exclude","Keep"))</f>
        <v>Keep</v>
      </c>
    </row>
    <row r="3010" customFormat="false" ht="15" hidden="false" customHeight="false" outlineLevel="0" collapsed="false">
      <c r="A3010" s="39" t="s">
        <v>3049</v>
      </c>
      <c r="B3010" s="40" t="n">
        <v>46014</v>
      </c>
      <c r="C3010" s="39" t="s">
        <v>126</v>
      </c>
      <c r="D3010" s="39" t="n">
        <v>3</v>
      </c>
      <c r="E3010" s="41" t="n">
        <v>23.14</v>
      </c>
      <c r="F3010" s="39" t="s">
        <v>108</v>
      </c>
      <c r="G3010" s="39" t="str">
        <f aca="false">UPPER(TRIM(C3010))</f>
        <v>P001</v>
      </c>
      <c r="H3010" s="39" t="str">
        <f aca="false">IF(ISNUMBER(MATCH(G3010,Products!$A$5:$A$24,0)),"OK","Mismatch")</f>
        <v>OK</v>
      </c>
      <c r="I3010" s="39" t="str">
        <f aca="false">IF(COUNTIF($A$5:A3010,A3010)&gt;1,"Duplicate","Unique")</f>
        <v>Unique</v>
      </c>
      <c r="J3010" s="39" t="str">
        <f aca="false">IF(I3010="Duplicate","Remove",IF(H3010="Mismatch","Exclude","Keep"))</f>
        <v>Keep</v>
      </c>
    </row>
    <row r="3011" customFormat="false" ht="15" hidden="false" customHeight="false" outlineLevel="0" collapsed="false">
      <c r="A3011" s="39" t="s">
        <v>3050</v>
      </c>
      <c r="B3011" s="40" t="n">
        <v>46014</v>
      </c>
      <c r="C3011" s="39" t="s">
        <v>183</v>
      </c>
      <c r="D3011" s="39" t="n">
        <v>3</v>
      </c>
      <c r="E3011" s="41" t="n">
        <v>176.56</v>
      </c>
      <c r="F3011" s="39" t="s">
        <v>118</v>
      </c>
      <c r="G3011" s="39" t="str">
        <f aca="false">UPPER(TRIM(C3011))</f>
        <v>P007</v>
      </c>
      <c r="H3011" s="39" t="str">
        <f aca="false">IF(ISNUMBER(MATCH(G3011,Products!$A$5:$A$24,0)),"OK","Mismatch")</f>
        <v>OK</v>
      </c>
      <c r="I3011" s="39" t="str">
        <f aca="false">IF(COUNTIF($A$5:A3011,A3011)&gt;1,"Duplicate","Unique")</f>
        <v>Unique</v>
      </c>
      <c r="J3011" s="39" t="str">
        <f aca="false">IF(I3011="Duplicate","Remove",IF(H3011="Mismatch","Exclude","Keep"))</f>
        <v>Keep</v>
      </c>
    </row>
    <row r="3012" customFormat="false" ht="15" hidden="false" customHeight="false" outlineLevel="0" collapsed="false">
      <c r="A3012" s="39" t="s">
        <v>3050</v>
      </c>
      <c r="B3012" s="40" t="n">
        <v>46014</v>
      </c>
      <c r="C3012" s="39" t="s">
        <v>183</v>
      </c>
      <c r="D3012" s="39" t="n">
        <v>3</v>
      </c>
      <c r="E3012" s="41" t="n">
        <v>176.56</v>
      </c>
      <c r="F3012" s="39" t="s">
        <v>118</v>
      </c>
      <c r="G3012" s="39" t="str">
        <f aca="false">UPPER(TRIM(C3012))</f>
        <v>P007</v>
      </c>
      <c r="H3012" s="39" t="str">
        <f aca="false">IF(ISNUMBER(MATCH(G3012,Products!$A$5:$A$24,0)),"OK","Mismatch")</f>
        <v>OK</v>
      </c>
      <c r="I3012" s="39" t="str">
        <f aca="false">IF(COUNTIF($A$5:A3012,A3012)&gt;1,"Duplicate","Unique")</f>
        <v>Duplicate</v>
      </c>
      <c r="J3012" s="39" t="str">
        <f aca="false">IF(I3012="Duplicate","Remove",IF(H3012="Mismatch","Exclude","Keep"))</f>
        <v>Remove</v>
      </c>
    </row>
    <row r="3013" customFormat="false" ht="15" hidden="false" customHeight="false" outlineLevel="0" collapsed="false">
      <c r="A3013" s="39" t="s">
        <v>3051</v>
      </c>
      <c r="B3013" s="40" t="n">
        <v>46014</v>
      </c>
      <c r="C3013" s="39" t="s">
        <v>169</v>
      </c>
      <c r="D3013" s="39" t="n">
        <v>2</v>
      </c>
      <c r="E3013" s="41" t="n">
        <v>27.87</v>
      </c>
      <c r="F3013" s="39" t="s">
        <v>115</v>
      </c>
      <c r="G3013" s="39" t="str">
        <f aca="false">UPPER(TRIM(C3013))</f>
        <v>P004</v>
      </c>
      <c r="H3013" s="39" t="str">
        <f aca="false">IF(ISNUMBER(MATCH(G3013,Products!$A$5:$A$24,0)),"OK","Mismatch")</f>
        <v>OK</v>
      </c>
      <c r="I3013" s="39" t="str">
        <f aca="false">IF(COUNTIF($A$5:A3013,A3013)&gt;1,"Duplicate","Unique")</f>
        <v>Unique</v>
      </c>
      <c r="J3013" s="39" t="str">
        <f aca="false">IF(I3013="Duplicate","Remove",IF(H3013="Mismatch","Exclude","Keep"))</f>
        <v>Keep</v>
      </c>
    </row>
    <row r="3014" customFormat="false" ht="15" hidden="false" customHeight="false" outlineLevel="0" collapsed="false">
      <c r="A3014" s="39" t="s">
        <v>3052</v>
      </c>
      <c r="B3014" s="40" t="n">
        <v>46014</v>
      </c>
      <c r="C3014" s="39" t="s">
        <v>130</v>
      </c>
      <c r="D3014" s="39" t="n">
        <v>2</v>
      </c>
      <c r="E3014" s="41" t="n">
        <v>8.73</v>
      </c>
      <c r="F3014" s="39" t="s">
        <v>115</v>
      </c>
      <c r="G3014" s="39" t="str">
        <f aca="false">UPPER(TRIM(C3014))</f>
        <v>P011</v>
      </c>
      <c r="H3014" s="39" t="str">
        <f aca="false">IF(ISNUMBER(MATCH(G3014,Products!$A$5:$A$24,0)),"OK","Mismatch")</f>
        <v>OK</v>
      </c>
      <c r="I3014" s="39" t="str">
        <f aca="false">IF(COUNTIF($A$5:A3014,A3014)&gt;1,"Duplicate","Unique")</f>
        <v>Unique</v>
      </c>
      <c r="J3014" s="39" t="str">
        <f aca="false">IF(I3014="Duplicate","Remove",IF(H3014="Mismatch","Exclude","Keep"))</f>
        <v>Keep</v>
      </c>
    </row>
    <row r="3015" customFormat="false" ht="15" hidden="false" customHeight="false" outlineLevel="0" collapsed="false">
      <c r="A3015" s="39" t="s">
        <v>3053</v>
      </c>
      <c r="B3015" s="40" t="n">
        <v>46014</v>
      </c>
      <c r="C3015" s="39" t="s">
        <v>128</v>
      </c>
      <c r="D3015" s="39" t="n">
        <v>1</v>
      </c>
      <c r="E3015" s="41" t="n">
        <v>38.87</v>
      </c>
      <c r="F3015" s="39" t="s">
        <v>118</v>
      </c>
      <c r="G3015" s="39" t="str">
        <f aca="false">UPPER(TRIM(C3015))</f>
        <v>P020</v>
      </c>
      <c r="H3015" s="39" t="str">
        <f aca="false">IF(ISNUMBER(MATCH(G3015,Products!$A$5:$A$24,0)),"OK","Mismatch")</f>
        <v>OK</v>
      </c>
      <c r="I3015" s="39" t="str">
        <f aca="false">IF(COUNTIF($A$5:A3015,A3015)&gt;1,"Duplicate","Unique")</f>
        <v>Unique</v>
      </c>
      <c r="J3015" s="39" t="str">
        <f aca="false">IF(I3015="Duplicate","Remove",IF(H3015="Mismatch","Exclude","Keep"))</f>
        <v>Keep</v>
      </c>
    </row>
    <row r="3016" customFormat="false" ht="15" hidden="false" customHeight="false" outlineLevel="0" collapsed="false">
      <c r="A3016" s="39" t="s">
        <v>3054</v>
      </c>
      <c r="B3016" s="40" t="n">
        <v>46015</v>
      </c>
      <c r="C3016" s="39" t="s">
        <v>114</v>
      </c>
      <c r="D3016" s="39" t="n">
        <v>2</v>
      </c>
      <c r="E3016" s="41" t="n">
        <v>5.78</v>
      </c>
      <c r="F3016" s="39" t="s">
        <v>118</v>
      </c>
      <c r="G3016" s="39" t="str">
        <f aca="false">UPPER(TRIM(C3016))</f>
        <v>P012</v>
      </c>
      <c r="H3016" s="39" t="str">
        <f aca="false">IF(ISNUMBER(MATCH(G3016,Products!$A$5:$A$24,0)),"OK","Mismatch")</f>
        <v>OK</v>
      </c>
      <c r="I3016" s="39" t="str">
        <f aca="false">IF(COUNTIF($A$5:A3016,A3016)&gt;1,"Duplicate","Unique")</f>
        <v>Unique</v>
      </c>
      <c r="J3016" s="39" t="str">
        <f aca="false">IF(I3016="Duplicate","Remove",IF(H3016="Mismatch","Exclude","Keep"))</f>
        <v>Keep</v>
      </c>
    </row>
    <row r="3017" customFormat="false" ht="15" hidden="false" customHeight="false" outlineLevel="0" collapsed="false">
      <c r="A3017" s="39" t="s">
        <v>3055</v>
      </c>
      <c r="B3017" s="40" t="n">
        <v>46015</v>
      </c>
      <c r="C3017" s="39" t="s">
        <v>104</v>
      </c>
      <c r="D3017" s="39" t="n">
        <v>2</v>
      </c>
      <c r="E3017" s="41" t="n">
        <v>15.84</v>
      </c>
      <c r="F3017" s="39" t="s">
        <v>105</v>
      </c>
      <c r="G3017" s="39" t="str">
        <f aca="false">UPPER(TRIM(C3017))</f>
        <v>P015</v>
      </c>
      <c r="H3017" s="39" t="str">
        <f aca="false">IF(ISNUMBER(MATCH(G3017,Products!$A$5:$A$24,0)),"OK","Mismatch")</f>
        <v>OK</v>
      </c>
      <c r="I3017" s="39" t="str">
        <f aca="false">IF(COUNTIF($A$5:A3017,A3017)&gt;1,"Duplicate","Unique")</f>
        <v>Unique</v>
      </c>
      <c r="J3017" s="39" t="str">
        <f aca="false">IF(I3017="Duplicate","Remove",IF(H3017="Mismatch","Exclude","Keep"))</f>
        <v>Keep</v>
      </c>
    </row>
    <row r="3018" customFormat="false" ht="15" hidden="false" customHeight="false" outlineLevel="0" collapsed="false">
      <c r="A3018" s="39" t="s">
        <v>3056</v>
      </c>
      <c r="B3018" s="40" t="n">
        <v>46015</v>
      </c>
      <c r="C3018" s="39" t="s">
        <v>114</v>
      </c>
      <c r="D3018" s="39" t="n">
        <v>1</v>
      </c>
      <c r="E3018" s="41" t="n">
        <v>5.67</v>
      </c>
      <c r="F3018" s="39" t="s">
        <v>115</v>
      </c>
      <c r="G3018" s="39" t="str">
        <f aca="false">UPPER(TRIM(C3018))</f>
        <v>P012</v>
      </c>
      <c r="H3018" s="39" t="str">
        <f aca="false">IF(ISNUMBER(MATCH(G3018,Products!$A$5:$A$24,0)),"OK","Mismatch")</f>
        <v>OK</v>
      </c>
      <c r="I3018" s="39" t="str">
        <f aca="false">IF(COUNTIF($A$5:A3018,A3018)&gt;1,"Duplicate","Unique")</f>
        <v>Unique</v>
      </c>
      <c r="J3018" s="39" t="str">
        <f aca="false">IF(I3018="Duplicate","Remove",IF(H3018="Mismatch","Exclude","Keep"))</f>
        <v>Keep</v>
      </c>
    </row>
    <row r="3019" customFormat="false" ht="15" hidden="false" customHeight="false" outlineLevel="0" collapsed="false">
      <c r="A3019" s="39" t="s">
        <v>3057</v>
      </c>
      <c r="B3019" s="40" t="n">
        <v>46015</v>
      </c>
      <c r="C3019" s="39" t="s">
        <v>114</v>
      </c>
      <c r="D3019" s="39" t="n">
        <v>2</v>
      </c>
      <c r="E3019" s="41" t="n">
        <v>5.83</v>
      </c>
      <c r="F3019" s="39" t="s">
        <v>118</v>
      </c>
      <c r="G3019" s="39" t="str">
        <f aca="false">UPPER(TRIM(C3019))</f>
        <v>P012</v>
      </c>
      <c r="H3019" s="39" t="str">
        <f aca="false">IF(ISNUMBER(MATCH(G3019,Products!$A$5:$A$24,0)),"OK","Mismatch")</f>
        <v>OK</v>
      </c>
      <c r="I3019" s="39" t="str">
        <f aca="false">IF(COUNTIF($A$5:A3019,A3019)&gt;1,"Duplicate","Unique")</f>
        <v>Unique</v>
      </c>
      <c r="J3019" s="39" t="str">
        <f aca="false">IF(I3019="Duplicate","Remove",IF(H3019="Mismatch","Exclude","Keep"))</f>
        <v>Keep</v>
      </c>
    </row>
    <row r="3020" customFormat="false" ht="15" hidden="false" customHeight="false" outlineLevel="0" collapsed="false">
      <c r="A3020" s="39" t="s">
        <v>3057</v>
      </c>
      <c r="B3020" s="40" t="n">
        <v>46015</v>
      </c>
      <c r="C3020" s="39" t="s">
        <v>114</v>
      </c>
      <c r="D3020" s="39" t="n">
        <v>2</v>
      </c>
      <c r="E3020" s="41" t="n">
        <v>5.83</v>
      </c>
      <c r="F3020" s="39" t="s">
        <v>118</v>
      </c>
      <c r="G3020" s="39" t="str">
        <f aca="false">UPPER(TRIM(C3020))</f>
        <v>P012</v>
      </c>
      <c r="H3020" s="39" t="str">
        <f aca="false">IF(ISNUMBER(MATCH(G3020,Products!$A$5:$A$24,0)),"OK","Mismatch")</f>
        <v>OK</v>
      </c>
      <c r="I3020" s="39" t="str">
        <f aca="false">IF(COUNTIF($A$5:A3020,A3020)&gt;1,"Duplicate","Unique")</f>
        <v>Duplicate</v>
      </c>
      <c r="J3020" s="39" t="str">
        <f aca="false">IF(I3020="Duplicate","Remove",IF(H3020="Mismatch","Exclude","Keep"))</f>
        <v>Remove</v>
      </c>
    </row>
    <row r="3021" customFormat="false" ht="15" hidden="false" customHeight="false" outlineLevel="0" collapsed="false">
      <c r="A3021" s="39" t="s">
        <v>3058</v>
      </c>
      <c r="B3021" s="40" t="n">
        <v>46015</v>
      </c>
      <c r="C3021" s="39" t="s">
        <v>162</v>
      </c>
      <c r="D3021" s="39" t="n">
        <v>2</v>
      </c>
      <c r="E3021" s="41" t="n">
        <v>63.98</v>
      </c>
      <c r="F3021" s="39" t="s">
        <v>105</v>
      </c>
      <c r="G3021" s="39" t="str">
        <f aca="false">UPPER(TRIM(C3021))</f>
        <v>P017</v>
      </c>
      <c r="H3021" s="39" t="str">
        <f aca="false">IF(ISNUMBER(MATCH(G3021,Products!$A$5:$A$24,0)),"OK","Mismatch")</f>
        <v>OK</v>
      </c>
      <c r="I3021" s="39" t="str">
        <f aca="false">IF(COUNTIF($A$5:A3021,A3021)&gt;1,"Duplicate","Unique")</f>
        <v>Unique</v>
      </c>
      <c r="J3021" s="39" t="str">
        <f aca="false">IF(I3021="Duplicate","Remove",IF(H3021="Mismatch","Exclude","Keep"))</f>
        <v>Keep</v>
      </c>
    </row>
    <row r="3022" customFormat="false" ht="15" hidden="false" customHeight="false" outlineLevel="0" collapsed="false">
      <c r="A3022" s="39" t="s">
        <v>3059</v>
      </c>
      <c r="B3022" s="40" t="n">
        <v>46015</v>
      </c>
      <c r="C3022" s="39" t="s">
        <v>104</v>
      </c>
      <c r="D3022" s="39" t="n">
        <v>4</v>
      </c>
      <c r="E3022" s="41" t="n">
        <v>15.04</v>
      </c>
      <c r="F3022" s="39" t="s">
        <v>115</v>
      </c>
      <c r="G3022" s="39" t="str">
        <f aca="false">UPPER(TRIM(C3022))</f>
        <v>P015</v>
      </c>
      <c r="H3022" s="39" t="str">
        <f aca="false">IF(ISNUMBER(MATCH(G3022,Products!$A$5:$A$24,0)),"OK","Mismatch")</f>
        <v>OK</v>
      </c>
      <c r="I3022" s="39" t="str">
        <f aca="false">IF(COUNTIF($A$5:A3022,A3022)&gt;1,"Duplicate","Unique")</f>
        <v>Unique</v>
      </c>
      <c r="J3022" s="39" t="str">
        <f aca="false">IF(I3022="Duplicate","Remove",IF(H3022="Mismatch","Exclude","Keep"))</f>
        <v>Keep</v>
      </c>
    </row>
    <row r="3023" customFormat="false" ht="15" hidden="false" customHeight="false" outlineLevel="0" collapsed="false">
      <c r="A3023" s="39" t="s">
        <v>3060</v>
      </c>
      <c r="B3023" s="40" t="n">
        <v>46015</v>
      </c>
      <c r="C3023" s="39" t="s">
        <v>130</v>
      </c>
      <c r="D3023" s="39" t="n">
        <v>6</v>
      </c>
      <c r="E3023" s="41" t="n">
        <v>8.55</v>
      </c>
      <c r="F3023" s="39" t="s">
        <v>105</v>
      </c>
      <c r="G3023" s="39" t="str">
        <f aca="false">UPPER(TRIM(C3023))</f>
        <v>P011</v>
      </c>
      <c r="H3023" s="39" t="str">
        <f aca="false">IF(ISNUMBER(MATCH(G3023,Products!$A$5:$A$24,0)),"OK","Mismatch")</f>
        <v>OK</v>
      </c>
      <c r="I3023" s="39" t="str">
        <f aca="false">IF(COUNTIF($A$5:A3023,A3023)&gt;1,"Duplicate","Unique")</f>
        <v>Unique</v>
      </c>
      <c r="J3023" s="39" t="str">
        <f aca="false">IF(I3023="Duplicate","Remove",IF(H3023="Mismatch","Exclude","Keep"))</f>
        <v>Keep</v>
      </c>
    </row>
    <row r="3024" customFormat="false" ht="15" hidden="false" customHeight="false" outlineLevel="0" collapsed="false">
      <c r="A3024" s="39" t="s">
        <v>3061</v>
      </c>
      <c r="B3024" s="40" t="n">
        <v>46015</v>
      </c>
      <c r="C3024" s="39" t="s">
        <v>117</v>
      </c>
      <c r="D3024" s="39" t="n">
        <v>1</v>
      </c>
      <c r="E3024" s="41" t="n">
        <v>30.02</v>
      </c>
      <c r="F3024" s="39" t="s">
        <v>118</v>
      </c>
      <c r="G3024" s="39" t="str">
        <f aca="false">UPPER(TRIM(C3024))</f>
        <v>P009</v>
      </c>
      <c r="H3024" s="39" t="str">
        <f aca="false">IF(ISNUMBER(MATCH(G3024,Products!$A$5:$A$24,0)),"OK","Mismatch")</f>
        <v>OK</v>
      </c>
      <c r="I3024" s="39" t="str">
        <f aca="false">IF(COUNTIF($A$5:A3024,A3024)&gt;1,"Duplicate","Unique")</f>
        <v>Unique</v>
      </c>
      <c r="J3024" s="39" t="str">
        <f aca="false">IF(I3024="Duplicate","Remove",IF(H3024="Mismatch","Exclude","Keep"))</f>
        <v>Keep</v>
      </c>
    </row>
    <row r="3025" customFormat="false" ht="15" hidden="false" customHeight="false" outlineLevel="0" collapsed="false">
      <c r="A3025" s="39" t="s">
        <v>3062</v>
      </c>
      <c r="B3025" s="40" t="n">
        <v>46015</v>
      </c>
      <c r="C3025" s="39" t="s">
        <v>169</v>
      </c>
      <c r="D3025" s="39" t="n">
        <v>1</v>
      </c>
      <c r="E3025" s="41" t="n">
        <v>27.42</v>
      </c>
      <c r="F3025" s="39" t="s">
        <v>105</v>
      </c>
      <c r="G3025" s="39" t="str">
        <f aca="false">UPPER(TRIM(C3025))</f>
        <v>P004</v>
      </c>
      <c r="H3025" s="39" t="str">
        <f aca="false">IF(ISNUMBER(MATCH(G3025,Products!$A$5:$A$24,0)),"OK","Mismatch")</f>
        <v>OK</v>
      </c>
      <c r="I3025" s="39" t="str">
        <f aca="false">IF(COUNTIF($A$5:A3025,A3025)&gt;1,"Duplicate","Unique")</f>
        <v>Unique</v>
      </c>
      <c r="J3025" s="39" t="str">
        <f aca="false">IF(I3025="Duplicate","Remove",IF(H3025="Mismatch","Exclude","Keep"))</f>
        <v>Keep</v>
      </c>
    </row>
    <row r="3026" customFormat="false" ht="15" hidden="false" customHeight="false" outlineLevel="0" collapsed="false">
      <c r="A3026" s="39" t="s">
        <v>3063</v>
      </c>
      <c r="B3026" s="40" t="n">
        <v>46015</v>
      </c>
      <c r="C3026" s="39" t="s">
        <v>133</v>
      </c>
      <c r="D3026" s="39" t="n">
        <v>2</v>
      </c>
      <c r="E3026" s="41" t="n">
        <v>8.65</v>
      </c>
      <c r="F3026" s="39" t="s">
        <v>108</v>
      </c>
      <c r="G3026" s="39" t="str">
        <f aca="false">UPPER(TRIM(C3026))</f>
        <v>P019</v>
      </c>
      <c r="H3026" s="39" t="str">
        <f aca="false">IF(ISNUMBER(MATCH(G3026,Products!$A$5:$A$24,0)),"OK","Mismatch")</f>
        <v>OK</v>
      </c>
      <c r="I3026" s="39" t="str">
        <f aca="false">IF(COUNTIF($A$5:A3026,A3026)&gt;1,"Duplicate","Unique")</f>
        <v>Unique</v>
      </c>
      <c r="J3026" s="39" t="str">
        <f aca="false">IF(I3026="Duplicate","Remove",IF(H3026="Mismatch","Exclude","Keep"))</f>
        <v>Keep</v>
      </c>
    </row>
    <row r="3027" customFormat="false" ht="15" hidden="false" customHeight="false" outlineLevel="0" collapsed="false">
      <c r="A3027" s="39" t="s">
        <v>3064</v>
      </c>
      <c r="B3027" s="40" t="n">
        <v>46016</v>
      </c>
      <c r="C3027" s="39" t="s">
        <v>126</v>
      </c>
      <c r="D3027" s="39" t="n">
        <v>3</v>
      </c>
      <c r="E3027" s="41" t="n">
        <v>23.72</v>
      </c>
      <c r="F3027" s="39" t="s">
        <v>108</v>
      </c>
      <c r="G3027" s="39" t="str">
        <f aca="false">UPPER(TRIM(C3027))</f>
        <v>P001</v>
      </c>
      <c r="H3027" s="39" t="str">
        <f aca="false">IF(ISNUMBER(MATCH(G3027,Products!$A$5:$A$24,0)),"OK","Mismatch")</f>
        <v>OK</v>
      </c>
      <c r="I3027" s="39" t="str">
        <f aca="false">IF(COUNTIF($A$5:A3027,A3027)&gt;1,"Duplicate","Unique")</f>
        <v>Unique</v>
      </c>
      <c r="J3027" s="39" t="str">
        <f aca="false">IF(I3027="Duplicate","Remove",IF(H3027="Mismatch","Exclude","Keep"))</f>
        <v>Keep</v>
      </c>
    </row>
    <row r="3028" customFormat="false" ht="15" hidden="false" customHeight="false" outlineLevel="0" collapsed="false">
      <c r="A3028" s="39" t="s">
        <v>3065</v>
      </c>
      <c r="B3028" s="40" t="n">
        <v>46016</v>
      </c>
      <c r="C3028" s="39" t="s">
        <v>114</v>
      </c>
      <c r="D3028" s="39" t="n">
        <v>1</v>
      </c>
      <c r="E3028" s="41" t="n">
        <v>5.86</v>
      </c>
      <c r="F3028" s="39" t="s">
        <v>115</v>
      </c>
      <c r="G3028" s="39" t="str">
        <f aca="false">UPPER(TRIM(C3028))</f>
        <v>P012</v>
      </c>
      <c r="H3028" s="39" t="str">
        <f aca="false">IF(ISNUMBER(MATCH(G3028,Products!$A$5:$A$24,0)),"OK","Mismatch")</f>
        <v>OK</v>
      </c>
      <c r="I3028" s="39" t="str">
        <f aca="false">IF(COUNTIF($A$5:A3028,A3028)&gt;1,"Duplicate","Unique")</f>
        <v>Unique</v>
      </c>
      <c r="J3028" s="39" t="str">
        <f aca="false">IF(I3028="Duplicate","Remove",IF(H3028="Mismatch","Exclude","Keep"))</f>
        <v>Keep</v>
      </c>
    </row>
    <row r="3029" customFormat="false" ht="15" hidden="false" customHeight="false" outlineLevel="0" collapsed="false">
      <c r="A3029" s="39" t="s">
        <v>3066</v>
      </c>
      <c r="B3029" s="40" t="n">
        <v>46016</v>
      </c>
      <c r="C3029" s="39" t="s">
        <v>104</v>
      </c>
      <c r="D3029" s="39" t="n">
        <v>2</v>
      </c>
      <c r="E3029" s="41" t="n">
        <v>15.77</v>
      </c>
      <c r="F3029" s="39" t="s">
        <v>115</v>
      </c>
      <c r="G3029" s="39" t="str">
        <f aca="false">UPPER(TRIM(C3029))</f>
        <v>P015</v>
      </c>
      <c r="H3029" s="39" t="str">
        <f aca="false">IF(ISNUMBER(MATCH(G3029,Products!$A$5:$A$24,0)),"OK","Mismatch")</f>
        <v>OK</v>
      </c>
      <c r="I3029" s="39" t="str">
        <f aca="false">IF(COUNTIF($A$5:A3029,A3029)&gt;1,"Duplicate","Unique")</f>
        <v>Unique</v>
      </c>
      <c r="J3029" s="39" t="str">
        <f aca="false">IF(I3029="Duplicate","Remove",IF(H3029="Mismatch","Exclude","Keep"))</f>
        <v>Keep</v>
      </c>
    </row>
    <row r="3030" customFormat="false" ht="15" hidden="false" customHeight="false" outlineLevel="0" collapsed="false">
      <c r="A3030" s="39" t="s">
        <v>3067</v>
      </c>
      <c r="B3030" s="40" t="n">
        <v>46016</v>
      </c>
      <c r="C3030" s="39" t="s">
        <v>162</v>
      </c>
      <c r="D3030" s="39" t="n">
        <v>5</v>
      </c>
      <c r="E3030" s="41" t="n">
        <v>65.69</v>
      </c>
      <c r="F3030" s="39" t="s">
        <v>115</v>
      </c>
      <c r="G3030" s="39" t="str">
        <f aca="false">UPPER(TRIM(C3030))</f>
        <v>P017</v>
      </c>
      <c r="H3030" s="39" t="str">
        <f aca="false">IF(ISNUMBER(MATCH(G3030,Products!$A$5:$A$24,0)),"OK","Mismatch")</f>
        <v>OK</v>
      </c>
      <c r="I3030" s="39" t="str">
        <f aca="false">IF(COUNTIF($A$5:A3030,A3030)&gt;1,"Duplicate","Unique")</f>
        <v>Unique</v>
      </c>
      <c r="J3030" s="39" t="str">
        <f aca="false">IF(I3030="Duplicate","Remove",IF(H3030="Mismatch","Exclude","Keep"))</f>
        <v>Keep</v>
      </c>
    </row>
    <row r="3031" customFormat="false" ht="15" hidden="false" customHeight="false" outlineLevel="0" collapsed="false">
      <c r="A3031" s="39" t="s">
        <v>3068</v>
      </c>
      <c r="B3031" s="40" t="n">
        <v>46016</v>
      </c>
      <c r="C3031" s="39" t="s">
        <v>162</v>
      </c>
      <c r="D3031" s="39" t="n">
        <v>2</v>
      </c>
      <c r="E3031" s="41" t="n">
        <v>64.61</v>
      </c>
      <c r="F3031" s="39" t="s">
        <v>115</v>
      </c>
      <c r="G3031" s="39" t="str">
        <f aca="false">UPPER(TRIM(C3031))</f>
        <v>P017</v>
      </c>
      <c r="H3031" s="39" t="str">
        <f aca="false">IF(ISNUMBER(MATCH(G3031,Products!$A$5:$A$24,0)),"OK","Mismatch")</f>
        <v>OK</v>
      </c>
      <c r="I3031" s="39" t="str">
        <f aca="false">IF(COUNTIF($A$5:A3031,A3031)&gt;1,"Duplicate","Unique")</f>
        <v>Unique</v>
      </c>
      <c r="J3031" s="39" t="str">
        <f aca="false">IF(I3031="Duplicate","Remove",IF(H3031="Mismatch","Exclude","Keep"))</f>
        <v>Keep</v>
      </c>
    </row>
    <row r="3032" customFormat="false" ht="15" hidden="false" customHeight="false" outlineLevel="0" collapsed="false">
      <c r="A3032" s="39" t="s">
        <v>3069</v>
      </c>
      <c r="B3032" s="40" t="n">
        <v>46016</v>
      </c>
      <c r="C3032" s="39" t="s">
        <v>136</v>
      </c>
      <c r="D3032" s="39" t="n">
        <v>2</v>
      </c>
      <c r="E3032" s="41" t="n">
        <v>76.08</v>
      </c>
      <c r="F3032" s="39" t="s">
        <v>118</v>
      </c>
      <c r="G3032" s="39" t="str">
        <f aca="false">UPPER(TRIM(C3032))</f>
        <v>P002</v>
      </c>
      <c r="H3032" s="39" t="str">
        <f aca="false">IF(ISNUMBER(MATCH(G3032,Products!$A$5:$A$24,0)),"OK","Mismatch")</f>
        <v>OK</v>
      </c>
      <c r="I3032" s="39" t="str">
        <f aca="false">IF(COUNTIF($A$5:A3032,A3032)&gt;1,"Duplicate","Unique")</f>
        <v>Unique</v>
      </c>
      <c r="J3032" s="39" t="str">
        <f aca="false">IF(I3032="Duplicate","Remove",IF(H3032="Mismatch","Exclude","Keep"))</f>
        <v>Keep</v>
      </c>
    </row>
    <row r="3033" customFormat="false" ht="15" hidden="false" customHeight="false" outlineLevel="0" collapsed="false">
      <c r="A3033" s="39" t="s">
        <v>3070</v>
      </c>
      <c r="B3033" s="40" t="n">
        <v>46016</v>
      </c>
      <c r="C3033" s="39" t="s">
        <v>169</v>
      </c>
      <c r="D3033" s="39" t="n">
        <v>1</v>
      </c>
      <c r="E3033" s="41" t="n">
        <v>27.43</v>
      </c>
      <c r="F3033" s="39" t="s">
        <v>118</v>
      </c>
      <c r="G3033" s="39" t="str">
        <f aca="false">UPPER(TRIM(C3033))</f>
        <v>P004</v>
      </c>
      <c r="H3033" s="39" t="str">
        <f aca="false">IF(ISNUMBER(MATCH(G3033,Products!$A$5:$A$24,0)),"OK","Mismatch")</f>
        <v>OK</v>
      </c>
      <c r="I3033" s="39" t="str">
        <f aca="false">IF(COUNTIF($A$5:A3033,A3033)&gt;1,"Duplicate","Unique")</f>
        <v>Unique</v>
      </c>
      <c r="J3033" s="39" t="str">
        <f aca="false">IF(I3033="Duplicate","Remove",IF(H3033="Mismatch","Exclude","Keep"))</f>
        <v>Keep</v>
      </c>
    </row>
    <row r="3034" customFormat="false" ht="15" hidden="false" customHeight="false" outlineLevel="0" collapsed="false">
      <c r="A3034" s="39" t="s">
        <v>3071</v>
      </c>
      <c r="B3034" s="40" t="n">
        <v>46016</v>
      </c>
      <c r="C3034" s="39" t="s">
        <v>139</v>
      </c>
      <c r="D3034" s="39" t="n">
        <v>4</v>
      </c>
      <c r="E3034" s="41" t="n">
        <v>120</v>
      </c>
      <c r="F3034" s="39" t="s">
        <v>115</v>
      </c>
      <c r="G3034" s="39" t="str">
        <f aca="false">UPPER(TRIM(C3034))</f>
        <v>P006</v>
      </c>
      <c r="H3034" s="39" t="str">
        <f aca="false">IF(ISNUMBER(MATCH(G3034,Products!$A$5:$A$24,0)),"OK","Mismatch")</f>
        <v>OK</v>
      </c>
      <c r="I3034" s="39" t="str">
        <f aca="false">IF(COUNTIF($A$5:A3034,A3034)&gt;1,"Duplicate","Unique")</f>
        <v>Unique</v>
      </c>
      <c r="J3034" s="39" t="str">
        <f aca="false">IF(I3034="Duplicate","Remove",IF(H3034="Mismatch","Exclude","Keep"))</f>
        <v>Keep</v>
      </c>
    </row>
    <row r="3035" customFormat="false" ht="15" hidden="false" customHeight="false" outlineLevel="0" collapsed="false">
      <c r="A3035" s="39" t="s">
        <v>3072</v>
      </c>
      <c r="B3035" s="40" t="n">
        <v>46016</v>
      </c>
      <c r="C3035" s="39" t="s">
        <v>117</v>
      </c>
      <c r="D3035" s="39" t="n">
        <v>2</v>
      </c>
      <c r="E3035" s="41" t="n">
        <v>30.39</v>
      </c>
      <c r="F3035" s="39" t="s">
        <v>105</v>
      </c>
      <c r="G3035" s="39" t="str">
        <f aca="false">UPPER(TRIM(C3035))</f>
        <v>P009</v>
      </c>
      <c r="H3035" s="39" t="str">
        <f aca="false">IF(ISNUMBER(MATCH(G3035,Products!$A$5:$A$24,0)),"OK","Mismatch")</f>
        <v>OK</v>
      </c>
      <c r="I3035" s="39" t="str">
        <f aca="false">IF(COUNTIF($A$5:A3035,A3035)&gt;1,"Duplicate","Unique")</f>
        <v>Unique</v>
      </c>
      <c r="J3035" s="39" t="str">
        <f aca="false">IF(I3035="Duplicate","Remove",IF(H3035="Mismatch","Exclude","Keep"))</f>
        <v>Keep</v>
      </c>
    </row>
    <row r="3036" customFormat="false" ht="15" hidden="false" customHeight="false" outlineLevel="0" collapsed="false">
      <c r="A3036" s="39" t="s">
        <v>3073</v>
      </c>
      <c r="B3036" s="40" t="n">
        <v>46016</v>
      </c>
      <c r="C3036" s="39" t="s">
        <v>3187</v>
      </c>
      <c r="D3036" s="39" t="n">
        <v>1</v>
      </c>
      <c r="E3036" s="41" t="n">
        <v>24.17</v>
      </c>
      <c r="F3036" s="39" t="s">
        <v>115</v>
      </c>
      <c r="G3036" s="39" t="str">
        <f aca="false">UPPER(TRIM(C3036))</f>
        <v>P001</v>
      </c>
      <c r="H3036" s="39" t="str">
        <f aca="false">IF(ISNUMBER(MATCH(G3036,Products!$A$5:$A$24,0)),"OK","Mismatch")</f>
        <v>OK</v>
      </c>
      <c r="I3036" s="39" t="str">
        <f aca="false">IF(COUNTIF($A$5:A3036,A3036)&gt;1,"Duplicate","Unique")</f>
        <v>Unique</v>
      </c>
      <c r="J3036" s="39" t="str">
        <f aca="false">IF(I3036="Duplicate","Remove",IF(H3036="Mismatch","Exclude","Keep"))</f>
        <v>Keep</v>
      </c>
    </row>
    <row r="3037" customFormat="false" ht="15" hidden="false" customHeight="false" outlineLevel="0" collapsed="false">
      <c r="A3037" s="39" t="s">
        <v>3074</v>
      </c>
      <c r="B3037" s="40" t="n">
        <v>46017</v>
      </c>
      <c r="C3037" s="39" t="s">
        <v>107</v>
      </c>
      <c r="D3037" s="39" t="n">
        <v>1</v>
      </c>
      <c r="E3037" s="41" t="n">
        <v>32.27</v>
      </c>
      <c r="F3037" s="39" t="s">
        <v>115</v>
      </c>
      <c r="G3037" s="39" t="str">
        <f aca="false">UPPER(TRIM(C3037))</f>
        <v>P003</v>
      </c>
      <c r="H3037" s="39" t="str">
        <f aca="false">IF(ISNUMBER(MATCH(G3037,Products!$A$5:$A$24,0)),"OK","Mismatch")</f>
        <v>OK</v>
      </c>
      <c r="I3037" s="39" t="str">
        <f aca="false">IF(COUNTIF($A$5:A3037,A3037)&gt;1,"Duplicate","Unique")</f>
        <v>Unique</v>
      </c>
      <c r="J3037" s="39" t="str">
        <f aca="false">IF(I3037="Duplicate","Remove",IF(H3037="Mismatch","Exclude","Keep"))</f>
        <v>Keep</v>
      </c>
    </row>
    <row r="3038" customFormat="false" ht="15" hidden="false" customHeight="false" outlineLevel="0" collapsed="false">
      <c r="A3038" s="39" t="s">
        <v>3075</v>
      </c>
      <c r="B3038" s="40" t="n">
        <v>46017</v>
      </c>
      <c r="C3038" s="39" t="s">
        <v>114</v>
      </c>
      <c r="D3038" s="39" t="n">
        <v>1</v>
      </c>
      <c r="E3038" s="41" t="n">
        <v>5.67</v>
      </c>
      <c r="F3038" s="39" t="s">
        <v>108</v>
      </c>
      <c r="G3038" s="39" t="str">
        <f aca="false">UPPER(TRIM(C3038))</f>
        <v>P012</v>
      </c>
      <c r="H3038" s="39" t="str">
        <f aca="false">IF(ISNUMBER(MATCH(G3038,Products!$A$5:$A$24,0)),"OK","Mismatch")</f>
        <v>OK</v>
      </c>
      <c r="I3038" s="39" t="str">
        <f aca="false">IF(COUNTIF($A$5:A3038,A3038)&gt;1,"Duplicate","Unique")</f>
        <v>Unique</v>
      </c>
      <c r="J3038" s="39" t="str">
        <f aca="false">IF(I3038="Duplicate","Remove",IF(H3038="Mismatch","Exclude","Keep"))</f>
        <v>Keep</v>
      </c>
    </row>
    <row r="3039" customFormat="false" ht="15" hidden="false" customHeight="false" outlineLevel="0" collapsed="false">
      <c r="A3039" s="39" t="s">
        <v>3076</v>
      </c>
      <c r="B3039" s="40" t="n">
        <v>46017</v>
      </c>
      <c r="C3039" s="39" t="s">
        <v>128</v>
      </c>
      <c r="D3039" s="39" t="n">
        <v>1</v>
      </c>
      <c r="E3039" s="41" t="n">
        <v>38.08</v>
      </c>
      <c r="F3039" s="39" t="s">
        <v>108</v>
      </c>
      <c r="G3039" s="39" t="str">
        <f aca="false">UPPER(TRIM(C3039))</f>
        <v>P020</v>
      </c>
      <c r="H3039" s="39" t="str">
        <f aca="false">IF(ISNUMBER(MATCH(G3039,Products!$A$5:$A$24,0)),"OK","Mismatch")</f>
        <v>OK</v>
      </c>
      <c r="I3039" s="39" t="str">
        <f aca="false">IF(COUNTIF($A$5:A3039,A3039)&gt;1,"Duplicate","Unique")</f>
        <v>Unique</v>
      </c>
      <c r="J3039" s="39" t="str">
        <f aca="false">IF(I3039="Duplicate","Remove",IF(H3039="Mismatch","Exclude","Keep"))</f>
        <v>Keep</v>
      </c>
    </row>
    <row r="3040" customFormat="false" ht="15" hidden="false" customHeight="false" outlineLevel="0" collapsed="false">
      <c r="A3040" s="39" t="s">
        <v>3077</v>
      </c>
      <c r="B3040" s="40" t="n">
        <v>46017</v>
      </c>
      <c r="C3040" s="39" t="s">
        <v>104</v>
      </c>
      <c r="D3040" s="39" t="n">
        <v>3</v>
      </c>
      <c r="E3040" s="41" t="n">
        <v>15.18</v>
      </c>
      <c r="F3040" s="39" t="s">
        <v>118</v>
      </c>
      <c r="G3040" s="39" t="str">
        <f aca="false">UPPER(TRIM(C3040))</f>
        <v>P015</v>
      </c>
      <c r="H3040" s="39" t="str">
        <f aca="false">IF(ISNUMBER(MATCH(G3040,Products!$A$5:$A$24,0)),"OK","Mismatch")</f>
        <v>OK</v>
      </c>
      <c r="I3040" s="39" t="str">
        <f aca="false">IF(COUNTIF($A$5:A3040,A3040)&gt;1,"Duplicate","Unique")</f>
        <v>Unique</v>
      </c>
      <c r="J3040" s="39" t="str">
        <f aca="false">IF(I3040="Duplicate","Remove",IF(H3040="Mismatch","Exclude","Keep"))</f>
        <v>Keep</v>
      </c>
    </row>
    <row r="3041" customFormat="false" ht="15" hidden="false" customHeight="false" outlineLevel="0" collapsed="false">
      <c r="A3041" s="39" t="s">
        <v>3078</v>
      </c>
      <c r="B3041" s="40" t="n">
        <v>46017</v>
      </c>
      <c r="C3041" s="39" t="s">
        <v>183</v>
      </c>
      <c r="D3041" s="39" t="n">
        <v>3</v>
      </c>
      <c r="E3041" s="41" t="n">
        <v>185.09</v>
      </c>
      <c r="F3041" s="39" t="s">
        <v>115</v>
      </c>
      <c r="G3041" s="39" t="str">
        <f aca="false">UPPER(TRIM(C3041))</f>
        <v>P007</v>
      </c>
      <c r="H3041" s="39" t="str">
        <f aca="false">IF(ISNUMBER(MATCH(G3041,Products!$A$5:$A$24,0)),"OK","Mismatch")</f>
        <v>OK</v>
      </c>
      <c r="I3041" s="39" t="str">
        <f aca="false">IF(COUNTIF($A$5:A3041,A3041)&gt;1,"Duplicate","Unique")</f>
        <v>Unique</v>
      </c>
      <c r="J3041" s="39" t="str">
        <f aca="false">IF(I3041="Duplicate","Remove",IF(H3041="Mismatch","Exclude","Keep"))</f>
        <v>Keep</v>
      </c>
    </row>
    <row r="3042" customFormat="false" ht="15" hidden="false" customHeight="false" outlineLevel="0" collapsed="false">
      <c r="A3042" s="39" t="s">
        <v>3079</v>
      </c>
      <c r="B3042" s="40" t="n">
        <v>46017</v>
      </c>
      <c r="C3042" s="39" t="s">
        <v>305</v>
      </c>
      <c r="D3042" s="39" t="n">
        <v>1</v>
      </c>
      <c r="E3042" s="41" t="n">
        <v>339.64</v>
      </c>
      <c r="F3042" s="39" t="s">
        <v>115</v>
      </c>
      <c r="G3042" s="39" t="str">
        <f aca="false">UPPER(TRIM(C3042))</f>
        <v>P008</v>
      </c>
      <c r="H3042" s="39" t="str">
        <f aca="false">IF(ISNUMBER(MATCH(G3042,Products!$A$5:$A$24,0)),"OK","Mismatch")</f>
        <v>OK</v>
      </c>
      <c r="I3042" s="39" t="str">
        <f aca="false">IF(COUNTIF($A$5:A3042,A3042)&gt;1,"Duplicate","Unique")</f>
        <v>Unique</v>
      </c>
      <c r="J3042" s="39" t="str">
        <f aca="false">IF(I3042="Duplicate","Remove",IF(H3042="Mismatch","Exclude","Keep"))</f>
        <v>Keep</v>
      </c>
    </row>
    <row r="3043" customFormat="false" ht="15" hidden="false" customHeight="false" outlineLevel="0" collapsed="false">
      <c r="A3043" s="39" t="s">
        <v>3080</v>
      </c>
      <c r="B3043" s="40" t="n">
        <v>46017</v>
      </c>
      <c r="C3043" s="39" t="s">
        <v>121</v>
      </c>
      <c r="D3043" s="39" t="n">
        <v>4</v>
      </c>
      <c r="E3043" s="41" t="n">
        <v>112.51</v>
      </c>
      <c r="F3043" s="39" t="s">
        <v>115</v>
      </c>
      <c r="G3043" s="39" t="str">
        <f aca="false">UPPER(TRIM(C3043))</f>
        <v>P018</v>
      </c>
      <c r="H3043" s="39" t="str">
        <f aca="false">IF(ISNUMBER(MATCH(G3043,Products!$A$5:$A$24,0)),"OK","Mismatch")</f>
        <v>OK</v>
      </c>
      <c r="I3043" s="39" t="str">
        <f aca="false">IF(COUNTIF($A$5:A3043,A3043)&gt;1,"Duplicate","Unique")</f>
        <v>Unique</v>
      </c>
      <c r="J3043" s="39" t="str">
        <f aca="false">IF(I3043="Duplicate","Remove",IF(H3043="Mismatch","Exclude","Keep"))</f>
        <v>Keep</v>
      </c>
    </row>
    <row r="3044" customFormat="false" ht="15" hidden="false" customHeight="false" outlineLevel="0" collapsed="false">
      <c r="A3044" s="39" t="s">
        <v>3081</v>
      </c>
      <c r="B3044" s="40" t="n">
        <v>46017</v>
      </c>
      <c r="C3044" s="39" t="s">
        <v>130</v>
      </c>
      <c r="D3044" s="39" t="n">
        <v>2</v>
      </c>
      <c r="E3044" s="41" t="n">
        <v>8.36</v>
      </c>
      <c r="F3044" s="39" t="s">
        <v>108</v>
      </c>
      <c r="G3044" s="39" t="str">
        <f aca="false">UPPER(TRIM(C3044))</f>
        <v>P011</v>
      </c>
      <c r="H3044" s="39" t="str">
        <f aca="false">IF(ISNUMBER(MATCH(G3044,Products!$A$5:$A$24,0)),"OK","Mismatch")</f>
        <v>OK</v>
      </c>
      <c r="I3044" s="39" t="str">
        <f aca="false">IF(COUNTIF($A$5:A3044,A3044)&gt;1,"Duplicate","Unique")</f>
        <v>Unique</v>
      </c>
      <c r="J3044" s="39" t="str">
        <f aca="false">IF(I3044="Duplicate","Remove",IF(H3044="Mismatch","Exclude","Keep"))</f>
        <v>Keep</v>
      </c>
    </row>
    <row r="3045" customFormat="false" ht="15" hidden="false" customHeight="false" outlineLevel="0" collapsed="false">
      <c r="A3045" s="39" t="s">
        <v>3082</v>
      </c>
      <c r="B3045" s="40" t="n">
        <v>46017</v>
      </c>
      <c r="C3045" s="39" t="s">
        <v>162</v>
      </c>
      <c r="D3045" s="39" t="n">
        <v>6</v>
      </c>
      <c r="E3045" s="41" t="n">
        <v>67.8</v>
      </c>
      <c r="F3045" s="39" t="s">
        <v>118</v>
      </c>
      <c r="G3045" s="39" t="str">
        <f aca="false">UPPER(TRIM(C3045))</f>
        <v>P017</v>
      </c>
      <c r="H3045" s="39" t="str">
        <f aca="false">IF(ISNUMBER(MATCH(G3045,Products!$A$5:$A$24,0)),"OK","Mismatch")</f>
        <v>OK</v>
      </c>
      <c r="I3045" s="39" t="str">
        <f aca="false">IF(COUNTIF($A$5:A3045,A3045)&gt;1,"Duplicate","Unique")</f>
        <v>Unique</v>
      </c>
      <c r="J3045" s="39" t="str">
        <f aca="false">IF(I3045="Duplicate","Remove",IF(H3045="Mismatch","Exclude","Keep"))</f>
        <v>Keep</v>
      </c>
    </row>
    <row r="3046" customFormat="false" ht="15" hidden="false" customHeight="false" outlineLevel="0" collapsed="false">
      <c r="A3046" s="39" t="s">
        <v>3083</v>
      </c>
      <c r="B3046" s="40" t="n">
        <v>46017</v>
      </c>
      <c r="C3046" s="39" t="s">
        <v>133</v>
      </c>
      <c r="D3046" s="39" t="n">
        <v>1</v>
      </c>
      <c r="E3046" s="41" t="n">
        <v>8.78</v>
      </c>
      <c r="F3046" s="39" t="s">
        <v>105</v>
      </c>
      <c r="G3046" s="39" t="str">
        <f aca="false">UPPER(TRIM(C3046))</f>
        <v>P019</v>
      </c>
      <c r="H3046" s="39" t="str">
        <f aca="false">IF(ISNUMBER(MATCH(G3046,Products!$A$5:$A$24,0)),"OK","Mismatch")</f>
        <v>OK</v>
      </c>
      <c r="I3046" s="39" t="str">
        <f aca="false">IF(COUNTIF($A$5:A3046,A3046)&gt;1,"Duplicate","Unique")</f>
        <v>Unique</v>
      </c>
      <c r="J3046" s="39" t="str">
        <f aca="false">IF(I3046="Duplicate","Remove",IF(H3046="Mismatch","Exclude","Keep"))</f>
        <v>Keep</v>
      </c>
    </row>
    <row r="3047" customFormat="false" ht="15" hidden="false" customHeight="false" outlineLevel="0" collapsed="false">
      <c r="A3047" s="39" t="s">
        <v>3084</v>
      </c>
      <c r="B3047" s="40" t="n">
        <v>46017</v>
      </c>
      <c r="C3047" s="39" t="s">
        <v>177</v>
      </c>
      <c r="D3047" s="39" t="n">
        <v>3</v>
      </c>
      <c r="E3047" s="41" t="n">
        <v>43.58</v>
      </c>
      <c r="F3047" s="39" t="s">
        <v>105</v>
      </c>
      <c r="G3047" s="39" t="str">
        <f aca="false">UPPER(TRIM(C3047))</f>
        <v>P014</v>
      </c>
      <c r="H3047" s="39" t="str">
        <f aca="false">IF(ISNUMBER(MATCH(G3047,Products!$A$5:$A$24,0)),"OK","Mismatch")</f>
        <v>OK</v>
      </c>
      <c r="I3047" s="39" t="str">
        <f aca="false">IF(COUNTIF($A$5:A3047,A3047)&gt;1,"Duplicate","Unique")</f>
        <v>Unique</v>
      </c>
      <c r="J3047" s="39" t="str">
        <f aca="false">IF(I3047="Duplicate","Remove",IF(H3047="Mismatch","Exclude","Keep"))</f>
        <v>Keep</v>
      </c>
    </row>
    <row r="3048" customFormat="false" ht="15" hidden="false" customHeight="false" outlineLevel="0" collapsed="false">
      <c r="A3048" s="39" t="s">
        <v>3085</v>
      </c>
      <c r="B3048" s="40" t="n">
        <v>46017</v>
      </c>
      <c r="C3048" s="39" t="s">
        <v>117</v>
      </c>
      <c r="D3048" s="39" t="n">
        <v>2</v>
      </c>
      <c r="E3048" s="41" t="n">
        <v>29.74</v>
      </c>
      <c r="F3048" s="39" t="s">
        <v>118</v>
      </c>
      <c r="G3048" s="39" t="str">
        <f aca="false">UPPER(TRIM(C3048))</f>
        <v>P009</v>
      </c>
      <c r="H3048" s="39" t="str">
        <f aca="false">IF(ISNUMBER(MATCH(G3048,Products!$A$5:$A$24,0)),"OK","Mismatch")</f>
        <v>OK</v>
      </c>
      <c r="I3048" s="39" t="str">
        <f aca="false">IF(COUNTIF($A$5:A3048,A3048)&gt;1,"Duplicate","Unique")</f>
        <v>Unique</v>
      </c>
      <c r="J3048" s="39" t="str">
        <f aca="false">IF(I3048="Duplicate","Remove",IF(H3048="Mismatch","Exclude","Keep"))</f>
        <v>Keep</v>
      </c>
    </row>
    <row r="3049" customFormat="false" ht="15" hidden="false" customHeight="false" outlineLevel="0" collapsed="false">
      <c r="A3049" s="39" t="s">
        <v>3086</v>
      </c>
      <c r="B3049" s="40" t="n">
        <v>46017</v>
      </c>
      <c r="C3049" s="39" t="s">
        <v>162</v>
      </c>
      <c r="D3049" s="39" t="n">
        <v>3</v>
      </c>
      <c r="E3049" s="41" t="n">
        <v>68.03</v>
      </c>
      <c r="F3049" s="39" t="s">
        <v>108</v>
      </c>
      <c r="G3049" s="39" t="str">
        <f aca="false">UPPER(TRIM(C3049))</f>
        <v>P017</v>
      </c>
      <c r="H3049" s="39" t="str">
        <f aca="false">IF(ISNUMBER(MATCH(G3049,Products!$A$5:$A$24,0)),"OK","Mismatch")</f>
        <v>OK</v>
      </c>
      <c r="I3049" s="39" t="str">
        <f aca="false">IF(COUNTIF($A$5:A3049,A3049)&gt;1,"Duplicate","Unique")</f>
        <v>Unique</v>
      </c>
      <c r="J3049" s="39" t="str">
        <f aca="false">IF(I3049="Duplicate","Remove",IF(H3049="Mismatch","Exclude","Keep"))</f>
        <v>Keep</v>
      </c>
    </row>
    <row r="3050" customFormat="false" ht="15" hidden="false" customHeight="false" outlineLevel="0" collapsed="false">
      <c r="A3050" s="39" t="s">
        <v>3087</v>
      </c>
      <c r="B3050" s="40" t="n">
        <v>46017</v>
      </c>
      <c r="C3050" s="39" t="s">
        <v>183</v>
      </c>
      <c r="D3050" s="39" t="n">
        <v>2</v>
      </c>
      <c r="E3050" s="41" t="n">
        <v>179.29</v>
      </c>
      <c r="F3050" s="39" t="s">
        <v>108</v>
      </c>
      <c r="G3050" s="39" t="str">
        <f aca="false">UPPER(TRIM(C3050))</f>
        <v>P007</v>
      </c>
      <c r="H3050" s="39" t="str">
        <f aca="false">IF(ISNUMBER(MATCH(G3050,Products!$A$5:$A$24,0)),"OK","Mismatch")</f>
        <v>OK</v>
      </c>
      <c r="I3050" s="39" t="str">
        <f aca="false">IF(COUNTIF($A$5:A3050,A3050)&gt;1,"Duplicate","Unique")</f>
        <v>Unique</v>
      </c>
      <c r="J3050" s="39" t="str">
        <f aca="false">IF(I3050="Duplicate","Remove",IF(H3050="Mismatch","Exclude","Keep"))</f>
        <v>Keep</v>
      </c>
    </row>
    <row r="3051" customFormat="false" ht="15" hidden="false" customHeight="false" outlineLevel="0" collapsed="false">
      <c r="A3051" s="39" t="s">
        <v>3088</v>
      </c>
      <c r="B3051" s="40" t="n">
        <v>46017</v>
      </c>
      <c r="C3051" s="39" t="s">
        <v>126</v>
      </c>
      <c r="D3051" s="39" t="n">
        <v>1</v>
      </c>
      <c r="E3051" s="41" t="n">
        <v>23.35</v>
      </c>
      <c r="F3051" s="39" t="s">
        <v>118</v>
      </c>
      <c r="G3051" s="39" t="str">
        <f aca="false">UPPER(TRIM(C3051))</f>
        <v>P001</v>
      </c>
      <c r="H3051" s="39" t="str">
        <f aca="false">IF(ISNUMBER(MATCH(G3051,Products!$A$5:$A$24,0)),"OK","Mismatch")</f>
        <v>OK</v>
      </c>
      <c r="I3051" s="39" t="str">
        <f aca="false">IF(COUNTIF($A$5:A3051,A3051)&gt;1,"Duplicate","Unique")</f>
        <v>Unique</v>
      </c>
      <c r="J3051" s="39" t="str">
        <f aca="false">IF(I3051="Duplicate","Remove",IF(H3051="Mismatch","Exclude","Keep"))</f>
        <v>Keep</v>
      </c>
    </row>
    <row r="3052" customFormat="false" ht="15" hidden="false" customHeight="false" outlineLevel="0" collapsed="false">
      <c r="A3052" s="39" t="s">
        <v>3089</v>
      </c>
      <c r="B3052" s="40" t="n">
        <v>46017</v>
      </c>
      <c r="C3052" s="39" t="s">
        <v>133</v>
      </c>
      <c r="D3052" s="39" t="n">
        <v>2</v>
      </c>
      <c r="E3052" s="41" t="n">
        <v>8.81</v>
      </c>
      <c r="F3052" s="39" t="s">
        <v>108</v>
      </c>
      <c r="G3052" s="39" t="str">
        <f aca="false">UPPER(TRIM(C3052))</f>
        <v>P019</v>
      </c>
      <c r="H3052" s="39" t="str">
        <f aca="false">IF(ISNUMBER(MATCH(G3052,Products!$A$5:$A$24,0)),"OK","Mismatch")</f>
        <v>OK</v>
      </c>
      <c r="I3052" s="39" t="str">
        <f aca="false">IF(COUNTIF($A$5:A3052,A3052)&gt;1,"Duplicate","Unique")</f>
        <v>Unique</v>
      </c>
      <c r="J3052" s="39" t="str">
        <f aca="false">IF(I3052="Duplicate","Remove",IF(H3052="Mismatch","Exclude","Keep"))</f>
        <v>Keep</v>
      </c>
    </row>
    <row r="3053" customFormat="false" ht="15" hidden="false" customHeight="false" outlineLevel="0" collapsed="false">
      <c r="A3053" s="39" t="s">
        <v>3090</v>
      </c>
      <c r="B3053" s="40" t="n">
        <v>46017</v>
      </c>
      <c r="C3053" s="39" t="s">
        <v>121</v>
      </c>
      <c r="D3053" s="39" t="n">
        <v>3</v>
      </c>
      <c r="E3053" s="41" t="n">
        <v>113.83</v>
      </c>
      <c r="F3053" s="39" t="s">
        <v>115</v>
      </c>
      <c r="G3053" s="39" t="str">
        <f aca="false">UPPER(TRIM(C3053))</f>
        <v>P018</v>
      </c>
      <c r="H3053" s="39" t="str">
        <f aca="false">IF(ISNUMBER(MATCH(G3053,Products!$A$5:$A$24,0)),"OK","Mismatch")</f>
        <v>OK</v>
      </c>
      <c r="I3053" s="39" t="str">
        <f aca="false">IF(COUNTIF($A$5:A3053,A3053)&gt;1,"Duplicate","Unique")</f>
        <v>Unique</v>
      </c>
      <c r="J3053" s="39" t="str">
        <f aca="false">IF(I3053="Duplicate","Remove",IF(H3053="Mismatch","Exclude","Keep"))</f>
        <v>Keep</v>
      </c>
    </row>
    <row r="3054" customFormat="false" ht="15" hidden="false" customHeight="false" outlineLevel="0" collapsed="false">
      <c r="A3054" s="39" t="s">
        <v>3091</v>
      </c>
      <c r="B3054" s="40" t="n">
        <v>46017</v>
      </c>
      <c r="C3054" s="39" t="s">
        <v>128</v>
      </c>
      <c r="D3054" s="39" t="n">
        <v>5</v>
      </c>
      <c r="E3054" s="41" t="n">
        <v>36.85</v>
      </c>
      <c r="F3054" s="39" t="s">
        <v>118</v>
      </c>
      <c r="G3054" s="39" t="str">
        <f aca="false">UPPER(TRIM(C3054))</f>
        <v>P020</v>
      </c>
      <c r="H3054" s="39" t="str">
        <f aca="false">IF(ISNUMBER(MATCH(G3054,Products!$A$5:$A$24,0)),"OK","Mismatch")</f>
        <v>OK</v>
      </c>
      <c r="I3054" s="39" t="str">
        <f aca="false">IF(COUNTIF($A$5:A3054,A3054)&gt;1,"Duplicate","Unique")</f>
        <v>Unique</v>
      </c>
      <c r="J3054" s="39" t="str">
        <f aca="false">IF(I3054="Duplicate","Remove",IF(H3054="Mismatch","Exclude","Keep"))</f>
        <v>Keep</v>
      </c>
    </row>
    <row r="3055" customFormat="false" ht="15" hidden="false" customHeight="false" outlineLevel="0" collapsed="false">
      <c r="A3055" s="39" t="s">
        <v>3092</v>
      </c>
      <c r="B3055" s="40" t="n">
        <v>46017</v>
      </c>
      <c r="C3055" s="39" t="s">
        <v>130</v>
      </c>
      <c r="D3055" s="39" t="n">
        <v>3</v>
      </c>
      <c r="E3055" s="41" t="n">
        <v>8.79</v>
      </c>
      <c r="F3055" s="39" t="s">
        <v>118</v>
      </c>
      <c r="G3055" s="39" t="str">
        <f aca="false">UPPER(TRIM(C3055))</f>
        <v>P011</v>
      </c>
      <c r="H3055" s="39" t="str">
        <f aca="false">IF(ISNUMBER(MATCH(G3055,Products!$A$5:$A$24,0)),"OK","Mismatch")</f>
        <v>OK</v>
      </c>
      <c r="I3055" s="39" t="str">
        <f aca="false">IF(COUNTIF($A$5:A3055,A3055)&gt;1,"Duplicate","Unique")</f>
        <v>Unique</v>
      </c>
      <c r="J3055" s="39" t="str">
        <f aca="false">IF(I3055="Duplicate","Remove",IF(H3055="Mismatch","Exclude","Keep"))</f>
        <v>Keep</v>
      </c>
    </row>
    <row r="3056" customFormat="false" ht="15" hidden="false" customHeight="false" outlineLevel="0" collapsed="false">
      <c r="A3056" s="39" t="s">
        <v>3093</v>
      </c>
      <c r="B3056" s="40" t="n">
        <v>46018</v>
      </c>
      <c r="C3056" s="39" t="s">
        <v>139</v>
      </c>
      <c r="D3056" s="39" t="n">
        <v>1</v>
      </c>
      <c r="E3056" s="41" t="n">
        <v>123.47</v>
      </c>
      <c r="F3056" s="39" t="s">
        <v>105</v>
      </c>
      <c r="G3056" s="39" t="str">
        <f aca="false">UPPER(TRIM(C3056))</f>
        <v>P006</v>
      </c>
      <c r="H3056" s="39" t="str">
        <f aca="false">IF(ISNUMBER(MATCH(G3056,Products!$A$5:$A$24,0)),"OK","Mismatch")</f>
        <v>OK</v>
      </c>
      <c r="I3056" s="39" t="str">
        <f aca="false">IF(COUNTIF($A$5:A3056,A3056)&gt;1,"Duplicate","Unique")</f>
        <v>Unique</v>
      </c>
      <c r="J3056" s="39" t="str">
        <f aca="false">IF(I3056="Duplicate","Remove",IF(H3056="Mismatch","Exclude","Keep"))</f>
        <v>Keep</v>
      </c>
    </row>
    <row r="3057" customFormat="false" ht="15" hidden="false" customHeight="false" outlineLevel="0" collapsed="false">
      <c r="A3057" s="39" t="s">
        <v>3094</v>
      </c>
      <c r="B3057" s="40" t="n">
        <v>46018</v>
      </c>
      <c r="C3057" s="39" t="s">
        <v>136</v>
      </c>
      <c r="D3057" s="39" t="n">
        <v>2</v>
      </c>
      <c r="E3057" s="41" t="n">
        <v>74.16</v>
      </c>
      <c r="F3057" s="39" t="s">
        <v>108</v>
      </c>
      <c r="G3057" s="39" t="str">
        <f aca="false">UPPER(TRIM(C3057))</f>
        <v>P002</v>
      </c>
      <c r="H3057" s="39" t="str">
        <f aca="false">IF(ISNUMBER(MATCH(G3057,Products!$A$5:$A$24,0)),"OK","Mismatch")</f>
        <v>OK</v>
      </c>
      <c r="I3057" s="39" t="str">
        <f aca="false">IF(COUNTIF($A$5:A3057,A3057)&gt;1,"Duplicate","Unique")</f>
        <v>Unique</v>
      </c>
      <c r="J3057" s="39" t="str">
        <f aca="false">IF(I3057="Duplicate","Remove",IF(H3057="Mismatch","Exclude","Keep"))</f>
        <v>Keep</v>
      </c>
    </row>
    <row r="3058" customFormat="false" ht="15" hidden="false" customHeight="false" outlineLevel="0" collapsed="false">
      <c r="A3058" s="39" t="s">
        <v>3095</v>
      </c>
      <c r="B3058" s="40" t="n">
        <v>46018</v>
      </c>
      <c r="C3058" s="39" t="s">
        <v>112</v>
      </c>
      <c r="D3058" s="39" t="n">
        <v>1</v>
      </c>
      <c r="E3058" s="41" t="n">
        <v>52.47</v>
      </c>
      <c r="F3058" s="39" t="s">
        <v>105</v>
      </c>
      <c r="G3058" s="39" t="str">
        <f aca="false">UPPER(TRIM(C3058))</f>
        <v>P005</v>
      </c>
      <c r="H3058" s="39" t="str">
        <f aca="false">IF(ISNUMBER(MATCH(G3058,Products!$A$5:$A$24,0)),"OK","Mismatch")</f>
        <v>OK</v>
      </c>
      <c r="I3058" s="39" t="str">
        <f aca="false">IF(COUNTIF($A$5:A3058,A3058)&gt;1,"Duplicate","Unique")</f>
        <v>Unique</v>
      </c>
      <c r="J3058" s="39" t="str">
        <f aca="false">IF(I3058="Duplicate","Remove",IF(H3058="Mismatch","Exclude","Keep"))</f>
        <v>Keep</v>
      </c>
    </row>
    <row r="3059" customFormat="false" ht="15" hidden="false" customHeight="false" outlineLevel="0" collapsed="false">
      <c r="A3059" s="39" t="s">
        <v>3096</v>
      </c>
      <c r="B3059" s="40" t="n">
        <v>46018</v>
      </c>
      <c r="C3059" s="39" t="s">
        <v>117</v>
      </c>
      <c r="D3059" s="39" t="n">
        <v>3</v>
      </c>
      <c r="E3059" s="41" t="n">
        <v>30.59</v>
      </c>
      <c r="F3059" s="39" t="s">
        <v>108</v>
      </c>
      <c r="G3059" s="39" t="str">
        <f aca="false">UPPER(TRIM(C3059))</f>
        <v>P009</v>
      </c>
      <c r="H3059" s="39" t="str">
        <f aca="false">IF(ISNUMBER(MATCH(G3059,Products!$A$5:$A$24,0)),"OK","Mismatch")</f>
        <v>OK</v>
      </c>
      <c r="I3059" s="39" t="str">
        <f aca="false">IF(COUNTIF($A$5:A3059,A3059)&gt;1,"Duplicate","Unique")</f>
        <v>Unique</v>
      </c>
      <c r="J3059" s="39" t="str">
        <f aca="false">IF(I3059="Duplicate","Remove",IF(H3059="Mismatch","Exclude","Keep"))</f>
        <v>Keep</v>
      </c>
    </row>
    <row r="3060" customFormat="false" ht="15" hidden="false" customHeight="false" outlineLevel="0" collapsed="false">
      <c r="A3060" s="39" t="s">
        <v>3097</v>
      </c>
      <c r="B3060" s="40" t="n">
        <v>46018</v>
      </c>
      <c r="C3060" s="39" t="s">
        <v>107</v>
      </c>
      <c r="D3060" s="39" t="n">
        <v>3</v>
      </c>
      <c r="E3060" s="41" t="n">
        <v>32.86</v>
      </c>
      <c r="F3060" s="39" t="s">
        <v>118</v>
      </c>
      <c r="G3060" s="39" t="str">
        <f aca="false">UPPER(TRIM(C3060))</f>
        <v>P003</v>
      </c>
      <c r="H3060" s="39" t="str">
        <f aca="false">IF(ISNUMBER(MATCH(G3060,Products!$A$5:$A$24,0)),"OK","Mismatch")</f>
        <v>OK</v>
      </c>
      <c r="I3060" s="39" t="str">
        <f aca="false">IF(COUNTIF($A$5:A3060,A3060)&gt;1,"Duplicate","Unique")</f>
        <v>Unique</v>
      </c>
      <c r="J3060" s="39" t="str">
        <f aca="false">IF(I3060="Duplicate","Remove",IF(H3060="Mismatch","Exclude","Keep"))</f>
        <v>Keep</v>
      </c>
    </row>
    <row r="3061" customFormat="false" ht="15" hidden="false" customHeight="false" outlineLevel="0" collapsed="false">
      <c r="A3061" s="39" t="s">
        <v>3098</v>
      </c>
      <c r="B3061" s="40" t="n">
        <v>46018</v>
      </c>
      <c r="C3061" s="39" t="s">
        <v>153</v>
      </c>
      <c r="D3061" s="39" t="n">
        <v>1</v>
      </c>
      <c r="E3061" s="41" t="n">
        <v>178.59</v>
      </c>
      <c r="F3061" s="39" t="s">
        <v>115</v>
      </c>
      <c r="G3061" s="39" t="str">
        <f aca="false">UPPER(TRIM(C3061))</f>
        <v>P010</v>
      </c>
      <c r="H3061" s="39" t="str">
        <f aca="false">IF(ISNUMBER(MATCH(G3061,Products!$A$5:$A$24,0)),"OK","Mismatch")</f>
        <v>OK</v>
      </c>
      <c r="I3061" s="39" t="str">
        <f aca="false">IF(COUNTIF($A$5:A3061,A3061)&gt;1,"Duplicate","Unique")</f>
        <v>Unique</v>
      </c>
      <c r="J3061" s="39" t="str">
        <f aca="false">IF(I3061="Duplicate","Remove",IF(H3061="Mismatch","Exclude","Keep"))</f>
        <v>Keep</v>
      </c>
    </row>
    <row r="3062" customFormat="false" ht="15" hidden="false" customHeight="false" outlineLevel="0" collapsed="false">
      <c r="A3062" s="39" t="s">
        <v>3099</v>
      </c>
      <c r="B3062" s="40" t="n">
        <v>46018</v>
      </c>
      <c r="C3062" s="39" t="s">
        <v>110</v>
      </c>
      <c r="D3062" s="39" t="n">
        <v>5</v>
      </c>
      <c r="E3062" s="41" t="n">
        <v>13.54</v>
      </c>
      <c r="F3062" s="39" t="s">
        <v>118</v>
      </c>
      <c r="G3062" s="39" t="str">
        <f aca="false">UPPER(TRIM(C3062))</f>
        <v>P016</v>
      </c>
      <c r="H3062" s="39" t="str">
        <f aca="false">IF(ISNUMBER(MATCH(G3062,Products!$A$5:$A$24,0)),"OK","Mismatch")</f>
        <v>OK</v>
      </c>
      <c r="I3062" s="39" t="str">
        <f aca="false">IF(COUNTIF($A$5:A3062,A3062)&gt;1,"Duplicate","Unique")</f>
        <v>Unique</v>
      </c>
      <c r="J3062" s="39" t="str">
        <f aca="false">IF(I3062="Duplicate","Remove",IF(H3062="Mismatch","Exclude","Keep"))</f>
        <v>Keep</v>
      </c>
    </row>
    <row r="3063" customFormat="false" ht="15" hidden="false" customHeight="false" outlineLevel="0" collapsed="false">
      <c r="A3063" s="39" t="s">
        <v>3100</v>
      </c>
      <c r="B3063" s="40" t="n">
        <v>46018</v>
      </c>
      <c r="C3063" s="39" t="s">
        <v>112</v>
      </c>
      <c r="D3063" s="39" t="n">
        <v>3</v>
      </c>
      <c r="E3063" s="41" t="n">
        <v>54.64</v>
      </c>
      <c r="F3063" s="39" t="s">
        <v>118</v>
      </c>
      <c r="G3063" s="39" t="str">
        <f aca="false">UPPER(TRIM(C3063))</f>
        <v>P005</v>
      </c>
      <c r="H3063" s="39" t="str">
        <f aca="false">IF(ISNUMBER(MATCH(G3063,Products!$A$5:$A$24,0)),"OK","Mismatch")</f>
        <v>OK</v>
      </c>
      <c r="I3063" s="39" t="str">
        <f aca="false">IF(COUNTIF($A$5:A3063,A3063)&gt;1,"Duplicate","Unique")</f>
        <v>Unique</v>
      </c>
      <c r="J3063" s="39" t="str">
        <f aca="false">IF(I3063="Duplicate","Remove",IF(H3063="Mismatch","Exclude","Keep"))</f>
        <v>Keep</v>
      </c>
    </row>
    <row r="3064" customFormat="false" ht="15" hidden="false" customHeight="false" outlineLevel="0" collapsed="false">
      <c r="A3064" s="39" t="s">
        <v>3101</v>
      </c>
      <c r="B3064" s="40" t="n">
        <v>46018</v>
      </c>
      <c r="C3064" s="39" t="s">
        <v>112</v>
      </c>
      <c r="D3064" s="39" t="n">
        <v>1</v>
      </c>
      <c r="E3064" s="41" t="n">
        <v>54.82</v>
      </c>
      <c r="F3064" s="39" t="s">
        <v>105</v>
      </c>
      <c r="G3064" s="39" t="str">
        <f aca="false">UPPER(TRIM(C3064))</f>
        <v>P005</v>
      </c>
      <c r="H3064" s="39" t="str">
        <f aca="false">IF(ISNUMBER(MATCH(G3064,Products!$A$5:$A$24,0)),"OK","Mismatch")</f>
        <v>OK</v>
      </c>
      <c r="I3064" s="39" t="str">
        <f aca="false">IF(COUNTIF($A$5:A3064,A3064)&gt;1,"Duplicate","Unique")</f>
        <v>Unique</v>
      </c>
      <c r="J3064" s="39" t="str">
        <f aca="false">IF(I3064="Duplicate","Remove",IF(H3064="Mismatch","Exclude","Keep"))</f>
        <v>Keep</v>
      </c>
    </row>
    <row r="3065" customFormat="false" ht="15" hidden="false" customHeight="false" outlineLevel="0" collapsed="false">
      <c r="A3065" s="39" t="s">
        <v>3102</v>
      </c>
      <c r="B3065" s="40" t="n">
        <v>46018</v>
      </c>
      <c r="C3065" s="39" t="s">
        <v>107</v>
      </c>
      <c r="D3065" s="39" t="n">
        <v>3</v>
      </c>
      <c r="E3065" s="41" t="n">
        <v>34.32</v>
      </c>
      <c r="F3065" s="39" t="s">
        <v>108</v>
      </c>
      <c r="G3065" s="39" t="str">
        <f aca="false">UPPER(TRIM(C3065))</f>
        <v>P003</v>
      </c>
      <c r="H3065" s="39" t="str">
        <f aca="false">IF(ISNUMBER(MATCH(G3065,Products!$A$5:$A$24,0)),"OK","Mismatch")</f>
        <v>OK</v>
      </c>
      <c r="I3065" s="39" t="str">
        <f aca="false">IF(COUNTIF($A$5:A3065,A3065)&gt;1,"Duplicate","Unique")</f>
        <v>Unique</v>
      </c>
      <c r="J3065" s="39" t="str">
        <f aca="false">IF(I3065="Duplicate","Remove",IF(H3065="Mismatch","Exclude","Keep"))</f>
        <v>Keep</v>
      </c>
    </row>
    <row r="3066" customFormat="false" ht="15" hidden="false" customHeight="false" outlineLevel="0" collapsed="false">
      <c r="A3066" s="39" t="s">
        <v>3103</v>
      </c>
      <c r="B3066" s="40" t="n">
        <v>46019</v>
      </c>
      <c r="C3066" s="39" t="s">
        <v>110</v>
      </c>
      <c r="D3066" s="39" t="n">
        <v>3</v>
      </c>
      <c r="E3066" s="41" t="n">
        <v>13.36</v>
      </c>
      <c r="F3066" s="39" t="s">
        <v>108</v>
      </c>
      <c r="G3066" s="39" t="str">
        <f aca="false">UPPER(TRIM(C3066))</f>
        <v>P016</v>
      </c>
      <c r="H3066" s="39" t="str">
        <f aca="false">IF(ISNUMBER(MATCH(G3066,Products!$A$5:$A$24,0)),"OK","Mismatch")</f>
        <v>OK</v>
      </c>
      <c r="I3066" s="39" t="str">
        <f aca="false">IF(COUNTIF($A$5:A3066,A3066)&gt;1,"Duplicate","Unique")</f>
        <v>Unique</v>
      </c>
      <c r="J3066" s="39" t="str">
        <f aca="false">IF(I3066="Duplicate","Remove",IF(H3066="Mismatch","Exclude","Keep"))</f>
        <v>Keep</v>
      </c>
    </row>
    <row r="3067" customFormat="false" ht="15" hidden="false" customHeight="false" outlineLevel="0" collapsed="false">
      <c r="A3067" s="39" t="s">
        <v>3104</v>
      </c>
      <c r="B3067" s="40" t="n">
        <v>46019</v>
      </c>
      <c r="C3067" s="39" t="s">
        <v>139</v>
      </c>
      <c r="D3067" s="39" t="n">
        <v>5</v>
      </c>
      <c r="E3067" s="41" t="n">
        <v>119.36</v>
      </c>
      <c r="F3067" s="39" t="s">
        <v>108</v>
      </c>
      <c r="G3067" s="39" t="str">
        <f aca="false">UPPER(TRIM(C3067))</f>
        <v>P006</v>
      </c>
      <c r="H3067" s="39" t="str">
        <f aca="false">IF(ISNUMBER(MATCH(G3067,Products!$A$5:$A$24,0)),"OK","Mismatch")</f>
        <v>OK</v>
      </c>
      <c r="I3067" s="39" t="str">
        <f aca="false">IF(COUNTIF($A$5:A3067,A3067)&gt;1,"Duplicate","Unique")</f>
        <v>Unique</v>
      </c>
      <c r="J3067" s="39" t="str">
        <f aca="false">IF(I3067="Duplicate","Remove",IF(H3067="Mismatch","Exclude","Keep"))</f>
        <v>Keep</v>
      </c>
    </row>
    <row r="3068" customFormat="false" ht="15" hidden="false" customHeight="false" outlineLevel="0" collapsed="false">
      <c r="A3068" s="39" t="s">
        <v>3105</v>
      </c>
      <c r="B3068" s="40" t="n">
        <v>46019</v>
      </c>
      <c r="C3068" s="39" t="s">
        <v>177</v>
      </c>
      <c r="D3068" s="39" t="n">
        <v>2</v>
      </c>
      <c r="E3068" s="41" t="n">
        <v>42</v>
      </c>
      <c r="F3068" s="39" t="s">
        <v>115</v>
      </c>
      <c r="G3068" s="39" t="str">
        <f aca="false">UPPER(TRIM(C3068))</f>
        <v>P014</v>
      </c>
      <c r="H3068" s="39" t="str">
        <f aca="false">IF(ISNUMBER(MATCH(G3068,Products!$A$5:$A$24,0)),"OK","Mismatch")</f>
        <v>OK</v>
      </c>
      <c r="I3068" s="39" t="str">
        <f aca="false">IF(COUNTIF($A$5:A3068,A3068)&gt;1,"Duplicate","Unique")</f>
        <v>Unique</v>
      </c>
      <c r="J3068" s="39" t="str">
        <f aca="false">IF(I3068="Duplicate","Remove",IF(H3068="Mismatch","Exclude","Keep"))</f>
        <v>Keep</v>
      </c>
    </row>
    <row r="3069" customFormat="false" ht="15" hidden="false" customHeight="false" outlineLevel="0" collapsed="false">
      <c r="A3069" s="39" t="s">
        <v>3106</v>
      </c>
      <c r="B3069" s="40" t="n">
        <v>46019</v>
      </c>
      <c r="C3069" s="39" t="s">
        <v>114</v>
      </c>
      <c r="D3069" s="39" t="n">
        <v>2</v>
      </c>
      <c r="E3069" s="41" t="n">
        <v>5.72</v>
      </c>
      <c r="F3069" s="39" t="s">
        <v>115</v>
      </c>
      <c r="G3069" s="39" t="str">
        <f aca="false">UPPER(TRIM(C3069))</f>
        <v>P012</v>
      </c>
      <c r="H3069" s="39" t="str">
        <f aca="false">IF(ISNUMBER(MATCH(G3069,Products!$A$5:$A$24,0)),"OK","Mismatch")</f>
        <v>OK</v>
      </c>
      <c r="I3069" s="39" t="str">
        <f aca="false">IF(COUNTIF($A$5:A3069,A3069)&gt;1,"Duplicate","Unique")</f>
        <v>Unique</v>
      </c>
      <c r="J3069" s="39" t="str">
        <f aca="false">IF(I3069="Duplicate","Remove",IF(H3069="Mismatch","Exclude","Keep"))</f>
        <v>Keep</v>
      </c>
    </row>
    <row r="3070" customFormat="false" ht="15" hidden="false" customHeight="false" outlineLevel="0" collapsed="false">
      <c r="A3070" s="39" t="s">
        <v>3107</v>
      </c>
      <c r="B3070" s="40" t="n">
        <v>46019</v>
      </c>
      <c r="C3070" s="39" t="s">
        <v>117</v>
      </c>
      <c r="D3070" s="39" t="n">
        <v>5</v>
      </c>
      <c r="E3070" s="41" t="n">
        <v>31.52</v>
      </c>
      <c r="F3070" s="39" t="s">
        <v>105</v>
      </c>
      <c r="G3070" s="39" t="str">
        <f aca="false">UPPER(TRIM(C3070))</f>
        <v>P009</v>
      </c>
      <c r="H3070" s="39" t="str">
        <f aca="false">IF(ISNUMBER(MATCH(G3070,Products!$A$5:$A$24,0)),"OK","Mismatch")</f>
        <v>OK</v>
      </c>
      <c r="I3070" s="39" t="str">
        <f aca="false">IF(COUNTIF($A$5:A3070,A3070)&gt;1,"Duplicate","Unique")</f>
        <v>Unique</v>
      </c>
      <c r="J3070" s="39" t="str">
        <f aca="false">IF(I3070="Duplicate","Remove",IF(H3070="Mismatch","Exclude","Keep"))</f>
        <v>Keep</v>
      </c>
    </row>
    <row r="3071" customFormat="false" ht="15" hidden="false" customHeight="false" outlineLevel="0" collapsed="false">
      <c r="A3071" s="39" t="s">
        <v>3108</v>
      </c>
      <c r="B3071" s="40" t="n">
        <v>46019</v>
      </c>
      <c r="C3071" s="39" t="s">
        <v>144</v>
      </c>
      <c r="D3071" s="39" t="n">
        <v>6</v>
      </c>
      <c r="E3071" s="41" t="n">
        <v>56.35</v>
      </c>
      <c r="F3071" s="39" t="s">
        <v>108</v>
      </c>
      <c r="G3071" s="39" t="str">
        <f aca="false">UPPER(TRIM(C3071))</f>
        <v>P013</v>
      </c>
      <c r="H3071" s="39" t="str">
        <f aca="false">IF(ISNUMBER(MATCH(G3071,Products!$A$5:$A$24,0)),"OK","Mismatch")</f>
        <v>OK</v>
      </c>
      <c r="I3071" s="39" t="str">
        <f aca="false">IF(COUNTIF($A$5:A3071,A3071)&gt;1,"Duplicate","Unique")</f>
        <v>Unique</v>
      </c>
      <c r="J3071" s="39" t="str">
        <f aca="false">IF(I3071="Duplicate","Remove",IF(H3071="Mismatch","Exclude","Keep"))</f>
        <v>Keep</v>
      </c>
    </row>
    <row r="3072" customFormat="false" ht="15" hidden="false" customHeight="false" outlineLevel="0" collapsed="false">
      <c r="A3072" s="39" t="s">
        <v>3109</v>
      </c>
      <c r="B3072" s="40" t="n">
        <v>46019</v>
      </c>
      <c r="C3072" s="39" t="s">
        <v>104</v>
      </c>
      <c r="D3072" s="39" t="n">
        <v>2</v>
      </c>
      <c r="E3072" s="41" t="n">
        <v>14.8</v>
      </c>
      <c r="F3072" s="39" t="s">
        <v>118</v>
      </c>
      <c r="G3072" s="39" t="str">
        <f aca="false">UPPER(TRIM(C3072))</f>
        <v>P015</v>
      </c>
      <c r="H3072" s="39" t="str">
        <f aca="false">IF(ISNUMBER(MATCH(G3072,Products!$A$5:$A$24,0)),"OK","Mismatch")</f>
        <v>OK</v>
      </c>
      <c r="I3072" s="39" t="str">
        <f aca="false">IF(COUNTIF($A$5:A3072,A3072)&gt;1,"Duplicate","Unique")</f>
        <v>Unique</v>
      </c>
      <c r="J3072" s="39" t="str">
        <f aca="false">IF(I3072="Duplicate","Remove",IF(H3072="Mismatch","Exclude","Keep"))</f>
        <v>Keep</v>
      </c>
    </row>
    <row r="3073" customFormat="false" ht="15" hidden="false" customHeight="false" outlineLevel="0" collapsed="false">
      <c r="A3073" s="39" t="s">
        <v>3110</v>
      </c>
      <c r="B3073" s="40" t="n">
        <v>46019</v>
      </c>
      <c r="C3073" s="39" t="s">
        <v>114</v>
      </c>
      <c r="D3073" s="39" t="n">
        <v>2</v>
      </c>
      <c r="E3073" s="41" t="n">
        <v>5.69</v>
      </c>
      <c r="F3073" s="39" t="s">
        <v>108</v>
      </c>
      <c r="G3073" s="39" t="str">
        <f aca="false">UPPER(TRIM(C3073))</f>
        <v>P012</v>
      </c>
      <c r="H3073" s="39" t="str">
        <f aca="false">IF(ISNUMBER(MATCH(G3073,Products!$A$5:$A$24,0)),"OK","Mismatch")</f>
        <v>OK</v>
      </c>
      <c r="I3073" s="39" t="str">
        <f aca="false">IF(COUNTIF($A$5:A3073,A3073)&gt;1,"Duplicate","Unique")</f>
        <v>Unique</v>
      </c>
      <c r="J3073" s="39" t="str">
        <f aca="false">IF(I3073="Duplicate","Remove",IF(H3073="Mismatch","Exclude","Keep"))</f>
        <v>Keep</v>
      </c>
    </row>
    <row r="3074" customFormat="false" ht="15" hidden="false" customHeight="false" outlineLevel="0" collapsed="false">
      <c r="A3074" s="39" t="s">
        <v>3111</v>
      </c>
      <c r="B3074" s="40" t="n">
        <v>46019</v>
      </c>
      <c r="C3074" s="39" t="s">
        <v>130</v>
      </c>
      <c r="D3074" s="39" t="n">
        <v>2</v>
      </c>
      <c r="E3074" s="41" t="n">
        <v>8.91</v>
      </c>
      <c r="F3074" s="39" t="s">
        <v>118</v>
      </c>
      <c r="G3074" s="39" t="str">
        <f aca="false">UPPER(TRIM(C3074))</f>
        <v>P011</v>
      </c>
      <c r="H3074" s="39" t="str">
        <f aca="false">IF(ISNUMBER(MATCH(G3074,Products!$A$5:$A$24,0)),"OK","Mismatch")</f>
        <v>OK</v>
      </c>
      <c r="I3074" s="39" t="str">
        <f aca="false">IF(COUNTIF($A$5:A3074,A3074)&gt;1,"Duplicate","Unique")</f>
        <v>Unique</v>
      </c>
      <c r="J3074" s="39" t="str">
        <f aca="false">IF(I3074="Duplicate","Remove",IF(H3074="Mismatch","Exclude","Keep"))</f>
        <v>Keep</v>
      </c>
    </row>
  </sheetData>
  <autoFilter ref="A4:J3074"/>
  <conditionalFormatting sqref="J5:J3074">
    <cfRule type="cellIs" priority="2" operator="equal" aboveAverage="0" equalAverage="0" bottom="0" percent="0" rank="0" text="" dxfId="7">
      <formula>"Remove"</formula>
    </cfRule>
    <cfRule type="cellIs" priority="3" operator="equal" aboveAverage="0" equalAverage="0" bottom="0" percent="0" rank="0" text="" dxfId="8">
      <formula>"Exclude"</formula>
    </cfRule>
    <cfRule type="cellIs" priority="4" operator="equal" aboveAverage="0" equalAverage="0" bottom="0" percent="0" rank="0" text="" dxfId="9">
      <formula>"Keep"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29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21" t="s">
        <v>3199</v>
      </c>
    </row>
    <row r="2" customFormat="false" ht="15" hidden="false" customHeight="false" outlineLevel="0" collapsed="false">
      <c r="A2" s="22" t="s">
        <v>3200</v>
      </c>
    </row>
    <row r="3" customFormat="false" ht="15" hidden="false" customHeight="false" outlineLevel="0" collapsed="false">
      <c r="A3" s="23"/>
      <c r="B3" s="23"/>
      <c r="C3" s="23"/>
    </row>
    <row r="4" customFormat="false" ht="30" hidden="false" customHeight="true" outlineLevel="0" collapsed="false">
      <c r="A4" s="6" t="s">
        <v>97</v>
      </c>
      <c r="B4" s="6" t="s">
        <v>3201</v>
      </c>
      <c r="C4" s="6" t="s">
        <v>3202</v>
      </c>
    </row>
    <row r="5" customFormat="false" ht="15" hidden="false" customHeight="false" outlineLevel="0" collapsed="false">
      <c r="A5" s="39" t="s">
        <v>1071</v>
      </c>
      <c r="B5" s="39" t="s">
        <v>3203</v>
      </c>
      <c r="C5" s="41" t="n">
        <v>17.89</v>
      </c>
    </row>
    <row r="6" customFormat="false" ht="15" hidden="false" customHeight="false" outlineLevel="0" collapsed="false">
      <c r="A6" s="39" t="s">
        <v>493</v>
      </c>
      <c r="B6" s="39" t="s">
        <v>3204</v>
      </c>
      <c r="C6" s="41" t="n">
        <v>1.02</v>
      </c>
    </row>
    <row r="7" customFormat="false" ht="15" hidden="false" customHeight="false" outlineLevel="0" collapsed="false">
      <c r="A7" s="39" t="s">
        <v>2041</v>
      </c>
      <c r="B7" s="39" t="s">
        <v>3203</v>
      </c>
      <c r="C7" s="41" t="n">
        <v>23.44</v>
      </c>
    </row>
    <row r="8" customFormat="false" ht="15" hidden="false" customHeight="false" outlineLevel="0" collapsed="false">
      <c r="A8" s="39" t="s">
        <v>296</v>
      </c>
      <c r="B8" s="39" t="s">
        <v>3205</v>
      </c>
      <c r="C8" s="41" t="n">
        <v>47.76</v>
      </c>
    </row>
    <row r="9" customFormat="false" ht="15" hidden="false" customHeight="false" outlineLevel="0" collapsed="false">
      <c r="A9" s="39" t="s">
        <v>3079</v>
      </c>
      <c r="B9" s="39" t="s">
        <v>3204</v>
      </c>
      <c r="C9" s="41" t="n">
        <v>16.96</v>
      </c>
    </row>
    <row r="10" customFormat="false" ht="15" hidden="false" customHeight="false" outlineLevel="0" collapsed="false">
      <c r="A10" s="39" t="s">
        <v>1096</v>
      </c>
      <c r="B10" s="39" t="s">
        <v>3206</v>
      </c>
      <c r="C10" s="41" t="n">
        <v>0.74</v>
      </c>
    </row>
    <row r="11" customFormat="false" ht="15" hidden="false" customHeight="false" outlineLevel="0" collapsed="false">
      <c r="A11" s="39" t="s">
        <v>710</v>
      </c>
      <c r="B11" s="39" t="s">
        <v>3203</v>
      </c>
      <c r="C11" s="41" t="n">
        <v>2.44</v>
      </c>
    </row>
    <row r="12" customFormat="false" ht="15" hidden="false" customHeight="false" outlineLevel="0" collapsed="false">
      <c r="A12" s="39" t="s">
        <v>1035</v>
      </c>
      <c r="B12" s="39" t="s">
        <v>3205</v>
      </c>
      <c r="C12" s="41" t="n">
        <v>0.64</v>
      </c>
    </row>
    <row r="13" customFormat="false" ht="15" hidden="false" customHeight="false" outlineLevel="0" collapsed="false">
      <c r="A13" s="39" t="s">
        <v>436</v>
      </c>
      <c r="B13" s="39" t="s">
        <v>3206</v>
      </c>
      <c r="C13" s="41" t="n">
        <v>11.37</v>
      </c>
    </row>
    <row r="14" customFormat="false" ht="15" hidden="false" customHeight="false" outlineLevel="0" collapsed="false">
      <c r="A14" s="39" t="s">
        <v>2523</v>
      </c>
      <c r="B14" s="39" t="s">
        <v>3204</v>
      </c>
      <c r="C14" s="41" t="n">
        <v>4.07</v>
      </c>
    </row>
    <row r="15" customFormat="false" ht="15" hidden="false" customHeight="false" outlineLevel="0" collapsed="false">
      <c r="A15" s="39" t="s">
        <v>318</v>
      </c>
      <c r="B15" s="39" t="s">
        <v>3204</v>
      </c>
      <c r="C15" s="41" t="n">
        <v>5.45</v>
      </c>
    </row>
    <row r="16" customFormat="false" ht="15" hidden="false" customHeight="false" outlineLevel="0" collapsed="false">
      <c r="A16" s="39" t="s">
        <v>1498</v>
      </c>
      <c r="B16" s="39" t="s">
        <v>3206</v>
      </c>
      <c r="C16" s="41" t="n">
        <v>4.54</v>
      </c>
    </row>
    <row r="17" customFormat="false" ht="15" hidden="false" customHeight="false" outlineLevel="0" collapsed="false">
      <c r="A17" s="39" t="s">
        <v>3071</v>
      </c>
      <c r="B17" s="39" t="s">
        <v>3206</v>
      </c>
      <c r="C17" s="41" t="n">
        <v>30.51</v>
      </c>
    </row>
    <row r="18" customFormat="false" ht="15" hidden="false" customHeight="false" outlineLevel="0" collapsed="false">
      <c r="A18" s="39" t="s">
        <v>2954</v>
      </c>
      <c r="B18" s="39" t="s">
        <v>3203</v>
      </c>
      <c r="C18" s="41" t="n">
        <v>11</v>
      </c>
    </row>
    <row r="19" customFormat="false" ht="15" hidden="false" customHeight="false" outlineLevel="0" collapsed="false">
      <c r="A19" s="39" t="s">
        <v>132</v>
      </c>
      <c r="B19" s="39" t="s">
        <v>3205</v>
      </c>
      <c r="C19" s="41" t="n">
        <v>2.03</v>
      </c>
    </row>
    <row r="20" customFormat="false" ht="15" hidden="false" customHeight="false" outlineLevel="0" collapsed="false">
      <c r="A20" s="39" t="s">
        <v>2544</v>
      </c>
      <c r="B20" s="39" t="s">
        <v>3204</v>
      </c>
      <c r="C20" s="41" t="n">
        <v>4.44</v>
      </c>
    </row>
    <row r="21" customFormat="false" ht="15" hidden="false" customHeight="false" outlineLevel="0" collapsed="false">
      <c r="A21" s="39" t="s">
        <v>2922</v>
      </c>
      <c r="B21" s="39" t="s">
        <v>3203</v>
      </c>
      <c r="C21" s="41" t="n">
        <v>3.53</v>
      </c>
    </row>
    <row r="22" customFormat="false" ht="15" hidden="false" customHeight="false" outlineLevel="0" collapsed="false">
      <c r="A22" s="39" t="s">
        <v>147</v>
      </c>
      <c r="B22" s="39" t="s">
        <v>3206</v>
      </c>
      <c r="C22" s="41" t="n">
        <v>16.92</v>
      </c>
    </row>
    <row r="23" customFormat="false" ht="15" hidden="false" customHeight="false" outlineLevel="0" collapsed="false">
      <c r="A23" s="39" t="s">
        <v>1234</v>
      </c>
      <c r="B23" s="39" t="s">
        <v>3204</v>
      </c>
      <c r="C23" s="41" t="n">
        <v>48.75</v>
      </c>
    </row>
    <row r="24" customFormat="false" ht="15" hidden="false" customHeight="false" outlineLevel="0" collapsed="false">
      <c r="A24" s="39" t="s">
        <v>1853</v>
      </c>
      <c r="B24" s="39" t="s">
        <v>3206</v>
      </c>
      <c r="C24" s="41" t="n">
        <v>7.95</v>
      </c>
    </row>
    <row r="25" customFormat="false" ht="15" hidden="false" customHeight="false" outlineLevel="0" collapsed="false">
      <c r="A25" s="39" t="s">
        <v>316</v>
      </c>
      <c r="B25" s="39" t="s">
        <v>3204</v>
      </c>
      <c r="C25" s="41" t="n">
        <v>9.06</v>
      </c>
    </row>
    <row r="26" customFormat="false" ht="15" hidden="false" customHeight="false" outlineLevel="0" collapsed="false">
      <c r="A26" s="39" t="s">
        <v>2086</v>
      </c>
      <c r="B26" s="39" t="s">
        <v>3204</v>
      </c>
      <c r="C26" s="41" t="n">
        <v>0.48</v>
      </c>
    </row>
    <row r="27" customFormat="false" ht="15" hidden="false" customHeight="false" outlineLevel="0" collapsed="false">
      <c r="A27" s="39" t="s">
        <v>412</v>
      </c>
      <c r="B27" s="39" t="s">
        <v>3206</v>
      </c>
      <c r="C27" s="41" t="n">
        <v>8.77</v>
      </c>
    </row>
    <row r="28" customFormat="false" ht="15" hidden="false" customHeight="false" outlineLevel="0" collapsed="false">
      <c r="A28" s="39" t="s">
        <v>2212</v>
      </c>
      <c r="B28" s="39" t="s">
        <v>3205</v>
      </c>
      <c r="C28" s="41" t="n">
        <v>3.07</v>
      </c>
    </row>
    <row r="29" customFormat="false" ht="15" hidden="false" customHeight="false" outlineLevel="0" collapsed="false">
      <c r="A29" s="39" t="s">
        <v>393</v>
      </c>
      <c r="B29" s="39" t="s">
        <v>3204</v>
      </c>
      <c r="C29" s="41" t="n">
        <v>49.29</v>
      </c>
    </row>
    <row r="30" customFormat="false" ht="15" hidden="false" customHeight="false" outlineLevel="0" collapsed="false">
      <c r="A30" s="39" t="s">
        <v>1357</v>
      </c>
      <c r="B30" s="39" t="s">
        <v>3203</v>
      </c>
      <c r="C30" s="41" t="n">
        <v>25.06</v>
      </c>
    </row>
    <row r="31" customFormat="false" ht="15" hidden="false" customHeight="false" outlineLevel="0" collapsed="false">
      <c r="A31" s="39" t="s">
        <v>2420</v>
      </c>
      <c r="B31" s="39" t="s">
        <v>3203</v>
      </c>
      <c r="C31" s="41" t="n">
        <v>1.38</v>
      </c>
    </row>
    <row r="32" customFormat="false" ht="15" hidden="false" customHeight="false" outlineLevel="0" collapsed="false">
      <c r="A32" s="39" t="s">
        <v>823</v>
      </c>
      <c r="B32" s="39" t="s">
        <v>3205</v>
      </c>
      <c r="C32" s="41" t="n">
        <v>3.5</v>
      </c>
    </row>
    <row r="33" customFormat="false" ht="15" hidden="false" customHeight="false" outlineLevel="0" collapsed="false">
      <c r="A33" s="39" t="s">
        <v>2911</v>
      </c>
      <c r="B33" s="39" t="s">
        <v>3206</v>
      </c>
      <c r="C33" s="41" t="n">
        <v>4.47</v>
      </c>
    </row>
    <row r="34" customFormat="false" ht="15" hidden="false" customHeight="false" outlineLevel="0" collapsed="false">
      <c r="A34" s="39" t="s">
        <v>160</v>
      </c>
      <c r="B34" s="39" t="s">
        <v>3204</v>
      </c>
      <c r="C34" s="41" t="n">
        <v>1.28</v>
      </c>
    </row>
    <row r="35" customFormat="false" ht="15" hidden="false" customHeight="false" outlineLevel="0" collapsed="false">
      <c r="A35" s="39" t="s">
        <v>1277</v>
      </c>
      <c r="B35" s="39" t="s">
        <v>3206</v>
      </c>
      <c r="C35" s="41" t="n">
        <v>0.66</v>
      </c>
    </row>
    <row r="36" customFormat="false" ht="15" hidden="false" customHeight="false" outlineLevel="0" collapsed="false">
      <c r="A36" s="39" t="s">
        <v>1780</v>
      </c>
      <c r="B36" s="39" t="s">
        <v>3206</v>
      </c>
      <c r="C36" s="41" t="n">
        <v>0.82</v>
      </c>
    </row>
    <row r="37" customFormat="false" ht="15" hidden="false" customHeight="false" outlineLevel="0" collapsed="false">
      <c r="A37" s="39" t="s">
        <v>2865</v>
      </c>
      <c r="B37" s="39" t="s">
        <v>3203</v>
      </c>
      <c r="C37" s="41" t="n">
        <v>0.7</v>
      </c>
    </row>
    <row r="38" customFormat="false" ht="15" hidden="false" customHeight="false" outlineLevel="0" collapsed="false">
      <c r="A38" s="39" t="s">
        <v>673</v>
      </c>
      <c r="B38" s="39" t="s">
        <v>3203</v>
      </c>
      <c r="C38" s="41" t="n">
        <v>20.73</v>
      </c>
    </row>
    <row r="39" customFormat="false" ht="15" hidden="false" customHeight="false" outlineLevel="0" collapsed="false">
      <c r="A39" s="39" t="s">
        <v>1713</v>
      </c>
      <c r="B39" s="39" t="s">
        <v>3206</v>
      </c>
      <c r="C39" s="41" t="n">
        <v>0.99</v>
      </c>
    </row>
    <row r="40" customFormat="false" ht="15" hidden="false" customHeight="false" outlineLevel="0" collapsed="false">
      <c r="A40" s="39" t="s">
        <v>3098</v>
      </c>
      <c r="B40" s="39" t="s">
        <v>3204</v>
      </c>
      <c r="C40" s="41" t="n">
        <v>7.42</v>
      </c>
    </row>
    <row r="41" customFormat="false" ht="15" hidden="false" customHeight="false" outlineLevel="0" collapsed="false">
      <c r="A41" s="39" t="s">
        <v>1814</v>
      </c>
      <c r="B41" s="39" t="s">
        <v>3204</v>
      </c>
      <c r="C41" s="41" t="n">
        <v>4.59</v>
      </c>
    </row>
    <row r="42" customFormat="false" ht="15" hidden="false" customHeight="false" outlineLevel="0" collapsed="false">
      <c r="A42" s="39" t="s">
        <v>2275</v>
      </c>
      <c r="B42" s="39" t="s">
        <v>3203</v>
      </c>
      <c r="C42" s="41" t="n">
        <v>2.46</v>
      </c>
    </row>
    <row r="43" customFormat="false" ht="15" hidden="false" customHeight="false" outlineLevel="0" collapsed="false">
      <c r="A43" s="39" t="s">
        <v>3065</v>
      </c>
      <c r="B43" s="39" t="s">
        <v>3206</v>
      </c>
      <c r="C43" s="41" t="n">
        <v>0.42</v>
      </c>
    </row>
    <row r="44" customFormat="false" ht="15" hidden="false" customHeight="false" outlineLevel="0" collapsed="false">
      <c r="A44" s="39" t="s">
        <v>1987</v>
      </c>
      <c r="B44" s="39" t="s">
        <v>3204</v>
      </c>
      <c r="C44" s="41" t="n">
        <v>3.15</v>
      </c>
    </row>
    <row r="45" customFormat="false" ht="15" hidden="false" customHeight="false" outlineLevel="0" collapsed="false">
      <c r="A45" s="39" t="s">
        <v>213</v>
      </c>
      <c r="B45" s="39" t="s">
        <v>3206</v>
      </c>
      <c r="C45" s="41" t="n">
        <v>6.15</v>
      </c>
    </row>
    <row r="46" customFormat="false" ht="15" hidden="false" customHeight="false" outlineLevel="0" collapsed="false">
      <c r="A46" s="39" t="s">
        <v>1755</v>
      </c>
      <c r="B46" s="39" t="s">
        <v>3204</v>
      </c>
      <c r="C46" s="41" t="n">
        <v>3.3</v>
      </c>
    </row>
    <row r="47" customFormat="false" ht="15" hidden="false" customHeight="false" outlineLevel="0" collapsed="false">
      <c r="A47" s="39" t="s">
        <v>1184</v>
      </c>
      <c r="B47" s="39" t="s">
        <v>3206</v>
      </c>
      <c r="C47" s="41" t="n">
        <v>0.7</v>
      </c>
    </row>
    <row r="48" customFormat="false" ht="15" hidden="false" customHeight="false" outlineLevel="0" collapsed="false">
      <c r="A48" s="39" t="s">
        <v>2601</v>
      </c>
      <c r="B48" s="39" t="s">
        <v>3206</v>
      </c>
      <c r="C48" s="41" t="n">
        <v>3.16</v>
      </c>
    </row>
    <row r="49" customFormat="false" ht="15" hidden="false" customHeight="false" outlineLevel="0" collapsed="false">
      <c r="A49" s="39" t="s">
        <v>2571</v>
      </c>
      <c r="B49" s="39" t="s">
        <v>3206</v>
      </c>
      <c r="C49" s="41" t="n">
        <v>1.56</v>
      </c>
    </row>
    <row r="50" customFormat="false" ht="15" hidden="false" customHeight="false" outlineLevel="0" collapsed="false">
      <c r="A50" s="39" t="s">
        <v>2971</v>
      </c>
      <c r="B50" s="39" t="s">
        <v>3203</v>
      </c>
      <c r="C50" s="41" t="n">
        <v>2.07</v>
      </c>
    </row>
    <row r="51" customFormat="false" ht="15" hidden="false" customHeight="false" outlineLevel="0" collapsed="false">
      <c r="A51" s="39" t="s">
        <v>514</v>
      </c>
      <c r="B51" s="39" t="s">
        <v>3206</v>
      </c>
      <c r="C51" s="41" t="n">
        <v>0.56</v>
      </c>
    </row>
    <row r="52" customFormat="false" ht="15" hidden="false" customHeight="false" outlineLevel="0" collapsed="false">
      <c r="A52" s="39" t="s">
        <v>2498</v>
      </c>
      <c r="B52" s="39" t="s">
        <v>3205</v>
      </c>
      <c r="C52" s="41" t="n">
        <v>2.86</v>
      </c>
    </row>
    <row r="53" customFormat="false" ht="15" hidden="false" customHeight="false" outlineLevel="0" collapsed="false">
      <c r="A53" s="39" t="s">
        <v>2304</v>
      </c>
      <c r="B53" s="39" t="s">
        <v>3205</v>
      </c>
      <c r="C53" s="41" t="n">
        <v>0.77</v>
      </c>
    </row>
    <row r="54" customFormat="false" ht="15" hidden="false" customHeight="false" outlineLevel="0" collapsed="false">
      <c r="A54" s="39" t="s">
        <v>2463</v>
      </c>
      <c r="B54" s="39" t="s">
        <v>3204</v>
      </c>
      <c r="C54" s="41" t="n">
        <v>1.57</v>
      </c>
    </row>
    <row r="55" customFormat="false" ht="15" hidden="false" customHeight="false" outlineLevel="0" collapsed="false">
      <c r="A55" s="39" t="s">
        <v>572</v>
      </c>
      <c r="B55" s="39" t="s">
        <v>3206</v>
      </c>
      <c r="C55" s="41" t="n">
        <v>7.06</v>
      </c>
    </row>
    <row r="56" customFormat="false" ht="15" hidden="false" customHeight="false" outlineLevel="0" collapsed="false">
      <c r="A56" s="39" t="s">
        <v>313</v>
      </c>
      <c r="B56" s="39" t="s">
        <v>3205</v>
      </c>
      <c r="C56" s="41" t="n">
        <v>7.76</v>
      </c>
    </row>
    <row r="57" customFormat="false" ht="15" hidden="false" customHeight="false" outlineLevel="0" collapsed="false">
      <c r="A57" s="39" t="s">
        <v>682</v>
      </c>
      <c r="B57" s="39" t="s">
        <v>3206</v>
      </c>
      <c r="C57" s="41" t="n">
        <v>1.47</v>
      </c>
    </row>
    <row r="58" customFormat="false" ht="15" hidden="false" customHeight="false" outlineLevel="0" collapsed="false">
      <c r="A58" s="39" t="s">
        <v>398</v>
      </c>
      <c r="B58" s="39" t="s">
        <v>3206</v>
      </c>
      <c r="C58" s="41" t="n">
        <v>1.3</v>
      </c>
    </row>
    <row r="59" customFormat="false" ht="15" hidden="false" customHeight="false" outlineLevel="0" collapsed="false">
      <c r="A59" s="39" t="s">
        <v>295</v>
      </c>
      <c r="B59" s="39" t="s">
        <v>3205</v>
      </c>
      <c r="C59" s="41" t="n">
        <v>7.26</v>
      </c>
    </row>
    <row r="60" customFormat="false" ht="15" hidden="false" customHeight="false" outlineLevel="0" collapsed="false">
      <c r="A60" s="39" t="s">
        <v>1437</v>
      </c>
      <c r="B60" s="39" t="s">
        <v>3205</v>
      </c>
      <c r="C60" s="41" t="n">
        <v>2.68</v>
      </c>
    </row>
    <row r="61" customFormat="false" ht="15" hidden="false" customHeight="false" outlineLevel="0" collapsed="false">
      <c r="A61" s="39" t="s">
        <v>2638</v>
      </c>
      <c r="B61" s="39" t="s">
        <v>3206</v>
      </c>
      <c r="C61" s="41" t="n">
        <v>0.58</v>
      </c>
    </row>
    <row r="62" customFormat="false" ht="15" hidden="false" customHeight="false" outlineLevel="0" collapsed="false">
      <c r="A62" s="39" t="s">
        <v>914</v>
      </c>
      <c r="B62" s="39" t="s">
        <v>3204</v>
      </c>
      <c r="C62" s="41" t="n">
        <v>3.95</v>
      </c>
    </row>
    <row r="63" customFormat="false" ht="15" hidden="false" customHeight="false" outlineLevel="0" collapsed="false">
      <c r="A63" s="39" t="s">
        <v>1965</v>
      </c>
      <c r="B63" s="39" t="s">
        <v>3206</v>
      </c>
      <c r="C63" s="41" t="n">
        <v>6.4</v>
      </c>
    </row>
    <row r="64" customFormat="false" ht="15" hidden="false" customHeight="false" outlineLevel="0" collapsed="false">
      <c r="A64" s="39" t="s">
        <v>765</v>
      </c>
      <c r="B64" s="39" t="s">
        <v>3205</v>
      </c>
      <c r="C64" s="41" t="n">
        <v>9.96</v>
      </c>
    </row>
    <row r="65" customFormat="false" ht="15" hidden="false" customHeight="false" outlineLevel="0" collapsed="false">
      <c r="A65" s="39" t="s">
        <v>2179</v>
      </c>
      <c r="B65" s="39" t="s">
        <v>3206</v>
      </c>
      <c r="C65" s="41" t="n">
        <v>6.89</v>
      </c>
    </row>
    <row r="66" customFormat="false" ht="15" hidden="false" customHeight="false" outlineLevel="0" collapsed="false">
      <c r="A66" s="39" t="s">
        <v>1749</v>
      </c>
      <c r="B66" s="39" t="s">
        <v>3204</v>
      </c>
      <c r="C66" s="41" t="n">
        <v>65.17</v>
      </c>
    </row>
    <row r="67" customFormat="false" ht="15" hidden="false" customHeight="false" outlineLevel="0" collapsed="false">
      <c r="A67" s="39" t="s">
        <v>2488</v>
      </c>
      <c r="B67" s="39" t="s">
        <v>3203</v>
      </c>
      <c r="C67" s="41" t="n">
        <v>0.51</v>
      </c>
    </row>
    <row r="68" customFormat="false" ht="15" hidden="false" customHeight="false" outlineLevel="0" collapsed="false">
      <c r="A68" s="39" t="s">
        <v>2217</v>
      </c>
      <c r="B68" s="39" t="s">
        <v>3204</v>
      </c>
      <c r="C68" s="41" t="n">
        <v>8.48</v>
      </c>
    </row>
    <row r="69" customFormat="false" ht="15" hidden="false" customHeight="false" outlineLevel="0" collapsed="false">
      <c r="A69" s="39" t="s">
        <v>1132</v>
      </c>
      <c r="B69" s="39" t="s">
        <v>3205</v>
      </c>
      <c r="C69" s="41" t="n">
        <v>11.86</v>
      </c>
    </row>
    <row r="70" customFormat="false" ht="15" hidden="false" customHeight="false" outlineLevel="0" collapsed="false">
      <c r="A70" s="39" t="s">
        <v>1404</v>
      </c>
      <c r="B70" s="39" t="s">
        <v>3205</v>
      </c>
      <c r="C70" s="41" t="n">
        <v>10.69</v>
      </c>
    </row>
    <row r="71" customFormat="false" ht="15" hidden="false" customHeight="false" outlineLevel="0" collapsed="false">
      <c r="A71" s="39" t="s">
        <v>1792</v>
      </c>
      <c r="B71" s="39" t="s">
        <v>3204</v>
      </c>
      <c r="C71" s="41" t="n">
        <v>0.81</v>
      </c>
    </row>
    <row r="72" customFormat="false" ht="15" hidden="false" customHeight="false" outlineLevel="0" collapsed="false">
      <c r="A72" s="39" t="s">
        <v>2277</v>
      </c>
      <c r="B72" s="39" t="s">
        <v>3206</v>
      </c>
      <c r="C72" s="41" t="n">
        <v>1.8</v>
      </c>
    </row>
    <row r="73" customFormat="false" ht="15" hidden="false" customHeight="false" outlineLevel="0" collapsed="false">
      <c r="A73" s="39" t="s">
        <v>421</v>
      </c>
      <c r="B73" s="39" t="s">
        <v>3203</v>
      </c>
      <c r="C73" s="41" t="n">
        <v>2.15</v>
      </c>
    </row>
    <row r="74" customFormat="false" ht="15" hidden="false" customHeight="false" outlineLevel="0" collapsed="false">
      <c r="A74" s="39" t="s">
        <v>722</v>
      </c>
      <c r="B74" s="39" t="s">
        <v>3205</v>
      </c>
      <c r="C74" s="41" t="n">
        <v>5.55</v>
      </c>
    </row>
    <row r="75" customFormat="false" ht="15" hidden="false" customHeight="false" outlineLevel="0" collapsed="false">
      <c r="A75" s="39" t="s">
        <v>1537</v>
      </c>
      <c r="B75" s="39" t="s">
        <v>3205</v>
      </c>
      <c r="C75" s="41" t="n">
        <v>0.81</v>
      </c>
    </row>
    <row r="76" customFormat="false" ht="15" hidden="false" customHeight="false" outlineLevel="0" collapsed="false">
      <c r="A76" s="39" t="s">
        <v>1894</v>
      </c>
      <c r="B76" s="39" t="s">
        <v>3205</v>
      </c>
      <c r="C76" s="41" t="n">
        <v>0.23</v>
      </c>
    </row>
    <row r="77" customFormat="false" ht="15" hidden="false" customHeight="false" outlineLevel="0" collapsed="false">
      <c r="A77" s="39" t="s">
        <v>1617</v>
      </c>
      <c r="B77" s="39" t="s">
        <v>3205</v>
      </c>
      <c r="C77" s="41" t="n">
        <v>0.6</v>
      </c>
    </row>
    <row r="78" customFormat="false" ht="15" hidden="false" customHeight="false" outlineLevel="0" collapsed="false">
      <c r="A78" s="39" t="s">
        <v>600</v>
      </c>
      <c r="B78" s="39" t="s">
        <v>3204</v>
      </c>
      <c r="C78" s="41" t="n">
        <v>10.52</v>
      </c>
    </row>
    <row r="79" customFormat="false" ht="15" hidden="false" customHeight="false" outlineLevel="0" collapsed="false">
      <c r="A79" s="39" t="s">
        <v>1821</v>
      </c>
      <c r="B79" s="39" t="s">
        <v>3205</v>
      </c>
      <c r="C79" s="41" t="n">
        <v>2.07</v>
      </c>
    </row>
    <row r="80" customFormat="false" ht="15" hidden="false" customHeight="false" outlineLevel="0" collapsed="false">
      <c r="A80" s="39" t="s">
        <v>3064</v>
      </c>
      <c r="B80" s="39" t="s">
        <v>3204</v>
      </c>
      <c r="C80" s="41" t="n">
        <v>5.09</v>
      </c>
    </row>
    <row r="81" customFormat="false" ht="15" hidden="false" customHeight="false" outlineLevel="0" collapsed="false">
      <c r="A81" s="39" t="s">
        <v>502</v>
      </c>
      <c r="B81" s="39" t="s">
        <v>3203</v>
      </c>
      <c r="C81" s="41" t="n">
        <v>2.28</v>
      </c>
    </row>
    <row r="82" customFormat="false" ht="15" hidden="false" customHeight="false" outlineLevel="0" collapsed="false">
      <c r="A82" s="39" t="s">
        <v>400</v>
      </c>
      <c r="B82" s="39" t="s">
        <v>3205</v>
      </c>
      <c r="C82" s="41" t="n">
        <v>12.58</v>
      </c>
    </row>
    <row r="83" customFormat="false" ht="15" hidden="false" customHeight="false" outlineLevel="0" collapsed="false">
      <c r="A83" s="39" t="s">
        <v>1921</v>
      </c>
      <c r="B83" s="39" t="s">
        <v>3203</v>
      </c>
      <c r="C83" s="41" t="n">
        <v>14.36</v>
      </c>
    </row>
    <row r="84" customFormat="false" ht="15" hidden="false" customHeight="false" outlineLevel="0" collapsed="false">
      <c r="A84" s="39" t="s">
        <v>228</v>
      </c>
      <c r="B84" s="39" t="s">
        <v>3203</v>
      </c>
      <c r="C84" s="41" t="n">
        <v>15.71</v>
      </c>
    </row>
    <row r="85" customFormat="false" ht="15" hidden="false" customHeight="false" outlineLevel="0" collapsed="false">
      <c r="A85" s="39" t="s">
        <v>2241</v>
      </c>
      <c r="B85" s="39" t="s">
        <v>3203</v>
      </c>
      <c r="C85" s="41" t="n">
        <v>2.68</v>
      </c>
    </row>
    <row r="86" customFormat="false" ht="15" hidden="false" customHeight="false" outlineLevel="0" collapsed="false">
      <c r="A86" s="39" t="s">
        <v>1679</v>
      </c>
      <c r="B86" s="39" t="s">
        <v>3206</v>
      </c>
      <c r="C86" s="41" t="n">
        <v>1.97</v>
      </c>
    </row>
    <row r="87" customFormat="false" ht="15" hidden="false" customHeight="false" outlineLevel="0" collapsed="false">
      <c r="A87" s="39" t="s">
        <v>1148</v>
      </c>
      <c r="B87" s="39" t="s">
        <v>3203</v>
      </c>
      <c r="C87" s="41" t="n">
        <v>8.71</v>
      </c>
    </row>
    <row r="88" customFormat="false" ht="15" hidden="false" customHeight="false" outlineLevel="0" collapsed="false">
      <c r="A88" s="39" t="s">
        <v>2603</v>
      </c>
      <c r="B88" s="39" t="s">
        <v>3203</v>
      </c>
      <c r="C88" s="41" t="n">
        <v>2.65</v>
      </c>
    </row>
    <row r="89" customFormat="false" ht="15" hidden="false" customHeight="false" outlineLevel="0" collapsed="false">
      <c r="A89" s="39" t="s">
        <v>2476</v>
      </c>
      <c r="B89" s="39" t="s">
        <v>3203</v>
      </c>
      <c r="C89" s="41" t="n">
        <v>2.99</v>
      </c>
    </row>
    <row r="90" customFormat="false" ht="15" hidden="false" customHeight="false" outlineLevel="0" collapsed="false">
      <c r="A90" s="39" t="s">
        <v>1700</v>
      </c>
      <c r="B90" s="39" t="s">
        <v>3203</v>
      </c>
      <c r="C90" s="41" t="n">
        <v>0.67</v>
      </c>
    </row>
    <row r="91" customFormat="false" ht="15" hidden="false" customHeight="false" outlineLevel="0" collapsed="false">
      <c r="A91" s="39" t="s">
        <v>1831</v>
      </c>
      <c r="B91" s="39" t="s">
        <v>3203</v>
      </c>
      <c r="C91" s="41" t="n">
        <v>12.97</v>
      </c>
    </row>
    <row r="92" customFormat="false" ht="15" hidden="false" customHeight="false" outlineLevel="0" collapsed="false">
      <c r="A92" s="39" t="s">
        <v>857</v>
      </c>
      <c r="B92" s="39" t="s">
        <v>3206</v>
      </c>
      <c r="C92" s="41" t="n">
        <v>2.38</v>
      </c>
    </row>
    <row r="93" customFormat="false" ht="15" hidden="false" customHeight="false" outlineLevel="0" collapsed="false">
      <c r="A93" s="39" t="s">
        <v>1331</v>
      </c>
      <c r="B93" s="39" t="s">
        <v>3204</v>
      </c>
      <c r="C93" s="41" t="n">
        <v>14.8</v>
      </c>
    </row>
    <row r="94" customFormat="false" ht="15" hidden="false" customHeight="false" outlineLevel="0" collapsed="false">
      <c r="A94" s="39" t="s">
        <v>2421</v>
      </c>
      <c r="B94" s="39" t="s">
        <v>3203</v>
      </c>
      <c r="C94" s="41" t="n">
        <v>1.1</v>
      </c>
    </row>
    <row r="95" customFormat="false" ht="15" hidden="false" customHeight="false" outlineLevel="0" collapsed="false">
      <c r="A95" s="39" t="s">
        <v>1103</v>
      </c>
      <c r="B95" s="39" t="s">
        <v>3206</v>
      </c>
      <c r="C95" s="41" t="n">
        <v>7.96</v>
      </c>
    </row>
    <row r="96" customFormat="false" ht="15" hidden="false" customHeight="false" outlineLevel="0" collapsed="false">
      <c r="A96" s="39" t="s">
        <v>1967</v>
      </c>
      <c r="B96" s="39" t="s">
        <v>3206</v>
      </c>
      <c r="C96" s="41" t="n">
        <v>1.62</v>
      </c>
    </row>
    <row r="97" customFormat="false" ht="15" hidden="false" customHeight="false" outlineLevel="0" collapsed="false">
      <c r="A97" s="39" t="s">
        <v>1615</v>
      </c>
      <c r="B97" s="39" t="s">
        <v>3206</v>
      </c>
      <c r="C97" s="41" t="n">
        <v>1.53</v>
      </c>
    </row>
    <row r="98" customFormat="false" ht="15" hidden="false" customHeight="false" outlineLevel="0" collapsed="false">
      <c r="A98" s="39" t="s">
        <v>1243</v>
      </c>
      <c r="B98" s="39" t="s">
        <v>3204</v>
      </c>
      <c r="C98" s="41" t="n">
        <v>1.52</v>
      </c>
    </row>
    <row r="99" customFormat="false" ht="15" hidden="false" customHeight="false" outlineLevel="0" collapsed="false">
      <c r="A99" s="39" t="s">
        <v>1408</v>
      </c>
      <c r="B99" s="39" t="s">
        <v>3205</v>
      </c>
      <c r="C99" s="41" t="n">
        <v>4.74</v>
      </c>
    </row>
    <row r="100" customFormat="false" ht="15" hidden="false" customHeight="false" outlineLevel="0" collapsed="false">
      <c r="A100" s="39" t="s">
        <v>2730</v>
      </c>
      <c r="B100" s="39" t="s">
        <v>3205</v>
      </c>
      <c r="C100" s="41" t="n">
        <v>1.41</v>
      </c>
    </row>
    <row r="101" customFormat="false" ht="15" hidden="false" customHeight="false" outlineLevel="0" collapsed="false">
      <c r="A101" s="39" t="s">
        <v>2830</v>
      </c>
      <c r="B101" s="39" t="s">
        <v>3206</v>
      </c>
      <c r="C101" s="41" t="n">
        <v>7.31</v>
      </c>
    </row>
    <row r="102" customFormat="false" ht="15" hidden="false" customHeight="false" outlineLevel="0" collapsed="false">
      <c r="A102" s="39" t="s">
        <v>2151</v>
      </c>
      <c r="B102" s="39" t="s">
        <v>3206</v>
      </c>
      <c r="C102" s="41" t="n">
        <v>15.1</v>
      </c>
    </row>
    <row r="103" customFormat="false" ht="15" hidden="false" customHeight="false" outlineLevel="0" collapsed="false">
      <c r="A103" s="39" t="s">
        <v>656</v>
      </c>
      <c r="B103" s="39" t="s">
        <v>3203</v>
      </c>
      <c r="C103" s="41" t="n">
        <v>4.46</v>
      </c>
    </row>
    <row r="104" customFormat="false" ht="15" hidden="false" customHeight="false" outlineLevel="0" collapsed="false">
      <c r="A104" s="39" t="s">
        <v>2176</v>
      </c>
      <c r="B104" s="39" t="s">
        <v>3204</v>
      </c>
      <c r="C104" s="41" t="n">
        <v>7.54</v>
      </c>
    </row>
    <row r="105" customFormat="false" ht="15" hidden="false" customHeight="false" outlineLevel="0" collapsed="false">
      <c r="A105" s="39" t="s">
        <v>1364</v>
      </c>
      <c r="B105" s="39" t="s">
        <v>3206</v>
      </c>
      <c r="C105" s="41" t="n">
        <v>19.02</v>
      </c>
    </row>
    <row r="106" customFormat="false" ht="15" hidden="false" customHeight="false" outlineLevel="0" collapsed="false">
      <c r="A106" s="39" t="s">
        <v>1941</v>
      </c>
      <c r="B106" s="39" t="s">
        <v>3204</v>
      </c>
      <c r="C106" s="41" t="n">
        <v>39.49</v>
      </c>
    </row>
    <row r="107" customFormat="false" ht="15" hidden="false" customHeight="false" outlineLevel="0" collapsed="false">
      <c r="A107" s="39" t="s">
        <v>880</v>
      </c>
      <c r="B107" s="39" t="s">
        <v>3204</v>
      </c>
      <c r="C107" s="41" t="n">
        <v>15.24</v>
      </c>
    </row>
    <row r="108" customFormat="false" ht="15" hidden="false" customHeight="false" outlineLevel="0" collapsed="false">
      <c r="A108" s="39" t="s">
        <v>738</v>
      </c>
      <c r="B108" s="39" t="s">
        <v>3204</v>
      </c>
      <c r="C108" s="41" t="n">
        <v>1.57</v>
      </c>
    </row>
    <row r="109" customFormat="false" ht="15" hidden="false" customHeight="false" outlineLevel="0" collapsed="false">
      <c r="A109" s="39" t="s">
        <v>2060</v>
      </c>
      <c r="B109" s="39" t="s">
        <v>3205</v>
      </c>
      <c r="C109" s="41" t="n">
        <v>5.42</v>
      </c>
    </row>
    <row r="110" customFormat="false" ht="15" hidden="false" customHeight="false" outlineLevel="0" collapsed="false">
      <c r="A110" s="39" t="s">
        <v>475</v>
      </c>
      <c r="B110" s="39" t="s">
        <v>3206</v>
      </c>
      <c r="C110" s="41" t="n">
        <v>15.94</v>
      </c>
    </row>
    <row r="111" customFormat="false" ht="15" hidden="false" customHeight="false" outlineLevel="0" collapsed="false">
      <c r="A111" s="39" t="s">
        <v>1189</v>
      </c>
      <c r="B111" s="39" t="s">
        <v>3206</v>
      </c>
      <c r="C111" s="41" t="n">
        <v>29.5</v>
      </c>
    </row>
    <row r="112" customFormat="false" ht="15" hidden="false" customHeight="false" outlineLevel="0" collapsed="false">
      <c r="A112" s="39" t="s">
        <v>1695</v>
      </c>
      <c r="B112" s="39" t="s">
        <v>3203</v>
      </c>
      <c r="C112" s="41" t="n">
        <v>20.54</v>
      </c>
    </row>
    <row r="113" customFormat="false" ht="15" hidden="false" customHeight="false" outlineLevel="0" collapsed="false">
      <c r="A113" s="39" t="s">
        <v>1855</v>
      </c>
      <c r="B113" s="39" t="s">
        <v>3205</v>
      </c>
      <c r="C113" s="41" t="n">
        <v>0.92</v>
      </c>
    </row>
    <row r="114" customFormat="false" ht="15" hidden="false" customHeight="false" outlineLevel="0" collapsed="false">
      <c r="A114" s="39" t="s">
        <v>2341</v>
      </c>
      <c r="B114" s="39" t="s">
        <v>3203</v>
      </c>
      <c r="C114" s="41" t="n">
        <v>39.72</v>
      </c>
    </row>
    <row r="115" customFormat="false" ht="15" hidden="false" customHeight="false" outlineLevel="0" collapsed="false">
      <c r="A115" s="39" t="s">
        <v>832</v>
      </c>
      <c r="B115" s="39" t="s">
        <v>3206</v>
      </c>
      <c r="C115" s="41" t="n">
        <v>8.47</v>
      </c>
    </row>
    <row r="116" customFormat="false" ht="15" hidden="false" customHeight="false" outlineLevel="0" collapsed="false">
      <c r="A116" s="39" t="s">
        <v>2785</v>
      </c>
      <c r="B116" s="39" t="s">
        <v>3203</v>
      </c>
      <c r="C116" s="41" t="n">
        <v>42.96</v>
      </c>
    </row>
    <row r="117" customFormat="false" ht="15" hidden="false" customHeight="false" outlineLevel="0" collapsed="false">
      <c r="A117" s="39" t="s">
        <v>2967</v>
      </c>
      <c r="B117" s="39" t="s">
        <v>3203</v>
      </c>
      <c r="C117" s="41" t="n">
        <v>4.58</v>
      </c>
    </row>
    <row r="118" customFormat="false" ht="15" hidden="false" customHeight="false" outlineLevel="0" collapsed="false">
      <c r="A118" s="39" t="s">
        <v>2331</v>
      </c>
      <c r="B118" s="39" t="s">
        <v>3206</v>
      </c>
      <c r="C118" s="41" t="n">
        <v>0.6</v>
      </c>
    </row>
    <row r="119" customFormat="false" ht="15" hidden="false" customHeight="false" outlineLevel="0" collapsed="false">
      <c r="A119" s="39" t="s">
        <v>2608</v>
      </c>
      <c r="B119" s="39" t="s">
        <v>3203</v>
      </c>
      <c r="C119" s="41" t="n">
        <v>3.09</v>
      </c>
    </row>
    <row r="120" customFormat="false" ht="15" hidden="false" customHeight="false" outlineLevel="0" collapsed="false">
      <c r="A120" s="39" t="s">
        <v>306</v>
      </c>
      <c r="B120" s="39" t="s">
        <v>3203</v>
      </c>
      <c r="C120" s="41" t="n">
        <v>9.59</v>
      </c>
    </row>
    <row r="121" customFormat="false" ht="15" hidden="false" customHeight="false" outlineLevel="0" collapsed="false">
      <c r="A121" s="39" t="s">
        <v>2989</v>
      </c>
      <c r="B121" s="39" t="s">
        <v>3205</v>
      </c>
      <c r="C121" s="41" t="n">
        <v>1.66</v>
      </c>
    </row>
    <row r="122" customFormat="false" ht="15" hidden="false" customHeight="false" outlineLevel="0" collapsed="false">
      <c r="A122" s="39" t="s">
        <v>2998</v>
      </c>
      <c r="B122" s="39" t="s">
        <v>3205</v>
      </c>
      <c r="C122" s="41" t="n">
        <v>1.63</v>
      </c>
    </row>
    <row r="123" customFormat="false" ht="15" hidden="false" customHeight="false" outlineLevel="0" collapsed="false">
      <c r="A123" s="39" t="s">
        <v>1316</v>
      </c>
      <c r="B123" s="39" t="s">
        <v>3203</v>
      </c>
      <c r="C123" s="41" t="n">
        <v>2.65</v>
      </c>
    </row>
    <row r="124" customFormat="false" ht="15" hidden="false" customHeight="false" outlineLevel="0" collapsed="false">
      <c r="A124" s="39" t="s">
        <v>2103</v>
      </c>
      <c r="B124" s="39" t="s">
        <v>3205</v>
      </c>
      <c r="C124" s="41" t="n">
        <v>1.32</v>
      </c>
    </row>
    <row r="125" customFormat="false" ht="15" hidden="false" customHeight="false" outlineLevel="0" collapsed="false">
      <c r="A125" s="39" t="s">
        <v>319</v>
      </c>
      <c r="B125" s="39" t="s">
        <v>3205</v>
      </c>
      <c r="C125" s="41" t="n">
        <v>13.01</v>
      </c>
    </row>
    <row r="126" customFormat="false" ht="15" hidden="false" customHeight="false" outlineLevel="0" collapsed="false">
      <c r="A126" s="39" t="s">
        <v>1595</v>
      </c>
      <c r="B126" s="39" t="s">
        <v>3204</v>
      </c>
      <c r="C126" s="41" t="n">
        <v>0.56</v>
      </c>
    </row>
    <row r="127" customFormat="false" ht="15" hidden="false" customHeight="false" outlineLevel="0" collapsed="false">
      <c r="A127" s="39" t="s">
        <v>1574</v>
      </c>
      <c r="B127" s="39" t="s">
        <v>3205</v>
      </c>
      <c r="C127" s="41" t="n">
        <v>0.4</v>
      </c>
    </row>
    <row r="128" customFormat="false" ht="15" hidden="false" customHeight="false" outlineLevel="0" collapsed="false">
      <c r="A128" s="39" t="s">
        <v>1174</v>
      </c>
      <c r="B128" s="39" t="s">
        <v>3205</v>
      </c>
      <c r="C128" s="41" t="n">
        <v>4.03</v>
      </c>
    </row>
    <row r="129" customFormat="false" ht="15" hidden="false" customHeight="false" outlineLevel="0" collapsed="false">
      <c r="A129" s="39" t="s">
        <v>2209</v>
      </c>
      <c r="B129" s="39" t="s">
        <v>3205</v>
      </c>
      <c r="C129" s="41" t="n">
        <v>0.67</v>
      </c>
    </row>
    <row r="130" customFormat="false" ht="15" hidden="false" customHeight="false" outlineLevel="0" collapsed="false">
      <c r="A130" s="39" t="s">
        <v>286</v>
      </c>
      <c r="B130" s="39" t="s">
        <v>3204</v>
      </c>
      <c r="C130" s="41" t="n">
        <v>14.84</v>
      </c>
    </row>
    <row r="131" customFormat="false" ht="15" hidden="false" customHeight="false" outlineLevel="0" collapsed="false">
      <c r="A131" s="39" t="s">
        <v>2578</v>
      </c>
      <c r="B131" s="39" t="s">
        <v>3203</v>
      </c>
      <c r="C131" s="41" t="n">
        <v>6.58</v>
      </c>
    </row>
    <row r="132" customFormat="false" ht="15" hidden="false" customHeight="false" outlineLevel="0" collapsed="false">
      <c r="A132" s="39" t="s">
        <v>2681</v>
      </c>
      <c r="B132" s="39" t="s">
        <v>3205</v>
      </c>
      <c r="C132" s="41" t="n">
        <v>3.97</v>
      </c>
    </row>
    <row r="133" customFormat="false" ht="15" hidden="false" customHeight="false" outlineLevel="0" collapsed="false">
      <c r="A133" s="39" t="s">
        <v>2528</v>
      </c>
      <c r="B133" s="39" t="s">
        <v>3203</v>
      </c>
      <c r="C133" s="41" t="n">
        <v>42.85</v>
      </c>
    </row>
    <row r="134" customFormat="false" ht="15" hidden="false" customHeight="false" outlineLevel="0" collapsed="false">
      <c r="A134" s="39" t="s">
        <v>2028</v>
      </c>
      <c r="B134" s="39" t="s">
        <v>3205</v>
      </c>
      <c r="C134" s="41" t="n">
        <v>21.44</v>
      </c>
    </row>
    <row r="135" customFormat="false" ht="15" hidden="false" customHeight="false" outlineLevel="0" collapsed="false">
      <c r="A135" s="39" t="s">
        <v>849</v>
      </c>
      <c r="B135" s="39" t="s">
        <v>3204</v>
      </c>
      <c r="C135" s="41" t="n">
        <v>2.06</v>
      </c>
    </row>
    <row r="136" customFormat="false" ht="15" hidden="false" customHeight="false" outlineLevel="0" collapsed="false">
      <c r="A136" s="39" t="s">
        <v>649</v>
      </c>
      <c r="B136" s="39" t="s">
        <v>3204</v>
      </c>
      <c r="C136" s="41" t="n">
        <v>24.89</v>
      </c>
    </row>
    <row r="137" customFormat="false" ht="15" hidden="false" customHeight="false" outlineLevel="0" collapsed="false">
      <c r="A137" s="39" t="s">
        <v>3028</v>
      </c>
      <c r="B137" s="39" t="s">
        <v>3204</v>
      </c>
      <c r="C137" s="41" t="n">
        <v>5.52</v>
      </c>
    </row>
    <row r="138" customFormat="false" ht="15" hidden="false" customHeight="false" outlineLevel="0" collapsed="false">
      <c r="A138" s="39" t="s">
        <v>2503</v>
      </c>
      <c r="B138" s="39" t="s">
        <v>3205</v>
      </c>
      <c r="C138" s="41" t="n">
        <v>2.18</v>
      </c>
    </row>
    <row r="139" customFormat="false" ht="15" hidden="false" customHeight="false" outlineLevel="0" collapsed="false">
      <c r="A139" s="39" t="s">
        <v>298</v>
      </c>
      <c r="B139" s="39" t="s">
        <v>3203</v>
      </c>
      <c r="C139" s="41" t="n">
        <v>0.34</v>
      </c>
    </row>
    <row r="140" customFormat="false" ht="15" hidden="false" customHeight="false" outlineLevel="0" collapsed="false">
      <c r="A140" s="39" t="s">
        <v>2237</v>
      </c>
      <c r="B140" s="39" t="s">
        <v>3203</v>
      </c>
      <c r="C140" s="41" t="n">
        <v>5.84</v>
      </c>
    </row>
    <row r="141" customFormat="false" ht="15" hidden="false" customHeight="false" outlineLevel="0" collapsed="false">
      <c r="A141" s="39" t="s">
        <v>1543</v>
      </c>
      <c r="B141" s="39" t="s">
        <v>3204</v>
      </c>
      <c r="C141" s="41" t="n">
        <v>27.55</v>
      </c>
    </row>
    <row r="142" customFormat="false" ht="15" hidden="false" customHeight="false" outlineLevel="0" collapsed="false">
      <c r="A142" s="39" t="s">
        <v>2009</v>
      </c>
      <c r="B142" s="39" t="s">
        <v>3204</v>
      </c>
      <c r="C142" s="41" t="n">
        <v>4.8</v>
      </c>
    </row>
    <row r="143" customFormat="false" ht="15" hidden="false" customHeight="false" outlineLevel="0" collapsed="false">
      <c r="A143" s="39" t="s">
        <v>1716</v>
      </c>
      <c r="B143" s="39" t="s">
        <v>3206</v>
      </c>
      <c r="C143" s="41" t="n">
        <v>0.91</v>
      </c>
    </row>
    <row r="144" customFormat="false" ht="15" hidden="false" customHeight="false" outlineLevel="0" collapsed="false">
      <c r="A144" s="39" t="s">
        <v>757</v>
      </c>
      <c r="B144" s="39" t="s">
        <v>3205</v>
      </c>
      <c r="C144" s="41" t="n">
        <v>11.49</v>
      </c>
    </row>
    <row r="145" customFormat="false" ht="15" hidden="false" customHeight="false" outlineLevel="0" collapsed="false">
      <c r="A145" s="39" t="s">
        <v>1972</v>
      </c>
      <c r="B145" s="39" t="s">
        <v>3206</v>
      </c>
      <c r="C145" s="41" t="n">
        <v>52.58</v>
      </c>
    </row>
    <row r="146" customFormat="false" ht="15" hidden="false" customHeight="false" outlineLevel="0" collapsed="false">
      <c r="A146" s="39" t="s">
        <v>3036</v>
      </c>
      <c r="B146" s="39" t="s">
        <v>3206</v>
      </c>
      <c r="C146" s="41" t="n">
        <v>1.71</v>
      </c>
    </row>
    <row r="147" customFormat="false" ht="15" hidden="false" customHeight="false" outlineLevel="0" collapsed="false">
      <c r="A147" s="39" t="s">
        <v>1747</v>
      </c>
      <c r="B147" s="39" t="s">
        <v>3205</v>
      </c>
      <c r="C147" s="41" t="n">
        <v>2.82</v>
      </c>
    </row>
    <row r="148" customFormat="false" ht="15" hidden="false" customHeight="false" outlineLevel="0" collapsed="false">
      <c r="A148" s="39" t="s">
        <v>812</v>
      </c>
      <c r="B148" s="39" t="s">
        <v>3203</v>
      </c>
      <c r="C148" s="41" t="n">
        <v>5.43</v>
      </c>
    </row>
    <row r="149" customFormat="false" ht="15" hidden="false" customHeight="false" outlineLevel="0" collapsed="false">
      <c r="A149" s="39" t="s">
        <v>1458</v>
      </c>
      <c r="B149" s="39" t="s">
        <v>3203</v>
      </c>
      <c r="C149" s="41" t="n">
        <v>9.82</v>
      </c>
    </row>
    <row r="150" customFormat="false" ht="15" hidden="false" customHeight="false" outlineLevel="0" collapsed="false">
      <c r="A150" s="39" t="s">
        <v>2559</v>
      </c>
      <c r="B150" s="39" t="s">
        <v>3203</v>
      </c>
      <c r="C150" s="41" t="n">
        <v>26.98</v>
      </c>
    </row>
    <row r="151" customFormat="false" ht="15" hidden="false" customHeight="false" outlineLevel="0" collapsed="false">
      <c r="A151" s="39" t="s">
        <v>943</v>
      </c>
      <c r="B151" s="39" t="s">
        <v>3203</v>
      </c>
      <c r="C151" s="41" t="n">
        <v>1.77</v>
      </c>
    </row>
    <row r="152" customFormat="false" ht="15" hidden="false" customHeight="false" outlineLevel="0" collapsed="false">
      <c r="A152" s="39" t="s">
        <v>2473</v>
      </c>
      <c r="B152" s="39" t="s">
        <v>3206</v>
      </c>
      <c r="C152" s="41" t="n">
        <v>5.41</v>
      </c>
    </row>
    <row r="153" customFormat="false" ht="15" hidden="false" customHeight="false" outlineLevel="0" collapsed="false">
      <c r="A153" s="39" t="s">
        <v>2664</v>
      </c>
      <c r="B153" s="39" t="s">
        <v>3205</v>
      </c>
      <c r="C153" s="41" t="n">
        <v>3.21</v>
      </c>
    </row>
    <row r="154" customFormat="false" ht="15" hidden="false" customHeight="false" outlineLevel="0" collapsed="false">
      <c r="A154" s="39" t="s">
        <v>863</v>
      </c>
      <c r="B154" s="39" t="s">
        <v>3206</v>
      </c>
      <c r="C154" s="41" t="n">
        <v>16.05</v>
      </c>
    </row>
    <row r="155" customFormat="false" ht="15" hidden="false" customHeight="false" outlineLevel="0" collapsed="false">
      <c r="A155" s="39" t="s">
        <v>3038</v>
      </c>
      <c r="B155" s="39" t="s">
        <v>3204</v>
      </c>
      <c r="C155" s="41" t="n">
        <v>12.89</v>
      </c>
    </row>
    <row r="156" customFormat="false" ht="15" hidden="false" customHeight="false" outlineLevel="0" collapsed="false">
      <c r="A156" s="39" t="s">
        <v>3168</v>
      </c>
      <c r="B156" s="39" t="s">
        <v>3205</v>
      </c>
      <c r="C156" s="41" t="n">
        <v>1.44</v>
      </c>
    </row>
    <row r="157" customFormat="false" ht="15" hidden="false" customHeight="false" outlineLevel="0" collapsed="false">
      <c r="A157" s="39" t="s">
        <v>3110</v>
      </c>
      <c r="B157" s="39" t="s">
        <v>3204</v>
      </c>
      <c r="C157" s="41" t="n">
        <v>0.57</v>
      </c>
    </row>
    <row r="158" customFormat="false" ht="15" hidden="false" customHeight="false" outlineLevel="0" collapsed="false">
      <c r="A158" s="39" t="s">
        <v>1350</v>
      </c>
      <c r="B158" s="39" t="s">
        <v>3204</v>
      </c>
      <c r="C158" s="41" t="n">
        <v>3.14</v>
      </c>
    </row>
    <row r="159" customFormat="false" ht="15" hidden="false" customHeight="false" outlineLevel="0" collapsed="false">
      <c r="A159" s="39" t="s">
        <v>361</v>
      </c>
      <c r="B159" s="39" t="s">
        <v>3203</v>
      </c>
      <c r="C159" s="41" t="n">
        <v>0.54</v>
      </c>
    </row>
    <row r="160" customFormat="false" ht="15" hidden="false" customHeight="false" outlineLevel="0" collapsed="false">
      <c r="A160" s="39" t="s">
        <v>2567</v>
      </c>
      <c r="B160" s="39" t="s">
        <v>3203</v>
      </c>
      <c r="C160" s="41" t="n">
        <v>0.89</v>
      </c>
    </row>
    <row r="161" customFormat="false" ht="15" hidden="false" customHeight="false" outlineLevel="0" collapsed="false">
      <c r="A161" s="39" t="s">
        <v>2763</v>
      </c>
      <c r="B161" s="39" t="s">
        <v>3203</v>
      </c>
      <c r="C161" s="41" t="n">
        <v>27.18</v>
      </c>
    </row>
    <row r="162" customFormat="false" ht="15" hidden="false" customHeight="false" outlineLevel="0" collapsed="false">
      <c r="A162" s="39" t="s">
        <v>2805</v>
      </c>
      <c r="B162" s="39" t="s">
        <v>3205</v>
      </c>
      <c r="C162" s="41" t="n">
        <v>5.55</v>
      </c>
    </row>
    <row r="163" customFormat="false" ht="15" hidden="false" customHeight="false" outlineLevel="0" collapsed="false">
      <c r="A163" s="39" t="s">
        <v>2443</v>
      </c>
      <c r="B163" s="39" t="s">
        <v>3203</v>
      </c>
      <c r="C163" s="41" t="n">
        <v>2.44</v>
      </c>
    </row>
    <row r="164" customFormat="false" ht="15" hidden="false" customHeight="false" outlineLevel="0" collapsed="false">
      <c r="A164" s="39" t="s">
        <v>2789</v>
      </c>
      <c r="B164" s="39" t="s">
        <v>3204</v>
      </c>
      <c r="C164" s="41" t="n">
        <v>4.58</v>
      </c>
    </row>
    <row r="165" customFormat="false" ht="15" hidden="false" customHeight="false" outlineLevel="0" collapsed="false">
      <c r="A165" s="39" t="s">
        <v>1298</v>
      </c>
      <c r="B165" s="39" t="s">
        <v>3203</v>
      </c>
      <c r="C165" s="41" t="n">
        <v>1.15</v>
      </c>
    </row>
    <row r="166" customFormat="false" ht="15" hidden="false" customHeight="false" outlineLevel="0" collapsed="false">
      <c r="A166" s="39" t="s">
        <v>248</v>
      </c>
      <c r="B166" s="39" t="s">
        <v>3205</v>
      </c>
      <c r="C166" s="41" t="n">
        <v>2.72</v>
      </c>
    </row>
    <row r="167" customFormat="false" ht="15" hidden="false" customHeight="false" outlineLevel="0" collapsed="false">
      <c r="A167" s="39" t="s">
        <v>2990</v>
      </c>
      <c r="B167" s="39" t="s">
        <v>3205</v>
      </c>
      <c r="C167" s="41" t="n">
        <v>3.38</v>
      </c>
    </row>
    <row r="168" customFormat="false" ht="15" hidden="false" customHeight="false" outlineLevel="0" collapsed="false">
      <c r="A168" s="39" t="s">
        <v>934</v>
      </c>
      <c r="B168" s="39" t="s">
        <v>3203</v>
      </c>
      <c r="C168" s="41" t="n">
        <v>22.14</v>
      </c>
    </row>
    <row r="169" customFormat="false" ht="15" hidden="false" customHeight="false" outlineLevel="0" collapsed="false">
      <c r="A169" s="39" t="s">
        <v>1781</v>
      </c>
      <c r="B169" s="39" t="s">
        <v>3206</v>
      </c>
      <c r="C169" s="41" t="n">
        <v>13.28</v>
      </c>
    </row>
    <row r="170" customFormat="false" ht="15" hidden="false" customHeight="false" outlineLevel="0" collapsed="false">
      <c r="A170" s="39" t="s">
        <v>2340</v>
      </c>
      <c r="B170" s="39" t="s">
        <v>3204</v>
      </c>
      <c r="C170" s="41" t="n">
        <v>132.87</v>
      </c>
    </row>
    <row r="171" customFormat="false" ht="15" hidden="false" customHeight="false" outlineLevel="0" collapsed="false">
      <c r="A171" s="39" t="s">
        <v>3012</v>
      </c>
      <c r="B171" s="39" t="s">
        <v>3203</v>
      </c>
      <c r="C171" s="41" t="n">
        <v>6.03</v>
      </c>
    </row>
    <row r="172" customFormat="false" ht="15" hidden="false" customHeight="false" outlineLevel="0" collapsed="false">
      <c r="A172" s="39" t="s">
        <v>164</v>
      </c>
      <c r="B172" s="39" t="s">
        <v>3203</v>
      </c>
      <c r="C172" s="41" t="n">
        <v>1.92</v>
      </c>
    </row>
    <row r="173" customFormat="false" ht="15" hidden="false" customHeight="false" outlineLevel="0" collapsed="false">
      <c r="A173" s="39" t="s">
        <v>2768</v>
      </c>
      <c r="B173" s="39" t="s">
        <v>3204</v>
      </c>
      <c r="C173" s="41" t="n">
        <v>10.49</v>
      </c>
    </row>
    <row r="174" customFormat="false" ht="15" hidden="false" customHeight="false" outlineLevel="0" collapsed="false">
      <c r="A174" s="39" t="s">
        <v>2384</v>
      </c>
      <c r="B174" s="39" t="s">
        <v>3206</v>
      </c>
      <c r="C174" s="41" t="n">
        <v>1.82</v>
      </c>
    </row>
    <row r="175" customFormat="false" ht="15" hidden="false" customHeight="false" outlineLevel="0" collapsed="false">
      <c r="A175" s="39" t="s">
        <v>1007</v>
      </c>
      <c r="B175" s="39" t="s">
        <v>3206</v>
      </c>
      <c r="C175" s="41" t="n">
        <v>1.19</v>
      </c>
    </row>
    <row r="176" customFormat="false" ht="15" hidden="false" customHeight="false" outlineLevel="0" collapsed="false">
      <c r="A176" s="39" t="s">
        <v>557</v>
      </c>
      <c r="B176" s="39" t="s">
        <v>3205</v>
      </c>
      <c r="C176" s="41" t="n">
        <v>22.95</v>
      </c>
    </row>
    <row r="177" customFormat="false" ht="15" hidden="false" customHeight="false" outlineLevel="0" collapsed="false">
      <c r="A177" s="39" t="s">
        <v>2494</v>
      </c>
      <c r="B177" s="39" t="s">
        <v>3206</v>
      </c>
      <c r="C177" s="41" t="n">
        <v>8.33</v>
      </c>
    </row>
    <row r="178" customFormat="false" ht="15" hidden="false" customHeight="false" outlineLevel="0" collapsed="false">
      <c r="A178" s="39" t="s">
        <v>1818</v>
      </c>
      <c r="B178" s="39" t="s">
        <v>3204</v>
      </c>
      <c r="C178" s="41" t="n">
        <v>9.87</v>
      </c>
    </row>
    <row r="179" customFormat="false" ht="15" hidden="false" customHeight="false" outlineLevel="0" collapsed="false">
      <c r="A179" s="39" t="s">
        <v>2108</v>
      </c>
      <c r="B179" s="39" t="s">
        <v>3206</v>
      </c>
      <c r="C179" s="41" t="n">
        <v>50.15</v>
      </c>
    </row>
    <row r="180" customFormat="false" ht="15" hidden="false" customHeight="false" outlineLevel="0" collapsed="false">
      <c r="A180" s="39" t="s">
        <v>1320</v>
      </c>
      <c r="B180" s="39" t="s">
        <v>3205</v>
      </c>
      <c r="C180" s="41" t="n">
        <v>3.55</v>
      </c>
    </row>
    <row r="181" customFormat="false" ht="15" hidden="false" customHeight="false" outlineLevel="0" collapsed="false">
      <c r="A181" s="39" t="s">
        <v>3095</v>
      </c>
      <c r="B181" s="39" t="s">
        <v>3205</v>
      </c>
      <c r="C181" s="41" t="n">
        <v>3.58</v>
      </c>
    </row>
    <row r="182" customFormat="false" ht="15" hidden="false" customHeight="false" outlineLevel="0" collapsed="false">
      <c r="A182" s="39" t="s">
        <v>2986</v>
      </c>
      <c r="B182" s="39" t="s">
        <v>3203</v>
      </c>
      <c r="C182" s="41" t="n">
        <v>5.71</v>
      </c>
    </row>
    <row r="183" customFormat="false" ht="15" hidden="false" customHeight="false" outlineLevel="0" collapsed="false">
      <c r="A183" s="39" t="s">
        <v>2921</v>
      </c>
      <c r="B183" s="39" t="s">
        <v>3206</v>
      </c>
      <c r="C183" s="41" t="n">
        <v>3.06</v>
      </c>
    </row>
    <row r="184" customFormat="false" ht="15" hidden="false" customHeight="false" outlineLevel="0" collapsed="false">
      <c r="A184" s="39" t="s">
        <v>2439</v>
      </c>
      <c r="B184" s="39" t="s">
        <v>3206</v>
      </c>
      <c r="C184" s="41" t="n">
        <v>2.18</v>
      </c>
    </row>
    <row r="185" customFormat="false" ht="15" hidden="false" customHeight="false" outlineLevel="0" collapsed="false">
      <c r="A185" s="39" t="s">
        <v>2898</v>
      </c>
      <c r="B185" s="39" t="s">
        <v>3206</v>
      </c>
      <c r="C185" s="41" t="n">
        <v>13.46</v>
      </c>
    </row>
    <row r="186" customFormat="false" ht="15" hidden="false" customHeight="false" outlineLevel="0" collapsed="false">
      <c r="A186" s="39" t="s">
        <v>2851</v>
      </c>
      <c r="B186" s="39" t="s">
        <v>3206</v>
      </c>
      <c r="C186" s="41" t="n">
        <v>90.81</v>
      </c>
    </row>
    <row r="187" customFormat="false" ht="15" hidden="false" customHeight="false" outlineLevel="0" collapsed="false">
      <c r="A187" s="39" t="s">
        <v>1195</v>
      </c>
      <c r="B187" s="39" t="s">
        <v>3203</v>
      </c>
      <c r="C187" s="41" t="n">
        <v>57.44</v>
      </c>
    </row>
    <row r="188" customFormat="false" ht="15" hidden="false" customHeight="false" outlineLevel="0" collapsed="false">
      <c r="A188" s="39" t="s">
        <v>1880</v>
      </c>
      <c r="B188" s="39" t="s">
        <v>3205</v>
      </c>
      <c r="C188" s="41" t="n">
        <v>1.05</v>
      </c>
    </row>
    <row r="189" customFormat="false" ht="15" hidden="false" customHeight="false" outlineLevel="0" collapsed="false">
      <c r="A189" s="39" t="s">
        <v>1134</v>
      </c>
      <c r="B189" s="39" t="s">
        <v>3204</v>
      </c>
      <c r="C189" s="41" t="n">
        <v>2.18</v>
      </c>
    </row>
    <row r="190" customFormat="false" ht="15" hidden="false" customHeight="false" outlineLevel="0" collapsed="false">
      <c r="A190" s="39" t="s">
        <v>1491</v>
      </c>
      <c r="B190" s="39" t="s">
        <v>3203</v>
      </c>
      <c r="C190" s="41" t="n">
        <v>5.81</v>
      </c>
    </row>
    <row r="191" customFormat="false" ht="15" hidden="false" customHeight="false" outlineLevel="0" collapsed="false">
      <c r="A191" s="39" t="s">
        <v>1754</v>
      </c>
      <c r="B191" s="39" t="s">
        <v>3204</v>
      </c>
      <c r="C191" s="41" t="n">
        <v>0.47</v>
      </c>
    </row>
    <row r="192" customFormat="false" ht="15" hidden="false" customHeight="false" outlineLevel="0" collapsed="false">
      <c r="A192" s="39" t="s">
        <v>2725</v>
      </c>
      <c r="B192" s="39" t="s">
        <v>3203</v>
      </c>
      <c r="C192" s="41" t="n">
        <v>1.15</v>
      </c>
    </row>
    <row r="193" customFormat="false" ht="15" hidden="false" customHeight="false" outlineLevel="0" collapsed="false">
      <c r="A193" s="39" t="s">
        <v>1904</v>
      </c>
      <c r="B193" s="39" t="s">
        <v>3204</v>
      </c>
      <c r="C193" s="41" t="n">
        <v>3.6</v>
      </c>
    </row>
    <row r="194" customFormat="false" ht="15" hidden="false" customHeight="false" outlineLevel="0" collapsed="false">
      <c r="A194" s="39" t="s">
        <v>2146</v>
      </c>
      <c r="B194" s="39" t="s">
        <v>3203</v>
      </c>
      <c r="C194" s="41" t="n">
        <v>0.88</v>
      </c>
    </row>
    <row r="195" customFormat="false" ht="15" hidden="false" customHeight="false" outlineLevel="0" collapsed="false">
      <c r="A195" s="39" t="s">
        <v>1918</v>
      </c>
      <c r="B195" s="39" t="s">
        <v>3204</v>
      </c>
      <c r="C195" s="41" t="n">
        <v>15.88</v>
      </c>
    </row>
    <row r="196" customFormat="false" ht="15" hidden="false" customHeight="false" outlineLevel="0" collapsed="false">
      <c r="A196" s="39" t="s">
        <v>476</v>
      </c>
      <c r="B196" s="39" t="s">
        <v>3206</v>
      </c>
      <c r="C196" s="41" t="n">
        <v>2.54</v>
      </c>
    </row>
    <row r="197" customFormat="false" ht="15" hidden="false" customHeight="false" outlineLevel="0" collapsed="false">
      <c r="A197" s="39" t="s">
        <v>2391</v>
      </c>
      <c r="B197" s="39" t="s">
        <v>3204</v>
      </c>
      <c r="C197" s="41" t="n">
        <v>4.98</v>
      </c>
    </row>
    <row r="198" customFormat="false" ht="15" hidden="false" customHeight="false" outlineLevel="0" collapsed="false">
      <c r="A198" s="39" t="s">
        <v>1149</v>
      </c>
      <c r="B198" s="39" t="s">
        <v>3205</v>
      </c>
      <c r="C198" s="41" t="n">
        <v>3.36</v>
      </c>
    </row>
    <row r="199" customFormat="false" ht="15" hidden="false" customHeight="false" outlineLevel="0" collapsed="false">
      <c r="A199" s="39" t="s">
        <v>1666</v>
      </c>
      <c r="B199" s="39" t="s">
        <v>3204</v>
      </c>
      <c r="C199" s="41" t="n">
        <v>2.77</v>
      </c>
    </row>
    <row r="200" customFormat="false" ht="15" hidden="false" customHeight="false" outlineLevel="0" collapsed="false">
      <c r="A200" s="39" t="s">
        <v>756</v>
      </c>
      <c r="B200" s="39" t="s">
        <v>3205</v>
      </c>
      <c r="C200" s="41" t="n">
        <v>1.48</v>
      </c>
    </row>
    <row r="201" customFormat="false" ht="15" hidden="false" customHeight="false" outlineLevel="0" collapsed="false">
      <c r="A201" s="39" t="s">
        <v>1119</v>
      </c>
      <c r="B201" s="39" t="s">
        <v>3203</v>
      </c>
      <c r="C201" s="41" t="n">
        <v>2.99</v>
      </c>
    </row>
    <row r="202" customFormat="false" ht="15" hidden="false" customHeight="false" outlineLevel="0" collapsed="false">
      <c r="A202" s="39" t="s">
        <v>163</v>
      </c>
      <c r="B202" s="39" t="s">
        <v>3203</v>
      </c>
      <c r="C202" s="41" t="n">
        <v>0.57</v>
      </c>
    </row>
    <row r="203" customFormat="false" ht="15" hidden="false" customHeight="false" outlineLevel="0" collapsed="false">
      <c r="A203" s="39" t="s">
        <v>1332</v>
      </c>
      <c r="B203" s="39" t="s">
        <v>3204</v>
      </c>
      <c r="C203" s="41" t="n">
        <v>3.09</v>
      </c>
    </row>
    <row r="204" customFormat="false" ht="15" hidden="false" customHeight="false" outlineLevel="0" collapsed="false">
      <c r="A204" s="39" t="s">
        <v>1933</v>
      </c>
      <c r="B204" s="39" t="s">
        <v>3204</v>
      </c>
      <c r="C204" s="41" t="n">
        <v>5.25</v>
      </c>
    </row>
    <row r="205" customFormat="false" ht="15" hidden="false" customHeight="false" outlineLevel="0" collapsed="false">
      <c r="A205" s="39" t="s">
        <v>1866</v>
      </c>
      <c r="B205" s="39" t="s">
        <v>3204</v>
      </c>
      <c r="C205" s="41" t="n">
        <v>5.21</v>
      </c>
    </row>
    <row r="206" customFormat="false" ht="15" hidden="false" customHeight="false" outlineLevel="0" collapsed="false">
      <c r="A206" s="39" t="s">
        <v>2240</v>
      </c>
      <c r="B206" s="39" t="s">
        <v>3206</v>
      </c>
      <c r="C206" s="41" t="n">
        <v>1.25</v>
      </c>
    </row>
    <row r="207" customFormat="false" ht="15" hidden="false" customHeight="false" outlineLevel="0" collapsed="false">
      <c r="A207" s="39" t="s">
        <v>531</v>
      </c>
      <c r="B207" s="39" t="s">
        <v>3203</v>
      </c>
      <c r="C207" s="41" t="n">
        <v>0.66</v>
      </c>
    </row>
    <row r="208" customFormat="false" ht="15" hidden="false" customHeight="false" outlineLevel="0" collapsed="false">
      <c r="A208" s="39" t="s">
        <v>888</v>
      </c>
      <c r="B208" s="39" t="s">
        <v>3204</v>
      </c>
      <c r="C208" s="41" t="n">
        <v>6.79</v>
      </c>
    </row>
    <row r="209" customFormat="false" ht="15" hidden="false" customHeight="false" outlineLevel="0" collapsed="false">
      <c r="A209" s="39" t="s">
        <v>413</v>
      </c>
      <c r="B209" s="39" t="s">
        <v>3206</v>
      </c>
      <c r="C209" s="41" t="n">
        <v>9.58</v>
      </c>
    </row>
    <row r="210" customFormat="false" ht="15" hidden="false" customHeight="false" outlineLevel="0" collapsed="false">
      <c r="A210" s="39" t="s">
        <v>546</v>
      </c>
      <c r="B210" s="39" t="s">
        <v>3203</v>
      </c>
      <c r="C210" s="41" t="n">
        <v>9.04</v>
      </c>
    </row>
    <row r="211" customFormat="false" ht="15" hidden="false" customHeight="false" outlineLevel="0" collapsed="false">
      <c r="A211" s="39" t="s">
        <v>1145</v>
      </c>
      <c r="B211" s="39" t="s">
        <v>3205</v>
      </c>
      <c r="C211" s="41" t="n">
        <v>21.53</v>
      </c>
    </row>
    <row r="212" customFormat="false" ht="15" hidden="false" customHeight="false" outlineLevel="0" collapsed="false">
      <c r="A212" s="39" t="s">
        <v>1859</v>
      </c>
      <c r="B212" s="39" t="s">
        <v>3203</v>
      </c>
      <c r="C212" s="41" t="n">
        <v>0.62</v>
      </c>
    </row>
    <row r="213" customFormat="false" ht="15" hidden="false" customHeight="false" outlineLevel="0" collapsed="false">
      <c r="A213" s="39" t="s">
        <v>1368</v>
      </c>
      <c r="B213" s="39" t="s">
        <v>3204</v>
      </c>
      <c r="C213" s="41" t="n">
        <v>5.62</v>
      </c>
    </row>
    <row r="214" customFormat="false" ht="15" hidden="false" customHeight="false" outlineLevel="0" collapsed="false">
      <c r="A214" s="39" t="s">
        <v>583</v>
      </c>
      <c r="B214" s="39" t="s">
        <v>3204</v>
      </c>
      <c r="C214" s="41" t="n">
        <v>5.77</v>
      </c>
    </row>
    <row r="215" customFormat="false" ht="15" hidden="false" customHeight="false" outlineLevel="0" collapsed="false">
      <c r="A215" s="39" t="s">
        <v>2392</v>
      </c>
      <c r="B215" s="39" t="s">
        <v>3204</v>
      </c>
      <c r="C215" s="41" t="n">
        <v>15.23</v>
      </c>
    </row>
    <row r="216" customFormat="false" ht="15" hidden="false" customHeight="false" outlineLevel="0" collapsed="false">
      <c r="A216" s="39" t="s">
        <v>1707</v>
      </c>
      <c r="B216" s="39" t="s">
        <v>3206</v>
      </c>
      <c r="C216" s="41" t="n">
        <v>20.24</v>
      </c>
    </row>
    <row r="217" customFormat="false" ht="15" hidden="false" customHeight="false" outlineLevel="0" collapsed="false">
      <c r="A217" s="39" t="s">
        <v>377</v>
      </c>
      <c r="B217" s="39" t="s">
        <v>3206</v>
      </c>
      <c r="C217" s="41" t="n">
        <v>5.12</v>
      </c>
    </row>
    <row r="218" customFormat="false" ht="15" hidden="false" customHeight="false" outlineLevel="0" collapsed="false">
      <c r="A218" s="39" t="s">
        <v>1416</v>
      </c>
      <c r="B218" s="39" t="s">
        <v>3203</v>
      </c>
      <c r="C218" s="41" t="n">
        <v>2.69</v>
      </c>
    </row>
    <row r="219" customFormat="false" ht="15" hidden="false" customHeight="false" outlineLevel="0" collapsed="false">
      <c r="A219" s="39" t="s">
        <v>1800</v>
      </c>
      <c r="B219" s="39" t="s">
        <v>3203</v>
      </c>
      <c r="C219" s="41" t="n">
        <v>32.47</v>
      </c>
    </row>
    <row r="220" customFormat="false" ht="15" hidden="false" customHeight="false" outlineLevel="0" collapsed="false">
      <c r="A220" s="39" t="s">
        <v>1217</v>
      </c>
      <c r="B220" s="39" t="s">
        <v>3206</v>
      </c>
      <c r="C220" s="41" t="n">
        <v>11.42</v>
      </c>
    </row>
    <row r="221" customFormat="false" ht="15" hidden="false" customHeight="false" outlineLevel="0" collapsed="false">
      <c r="A221" s="39" t="s">
        <v>2199</v>
      </c>
      <c r="B221" s="39" t="s">
        <v>3203</v>
      </c>
      <c r="C221" s="41" t="n">
        <v>11.77</v>
      </c>
    </row>
    <row r="222" customFormat="false" ht="15" hidden="false" customHeight="false" outlineLevel="0" collapsed="false">
      <c r="A222" s="39" t="s">
        <v>2800</v>
      </c>
      <c r="B222" s="39" t="s">
        <v>3204</v>
      </c>
      <c r="C222" s="41" t="n">
        <v>2.78</v>
      </c>
    </row>
    <row r="223" customFormat="false" ht="15" hidden="false" customHeight="false" outlineLevel="0" collapsed="false">
      <c r="A223" s="39" t="s">
        <v>500</v>
      </c>
      <c r="B223" s="39" t="s">
        <v>3206</v>
      </c>
      <c r="C223" s="41" t="n">
        <v>1.08</v>
      </c>
    </row>
    <row r="224" customFormat="false" ht="15" hidden="false" customHeight="false" outlineLevel="0" collapsed="false">
      <c r="A224" s="39" t="s">
        <v>669</v>
      </c>
      <c r="B224" s="39" t="s">
        <v>3203</v>
      </c>
      <c r="C224" s="41" t="n">
        <v>44.66</v>
      </c>
    </row>
    <row r="225" customFormat="false" ht="15" hidden="false" customHeight="false" outlineLevel="0" collapsed="false">
      <c r="A225" s="39" t="s">
        <v>972</v>
      </c>
      <c r="B225" s="39" t="s">
        <v>3203</v>
      </c>
      <c r="C225" s="41" t="n">
        <v>0.9</v>
      </c>
    </row>
    <row r="226" customFormat="false" ht="15" hidden="false" customHeight="false" outlineLevel="0" collapsed="false">
      <c r="A226" s="39" t="s">
        <v>2698</v>
      </c>
      <c r="B226" s="39" t="s">
        <v>3203</v>
      </c>
      <c r="C226" s="41" t="n">
        <v>2.25</v>
      </c>
    </row>
    <row r="227" customFormat="false" ht="15" hidden="false" customHeight="false" outlineLevel="0" collapsed="false">
      <c r="A227" s="39" t="s">
        <v>2115</v>
      </c>
      <c r="B227" s="39" t="s">
        <v>3203</v>
      </c>
      <c r="C227" s="41" t="n">
        <v>4.72</v>
      </c>
    </row>
    <row r="228" customFormat="false" ht="15" hidden="false" customHeight="false" outlineLevel="0" collapsed="false">
      <c r="A228" s="39" t="s">
        <v>618</v>
      </c>
      <c r="B228" s="39" t="s">
        <v>3205</v>
      </c>
      <c r="C228" s="41" t="n">
        <v>4.5</v>
      </c>
    </row>
    <row r="229" customFormat="false" ht="15" hidden="false" customHeight="false" outlineLevel="0" collapsed="false">
      <c r="A229" s="39" t="s">
        <v>1778</v>
      </c>
      <c r="B229" s="39" t="s">
        <v>3204</v>
      </c>
      <c r="C229" s="41" t="n">
        <v>45.53</v>
      </c>
    </row>
    <row r="230" customFormat="false" ht="15" hidden="false" customHeight="false" outlineLevel="0" collapsed="false">
      <c r="A230" s="39" t="s">
        <v>1651</v>
      </c>
      <c r="B230" s="39" t="s">
        <v>3205</v>
      </c>
      <c r="C230" s="41" t="n">
        <v>37.15</v>
      </c>
    </row>
    <row r="231" customFormat="false" ht="15" hidden="false" customHeight="false" outlineLevel="0" collapsed="false">
      <c r="A231" s="39" t="s">
        <v>2297</v>
      </c>
      <c r="B231" s="39" t="s">
        <v>3204</v>
      </c>
      <c r="C231" s="41" t="n">
        <v>1.43</v>
      </c>
    </row>
    <row r="232" customFormat="false" ht="15" hidden="false" customHeight="false" outlineLevel="0" collapsed="false">
      <c r="A232" s="39" t="s">
        <v>2431</v>
      </c>
      <c r="B232" s="39" t="s">
        <v>3206</v>
      </c>
      <c r="C232" s="41" t="n">
        <v>1.64</v>
      </c>
    </row>
    <row r="233" customFormat="false" ht="15" hidden="false" customHeight="false" outlineLevel="0" collapsed="false">
      <c r="A233" s="39" t="s">
        <v>1812</v>
      </c>
      <c r="B233" s="39" t="s">
        <v>3205</v>
      </c>
      <c r="C233" s="41" t="n">
        <v>0.73</v>
      </c>
    </row>
    <row r="234" customFormat="false" ht="15" hidden="false" customHeight="false" outlineLevel="0" collapsed="false">
      <c r="A234" s="39" t="s">
        <v>2894</v>
      </c>
      <c r="B234" s="39" t="s">
        <v>3206</v>
      </c>
      <c r="C234" s="41" t="n">
        <v>2.07</v>
      </c>
    </row>
    <row r="235" customFormat="false" ht="15" hidden="false" customHeight="false" outlineLevel="0" collapsed="false">
      <c r="A235" s="39" t="s">
        <v>1558</v>
      </c>
      <c r="B235" s="39" t="s">
        <v>3204</v>
      </c>
      <c r="C235" s="41" t="n">
        <v>3.22</v>
      </c>
    </row>
    <row r="236" customFormat="false" ht="15" hidden="false" customHeight="false" outlineLevel="0" collapsed="false">
      <c r="A236" s="39" t="s">
        <v>1865</v>
      </c>
      <c r="B236" s="39" t="s">
        <v>3206</v>
      </c>
      <c r="C236" s="41" t="n">
        <v>3.48</v>
      </c>
    </row>
    <row r="237" customFormat="false" ht="15" hidden="false" customHeight="false" outlineLevel="0" collapsed="false">
      <c r="A237" s="39" t="s">
        <v>216</v>
      </c>
      <c r="B237" s="39" t="s">
        <v>3205</v>
      </c>
      <c r="C237" s="41" t="n">
        <v>1.37</v>
      </c>
    </row>
    <row r="238" customFormat="false" ht="15" hidden="false" customHeight="false" outlineLevel="0" collapsed="false">
      <c r="A238" s="39" t="s">
        <v>1901</v>
      </c>
      <c r="B238" s="39" t="s">
        <v>3204</v>
      </c>
      <c r="C238" s="41" t="n">
        <v>1.26</v>
      </c>
    </row>
    <row r="239" customFormat="false" ht="15" hidden="false" customHeight="false" outlineLevel="0" collapsed="false">
      <c r="A239" s="39" t="s">
        <v>426</v>
      </c>
      <c r="B239" s="39" t="s">
        <v>3204</v>
      </c>
      <c r="C239" s="41" t="n">
        <v>2.99</v>
      </c>
    </row>
    <row r="240" customFormat="false" ht="15" hidden="false" customHeight="false" outlineLevel="0" collapsed="false">
      <c r="A240" s="39" t="s">
        <v>2636</v>
      </c>
      <c r="B240" s="39" t="s">
        <v>3205</v>
      </c>
      <c r="C240" s="41" t="n">
        <v>6.07</v>
      </c>
    </row>
    <row r="241" customFormat="false" ht="15" hidden="false" customHeight="false" outlineLevel="0" collapsed="false">
      <c r="A241" s="39" t="s">
        <v>848</v>
      </c>
      <c r="B241" s="39" t="s">
        <v>3206</v>
      </c>
      <c r="C241" s="41" t="n">
        <v>7.74</v>
      </c>
    </row>
    <row r="242" customFormat="false" ht="15" hidden="false" customHeight="false" outlineLevel="0" collapsed="false">
      <c r="A242" s="39" t="s">
        <v>2524</v>
      </c>
      <c r="B242" s="39" t="s">
        <v>3203</v>
      </c>
      <c r="C242" s="41" t="n">
        <v>1.64</v>
      </c>
    </row>
    <row r="243" customFormat="false" ht="15" hidden="false" customHeight="false" outlineLevel="0" collapsed="false">
      <c r="A243" s="39" t="s">
        <v>695</v>
      </c>
      <c r="B243" s="39" t="s">
        <v>3206</v>
      </c>
      <c r="C243" s="41" t="n">
        <v>6.38</v>
      </c>
    </row>
    <row r="244" customFormat="false" ht="15" hidden="false" customHeight="false" outlineLevel="0" collapsed="false">
      <c r="A244" s="39" t="s">
        <v>1372</v>
      </c>
      <c r="B244" s="39" t="s">
        <v>3203</v>
      </c>
      <c r="C244" s="41" t="n">
        <v>1.73</v>
      </c>
    </row>
    <row r="245" customFormat="false" ht="15" hidden="false" customHeight="false" outlineLevel="0" collapsed="false">
      <c r="A245" s="39" t="s">
        <v>2104</v>
      </c>
      <c r="B245" s="39" t="s">
        <v>3205</v>
      </c>
      <c r="C245" s="41" t="n">
        <v>15.11</v>
      </c>
    </row>
    <row r="246" customFormat="false" ht="15" hidden="false" customHeight="false" outlineLevel="0" collapsed="false">
      <c r="A246" s="39" t="s">
        <v>1471</v>
      </c>
      <c r="B246" s="39" t="s">
        <v>3203</v>
      </c>
      <c r="C246" s="41" t="n">
        <v>11.23</v>
      </c>
    </row>
    <row r="247" customFormat="false" ht="15" hidden="false" customHeight="false" outlineLevel="0" collapsed="false">
      <c r="A247" s="39" t="s">
        <v>871</v>
      </c>
      <c r="B247" s="39" t="s">
        <v>3203</v>
      </c>
      <c r="C247" s="41" t="n">
        <v>0.81</v>
      </c>
    </row>
    <row r="248" customFormat="false" ht="15" hidden="false" customHeight="false" outlineLevel="0" collapsed="false">
      <c r="A248" s="39" t="s">
        <v>1258</v>
      </c>
      <c r="B248" s="39" t="s">
        <v>3205</v>
      </c>
      <c r="C248" s="41" t="n">
        <v>1.73</v>
      </c>
    </row>
    <row r="249" customFormat="false" ht="15" hidden="false" customHeight="false" outlineLevel="0" collapsed="false">
      <c r="A249" s="39" t="s">
        <v>1995</v>
      </c>
      <c r="B249" s="39" t="s">
        <v>3204</v>
      </c>
      <c r="C249" s="41" t="n">
        <v>14.86</v>
      </c>
    </row>
    <row r="250" customFormat="false" ht="15" hidden="false" customHeight="false" outlineLevel="0" collapsed="false">
      <c r="A250" s="39" t="s">
        <v>911</v>
      </c>
      <c r="B250" s="39" t="s">
        <v>3206</v>
      </c>
      <c r="C250" s="41" t="n">
        <v>5.67</v>
      </c>
    </row>
    <row r="251" customFormat="false" ht="15" hidden="false" customHeight="false" outlineLevel="0" collapsed="false">
      <c r="A251" s="39" t="s">
        <v>885</v>
      </c>
      <c r="B251" s="39" t="s">
        <v>3204</v>
      </c>
      <c r="C251" s="41" t="n">
        <v>0.83</v>
      </c>
    </row>
    <row r="252" customFormat="false" ht="15" hidden="false" customHeight="false" outlineLevel="0" collapsed="false">
      <c r="A252" s="39" t="s">
        <v>2871</v>
      </c>
      <c r="B252" s="39" t="s">
        <v>3205</v>
      </c>
      <c r="C252" s="41" t="n">
        <v>2.43</v>
      </c>
    </row>
    <row r="253" customFormat="false" ht="15" hidden="false" customHeight="false" outlineLevel="0" collapsed="false">
      <c r="A253" s="39" t="s">
        <v>2168</v>
      </c>
      <c r="B253" s="39" t="s">
        <v>3203</v>
      </c>
      <c r="C253" s="41" t="n">
        <v>14</v>
      </c>
    </row>
    <row r="254" customFormat="false" ht="15" hidden="false" customHeight="false" outlineLevel="0" collapsed="false">
      <c r="A254" s="39" t="s">
        <v>751</v>
      </c>
      <c r="B254" s="39" t="s">
        <v>3206</v>
      </c>
      <c r="C254" s="41" t="n">
        <v>3.44</v>
      </c>
    </row>
    <row r="255" customFormat="false" ht="15" hidden="false" customHeight="false" outlineLevel="0" collapsed="false">
      <c r="A255" s="39" t="s">
        <v>2803</v>
      </c>
      <c r="B255" s="39" t="s">
        <v>3203</v>
      </c>
      <c r="C255" s="41" t="n">
        <v>25.33</v>
      </c>
    </row>
    <row r="256" customFormat="false" ht="15" hidden="false" customHeight="false" outlineLevel="0" collapsed="false">
      <c r="A256" s="39" t="s">
        <v>2311</v>
      </c>
      <c r="B256" s="39" t="s">
        <v>3205</v>
      </c>
      <c r="C256" s="41" t="n">
        <v>4.42</v>
      </c>
    </row>
    <row r="257" customFormat="false" ht="15" hidden="false" customHeight="false" outlineLevel="0" collapsed="false">
      <c r="A257" s="39" t="s">
        <v>2881</v>
      </c>
      <c r="B257" s="39" t="s">
        <v>3204</v>
      </c>
      <c r="C257" s="41" t="n">
        <v>0.43</v>
      </c>
    </row>
    <row r="258" customFormat="false" ht="15" hidden="false" customHeight="false" outlineLevel="0" collapsed="false">
      <c r="A258" s="39" t="s">
        <v>2327</v>
      </c>
      <c r="B258" s="39" t="s">
        <v>3204</v>
      </c>
      <c r="C258" s="41" t="n">
        <v>4.36</v>
      </c>
    </row>
    <row r="259" customFormat="false" ht="15" hidden="false" customHeight="false" outlineLevel="0" collapsed="false">
      <c r="A259" s="39" t="s">
        <v>1867</v>
      </c>
      <c r="B259" s="39" t="s">
        <v>3206</v>
      </c>
      <c r="C259" s="41" t="n">
        <v>6.51</v>
      </c>
    </row>
    <row r="260" customFormat="false" ht="15" hidden="false" customHeight="false" outlineLevel="0" collapsed="false">
      <c r="A260" s="39" t="s">
        <v>697</v>
      </c>
      <c r="B260" s="39" t="s">
        <v>3204</v>
      </c>
      <c r="C260" s="41" t="n">
        <v>4.33</v>
      </c>
    </row>
    <row r="261" customFormat="false" ht="15" hidden="false" customHeight="false" outlineLevel="0" collapsed="false">
      <c r="A261" s="39" t="s">
        <v>303</v>
      </c>
      <c r="B261" s="39" t="s">
        <v>3203</v>
      </c>
      <c r="C261" s="41" t="n">
        <v>12.53</v>
      </c>
    </row>
    <row r="262" customFormat="false" ht="15" hidden="false" customHeight="false" outlineLevel="0" collapsed="false">
      <c r="A262" s="39" t="s">
        <v>344</v>
      </c>
      <c r="B262" s="39" t="s">
        <v>3206</v>
      </c>
      <c r="C262" s="41" t="n">
        <v>3.65</v>
      </c>
    </row>
    <row r="263" customFormat="false" ht="15" hidden="false" customHeight="false" outlineLevel="0" collapsed="false">
      <c r="A263" s="39" t="s">
        <v>830</v>
      </c>
      <c r="B263" s="39" t="s">
        <v>3203</v>
      </c>
      <c r="C263" s="41" t="n">
        <v>9.23</v>
      </c>
    </row>
    <row r="264" customFormat="false" ht="15" hidden="false" customHeight="false" outlineLevel="0" collapsed="false">
      <c r="A264" s="39" t="s">
        <v>1851</v>
      </c>
      <c r="B264" s="39" t="s">
        <v>3204</v>
      </c>
      <c r="C264" s="41" t="n">
        <v>5.55</v>
      </c>
    </row>
    <row r="265" customFormat="false" ht="15" hidden="false" customHeight="false" outlineLevel="0" collapsed="false">
      <c r="A265" s="39" t="s">
        <v>179</v>
      </c>
      <c r="B265" s="39" t="s">
        <v>3203</v>
      </c>
      <c r="C265" s="41" t="n">
        <v>6.02</v>
      </c>
    </row>
    <row r="266" customFormat="false" ht="15" hidden="false" customHeight="false" outlineLevel="0" collapsed="false">
      <c r="A266" s="39" t="s">
        <v>1232</v>
      </c>
      <c r="B266" s="39" t="s">
        <v>3206</v>
      </c>
      <c r="C266" s="41" t="n">
        <v>1.96</v>
      </c>
    </row>
    <row r="267" customFormat="false" ht="15" hidden="false" customHeight="false" outlineLevel="0" collapsed="false">
      <c r="A267" s="39" t="s">
        <v>555</v>
      </c>
      <c r="B267" s="39" t="s">
        <v>3206</v>
      </c>
      <c r="C267" s="41" t="n">
        <v>2.47</v>
      </c>
    </row>
    <row r="268" customFormat="false" ht="15" hidden="false" customHeight="false" outlineLevel="0" collapsed="false">
      <c r="A268" s="39" t="s">
        <v>234</v>
      </c>
      <c r="B268" s="39" t="s">
        <v>3204</v>
      </c>
      <c r="C268" s="41" t="n">
        <v>2.79</v>
      </c>
    </row>
    <row r="269" customFormat="false" ht="15" hidden="false" customHeight="false" outlineLevel="0" collapsed="false">
      <c r="A269" s="39" t="s">
        <v>1136</v>
      </c>
      <c r="B269" s="39" t="s">
        <v>3203</v>
      </c>
      <c r="C269" s="41" t="n">
        <v>2.75</v>
      </c>
    </row>
    <row r="270" customFormat="false" ht="15" hidden="false" customHeight="false" outlineLevel="0" collapsed="false">
      <c r="A270" s="39" t="s">
        <v>843</v>
      </c>
      <c r="B270" s="39" t="s">
        <v>3205</v>
      </c>
      <c r="C270" s="41" t="n">
        <v>9.57</v>
      </c>
    </row>
    <row r="271" customFormat="false" ht="15" hidden="false" customHeight="false" outlineLevel="0" collapsed="false">
      <c r="A271" s="39" t="s">
        <v>2246</v>
      </c>
      <c r="B271" s="39" t="s">
        <v>3206</v>
      </c>
      <c r="C271" s="41" t="n">
        <v>2.36</v>
      </c>
    </row>
    <row r="272" customFormat="false" ht="15" hidden="false" customHeight="false" outlineLevel="0" collapsed="false">
      <c r="A272" s="39" t="s">
        <v>2201</v>
      </c>
      <c r="B272" s="39" t="s">
        <v>3205</v>
      </c>
      <c r="C272" s="41" t="n">
        <v>5.97</v>
      </c>
    </row>
    <row r="273" customFormat="false" ht="15" hidden="false" customHeight="false" outlineLevel="0" collapsed="false">
      <c r="A273" s="39" t="s">
        <v>2382</v>
      </c>
      <c r="B273" s="39" t="s">
        <v>3206</v>
      </c>
      <c r="C273" s="41" t="n">
        <v>0.5</v>
      </c>
    </row>
    <row r="274" customFormat="false" ht="15" hidden="false" customHeight="false" outlineLevel="0" collapsed="false">
      <c r="A274" s="39" t="s">
        <v>2937</v>
      </c>
      <c r="B274" s="39" t="s">
        <v>3205</v>
      </c>
      <c r="C274" s="41" t="n">
        <v>20.49</v>
      </c>
    </row>
    <row r="275" customFormat="false" ht="15" hidden="false" customHeight="false" outlineLevel="0" collapsed="false">
      <c r="A275" s="39" t="s">
        <v>1913</v>
      </c>
      <c r="B275" s="39" t="s">
        <v>3203</v>
      </c>
      <c r="C275" s="41" t="n">
        <v>11.37</v>
      </c>
    </row>
    <row r="276" customFormat="false" ht="15" hidden="false" customHeight="false" outlineLevel="0" collapsed="false">
      <c r="A276" s="39" t="s">
        <v>2822</v>
      </c>
      <c r="B276" s="39" t="s">
        <v>3203</v>
      </c>
      <c r="C276" s="41" t="n">
        <v>3.43</v>
      </c>
    </row>
    <row r="277" customFormat="false" ht="15" hidden="false" customHeight="false" outlineLevel="0" collapsed="false">
      <c r="A277" s="39" t="s">
        <v>2051</v>
      </c>
      <c r="B277" s="39" t="s">
        <v>3206</v>
      </c>
      <c r="C277" s="41" t="n">
        <v>1.85</v>
      </c>
    </row>
    <row r="278" customFormat="false" ht="15" hidden="false" customHeight="false" outlineLevel="0" collapsed="false">
      <c r="A278" s="39" t="s">
        <v>2679</v>
      </c>
      <c r="B278" s="39" t="s">
        <v>3203</v>
      </c>
      <c r="C278" s="41" t="n">
        <v>4.21</v>
      </c>
    </row>
    <row r="279" customFormat="false" ht="15" hidden="false" customHeight="false" outlineLevel="0" collapsed="false">
      <c r="A279" s="39" t="s">
        <v>2150</v>
      </c>
      <c r="B279" s="39" t="s">
        <v>3204</v>
      </c>
      <c r="C279" s="41" t="n">
        <v>41.4</v>
      </c>
    </row>
    <row r="280" customFormat="false" ht="15" hidden="false" customHeight="false" outlineLevel="0" collapsed="false">
      <c r="A280" s="39" t="s">
        <v>2429</v>
      </c>
      <c r="B280" s="39" t="s">
        <v>3203</v>
      </c>
      <c r="C280" s="41" t="n">
        <v>5.98</v>
      </c>
    </row>
    <row r="281" customFormat="false" ht="15" hidden="false" customHeight="false" outlineLevel="0" collapsed="false">
      <c r="A281" s="39" t="s">
        <v>1290</v>
      </c>
      <c r="B281" s="39" t="s">
        <v>3204</v>
      </c>
      <c r="C281" s="41" t="n">
        <v>3.07</v>
      </c>
    </row>
    <row r="282" customFormat="false" ht="15" hidden="false" customHeight="false" outlineLevel="0" collapsed="false">
      <c r="A282" s="39" t="s">
        <v>787</v>
      </c>
      <c r="B282" s="39" t="s">
        <v>3204</v>
      </c>
      <c r="C282" s="41" t="n">
        <v>1.16</v>
      </c>
    </row>
    <row r="283" customFormat="false" ht="15" hidden="false" customHeight="false" outlineLevel="0" collapsed="false">
      <c r="A283" s="39" t="s">
        <v>2343</v>
      </c>
      <c r="B283" s="39" t="s">
        <v>3205</v>
      </c>
      <c r="C283" s="41" t="n">
        <v>4.1</v>
      </c>
    </row>
    <row r="284" customFormat="false" ht="15" hidden="false" customHeight="false" outlineLevel="0" collapsed="false">
      <c r="A284" s="39" t="s">
        <v>2504</v>
      </c>
      <c r="B284" s="39" t="s">
        <v>3203</v>
      </c>
      <c r="C284" s="41" t="n">
        <v>14.99</v>
      </c>
    </row>
    <row r="285" customFormat="false" ht="15" hidden="false" customHeight="false" outlineLevel="0" collapsed="false">
      <c r="A285" s="39" t="s">
        <v>2026</v>
      </c>
      <c r="B285" s="39" t="s">
        <v>3205</v>
      </c>
      <c r="C285" s="41" t="n">
        <v>6.41</v>
      </c>
    </row>
    <row r="286" customFormat="false" ht="15" hidden="false" customHeight="false" outlineLevel="0" collapsed="false">
      <c r="A286" s="39" t="s">
        <v>1428</v>
      </c>
      <c r="B286" s="39" t="s">
        <v>3204</v>
      </c>
      <c r="C286" s="41" t="n">
        <v>15.93</v>
      </c>
    </row>
    <row r="287" customFormat="false" ht="15" hidden="false" customHeight="false" outlineLevel="0" collapsed="false">
      <c r="A287" s="39" t="s">
        <v>790</v>
      </c>
      <c r="B287" s="39" t="s">
        <v>3204</v>
      </c>
      <c r="C287" s="41" t="n">
        <v>3.47</v>
      </c>
    </row>
    <row r="288" customFormat="false" ht="15" hidden="false" customHeight="false" outlineLevel="0" collapsed="false">
      <c r="A288" s="39" t="s">
        <v>1680</v>
      </c>
      <c r="B288" s="39" t="s">
        <v>3204</v>
      </c>
      <c r="C288" s="41" t="n">
        <v>1.89</v>
      </c>
    </row>
    <row r="289" customFormat="false" ht="15" hidden="false" customHeight="false" outlineLevel="0" collapsed="false">
      <c r="A289" s="39" t="s">
        <v>1447</v>
      </c>
      <c r="B289" s="39" t="s">
        <v>3205</v>
      </c>
      <c r="C289" s="41" t="n">
        <v>9.01</v>
      </c>
    </row>
    <row r="290" customFormat="false" ht="15" hidden="false" customHeight="false" outlineLevel="0" collapsed="false">
      <c r="A290" s="39" t="s">
        <v>1420</v>
      </c>
      <c r="B290" s="39" t="s">
        <v>3203</v>
      </c>
      <c r="C290" s="41" t="n">
        <v>0.78</v>
      </c>
    </row>
    <row r="291" customFormat="false" ht="15" hidden="false" customHeight="false" outlineLevel="0" collapsed="false">
      <c r="A291" s="39" t="s">
        <v>321</v>
      </c>
      <c r="B291" s="39" t="s">
        <v>3204</v>
      </c>
      <c r="C291" s="41" t="n">
        <v>3.93</v>
      </c>
    </row>
    <row r="292" customFormat="false" ht="15" hidden="false" customHeight="false" outlineLevel="0" collapsed="false">
      <c r="A292" s="39" t="s">
        <v>672</v>
      </c>
      <c r="B292" s="39" t="s">
        <v>3203</v>
      </c>
      <c r="C292" s="41" t="n">
        <v>6.16</v>
      </c>
    </row>
    <row r="293" customFormat="false" ht="15" hidden="false" customHeight="false" outlineLevel="0" collapsed="false">
      <c r="A293" s="39" t="s">
        <v>325</v>
      </c>
      <c r="B293" s="39" t="s">
        <v>3206</v>
      </c>
      <c r="C293" s="41" t="n">
        <v>77.78</v>
      </c>
    </row>
    <row r="294" customFormat="false" ht="15" hidden="false" customHeight="false" outlineLevel="0" collapsed="false">
      <c r="A294" s="39" t="s">
        <v>2446</v>
      </c>
      <c r="B294" s="39" t="s">
        <v>3204</v>
      </c>
      <c r="C294" s="41" t="n">
        <v>3.44</v>
      </c>
    </row>
    <row r="295" customFormat="false" ht="15" hidden="false" customHeight="false" outlineLevel="0" collapsed="false">
      <c r="A295" s="39" t="s">
        <v>2566</v>
      </c>
      <c r="B295" s="39" t="s">
        <v>3204</v>
      </c>
      <c r="C295" s="41" t="n">
        <v>8.88</v>
      </c>
    </row>
    <row r="296" customFormat="false" ht="15" hidden="false" customHeight="false" outlineLevel="0" collapsed="false">
      <c r="A296" s="39" t="s">
        <v>2039</v>
      </c>
      <c r="B296" s="39" t="s">
        <v>3206</v>
      </c>
      <c r="C296" s="41" t="n">
        <v>13.49</v>
      </c>
    </row>
    <row r="297" customFormat="false" ht="15" hidden="false" customHeight="false" outlineLevel="0" collapsed="false">
      <c r="A297" s="39" t="s">
        <v>1730</v>
      </c>
      <c r="B297" s="39" t="s">
        <v>3204</v>
      </c>
      <c r="C297" s="41" t="n">
        <v>44.63</v>
      </c>
    </row>
    <row r="298" customFormat="false" ht="15" hidden="false" customHeight="false" outlineLevel="0" collapsed="false">
      <c r="A298" s="39" t="s">
        <v>282</v>
      </c>
      <c r="B298" s="39" t="s">
        <v>3206</v>
      </c>
      <c r="C298" s="41" t="n">
        <v>4.88</v>
      </c>
    </row>
    <row r="299" customFormat="false" ht="15" hidden="false" customHeight="false" outlineLevel="0" collapsed="false">
      <c r="A299" s="39" t="s">
        <v>447</v>
      </c>
      <c r="B299" s="39" t="s">
        <v>3205</v>
      </c>
      <c r="C299" s="41" t="n">
        <v>0.45</v>
      </c>
    </row>
    <row r="300" customFormat="false" ht="15" hidden="false" customHeight="false" outlineLevel="0" collapsed="false">
      <c r="A300" s="39" t="s">
        <v>1444</v>
      </c>
      <c r="B300" s="39" t="s">
        <v>3205</v>
      </c>
      <c r="C300" s="41" t="n">
        <v>1.03</v>
      </c>
    </row>
    <row r="301" customFormat="false" ht="15" hidden="false" customHeight="false" outlineLevel="0" collapsed="false">
      <c r="A301" s="39" t="s">
        <v>1646</v>
      </c>
      <c r="B301" s="39" t="s">
        <v>3206</v>
      </c>
      <c r="C301" s="41" t="n">
        <v>3.15</v>
      </c>
    </row>
    <row r="302" customFormat="false" ht="15" hidden="false" customHeight="false" outlineLevel="0" collapsed="false">
      <c r="A302" s="39" t="s">
        <v>1529</v>
      </c>
      <c r="B302" s="39" t="s">
        <v>3205</v>
      </c>
      <c r="C302" s="41" t="n">
        <v>22.43</v>
      </c>
    </row>
    <row r="303" customFormat="false" ht="15" hidden="false" customHeight="false" outlineLevel="0" collapsed="false">
      <c r="A303" s="39" t="s">
        <v>2891</v>
      </c>
      <c r="B303" s="39" t="s">
        <v>3204</v>
      </c>
      <c r="C303" s="41" t="n">
        <v>4.94</v>
      </c>
    </row>
    <row r="304" customFormat="false" ht="15" hidden="false" customHeight="false" outlineLevel="0" collapsed="false">
      <c r="A304" s="39" t="s">
        <v>2099</v>
      </c>
      <c r="B304" s="39" t="s">
        <v>3203</v>
      </c>
      <c r="C304" s="41" t="n">
        <v>5.16</v>
      </c>
    </row>
    <row r="305" customFormat="false" ht="15" hidden="false" customHeight="false" outlineLevel="0" collapsed="false">
      <c r="A305" s="39" t="s">
        <v>2195</v>
      </c>
      <c r="B305" s="39" t="s">
        <v>3205</v>
      </c>
      <c r="C305" s="41" t="n">
        <v>1.87</v>
      </c>
    </row>
    <row r="306" customFormat="false" ht="15" hidden="false" customHeight="false" outlineLevel="0" collapsed="false">
      <c r="A306" s="39" t="s">
        <v>2180</v>
      </c>
      <c r="B306" s="39" t="s">
        <v>3203</v>
      </c>
      <c r="C306" s="41" t="n">
        <v>0.73</v>
      </c>
    </row>
    <row r="307" customFormat="false" ht="15" hidden="false" customHeight="false" outlineLevel="0" collapsed="false">
      <c r="A307" s="39" t="s">
        <v>419</v>
      </c>
      <c r="B307" s="39" t="s">
        <v>3204</v>
      </c>
      <c r="C307" s="41" t="n">
        <v>4.44</v>
      </c>
    </row>
    <row r="308" customFormat="false" ht="15" hidden="false" customHeight="false" outlineLevel="0" collapsed="false">
      <c r="A308" s="39" t="s">
        <v>1868</v>
      </c>
      <c r="B308" s="39" t="s">
        <v>3204</v>
      </c>
      <c r="C308" s="41" t="n">
        <v>0.34</v>
      </c>
    </row>
    <row r="309" customFormat="false" ht="15" hidden="false" customHeight="false" outlineLevel="0" collapsed="false">
      <c r="A309" s="39" t="s">
        <v>2112</v>
      </c>
      <c r="B309" s="39" t="s">
        <v>3205</v>
      </c>
      <c r="C309" s="41" t="n">
        <v>2.83</v>
      </c>
    </row>
    <row r="310" customFormat="false" ht="15" hidden="false" customHeight="false" outlineLevel="0" collapsed="false">
      <c r="A310" s="39" t="s">
        <v>525</v>
      </c>
      <c r="B310" s="39" t="s">
        <v>3204</v>
      </c>
      <c r="C310" s="41" t="n">
        <v>3.79</v>
      </c>
    </row>
    <row r="311" customFormat="false" ht="15" hidden="false" customHeight="false" outlineLevel="0" collapsed="false">
      <c r="A311" s="39" t="s">
        <v>2220</v>
      </c>
      <c r="B311" s="39" t="s">
        <v>3205</v>
      </c>
      <c r="C311" s="41" t="n">
        <v>1.4</v>
      </c>
    </row>
    <row r="312" customFormat="false" ht="15" hidden="false" customHeight="false" outlineLevel="0" collapsed="false">
      <c r="A312" s="39" t="s">
        <v>532</v>
      </c>
      <c r="B312" s="39" t="s">
        <v>3203</v>
      </c>
      <c r="C312" s="41" t="n">
        <v>16.38</v>
      </c>
    </row>
    <row r="313" customFormat="false" ht="15" hidden="false" customHeight="false" outlineLevel="0" collapsed="false">
      <c r="A313" s="39" t="s">
        <v>3090</v>
      </c>
      <c r="B313" s="39" t="s">
        <v>3206</v>
      </c>
      <c r="C313" s="41" t="n">
        <v>16.7</v>
      </c>
    </row>
    <row r="314" customFormat="false" ht="15" hidden="false" customHeight="false" outlineLevel="0" collapsed="false">
      <c r="A314" s="39" t="s">
        <v>1738</v>
      </c>
      <c r="B314" s="39" t="s">
        <v>3205</v>
      </c>
      <c r="C314" s="41" t="n">
        <v>1.81</v>
      </c>
    </row>
    <row r="315" customFormat="false" ht="15" hidden="false" customHeight="false" outlineLevel="0" collapsed="false">
      <c r="A315" s="39" t="s">
        <v>2222</v>
      </c>
      <c r="B315" s="39" t="s">
        <v>3206</v>
      </c>
      <c r="C315" s="41" t="n">
        <v>80.67</v>
      </c>
    </row>
    <row r="316" customFormat="false" ht="15" hidden="false" customHeight="false" outlineLevel="0" collapsed="false">
      <c r="A316" s="39" t="s">
        <v>2995</v>
      </c>
      <c r="B316" s="39" t="s">
        <v>3205</v>
      </c>
      <c r="C316" s="41" t="n">
        <v>2.58</v>
      </c>
    </row>
    <row r="317" customFormat="false" ht="15" hidden="false" customHeight="false" outlineLevel="0" collapsed="false">
      <c r="A317" s="39" t="s">
        <v>340</v>
      </c>
      <c r="B317" s="39" t="s">
        <v>3205</v>
      </c>
      <c r="C317" s="41" t="n">
        <v>1.18</v>
      </c>
    </row>
    <row r="318" customFormat="false" ht="15" hidden="false" customHeight="false" outlineLevel="0" collapsed="false">
      <c r="A318" s="39" t="s">
        <v>686</v>
      </c>
      <c r="B318" s="39" t="s">
        <v>3203</v>
      </c>
      <c r="C318" s="41" t="n">
        <v>1.73</v>
      </c>
    </row>
    <row r="319" customFormat="false" ht="15" hidden="false" customHeight="false" outlineLevel="0" collapsed="false">
      <c r="A319" s="39" t="s">
        <v>2539</v>
      </c>
      <c r="B319" s="39" t="s">
        <v>3204</v>
      </c>
      <c r="C319" s="41" t="n">
        <v>0.61</v>
      </c>
    </row>
    <row r="320" customFormat="false" ht="15" hidden="false" customHeight="false" outlineLevel="0" collapsed="false">
      <c r="A320" s="39" t="s">
        <v>331</v>
      </c>
      <c r="B320" s="39" t="s">
        <v>3204</v>
      </c>
      <c r="C320" s="41" t="n">
        <v>2.34</v>
      </c>
    </row>
    <row r="321" customFormat="false" ht="15" hidden="false" customHeight="false" outlineLevel="0" collapsed="false">
      <c r="A321" s="39" t="s">
        <v>783</v>
      </c>
      <c r="B321" s="39" t="s">
        <v>3205</v>
      </c>
      <c r="C321" s="41" t="n">
        <v>4.12</v>
      </c>
    </row>
    <row r="322" customFormat="false" ht="15" hidden="false" customHeight="false" outlineLevel="0" collapsed="false">
      <c r="A322" s="39" t="s">
        <v>2656</v>
      </c>
      <c r="B322" s="39" t="s">
        <v>3204</v>
      </c>
      <c r="C322" s="41" t="n">
        <v>6.62</v>
      </c>
    </row>
    <row r="323" customFormat="false" ht="15" hidden="false" customHeight="false" outlineLevel="0" collapsed="false">
      <c r="A323" s="39" t="s">
        <v>2305</v>
      </c>
      <c r="B323" s="39" t="s">
        <v>3205</v>
      </c>
      <c r="C323" s="41" t="n">
        <v>0.99</v>
      </c>
    </row>
    <row r="324" customFormat="false" ht="15" hidden="false" customHeight="false" outlineLevel="0" collapsed="false">
      <c r="A324" s="39" t="s">
        <v>1832</v>
      </c>
      <c r="B324" s="39" t="s">
        <v>3206</v>
      </c>
      <c r="C324" s="41" t="n">
        <v>0.71</v>
      </c>
    </row>
    <row r="325" customFormat="false" ht="15" hidden="false" customHeight="false" outlineLevel="0" collapsed="false">
      <c r="A325" s="39" t="s">
        <v>3093</v>
      </c>
      <c r="B325" s="39" t="s">
        <v>3203</v>
      </c>
      <c r="C325" s="41" t="n">
        <v>6.52</v>
      </c>
    </row>
    <row r="326" customFormat="false" ht="15" hidden="false" customHeight="false" outlineLevel="0" collapsed="false">
      <c r="A326" s="39" t="s">
        <v>1629</v>
      </c>
      <c r="B326" s="39" t="s">
        <v>3203</v>
      </c>
      <c r="C326" s="41" t="n">
        <v>1.57</v>
      </c>
    </row>
    <row r="327" customFormat="false" ht="15" hidden="false" customHeight="false" outlineLevel="0" collapsed="false">
      <c r="A327" s="39" t="s">
        <v>2330</v>
      </c>
      <c r="B327" s="39" t="s">
        <v>3206</v>
      </c>
      <c r="C327" s="41" t="n">
        <v>4.27</v>
      </c>
    </row>
    <row r="328" customFormat="false" ht="15" hidden="false" customHeight="false" outlineLevel="0" collapsed="false">
      <c r="A328" s="39" t="s">
        <v>838</v>
      </c>
      <c r="B328" s="39" t="s">
        <v>3205</v>
      </c>
      <c r="C328" s="41" t="n">
        <v>3.29</v>
      </c>
    </row>
    <row r="329" customFormat="false" ht="15" hidden="false" customHeight="false" outlineLevel="0" collapsed="false">
      <c r="A329" s="39" t="s">
        <v>2325</v>
      </c>
      <c r="B329" s="39" t="s">
        <v>3203</v>
      </c>
      <c r="C329" s="41" t="n">
        <v>1.9</v>
      </c>
    </row>
    <row r="330" customFormat="false" ht="15" hidden="false" customHeight="false" outlineLevel="0" collapsed="false">
      <c r="A330" s="39" t="s">
        <v>1337</v>
      </c>
      <c r="B330" s="39" t="s">
        <v>3205</v>
      </c>
      <c r="C330" s="41" t="n">
        <v>8.64</v>
      </c>
    </row>
    <row r="331" customFormat="false" ht="15" hidden="false" customHeight="false" outlineLevel="0" collapsed="false">
      <c r="A331" s="39" t="s">
        <v>1734</v>
      </c>
      <c r="B331" s="39" t="s">
        <v>3204</v>
      </c>
      <c r="C331" s="41" t="n">
        <v>1.47</v>
      </c>
    </row>
    <row r="332" customFormat="false" ht="15" hidden="false" customHeight="false" outlineLevel="0" collapsed="false">
      <c r="A332" s="39" t="s">
        <v>2292</v>
      </c>
      <c r="B332" s="39" t="s">
        <v>3206</v>
      </c>
      <c r="C332" s="41" t="n">
        <v>2.96</v>
      </c>
    </row>
    <row r="333" customFormat="false" ht="15" hidden="false" customHeight="false" outlineLevel="0" collapsed="false">
      <c r="A333" s="39" t="s">
        <v>249</v>
      </c>
      <c r="B333" s="39" t="s">
        <v>3203</v>
      </c>
      <c r="C333" s="41" t="n">
        <v>4.51</v>
      </c>
    </row>
    <row r="334" customFormat="false" ht="15" hidden="false" customHeight="false" outlineLevel="0" collapsed="false">
      <c r="A334" s="39" t="s">
        <v>1772</v>
      </c>
      <c r="B334" s="39" t="s">
        <v>3204</v>
      </c>
      <c r="C334" s="41" t="n">
        <v>5.68</v>
      </c>
    </row>
    <row r="335" customFormat="false" ht="15" hidden="false" customHeight="false" outlineLevel="0" collapsed="false">
      <c r="A335" s="39" t="s">
        <v>1528</v>
      </c>
      <c r="B335" s="39" t="s">
        <v>3206</v>
      </c>
      <c r="C335" s="41" t="n">
        <v>6.79</v>
      </c>
    </row>
    <row r="336" customFormat="false" ht="15" hidden="false" customHeight="false" outlineLevel="0" collapsed="false">
      <c r="A336" s="39" t="s">
        <v>2271</v>
      </c>
      <c r="B336" s="39" t="s">
        <v>3204</v>
      </c>
      <c r="C336" s="41" t="n">
        <v>7.54</v>
      </c>
    </row>
    <row r="337" customFormat="false" ht="15" hidden="false" customHeight="false" outlineLevel="0" collapsed="false">
      <c r="A337" s="39" t="s">
        <v>1687</v>
      </c>
      <c r="B337" s="39" t="s">
        <v>3203</v>
      </c>
      <c r="C337" s="41" t="n">
        <v>2.79</v>
      </c>
    </row>
    <row r="338" customFormat="false" ht="15" hidden="false" customHeight="false" outlineLevel="0" collapsed="false">
      <c r="A338" s="39" t="s">
        <v>963</v>
      </c>
      <c r="B338" s="39" t="s">
        <v>3204</v>
      </c>
      <c r="C338" s="41" t="n">
        <v>6</v>
      </c>
    </row>
    <row r="339" customFormat="false" ht="15" hidden="false" customHeight="false" outlineLevel="0" collapsed="false">
      <c r="A339" s="39" t="s">
        <v>2287</v>
      </c>
      <c r="B339" s="39" t="s">
        <v>3205</v>
      </c>
      <c r="C339" s="41" t="n">
        <v>4.25</v>
      </c>
    </row>
    <row r="340" customFormat="false" ht="15" hidden="false" customHeight="false" outlineLevel="0" collapsed="false">
      <c r="A340" s="39" t="s">
        <v>2582</v>
      </c>
      <c r="B340" s="39" t="s">
        <v>3205</v>
      </c>
      <c r="C340" s="41" t="n">
        <v>27.23</v>
      </c>
    </row>
    <row r="341" customFormat="false" ht="15" hidden="false" customHeight="false" outlineLevel="0" collapsed="false">
      <c r="A341" s="39" t="s">
        <v>979</v>
      </c>
      <c r="B341" s="39" t="s">
        <v>3204</v>
      </c>
      <c r="C341" s="41" t="n">
        <v>4.22</v>
      </c>
    </row>
    <row r="342" customFormat="false" ht="15" hidden="false" customHeight="false" outlineLevel="0" collapsed="false">
      <c r="A342" s="39" t="s">
        <v>957</v>
      </c>
      <c r="B342" s="39" t="s">
        <v>3204</v>
      </c>
      <c r="C342" s="41" t="n">
        <v>7.45</v>
      </c>
    </row>
    <row r="343" customFormat="false" ht="15" hidden="false" customHeight="false" outlineLevel="0" collapsed="false">
      <c r="A343" s="39" t="s">
        <v>1111</v>
      </c>
      <c r="B343" s="39" t="s">
        <v>3203</v>
      </c>
      <c r="C343" s="41" t="n">
        <v>25.64</v>
      </c>
    </row>
    <row r="344" customFormat="false" ht="15" hidden="false" customHeight="false" outlineLevel="0" collapsed="false">
      <c r="A344" s="39" t="s">
        <v>1185</v>
      </c>
      <c r="B344" s="39" t="s">
        <v>3206</v>
      </c>
      <c r="C344" s="41" t="n">
        <v>2.7</v>
      </c>
    </row>
    <row r="345" customFormat="false" ht="15" hidden="false" customHeight="false" outlineLevel="0" collapsed="false">
      <c r="A345" s="39" t="s">
        <v>2709</v>
      </c>
      <c r="B345" s="39" t="s">
        <v>3204</v>
      </c>
      <c r="C345" s="41" t="n">
        <v>1.97</v>
      </c>
    </row>
    <row r="346" customFormat="false" ht="15" hidden="false" customHeight="false" outlineLevel="0" collapsed="false">
      <c r="A346" s="39" t="s">
        <v>907</v>
      </c>
      <c r="B346" s="39" t="s">
        <v>3204</v>
      </c>
      <c r="C346" s="41" t="n">
        <v>2.55</v>
      </c>
    </row>
    <row r="347" customFormat="false" ht="15" hidden="false" customHeight="false" outlineLevel="0" collapsed="false">
      <c r="A347" s="39" t="s">
        <v>1978</v>
      </c>
      <c r="B347" s="39" t="s">
        <v>3203</v>
      </c>
      <c r="C347" s="41" t="n">
        <v>6.52</v>
      </c>
    </row>
    <row r="348" customFormat="false" ht="15" hidden="false" customHeight="false" outlineLevel="0" collapsed="false">
      <c r="A348" s="39" t="s">
        <v>2939</v>
      </c>
      <c r="B348" s="39" t="s">
        <v>3205</v>
      </c>
      <c r="C348" s="41" t="n">
        <v>1.81</v>
      </c>
    </row>
    <row r="349" customFormat="false" ht="15" hidden="false" customHeight="false" outlineLevel="0" collapsed="false">
      <c r="A349" s="39" t="s">
        <v>2771</v>
      </c>
      <c r="B349" s="39" t="s">
        <v>3205</v>
      </c>
      <c r="C349" s="41" t="n">
        <v>7.66</v>
      </c>
    </row>
    <row r="350" customFormat="false" ht="15" hidden="false" customHeight="false" outlineLevel="0" collapsed="false">
      <c r="A350" s="39" t="s">
        <v>1016</v>
      </c>
      <c r="B350" s="39" t="s">
        <v>3204</v>
      </c>
      <c r="C350" s="41" t="n">
        <v>5.06</v>
      </c>
    </row>
    <row r="351" customFormat="false" ht="15" hidden="false" customHeight="false" outlineLevel="0" collapsed="false">
      <c r="A351" s="39" t="s">
        <v>466</v>
      </c>
      <c r="B351" s="39" t="s">
        <v>3205</v>
      </c>
      <c r="C351" s="41" t="n">
        <v>11.22</v>
      </c>
    </row>
    <row r="352" customFormat="false" ht="15" hidden="false" customHeight="false" outlineLevel="0" collapsed="false">
      <c r="A352" s="39" t="s">
        <v>3070</v>
      </c>
      <c r="B352" s="39" t="s">
        <v>3205</v>
      </c>
      <c r="C352" s="41" t="n">
        <v>1.54</v>
      </c>
    </row>
    <row r="353" customFormat="false" ht="15" hidden="false" customHeight="false" outlineLevel="0" collapsed="false">
      <c r="A353" s="39" t="s">
        <v>2474</v>
      </c>
      <c r="B353" s="39" t="s">
        <v>3206</v>
      </c>
      <c r="C353" s="41" t="n">
        <v>84.46</v>
      </c>
    </row>
    <row r="354" customFormat="false" ht="15" hidden="false" customHeight="false" outlineLevel="0" collapsed="false">
      <c r="A354" s="39" t="s">
        <v>2994</v>
      </c>
      <c r="B354" s="39" t="s">
        <v>3206</v>
      </c>
      <c r="C354" s="41" t="n">
        <v>11.53</v>
      </c>
    </row>
    <row r="355" customFormat="false" ht="15" hidden="false" customHeight="false" outlineLevel="0" collapsed="false">
      <c r="A355" s="39" t="s">
        <v>329</v>
      </c>
      <c r="B355" s="39" t="s">
        <v>3204</v>
      </c>
      <c r="C355" s="41" t="n">
        <v>3.74</v>
      </c>
    </row>
    <row r="356" customFormat="false" ht="15" hidden="false" customHeight="false" outlineLevel="0" collapsed="false">
      <c r="A356" s="39" t="s">
        <v>2348</v>
      </c>
      <c r="B356" s="39" t="s">
        <v>3203</v>
      </c>
      <c r="C356" s="41" t="n">
        <v>0.86</v>
      </c>
    </row>
    <row r="357" customFormat="false" ht="15" hidden="false" customHeight="false" outlineLevel="0" collapsed="false">
      <c r="A357" s="39" t="s">
        <v>1014</v>
      </c>
      <c r="B357" s="39" t="s">
        <v>3206</v>
      </c>
      <c r="C357" s="41" t="n">
        <v>0.73</v>
      </c>
    </row>
    <row r="358" customFormat="false" ht="15" hidden="false" customHeight="false" outlineLevel="0" collapsed="false">
      <c r="A358" s="39" t="s">
        <v>2097</v>
      </c>
      <c r="B358" s="39" t="s">
        <v>3203</v>
      </c>
      <c r="C358" s="41" t="n">
        <v>0.87</v>
      </c>
    </row>
    <row r="359" customFormat="false" ht="15" hidden="false" customHeight="false" outlineLevel="0" collapsed="false">
      <c r="A359" s="39" t="s">
        <v>2546</v>
      </c>
      <c r="B359" s="39" t="s">
        <v>3204</v>
      </c>
      <c r="C359" s="41" t="n">
        <v>11.49</v>
      </c>
    </row>
    <row r="360" customFormat="false" ht="15" hidden="false" customHeight="false" outlineLevel="0" collapsed="false">
      <c r="A360" s="39" t="s">
        <v>1027</v>
      </c>
      <c r="B360" s="39" t="s">
        <v>3205</v>
      </c>
      <c r="C360" s="41" t="n">
        <v>1.12</v>
      </c>
    </row>
    <row r="361" customFormat="false" ht="15" hidden="false" customHeight="false" outlineLevel="0" collapsed="false">
      <c r="A361" s="39" t="s">
        <v>648</v>
      </c>
      <c r="B361" s="39" t="s">
        <v>3203</v>
      </c>
      <c r="C361" s="41" t="n">
        <v>5.72</v>
      </c>
    </row>
    <row r="362" customFormat="false" ht="15" hidden="false" customHeight="false" outlineLevel="0" collapsed="false">
      <c r="A362" s="39" t="s">
        <v>1422</v>
      </c>
      <c r="B362" s="39" t="s">
        <v>3206</v>
      </c>
      <c r="C362" s="41" t="n">
        <v>1.63</v>
      </c>
    </row>
    <row r="363" customFormat="false" ht="15" hidden="false" customHeight="false" outlineLevel="0" collapsed="false">
      <c r="A363" s="39" t="s">
        <v>1871</v>
      </c>
      <c r="B363" s="39" t="s">
        <v>3205</v>
      </c>
      <c r="C363" s="41" t="n">
        <v>4.94</v>
      </c>
    </row>
    <row r="364" customFormat="false" ht="15" hidden="false" customHeight="false" outlineLevel="0" collapsed="false">
      <c r="A364" s="39" t="s">
        <v>2480</v>
      </c>
      <c r="B364" s="39" t="s">
        <v>3205</v>
      </c>
      <c r="C364" s="41" t="n">
        <v>20.09</v>
      </c>
    </row>
    <row r="365" customFormat="false" ht="15" hidden="false" customHeight="false" outlineLevel="0" collapsed="false">
      <c r="A365" s="39" t="s">
        <v>1546</v>
      </c>
      <c r="B365" s="39" t="s">
        <v>3205</v>
      </c>
      <c r="C365" s="41" t="n">
        <v>4.71</v>
      </c>
    </row>
    <row r="366" customFormat="false" ht="15" hidden="false" customHeight="false" outlineLevel="0" collapsed="false">
      <c r="A366" s="39" t="s">
        <v>2437</v>
      </c>
      <c r="B366" s="39" t="s">
        <v>3205</v>
      </c>
      <c r="C366" s="41" t="n">
        <v>3</v>
      </c>
    </row>
    <row r="367" customFormat="false" ht="15" hidden="false" customHeight="false" outlineLevel="0" collapsed="false">
      <c r="A367" s="39" t="s">
        <v>1058</v>
      </c>
      <c r="B367" s="39" t="s">
        <v>3203</v>
      </c>
      <c r="C367" s="41" t="n">
        <v>0.44</v>
      </c>
    </row>
    <row r="368" customFormat="false" ht="15" hidden="false" customHeight="false" outlineLevel="0" collapsed="false">
      <c r="A368" s="39" t="s">
        <v>146</v>
      </c>
      <c r="B368" s="39" t="s">
        <v>3205</v>
      </c>
      <c r="C368" s="41" t="n">
        <v>2.99</v>
      </c>
    </row>
    <row r="369" customFormat="false" ht="15" hidden="false" customHeight="false" outlineLevel="0" collapsed="false">
      <c r="A369" s="39" t="s">
        <v>551</v>
      </c>
      <c r="B369" s="39" t="s">
        <v>3205</v>
      </c>
      <c r="C369" s="41" t="n">
        <v>3.98</v>
      </c>
    </row>
    <row r="370" customFormat="false" ht="15" hidden="false" customHeight="false" outlineLevel="0" collapsed="false">
      <c r="A370" s="39" t="s">
        <v>987</v>
      </c>
      <c r="B370" s="39" t="s">
        <v>3203</v>
      </c>
      <c r="C370" s="41" t="n">
        <v>18.92</v>
      </c>
    </row>
    <row r="371" customFormat="false" ht="15" hidden="false" customHeight="false" outlineLevel="0" collapsed="false">
      <c r="A371" s="39" t="s">
        <v>527</v>
      </c>
      <c r="B371" s="39" t="s">
        <v>3203</v>
      </c>
      <c r="C371" s="41" t="n">
        <v>4.18</v>
      </c>
    </row>
    <row r="372" customFormat="false" ht="15" hidden="false" customHeight="false" outlineLevel="0" collapsed="false">
      <c r="A372" s="39" t="s">
        <v>1094</v>
      </c>
      <c r="B372" s="39" t="s">
        <v>3206</v>
      </c>
      <c r="C372" s="41" t="n">
        <v>0.53</v>
      </c>
    </row>
    <row r="373" customFormat="false" ht="15" hidden="false" customHeight="false" outlineLevel="0" collapsed="false">
      <c r="A373" s="39" t="s">
        <v>579</v>
      </c>
      <c r="B373" s="39" t="s">
        <v>3204</v>
      </c>
      <c r="C373" s="41" t="n">
        <v>1.73</v>
      </c>
    </row>
    <row r="374" customFormat="false" ht="15" hidden="false" customHeight="false" outlineLevel="0" collapsed="false">
      <c r="A374" s="39" t="s">
        <v>2983</v>
      </c>
      <c r="B374" s="39" t="s">
        <v>3204</v>
      </c>
      <c r="C374" s="41" t="n">
        <v>0.96</v>
      </c>
    </row>
    <row r="375" customFormat="false" ht="15" hidden="false" customHeight="false" outlineLevel="0" collapsed="false">
      <c r="A375" s="39" t="s">
        <v>352</v>
      </c>
      <c r="B375" s="39" t="s">
        <v>3204</v>
      </c>
      <c r="C375" s="41" t="n">
        <v>13.69</v>
      </c>
    </row>
    <row r="376" customFormat="false" ht="15" hidden="false" customHeight="false" outlineLevel="0" collapsed="false">
      <c r="A376" s="39" t="s">
        <v>1120</v>
      </c>
      <c r="B376" s="39" t="s">
        <v>3205</v>
      </c>
      <c r="C376" s="41" t="n">
        <v>11.5</v>
      </c>
    </row>
    <row r="377" customFormat="false" ht="15" hidden="false" customHeight="false" outlineLevel="0" collapsed="false">
      <c r="A377" s="39" t="s">
        <v>1925</v>
      </c>
      <c r="B377" s="39" t="s">
        <v>3206</v>
      </c>
      <c r="C377" s="41" t="n">
        <v>5.52</v>
      </c>
    </row>
    <row r="378" customFormat="false" ht="15" hidden="false" customHeight="false" outlineLevel="0" collapsed="false">
      <c r="A378" s="39" t="s">
        <v>2568</v>
      </c>
      <c r="B378" s="39" t="s">
        <v>3203</v>
      </c>
      <c r="C378" s="41" t="n">
        <v>1.26</v>
      </c>
    </row>
    <row r="379" customFormat="false" ht="15" hidden="false" customHeight="false" outlineLevel="0" collapsed="false">
      <c r="A379" s="39" t="s">
        <v>2261</v>
      </c>
      <c r="B379" s="39" t="s">
        <v>3204</v>
      </c>
      <c r="C379" s="41" t="n">
        <v>1.86</v>
      </c>
    </row>
    <row r="380" customFormat="false" ht="15" hidden="false" customHeight="false" outlineLevel="0" collapsed="false">
      <c r="A380" s="39" t="s">
        <v>1439</v>
      </c>
      <c r="B380" s="39" t="s">
        <v>3205</v>
      </c>
      <c r="C380" s="41" t="n">
        <v>2.65</v>
      </c>
    </row>
    <row r="381" customFormat="false" ht="15" hidden="false" customHeight="false" outlineLevel="0" collapsed="false">
      <c r="A381" s="39" t="s">
        <v>779</v>
      </c>
      <c r="B381" s="39" t="s">
        <v>3204</v>
      </c>
      <c r="C381" s="41" t="n">
        <v>2.14</v>
      </c>
    </row>
    <row r="382" customFormat="false" ht="15" hidden="false" customHeight="false" outlineLevel="0" collapsed="false">
      <c r="A382" s="39" t="s">
        <v>2736</v>
      </c>
      <c r="B382" s="39" t="s">
        <v>3205</v>
      </c>
      <c r="C382" s="41" t="n">
        <v>1.89</v>
      </c>
    </row>
    <row r="383" customFormat="false" ht="15" hidden="false" customHeight="false" outlineLevel="0" collapsed="false">
      <c r="A383" s="39" t="s">
        <v>1691</v>
      </c>
      <c r="B383" s="39" t="s">
        <v>3203</v>
      </c>
      <c r="C383" s="41" t="n">
        <v>3.01</v>
      </c>
    </row>
    <row r="384" customFormat="false" ht="15" hidden="false" customHeight="false" outlineLevel="0" collapsed="false">
      <c r="A384" s="39" t="s">
        <v>947</v>
      </c>
      <c r="B384" s="39" t="s">
        <v>3203</v>
      </c>
      <c r="C384" s="41" t="n">
        <v>13.85</v>
      </c>
    </row>
    <row r="385" customFormat="false" ht="15" hidden="false" customHeight="false" outlineLevel="0" collapsed="false">
      <c r="A385" s="39" t="s">
        <v>1863</v>
      </c>
      <c r="B385" s="39" t="s">
        <v>3204</v>
      </c>
      <c r="C385" s="41" t="n">
        <v>1.29</v>
      </c>
    </row>
    <row r="386" customFormat="false" ht="15" hidden="false" customHeight="false" outlineLevel="0" collapsed="false">
      <c r="A386" s="39" t="s">
        <v>558</v>
      </c>
      <c r="B386" s="39" t="s">
        <v>3204</v>
      </c>
      <c r="C386" s="41" t="n">
        <v>12.54</v>
      </c>
    </row>
    <row r="387" customFormat="false" ht="15" hidden="false" customHeight="false" outlineLevel="0" collapsed="false">
      <c r="A387" s="39" t="s">
        <v>1553</v>
      </c>
      <c r="B387" s="39" t="s">
        <v>3205</v>
      </c>
      <c r="C387" s="41" t="n">
        <v>17.71</v>
      </c>
    </row>
    <row r="388" customFormat="false" ht="15" hidden="false" customHeight="false" outlineLevel="0" collapsed="false">
      <c r="A388" s="39" t="s">
        <v>322</v>
      </c>
      <c r="B388" s="39" t="s">
        <v>3203</v>
      </c>
      <c r="C388" s="41" t="n">
        <v>1.96</v>
      </c>
    </row>
    <row r="389" customFormat="false" ht="15" hidden="false" customHeight="false" outlineLevel="0" collapsed="false">
      <c r="A389" s="39" t="s">
        <v>374</v>
      </c>
      <c r="B389" s="39" t="s">
        <v>3203</v>
      </c>
      <c r="C389" s="41" t="n">
        <v>16.1</v>
      </c>
    </row>
    <row r="390" customFormat="false" ht="15" hidden="false" customHeight="false" outlineLevel="0" collapsed="false">
      <c r="A390" s="39" t="s">
        <v>2349</v>
      </c>
      <c r="B390" s="39" t="s">
        <v>3206</v>
      </c>
      <c r="C390" s="41" t="n">
        <v>2.99</v>
      </c>
    </row>
    <row r="391" customFormat="false" ht="15" hidden="false" customHeight="false" outlineLevel="0" collapsed="false">
      <c r="A391" s="39" t="s">
        <v>1304</v>
      </c>
      <c r="B391" s="39" t="s">
        <v>3206</v>
      </c>
      <c r="C391" s="41" t="n">
        <v>9.12</v>
      </c>
    </row>
    <row r="392" customFormat="false" ht="15" hidden="false" customHeight="false" outlineLevel="0" collapsed="false">
      <c r="A392" s="39" t="s">
        <v>873</v>
      </c>
      <c r="B392" s="39" t="s">
        <v>3205</v>
      </c>
      <c r="C392" s="41" t="n">
        <v>1.8</v>
      </c>
    </row>
    <row r="393" customFormat="false" ht="15" hidden="false" customHeight="false" outlineLevel="0" collapsed="false">
      <c r="A393" s="39" t="s">
        <v>891</v>
      </c>
      <c r="B393" s="39" t="s">
        <v>3205</v>
      </c>
      <c r="C393" s="41" t="n">
        <v>29.84</v>
      </c>
    </row>
    <row r="394" customFormat="false" ht="15" hidden="false" customHeight="false" outlineLevel="0" collapsed="false">
      <c r="A394" s="39" t="s">
        <v>2019</v>
      </c>
      <c r="B394" s="39" t="s">
        <v>3206</v>
      </c>
      <c r="C394" s="41" t="n">
        <v>3.74</v>
      </c>
    </row>
    <row r="395" customFormat="false" ht="15" hidden="false" customHeight="false" outlineLevel="0" collapsed="false">
      <c r="A395" s="39" t="s">
        <v>1813</v>
      </c>
      <c r="B395" s="39" t="s">
        <v>3206</v>
      </c>
      <c r="C395" s="41" t="n">
        <v>13.75</v>
      </c>
    </row>
    <row r="396" customFormat="false" ht="15" hidden="false" customHeight="false" outlineLevel="0" collapsed="false">
      <c r="A396" s="39" t="s">
        <v>898</v>
      </c>
      <c r="B396" s="39" t="s">
        <v>3205</v>
      </c>
      <c r="C396" s="41" t="n">
        <v>65.98</v>
      </c>
    </row>
    <row r="397" customFormat="false" ht="15" hidden="false" customHeight="false" outlineLevel="0" collapsed="false">
      <c r="A397" s="39" t="s">
        <v>2258</v>
      </c>
      <c r="B397" s="39" t="s">
        <v>3204</v>
      </c>
      <c r="C397" s="41" t="n">
        <v>22.98</v>
      </c>
    </row>
    <row r="398" customFormat="false" ht="15" hidden="false" customHeight="false" outlineLevel="0" collapsed="false">
      <c r="A398" s="39" t="s">
        <v>2010</v>
      </c>
      <c r="B398" s="39" t="s">
        <v>3206</v>
      </c>
      <c r="C398" s="41" t="n">
        <v>74.04</v>
      </c>
    </row>
    <row r="399" customFormat="false" ht="15" hidden="false" customHeight="false" outlineLevel="0" collapsed="false">
      <c r="A399" s="39" t="s">
        <v>2376</v>
      </c>
      <c r="B399" s="39" t="s">
        <v>3205</v>
      </c>
      <c r="C399" s="41" t="n">
        <v>1.76</v>
      </c>
    </row>
    <row r="400" customFormat="false" ht="15" hidden="false" customHeight="false" outlineLevel="0" collapsed="false">
      <c r="A400" s="39" t="s">
        <v>2916</v>
      </c>
      <c r="B400" s="39" t="s">
        <v>3204</v>
      </c>
      <c r="C400" s="41" t="n">
        <v>3.6</v>
      </c>
    </row>
    <row r="401" customFormat="false" ht="15" hidden="false" customHeight="false" outlineLevel="0" collapsed="false">
      <c r="A401" s="39" t="s">
        <v>2550</v>
      </c>
      <c r="B401" s="39" t="s">
        <v>3204</v>
      </c>
      <c r="C401" s="41" t="n">
        <v>3.81</v>
      </c>
    </row>
    <row r="402" customFormat="false" ht="15" hidden="false" customHeight="false" outlineLevel="0" collapsed="false">
      <c r="A402" s="39" t="s">
        <v>2141</v>
      </c>
      <c r="B402" s="39" t="s">
        <v>3203</v>
      </c>
      <c r="C402" s="41" t="n">
        <v>7.98</v>
      </c>
    </row>
    <row r="403" customFormat="false" ht="15" hidden="false" customHeight="false" outlineLevel="0" collapsed="false">
      <c r="A403" s="39" t="s">
        <v>2049</v>
      </c>
      <c r="B403" s="39" t="s">
        <v>3204</v>
      </c>
      <c r="C403" s="41" t="n">
        <v>1.46</v>
      </c>
    </row>
    <row r="404" customFormat="false" ht="15" hidden="false" customHeight="false" outlineLevel="0" collapsed="false">
      <c r="A404" s="39" t="s">
        <v>1836</v>
      </c>
      <c r="B404" s="39" t="s">
        <v>3203</v>
      </c>
      <c r="C404" s="41" t="n">
        <v>5.05</v>
      </c>
    </row>
    <row r="405" customFormat="false" ht="15" hidden="false" customHeight="false" outlineLevel="0" collapsed="false">
      <c r="A405" s="39" t="s">
        <v>553</v>
      </c>
      <c r="B405" s="39" t="s">
        <v>3203</v>
      </c>
      <c r="C405" s="41" t="n">
        <v>11.91</v>
      </c>
    </row>
    <row r="406" customFormat="false" ht="15" hidden="false" customHeight="false" outlineLevel="0" collapsed="false">
      <c r="A406" s="39" t="s">
        <v>1353</v>
      </c>
      <c r="B406" s="39" t="s">
        <v>3204</v>
      </c>
      <c r="C406" s="41" t="n">
        <v>19.2</v>
      </c>
    </row>
    <row r="407" customFormat="false" ht="15" hidden="false" customHeight="false" outlineLevel="0" collapsed="false">
      <c r="A407" s="39" t="s">
        <v>3063</v>
      </c>
      <c r="B407" s="39" t="s">
        <v>3206</v>
      </c>
      <c r="C407" s="41" t="n">
        <v>1.52</v>
      </c>
    </row>
    <row r="408" customFormat="false" ht="15" hidden="false" customHeight="false" outlineLevel="0" collapsed="false">
      <c r="A408" s="39" t="s">
        <v>1113</v>
      </c>
      <c r="B408" s="39" t="s">
        <v>3205</v>
      </c>
      <c r="C408" s="41" t="n">
        <v>11.03</v>
      </c>
    </row>
    <row r="409" customFormat="false" ht="15" hidden="false" customHeight="false" outlineLevel="0" collapsed="false">
      <c r="A409" s="39" t="s">
        <v>1321</v>
      </c>
      <c r="B409" s="39" t="s">
        <v>3204</v>
      </c>
      <c r="C409" s="41" t="n">
        <v>6.62</v>
      </c>
    </row>
    <row r="410" customFormat="false" ht="15" hidden="false" customHeight="false" outlineLevel="0" collapsed="false">
      <c r="A410" s="39" t="s">
        <v>1406</v>
      </c>
      <c r="B410" s="39" t="s">
        <v>3206</v>
      </c>
      <c r="C410" s="41" t="n">
        <v>1.36</v>
      </c>
    </row>
    <row r="411" customFormat="false" ht="15" hidden="false" customHeight="false" outlineLevel="0" collapsed="false">
      <c r="A411" s="39" t="s">
        <v>1937</v>
      </c>
      <c r="B411" s="39" t="s">
        <v>3203</v>
      </c>
      <c r="C411" s="41" t="n">
        <v>5.14</v>
      </c>
    </row>
    <row r="412" customFormat="false" ht="15" hidden="false" customHeight="false" outlineLevel="0" collapsed="false">
      <c r="A412" s="39" t="s">
        <v>2035</v>
      </c>
      <c r="B412" s="39" t="s">
        <v>3205</v>
      </c>
      <c r="C412" s="41" t="n">
        <v>0.91</v>
      </c>
    </row>
    <row r="413" customFormat="false" ht="15" hidden="false" customHeight="false" outlineLevel="0" collapsed="false">
      <c r="A413" s="39" t="s">
        <v>2693</v>
      </c>
      <c r="B413" s="39" t="s">
        <v>3206</v>
      </c>
      <c r="C413" s="41" t="n">
        <v>3.92</v>
      </c>
    </row>
    <row r="414" customFormat="false" ht="15" hidden="false" customHeight="false" outlineLevel="0" collapsed="false">
      <c r="A414" s="39" t="s">
        <v>2160</v>
      </c>
      <c r="B414" s="39" t="s">
        <v>3205</v>
      </c>
      <c r="C414" s="41" t="n">
        <v>2.19</v>
      </c>
    </row>
    <row r="415" customFormat="false" ht="15" hidden="false" customHeight="false" outlineLevel="0" collapsed="false">
      <c r="A415" s="39" t="s">
        <v>1493</v>
      </c>
      <c r="B415" s="39" t="s">
        <v>3205</v>
      </c>
      <c r="C415" s="41" t="n">
        <v>2.17</v>
      </c>
    </row>
    <row r="416" customFormat="false" ht="15" hidden="false" customHeight="false" outlineLevel="0" collapsed="false">
      <c r="A416" s="39" t="s">
        <v>1318</v>
      </c>
      <c r="B416" s="39" t="s">
        <v>3205</v>
      </c>
      <c r="C416" s="41" t="n">
        <v>10.92</v>
      </c>
    </row>
    <row r="417" customFormat="false" ht="15" hidden="false" customHeight="false" outlineLevel="0" collapsed="false">
      <c r="A417" s="39" t="s">
        <v>2460</v>
      </c>
      <c r="B417" s="39" t="s">
        <v>3206</v>
      </c>
      <c r="C417" s="41" t="n">
        <v>9.4</v>
      </c>
    </row>
    <row r="418" customFormat="false" ht="15" hidden="false" customHeight="false" outlineLevel="0" collapsed="false">
      <c r="A418" s="39" t="s">
        <v>967</v>
      </c>
      <c r="B418" s="39" t="s">
        <v>3206</v>
      </c>
      <c r="C418" s="41" t="n">
        <v>1.99</v>
      </c>
    </row>
    <row r="419" customFormat="false" ht="15" hidden="false" customHeight="false" outlineLevel="0" collapsed="false">
      <c r="A419" s="39" t="s">
        <v>1490</v>
      </c>
      <c r="B419" s="39" t="s">
        <v>3204</v>
      </c>
      <c r="C419" s="41" t="n">
        <v>0.86</v>
      </c>
    </row>
    <row r="420" customFormat="false" ht="15" hidden="false" customHeight="false" outlineLevel="0" collapsed="false">
      <c r="A420" s="39" t="s">
        <v>1665</v>
      </c>
      <c r="B420" s="39" t="s">
        <v>3204</v>
      </c>
      <c r="C420" s="41" t="n">
        <v>2.15</v>
      </c>
    </row>
    <row r="421" customFormat="false" ht="15" hidden="false" customHeight="false" outlineLevel="0" collapsed="false">
      <c r="A421" s="39" t="s">
        <v>1049</v>
      </c>
      <c r="B421" s="39" t="s">
        <v>3206</v>
      </c>
      <c r="C421" s="41" t="n">
        <v>28.37</v>
      </c>
    </row>
    <row r="422" customFormat="false" ht="15" hidden="false" customHeight="false" outlineLevel="0" collapsed="false">
      <c r="A422" s="39" t="s">
        <v>960</v>
      </c>
      <c r="B422" s="39" t="s">
        <v>3204</v>
      </c>
      <c r="C422" s="41" t="n">
        <v>0.65</v>
      </c>
    </row>
    <row r="423" customFormat="false" ht="15" hidden="false" customHeight="false" outlineLevel="0" collapsed="false">
      <c r="A423" s="39" t="s">
        <v>647</v>
      </c>
      <c r="B423" s="39" t="s">
        <v>3203</v>
      </c>
      <c r="C423" s="41" t="n">
        <v>13.41</v>
      </c>
    </row>
    <row r="424" customFormat="false" ht="15" hidden="false" customHeight="false" outlineLevel="0" collapsed="false">
      <c r="A424" s="39" t="s">
        <v>1939</v>
      </c>
      <c r="B424" s="39" t="s">
        <v>3205</v>
      </c>
      <c r="C424" s="41" t="n">
        <v>0.63</v>
      </c>
    </row>
    <row r="425" customFormat="false" ht="15" hidden="false" customHeight="false" outlineLevel="0" collapsed="false">
      <c r="A425" s="39" t="s">
        <v>996</v>
      </c>
      <c r="B425" s="39" t="s">
        <v>3203</v>
      </c>
      <c r="C425" s="41" t="n">
        <v>25.5</v>
      </c>
    </row>
    <row r="426" customFormat="false" ht="15" hidden="false" customHeight="false" outlineLevel="0" collapsed="false">
      <c r="A426" s="39" t="s">
        <v>1668</v>
      </c>
      <c r="B426" s="39" t="s">
        <v>3205</v>
      </c>
      <c r="C426" s="41" t="n">
        <v>14.43</v>
      </c>
    </row>
    <row r="427" customFormat="false" ht="15" hidden="false" customHeight="false" outlineLevel="0" collapsed="false">
      <c r="A427" s="39" t="s">
        <v>665</v>
      </c>
      <c r="B427" s="39" t="s">
        <v>3205</v>
      </c>
      <c r="C427" s="41" t="n">
        <v>1.04</v>
      </c>
    </row>
    <row r="428" customFormat="false" ht="15" hidden="false" customHeight="false" outlineLevel="0" collapsed="false">
      <c r="A428" s="39" t="s">
        <v>3001</v>
      </c>
      <c r="B428" s="39" t="s">
        <v>3205</v>
      </c>
      <c r="C428" s="41" t="n">
        <v>12.48</v>
      </c>
    </row>
    <row r="429" customFormat="false" ht="15" hidden="false" customHeight="false" outlineLevel="0" collapsed="false">
      <c r="A429" s="39" t="s">
        <v>732</v>
      </c>
      <c r="B429" s="39" t="s">
        <v>3203</v>
      </c>
      <c r="C429" s="41" t="n">
        <v>5.88</v>
      </c>
    </row>
    <row r="430" customFormat="false" ht="15" hidden="false" customHeight="false" outlineLevel="0" collapsed="false">
      <c r="A430" s="39" t="s">
        <v>2810</v>
      </c>
      <c r="B430" s="39" t="s">
        <v>3205</v>
      </c>
      <c r="C430" s="41" t="n">
        <v>9.56</v>
      </c>
    </row>
    <row r="431" customFormat="false" ht="15" hidden="false" customHeight="false" outlineLevel="0" collapsed="false">
      <c r="A431" s="39" t="s">
        <v>2361</v>
      </c>
      <c r="B431" s="39" t="s">
        <v>3203</v>
      </c>
      <c r="C431" s="41" t="n">
        <v>1.13</v>
      </c>
    </row>
    <row r="432" customFormat="false" ht="15" hidden="false" customHeight="false" outlineLevel="0" collapsed="false">
      <c r="A432" s="39" t="s">
        <v>346</v>
      </c>
      <c r="B432" s="39" t="s">
        <v>3204</v>
      </c>
      <c r="C432" s="41" t="n">
        <v>14.59</v>
      </c>
    </row>
    <row r="433" customFormat="false" ht="15" hidden="false" customHeight="false" outlineLevel="0" collapsed="false">
      <c r="A433" s="39" t="s">
        <v>2367</v>
      </c>
      <c r="B433" s="39" t="s">
        <v>3205</v>
      </c>
      <c r="C433" s="41" t="n">
        <v>2.13</v>
      </c>
    </row>
    <row r="434" customFormat="false" ht="15" hidden="false" customHeight="false" outlineLevel="0" collapsed="false">
      <c r="A434" s="39" t="s">
        <v>463</v>
      </c>
      <c r="B434" s="39" t="s">
        <v>3206</v>
      </c>
      <c r="C434" s="41" t="n">
        <v>3.32</v>
      </c>
    </row>
    <row r="435" customFormat="false" ht="15" hidden="false" customHeight="false" outlineLevel="0" collapsed="false">
      <c r="A435" s="39" t="s">
        <v>1455</v>
      </c>
      <c r="B435" s="39" t="s">
        <v>3205</v>
      </c>
      <c r="C435" s="41" t="n">
        <v>1.65</v>
      </c>
    </row>
    <row r="436" customFormat="false" ht="15" hidden="false" customHeight="false" outlineLevel="0" collapsed="false">
      <c r="A436" s="39" t="s">
        <v>968</v>
      </c>
      <c r="B436" s="39" t="s">
        <v>3205</v>
      </c>
      <c r="C436" s="41" t="n">
        <v>12.5</v>
      </c>
    </row>
    <row r="437" customFormat="false" ht="15" hidden="false" customHeight="false" outlineLevel="0" collapsed="false">
      <c r="A437" s="39" t="s">
        <v>372</v>
      </c>
      <c r="B437" s="39" t="s">
        <v>3205</v>
      </c>
      <c r="C437" s="41" t="n">
        <v>0.54</v>
      </c>
    </row>
    <row r="438" customFormat="false" ht="15" hidden="false" customHeight="false" outlineLevel="0" collapsed="false">
      <c r="A438" s="39" t="s">
        <v>771</v>
      </c>
      <c r="B438" s="39" t="s">
        <v>3205</v>
      </c>
      <c r="C438" s="41" t="n">
        <v>4.35</v>
      </c>
    </row>
    <row r="439" customFormat="false" ht="15" hidden="false" customHeight="false" outlineLevel="0" collapsed="false">
      <c r="A439" s="39" t="s">
        <v>1934</v>
      </c>
      <c r="B439" s="39" t="s">
        <v>3205</v>
      </c>
      <c r="C439" s="41" t="n">
        <v>7.08</v>
      </c>
    </row>
    <row r="440" customFormat="false" ht="15" hidden="false" customHeight="false" outlineLevel="0" collapsed="false">
      <c r="A440" s="39" t="s">
        <v>2727</v>
      </c>
      <c r="B440" s="39" t="s">
        <v>3203</v>
      </c>
      <c r="C440" s="41" t="n">
        <v>15.58</v>
      </c>
    </row>
    <row r="441" customFormat="false" ht="15" hidden="false" customHeight="false" outlineLevel="0" collapsed="false">
      <c r="A441" s="39" t="s">
        <v>2794</v>
      </c>
      <c r="B441" s="39" t="s">
        <v>3206</v>
      </c>
      <c r="C441" s="41" t="n">
        <v>60.13</v>
      </c>
    </row>
    <row r="442" customFormat="false" ht="15" hidden="false" customHeight="false" outlineLevel="0" collapsed="false">
      <c r="A442" s="39" t="s">
        <v>1274</v>
      </c>
      <c r="B442" s="39" t="s">
        <v>3204</v>
      </c>
      <c r="C442" s="41" t="n">
        <v>0.46</v>
      </c>
    </row>
    <row r="443" customFormat="false" ht="15" hidden="false" customHeight="false" outlineLevel="0" collapsed="false">
      <c r="A443" s="39" t="s">
        <v>211</v>
      </c>
      <c r="B443" s="39" t="s">
        <v>3203</v>
      </c>
      <c r="C443" s="41" t="n">
        <v>2.7</v>
      </c>
    </row>
    <row r="444" customFormat="false" ht="15" hidden="false" customHeight="false" outlineLevel="0" collapsed="false">
      <c r="A444" s="39" t="s">
        <v>1557</v>
      </c>
      <c r="B444" s="39" t="s">
        <v>3203</v>
      </c>
      <c r="C444" s="41" t="n">
        <v>5.47</v>
      </c>
    </row>
    <row r="445" customFormat="false" ht="15" hidden="false" customHeight="false" outlineLevel="0" collapsed="false">
      <c r="A445" s="39" t="s">
        <v>482</v>
      </c>
      <c r="B445" s="39" t="s">
        <v>3203</v>
      </c>
      <c r="C445" s="41" t="n">
        <v>18</v>
      </c>
    </row>
    <row r="446" customFormat="false" ht="15" hidden="false" customHeight="false" outlineLevel="0" collapsed="false">
      <c r="A446" s="39" t="s">
        <v>457</v>
      </c>
      <c r="B446" s="39" t="s">
        <v>3204</v>
      </c>
      <c r="C446" s="41" t="n">
        <v>3.83</v>
      </c>
    </row>
    <row r="447" customFormat="false" ht="15" hidden="false" customHeight="false" outlineLevel="0" collapsed="false">
      <c r="A447" s="39" t="s">
        <v>1834</v>
      </c>
      <c r="B447" s="39" t="s">
        <v>3204</v>
      </c>
      <c r="C447" s="41" t="n">
        <v>2.42</v>
      </c>
    </row>
    <row r="448" customFormat="false" ht="15" hidden="false" customHeight="false" outlineLevel="0" collapsed="false">
      <c r="A448" s="39" t="s">
        <v>1112</v>
      </c>
      <c r="B448" s="39" t="s">
        <v>3206</v>
      </c>
      <c r="C448" s="41" t="n">
        <v>17.11</v>
      </c>
    </row>
    <row r="449" customFormat="false" ht="15" hidden="false" customHeight="false" outlineLevel="0" collapsed="false">
      <c r="A449" s="39" t="s">
        <v>517</v>
      </c>
      <c r="B449" s="39" t="s">
        <v>3204</v>
      </c>
      <c r="C449" s="41" t="n">
        <v>3.15</v>
      </c>
    </row>
    <row r="450" customFormat="false" ht="15" hidden="false" customHeight="false" outlineLevel="0" collapsed="false">
      <c r="A450" s="39" t="s">
        <v>670</v>
      </c>
      <c r="B450" s="39" t="s">
        <v>3206</v>
      </c>
      <c r="C450" s="41" t="n">
        <v>8.08</v>
      </c>
    </row>
    <row r="451" customFormat="false" ht="15" hidden="false" customHeight="false" outlineLevel="0" collapsed="false">
      <c r="A451" s="39" t="s">
        <v>1394</v>
      </c>
      <c r="B451" s="39" t="s">
        <v>3206</v>
      </c>
      <c r="C451" s="41" t="n">
        <v>33.35</v>
      </c>
    </row>
    <row r="452" customFormat="false" ht="15" hidden="false" customHeight="false" outlineLevel="0" collapsed="false">
      <c r="A452" s="39" t="s">
        <v>1566</v>
      </c>
      <c r="B452" s="39" t="s">
        <v>3203</v>
      </c>
      <c r="C452" s="41" t="n">
        <v>4.47</v>
      </c>
    </row>
    <row r="453" customFormat="false" ht="15" hidden="false" customHeight="false" outlineLevel="0" collapsed="false">
      <c r="A453" s="39" t="s">
        <v>1857</v>
      </c>
      <c r="B453" s="39" t="s">
        <v>3203</v>
      </c>
      <c r="C453" s="41" t="n">
        <v>0.73</v>
      </c>
    </row>
    <row r="454" customFormat="false" ht="15" hidden="false" customHeight="false" outlineLevel="0" collapsed="false">
      <c r="A454" s="39" t="s">
        <v>2379</v>
      </c>
      <c r="B454" s="39" t="s">
        <v>3204</v>
      </c>
      <c r="C454" s="41" t="n">
        <v>20.19</v>
      </c>
    </row>
    <row r="455" customFormat="false" ht="15" hidden="false" customHeight="false" outlineLevel="0" collapsed="false">
      <c r="A455" s="39" t="s">
        <v>2670</v>
      </c>
      <c r="B455" s="39" t="s">
        <v>3206</v>
      </c>
      <c r="C455" s="41" t="n">
        <v>2.03</v>
      </c>
    </row>
    <row r="456" customFormat="false" ht="15" hidden="false" customHeight="false" outlineLevel="0" collapsed="false">
      <c r="A456" s="39" t="s">
        <v>2600</v>
      </c>
      <c r="B456" s="39" t="s">
        <v>3205</v>
      </c>
      <c r="C456" s="41" t="n">
        <v>12.92</v>
      </c>
    </row>
    <row r="457" customFormat="false" ht="15" hidden="false" customHeight="false" outlineLevel="0" collapsed="false">
      <c r="A457" s="39" t="s">
        <v>2058</v>
      </c>
      <c r="B457" s="39" t="s">
        <v>3205</v>
      </c>
      <c r="C457" s="41" t="n">
        <v>3.01</v>
      </c>
    </row>
    <row r="458" customFormat="false" ht="15" hidden="false" customHeight="false" outlineLevel="0" collapsed="false">
      <c r="A458" s="39" t="s">
        <v>1660</v>
      </c>
      <c r="B458" s="39" t="s">
        <v>3205</v>
      </c>
      <c r="C458" s="41" t="n">
        <v>4.31</v>
      </c>
    </row>
    <row r="459" customFormat="false" ht="15" hidden="false" customHeight="false" outlineLevel="0" collapsed="false">
      <c r="A459" s="39" t="s">
        <v>1627</v>
      </c>
      <c r="B459" s="39" t="s">
        <v>3206</v>
      </c>
      <c r="C459" s="41" t="n">
        <v>4.45</v>
      </c>
    </row>
    <row r="460" customFormat="false" ht="15" hidden="false" customHeight="false" outlineLevel="0" collapsed="false">
      <c r="A460" s="39" t="s">
        <v>2697</v>
      </c>
      <c r="B460" s="39" t="s">
        <v>3205</v>
      </c>
      <c r="C460" s="41" t="n">
        <v>44.62</v>
      </c>
    </row>
    <row r="461" customFormat="false" ht="15" hidden="false" customHeight="false" outlineLevel="0" collapsed="false">
      <c r="A461" s="39" t="s">
        <v>2515</v>
      </c>
      <c r="B461" s="39" t="s">
        <v>3203</v>
      </c>
      <c r="C461" s="41" t="n">
        <v>2.33</v>
      </c>
    </row>
    <row r="462" customFormat="false" ht="15" hidden="false" customHeight="false" outlineLevel="0" collapsed="false">
      <c r="A462" s="39" t="s">
        <v>189</v>
      </c>
      <c r="B462" s="39" t="s">
        <v>3204</v>
      </c>
      <c r="C462" s="41" t="n">
        <v>0.88</v>
      </c>
    </row>
    <row r="463" customFormat="false" ht="15" hidden="false" customHeight="false" outlineLevel="0" collapsed="false">
      <c r="A463" s="39" t="s">
        <v>1469</v>
      </c>
      <c r="B463" s="39" t="s">
        <v>3205</v>
      </c>
      <c r="C463" s="41" t="n">
        <v>1</v>
      </c>
    </row>
    <row r="464" customFormat="false" ht="15" hidden="false" customHeight="false" outlineLevel="0" collapsed="false">
      <c r="A464" s="39" t="s">
        <v>2570</v>
      </c>
      <c r="B464" s="39" t="s">
        <v>3204</v>
      </c>
      <c r="C464" s="41" t="n">
        <v>1.37</v>
      </c>
    </row>
    <row r="465" customFormat="false" ht="15" hidden="false" customHeight="false" outlineLevel="0" collapsed="false">
      <c r="A465" s="39" t="s">
        <v>1810</v>
      </c>
      <c r="B465" s="39" t="s">
        <v>3205</v>
      </c>
      <c r="C465" s="41" t="n">
        <v>18</v>
      </c>
    </row>
    <row r="466" customFormat="false" ht="15" hidden="false" customHeight="false" outlineLevel="0" collapsed="false">
      <c r="A466" s="39" t="s">
        <v>1343</v>
      </c>
      <c r="B466" s="39" t="s">
        <v>3206</v>
      </c>
      <c r="C466" s="41" t="n">
        <v>5.22</v>
      </c>
    </row>
    <row r="467" customFormat="false" ht="15" hidden="false" customHeight="false" outlineLevel="0" collapsed="false">
      <c r="A467" s="39" t="s">
        <v>660</v>
      </c>
      <c r="B467" s="39" t="s">
        <v>3205</v>
      </c>
      <c r="C467" s="41" t="n">
        <v>3.03</v>
      </c>
    </row>
    <row r="468" customFormat="false" ht="15" hidden="false" customHeight="false" outlineLevel="0" collapsed="false">
      <c r="A468" s="39" t="s">
        <v>684</v>
      </c>
      <c r="B468" s="39" t="s">
        <v>3204</v>
      </c>
      <c r="C468" s="41" t="n">
        <v>1.72</v>
      </c>
    </row>
    <row r="469" customFormat="false" ht="15" hidden="false" customHeight="false" outlineLevel="0" collapsed="false">
      <c r="A469" s="39" t="s">
        <v>1989</v>
      </c>
      <c r="B469" s="39" t="s">
        <v>3206</v>
      </c>
      <c r="C469" s="41" t="n">
        <v>1.77</v>
      </c>
    </row>
    <row r="470" customFormat="false" ht="15" hidden="false" customHeight="false" outlineLevel="0" collapsed="false">
      <c r="A470" s="39" t="s">
        <v>1339</v>
      </c>
      <c r="B470" s="39" t="s">
        <v>3203</v>
      </c>
      <c r="C470" s="41" t="n">
        <v>2.53</v>
      </c>
    </row>
    <row r="471" customFormat="false" ht="15" hidden="false" customHeight="false" outlineLevel="0" collapsed="false">
      <c r="A471" s="39" t="s">
        <v>2721</v>
      </c>
      <c r="B471" s="39" t="s">
        <v>3203</v>
      </c>
      <c r="C471" s="41" t="n">
        <v>3.04</v>
      </c>
    </row>
    <row r="472" customFormat="false" ht="15" hidden="false" customHeight="false" outlineLevel="0" collapsed="false">
      <c r="A472" s="39" t="s">
        <v>1454</v>
      </c>
      <c r="B472" s="39" t="s">
        <v>3205</v>
      </c>
      <c r="C472" s="41" t="n">
        <v>3.47</v>
      </c>
    </row>
    <row r="473" customFormat="false" ht="15" hidden="false" customHeight="false" outlineLevel="0" collapsed="false">
      <c r="A473" s="39" t="s">
        <v>1327</v>
      </c>
      <c r="B473" s="39" t="s">
        <v>3206</v>
      </c>
      <c r="C473" s="41" t="n">
        <v>0.24</v>
      </c>
    </row>
    <row r="474" customFormat="false" ht="15" hidden="false" customHeight="false" outlineLevel="0" collapsed="false">
      <c r="A474" s="39" t="s">
        <v>1056</v>
      </c>
      <c r="B474" s="39" t="s">
        <v>3206</v>
      </c>
      <c r="C474" s="41" t="n">
        <v>21.17</v>
      </c>
    </row>
    <row r="475" customFormat="false" ht="15" hidden="false" customHeight="false" outlineLevel="0" collapsed="false">
      <c r="A475" s="39" t="s">
        <v>825</v>
      </c>
      <c r="B475" s="39" t="s">
        <v>3206</v>
      </c>
      <c r="C475" s="41" t="n">
        <v>18.72</v>
      </c>
    </row>
    <row r="476" customFormat="false" ht="15" hidden="false" customHeight="false" outlineLevel="0" collapsed="false">
      <c r="A476" s="39" t="s">
        <v>2590</v>
      </c>
      <c r="B476" s="39" t="s">
        <v>3203</v>
      </c>
      <c r="C476" s="41" t="n">
        <v>1.92</v>
      </c>
    </row>
    <row r="477" customFormat="false" ht="15" hidden="false" customHeight="false" outlineLevel="0" collapsed="false">
      <c r="A477" s="39" t="s">
        <v>2022</v>
      </c>
      <c r="B477" s="39" t="s">
        <v>3205</v>
      </c>
      <c r="C477" s="41" t="n">
        <v>1.37</v>
      </c>
    </row>
    <row r="478" customFormat="false" ht="15" hidden="false" customHeight="false" outlineLevel="0" collapsed="false">
      <c r="A478" s="39" t="s">
        <v>487</v>
      </c>
      <c r="B478" s="39" t="s">
        <v>3203</v>
      </c>
      <c r="C478" s="41" t="n">
        <v>1.95</v>
      </c>
    </row>
    <row r="479" customFormat="false" ht="15" hidden="false" customHeight="false" outlineLevel="0" collapsed="false">
      <c r="A479" s="39" t="s">
        <v>689</v>
      </c>
      <c r="B479" s="39" t="s">
        <v>3204</v>
      </c>
      <c r="C479" s="41" t="n">
        <v>214.14</v>
      </c>
    </row>
    <row r="480" customFormat="false" ht="15" hidden="false" customHeight="false" outlineLevel="0" collapsed="false">
      <c r="A480" s="39" t="s">
        <v>518</v>
      </c>
      <c r="B480" s="39" t="s">
        <v>3206</v>
      </c>
      <c r="C480" s="41" t="n">
        <v>6.79</v>
      </c>
    </row>
    <row r="481" customFormat="false" ht="15" hidden="false" customHeight="false" outlineLevel="0" collapsed="false">
      <c r="A481" s="39" t="s">
        <v>2931</v>
      </c>
      <c r="B481" s="39" t="s">
        <v>3203</v>
      </c>
      <c r="C481" s="41" t="n">
        <v>6.46</v>
      </c>
    </row>
    <row r="482" customFormat="false" ht="15" hidden="false" customHeight="false" outlineLevel="0" collapsed="false">
      <c r="A482" s="39" t="s">
        <v>904</v>
      </c>
      <c r="B482" s="39" t="s">
        <v>3206</v>
      </c>
      <c r="C482" s="41" t="n">
        <v>79.03</v>
      </c>
    </row>
    <row r="483" customFormat="false" ht="15" hidden="false" customHeight="false" outlineLevel="0" collapsed="false">
      <c r="A483" s="39" t="s">
        <v>1535</v>
      </c>
      <c r="B483" s="39" t="s">
        <v>3203</v>
      </c>
      <c r="C483" s="41" t="n">
        <v>2.51</v>
      </c>
    </row>
    <row r="484" customFormat="false" ht="15" hidden="false" customHeight="false" outlineLevel="0" collapsed="false">
      <c r="A484" s="39" t="s">
        <v>2516</v>
      </c>
      <c r="B484" s="39" t="s">
        <v>3206</v>
      </c>
      <c r="C484" s="41" t="n">
        <v>7.71</v>
      </c>
    </row>
    <row r="485" customFormat="false" ht="15" hidden="false" customHeight="false" outlineLevel="0" collapsed="false">
      <c r="A485" s="39" t="s">
        <v>3017</v>
      </c>
      <c r="B485" s="39" t="s">
        <v>3203</v>
      </c>
      <c r="C485" s="41" t="n">
        <v>2.23</v>
      </c>
    </row>
    <row r="486" customFormat="false" ht="15" hidden="false" customHeight="false" outlineLevel="0" collapsed="false">
      <c r="A486" s="39" t="s">
        <v>201</v>
      </c>
      <c r="B486" s="39" t="s">
        <v>3203</v>
      </c>
      <c r="C486" s="41" t="n">
        <v>12.37</v>
      </c>
    </row>
    <row r="487" customFormat="false" ht="15" hidden="false" customHeight="false" outlineLevel="0" collapsed="false">
      <c r="A487" s="39" t="s">
        <v>417</v>
      </c>
      <c r="B487" s="39" t="s">
        <v>3206</v>
      </c>
      <c r="C487" s="41" t="n">
        <v>1.82</v>
      </c>
    </row>
    <row r="488" customFormat="false" ht="15" hidden="false" customHeight="false" outlineLevel="0" collapsed="false">
      <c r="A488" s="39" t="s">
        <v>828</v>
      </c>
      <c r="B488" s="39" t="s">
        <v>3206</v>
      </c>
      <c r="C488" s="41" t="n">
        <v>0.47</v>
      </c>
    </row>
    <row r="489" customFormat="false" ht="15" hidden="false" customHeight="false" outlineLevel="0" collapsed="false">
      <c r="A489" s="39" t="s">
        <v>2813</v>
      </c>
      <c r="B489" s="39" t="s">
        <v>3205</v>
      </c>
      <c r="C489" s="41" t="n">
        <v>1.5</v>
      </c>
    </row>
    <row r="490" customFormat="false" ht="15" hidden="false" customHeight="false" outlineLevel="0" collapsed="false">
      <c r="A490" s="39" t="s">
        <v>1076</v>
      </c>
      <c r="B490" s="39" t="s">
        <v>3206</v>
      </c>
      <c r="C490" s="41" t="n">
        <v>4.56</v>
      </c>
    </row>
    <row r="491" customFormat="false" ht="15" hidden="false" customHeight="false" outlineLevel="0" collapsed="false">
      <c r="A491" s="39" t="s">
        <v>2642</v>
      </c>
      <c r="B491" s="39" t="s">
        <v>3204</v>
      </c>
      <c r="C491" s="41" t="n">
        <v>5.7</v>
      </c>
    </row>
    <row r="492" customFormat="false" ht="15" hidden="false" customHeight="false" outlineLevel="0" collapsed="false">
      <c r="A492" s="39" t="s">
        <v>1207</v>
      </c>
      <c r="B492" s="39" t="s">
        <v>3204</v>
      </c>
      <c r="C492" s="41" t="n">
        <v>10.14</v>
      </c>
    </row>
    <row r="493" customFormat="false" ht="15" hidden="false" customHeight="false" outlineLevel="0" collapsed="false">
      <c r="A493" s="39" t="s">
        <v>2689</v>
      </c>
      <c r="B493" s="39" t="s">
        <v>3204</v>
      </c>
      <c r="C493" s="41" t="n">
        <v>1.66</v>
      </c>
    </row>
    <row r="494" customFormat="false" ht="15" hidden="false" customHeight="false" outlineLevel="0" collapsed="false">
      <c r="A494" s="39" t="s">
        <v>1858</v>
      </c>
      <c r="B494" s="39" t="s">
        <v>3203</v>
      </c>
      <c r="C494" s="41" t="n">
        <v>6.67</v>
      </c>
    </row>
    <row r="495" customFormat="false" ht="15" hidden="false" customHeight="false" outlineLevel="0" collapsed="false">
      <c r="A495" s="39" t="s">
        <v>2597</v>
      </c>
      <c r="B495" s="39" t="s">
        <v>3206</v>
      </c>
      <c r="C495" s="41" t="n">
        <v>0.7</v>
      </c>
    </row>
    <row r="496" customFormat="false" ht="15" hidden="false" customHeight="false" outlineLevel="0" collapsed="false">
      <c r="A496" s="39" t="s">
        <v>2682</v>
      </c>
      <c r="B496" s="39" t="s">
        <v>3204</v>
      </c>
      <c r="C496" s="41" t="n">
        <v>2.12</v>
      </c>
    </row>
    <row r="497" customFormat="false" ht="15" hidden="false" customHeight="false" outlineLevel="0" collapsed="false">
      <c r="A497" s="39" t="s">
        <v>521</v>
      </c>
      <c r="B497" s="39" t="s">
        <v>3206</v>
      </c>
      <c r="C497" s="41" t="n">
        <v>5.84</v>
      </c>
    </row>
    <row r="498" customFormat="false" ht="15" hidden="false" customHeight="false" outlineLevel="0" collapsed="false">
      <c r="A498" s="39" t="s">
        <v>864</v>
      </c>
      <c r="B498" s="39" t="s">
        <v>3205</v>
      </c>
      <c r="C498" s="41" t="n">
        <v>5.18</v>
      </c>
    </row>
    <row r="499" customFormat="false" ht="15" hidden="false" customHeight="false" outlineLevel="0" collapsed="false">
      <c r="A499" s="39" t="s">
        <v>1614</v>
      </c>
      <c r="B499" s="39" t="s">
        <v>3205</v>
      </c>
      <c r="C499" s="41" t="n">
        <v>3.03</v>
      </c>
    </row>
    <row r="500" customFormat="false" ht="15" hidden="false" customHeight="false" outlineLevel="0" collapsed="false">
      <c r="A500" s="39" t="s">
        <v>244</v>
      </c>
      <c r="B500" s="39" t="s">
        <v>3204</v>
      </c>
      <c r="C500" s="41" t="n">
        <v>2.93</v>
      </c>
    </row>
    <row r="501" customFormat="false" ht="15" hidden="false" customHeight="false" outlineLevel="0" collapsed="false">
      <c r="A501" s="39" t="s">
        <v>2914</v>
      </c>
      <c r="B501" s="39" t="s">
        <v>3205</v>
      </c>
      <c r="C501" s="41" t="n">
        <v>0.84</v>
      </c>
    </row>
    <row r="502" customFormat="false" ht="15" hidden="false" customHeight="false" outlineLevel="0" collapsed="false">
      <c r="A502" s="39" t="s">
        <v>2520</v>
      </c>
      <c r="B502" s="39" t="s">
        <v>3205</v>
      </c>
      <c r="C502" s="41" t="n">
        <v>52.7</v>
      </c>
    </row>
    <row r="503" customFormat="false" ht="15" hidden="false" customHeight="false" outlineLevel="0" collapsed="false">
      <c r="A503" s="39" t="s">
        <v>394</v>
      </c>
      <c r="B503" s="39" t="s">
        <v>3205</v>
      </c>
      <c r="C503" s="41" t="n">
        <v>0.76</v>
      </c>
    </row>
    <row r="504" customFormat="false" ht="15" hidden="false" customHeight="false" outlineLevel="0" collapsed="false">
      <c r="A504" s="39" t="s">
        <v>159</v>
      </c>
      <c r="B504" s="39" t="s">
        <v>3206</v>
      </c>
      <c r="C504" s="41" t="n">
        <v>0.63</v>
      </c>
    </row>
    <row r="505" customFormat="false" ht="15" hidden="false" customHeight="false" outlineLevel="0" collapsed="false">
      <c r="A505" s="39" t="s">
        <v>241</v>
      </c>
      <c r="B505" s="39" t="s">
        <v>3205</v>
      </c>
      <c r="C505" s="41" t="n">
        <v>0.6</v>
      </c>
    </row>
    <row r="506" customFormat="false" ht="15" hidden="false" customHeight="false" outlineLevel="0" collapsed="false">
      <c r="A506" s="39" t="s">
        <v>2219</v>
      </c>
      <c r="B506" s="39" t="s">
        <v>3206</v>
      </c>
      <c r="C506" s="41" t="n">
        <v>5.71</v>
      </c>
    </row>
    <row r="507" customFormat="false" ht="15" hidden="false" customHeight="false" outlineLevel="0" collapsed="false">
      <c r="A507" s="39" t="s">
        <v>1487</v>
      </c>
      <c r="B507" s="39" t="s">
        <v>3206</v>
      </c>
      <c r="C507" s="41" t="n">
        <v>1.36</v>
      </c>
    </row>
    <row r="508" customFormat="false" ht="15" hidden="false" customHeight="false" outlineLevel="0" collapsed="false">
      <c r="A508" s="39" t="s">
        <v>1610</v>
      </c>
      <c r="B508" s="39" t="s">
        <v>3203</v>
      </c>
      <c r="C508" s="41" t="n">
        <v>8.43</v>
      </c>
    </row>
    <row r="509" customFormat="false" ht="15" hidden="false" customHeight="false" outlineLevel="0" collapsed="false">
      <c r="A509" s="39" t="s">
        <v>2540</v>
      </c>
      <c r="B509" s="39" t="s">
        <v>3206</v>
      </c>
      <c r="C509" s="41" t="n">
        <v>21.75</v>
      </c>
    </row>
    <row r="510" customFormat="false" ht="15" hidden="false" customHeight="false" outlineLevel="0" collapsed="false">
      <c r="A510" s="39" t="s">
        <v>1080</v>
      </c>
      <c r="B510" s="39" t="s">
        <v>3203</v>
      </c>
      <c r="C510" s="41" t="n">
        <v>8.26</v>
      </c>
    </row>
    <row r="511" customFormat="false" ht="15" hidden="false" customHeight="false" outlineLevel="0" collapsed="false">
      <c r="A511" s="39" t="s">
        <v>1802</v>
      </c>
      <c r="B511" s="39" t="s">
        <v>3204</v>
      </c>
      <c r="C511" s="41" t="n">
        <v>10.14</v>
      </c>
    </row>
    <row r="512" customFormat="false" ht="15" hidden="false" customHeight="false" outlineLevel="0" collapsed="false">
      <c r="A512" s="39" t="s">
        <v>1556</v>
      </c>
      <c r="B512" s="39" t="s">
        <v>3205</v>
      </c>
      <c r="C512" s="41" t="n">
        <v>60.12</v>
      </c>
    </row>
    <row r="513" customFormat="false" ht="15" hidden="false" customHeight="false" outlineLevel="0" collapsed="false">
      <c r="A513" s="39" t="s">
        <v>155</v>
      </c>
      <c r="B513" s="39" t="s">
        <v>3203</v>
      </c>
      <c r="C513" s="41" t="n">
        <v>17.93</v>
      </c>
    </row>
    <row r="514" customFormat="false" ht="15" hidden="false" customHeight="false" outlineLevel="0" collapsed="false">
      <c r="A514" s="39" t="s">
        <v>2576</v>
      </c>
      <c r="B514" s="39" t="s">
        <v>3205</v>
      </c>
      <c r="C514" s="41" t="n">
        <v>2.56</v>
      </c>
    </row>
    <row r="515" customFormat="false" ht="15" hidden="false" customHeight="false" outlineLevel="0" collapsed="false">
      <c r="A515" s="39" t="s">
        <v>2096</v>
      </c>
      <c r="B515" s="39" t="s">
        <v>3205</v>
      </c>
      <c r="C515" s="41" t="n">
        <v>1</v>
      </c>
    </row>
    <row r="516" customFormat="false" ht="15" hidden="false" customHeight="false" outlineLevel="0" collapsed="false">
      <c r="A516" s="39" t="s">
        <v>1257</v>
      </c>
      <c r="B516" s="39" t="s">
        <v>3203</v>
      </c>
      <c r="C516" s="41" t="n">
        <v>8.01</v>
      </c>
    </row>
    <row r="517" customFormat="false" ht="15" hidden="false" customHeight="false" outlineLevel="0" collapsed="false">
      <c r="A517" s="39" t="s">
        <v>1829</v>
      </c>
      <c r="B517" s="39" t="s">
        <v>3203</v>
      </c>
      <c r="C517" s="41" t="n">
        <v>0.95</v>
      </c>
    </row>
    <row r="518" customFormat="false" ht="15" hidden="false" customHeight="false" outlineLevel="0" collapsed="false">
      <c r="A518" s="39" t="s">
        <v>2436</v>
      </c>
      <c r="B518" s="39" t="s">
        <v>3203</v>
      </c>
      <c r="C518" s="41" t="n">
        <v>10.21</v>
      </c>
    </row>
    <row r="519" customFormat="false" ht="15" hidden="false" customHeight="false" outlineLevel="0" collapsed="false">
      <c r="A519" s="39" t="s">
        <v>2612</v>
      </c>
      <c r="B519" s="39" t="s">
        <v>3205</v>
      </c>
      <c r="C519" s="41" t="n">
        <v>10.59</v>
      </c>
    </row>
    <row r="520" customFormat="false" ht="15" hidden="false" customHeight="false" outlineLevel="0" collapsed="false">
      <c r="A520" s="39" t="s">
        <v>1635</v>
      </c>
      <c r="B520" s="39" t="s">
        <v>3206</v>
      </c>
      <c r="C520" s="41" t="n">
        <v>5.53</v>
      </c>
    </row>
    <row r="521" customFormat="false" ht="15" hidden="false" customHeight="false" outlineLevel="0" collapsed="false">
      <c r="A521" s="39" t="s">
        <v>2622</v>
      </c>
      <c r="B521" s="39" t="s">
        <v>3203</v>
      </c>
      <c r="C521" s="41" t="n">
        <v>3.09</v>
      </c>
    </row>
    <row r="522" customFormat="false" ht="15" hidden="false" customHeight="false" outlineLevel="0" collapsed="false">
      <c r="A522" s="39" t="s">
        <v>2799</v>
      </c>
      <c r="B522" s="39" t="s">
        <v>3205</v>
      </c>
      <c r="C522" s="41" t="n">
        <v>4.09</v>
      </c>
    </row>
    <row r="523" customFormat="false" ht="15" hidden="false" customHeight="false" outlineLevel="0" collapsed="false">
      <c r="A523" s="39" t="s">
        <v>973</v>
      </c>
      <c r="B523" s="39" t="s">
        <v>3206</v>
      </c>
      <c r="C523" s="41" t="n">
        <v>7.06</v>
      </c>
    </row>
    <row r="524" customFormat="false" ht="15" hidden="false" customHeight="false" outlineLevel="0" collapsed="false">
      <c r="A524" s="39" t="s">
        <v>1172</v>
      </c>
      <c r="B524" s="39" t="s">
        <v>3204</v>
      </c>
      <c r="C524" s="41" t="n">
        <v>6.32</v>
      </c>
    </row>
    <row r="525" customFormat="false" ht="15" hidden="false" customHeight="false" outlineLevel="0" collapsed="false">
      <c r="A525" s="39" t="s">
        <v>2968</v>
      </c>
      <c r="B525" s="39" t="s">
        <v>3205</v>
      </c>
      <c r="C525" s="41" t="n">
        <v>1.74</v>
      </c>
    </row>
    <row r="526" customFormat="false" ht="15" hidden="false" customHeight="false" outlineLevel="0" collapsed="false">
      <c r="A526" s="39" t="s">
        <v>302</v>
      </c>
      <c r="B526" s="39" t="s">
        <v>3204</v>
      </c>
      <c r="C526" s="41" t="n">
        <v>3.97</v>
      </c>
    </row>
    <row r="527" customFormat="false" ht="15" hidden="false" customHeight="false" outlineLevel="0" collapsed="false">
      <c r="A527" s="39" t="s">
        <v>2266</v>
      </c>
      <c r="B527" s="39" t="s">
        <v>3206</v>
      </c>
      <c r="C527" s="41" t="n">
        <v>7.01</v>
      </c>
    </row>
    <row r="528" customFormat="false" ht="15" hidden="false" customHeight="false" outlineLevel="0" collapsed="false">
      <c r="A528" s="39" t="s">
        <v>1736</v>
      </c>
      <c r="B528" s="39" t="s">
        <v>3205</v>
      </c>
      <c r="C528" s="41" t="n">
        <v>2.92</v>
      </c>
    </row>
    <row r="529" customFormat="false" ht="15" hidden="false" customHeight="false" outlineLevel="0" collapsed="false">
      <c r="A529" s="39" t="s">
        <v>2574</v>
      </c>
      <c r="B529" s="39" t="s">
        <v>3206</v>
      </c>
      <c r="C529" s="41" t="n">
        <v>15.47</v>
      </c>
    </row>
    <row r="530" customFormat="false" ht="15" hidden="false" customHeight="false" outlineLevel="0" collapsed="false">
      <c r="A530" s="39" t="s">
        <v>1421</v>
      </c>
      <c r="B530" s="39" t="s">
        <v>3204</v>
      </c>
      <c r="C530" s="41" t="n">
        <v>3.16</v>
      </c>
    </row>
    <row r="531" customFormat="false" ht="15" hidden="false" customHeight="false" outlineLevel="0" collapsed="false">
      <c r="A531" s="39" t="s">
        <v>411</v>
      </c>
      <c r="B531" s="39" t="s">
        <v>3205</v>
      </c>
      <c r="C531" s="41" t="n">
        <v>5.39</v>
      </c>
    </row>
    <row r="532" customFormat="false" ht="15" hidden="false" customHeight="false" outlineLevel="0" collapsed="false">
      <c r="A532" s="39" t="s">
        <v>2643</v>
      </c>
      <c r="B532" s="39" t="s">
        <v>3205</v>
      </c>
      <c r="C532" s="41" t="n">
        <v>2.55</v>
      </c>
    </row>
    <row r="533" customFormat="false" ht="15" hidden="false" customHeight="false" outlineLevel="0" collapsed="false">
      <c r="A533" s="39" t="s">
        <v>1088</v>
      </c>
      <c r="B533" s="39" t="s">
        <v>3204</v>
      </c>
      <c r="C533" s="41" t="n">
        <v>5.9</v>
      </c>
    </row>
    <row r="534" customFormat="false" ht="15" hidden="false" customHeight="false" outlineLevel="0" collapsed="false">
      <c r="A534" s="39" t="s">
        <v>1675</v>
      </c>
      <c r="B534" s="39" t="s">
        <v>3205</v>
      </c>
      <c r="C534" s="41" t="n">
        <v>1.29</v>
      </c>
    </row>
    <row r="535" customFormat="false" ht="15" hidden="false" customHeight="false" outlineLevel="0" collapsed="false">
      <c r="A535" s="39" t="s">
        <v>1681</v>
      </c>
      <c r="B535" s="39" t="s">
        <v>3203</v>
      </c>
      <c r="C535" s="41" t="n">
        <v>18.55</v>
      </c>
    </row>
    <row r="536" customFormat="false" ht="15" hidden="false" customHeight="false" outlineLevel="0" collapsed="false">
      <c r="A536" s="39" t="s">
        <v>1638</v>
      </c>
      <c r="B536" s="39" t="s">
        <v>3205</v>
      </c>
      <c r="C536" s="41" t="n">
        <v>3.87</v>
      </c>
    </row>
    <row r="537" customFormat="false" ht="15" hidden="false" customHeight="false" outlineLevel="0" collapsed="false">
      <c r="A537" s="39" t="s">
        <v>2624</v>
      </c>
      <c r="B537" s="39" t="s">
        <v>3205</v>
      </c>
      <c r="C537" s="41" t="n">
        <v>32.88</v>
      </c>
    </row>
    <row r="538" customFormat="false" ht="15" hidden="false" customHeight="false" outlineLevel="0" collapsed="false">
      <c r="A538" s="39" t="s">
        <v>2070</v>
      </c>
      <c r="B538" s="39" t="s">
        <v>3205</v>
      </c>
      <c r="C538" s="41" t="n">
        <v>0.77</v>
      </c>
    </row>
    <row r="539" customFormat="false" ht="15" hidden="false" customHeight="false" outlineLevel="0" collapsed="false">
      <c r="A539" s="39" t="s">
        <v>271</v>
      </c>
      <c r="B539" s="39" t="s">
        <v>3203</v>
      </c>
      <c r="C539" s="41" t="n">
        <v>10.19</v>
      </c>
    </row>
    <row r="540" customFormat="false" ht="15" hidden="false" customHeight="false" outlineLevel="0" collapsed="false">
      <c r="A540" s="39" t="s">
        <v>913</v>
      </c>
      <c r="B540" s="39" t="s">
        <v>3205</v>
      </c>
      <c r="C540" s="41" t="n">
        <v>3.8</v>
      </c>
    </row>
    <row r="541" customFormat="false" ht="15" hidden="false" customHeight="false" outlineLevel="0" collapsed="false">
      <c r="A541" s="39" t="s">
        <v>2056</v>
      </c>
      <c r="B541" s="39" t="s">
        <v>3203</v>
      </c>
      <c r="C541" s="41" t="n">
        <v>1.94</v>
      </c>
    </row>
    <row r="542" customFormat="false" ht="15" hidden="false" customHeight="false" outlineLevel="0" collapsed="false">
      <c r="A542" s="39" t="s">
        <v>622</v>
      </c>
      <c r="B542" s="39" t="s">
        <v>3205</v>
      </c>
      <c r="C542" s="41" t="n">
        <v>1.41</v>
      </c>
    </row>
    <row r="543" customFormat="false" ht="15" hidden="false" customHeight="false" outlineLevel="0" collapsed="false">
      <c r="A543" s="39" t="s">
        <v>1708</v>
      </c>
      <c r="B543" s="39" t="s">
        <v>3206</v>
      </c>
      <c r="C543" s="41" t="n">
        <v>63</v>
      </c>
    </row>
    <row r="544" customFormat="false" ht="15" hidden="false" customHeight="false" outlineLevel="0" collapsed="false">
      <c r="A544" s="39" t="s">
        <v>588</v>
      </c>
      <c r="B544" s="39" t="s">
        <v>3206</v>
      </c>
      <c r="C544" s="41" t="n">
        <v>1.41</v>
      </c>
    </row>
    <row r="545" customFormat="false" ht="15" hidden="false" customHeight="false" outlineLevel="0" collapsed="false">
      <c r="A545" s="39" t="s">
        <v>351</v>
      </c>
      <c r="B545" s="39" t="s">
        <v>3204</v>
      </c>
      <c r="C545" s="41" t="n">
        <v>7.66</v>
      </c>
    </row>
    <row r="546" customFormat="false" ht="15" hidden="false" customHeight="false" outlineLevel="0" collapsed="false">
      <c r="A546" s="39" t="s">
        <v>2157</v>
      </c>
      <c r="B546" s="39" t="s">
        <v>3205</v>
      </c>
      <c r="C546" s="41" t="n">
        <v>20.26</v>
      </c>
    </row>
    <row r="547" customFormat="false" ht="15" hidden="false" customHeight="false" outlineLevel="0" collapsed="false">
      <c r="A547" s="39" t="s">
        <v>1363</v>
      </c>
      <c r="B547" s="39" t="s">
        <v>3203</v>
      </c>
      <c r="C547" s="41" t="n">
        <v>1.72</v>
      </c>
    </row>
    <row r="548" customFormat="false" ht="15" hidden="false" customHeight="false" outlineLevel="0" collapsed="false">
      <c r="A548" s="39" t="s">
        <v>2290</v>
      </c>
      <c r="B548" s="39" t="s">
        <v>3203</v>
      </c>
      <c r="C548" s="41" t="n">
        <v>2.94</v>
      </c>
    </row>
    <row r="549" customFormat="false" ht="15" hidden="false" customHeight="false" outlineLevel="0" collapsed="false">
      <c r="A549" s="39" t="s">
        <v>1769</v>
      </c>
      <c r="B549" s="39" t="s">
        <v>3204</v>
      </c>
      <c r="C549" s="41" t="n">
        <v>1.94</v>
      </c>
    </row>
    <row r="550" customFormat="false" ht="15" hidden="false" customHeight="false" outlineLevel="0" collapsed="false">
      <c r="A550" s="39" t="s">
        <v>3174</v>
      </c>
      <c r="B550" s="39" t="s">
        <v>3206</v>
      </c>
      <c r="C550" s="41" t="n">
        <v>2.53</v>
      </c>
    </row>
    <row r="551" customFormat="false" ht="15" hidden="false" customHeight="false" outlineLevel="0" collapsed="false">
      <c r="A551" s="39" t="s">
        <v>2832</v>
      </c>
      <c r="B551" s="39" t="s">
        <v>3205</v>
      </c>
      <c r="C551" s="41" t="n">
        <v>6.1</v>
      </c>
    </row>
    <row r="552" customFormat="false" ht="15" hidden="false" customHeight="false" outlineLevel="0" collapsed="false">
      <c r="A552" s="39" t="s">
        <v>985</v>
      </c>
      <c r="B552" s="39" t="s">
        <v>3205</v>
      </c>
      <c r="C552" s="41" t="n">
        <v>0.6</v>
      </c>
    </row>
    <row r="553" customFormat="false" ht="15" hidden="false" customHeight="false" outlineLevel="0" collapsed="false">
      <c r="A553" s="39" t="s">
        <v>1370</v>
      </c>
      <c r="B553" s="39" t="s">
        <v>3205</v>
      </c>
      <c r="C553" s="41" t="n">
        <v>1.27</v>
      </c>
    </row>
    <row r="554" customFormat="false" ht="15" hidden="false" customHeight="false" outlineLevel="0" collapsed="false">
      <c r="A554" s="39" t="s">
        <v>2953</v>
      </c>
      <c r="B554" s="39" t="s">
        <v>3205</v>
      </c>
      <c r="C554" s="41" t="n">
        <v>2.33</v>
      </c>
    </row>
    <row r="555" customFormat="false" ht="15" hidden="false" customHeight="false" outlineLevel="0" collapsed="false">
      <c r="A555" s="39" t="s">
        <v>2213</v>
      </c>
      <c r="B555" s="39" t="s">
        <v>3205</v>
      </c>
      <c r="C555" s="41" t="n">
        <v>20.16</v>
      </c>
    </row>
    <row r="556" customFormat="false" ht="15" hidden="false" customHeight="false" outlineLevel="0" collapsed="false">
      <c r="A556" s="39" t="s">
        <v>2067</v>
      </c>
      <c r="B556" s="39" t="s">
        <v>3206</v>
      </c>
      <c r="C556" s="41" t="n">
        <v>1.23</v>
      </c>
    </row>
    <row r="557" customFormat="false" ht="15" hidden="false" customHeight="false" outlineLevel="0" collapsed="false">
      <c r="A557" s="39" t="s">
        <v>2915</v>
      </c>
      <c r="B557" s="39" t="s">
        <v>3205</v>
      </c>
      <c r="C557" s="41" t="n">
        <v>2.18</v>
      </c>
    </row>
    <row r="558" customFormat="false" ht="15" hidden="false" customHeight="false" outlineLevel="0" collapsed="false">
      <c r="A558" s="39" t="s">
        <v>549</v>
      </c>
      <c r="B558" s="39" t="s">
        <v>3203</v>
      </c>
      <c r="C558" s="41" t="n">
        <v>7.52</v>
      </c>
    </row>
    <row r="559" customFormat="false" ht="15" hidden="false" customHeight="false" outlineLevel="0" collapsed="false">
      <c r="A559" s="39" t="s">
        <v>654</v>
      </c>
      <c r="B559" s="39" t="s">
        <v>3204</v>
      </c>
      <c r="C559" s="41" t="n">
        <v>0.97</v>
      </c>
    </row>
    <row r="560" customFormat="false" ht="15" hidden="false" customHeight="false" outlineLevel="0" collapsed="false">
      <c r="A560" s="39" t="s">
        <v>562</v>
      </c>
      <c r="B560" s="39" t="s">
        <v>3206</v>
      </c>
      <c r="C560" s="41" t="n">
        <v>0.46</v>
      </c>
    </row>
    <row r="561" customFormat="false" ht="15" hidden="false" customHeight="false" outlineLevel="0" collapsed="false">
      <c r="A561" s="39" t="s">
        <v>1739</v>
      </c>
      <c r="B561" s="39" t="s">
        <v>3206</v>
      </c>
      <c r="C561" s="41" t="n">
        <v>43.32</v>
      </c>
    </row>
    <row r="562" customFormat="false" ht="15" hidden="false" customHeight="false" outlineLevel="0" collapsed="false">
      <c r="A562" s="39" t="s">
        <v>1293</v>
      </c>
      <c r="B562" s="39" t="s">
        <v>3204</v>
      </c>
      <c r="C562" s="41" t="n">
        <v>13.55</v>
      </c>
    </row>
    <row r="563" customFormat="false" ht="15" hidden="false" customHeight="false" outlineLevel="0" collapsed="false">
      <c r="A563" s="39" t="s">
        <v>200</v>
      </c>
      <c r="B563" s="39" t="s">
        <v>3205</v>
      </c>
      <c r="C563" s="41" t="n">
        <v>38.37</v>
      </c>
    </row>
    <row r="564" customFormat="false" ht="15" hidden="false" customHeight="false" outlineLevel="0" collapsed="false">
      <c r="A564" s="39" t="s">
        <v>1648</v>
      </c>
      <c r="B564" s="39" t="s">
        <v>3203</v>
      </c>
      <c r="C564" s="41" t="n">
        <v>3.5</v>
      </c>
    </row>
    <row r="565" customFormat="false" ht="15" hidden="false" customHeight="false" outlineLevel="0" collapsed="false">
      <c r="A565" s="39" t="s">
        <v>1114</v>
      </c>
      <c r="B565" s="39" t="s">
        <v>3206</v>
      </c>
      <c r="C565" s="41" t="n">
        <v>6.42</v>
      </c>
    </row>
    <row r="566" customFormat="false" ht="15" hidden="false" customHeight="false" outlineLevel="0" collapsed="false">
      <c r="A566" s="39" t="s">
        <v>595</v>
      </c>
      <c r="B566" s="39" t="s">
        <v>3206</v>
      </c>
      <c r="C566" s="41" t="n">
        <v>11.36</v>
      </c>
    </row>
    <row r="567" customFormat="false" ht="15" hidden="false" customHeight="false" outlineLevel="0" collapsed="false">
      <c r="A567" s="39" t="s">
        <v>1403</v>
      </c>
      <c r="B567" s="39" t="s">
        <v>3203</v>
      </c>
      <c r="C567" s="41" t="n">
        <v>3.77</v>
      </c>
    </row>
    <row r="568" customFormat="false" ht="15" hidden="false" customHeight="false" outlineLevel="0" collapsed="false">
      <c r="A568" s="39" t="s">
        <v>1396</v>
      </c>
      <c r="B568" s="39" t="s">
        <v>3206</v>
      </c>
      <c r="C568" s="41" t="n">
        <v>5.34</v>
      </c>
    </row>
    <row r="569" customFormat="false" ht="15" hidden="false" customHeight="false" outlineLevel="0" collapsed="false">
      <c r="A569" s="39" t="s">
        <v>883</v>
      </c>
      <c r="B569" s="39" t="s">
        <v>3205</v>
      </c>
      <c r="C569" s="41" t="n">
        <v>3.25</v>
      </c>
    </row>
    <row r="570" customFormat="false" ht="15" hidden="false" customHeight="false" outlineLevel="0" collapsed="false">
      <c r="A570" s="39" t="s">
        <v>2257</v>
      </c>
      <c r="B570" s="39" t="s">
        <v>3206</v>
      </c>
      <c r="C570" s="41" t="n">
        <v>1.64</v>
      </c>
    </row>
    <row r="571" customFormat="false" ht="15" hidden="false" customHeight="false" outlineLevel="0" collapsed="false">
      <c r="A571" s="39" t="s">
        <v>2025</v>
      </c>
      <c r="B571" s="39" t="s">
        <v>3203</v>
      </c>
      <c r="C571" s="41" t="n">
        <v>2.33</v>
      </c>
    </row>
    <row r="572" customFormat="false" ht="15" hidden="false" customHeight="false" outlineLevel="0" collapsed="false">
      <c r="A572" s="39" t="s">
        <v>2650</v>
      </c>
      <c r="B572" s="39" t="s">
        <v>3205</v>
      </c>
      <c r="C572" s="41" t="n">
        <v>0.99</v>
      </c>
    </row>
    <row r="573" customFormat="false" ht="15" hidden="false" customHeight="false" outlineLevel="0" collapsed="false">
      <c r="A573" s="39" t="s">
        <v>769</v>
      </c>
      <c r="B573" s="39" t="s">
        <v>3203</v>
      </c>
      <c r="C573" s="41" t="n">
        <v>7.66</v>
      </c>
    </row>
    <row r="574" customFormat="false" ht="15" hidden="false" customHeight="false" outlineLevel="0" collapsed="false">
      <c r="A574" s="39" t="s">
        <v>2264</v>
      </c>
      <c r="B574" s="39" t="s">
        <v>3204</v>
      </c>
      <c r="C574" s="41" t="n">
        <v>3.62</v>
      </c>
    </row>
    <row r="575" customFormat="false" ht="15" hidden="false" customHeight="false" outlineLevel="0" collapsed="false">
      <c r="A575" s="39" t="s">
        <v>145</v>
      </c>
      <c r="B575" s="39" t="s">
        <v>3203</v>
      </c>
      <c r="C575" s="41" t="n">
        <v>1.15</v>
      </c>
    </row>
    <row r="576" customFormat="false" ht="15" hidden="false" customHeight="false" outlineLevel="0" collapsed="false">
      <c r="A576" s="39" t="s">
        <v>1606</v>
      </c>
      <c r="B576" s="39" t="s">
        <v>3205</v>
      </c>
      <c r="C576" s="41" t="n">
        <v>0.44</v>
      </c>
    </row>
    <row r="577" customFormat="false" ht="15" hidden="false" customHeight="false" outlineLevel="0" collapsed="false">
      <c r="A577" s="39" t="s">
        <v>2748</v>
      </c>
      <c r="B577" s="39" t="s">
        <v>3206</v>
      </c>
      <c r="C577" s="41" t="n">
        <v>3.9</v>
      </c>
    </row>
    <row r="578" customFormat="false" ht="15" hidden="false" customHeight="false" outlineLevel="0" collapsed="false">
      <c r="A578" s="39" t="s">
        <v>224</v>
      </c>
      <c r="B578" s="39" t="s">
        <v>3204</v>
      </c>
      <c r="C578" s="41" t="n">
        <v>7.19</v>
      </c>
    </row>
    <row r="579" customFormat="false" ht="15" hidden="false" customHeight="false" outlineLevel="0" collapsed="false">
      <c r="A579" s="39" t="s">
        <v>269</v>
      </c>
      <c r="B579" s="39" t="s">
        <v>3203</v>
      </c>
      <c r="C579" s="41" t="n">
        <v>1.56</v>
      </c>
    </row>
    <row r="580" customFormat="false" ht="15" hidden="false" customHeight="false" outlineLevel="0" collapsed="false">
      <c r="A580" s="39" t="s">
        <v>208</v>
      </c>
      <c r="B580" s="39" t="s">
        <v>3204</v>
      </c>
      <c r="C580" s="41" t="n">
        <v>13.26</v>
      </c>
    </row>
    <row r="581" customFormat="false" ht="15" hidden="false" customHeight="false" outlineLevel="0" collapsed="false">
      <c r="A581" s="39" t="s">
        <v>1072</v>
      </c>
      <c r="B581" s="39" t="s">
        <v>3204</v>
      </c>
      <c r="C581" s="41" t="n">
        <v>1.79</v>
      </c>
    </row>
    <row r="582" customFormat="false" ht="15" hidden="false" customHeight="false" outlineLevel="0" collapsed="false">
      <c r="A582" s="39" t="s">
        <v>894</v>
      </c>
      <c r="B582" s="39" t="s">
        <v>3205</v>
      </c>
      <c r="C582" s="41" t="n">
        <v>0.75</v>
      </c>
    </row>
    <row r="583" customFormat="false" ht="15" hidden="false" customHeight="false" outlineLevel="0" collapsed="false">
      <c r="A583" s="39" t="s">
        <v>2170</v>
      </c>
      <c r="B583" s="39" t="s">
        <v>3205</v>
      </c>
      <c r="C583" s="41" t="n">
        <v>3.92</v>
      </c>
    </row>
    <row r="584" customFormat="false" ht="15" hidden="false" customHeight="false" outlineLevel="0" collapsed="false">
      <c r="A584" s="39" t="s">
        <v>1545</v>
      </c>
      <c r="B584" s="39" t="s">
        <v>3203</v>
      </c>
      <c r="C584" s="41" t="n">
        <v>5.76</v>
      </c>
    </row>
    <row r="585" customFormat="false" ht="15" hidden="false" customHeight="false" outlineLevel="0" collapsed="false">
      <c r="A585" s="39" t="s">
        <v>793</v>
      </c>
      <c r="B585" s="39" t="s">
        <v>3206</v>
      </c>
      <c r="C585" s="41" t="n">
        <v>29.34</v>
      </c>
    </row>
    <row r="586" customFormat="false" ht="15" hidden="false" customHeight="false" outlineLevel="0" collapsed="false">
      <c r="A586" s="39" t="s">
        <v>1313</v>
      </c>
      <c r="B586" s="39" t="s">
        <v>3204</v>
      </c>
      <c r="C586" s="41" t="n">
        <v>5.51</v>
      </c>
    </row>
    <row r="587" customFormat="false" ht="15" hidden="false" customHeight="false" outlineLevel="0" collapsed="false">
      <c r="A587" s="39" t="s">
        <v>1322</v>
      </c>
      <c r="B587" s="39" t="s">
        <v>3206</v>
      </c>
      <c r="C587" s="41" t="n">
        <v>8.01</v>
      </c>
    </row>
    <row r="588" customFormat="false" ht="15" hidden="false" customHeight="false" outlineLevel="0" collapsed="false">
      <c r="A588" s="39" t="s">
        <v>886</v>
      </c>
      <c r="B588" s="39" t="s">
        <v>3205</v>
      </c>
      <c r="C588" s="41" t="n">
        <v>15.63</v>
      </c>
    </row>
    <row r="589" customFormat="false" ht="15" hidden="false" customHeight="false" outlineLevel="0" collapsed="false">
      <c r="A589" s="39" t="s">
        <v>2448</v>
      </c>
      <c r="B589" s="39" t="s">
        <v>3206</v>
      </c>
      <c r="C589" s="41" t="n">
        <v>15.04</v>
      </c>
    </row>
    <row r="590" customFormat="false" ht="15" hidden="false" customHeight="false" outlineLevel="0" collapsed="false">
      <c r="A590" s="39" t="s">
        <v>1236</v>
      </c>
      <c r="B590" s="39" t="s">
        <v>3206</v>
      </c>
      <c r="C590" s="41" t="n">
        <v>3.79</v>
      </c>
    </row>
    <row r="591" customFormat="false" ht="15" hidden="false" customHeight="false" outlineLevel="0" collapsed="false">
      <c r="A591" s="39" t="s">
        <v>734</v>
      </c>
      <c r="B591" s="39" t="s">
        <v>3206</v>
      </c>
      <c r="C591" s="41" t="n">
        <v>12.28</v>
      </c>
    </row>
    <row r="592" customFormat="false" ht="15" hidden="false" customHeight="false" outlineLevel="0" collapsed="false">
      <c r="A592" s="39" t="s">
        <v>1435</v>
      </c>
      <c r="B592" s="39" t="s">
        <v>3204</v>
      </c>
      <c r="C592" s="41" t="n">
        <v>1.23</v>
      </c>
    </row>
    <row r="593" customFormat="false" ht="15" hidden="false" customHeight="false" outlineLevel="0" collapsed="false">
      <c r="A593" s="39" t="s">
        <v>360</v>
      </c>
      <c r="B593" s="39" t="s">
        <v>3206</v>
      </c>
      <c r="C593" s="41" t="n">
        <v>8.19</v>
      </c>
    </row>
    <row r="594" customFormat="false" ht="15" hidden="false" customHeight="false" outlineLevel="0" collapsed="false">
      <c r="A594" s="39" t="s">
        <v>1026</v>
      </c>
      <c r="B594" s="39" t="s">
        <v>3203</v>
      </c>
      <c r="C594" s="41" t="n">
        <v>9.98</v>
      </c>
    </row>
    <row r="595" customFormat="false" ht="15" hidden="false" customHeight="false" outlineLevel="0" collapsed="false">
      <c r="A595" s="39" t="s">
        <v>1693</v>
      </c>
      <c r="B595" s="39" t="s">
        <v>3203</v>
      </c>
      <c r="C595" s="41" t="n">
        <v>32.1</v>
      </c>
    </row>
    <row r="596" customFormat="false" ht="15" hidden="false" customHeight="false" outlineLevel="0" collapsed="false">
      <c r="A596" s="39" t="s">
        <v>1682</v>
      </c>
      <c r="B596" s="39" t="s">
        <v>3203</v>
      </c>
      <c r="C596" s="41" t="n">
        <v>14.1</v>
      </c>
    </row>
    <row r="597" customFormat="false" ht="15" hidden="false" customHeight="false" outlineLevel="0" collapsed="false">
      <c r="A597" s="39" t="s">
        <v>2526</v>
      </c>
      <c r="B597" s="39" t="s">
        <v>3204</v>
      </c>
      <c r="C597" s="41" t="n">
        <v>0.93</v>
      </c>
    </row>
    <row r="598" customFormat="false" ht="15" hidden="false" customHeight="false" outlineLevel="0" collapsed="false">
      <c r="A598" s="39" t="s">
        <v>2303</v>
      </c>
      <c r="B598" s="39" t="s">
        <v>3206</v>
      </c>
      <c r="C598" s="41" t="n">
        <v>1</v>
      </c>
    </row>
    <row r="599" customFormat="false" ht="15" hidden="false" customHeight="false" outlineLevel="0" collapsed="false">
      <c r="A599" s="39" t="s">
        <v>2618</v>
      </c>
      <c r="B599" s="39" t="s">
        <v>3203</v>
      </c>
      <c r="C599" s="41" t="n">
        <v>27.64</v>
      </c>
    </row>
    <row r="600" customFormat="false" ht="15" hidden="false" customHeight="false" outlineLevel="0" collapsed="false">
      <c r="A600" s="39" t="s">
        <v>683</v>
      </c>
      <c r="B600" s="39" t="s">
        <v>3205</v>
      </c>
      <c r="C600" s="41" t="n">
        <v>2.17</v>
      </c>
    </row>
    <row r="601" customFormat="false" ht="15" hidden="false" customHeight="false" outlineLevel="0" collapsed="false">
      <c r="A601" s="39" t="s">
        <v>1742</v>
      </c>
      <c r="B601" s="39" t="s">
        <v>3204</v>
      </c>
      <c r="C601" s="41" t="n">
        <v>14.39</v>
      </c>
    </row>
    <row r="602" customFormat="false" ht="15" hidden="false" customHeight="false" outlineLevel="0" collapsed="false">
      <c r="A602" s="39" t="s">
        <v>837</v>
      </c>
      <c r="B602" s="39" t="s">
        <v>3203</v>
      </c>
      <c r="C602" s="41" t="n">
        <v>12.58</v>
      </c>
    </row>
    <row r="603" customFormat="false" ht="15" hidden="false" customHeight="false" outlineLevel="0" collapsed="false">
      <c r="A603" s="39" t="s">
        <v>409</v>
      </c>
      <c r="B603" s="39" t="s">
        <v>3204</v>
      </c>
      <c r="C603" s="41" t="n">
        <v>3.08</v>
      </c>
    </row>
    <row r="604" customFormat="false" ht="15" hidden="false" customHeight="false" outlineLevel="0" collapsed="false">
      <c r="A604" s="39" t="s">
        <v>2815</v>
      </c>
      <c r="B604" s="39" t="s">
        <v>3203</v>
      </c>
      <c r="C604" s="41" t="n">
        <v>4.16</v>
      </c>
    </row>
    <row r="605" customFormat="false" ht="15" hidden="false" customHeight="false" outlineLevel="0" collapsed="false">
      <c r="A605" s="39" t="s">
        <v>1822</v>
      </c>
      <c r="B605" s="39" t="s">
        <v>3204</v>
      </c>
      <c r="C605" s="41" t="n">
        <v>3.7</v>
      </c>
    </row>
    <row r="606" customFormat="false" ht="15" hidden="false" customHeight="false" outlineLevel="0" collapsed="false">
      <c r="A606" s="39" t="s">
        <v>1077</v>
      </c>
      <c r="B606" s="39" t="s">
        <v>3205</v>
      </c>
      <c r="C606" s="41" t="n">
        <v>1.16</v>
      </c>
    </row>
    <row r="607" customFormat="false" ht="15" hidden="false" customHeight="false" outlineLevel="0" collapsed="false">
      <c r="A607" s="39" t="s">
        <v>922</v>
      </c>
      <c r="B607" s="39" t="s">
        <v>3205</v>
      </c>
      <c r="C607" s="41" t="n">
        <v>2.12</v>
      </c>
    </row>
    <row r="608" customFormat="false" ht="15" hidden="false" customHeight="false" outlineLevel="0" collapsed="false">
      <c r="A608" s="39" t="s">
        <v>3074</v>
      </c>
      <c r="B608" s="39" t="s">
        <v>3206</v>
      </c>
      <c r="C608" s="41" t="n">
        <v>2.84</v>
      </c>
    </row>
    <row r="609" customFormat="false" ht="15" hidden="false" customHeight="false" outlineLevel="0" collapsed="false">
      <c r="A609" s="39" t="s">
        <v>1798</v>
      </c>
      <c r="B609" s="39" t="s">
        <v>3205</v>
      </c>
      <c r="C609" s="41" t="n">
        <v>12.09</v>
      </c>
    </row>
    <row r="610" customFormat="false" ht="15" hidden="false" customHeight="false" outlineLevel="0" collapsed="false">
      <c r="A610" s="39" t="s">
        <v>2966</v>
      </c>
      <c r="B610" s="39" t="s">
        <v>3205</v>
      </c>
      <c r="C610" s="41" t="n">
        <v>4.86</v>
      </c>
    </row>
    <row r="611" customFormat="false" ht="15" hidden="false" customHeight="false" outlineLevel="0" collapsed="false">
      <c r="A611" s="39" t="s">
        <v>371</v>
      </c>
      <c r="B611" s="39" t="s">
        <v>3206</v>
      </c>
      <c r="C611" s="41" t="n">
        <v>0.63</v>
      </c>
    </row>
    <row r="612" customFormat="false" ht="15" hidden="false" customHeight="false" outlineLevel="0" collapsed="false">
      <c r="A612" s="39" t="s">
        <v>2695</v>
      </c>
      <c r="B612" s="39" t="s">
        <v>3205</v>
      </c>
      <c r="C612" s="41" t="n">
        <v>12.1</v>
      </c>
    </row>
    <row r="613" customFormat="false" ht="15" hidden="false" customHeight="false" outlineLevel="0" collapsed="false">
      <c r="A613" s="39" t="s">
        <v>1029</v>
      </c>
      <c r="B613" s="39" t="s">
        <v>3205</v>
      </c>
      <c r="C613" s="41" t="n">
        <v>45.25</v>
      </c>
    </row>
    <row r="614" customFormat="false" ht="15" hidden="false" customHeight="false" outlineLevel="0" collapsed="false">
      <c r="A614" s="39" t="s">
        <v>2177</v>
      </c>
      <c r="B614" s="39" t="s">
        <v>3206</v>
      </c>
      <c r="C614" s="41" t="n">
        <v>3.3</v>
      </c>
    </row>
    <row r="615" customFormat="false" ht="15" hidden="false" customHeight="false" outlineLevel="0" collapsed="false">
      <c r="A615" s="39" t="s">
        <v>2637</v>
      </c>
      <c r="B615" s="39" t="s">
        <v>3203</v>
      </c>
      <c r="C615" s="41" t="n">
        <v>0.79</v>
      </c>
    </row>
    <row r="616" customFormat="false" ht="15" hidden="false" customHeight="false" outlineLevel="0" collapsed="false">
      <c r="A616" s="39" t="s">
        <v>368</v>
      </c>
      <c r="B616" s="39" t="s">
        <v>3206</v>
      </c>
      <c r="C616" s="41" t="n">
        <v>1.44</v>
      </c>
    </row>
    <row r="617" customFormat="false" ht="15" hidden="false" customHeight="false" outlineLevel="0" collapsed="false">
      <c r="A617" s="39" t="s">
        <v>1966</v>
      </c>
      <c r="B617" s="39" t="s">
        <v>3205</v>
      </c>
      <c r="C617" s="41" t="n">
        <v>10.81</v>
      </c>
    </row>
    <row r="618" customFormat="false" ht="15" hidden="false" customHeight="false" outlineLevel="0" collapsed="false">
      <c r="A618" s="39" t="s">
        <v>566</v>
      </c>
      <c r="B618" s="39" t="s">
        <v>3203</v>
      </c>
      <c r="C618" s="41" t="n">
        <v>4.74</v>
      </c>
    </row>
    <row r="619" customFormat="false" ht="15" hidden="false" customHeight="false" outlineLevel="0" collapsed="false">
      <c r="A619" s="39" t="s">
        <v>2783</v>
      </c>
      <c r="B619" s="39" t="s">
        <v>3206</v>
      </c>
      <c r="C619" s="41" t="n">
        <v>3.73</v>
      </c>
    </row>
    <row r="620" customFormat="false" ht="15" hidden="false" customHeight="false" outlineLevel="0" collapsed="false">
      <c r="A620" s="39" t="s">
        <v>560</v>
      </c>
      <c r="B620" s="39" t="s">
        <v>3203</v>
      </c>
      <c r="C620" s="41" t="n">
        <v>10.44</v>
      </c>
    </row>
    <row r="621" customFormat="false" ht="15" hidden="false" customHeight="false" outlineLevel="0" collapsed="false">
      <c r="A621" s="39" t="s">
        <v>2648</v>
      </c>
      <c r="B621" s="39" t="s">
        <v>3206</v>
      </c>
      <c r="C621" s="41" t="n">
        <v>6.26</v>
      </c>
    </row>
    <row r="622" customFormat="false" ht="15" hidden="false" customHeight="false" outlineLevel="0" collapsed="false">
      <c r="A622" s="39" t="s">
        <v>2959</v>
      </c>
      <c r="B622" s="39" t="s">
        <v>3203</v>
      </c>
      <c r="C622" s="41" t="n">
        <v>2</v>
      </c>
    </row>
    <row r="623" customFormat="false" ht="15" hidden="false" customHeight="false" outlineLevel="0" collapsed="false">
      <c r="A623" s="39" t="s">
        <v>3004</v>
      </c>
      <c r="B623" s="39" t="s">
        <v>3203</v>
      </c>
      <c r="C623" s="41" t="n">
        <v>74.4</v>
      </c>
    </row>
    <row r="624" customFormat="false" ht="15" hidden="false" customHeight="false" outlineLevel="0" collapsed="false">
      <c r="A624" s="39" t="s">
        <v>1501</v>
      </c>
      <c r="B624" s="39" t="s">
        <v>3205</v>
      </c>
      <c r="C624" s="41" t="n">
        <v>0.88</v>
      </c>
    </row>
    <row r="625" customFormat="false" ht="15" hidden="false" customHeight="false" outlineLevel="0" collapsed="false">
      <c r="A625" s="39" t="s">
        <v>205</v>
      </c>
      <c r="B625" s="39" t="s">
        <v>3203</v>
      </c>
      <c r="C625" s="41" t="n">
        <v>5.61</v>
      </c>
    </row>
    <row r="626" customFormat="false" ht="15" hidden="false" customHeight="false" outlineLevel="0" collapsed="false">
      <c r="A626" s="39" t="s">
        <v>442</v>
      </c>
      <c r="B626" s="39" t="s">
        <v>3205</v>
      </c>
      <c r="C626" s="41" t="n">
        <v>9.27</v>
      </c>
    </row>
    <row r="627" customFormat="false" ht="15" hidden="false" customHeight="false" outlineLevel="0" collapsed="false">
      <c r="A627" s="39" t="s">
        <v>2962</v>
      </c>
      <c r="B627" s="39" t="s">
        <v>3205</v>
      </c>
      <c r="C627" s="41" t="n">
        <v>15.04</v>
      </c>
    </row>
    <row r="628" customFormat="false" ht="15" hidden="false" customHeight="false" outlineLevel="0" collapsed="false">
      <c r="A628" s="39" t="s">
        <v>220</v>
      </c>
      <c r="B628" s="39" t="s">
        <v>3205</v>
      </c>
      <c r="C628" s="41" t="n">
        <v>19.77</v>
      </c>
    </row>
    <row r="629" customFormat="false" ht="15" hidden="false" customHeight="false" outlineLevel="0" collapsed="false">
      <c r="A629" s="39" t="s">
        <v>548</v>
      </c>
      <c r="B629" s="39" t="s">
        <v>3205</v>
      </c>
      <c r="C629" s="41" t="n">
        <v>2.71</v>
      </c>
    </row>
    <row r="630" customFormat="false" ht="15" hidden="false" customHeight="false" outlineLevel="0" collapsed="false">
      <c r="A630" s="39" t="s">
        <v>2835</v>
      </c>
      <c r="B630" s="39" t="s">
        <v>3206</v>
      </c>
      <c r="C630" s="41" t="n">
        <v>2.22</v>
      </c>
    </row>
    <row r="631" customFormat="false" ht="15" hidden="false" customHeight="false" outlineLevel="0" collapsed="false">
      <c r="A631" s="39" t="s">
        <v>604</v>
      </c>
      <c r="B631" s="39" t="s">
        <v>3203</v>
      </c>
      <c r="C631" s="41" t="n">
        <v>1.27</v>
      </c>
    </row>
    <row r="632" customFormat="false" ht="15" hidden="false" customHeight="false" outlineLevel="0" collapsed="false">
      <c r="A632" s="39" t="s">
        <v>596</v>
      </c>
      <c r="B632" s="39" t="s">
        <v>3205</v>
      </c>
      <c r="C632" s="41" t="n">
        <v>19.82</v>
      </c>
    </row>
    <row r="633" customFormat="false" ht="15" hidden="false" customHeight="false" outlineLevel="0" collapsed="false">
      <c r="A633" s="39" t="s">
        <v>1582</v>
      </c>
      <c r="B633" s="39" t="s">
        <v>3204</v>
      </c>
      <c r="C633" s="41" t="n">
        <v>5.35</v>
      </c>
    </row>
    <row r="634" customFormat="false" ht="15" hidden="false" customHeight="false" outlineLevel="0" collapsed="false">
      <c r="A634" s="39" t="s">
        <v>2497</v>
      </c>
      <c r="B634" s="39" t="s">
        <v>3206</v>
      </c>
      <c r="C634" s="41" t="n">
        <v>2.13</v>
      </c>
    </row>
    <row r="635" customFormat="false" ht="15" hidden="false" customHeight="false" outlineLevel="0" collapsed="false">
      <c r="A635" s="39" t="s">
        <v>652</v>
      </c>
      <c r="B635" s="39" t="s">
        <v>3204</v>
      </c>
      <c r="C635" s="41" t="n">
        <v>0.65</v>
      </c>
    </row>
    <row r="636" customFormat="false" ht="15" hidden="false" customHeight="false" outlineLevel="0" collapsed="false">
      <c r="A636" s="39" t="s">
        <v>337</v>
      </c>
      <c r="B636" s="39" t="s">
        <v>3205</v>
      </c>
      <c r="C636" s="41" t="n">
        <v>3.89</v>
      </c>
    </row>
    <row r="637" customFormat="false" ht="15" hidden="false" customHeight="false" outlineLevel="0" collapsed="false">
      <c r="A637" s="39" t="s">
        <v>1179</v>
      </c>
      <c r="B637" s="39" t="s">
        <v>3204</v>
      </c>
      <c r="C637" s="41" t="n">
        <v>9.02</v>
      </c>
    </row>
    <row r="638" customFormat="false" ht="15" hidden="false" customHeight="false" outlineLevel="0" collapsed="false">
      <c r="A638" s="39" t="s">
        <v>1928</v>
      </c>
      <c r="B638" s="39" t="s">
        <v>3204</v>
      </c>
      <c r="C638" s="41" t="n">
        <v>4.13</v>
      </c>
    </row>
    <row r="639" customFormat="false" ht="15" hidden="false" customHeight="false" outlineLevel="0" collapsed="false">
      <c r="A639" s="39" t="s">
        <v>663</v>
      </c>
      <c r="B639" s="39" t="s">
        <v>3206</v>
      </c>
      <c r="C639" s="41" t="n">
        <v>6.19</v>
      </c>
    </row>
    <row r="640" customFormat="false" ht="15" hidden="false" customHeight="false" outlineLevel="0" collapsed="false">
      <c r="A640" s="39" t="s">
        <v>2427</v>
      </c>
      <c r="B640" s="39" t="s">
        <v>3203</v>
      </c>
      <c r="C640" s="41" t="n">
        <v>2.32</v>
      </c>
    </row>
    <row r="641" customFormat="false" ht="15" hidden="false" customHeight="false" outlineLevel="0" collapsed="false">
      <c r="A641" s="39" t="s">
        <v>1838</v>
      </c>
      <c r="B641" s="39" t="s">
        <v>3203</v>
      </c>
      <c r="C641" s="41" t="n">
        <v>6.12</v>
      </c>
    </row>
    <row r="642" customFormat="false" ht="15" hidden="false" customHeight="false" outlineLevel="0" collapsed="false">
      <c r="A642" s="39" t="s">
        <v>203</v>
      </c>
      <c r="B642" s="39" t="s">
        <v>3206</v>
      </c>
      <c r="C642" s="41" t="n">
        <v>9.59</v>
      </c>
    </row>
    <row r="643" customFormat="false" ht="15" hidden="false" customHeight="false" outlineLevel="0" collapsed="false">
      <c r="A643" s="39" t="s">
        <v>971</v>
      </c>
      <c r="B643" s="39" t="s">
        <v>3206</v>
      </c>
      <c r="C643" s="41" t="n">
        <v>2.11</v>
      </c>
    </row>
    <row r="644" customFormat="false" ht="15" hidden="false" customHeight="false" outlineLevel="0" collapsed="false">
      <c r="A644" s="39" t="s">
        <v>250</v>
      </c>
      <c r="B644" s="39" t="s">
        <v>3204</v>
      </c>
      <c r="C644" s="41" t="n">
        <v>6.93</v>
      </c>
    </row>
    <row r="645" customFormat="false" ht="15" hidden="false" customHeight="false" outlineLevel="0" collapsed="false">
      <c r="A645" s="39" t="s">
        <v>2787</v>
      </c>
      <c r="B645" s="39" t="s">
        <v>3206</v>
      </c>
      <c r="C645" s="41" t="n">
        <v>2.79</v>
      </c>
    </row>
    <row r="646" customFormat="false" ht="15" hidden="false" customHeight="false" outlineLevel="0" collapsed="false">
      <c r="A646" s="39" t="s">
        <v>2855</v>
      </c>
      <c r="B646" s="39" t="s">
        <v>3205</v>
      </c>
      <c r="C646" s="41" t="n">
        <v>3.53</v>
      </c>
    </row>
    <row r="647" customFormat="false" ht="15" hidden="false" customHeight="false" outlineLevel="0" collapsed="false">
      <c r="A647" s="39" t="s">
        <v>1504</v>
      </c>
      <c r="B647" s="39" t="s">
        <v>3205</v>
      </c>
      <c r="C647" s="41" t="n">
        <v>0.46</v>
      </c>
    </row>
    <row r="648" customFormat="false" ht="15" hidden="false" customHeight="false" outlineLevel="0" collapsed="false">
      <c r="A648" s="39" t="s">
        <v>929</v>
      </c>
      <c r="B648" s="39" t="s">
        <v>3205</v>
      </c>
      <c r="C648" s="41" t="n">
        <v>3.91</v>
      </c>
    </row>
    <row r="649" customFormat="false" ht="15" hidden="false" customHeight="false" outlineLevel="0" collapsed="false">
      <c r="A649" s="39" t="s">
        <v>2128</v>
      </c>
      <c r="B649" s="39" t="s">
        <v>3204</v>
      </c>
      <c r="C649" s="41" t="n">
        <v>2.02</v>
      </c>
    </row>
    <row r="650" customFormat="false" ht="15" hidden="false" customHeight="false" outlineLevel="0" collapsed="false">
      <c r="A650" s="39" t="s">
        <v>603</v>
      </c>
      <c r="B650" s="39" t="s">
        <v>3205</v>
      </c>
      <c r="C650" s="41" t="n">
        <v>3.02</v>
      </c>
    </row>
    <row r="651" customFormat="false" ht="15" hidden="false" customHeight="false" outlineLevel="0" collapsed="false">
      <c r="A651" s="39" t="s">
        <v>1235</v>
      </c>
      <c r="B651" s="39" t="s">
        <v>3203</v>
      </c>
      <c r="C651" s="41" t="n">
        <v>12.24</v>
      </c>
    </row>
    <row r="652" customFormat="false" ht="15" hidden="false" customHeight="false" outlineLevel="0" collapsed="false">
      <c r="A652" s="39" t="s">
        <v>2723</v>
      </c>
      <c r="B652" s="39" t="s">
        <v>3205</v>
      </c>
      <c r="C652" s="41" t="n">
        <v>1.98</v>
      </c>
    </row>
    <row r="653" customFormat="false" ht="15" hidden="false" customHeight="false" outlineLevel="0" collapsed="false">
      <c r="A653" s="39" t="s">
        <v>1272</v>
      </c>
      <c r="B653" s="39" t="s">
        <v>3205</v>
      </c>
      <c r="C653" s="41" t="n">
        <v>3.98</v>
      </c>
    </row>
    <row r="654" customFormat="false" ht="15" hidden="false" customHeight="false" outlineLevel="0" collapsed="false">
      <c r="A654" s="39" t="s">
        <v>3175</v>
      </c>
      <c r="B654" s="39" t="s">
        <v>3205</v>
      </c>
      <c r="C654" s="41" t="n">
        <v>4.34</v>
      </c>
    </row>
    <row r="655" customFormat="false" ht="15" hidden="false" customHeight="false" outlineLevel="0" collapsed="false">
      <c r="A655" s="39" t="s">
        <v>897</v>
      </c>
      <c r="B655" s="39" t="s">
        <v>3206</v>
      </c>
      <c r="C655" s="41" t="n">
        <v>2.26</v>
      </c>
    </row>
    <row r="656" customFormat="false" ht="15" hidden="false" customHeight="false" outlineLevel="0" collapsed="false">
      <c r="A656" s="39" t="s">
        <v>2861</v>
      </c>
      <c r="B656" s="39" t="s">
        <v>3204</v>
      </c>
      <c r="C656" s="41" t="n">
        <v>0.71</v>
      </c>
    </row>
    <row r="657" customFormat="false" ht="15" hidden="false" customHeight="false" outlineLevel="0" collapsed="false">
      <c r="A657" s="39" t="s">
        <v>1555</v>
      </c>
      <c r="B657" s="39" t="s">
        <v>3206</v>
      </c>
      <c r="C657" s="41" t="n">
        <v>12.08</v>
      </c>
    </row>
    <row r="658" customFormat="false" ht="15" hidden="false" customHeight="false" outlineLevel="0" collapsed="false">
      <c r="A658" s="39" t="s">
        <v>1068</v>
      </c>
      <c r="B658" s="39" t="s">
        <v>3204</v>
      </c>
      <c r="C658" s="41" t="n">
        <v>1.91</v>
      </c>
    </row>
    <row r="659" customFormat="false" ht="15" hidden="false" customHeight="false" outlineLevel="0" collapsed="false">
      <c r="A659" s="39" t="s">
        <v>2554</v>
      </c>
      <c r="B659" s="39" t="s">
        <v>3204</v>
      </c>
      <c r="C659" s="41" t="n">
        <v>3.42</v>
      </c>
    </row>
    <row r="660" customFormat="false" ht="15" hidden="false" customHeight="false" outlineLevel="0" collapsed="false">
      <c r="A660" s="39" t="s">
        <v>478</v>
      </c>
      <c r="B660" s="39" t="s">
        <v>3206</v>
      </c>
      <c r="C660" s="41" t="n">
        <v>0.38</v>
      </c>
    </row>
    <row r="661" customFormat="false" ht="15" hidden="false" customHeight="false" outlineLevel="0" collapsed="false">
      <c r="A661" s="39" t="s">
        <v>2827</v>
      </c>
      <c r="B661" s="39" t="s">
        <v>3205</v>
      </c>
      <c r="C661" s="41" t="n">
        <v>5.65</v>
      </c>
    </row>
    <row r="662" customFormat="false" ht="15" hidden="false" customHeight="false" outlineLevel="0" collapsed="false">
      <c r="A662" s="39" t="s">
        <v>896</v>
      </c>
      <c r="B662" s="39" t="s">
        <v>3206</v>
      </c>
      <c r="C662" s="41" t="n">
        <v>1.35</v>
      </c>
    </row>
    <row r="663" customFormat="false" ht="15" hidden="false" customHeight="false" outlineLevel="0" collapsed="false">
      <c r="A663" s="39" t="s">
        <v>2411</v>
      </c>
      <c r="B663" s="39" t="s">
        <v>3204</v>
      </c>
      <c r="C663" s="41" t="n">
        <v>2.79</v>
      </c>
    </row>
    <row r="664" customFormat="false" ht="15" hidden="false" customHeight="false" outlineLevel="0" collapsed="false">
      <c r="A664" s="39" t="s">
        <v>2492</v>
      </c>
      <c r="B664" s="39" t="s">
        <v>3205</v>
      </c>
      <c r="C664" s="41" t="n">
        <v>3.56</v>
      </c>
    </row>
    <row r="665" customFormat="false" ht="15" hidden="false" customHeight="false" outlineLevel="0" collapsed="false">
      <c r="A665" s="39" t="s">
        <v>2370</v>
      </c>
      <c r="B665" s="39" t="s">
        <v>3203</v>
      </c>
      <c r="C665" s="41" t="n">
        <v>35.2</v>
      </c>
    </row>
    <row r="666" customFormat="false" ht="15" hidden="false" customHeight="false" outlineLevel="0" collapsed="false">
      <c r="A666" s="39" t="s">
        <v>1847</v>
      </c>
      <c r="B666" s="39" t="s">
        <v>3206</v>
      </c>
      <c r="C666" s="41" t="n">
        <v>1.92</v>
      </c>
    </row>
    <row r="667" customFormat="false" ht="15" hidden="false" customHeight="false" outlineLevel="0" collapsed="false">
      <c r="A667" s="39" t="s">
        <v>2870</v>
      </c>
      <c r="B667" s="39" t="s">
        <v>3203</v>
      </c>
      <c r="C667" s="41" t="n">
        <v>10.88</v>
      </c>
    </row>
    <row r="668" customFormat="false" ht="15" hidden="false" customHeight="false" outlineLevel="0" collapsed="false">
      <c r="A668" s="39" t="s">
        <v>1779</v>
      </c>
      <c r="B668" s="39" t="s">
        <v>3206</v>
      </c>
      <c r="C668" s="41" t="n">
        <v>5.37</v>
      </c>
    </row>
    <row r="669" customFormat="false" ht="15" hidden="false" customHeight="false" outlineLevel="0" collapsed="false">
      <c r="A669" s="39" t="s">
        <v>2834</v>
      </c>
      <c r="B669" s="39" t="s">
        <v>3205</v>
      </c>
      <c r="C669" s="41" t="n">
        <v>1.97</v>
      </c>
    </row>
    <row r="670" customFormat="false" ht="15" hidden="false" customHeight="false" outlineLevel="0" collapsed="false">
      <c r="A670" s="39" t="s">
        <v>1986</v>
      </c>
      <c r="B670" s="39" t="s">
        <v>3206</v>
      </c>
      <c r="C670" s="41" t="n">
        <v>4.35</v>
      </c>
    </row>
    <row r="671" customFormat="false" ht="15" hidden="false" customHeight="false" outlineLevel="0" collapsed="false">
      <c r="A671" s="39" t="s">
        <v>2163</v>
      </c>
      <c r="B671" s="39" t="s">
        <v>3204</v>
      </c>
      <c r="C671" s="41" t="n">
        <v>3.21</v>
      </c>
    </row>
    <row r="672" customFormat="false" ht="15" hidden="false" customHeight="false" outlineLevel="0" collapsed="false">
      <c r="A672" s="39" t="s">
        <v>1850</v>
      </c>
      <c r="B672" s="39" t="s">
        <v>3206</v>
      </c>
      <c r="C672" s="41" t="n">
        <v>17.84</v>
      </c>
    </row>
    <row r="673" customFormat="false" ht="15" hidden="false" customHeight="false" outlineLevel="0" collapsed="false">
      <c r="A673" s="39" t="s">
        <v>1607</v>
      </c>
      <c r="B673" s="39" t="s">
        <v>3206</v>
      </c>
      <c r="C673" s="41" t="n">
        <v>6.89</v>
      </c>
    </row>
    <row r="674" customFormat="false" ht="15" hidden="false" customHeight="false" outlineLevel="0" collapsed="false">
      <c r="A674" s="39" t="s">
        <v>1427</v>
      </c>
      <c r="B674" s="39" t="s">
        <v>3205</v>
      </c>
      <c r="C674" s="41" t="n">
        <v>2.55</v>
      </c>
    </row>
    <row r="675" customFormat="false" ht="15" hidden="false" customHeight="false" outlineLevel="0" collapsed="false">
      <c r="A675" s="39" t="s">
        <v>2224</v>
      </c>
      <c r="B675" s="39" t="s">
        <v>3204</v>
      </c>
      <c r="C675" s="41" t="n">
        <v>12.54</v>
      </c>
    </row>
    <row r="676" customFormat="false" ht="15" hidden="false" customHeight="false" outlineLevel="0" collapsed="false">
      <c r="A676" s="39" t="s">
        <v>736</v>
      </c>
      <c r="B676" s="39" t="s">
        <v>3203</v>
      </c>
      <c r="C676" s="41" t="n">
        <v>1.46</v>
      </c>
    </row>
    <row r="677" customFormat="false" ht="15" hidden="false" customHeight="false" outlineLevel="0" collapsed="false">
      <c r="A677" s="39" t="s">
        <v>2880</v>
      </c>
      <c r="B677" s="39" t="s">
        <v>3204</v>
      </c>
      <c r="C677" s="41" t="n">
        <v>8.52</v>
      </c>
    </row>
    <row r="678" customFormat="false" ht="15" hidden="false" customHeight="false" outlineLevel="0" collapsed="false">
      <c r="A678" s="39" t="s">
        <v>3039</v>
      </c>
      <c r="B678" s="39" t="s">
        <v>3204</v>
      </c>
      <c r="C678" s="41" t="n">
        <v>15.46</v>
      </c>
    </row>
    <row r="679" customFormat="false" ht="15" hidden="false" customHeight="false" outlineLevel="0" collapsed="false">
      <c r="A679" s="39" t="s">
        <v>2936</v>
      </c>
      <c r="B679" s="39" t="s">
        <v>3206</v>
      </c>
      <c r="C679" s="41" t="n">
        <v>0.65</v>
      </c>
    </row>
    <row r="680" customFormat="false" ht="15" hidden="false" customHeight="false" outlineLevel="0" collapsed="false">
      <c r="A680" s="39" t="s">
        <v>740</v>
      </c>
      <c r="B680" s="39" t="s">
        <v>3204</v>
      </c>
      <c r="C680" s="41" t="n">
        <v>10.83</v>
      </c>
    </row>
    <row r="681" customFormat="false" ht="15" hidden="false" customHeight="false" outlineLevel="0" collapsed="false">
      <c r="A681" s="39" t="s">
        <v>1971</v>
      </c>
      <c r="B681" s="39" t="s">
        <v>3206</v>
      </c>
      <c r="C681" s="41" t="n">
        <v>1.42</v>
      </c>
    </row>
    <row r="682" customFormat="false" ht="15" hidden="false" customHeight="false" outlineLevel="0" collapsed="false">
      <c r="A682" s="39" t="s">
        <v>2848</v>
      </c>
      <c r="B682" s="39" t="s">
        <v>3205</v>
      </c>
      <c r="C682" s="41" t="n">
        <v>10.12</v>
      </c>
    </row>
    <row r="683" customFormat="false" ht="15" hidden="false" customHeight="false" outlineLevel="0" collapsed="false">
      <c r="A683" s="39" t="s">
        <v>1292</v>
      </c>
      <c r="B683" s="39" t="s">
        <v>3206</v>
      </c>
      <c r="C683" s="41" t="n">
        <v>6.87</v>
      </c>
    </row>
    <row r="684" customFormat="false" ht="15" hidden="false" customHeight="false" outlineLevel="0" collapsed="false">
      <c r="A684" s="39" t="s">
        <v>2283</v>
      </c>
      <c r="B684" s="39" t="s">
        <v>3203</v>
      </c>
      <c r="C684" s="41" t="n">
        <v>15.34</v>
      </c>
    </row>
    <row r="685" customFormat="false" ht="15" hidden="false" customHeight="false" outlineLevel="0" collapsed="false">
      <c r="A685" s="39" t="s">
        <v>2461</v>
      </c>
      <c r="B685" s="39" t="s">
        <v>3205</v>
      </c>
      <c r="C685" s="41" t="n">
        <v>2</v>
      </c>
    </row>
    <row r="686" customFormat="false" ht="15" hidden="false" customHeight="false" outlineLevel="0" collapsed="false">
      <c r="A686" s="39" t="s">
        <v>1511</v>
      </c>
      <c r="B686" s="39" t="s">
        <v>3206</v>
      </c>
      <c r="C686" s="41" t="n">
        <v>15.34</v>
      </c>
    </row>
    <row r="687" customFormat="false" ht="15" hidden="false" customHeight="false" outlineLevel="0" collapsed="false">
      <c r="A687" s="39" t="s">
        <v>1618</v>
      </c>
      <c r="B687" s="39" t="s">
        <v>3206</v>
      </c>
      <c r="C687" s="41" t="n">
        <v>1.28</v>
      </c>
    </row>
    <row r="688" customFormat="false" ht="15" hidden="false" customHeight="false" outlineLevel="0" collapsed="false">
      <c r="A688" s="39" t="s">
        <v>1468</v>
      </c>
      <c r="B688" s="39" t="s">
        <v>3204</v>
      </c>
      <c r="C688" s="41" t="n">
        <v>0.7</v>
      </c>
    </row>
    <row r="689" customFormat="false" ht="15" hidden="false" customHeight="false" outlineLevel="0" collapsed="false">
      <c r="A689" s="39" t="s">
        <v>123</v>
      </c>
      <c r="B689" s="39" t="s">
        <v>3204</v>
      </c>
      <c r="C689" s="41" t="n">
        <v>1.19</v>
      </c>
    </row>
    <row r="690" customFormat="false" ht="15" hidden="false" customHeight="false" outlineLevel="0" collapsed="false">
      <c r="A690" s="39" t="s">
        <v>2926</v>
      </c>
      <c r="B690" s="39" t="s">
        <v>3205</v>
      </c>
      <c r="C690" s="41" t="n">
        <v>4.56</v>
      </c>
    </row>
    <row r="691" customFormat="false" ht="15" hidden="false" customHeight="false" outlineLevel="0" collapsed="false">
      <c r="A691" s="39" t="s">
        <v>2627</v>
      </c>
      <c r="B691" s="39" t="s">
        <v>3204</v>
      </c>
      <c r="C691" s="41" t="n">
        <v>2.06</v>
      </c>
    </row>
    <row r="692" customFormat="false" ht="15" hidden="false" customHeight="false" outlineLevel="0" collapsed="false">
      <c r="A692" s="39" t="s">
        <v>2660</v>
      </c>
      <c r="B692" s="39" t="s">
        <v>3204</v>
      </c>
      <c r="C692" s="41" t="n">
        <v>1.26</v>
      </c>
    </row>
    <row r="693" customFormat="false" ht="15" hidden="false" customHeight="false" outlineLevel="0" collapsed="false">
      <c r="A693" s="39" t="s">
        <v>1005</v>
      </c>
      <c r="B693" s="39" t="s">
        <v>3203</v>
      </c>
      <c r="C693" s="41" t="n">
        <v>24.2</v>
      </c>
    </row>
    <row r="694" customFormat="false" ht="15" hidden="false" customHeight="false" outlineLevel="0" collapsed="false">
      <c r="A694" s="39" t="s">
        <v>2185</v>
      </c>
      <c r="B694" s="39" t="s">
        <v>3203</v>
      </c>
      <c r="C694" s="41" t="n">
        <v>2.56</v>
      </c>
    </row>
    <row r="695" customFormat="false" ht="15" hidden="false" customHeight="false" outlineLevel="0" collapsed="false">
      <c r="A695" s="39" t="s">
        <v>1955</v>
      </c>
      <c r="B695" s="39" t="s">
        <v>3205</v>
      </c>
      <c r="C695" s="41" t="n">
        <v>13.33</v>
      </c>
    </row>
    <row r="696" customFormat="false" ht="15" hidden="false" customHeight="false" outlineLevel="0" collapsed="false">
      <c r="A696" s="39" t="s">
        <v>513</v>
      </c>
      <c r="B696" s="39" t="s">
        <v>3203</v>
      </c>
      <c r="C696" s="41" t="n">
        <v>3.51</v>
      </c>
    </row>
    <row r="697" customFormat="false" ht="15" hidden="false" customHeight="false" outlineLevel="0" collapsed="false">
      <c r="A697" s="39" t="s">
        <v>853</v>
      </c>
      <c r="B697" s="39" t="s">
        <v>3206</v>
      </c>
      <c r="C697" s="41" t="n">
        <v>3.75</v>
      </c>
    </row>
    <row r="698" customFormat="false" ht="15" hidden="false" customHeight="false" outlineLevel="0" collapsed="false">
      <c r="A698" s="39" t="s">
        <v>2284</v>
      </c>
      <c r="B698" s="39" t="s">
        <v>3204</v>
      </c>
      <c r="C698" s="41" t="n">
        <v>21.49</v>
      </c>
    </row>
    <row r="699" customFormat="false" ht="15" hidden="false" customHeight="false" outlineLevel="0" collapsed="false">
      <c r="A699" s="39" t="s">
        <v>2328</v>
      </c>
      <c r="B699" s="39" t="s">
        <v>3206</v>
      </c>
      <c r="C699" s="41" t="n">
        <v>0.25</v>
      </c>
    </row>
    <row r="700" customFormat="false" ht="15" hidden="false" customHeight="false" outlineLevel="0" collapsed="false">
      <c r="A700" s="39" t="s">
        <v>1250</v>
      </c>
      <c r="B700" s="39" t="s">
        <v>3205</v>
      </c>
      <c r="C700" s="41" t="n">
        <v>3.34</v>
      </c>
    </row>
    <row r="701" customFormat="false" ht="15" hidden="false" customHeight="false" outlineLevel="0" collapsed="false">
      <c r="A701" s="39" t="s">
        <v>1251</v>
      </c>
      <c r="B701" s="39" t="s">
        <v>3204</v>
      </c>
      <c r="C701" s="41" t="n">
        <v>5.12</v>
      </c>
    </row>
    <row r="702" customFormat="false" ht="15" hidden="false" customHeight="false" outlineLevel="0" collapsed="false">
      <c r="A702" s="39" t="s">
        <v>516</v>
      </c>
      <c r="B702" s="39" t="s">
        <v>3204</v>
      </c>
      <c r="C702" s="41" t="n">
        <v>0.47</v>
      </c>
    </row>
    <row r="703" customFormat="false" ht="15" hidden="false" customHeight="false" outlineLevel="0" collapsed="false">
      <c r="A703" s="39" t="s">
        <v>2468</v>
      </c>
      <c r="B703" s="39" t="s">
        <v>3205</v>
      </c>
      <c r="C703" s="41" t="n">
        <v>2.51</v>
      </c>
    </row>
    <row r="704" customFormat="false" ht="15" hidden="false" customHeight="false" outlineLevel="0" collapsed="false">
      <c r="A704" s="39" t="s">
        <v>2351</v>
      </c>
      <c r="B704" s="39" t="s">
        <v>3203</v>
      </c>
      <c r="C704" s="41" t="n">
        <v>6.98</v>
      </c>
    </row>
    <row r="705" customFormat="false" ht="15" hidden="false" customHeight="false" outlineLevel="0" collapsed="false">
      <c r="A705" s="39" t="s">
        <v>874</v>
      </c>
      <c r="B705" s="39" t="s">
        <v>3204</v>
      </c>
      <c r="C705" s="41" t="n">
        <v>1.95</v>
      </c>
    </row>
    <row r="706" customFormat="false" ht="15" hidden="false" customHeight="false" outlineLevel="0" collapsed="false">
      <c r="A706" s="39" t="s">
        <v>135</v>
      </c>
      <c r="B706" s="39" t="s">
        <v>3206</v>
      </c>
      <c r="C706" s="41" t="n">
        <v>21.92</v>
      </c>
    </row>
    <row r="707" customFormat="false" ht="15" hidden="false" customHeight="false" outlineLevel="0" collapsed="false">
      <c r="A707" s="39" t="s">
        <v>1640</v>
      </c>
      <c r="B707" s="39" t="s">
        <v>3206</v>
      </c>
      <c r="C707" s="41" t="n">
        <v>1.1</v>
      </c>
    </row>
    <row r="708" customFormat="false" ht="15" hidden="false" customHeight="false" outlineLevel="0" collapsed="false">
      <c r="A708" s="39" t="s">
        <v>1193</v>
      </c>
      <c r="B708" s="39" t="s">
        <v>3204</v>
      </c>
      <c r="C708" s="41" t="n">
        <v>7.76</v>
      </c>
    </row>
    <row r="709" customFormat="false" ht="15" hidden="false" customHeight="false" outlineLevel="0" collapsed="false">
      <c r="A709" s="39" t="s">
        <v>590</v>
      </c>
      <c r="B709" s="39" t="s">
        <v>3204</v>
      </c>
      <c r="C709" s="41" t="n">
        <v>2.75</v>
      </c>
    </row>
    <row r="710" customFormat="false" ht="15" hidden="false" customHeight="false" outlineLevel="0" collapsed="false">
      <c r="A710" s="39" t="s">
        <v>2253</v>
      </c>
      <c r="B710" s="39" t="s">
        <v>3204</v>
      </c>
      <c r="C710" s="41" t="n">
        <v>16.2</v>
      </c>
    </row>
    <row r="711" customFormat="false" ht="15" hidden="false" customHeight="false" outlineLevel="0" collapsed="false">
      <c r="A711" s="39" t="s">
        <v>124</v>
      </c>
      <c r="B711" s="39" t="s">
        <v>3204</v>
      </c>
      <c r="C711" s="41" t="n">
        <v>2.36</v>
      </c>
    </row>
    <row r="712" customFormat="false" ht="15" hidden="false" customHeight="false" outlineLevel="0" collapsed="false">
      <c r="A712" s="39" t="s">
        <v>1118</v>
      </c>
      <c r="B712" s="39" t="s">
        <v>3203</v>
      </c>
      <c r="C712" s="41" t="n">
        <v>4.26</v>
      </c>
    </row>
    <row r="713" customFormat="false" ht="15" hidden="false" customHeight="false" outlineLevel="0" collapsed="false">
      <c r="A713" s="39" t="s">
        <v>1209</v>
      </c>
      <c r="B713" s="39" t="s">
        <v>3206</v>
      </c>
      <c r="C713" s="41" t="n">
        <v>2.71</v>
      </c>
    </row>
    <row r="714" customFormat="false" ht="15" hidden="false" customHeight="false" outlineLevel="0" collapsed="false">
      <c r="A714" s="39" t="s">
        <v>1154</v>
      </c>
      <c r="B714" s="39" t="s">
        <v>3206</v>
      </c>
      <c r="C714" s="41" t="n">
        <v>23.89</v>
      </c>
    </row>
    <row r="715" customFormat="false" ht="15" hidden="false" customHeight="false" outlineLevel="0" collapsed="false">
      <c r="A715" s="39" t="s">
        <v>1036</v>
      </c>
      <c r="B715" s="39" t="s">
        <v>3206</v>
      </c>
      <c r="C715" s="41" t="n">
        <v>8.3</v>
      </c>
    </row>
    <row r="716" customFormat="false" ht="15" hidden="false" customHeight="false" outlineLevel="0" collapsed="false">
      <c r="A716" s="39" t="s">
        <v>109</v>
      </c>
      <c r="B716" s="39" t="s">
        <v>3206</v>
      </c>
      <c r="C716" s="41" t="n">
        <v>4.1</v>
      </c>
    </row>
    <row r="717" customFormat="false" ht="15" hidden="false" customHeight="false" outlineLevel="0" collapsed="false">
      <c r="A717" s="39" t="s">
        <v>2233</v>
      </c>
      <c r="B717" s="39" t="s">
        <v>3204</v>
      </c>
      <c r="C717" s="41" t="n">
        <v>10.05</v>
      </c>
    </row>
    <row r="718" customFormat="false" ht="15" hidden="false" customHeight="false" outlineLevel="0" collapsed="false">
      <c r="A718" s="39" t="s">
        <v>2720</v>
      </c>
      <c r="B718" s="39" t="s">
        <v>3204</v>
      </c>
      <c r="C718" s="41" t="n">
        <v>15.05</v>
      </c>
    </row>
    <row r="719" customFormat="false" ht="15" hidden="false" customHeight="false" outlineLevel="0" collapsed="false">
      <c r="A719" s="39" t="s">
        <v>2285</v>
      </c>
      <c r="B719" s="39" t="s">
        <v>3204</v>
      </c>
      <c r="C719" s="41" t="n">
        <v>4.44</v>
      </c>
    </row>
    <row r="720" customFormat="false" ht="15" hidden="false" customHeight="false" outlineLevel="0" collapsed="false">
      <c r="A720" s="39" t="s">
        <v>573</v>
      </c>
      <c r="B720" s="39" t="s">
        <v>3205</v>
      </c>
      <c r="C720" s="41" t="n">
        <v>0.77</v>
      </c>
    </row>
    <row r="721" customFormat="false" ht="15" hidden="false" customHeight="false" outlineLevel="0" collapsed="false">
      <c r="A721" s="39" t="s">
        <v>1523</v>
      </c>
      <c r="B721" s="39" t="s">
        <v>3203</v>
      </c>
      <c r="C721" s="41" t="n">
        <v>4.55</v>
      </c>
    </row>
    <row r="722" customFormat="false" ht="15" hidden="false" customHeight="false" outlineLevel="0" collapsed="false">
      <c r="A722" s="39" t="s">
        <v>1526</v>
      </c>
      <c r="B722" s="39" t="s">
        <v>3206</v>
      </c>
      <c r="C722" s="41" t="n">
        <v>5.02</v>
      </c>
    </row>
    <row r="723" customFormat="false" ht="15" hidden="false" customHeight="false" outlineLevel="0" collapsed="false">
      <c r="A723" s="39" t="s">
        <v>2347</v>
      </c>
      <c r="B723" s="39" t="s">
        <v>3203</v>
      </c>
      <c r="C723" s="41" t="n">
        <v>0.61</v>
      </c>
    </row>
    <row r="724" customFormat="false" ht="15" hidden="false" customHeight="false" outlineLevel="0" collapsed="false">
      <c r="A724" s="39" t="s">
        <v>1630</v>
      </c>
      <c r="B724" s="39" t="s">
        <v>3204</v>
      </c>
      <c r="C724" s="41" t="n">
        <v>6.78</v>
      </c>
    </row>
    <row r="725" customFormat="false" ht="15" hidden="false" customHeight="false" outlineLevel="0" collapsed="false">
      <c r="A725" s="39" t="s">
        <v>802</v>
      </c>
      <c r="B725" s="39" t="s">
        <v>3203</v>
      </c>
      <c r="C725" s="41" t="n">
        <v>4.98</v>
      </c>
    </row>
    <row r="726" customFormat="false" ht="15" hidden="false" customHeight="false" outlineLevel="0" collapsed="false">
      <c r="A726" s="39" t="s">
        <v>2386</v>
      </c>
      <c r="B726" s="39" t="s">
        <v>3206</v>
      </c>
      <c r="C726" s="41" t="n">
        <v>2.18</v>
      </c>
    </row>
    <row r="727" customFormat="false" ht="15" hidden="false" customHeight="false" outlineLevel="0" collapsed="false">
      <c r="A727" s="39" t="s">
        <v>624</v>
      </c>
      <c r="B727" s="39" t="s">
        <v>3204</v>
      </c>
      <c r="C727" s="41" t="n">
        <v>0.46</v>
      </c>
    </row>
    <row r="728" customFormat="false" ht="15" hidden="false" customHeight="false" outlineLevel="0" collapsed="false">
      <c r="A728" s="39" t="s">
        <v>1359</v>
      </c>
      <c r="B728" s="39" t="s">
        <v>3206</v>
      </c>
      <c r="C728" s="41" t="n">
        <v>3.98</v>
      </c>
    </row>
    <row r="729" customFormat="false" ht="15" hidden="false" customHeight="false" outlineLevel="0" collapsed="false">
      <c r="A729" s="39" t="s">
        <v>856</v>
      </c>
      <c r="B729" s="39" t="s">
        <v>3205</v>
      </c>
      <c r="C729" s="41" t="n">
        <v>0.36</v>
      </c>
    </row>
    <row r="730" customFormat="false" ht="15" hidden="false" customHeight="false" outlineLevel="0" collapsed="false">
      <c r="A730" s="39" t="s">
        <v>1728</v>
      </c>
      <c r="B730" s="39" t="s">
        <v>3204</v>
      </c>
      <c r="C730" s="41" t="n">
        <v>4.54</v>
      </c>
    </row>
    <row r="731" customFormat="false" ht="15" hidden="false" customHeight="false" outlineLevel="0" collapsed="false">
      <c r="A731" s="39" t="s">
        <v>1852</v>
      </c>
      <c r="B731" s="39" t="s">
        <v>3204</v>
      </c>
      <c r="C731" s="41" t="n">
        <v>2.23</v>
      </c>
    </row>
    <row r="732" customFormat="false" ht="15" hidden="false" customHeight="false" outlineLevel="0" collapsed="false">
      <c r="A732" s="39" t="s">
        <v>142</v>
      </c>
      <c r="B732" s="39" t="s">
        <v>3205</v>
      </c>
      <c r="C732" s="41" t="n">
        <v>1.12</v>
      </c>
    </row>
    <row r="733" customFormat="false" ht="15" hidden="false" customHeight="false" outlineLevel="0" collapsed="false">
      <c r="A733" s="39" t="s">
        <v>418</v>
      </c>
      <c r="B733" s="39" t="s">
        <v>3206</v>
      </c>
      <c r="C733" s="41" t="n">
        <v>1.45</v>
      </c>
    </row>
    <row r="734" customFormat="false" ht="15" hidden="false" customHeight="false" outlineLevel="0" collapsed="false">
      <c r="A734" s="39" t="s">
        <v>2560</v>
      </c>
      <c r="B734" s="39" t="s">
        <v>3206</v>
      </c>
      <c r="C734" s="41" t="n">
        <v>1.16</v>
      </c>
    </row>
    <row r="735" customFormat="false" ht="15" hidden="false" customHeight="false" outlineLevel="0" collapsed="false">
      <c r="A735" s="39" t="s">
        <v>2617</v>
      </c>
      <c r="B735" s="39" t="s">
        <v>3204</v>
      </c>
      <c r="C735" s="41" t="n">
        <v>1.8</v>
      </c>
    </row>
    <row r="736" customFormat="false" ht="15" hidden="false" customHeight="false" outlineLevel="0" collapsed="false">
      <c r="A736" s="39" t="s">
        <v>1788</v>
      </c>
      <c r="B736" s="39" t="s">
        <v>3206</v>
      </c>
      <c r="C736" s="41" t="n">
        <v>0.99</v>
      </c>
    </row>
    <row r="737" customFormat="false" ht="15" hidden="false" customHeight="false" outlineLevel="0" collapsed="false">
      <c r="A737" s="39" t="s">
        <v>267</v>
      </c>
      <c r="B737" s="39" t="s">
        <v>3204</v>
      </c>
      <c r="C737" s="41" t="n">
        <v>14.61</v>
      </c>
    </row>
    <row r="738" customFormat="false" ht="15" hidden="false" customHeight="false" outlineLevel="0" collapsed="false">
      <c r="A738" s="39" t="s">
        <v>387</v>
      </c>
      <c r="B738" s="39" t="s">
        <v>3203</v>
      </c>
      <c r="C738" s="41" t="n">
        <v>8.85</v>
      </c>
    </row>
    <row r="739" customFormat="false" ht="15" hidden="false" customHeight="false" outlineLevel="0" collapsed="false">
      <c r="A739" s="39" t="s">
        <v>2759</v>
      </c>
      <c r="B739" s="39" t="s">
        <v>3204</v>
      </c>
      <c r="C739" s="41" t="n">
        <v>6.79</v>
      </c>
    </row>
    <row r="740" customFormat="false" ht="15" hidden="false" customHeight="false" outlineLevel="0" collapsed="false">
      <c r="A740" s="39" t="s">
        <v>865</v>
      </c>
      <c r="B740" s="39" t="s">
        <v>3203</v>
      </c>
      <c r="C740" s="41" t="n">
        <v>10.69</v>
      </c>
    </row>
    <row r="741" customFormat="false" ht="15" hidden="false" customHeight="false" outlineLevel="0" collapsed="false">
      <c r="A741" s="39" t="s">
        <v>410</v>
      </c>
      <c r="B741" s="39" t="s">
        <v>3205</v>
      </c>
      <c r="C741" s="41" t="n">
        <v>0.88</v>
      </c>
    </row>
    <row r="742" customFormat="false" ht="15" hidden="false" customHeight="false" outlineLevel="0" collapsed="false">
      <c r="A742" s="39" t="s">
        <v>2775</v>
      </c>
      <c r="B742" s="39" t="s">
        <v>3205</v>
      </c>
      <c r="C742" s="41" t="n">
        <v>2.64</v>
      </c>
    </row>
    <row r="743" customFormat="false" ht="15" hidden="false" customHeight="false" outlineLevel="0" collapsed="false">
      <c r="A743" s="39" t="s">
        <v>1069</v>
      </c>
      <c r="B743" s="39" t="s">
        <v>3205</v>
      </c>
      <c r="C743" s="41" t="n">
        <v>8.42</v>
      </c>
    </row>
    <row r="744" customFormat="false" ht="15" hidden="false" customHeight="false" outlineLevel="0" collapsed="false">
      <c r="A744" s="39" t="s">
        <v>1485</v>
      </c>
      <c r="B744" s="39" t="s">
        <v>3206</v>
      </c>
      <c r="C744" s="41" t="n">
        <v>1.52</v>
      </c>
    </row>
    <row r="745" customFormat="false" ht="15" hidden="false" customHeight="false" outlineLevel="0" collapsed="false">
      <c r="A745" s="39" t="s">
        <v>1910</v>
      </c>
      <c r="B745" s="39" t="s">
        <v>3203</v>
      </c>
      <c r="C745" s="41" t="n">
        <v>6.38</v>
      </c>
    </row>
    <row r="746" customFormat="false" ht="15" hidden="false" customHeight="false" outlineLevel="0" collapsed="false">
      <c r="A746" s="39" t="s">
        <v>959</v>
      </c>
      <c r="B746" s="39" t="s">
        <v>3203</v>
      </c>
      <c r="C746" s="41" t="n">
        <v>1.9</v>
      </c>
    </row>
    <row r="747" customFormat="false" ht="15" hidden="false" customHeight="false" outlineLevel="0" collapsed="false">
      <c r="A747" s="39" t="s">
        <v>1456</v>
      </c>
      <c r="B747" s="39" t="s">
        <v>3204</v>
      </c>
      <c r="C747" s="41" t="n">
        <v>3</v>
      </c>
    </row>
    <row r="748" customFormat="false" ht="15" hidden="false" customHeight="false" outlineLevel="0" collapsed="false">
      <c r="A748" s="39" t="s">
        <v>2453</v>
      </c>
      <c r="B748" s="39" t="s">
        <v>3205</v>
      </c>
      <c r="C748" s="41" t="n">
        <v>3.29</v>
      </c>
    </row>
    <row r="749" customFormat="false" ht="15" hidden="false" customHeight="false" outlineLevel="0" collapsed="false">
      <c r="A749" s="39" t="s">
        <v>1224</v>
      </c>
      <c r="B749" s="39" t="s">
        <v>3203</v>
      </c>
      <c r="C749" s="41" t="n">
        <v>6.93</v>
      </c>
    </row>
    <row r="750" customFormat="false" ht="15" hidden="false" customHeight="false" outlineLevel="0" collapsed="false">
      <c r="A750" s="39" t="s">
        <v>2666</v>
      </c>
      <c r="B750" s="39" t="s">
        <v>3205</v>
      </c>
      <c r="C750" s="41" t="n">
        <v>0.41</v>
      </c>
    </row>
    <row r="751" customFormat="false" ht="15" hidden="false" customHeight="false" outlineLevel="0" collapsed="false">
      <c r="A751" s="39" t="s">
        <v>326</v>
      </c>
      <c r="B751" s="39" t="s">
        <v>3203</v>
      </c>
      <c r="C751" s="41" t="n">
        <v>1.06</v>
      </c>
    </row>
    <row r="752" customFormat="false" ht="15" hidden="false" customHeight="false" outlineLevel="0" collapsed="false">
      <c r="A752" s="39" t="s">
        <v>3024</v>
      </c>
      <c r="B752" s="39" t="s">
        <v>3204</v>
      </c>
      <c r="C752" s="41" t="n">
        <v>0.85</v>
      </c>
    </row>
    <row r="753" customFormat="false" ht="15" hidden="false" customHeight="false" outlineLevel="0" collapsed="false">
      <c r="A753" s="39" t="s">
        <v>1513</v>
      </c>
      <c r="B753" s="39" t="s">
        <v>3205</v>
      </c>
      <c r="C753" s="41" t="n">
        <v>4.42</v>
      </c>
    </row>
    <row r="754" customFormat="false" ht="15" hidden="false" customHeight="false" outlineLevel="0" collapsed="false">
      <c r="A754" s="39" t="s">
        <v>198</v>
      </c>
      <c r="B754" s="39" t="s">
        <v>3203</v>
      </c>
      <c r="C754" s="41" t="n">
        <v>11.3</v>
      </c>
    </row>
    <row r="755" customFormat="false" ht="15" hidden="false" customHeight="false" outlineLevel="0" collapsed="false">
      <c r="A755" s="39" t="s">
        <v>1241</v>
      </c>
      <c r="B755" s="39" t="s">
        <v>3205</v>
      </c>
      <c r="C755" s="41" t="n">
        <v>2.11</v>
      </c>
    </row>
    <row r="756" customFormat="false" ht="15" hidden="false" customHeight="false" outlineLevel="0" collapsed="false">
      <c r="A756" s="39" t="s">
        <v>2675</v>
      </c>
      <c r="B756" s="39" t="s">
        <v>3206</v>
      </c>
      <c r="C756" s="41" t="n">
        <v>4.19</v>
      </c>
    </row>
    <row r="757" customFormat="false" ht="15" hidden="false" customHeight="false" outlineLevel="0" collapsed="false">
      <c r="A757" s="39" t="s">
        <v>279</v>
      </c>
      <c r="B757" s="39" t="s">
        <v>3206</v>
      </c>
      <c r="C757" s="41" t="n">
        <v>19.4</v>
      </c>
    </row>
    <row r="758" customFormat="false" ht="15" hidden="false" customHeight="false" outlineLevel="0" collapsed="false">
      <c r="A758" s="39" t="s">
        <v>982</v>
      </c>
      <c r="B758" s="39" t="s">
        <v>3203</v>
      </c>
      <c r="C758" s="41" t="n">
        <v>0.5</v>
      </c>
    </row>
    <row r="759" customFormat="false" ht="15" hidden="false" customHeight="false" outlineLevel="0" collapsed="false">
      <c r="A759" s="39" t="s">
        <v>1842</v>
      </c>
      <c r="B759" s="39" t="s">
        <v>3203</v>
      </c>
      <c r="C759" s="41" t="n">
        <v>12.73</v>
      </c>
    </row>
    <row r="760" customFormat="false" ht="15" hidden="false" customHeight="false" outlineLevel="0" collapsed="false">
      <c r="A760" s="39" t="s">
        <v>2093</v>
      </c>
      <c r="B760" s="39" t="s">
        <v>3205</v>
      </c>
      <c r="C760" s="41" t="n">
        <v>0.47</v>
      </c>
    </row>
    <row r="761" customFormat="false" ht="15" hidden="false" customHeight="false" outlineLevel="0" collapsed="false">
      <c r="A761" s="39" t="s">
        <v>1386</v>
      </c>
      <c r="B761" s="39" t="s">
        <v>3206</v>
      </c>
      <c r="C761" s="41" t="n">
        <v>7.75</v>
      </c>
    </row>
    <row r="762" customFormat="false" ht="15" hidden="false" customHeight="false" outlineLevel="0" collapsed="false">
      <c r="A762" s="39" t="s">
        <v>1710</v>
      </c>
      <c r="B762" s="39" t="s">
        <v>3203</v>
      </c>
      <c r="C762" s="41" t="n">
        <v>4.34</v>
      </c>
    </row>
    <row r="763" customFormat="false" ht="15" hidden="false" customHeight="false" outlineLevel="0" collapsed="false">
      <c r="A763" s="39" t="s">
        <v>2268</v>
      </c>
      <c r="B763" s="39" t="s">
        <v>3205</v>
      </c>
      <c r="C763" s="41" t="n">
        <v>16.56</v>
      </c>
    </row>
    <row r="764" customFormat="false" ht="15" hidden="false" customHeight="false" outlineLevel="0" collapsed="false">
      <c r="A764" s="39" t="s">
        <v>459</v>
      </c>
      <c r="B764" s="39" t="s">
        <v>3204</v>
      </c>
      <c r="C764" s="41" t="n">
        <v>0.53</v>
      </c>
    </row>
    <row r="765" customFormat="false" ht="15" hidden="false" customHeight="false" outlineLevel="0" collapsed="false">
      <c r="A765" s="39" t="s">
        <v>2249</v>
      </c>
      <c r="B765" s="39" t="s">
        <v>3206</v>
      </c>
      <c r="C765" s="41" t="n">
        <v>0.37</v>
      </c>
    </row>
    <row r="766" customFormat="false" ht="15" hidden="false" customHeight="false" outlineLevel="0" collapsed="false">
      <c r="A766" s="39" t="s">
        <v>1389</v>
      </c>
      <c r="B766" s="39" t="s">
        <v>3203</v>
      </c>
      <c r="C766" s="41" t="n">
        <v>7.49</v>
      </c>
    </row>
    <row r="767" customFormat="false" ht="15" hidden="false" customHeight="false" outlineLevel="0" collapsed="false">
      <c r="A767" s="39" t="s">
        <v>1860</v>
      </c>
      <c r="B767" s="39" t="s">
        <v>3205</v>
      </c>
      <c r="C767" s="41" t="n">
        <v>6.49</v>
      </c>
    </row>
    <row r="768" customFormat="false" ht="15" hidden="false" customHeight="false" outlineLevel="0" collapsed="false">
      <c r="A768" s="39" t="s">
        <v>719</v>
      </c>
      <c r="B768" s="39" t="s">
        <v>3204</v>
      </c>
      <c r="C768" s="41" t="n">
        <v>5.48</v>
      </c>
    </row>
    <row r="769" customFormat="false" ht="15" hidden="false" customHeight="false" outlineLevel="0" collapsed="false">
      <c r="A769" s="39" t="s">
        <v>2938</v>
      </c>
      <c r="B769" s="39" t="s">
        <v>3203</v>
      </c>
      <c r="C769" s="41" t="n">
        <v>4.79</v>
      </c>
    </row>
    <row r="770" customFormat="false" ht="15" hidden="false" customHeight="false" outlineLevel="0" collapsed="false">
      <c r="A770" s="39" t="s">
        <v>1414</v>
      </c>
      <c r="B770" s="39" t="s">
        <v>3204</v>
      </c>
      <c r="C770" s="41" t="n">
        <v>4.73</v>
      </c>
    </row>
    <row r="771" customFormat="false" ht="15" hidden="false" customHeight="false" outlineLevel="0" collapsed="false">
      <c r="A771" s="39" t="s">
        <v>530</v>
      </c>
      <c r="B771" s="39" t="s">
        <v>3206</v>
      </c>
      <c r="C771" s="41" t="n">
        <v>42.05</v>
      </c>
    </row>
    <row r="772" customFormat="false" ht="15" hidden="false" customHeight="false" outlineLevel="0" collapsed="false">
      <c r="A772" s="39" t="s">
        <v>1993</v>
      </c>
      <c r="B772" s="39" t="s">
        <v>3206</v>
      </c>
      <c r="C772" s="41" t="n">
        <v>7.5</v>
      </c>
    </row>
    <row r="773" customFormat="false" ht="15" hidden="false" customHeight="false" outlineLevel="0" collapsed="false">
      <c r="A773" s="39" t="s">
        <v>2739</v>
      </c>
      <c r="B773" s="39" t="s">
        <v>3204</v>
      </c>
      <c r="C773" s="41" t="n">
        <v>9.57</v>
      </c>
    </row>
    <row r="774" customFormat="false" ht="15" hidden="false" customHeight="false" outlineLevel="0" collapsed="false">
      <c r="A774" s="39" t="s">
        <v>2522</v>
      </c>
      <c r="B774" s="39" t="s">
        <v>3205</v>
      </c>
      <c r="C774" s="41" t="n">
        <v>18.99</v>
      </c>
    </row>
    <row r="775" customFormat="false" ht="15" hidden="false" customHeight="false" outlineLevel="0" collapsed="false">
      <c r="A775" s="39" t="s">
        <v>3088</v>
      </c>
      <c r="B775" s="39" t="s">
        <v>3206</v>
      </c>
      <c r="C775" s="41" t="n">
        <v>1.75</v>
      </c>
    </row>
    <row r="776" customFormat="false" ht="15" hidden="false" customHeight="false" outlineLevel="0" collapsed="false">
      <c r="A776" s="39" t="s">
        <v>292</v>
      </c>
      <c r="B776" s="39" t="s">
        <v>3205</v>
      </c>
      <c r="C776" s="41" t="n">
        <v>28.97</v>
      </c>
    </row>
    <row r="777" customFormat="false" ht="15" hidden="false" customHeight="false" outlineLevel="0" collapsed="false">
      <c r="A777" s="39" t="s">
        <v>540</v>
      </c>
      <c r="B777" s="39" t="s">
        <v>3206</v>
      </c>
      <c r="C777" s="41" t="n">
        <v>2.58</v>
      </c>
    </row>
    <row r="778" customFormat="false" ht="15" hidden="false" customHeight="false" outlineLevel="0" collapsed="false">
      <c r="A778" s="39" t="s">
        <v>2934</v>
      </c>
      <c r="B778" s="39" t="s">
        <v>3204</v>
      </c>
      <c r="C778" s="41" t="n">
        <v>0.51</v>
      </c>
    </row>
    <row r="779" customFormat="false" ht="15" hidden="false" customHeight="false" outlineLevel="0" collapsed="false">
      <c r="A779" s="39" t="s">
        <v>1809</v>
      </c>
      <c r="B779" s="39" t="s">
        <v>3203</v>
      </c>
      <c r="C779" s="41" t="n">
        <v>7.7</v>
      </c>
    </row>
    <row r="780" customFormat="false" ht="15" hidden="false" customHeight="false" outlineLevel="0" collapsed="false">
      <c r="A780" s="39" t="s">
        <v>1827</v>
      </c>
      <c r="B780" s="39" t="s">
        <v>3204</v>
      </c>
      <c r="C780" s="41" t="n">
        <v>1.19</v>
      </c>
    </row>
    <row r="781" customFormat="false" ht="15" hidden="false" customHeight="false" outlineLevel="0" collapsed="false">
      <c r="A781" s="39" t="s">
        <v>1942</v>
      </c>
      <c r="B781" s="39" t="s">
        <v>3203</v>
      </c>
      <c r="C781" s="41" t="n">
        <v>0.94</v>
      </c>
    </row>
    <row r="782" customFormat="false" ht="15" hidden="false" customHeight="false" outlineLevel="0" collapsed="false">
      <c r="A782" s="39" t="s">
        <v>1825</v>
      </c>
      <c r="B782" s="39" t="s">
        <v>3206</v>
      </c>
      <c r="C782" s="41" t="n">
        <v>17.11</v>
      </c>
    </row>
    <row r="783" customFormat="false" ht="15" hidden="false" customHeight="false" outlineLevel="0" collapsed="false">
      <c r="A783" s="39" t="s">
        <v>1508</v>
      </c>
      <c r="B783" s="39" t="s">
        <v>3203</v>
      </c>
      <c r="C783" s="41" t="n">
        <v>7.2</v>
      </c>
    </row>
    <row r="784" customFormat="false" ht="15" hidden="false" customHeight="false" outlineLevel="0" collapsed="false">
      <c r="A784" s="39" t="s">
        <v>1011</v>
      </c>
      <c r="B784" s="39" t="s">
        <v>3205</v>
      </c>
      <c r="C784" s="41" t="n">
        <v>24.58</v>
      </c>
    </row>
    <row r="785" customFormat="false" ht="15" hidden="false" customHeight="false" outlineLevel="0" collapsed="false">
      <c r="A785" s="39" t="s">
        <v>1704</v>
      </c>
      <c r="B785" s="39" t="s">
        <v>3206</v>
      </c>
      <c r="C785" s="41" t="n">
        <v>1.59</v>
      </c>
    </row>
    <row r="786" customFormat="false" ht="15" hidden="false" customHeight="false" outlineLevel="0" collapsed="false">
      <c r="A786" s="39" t="s">
        <v>2918</v>
      </c>
      <c r="B786" s="39" t="s">
        <v>3203</v>
      </c>
      <c r="C786" s="41" t="n">
        <v>0.36</v>
      </c>
    </row>
    <row r="787" customFormat="false" ht="15" hidden="false" customHeight="false" outlineLevel="0" collapsed="false">
      <c r="A787" s="39" t="s">
        <v>2052</v>
      </c>
      <c r="B787" s="39" t="s">
        <v>3203</v>
      </c>
      <c r="C787" s="41" t="n">
        <v>5.69</v>
      </c>
    </row>
    <row r="788" customFormat="false" ht="15" hidden="false" customHeight="false" outlineLevel="0" collapsed="false">
      <c r="A788" s="39" t="s">
        <v>1397</v>
      </c>
      <c r="B788" s="39" t="s">
        <v>3203</v>
      </c>
      <c r="C788" s="41" t="n">
        <v>27.9</v>
      </c>
    </row>
    <row r="789" customFormat="false" ht="15" hidden="false" customHeight="false" outlineLevel="0" collapsed="false">
      <c r="A789" s="39" t="s">
        <v>535</v>
      </c>
      <c r="B789" s="39" t="s">
        <v>3206</v>
      </c>
      <c r="C789" s="41" t="n">
        <v>12.13</v>
      </c>
    </row>
    <row r="790" customFormat="false" ht="15" hidden="false" customHeight="false" outlineLevel="0" collapsed="false">
      <c r="A790" s="39" t="s">
        <v>2904</v>
      </c>
      <c r="B790" s="39" t="s">
        <v>3204</v>
      </c>
      <c r="C790" s="41" t="n">
        <v>0.5</v>
      </c>
    </row>
    <row r="791" customFormat="false" ht="15" hidden="false" customHeight="false" outlineLevel="0" collapsed="false">
      <c r="A791" s="39" t="s">
        <v>2631</v>
      </c>
      <c r="B791" s="39" t="s">
        <v>3204</v>
      </c>
      <c r="C791" s="41" t="n">
        <v>1.51</v>
      </c>
    </row>
    <row r="792" customFormat="false" ht="15" hidden="false" customHeight="false" outlineLevel="0" collapsed="false">
      <c r="A792" s="39" t="s">
        <v>2352</v>
      </c>
      <c r="B792" s="39" t="s">
        <v>3205</v>
      </c>
      <c r="C792" s="41" t="n">
        <v>4.35</v>
      </c>
    </row>
    <row r="793" customFormat="false" ht="15" hidden="false" customHeight="false" outlineLevel="0" collapsed="false">
      <c r="A793" s="39" t="s">
        <v>2114</v>
      </c>
      <c r="B793" s="39" t="s">
        <v>3204</v>
      </c>
      <c r="C793" s="41" t="n">
        <v>4.69</v>
      </c>
    </row>
    <row r="794" customFormat="false" ht="15" hidden="false" customHeight="false" outlineLevel="0" collapsed="false">
      <c r="A794" s="39" t="s">
        <v>2310</v>
      </c>
      <c r="B794" s="39" t="s">
        <v>3206</v>
      </c>
      <c r="C794" s="41" t="n">
        <v>1.84</v>
      </c>
    </row>
    <row r="795" customFormat="false" ht="15" hidden="false" customHeight="false" outlineLevel="0" collapsed="false">
      <c r="A795" s="39" t="s">
        <v>2796</v>
      </c>
      <c r="B795" s="39" t="s">
        <v>3206</v>
      </c>
      <c r="C795" s="41" t="n">
        <v>5.28</v>
      </c>
    </row>
    <row r="796" customFormat="false" ht="15" hidden="false" customHeight="false" outlineLevel="0" collapsed="false">
      <c r="A796" s="39" t="s">
        <v>225</v>
      </c>
      <c r="B796" s="39" t="s">
        <v>3205</v>
      </c>
      <c r="C796" s="41" t="n">
        <v>1.45</v>
      </c>
    </row>
    <row r="797" customFormat="false" ht="15" hidden="false" customHeight="false" outlineLevel="0" collapsed="false">
      <c r="A797" s="39" t="s">
        <v>1137</v>
      </c>
      <c r="B797" s="39" t="s">
        <v>3203</v>
      </c>
      <c r="C797" s="41" t="n">
        <v>1.1</v>
      </c>
    </row>
    <row r="798" customFormat="false" ht="15" hidden="false" customHeight="false" outlineLevel="0" collapsed="false">
      <c r="A798" s="39" t="s">
        <v>680</v>
      </c>
      <c r="B798" s="39" t="s">
        <v>3205</v>
      </c>
      <c r="C798" s="41" t="n">
        <v>0.47</v>
      </c>
    </row>
    <row r="799" customFormat="false" ht="15" hidden="false" customHeight="false" outlineLevel="0" collapsed="false">
      <c r="A799" s="39" t="s">
        <v>852</v>
      </c>
      <c r="B799" s="39" t="s">
        <v>3204</v>
      </c>
      <c r="C799" s="41" t="n">
        <v>2.75</v>
      </c>
    </row>
    <row r="800" customFormat="false" ht="15" hidden="false" customHeight="false" outlineLevel="0" collapsed="false">
      <c r="A800" s="39" t="s">
        <v>1401</v>
      </c>
      <c r="B800" s="39" t="s">
        <v>3206</v>
      </c>
      <c r="C800" s="41" t="n">
        <v>6.09</v>
      </c>
    </row>
    <row r="801" customFormat="false" ht="15" hidden="false" customHeight="false" outlineLevel="0" collapsed="false">
      <c r="A801" s="39" t="s">
        <v>2364</v>
      </c>
      <c r="B801" s="39" t="s">
        <v>3205</v>
      </c>
      <c r="C801" s="41" t="n">
        <v>3.67</v>
      </c>
    </row>
    <row r="802" customFormat="false" ht="15" hidden="false" customHeight="false" outlineLevel="0" collapsed="false">
      <c r="A802" s="39" t="s">
        <v>1654</v>
      </c>
      <c r="B802" s="39" t="s">
        <v>3205</v>
      </c>
      <c r="C802" s="41" t="n">
        <v>1.07</v>
      </c>
    </row>
    <row r="803" customFormat="false" ht="15" hidden="false" customHeight="false" outlineLevel="0" collapsed="false">
      <c r="A803" s="39" t="s">
        <v>3010</v>
      </c>
      <c r="B803" s="39" t="s">
        <v>3203</v>
      </c>
      <c r="C803" s="41" t="n">
        <v>15.24</v>
      </c>
    </row>
    <row r="804" customFormat="false" ht="15" hidden="false" customHeight="false" outlineLevel="0" collapsed="false">
      <c r="A804" s="39" t="s">
        <v>2294</v>
      </c>
      <c r="B804" s="39" t="s">
        <v>3205</v>
      </c>
      <c r="C804" s="41" t="n">
        <v>0.47</v>
      </c>
    </row>
    <row r="805" customFormat="false" ht="15" hidden="false" customHeight="false" outlineLevel="0" collapsed="false">
      <c r="A805" s="39" t="s">
        <v>3049</v>
      </c>
      <c r="B805" s="39" t="s">
        <v>3204</v>
      </c>
      <c r="C805" s="41" t="n">
        <v>4.56</v>
      </c>
    </row>
    <row r="806" customFormat="false" ht="15" hidden="false" customHeight="false" outlineLevel="0" collapsed="false">
      <c r="A806" s="39" t="s">
        <v>1245</v>
      </c>
      <c r="B806" s="39" t="s">
        <v>3204</v>
      </c>
      <c r="C806" s="41" t="n">
        <v>0.46</v>
      </c>
    </row>
    <row r="807" customFormat="false" ht="15" hidden="false" customHeight="false" outlineLevel="0" collapsed="false">
      <c r="A807" s="39" t="s">
        <v>2062</v>
      </c>
      <c r="B807" s="39" t="s">
        <v>3205</v>
      </c>
      <c r="C807" s="41" t="n">
        <v>0.65</v>
      </c>
    </row>
    <row r="808" customFormat="false" ht="15" hidden="false" customHeight="false" outlineLevel="0" collapsed="false">
      <c r="A808" s="39" t="s">
        <v>1982</v>
      </c>
      <c r="B808" s="39" t="s">
        <v>3206</v>
      </c>
      <c r="C808" s="41" t="n">
        <v>0.93</v>
      </c>
    </row>
    <row r="809" customFormat="false" ht="15" hidden="false" customHeight="false" outlineLevel="0" collapsed="false">
      <c r="A809" s="39" t="s">
        <v>431</v>
      </c>
      <c r="B809" s="39" t="s">
        <v>3205</v>
      </c>
      <c r="C809" s="41" t="n">
        <v>8.27</v>
      </c>
    </row>
    <row r="810" customFormat="false" ht="15" hidden="false" customHeight="false" outlineLevel="0" collapsed="false">
      <c r="A810" s="39" t="s">
        <v>140</v>
      </c>
      <c r="B810" s="39" t="s">
        <v>3205</v>
      </c>
      <c r="C810" s="41" t="n">
        <v>2.87</v>
      </c>
    </row>
    <row r="811" customFormat="false" ht="15" hidden="false" customHeight="false" outlineLevel="0" collapsed="false">
      <c r="A811" s="39" t="s">
        <v>2604</v>
      </c>
      <c r="B811" s="39" t="s">
        <v>3206</v>
      </c>
      <c r="C811" s="41" t="n">
        <v>0.86</v>
      </c>
    </row>
    <row r="812" customFormat="false" ht="15" hidden="false" customHeight="false" outlineLevel="0" collapsed="false">
      <c r="A812" s="39" t="s">
        <v>1474</v>
      </c>
      <c r="B812" s="39" t="s">
        <v>3205</v>
      </c>
      <c r="C812" s="41" t="n">
        <v>1.51</v>
      </c>
    </row>
    <row r="813" customFormat="false" ht="15" hidden="false" customHeight="false" outlineLevel="0" collapsed="false">
      <c r="A813" s="39" t="s">
        <v>1969</v>
      </c>
      <c r="B813" s="39" t="s">
        <v>3206</v>
      </c>
      <c r="C813" s="41" t="n">
        <v>22.36</v>
      </c>
    </row>
    <row r="814" customFormat="false" ht="15" hidden="false" customHeight="false" outlineLevel="0" collapsed="false">
      <c r="A814" s="39" t="s">
        <v>1158</v>
      </c>
      <c r="B814" s="39" t="s">
        <v>3205</v>
      </c>
      <c r="C814" s="41" t="n">
        <v>9</v>
      </c>
    </row>
    <row r="815" customFormat="false" ht="15" hidden="false" customHeight="false" outlineLevel="0" collapsed="false">
      <c r="A815" s="39" t="s">
        <v>1948</v>
      </c>
      <c r="B815" s="39" t="s">
        <v>3203</v>
      </c>
      <c r="C815" s="41" t="n">
        <v>2.29</v>
      </c>
    </row>
    <row r="816" customFormat="false" ht="15" hidden="false" customHeight="false" outlineLevel="0" collapsed="false">
      <c r="A816" s="39" t="s">
        <v>1063</v>
      </c>
      <c r="B816" s="39" t="s">
        <v>3206</v>
      </c>
      <c r="C816" s="41" t="n">
        <v>13.98</v>
      </c>
    </row>
    <row r="817" customFormat="false" ht="15" hidden="false" customHeight="false" outlineLevel="0" collapsed="false">
      <c r="A817" s="39" t="s">
        <v>2860</v>
      </c>
      <c r="B817" s="39" t="s">
        <v>3205</v>
      </c>
      <c r="C817" s="41" t="n">
        <v>0.57</v>
      </c>
    </row>
    <row r="818" customFormat="false" ht="15" hidden="false" customHeight="false" outlineLevel="0" collapsed="false">
      <c r="A818" s="39" t="s">
        <v>2869</v>
      </c>
      <c r="B818" s="39" t="s">
        <v>3204</v>
      </c>
      <c r="C818" s="41" t="n">
        <v>3.12</v>
      </c>
    </row>
    <row r="819" customFormat="false" ht="15" hidden="false" customHeight="false" outlineLevel="0" collapsed="false">
      <c r="A819" s="39" t="s">
        <v>176</v>
      </c>
      <c r="B819" s="39" t="s">
        <v>3204</v>
      </c>
      <c r="C819" s="41" t="n">
        <v>5.91</v>
      </c>
    </row>
    <row r="820" customFormat="false" ht="15" hidden="false" customHeight="false" outlineLevel="0" collapsed="false">
      <c r="A820" s="39" t="s">
        <v>1169</v>
      </c>
      <c r="B820" s="39" t="s">
        <v>3204</v>
      </c>
      <c r="C820" s="41" t="n">
        <v>4.08</v>
      </c>
    </row>
    <row r="821" customFormat="false" ht="15" hidden="false" customHeight="false" outlineLevel="0" collapsed="false">
      <c r="A821" s="39" t="s">
        <v>1226</v>
      </c>
      <c r="B821" s="39" t="s">
        <v>3204</v>
      </c>
      <c r="C821" s="41" t="n">
        <v>4.04</v>
      </c>
    </row>
    <row r="822" customFormat="false" ht="15" hidden="false" customHeight="false" outlineLevel="0" collapsed="false">
      <c r="A822" s="39" t="s">
        <v>2247</v>
      </c>
      <c r="B822" s="39" t="s">
        <v>3203</v>
      </c>
      <c r="C822" s="41" t="n">
        <v>1.08</v>
      </c>
    </row>
    <row r="823" customFormat="false" ht="15" hidden="false" customHeight="false" outlineLevel="0" collapsed="false">
      <c r="A823" s="39" t="s">
        <v>2917</v>
      </c>
      <c r="B823" s="39" t="s">
        <v>3203</v>
      </c>
      <c r="C823" s="41" t="n">
        <v>15.66</v>
      </c>
    </row>
    <row r="824" customFormat="false" ht="15" hidden="false" customHeight="false" outlineLevel="0" collapsed="false">
      <c r="A824" s="39" t="s">
        <v>2563</v>
      </c>
      <c r="B824" s="39" t="s">
        <v>3204</v>
      </c>
      <c r="C824" s="41" t="n">
        <v>3.48</v>
      </c>
    </row>
    <row r="825" customFormat="false" ht="15" hidden="false" customHeight="false" outlineLevel="0" collapsed="false">
      <c r="A825" s="39" t="s">
        <v>2623</v>
      </c>
      <c r="B825" s="39" t="s">
        <v>3205</v>
      </c>
      <c r="C825" s="41" t="n">
        <v>1.2</v>
      </c>
    </row>
    <row r="826" customFormat="false" ht="15" hidden="false" customHeight="false" outlineLevel="0" collapsed="false">
      <c r="A826" s="39" t="s">
        <v>3106</v>
      </c>
      <c r="B826" s="39" t="s">
        <v>3205</v>
      </c>
      <c r="C826" s="41" t="n">
        <v>0.64</v>
      </c>
    </row>
    <row r="827" customFormat="false" ht="15" hidden="false" customHeight="false" outlineLevel="0" collapsed="false">
      <c r="A827" s="39" t="s">
        <v>592</v>
      </c>
      <c r="B827" s="39" t="s">
        <v>3204</v>
      </c>
      <c r="C827" s="41" t="n">
        <v>29.84</v>
      </c>
    </row>
    <row r="828" customFormat="false" ht="15" hidden="false" customHeight="false" outlineLevel="0" collapsed="false">
      <c r="A828" s="39" t="s">
        <v>425</v>
      </c>
      <c r="B828" s="39" t="s">
        <v>3206</v>
      </c>
      <c r="C828" s="41" t="n">
        <v>8.93</v>
      </c>
    </row>
    <row r="829" customFormat="false" ht="15" hidden="false" customHeight="false" outlineLevel="0" collapsed="false">
      <c r="A829" s="39" t="s">
        <v>423</v>
      </c>
      <c r="B829" s="39" t="s">
        <v>3204</v>
      </c>
      <c r="C829" s="41" t="n">
        <v>1.14</v>
      </c>
    </row>
    <row r="830" customFormat="false" ht="15" hidden="false" customHeight="false" outlineLevel="0" collapsed="false">
      <c r="A830" s="39" t="s">
        <v>1452</v>
      </c>
      <c r="B830" s="39" t="s">
        <v>3203</v>
      </c>
      <c r="C830" s="41" t="n">
        <v>1.99</v>
      </c>
    </row>
    <row r="831" customFormat="false" ht="15" hidden="false" customHeight="false" outlineLevel="0" collapsed="false">
      <c r="A831" s="39" t="s">
        <v>1057</v>
      </c>
      <c r="B831" s="39" t="s">
        <v>3205</v>
      </c>
      <c r="C831" s="41" t="n">
        <v>2.11</v>
      </c>
    </row>
    <row r="832" customFormat="false" ht="15" hidden="false" customHeight="false" outlineLevel="0" collapsed="false">
      <c r="A832" s="39" t="s">
        <v>1294</v>
      </c>
      <c r="B832" s="39" t="s">
        <v>3204</v>
      </c>
      <c r="C832" s="41" t="n">
        <v>4</v>
      </c>
    </row>
    <row r="833" customFormat="false" ht="15" hidden="false" customHeight="false" outlineLevel="0" collapsed="false">
      <c r="A833" s="39" t="s">
        <v>1431</v>
      </c>
      <c r="B833" s="39" t="s">
        <v>3203</v>
      </c>
      <c r="C833" s="41" t="n">
        <v>0.83</v>
      </c>
    </row>
    <row r="834" customFormat="false" ht="15" hidden="false" customHeight="false" outlineLevel="0" collapsed="false">
      <c r="A834" s="39" t="s">
        <v>2279</v>
      </c>
      <c r="B834" s="39" t="s">
        <v>3203</v>
      </c>
      <c r="C834" s="41" t="n">
        <v>29.74</v>
      </c>
    </row>
    <row r="835" customFormat="false" ht="15" hidden="false" customHeight="false" outlineLevel="0" collapsed="false">
      <c r="A835" s="39" t="s">
        <v>2363</v>
      </c>
      <c r="B835" s="39" t="s">
        <v>3205</v>
      </c>
      <c r="C835" s="41" t="n">
        <v>3</v>
      </c>
    </row>
    <row r="836" customFormat="false" ht="15" hidden="false" customHeight="false" outlineLevel="0" collapsed="false">
      <c r="A836" s="39" t="s">
        <v>1028</v>
      </c>
      <c r="B836" s="39" t="s">
        <v>3205</v>
      </c>
      <c r="C836" s="41" t="n">
        <v>3.41</v>
      </c>
    </row>
    <row r="837" customFormat="false" ht="15" hidden="false" customHeight="false" outlineLevel="0" collapsed="false">
      <c r="A837" s="39" t="s">
        <v>2946</v>
      </c>
      <c r="B837" s="39" t="s">
        <v>3205</v>
      </c>
      <c r="C837" s="41" t="n">
        <v>3.6</v>
      </c>
    </row>
    <row r="838" customFormat="false" ht="15" hidden="false" customHeight="false" outlineLevel="0" collapsed="false">
      <c r="A838" s="39" t="s">
        <v>601</v>
      </c>
      <c r="B838" s="39" t="s">
        <v>3206</v>
      </c>
      <c r="C838" s="41" t="n">
        <v>7.77</v>
      </c>
    </row>
    <row r="839" customFormat="false" ht="15" hidden="false" customHeight="false" outlineLevel="0" collapsed="false">
      <c r="A839" s="39" t="s">
        <v>1378</v>
      </c>
      <c r="B839" s="39" t="s">
        <v>3204</v>
      </c>
      <c r="C839" s="41" t="n">
        <v>0.56</v>
      </c>
    </row>
    <row r="840" customFormat="false" ht="15" hidden="false" customHeight="false" outlineLevel="0" collapsed="false">
      <c r="A840" s="39" t="s">
        <v>2743</v>
      </c>
      <c r="B840" s="39" t="s">
        <v>3203</v>
      </c>
      <c r="C840" s="41" t="n">
        <v>1.75</v>
      </c>
    </row>
    <row r="841" customFormat="false" ht="15" hidden="false" customHeight="false" outlineLevel="0" collapsed="false">
      <c r="A841" s="39" t="s">
        <v>2825</v>
      </c>
      <c r="B841" s="39" t="s">
        <v>3205</v>
      </c>
      <c r="C841" s="41" t="n">
        <v>3.02</v>
      </c>
    </row>
    <row r="842" customFormat="false" ht="15" hidden="false" customHeight="false" outlineLevel="0" collapsed="false">
      <c r="A842" s="39" t="s">
        <v>3033</v>
      </c>
      <c r="B842" s="39" t="s">
        <v>3206</v>
      </c>
      <c r="C842" s="41" t="n">
        <v>1.44</v>
      </c>
    </row>
    <row r="843" customFormat="false" ht="15" hidden="false" customHeight="false" outlineLevel="0" collapsed="false">
      <c r="A843" s="39" t="s">
        <v>2779</v>
      </c>
      <c r="B843" s="39" t="s">
        <v>3205</v>
      </c>
      <c r="C843" s="41" t="n">
        <v>29.51</v>
      </c>
    </row>
    <row r="844" customFormat="false" ht="15" hidden="false" customHeight="false" outlineLevel="0" collapsed="false">
      <c r="A844" s="39" t="s">
        <v>2350</v>
      </c>
      <c r="B844" s="39" t="s">
        <v>3206</v>
      </c>
      <c r="C844" s="41" t="n">
        <v>1.44</v>
      </c>
    </row>
    <row r="845" customFormat="false" ht="15" hidden="false" customHeight="false" outlineLevel="0" collapsed="false">
      <c r="A845" s="39" t="s">
        <v>2788</v>
      </c>
      <c r="B845" s="39" t="s">
        <v>3204</v>
      </c>
      <c r="C845" s="41" t="n">
        <v>14.66</v>
      </c>
    </row>
    <row r="846" customFormat="false" ht="15" hidden="false" customHeight="false" outlineLevel="0" collapsed="false">
      <c r="A846" s="39" t="s">
        <v>576</v>
      </c>
      <c r="B846" s="39" t="s">
        <v>3203</v>
      </c>
      <c r="C846" s="41" t="n">
        <v>12.67</v>
      </c>
    </row>
    <row r="847" customFormat="false" ht="15" hidden="false" customHeight="false" outlineLevel="0" collapsed="false">
      <c r="A847" s="39" t="s">
        <v>2024</v>
      </c>
      <c r="B847" s="39" t="s">
        <v>3206</v>
      </c>
      <c r="C847" s="41" t="n">
        <v>6.45</v>
      </c>
    </row>
    <row r="848" customFormat="false" ht="15" hidden="false" customHeight="false" outlineLevel="0" collapsed="false">
      <c r="A848" s="39" t="s">
        <v>2713</v>
      </c>
      <c r="B848" s="39" t="s">
        <v>3203</v>
      </c>
      <c r="C848" s="41" t="n">
        <v>3.67</v>
      </c>
    </row>
    <row r="849" customFormat="false" ht="15" hidden="false" customHeight="false" outlineLevel="0" collapsed="false">
      <c r="A849" s="39" t="s">
        <v>3076</v>
      </c>
      <c r="B849" s="39" t="s">
        <v>3205</v>
      </c>
      <c r="C849" s="41" t="n">
        <v>1.65</v>
      </c>
    </row>
    <row r="850" customFormat="false" ht="15" hidden="false" customHeight="false" outlineLevel="0" collapsed="false">
      <c r="A850" s="39" t="s">
        <v>497</v>
      </c>
      <c r="B850" s="39" t="s">
        <v>3204</v>
      </c>
      <c r="C850" s="41" t="n">
        <v>4.76</v>
      </c>
    </row>
    <row r="851" customFormat="false" ht="15" hidden="false" customHeight="false" outlineLevel="0" collapsed="false">
      <c r="A851" s="39" t="s">
        <v>301</v>
      </c>
      <c r="B851" s="39" t="s">
        <v>3203</v>
      </c>
      <c r="C851" s="41" t="n">
        <v>5.17</v>
      </c>
    </row>
    <row r="852" customFormat="false" ht="15" hidden="false" customHeight="false" outlineLevel="0" collapsed="false">
      <c r="A852" s="39" t="s">
        <v>2703</v>
      </c>
      <c r="B852" s="39" t="s">
        <v>3205</v>
      </c>
      <c r="C852" s="41" t="n">
        <v>5.42</v>
      </c>
    </row>
    <row r="853" customFormat="false" ht="15" hidden="false" customHeight="false" outlineLevel="0" collapsed="false">
      <c r="A853" s="39" t="s">
        <v>1793</v>
      </c>
      <c r="B853" s="39" t="s">
        <v>3204</v>
      </c>
      <c r="C853" s="41" t="n">
        <v>1.95</v>
      </c>
    </row>
    <row r="854" customFormat="false" ht="15" hidden="false" customHeight="false" outlineLevel="0" collapsed="false">
      <c r="A854" s="39" t="s">
        <v>1727</v>
      </c>
      <c r="B854" s="39" t="s">
        <v>3205</v>
      </c>
      <c r="C854" s="41" t="n">
        <v>1.5</v>
      </c>
    </row>
    <row r="855" customFormat="false" ht="15" hidden="false" customHeight="false" outlineLevel="0" collapsed="false">
      <c r="A855" s="39" t="s">
        <v>172</v>
      </c>
      <c r="B855" s="39" t="s">
        <v>3203</v>
      </c>
      <c r="C855" s="41" t="n">
        <v>4.25</v>
      </c>
    </row>
    <row r="856" customFormat="false" ht="15" hidden="false" customHeight="false" outlineLevel="0" collapsed="false">
      <c r="A856" s="39" t="s">
        <v>714</v>
      </c>
      <c r="B856" s="39" t="s">
        <v>3206</v>
      </c>
      <c r="C856" s="41" t="n">
        <v>13.97</v>
      </c>
    </row>
    <row r="857" customFormat="false" ht="15" hidden="false" customHeight="false" outlineLevel="0" collapsed="false">
      <c r="A857" s="39" t="s">
        <v>1647</v>
      </c>
      <c r="B857" s="39" t="s">
        <v>3204</v>
      </c>
      <c r="C857" s="41" t="n">
        <v>15.15</v>
      </c>
    </row>
    <row r="858" customFormat="false" ht="15" hidden="false" customHeight="false" outlineLevel="0" collapsed="false">
      <c r="A858" s="39" t="s">
        <v>2490</v>
      </c>
      <c r="B858" s="39" t="s">
        <v>3205</v>
      </c>
      <c r="C858" s="41" t="n">
        <v>1.78</v>
      </c>
    </row>
    <row r="859" customFormat="false" ht="15" hidden="false" customHeight="false" outlineLevel="0" collapsed="false">
      <c r="A859" s="39" t="s">
        <v>265</v>
      </c>
      <c r="B859" s="39" t="s">
        <v>3206</v>
      </c>
      <c r="C859" s="41" t="n">
        <v>12.38</v>
      </c>
    </row>
    <row r="860" customFormat="false" ht="15" hidden="false" customHeight="false" outlineLevel="0" collapsed="false">
      <c r="A860" s="39" t="s">
        <v>1684</v>
      </c>
      <c r="B860" s="39" t="s">
        <v>3203</v>
      </c>
      <c r="C860" s="41" t="n">
        <v>3.51</v>
      </c>
    </row>
    <row r="861" customFormat="false" ht="15" hidden="false" customHeight="false" outlineLevel="0" collapsed="false">
      <c r="A861" s="39" t="s">
        <v>2879</v>
      </c>
      <c r="B861" s="39" t="s">
        <v>3204</v>
      </c>
      <c r="C861" s="41" t="n">
        <v>0.44</v>
      </c>
    </row>
    <row r="862" customFormat="false" ht="15" hidden="false" customHeight="false" outlineLevel="0" collapsed="false">
      <c r="A862" s="39" t="s">
        <v>739</v>
      </c>
      <c r="B862" s="39" t="s">
        <v>3205</v>
      </c>
      <c r="C862" s="41" t="n">
        <v>13.45</v>
      </c>
    </row>
    <row r="863" customFormat="false" ht="15" hidden="false" customHeight="false" outlineLevel="0" collapsed="false">
      <c r="A863" s="39" t="s">
        <v>1449</v>
      </c>
      <c r="B863" s="39" t="s">
        <v>3203</v>
      </c>
      <c r="C863" s="41" t="n">
        <v>26.42</v>
      </c>
    </row>
    <row r="864" customFormat="false" ht="15" hidden="false" customHeight="false" outlineLevel="0" collapsed="false">
      <c r="A864" s="39" t="s">
        <v>2281</v>
      </c>
      <c r="B864" s="39" t="s">
        <v>3205</v>
      </c>
      <c r="C864" s="41" t="n">
        <v>2.59</v>
      </c>
    </row>
    <row r="865" customFormat="false" ht="15" hidden="false" customHeight="false" outlineLevel="0" collapsed="false">
      <c r="A865" s="39" t="s">
        <v>197</v>
      </c>
      <c r="B865" s="39" t="s">
        <v>3203</v>
      </c>
      <c r="C865" s="41" t="n">
        <v>12.21</v>
      </c>
    </row>
    <row r="866" customFormat="false" ht="15" hidden="false" customHeight="false" outlineLevel="0" collapsed="false">
      <c r="A866" s="39" t="s">
        <v>2833</v>
      </c>
      <c r="B866" s="39" t="s">
        <v>3205</v>
      </c>
      <c r="C866" s="41" t="n">
        <v>1.54</v>
      </c>
    </row>
    <row r="867" customFormat="false" ht="15" hidden="false" customHeight="false" outlineLevel="0" collapsed="false">
      <c r="A867" s="39" t="s">
        <v>1628</v>
      </c>
      <c r="B867" s="39" t="s">
        <v>3204</v>
      </c>
      <c r="C867" s="41" t="n">
        <v>7.82</v>
      </c>
    </row>
    <row r="868" customFormat="false" ht="15" hidden="false" customHeight="false" outlineLevel="0" collapsed="false">
      <c r="A868" s="39" t="s">
        <v>1506</v>
      </c>
      <c r="B868" s="39" t="s">
        <v>3206</v>
      </c>
      <c r="C868" s="41" t="n">
        <v>3.71</v>
      </c>
    </row>
    <row r="869" customFormat="false" ht="15" hidden="false" customHeight="false" outlineLevel="0" collapsed="false">
      <c r="A869" s="39" t="s">
        <v>2545</v>
      </c>
      <c r="B869" s="39" t="s">
        <v>3205</v>
      </c>
      <c r="C869" s="41" t="n">
        <v>11.68</v>
      </c>
    </row>
    <row r="870" customFormat="false" ht="15" hidden="false" customHeight="false" outlineLevel="0" collapsed="false">
      <c r="A870" s="39" t="s">
        <v>1162</v>
      </c>
      <c r="B870" s="39" t="s">
        <v>3203</v>
      </c>
      <c r="C870" s="41" t="n">
        <v>4.79</v>
      </c>
    </row>
    <row r="871" customFormat="false" ht="15" hidden="false" customHeight="false" outlineLevel="0" collapsed="false">
      <c r="A871" s="39" t="s">
        <v>578</v>
      </c>
      <c r="B871" s="39" t="s">
        <v>3203</v>
      </c>
      <c r="C871" s="41" t="n">
        <v>0.32</v>
      </c>
    </row>
    <row r="872" customFormat="false" ht="15" hidden="false" customHeight="false" outlineLevel="0" collapsed="false">
      <c r="A872" s="39" t="s">
        <v>723</v>
      </c>
      <c r="B872" s="39" t="s">
        <v>3205</v>
      </c>
      <c r="C872" s="41" t="n">
        <v>1.88</v>
      </c>
    </row>
    <row r="873" customFormat="false" ht="15" hidden="false" customHeight="false" outlineLevel="0" collapsed="false">
      <c r="A873" s="39" t="s">
        <v>1223</v>
      </c>
      <c r="B873" s="39" t="s">
        <v>3204</v>
      </c>
      <c r="C873" s="41" t="n">
        <v>31.84</v>
      </c>
    </row>
    <row r="874" customFormat="false" ht="15" hidden="false" customHeight="false" outlineLevel="0" collapsed="false">
      <c r="A874" s="39" t="s">
        <v>613</v>
      </c>
      <c r="B874" s="39" t="s">
        <v>3203</v>
      </c>
      <c r="C874" s="41" t="n">
        <v>11.3</v>
      </c>
    </row>
    <row r="875" customFormat="false" ht="15" hidden="false" customHeight="false" outlineLevel="0" collapsed="false">
      <c r="A875" s="39" t="s">
        <v>1909</v>
      </c>
      <c r="B875" s="39" t="s">
        <v>3206</v>
      </c>
      <c r="C875" s="41" t="n">
        <v>1.28</v>
      </c>
    </row>
    <row r="876" customFormat="false" ht="15" hidden="false" customHeight="false" outlineLevel="0" collapsed="false">
      <c r="A876" s="39" t="s">
        <v>1407</v>
      </c>
      <c r="B876" s="39" t="s">
        <v>3206</v>
      </c>
      <c r="C876" s="41" t="n">
        <v>0.87</v>
      </c>
    </row>
    <row r="877" customFormat="false" ht="15" hidden="false" customHeight="false" outlineLevel="0" collapsed="false">
      <c r="A877" s="39" t="s">
        <v>3031</v>
      </c>
      <c r="B877" s="39" t="s">
        <v>3204</v>
      </c>
      <c r="C877" s="41" t="n">
        <v>3.67</v>
      </c>
    </row>
    <row r="878" customFormat="false" ht="15" hidden="false" customHeight="false" outlineLevel="0" collapsed="false">
      <c r="A878" s="39" t="s">
        <v>1957</v>
      </c>
      <c r="B878" s="39" t="s">
        <v>3203</v>
      </c>
      <c r="C878" s="41" t="n">
        <v>1.99</v>
      </c>
    </row>
    <row r="879" customFormat="false" ht="15" hidden="false" customHeight="false" outlineLevel="0" collapsed="false">
      <c r="A879" s="39" t="s">
        <v>138</v>
      </c>
      <c r="B879" s="39" t="s">
        <v>3204</v>
      </c>
      <c r="C879" s="41" t="n">
        <v>15.86</v>
      </c>
    </row>
    <row r="880" customFormat="false" ht="15" hidden="false" customHeight="false" outlineLevel="0" collapsed="false">
      <c r="A880" s="39" t="s">
        <v>2583</v>
      </c>
      <c r="B880" s="39" t="s">
        <v>3206</v>
      </c>
      <c r="C880" s="41" t="n">
        <v>2.21</v>
      </c>
    </row>
    <row r="881" customFormat="false" ht="15" hidden="false" customHeight="false" outlineLevel="0" collapsed="false">
      <c r="A881" s="39" t="s">
        <v>850</v>
      </c>
      <c r="B881" s="39" t="s">
        <v>3205</v>
      </c>
      <c r="C881" s="41" t="n">
        <v>27.99</v>
      </c>
    </row>
    <row r="882" customFormat="false" ht="15" hidden="false" customHeight="false" outlineLevel="0" collapsed="false">
      <c r="A882" s="39" t="s">
        <v>571</v>
      </c>
      <c r="B882" s="39" t="s">
        <v>3204</v>
      </c>
      <c r="C882" s="41" t="n">
        <v>4.79</v>
      </c>
    </row>
    <row r="883" customFormat="false" ht="15" hidden="false" customHeight="false" outlineLevel="0" collapsed="false">
      <c r="A883" s="39" t="s">
        <v>1568</v>
      </c>
      <c r="B883" s="39" t="s">
        <v>3203</v>
      </c>
      <c r="C883" s="41" t="n">
        <v>4.82</v>
      </c>
    </row>
    <row r="884" customFormat="false" ht="15" hidden="false" customHeight="false" outlineLevel="0" collapsed="false">
      <c r="A884" s="39" t="s">
        <v>157</v>
      </c>
      <c r="B884" s="39" t="s">
        <v>3204</v>
      </c>
      <c r="C884" s="41" t="n">
        <v>9.89</v>
      </c>
    </row>
    <row r="885" customFormat="false" ht="15" hidden="false" customHeight="false" outlineLevel="0" collapsed="false">
      <c r="A885" s="39" t="s">
        <v>1883</v>
      </c>
      <c r="B885" s="39" t="s">
        <v>3204</v>
      </c>
      <c r="C885" s="41" t="n">
        <v>4.54</v>
      </c>
    </row>
    <row r="886" customFormat="false" ht="15" hidden="false" customHeight="false" outlineLevel="0" collapsed="false">
      <c r="A886" s="39" t="s">
        <v>691</v>
      </c>
      <c r="B886" s="39" t="s">
        <v>3206</v>
      </c>
      <c r="C886" s="41" t="n">
        <v>6.32</v>
      </c>
    </row>
    <row r="887" customFormat="false" ht="15" hidden="false" customHeight="false" outlineLevel="0" collapsed="false">
      <c r="A887" s="39" t="s">
        <v>1173</v>
      </c>
      <c r="B887" s="39" t="s">
        <v>3204</v>
      </c>
      <c r="C887" s="41" t="n">
        <v>12.28</v>
      </c>
    </row>
    <row r="888" customFormat="false" ht="15" hidden="false" customHeight="false" outlineLevel="0" collapsed="false">
      <c r="A888" s="39" t="s">
        <v>2828</v>
      </c>
      <c r="B888" s="39" t="s">
        <v>3204</v>
      </c>
      <c r="C888" s="41" t="n">
        <v>8.31</v>
      </c>
    </row>
    <row r="889" customFormat="false" ht="15" hidden="false" customHeight="false" outlineLevel="0" collapsed="false">
      <c r="A889" s="39" t="s">
        <v>324</v>
      </c>
      <c r="B889" s="39" t="s">
        <v>3204</v>
      </c>
      <c r="C889" s="41" t="n">
        <v>1.2</v>
      </c>
    </row>
    <row r="890" customFormat="false" ht="15" hidden="false" customHeight="false" outlineLevel="0" collapsed="false">
      <c r="A890" s="39" t="s">
        <v>1571</v>
      </c>
      <c r="B890" s="39" t="s">
        <v>3203</v>
      </c>
      <c r="C890" s="41" t="n">
        <v>13.35</v>
      </c>
    </row>
    <row r="891" customFormat="false" ht="15" hidden="false" customHeight="false" outlineLevel="0" collapsed="false">
      <c r="A891" s="39" t="s">
        <v>1317</v>
      </c>
      <c r="B891" s="39" t="s">
        <v>3204</v>
      </c>
      <c r="C891" s="41" t="n">
        <v>7.66</v>
      </c>
    </row>
    <row r="892" customFormat="false" ht="15" hidden="false" customHeight="false" outlineLevel="0" collapsed="false">
      <c r="A892" s="39" t="s">
        <v>2064</v>
      </c>
      <c r="B892" s="39" t="s">
        <v>3205</v>
      </c>
      <c r="C892" s="41" t="n">
        <v>3.48</v>
      </c>
    </row>
    <row r="893" customFormat="false" ht="15" hidden="false" customHeight="false" outlineLevel="0" collapsed="false">
      <c r="A893" s="39" t="s">
        <v>889</v>
      </c>
      <c r="B893" s="39" t="s">
        <v>3204</v>
      </c>
      <c r="C893" s="41" t="n">
        <v>0.53</v>
      </c>
    </row>
    <row r="894" customFormat="false" ht="15" hidden="false" customHeight="false" outlineLevel="0" collapsed="false">
      <c r="A894" s="39" t="s">
        <v>2308</v>
      </c>
      <c r="B894" s="39" t="s">
        <v>3203</v>
      </c>
      <c r="C894" s="41" t="n">
        <v>6.42</v>
      </c>
    </row>
    <row r="895" customFormat="false" ht="15" hidden="false" customHeight="false" outlineLevel="0" collapsed="false">
      <c r="A895" s="39" t="s">
        <v>2238</v>
      </c>
      <c r="B895" s="39" t="s">
        <v>3203</v>
      </c>
      <c r="C895" s="41" t="n">
        <v>0.27</v>
      </c>
    </row>
    <row r="896" customFormat="false" ht="15" hidden="false" customHeight="false" outlineLevel="0" collapsed="false">
      <c r="A896" s="39" t="s">
        <v>2692</v>
      </c>
      <c r="B896" s="39" t="s">
        <v>3206</v>
      </c>
      <c r="C896" s="41" t="n">
        <v>3.79</v>
      </c>
    </row>
    <row r="897" customFormat="false" ht="15" hidden="false" customHeight="false" outlineLevel="0" collapsed="false">
      <c r="A897" s="39" t="s">
        <v>1402</v>
      </c>
      <c r="B897" s="39" t="s">
        <v>3203</v>
      </c>
      <c r="C897" s="41" t="n">
        <v>5.29</v>
      </c>
    </row>
    <row r="898" customFormat="false" ht="15" hidden="false" customHeight="false" outlineLevel="0" collapsed="false">
      <c r="A898" s="39" t="s">
        <v>2486</v>
      </c>
      <c r="B898" s="39" t="s">
        <v>3206</v>
      </c>
      <c r="C898" s="41" t="n">
        <v>9.92</v>
      </c>
    </row>
    <row r="899" customFormat="false" ht="15" hidden="false" customHeight="false" outlineLevel="0" collapsed="false">
      <c r="A899" s="39" t="s">
        <v>609</v>
      </c>
      <c r="B899" s="39" t="s">
        <v>3204</v>
      </c>
      <c r="C899" s="41" t="n">
        <v>42.6</v>
      </c>
    </row>
    <row r="900" customFormat="false" ht="15" hidden="false" customHeight="false" outlineLevel="0" collapsed="false">
      <c r="A900" s="39" t="s">
        <v>1774</v>
      </c>
      <c r="B900" s="39" t="s">
        <v>3204</v>
      </c>
      <c r="C900" s="41" t="n">
        <v>28.09</v>
      </c>
    </row>
    <row r="901" customFormat="false" ht="15" hidden="false" customHeight="false" outlineLevel="0" collapsed="false">
      <c r="A901" s="39" t="s">
        <v>1509</v>
      </c>
      <c r="B901" s="39" t="s">
        <v>3204</v>
      </c>
      <c r="C901" s="41" t="n">
        <v>8.72</v>
      </c>
    </row>
    <row r="902" customFormat="false" ht="15" hidden="false" customHeight="false" outlineLevel="0" collapsed="false">
      <c r="A902" s="39" t="s">
        <v>2899</v>
      </c>
      <c r="B902" s="39" t="s">
        <v>3203</v>
      </c>
      <c r="C902" s="41" t="n">
        <v>2.32</v>
      </c>
    </row>
    <row r="903" customFormat="false" ht="15" hidden="false" customHeight="false" outlineLevel="0" collapsed="false">
      <c r="A903" s="39" t="s">
        <v>1434</v>
      </c>
      <c r="B903" s="39" t="s">
        <v>3205</v>
      </c>
      <c r="C903" s="41" t="n">
        <v>0.6</v>
      </c>
    </row>
    <row r="904" customFormat="false" ht="15" hidden="false" customHeight="false" outlineLevel="0" collapsed="false">
      <c r="A904" s="39" t="s">
        <v>3181</v>
      </c>
      <c r="B904" s="39" t="s">
        <v>3204</v>
      </c>
      <c r="C904" s="41" t="n">
        <v>0.74</v>
      </c>
    </row>
    <row r="905" customFormat="false" ht="15" hidden="false" customHeight="false" outlineLevel="0" collapsed="false">
      <c r="A905" s="39" t="s">
        <v>2646</v>
      </c>
      <c r="B905" s="39" t="s">
        <v>3203</v>
      </c>
      <c r="C905" s="41" t="n">
        <v>1.9</v>
      </c>
    </row>
    <row r="906" customFormat="false" ht="15" hidden="false" customHeight="false" outlineLevel="0" collapsed="false">
      <c r="A906" s="39" t="s">
        <v>1019</v>
      </c>
      <c r="B906" s="39" t="s">
        <v>3204</v>
      </c>
      <c r="C906" s="41" t="n">
        <v>5.57</v>
      </c>
    </row>
    <row r="907" customFormat="false" ht="15" hidden="false" customHeight="false" outlineLevel="0" collapsed="false">
      <c r="A907" s="39" t="s">
        <v>2081</v>
      </c>
      <c r="B907" s="39" t="s">
        <v>3205</v>
      </c>
      <c r="C907" s="41" t="n">
        <v>7.65</v>
      </c>
    </row>
    <row r="908" customFormat="false" ht="15" hidden="false" customHeight="false" outlineLevel="0" collapsed="false">
      <c r="A908" s="39" t="s">
        <v>2336</v>
      </c>
      <c r="B908" s="39" t="s">
        <v>3204</v>
      </c>
      <c r="C908" s="41" t="n">
        <v>18.7</v>
      </c>
    </row>
    <row r="909" customFormat="false" ht="15" hidden="false" customHeight="false" outlineLevel="0" collapsed="false">
      <c r="A909" s="39" t="s">
        <v>902</v>
      </c>
      <c r="B909" s="39" t="s">
        <v>3205</v>
      </c>
      <c r="C909" s="41" t="n">
        <v>2.12</v>
      </c>
    </row>
    <row r="910" customFormat="false" ht="15" hidden="false" customHeight="false" outlineLevel="0" collapsed="false">
      <c r="A910" s="39" t="s">
        <v>774</v>
      </c>
      <c r="B910" s="39" t="s">
        <v>3203</v>
      </c>
      <c r="C910" s="41" t="n">
        <v>5.44</v>
      </c>
    </row>
    <row r="911" customFormat="false" ht="15" hidden="false" customHeight="false" outlineLevel="0" collapsed="false">
      <c r="A911" s="39" t="s">
        <v>347</v>
      </c>
      <c r="B911" s="39" t="s">
        <v>3206</v>
      </c>
      <c r="C911" s="41" t="n">
        <v>30.2</v>
      </c>
    </row>
    <row r="912" customFormat="false" ht="15" hidden="false" customHeight="false" outlineLevel="0" collapsed="false">
      <c r="A912" s="39" t="s">
        <v>2481</v>
      </c>
      <c r="B912" s="39" t="s">
        <v>3206</v>
      </c>
      <c r="C912" s="41" t="n">
        <v>29.74</v>
      </c>
    </row>
    <row r="913" customFormat="false" ht="15" hidden="false" customHeight="false" outlineLevel="0" collapsed="false">
      <c r="A913" s="39" t="s">
        <v>1636</v>
      </c>
      <c r="B913" s="39" t="s">
        <v>3206</v>
      </c>
      <c r="C913" s="41" t="n">
        <v>2.38</v>
      </c>
    </row>
    <row r="914" customFormat="false" ht="15" hidden="false" customHeight="false" outlineLevel="0" collapsed="false">
      <c r="A914" s="39" t="s">
        <v>1773</v>
      </c>
      <c r="B914" s="39" t="s">
        <v>3203</v>
      </c>
      <c r="C914" s="41" t="n">
        <v>5.06</v>
      </c>
    </row>
    <row r="915" customFormat="false" ht="15" hidden="false" customHeight="false" outlineLevel="0" collapsed="false">
      <c r="A915" s="39" t="s">
        <v>1384</v>
      </c>
      <c r="B915" s="39" t="s">
        <v>3206</v>
      </c>
      <c r="C915" s="41" t="n">
        <v>40.97</v>
      </c>
    </row>
    <row r="916" customFormat="false" ht="15" hidden="false" customHeight="false" outlineLevel="0" collapsed="false">
      <c r="A916" s="39" t="s">
        <v>577</v>
      </c>
      <c r="B916" s="39" t="s">
        <v>3205</v>
      </c>
      <c r="C916" s="41" t="n">
        <v>1.15</v>
      </c>
    </row>
    <row r="917" customFormat="false" ht="15" hidden="false" customHeight="false" outlineLevel="0" collapsed="false">
      <c r="A917" s="39" t="s">
        <v>1146</v>
      </c>
      <c r="B917" s="39" t="s">
        <v>3203</v>
      </c>
      <c r="C917" s="41" t="n">
        <v>4.07</v>
      </c>
    </row>
    <row r="918" customFormat="false" ht="15" hidden="false" customHeight="false" outlineLevel="0" collapsed="false">
      <c r="A918" s="39" t="s">
        <v>2514</v>
      </c>
      <c r="B918" s="39" t="s">
        <v>3206</v>
      </c>
      <c r="C918" s="41" t="n">
        <v>5.57</v>
      </c>
    </row>
    <row r="919" customFormat="false" ht="15" hidden="false" customHeight="false" outlineLevel="0" collapsed="false">
      <c r="A919" s="39" t="s">
        <v>1311</v>
      </c>
      <c r="B919" s="39" t="s">
        <v>3203</v>
      </c>
      <c r="C919" s="41" t="n">
        <v>19.37</v>
      </c>
    </row>
    <row r="920" customFormat="false" ht="15" hidden="false" customHeight="false" outlineLevel="0" collapsed="false">
      <c r="A920" s="39" t="s">
        <v>3075</v>
      </c>
      <c r="B920" s="39" t="s">
        <v>3205</v>
      </c>
      <c r="C920" s="41" t="n">
        <v>0.27</v>
      </c>
    </row>
    <row r="921" customFormat="false" ht="15" hidden="false" customHeight="false" outlineLevel="0" collapsed="false">
      <c r="A921" s="39" t="s">
        <v>1443</v>
      </c>
      <c r="B921" s="39" t="s">
        <v>3205</v>
      </c>
      <c r="C921" s="41" t="n">
        <v>2.22</v>
      </c>
    </row>
    <row r="922" customFormat="false" ht="15" hidden="false" customHeight="false" outlineLevel="0" collapsed="false">
      <c r="A922" s="39" t="s">
        <v>747</v>
      </c>
      <c r="B922" s="39" t="s">
        <v>3203</v>
      </c>
      <c r="C922" s="41" t="n">
        <v>6.32</v>
      </c>
    </row>
    <row r="923" customFormat="false" ht="15" hidden="false" customHeight="false" outlineLevel="0" collapsed="false">
      <c r="A923" s="39" t="s">
        <v>1142</v>
      </c>
      <c r="B923" s="39" t="s">
        <v>3203</v>
      </c>
      <c r="C923" s="41" t="n">
        <v>11.68</v>
      </c>
    </row>
    <row r="924" customFormat="false" ht="15" hidden="false" customHeight="false" outlineLevel="0" collapsed="false">
      <c r="A924" s="39" t="s">
        <v>3091</v>
      </c>
      <c r="B924" s="39" t="s">
        <v>3205</v>
      </c>
      <c r="C924" s="41" t="n">
        <v>16.46</v>
      </c>
    </row>
    <row r="925" customFormat="false" ht="15" hidden="false" customHeight="false" outlineLevel="0" collapsed="false">
      <c r="A925" s="39" t="s">
        <v>2393</v>
      </c>
      <c r="B925" s="39" t="s">
        <v>3205</v>
      </c>
      <c r="C925" s="41" t="n">
        <v>10.73</v>
      </c>
    </row>
    <row r="926" customFormat="false" ht="15" hidden="false" customHeight="false" outlineLevel="0" collapsed="false">
      <c r="A926" s="39" t="s">
        <v>512</v>
      </c>
      <c r="B926" s="39" t="s">
        <v>3203</v>
      </c>
      <c r="C926" s="41" t="n">
        <v>0.63</v>
      </c>
    </row>
    <row r="927" customFormat="false" ht="15" hidden="false" customHeight="false" outlineLevel="0" collapsed="false">
      <c r="A927" s="39" t="s">
        <v>485</v>
      </c>
      <c r="B927" s="39" t="s">
        <v>3205</v>
      </c>
      <c r="C927" s="41" t="n">
        <v>2.54</v>
      </c>
    </row>
    <row r="928" customFormat="false" ht="15" hidden="false" customHeight="false" outlineLevel="0" collapsed="false">
      <c r="A928" s="39" t="s">
        <v>1698</v>
      </c>
      <c r="B928" s="39" t="s">
        <v>3204</v>
      </c>
      <c r="C928" s="41" t="n">
        <v>20.56</v>
      </c>
    </row>
    <row r="929" customFormat="false" ht="15" hidden="false" customHeight="false" outlineLevel="0" collapsed="false">
      <c r="A929" s="39" t="s">
        <v>2707</v>
      </c>
      <c r="B929" s="39" t="s">
        <v>3206</v>
      </c>
      <c r="C929" s="41" t="n">
        <v>13</v>
      </c>
    </row>
    <row r="930" customFormat="false" ht="15" hidden="false" customHeight="false" outlineLevel="0" collapsed="false">
      <c r="A930" s="39" t="s">
        <v>936</v>
      </c>
      <c r="B930" s="39" t="s">
        <v>3206</v>
      </c>
      <c r="C930" s="41" t="n">
        <v>10.17</v>
      </c>
    </row>
    <row r="931" customFormat="false" ht="15" hidden="false" customHeight="false" outlineLevel="0" collapsed="false">
      <c r="A931" s="39" t="s">
        <v>862</v>
      </c>
      <c r="B931" s="39" t="s">
        <v>3203</v>
      </c>
      <c r="C931" s="41" t="n">
        <v>2.01</v>
      </c>
    </row>
    <row r="932" customFormat="false" ht="15" hidden="false" customHeight="false" outlineLevel="0" collapsed="false">
      <c r="A932" s="39" t="s">
        <v>2760</v>
      </c>
      <c r="B932" s="39" t="s">
        <v>3206</v>
      </c>
      <c r="C932" s="41" t="n">
        <v>1.73</v>
      </c>
    </row>
    <row r="933" customFormat="false" ht="15" hidden="false" customHeight="false" outlineLevel="0" collapsed="false">
      <c r="A933" s="39" t="s">
        <v>704</v>
      </c>
      <c r="B933" s="39" t="s">
        <v>3206</v>
      </c>
      <c r="C933" s="41" t="n">
        <v>5.5</v>
      </c>
    </row>
    <row r="934" customFormat="false" ht="15" hidden="false" customHeight="false" outlineLevel="0" collapsed="false">
      <c r="A934" s="39" t="s">
        <v>1664</v>
      </c>
      <c r="B934" s="39" t="s">
        <v>3204</v>
      </c>
      <c r="C934" s="41" t="n">
        <v>1.02</v>
      </c>
    </row>
    <row r="935" customFormat="false" ht="15" hidden="false" customHeight="false" outlineLevel="0" collapsed="false">
      <c r="A935" s="39" t="s">
        <v>1950</v>
      </c>
      <c r="B935" s="39" t="s">
        <v>3204</v>
      </c>
      <c r="C935" s="41" t="n">
        <v>10.97</v>
      </c>
    </row>
    <row r="936" customFormat="false" ht="15" hidden="false" customHeight="false" outlineLevel="0" collapsed="false">
      <c r="A936" s="39" t="s">
        <v>534</v>
      </c>
      <c r="B936" s="39" t="s">
        <v>3204</v>
      </c>
      <c r="C936" s="41" t="n">
        <v>40.99</v>
      </c>
    </row>
    <row r="937" customFormat="false" ht="15" hidden="false" customHeight="false" outlineLevel="0" collapsed="false">
      <c r="A937" s="39" t="s">
        <v>3043</v>
      </c>
      <c r="B937" s="39" t="s">
        <v>3205</v>
      </c>
      <c r="C937" s="41" t="n">
        <v>2.33</v>
      </c>
    </row>
    <row r="938" customFormat="false" ht="15" hidden="false" customHeight="false" outlineLevel="0" collapsed="false">
      <c r="A938" s="39" t="s">
        <v>529</v>
      </c>
      <c r="B938" s="39" t="s">
        <v>3205</v>
      </c>
      <c r="C938" s="41" t="n">
        <v>2.49</v>
      </c>
    </row>
    <row r="939" customFormat="false" ht="15" hidden="false" customHeight="false" outlineLevel="0" collapsed="false">
      <c r="A939" s="39" t="s">
        <v>1147</v>
      </c>
      <c r="B939" s="39" t="s">
        <v>3204</v>
      </c>
      <c r="C939" s="41" t="n">
        <v>2.04</v>
      </c>
    </row>
    <row r="940" customFormat="false" ht="15" hidden="false" customHeight="false" outlineLevel="0" collapsed="false">
      <c r="A940" s="39" t="s">
        <v>2933</v>
      </c>
      <c r="B940" s="39" t="s">
        <v>3204</v>
      </c>
      <c r="C940" s="41" t="n">
        <v>0.97</v>
      </c>
    </row>
    <row r="941" customFormat="false" ht="15" hidden="false" customHeight="false" outlineLevel="0" collapsed="false">
      <c r="A941" s="39" t="s">
        <v>2073</v>
      </c>
      <c r="B941" s="39" t="s">
        <v>3204</v>
      </c>
      <c r="C941" s="41" t="n">
        <v>5.27</v>
      </c>
    </row>
    <row r="942" customFormat="false" ht="15" hidden="false" customHeight="false" outlineLevel="0" collapsed="false">
      <c r="A942" s="39" t="s">
        <v>1338</v>
      </c>
      <c r="B942" s="39" t="s">
        <v>3203</v>
      </c>
      <c r="C942" s="41" t="n">
        <v>5.92</v>
      </c>
    </row>
    <row r="943" customFormat="false" ht="15" hidden="false" customHeight="false" outlineLevel="0" collapsed="false">
      <c r="A943" s="39" t="s">
        <v>1059</v>
      </c>
      <c r="B943" s="39" t="s">
        <v>3204</v>
      </c>
      <c r="C943" s="41" t="n">
        <v>0.42</v>
      </c>
    </row>
    <row r="944" customFormat="false" ht="15" hidden="false" customHeight="false" outlineLevel="0" collapsed="false">
      <c r="A944" s="39" t="s">
        <v>770</v>
      </c>
      <c r="B944" s="39" t="s">
        <v>3206</v>
      </c>
      <c r="C944" s="41" t="n">
        <v>3.12</v>
      </c>
    </row>
    <row r="945" customFormat="false" ht="15" hidden="false" customHeight="false" outlineLevel="0" collapsed="false">
      <c r="A945" s="39" t="s">
        <v>2372</v>
      </c>
      <c r="B945" s="39" t="s">
        <v>3204</v>
      </c>
      <c r="C945" s="41" t="n">
        <v>46.66</v>
      </c>
    </row>
    <row r="946" customFormat="false" ht="15" hidden="false" customHeight="false" outlineLevel="0" collapsed="false">
      <c r="A946" s="39" t="s">
        <v>2204</v>
      </c>
      <c r="B946" s="39" t="s">
        <v>3204</v>
      </c>
      <c r="C946" s="41" t="n">
        <v>0.5</v>
      </c>
    </row>
    <row r="947" customFormat="false" ht="15" hidden="false" customHeight="false" outlineLevel="0" collapsed="false">
      <c r="A947" s="39" t="s">
        <v>2888</v>
      </c>
      <c r="B947" s="39" t="s">
        <v>3206</v>
      </c>
      <c r="C947" s="41" t="n">
        <v>11.88</v>
      </c>
    </row>
    <row r="948" customFormat="false" ht="15" hidden="false" customHeight="false" outlineLevel="0" collapsed="false">
      <c r="A948" s="39" t="s">
        <v>2126</v>
      </c>
      <c r="B948" s="39" t="s">
        <v>3205</v>
      </c>
      <c r="C948" s="41" t="n">
        <v>8.14</v>
      </c>
    </row>
    <row r="949" customFormat="false" ht="15" hidden="false" customHeight="false" outlineLevel="0" collapsed="false">
      <c r="A949" s="39" t="s">
        <v>1998</v>
      </c>
      <c r="B949" s="39" t="s">
        <v>3205</v>
      </c>
      <c r="C949" s="41" t="n">
        <v>2.76</v>
      </c>
    </row>
    <row r="950" customFormat="false" ht="15" hidden="false" customHeight="false" outlineLevel="0" collapsed="false">
      <c r="A950" s="39" t="s">
        <v>2321</v>
      </c>
      <c r="B950" s="39" t="s">
        <v>3204</v>
      </c>
      <c r="C950" s="41" t="n">
        <v>18.16</v>
      </c>
    </row>
    <row r="951" customFormat="false" ht="15" hidden="false" customHeight="false" outlineLevel="0" collapsed="false">
      <c r="A951" s="39" t="s">
        <v>2965</v>
      </c>
      <c r="B951" s="39" t="s">
        <v>3206</v>
      </c>
      <c r="C951" s="41" t="n">
        <v>45.9</v>
      </c>
    </row>
    <row r="952" customFormat="false" ht="15" hidden="false" customHeight="false" outlineLevel="0" collapsed="false">
      <c r="A952" s="39" t="s">
        <v>2316</v>
      </c>
      <c r="B952" s="39" t="s">
        <v>3203</v>
      </c>
      <c r="C952" s="41" t="n">
        <v>1.87</v>
      </c>
    </row>
    <row r="953" customFormat="false" ht="15" hidden="false" customHeight="false" outlineLevel="0" collapsed="false">
      <c r="A953" s="39" t="s">
        <v>363</v>
      </c>
      <c r="B953" s="39" t="s">
        <v>3203</v>
      </c>
      <c r="C953" s="41" t="n">
        <v>1.99</v>
      </c>
    </row>
    <row r="954" customFormat="false" ht="15" hidden="false" customHeight="false" outlineLevel="0" collapsed="false">
      <c r="A954" s="39" t="s">
        <v>461</v>
      </c>
      <c r="B954" s="39" t="s">
        <v>3204</v>
      </c>
      <c r="C954" s="41" t="n">
        <v>6.25</v>
      </c>
    </row>
    <row r="955" customFormat="false" ht="15" hidden="false" customHeight="false" outlineLevel="0" collapsed="false">
      <c r="A955" s="39" t="s">
        <v>2988</v>
      </c>
      <c r="B955" s="39" t="s">
        <v>3204</v>
      </c>
      <c r="C955" s="41" t="n">
        <v>2.88</v>
      </c>
    </row>
    <row r="956" customFormat="false" ht="15" hidden="false" customHeight="false" outlineLevel="0" collapsed="false">
      <c r="A956" s="39" t="s">
        <v>2527</v>
      </c>
      <c r="B956" s="39" t="s">
        <v>3203</v>
      </c>
      <c r="C956" s="41" t="n">
        <v>17.25</v>
      </c>
    </row>
    <row r="957" customFormat="false" ht="15" hidden="false" customHeight="false" outlineLevel="0" collapsed="false">
      <c r="A957" s="39" t="s">
        <v>1358</v>
      </c>
      <c r="B957" s="39" t="s">
        <v>3204</v>
      </c>
      <c r="C957" s="41" t="n">
        <v>16.43</v>
      </c>
    </row>
    <row r="958" customFormat="false" ht="15" hidden="false" customHeight="false" outlineLevel="0" collapsed="false">
      <c r="A958" s="39" t="s">
        <v>2521</v>
      </c>
      <c r="B958" s="39" t="s">
        <v>3203</v>
      </c>
      <c r="C958" s="41" t="n">
        <v>33.56</v>
      </c>
    </row>
    <row r="959" customFormat="false" ht="15" hidden="false" customHeight="false" outlineLevel="0" collapsed="false">
      <c r="A959" s="39" t="s">
        <v>1045</v>
      </c>
      <c r="B959" s="39" t="s">
        <v>3205</v>
      </c>
      <c r="C959" s="41" t="n">
        <v>14.01</v>
      </c>
    </row>
    <row r="960" customFormat="false" ht="15" hidden="false" customHeight="false" outlineLevel="0" collapsed="false">
      <c r="A960" s="39" t="s">
        <v>1383</v>
      </c>
      <c r="B960" s="39" t="s">
        <v>3203</v>
      </c>
      <c r="C960" s="41" t="n">
        <v>0.79</v>
      </c>
    </row>
    <row r="961" customFormat="false" ht="15" hidden="false" customHeight="false" outlineLevel="0" collapsed="false">
      <c r="A961" s="39" t="s">
        <v>1959</v>
      </c>
      <c r="B961" s="39" t="s">
        <v>3204</v>
      </c>
      <c r="C961" s="41" t="n">
        <v>0.91</v>
      </c>
    </row>
    <row r="962" customFormat="false" ht="15" hidden="false" customHeight="false" outlineLevel="0" collapsed="false">
      <c r="A962" s="39" t="s">
        <v>1604</v>
      </c>
      <c r="B962" s="39" t="s">
        <v>3203</v>
      </c>
      <c r="C962" s="41" t="n">
        <v>42.39</v>
      </c>
    </row>
    <row r="963" customFormat="false" ht="15" hidden="false" customHeight="false" outlineLevel="0" collapsed="false">
      <c r="A963" s="39" t="s">
        <v>381</v>
      </c>
      <c r="B963" s="39" t="s">
        <v>3203</v>
      </c>
      <c r="C963" s="41" t="n">
        <v>3.87</v>
      </c>
    </row>
    <row r="964" customFormat="false" ht="15" hidden="false" customHeight="false" outlineLevel="0" collapsed="false">
      <c r="A964" s="39" t="s">
        <v>1211</v>
      </c>
      <c r="B964" s="39" t="s">
        <v>3204</v>
      </c>
      <c r="C964" s="41" t="n">
        <v>0.9</v>
      </c>
    </row>
    <row r="965" customFormat="false" ht="15" hidden="false" customHeight="false" outlineLevel="0" collapsed="false">
      <c r="A965" s="39" t="s">
        <v>281</v>
      </c>
      <c r="B965" s="39" t="s">
        <v>3204</v>
      </c>
      <c r="C965" s="41" t="n">
        <v>13.79</v>
      </c>
    </row>
    <row r="966" customFormat="false" ht="15" hidden="false" customHeight="false" outlineLevel="0" collapsed="false">
      <c r="A966" s="39" t="s">
        <v>2793</v>
      </c>
      <c r="B966" s="39" t="s">
        <v>3206</v>
      </c>
      <c r="C966" s="41" t="n">
        <v>2.45</v>
      </c>
    </row>
    <row r="967" customFormat="false" ht="15" hidden="false" customHeight="false" outlineLevel="0" collapsed="false">
      <c r="A967" s="39" t="s">
        <v>1667</v>
      </c>
      <c r="B967" s="39" t="s">
        <v>3204</v>
      </c>
      <c r="C967" s="41" t="n">
        <v>1.46</v>
      </c>
    </row>
    <row r="968" customFormat="false" ht="15" hidden="false" customHeight="false" outlineLevel="0" collapsed="false">
      <c r="A968" s="39" t="s">
        <v>287</v>
      </c>
      <c r="B968" s="39" t="s">
        <v>3206</v>
      </c>
      <c r="C968" s="41" t="n">
        <v>4.01</v>
      </c>
    </row>
    <row r="969" customFormat="false" ht="15" hidden="false" customHeight="false" outlineLevel="0" collapsed="false">
      <c r="A969" s="39" t="s">
        <v>1911</v>
      </c>
      <c r="B969" s="39" t="s">
        <v>3204</v>
      </c>
      <c r="C969" s="41" t="n">
        <v>5.42</v>
      </c>
    </row>
    <row r="970" customFormat="false" ht="15" hidden="false" customHeight="false" outlineLevel="0" collapsed="false">
      <c r="A970" s="39" t="s">
        <v>453</v>
      </c>
      <c r="B970" s="39" t="s">
        <v>3203</v>
      </c>
      <c r="C970" s="41" t="n">
        <v>4.97</v>
      </c>
    </row>
    <row r="971" customFormat="false" ht="15" hidden="false" customHeight="false" outlineLevel="0" collapsed="false">
      <c r="A971" s="39" t="s">
        <v>1048</v>
      </c>
      <c r="B971" s="39" t="s">
        <v>3204</v>
      </c>
      <c r="C971" s="41" t="n">
        <v>13.9</v>
      </c>
    </row>
    <row r="972" customFormat="false" ht="15" hidden="false" customHeight="false" outlineLevel="0" collapsed="false">
      <c r="A972" s="39" t="s">
        <v>833</v>
      </c>
      <c r="B972" s="39" t="s">
        <v>3203</v>
      </c>
      <c r="C972" s="41" t="n">
        <v>4.46</v>
      </c>
    </row>
    <row r="973" customFormat="false" ht="15" hidden="false" customHeight="false" outlineLevel="0" collapsed="false">
      <c r="A973" s="39" t="s">
        <v>359</v>
      </c>
      <c r="B973" s="39" t="s">
        <v>3203</v>
      </c>
      <c r="C973" s="41" t="n">
        <v>1.77</v>
      </c>
    </row>
    <row r="974" customFormat="false" ht="15" hidden="false" customHeight="false" outlineLevel="0" collapsed="false">
      <c r="A974" s="39" t="s">
        <v>3097</v>
      </c>
      <c r="B974" s="39" t="s">
        <v>3205</v>
      </c>
      <c r="C974" s="41" t="n">
        <v>5.94</v>
      </c>
    </row>
    <row r="975" customFormat="false" ht="15" hidden="false" customHeight="false" outlineLevel="0" collapsed="false">
      <c r="A975" s="39" t="s">
        <v>1156</v>
      </c>
      <c r="B975" s="39" t="s">
        <v>3204</v>
      </c>
      <c r="C975" s="41" t="n">
        <v>9.72</v>
      </c>
    </row>
    <row r="976" customFormat="false" ht="15" hidden="false" customHeight="false" outlineLevel="0" collapsed="false">
      <c r="A976" s="39" t="s">
        <v>464</v>
      </c>
      <c r="B976" s="39" t="s">
        <v>3204</v>
      </c>
      <c r="C976" s="41" t="n">
        <v>3.38</v>
      </c>
    </row>
    <row r="977" customFormat="false" ht="15" hidden="false" customHeight="false" outlineLevel="0" collapsed="false">
      <c r="A977" s="39" t="s">
        <v>1887</v>
      </c>
      <c r="B977" s="39" t="s">
        <v>3205</v>
      </c>
      <c r="C977" s="41" t="n">
        <v>5.22</v>
      </c>
    </row>
    <row r="978" customFormat="false" ht="15" hidden="false" customHeight="false" outlineLevel="0" collapsed="false">
      <c r="A978" s="39" t="s">
        <v>2948</v>
      </c>
      <c r="B978" s="39" t="s">
        <v>3204</v>
      </c>
      <c r="C978" s="41" t="n">
        <v>33.85</v>
      </c>
    </row>
    <row r="979" customFormat="false" ht="15" hidden="false" customHeight="false" outlineLevel="0" collapsed="false">
      <c r="A979" s="39" t="s">
        <v>1770</v>
      </c>
      <c r="B979" s="39" t="s">
        <v>3203</v>
      </c>
      <c r="C979" s="41" t="n">
        <v>6.42</v>
      </c>
    </row>
    <row r="980" customFormat="false" ht="15" hidden="false" customHeight="false" outlineLevel="0" collapsed="false">
      <c r="A980" s="39" t="s">
        <v>861</v>
      </c>
      <c r="B980" s="39" t="s">
        <v>3206</v>
      </c>
      <c r="C980" s="41" t="n">
        <v>2.19</v>
      </c>
    </row>
    <row r="981" customFormat="false" ht="15" hidden="false" customHeight="false" outlineLevel="0" collapsed="false">
      <c r="A981" s="39" t="s">
        <v>2208</v>
      </c>
      <c r="B981" s="39" t="s">
        <v>3204</v>
      </c>
      <c r="C981" s="41" t="n">
        <v>10.68</v>
      </c>
    </row>
    <row r="982" customFormat="false" ht="15" hidden="false" customHeight="false" outlineLevel="0" collapsed="false">
      <c r="A982" s="39" t="s">
        <v>2553</v>
      </c>
      <c r="B982" s="39" t="s">
        <v>3203</v>
      </c>
      <c r="C982" s="41" t="n">
        <v>4.92</v>
      </c>
    </row>
    <row r="983" customFormat="false" ht="15" hidden="false" customHeight="false" outlineLevel="0" collapsed="false">
      <c r="A983" s="39" t="s">
        <v>1954</v>
      </c>
      <c r="B983" s="39" t="s">
        <v>3206</v>
      </c>
      <c r="C983" s="41" t="n">
        <v>2.61</v>
      </c>
    </row>
    <row r="984" customFormat="false" ht="15" hidden="false" customHeight="false" outlineLevel="0" collapsed="false">
      <c r="A984" s="39" t="s">
        <v>2169</v>
      </c>
      <c r="B984" s="39" t="s">
        <v>3204</v>
      </c>
      <c r="C984" s="41" t="n">
        <v>12.09</v>
      </c>
    </row>
    <row r="985" customFormat="false" ht="15" hidden="false" customHeight="false" outlineLevel="0" collapsed="false">
      <c r="A985" s="39" t="s">
        <v>635</v>
      </c>
      <c r="B985" s="39" t="s">
        <v>3205</v>
      </c>
      <c r="C985" s="41" t="n">
        <v>25.86</v>
      </c>
    </row>
    <row r="986" customFormat="false" ht="15" hidden="false" customHeight="false" outlineLevel="0" collapsed="false">
      <c r="A986" s="39" t="s">
        <v>1281</v>
      </c>
      <c r="B986" s="39" t="s">
        <v>3203</v>
      </c>
      <c r="C986" s="41" t="n">
        <v>19.98</v>
      </c>
    </row>
    <row r="987" customFormat="false" ht="15" hidden="false" customHeight="false" outlineLevel="0" collapsed="false">
      <c r="A987" s="39" t="s">
        <v>1567</v>
      </c>
      <c r="B987" s="39" t="s">
        <v>3203</v>
      </c>
      <c r="C987" s="41" t="n">
        <v>1.94</v>
      </c>
    </row>
    <row r="988" customFormat="false" ht="15" hidden="false" customHeight="false" outlineLevel="0" collapsed="false">
      <c r="A988" s="39" t="s">
        <v>1762</v>
      </c>
      <c r="B988" s="39" t="s">
        <v>3204</v>
      </c>
      <c r="C988" s="41" t="n">
        <v>1.22</v>
      </c>
    </row>
    <row r="989" customFormat="false" ht="15" hidden="false" customHeight="false" outlineLevel="0" collapsed="false">
      <c r="A989" s="39" t="s">
        <v>2740</v>
      </c>
      <c r="B989" s="39" t="s">
        <v>3204</v>
      </c>
      <c r="C989" s="41" t="n">
        <v>1.68</v>
      </c>
    </row>
    <row r="990" customFormat="false" ht="15" hidden="false" customHeight="false" outlineLevel="0" collapsed="false">
      <c r="A990" s="39" t="s">
        <v>1874</v>
      </c>
      <c r="B990" s="39" t="s">
        <v>3204</v>
      </c>
      <c r="C990" s="41" t="n">
        <v>1.65</v>
      </c>
    </row>
    <row r="991" customFormat="false" ht="15" hidden="false" customHeight="false" outlineLevel="0" collapsed="false">
      <c r="A991" s="39" t="s">
        <v>1227</v>
      </c>
      <c r="B991" s="39" t="s">
        <v>3204</v>
      </c>
      <c r="C991" s="41" t="n">
        <v>12.88</v>
      </c>
    </row>
    <row r="992" customFormat="false" ht="15" hidden="false" customHeight="false" outlineLevel="0" collapsed="false">
      <c r="A992" s="39" t="s">
        <v>1671</v>
      </c>
      <c r="B992" s="39" t="s">
        <v>3205</v>
      </c>
      <c r="C992" s="41" t="n">
        <v>1.21</v>
      </c>
    </row>
    <row r="993" customFormat="false" ht="15" hidden="false" customHeight="false" outlineLevel="0" collapsed="false">
      <c r="A993" s="39" t="s">
        <v>1789</v>
      </c>
      <c r="B993" s="39" t="s">
        <v>3204</v>
      </c>
      <c r="C993" s="41" t="n">
        <v>31.79</v>
      </c>
    </row>
    <row r="994" customFormat="false" ht="15" hidden="false" customHeight="false" outlineLevel="0" collapsed="false">
      <c r="A994" s="39" t="s">
        <v>1287</v>
      </c>
      <c r="B994" s="39" t="s">
        <v>3204</v>
      </c>
      <c r="C994" s="41" t="n">
        <v>2.19</v>
      </c>
    </row>
    <row r="995" customFormat="false" ht="15" hidden="false" customHeight="false" outlineLevel="0" collapsed="false">
      <c r="A995" s="39" t="s">
        <v>2270</v>
      </c>
      <c r="B995" s="39" t="s">
        <v>3206</v>
      </c>
      <c r="C995" s="41" t="n">
        <v>22.47</v>
      </c>
    </row>
    <row r="996" customFormat="false" ht="15" hidden="false" customHeight="false" outlineLevel="0" collapsed="false">
      <c r="A996" s="39" t="s">
        <v>1037</v>
      </c>
      <c r="B996" s="39" t="s">
        <v>3203</v>
      </c>
      <c r="C996" s="41" t="n">
        <v>4.03</v>
      </c>
    </row>
    <row r="997" customFormat="false" ht="15" hidden="false" customHeight="false" outlineLevel="0" collapsed="false">
      <c r="A997" s="39" t="s">
        <v>266</v>
      </c>
      <c r="B997" s="39" t="s">
        <v>3203</v>
      </c>
      <c r="C997" s="41" t="n">
        <v>0.39</v>
      </c>
    </row>
    <row r="998" customFormat="false" ht="15" hidden="false" customHeight="false" outlineLevel="0" collapsed="false">
      <c r="A998" s="39" t="s">
        <v>1171</v>
      </c>
      <c r="B998" s="39" t="s">
        <v>3204</v>
      </c>
      <c r="C998" s="41" t="n">
        <v>1.29</v>
      </c>
    </row>
    <row r="999" customFormat="false" ht="15" hidden="false" customHeight="false" outlineLevel="0" collapsed="false">
      <c r="A999" s="39" t="s">
        <v>817</v>
      </c>
      <c r="B999" s="39" t="s">
        <v>3204</v>
      </c>
      <c r="C999" s="41" t="n">
        <v>9.85</v>
      </c>
    </row>
    <row r="1000" customFormat="false" ht="15" hidden="false" customHeight="false" outlineLevel="0" collapsed="false">
      <c r="A1000" s="39" t="s">
        <v>2122</v>
      </c>
      <c r="B1000" s="39" t="s">
        <v>3205</v>
      </c>
      <c r="C1000" s="41" t="n">
        <v>0.41</v>
      </c>
    </row>
    <row r="1001" customFormat="false" ht="15" hidden="false" customHeight="false" outlineLevel="0" collapsed="false">
      <c r="A1001" s="39" t="s">
        <v>594</v>
      </c>
      <c r="B1001" s="39" t="s">
        <v>3204</v>
      </c>
      <c r="C1001" s="41" t="n">
        <v>4.15</v>
      </c>
    </row>
    <row r="1002" customFormat="false" ht="15" hidden="false" customHeight="false" outlineLevel="0" collapsed="false">
      <c r="A1002" s="39" t="s">
        <v>1797</v>
      </c>
      <c r="B1002" s="39" t="s">
        <v>3205</v>
      </c>
      <c r="C1002" s="41" t="n">
        <v>9.36</v>
      </c>
    </row>
    <row r="1003" customFormat="false" ht="15" hidden="false" customHeight="false" outlineLevel="0" collapsed="false">
      <c r="A1003" s="39" t="s">
        <v>642</v>
      </c>
      <c r="B1003" s="39" t="s">
        <v>3203</v>
      </c>
      <c r="C1003" s="41" t="n">
        <v>21.47</v>
      </c>
    </row>
    <row r="1004" customFormat="false" ht="15" hidden="false" customHeight="false" outlineLevel="0" collapsed="false">
      <c r="A1004" s="39" t="s">
        <v>841</v>
      </c>
      <c r="B1004" s="39" t="s">
        <v>3206</v>
      </c>
      <c r="C1004" s="41" t="n">
        <v>5.62</v>
      </c>
    </row>
    <row r="1005" customFormat="false" ht="15" hidden="false" customHeight="false" outlineLevel="0" collapsed="false">
      <c r="A1005" s="39" t="s">
        <v>937</v>
      </c>
      <c r="B1005" s="39" t="s">
        <v>3204</v>
      </c>
      <c r="C1005" s="41" t="n">
        <v>1.65</v>
      </c>
    </row>
    <row r="1006" customFormat="false" ht="15" hidden="false" customHeight="false" outlineLevel="0" collapsed="false">
      <c r="A1006" s="39" t="s">
        <v>1333</v>
      </c>
      <c r="B1006" s="39" t="s">
        <v>3206</v>
      </c>
      <c r="C1006" s="41" t="n">
        <v>5.83</v>
      </c>
    </row>
    <row r="1007" customFormat="false" ht="15" hidden="false" customHeight="false" outlineLevel="0" collapsed="false">
      <c r="A1007" s="39" t="s">
        <v>1199</v>
      </c>
      <c r="B1007" s="39" t="s">
        <v>3205</v>
      </c>
      <c r="C1007" s="41" t="n">
        <v>53.76</v>
      </c>
    </row>
    <row r="1008" customFormat="false" ht="15" hidden="false" customHeight="false" outlineLevel="0" collapsed="false">
      <c r="A1008" s="39" t="s">
        <v>1631</v>
      </c>
      <c r="B1008" s="39" t="s">
        <v>3206</v>
      </c>
      <c r="C1008" s="41" t="n">
        <v>15.21</v>
      </c>
    </row>
    <row r="1009" customFormat="false" ht="15" hidden="false" customHeight="false" outlineLevel="0" collapsed="false">
      <c r="A1009" s="39" t="s">
        <v>2505</v>
      </c>
      <c r="B1009" s="39" t="s">
        <v>3204</v>
      </c>
      <c r="C1009" s="41" t="n">
        <v>1.92</v>
      </c>
    </row>
    <row r="1010" customFormat="false" ht="15" hidden="false" customHeight="false" outlineLevel="0" collapsed="false">
      <c r="A1010" s="39" t="s">
        <v>2221</v>
      </c>
      <c r="B1010" s="39" t="s">
        <v>3206</v>
      </c>
      <c r="C1010" s="41" t="n">
        <v>7.71</v>
      </c>
    </row>
    <row r="1011" customFormat="false" ht="15" hidden="false" customHeight="false" outlineLevel="0" collapsed="false">
      <c r="A1011" s="39" t="s">
        <v>1486</v>
      </c>
      <c r="B1011" s="39" t="s">
        <v>3206</v>
      </c>
      <c r="C1011" s="41" t="n">
        <v>0.52</v>
      </c>
    </row>
    <row r="1012" customFormat="false" ht="15" hidden="false" customHeight="false" outlineLevel="0" collapsed="false">
      <c r="A1012" s="39" t="s">
        <v>2116</v>
      </c>
      <c r="B1012" s="39" t="s">
        <v>3204</v>
      </c>
      <c r="C1012" s="41" t="n">
        <v>2.25</v>
      </c>
    </row>
    <row r="1013" customFormat="false" ht="15" hidden="false" customHeight="false" outlineLevel="0" collapsed="false">
      <c r="A1013" s="39" t="s">
        <v>415</v>
      </c>
      <c r="B1013" s="39" t="s">
        <v>3204</v>
      </c>
      <c r="C1013" s="41" t="n">
        <v>14.2</v>
      </c>
    </row>
    <row r="1014" customFormat="false" ht="15" hidden="false" customHeight="false" outlineLevel="0" collapsed="false">
      <c r="A1014" s="39" t="s">
        <v>612</v>
      </c>
      <c r="B1014" s="39" t="s">
        <v>3204</v>
      </c>
      <c r="C1014" s="41" t="n">
        <v>2.35</v>
      </c>
    </row>
    <row r="1015" customFormat="false" ht="15" hidden="false" customHeight="false" outlineLevel="0" collapsed="false">
      <c r="A1015" s="39" t="s">
        <v>1329</v>
      </c>
      <c r="B1015" s="39" t="s">
        <v>3203</v>
      </c>
      <c r="C1015" s="41" t="n">
        <v>15.64</v>
      </c>
    </row>
    <row r="1016" customFormat="false" ht="15" hidden="false" customHeight="false" outlineLevel="0" collapsed="false">
      <c r="A1016" s="39" t="s">
        <v>1724</v>
      </c>
      <c r="B1016" s="39" t="s">
        <v>3205</v>
      </c>
      <c r="C1016" s="41" t="n">
        <v>6.02</v>
      </c>
    </row>
    <row r="1017" customFormat="false" ht="15" hidden="false" customHeight="false" outlineLevel="0" collapsed="false">
      <c r="A1017" s="39" t="s">
        <v>3002</v>
      </c>
      <c r="B1017" s="39" t="s">
        <v>3203</v>
      </c>
      <c r="C1017" s="41" t="n">
        <v>15.23</v>
      </c>
    </row>
    <row r="1018" customFormat="false" ht="15" hidden="false" customHeight="false" outlineLevel="0" collapsed="false">
      <c r="A1018" s="39" t="s">
        <v>2561</v>
      </c>
      <c r="B1018" s="39" t="s">
        <v>3205</v>
      </c>
      <c r="C1018" s="41" t="n">
        <v>1.54</v>
      </c>
    </row>
    <row r="1019" customFormat="false" ht="15" hidden="false" customHeight="false" outlineLevel="0" collapsed="false">
      <c r="A1019" s="39" t="s">
        <v>780</v>
      </c>
      <c r="B1019" s="39" t="s">
        <v>3204</v>
      </c>
      <c r="C1019" s="41" t="n">
        <v>1.62</v>
      </c>
    </row>
    <row r="1020" customFormat="false" ht="15" hidden="false" customHeight="false" outlineLevel="0" collapsed="false">
      <c r="A1020" s="39" t="s">
        <v>229</v>
      </c>
      <c r="B1020" s="39" t="s">
        <v>3204</v>
      </c>
      <c r="C1020" s="41" t="n">
        <v>2.72</v>
      </c>
    </row>
    <row r="1021" customFormat="false" ht="15" hidden="false" customHeight="false" outlineLevel="0" collapsed="false">
      <c r="A1021" s="39" t="s">
        <v>2807</v>
      </c>
      <c r="B1021" s="39" t="s">
        <v>3203</v>
      </c>
      <c r="C1021" s="41" t="n">
        <v>0.76</v>
      </c>
    </row>
    <row r="1022" customFormat="false" ht="15" hidden="false" customHeight="false" outlineLevel="0" collapsed="false">
      <c r="A1022" s="39" t="s">
        <v>2863</v>
      </c>
      <c r="B1022" s="39" t="s">
        <v>3203</v>
      </c>
      <c r="C1022" s="41" t="n">
        <v>13.04</v>
      </c>
    </row>
    <row r="1023" customFormat="false" ht="15" hidden="false" customHeight="false" outlineLevel="0" collapsed="false">
      <c r="A1023" s="39" t="s">
        <v>226</v>
      </c>
      <c r="B1023" s="39" t="s">
        <v>3206</v>
      </c>
      <c r="C1023" s="41" t="n">
        <v>4.85</v>
      </c>
    </row>
    <row r="1024" customFormat="false" ht="15" hidden="false" customHeight="false" outlineLevel="0" collapsed="false">
      <c r="A1024" s="39" t="s">
        <v>586</v>
      </c>
      <c r="B1024" s="39" t="s">
        <v>3204</v>
      </c>
      <c r="C1024" s="41" t="n">
        <v>3.03</v>
      </c>
    </row>
    <row r="1025" customFormat="false" ht="15" hidden="false" customHeight="false" outlineLevel="0" collapsed="false">
      <c r="A1025" s="39" t="s">
        <v>2091</v>
      </c>
      <c r="B1025" s="39" t="s">
        <v>3204</v>
      </c>
      <c r="C1025" s="41" t="n">
        <v>4.62</v>
      </c>
    </row>
    <row r="1026" customFormat="false" ht="15" hidden="false" customHeight="false" outlineLevel="0" collapsed="false">
      <c r="A1026" s="39" t="s">
        <v>194</v>
      </c>
      <c r="B1026" s="39" t="s">
        <v>3203</v>
      </c>
      <c r="C1026" s="41" t="n">
        <v>4.59</v>
      </c>
    </row>
    <row r="1027" customFormat="false" ht="15" hidden="false" customHeight="false" outlineLevel="0" collapsed="false">
      <c r="A1027" s="39" t="s">
        <v>550</v>
      </c>
      <c r="B1027" s="39" t="s">
        <v>3206</v>
      </c>
      <c r="C1027" s="41" t="n">
        <v>0.38</v>
      </c>
    </row>
    <row r="1028" customFormat="false" ht="15" hidden="false" customHeight="false" outlineLevel="0" collapsed="false">
      <c r="A1028" s="39" t="s">
        <v>2687</v>
      </c>
      <c r="B1028" s="39" t="s">
        <v>3203</v>
      </c>
      <c r="C1028" s="41" t="n">
        <v>3.44</v>
      </c>
    </row>
    <row r="1029" customFormat="false" ht="15" hidden="false" customHeight="false" outlineLevel="0" collapsed="false">
      <c r="A1029" s="39" t="s">
        <v>435</v>
      </c>
      <c r="B1029" s="39" t="s">
        <v>3204</v>
      </c>
      <c r="C1029" s="41" t="n">
        <v>3.36</v>
      </c>
    </row>
    <row r="1030" customFormat="false" ht="15" hidden="false" customHeight="false" outlineLevel="0" collapsed="false">
      <c r="A1030" s="39" t="s">
        <v>1626</v>
      </c>
      <c r="B1030" s="39" t="s">
        <v>3203</v>
      </c>
      <c r="C1030" s="41" t="n">
        <v>0.46</v>
      </c>
    </row>
    <row r="1031" customFormat="false" ht="15" hidden="false" customHeight="false" outlineLevel="0" collapsed="false">
      <c r="A1031" s="39" t="s">
        <v>2339</v>
      </c>
      <c r="B1031" s="39" t="s">
        <v>3206</v>
      </c>
      <c r="C1031" s="41" t="n">
        <v>1.87</v>
      </c>
    </row>
    <row r="1032" customFormat="false" ht="15" hidden="false" customHeight="false" outlineLevel="0" collapsed="false">
      <c r="A1032" s="39" t="s">
        <v>1649</v>
      </c>
      <c r="B1032" s="39" t="s">
        <v>3203</v>
      </c>
      <c r="C1032" s="41" t="n">
        <v>4.75</v>
      </c>
    </row>
    <row r="1033" customFormat="false" ht="15" hidden="false" customHeight="false" outlineLevel="0" collapsed="false">
      <c r="A1033" s="39" t="s">
        <v>840</v>
      </c>
      <c r="B1033" s="39" t="s">
        <v>3206</v>
      </c>
      <c r="C1033" s="41" t="n">
        <v>46.33</v>
      </c>
    </row>
    <row r="1034" customFormat="false" ht="15" hidden="false" customHeight="false" outlineLevel="0" collapsed="false">
      <c r="A1034" s="39" t="s">
        <v>2263</v>
      </c>
      <c r="B1034" s="39" t="s">
        <v>3203</v>
      </c>
      <c r="C1034" s="41" t="n">
        <v>1.54</v>
      </c>
    </row>
    <row r="1035" customFormat="false" ht="15" hidden="false" customHeight="false" outlineLevel="0" collapsed="false">
      <c r="A1035" s="39" t="s">
        <v>574</v>
      </c>
      <c r="B1035" s="39" t="s">
        <v>3206</v>
      </c>
      <c r="C1035" s="41" t="n">
        <v>54.63</v>
      </c>
    </row>
    <row r="1036" customFormat="false" ht="15" hidden="false" customHeight="false" outlineLevel="0" collapsed="false">
      <c r="A1036" s="39" t="s">
        <v>981</v>
      </c>
      <c r="B1036" s="39" t="s">
        <v>3206</v>
      </c>
      <c r="C1036" s="41" t="n">
        <v>18.74</v>
      </c>
    </row>
    <row r="1037" customFormat="false" ht="15" hidden="false" customHeight="false" outlineLevel="0" collapsed="false">
      <c r="A1037" s="39" t="s">
        <v>3069</v>
      </c>
      <c r="B1037" s="39" t="s">
        <v>3204</v>
      </c>
      <c r="C1037" s="41" t="n">
        <v>6.17</v>
      </c>
    </row>
    <row r="1038" customFormat="false" ht="15" hidden="false" customHeight="false" outlineLevel="0" collapsed="false">
      <c r="A1038" s="39" t="s">
        <v>2762</v>
      </c>
      <c r="B1038" s="39" t="s">
        <v>3206</v>
      </c>
      <c r="C1038" s="41" t="n">
        <v>24.39</v>
      </c>
    </row>
    <row r="1039" customFormat="false" ht="15" hidden="false" customHeight="false" outlineLevel="0" collapsed="false">
      <c r="A1039" s="39" t="s">
        <v>1869</v>
      </c>
      <c r="B1039" s="39" t="s">
        <v>3204</v>
      </c>
      <c r="C1039" s="41" t="n">
        <v>0.75</v>
      </c>
    </row>
    <row r="1040" customFormat="false" ht="15" hidden="false" customHeight="false" outlineLevel="0" collapsed="false">
      <c r="A1040" s="39" t="s">
        <v>705</v>
      </c>
      <c r="B1040" s="39" t="s">
        <v>3203</v>
      </c>
      <c r="C1040" s="41" t="n">
        <v>0.92</v>
      </c>
    </row>
    <row r="1041" customFormat="false" ht="15" hidden="false" customHeight="false" outlineLevel="0" collapsed="false">
      <c r="A1041" s="39" t="s">
        <v>3029</v>
      </c>
      <c r="B1041" s="39" t="s">
        <v>3204</v>
      </c>
      <c r="C1041" s="41" t="n">
        <v>0.53</v>
      </c>
    </row>
    <row r="1042" customFormat="false" ht="15" hidden="false" customHeight="false" outlineLevel="0" collapsed="false">
      <c r="A1042" s="39" t="s">
        <v>2301</v>
      </c>
      <c r="B1042" s="39" t="s">
        <v>3204</v>
      </c>
      <c r="C1042" s="41" t="n">
        <v>3.94</v>
      </c>
    </row>
    <row r="1043" customFormat="false" ht="15" hidden="false" customHeight="false" outlineLevel="0" collapsed="false">
      <c r="A1043" s="39" t="s">
        <v>1752</v>
      </c>
      <c r="B1043" s="39" t="s">
        <v>3204</v>
      </c>
      <c r="C1043" s="41" t="n">
        <v>28.93</v>
      </c>
    </row>
    <row r="1044" customFormat="false" ht="15" hidden="false" customHeight="false" outlineLevel="0" collapsed="false">
      <c r="A1044" s="39" t="s">
        <v>3013</v>
      </c>
      <c r="B1044" s="39" t="s">
        <v>3206</v>
      </c>
      <c r="C1044" s="41" t="n">
        <v>17.49</v>
      </c>
    </row>
    <row r="1045" customFormat="false" ht="15" hidden="false" customHeight="false" outlineLevel="0" collapsed="false">
      <c r="A1045" s="39" t="s">
        <v>676</v>
      </c>
      <c r="B1045" s="39" t="s">
        <v>3206</v>
      </c>
      <c r="C1045" s="41" t="n">
        <v>13.42</v>
      </c>
    </row>
    <row r="1046" customFormat="false" ht="15" hidden="false" customHeight="false" outlineLevel="0" collapsed="false">
      <c r="A1046" s="39" t="s">
        <v>1828</v>
      </c>
      <c r="B1046" s="39" t="s">
        <v>3206</v>
      </c>
      <c r="C1046" s="41" t="n">
        <v>1.07</v>
      </c>
    </row>
    <row r="1047" customFormat="false" ht="15" hidden="false" customHeight="false" outlineLevel="0" collapsed="false">
      <c r="A1047" s="39" t="s">
        <v>501</v>
      </c>
      <c r="B1047" s="39" t="s">
        <v>3205</v>
      </c>
      <c r="C1047" s="41" t="n">
        <v>1.93</v>
      </c>
    </row>
    <row r="1048" customFormat="false" ht="15" hidden="false" customHeight="false" outlineLevel="0" collapsed="false">
      <c r="A1048" s="39" t="s">
        <v>2977</v>
      </c>
      <c r="B1048" s="39" t="s">
        <v>3205</v>
      </c>
      <c r="C1048" s="41" t="n">
        <v>1.3</v>
      </c>
    </row>
    <row r="1049" customFormat="false" ht="15" hidden="false" customHeight="false" outlineLevel="0" collapsed="false">
      <c r="A1049" s="39" t="s">
        <v>1807</v>
      </c>
      <c r="B1049" s="39" t="s">
        <v>3203</v>
      </c>
      <c r="C1049" s="41" t="n">
        <v>4.55</v>
      </c>
    </row>
    <row r="1050" customFormat="false" ht="15" hidden="false" customHeight="false" outlineLevel="0" collapsed="false">
      <c r="A1050" s="39" t="s">
        <v>824</v>
      </c>
      <c r="B1050" s="39" t="s">
        <v>3204</v>
      </c>
      <c r="C1050" s="41" t="n">
        <v>0.98</v>
      </c>
    </row>
    <row r="1051" customFormat="false" ht="15" hidden="false" customHeight="false" outlineLevel="0" collapsed="false">
      <c r="A1051" s="39" t="s">
        <v>2765</v>
      </c>
      <c r="B1051" s="39" t="s">
        <v>3204</v>
      </c>
      <c r="C1051" s="41" t="n">
        <v>6.36</v>
      </c>
    </row>
    <row r="1052" customFormat="false" ht="15" hidden="false" customHeight="false" outlineLevel="0" collapsed="false">
      <c r="A1052" s="39" t="s">
        <v>2000</v>
      </c>
      <c r="B1052" s="39" t="s">
        <v>3205</v>
      </c>
      <c r="C1052" s="41" t="n">
        <v>14.59</v>
      </c>
    </row>
    <row r="1053" customFormat="false" ht="15" hidden="false" customHeight="false" outlineLevel="0" collapsed="false">
      <c r="A1053" s="39" t="s">
        <v>1131</v>
      </c>
      <c r="B1053" s="39" t="s">
        <v>3204</v>
      </c>
      <c r="C1053" s="41" t="n">
        <v>1.33</v>
      </c>
    </row>
    <row r="1054" customFormat="false" ht="15" hidden="false" customHeight="false" outlineLevel="0" collapsed="false">
      <c r="A1054" s="39" t="s">
        <v>1974</v>
      </c>
      <c r="B1054" s="39" t="s">
        <v>3205</v>
      </c>
      <c r="C1054" s="41" t="n">
        <v>0.86</v>
      </c>
    </row>
    <row r="1055" customFormat="false" ht="15" hidden="false" customHeight="false" outlineLevel="0" collapsed="false">
      <c r="A1055" s="39" t="s">
        <v>2726</v>
      </c>
      <c r="B1055" s="39" t="s">
        <v>3206</v>
      </c>
      <c r="C1055" s="41" t="n">
        <v>2.47</v>
      </c>
    </row>
    <row r="1056" customFormat="false" ht="15" hidden="false" customHeight="false" outlineLevel="0" collapsed="false">
      <c r="A1056" s="39" t="s">
        <v>317</v>
      </c>
      <c r="B1056" s="39" t="s">
        <v>3205</v>
      </c>
      <c r="C1056" s="41" t="n">
        <v>6.84</v>
      </c>
    </row>
    <row r="1057" customFormat="false" ht="15" hidden="false" customHeight="false" outlineLevel="0" collapsed="false">
      <c r="A1057" s="39" t="s">
        <v>1748</v>
      </c>
      <c r="B1057" s="39" t="s">
        <v>3203</v>
      </c>
      <c r="C1057" s="41" t="n">
        <v>2.66</v>
      </c>
    </row>
    <row r="1058" customFormat="false" ht="15" hidden="false" customHeight="false" outlineLevel="0" collapsed="false">
      <c r="A1058" s="39" t="s">
        <v>961</v>
      </c>
      <c r="B1058" s="39" t="s">
        <v>3203</v>
      </c>
      <c r="C1058" s="41" t="n">
        <v>9.84</v>
      </c>
    </row>
    <row r="1059" customFormat="false" ht="15" hidden="false" customHeight="false" outlineLevel="0" collapsed="false">
      <c r="A1059" s="39" t="s">
        <v>538</v>
      </c>
      <c r="B1059" s="39" t="s">
        <v>3204</v>
      </c>
      <c r="C1059" s="41" t="n">
        <v>8.52</v>
      </c>
    </row>
    <row r="1060" customFormat="false" ht="15" hidden="false" customHeight="false" outlineLevel="0" collapsed="false">
      <c r="A1060" s="39" t="s">
        <v>469</v>
      </c>
      <c r="B1060" s="39" t="s">
        <v>3205</v>
      </c>
      <c r="C1060" s="41" t="n">
        <v>12.61</v>
      </c>
    </row>
    <row r="1061" customFormat="false" ht="15" hidden="false" customHeight="false" outlineLevel="0" collapsed="false">
      <c r="A1061" s="39" t="s">
        <v>1790</v>
      </c>
      <c r="B1061" s="39" t="s">
        <v>3205</v>
      </c>
      <c r="C1061" s="41" t="n">
        <v>1.29</v>
      </c>
    </row>
    <row r="1062" customFormat="false" ht="15" hidden="false" customHeight="false" outlineLevel="0" collapsed="false">
      <c r="A1062" s="39" t="s">
        <v>1457</v>
      </c>
      <c r="B1062" s="39" t="s">
        <v>3204</v>
      </c>
      <c r="C1062" s="41" t="n">
        <v>46.11</v>
      </c>
    </row>
    <row r="1063" customFormat="false" ht="15" hidden="false" customHeight="false" outlineLevel="0" collapsed="false">
      <c r="A1063" s="39" t="s">
        <v>1387</v>
      </c>
      <c r="B1063" s="39" t="s">
        <v>3205</v>
      </c>
      <c r="C1063" s="41" t="n">
        <v>3.56</v>
      </c>
    </row>
    <row r="1064" customFormat="false" ht="15" hidden="false" customHeight="false" outlineLevel="0" collapsed="false">
      <c r="A1064" s="39" t="s">
        <v>1527</v>
      </c>
      <c r="B1064" s="39" t="s">
        <v>3205</v>
      </c>
      <c r="C1064" s="41" t="n">
        <v>10.09</v>
      </c>
    </row>
    <row r="1065" customFormat="false" ht="15" hidden="false" customHeight="false" outlineLevel="0" collapsed="false">
      <c r="A1065" s="39" t="s">
        <v>1837</v>
      </c>
      <c r="B1065" s="39" t="s">
        <v>3203</v>
      </c>
      <c r="C1065" s="41" t="n">
        <v>2.95</v>
      </c>
    </row>
    <row r="1066" customFormat="false" ht="15" hidden="false" customHeight="false" outlineLevel="0" collapsed="false">
      <c r="A1066" s="39" t="s">
        <v>3066</v>
      </c>
      <c r="B1066" s="39" t="s">
        <v>3204</v>
      </c>
      <c r="C1066" s="41" t="n">
        <v>2.78</v>
      </c>
    </row>
    <row r="1067" customFormat="false" ht="15" hidden="false" customHeight="false" outlineLevel="0" collapsed="false">
      <c r="A1067" s="39" t="s">
        <v>2149</v>
      </c>
      <c r="B1067" s="39" t="s">
        <v>3203</v>
      </c>
      <c r="C1067" s="41" t="n">
        <v>3.88</v>
      </c>
    </row>
    <row r="1068" customFormat="false" ht="15" hidden="false" customHeight="false" outlineLevel="0" collapsed="false">
      <c r="A1068" s="39" t="s">
        <v>1949</v>
      </c>
      <c r="B1068" s="39" t="s">
        <v>3205</v>
      </c>
      <c r="C1068" s="41" t="n">
        <v>1.69</v>
      </c>
    </row>
    <row r="1069" customFormat="false" ht="15" hidden="false" customHeight="false" outlineLevel="0" collapsed="false">
      <c r="A1069" s="39" t="s">
        <v>924</v>
      </c>
      <c r="B1069" s="39" t="s">
        <v>3204</v>
      </c>
      <c r="C1069" s="41" t="n">
        <v>23.7</v>
      </c>
    </row>
    <row r="1070" customFormat="false" ht="15" hidden="false" customHeight="false" outlineLevel="0" collapsed="false">
      <c r="A1070" s="39" t="s">
        <v>1186</v>
      </c>
      <c r="B1070" s="39" t="s">
        <v>3204</v>
      </c>
      <c r="C1070" s="41" t="n">
        <v>7.6</v>
      </c>
    </row>
    <row r="1071" customFormat="false" ht="15" hidden="false" customHeight="false" outlineLevel="0" collapsed="false">
      <c r="A1071" s="39" t="s">
        <v>2929</v>
      </c>
      <c r="B1071" s="39" t="s">
        <v>3203</v>
      </c>
      <c r="C1071" s="41" t="n">
        <v>3.66</v>
      </c>
    </row>
    <row r="1072" customFormat="false" ht="15" hidden="false" customHeight="false" outlineLevel="0" collapsed="false">
      <c r="A1072" s="39" t="s">
        <v>2674</v>
      </c>
      <c r="B1072" s="39" t="s">
        <v>3206</v>
      </c>
      <c r="C1072" s="41" t="n">
        <v>1.16</v>
      </c>
    </row>
    <row r="1073" customFormat="false" ht="15" hidden="false" customHeight="false" outlineLevel="0" collapsed="false">
      <c r="A1073" s="39" t="s">
        <v>2152</v>
      </c>
      <c r="B1073" s="39" t="s">
        <v>3206</v>
      </c>
      <c r="C1073" s="41" t="n">
        <v>0.28</v>
      </c>
    </row>
    <row r="1074" customFormat="false" ht="15" hidden="false" customHeight="false" outlineLevel="0" collapsed="false">
      <c r="A1074" s="39" t="s">
        <v>1656</v>
      </c>
      <c r="B1074" s="39" t="s">
        <v>3205</v>
      </c>
      <c r="C1074" s="41" t="n">
        <v>2.37</v>
      </c>
    </row>
    <row r="1075" customFormat="false" ht="15" hidden="false" customHeight="false" outlineLevel="0" collapsed="false">
      <c r="A1075" s="39" t="s">
        <v>3183</v>
      </c>
      <c r="B1075" s="39" t="s">
        <v>3205</v>
      </c>
      <c r="C1075" s="41" t="n">
        <v>1.48</v>
      </c>
    </row>
    <row r="1076" customFormat="false" ht="15" hidden="false" customHeight="false" outlineLevel="0" collapsed="false">
      <c r="A1076" s="39" t="s">
        <v>1588</v>
      </c>
      <c r="B1076" s="39" t="s">
        <v>3204</v>
      </c>
      <c r="C1076" s="41" t="n">
        <v>1.43</v>
      </c>
    </row>
    <row r="1077" customFormat="false" ht="15" hidden="false" customHeight="false" outlineLevel="0" collapsed="false">
      <c r="A1077" s="39" t="s">
        <v>724</v>
      </c>
      <c r="B1077" s="39" t="s">
        <v>3206</v>
      </c>
      <c r="C1077" s="41" t="n">
        <v>2.51</v>
      </c>
    </row>
    <row r="1078" customFormat="false" ht="15" hidden="false" customHeight="false" outlineLevel="0" collapsed="false">
      <c r="A1078" s="39" t="s">
        <v>2385</v>
      </c>
      <c r="B1078" s="39" t="s">
        <v>3204</v>
      </c>
      <c r="C1078" s="41" t="n">
        <v>1.82</v>
      </c>
    </row>
    <row r="1079" customFormat="false" ht="15" hidden="false" customHeight="false" outlineLevel="0" collapsed="false">
      <c r="A1079" s="39" t="s">
        <v>365</v>
      </c>
      <c r="B1079" s="39" t="s">
        <v>3203</v>
      </c>
      <c r="C1079" s="41" t="n">
        <v>7.8</v>
      </c>
    </row>
    <row r="1080" customFormat="false" ht="15" hidden="false" customHeight="false" outlineLevel="0" collapsed="false">
      <c r="A1080" s="39" t="s">
        <v>188</v>
      </c>
      <c r="B1080" s="39" t="s">
        <v>3204</v>
      </c>
      <c r="C1080" s="41" t="n">
        <v>3.84</v>
      </c>
    </row>
    <row r="1081" customFormat="false" ht="15" hidden="false" customHeight="false" outlineLevel="0" collapsed="false">
      <c r="A1081" s="39" t="s">
        <v>2184</v>
      </c>
      <c r="B1081" s="39" t="s">
        <v>3204</v>
      </c>
      <c r="C1081" s="41" t="n">
        <v>7.87</v>
      </c>
    </row>
    <row r="1082" customFormat="false" ht="15" hidden="false" customHeight="false" outlineLevel="0" collapsed="false">
      <c r="A1082" s="39" t="s">
        <v>470</v>
      </c>
      <c r="B1082" s="39" t="s">
        <v>3203</v>
      </c>
      <c r="C1082" s="41" t="n">
        <v>2.19</v>
      </c>
    </row>
    <row r="1083" customFormat="false" ht="15" hidden="false" customHeight="false" outlineLevel="0" collapsed="false">
      <c r="A1083" s="39" t="s">
        <v>165</v>
      </c>
      <c r="B1083" s="39" t="s">
        <v>3204</v>
      </c>
      <c r="C1083" s="41" t="n">
        <v>2.08</v>
      </c>
    </row>
    <row r="1084" customFormat="false" ht="15" hidden="false" customHeight="false" outlineLevel="0" collapsed="false">
      <c r="A1084" s="39" t="s">
        <v>944</v>
      </c>
      <c r="B1084" s="39" t="s">
        <v>3206</v>
      </c>
      <c r="C1084" s="41" t="n">
        <v>25.54</v>
      </c>
    </row>
    <row r="1085" customFormat="false" ht="15" hidden="false" customHeight="false" outlineLevel="0" collapsed="false">
      <c r="A1085" s="39" t="s">
        <v>1218</v>
      </c>
      <c r="B1085" s="39" t="s">
        <v>3205</v>
      </c>
      <c r="C1085" s="41" t="n">
        <v>6.83</v>
      </c>
    </row>
    <row r="1086" customFormat="false" ht="15" hidden="false" customHeight="false" outlineLevel="0" collapsed="false">
      <c r="A1086" s="39" t="s">
        <v>1269</v>
      </c>
      <c r="B1086" s="39" t="s">
        <v>3203</v>
      </c>
      <c r="C1086" s="41" t="n">
        <v>9.67</v>
      </c>
    </row>
    <row r="1087" customFormat="false" ht="15" hidden="false" customHeight="false" outlineLevel="0" collapsed="false">
      <c r="A1087" s="39" t="s">
        <v>804</v>
      </c>
      <c r="B1087" s="39" t="s">
        <v>3206</v>
      </c>
      <c r="C1087" s="41" t="n">
        <v>4.86</v>
      </c>
    </row>
    <row r="1088" customFormat="false" ht="15" hidden="false" customHeight="false" outlineLevel="0" collapsed="false">
      <c r="A1088" s="39" t="s">
        <v>1733</v>
      </c>
      <c r="B1088" s="39" t="s">
        <v>3205</v>
      </c>
      <c r="C1088" s="41" t="n">
        <v>0.58</v>
      </c>
    </row>
    <row r="1089" customFormat="false" ht="15" hidden="false" customHeight="false" outlineLevel="0" collapsed="false">
      <c r="A1089" s="39" t="s">
        <v>2337</v>
      </c>
      <c r="B1089" s="39" t="s">
        <v>3206</v>
      </c>
      <c r="C1089" s="41" t="n">
        <v>10.31</v>
      </c>
    </row>
    <row r="1090" customFormat="false" ht="15" hidden="false" customHeight="false" outlineLevel="0" collapsed="false">
      <c r="A1090" s="39" t="s">
        <v>1419</v>
      </c>
      <c r="B1090" s="39" t="s">
        <v>3205</v>
      </c>
      <c r="C1090" s="41" t="n">
        <v>7.7</v>
      </c>
    </row>
    <row r="1091" customFormat="false" ht="15" hidden="false" customHeight="false" outlineLevel="0" collapsed="false">
      <c r="A1091" s="39" t="s">
        <v>2320</v>
      </c>
      <c r="B1091" s="39" t="s">
        <v>3204</v>
      </c>
      <c r="C1091" s="41" t="n">
        <v>4.47</v>
      </c>
    </row>
    <row r="1092" customFormat="false" ht="15" hidden="false" customHeight="false" outlineLevel="0" collapsed="false">
      <c r="A1092" s="39" t="s">
        <v>2016</v>
      </c>
      <c r="B1092" s="39" t="s">
        <v>3204</v>
      </c>
      <c r="C1092" s="41" t="n">
        <v>9.34</v>
      </c>
    </row>
    <row r="1093" customFormat="false" ht="15" hidden="false" customHeight="false" outlineLevel="0" collapsed="false">
      <c r="A1093" s="39" t="s">
        <v>1548</v>
      </c>
      <c r="B1093" s="39" t="s">
        <v>3205</v>
      </c>
      <c r="C1093" s="41" t="n">
        <v>10.4</v>
      </c>
    </row>
    <row r="1094" customFormat="false" ht="15" hidden="false" customHeight="false" outlineLevel="0" collapsed="false">
      <c r="A1094" s="39" t="s">
        <v>2552</v>
      </c>
      <c r="B1094" s="39" t="s">
        <v>3203</v>
      </c>
      <c r="C1094" s="41" t="n">
        <v>0.87</v>
      </c>
    </row>
    <row r="1095" customFormat="false" ht="15" hidden="false" customHeight="false" outlineLevel="0" collapsed="false">
      <c r="A1095" s="39" t="s">
        <v>2945</v>
      </c>
      <c r="B1095" s="39" t="s">
        <v>3204</v>
      </c>
      <c r="C1095" s="41" t="n">
        <v>1.13</v>
      </c>
    </row>
    <row r="1096" customFormat="false" ht="15" hidden="false" customHeight="false" outlineLevel="0" collapsed="false">
      <c r="A1096" s="39" t="s">
        <v>2075</v>
      </c>
      <c r="B1096" s="39" t="s">
        <v>3204</v>
      </c>
      <c r="C1096" s="41" t="n">
        <v>1.44</v>
      </c>
    </row>
    <row r="1097" customFormat="false" ht="15" hidden="false" customHeight="false" outlineLevel="0" collapsed="false">
      <c r="A1097" s="39" t="s">
        <v>2629</v>
      </c>
      <c r="B1097" s="39" t="s">
        <v>3203</v>
      </c>
      <c r="C1097" s="41" t="n">
        <v>3.83</v>
      </c>
    </row>
    <row r="1098" customFormat="false" ht="15" hidden="false" customHeight="false" outlineLevel="0" collapsed="false">
      <c r="A1098" s="39" t="s">
        <v>589</v>
      </c>
      <c r="B1098" s="39" t="s">
        <v>3206</v>
      </c>
      <c r="C1098" s="41" t="n">
        <v>0.86</v>
      </c>
    </row>
    <row r="1099" customFormat="false" ht="15" hidden="false" customHeight="false" outlineLevel="0" collapsed="false">
      <c r="A1099" s="39" t="s">
        <v>1658</v>
      </c>
      <c r="B1099" s="39" t="s">
        <v>3203</v>
      </c>
      <c r="C1099" s="41" t="n">
        <v>34.21</v>
      </c>
    </row>
    <row r="1100" customFormat="false" ht="15" hidden="false" customHeight="false" outlineLevel="0" collapsed="false">
      <c r="A1100" s="39" t="s">
        <v>752</v>
      </c>
      <c r="B1100" s="39" t="s">
        <v>3204</v>
      </c>
      <c r="C1100" s="41" t="n">
        <v>2.23</v>
      </c>
    </row>
    <row r="1101" customFormat="false" ht="15" hidden="false" customHeight="false" outlineLevel="0" collapsed="false">
      <c r="A1101" s="39" t="s">
        <v>2974</v>
      </c>
      <c r="B1101" s="39" t="s">
        <v>3205</v>
      </c>
      <c r="C1101" s="41" t="n">
        <v>5.19</v>
      </c>
    </row>
    <row r="1102" customFormat="false" ht="15" hidden="false" customHeight="false" outlineLevel="0" collapsed="false">
      <c r="A1102" s="39" t="s">
        <v>2864</v>
      </c>
      <c r="B1102" s="39" t="s">
        <v>3203</v>
      </c>
      <c r="C1102" s="41" t="n">
        <v>21.91</v>
      </c>
    </row>
    <row r="1103" customFormat="false" ht="15" hidden="false" customHeight="false" outlineLevel="0" collapsed="false">
      <c r="A1103" s="39" t="s">
        <v>2023</v>
      </c>
      <c r="B1103" s="39" t="s">
        <v>3203</v>
      </c>
      <c r="C1103" s="41" t="n">
        <v>4.81</v>
      </c>
    </row>
    <row r="1104" customFormat="false" ht="15" hidden="false" customHeight="false" outlineLevel="0" collapsed="false">
      <c r="A1104" s="39" t="s">
        <v>681</v>
      </c>
      <c r="B1104" s="39" t="s">
        <v>3205</v>
      </c>
      <c r="C1104" s="41" t="n">
        <v>4.78</v>
      </c>
    </row>
    <row r="1105" customFormat="false" ht="15" hidden="false" customHeight="false" outlineLevel="0" collapsed="false">
      <c r="A1105" s="39" t="s">
        <v>1248</v>
      </c>
      <c r="B1105" s="39" t="s">
        <v>3205</v>
      </c>
      <c r="C1105" s="41" t="n">
        <v>1.75</v>
      </c>
    </row>
    <row r="1106" customFormat="false" ht="15" hidden="false" customHeight="false" outlineLevel="0" collapsed="false">
      <c r="A1106" s="39" t="s">
        <v>1552</v>
      </c>
      <c r="B1106" s="39" t="s">
        <v>3204</v>
      </c>
      <c r="C1106" s="41" t="n">
        <v>4.31</v>
      </c>
    </row>
    <row r="1107" customFormat="false" ht="15" hidden="false" customHeight="false" outlineLevel="0" collapsed="false">
      <c r="A1107" s="39" t="s">
        <v>2109</v>
      </c>
      <c r="B1107" s="39" t="s">
        <v>3205</v>
      </c>
      <c r="C1107" s="41" t="n">
        <v>2.39</v>
      </c>
    </row>
    <row r="1108" customFormat="false" ht="15" hidden="false" customHeight="false" outlineLevel="0" collapsed="false">
      <c r="A1108" s="39" t="s">
        <v>2556</v>
      </c>
      <c r="B1108" s="39" t="s">
        <v>3203</v>
      </c>
      <c r="C1108" s="41" t="n">
        <v>1.47</v>
      </c>
    </row>
    <row r="1109" customFormat="false" ht="15" hidden="false" customHeight="false" outlineLevel="0" collapsed="false">
      <c r="A1109" s="39" t="s">
        <v>1550</v>
      </c>
      <c r="B1109" s="39" t="s">
        <v>3203</v>
      </c>
      <c r="C1109" s="41" t="n">
        <v>24.61</v>
      </c>
    </row>
    <row r="1110" customFormat="false" ht="15" hidden="false" customHeight="false" outlineLevel="0" collapsed="false">
      <c r="A1110" s="39" t="s">
        <v>2923</v>
      </c>
      <c r="B1110" s="39" t="s">
        <v>3204</v>
      </c>
      <c r="C1110" s="41" t="n">
        <v>0.95</v>
      </c>
    </row>
    <row r="1111" customFormat="false" ht="15" hidden="false" customHeight="false" outlineLevel="0" collapsed="false">
      <c r="A1111" s="39" t="s">
        <v>238</v>
      </c>
      <c r="B1111" s="39" t="s">
        <v>3203</v>
      </c>
      <c r="C1111" s="41" t="n">
        <v>28.05</v>
      </c>
    </row>
    <row r="1112" customFormat="false" ht="15" hidden="false" customHeight="false" outlineLevel="0" collapsed="false">
      <c r="A1112" s="39" t="s">
        <v>350</v>
      </c>
      <c r="B1112" s="39" t="s">
        <v>3203</v>
      </c>
      <c r="C1112" s="41" t="n">
        <v>137.05</v>
      </c>
    </row>
    <row r="1113" customFormat="false" ht="15" hidden="false" customHeight="false" outlineLevel="0" collapsed="false">
      <c r="A1113" s="39" t="s">
        <v>755</v>
      </c>
      <c r="B1113" s="39" t="s">
        <v>3204</v>
      </c>
      <c r="C1113" s="41" t="n">
        <v>18.6</v>
      </c>
    </row>
    <row r="1114" customFormat="false" ht="15" hidden="false" customHeight="false" outlineLevel="0" collapsed="false">
      <c r="A1114" s="39" t="s">
        <v>1190</v>
      </c>
      <c r="B1114" s="39" t="s">
        <v>3206</v>
      </c>
      <c r="C1114" s="41" t="n">
        <v>4.3</v>
      </c>
    </row>
    <row r="1115" customFormat="false" ht="15" hidden="false" customHeight="false" outlineLevel="0" collapsed="false">
      <c r="A1115" s="39" t="s">
        <v>585</v>
      </c>
      <c r="B1115" s="39" t="s">
        <v>3205</v>
      </c>
      <c r="C1115" s="41" t="n">
        <v>2.96</v>
      </c>
    </row>
    <row r="1116" customFormat="false" ht="15" hidden="false" customHeight="false" outlineLevel="0" collapsed="false">
      <c r="A1116" s="39" t="s">
        <v>3100</v>
      </c>
      <c r="B1116" s="39" t="s">
        <v>3206</v>
      </c>
      <c r="C1116" s="41" t="n">
        <v>10.09</v>
      </c>
    </row>
    <row r="1117" customFormat="false" ht="15" hidden="false" customHeight="false" outlineLevel="0" collapsed="false">
      <c r="A1117" s="39" t="s">
        <v>2776</v>
      </c>
      <c r="B1117" s="39" t="s">
        <v>3206</v>
      </c>
      <c r="C1117" s="41" t="n">
        <v>7.67</v>
      </c>
    </row>
    <row r="1118" customFormat="false" ht="15" hidden="false" customHeight="false" outlineLevel="0" collapsed="false">
      <c r="A1118" s="39" t="s">
        <v>1078</v>
      </c>
      <c r="B1118" s="39" t="s">
        <v>3206</v>
      </c>
      <c r="C1118" s="41" t="n">
        <v>1.17</v>
      </c>
    </row>
    <row r="1119" customFormat="false" ht="15" hidden="false" customHeight="false" outlineLevel="0" collapsed="false">
      <c r="A1119" s="39" t="s">
        <v>1125</v>
      </c>
      <c r="B1119" s="39" t="s">
        <v>3204</v>
      </c>
      <c r="C1119" s="41" t="n">
        <v>0.35</v>
      </c>
    </row>
    <row r="1120" customFormat="false" ht="15" hidden="false" customHeight="false" outlineLevel="0" collapsed="false">
      <c r="A1120" s="39" t="s">
        <v>1685</v>
      </c>
      <c r="B1120" s="39" t="s">
        <v>3204</v>
      </c>
      <c r="C1120" s="41" t="n">
        <v>7.6</v>
      </c>
    </row>
    <row r="1121" customFormat="false" ht="15" hidden="false" customHeight="false" outlineLevel="0" collapsed="false">
      <c r="A1121" s="39" t="s">
        <v>1451</v>
      </c>
      <c r="B1121" s="39" t="s">
        <v>3204</v>
      </c>
      <c r="C1121" s="41" t="n">
        <v>1.3</v>
      </c>
    </row>
    <row r="1122" customFormat="false" ht="15" hidden="false" customHeight="false" outlineLevel="0" collapsed="false">
      <c r="A1122" s="39" t="s">
        <v>2135</v>
      </c>
      <c r="B1122" s="39" t="s">
        <v>3203</v>
      </c>
      <c r="C1122" s="41" t="n">
        <v>3.02</v>
      </c>
    </row>
    <row r="1123" customFormat="false" ht="15" hidden="false" customHeight="false" outlineLevel="0" collapsed="false">
      <c r="A1123" s="39" t="s">
        <v>520</v>
      </c>
      <c r="B1123" s="39" t="s">
        <v>3203</v>
      </c>
      <c r="C1123" s="41" t="n">
        <v>4.18</v>
      </c>
    </row>
    <row r="1124" customFormat="false" ht="15" hidden="false" customHeight="false" outlineLevel="0" collapsed="false">
      <c r="A1124" s="39" t="s">
        <v>222</v>
      </c>
      <c r="B1124" s="39" t="s">
        <v>3204</v>
      </c>
      <c r="C1124" s="41" t="n">
        <v>4.22</v>
      </c>
    </row>
    <row r="1125" customFormat="false" ht="15" hidden="false" customHeight="false" outlineLevel="0" collapsed="false">
      <c r="A1125" s="39" t="s">
        <v>2513</v>
      </c>
      <c r="B1125" s="39" t="s">
        <v>3203</v>
      </c>
      <c r="C1125" s="41" t="n">
        <v>0.74</v>
      </c>
    </row>
    <row r="1126" customFormat="false" ht="15" hidden="false" customHeight="false" outlineLevel="0" collapsed="false">
      <c r="A1126" s="39" t="s">
        <v>631</v>
      </c>
      <c r="B1126" s="39" t="s">
        <v>3206</v>
      </c>
      <c r="C1126" s="41" t="n">
        <v>3.78</v>
      </c>
    </row>
    <row r="1127" customFormat="false" ht="15" hidden="false" customHeight="false" outlineLevel="0" collapsed="false">
      <c r="A1127" s="39" t="s">
        <v>1308</v>
      </c>
      <c r="B1127" s="39" t="s">
        <v>3206</v>
      </c>
      <c r="C1127" s="41" t="n">
        <v>2.67</v>
      </c>
    </row>
    <row r="1128" customFormat="false" ht="15" hidden="false" customHeight="false" outlineLevel="0" collapsed="false">
      <c r="A1128" s="39" t="s">
        <v>2585</v>
      </c>
      <c r="B1128" s="39" t="s">
        <v>3206</v>
      </c>
      <c r="C1128" s="41" t="n">
        <v>2.34</v>
      </c>
    </row>
    <row r="1129" customFormat="false" ht="15" hidden="false" customHeight="false" outlineLevel="0" collapsed="false">
      <c r="A1129" s="39" t="s">
        <v>1335</v>
      </c>
      <c r="B1129" s="39" t="s">
        <v>3204</v>
      </c>
      <c r="C1129" s="41" t="n">
        <v>0.39</v>
      </c>
    </row>
    <row r="1130" customFormat="false" ht="15" hidden="false" customHeight="false" outlineLevel="0" collapsed="false">
      <c r="A1130" s="39" t="s">
        <v>2628</v>
      </c>
      <c r="B1130" s="39" t="s">
        <v>3204</v>
      </c>
      <c r="C1130" s="41" t="n">
        <v>3.56</v>
      </c>
    </row>
    <row r="1131" customFormat="false" ht="15" hidden="false" customHeight="false" outlineLevel="0" collapsed="false">
      <c r="A1131" s="39" t="s">
        <v>1661</v>
      </c>
      <c r="B1131" s="39" t="s">
        <v>3203</v>
      </c>
      <c r="C1131" s="41" t="n">
        <v>1.83</v>
      </c>
    </row>
    <row r="1132" customFormat="false" ht="15" hidden="false" customHeight="false" outlineLevel="0" collapsed="false">
      <c r="A1132" s="39" t="s">
        <v>2462</v>
      </c>
      <c r="B1132" s="39" t="s">
        <v>3205</v>
      </c>
      <c r="C1132" s="41" t="n">
        <v>18.63</v>
      </c>
    </row>
    <row r="1133" customFormat="false" ht="15" hidden="false" customHeight="false" outlineLevel="0" collapsed="false">
      <c r="A1133" s="39" t="s">
        <v>1092</v>
      </c>
      <c r="B1133" s="39" t="s">
        <v>3204</v>
      </c>
      <c r="C1133" s="41" t="n">
        <v>16.02</v>
      </c>
    </row>
    <row r="1134" customFormat="false" ht="15" hidden="false" customHeight="false" outlineLevel="0" collapsed="false">
      <c r="A1134" s="39" t="s">
        <v>721</v>
      </c>
      <c r="B1134" s="39" t="s">
        <v>3206</v>
      </c>
      <c r="C1134" s="41" t="n">
        <v>9.57</v>
      </c>
    </row>
    <row r="1135" customFormat="false" ht="15" hidden="false" customHeight="false" outlineLevel="0" collapsed="false">
      <c r="A1135" s="39" t="s">
        <v>2296</v>
      </c>
      <c r="B1135" s="39" t="s">
        <v>3205</v>
      </c>
      <c r="C1135" s="41" t="n">
        <v>18.2</v>
      </c>
    </row>
    <row r="1136" customFormat="false" ht="15" hidden="false" customHeight="false" outlineLevel="0" collapsed="false">
      <c r="A1136" s="39" t="s">
        <v>887</v>
      </c>
      <c r="B1136" s="39" t="s">
        <v>3203</v>
      </c>
      <c r="C1136" s="41" t="n">
        <v>2.55</v>
      </c>
    </row>
    <row r="1137" customFormat="false" ht="15" hidden="false" customHeight="false" outlineLevel="0" collapsed="false">
      <c r="A1137" s="39" t="s">
        <v>2470</v>
      </c>
      <c r="B1137" s="39" t="s">
        <v>3204</v>
      </c>
      <c r="C1137" s="41" t="n">
        <v>2.66</v>
      </c>
    </row>
    <row r="1138" customFormat="false" ht="15" hidden="false" customHeight="false" outlineLevel="0" collapsed="false">
      <c r="A1138" s="39" t="s">
        <v>1908</v>
      </c>
      <c r="B1138" s="39" t="s">
        <v>3203</v>
      </c>
      <c r="C1138" s="41" t="n">
        <v>10.16</v>
      </c>
    </row>
    <row r="1139" customFormat="false" ht="15" hidden="false" customHeight="false" outlineLevel="0" collapsed="false">
      <c r="A1139" s="39" t="s">
        <v>356</v>
      </c>
      <c r="B1139" s="39" t="s">
        <v>3204</v>
      </c>
      <c r="C1139" s="41" t="n">
        <v>13.48</v>
      </c>
    </row>
    <row r="1140" customFormat="false" ht="15" hidden="false" customHeight="false" outlineLevel="0" collapsed="false">
      <c r="A1140" s="39" t="s">
        <v>619</v>
      </c>
      <c r="B1140" s="39" t="s">
        <v>3203</v>
      </c>
      <c r="C1140" s="41" t="n">
        <v>20.21</v>
      </c>
    </row>
    <row r="1141" customFormat="false" ht="15" hidden="false" customHeight="false" outlineLevel="0" collapsed="false">
      <c r="A1141" s="39" t="s">
        <v>822</v>
      </c>
      <c r="B1141" s="39" t="s">
        <v>3203</v>
      </c>
      <c r="C1141" s="41" t="n">
        <v>10.09</v>
      </c>
    </row>
    <row r="1142" customFormat="false" ht="15" hidden="false" customHeight="false" outlineLevel="0" collapsed="false">
      <c r="A1142" s="39" t="s">
        <v>467</v>
      </c>
      <c r="B1142" s="39" t="s">
        <v>3205</v>
      </c>
      <c r="C1142" s="41" t="n">
        <v>2.89</v>
      </c>
    </row>
    <row r="1143" customFormat="false" ht="15" hidden="false" customHeight="false" outlineLevel="0" collapsed="false">
      <c r="A1143" s="39" t="s">
        <v>1240</v>
      </c>
      <c r="B1143" s="39" t="s">
        <v>3205</v>
      </c>
      <c r="C1143" s="41" t="n">
        <v>1.81</v>
      </c>
    </row>
    <row r="1144" customFormat="false" ht="15" hidden="false" customHeight="false" outlineLevel="0" collapsed="false">
      <c r="A1144" s="39" t="s">
        <v>870</v>
      </c>
      <c r="B1144" s="39" t="s">
        <v>3206</v>
      </c>
      <c r="C1144" s="41" t="n">
        <v>1.17</v>
      </c>
    </row>
    <row r="1145" customFormat="false" ht="15" hidden="false" customHeight="false" outlineLevel="0" collapsed="false">
      <c r="A1145" s="39" t="s">
        <v>2118</v>
      </c>
      <c r="B1145" s="39" t="s">
        <v>3206</v>
      </c>
      <c r="C1145" s="41" t="n">
        <v>1.99</v>
      </c>
    </row>
    <row r="1146" customFormat="false" ht="15" hidden="false" customHeight="false" outlineLevel="0" collapsed="false">
      <c r="A1146" s="39" t="s">
        <v>1102</v>
      </c>
      <c r="B1146" s="39" t="s">
        <v>3203</v>
      </c>
      <c r="C1146" s="41" t="n">
        <v>2.02</v>
      </c>
    </row>
    <row r="1147" customFormat="false" ht="15" hidden="false" customHeight="false" outlineLevel="0" collapsed="false">
      <c r="A1147" s="39" t="s">
        <v>424</v>
      </c>
      <c r="B1147" s="39" t="s">
        <v>3203</v>
      </c>
      <c r="C1147" s="41" t="n">
        <v>7.51</v>
      </c>
    </row>
    <row r="1148" customFormat="false" ht="15" hidden="false" customHeight="false" outlineLevel="0" collapsed="false">
      <c r="A1148" s="39" t="s">
        <v>2973</v>
      </c>
      <c r="B1148" s="39" t="s">
        <v>3205</v>
      </c>
      <c r="C1148" s="41" t="n">
        <v>11.56</v>
      </c>
    </row>
    <row r="1149" customFormat="false" ht="15" hidden="false" customHeight="false" outlineLevel="0" collapsed="false">
      <c r="A1149" s="39" t="s">
        <v>2658</v>
      </c>
      <c r="B1149" s="39" t="s">
        <v>3205</v>
      </c>
      <c r="C1149" s="41" t="n">
        <v>3.48</v>
      </c>
    </row>
    <row r="1150" customFormat="false" ht="15" hidden="false" customHeight="false" outlineLevel="0" collapsed="false">
      <c r="A1150" s="39" t="s">
        <v>1054</v>
      </c>
      <c r="B1150" s="39" t="s">
        <v>3205</v>
      </c>
      <c r="C1150" s="41" t="n">
        <v>1.01</v>
      </c>
    </row>
    <row r="1151" customFormat="false" ht="15" hidden="false" customHeight="false" outlineLevel="0" collapsed="false">
      <c r="A1151" s="39" t="s">
        <v>2374</v>
      </c>
      <c r="B1151" s="39" t="s">
        <v>3205</v>
      </c>
      <c r="C1151" s="41" t="n">
        <v>2.95</v>
      </c>
    </row>
    <row r="1152" customFormat="false" ht="15" hidden="false" customHeight="false" outlineLevel="0" collapsed="false">
      <c r="A1152" s="39" t="s">
        <v>890</v>
      </c>
      <c r="B1152" s="39" t="s">
        <v>3205</v>
      </c>
      <c r="C1152" s="41" t="n">
        <v>2.35</v>
      </c>
    </row>
    <row r="1153" customFormat="false" ht="15" hidden="false" customHeight="false" outlineLevel="0" collapsed="false">
      <c r="A1153" s="39" t="s">
        <v>1164</v>
      </c>
      <c r="B1153" s="39" t="s">
        <v>3204</v>
      </c>
      <c r="C1153" s="41" t="n">
        <v>1.95</v>
      </c>
    </row>
    <row r="1154" customFormat="false" ht="15" hidden="false" customHeight="false" outlineLevel="0" collapsed="false">
      <c r="A1154" s="39" t="s">
        <v>602</v>
      </c>
      <c r="B1154" s="39" t="s">
        <v>3203</v>
      </c>
      <c r="C1154" s="41" t="n">
        <v>1.3</v>
      </c>
    </row>
    <row r="1155" customFormat="false" ht="15" hidden="false" customHeight="false" outlineLevel="0" collapsed="false">
      <c r="A1155" s="39" t="s">
        <v>2162</v>
      </c>
      <c r="B1155" s="39" t="s">
        <v>3203</v>
      </c>
      <c r="C1155" s="41" t="n">
        <v>14.07</v>
      </c>
    </row>
    <row r="1156" customFormat="false" ht="15" hidden="false" customHeight="false" outlineLevel="0" collapsed="false">
      <c r="A1156" s="39" t="s">
        <v>2774</v>
      </c>
      <c r="B1156" s="39" t="s">
        <v>3203</v>
      </c>
      <c r="C1156" s="41" t="n">
        <v>11.75</v>
      </c>
    </row>
    <row r="1157" customFormat="false" ht="15" hidden="false" customHeight="false" outlineLevel="0" collapsed="false">
      <c r="A1157" s="39" t="s">
        <v>791</v>
      </c>
      <c r="B1157" s="39" t="s">
        <v>3204</v>
      </c>
      <c r="C1157" s="41" t="n">
        <v>0.78</v>
      </c>
    </row>
    <row r="1158" customFormat="false" ht="15" hidden="false" customHeight="false" outlineLevel="0" collapsed="false">
      <c r="A1158" s="39" t="s">
        <v>2791</v>
      </c>
      <c r="B1158" s="39" t="s">
        <v>3206</v>
      </c>
      <c r="C1158" s="41" t="n">
        <v>3.42</v>
      </c>
    </row>
    <row r="1159" customFormat="false" ht="15" hidden="false" customHeight="false" outlineLevel="0" collapsed="false">
      <c r="A1159" s="39" t="s">
        <v>1196</v>
      </c>
      <c r="B1159" s="39" t="s">
        <v>3206</v>
      </c>
      <c r="C1159" s="41" t="n">
        <v>1.98</v>
      </c>
    </row>
    <row r="1160" customFormat="false" ht="15" hidden="false" customHeight="false" outlineLevel="0" collapsed="false">
      <c r="A1160" s="39" t="s">
        <v>763</v>
      </c>
      <c r="B1160" s="39" t="s">
        <v>3206</v>
      </c>
      <c r="C1160" s="41" t="n">
        <v>6.68</v>
      </c>
    </row>
    <row r="1161" customFormat="false" ht="15" hidden="false" customHeight="false" outlineLevel="0" collapsed="false">
      <c r="A1161" s="39" t="s">
        <v>2557</v>
      </c>
      <c r="B1161" s="39" t="s">
        <v>3205</v>
      </c>
      <c r="C1161" s="41" t="n">
        <v>1.2</v>
      </c>
    </row>
    <row r="1162" customFormat="false" ht="15" hidden="false" customHeight="false" outlineLevel="0" collapsed="false">
      <c r="A1162" s="39" t="s">
        <v>1520</v>
      </c>
      <c r="B1162" s="39" t="s">
        <v>3203</v>
      </c>
      <c r="C1162" s="41" t="n">
        <v>0.77</v>
      </c>
    </row>
    <row r="1163" customFormat="false" ht="15" hidden="false" customHeight="false" outlineLevel="0" collapsed="false">
      <c r="A1163" s="39" t="s">
        <v>1053</v>
      </c>
      <c r="B1163" s="39" t="s">
        <v>3205</v>
      </c>
      <c r="C1163" s="41" t="n">
        <v>6.87</v>
      </c>
    </row>
    <row r="1164" customFormat="false" ht="15" hidden="false" customHeight="false" outlineLevel="0" collapsed="false">
      <c r="A1164" s="39" t="s">
        <v>1176</v>
      </c>
      <c r="B1164" s="39" t="s">
        <v>3203</v>
      </c>
      <c r="C1164" s="41" t="n">
        <v>5.86</v>
      </c>
    </row>
    <row r="1165" customFormat="false" ht="15" hidden="false" customHeight="false" outlineLevel="0" collapsed="false">
      <c r="A1165" s="39" t="s">
        <v>958</v>
      </c>
      <c r="B1165" s="39" t="s">
        <v>3204</v>
      </c>
      <c r="C1165" s="41" t="n">
        <v>5.07</v>
      </c>
    </row>
    <row r="1166" customFormat="false" ht="15" hidden="false" customHeight="false" outlineLevel="0" collapsed="false">
      <c r="A1166" s="39" t="s">
        <v>575</v>
      </c>
      <c r="B1166" s="39" t="s">
        <v>3205</v>
      </c>
      <c r="C1166" s="41" t="n">
        <v>3.31</v>
      </c>
    </row>
    <row r="1167" customFormat="false" ht="15" hidden="false" customHeight="false" outlineLevel="0" collapsed="false">
      <c r="A1167" s="39" t="s">
        <v>1849</v>
      </c>
      <c r="B1167" s="39" t="s">
        <v>3203</v>
      </c>
      <c r="C1167" s="41" t="n">
        <v>4.69</v>
      </c>
    </row>
    <row r="1168" customFormat="false" ht="15" hidden="false" customHeight="false" outlineLevel="0" collapsed="false">
      <c r="A1168" s="39" t="s">
        <v>1990</v>
      </c>
      <c r="B1168" s="39" t="s">
        <v>3206</v>
      </c>
      <c r="C1168" s="41" t="n">
        <v>8.57</v>
      </c>
    </row>
    <row r="1169" customFormat="false" ht="15" hidden="false" customHeight="false" outlineLevel="0" collapsed="false">
      <c r="A1169" s="39" t="s">
        <v>903</v>
      </c>
      <c r="B1169" s="39" t="s">
        <v>3203</v>
      </c>
      <c r="C1169" s="41" t="n">
        <v>8.34</v>
      </c>
    </row>
    <row r="1170" customFormat="false" ht="15" hidden="false" customHeight="false" outlineLevel="0" collapsed="false">
      <c r="A1170" s="39" t="s">
        <v>1956</v>
      </c>
      <c r="B1170" s="39" t="s">
        <v>3206</v>
      </c>
      <c r="C1170" s="41" t="n">
        <v>2.09</v>
      </c>
    </row>
    <row r="1171" customFormat="false" ht="15" hidden="false" customHeight="false" outlineLevel="0" collapsed="false">
      <c r="A1171" s="39" t="s">
        <v>742</v>
      </c>
      <c r="B1171" s="39" t="s">
        <v>3206</v>
      </c>
      <c r="C1171" s="41" t="n">
        <v>1.67</v>
      </c>
    </row>
    <row r="1172" customFormat="false" ht="15" hidden="false" customHeight="false" outlineLevel="0" collapsed="false">
      <c r="A1172" s="39" t="s">
        <v>330</v>
      </c>
      <c r="B1172" s="39" t="s">
        <v>3206</v>
      </c>
      <c r="C1172" s="41" t="n">
        <v>4.78</v>
      </c>
    </row>
    <row r="1173" customFormat="false" ht="15" hidden="false" customHeight="false" outlineLevel="0" collapsed="false">
      <c r="A1173" s="39" t="s">
        <v>141</v>
      </c>
      <c r="B1173" s="39" t="s">
        <v>3203</v>
      </c>
      <c r="C1173" s="41" t="n">
        <v>0.47</v>
      </c>
    </row>
    <row r="1174" customFormat="false" ht="15" hidden="false" customHeight="false" outlineLevel="0" collapsed="false">
      <c r="A1174" s="39" t="s">
        <v>3053</v>
      </c>
      <c r="B1174" s="39" t="s">
        <v>3203</v>
      </c>
      <c r="C1174" s="41" t="n">
        <v>1.78</v>
      </c>
    </row>
    <row r="1175" customFormat="false" ht="15" hidden="false" customHeight="false" outlineLevel="0" collapsed="false">
      <c r="A1175" s="39" t="s">
        <v>1307</v>
      </c>
      <c r="B1175" s="39" t="s">
        <v>3203</v>
      </c>
      <c r="C1175" s="41" t="n">
        <v>0.7</v>
      </c>
    </row>
    <row r="1176" customFormat="false" ht="15" hidden="false" customHeight="false" outlineLevel="0" collapsed="false">
      <c r="A1176" s="39" t="s">
        <v>1625</v>
      </c>
      <c r="B1176" s="39" t="s">
        <v>3203</v>
      </c>
      <c r="C1176" s="41" t="n">
        <v>2.94</v>
      </c>
    </row>
    <row r="1177" customFormat="false" ht="15" hidden="false" customHeight="false" outlineLevel="0" collapsed="false">
      <c r="A1177" s="39" t="s">
        <v>1459</v>
      </c>
      <c r="B1177" s="39" t="s">
        <v>3206</v>
      </c>
      <c r="C1177" s="41" t="n">
        <v>1.07</v>
      </c>
    </row>
    <row r="1178" customFormat="false" ht="15" hidden="false" customHeight="false" outlineLevel="0" collapsed="false">
      <c r="A1178" s="39" t="s">
        <v>2412</v>
      </c>
      <c r="B1178" s="39" t="s">
        <v>3206</v>
      </c>
      <c r="C1178" s="41" t="n">
        <v>1.63</v>
      </c>
    </row>
    <row r="1179" customFormat="false" ht="15" hidden="false" customHeight="false" outlineLevel="0" collapsed="false">
      <c r="A1179" s="39" t="s">
        <v>2691</v>
      </c>
      <c r="B1179" s="39" t="s">
        <v>3203</v>
      </c>
      <c r="C1179" s="41" t="n">
        <v>4.65</v>
      </c>
    </row>
    <row r="1180" customFormat="false" ht="15" hidden="false" customHeight="false" outlineLevel="0" collapsed="false">
      <c r="A1180" s="39" t="s">
        <v>737</v>
      </c>
      <c r="B1180" s="39" t="s">
        <v>3205</v>
      </c>
      <c r="C1180" s="41" t="n">
        <v>1.51</v>
      </c>
    </row>
    <row r="1181" customFormat="false" ht="15" hidden="false" customHeight="false" outlineLevel="0" collapsed="false">
      <c r="A1181" s="39" t="s">
        <v>1249</v>
      </c>
      <c r="B1181" s="39" t="s">
        <v>3205</v>
      </c>
      <c r="C1181" s="41" t="n">
        <v>5.33</v>
      </c>
    </row>
    <row r="1182" customFormat="false" ht="15" hidden="false" customHeight="false" outlineLevel="0" collapsed="false">
      <c r="A1182" s="39" t="s">
        <v>432</v>
      </c>
      <c r="B1182" s="39" t="s">
        <v>3204</v>
      </c>
      <c r="C1182" s="41" t="n">
        <v>1.85</v>
      </c>
    </row>
    <row r="1183" customFormat="false" ht="15" hidden="false" customHeight="false" outlineLevel="0" collapsed="false">
      <c r="A1183" s="39" t="s">
        <v>2903</v>
      </c>
      <c r="B1183" s="39" t="s">
        <v>3203</v>
      </c>
      <c r="C1183" s="41" t="n">
        <v>14.48</v>
      </c>
    </row>
    <row r="1184" customFormat="false" ht="15" hidden="false" customHeight="false" outlineLevel="0" collapsed="false">
      <c r="A1184" s="39" t="s">
        <v>1988</v>
      </c>
      <c r="B1184" s="39" t="s">
        <v>3203</v>
      </c>
      <c r="C1184" s="41" t="n">
        <v>15.2</v>
      </c>
    </row>
    <row r="1185" customFormat="false" ht="15" hidden="false" customHeight="false" outlineLevel="0" collapsed="false">
      <c r="A1185" s="39" t="s">
        <v>166</v>
      </c>
      <c r="B1185" s="39" t="s">
        <v>3203</v>
      </c>
      <c r="C1185" s="41" t="n">
        <v>29.86</v>
      </c>
    </row>
    <row r="1186" customFormat="false" ht="15" hidden="false" customHeight="false" outlineLevel="0" collapsed="false">
      <c r="A1186" s="39" t="s">
        <v>931</v>
      </c>
      <c r="B1186" s="39" t="s">
        <v>3205</v>
      </c>
      <c r="C1186" s="41" t="n">
        <v>9.51</v>
      </c>
    </row>
    <row r="1187" customFormat="false" ht="15" hidden="false" customHeight="false" outlineLevel="0" collapsed="false">
      <c r="A1187" s="39" t="s">
        <v>1385</v>
      </c>
      <c r="B1187" s="39" t="s">
        <v>3204</v>
      </c>
      <c r="C1187" s="41" t="n">
        <v>51.29</v>
      </c>
    </row>
    <row r="1188" customFormat="false" ht="15" hidden="false" customHeight="false" outlineLevel="0" collapsed="false">
      <c r="A1188" s="39" t="s">
        <v>2790</v>
      </c>
      <c r="B1188" s="39" t="s">
        <v>3203</v>
      </c>
      <c r="C1188" s="41" t="n">
        <v>0.43</v>
      </c>
    </row>
    <row r="1189" customFormat="false" ht="15" hidden="false" customHeight="false" outlineLevel="0" collapsed="false">
      <c r="A1189" s="39" t="s">
        <v>341</v>
      </c>
      <c r="B1189" s="39" t="s">
        <v>3205</v>
      </c>
      <c r="C1189" s="41" t="n">
        <v>1.84</v>
      </c>
    </row>
    <row r="1190" customFormat="false" ht="15" hidden="false" customHeight="false" outlineLevel="0" collapsed="false">
      <c r="A1190" s="39" t="s">
        <v>2368</v>
      </c>
      <c r="B1190" s="39" t="s">
        <v>3203</v>
      </c>
      <c r="C1190" s="41" t="n">
        <v>1.93</v>
      </c>
    </row>
    <row r="1191" customFormat="false" ht="15" hidden="false" customHeight="false" outlineLevel="0" collapsed="false">
      <c r="A1191" s="39" t="s">
        <v>2712</v>
      </c>
      <c r="B1191" s="39" t="s">
        <v>3205</v>
      </c>
      <c r="C1191" s="41" t="n">
        <v>12.97</v>
      </c>
    </row>
    <row r="1192" customFormat="false" ht="15" hidden="false" customHeight="false" outlineLevel="0" collapsed="false">
      <c r="A1192" s="39" t="s">
        <v>1073</v>
      </c>
      <c r="B1192" s="39" t="s">
        <v>3205</v>
      </c>
      <c r="C1192" s="41" t="n">
        <v>4.4</v>
      </c>
    </row>
    <row r="1193" customFormat="false" ht="15" hidden="false" customHeight="false" outlineLevel="0" collapsed="false">
      <c r="A1193" s="39" t="s">
        <v>803</v>
      </c>
      <c r="B1193" s="39" t="s">
        <v>3206</v>
      </c>
      <c r="C1193" s="41" t="n">
        <v>13.88</v>
      </c>
    </row>
    <row r="1194" customFormat="false" ht="15" hidden="false" customHeight="false" outlineLevel="0" collapsed="false">
      <c r="A1194" s="39" t="s">
        <v>2265</v>
      </c>
      <c r="B1194" s="39" t="s">
        <v>3203</v>
      </c>
      <c r="C1194" s="41" t="n">
        <v>17.71</v>
      </c>
    </row>
    <row r="1195" customFormat="false" ht="15" hidden="false" customHeight="false" outlineLevel="0" collapsed="false">
      <c r="A1195" s="39" t="s">
        <v>3045</v>
      </c>
      <c r="B1195" s="39" t="s">
        <v>3203</v>
      </c>
      <c r="C1195" s="41" t="n">
        <v>9.56</v>
      </c>
    </row>
    <row r="1196" customFormat="false" ht="15" hidden="false" customHeight="false" outlineLevel="0" collapsed="false">
      <c r="A1196" s="39" t="s">
        <v>1581</v>
      </c>
      <c r="B1196" s="39" t="s">
        <v>3205</v>
      </c>
      <c r="C1196" s="41" t="n">
        <v>1.99</v>
      </c>
    </row>
    <row r="1197" customFormat="false" ht="15" hidden="false" customHeight="false" outlineLevel="0" collapsed="false">
      <c r="A1197" s="39" t="s">
        <v>1694</v>
      </c>
      <c r="B1197" s="39" t="s">
        <v>3205</v>
      </c>
      <c r="C1197" s="41" t="n">
        <v>0.72</v>
      </c>
    </row>
    <row r="1198" customFormat="false" ht="15" hidden="false" customHeight="false" outlineLevel="0" collapsed="false">
      <c r="A1198" s="39" t="s">
        <v>2970</v>
      </c>
      <c r="B1198" s="39" t="s">
        <v>3206</v>
      </c>
      <c r="C1198" s="41" t="n">
        <v>3.07</v>
      </c>
    </row>
    <row r="1199" customFormat="false" ht="15" hidden="false" customHeight="false" outlineLevel="0" collapsed="false">
      <c r="A1199" s="39" t="s">
        <v>1677</v>
      </c>
      <c r="B1199" s="39" t="s">
        <v>3204</v>
      </c>
      <c r="C1199" s="41" t="n">
        <v>0.94</v>
      </c>
    </row>
    <row r="1200" customFormat="false" ht="15" hidden="false" customHeight="false" outlineLevel="0" collapsed="false">
      <c r="A1200" s="39" t="s">
        <v>1417</v>
      </c>
      <c r="B1200" s="39" t="s">
        <v>3206</v>
      </c>
      <c r="C1200" s="41" t="n">
        <v>2.64</v>
      </c>
    </row>
    <row r="1201" customFormat="false" ht="15" hidden="false" customHeight="false" outlineLevel="0" collapsed="false">
      <c r="A1201" s="39" t="s">
        <v>2050</v>
      </c>
      <c r="B1201" s="39" t="s">
        <v>3206</v>
      </c>
      <c r="C1201" s="41" t="n">
        <v>8.38</v>
      </c>
    </row>
    <row r="1202" customFormat="false" ht="15" hidden="false" customHeight="false" outlineLevel="0" collapsed="false">
      <c r="A1202" s="39" t="s">
        <v>1973</v>
      </c>
      <c r="B1202" s="39" t="s">
        <v>3204</v>
      </c>
      <c r="C1202" s="41" t="n">
        <v>8.01</v>
      </c>
    </row>
    <row r="1203" customFormat="false" ht="15" hidden="false" customHeight="false" outlineLevel="0" collapsed="false">
      <c r="A1203" s="39" t="s">
        <v>1767</v>
      </c>
      <c r="B1203" s="39" t="s">
        <v>3203</v>
      </c>
      <c r="C1203" s="41" t="n">
        <v>5.25</v>
      </c>
    </row>
    <row r="1204" customFormat="false" ht="15" hidden="false" customHeight="false" outlineLevel="0" collapsed="false">
      <c r="A1204" s="39" t="s">
        <v>1620</v>
      </c>
      <c r="B1204" s="39" t="s">
        <v>3203</v>
      </c>
      <c r="C1204" s="41" t="n">
        <v>5.77</v>
      </c>
    </row>
    <row r="1205" customFormat="false" ht="15" hidden="false" customHeight="false" outlineLevel="0" collapsed="false">
      <c r="A1205" s="39" t="s">
        <v>1360</v>
      </c>
      <c r="B1205" s="39" t="s">
        <v>3203</v>
      </c>
      <c r="C1205" s="41" t="n">
        <v>2.19</v>
      </c>
    </row>
    <row r="1206" customFormat="false" ht="15" hidden="false" customHeight="false" outlineLevel="0" collapsed="false">
      <c r="A1206" s="39" t="s">
        <v>677</v>
      </c>
      <c r="B1206" s="39" t="s">
        <v>3203</v>
      </c>
      <c r="C1206" s="41" t="n">
        <v>4.21</v>
      </c>
    </row>
    <row r="1207" customFormat="false" ht="15" hidden="false" customHeight="false" outlineLevel="0" collapsed="false">
      <c r="A1207" s="39" t="s">
        <v>726</v>
      </c>
      <c r="B1207" s="39" t="s">
        <v>3205</v>
      </c>
      <c r="C1207" s="41" t="n">
        <v>2.47</v>
      </c>
    </row>
    <row r="1208" customFormat="false" ht="15" hidden="false" customHeight="false" outlineLevel="0" collapsed="false">
      <c r="A1208" s="39" t="s">
        <v>559</v>
      </c>
      <c r="B1208" s="39" t="s">
        <v>3206</v>
      </c>
      <c r="C1208" s="41" t="n">
        <v>0.45</v>
      </c>
    </row>
    <row r="1209" customFormat="false" ht="15" hidden="false" customHeight="false" outlineLevel="0" collapsed="false">
      <c r="A1209" s="39" t="s">
        <v>1843</v>
      </c>
      <c r="B1209" s="39" t="s">
        <v>3205</v>
      </c>
      <c r="C1209" s="41" t="n">
        <v>1.03</v>
      </c>
    </row>
    <row r="1210" customFormat="false" ht="15" hidden="false" customHeight="false" outlineLevel="0" collapsed="false">
      <c r="A1210" s="39" t="s">
        <v>1497</v>
      </c>
      <c r="B1210" s="39" t="s">
        <v>3206</v>
      </c>
      <c r="C1210" s="41" t="n">
        <v>1.58</v>
      </c>
    </row>
    <row r="1211" customFormat="false" ht="15" hidden="false" customHeight="false" outlineLevel="0" collapsed="false">
      <c r="A1211" s="39" t="s">
        <v>745</v>
      </c>
      <c r="B1211" s="39" t="s">
        <v>3204</v>
      </c>
      <c r="C1211" s="41" t="n">
        <v>1.21</v>
      </c>
    </row>
    <row r="1212" customFormat="false" ht="15" hidden="false" customHeight="false" outlineLevel="0" collapsed="false">
      <c r="A1212" s="39" t="s">
        <v>1678</v>
      </c>
      <c r="B1212" s="39" t="s">
        <v>3206</v>
      </c>
      <c r="C1212" s="41" t="n">
        <v>22.27</v>
      </c>
    </row>
    <row r="1213" customFormat="false" ht="15" hidden="false" customHeight="false" outlineLevel="0" collapsed="false">
      <c r="A1213" s="39" t="s">
        <v>593</v>
      </c>
      <c r="B1213" s="39" t="s">
        <v>3204</v>
      </c>
      <c r="C1213" s="41" t="n">
        <v>10.45</v>
      </c>
    </row>
    <row r="1214" customFormat="false" ht="15" hidden="false" customHeight="false" outlineLevel="0" collapsed="false">
      <c r="A1214" s="39" t="s">
        <v>941</v>
      </c>
      <c r="B1214" s="39" t="s">
        <v>3203</v>
      </c>
      <c r="C1214" s="41" t="n">
        <v>3.73</v>
      </c>
    </row>
    <row r="1215" customFormat="false" ht="15" hidden="false" customHeight="false" outlineLevel="0" collapsed="false">
      <c r="A1215" s="39" t="s">
        <v>1817</v>
      </c>
      <c r="B1215" s="39" t="s">
        <v>3205</v>
      </c>
      <c r="C1215" s="41" t="n">
        <v>2.18</v>
      </c>
    </row>
    <row r="1216" customFormat="false" ht="15" hidden="false" customHeight="false" outlineLevel="0" collapsed="false">
      <c r="A1216" s="39" t="s">
        <v>3094</v>
      </c>
      <c r="B1216" s="39" t="s">
        <v>3203</v>
      </c>
      <c r="C1216" s="41" t="n">
        <v>6.04</v>
      </c>
    </row>
    <row r="1217" customFormat="false" ht="15" hidden="false" customHeight="false" outlineLevel="0" collapsed="false">
      <c r="A1217" s="39" t="s">
        <v>1484</v>
      </c>
      <c r="B1217" s="39" t="s">
        <v>3203</v>
      </c>
      <c r="C1217" s="41" t="n">
        <v>1.53</v>
      </c>
    </row>
    <row r="1218" customFormat="false" ht="15" hidden="false" customHeight="false" outlineLevel="0" collapsed="false">
      <c r="A1218" s="39" t="s">
        <v>675</v>
      </c>
      <c r="B1218" s="39" t="s">
        <v>3204</v>
      </c>
      <c r="C1218" s="41" t="n">
        <v>36.04</v>
      </c>
    </row>
    <row r="1219" customFormat="false" ht="15" hidden="false" customHeight="false" outlineLevel="0" collapsed="false">
      <c r="A1219" s="39" t="s">
        <v>2905</v>
      </c>
      <c r="B1219" s="39" t="s">
        <v>3204</v>
      </c>
      <c r="C1219" s="41" t="n">
        <v>0.76</v>
      </c>
    </row>
    <row r="1220" customFormat="false" ht="15" hidden="false" customHeight="false" outlineLevel="0" collapsed="false">
      <c r="A1220" s="39" t="s">
        <v>1951</v>
      </c>
      <c r="B1220" s="39" t="s">
        <v>3205</v>
      </c>
      <c r="C1220" s="41" t="n">
        <v>1.56</v>
      </c>
    </row>
    <row r="1221" customFormat="false" ht="15" hidden="false" customHeight="false" outlineLevel="0" collapsed="false">
      <c r="A1221" s="39" t="s">
        <v>1086</v>
      </c>
      <c r="B1221" s="39" t="s">
        <v>3205</v>
      </c>
      <c r="C1221" s="41" t="n">
        <v>16.08</v>
      </c>
    </row>
    <row r="1222" customFormat="false" ht="15" hidden="false" customHeight="false" outlineLevel="0" collapsed="false">
      <c r="A1222" s="39" t="s">
        <v>1722</v>
      </c>
      <c r="B1222" s="39" t="s">
        <v>3205</v>
      </c>
      <c r="C1222" s="41" t="n">
        <v>5.9</v>
      </c>
    </row>
    <row r="1223" customFormat="false" ht="15" hidden="false" customHeight="false" outlineLevel="0" collapsed="false">
      <c r="A1223" s="39" t="s">
        <v>580</v>
      </c>
      <c r="B1223" s="39" t="s">
        <v>3204</v>
      </c>
      <c r="C1223" s="41" t="n">
        <v>1.74</v>
      </c>
    </row>
    <row r="1224" customFormat="false" ht="15" hidden="false" customHeight="false" outlineLevel="0" collapsed="false">
      <c r="A1224" s="39" t="s">
        <v>170</v>
      </c>
      <c r="B1224" s="39" t="s">
        <v>3205</v>
      </c>
      <c r="C1224" s="41" t="n">
        <v>3.68</v>
      </c>
    </row>
    <row r="1225" customFormat="false" ht="15" hidden="false" customHeight="false" outlineLevel="0" collapsed="false">
      <c r="A1225" s="39" t="s">
        <v>452</v>
      </c>
      <c r="B1225" s="39" t="s">
        <v>3203</v>
      </c>
      <c r="C1225" s="41" t="n">
        <v>0.87</v>
      </c>
    </row>
    <row r="1226" customFormat="false" ht="15" hidden="false" customHeight="false" outlineLevel="0" collapsed="false">
      <c r="A1226" s="39" t="s">
        <v>1594</v>
      </c>
      <c r="B1226" s="39" t="s">
        <v>3205</v>
      </c>
      <c r="C1226" s="41" t="n">
        <v>9.52</v>
      </c>
    </row>
    <row r="1227" customFormat="false" ht="15" hidden="false" customHeight="false" outlineLevel="0" collapsed="false">
      <c r="A1227" s="39" t="s">
        <v>1791</v>
      </c>
      <c r="B1227" s="39" t="s">
        <v>3206</v>
      </c>
      <c r="C1227" s="41" t="n">
        <v>0.53</v>
      </c>
    </row>
    <row r="1228" customFormat="false" ht="15" hidden="false" customHeight="false" outlineLevel="0" collapsed="false">
      <c r="A1228" s="39" t="s">
        <v>2164</v>
      </c>
      <c r="B1228" s="39" t="s">
        <v>3206</v>
      </c>
      <c r="C1228" s="41" t="n">
        <v>3.53</v>
      </c>
    </row>
    <row r="1229" customFormat="false" ht="15" hidden="false" customHeight="false" outlineLevel="0" collapsed="false">
      <c r="A1229" s="39" t="s">
        <v>1819</v>
      </c>
      <c r="B1229" s="39" t="s">
        <v>3205</v>
      </c>
      <c r="C1229" s="41" t="n">
        <v>11.32</v>
      </c>
    </row>
    <row r="1230" customFormat="false" ht="15" hidden="false" customHeight="false" outlineLevel="0" collapsed="false">
      <c r="A1230" s="39" t="s">
        <v>620</v>
      </c>
      <c r="B1230" s="39" t="s">
        <v>3206</v>
      </c>
      <c r="C1230" s="41" t="n">
        <v>1.87</v>
      </c>
    </row>
    <row r="1231" customFormat="false" ht="15" hidden="false" customHeight="false" outlineLevel="0" collapsed="false">
      <c r="A1231" s="39" t="s">
        <v>3018</v>
      </c>
      <c r="B1231" s="39" t="s">
        <v>3204</v>
      </c>
      <c r="C1231" s="41" t="n">
        <v>0.39</v>
      </c>
    </row>
    <row r="1232" customFormat="false" ht="15" hidden="false" customHeight="false" outlineLevel="0" collapsed="false">
      <c r="A1232" s="39" t="s">
        <v>994</v>
      </c>
      <c r="B1232" s="39" t="s">
        <v>3204</v>
      </c>
      <c r="C1232" s="41" t="n">
        <v>2.85</v>
      </c>
    </row>
    <row r="1233" customFormat="false" ht="15" hidden="false" customHeight="false" outlineLevel="0" collapsed="false">
      <c r="A1233" s="39" t="s">
        <v>813</v>
      </c>
      <c r="B1233" s="39" t="s">
        <v>3205</v>
      </c>
      <c r="C1233" s="41" t="n">
        <v>9.8</v>
      </c>
    </row>
    <row r="1234" customFormat="false" ht="15" hidden="false" customHeight="false" outlineLevel="0" collapsed="false">
      <c r="A1234" s="39" t="s">
        <v>2912</v>
      </c>
      <c r="B1234" s="39" t="s">
        <v>3204</v>
      </c>
      <c r="C1234" s="41" t="n">
        <v>0.88</v>
      </c>
    </row>
    <row r="1235" customFormat="false" ht="15" hidden="false" customHeight="false" outlineLevel="0" collapsed="false">
      <c r="A1235" s="39" t="s">
        <v>484</v>
      </c>
      <c r="B1235" s="39" t="s">
        <v>3204</v>
      </c>
      <c r="C1235" s="41" t="n">
        <v>1.23</v>
      </c>
    </row>
    <row r="1236" customFormat="false" ht="15" hidden="false" customHeight="false" outlineLevel="0" collapsed="false">
      <c r="A1236" s="39" t="s">
        <v>2641</v>
      </c>
      <c r="B1236" s="39" t="s">
        <v>3206</v>
      </c>
      <c r="C1236" s="41" t="n">
        <v>1.04</v>
      </c>
    </row>
    <row r="1237" customFormat="false" ht="15" hidden="false" customHeight="false" outlineLevel="0" collapsed="false">
      <c r="A1237" s="39" t="s">
        <v>2997</v>
      </c>
      <c r="B1237" s="39" t="s">
        <v>3203</v>
      </c>
      <c r="C1237" s="41" t="n">
        <v>12.66</v>
      </c>
    </row>
    <row r="1238" customFormat="false" ht="15" hidden="false" customHeight="false" outlineLevel="0" collapsed="false">
      <c r="A1238" s="39" t="s">
        <v>2924</v>
      </c>
      <c r="B1238" s="39" t="s">
        <v>3206</v>
      </c>
      <c r="C1238" s="41" t="n">
        <v>14.57</v>
      </c>
    </row>
    <row r="1239" customFormat="false" ht="15" hidden="false" customHeight="false" outlineLevel="0" collapsed="false">
      <c r="A1239" s="39" t="s">
        <v>2595</v>
      </c>
      <c r="B1239" s="39" t="s">
        <v>3203</v>
      </c>
      <c r="C1239" s="41" t="n">
        <v>5.23</v>
      </c>
    </row>
    <row r="1240" customFormat="false" ht="15" hidden="false" customHeight="false" outlineLevel="0" collapsed="false">
      <c r="A1240" s="39" t="s">
        <v>1099</v>
      </c>
      <c r="B1240" s="39" t="s">
        <v>3206</v>
      </c>
      <c r="C1240" s="41" t="n">
        <v>4.81</v>
      </c>
    </row>
    <row r="1241" customFormat="false" ht="15" hidden="false" customHeight="false" outlineLevel="0" collapsed="false">
      <c r="A1241" s="39" t="s">
        <v>1622</v>
      </c>
      <c r="B1241" s="39" t="s">
        <v>3204</v>
      </c>
      <c r="C1241" s="41" t="n">
        <v>13.79</v>
      </c>
    </row>
    <row r="1242" customFormat="false" ht="15" hidden="false" customHeight="false" outlineLevel="0" collapsed="false">
      <c r="A1242" s="39" t="s">
        <v>2098</v>
      </c>
      <c r="B1242" s="39" t="s">
        <v>3206</v>
      </c>
      <c r="C1242" s="41" t="n">
        <v>9.8</v>
      </c>
    </row>
    <row r="1243" customFormat="false" ht="15" hidden="false" customHeight="false" outlineLevel="0" collapsed="false">
      <c r="A1243" s="39" t="s">
        <v>2273</v>
      </c>
      <c r="B1243" s="39" t="s">
        <v>3203</v>
      </c>
      <c r="C1243" s="41" t="n">
        <v>9.53</v>
      </c>
    </row>
    <row r="1244" customFormat="false" ht="15" hidden="false" customHeight="false" outlineLevel="0" collapsed="false">
      <c r="A1244" s="39" t="s">
        <v>1804</v>
      </c>
      <c r="B1244" s="39" t="s">
        <v>3204</v>
      </c>
      <c r="C1244" s="41" t="n">
        <v>2.99</v>
      </c>
    </row>
    <row r="1245" customFormat="false" ht="15" hidden="false" customHeight="false" outlineLevel="0" collapsed="false">
      <c r="A1245" s="39" t="s">
        <v>1247</v>
      </c>
      <c r="B1245" s="39" t="s">
        <v>3204</v>
      </c>
      <c r="C1245" s="41" t="n">
        <v>2.75</v>
      </c>
    </row>
    <row r="1246" customFormat="false" ht="15" hidden="false" customHeight="false" outlineLevel="0" collapsed="false">
      <c r="A1246" s="39" t="s">
        <v>1319</v>
      </c>
      <c r="B1246" s="39" t="s">
        <v>3205</v>
      </c>
      <c r="C1246" s="41" t="n">
        <v>7.3</v>
      </c>
    </row>
    <row r="1247" customFormat="false" ht="15" hidden="false" customHeight="false" outlineLevel="0" collapsed="false">
      <c r="A1247" s="39" t="s">
        <v>1794</v>
      </c>
      <c r="B1247" s="39" t="s">
        <v>3203</v>
      </c>
      <c r="C1247" s="41" t="n">
        <v>15.79</v>
      </c>
    </row>
    <row r="1248" customFormat="false" ht="15" hidden="false" customHeight="false" outlineLevel="0" collapsed="false">
      <c r="A1248" s="39" t="s">
        <v>2282</v>
      </c>
      <c r="B1248" s="39" t="s">
        <v>3203</v>
      </c>
      <c r="C1248" s="41" t="n">
        <v>1.28</v>
      </c>
    </row>
    <row r="1249" customFormat="false" ht="15" hidden="false" customHeight="false" outlineLevel="0" collapsed="false">
      <c r="A1249" s="39" t="s">
        <v>1306</v>
      </c>
      <c r="B1249" s="39" t="s">
        <v>3205</v>
      </c>
      <c r="C1249" s="41" t="n">
        <v>2.95</v>
      </c>
    </row>
    <row r="1250" customFormat="false" ht="15" hidden="false" customHeight="false" outlineLevel="0" collapsed="false">
      <c r="A1250" s="39" t="s">
        <v>2621</v>
      </c>
      <c r="B1250" s="39" t="s">
        <v>3204</v>
      </c>
      <c r="C1250" s="41" t="n">
        <v>10.12</v>
      </c>
    </row>
    <row r="1251" customFormat="false" ht="15" hidden="false" customHeight="false" outlineLevel="0" collapsed="false">
      <c r="A1251" s="39" t="s">
        <v>2029</v>
      </c>
      <c r="B1251" s="39" t="s">
        <v>3206</v>
      </c>
      <c r="C1251" s="41" t="n">
        <v>0.69</v>
      </c>
    </row>
    <row r="1252" customFormat="false" ht="15" hidden="false" customHeight="false" outlineLevel="0" collapsed="false">
      <c r="A1252" s="39" t="s">
        <v>1191</v>
      </c>
      <c r="B1252" s="39" t="s">
        <v>3204</v>
      </c>
      <c r="C1252" s="41" t="n">
        <v>6.56</v>
      </c>
    </row>
    <row r="1253" customFormat="false" ht="15" hidden="false" customHeight="false" outlineLevel="0" collapsed="false">
      <c r="A1253" s="39" t="s">
        <v>2882</v>
      </c>
      <c r="B1253" s="39" t="s">
        <v>3206</v>
      </c>
      <c r="C1253" s="41" t="n">
        <v>2.19</v>
      </c>
    </row>
    <row r="1254" customFormat="false" ht="15" hidden="false" customHeight="false" outlineLevel="0" collapsed="false">
      <c r="A1254" s="39" t="s">
        <v>1864</v>
      </c>
      <c r="B1254" s="39" t="s">
        <v>3206</v>
      </c>
      <c r="C1254" s="41" t="n">
        <v>3.76</v>
      </c>
    </row>
    <row r="1255" customFormat="false" ht="15" hidden="false" customHeight="false" outlineLevel="0" collapsed="false">
      <c r="A1255" s="39" t="s">
        <v>955</v>
      </c>
      <c r="B1255" s="39" t="s">
        <v>3203</v>
      </c>
      <c r="C1255" s="41" t="n">
        <v>3.42</v>
      </c>
    </row>
    <row r="1256" customFormat="false" ht="15" hidden="false" customHeight="false" outlineLevel="0" collapsed="false">
      <c r="A1256" s="39" t="s">
        <v>1115</v>
      </c>
      <c r="B1256" s="39" t="s">
        <v>3205</v>
      </c>
      <c r="C1256" s="41" t="n">
        <v>41.84</v>
      </c>
    </row>
    <row r="1257" customFormat="false" ht="15" hidden="false" customHeight="false" outlineLevel="0" collapsed="false">
      <c r="A1257" s="39" t="s">
        <v>2824</v>
      </c>
      <c r="B1257" s="39" t="s">
        <v>3204</v>
      </c>
      <c r="C1257" s="41" t="n">
        <v>1.81</v>
      </c>
    </row>
    <row r="1258" customFormat="false" ht="15" hidden="false" customHeight="false" outlineLevel="0" collapsed="false">
      <c r="A1258" s="39" t="s">
        <v>1175</v>
      </c>
      <c r="B1258" s="39" t="s">
        <v>3203</v>
      </c>
      <c r="C1258" s="41" t="n">
        <v>0.54</v>
      </c>
    </row>
    <row r="1259" customFormat="false" ht="15" hidden="false" customHeight="false" outlineLevel="0" collapsed="false">
      <c r="A1259" s="39" t="s">
        <v>2300</v>
      </c>
      <c r="B1259" s="39" t="s">
        <v>3203</v>
      </c>
      <c r="C1259" s="41" t="n">
        <v>31.06</v>
      </c>
    </row>
    <row r="1260" customFormat="false" ht="15" hidden="false" customHeight="false" outlineLevel="0" collapsed="false">
      <c r="A1260" s="39" t="s">
        <v>496</v>
      </c>
      <c r="B1260" s="39" t="s">
        <v>3203</v>
      </c>
      <c r="C1260" s="41" t="n">
        <v>10.92</v>
      </c>
    </row>
    <row r="1261" customFormat="false" ht="15" hidden="false" customHeight="false" outlineLevel="0" collapsed="false">
      <c r="A1261" s="39" t="s">
        <v>150</v>
      </c>
      <c r="B1261" s="39" t="s">
        <v>3204</v>
      </c>
      <c r="C1261" s="41" t="n">
        <v>16.38</v>
      </c>
    </row>
    <row r="1262" customFormat="false" ht="15" hidden="false" customHeight="false" outlineLevel="0" collapsed="false">
      <c r="A1262" s="39" t="s">
        <v>2134</v>
      </c>
      <c r="B1262" s="39" t="s">
        <v>3205</v>
      </c>
      <c r="C1262" s="41" t="n">
        <v>5.01</v>
      </c>
    </row>
    <row r="1263" customFormat="false" ht="15" hidden="false" customHeight="false" outlineLevel="0" collapsed="false">
      <c r="A1263" s="39" t="s">
        <v>733</v>
      </c>
      <c r="B1263" s="39" t="s">
        <v>3203</v>
      </c>
      <c r="C1263" s="41" t="n">
        <v>0.85</v>
      </c>
    </row>
    <row r="1264" customFormat="false" ht="15" hidden="false" customHeight="false" outlineLevel="0" collapsed="false">
      <c r="A1264" s="39" t="s">
        <v>2478</v>
      </c>
      <c r="B1264" s="39" t="s">
        <v>3204</v>
      </c>
      <c r="C1264" s="41" t="n">
        <v>1.87</v>
      </c>
    </row>
    <row r="1265" customFormat="false" ht="15" hidden="false" customHeight="false" outlineLevel="0" collapsed="false">
      <c r="A1265" s="39" t="s">
        <v>748</v>
      </c>
      <c r="B1265" s="39" t="s">
        <v>3204</v>
      </c>
      <c r="C1265" s="41" t="n">
        <v>9.15</v>
      </c>
    </row>
    <row r="1266" customFormat="false" ht="15" hidden="false" customHeight="false" outlineLevel="0" collapsed="false">
      <c r="A1266" s="39" t="s">
        <v>2401</v>
      </c>
      <c r="B1266" s="39" t="s">
        <v>3205</v>
      </c>
      <c r="C1266" s="41" t="n">
        <v>7.4</v>
      </c>
    </row>
    <row r="1267" customFormat="false" ht="15" hidden="false" customHeight="false" outlineLevel="0" collapsed="false">
      <c r="A1267" s="39" t="s">
        <v>1563</v>
      </c>
      <c r="B1267" s="39" t="s">
        <v>3203</v>
      </c>
      <c r="C1267" s="41" t="n">
        <v>9.86</v>
      </c>
    </row>
    <row r="1268" customFormat="false" ht="15" hidden="false" customHeight="false" outlineLevel="0" collapsed="false">
      <c r="A1268" s="39" t="s">
        <v>1181</v>
      </c>
      <c r="B1268" s="39" t="s">
        <v>3203</v>
      </c>
      <c r="C1268" s="41" t="n">
        <v>0.83</v>
      </c>
    </row>
    <row r="1269" customFormat="false" ht="15" hidden="false" customHeight="false" outlineLevel="0" collapsed="false">
      <c r="A1269" s="39" t="s">
        <v>2147</v>
      </c>
      <c r="B1269" s="39" t="s">
        <v>3203</v>
      </c>
      <c r="C1269" s="41" t="n">
        <v>40.16</v>
      </c>
    </row>
    <row r="1270" customFormat="false" ht="15" hidden="false" customHeight="false" outlineLevel="0" collapsed="false">
      <c r="A1270" s="39" t="s">
        <v>149</v>
      </c>
      <c r="B1270" s="39" t="s">
        <v>3203</v>
      </c>
      <c r="C1270" s="41" t="n">
        <v>20.96</v>
      </c>
    </row>
    <row r="1271" customFormat="false" ht="15" hidden="false" customHeight="false" outlineLevel="0" collapsed="false">
      <c r="A1271" s="39" t="s">
        <v>2728</v>
      </c>
      <c r="B1271" s="39" t="s">
        <v>3206</v>
      </c>
      <c r="C1271" s="41" t="n">
        <v>41.78</v>
      </c>
    </row>
    <row r="1272" customFormat="false" ht="15" hidden="false" customHeight="false" outlineLevel="0" collapsed="false">
      <c r="A1272" s="39" t="s">
        <v>2596</v>
      </c>
      <c r="B1272" s="39" t="s">
        <v>3204</v>
      </c>
      <c r="C1272" s="41" t="n">
        <v>12.9</v>
      </c>
    </row>
    <row r="1273" customFormat="false" ht="15" hidden="false" customHeight="false" outlineLevel="0" collapsed="false">
      <c r="A1273" s="39" t="s">
        <v>309</v>
      </c>
      <c r="B1273" s="39" t="s">
        <v>3205</v>
      </c>
      <c r="C1273" s="41" t="n">
        <v>1.28</v>
      </c>
    </row>
    <row r="1274" customFormat="false" ht="15" hidden="false" customHeight="false" outlineLevel="0" collapsed="false">
      <c r="A1274" s="39" t="s">
        <v>625</v>
      </c>
      <c r="B1274" s="39" t="s">
        <v>3206</v>
      </c>
      <c r="C1274" s="41" t="n">
        <v>1.03</v>
      </c>
    </row>
    <row r="1275" customFormat="false" ht="15" hidden="false" customHeight="false" outlineLevel="0" collapsed="false">
      <c r="A1275" s="39" t="s">
        <v>127</v>
      </c>
      <c r="B1275" s="39" t="s">
        <v>3204</v>
      </c>
      <c r="C1275" s="41" t="n">
        <v>3.87</v>
      </c>
    </row>
    <row r="1276" customFormat="false" ht="15" hidden="false" customHeight="false" outlineLevel="0" collapsed="false">
      <c r="A1276" s="39" t="s">
        <v>2153</v>
      </c>
      <c r="B1276" s="39" t="s">
        <v>3204</v>
      </c>
      <c r="C1276" s="41" t="n">
        <v>2.26</v>
      </c>
    </row>
    <row r="1277" customFormat="false" ht="15" hidden="false" customHeight="false" outlineLevel="0" collapsed="false">
      <c r="A1277" s="39" t="s">
        <v>2575</v>
      </c>
      <c r="B1277" s="39" t="s">
        <v>3206</v>
      </c>
      <c r="C1277" s="41" t="n">
        <v>2.31</v>
      </c>
    </row>
    <row r="1278" customFormat="false" ht="15" hidden="false" customHeight="false" outlineLevel="0" collapsed="false">
      <c r="A1278" s="39" t="s">
        <v>1239</v>
      </c>
      <c r="B1278" s="39" t="s">
        <v>3203</v>
      </c>
      <c r="C1278" s="41" t="n">
        <v>1.41</v>
      </c>
    </row>
    <row r="1279" customFormat="false" ht="15" hidden="false" customHeight="false" outlineLevel="0" collapsed="false">
      <c r="A1279" s="39" t="s">
        <v>807</v>
      </c>
      <c r="B1279" s="39" t="s">
        <v>3203</v>
      </c>
      <c r="C1279" s="41" t="n">
        <v>2.26</v>
      </c>
    </row>
    <row r="1280" customFormat="false" ht="15" hidden="false" customHeight="false" outlineLevel="0" collapsed="false">
      <c r="A1280" s="39" t="s">
        <v>2230</v>
      </c>
      <c r="B1280" s="39" t="s">
        <v>3203</v>
      </c>
      <c r="C1280" s="41" t="n">
        <v>50.53</v>
      </c>
    </row>
    <row r="1281" customFormat="false" ht="15" hidden="false" customHeight="false" outlineLevel="0" collapsed="false">
      <c r="A1281" s="39" t="s">
        <v>2867</v>
      </c>
      <c r="B1281" s="39" t="s">
        <v>3203</v>
      </c>
      <c r="C1281" s="41" t="n">
        <v>7.75</v>
      </c>
    </row>
    <row r="1282" customFormat="false" ht="15" hidden="false" customHeight="false" outlineLevel="0" collapsed="false">
      <c r="A1282" s="39" t="s">
        <v>1645</v>
      </c>
      <c r="B1282" s="39" t="s">
        <v>3205</v>
      </c>
      <c r="C1282" s="41" t="n">
        <v>0.8</v>
      </c>
    </row>
    <row r="1283" customFormat="false" ht="15" hidden="false" customHeight="false" outlineLevel="0" collapsed="false">
      <c r="A1283" s="39" t="s">
        <v>1101</v>
      </c>
      <c r="B1283" s="39" t="s">
        <v>3203</v>
      </c>
      <c r="C1283" s="41" t="n">
        <v>8.75</v>
      </c>
    </row>
    <row r="1284" customFormat="false" ht="15" hidden="false" customHeight="false" outlineLevel="0" collapsed="false">
      <c r="A1284" s="39" t="s">
        <v>956</v>
      </c>
      <c r="B1284" s="39" t="s">
        <v>3205</v>
      </c>
      <c r="C1284" s="41" t="n">
        <v>1.55</v>
      </c>
    </row>
    <row r="1285" customFormat="false" ht="15" hidden="false" customHeight="false" outlineLevel="0" collapsed="false">
      <c r="A1285" s="39" t="s">
        <v>1877</v>
      </c>
      <c r="B1285" s="39" t="s">
        <v>3205</v>
      </c>
      <c r="C1285" s="41" t="n">
        <v>1.47</v>
      </c>
    </row>
    <row r="1286" customFormat="false" ht="15" hidden="false" customHeight="false" outlineLevel="0" collapsed="false">
      <c r="A1286" s="39" t="s">
        <v>786</v>
      </c>
      <c r="B1286" s="39" t="s">
        <v>3203</v>
      </c>
      <c r="C1286" s="41" t="n">
        <v>0.62</v>
      </c>
    </row>
    <row r="1287" customFormat="false" ht="15" hidden="false" customHeight="false" outlineLevel="0" collapsed="false">
      <c r="A1287" s="39" t="s">
        <v>2120</v>
      </c>
      <c r="B1287" s="39" t="s">
        <v>3205</v>
      </c>
      <c r="C1287" s="41" t="n">
        <v>6.24</v>
      </c>
    </row>
    <row r="1288" customFormat="false" ht="15" hidden="false" customHeight="false" outlineLevel="0" collapsed="false">
      <c r="A1288" s="39" t="s">
        <v>2329</v>
      </c>
      <c r="B1288" s="39" t="s">
        <v>3203</v>
      </c>
      <c r="C1288" s="41" t="n">
        <v>2.19</v>
      </c>
    </row>
    <row r="1289" customFormat="false" ht="15" hidden="false" customHeight="false" outlineLevel="0" collapsed="false">
      <c r="A1289" s="39" t="s">
        <v>445</v>
      </c>
      <c r="B1289" s="39" t="s">
        <v>3203</v>
      </c>
      <c r="C1289" s="41" t="n">
        <v>1.25</v>
      </c>
    </row>
    <row r="1290" customFormat="false" ht="15" hidden="false" customHeight="false" outlineLevel="0" collapsed="false">
      <c r="A1290" s="39" t="s">
        <v>919</v>
      </c>
      <c r="B1290" s="39" t="s">
        <v>3206</v>
      </c>
      <c r="C1290" s="41" t="n">
        <v>0.72</v>
      </c>
    </row>
    <row r="1291" customFormat="false" ht="15" hidden="false" customHeight="false" outlineLevel="0" collapsed="false">
      <c r="A1291" s="39" t="s">
        <v>1442</v>
      </c>
      <c r="B1291" s="39" t="s">
        <v>3203</v>
      </c>
      <c r="C1291" s="41" t="n">
        <v>1.99</v>
      </c>
    </row>
    <row r="1292" customFormat="false" ht="15" hidden="false" customHeight="false" outlineLevel="0" collapsed="false">
      <c r="A1292" s="39" t="s">
        <v>2286</v>
      </c>
      <c r="B1292" s="39" t="s">
        <v>3203</v>
      </c>
      <c r="C1292" s="41" t="n">
        <v>22.85</v>
      </c>
    </row>
    <row r="1293" customFormat="false" ht="15" hidden="false" customHeight="false" outlineLevel="0" collapsed="false">
      <c r="A1293" s="39" t="s">
        <v>1399</v>
      </c>
      <c r="B1293" s="39" t="s">
        <v>3206</v>
      </c>
      <c r="C1293" s="41" t="n">
        <v>5.06</v>
      </c>
    </row>
    <row r="1294" customFormat="false" ht="15" hidden="false" customHeight="false" outlineLevel="0" collapsed="false">
      <c r="A1294" s="39" t="s">
        <v>826</v>
      </c>
      <c r="B1294" s="39" t="s">
        <v>3205</v>
      </c>
      <c r="C1294" s="41" t="n">
        <v>12.68</v>
      </c>
    </row>
    <row r="1295" customFormat="false" ht="15" hidden="false" customHeight="false" outlineLevel="0" collapsed="false">
      <c r="A1295" s="39" t="s">
        <v>1533</v>
      </c>
      <c r="B1295" s="39" t="s">
        <v>3205</v>
      </c>
      <c r="C1295" s="41" t="n">
        <v>2.35</v>
      </c>
    </row>
    <row r="1296" customFormat="false" ht="15" hidden="false" customHeight="false" outlineLevel="0" collapsed="false">
      <c r="A1296" s="39" t="s">
        <v>156</v>
      </c>
      <c r="B1296" s="39" t="s">
        <v>3206</v>
      </c>
      <c r="C1296" s="41" t="n">
        <v>3.43</v>
      </c>
    </row>
    <row r="1297" customFormat="false" ht="15" hidden="false" customHeight="false" outlineLevel="0" collapsed="false">
      <c r="A1297" s="39" t="s">
        <v>693</v>
      </c>
      <c r="B1297" s="39" t="s">
        <v>3205</v>
      </c>
      <c r="C1297" s="41" t="n">
        <v>4.28</v>
      </c>
    </row>
    <row r="1298" customFormat="false" ht="15" hidden="false" customHeight="false" outlineLevel="0" collapsed="false">
      <c r="A1298" s="39" t="s">
        <v>2536</v>
      </c>
      <c r="B1298" s="39" t="s">
        <v>3206</v>
      </c>
      <c r="C1298" s="41" t="n">
        <v>3.91</v>
      </c>
    </row>
    <row r="1299" customFormat="false" ht="15" hidden="false" customHeight="false" outlineLevel="0" collapsed="false">
      <c r="A1299" s="39" t="s">
        <v>369</v>
      </c>
      <c r="B1299" s="39" t="s">
        <v>3205</v>
      </c>
      <c r="C1299" s="41" t="n">
        <v>8.81</v>
      </c>
    </row>
    <row r="1300" customFormat="false" ht="15" hidden="false" customHeight="false" outlineLevel="0" collapsed="false">
      <c r="A1300" s="39" t="s">
        <v>1983</v>
      </c>
      <c r="B1300" s="39" t="s">
        <v>3204</v>
      </c>
      <c r="C1300" s="41" t="n">
        <v>5.42</v>
      </c>
    </row>
    <row r="1301" customFormat="false" ht="15" hidden="false" customHeight="false" outlineLevel="0" collapsed="false">
      <c r="A1301" s="39" t="s">
        <v>2952</v>
      </c>
      <c r="B1301" s="39" t="s">
        <v>3204</v>
      </c>
      <c r="C1301" s="41" t="n">
        <v>1.21</v>
      </c>
    </row>
    <row r="1302" customFormat="false" ht="15" hidden="false" customHeight="false" outlineLevel="0" collapsed="false">
      <c r="A1302" s="39" t="s">
        <v>2598</v>
      </c>
      <c r="B1302" s="39" t="s">
        <v>3203</v>
      </c>
      <c r="C1302" s="41" t="n">
        <v>13.63</v>
      </c>
    </row>
    <row r="1303" customFormat="false" ht="15" hidden="false" customHeight="false" outlineLevel="0" collapsed="false">
      <c r="A1303" s="39" t="s">
        <v>2746</v>
      </c>
      <c r="B1303" s="39" t="s">
        <v>3205</v>
      </c>
      <c r="C1303" s="41" t="n">
        <v>1.88</v>
      </c>
    </row>
    <row r="1304" customFormat="false" ht="15" hidden="false" customHeight="false" outlineLevel="0" collapsed="false">
      <c r="A1304" s="39" t="s">
        <v>2298</v>
      </c>
      <c r="B1304" s="39" t="s">
        <v>3204</v>
      </c>
      <c r="C1304" s="41" t="n">
        <v>10.26</v>
      </c>
    </row>
    <row r="1305" customFormat="false" ht="15" hidden="false" customHeight="false" outlineLevel="0" collapsed="false">
      <c r="A1305" s="39" t="s">
        <v>2777</v>
      </c>
      <c r="B1305" s="39" t="s">
        <v>3203</v>
      </c>
      <c r="C1305" s="41" t="n">
        <v>3.18</v>
      </c>
    </row>
    <row r="1306" customFormat="false" ht="15" hidden="false" customHeight="false" outlineLevel="0" collapsed="false">
      <c r="A1306" s="39" t="s">
        <v>1590</v>
      </c>
      <c r="B1306" s="39" t="s">
        <v>3205</v>
      </c>
      <c r="C1306" s="41" t="n">
        <v>21.14</v>
      </c>
    </row>
    <row r="1307" customFormat="false" ht="15" hidden="false" customHeight="false" outlineLevel="0" collapsed="false">
      <c r="A1307" s="39" t="s">
        <v>2979</v>
      </c>
      <c r="B1307" s="39" t="s">
        <v>3205</v>
      </c>
      <c r="C1307" s="41" t="n">
        <v>24.33</v>
      </c>
    </row>
    <row r="1308" customFormat="false" ht="15" hidden="false" customHeight="false" outlineLevel="0" collapsed="false">
      <c r="A1308" s="39" t="s">
        <v>3081</v>
      </c>
      <c r="B1308" s="39" t="s">
        <v>3205</v>
      </c>
      <c r="C1308" s="41" t="n">
        <v>0.7</v>
      </c>
    </row>
    <row r="1309" customFormat="false" ht="15" hidden="false" customHeight="false" outlineLevel="0" collapsed="false">
      <c r="A1309" s="39" t="s">
        <v>2346</v>
      </c>
      <c r="B1309" s="39" t="s">
        <v>3204</v>
      </c>
      <c r="C1309" s="41" t="n">
        <v>21.36</v>
      </c>
    </row>
    <row r="1310" customFormat="false" ht="15" hidden="false" customHeight="false" outlineLevel="0" collapsed="false">
      <c r="A1310" s="39" t="s">
        <v>315</v>
      </c>
      <c r="B1310" s="39" t="s">
        <v>3203</v>
      </c>
      <c r="C1310" s="41" t="n">
        <v>37.94</v>
      </c>
    </row>
    <row r="1311" customFormat="false" ht="15" hidden="false" customHeight="false" outlineLevel="0" collapsed="false">
      <c r="A1311" s="39" t="s">
        <v>1039</v>
      </c>
      <c r="B1311" s="39" t="s">
        <v>3204</v>
      </c>
      <c r="C1311" s="41" t="n">
        <v>12.97</v>
      </c>
    </row>
    <row r="1312" customFormat="false" ht="15" hidden="false" customHeight="false" outlineLevel="0" collapsed="false">
      <c r="A1312" s="39" t="s">
        <v>1003</v>
      </c>
      <c r="B1312" s="39" t="s">
        <v>3203</v>
      </c>
      <c r="C1312" s="41" t="n">
        <v>7.89</v>
      </c>
    </row>
    <row r="1313" customFormat="false" ht="15" hidden="false" customHeight="false" outlineLevel="0" collapsed="false">
      <c r="A1313" s="39" t="s">
        <v>2143</v>
      </c>
      <c r="B1313" s="39" t="s">
        <v>3206</v>
      </c>
      <c r="C1313" s="41" t="n">
        <v>1.76</v>
      </c>
    </row>
    <row r="1314" customFormat="false" ht="15" hidden="false" customHeight="false" outlineLevel="0" collapsed="false">
      <c r="A1314" s="39" t="s">
        <v>2757</v>
      </c>
      <c r="B1314" s="39" t="s">
        <v>3203</v>
      </c>
      <c r="C1314" s="41" t="n">
        <v>1.77</v>
      </c>
    </row>
    <row r="1315" customFormat="false" ht="15" hidden="false" customHeight="false" outlineLevel="0" collapsed="false">
      <c r="A1315" s="39" t="s">
        <v>1536</v>
      </c>
      <c r="B1315" s="39" t="s">
        <v>3203</v>
      </c>
      <c r="C1315" s="41" t="n">
        <v>2.36</v>
      </c>
    </row>
    <row r="1316" customFormat="false" ht="15" hidden="false" customHeight="false" outlineLevel="0" collapsed="false">
      <c r="A1316" s="39" t="s">
        <v>1413</v>
      </c>
      <c r="B1316" s="39" t="s">
        <v>3206</v>
      </c>
      <c r="C1316" s="41" t="n">
        <v>27.94</v>
      </c>
    </row>
    <row r="1317" customFormat="false" ht="15" hidden="false" customHeight="false" outlineLevel="0" collapsed="false">
      <c r="A1317" s="39" t="s">
        <v>1991</v>
      </c>
      <c r="B1317" s="39" t="s">
        <v>3203</v>
      </c>
      <c r="C1317" s="41" t="n">
        <v>29.58</v>
      </c>
    </row>
    <row r="1318" customFormat="false" ht="15" hidden="false" customHeight="false" outlineLevel="0" collapsed="false">
      <c r="A1318" s="39" t="s">
        <v>3101</v>
      </c>
      <c r="B1318" s="39" t="s">
        <v>3205</v>
      </c>
      <c r="C1318" s="41" t="n">
        <v>3.14</v>
      </c>
    </row>
    <row r="1319" customFormat="false" ht="15" hidden="false" customHeight="false" outlineLevel="0" collapsed="false">
      <c r="A1319" s="39" t="s">
        <v>2517</v>
      </c>
      <c r="B1319" s="39" t="s">
        <v>3206</v>
      </c>
      <c r="C1319" s="41" t="n">
        <v>0.72</v>
      </c>
    </row>
    <row r="1320" customFormat="false" ht="15" hidden="false" customHeight="false" outlineLevel="0" collapsed="false">
      <c r="A1320" s="39" t="s">
        <v>2845</v>
      </c>
      <c r="B1320" s="39" t="s">
        <v>3205</v>
      </c>
      <c r="C1320" s="41" t="n">
        <v>6.56</v>
      </c>
    </row>
    <row r="1321" customFormat="false" ht="15" hidden="false" customHeight="false" outlineLevel="0" collapsed="false">
      <c r="A1321" s="39" t="s">
        <v>758</v>
      </c>
      <c r="B1321" s="39" t="s">
        <v>3205</v>
      </c>
      <c r="C1321" s="41" t="n">
        <v>0.89</v>
      </c>
    </row>
    <row r="1322" customFormat="false" ht="15" hidden="false" customHeight="false" outlineLevel="0" collapsed="false">
      <c r="A1322" s="39" t="s">
        <v>569</v>
      </c>
      <c r="B1322" s="39" t="s">
        <v>3205</v>
      </c>
      <c r="C1322" s="41" t="n">
        <v>2.39</v>
      </c>
    </row>
    <row r="1323" customFormat="false" ht="15" hidden="false" customHeight="false" outlineLevel="0" collapsed="false">
      <c r="A1323" s="39" t="s">
        <v>2856</v>
      </c>
      <c r="B1323" s="39" t="s">
        <v>3204</v>
      </c>
      <c r="C1323" s="41" t="n">
        <v>1.13</v>
      </c>
    </row>
    <row r="1324" customFormat="false" ht="15" hidden="false" customHeight="false" outlineLevel="0" collapsed="false">
      <c r="A1324" s="39" t="s">
        <v>1702</v>
      </c>
      <c r="B1324" s="39" t="s">
        <v>3205</v>
      </c>
      <c r="C1324" s="41" t="n">
        <v>7.36</v>
      </c>
    </row>
    <row r="1325" customFormat="false" ht="15" hidden="false" customHeight="false" outlineLevel="0" collapsed="false">
      <c r="A1325" s="39" t="s">
        <v>1273</v>
      </c>
      <c r="B1325" s="39" t="s">
        <v>3206</v>
      </c>
      <c r="C1325" s="41" t="n">
        <v>0.53</v>
      </c>
    </row>
    <row r="1326" customFormat="false" ht="15" hidden="false" customHeight="false" outlineLevel="0" collapsed="false">
      <c r="A1326" s="39" t="s">
        <v>750</v>
      </c>
      <c r="B1326" s="39" t="s">
        <v>3206</v>
      </c>
      <c r="C1326" s="41" t="n">
        <v>10.23</v>
      </c>
    </row>
    <row r="1327" customFormat="false" ht="15" hidden="false" customHeight="false" outlineLevel="0" collapsed="false">
      <c r="A1327" s="39" t="s">
        <v>451</v>
      </c>
      <c r="B1327" s="39" t="s">
        <v>3204</v>
      </c>
      <c r="C1327" s="41" t="n">
        <v>2.04</v>
      </c>
    </row>
    <row r="1328" customFormat="false" ht="15" hidden="false" customHeight="false" outlineLevel="0" collapsed="false">
      <c r="A1328" s="39" t="s">
        <v>816</v>
      </c>
      <c r="B1328" s="39" t="s">
        <v>3205</v>
      </c>
      <c r="C1328" s="41" t="n">
        <v>12.06</v>
      </c>
    </row>
    <row r="1329" customFormat="false" ht="15" hidden="false" customHeight="false" outlineLevel="0" collapsed="false">
      <c r="A1329" s="39" t="s">
        <v>1066</v>
      </c>
      <c r="B1329" s="39" t="s">
        <v>3204</v>
      </c>
      <c r="C1329" s="41" t="n">
        <v>22.73</v>
      </c>
    </row>
    <row r="1330" customFormat="false" ht="15" hidden="false" customHeight="false" outlineLevel="0" collapsed="false">
      <c r="A1330" s="39" t="s">
        <v>2958</v>
      </c>
      <c r="B1330" s="39" t="s">
        <v>3203</v>
      </c>
      <c r="C1330" s="41" t="n">
        <v>2.62</v>
      </c>
    </row>
    <row r="1331" customFormat="false" ht="15" hidden="false" customHeight="false" outlineLevel="0" collapsed="false">
      <c r="A1331" s="39" t="s">
        <v>519</v>
      </c>
      <c r="B1331" s="39" t="s">
        <v>3204</v>
      </c>
      <c r="C1331" s="41" t="n">
        <v>1.73</v>
      </c>
    </row>
    <row r="1332" customFormat="false" ht="15" hidden="false" customHeight="false" outlineLevel="0" collapsed="false">
      <c r="A1332" s="39" t="s">
        <v>2607</v>
      </c>
      <c r="B1332" s="39" t="s">
        <v>3206</v>
      </c>
      <c r="C1332" s="41" t="n">
        <v>1.13</v>
      </c>
    </row>
    <row r="1333" customFormat="false" ht="15" hidden="false" customHeight="false" outlineLevel="0" collapsed="false">
      <c r="A1333" s="39" t="s">
        <v>1225</v>
      </c>
      <c r="B1333" s="39" t="s">
        <v>3204</v>
      </c>
      <c r="C1333" s="41" t="n">
        <v>4.11</v>
      </c>
    </row>
    <row r="1334" customFormat="false" ht="15" hidden="false" customHeight="false" outlineLevel="0" collapsed="false">
      <c r="A1334" s="39" t="s">
        <v>1764</v>
      </c>
      <c r="B1334" s="39" t="s">
        <v>3204</v>
      </c>
      <c r="C1334" s="41" t="n">
        <v>5.14</v>
      </c>
    </row>
    <row r="1335" customFormat="false" ht="15" hidden="false" customHeight="false" outlineLevel="0" collapsed="false">
      <c r="A1335" s="39" t="s">
        <v>1643</v>
      </c>
      <c r="B1335" s="39" t="s">
        <v>3206</v>
      </c>
      <c r="C1335" s="41" t="n">
        <v>6.47</v>
      </c>
    </row>
    <row r="1336" customFormat="false" ht="15" hidden="false" customHeight="false" outlineLevel="0" collapsed="false">
      <c r="A1336" s="39" t="s">
        <v>3054</v>
      </c>
      <c r="B1336" s="39" t="s">
        <v>3204</v>
      </c>
      <c r="C1336" s="41" t="n">
        <v>0.77</v>
      </c>
    </row>
    <row r="1337" customFormat="false" ht="15" hidden="false" customHeight="false" outlineLevel="0" collapsed="false">
      <c r="A1337" s="39" t="s">
        <v>2858</v>
      </c>
      <c r="B1337" s="39" t="s">
        <v>3203</v>
      </c>
      <c r="C1337" s="41" t="n">
        <v>1.32</v>
      </c>
    </row>
    <row r="1338" customFormat="false" ht="15" hidden="false" customHeight="false" outlineLevel="0" collapsed="false">
      <c r="A1338" s="39" t="s">
        <v>366</v>
      </c>
      <c r="B1338" s="39" t="s">
        <v>3204</v>
      </c>
      <c r="C1338" s="41" t="n">
        <v>20.56</v>
      </c>
    </row>
    <row r="1339" customFormat="false" ht="15" hidden="false" customHeight="false" outlineLevel="0" collapsed="false">
      <c r="A1339" s="39" t="s">
        <v>428</v>
      </c>
      <c r="B1339" s="39" t="s">
        <v>3205</v>
      </c>
      <c r="C1339" s="41" t="n">
        <v>1.32</v>
      </c>
    </row>
    <row r="1340" customFormat="false" ht="15" hidden="false" customHeight="false" outlineLevel="0" collapsed="false">
      <c r="A1340" s="39" t="s">
        <v>1608</v>
      </c>
      <c r="B1340" s="39" t="s">
        <v>3203</v>
      </c>
      <c r="C1340" s="41" t="n">
        <v>7.36</v>
      </c>
    </row>
    <row r="1341" customFormat="false" ht="15" hidden="false" customHeight="false" outlineLevel="0" collapsed="false">
      <c r="A1341" s="39" t="s">
        <v>2072</v>
      </c>
      <c r="B1341" s="39" t="s">
        <v>3206</v>
      </c>
      <c r="C1341" s="41" t="n">
        <v>48.74</v>
      </c>
    </row>
    <row r="1342" customFormat="false" ht="15" hidden="false" customHeight="false" outlineLevel="0" collapsed="false">
      <c r="A1342" s="39" t="s">
        <v>784</v>
      </c>
      <c r="B1342" s="39" t="s">
        <v>3203</v>
      </c>
      <c r="C1342" s="41" t="n">
        <v>6.74</v>
      </c>
    </row>
    <row r="1343" customFormat="false" ht="15" hidden="false" customHeight="false" outlineLevel="0" collapsed="false">
      <c r="A1343" s="39" t="s">
        <v>1856</v>
      </c>
      <c r="B1343" s="39" t="s">
        <v>3206</v>
      </c>
      <c r="C1343" s="41" t="n">
        <v>0.59</v>
      </c>
    </row>
    <row r="1344" customFormat="false" ht="15" hidden="false" customHeight="false" outlineLevel="0" collapsed="false">
      <c r="A1344" s="39" t="s">
        <v>2161</v>
      </c>
      <c r="B1344" s="39" t="s">
        <v>3204</v>
      </c>
      <c r="C1344" s="41" t="n">
        <v>5.83</v>
      </c>
    </row>
    <row r="1345" customFormat="false" ht="15" hidden="false" customHeight="false" outlineLevel="0" collapsed="false">
      <c r="A1345" s="39" t="s">
        <v>930</v>
      </c>
      <c r="B1345" s="39" t="s">
        <v>3203</v>
      </c>
      <c r="C1345" s="41" t="n">
        <v>0.73</v>
      </c>
    </row>
    <row r="1346" customFormat="false" ht="15" hidden="false" customHeight="false" outlineLevel="0" collapsed="false">
      <c r="A1346" s="39" t="s">
        <v>2333</v>
      </c>
      <c r="B1346" s="39" t="s">
        <v>3206</v>
      </c>
      <c r="C1346" s="41" t="n">
        <v>9.32</v>
      </c>
    </row>
    <row r="1347" customFormat="false" ht="15" hidden="false" customHeight="false" outlineLevel="0" collapsed="false">
      <c r="A1347" s="39" t="s">
        <v>1342</v>
      </c>
      <c r="B1347" s="39" t="s">
        <v>3204</v>
      </c>
      <c r="C1347" s="41" t="n">
        <v>10.48</v>
      </c>
    </row>
    <row r="1348" customFormat="false" ht="15" hidden="false" customHeight="false" outlineLevel="0" collapsed="false">
      <c r="A1348" s="39" t="s">
        <v>2499</v>
      </c>
      <c r="B1348" s="39" t="s">
        <v>3206</v>
      </c>
      <c r="C1348" s="41" t="n">
        <v>1.29</v>
      </c>
    </row>
    <row r="1349" customFormat="false" ht="15" hidden="false" customHeight="false" outlineLevel="0" collapsed="false">
      <c r="A1349" s="39" t="s">
        <v>1229</v>
      </c>
      <c r="B1349" s="39" t="s">
        <v>3206</v>
      </c>
      <c r="C1349" s="41" t="n">
        <v>11.76</v>
      </c>
    </row>
    <row r="1350" customFormat="false" ht="15" hidden="false" customHeight="false" outlineLevel="0" collapsed="false">
      <c r="A1350" s="39" t="s">
        <v>2817</v>
      </c>
      <c r="B1350" s="39" t="s">
        <v>3206</v>
      </c>
      <c r="C1350" s="41" t="n">
        <v>7.92</v>
      </c>
    </row>
    <row r="1351" customFormat="false" ht="15" hidden="false" customHeight="false" outlineLevel="0" collapsed="false">
      <c r="A1351" s="39" t="s">
        <v>1514</v>
      </c>
      <c r="B1351" s="39" t="s">
        <v>3205</v>
      </c>
      <c r="C1351" s="41" t="n">
        <v>7.31</v>
      </c>
    </row>
    <row r="1352" customFormat="false" ht="15" hidden="false" customHeight="false" outlineLevel="0" collapsed="false">
      <c r="A1352" s="39" t="s">
        <v>268</v>
      </c>
      <c r="B1352" s="39" t="s">
        <v>3205</v>
      </c>
      <c r="C1352" s="41" t="n">
        <v>4.1</v>
      </c>
    </row>
    <row r="1353" customFormat="false" ht="15" hidden="false" customHeight="false" outlineLevel="0" collapsed="false">
      <c r="A1353" s="39" t="s">
        <v>1201</v>
      </c>
      <c r="B1353" s="39" t="s">
        <v>3206</v>
      </c>
      <c r="C1353" s="41" t="n">
        <v>0.47</v>
      </c>
    </row>
    <row r="1354" customFormat="false" ht="15" hidden="false" customHeight="false" outlineLevel="0" collapsed="false">
      <c r="A1354" s="39" t="s">
        <v>1268</v>
      </c>
      <c r="B1354" s="39" t="s">
        <v>3204</v>
      </c>
      <c r="C1354" s="41" t="n">
        <v>0.41</v>
      </c>
    </row>
    <row r="1355" customFormat="false" ht="15" hidden="false" customHeight="false" outlineLevel="0" collapsed="false">
      <c r="A1355" s="39" t="s">
        <v>2645</v>
      </c>
      <c r="B1355" s="39" t="s">
        <v>3205</v>
      </c>
      <c r="C1355" s="41" t="n">
        <v>0.35</v>
      </c>
    </row>
    <row r="1356" customFormat="false" ht="15" hidden="false" customHeight="false" outlineLevel="0" collapsed="false">
      <c r="A1356" s="39" t="s">
        <v>2475</v>
      </c>
      <c r="B1356" s="39" t="s">
        <v>3204</v>
      </c>
      <c r="C1356" s="41" t="n">
        <v>2.95</v>
      </c>
    </row>
    <row r="1357" customFormat="false" ht="15" hidden="false" customHeight="false" outlineLevel="0" collapsed="false">
      <c r="A1357" s="39" t="s">
        <v>2884</v>
      </c>
      <c r="B1357" s="39" t="s">
        <v>3204</v>
      </c>
      <c r="C1357" s="41" t="n">
        <v>2.19</v>
      </c>
    </row>
    <row r="1358" customFormat="false" ht="15" hidden="false" customHeight="false" outlineLevel="0" collapsed="false">
      <c r="A1358" s="39" t="s">
        <v>1212</v>
      </c>
      <c r="B1358" s="39" t="s">
        <v>3206</v>
      </c>
      <c r="C1358" s="41" t="n">
        <v>26.8</v>
      </c>
    </row>
    <row r="1359" customFormat="false" ht="15" hidden="false" customHeight="false" outlineLevel="0" collapsed="false">
      <c r="A1359" s="39" t="s">
        <v>1289</v>
      </c>
      <c r="B1359" s="39" t="s">
        <v>3203</v>
      </c>
      <c r="C1359" s="41" t="n">
        <v>0.8</v>
      </c>
    </row>
    <row r="1360" customFormat="false" ht="15" hidden="false" customHeight="false" outlineLevel="0" collapsed="false">
      <c r="A1360" s="39" t="s">
        <v>3080</v>
      </c>
      <c r="B1360" s="39" t="s">
        <v>3206</v>
      </c>
      <c r="C1360" s="41" t="n">
        <v>23.69</v>
      </c>
    </row>
    <row r="1361" customFormat="false" ht="15" hidden="false" customHeight="false" outlineLevel="0" collapsed="false">
      <c r="A1361" s="39" t="s">
        <v>2011</v>
      </c>
      <c r="B1361" s="39" t="s">
        <v>3204</v>
      </c>
      <c r="C1361" s="41" t="n">
        <v>5.41</v>
      </c>
    </row>
    <row r="1362" customFormat="false" ht="15" hidden="false" customHeight="false" outlineLevel="0" collapsed="false">
      <c r="A1362" s="39" t="s">
        <v>1833</v>
      </c>
      <c r="B1362" s="39" t="s">
        <v>3203</v>
      </c>
      <c r="C1362" s="41" t="n">
        <v>1.39</v>
      </c>
    </row>
    <row r="1363" customFormat="false" ht="15" hidden="false" customHeight="false" outlineLevel="0" collapsed="false">
      <c r="A1363" s="39" t="s">
        <v>2875</v>
      </c>
      <c r="B1363" s="39" t="s">
        <v>3203</v>
      </c>
      <c r="C1363" s="41" t="n">
        <v>13.43</v>
      </c>
    </row>
    <row r="1364" customFormat="false" ht="15" hidden="false" customHeight="false" outlineLevel="0" collapsed="false">
      <c r="A1364" s="39" t="s">
        <v>2602</v>
      </c>
      <c r="B1364" s="39" t="s">
        <v>3203</v>
      </c>
      <c r="C1364" s="41" t="n">
        <v>2.78</v>
      </c>
    </row>
    <row r="1365" customFormat="false" ht="15" hidden="false" customHeight="false" outlineLevel="0" collapsed="false">
      <c r="A1365" s="39" t="s">
        <v>2428</v>
      </c>
      <c r="B1365" s="39" t="s">
        <v>3204</v>
      </c>
      <c r="C1365" s="41" t="n">
        <v>10.59</v>
      </c>
    </row>
    <row r="1366" customFormat="false" ht="15" hidden="false" customHeight="false" outlineLevel="0" collapsed="false">
      <c r="A1366" s="39" t="s">
        <v>1280</v>
      </c>
      <c r="B1366" s="39" t="s">
        <v>3204</v>
      </c>
      <c r="C1366" s="41" t="n">
        <v>9</v>
      </c>
    </row>
    <row r="1367" customFormat="false" ht="15" hidden="false" customHeight="false" outlineLevel="0" collapsed="false">
      <c r="A1367" s="39" t="s">
        <v>499</v>
      </c>
      <c r="B1367" s="39" t="s">
        <v>3205</v>
      </c>
      <c r="C1367" s="41" t="n">
        <v>50.14</v>
      </c>
    </row>
    <row r="1368" customFormat="false" ht="15" hidden="false" customHeight="false" outlineLevel="0" collapsed="false">
      <c r="A1368" s="39" t="s">
        <v>1945</v>
      </c>
      <c r="B1368" s="39" t="s">
        <v>3203</v>
      </c>
      <c r="C1368" s="41" t="n">
        <v>1.07</v>
      </c>
    </row>
    <row r="1369" customFormat="false" ht="15" hidden="false" customHeight="false" outlineLevel="0" collapsed="false">
      <c r="A1369" s="39" t="s">
        <v>701</v>
      </c>
      <c r="B1369" s="39" t="s">
        <v>3204</v>
      </c>
      <c r="C1369" s="41" t="n">
        <v>21.57</v>
      </c>
    </row>
    <row r="1370" customFormat="false" ht="15" hidden="false" customHeight="false" outlineLevel="0" collapsed="false">
      <c r="A1370" s="39" t="s">
        <v>1079</v>
      </c>
      <c r="B1370" s="39" t="s">
        <v>3205</v>
      </c>
      <c r="C1370" s="41" t="n">
        <v>57.05</v>
      </c>
    </row>
    <row r="1371" customFormat="false" ht="15" hidden="false" customHeight="false" outlineLevel="0" collapsed="false">
      <c r="A1371" s="39" t="s">
        <v>1696</v>
      </c>
      <c r="B1371" s="39" t="s">
        <v>3206</v>
      </c>
      <c r="C1371" s="41" t="n">
        <v>44.96</v>
      </c>
    </row>
    <row r="1372" customFormat="false" ht="15" hidden="false" customHeight="false" outlineLevel="0" collapsed="false">
      <c r="A1372" s="39" t="s">
        <v>458</v>
      </c>
      <c r="B1372" s="39" t="s">
        <v>3206</v>
      </c>
      <c r="C1372" s="41" t="n">
        <v>0.9</v>
      </c>
    </row>
    <row r="1373" customFormat="false" ht="15" hidden="false" customHeight="false" outlineLevel="0" collapsed="false">
      <c r="A1373" s="39" t="s">
        <v>174</v>
      </c>
      <c r="B1373" s="39" t="s">
        <v>3203</v>
      </c>
      <c r="C1373" s="41" t="n">
        <v>5.2</v>
      </c>
    </row>
    <row r="1374" customFormat="false" ht="15" hidden="false" customHeight="false" outlineLevel="0" collapsed="false">
      <c r="A1374" s="39" t="s">
        <v>2441</v>
      </c>
      <c r="B1374" s="39" t="s">
        <v>3205</v>
      </c>
      <c r="C1374" s="41" t="n">
        <v>3.16</v>
      </c>
    </row>
    <row r="1375" customFormat="false" ht="15" hidden="false" customHeight="false" outlineLevel="0" collapsed="false">
      <c r="A1375" s="39" t="s">
        <v>2745</v>
      </c>
      <c r="B1375" s="39" t="s">
        <v>3205</v>
      </c>
      <c r="C1375" s="41" t="n">
        <v>6.1</v>
      </c>
    </row>
    <row r="1376" customFormat="false" ht="15" hidden="false" customHeight="false" outlineLevel="0" collapsed="false">
      <c r="A1376" s="39" t="s">
        <v>2897</v>
      </c>
      <c r="B1376" s="39" t="s">
        <v>3204</v>
      </c>
      <c r="C1376" s="41" t="n">
        <v>17.32</v>
      </c>
    </row>
    <row r="1377" customFormat="false" ht="15" hidden="false" customHeight="false" outlineLevel="0" collapsed="false">
      <c r="A1377" s="39" t="s">
        <v>2183</v>
      </c>
      <c r="B1377" s="39" t="s">
        <v>3205</v>
      </c>
      <c r="C1377" s="41" t="n">
        <v>12.99</v>
      </c>
    </row>
    <row r="1378" customFormat="false" ht="15" hidden="false" customHeight="false" outlineLevel="0" collapsed="false">
      <c r="A1378" s="39" t="s">
        <v>584</v>
      </c>
      <c r="B1378" s="39" t="s">
        <v>3205</v>
      </c>
      <c r="C1378" s="41" t="n">
        <v>2.67</v>
      </c>
    </row>
    <row r="1379" customFormat="false" ht="15" hidden="false" customHeight="false" outlineLevel="0" collapsed="false">
      <c r="A1379" s="39" t="s">
        <v>2306</v>
      </c>
      <c r="B1379" s="39" t="s">
        <v>3205</v>
      </c>
      <c r="C1379" s="41" t="n">
        <v>13.02</v>
      </c>
    </row>
    <row r="1380" customFormat="false" ht="15" hidden="false" customHeight="false" outlineLevel="0" collapsed="false">
      <c r="A1380" s="39" t="s">
        <v>1541</v>
      </c>
      <c r="B1380" s="39" t="s">
        <v>3205</v>
      </c>
      <c r="C1380" s="41" t="n">
        <v>0.47</v>
      </c>
    </row>
    <row r="1381" customFormat="false" ht="15" hidden="false" customHeight="false" outlineLevel="0" collapsed="false">
      <c r="A1381" s="39" t="s">
        <v>1741</v>
      </c>
      <c r="B1381" s="39" t="s">
        <v>3206</v>
      </c>
      <c r="C1381" s="41" t="n">
        <v>1.4</v>
      </c>
    </row>
    <row r="1382" customFormat="false" ht="15" hidden="false" customHeight="false" outlineLevel="0" collapsed="false">
      <c r="A1382" s="39" t="s">
        <v>2711</v>
      </c>
      <c r="B1382" s="39" t="s">
        <v>3203</v>
      </c>
      <c r="C1382" s="41" t="n">
        <v>8.89</v>
      </c>
    </row>
    <row r="1383" customFormat="false" ht="15" hidden="false" customHeight="false" outlineLevel="0" collapsed="false">
      <c r="A1383" s="39" t="s">
        <v>3030</v>
      </c>
      <c r="B1383" s="39" t="s">
        <v>3203</v>
      </c>
      <c r="C1383" s="41" t="n">
        <v>1.24</v>
      </c>
    </row>
    <row r="1384" customFormat="false" ht="15" hidden="false" customHeight="false" outlineLevel="0" collapsed="false">
      <c r="A1384" s="39" t="s">
        <v>948</v>
      </c>
      <c r="B1384" s="39" t="s">
        <v>3203</v>
      </c>
      <c r="C1384" s="41" t="n">
        <v>3.4</v>
      </c>
    </row>
    <row r="1385" customFormat="false" ht="15" hidden="false" customHeight="false" outlineLevel="0" collapsed="false">
      <c r="A1385" s="39" t="s">
        <v>655</v>
      </c>
      <c r="B1385" s="39" t="s">
        <v>3205</v>
      </c>
      <c r="C1385" s="41" t="n">
        <v>1.6</v>
      </c>
    </row>
    <row r="1386" customFormat="false" ht="15" hidden="false" customHeight="false" outlineLevel="0" collapsed="false">
      <c r="A1386" s="39" t="s">
        <v>2002</v>
      </c>
      <c r="B1386" s="39" t="s">
        <v>3205</v>
      </c>
      <c r="C1386" s="41" t="n">
        <v>1.53</v>
      </c>
    </row>
    <row r="1387" customFormat="false" ht="15" hidden="false" customHeight="false" outlineLevel="0" collapsed="false">
      <c r="A1387" s="39" t="s">
        <v>2652</v>
      </c>
      <c r="B1387" s="39" t="s">
        <v>3204</v>
      </c>
      <c r="C1387" s="41" t="n">
        <v>1.38</v>
      </c>
    </row>
    <row r="1388" customFormat="false" ht="15" hidden="false" customHeight="false" outlineLevel="0" collapsed="false">
      <c r="A1388" s="39" t="s">
        <v>1839</v>
      </c>
      <c r="B1388" s="39" t="s">
        <v>3206</v>
      </c>
      <c r="C1388" s="41" t="n">
        <v>7.05</v>
      </c>
    </row>
    <row r="1389" customFormat="false" ht="15" hidden="false" customHeight="false" outlineLevel="0" collapsed="false">
      <c r="A1389" s="39" t="s">
        <v>1777</v>
      </c>
      <c r="B1389" s="39" t="s">
        <v>3205</v>
      </c>
      <c r="C1389" s="41" t="n">
        <v>2.93</v>
      </c>
    </row>
    <row r="1390" customFormat="false" ht="15" hidden="false" customHeight="false" outlineLevel="0" collapsed="false">
      <c r="A1390" s="39" t="s">
        <v>859</v>
      </c>
      <c r="B1390" s="39" t="s">
        <v>3204</v>
      </c>
      <c r="C1390" s="41" t="n">
        <v>10.42</v>
      </c>
    </row>
    <row r="1391" customFormat="false" ht="15" hidden="false" customHeight="false" outlineLevel="0" collapsed="false">
      <c r="A1391" s="39" t="s">
        <v>2338</v>
      </c>
      <c r="B1391" s="39" t="s">
        <v>3205</v>
      </c>
      <c r="C1391" s="41" t="n">
        <v>10.33</v>
      </c>
    </row>
    <row r="1392" customFormat="false" ht="15" hidden="false" customHeight="false" outlineLevel="0" collapsed="false">
      <c r="A1392" s="39" t="s">
        <v>304</v>
      </c>
      <c r="B1392" s="39" t="s">
        <v>3204</v>
      </c>
      <c r="C1392" s="41" t="n">
        <v>59.01</v>
      </c>
    </row>
    <row r="1393" customFormat="false" ht="15" hidden="false" customHeight="false" outlineLevel="0" collapsed="false">
      <c r="A1393" s="39" t="s">
        <v>2293</v>
      </c>
      <c r="B1393" s="39" t="s">
        <v>3206</v>
      </c>
      <c r="C1393" s="41" t="n">
        <v>1.94</v>
      </c>
    </row>
    <row r="1394" customFormat="false" ht="15" hidden="false" customHeight="false" outlineLevel="0" collapsed="false">
      <c r="A1394" s="39" t="s">
        <v>2059</v>
      </c>
      <c r="B1394" s="39" t="s">
        <v>3205</v>
      </c>
      <c r="C1394" s="41" t="n">
        <v>59.65</v>
      </c>
    </row>
    <row r="1395" customFormat="false" ht="15" hidden="false" customHeight="false" outlineLevel="0" collapsed="false">
      <c r="A1395" s="39" t="s">
        <v>2366</v>
      </c>
      <c r="B1395" s="39" t="s">
        <v>3205</v>
      </c>
      <c r="C1395" s="41" t="n">
        <v>15.45</v>
      </c>
    </row>
    <row r="1396" customFormat="false" ht="15" hidden="false" customHeight="false" outlineLevel="0" collapsed="false">
      <c r="A1396" s="39" t="s">
        <v>272</v>
      </c>
      <c r="B1396" s="39" t="s">
        <v>3205</v>
      </c>
      <c r="C1396" s="41" t="n">
        <v>6.16</v>
      </c>
    </row>
    <row r="1397" customFormat="false" ht="15" hidden="false" customHeight="false" outlineLevel="0" collapsed="false">
      <c r="A1397" s="39" t="s">
        <v>671</v>
      </c>
      <c r="B1397" s="39" t="s">
        <v>3206</v>
      </c>
      <c r="C1397" s="41" t="n">
        <v>1.99</v>
      </c>
    </row>
    <row r="1398" customFormat="false" ht="15" hidden="false" customHeight="false" outlineLevel="0" collapsed="false">
      <c r="A1398" s="39" t="s">
        <v>901</v>
      </c>
      <c r="B1398" s="39" t="s">
        <v>3206</v>
      </c>
      <c r="C1398" s="41" t="n">
        <v>2.84</v>
      </c>
    </row>
    <row r="1399" customFormat="false" ht="15" hidden="false" customHeight="false" outlineLevel="0" collapsed="false">
      <c r="A1399" s="39" t="s">
        <v>1586</v>
      </c>
      <c r="B1399" s="39" t="s">
        <v>3205</v>
      </c>
      <c r="C1399" s="41" t="n">
        <v>24.06</v>
      </c>
    </row>
    <row r="1400" customFormat="false" ht="15" hidden="false" customHeight="false" outlineLevel="0" collapsed="false">
      <c r="A1400" s="39" t="s">
        <v>3189</v>
      </c>
      <c r="B1400" s="39" t="s">
        <v>3206</v>
      </c>
      <c r="C1400" s="41" t="n">
        <v>3.67</v>
      </c>
    </row>
    <row r="1401" customFormat="false" ht="15" hidden="false" customHeight="false" outlineLevel="0" collapsed="false">
      <c r="A1401" s="39" t="s">
        <v>1392</v>
      </c>
      <c r="B1401" s="39" t="s">
        <v>3205</v>
      </c>
      <c r="C1401" s="41" t="n">
        <v>0.36</v>
      </c>
    </row>
    <row r="1402" customFormat="false" ht="15" hidden="false" customHeight="false" outlineLevel="0" collapsed="false">
      <c r="A1402" s="39" t="s">
        <v>335</v>
      </c>
      <c r="B1402" s="39" t="s">
        <v>3204</v>
      </c>
      <c r="C1402" s="41" t="n">
        <v>0.73</v>
      </c>
    </row>
    <row r="1403" customFormat="false" ht="15" hidden="false" customHeight="false" outlineLevel="0" collapsed="false">
      <c r="A1403" s="39" t="s">
        <v>2525</v>
      </c>
      <c r="B1403" s="39" t="s">
        <v>3205</v>
      </c>
      <c r="C1403" s="41" t="n">
        <v>2.78</v>
      </c>
    </row>
    <row r="1404" customFormat="false" ht="15" hidden="false" customHeight="false" outlineLevel="0" collapsed="false">
      <c r="A1404" s="39" t="s">
        <v>892</v>
      </c>
      <c r="B1404" s="39" t="s">
        <v>3204</v>
      </c>
      <c r="C1404" s="41" t="n">
        <v>5.39</v>
      </c>
    </row>
    <row r="1405" customFormat="false" ht="15" hidden="false" customHeight="false" outlineLevel="0" collapsed="false">
      <c r="A1405" s="39" t="s">
        <v>1038</v>
      </c>
      <c r="B1405" s="39" t="s">
        <v>3203</v>
      </c>
      <c r="C1405" s="41" t="n">
        <v>0.61</v>
      </c>
    </row>
    <row r="1406" customFormat="false" ht="15" hidden="false" customHeight="false" outlineLevel="0" collapsed="false">
      <c r="A1406" s="39" t="s">
        <v>2314</v>
      </c>
      <c r="B1406" s="39" t="s">
        <v>3203</v>
      </c>
      <c r="C1406" s="41" t="n">
        <v>5.91</v>
      </c>
    </row>
    <row r="1407" customFormat="false" ht="15" hidden="false" customHeight="false" outlineLevel="0" collapsed="false">
      <c r="A1407" s="39" t="s">
        <v>2981</v>
      </c>
      <c r="B1407" s="39" t="s">
        <v>3204</v>
      </c>
      <c r="C1407" s="41" t="n">
        <v>18.89</v>
      </c>
    </row>
    <row r="1408" customFormat="false" ht="15" hidden="false" customHeight="false" outlineLevel="0" collapsed="false">
      <c r="A1408" s="39" t="s">
        <v>2676</v>
      </c>
      <c r="B1408" s="39" t="s">
        <v>3205</v>
      </c>
      <c r="C1408" s="41" t="n">
        <v>0.64</v>
      </c>
    </row>
    <row r="1409" customFormat="false" ht="15" hidden="false" customHeight="false" outlineLevel="0" collapsed="false">
      <c r="A1409" s="39" t="s">
        <v>777</v>
      </c>
      <c r="B1409" s="39" t="s">
        <v>3205</v>
      </c>
      <c r="C1409" s="41" t="n">
        <v>19.1</v>
      </c>
    </row>
    <row r="1410" customFormat="false" ht="15" hidden="false" customHeight="false" outlineLevel="0" collapsed="false">
      <c r="A1410" s="39" t="s">
        <v>2078</v>
      </c>
      <c r="B1410" s="39" t="s">
        <v>3203</v>
      </c>
      <c r="C1410" s="41" t="n">
        <v>1.79</v>
      </c>
    </row>
    <row r="1411" customFormat="false" ht="15" hidden="false" customHeight="false" outlineLevel="0" collapsed="false">
      <c r="A1411" s="39" t="s">
        <v>280</v>
      </c>
      <c r="B1411" s="39" t="s">
        <v>3204</v>
      </c>
      <c r="C1411" s="41" t="n">
        <v>2.13</v>
      </c>
    </row>
    <row r="1412" customFormat="false" ht="15" hidden="false" customHeight="false" outlineLevel="0" collapsed="false">
      <c r="A1412" s="39" t="s">
        <v>1999</v>
      </c>
      <c r="B1412" s="39" t="s">
        <v>3206</v>
      </c>
      <c r="C1412" s="41" t="n">
        <v>0.33</v>
      </c>
    </row>
    <row r="1413" customFormat="false" ht="15" hidden="false" customHeight="false" outlineLevel="0" collapsed="false">
      <c r="A1413" s="39" t="s">
        <v>2767</v>
      </c>
      <c r="B1413" s="39" t="s">
        <v>3205</v>
      </c>
      <c r="C1413" s="41" t="n">
        <v>0.41</v>
      </c>
    </row>
    <row r="1414" customFormat="false" ht="15" hidden="false" customHeight="false" outlineLevel="0" collapsed="false">
      <c r="A1414" s="39" t="s">
        <v>2591</v>
      </c>
      <c r="B1414" s="39" t="s">
        <v>3204</v>
      </c>
      <c r="C1414" s="41" t="n">
        <v>14.65</v>
      </c>
    </row>
    <row r="1415" customFormat="false" ht="15" hidden="false" customHeight="false" outlineLevel="0" collapsed="false">
      <c r="A1415" s="39" t="s">
        <v>355</v>
      </c>
      <c r="B1415" s="39" t="s">
        <v>3206</v>
      </c>
      <c r="C1415" s="41" t="n">
        <v>1.7</v>
      </c>
    </row>
    <row r="1416" customFormat="false" ht="15" hidden="false" customHeight="false" outlineLevel="0" collapsed="false">
      <c r="A1416" s="39" t="s">
        <v>3087</v>
      </c>
      <c r="B1416" s="39" t="s">
        <v>3203</v>
      </c>
      <c r="C1416" s="41" t="n">
        <v>18.16</v>
      </c>
    </row>
    <row r="1417" customFormat="false" ht="15" hidden="false" customHeight="false" outlineLevel="0" collapsed="false">
      <c r="A1417" s="39" t="s">
        <v>743</v>
      </c>
      <c r="B1417" s="39" t="s">
        <v>3203</v>
      </c>
      <c r="C1417" s="41" t="n">
        <v>5.03</v>
      </c>
    </row>
    <row r="1418" customFormat="false" ht="15" hidden="false" customHeight="false" outlineLevel="0" collapsed="false">
      <c r="A1418" s="39" t="s">
        <v>217</v>
      </c>
      <c r="B1418" s="39" t="s">
        <v>3203</v>
      </c>
      <c r="C1418" s="41" t="n">
        <v>6.23</v>
      </c>
    </row>
    <row r="1419" customFormat="false" ht="15" hidden="false" customHeight="false" outlineLevel="0" collapsed="false">
      <c r="A1419" s="39" t="s">
        <v>353</v>
      </c>
      <c r="B1419" s="39" t="s">
        <v>3205</v>
      </c>
      <c r="C1419" s="41" t="n">
        <v>1.35</v>
      </c>
    </row>
    <row r="1420" customFormat="false" ht="15" hidden="false" customHeight="false" outlineLevel="0" collapsed="false">
      <c r="A1420" s="39" t="s">
        <v>1205</v>
      </c>
      <c r="B1420" s="39" t="s">
        <v>3205</v>
      </c>
      <c r="C1420" s="41" t="n">
        <v>0.71</v>
      </c>
    </row>
    <row r="1421" customFormat="false" ht="15" hidden="false" customHeight="false" outlineLevel="0" collapsed="false">
      <c r="A1421" s="39" t="s">
        <v>2749</v>
      </c>
      <c r="B1421" s="39" t="s">
        <v>3204</v>
      </c>
      <c r="C1421" s="41" t="n">
        <v>1.74</v>
      </c>
    </row>
    <row r="1422" customFormat="false" ht="15" hidden="false" customHeight="false" outlineLevel="0" collapsed="false">
      <c r="A1422" s="39" t="s">
        <v>1488</v>
      </c>
      <c r="B1422" s="39" t="s">
        <v>3206</v>
      </c>
      <c r="C1422" s="41" t="n">
        <v>6.04</v>
      </c>
    </row>
    <row r="1423" customFormat="false" ht="15" hidden="false" customHeight="false" outlineLevel="0" collapsed="false">
      <c r="A1423" s="39" t="s">
        <v>143</v>
      </c>
      <c r="B1423" s="39" t="s">
        <v>3206</v>
      </c>
      <c r="C1423" s="41" t="n">
        <v>3.46</v>
      </c>
    </row>
    <row r="1424" customFormat="false" ht="15" hidden="false" customHeight="false" outlineLevel="0" collapsed="false">
      <c r="A1424" s="39" t="s">
        <v>131</v>
      </c>
      <c r="B1424" s="39" t="s">
        <v>3204</v>
      </c>
      <c r="C1424" s="41" t="n">
        <v>2.02</v>
      </c>
    </row>
    <row r="1425" customFormat="false" ht="15" hidden="false" customHeight="false" outlineLevel="0" collapsed="false">
      <c r="A1425" s="39" t="s">
        <v>730</v>
      </c>
      <c r="B1425" s="39" t="s">
        <v>3206</v>
      </c>
      <c r="C1425" s="41" t="n">
        <v>2.15</v>
      </c>
    </row>
    <row r="1426" customFormat="false" ht="15" hidden="false" customHeight="false" outlineLevel="0" collapsed="false">
      <c r="A1426" s="39" t="s">
        <v>834</v>
      </c>
      <c r="B1426" s="39" t="s">
        <v>3206</v>
      </c>
      <c r="C1426" s="41" t="n">
        <v>1.28</v>
      </c>
    </row>
    <row r="1427" customFormat="false" ht="15" hidden="false" customHeight="false" outlineLevel="0" collapsed="false">
      <c r="A1427" s="39" t="s">
        <v>2632</v>
      </c>
      <c r="B1427" s="39" t="s">
        <v>3203</v>
      </c>
      <c r="C1427" s="41" t="n">
        <v>10.59</v>
      </c>
    </row>
    <row r="1428" customFormat="false" ht="15" hidden="false" customHeight="false" outlineLevel="0" collapsed="false">
      <c r="A1428" s="39" t="s">
        <v>1944</v>
      </c>
      <c r="B1428" s="39" t="s">
        <v>3203</v>
      </c>
      <c r="C1428" s="41" t="n">
        <v>1.56</v>
      </c>
    </row>
    <row r="1429" customFormat="false" ht="15" hidden="false" customHeight="false" outlineLevel="0" collapsed="false">
      <c r="A1429" s="39" t="s">
        <v>650</v>
      </c>
      <c r="B1429" s="39" t="s">
        <v>3206</v>
      </c>
      <c r="C1429" s="41" t="n">
        <v>0.39</v>
      </c>
    </row>
    <row r="1430" customFormat="false" ht="15" hidden="false" customHeight="false" outlineLevel="0" collapsed="false">
      <c r="A1430" s="39" t="s">
        <v>1216</v>
      </c>
      <c r="B1430" s="39" t="s">
        <v>3203</v>
      </c>
      <c r="C1430" s="41" t="n">
        <v>1.23</v>
      </c>
    </row>
    <row r="1431" customFormat="false" ht="15" hidden="false" customHeight="false" outlineLevel="0" collapsed="false">
      <c r="A1431" s="39" t="s">
        <v>151</v>
      </c>
      <c r="B1431" s="39" t="s">
        <v>3206</v>
      </c>
      <c r="C1431" s="41" t="n">
        <v>0.28</v>
      </c>
    </row>
    <row r="1432" customFormat="false" ht="15" hidden="false" customHeight="false" outlineLevel="0" collapsed="false">
      <c r="A1432" s="39" t="s">
        <v>544</v>
      </c>
      <c r="B1432" s="39" t="s">
        <v>3203</v>
      </c>
      <c r="C1432" s="41" t="n">
        <v>0.38</v>
      </c>
    </row>
    <row r="1433" customFormat="false" ht="15" hidden="false" customHeight="false" outlineLevel="0" collapsed="false">
      <c r="A1433" s="39" t="s">
        <v>2577</v>
      </c>
      <c r="B1433" s="39" t="s">
        <v>3204</v>
      </c>
      <c r="C1433" s="41" t="n">
        <v>3.35</v>
      </c>
    </row>
    <row r="1434" customFormat="false" ht="15" hidden="false" customHeight="false" outlineLevel="0" collapsed="false">
      <c r="A1434" s="39" t="s">
        <v>1731</v>
      </c>
      <c r="B1434" s="39" t="s">
        <v>3206</v>
      </c>
      <c r="C1434" s="41" t="n">
        <v>4.32</v>
      </c>
    </row>
    <row r="1435" customFormat="false" ht="15" hidden="false" customHeight="false" outlineLevel="0" collapsed="false">
      <c r="A1435" s="39" t="s">
        <v>666</v>
      </c>
      <c r="B1435" s="39" t="s">
        <v>3205</v>
      </c>
      <c r="C1435" s="41" t="n">
        <v>4.12</v>
      </c>
    </row>
    <row r="1436" customFormat="false" ht="15" hidden="false" customHeight="false" outlineLevel="0" collapsed="false">
      <c r="A1436" s="39" t="s">
        <v>836</v>
      </c>
      <c r="B1436" s="39" t="s">
        <v>3203</v>
      </c>
      <c r="C1436" s="41" t="n">
        <v>0.44</v>
      </c>
    </row>
    <row r="1437" customFormat="false" ht="15" hidden="false" customHeight="false" outlineLevel="0" collapsed="false">
      <c r="A1437" s="39" t="s">
        <v>2630</v>
      </c>
      <c r="B1437" s="39" t="s">
        <v>3203</v>
      </c>
      <c r="C1437" s="41" t="n">
        <v>3.75</v>
      </c>
    </row>
    <row r="1438" customFormat="false" ht="15" hidden="false" customHeight="false" outlineLevel="0" collapsed="false">
      <c r="A1438" s="39" t="s">
        <v>2686</v>
      </c>
      <c r="B1438" s="39" t="s">
        <v>3206</v>
      </c>
      <c r="C1438" s="41" t="n">
        <v>5.65</v>
      </c>
    </row>
    <row r="1439" customFormat="false" ht="15" hidden="false" customHeight="false" outlineLevel="0" collapsed="false">
      <c r="A1439" s="39" t="s">
        <v>3179</v>
      </c>
      <c r="B1439" s="39" t="s">
        <v>3206</v>
      </c>
      <c r="C1439" s="41" t="n">
        <v>0.45</v>
      </c>
    </row>
    <row r="1440" customFormat="false" ht="15" hidden="false" customHeight="false" outlineLevel="0" collapsed="false">
      <c r="A1440" s="39" t="s">
        <v>1517</v>
      </c>
      <c r="B1440" s="39" t="s">
        <v>3204</v>
      </c>
      <c r="C1440" s="41" t="n">
        <v>1.42</v>
      </c>
    </row>
    <row r="1441" customFormat="false" ht="15" hidden="false" customHeight="false" outlineLevel="0" collapsed="false">
      <c r="A1441" s="39" t="s">
        <v>2193</v>
      </c>
      <c r="B1441" s="39" t="s">
        <v>3203</v>
      </c>
      <c r="C1441" s="41" t="n">
        <v>25.64</v>
      </c>
    </row>
    <row r="1442" customFormat="false" ht="15" hidden="false" customHeight="false" outlineLevel="0" collapsed="false">
      <c r="A1442" s="39" t="s">
        <v>2295</v>
      </c>
      <c r="B1442" s="39" t="s">
        <v>3205</v>
      </c>
      <c r="C1442" s="41" t="n">
        <v>87.66</v>
      </c>
    </row>
    <row r="1443" customFormat="false" ht="15" hidden="false" customHeight="false" outlineLevel="0" collapsed="false">
      <c r="A1443" s="39" t="s">
        <v>1124</v>
      </c>
      <c r="B1443" s="39" t="s">
        <v>3204</v>
      </c>
      <c r="C1443" s="41" t="n">
        <v>4.9</v>
      </c>
    </row>
    <row r="1444" customFormat="false" ht="15" hidden="false" customHeight="false" outlineLevel="0" collapsed="false">
      <c r="A1444" s="39" t="s">
        <v>395</v>
      </c>
      <c r="B1444" s="39" t="s">
        <v>3203</v>
      </c>
      <c r="C1444" s="41" t="n">
        <v>4.66</v>
      </c>
    </row>
    <row r="1445" customFormat="false" ht="15" hidden="false" customHeight="false" outlineLevel="0" collapsed="false">
      <c r="A1445" s="39" t="s">
        <v>1309</v>
      </c>
      <c r="B1445" s="39" t="s">
        <v>3206</v>
      </c>
      <c r="C1445" s="41" t="n">
        <v>13.69</v>
      </c>
    </row>
    <row r="1446" customFormat="false" ht="15" hidden="false" customHeight="false" outlineLevel="0" collapsed="false">
      <c r="A1446" s="39" t="s">
        <v>3046</v>
      </c>
      <c r="B1446" s="39" t="s">
        <v>3206</v>
      </c>
      <c r="C1446" s="41" t="n">
        <v>4.41</v>
      </c>
    </row>
    <row r="1447" customFormat="false" ht="15" hidden="false" customHeight="false" outlineLevel="0" collapsed="false">
      <c r="A1447" s="39" t="s">
        <v>1140</v>
      </c>
      <c r="B1447" s="39" t="s">
        <v>3206</v>
      </c>
      <c r="C1447" s="41" t="n">
        <v>1.56</v>
      </c>
    </row>
    <row r="1448" customFormat="false" ht="15" hidden="false" customHeight="false" outlineLevel="0" collapsed="false">
      <c r="A1448" s="39" t="s">
        <v>2190</v>
      </c>
      <c r="B1448" s="39" t="s">
        <v>3205</v>
      </c>
      <c r="C1448" s="41" t="n">
        <v>0.66</v>
      </c>
    </row>
    <row r="1449" customFormat="false" ht="15" hidden="false" customHeight="false" outlineLevel="0" collapsed="false">
      <c r="A1449" s="39" t="s">
        <v>611</v>
      </c>
      <c r="B1449" s="39" t="s">
        <v>3204</v>
      </c>
      <c r="C1449" s="41" t="n">
        <v>58.84</v>
      </c>
    </row>
    <row r="1450" customFormat="false" ht="15" hidden="false" customHeight="false" outlineLevel="0" collapsed="false">
      <c r="A1450" s="39" t="s">
        <v>1084</v>
      </c>
      <c r="B1450" s="39" t="s">
        <v>3205</v>
      </c>
      <c r="C1450" s="41" t="n">
        <v>2.28</v>
      </c>
    </row>
    <row r="1451" customFormat="false" ht="15" hidden="false" customHeight="false" outlineLevel="0" collapsed="false">
      <c r="A1451" s="39" t="s">
        <v>1840</v>
      </c>
      <c r="B1451" s="39" t="s">
        <v>3205</v>
      </c>
      <c r="C1451" s="41" t="n">
        <v>5.24</v>
      </c>
    </row>
    <row r="1452" customFormat="false" ht="15" hidden="false" customHeight="false" outlineLevel="0" collapsed="false">
      <c r="A1452" s="39" t="s">
        <v>2447</v>
      </c>
      <c r="B1452" s="39" t="s">
        <v>3205</v>
      </c>
      <c r="C1452" s="41" t="n">
        <v>1.29</v>
      </c>
    </row>
    <row r="1453" customFormat="false" ht="15" hidden="false" customHeight="false" outlineLevel="0" collapsed="false">
      <c r="A1453" s="39" t="s">
        <v>1445</v>
      </c>
      <c r="B1453" s="39" t="s">
        <v>3206</v>
      </c>
      <c r="C1453" s="41" t="n">
        <v>21.44</v>
      </c>
    </row>
    <row r="1454" customFormat="false" ht="15" hidden="false" customHeight="false" outlineLevel="0" collapsed="false">
      <c r="A1454" s="39" t="s">
        <v>2579</v>
      </c>
      <c r="B1454" s="39" t="s">
        <v>3204</v>
      </c>
      <c r="C1454" s="41" t="n">
        <v>5.49</v>
      </c>
    </row>
    <row r="1455" customFormat="false" ht="15" hidden="false" customHeight="false" outlineLevel="0" collapsed="false">
      <c r="A1455" s="39" t="s">
        <v>2821</v>
      </c>
      <c r="B1455" s="39" t="s">
        <v>3204</v>
      </c>
      <c r="C1455" s="41" t="n">
        <v>2.55</v>
      </c>
    </row>
    <row r="1456" customFormat="false" ht="15" hidden="false" customHeight="false" outlineLevel="0" collapsed="false">
      <c r="A1456" s="39" t="s">
        <v>1503</v>
      </c>
      <c r="B1456" s="39" t="s">
        <v>3206</v>
      </c>
      <c r="C1456" s="41" t="n">
        <v>24.36</v>
      </c>
    </row>
    <row r="1457" customFormat="false" ht="15" hidden="false" customHeight="false" outlineLevel="0" collapsed="false">
      <c r="A1457" s="39" t="s">
        <v>2214</v>
      </c>
      <c r="B1457" s="39" t="s">
        <v>3204</v>
      </c>
      <c r="C1457" s="41" t="n">
        <v>23.48</v>
      </c>
    </row>
    <row r="1458" customFormat="false" ht="15" hidden="false" customHeight="false" outlineLevel="0" collapsed="false">
      <c r="A1458" s="39" t="s">
        <v>2315</v>
      </c>
      <c r="B1458" s="39" t="s">
        <v>3205</v>
      </c>
      <c r="C1458" s="41" t="n">
        <v>2.03</v>
      </c>
    </row>
    <row r="1459" customFormat="false" ht="15" hidden="false" customHeight="false" outlineLevel="0" collapsed="false">
      <c r="A1459" s="39" t="s">
        <v>984</v>
      </c>
      <c r="B1459" s="39" t="s">
        <v>3204</v>
      </c>
      <c r="C1459" s="41" t="n">
        <v>11.33</v>
      </c>
    </row>
    <row r="1460" customFormat="false" ht="15" hidden="false" customHeight="false" outlineLevel="0" collapsed="false">
      <c r="A1460" s="39" t="s">
        <v>3172</v>
      </c>
      <c r="B1460" s="39" t="s">
        <v>3206</v>
      </c>
      <c r="C1460" s="41" t="n">
        <v>0.99</v>
      </c>
    </row>
    <row r="1461" customFormat="false" ht="15" hidden="false" customHeight="false" outlineLevel="0" collapsed="false">
      <c r="A1461" s="39" t="s">
        <v>1531</v>
      </c>
      <c r="B1461" s="39" t="s">
        <v>3206</v>
      </c>
      <c r="C1461" s="41" t="n">
        <v>0.42</v>
      </c>
    </row>
    <row r="1462" customFormat="false" ht="15" hidden="false" customHeight="false" outlineLevel="0" collapsed="false">
      <c r="A1462" s="39" t="s">
        <v>884</v>
      </c>
      <c r="B1462" s="39" t="s">
        <v>3204</v>
      </c>
      <c r="C1462" s="41" t="n">
        <v>1.16</v>
      </c>
    </row>
    <row r="1463" customFormat="false" ht="15" hidden="false" customHeight="false" outlineLevel="0" collapsed="false">
      <c r="A1463" s="39" t="s">
        <v>3056</v>
      </c>
      <c r="B1463" s="39" t="s">
        <v>3203</v>
      </c>
      <c r="C1463" s="41" t="n">
        <v>0.3</v>
      </c>
    </row>
    <row r="1464" customFormat="false" ht="15" hidden="false" customHeight="false" outlineLevel="0" collapsed="false">
      <c r="A1464" s="39" t="s">
        <v>1763</v>
      </c>
      <c r="B1464" s="39" t="s">
        <v>3203</v>
      </c>
      <c r="C1464" s="41" t="n">
        <v>2.84</v>
      </c>
    </row>
    <row r="1465" customFormat="false" ht="15" hidden="false" customHeight="false" outlineLevel="0" collapsed="false">
      <c r="A1465" s="39" t="s">
        <v>810</v>
      </c>
      <c r="B1465" s="39" t="s">
        <v>3203</v>
      </c>
      <c r="C1465" s="41" t="n">
        <v>67.19</v>
      </c>
    </row>
    <row r="1466" customFormat="false" ht="15" hidden="false" customHeight="false" outlineLevel="0" collapsed="false">
      <c r="A1466" s="39" t="s">
        <v>375</v>
      </c>
      <c r="B1466" s="39" t="s">
        <v>3205</v>
      </c>
      <c r="C1466" s="41" t="n">
        <v>0.73</v>
      </c>
    </row>
    <row r="1467" customFormat="false" ht="15" hidden="false" customHeight="false" outlineLevel="0" collapsed="false">
      <c r="A1467" s="39" t="s">
        <v>2227</v>
      </c>
      <c r="B1467" s="39" t="s">
        <v>3205</v>
      </c>
      <c r="C1467" s="41" t="n">
        <v>5.09</v>
      </c>
    </row>
    <row r="1468" customFormat="false" ht="15" hidden="false" customHeight="false" outlineLevel="0" collapsed="false">
      <c r="A1468" s="39" t="s">
        <v>614</v>
      </c>
      <c r="B1468" s="39" t="s">
        <v>3203</v>
      </c>
      <c r="C1468" s="41" t="n">
        <v>14.86</v>
      </c>
    </row>
    <row r="1469" customFormat="false" ht="15" hidden="false" customHeight="false" outlineLevel="0" collapsed="false">
      <c r="A1469" s="39" t="s">
        <v>2615</v>
      </c>
      <c r="B1469" s="39" t="s">
        <v>3205</v>
      </c>
      <c r="C1469" s="41" t="n">
        <v>5.26</v>
      </c>
    </row>
    <row r="1470" customFormat="false" ht="15" hidden="false" customHeight="false" outlineLevel="0" collapsed="false">
      <c r="A1470" s="39" t="s">
        <v>1231</v>
      </c>
      <c r="B1470" s="39" t="s">
        <v>3203</v>
      </c>
      <c r="C1470" s="41" t="n">
        <v>28.26</v>
      </c>
    </row>
    <row r="1471" customFormat="false" ht="15" hidden="false" customHeight="false" outlineLevel="0" collapsed="false">
      <c r="A1471" s="39" t="s">
        <v>1296</v>
      </c>
      <c r="B1471" s="39" t="s">
        <v>3206</v>
      </c>
      <c r="C1471" s="41" t="n">
        <v>4.47</v>
      </c>
    </row>
    <row r="1472" customFormat="false" ht="15" hidden="false" customHeight="false" outlineLevel="0" collapsed="false">
      <c r="A1472" s="39" t="s">
        <v>3073</v>
      </c>
      <c r="B1472" s="39" t="s">
        <v>3206</v>
      </c>
      <c r="C1472" s="41" t="n">
        <v>2.11</v>
      </c>
    </row>
    <row r="1473" customFormat="false" ht="15" hidden="false" customHeight="false" outlineLevel="0" collapsed="false">
      <c r="A1473" s="39" t="s">
        <v>992</v>
      </c>
      <c r="B1473" s="39" t="s">
        <v>3205</v>
      </c>
      <c r="C1473" s="41" t="n">
        <v>16.99</v>
      </c>
    </row>
    <row r="1474" customFormat="false" ht="15" hidden="false" customHeight="false" outlineLevel="0" collapsed="false">
      <c r="A1474" s="39" t="s">
        <v>1540</v>
      </c>
      <c r="B1474" s="39" t="s">
        <v>3203</v>
      </c>
      <c r="C1474" s="41" t="n">
        <v>7.52</v>
      </c>
    </row>
    <row r="1475" customFormat="false" ht="15" hidden="false" customHeight="false" outlineLevel="0" collapsed="false">
      <c r="A1475" s="39" t="s">
        <v>386</v>
      </c>
      <c r="B1475" s="39" t="s">
        <v>3205</v>
      </c>
      <c r="C1475" s="41" t="n">
        <v>0.79</v>
      </c>
    </row>
    <row r="1476" customFormat="false" ht="15" hidden="false" customHeight="false" outlineLevel="0" collapsed="false">
      <c r="A1476" s="39" t="s">
        <v>460</v>
      </c>
      <c r="B1476" s="39" t="s">
        <v>3204</v>
      </c>
      <c r="C1476" s="41" t="n">
        <v>5.85</v>
      </c>
    </row>
    <row r="1477" customFormat="false" ht="15" hidden="false" customHeight="false" outlineLevel="0" collapsed="false">
      <c r="A1477" s="39" t="s">
        <v>1480</v>
      </c>
      <c r="B1477" s="39" t="s">
        <v>3206</v>
      </c>
      <c r="C1477" s="41" t="n">
        <v>13.88</v>
      </c>
    </row>
    <row r="1478" customFormat="false" ht="15" hidden="false" customHeight="false" outlineLevel="0" collapsed="false">
      <c r="A1478" s="39" t="s">
        <v>125</v>
      </c>
      <c r="B1478" s="39" t="s">
        <v>3204</v>
      </c>
      <c r="C1478" s="41" t="n">
        <v>1.9</v>
      </c>
    </row>
    <row r="1479" customFormat="false" ht="15" hidden="false" customHeight="false" outlineLevel="0" collapsed="false">
      <c r="A1479" s="39" t="s">
        <v>2950</v>
      </c>
      <c r="B1479" s="39" t="s">
        <v>3206</v>
      </c>
      <c r="C1479" s="41" t="n">
        <v>6.49</v>
      </c>
    </row>
    <row r="1480" customFormat="false" ht="15" hidden="false" customHeight="false" outlineLevel="0" collapsed="false">
      <c r="A1480" s="39" t="s">
        <v>939</v>
      </c>
      <c r="B1480" s="39" t="s">
        <v>3203</v>
      </c>
      <c r="C1480" s="41" t="n">
        <v>10.62</v>
      </c>
    </row>
    <row r="1481" customFormat="false" ht="15" hidden="false" customHeight="false" outlineLevel="0" collapsed="false">
      <c r="A1481" s="39" t="s">
        <v>628</v>
      </c>
      <c r="B1481" s="39" t="s">
        <v>3206</v>
      </c>
      <c r="C1481" s="41" t="n">
        <v>16.69</v>
      </c>
    </row>
    <row r="1482" customFormat="false" ht="15" hidden="false" customHeight="false" outlineLevel="0" collapsed="false">
      <c r="A1482" s="39" t="s">
        <v>1222</v>
      </c>
      <c r="B1482" s="39" t="s">
        <v>3203</v>
      </c>
      <c r="C1482" s="41" t="n">
        <v>12.44</v>
      </c>
    </row>
    <row r="1483" customFormat="false" ht="15" hidden="false" customHeight="false" outlineLevel="0" collapsed="false">
      <c r="A1483" s="39" t="s">
        <v>429</v>
      </c>
      <c r="B1483" s="39" t="s">
        <v>3206</v>
      </c>
      <c r="C1483" s="41" t="n">
        <v>2.93</v>
      </c>
    </row>
    <row r="1484" customFormat="false" ht="15" hidden="false" customHeight="false" outlineLevel="0" collapsed="false">
      <c r="A1484" s="39" t="s">
        <v>1502</v>
      </c>
      <c r="B1484" s="39" t="s">
        <v>3204</v>
      </c>
      <c r="C1484" s="41" t="n">
        <v>3.56</v>
      </c>
    </row>
    <row r="1485" customFormat="false" ht="15" hidden="false" customHeight="false" outlineLevel="0" collapsed="false">
      <c r="A1485" s="39" t="s">
        <v>1534</v>
      </c>
      <c r="B1485" s="39" t="s">
        <v>3206</v>
      </c>
      <c r="C1485" s="41" t="n">
        <v>2.93</v>
      </c>
    </row>
    <row r="1486" customFormat="false" ht="15" hidden="false" customHeight="false" outlineLevel="0" collapsed="false">
      <c r="A1486" s="39" t="s">
        <v>2491</v>
      </c>
      <c r="B1486" s="39" t="s">
        <v>3203</v>
      </c>
      <c r="C1486" s="41" t="n">
        <v>28.16</v>
      </c>
    </row>
    <row r="1487" customFormat="false" ht="15" hidden="false" customHeight="false" outlineLevel="0" collapsed="false">
      <c r="A1487" s="39" t="s">
        <v>1592</v>
      </c>
      <c r="B1487" s="39" t="s">
        <v>3204</v>
      </c>
      <c r="C1487" s="41" t="n">
        <v>0.55</v>
      </c>
    </row>
    <row r="1488" customFormat="false" ht="15" hidden="false" customHeight="false" outlineLevel="0" collapsed="false">
      <c r="A1488" s="39" t="s">
        <v>3051</v>
      </c>
      <c r="B1488" s="39" t="s">
        <v>3205</v>
      </c>
      <c r="C1488" s="41" t="n">
        <v>4.79</v>
      </c>
    </row>
    <row r="1489" customFormat="false" ht="15" hidden="false" customHeight="false" outlineLevel="0" collapsed="false">
      <c r="A1489" s="39" t="s">
        <v>2092</v>
      </c>
      <c r="B1489" s="39" t="s">
        <v>3205</v>
      </c>
      <c r="C1489" s="41" t="n">
        <v>14.4</v>
      </c>
    </row>
    <row r="1490" customFormat="false" ht="15" hidden="false" customHeight="false" outlineLevel="0" collapsed="false">
      <c r="A1490" s="39" t="s">
        <v>1018</v>
      </c>
      <c r="B1490" s="39" t="s">
        <v>3206</v>
      </c>
      <c r="C1490" s="41" t="n">
        <v>0.48</v>
      </c>
    </row>
    <row r="1491" customFormat="false" ht="15" hidden="false" customHeight="false" outlineLevel="0" collapsed="false">
      <c r="A1491" s="39" t="s">
        <v>2735</v>
      </c>
      <c r="B1491" s="39" t="s">
        <v>3206</v>
      </c>
      <c r="C1491" s="41" t="n">
        <v>0.93</v>
      </c>
    </row>
    <row r="1492" customFormat="false" ht="15" hidden="false" customHeight="false" outlineLevel="0" collapsed="false">
      <c r="A1492" s="39" t="s">
        <v>1507</v>
      </c>
      <c r="B1492" s="39" t="s">
        <v>3206</v>
      </c>
      <c r="C1492" s="41" t="n">
        <v>11.45</v>
      </c>
    </row>
    <row r="1493" customFormat="false" ht="15" hidden="false" customHeight="false" outlineLevel="0" collapsed="false">
      <c r="A1493" s="39" t="s">
        <v>2944</v>
      </c>
      <c r="B1493" s="39" t="s">
        <v>3204</v>
      </c>
      <c r="C1493" s="41" t="n">
        <v>15.68</v>
      </c>
    </row>
    <row r="1494" customFormat="false" ht="15" hidden="false" customHeight="false" outlineLevel="0" collapsed="false">
      <c r="A1494" s="39" t="s">
        <v>3014</v>
      </c>
      <c r="B1494" s="39" t="s">
        <v>3206</v>
      </c>
      <c r="C1494" s="41" t="n">
        <v>1.21</v>
      </c>
    </row>
    <row r="1495" customFormat="false" ht="15" hidden="false" customHeight="false" outlineLevel="0" collapsed="false">
      <c r="A1495" s="39" t="s">
        <v>2071</v>
      </c>
      <c r="B1495" s="39" t="s">
        <v>3206</v>
      </c>
      <c r="C1495" s="41" t="n">
        <v>6.04</v>
      </c>
    </row>
    <row r="1496" customFormat="false" ht="15" hidden="false" customHeight="false" outlineLevel="0" collapsed="false">
      <c r="A1496" s="39" t="s">
        <v>2402</v>
      </c>
      <c r="B1496" s="39" t="s">
        <v>3204</v>
      </c>
      <c r="C1496" s="41" t="n">
        <v>4.74</v>
      </c>
    </row>
    <row r="1497" customFormat="false" ht="15" hidden="false" customHeight="false" outlineLevel="0" collapsed="false">
      <c r="A1497" s="39" t="s">
        <v>933</v>
      </c>
      <c r="B1497" s="39" t="s">
        <v>3204</v>
      </c>
      <c r="C1497" s="41" t="n">
        <v>6.35</v>
      </c>
    </row>
    <row r="1498" customFormat="false" ht="15" hidden="false" customHeight="false" outlineLevel="0" collapsed="false">
      <c r="A1498" s="39" t="s">
        <v>2684</v>
      </c>
      <c r="B1498" s="39" t="s">
        <v>3203</v>
      </c>
      <c r="C1498" s="41" t="n">
        <v>4.95</v>
      </c>
    </row>
    <row r="1499" customFormat="false" ht="15" hidden="false" customHeight="false" outlineLevel="0" collapsed="false">
      <c r="A1499" s="39" t="s">
        <v>2127</v>
      </c>
      <c r="B1499" s="39" t="s">
        <v>3205</v>
      </c>
      <c r="C1499" s="41" t="n">
        <v>1.73</v>
      </c>
    </row>
    <row r="1500" customFormat="false" ht="15" hidden="false" customHeight="false" outlineLevel="0" collapsed="false">
      <c r="A1500" s="39" t="s">
        <v>2181</v>
      </c>
      <c r="B1500" s="39" t="s">
        <v>3203</v>
      </c>
      <c r="C1500" s="41" t="n">
        <v>30.75</v>
      </c>
    </row>
    <row r="1501" customFormat="false" ht="15" hidden="false" customHeight="false" outlineLevel="0" collapsed="false">
      <c r="A1501" s="39" t="s">
        <v>716</v>
      </c>
      <c r="B1501" s="39" t="s">
        <v>3206</v>
      </c>
      <c r="C1501" s="41" t="n">
        <v>7.02</v>
      </c>
    </row>
    <row r="1502" customFormat="false" ht="15" hidden="false" customHeight="false" outlineLevel="0" collapsed="false">
      <c r="A1502" s="39" t="s">
        <v>1725</v>
      </c>
      <c r="B1502" s="39" t="s">
        <v>3203</v>
      </c>
      <c r="C1502" s="41" t="n">
        <v>0.3</v>
      </c>
    </row>
    <row r="1503" customFormat="false" ht="15" hidden="false" customHeight="false" outlineLevel="0" collapsed="false">
      <c r="A1503" s="39" t="s">
        <v>2700</v>
      </c>
      <c r="B1503" s="39" t="s">
        <v>3206</v>
      </c>
      <c r="C1503" s="41" t="n">
        <v>0.86</v>
      </c>
    </row>
    <row r="1504" customFormat="false" ht="15" hidden="false" customHeight="false" outlineLevel="0" collapsed="false">
      <c r="A1504" s="39" t="s">
        <v>1168</v>
      </c>
      <c r="B1504" s="39" t="s">
        <v>3206</v>
      </c>
      <c r="C1504" s="41" t="n">
        <v>1.12</v>
      </c>
    </row>
    <row r="1505" customFormat="false" ht="15" hidden="false" customHeight="false" outlineLevel="0" collapsed="false">
      <c r="A1505" s="39" t="s">
        <v>637</v>
      </c>
      <c r="B1505" s="39" t="s">
        <v>3206</v>
      </c>
      <c r="C1505" s="41" t="n">
        <v>7.36</v>
      </c>
    </row>
    <row r="1506" customFormat="false" ht="15" hidden="false" customHeight="false" outlineLevel="0" collapsed="false">
      <c r="A1506" s="39" t="s">
        <v>328</v>
      </c>
      <c r="B1506" s="39" t="s">
        <v>3206</v>
      </c>
      <c r="C1506" s="41" t="n">
        <v>91.67</v>
      </c>
    </row>
    <row r="1507" customFormat="false" ht="15" hidden="false" customHeight="false" outlineLevel="0" collapsed="false">
      <c r="A1507" s="39" t="s">
        <v>533</v>
      </c>
      <c r="B1507" s="39" t="s">
        <v>3204</v>
      </c>
      <c r="C1507" s="41" t="n">
        <v>7.26</v>
      </c>
    </row>
    <row r="1508" customFormat="false" ht="15" hidden="false" customHeight="false" outlineLevel="0" collapsed="false">
      <c r="A1508" s="39" t="s">
        <v>2883</v>
      </c>
      <c r="B1508" s="39" t="s">
        <v>3204</v>
      </c>
      <c r="C1508" s="41" t="n">
        <v>1.56</v>
      </c>
    </row>
    <row r="1509" customFormat="false" ht="15" hidden="false" customHeight="false" outlineLevel="0" collapsed="false">
      <c r="A1509" s="39" t="s">
        <v>503</v>
      </c>
      <c r="B1509" s="39" t="s">
        <v>3205</v>
      </c>
      <c r="C1509" s="41" t="n">
        <v>3.5</v>
      </c>
    </row>
    <row r="1510" customFormat="false" ht="15" hidden="false" customHeight="false" outlineLevel="0" collapsed="false">
      <c r="A1510" s="39" t="s">
        <v>291</v>
      </c>
      <c r="B1510" s="39" t="s">
        <v>3205</v>
      </c>
      <c r="C1510" s="41" t="n">
        <v>22.08</v>
      </c>
    </row>
    <row r="1511" customFormat="false" ht="15" hidden="false" customHeight="false" outlineLevel="0" collapsed="false">
      <c r="A1511" s="39" t="s">
        <v>831</v>
      </c>
      <c r="B1511" s="39" t="s">
        <v>3206</v>
      </c>
      <c r="C1511" s="41" t="n">
        <v>0.9</v>
      </c>
    </row>
    <row r="1512" customFormat="false" ht="15" hidden="false" customHeight="false" outlineLevel="0" collapsed="false">
      <c r="A1512" s="39" t="s">
        <v>2893</v>
      </c>
      <c r="B1512" s="39" t="s">
        <v>3204</v>
      </c>
      <c r="C1512" s="41" t="n">
        <v>1.95</v>
      </c>
    </row>
    <row r="1513" customFormat="false" ht="15" hidden="false" customHeight="false" outlineLevel="0" collapsed="false">
      <c r="A1513" s="39" t="s">
        <v>3105</v>
      </c>
      <c r="B1513" s="39" t="s">
        <v>3203</v>
      </c>
      <c r="C1513" s="41" t="n">
        <v>3.81</v>
      </c>
    </row>
    <row r="1514" customFormat="false" ht="15" hidden="false" customHeight="false" outlineLevel="0" collapsed="false">
      <c r="A1514" s="39" t="s">
        <v>2113</v>
      </c>
      <c r="B1514" s="39" t="s">
        <v>3203</v>
      </c>
      <c r="C1514" s="41" t="n">
        <v>1.52</v>
      </c>
    </row>
    <row r="1515" customFormat="false" ht="15" hidden="false" customHeight="false" outlineLevel="0" collapsed="false">
      <c r="A1515" s="39" t="s">
        <v>1893</v>
      </c>
      <c r="B1515" s="39" t="s">
        <v>3205</v>
      </c>
      <c r="C1515" s="41" t="n">
        <v>2.09</v>
      </c>
    </row>
    <row r="1516" customFormat="false" ht="15" hidden="false" customHeight="false" outlineLevel="0" collapsed="false">
      <c r="A1516" s="39" t="s">
        <v>3021</v>
      </c>
      <c r="B1516" s="39" t="s">
        <v>3205</v>
      </c>
      <c r="C1516" s="41" t="n">
        <v>3.51</v>
      </c>
    </row>
    <row r="1517" customFormat="false" ht="15" hidden="false" customHeight="false" outlineLevel="0" collapsed="false">
      <c r="A1517" s="39" t="s">
        <v>1233</v>
      </c>
      <c r="B1517" s="39" t="s">
        <v>3204</v>
      </c>
      <c r="C1517" s="41" t="n">
        <v>3.11</v>
      </c>
    </row>
    <row r="1518" customFormat="false" ht="15" hidden="false" customHeight="false" outlineLevel="0" collapsed="false">
      <c r="A1518" s="39" t="s">
        <v>116</v>
      </c>
      <c r="B1518" s="39" t="s">
        <v>3204</v>
      </c>
      <c r="C1518" s="41" t="n">
        <v>9.63</v>
      </c>
    </row>
    <row r="1519" customFormat="false" ht="15" hidden="false" customHeight="false" outlineLevel="0" collapsed="false">
      <c r="A1519" s="39" t="s">
        <v>2186</v>
      </c>
      <c r="B1519" s="39" t="s">
        <v>3206</v>
      </c>
      <c r="C1519" s="41" t="n">
        <v>11.02</v>
      </c>
    </row>
    <row r="1520" customFormat="false" ht="15" hidden="false" customHeight="false" outlineLevel="0" collapsed="false">
      <c r="A1520" s="39" t="s">
        <v>1726</v>
      </c>
      <c r="B1520" s="39" t="s">
        <v>3203</v>
      </c>
      <c r="C1520" s="41" t="n">
        <v>5.69</v>
      </c>
    </row>
    <row r="1521" customFormat="false" ht="15" hidden="false" customHeight="false" outlineLevel="0" collapsed="false">
      <c r="A1521" s="39" t="s">
        <v>1213</v>
      </c>
      <c r="B1521" s="39" t="s">
        <v>3206</v>
      </c>
      <c r="C1521" s="41" t="n">
        <v>2.65</v>
      </c>
    </row>
    <row r="1522" customFormat="false" ht="15" hidden="false" customHeight="false" outlineLevel="0" collapsed="false">
      <c r="A1522" s="39" t="s">
        <v>1021</v>
      </c>
      <c r="B1522" s="39" t="s">
        <v>3206</v>
      </c>
      <c r="C1522" s="41" t="n">
        <v>14.47</v>
      </c>
    </row>
    <row r="1523" customFormat="false" ht="15" hidden="false" customHeight="false" outlineLevel="0" collapsed="false">
      <c r="A1523" s="39" t="s">
        <v>2413</v>
      </c>
      <c r="B1523" s="39" t="s">
        <v>3203</v>
      </c>
      <c r="C1523" s="41" t="n">
        <v>4.68</v>
      </c>
    </row>
    <row r="1524" customFormat="false" ht="15" hidden="false" customHeight="false" outlineLevel="0" collapsed="false">
      <c r="A1524" s="39" t="s">
        <v>651</v>
      </c>
      <c r="B1524" s="39" t="s">
        <v>3206</v>
      </c>
      <c r="C1524" s="41" t="n">
        <v>2.01</v>
      </c>
    </row>
    <row r="1525" customFormat="false" ht="15" hidden="false" customHeight="false" outlineLevel="0" collapsed="false">
      <c r="A1525" s="39" t="s">
        <v>794</v>
      </c>
      <c r="B1525" s="39" t="s">
        <v>3206</v>
      </c>
      <c r="C1525" s="41" t="n">
        <v>0.39</v>
      </c>
    </row>
    <row r="1526" customFormat="false" ht="15" hidden="false" customHeight="false" outlineLevel="0" collapsed="false">
      <c r="A1526" s="39" t="s">
        <v>2640</v>
      </c>
      <c r="B1526" s="39" t="s">
        <v>3206</v>
      </c>
      <c r="C1526" s="41" t="n">
        <v>4.59</v>
      </c>
    </row>
    <row r="1527" customFormat="false" ht="15" hidden="false" customHeight="false" outlineLevel="0" collapsed="false">
      <c r="A1527" s="39" t="s">
        <v>640</v>
      </c>
      <c r="B1527" s="39" t="s">
        <v>3205</v>
      </c>
      <c r="C1527" s="41" t="n">
        <v>7.78</v>
      </c>
    </row>
    <row r="1528" customFormat="false" ht="15" hidden="false" customHeight="false" outlineLevel="0" collapsed="false">
      <c r="A1528" s="39" t="s">
        <v>1122</v>
      </c>
      <c r="B1528" s="39" t="s">
        <v>3203</v>
      </c>
      <c r="C1528" s="41" t="n">
        <v>1.3</v>
      </c>
    </row>
    <row r="1529" customFormat="false" ht="15" hidden="false" customHeight="false" outlineLevel="0" collapsed="false">
      <c r="A1529" s="39" t="s">
        <v>2105</v>
      </c>
      <c r="B1529" s="39" t="s">
        <v>3205</v>
      </c>
      <c r="C1529" s="41" t="n">
        <v>4.35</v>
      </c>
    </row>
    <row r="1530" customFormat="false" ht="15" hidden="false" customHeight="false" outlineLevel="0" collapsed="false">
      <c r="A1530" s="39" t="s">
        <v>3096</v>
      </c>
      <c r="B1530" s="39" t="s">
        <v>3206</v>
      </c>
      <c r="C1530" s="41" t="n">
        <v>4.21</v>
      </c>
    </row>
    <row r="1531" customFormat="false" ht="15" hidden="false" customHeight="false" outlineLevel="0" collapsed="false">
      <c r="A1531" s="39" t="s">
        <v>3022</v>
      </c>
      <c r="B1531" s="39" t="s">
        <v>3206</v>
      </c>
      <c r="C1531" s="41" t="n">
        <v>1.64</v>
      </c>
    </row>
    <row r="1532" customFormat="false" ht="15" hidden="false" customHeight="false" outlineLevel="0" collapsed="false">
      <c r="A1532" s="39" t="s">
        <v>490</v>
      </c>
      <c r="B1532" s="39" t="s">
        <v>3206</v>
      </c>
      <c r="C1532" s="41" t="n">
        <v>5.81</v>
      </c>
    </row>
    <row r="1533" customFormat="false" ht="15" hidden="false" customHeight="false" outlineLevel="0" collapsed="false">
      <c r="A1533" s="39" t="s">
        <v>582</v>
      </c>
      <c r="B1533" s="39" t="s">
        <v>3203</v>
      </c>
      <c r="C1533" s="41" t="n">
        <v>27.6</v>
      </c>
    </row>
    <row r="1534" customFormat="false" ht="15" hidden="false" customHeight="false" outlineLevel="0" collapsed="false">
      <c r="A1534" s="39" t="s">
        <v>1676</v>
      </c>
      <c r="B1534" s="39" t="s">
        <v>3204</v>
      </c>
      <c r="C1534" s="41" t="n">
        <v>2.4</v>
      </c>
    </row>
    <row r="1535" customFormat="false" ht="15" hidden="false" customHeight="false" outlineLevel="0" collapsed="false">
      <c r="A1535" s="39" t="s">
        <v>815</v>
      </c>
      <c r="B1535" s="39" t="s">
        <v>3204</v>
      </c>
      <c r="C1535" s="41" t="n">
        <v>9.54</v>
      </c>
    </row>
    <row r="1536" customFormat="false" ht="15" hidden="false" customHeight="false" outlineLevel="0" collapsed="false">
      <c r="A1536" s="39" t="s">
        <v>1324</v>
      </c>
      <c r="B1536" s="39" t="s">
        <v>3203</v>
      </c>
      <c r="C1536" s="41" t="n">
        <v>3.24</v>
      </c>
    </row>
    <row r="1537" customFormat="false" ht="15" hidden="false" customHeight="false" outlineLevel="0" collapsed="false">
      <c r="A1537" s="39" t="s">
        <v>1756</v>
      </c>
      <c r="B1537" s="39" t="s">
        <v>3206</v>
      </c>
      <c r="C1537" s="41" t="n">
        <v>17.42</v>
      </c>
    </row>
    <row r="1538" customFormat="false" ht="15" hidden="false" customHeight="false" outlineLevel="0" collapsed="false">
      <c r="A1538" s="39" t="s">
        <v>1106</v>
      </c>
      <c r="B1538" s="39" t="s">
        <v>3203</v>
      </c>
      <c r="C1538" s="41" t="n">
        <v>0.75</v>
      </c>
    </row>
    <row r="1539" customFormat="false" ht="15" hidden="false" customHeight="false" outlineLevel="0" collapsed="false">
      <c r="A1539" s="39" t="s">
        <v>2547</v>
      </c>
      <c r="B1539" s="39" t="s">
        <v>3205</v>
      </c>
      <c r="C1539" s="41" t="n">
        <v>4.02</v>
      </c>
    </row>
    <row r="1540" customFormat="false" ht="15" hidden="false" customHeight="false" outlineLevel="0" collapsed="false">
      <c r="A1540" s="39" t="s">
        <v>1275</v>
      </c>
      <c r="B1540" s="39" t="s">
        <v>3204</v>
      </c>
      <c r="C1540" s="41" t="n">
        <v>5.17</v>
      </c>
    </row>
    <row r="1541" customFormat="false" ht="15" hidden="false" customHeight="false" outlineLevel="0" collapsed="false">
      <c r="A1541" s="39" t="s">
        <v>1559</v>
      </c>
      <c r="B1541" s="39" t="s">
        <v>3204</v>
      </c>
      <c r="C1541" s="41" t="n">
        <v>20.27</v>
      </c>
    </row>
    <row r="1542" customFormat="false" ht="15" hidden="false" customHeight="false" outlineLevel="0" collapsed="false">
      <c r="A1542" s="39" t="s">
        <v>171</v>
      </c>
      <c r="B1542" s="39" t="s">
        <v>3204</v>
      </c>
      <c r="C1542" s="41" t="n">
        <v>10.39</v>
      </c>
    </row>
    <row r="1543" customFormat="false" ht="15" hidden="false" customHeight="false" outlineLevel="0" collapsed="false">
      <c r="A1543" s="39" t="s">
        <v>480</v>
      </c>
      <c r="B1543" s="39" t="s">
        <v>3204</v>
      </c>
      <c r="C1543" s="41" t="n">
        <v>4.08</v>
      </c>
    </row>
    <row r="1544" customFormat="false" ht="15" hidden="false" customHeight="false" outlineLevel="0" collapsed="false">
      <c r="A1544" s="39" t="s">
        <v>1160</v>
      </c>
      <c r="B1544" s="39" t="s">
        <v>3203</v>
      </c>
      <c r="C1544" s="41" t="n">
        <v>2.6</v>
      </c>
    </row>
    <row r="1545" customFormat="false" ht="15" hidden="false" customHeight="false" outlineLevel="0" collapsed="false">
      <c r="A1545" s="39" t="s">
        <v>2654</v>
      </c>
      <c r="B1545" s="39" t="s">
        <v>3203</v>
      </c>
      <c r="C1545" s="41" t="n">
        <v>4.19</v>
      </c>
    </row>
    <row r="1546" customFormat="false" ht="15" hidden="false" customHeight="false" outlineLevel="0" collapsed="false">
      <c r="A1546" s="39" t="s">
        <v>1931</v>
      </c>
      <c r="B1546" s="39" t="s">
        <v>3203</v>
      </c>
      <c r="C1546" s="41" t="n">
        <v>10.28</v>
      </c>
    </row>
    <row r="1547" customFormat="false" ht="15" hidden="false" customHeight="false" outlineLevel="0" collapsed="false">
      <c r="A1547" s="39" t="s">
        <v>184</v>
      </c>
      <c r="B1547" s="39" t="s">
        <v>3205</v>
      </c>
      <c r="C1547" s="41" t="n">
        <v>2.38</v>
      </c>
    </row>
    <row r="1548" customFormat="false" ht="15" hidden="false" customHeight="false" outlineLevel="0" collapsed="false">
      <c r="A1548" s="39" t="s">
        <v>867</v>
      </c>
      <c r="B1548" s="39" t="s">
        <v>3204</v>
      </c>
      <c r="C1548" s="41" t="n">
        <v>1.12</v>
      </c>
    </row>
    <row r="1549" customFormat="false" ht="15" hidden="false" customHeight="false" outlineLevel="0" collapsed="false">
      <c r="A1549" s="39" t="s">
        <v>3078</v>
      </c>
      <c r="B1549" s="39" t="s">
        <v>3205</v>
      </c>
      <c r="C1549" s="41" t="n">
        <v>43.98</v>
      </c>
    </row>
    <row r="1550" customFormat="false" ht="15" hidden="false" customHeight="false" outlineLevel="0" collapsed="false">
      <c r="A1550" s="39" t="s">
        <v>2479</v>
      </c>
      <c r="B1550" s="39" t="s">
        <v>3206</v>
      </c>
      <c r="C1550" s="41" t="n">
        <v>2.83</v>
      </c>
    </row>
    <row r="1551" customFormat="false" ht="15" hidden="false" customHeight="false" outlineLevel="0" collapsed="false">
      <c r="A1551" s="39" t="s">
        <v>718</v>
      </c>
      <c r="B1551" s="39" t="s">
        <v>3203</v>
      </c>
      <c r="C1551" s="41" t="n">
        <v>7.99</v>
      </c>
    </row>
    <row r="1552" customFormat="false" ht="15" hidden="false" customHeight="false" outlineLevel="0" collapsed="false">
      <c r="A1552" s="39" t="s">
        <v>2013</v>
      </c>
      <c r="B1552" s="39" t="s">
        <v>3205</v>
      </c>
      <c r="C1552" s="41" t="n">
        <v>3.13</v>
      </c>
    </row>
    <row r="1553" customFormat="false" ht="15" hidden="false" customHeight="false" outlineLevel="0" collapsed="false">
      <c r="A1553" s="39" t="s">
        <v>2564</v>
      </c>
      <c r="B1553" s="39" t="s">
        <v>3204</v>
      </c>
      <c r="C1553" s="41" t="n">
        <v>2.88</v>
      </c>
    </row>
    <row r="1554" customFormat="false" ht="15" hidden="false" customHeight="false" outlineLevel="0" collapsed="false">
      <c r="A1554" s="39" t="s">
        <v>207</v>
      </c>
      <c r="B1554" s="39" t="s">
        <v>3204</v>
      </c>
      <c r="C1554" s="41" t="n">
        <v>12.59</v>
      </c>
    </row>
    <row r="1555" customFormat="false" ht="15" hidden="false" customHeight="false" outlineLevel="0" collapsed="false">
      <c r="A1555" s="39" t="s">
        <v>2541</v>
      </c>
      <c r="B1555" s="39" t="s">
        <v>3203</v>
      </c>
      <c r="C1555" s="41" t="n">
        <v>8.5</v>
      </c>
    </row>
    <row r="1556" customFormat="false" ht="15" hidden="false" customHeight="false" outlineLevel="0" collapsed="false">
      <c r="A1556" s="39" t="s">
        <v>1271</v>
      </c>
      <c r="B1556" s="39" t="s">
        <v>3206</v>
      </c>
      <c r="C1556" s="41" t="n">
        <v>0.42</v>
      </c>
    </row>
    <row r="1557" customFormat="false" ht="15" hidden="false" customHeight="false" outlineLevel="0" collapsed="false">
      <c r="A1557" s="39" t="s">
        <v>599</v>
      </c>
      <c r="B1557" s="39" t="s">
        <v>3206</v>
      </c>
      <c r="C1557" s="41" t="n">
        <v>1.44</v>
      </c>
    </row>
    <row r="1558" customFormat="false" ht="15" hidden="false" customHeight="false" outlineLevel="0" collapsed="false">
      <c r="A1558" s="39" t="s">
        <v>1425</v>
      </c>
      <c r="B1558" s="39" t="s">
        <v>3203</v>
      </c>
      <c r="C1558" s="41" t="n">
        <v>1.04</v>
      </c>
    </row>
    <row r="1559" customFormat="false" ht="15" hidden="false" customHeight="false" outlineLevel="0" collapsed="false">
      <c r="A1559" s="39" t="s">
        <v>869</v>
      </c>
      <c r="B1559" s="39" t="s">
        <v>3203</v>
      </c>
      <c r="C1559" s="41" t="n">
        <v>5.16</v>
      </c>
    </row>
    <row r="1560" customFormat="false" ht="15" hidden="false" customHeight="false" outlineLevel="0" collapsed="false">
      <c r="A1560" s="39" t="s">
        <v>1672</v>
      </c>
      <c r="B1560" s="39" t="s">
        <v>3204</v>
      </c>
      <c r="C1560" s="41" t="n">
        <v>2.06</v>
      </c>
    </row>
    <row r="1561" customFormat="false" ht="15" hidden="false" customHeight="false" outlineLevel="0" collapsed="false">
      <c r="A1561" s="39" t="s">
        <v>199</v>
      </c>
      <c r="B1561" s="39" t="s">
        <v>3203</v>
      </c>
      <c r="C1561" s="41" t="n">
        <v>70.87</v>
      </c>
    </row>
    <row r="1562" customFormat="false" ht="15" hidden="false" customHeight="false" outlineLevel="0" collapsed="false">
      <c r="A1562" s="39" t="s">
        <v>3083</v>
      </c>
      <c r="B1562" s="39" t="s">
        <v>3204</v>
      </c>
      <c r="C1562" s="41" t="n">
        <v>0.49</v>
      </c>
    </row>
    <row r="1563" customFormat="false" ht="15" hidden="false" customHeight="false" outlineLevel="0" collapsed="false">
      <c r="A1563" s="39" t="s">
        <v>1453</v>
      </c>
      <c r="B1563" s="39" t="s">
        <v>3203</v>
      </c>
      <c r="C1563" s="41" t="n">
        <v>14.67</v>
      </c>
    </row>
    <row r="1564" customFormat="false" ht="15" hidden="false" customHeight="false" outlineLevel="0" collapsed="false">
      <c r="A1564" s="39" t="s">
        <v>283</v>
      </c>
      <c r="B1564" s="39" t="s">
        <v>3206</v>
      </c>
      <c r="C1564" s="41" t="n">
        <v>36.64</v>
      </c>
    </row>
    <row r="1565" customFormat="false" ht="15" hidden="false" customHeight="false" outlineLevel="0" collapsed="false">
      <c r="A1565" s="39" t="s">
        <v>629</v>
      </c>
      <c r="B1565" s="39" t="s">
        <v>3206</v>
      </c>
      <c r="C1565" s="41" t="n">
        <v>5.35</v>
      </c>
    </row>
    <row r="1566" customFormat="false" ht="15" hidden="false" customHeight="false" outlineLevel="0" collapsed="false">
      <c r="A1566" s="39" t="s">
        <v>204</v>
      </c>
      <c r="B1566" s="39" t="s">
        <v>3203</v>
      </c>
      <c r="C1566" s="41" t="n">
        <v>2.01</v>
      </c>
    </row>
    <row r="1567" customFormat="false" ht="15" hidden="false" customHeight="false" outlineLevel="0" collapsed="false">
      <c r="A1567" s="39" t="s">
        <v>2992</v>
      </c>
      <c r="B1567" s="39" t="s">
        <v>3203</v>
      </c>
      <c r="C1567" s="41" t="n">
        <v>1.66</v>
      </c>
    </row>
    <row r="1568" customFormat="false" ht="15" hidden="false" customHeight="false" outlineLevel="0" collapsed="false">
      <c r="A1568" s="39" t="s">
        <v>2359</v>
      </c>
      <c r="B1568" s="39" t="s">
        <v>3205</v>
      </c>
      <c r="C1568" s="41" t="n">
        <v>2.09</v>
      </c>
    </row>
    <row r="1569" customFormat="false" ht="15" hidden="false" customHeight="false" outlineLevel="0" collapsed="false">
      <c r="A1569" s="39" t="s">
        <v>2158</v>
      </c>
      <c r="B1569" s="39" t="s">
        <v>3205</v>
      </c>
      <c r="C1569" s="41" t="n">
        <v>0.28</v>
      </c>
    </row>
    <row r="1570" customFormat="false" ht="15" hidden="false" customHeight="false" outlineLevel="0" collapsed="false">
      <c r="A1570" s="39" t="s">
        <v>3162</v>
      </c>
      <c r="B1570" s="39" t="s">
        <v>3203</v>
      </c>
      <c r="C1570" s="41" t="n">
        <v>1.17</v>
      </c>
    </row>
    <row r="1571" customFormat="false" ht="15" hidden="false" customHeight="false" outlineLevel="0" collapsed="false">
      <c r="A1571" s="39" t="s">
        <v>799</v>
      </c>
      <c r="B1571" s="39" t="s">
        <v>3204</v>
      </c>
      <c r="C1571" s="41" t="n">
        <v>22.2</v>
      </c>
    </row>
    <row r="1572" customFormat="false" ht="15" hidden="false" customHeight="false" outlineLevel="0" collapsed="false">
      <c r="A1572" s="39" t="s">
        <v>1888</v>
      </c>
      <c r="B1572" s="39" t="s">
        <v>3204</v>
      </c>
      <c r="C1572" s="41" t="n">
        <v>2.79</v>
      </c>
    </row>
    <row r="1573" customFormat="false" ht="15" hidden="false" customHeight="false" outlineLevel="0" collapsed="false">
      <c r="A1573" s="39" t="s">
        <v>616</v>
      </c>
      <c r="B1573" s="39" t="s">
        <v>3203</v>
      </c>
      <c r="C1573" s="41" t="n">
        <v>10.59</v>
      </c>
    </row>
    <row r="1574" customFormat="false" ht="15" hidden="false" customHeight="false" outlineLevel="0" collapsed="false">
      <c r="A1574" s="39" t="s">
        <v>2506</v>
      </c>
      <c r="B1574" s="39" t="s">
        <v>3203</v>
      </c>
      <c r="C1574" s="41" t="n">
        <v>1.96</v>
      </c>
    </row>
    <row r="1575" customFormat="false" ht="15" hidden="false" customHeight="false" outlineLevel="0" collapsed="false">
      <c r="A1575" s="39" t="s">
        <v>1611</v>
      </c>
      <c r="B1575" s="39" t="s">
        <v>3205</v>
      </c>
      <c r="C1575" s="41" t="n">
        <v>2.35</v>
      </c>
    </row>
    <row r="1576" customFormat="false" ht="15" hidden="false" customHeight="false" outlineLevel="0" collapsed="false">
      <c r="A1576" s="39" t="s">
        <v>2080</v>
      </c>
      <c r="B1576" s="39" t="s">
        <v>3203</v>
      </c>
      <c r="C1576" s="41" t="n">
        <v>2.15</v>
      </c>
    </row>
    <row r="1577" customFormat="false" ht="15" hidden="false" customHeight="false" outlineLevel="0" collapsed="false">
      <c r="A1577" s="39" t="s">
        <v>2200</v>
      </c>
      <c r="B1577" s="39" t="s">
        <v>3206</v>
      </c>
      <c r="C1577" s="41" t="n">
        <v>21.64</v>
      </c>
    </row>
    <row r="1578" customFormat="false" ht="15" hidden="false" customHeight="false" outlineLevel="0" collapsed="false">
      <c r="A1578" s="39" t="s">
        <v>712</v>
      </c>
      <c r="B1578" s="39" t="s">
        <v>3205</v>
      </c>
      <c r="C1578" s="41" t="n">
        <v>4.98</v>
      </c>
    </row>
    <row r="1579" customFormat="false" ht="15" hidden="false" customHeight="false" outlineLevel="0" collapsed="false">
      <c r="A1579" s="39" t="s">
        <v>1936</v>
      </c>
      <c r="B1579" s="39" t="s">
        <v>3205</v>
      </c>
      <c r="C1579" s="41" t="n">
        <v>7.82</v>
      </c>
    </row>
    <row r="1580" customFormat="false" ht="15" hidden="false" customHeight="false" outlineLevel="0" collapsed="false">
      <c r="A1580" s="39" t="s">
        <v>1601</v>
      </c>
      <c r="B1580" s="39" t="s">
        <v>3206</v>
      </c>
      <c r="C1580" s="41" t="n">
        <v>1.05</v>
      </c>
    </row>
    <row r="1581" customFormat="false" ht="15" hidden="false" customHeight="false" outlineLevel="0" collapsed="false">
      <c r="A1581" s="39" t="s">
        <v>2252</v>
      </c>
      <c r="B1581" s="39" t="s">
        <v>3203</v>
      </c>
      <c r="C1581" s="41" t="n">
        <v>3.11</v>
      </c>
    </row>
    <row r="1582" customFormat="false" ht="15" hidden="false" customHeight="false" outlineLevel="0" collapsed="false">
      <c r="A1582" s="39" t="s">
        <v>1512</v>
      </c>
      <c r="B1582" s="39" t="s">
        <v>3206</v>
      </c>
      <c r="C1582" s="41" t="n">
        <v>5.72</v>
      </c>
    </row>
    <row r="1583" customFormat="false" ht="15" hidden="false" customHeight="false" outlineLevel="0" collapsed="false">
      <c r="A1583" s="39" t="s">
        <v>702</v>
      </c>
      <c r="B1583" s="39" t="s">
        <v>3204</v>
      </c>
      <c r="C1583" s="41" t="n">
        <v>0.7</v>
      </c>
    </row>
    <row r="1584" customFormat="false" ht="15" hidden="false" customHeight="false" outlineLevel="0" collapsed="false">
      <c r="A1584" s="39" t="s">
        <v>2753</v>
      </c>
      <c r="B1584" s="39" t="s">
        <v>3204</v>
      </c>
      <c r="C1584" s="41" t="n">
        <v>1.36</v>
      </c>
    </row>
    <row r="1585" customFormat="false" ht="15" hidden="false" customHeight="false" outlineLevel="0" collapsed="false">
      <c r="A1585" s="39" t="s">
        <v>256</v>
      </c>
      <c r="B1585" s="39" t="s">
        <v>3203</v>
      </c>
      <c r="C1585" s="41" t="n">
        <v>1.49</v>
      </c>
    </row>
    <row r="1586" customFormat="false" ht="15" hidden="false" customHeight="false" outlineLevel="0" collapsed="false">
      <c r="A1586" s="39" t="s">
        <v>1655</v>
      </c>
      <c r="B1586" s="39" t="s">
        <v>3204</v>
      </c>
      <c r="C1586" s="41" t="n">
        <v>21.86</v>
      </c>
    </row>
    <row r="1587" customFormat="false" ht="15" hidden="false" customHeight="false" outlineLevel="0" collapsed="false">
      <c r="A1587" s="39" t="s">
        <v>632</v>
      </c>
      <c r="B1587" s="39" t="s">
        <v>3204</v>
      </c>
      <c r="C1587" s="41" t="n">
        <v>17.77</v>
      </c>
    </row>
    <row r="1588" customFormat="false" ht="15" hidden="false" customHeight="false" outlineLevel="0" collapsed="false">
      <c r="A1588" s="39" t="s">
        <v>3104</v>
      </c>
      <c r="B1588" s="39" t="s">
        <v>3205</v>
      </c>
      <c r="C1588" s="41" t="n">
        <v>41.55</v>
      </c>
    </row>
    <row r="1589" customFormat="false" ht="15" hidden="false" customHeight="false" outlineLevel="0" collapsed="false">
      <c r="A1589" s="39" t="s">
        <v>927</v>
      </c>
      <c r="B1589" s="39" t="s">
        <v>3205</v>
      </c>
      <c r="C1589" s="41" t="n">
        <v>32.47</v>
      </c>
    </row>
    <row r="1590" customFormat="false" ht="15" hidden="false" customHeight="false" outlineLevel="0" collapsed="false">
      <c r="A1590" s="39" t="s">
        <v>504</v>
      </c>
      <c r="B1590" s="39" t="s">
        <v>3204</v>
      </c>
      <c r="C1590" s="41" t="n">
        <v>0.91</v>
      </c>
    </row>
    <row r="1591" customFormat="false" ht="15" hidden="false" customHeight="false" outlineLevel="0" collapsed="false">
      <c r="A1591" s="39" t="s">
        <v>1301</v>
      </c>
      <c r="B1591" s="39" t="s">
        <v>3206</v>
      </c>
      <c r="C1591" s="41" t="n">
        <v>2.42</v>
      </c>
    </row>
    <row r="1592" customFormat="false" ht="15" hidden="false" customHeight="false" outlineLevel="0" collapsed="false">
      <c r="A1592" s="39" t="s">
        <v>2345</v>
      </c>
      <c r="B1592" s="39" t="s">
        <v>3204</v>
      </c>
      <c r="C1592" s="41" t="n">
        <v>0.44</v>
      </c>
    </row>
    <row r="1593" customFormat="false" ht="15" hidden="false" customHeight="false" outlineLevel="0" collapsed="false">
      <c r="A1593" s="39" t="s">
        <v>1095</v>
      </c>
      <c r="B1593" s="39" t="s">
        <v>3205</v>
      </c>
      <c r="C1593" s="41" t="n">
        <v>4.96</v>
      </c>
    </row>
    <row r="1594" customFormat="false" ht="15" hidden="false" customHeight="false" outlineLevel="0" collapsed="false">
      <c r="A1594" s="39" t="s">
        <v>646</v>
      </c>
      <c r="B1594" s="39" t="s">
        <v>3205</v>
      </c>
      <c r="C1594" s="41" t="n">
        <v>2.15</v>
      </c>
    </row>
    <row r="1595" customFormat="false" ht="15" hidden="false" customHeight="false" outlineLevel="0" collapsed="false">
      <c r="A1595" s="39" t="s">
        <v>1510</v>
      </c>
      <c r="B1595" s="39" t="s">
        <v>3205</v>
      </c>
      <c r="C1595" s="41" t="n">
        <v>7.75</v>
      </c>
    </row>
    <row r="1596" customFormat="false" ht="15" hidden="false" customHeight="false" outlineLevel="0" collapsed="false">
      <c r="A1596" s="39" t="s">
        <v>918</v>
      </c>
      <c r="B1596" s="39" t="s">
        <v>3203</v>
      </c>
      <c r="C1596" s="41" t="n">
        <v>3.54</v>
      </c>
    </row>
    <row r="1597" customFormat="false" ht="15" hidden="false" customHeight="false" outlineLevel="0" collapsed="false">
      <c r="A1597" s="39" t="s">
        <v>2216</v>
      </c>
      <c r="B1597" s="39" t="s">
        <v>3203</v>
      </c>
      <c r="C1597" s="41" t="n">
        <v>0.98</v>
      </c>
    </row>
    <row r="1598" customFormat="false" ht="15" hidden="false" customHeight="false" outlineLevel="0" collapsed="false">
      <c r="A1598" s="39" t="s">
        <v>2620</v>
      </c>
      <c r="B1598" s="39" t="s">
        <v>3203</v>
      </c>
      <c r="C1598" s="41" t="n">
        <v>48.03</v>
      </c>
    </row>
    <row r="1599" customFormat="false" ht="15" hidden="false" customHeight="false" outlineLevel="0" collapsed="false">
      <c r="A1599" s="39" t="s">
        <v>1430</v>
      </c>
      <c r="B1599" s="39" t="s">
        <v>3206</v>
      </c>
      <c r="C1599" s="41" t="n">
        <v>0.94</v>
      </c>
    </row>
    <row r="1600" customFormat="false" ht="15" hidden="false" customHeight="false" outlineLevel="0" collapsed="false">
      <c r="A1600" s="39" t="s">
        <v>2145</v>
      </c>
      <c r="B1600" s="39" t="s">
        <v>3204</v>
      </c>
      <c r="C1600" s="41" t="n">
        <v>17.51</v>
      </c>
    </row>
    <row r="1601" customFormat="false" ht="15" hidden="false" customHeight="false" outlineLevel="0" collapsed="false">
      <c r="A1601" s="39" t="s">
        <v>1916</v>
      </c>
      <c r="B1601" s="39" t="s">
        <v>3206</v>
      </c>
      <c r="C1601" s="41" t="n">
        <v>19.03</v>
      </c>
    </row>
    <row r="1602" customFormat="false" ht="15" hidden="false" customHeight="false" outlineLevel="0" collapsed="false">
      <c r="A1602" s="39" t="s">
        <v>2722</v>
      </c>
      <c r="B1602" s="39" t="s">
        <v>3205</v>
      </c>
      <c r="C1602" s="41" t="n">
        <v>2.18</v>
      </c>
    </row>
    <row r="1603" customFormat="false" ht="15" hidden="false" customHeight="false" outlineLevel="0" collapsed="false">
      <c r="A1603" s="39" t="s">
        <v>1981</v>
      </c>
      <c r="B1603" s="39" t="s">
        <v>3205</v>
      </c>
      <c r="C1603" s="41" t="n">
        <v>1.63</v>
      </c>
    </row>
    <row r="1604" customFormat="false" ht="15" hidden="false" customHeight="false" outlineLevel="0" collapsed="false">
      <c r="A1604" s="39" t="s">
        <v>390</v>
      </c>
      <c r="B1604" s="39" t="s">
        <v>3205</v>
      </c>
      <c r="C1604" s="41" t="n">
        <v>6.51</v>
      </c>
    </row>
    <row r="1605" customFormat="false" ht="15" hidden="false" customHeight="false" outlineLevel="0" collapsed="false">
      <c r="A1605" s="39" t="s">
        <v>1041</v>
      </c>
      <c r="B1605" s="39" t="s">
        <v>3203</v>
      </c>
      <c r="C1605" s="41" t="n">
        <v>0.38</v>
      </c>
    </row>
    <row r="1606" customFormat="false" ht="15" hidden="false" customHeight="false" outlineLevel="0" collapsed="false">
      <c r="A1606" s="39" t="s">
        <v>2616</v>
      </c>
      <c r="B1606" s="39" t="s">
        <v>3203</v>
      </c>
      <c r="C1606" s="41" t="n">
        <v>1.34</v>
      </c>
    </row>
    <row r="1607" customFormat="false" ht="15" hidden="false" customHeight="false" outlineLevel="0" collapsed="false">
      <c r="A1607" s="39" t="s">
        <v>2801</v>
      </c>
      <c r="B1607" s="39" t="s">
        <v>3204</v>
      </c>
      <c r="C1607" s="41" t="n">
        <v>4.56</v>
      </c>
    </row>
    <row r="1608" customFormat="false" ht="15" hidden="false" customHeight="false" outlineLevel="0" collapsed="false">
      <c r="A1608" s="39" t="s">
        <v>448</v>
      </c>
      <c r="B1608" s="39" t="s">
        <v>3203</v>
      </c>
      <c r="C1608" s="41" t="n">
        <v>4.61</v>
      </c>
    </row>
    <row r="1609" customFormat="false" ht="15" hidden="false" customHeight="false" outlineLevel="0" collapsed="false">
      <c r="A1609" s="39" t="s">
        <v>928</v>
      </c>
      <c r="B1609" s="39" t="s">
        <v>3203</v>
      </c>
      <c r="C1609" s="41" t="n">
        <v>2.57</v>
      </c>
    </row>
    <row r="1610" customFormat="false" ht="15" hidden="false" customHeight="false" outlineLevel="0" collapsed="false">
      <c r="A1610" s="39" t="s">
        <v>2148</v>
      </c>
      <c r="B1610" s="39" t="s">
        <v>3204</v>
      </c>
      <c r="C1610" s="41" t="n">
        <v>5.21</v>
      </c>
    </row>
    <row r="1611" customFormat="false" ht="15" hidden="false" customHeight="false" outlineLevel="0" collapsed="false">
      <c r="A1611" s="39" t="s">
        <v>1600</v>
      </c>
      <c r="B1611" s="39" t="s">
        <v>3206</v>
      </c>
      <c r="C1611" s="41" t="n">
        <v>2.32</v>
      </c>
    </row>
    <row r="1612" customFormat="false" ht="15" hidden="false" customHeight="false" outlineLevel="0" collapsed="false">
      <c r="A1612" s="39" t="s">
        <v>2365</v>
      </c>
      <c r="B1612" s="39" t="s">
        <v>3203</v>
      </c>
      <c r="C1612" s="41" t="n">
        <v>5.42</v>
      </c>
    </row>
    <row r="1613" customFormat="false" ht="15" hidden="false" customHeight="false" outlineLevel="0" collapsed="false">
      <c r="A1613" s="39" t="s">
        <v>1472</v>
      </c>
      <c r="B1613" s="39" t="s">
        <v>3204</v>
      </c>
      <c r="C1613" s="41" t="n">
        <v>22.78</v>
      </c>
    </row>
    <row r="1614" customFormat="false" ht="15" hidden="false" customHeight="false" outlineLevel="0" collapsed="false">
      <c r="A1614" s="39" t="s">
        <v>1715</v>
      </c>
      <c r="B1614" s="39" t="s">
        <v>3206</v>
      </c>
      <c r="C1614" s="41" t="n">
        <v>3.16</v>
      </c>
    </row>
    <row r="1615" customFormat="false" ht="15" hidden="false" customHeight="false" outlineLevel="0" collapsed="false">
      <c r="A1615" s="39" t="s">
        <v>707</v>
      </c>
      <c r="B1615" s="39" t="s">
        <v>3205</v>
      </c>
      <c r="C1615" s="41" t="n">
        <v>9.07</v>
      </c>
    </row>
    <row r="1616" customFormat="false" ht="15" hidden="false" customHeight="false" outlineLevel="0" collapsed="false">
      <c r="A1616" s="39" t="s">
        <v>2090</v>
      </c>
      <c r="B1616" s="39" t="s">
        <v>3203</v>
      </c>
      <c r="C1616" s="41" t="n">
        <v>55.12</v>
      </c>
    </row>
    <row r="1617" customFormat="false" ht="15" hidden="false" customHeight="false" outlineLevel="0" collapsed="false">
      <c r="A1617" s="39" t="s">
        <v>2205</v>
      </c>
      <c r="B1617" s="39" t="s">
        <v>3205</v>
      </c>
      <c r="C1617" s="41" t="n">
        <v>0.53</v>
      </c>
    </row>
    <row r="1618" customFormat="false" ht="15" hidden="false" customHeight="false" outlineLevel="0" collapsed="false">
      <c r="A1618" s="39" t="s">
        <v>661</v>
      </c>
      <c r="B1618" s="39" t="s">
        <v>3204</v>
      </c>
      <c r="C1618" s="41" t="n">
        <v>0.28</v>
      </c>
    </row>
    <row r="1619" customFormat="false" ht="15" hidden="false" customHeight="false" outlineLevel="0" collapsed="false">
      <c r="A1619" s="39" t="s">
        <v>2573</v>
      </c>
      <c r="B1619" s="39" t="s">
        <v>3204</v>
      </c>
      <c r="C1619" s="41" t="n">
        <v>2.54</v>
      </c>
    </row>
    <row r="1620" customFormat="false" ht="15" hidden="false" customHeight="false" outlineLevel="0" collapsed="false">
      <c r="A1620" s="39" t="s">
        <v>2733</v>
      </c>
      <c r="B1620" s="39" t="s">
        <v>3203</v>
      </c>
      <c r="C1620" s="41" t="n">
        <v>1.81</v>
      </c>
    </row>
    <row r="1621" customFormat="false" ht="15" hidden="false" customHeight="false" outlineLevel="0" collapsed="false">
      <c r="A1621" s="39" t="s">
        <v>391</v>
      </c>
      <c r="B1621" s="39" t="s">
        <v>3204</v>
      </c>
      <c r="C1621" s="41" t="n">
        <v>0.97</v>
      </c>
    </row>
    <row r="1622" customFormat="false" ht="15" hidden="false" customHeight="false" outlineLevel="0" collapsed="false">
      <c r="A1622" s="39" t="s">
        <v>1264</v>
      </c>
      <c r="B1622" s="39" t="s">
        <v>3205</v>
      </c>
      <c r="C1622" s="41" t="n">
        <v>3.08</v>
      </c>
    </row>
    <row r="1623" customFormat="false" ht="15" hidden="false" customHeight="false" outlineLevel="0" collapsed="false">
      <c r="A1623" s="39" t="s">
        <v>1161</v>
      </c>
      <c r="B1623" s="39" t="s">
        <v>3206</v>
      </c>
      <c r="C1623" s="41" t="n">
        <v>1.6</v>
      </c>
    </row>
    <row r="1624" customFormat="false" ht="15" hidden="false" customHeight="false" outlineLevel="0" collapsed="false">
      <c r="A1624" s="39" t="s">
        <v>1344</v>
      </c>
      <c r="B1624" s="39" t="s">
        <v>3203</v>
      </c>
      <c r="C1624" s="41" t="n">
        <v>27.9</v>
      </c>
    </row>
    <row r="1625" customFormat="false" ht="15" hidden="false" customHeight="false" outlineLevel="0" collapsed="false">
      <c r="A1625" s="39" t="s">
        <v>2357</v>
      </c>
      <c r="B1625" s="39" t="s">
        <v>3204</v>
      </c>
      <c r="C1625" s="41" t="n">
        <v>2.54</v>
      </c>
    </row>
    <row r="1626" customFormat="false" ht="15" hidden="false" customHeight="false" outlineLevel="0" collapsed="false">
      <c r="A1626" s="39" t="s">
        <v>820</v>
      </c>
      <c r="B1626" s="39" t="s">
        <v>3204</v>
      </c>
      <c r="C1626" s="41" t="n">
        <v>1.46</v>
      </c>
    </row>
    <row r="1627" customFormat="false" ht="15" hidden="false" customHeight="false" outlineLevel="0" collapsed="false">
      <c r="A1627" s="39" t="s">
        <v>2530</v>
      </c>
      <c r="B1627" s="39" t="s">
        <v>3203</v>
      </c>
      <c r="C1627" s="41" t="n">
        <v>25.99</v>
      </c>
    </row>
    <row r="1628" customFormat="false" ht="15" hidden="false" customHeight="false" outlineLevel="0" collapsed="false">
      <c r="A1628" s="39" t="s">
        <v>1751</v>
      </c>
      <c r="B1628" s="39" t="s">
        <v>3205</v>
      </c>
      <c r="C1628" s="41" t="n">
        <v>0.5</v>
      </c>
    </row>
    <row r="1629" customFormat="false" ht="15" hidden="false" customHeight="false" outlineLevel="0" collapsed="false">
      <c r="A1629" s="39" t="s">
        <v>1177</v>
      </c>
      <c r="B1629" s="39" t="s">
        <v>3203</v>
      </c>
      <c r="C1629" s="41" t="n">
        <v>1.7</v>
      </c>
    </row>
    <row r="1630" customFormat="false" ht="15" hidden="false" customHeight="false" outlineLevel="0" collapsed="false">
      <c r="A1630" s="39" t="s">
        <v>334</v>
      </c>
      <c r="B1630" s="39" t="s">
        <v>3206</v>
      </c>
      <c r="C1630" s="41" t="n">
        <v>10.15</v>
      </c>
    </row>
    <row r="1631" customFormat="false" ht="15" hidden="false" customHeight="false" outlineLevel="0" collapsed="false">
      <c r="A1631" s="39" t="s">
        <v>320</v>
      </c>
      <c r="B1631" s="39" t="s">
        <v>3206</v>
      </c>
      <c r="C1631" s="41" t="n">
        <v>8.47</v>
      </c>
    </row>
    <row r="1632" customFormat="false" ht="15" hidden="false" customHeight="false" outlineLevel="0" collapsed="false">
      <c r="A1632" s="39" t="s">
        <v>1141</v>
      </c>
      <c r="B1632" s="39" t="s">
        <v>3205</v>
      </c>
      <c r="C1632" s="41" t="n">
        <v>5.58</v>
      </c>
    </row>
    <row r="1633" customFormat="false" ht="15" hidden="false" customHeight="false" outlineLevel="0" collapsed="false">
      <c r="A1633" s="39" t="s">
        <v>1961</v>
      </c>
      <c r="B1633" s="39" t="s">
        <v>3203</v>
      </c>
      <c r="C1633" s="41" t="n">
        <v>13.97</v>
      </c>
    </row>
    <row r="1634" customFormat="false" ht="15" hidden="false" customHeight="false" outlineLevel="0" collapsed="false">
      <c r="A1634" s="39" t="s">
        <v>2426</v>
      </c>
      <c r="B1634" s="39" t="s">
        <v>3205</v>
      </c>
      <c r="C1634" s="41" t="n">
        <v>16.46</v>
      </c>
    </row>
    <row r="1635" customFormat="false" ht="15" hidden="false" customHeight="false" outlineLevel="0" collapsed="false">
      <c r="A1635" s="39" t="s">
        <v>995</v>
      </c>
      <c r="B1635" s="39" t="s">
        <v>3205</v>
      </c>
      <c r="C1635" s="41" t="n">
        <v>4.5</v>
      </c>
    </row>
    <row r="1636" customFormat="false" ht="15" hidden="false" customHeight="false" outlineLevel="0" collapsed="false">
      <c r="A1636" s="39" t="s">
        <v>1204</v>
      </c>
      <c r="B1636" s="39" t="s">
        <v>3206</v>
      </c>
      <c r="C1636" s="41" t="n">
        <v>0.9</v>
      </c>
    </row>
    <row r="1637" customFormat="false" ht="15" hidden="false" customHeight="false" outlineLevel="0" collapsed="false">
      <c r="A1637" s="39" t="s">
        <v>3099</v>
      </c>
      <c r="B1637" s="39" t="s">
        <v>3205</v>
      </c>
      <c r="C1637" s="41" t="n">
        <v>4.62</v>
      </c>
    </row>
    <row r="1638" customFormat="false" ht="15" hidden="false" customHeight="false" outlineLevel="0" collapsed="false">
      <c r="A1638" s="39" t="s">
        <v>1133</v>
      </c>
      <c r="B1638" s="39" t="s">
        <v>3206</v>
      </c>
      <c r="C1638" s="41" t="n">
        <v>5.78</v>
      </c>
    </row>
    <row r="1639" customFormat="false" ht="15" hidden="false" customHeight="false" outlineLevel="0" collapsed="false">
      <c r="A1639" s="39" t="s">
        <v>2548</v>
      </c>
      <c r="B1639" s="39" t="s">
        <v>3206</v>
      </c>
      <c r="C1639" s="41" t="n">
        <v>8.5</v>
      </c>
    </row>
    <row r="1640" customFormat="false" ht="15" hidden="false" customHeight="false" outlineLevel="0" collapsed="false">
      <c r="A1640" s="39" t="s">
        <v>1180</v>
      </c>
      <c r="B1640" s="39" t="s">
        <v>3204</v>
      </c>
      <c r="C1640" s="41" t="n">
        <v>1.51</v>
      </c>
    </row>
    <row r="1641" customFormat="false" ht="15" hidden="false" customHeight="false" outlineLevel="0" collapsed="false">
      <c r="A1641" s="39" t="s">
        <v>506</v>
      </c>
      <c r="B1641" s="39" t="s">
        <v>3204</v>
      </c>
      <c r="C1641" s="41" t="n">
        <v>6.77</v>
      </c>
    </row>
    <row r="1642" customFormat="false" ht="15" hidden="false" customHeight="false" outlineLevel="0" collapsed="false">
      <c r="A1642" s="39" t="s">
        <v>2210</v>
      </c>
      <c r="B1642" s="39" t="s">
        <v>3204</v>
      </c>
      <c r="C1642" s="41" t="n">
        <v>13.78</v>
      </c>
    </row>
    <row r="1643" customFormat="false" ht="15" hidden="false" customHeight="false" outlineLevel="0" collapsed="false">
      <c r="A1643" s="39" t="s">
        <v>2389</v>
      </c>
      <c r="B1643" s="39" t="s">
        <v>3204</v>
      </c>
      <c r="C1643" s="41" t="n">
        <v>6.82</v>
      </c>
    </row>
    <row r="1644" customFormat="false" ht="15" hidden="false" customHeight="false" outlineLevel="0" collapsed="false">
      <c r="A1644" s="39" t="s">
        <v>2678</v>
      </c>
      <c r="B1644" s="39" t="s">
        <v>3205</v>
      </c>
      <c r="C1644" s="41" t="n">
        <v>2.18</v>
      </c>
    </row>
    <row r="1645" customFormat="false" ht="15" hidden="false" customHeight="false" outlineLevel="0" collapsed="false">
      <c r="A1645" s="39" t="s">
        <v>921</v>
      </c>
      <c r="B1645" s="39" t="s">
        <v>3203</v>
      </c>
      <c r="C1645" s="41" t="n">
        <v>44.84</v>
      </c>
    </row>
    <row r="1646" customFormat="false" ht="15" hidden="false" customHeight="false" outlineLevel="0" collapsed="false">
      <c r="A1646" s="39" t="s">
        <v>2688</v>
      </c>
      <c r="B1646" s="39" t="s">
        <v>3203</v>
      </c>
      <c r="C1646" s="41" t="n">
        <v>6.52</v>
      </c>
    </row>
    <row r="1647" customFormat="false" ht="15" hidden="false" customHeight="false" outlineLevel="0" collapsed="false">
      <c r="A1647" s="39" t="s">
        <v>1126</v>
      </c>
      <c r="B1647" s="39" t="s">
        <v>3205</v>
      </c>
      <c r="C1647" s="41" t="n">
        <v>3.15</v>
      </c>
    </row>
    <row r="1648" customFormat="false" ht="15" hidden="false" customHeight="false" outlineLevel="0" collapsed="false">
      <c r="A1648" s="39" t="s">
        <v>1963</v>
      </c>
      <c r="B1648" s="39" t="s">
        <v>3205</v>
      </c>
      <c r="C1648" s="41" t="n">
        <v>2.27</v>
      </c>
    </row>
    <row r="1649" customFormat="false" ht="15" hidden="false" customHeight="false" outlineLevel="0" collapsed="false">
      <c r="A1649" s="39" t="s">
        <v>404</v>
      </c>
      <c r="B1649" s="39" t="s">
        <v>3204</v>
      </c>
      <c r="C1649" s="41" t="n">
        <v>5.09</v>
      </c>
    </row>
    <row r="1650" customFormat="false" ht="15" hidden="false" customHeight="false" outlineLevel="0" collapsed="false">
      <c r="A1650" s="39" t="s">
        <v>2485</v>
      </c>
      <c r="B1650" s="39" t="s">
        <v>3205</v>
      </c>
      <c r="C1650" s="41" t="n">
        <v>1.15</v>
      </c>
    </row>
    <row r="1651" customFormat="false" ht="15" hidden="false" customHeight="false" outlineLevel="0" collapsed="false">
      <c r="A1651" s="39" t="s">
        <v>1123</v>
      </c>
      <c r="B1651" s="39" t="s">
        <v>3204</v>
      </c>
      <c r="C1651" s="41" t="n">
        <v>3.79</v>
      </c>
    </row>
    <row r="1652" customFormat="false" ht="15" hidden="false" customHeight="false" outlineLevel="0" collapsed="false">
      <c r="A1652" s="39" t="s">
        <v>239</v>
      </c>
      <c r="B1652" s="39" t="s">
        <v>3204</v>
      </c>
      <c r="C1652" s="41" t="n">
        <v>4.2</v>
      </c>
    </row>
    <row r="1653" customFormat="false" ht="15" hidden="false" customHeight="false" outlineLevel="0" collapsed="false">
      <c r="A1653" s="39" t="s">
        <v>2289</v>
      </c>
      <c r="B1653" s="39" t="s">
        <v>3203</v>
      </c>
      <c r="C1653" s="41" t="n">
        <v>2.58</v>
      </c>
    </row>
    <row r="1654" customFormat="false" ht="15" hidden="false" customHeight="false" outlineLevel="0" collapsed="false">
      <c r="A1654" s="39" t="s">
        <v>1584</v>
      </c>
      <c r="B1654" s="39" t="s">
        <v>3205</v>
      </c>
      <c r="C1654" s="41" t="n">
        <v>4.56</v>
      </c>
    </row>
    <row r="1655" customFormat="false" ht="15" hidden="false" customHeight="false" outlineLevel="0" collapsed="false">
      <c r="A1655" s="39" t="s">
        <v>406</v>
      </c>
      <c r="B1655" s="39" t="s">
        <v>3203</v>
      </c>
      <c r="C1655" s="41" t="n">
        <v>2.65</v>
      </c>
    </row>
    <row r="1656" customFormat="false" ht="15" hidden="false" customHeight="false" outlineLevel="0" collapsed="false">
      <c r="A1656" s="39" t="s">
        <v>2890</v>
      </c>
      <c r="B1656" s="39" t="s">
        <v>3205</v>
      </c>
      <c r="C1656" s="41" t="n">
        <v>4.67</v>
      </c>
    </row>
    <row r="1657" customFormat="false" ht="15" hidden="false" customHeight="false" outlineLevel="0" collapsed="false">
      <c r="A1657" s="39" t="s">
        <v>2182</v>
      </c>
      <c r="B1657" s="39" t="s">
        <v>3206</v>
      </c>
      <c r="C1657" s="41" t="n">
        <v>6.24</v>
      </c>
    </row>
    <row r="1658" customFormat="false" ht="15" hidden="false" customHeight="false" outlineLevel="0" collapsed="false">
      <c r="A1658" s="39" t="s">
        <v>2668</v>
      </c>
      <c r="B1658" s="39" t="s">
        <v>3205</v>
      </c>
      <c r="C1658" s="41" t="n">
        <v>5.68</v>
      </c>
    </row>
    <row r="1659" customFormat="false" ht="15" hidden="false" customHeight="false" outlineLevel="0" collapsed="false">
      <c r="A1659" s="39" t="s">
        <v>434</v>
      </c>
      <c r="B1659" s="39" t="s">
        <v>3203</v>
      </c>
      <c r="C1659" s="41" t="n">
        <v>1.49</v>
      </c>
    </row>
    <row r="1660" customFormat="false" ht="15" hidden="false" customHeight="false" outlineLevel="0" collapsed="false">
      <c r="A1660" s="39" t="s">
        <v>2226</v>
      </c>
      <c r="B1660" s="39" t="s">
        <v>3205</v>
      </c>
      <c r="C1660" s="41" t="n">
        <v>5.82</v>
      </c>
    </row>
    <row r="1661" customFormat="false" ht="15" hidden="false" customHeight="false" outlineLevel="0" collapsed="false">
      <c r="A1661" s="39" t="s">
        <v>1612</v>
      </c>
      <c r="B1661" s="39" t="s">
        <v>3204</v>
      </c>
      <c r="C1661" s="41" t="n">
        <v>2.82</v>
      </c>
    </row>
    <row r="1662" customFormat="false" ht="15" hidden="false" customHeight="false" outlineLevel="0" collapsed="false">
      <c r="A1662" s="39" t="s">
        <v>2068</v>
      </c>
      <c r="B1662" s="39" t="s">
        <v>3205</v>
      </c>
      <c r="C1662" s="41" t="n">
        <v>6.31</v>
      </c>
    </row>
    <row r="1663" customFormat="false" ht="15" hidden="false" customHeight="false" outlineLevel="0" collapsed="false">
      <c r="A1663" s="39" t="s">
        <v>2942</v>
      </c>
      <c r="B1663" s="39" t="s">
        <v>3206</v>
      </c>
      <c r="C1663" s="41" t="n">
        <v>4.74</v>
      </c>
    </row>
    <row r="1664" customFormat="false" ht="15" hidden="false" customHeight="false" outlineLevel="0" collapsed="false">
      <c r="A1664" s="39" t="s">
        <v>2531</v>
      </c>
      <c r="B1664" s="39" t="s">
        <v>3203</v>
      </c>
      <c r="C1664" s="41" t="n">
        <v>20.86</v>
      </c>
    </row>
    <row r="1665" customFormat="false" ht="15" hidden="false" customHeight="false" outlineLevel="0" collapsed="false">
      <c r="A1665" s="39" t="s">
        <v>2089</v>
      </c>
      <c r="B1665" s="39" t="s">
        <v>3203</v>
      </c>
      <c r="C1665" s="41" t="n">
        <v>14.49</v>
      </c>
    </row>
    <row r="1666" customFormat="false" ht="15" hidden="false" customHeight="false" outlineLevel="0" collapsed="false">
      <c r="A1666" s="39" t="s">
        <v>727</v>
      </c>
      <c r="B1666" s="39" t="s">
        <v>3204</v>
      </c>
      <c r="C1666" s="41" t="n">
        <v>2.68</v>
      </c>
    </row>
    <row r="1667" customFormat="false" ht="15" hidden="false" customHeight="false" outlineLevel="0" collapsed="false">
      <c r="A1667" s="39" t="s">
        <v>154</v>
      </c>
      <c r="B1667" s="39" t="s">
        <v>3203</v>
      </c>
      <c r="C1667" s="41" t="n">
        <v>19.37</v>
      </c>
    </row>
    <row r="1668" customFormat="false" ht="15" hidden="false" customHeight="false" outlineLevel="0" collapsed="false">
      <c r="A1668" s="39" t="s">
        <v>1641</v>
      </c>
      <c r="B1668" s="39" t="s">
        <v>3206</v>
      </c>
      <c r="C1668" s="41" t="n">
        <v>1.28</v>
      </c>
    </row>
    <row r="1669" customFormat="false" ht="15" hidden="false" customHeight="false" outlineLevel="0" collapsed="false">
      <c r="A1669" s="39" t="s">
        <v>2672</v>
      </c>
      <c r="B1669" s="39" t="s">
        <v>3206</v>
      </c>
      <c r="C1669" s="41" t="n">
        <v>1.01</v>
      </c>
    </row>
    <row r="1670" customFormat="false" ht="15" hidden="false" customHeight="false" outlineLevel="0" collapsed="false">
      <c r="A1670" s="39" t="s">
        <v>1081</v>
      </c>
      <c r="B1670" s="39" t="s">
        <v>3206</v>
      </c>
      <c r="C1670" s="41" t="n">
        <v>30.29</v>
      </c>
    </row>
    <row r="1671" customFormat="false" ht="15" hidden="false" customHeight="false" outlineLevel="0" collapsed="false">
      <c r="A1671" s="39" t="s">
        <v>2659</v>
      </c>
      <c r="B1671" s="39" t="s">
        <v>3206</v>
      </c>
      <c r="C1671" s="41" t="n">
        <v>11.14</v>
      </c>
    </row>
    <row r="1672" customFormat="false" ht="15" hidden="false" customHeight="false" outlineLevel="0" collapsed="false">
      <c r="A1672" s="39" t="s">
        <v>653</v>
      </c>
      <c r="B1672" s="39" t="s">
        <v>3204</v>
      </c>
      <c r="C1672" s="41" t="n">
        <v>3.18</v>
      </c>
    </row>
    <row r="1673" customFormat="false" ht="15" hidden="false" customHeight="false" outlineLevel="0" collapsed="false">
      <c r="A1673" s="39" t="s">
        <v>2605</v>
      </c>
      <c r="B1673" s="39" t="s">
        <v>3204</v>
      </c>
      <c r="C1673" s="41" t="n">
        <v>6.52</v>
      </c>
    </row>
    <row r="1674" customFormat="false" ht="15" hidden="false" customHeight="false" outlineLevel="0" collapsed="false">
      <c r="A1674" s="39" t="s">
        <v>2808</v>
      </c>
      <c r="B1674" s="39" t="s">
        <v>3203</v>
      </c>
      <c r="C1674" s="41" t="n">
        <v>9.18</v>
      </c>
    </row>
    <row r="1675" customFormat="false" ht="15" hidden="false" customHeight="false" outlineLevel="0" collapsed="false">
      <c r="A1675" s="39" t="s">
        <v>2020</v>
      </c>
      <c r="B1675" s="39" t="s">
        <v>3204</v>
      </c>
      <c r="C1675" s="41" t="n">
        <v>25.21</v>
      </c>
    </row>
    <row r="1676" customFormat="false" ht="15" hidden="false" customHeight="false" outlineLevel="0" collapsed="false">
      <c r="A1676" s="39" t="s">
        <v>2312</v>
      </c>
      <c r="B1676" s="39" t="s">
        <v>3203</v>
      </c>
      <c r="C1676" s="41" t="n">
        <v>57.66</v>
      </c>
    </row>
    <row r="1677" customFormat="false" ht="15" hidden="false" customHeight="false" outlineLevel="0" collapsed="false">
      <c r="A1677" s="39" t="s">
        <v>1544</v>
      </c>
      <c r="B1677" s="39" t="s">
        <v>3206</v>
      </c>
      <c r="C1677" s="41" t="n">
        <v>4.53</v>
      </c>
    </row>
    <row r="1678" customFormat="false" ht="15" hidden="false" customHeight="false" outlineLevel="0" collapsed="false">
      <c r="A1678" s="39" t="s">
        <v>3185</v>
      </c>
      <c r="B1678" s="39" t="s">
        <v>3205</v>
      </c>
      <c r="C1678" s="41" t="n">
        <v>6.24</v>
      </c>
    </row>
    <row r="1679" customFormat="false" ht="15" hidden="false" customHeight="false" outlineLevel="0" collapsed="false">
      <c r="A1679" s="39" t="s">
        <v>2580</v>
      </c>
      <c r="B1679" s="39" t="s">
        <v>3205</v>
      </c>
      <c r="C1679" s="41" t="n">
        <v>4.77</v>
      </c>
    </row>
    <row r="1680" customFormat="false" ht="15" hidden="false" customHeight="false" outlineLevel="0" collapsed="false">
      <c r="A1680" s="39" t="s">
        <v>1562</v>
      </c>
      <c r="B1680" s="39" t="s">
        <v>3203</v>
      </c>
      <c r="C1680" s="41" t="n">
        <v>29.63</v>
      </c>
    </row>
    <row r="1681" customFormat="false" ht="15" hidden="false" customHeight="false" outlineLevel="0" collapsed="false">
      <c r="A1681" s="39" t="s">
        <v>2634</v>
      </c>
      <c r="B1681" s="39" t="s">
        <v>3203</v>
      </c>
      <c r="C1681" s="41" t="n">
        <v>1.61</v>
      </c>
    </row>
    <row r="1682" customFormat="false" ht="15" hidden="false" customHeight="false" outlineLevel="0" collapsed="false">
      <c r="A1682" s="39" t="s">
        <v>255</v>
      </c>
      <c r="B1682" s="39" t="s">
        <v>3206</v>
      </c>
      <c r="C1682" s="41" t="n">
        <v>2.48</v>
      </c>
    </row>
    <row r="1683" customFormat="false" ht="15" hidden="false" customHeight="false" outlineLevel="0" collapsed="false">
      <c r="A1683" s="39" t="s">
        <v>1463</v>
      </c>
      <c r="B1683" s="39" t="s">
        <v>3204</v>
      </c>
      <c r="C1683" s="41" t="n">
        <v>1.18</v>
      </c>
    </row>
    <row r="1684" customFormat="false" ht="15" hidden="false" customHeight="false" outlineLevel="0" collapsed="false">
      <c r="A1684" s="39" t="s">
        <v>2450</v>
      </c>
      <c r="B1684" s="39" t="s">
        <v>3205</v>
      </c>
      <c r="C1684" s="41" t="n">
        <v>1.24</v>
      </c>
    </row>
    <row r="1685" customFormat="false" ht="15" hidden="false" customHeight="false" outlineLevel="0" collapsed="false">
      <c r="A1685" s="39" t="s">
        <v>844</v>
      </c>
      <c r="B1685" s="39" t="s">
        <v>3205</v>
      </c>
      <c r="C1685" s="41" t="n">
        <v>6.15</v>
      </c>
    </row>
    <row r="1686" customFormat="false" ht="15" hidden="false" customHeight="false" outlineLevel="0" collapsed="false">
      <c r="A1686" s="39" t="s">
        <v>2449</v>
      </c>
      <c r="B1686" s="39" t="s">
        <v>3203</v>
      </c>
      <c r="C1686" s="41" t="n">
        <v>39.17</v>
      </c>
    </row>
    <row r="1687" customFormat="false" ht="15" hidden="false" customHeight="false" outlineLevel="0" collapsed="false">
      <c r="A1687" s="39" t="s">
        <v>392</v>
      </c>
      <c r="B1687" s="39" t="s">
        <v>3206</v>
      </c>
      <c r="C1687" s="41" t="n">
        <v>11.96</v>
      </c>
    </row>
    <row r="1688" customFormat="false" ht="15" hidden="false" customHeight="false" outlineLevel="0" collapsed="false">
      <c r="A1688" s="39" t="s">
        <v>741</v>
      </c>
      <c r="B1688" s="39" t="s">
        <v>3205</v>
      </c>
      <c r="C1688" s="41" t="n">
        <v>10.21</v>
      </c>
    </row>
    <row r="1689" customFormat="false" ht="15" hidden="false" customHeight="false" outlineLevel="0" collapsed="false">
      <c r="A1689" s="39" t="s">
        <v>2842</v>
      </c>
      <c r="B1689" s="39" t="s">
        <v>3206</v>
      </c>
      <c r="C1689" s="41" t="n">
        <v>1.33</v>
      </c>
    </row>
    <row r="1690" customFormat="false" ht="15" hidden="false" customHeight="false" outlineLevel="0" collapsed="false">
      <c r="A1690" s="39" t="s">
        <v>952</v>
      </c>
      <c r="B1690" s="39" t="s">
        <v>3204</v>
      </c>
      <c r="C1690" s="41" t="n">
        <v>0.34</v>
      </c>
    </row>
    <row r="1691" customFormat="false" ht="15" hidden="false" customHeight="false" outlineLevel="0" collapsed="false">
      <c r="A1691" s="39" t="s">
        <v>860</v>
      </c>
      <c r="B1691" s="39" t="s">
        <v>3205</v>
      </c>
      <c r="C1691" s="41" t="n">
        <v>2.76</v>
      </c>
    </row>
    <row r="1692" customFormat="false" ht="15" hidden="false" customHeight="false" outlineLevel="0" collapsed="false">
      <c r="A1692" s="39" t="s">
        <v>416</v>
      </c>
      <c r="B1692" s="39" t="s">
        <v>3203</v>
      </c>
      <c r="C1692" s="41" t="n">
        <v>8.6</v>
      </c>
    </row>
    <row r="1693" customFormat="false" ht="15" hidden="false" customHeight="false" outlineLevel="0" collapsed="false">
      <c r="A1693" s="39" t="s">
        <v>161</v>
      </c>
      <c r="B1693" s="39" t="s">
        <v>3204</v>
      </c>
      <c r="C1693" s="41" t="n">
        <v>17.73</v>
      </c>
    </row>
    <row r="1694" customFormat="false" ht="15" hidden="false" customHeight="false" outlineLevel="0" collapsed="false">
      <c r="A1694" s="39" t="s">
        <v>2419</v>
      </c>
      <c r="B1694" s="39" t="s">
        <v>3205</v>
      </c>
      <c r="C1694" s="41" t="n">
        <v>77.43</v>
      </c>
    </row>
    <row r="1695" customFormat="false" ht="15" hidden="false" customHeight="false" outlineLevel="0" collapsed="false">
      <c r="A1695" s="39" t="s">
        <v>389</v>
      </c>
      <c r="B1695" s="39" t="s">
        <v>3203</v>
      </c>
      <c r="C1695" s="41" t="n">
        <v>1.4</v>
      </c>
    </row>
    <row r="1696" customFormat="false" ht="15" hidden="false" customHeight="false" outlineLevel="0" collapsed="false">
      <c r="A1696" s="39" t="s">
        <v>923</v>
      </c>
      <c r="B1696" s="39" t="s">
        <v>3204</v>
      </c>
      <c r="C1696" s="41" t="n">
        <v>13.1</v>
      </c>
    </row>
    <row r="1697" customFormat="false" ht="15" hidden="false" customHeight="false" outlineLevel="0" collapsed="false">
      <c r="A1697" s="39" t="s">
        <v>2083</v>
      </c>
      <c r="B1697" s="39" t="s">
        <v>3204</v>
      </c>
      <c r="C1697" s="41" t="n">
        <v>1.14</v>
      </c>
    </row>
    <row r="1698" customFormat="false" ht="15" hidden="false" customHeight="false" outlineLevel="0" collapsed="false">
      <c r="A1698" s="39" t="s">
        <v>227</v>
      </c>
      <c r="B1698" s="39" t="s">
        <v>3203</v>
      </c>
      <c r="C1698" s="41" t="n">
        <v>5.13</v>
      </c>
    </row>
    <row r="1699" customFormat="false" ht="15" hidden="false" customHeight="false" outlineLevel="0" collapsed="false">
      <c r="A1699" s="39" t="s">
        <v>1008</v>
      </c>
      <c r="B1699" s="39" t="s">
        <v>3205</v>
      </c>
      <c r="C1699" s="41" t="n">
        <v>1.61</v>
      </c>
    </row>
    <row r="1700" customFormat="false" ht="15" hidden="false" customHeight="false" outlineLevel="0" collapsed="false">
      <c r="A1700" s="39" t="s">
        <v>2840</v>
      </c>
      <c r="B1700" s="39" t="s">
        <v>3205</v>
      </c>
      <c r="C1700" s="41" t="n">
        <v>6.28</v>
      </c>
    </row>
    <row r="1701" customFormat="false" ht="15" hidden="false" customHeight="false" outlineLevel="0" collapsed="false">
      <c r="A1701" s="39" t="s">
        <v>1947</v>
      </c>
      <c r="B1701" s="39" t="s">
        <v>3206</v>
      </c>
      <c r="C1701" s="41" t="n">
        <v>8.65</v>
      </c>
    </row>
    <row r="1702" customFormat="false" ht="15" hidden="false" customHeight="false" outlineLevel="0" collapsed="false">
      <c r="A1702" s="39" t="s">
        <v>1477</v>
      </c>
      <c r="B1702" s="39" t="s">
        <v>3204</v>
      </c>
      <c r="C1702" s="41" t="n">
        <v>0.38</v>
      </c>
    </row>
    <row r="1703" customFormat="false" ht="15" hidden="false" customHeight="false" outlineLevel="0" collapsed="false">
      <c r="A1703" s="39" t="s">
        <v>2619</v>
      </c>
      <c r="B1703" s="39" t="s">
        <v>3203</v>
      </c>
      <c r="C1703" s="41" t="n">
        <v>0.27</v>
      </c>
    </row>
    <row r="1704" customFormat="false" ht="15" hidden="false" customHeight="false" outlineLevel="0" collapsed="false">
      <c r="A1704" s="39" t="s">
        <v>1787</v>
      </c>
      <c r="B1704" s="39" t="s">
        <v>3203</v>
      </c>
      <c r="C1704" s="41" t="n">
        <v>8.88</v>
      </c>
    </row>
    <row r="1705" customFormat="false" ht="15" hidden="false" customHeight="false" outlineLevel="0" collapsed="false">
      <c r="A1705" s="39" t="s">
        <v>2795</v>
      </c>
      <c r="B1705" s="39" t="s">
        <v>3206</v>
      </c>
      <c r="C1705" s="41" t="n">
        <v>19.32</v>
      </c>
    </row>
    <row r="1706" customFormat="false" ht="15" hidden="false" customHeight="false" outlineLevel="0" collapsed="false">
      <c r="A1706" s="39" t="s">
        <v>2272</v>
      </c>
      <c r="B1706" s="39" t="s">
        <v>3204</v>
      </c>
      <c r="C1706" s="41" t="n">
        <v>30.73</v>
      </c>
    </row>
    <row r="1707" customFormat="false" ht="15" hidden="false" customHeight="false" outlineLevel="0" collapsed="false">
      <c r="A1707" s="39" t="s">
        <v>1302</v>
      </c>
      <c r="B1707" s="39" t="s">
        <v>3204</v>
      </c>
      <c r="C1707" s="41" t="n">
        <v>35.83</v>
      </c>
    </row>
    <row r="1708" customFormat="false" ht="15" hidden="false" customHeight="false" outlineLevel="0" collapsed="false">
      <c r="A1708" s="39" t="s">
        <v>383</v>
      </c>
      <c r="B1708" s="39" t="s">
        <v>3205</v>
      </c>
      <c r="C1708" s="41" t="n">
        <v>4.79</v>
      </c>
    </row>
    <row r="1709" customFormat="false" ht="15" hidden="false" customHeight="false" outlineLevel="0" collapsed="false">
      <c r="A1709" s="39" t="s">
        <v>240</v>
      </c>
      <c r="B1709" s="39" t="s">
        <v>3204</v>
      </c>
      <c r="C1709" s="41" t="n">
        <v>11.25</v>
      </c>
    </row>
    <row r="1710" customFormat="false" ht="15" hidden="false" customHeight="false" outlineLevel="0" collapsed="false">
      <c r="A1710" s="39" t="s">
        <v>1284</v>
      </c>
      <c r="B1710" s="39" t="s">
        <v>3205</v>
      </c>
      <c r="C1710" s="41" t="n">
        <v>0.55</v>
      </c>
    </row>
    <row r="1711" customFormat="false" ht="15" hidden="false" customHeight="false" outlineLevel="0" collapsed="false">
      <c r="A1711" s="39" t="s">
        <v>2236</v>
      </c>
      <c r="B1711" s="39" t="s">
        <v>3203</v>
      </c>
      <c r="C1711" s="41" t="n">
        <v>14.23</v>
      </c>
    </row>
    <row r="1712" customFormat="false" ht="15" hidden="false" customHeight="false" outlineLevel="0" collapsed="false">
      <c r="A1712" s="39" t="s">
        <v>1652</v>
      </c>
      <c r="B1712" s="39" t="s">
        <v>3206</v>
      </c>
      <c r="C1712" s="41" t="n">
        <v>11.22</v>
      </c>
    </row>
    <row r="1713" customFormat="false" ht="15" hidden="false" customHeight="false" outlineLevel="0" collapsed="false">
      <c r="A1713" s="39" t="s">
        <v>2202</v>
      </c>
      <c r="B1713" s="39" t="s">
        <v>3205</v>
      </c>
      <c r="C1713" s="41" t="n">
        <v>1.31</v>
      </c>
    </row>
    <row r="1714" customFormat="false" ht="15" hidden="false" customHeight="false" outlineLevel="0" collapsed="false">
      <c r="A1714" s="39" t="s">
        <v>1905</v>
      </c>
      <c r="B1714" s="39" t="s">
        <v>3203</v>
      </c>
      <c r="C1714" s="41" t="n">
        <v>19.43</v>
      </c>
    </row>
    <row r="1715" customFormat="false" ht="15" hidden="false" customHeight="false" outlineLevel="0" collapsed="false">
      <c r="A1715" s="39" t="s">
        <v>2423</v>
      </c>
      <c r="B1715" s="39" t="s">
        <v>3206</v>
      </c>
      <c r="C1715" s="41" t="n">
        <v>1.25</v>
      </c>
    </row>
    <row r="1716" customFormat="false" ht="15" hidden="false" customHeight="false" outlineLevel="0" collapsed="false">
      <c r="A1716" s="39" t="s">
        <v>1349</v>
      </c>
      <c r="B1716" s="39" t="s">
        <v>3205</v>
      </c>
      <c r="C1716" s="41" t="n">
        <v>12.25</v>
      </c>
    </row>
    <row r="1717" customFormat="false" ht="15" hidden="false" customHeight="false" outlineLevel="0" collapsed="false">
      <c r="A1717" s="39" t="s">
        <v>2773</v>
      </c>
      <c r="B1717" s="39" t="s">
        <v>3205</v>
      </c>
      <c r="C1717" s="41" t="n">
        <v>1.51</v>
      </c>
    </row>
    <row r="1718" customFormat="false" ht="15" hidden="false" customHeight="false" outlineLevel="0" collapsed="false">
      <c r="A1718" s="39" t="s">
        <v>430</v>
      </c>
      <c r="B1718" s="39" t="s">
        <v>3205</v>
      </c>
      <c r="C1718" s="41" t="n">
        <v>0.41</v>
      </c>
    </row>
    <row r="1719" customFormat="false" ht="15" hidden="false" customHeight="false" outlineLevel="0" collapsed="false">
      <c r="A1719" s="39" t="s">
        <v>1811</v>
      </c>
      <c r="B1719" s="39" t="s">
        <v>3205</v>
      </c>
      <c r="C1719" s="41" t="n">
        <v>8.89</v>
      </c>
    </row>
    <row r="1720" customFormat="false" ht="15" hidden="false" customHeight="false" outlineLevel="0" collapsed="false">
      <c r="A1720" s="39" t="s">
        <v>1521</v>
      </c>
      <c r="B1720" s="39" t="s">
        <v>3206</v>
      </c>
      <c r="C1720" s="41" t="n">
        <v>0.74</v>
      </c>
    </row>
    <row r="1721" customFormat="false" ht="15" hidden="false" customHeight="false" outlineLevel="0" collapsed="false">
      <c r="A1721" s="39" t="s">
        <v>2847</v>
      </c>
      <c r="B1721" s="39" t="s">
        <v>3205</v>
      </c>
      <c r="C1721" s="41" t="n">
        <v>5.99</v>
      </c>
    </row>
    <row r="1722" customFormat="false" ht="15" hidden="false" customHeight="false" outlineLevel="0" collapsed="false">
      <c r="A1722" s="39" t="s">
        <v>2356</v>
      </c>
      <c r="B1722" s="39" t="s">
        <v>3203</v>
      </c>
      <c r="C1722" s="41" t="n">
        <v>25.32</v>
      </c>
    </row>
    <row r="1723" customFormat="false" ht="15" hidden="false" customHeight="false" outlineLevel="0" collapsed="false">
      <c r="A1723" s="39" t="s">
        <v>1473</v>
      </c>
      <c r="B1723" s="39" t="s">
        <v>3205</v>
      </c>
      <c r="C1723" s="41" t="n">
        <v>16.7</v>
      </c>
    </row>
    <row r="1724" customFormat="false" ht="15" hidden="false" customHeight="false" outlineLevel="0" collapsed="false">
      <c r="A1724" s="39" t="s">
        <v>1429</v>
      </c>
      <c r="B1724" s="39" t="s">
        <v>3205</v>
      </c>
      <c r="C1724" s="41" t="n">
        <v>219.75</v>
      </c>
    </row>
    <row r="1725" customFormat="false" ht="15" hidden="false" customHeight="false" outlineLevel="0" collapsed="false">
      <c r="A1725" s="39" t="s">
        <v>2533</v>
      </c>
      <c r="B1725" s="39" t="s">
        <v>3203</v>
      </c>
      <c r="C1725" s="41" t="n">
        <v>6.05</v>
      </c>
    </row>
    <row r="1726" customFormat="false" ht="15" hidden="false" customHeight="false" outlineLevel="0" collapsed="false">
      <c r="A1726" s="39" t="s">
        <v>1845</v>
      </c>
      <c r="B1726" s="39" t="s">
        <v>3203</v>
      </c>
      <c r="C1726" s="41" t="n">
        <v>1.12</v>
      </c>
    </row>
    <row r="1727" customFormat="false" ht="15" hidden="false" customHeight="false" outlineLevel="0" collapsed="false">
      <c r="A1727" s="39" t="s">
        <v>1013</v>
      </c>
      <c r="B1727" s="39" t="s">
        <v>3206</v>
      </c>
      <c r="C1727" s="41" t="n">
        <v>13.42</v>
      </c>
    </row>
    <row r="1728" customFormat="false" ht="15" hidden="false" customHeight="false" outlineLevel="0" collapsed="false">
      <c r="A1728" s="39" t="s">
        <v>662</v>
      </c>
      <c r="B1728" s="39" t="s">
        <v>3203</v>
      </c>
      <c r="C1728" s="41" t="n">
        <v>6.06</v>
      </c>
    </row>
    <row r="1729" customFormat="false" ht="15" hidden="false" customHeight="false" outlineLevel="0" collapsed="false">
      <c r="A1729" s="39" t="s">
        <v>785</v>
      </c>
      <c r="B1729" s="39" t="s">
        <v>3206</v>
      </c>
      <c r="C1729" s="41" t="n">
        <v>1.3</v>
      </c>
    </row>
    <row r="1730" customFormat="false" ht="15" hidden="false" customHeight="false" outlineLevel="0" collapsed="false">
      <c r="A1730" s="39" t="s">
        <v>1215</v>
      </c>
      <c r="B1730" s="39" t="s">
        <v>3203</v>
      </c>
      <c r="C1730" s="41" t="n">
        <v>1.2</v>
      </c>
    </row>
    <row r="1731" customFormat="false" ht="15" hidden="false" customHeight="false" outlineLevel="0" collapsed="false">
      <c r="A1731" s="39" t="s">
        <v>450</v>
      </c>
      <c r="B1731" s="39" t="s">
        <v>3205</v>
      </c>
      <c r="C1731" s="41" t="n">
        <v>2.08</v>
      </c>
    </row>
    <row r="1732" customFormat="false" ht="15" hidden="false" customHeight="false" outlineLevel="0" collapsed="false">
      <c r="A1732" s="39" t="s">
        <v>1926</v>
      </c>
      <c r="B1732" s="39" t="s">
        <v>3205</v>
      </c>
      <c r="C1732" s="41" t="n">
        <v>14.41</v>
      </c>
    </row>
    <row r="1733" customFormat="false" ht="15" hidden="false" customHeight="false" outlineLevel="0" collapsed="false">
      <c r="A1733" s="39" t="s">
        <v>2100</v>
      </c>
      <c r="B1733" s="39" t="s">
        <v>3206</v>
      </c>
      <c r="C1733" s="41" t="n">
        <v>2.53</v>
      </c>
    </row>
    <row r="1734" customFormat="false" ht="15" hidden="false" customHeight="false" outlineLevel="0" collapsed="false">
      <c r="A1734" s="39" t="s">
        <v>1940</v>
      </c>
      <c r="B1734" s="39" t="s">
        <v>3204</v>
      </c>
      <c r="C1734" s="41" t="n">
        <v>4.88</v>
      </c>
    </row>
    <row r="1735" customFormat="false" ht="15" hidden="false" customHeight="false" outlineLevel="0" collapsed="false">
      <c r="A1735" s="39" t="s">
        <v>1766</v>
      </c>
      <c r="B1735" s="39" t="s">
        <v>3204</v>
      </c>
      <c r="C1735" s="41" t="n">
        <v>0.88</v>
      </c>
    </row>
    <row r="1736" customFormat="false" ht="15" hidden="false" customHeight="false" outlineLevel="0" collapsed="false">
      <c r="A1736" s="39" t="s">
        <v>262</v>
      </c>
      <c r="B1736" s="39" t="s">
        <v>3203</v>
      </c>
      <c r="C1736" s="41" t="n">
        <v>1.51</v>
      </c>
    </row>
    <row r="1737" customFormat="false" ht="15" hidden="false" customHeight="false" outlineLevel="0" collapsed="false">
      <c r="A1737" s="39" t="s">
        <v>1214</v>
      </c>
      <c r="B1737" s="39" t="s">
        <v>3206</v>
      </c>
      <c r="C1737" s="41" t="n">
        <v>12.88</v>
      </c>
    </row>
    <row r="1738" customFormat="false" ht="15" hidden="false" customHeight="false" outlineLevel="0" collapsed="false">
      <c r="A1738" s="39" t="s">
        <v>3044</v>
      </c>
      <c r="B1738" s="39" t="s">
        <v>3203</v>
      </c>
      <c r="C1738" s="41" t="n">
        <v>1.11</v>
      </c>
    </row>
    <row r="1739" customFormat="false" ht="15" hidden="false" customHeight="false" outlineLevel="0" collapsed="false">
      <c r="A1739" s="39" t="s">
        <v>1996</v>
      </c>
      <c r="B1739" s="39" t="s">
        <v>3204</v>
      </c>
      <c r="C1739" s="41" t="n">
        <v>1.21</v>
      </c>
    </row>
    <row r="1740" customFormat="false" ht="15" hidden="false" customHeight="false" outlineLevel="0" collapsed="false">
      <c r="A1740" s="39" t="s">
        <v>1768</v>
      </c>
      <c r="B1740" s="39" t="s">
        <v>3206</v>
      </c>
      <c r="C1740" s="41" t="n">
        <v>0.4</v>
      </c>
    </row>
    <row r="1741" customFormat="false" ht="15" hidden="false" customHeight="false" outlineLevel="0" collapsed="false">
      <c r="A1741" s="39" t="s">
        <v>1242</v>
      </c>
      <c r="B1741" s="39" t="s">
        <v>3205</v>
      </c>
      <c r="C1741" s="41" t="n">
        <v>33.58</v>
      </c>
    </row>
    <row r="1742" customFormat="false" ht="15" hidden="false" customHeight="false" outlineLevel="0" collapsed="false">
      <c r="A1742" s="39" t="s">
        <v>2694</v>
      </c>
      <c r="B1742" s="39" t="s">
        <v>3203</v>
      </c>
      <c r="C1742" s="41" t="n">
        <v>4.84</v>
      </c>
    </row>
    <row r="1743" customFormat="false" ht="15" hidden="false" customHeight="false" outlineLevel="0" collapsed="false">
      <c r="A1743" s="39" t="s">
        <v>1985</v>
      </c>
      <c r="B1743" s="39" t="s">
        <v>3203</v>
      </c>
      <c r="C1743" s="41" t="n">
        <v>16.73</v>
      </c>
    </row>
    <row r="1744" customFormat="false" ht="15" hidden="false" customHeight="false" outlineLevel="0" collapsed="false">
      <c r="A1744" s="39" t="s">
        <v>2405</v>
      </c>
      <c r="B1744" s="39" t="s">
        <v>3204</v>
      </c>
      <c r="C1744" s="41" t="n">
        <v>0.82</v>
      </c>
    </row>
    <row r="1745" customFormat="false" ht="15" hidden="false" customHeight="false" outlineLevel="0" collapsed="false">
      <c r="A1745" s="39" t="s">
        <v>2342</v>
      </c>
      <c r="B1745" s="39" t="s">
        <v>3205</v>
      </c>
      <c r="C1745" s="41" t="n">
        <v>9.56</v>
      </c>
    </row>
    <row r="1746" customFormat="false" ht="15" hidden="false" customHeight="false" outlineLevel="0" collapsed="false">
      <c r="A1746" s="39" t="s">
        <v>2130</v>
      </c>
      <c r="B1746" s="39" t="s">
        <v>3203</v>
      </c>
      <c r="C1746" s="41" t="n">
        <v>4.04</v>
      </c>
    </row>
    <row r="1747" customFormat="false" ht="15" hidden="false" customHeight="false" outlineLevel="0" collapsed="false">
      <c r="A1747" s="39" t="s">
        <v>1334</v>
      </c>
      <c r="B1747" s="39" t="s">
        <v>3204</v>
      </c>
      <c r="C1747" s="41" t="n">
        <v>38.33</v>
      </c>
    </row>
    <row r="1748" customFormat="false" ht="15" hidden="false" customHeight="false" outlineLevel="0" collapsed="false">
      <c r="A1748" s="39" t="s">
        <v>297</v>
      </c>
      <c r="B1748" s="39" t="s">
        <v>3206</v>
      </c>
      <c r="C1748" s="41" t="n">
        <v>4.76</v>
      </c>
    </row>
    <row r="1749" customFormat="false" ht="15" hidden="false" customHeight="false" outlineLevel="0" collapsed="false">
      <c r="A1749" s="39" t="s">
        <v>667</v>
      </c>
      <c r="B1749" s="39" t="s">
        <v>3206</v>
      </c>
      <c r="C1749" s="41" t="n">
        <v>16.01</v>
      </c>
    </row>
    <row r="1750" customFormat="false" ht="15" hidden="false" customHeight="false" outlineLevel="0" collapsed="false">
      <c r="A1750" s="39" t="s">
        <v>2696</v>
      </c>
      <c r="B1750" s="39" t="s">
        <v>3203</v>
      </c>
      <c r="C1750" s="41" t="n">
        <v>26.03</v>
      </c>
    </row>
    <row r="1751" customFormat="false" ht="15" hidden="false" customHeight="false" outlineLevel="0" collapsed="false">
      <c r="A1751" s="39" t="s">
        <v>776</v>
      </c>
      <c r="B1751" s="39" t="s">
        <v>3204</v>
      </c>
      <c r="C1751" s="41" t="n">
        <v>14.4</v>
      </c>
    </row>
    <row r="1752" customFormat="false" ht="15" hidden="false" customHeight="false" outlineLevel="0" collapsed="false">
      <c r="A1752" s="39" t="s">
        <v>2586</v>
      </c>
      <c r="B1752" s="39" t="s">
        <v>3203</v>
      </c>
      <c r="C1752" s="41" t="n">
        <v>1.55</v>
      </c>
    </row>
    <row r="1753" customFormat="false" ht="15" hidden="false" customHeight="false" outlineLevel="0" collapsed="false">
      <c r="A1753" s="39" t="s">
        <v>2818</v>
      </c>
      <c r="B1753" s="39" t="s">
        <v>3203</v>
      </c>
      <c r="C1753" s="41" t="n">
        <v>1.59</v>
      </c>
    </row>
    <row r="1754" customFormat="false" ht="15" hidden="false" customHeight="false" outlineLevel="0" collapsed="false">
      <c r="A1754" s="39" t="s">
        <v>2892</v>
      </c>
      <c r="B1754" s="39" t="s">
        <v>3206</v>
      </c>
      <c r="C1754" s="41" t="n">
        <v>11.17</v>
      </c>
    </row>
    <row r="1755" customFormat="false" ht="15" hidden="false" customHeight="false" outlineLevel="0" collapsed="false">
      <c r="A1755" s="39" t="s">
        <v>307</v>
      </c>
      <c r="B1755" s="39" t="s">
        <v>3206</v>
      </c>
      <c r="C1755" s="41" t="n">
        <v>43.78</v>
      </c>
    </row>
    <row r="1756" customFormat="false" ht="15" hidden="false" customHeight="false" outlineLevel="0" collapsed="false">
      <c r="A1756" s="39" t="s">
        <v>1051</v>
      </c>
      <c r="B1756" s="39" t="s">
        <v>3204</v>
      </c>
      <c r="C1756" s="41" t="n">
        <v>2.58</v>
      </c>
    </row>
    <row r="1757" customFormat="false" ht="15" hidden="false" customHeight="false" outlineLevel="0" collapsed="false">
      <c r="A1757" s="39" t="s">
        <v>1297</v>
      </c>
      <c r="B1757" s="39" t="s">
        <v>3206</v>
      </c>
      <c r="C1757" s="41" t="n">
        <v>5.88</v>
      </c>
    </row>
    <row r="1758" customFormat="false" ht="15" hidden="false" customHeight="false" outlineLevel="0" collapsed="false">
      <c r="A1758" s="39" t="s">
        <v>380</v>
      </c>
      <c r="B1758" s="39" t="s">
        <v>3204</v>
      </c>
      <c r="C1758" s="41" t="n">
        <v>1.58</v>
      </c>
    </row>
    <row r="1759" customFormat="false" ht="15" hidden="false" customHeight="false" outlineLevel="0" collapsed="false">
      <c r="A1759" s="39" t="s">
        <v>2814</v>
      </c>
      <c r="B1759" s="39" t="s">
        <v>3204</v>
      </c>
      <c r="C1759" s="41" t="n">
        <v>14.28</v>
      </c>
    </row>
    <row r="1760" customFormat="false" ht="15" hidden="false" customHeight="false" outlineLevel="0" collapsed="false">
      <c r="A1760" s="39" t="s">
        <v>1138</v>
      </c>
      <c r="B1760" s="39" t="s">
        <v>3204</v>
      </c>
      <c r="C1760" s="41" t="n">
        <v>2.71</v>
      </c>
    </row>
    <row r="1761" customFormat="false" ht="15" hidden="false" customHeight="false" outlineLevel="0" collapsed="false">
      <c r="A1761" s="39" t="s">
        <v>2838</v>
      </c>
      <c r="B1761" s="39" t="s">
        <v>3205</v>
      </c>
      <c r="C1761" s="41" t="n">
        <v>1.27</v>
      </c>
    </row>
    <row r="1762" customFormat="false" ht="15" hidden="false" customHeight="false" outlineLevel="0" collapsed="false">
      <c r="A1762" s="39" t="s">
        <v>2625</v>
      </c>
      <c r="B1762" s="39" t="s">
        <v>3205</v>
      </c>
      <c r="C1762" s="41" t="n">
        <v>1.85</v>
      </c>
    </row>
    <row r="1763" customFormat="false" ht="15" hidden="false" customHeight="false" outlineLevel="0" collapsed="false">
      <c r="A1763" s="39" t="s">
        <v>1197</v>
      </c>
      <c r="B1763" s="39" t="s">
        <v>3204</v>
      </c>
      <c r="C1763" s="41" t="n">
        <v>1.13</v>
      </c>
    </row>
    <row r="1764" customFormat="false" ht="15" hidden="false" customHeight="false" outlineLevel="0" collapsed="false">
      <c r="A1764" s="39" t="s">
        <v>1922</v>
      </c>
      <c r="B1764" s="39" t="s">
        <v>3205</v>
      </c>
      <c r="C1764" s="41" t="n">
        <v>1.83</v>
      </c>
    </row>
    <row r="1765" customFormat="false" ht="15" hidden="false" customHeight="false" outlineLevel="0" collapsed="false">
      <c r="A1765" s="39" t="s">
        <v>633</v>
      </c>
      <c r="B1765" s="39" t="s">
        <v>3206</v>
      </c>
      <c r="C1765" s="41" t="n">
        <v>6.06</v>
      </c>
    </row>
    <row r="1766" customFormat="false" ht="15" hidden="false" customHeight="false" outlineLevel="0" collapsed="false">
      <c r="A1766" s="39" t="s">
        <v>1489</v>
      </c>
      <c r="B1766" s="39" t="s">
        <v>3205</v>
      </c>
      <c r="C1766" s="41" t="n">
        <v>4.65</v>
      </c>
    </row>
    <row r="1767" customFormat="false" ht="15" hidden="false" customHeight="false" outlineLevel="0" collapsed="false">
      <c r="A1767" s="39" t="s">
        <v>1639</v>
      </c>
      <c r="B1767" s="39" t="s">
        <v>3204</v>
      </c>
      <c r="C1767" s="41" t="n">
        <v>3.91</v>
      </c>
    </row>
    <row r="1768" customFormat="false" ht="15" hidden="false" customHeight="false" outlineLevel="0" collapsed="false">
      <c r="A1768" s="39" t="s">
        <v>456</v>
      </c>
      <c r="B1768" s="39" t="s">
        <v>3205</v>
      </c>
      <c r="C1768" s="41" t="n">
        <v>0.45</v>
      </c>
    </row>
    <row r="1769" customFormat="false" ht="15" hidden="false" customHeight="false" outlineLevel="0" collapsed="false">
      <c r="A1769" s="39" t="s">
        <v>1593</v>
      </c>
      <c r="B1769" s="39" t="s">
        <v>3205</v>
      </c>
      <c r="C1769" s="41" t="n">
        <v>1.01</v>
      </c>
    </row>
    <row r="1770" customFormat="false" ht="15" hidden="false" customHeight="false" outlineLevel="0" collapsed="false">
      <c r="A1770" s="39" t="s">
        <v>168</v>
      </c>
      <c r="B1770" s="39" t="s">
        <v>3206</v>
      </c>
      <c r="C1770" s="41" t="n">
        <v>1.62</v>
      </c>
    </row>
    <row r="1771" customFormat="false" ht="15" hidden="false" customHeight="false" outlineLevel="0" collapsed="false">
      <c r="A1771" s="39" t="s">
        <v>3057</v>
      </c>
      <c r="B1771" s="39" t="s">
        <v>3205</v>
      </c>
      <c r="C1771" s="41" t="n">
        <v>0.64</v>
      </c>
    </row>
    <row r="1772" customFormat="false" ht="15" hidden="false" customHeight="false" outlineLevel="0" collapsed="false">
      <c r="A1772" s="39" t="s">
        <v>1522</v>
      </c>
      <c r="B1772" s="39" t="s">
        <v>3203</v>
      </c>
      <c r="C1772" s="41" t="n">
        <v>2.17</v>
      </c>
    </row>
    <row r="1773" customFormat="false" ht="15" hidden="false" customHeight="false" outlineLevel="0" collapsed="false">
      <c r="A1773" s="39" t="s">
        <v>441</v>
      </c>
      <c r="B1773" s="39" t="s">
        <v>3206</v>
      </c>
      <c r="C1773" s="41" t="n">
        <v>18.21</v>
      </c>
    </row>
    <row r="1774" customFormat="false" ht="15" hidden="false" customHeight="false" outlineLevel="0" collapsed="false">
      <c r="A1774" s="39" t="s">
        <v>1075</v>
      </c>
      <c r="B1774" s="39" t="s">
        <v>3204</v>
      </c>
      <c r="C1774" s="41" t="n">
        <v>4.59</v>
      </c>
    </row>
    <row r="1775" customFormat="false" ht="15" hidden="false" customHeight="false" outlineLevel="0" collapsed="false">
      <c r="A1775" s="39" t="s">
        <v>2031</v>
      </c>
      <c r="B1775" s="39" t="s">
        <v>3205</v>
      </c>
      <c r="C1775" s="41" t="n">
        <v>0.98</v>
      </c>
    </row>
    <row r="1776" customFormat="false" ht="15" hidden="false" customHeight="false" outlineLevel="0" collapsed="false">
      <c r="A1776" s="39" t="s">
        <v>401</v>
      </c>
      <c r="B1776" s="39" t="s">
        <v>3205</v>
      </c>
      <c r="C1776" s="41" t="n">
        <v>1.45</v>
      </c>
    </row>
    <row r="1777" customFormat="false" ht="15" hidden="false" customHeight="false" outlineLevel="0" collapsed="false">
      <c r="A1777" s="39" t="s">
        <v>798</v>
      </c>
      <c r="B1777" s="39" t="s">
        <v>3204</v>
      </c>
      <c r="C1777" s="41" t="n">
        <v>0.57</v>
      </c>
    </row>
    <row r="1778" customFormat="false" ht="15" hidden="false" customHeight="false" outlineLevel="0" collapsed="false">
      <c r="A1778" s="39" t="s">
        <v>1483</v>
      </c>
      <c r="B1778" s="39" t="s">
        <v>3206</v>
      </c>
      <c r="C1778" s="41" t="n">
        <v>1.2</v>
      </c>
    </row>
    <row r="1779" customFormat="false" ht="15" hidden="false" customHeight="false" outlineLevel="0" collapsed="false">
      <c r="A1779" s="39" t="s">
        <v>1244</v>
      </c>
      <c r="B1779" s="39" t="s">
        <v>3203</v>
      </c>
      <c r="C1779" s="41" t="n">
        <v>1.24</v>
      </c>
    </row>
    <row r="1780" customFormat="false" ht="15" hidden="false" customHeight="false" outlineLevel="0" collapsed="false">
      <c r="A1780" s="39" t="s">
        <v>866</v>
      </c>
      <c r="B1780" s="39" t="s">
        <v>3206</v>
      </c>
      <c r="C1780" s="41" t="n">
        <v>0.51</v>
      </c>
    </row>
    <row r="1781" customFormat="false" ht="15" hidden="false" customHeight="false" outlineLevel="0" collapsed="false">
      <c r="A1781" s="39" t="s">
        <v>373</v>
      </c>
      <c r="B1781" s="39" t="s">
        <v>3204</v>
      </c>
      <c r="C1781" s="41" t="n">
        <v>2.2</v>
      </c>
    </row>
    <row r="1782" customFormat="false" ht="15" hidden="false" customHeight="false" outlineLevel="0" collapsed="false">
      <c r="A1782" s="39" t="s">
        <v>2154</v>
      </c>
      <c r="B1782" s="39" t="s">
        <v>3203</v>
      </c>
      <c r="C1782" s="41" t="n">
        <v>0.3</v>
      </c>
    </row>
    <row r="1783" customFormat="false" ht="15" hidden="false" customHeight="false" outlineLevel="0" collapsed="false">
      <c r="A1783" s="39" t="s">
        <v>191</v>
      </c>
      <c r="B1783" s="39" t="s">
        <v>3206</v>
      </c>
      <c r="C1783" s="41" t="n">
        <v>3</v>
      </c>
    </row>
    <row r="1784" customFormat="false" ht="15" hidden="false" customHeight="false" outlineLevel="0" collapsed="false">
      <c r="A1784" s="39" t="s">
        <v>1644</v>
      </c>
      <c r="B1784" s="39" t="s">
        <v>3204</v>
      </c>
      <c r="C1784" s="41" t="n">
        <v>0.25</v>
      </c>
    </row>
    <row r="1785" customFormat="false" ht="15" hidden="false" customHeight="false" outlineLevel="0" collapsed="false">
      <c r="A1785" s="39" t="s">
        <v>1365</v>
      </c>
      <c r="B1785" s="39" t="s">
        <v>3204</v>
      </c>
      <c r="C1785" s="41" t="n">
        <v>7.14</v>
      </c>
    </row>
    <row r="1786" customFormat="false" ht="15" hidden="false" customHeight="false" outlineLevel="0" collapsed="false">
      <c r="A1786" s="39" t="s">
        <v>1943</v>
      </c>
      <c r="B1786" s="39" t="s">
        <v>3204</v>
      </c>
      <c r="C1786" s="41" t="n">
        <v>5.16</v>
      </c>
    </row>
    <row r="1787" customFormat="false" ht="15" hidden="false" customHeight="false" outlineLevel="0" collapsed="false">
      <c r="A1787" s="39" t="s">
        <v>3032</v>
      </c>
      <c r="B1787" s="39" t="s">
        <v>3206</v>
      </c>
      <c r="C1787" s="41" t="n">
        <v>4.52</v>
      </c>
    </row>
    <row r="1788" customFormat="false" ht="15" hidden="false" customHeight="false" outlineLevel="0" collapsed="false">
      <c r="A1788" s="39" t="s">
        <v>2012</v>
      </c>
      <c r="B1788" s="39" t="s">
        <v>3206</v>
      </c>
      <c r="C1788" s="41" t="n">
        <v>18.33</v>
      </c>
    </row>
    <row r="1789" customFormat="false" ht="15" hidden="false" customHeight="false" outlineLevel="0" collapsed="false">
      <c r="A1789" s="39" t="s">
        <v>3102</v>
      </c>
      <c r="B1789" s="39" t="s">
        <v>3206</v>
      </c>
      <c r="C1789" s="41" t="n">
        <v>6.87</v>
      </c>
    </row>
    <row r="1790" customFormat="false" ht="15" hidden="false" customHeight="false" outlineLevel="0" collapsed="false">
      <c r="A1790" s="39" t="s">
        <v>2671</v>
      </c>
      <c r="B1790" s="39" t="s">
        <v>3206</v>
      </c>
      <c r="C1790" s="41" t="n">
        <v>2.28</v>
      </c>
    </row>
    <row r="1791" customFormat="false" ht="15" hidden="false" customHeight="false" outlineLevel="0" collapsed="false">
      <c r="A1791" s="39" t="s">
        <v>591</v>
      </c>
      <c r="B1791" s="39" t="s">
        <v>3206</v>
      </c>
      <c r="C1791" s="41" t="n">
        <v>14.51</v>
      </c>
    </row>
    <row r="1792" customFormat="false" ht="15" hidden="false" customHeight="false" outlineLevel="0" collapsed="false">
      <c r="A1792" s="39" t="s">
        <v>2761</v>
      </c>
      <c r="B1792" s="39" t="s">
        <v>3204</v>
      </c>
      <c r="C1792" s="41" t="n">
        <v>1.21</v>
      </c>
    </row>
    <row r="1793" customFormat="false" ht="15" hidden="false" customHeight="false" outlineLevel="0" collapsed="false">
      <c r="A1793" s="39" t="s">
        <v>1265</v>
      </c>
      <c r="B1793" s="39" t="s">
        <v>3203</v>
      </c>
      <c r="C1793" s="41" t="n">
        <v>13.79</v>
      </c>
    </row>
    <row r="1794" customFormat="false" ht="15" hidden="false" customHeight="false" outlineLevel="0" collapsed="false">
      <c r="A1794" s="39" t="s">
        <v>1348</v>
      </c>
      <c r="B1794" s="39" t="s">
        <v>3206</v>
      </c>
      <c r="C1794" s="41" t="n">
        <v>9.95</v>
      </c>
    </row>
    <row r="1795" customFormat="false" ht="15" hidden="false" customHeight="false" outlineLevel="0" collapsed="false">
      <c r="A1795" s="39" t="s">
        <v>3006</v>
      </c>
      <c r="B1795" s="39" t="s">
        <v>3204</v>
      </c>
      <c r="C1795" s="41" t="n">
        <v>1.19</v>
      </c>
    </row>
    <row r="1796" customFormat="false" ht="15" hidden="false" customHeight="false" outlineLevel="0" collapsed="false">
      <c r="A1796" s="39" t="s">
        <v>407</v>
      </c>
      <c r="B1796" s="39" t="s">
        <v>3206</v>
      </c>
      <c r="C1796" s="41" t="n">
        <v>4.82</v>
      </c>
    </row>
    <row r="1797" customFormat="false" ht="15" hidden="false" customHeight="false" outlineLevel="0" collapsed="false">
      <c r="A1797" s="39" t="s">
        <v>2414</v>
      </c>
      <c r="B1797" s="39" t="s">
        <v>3206</v>
      </c>
      <c r="C1797" s="41" t="n">
        <v>2.16</v>
      </c>
    </row>
    <row r="1798" customFormat="false" ht="15" hidden="false" customHeight="false" outlineLevel="0" collapsed="false">
      <c r="A1798" s="39" t="s">
        <v>3048</v>
      </c>
      <c r="B1798" s="39" t="s">
        <v>3204</v>
      </c>
      <c r="C1798" s="41" t="n">
        <v>6.22</v>
      </c>
    </row>
    <row r="1799" customFormat="false" ht="15" hidden="false" customHeight="false" outlineLevel="0" collapsed="false">
      <c r="A1799" s="39" t="s">
        <v>2218</v>
      </c>
      <c r="B1799" s="39" t="s">
        <v>3203</v>
      </c>
      <c r="C1799" s="41" t="n">
        <v>1.89</v>
      </c>
    </row>
    <row r="1800" customFormat="false" ht="15" hidden="false" customHeight="false" outlineLevel="0" collapsed="false">
      <c r="A1800" s="39" t="s">
        <v>2978</v>
      </c>
      <c r="B1800" s="39" t="s">
        <v>3205</v>
      </c>
      <c r="C1800" s="41" t="n">
        <v>0.43</v>
      </c>
    </row>
    <row r="1801" customFormat="false" ht="15" hidden="false" customHeight="false" outlineLevel="0" collapsed="false">
      <c r="A1801" s="39" t="s">
        <v>1460</v>
      </c>
      <c r="B1801" s="39" t="s">
        <v>3205</v>
      </c>
      <c r="C1801" s="41" t="n">
        <v>3.14</v>
      </c>
    </row>
    <row r="1802" customFormat="false" ht="15" hidden="false" customHeight="false" outlineLevel="0" collapsed="false">
      <c r="A1802" s="39" t="s">
        <v>1461</v>
      </c>
      <c r="B1802" s="39" t="s">
        <v>3205</v>
      </c>
      <c r="C1802" s="41" t="n">
        <v>3.47</v>
      </c>
    </row>
    <row r="1803" customFormat="false" ht="15" hidden="false" customHeight="false" outlineLevel="0" collapsed="false">
      <c r="A1803" s="39" t="s">
        <v>1415</v>
      </c>
      <c r="B1803" s="39" t="s">
        <v>3204</v>
      </c>
      <c r="C1803" s="41" t="n">
        <v>1.22</v>
      </c>
    </row>
    <row r="1804" customFormat="false" ht="15" hidden="false" customHeight="false" outlineLevel="0" collapsed="false">
      <c r="A1804" s="39" t="s">
        <v>382</v>
      </c>
      <c r="B1804" s="39" t="s">
        <v>3206</v>
      </c>
      <c r="C1804" s="41" t="n">
        <v>3.64</v>
      </c>
    </row>
    <row r="1805" customFormat="false" ht="15" hidden="false" customHeight="false" outlineLevel="0" collapsed="false">
      <c r="A1805" s="39" t="s">
        <v>875</v>
      </c>
      <c r="B1805" s="39" t="s">
        <v>3204</v>
      </c>
      <c r="C1805" s="41" t="n">
        <v>28.64</v>
      </c>
    </row>
    <row r="1806" customFormat="false" ht="15" hidden="false" customHeight="false" outlineLevel="0" collapsed="false">
      <c r="A1806" s="39" t="s">
        <v>2197</v>
      </c>
      <c r="B1806" s="39" t="s">
        <v>3205</v>
      </c>
      <c r="C1806" s="41" t="n">
        <v>3.39</v>
      </c>
    </row>
    <row r="1807" customFormat="false" ht="15" hidden="false" customHeight="false" outlineLevel="0" collapsed="false">
      <c r="A1807" s="39" t="s">
        <v>1876</v>
      </c>
      <c r="B1807" s="39" t="s">
        <v>3204</v>
      </c>
      <c r="C1807" s="41" t="n">
        <v>2.64</v>
      </c>
    </row>
    <row r="1808" customFormat="false" ht="15" hidden="false" customHeight="false" outlineLevel="0" collapsed="false">
      <c r="A1808" s="39" t="s">
        <v>1031</v>
      </c>
      <c r="B1808" s="39" t="s">
        <v>3206</v>
      </c>
      <c r="C1808" s="41" t="n">
        <v>7.42</v>
      </c>
    </row>
    <row r="1809" customFormat="false" ht="15" hidden="false" customHeight="false" outlineLevel="0" collapsed="false">
      <c r="A1809" s="39" t="s">
        <v>679</v>
      </c>
      <c r="B1809" s="39" t="s">
        <v>3204</v>
      </c>
      <c r="C1809" s="41" t="n">
        <v>1.61</v>
      </c>
    </row>
    <row r="1810" customFormat="false" ht="15" hidden="false" customHeight="false" outlineLevel="0" collapsed="false">
      <c r="A1810" s="39" t="s">
        <v>1001</v>
      </c>
      <c r="B1810" s="39" t="s">
        <v>3206</v>
      </c>
      <c r="C1810" s="41" t="n">
        <v>2.04</v>
      </c>
    </row>
    <row r="1811" customFormat="false" ht="15" hidden="false" customHeight="false" outlineLevel="0" collapsed="false">
      <c r="A1811" s="39" t="s">
        <v>2662</v>
      </c>
      <c r="B1811" s="39" t="s">
        <v>3206</v>
      </c>
      <c r="C1811" s="41" t="n">
        <v>2.57</v>
      </c>
    </row>
    <row r="1812" customFormat="false" ht="15" hidden="false" customHeight="false" outlineLevel="0" collapsed="false">
      <c r="A1812" s="39" t="s">
        <v>2758</v>
      </c>
      <c r="B1812" s="39" t="s">
        <v>3206</v>
      </c>
      <c r="C1812" s="41" t="n">
        <v>45.8</v>
      </c>
    </row>
    <row r="1813" customFormat="false" ht="15" hidden="false" customHeight="false" outlineLevel="0" collapsed="false">
      <c r="A1813" s="39" t="s">
        <v>2187</v>
      </c>
      <c r="B1813" s="39" t="s">
        <v>3204</v>
      </c>
      <c r="C1813" s="41" t="n">
        <v>46.52</v>
      </c>
    </row>
    <row r="1814" customFormat="false" ht="15" hidden="false" customHeight="false" outlineLevel="0" collapsed="false">
      <c r="A1814" s="39" t="s">
        <v>1976</v>
      </c>
      <c r="B1814" s="39" t="s">
        <v>3204</v>
      </c>
      <c r="C1814" s="41" t="n">
        <v>9.25</v>
      </c>
    </row>
    <row r="1815" customFormat="false" ht="15" hidden="false" customHeight="false" outlineLevel="0" collapsed="false">
      <c r="A1815" s="39" t="s">
        <v>2651</v>
      </c>
      <c r="B1815" s="39" t="s">
        <v>3205</v>
      </c>
      <c r="C1815" s="41" t="n">
        <v>0.3</v>
      </c>
    </row>
    <row r="1816" customFormat="false" ht="15" hidden="false" customHeight="false" outlineLevel="0" collapsed="false">
      <c r="A1816" s="39" t="s">
        <v>796</v>
      </c>
      <c r="B1816" s="39" t="s">
        <v>3206</v>
      </c>
      <c r="C1816" s="41" t="n">
        <v>0.33</v>
      </c>
    </row>
    <row r="1817" customFormat="false" ht="15" hidden="false" customHeight="false" outlineLevel="0" collapsed="false">
      <c r="A1817" s="39" t="s">
        <v>2910</v>
      </c>
      <c r="B1817" s="39" t="s">
        <v>3204</v>
      </c>
      <c r="C1817" s="41" t="n">
        <v>1.18</v>
      </c>
    </row>
    <row r="1818" customFormat="false" ht="15" hidden="false" customHeight="false" outlineLevel="0" collapsed="false">
      <c r="A1818" s="39" t="s">
        <v>215</v>
      </c>
      <c r="B1818" s="39" t="s">
        <v>3203</v>
      </c>
      <c r="C1818" s="41" t="n">
        <v>0.88</v>
      </c>
    </row>
    <row r="1819" customFormat="false" ht="15" hidden="false" customHeight="false" outlineLevel="0" collapsed="false">
      <c r="A1819" s="39" t="s">
        <v>1575</v>
      </c>
      <c r="B1819" s="39" t="s">
        <v>3203</v>
      </c>
      <c r="C1819" s="41" t="n">
        <v>24.07</v>
      </c>
    </row>
    <row r="1820" customFormat="false" ht="15" hidden="false" customHeight="false" outlineLevel="0" collapsed="false">
      <c r="A1820" s="39" t="s">
        <v>465</v>
      </c>
      <c r="B1820" s="39" t="s">
        <v>3206</v>
      </c>
      <c r="C1820" s="41" t="n">
        <v>4.7</v>
      </c>
    </row>
    <row r="1821" customFormat="false" ht="15" hidden="false" customHeight="false" outlineLevel="0" collapsed="false">
      <c r="A1821" s="39" t="s">
        <v>2207</v>
      </c>
      <c r="B1821" s="39" t="s">
        <v>3205</v>
      </c>
      <c r="C1821" s="41" t="n">
        <v>0.51</v>
      </c>
    </row>
    <row r="1822" customFormat="false" ht="15" hidden="false" customHeight="false" outlineLevel="0" collapsed="false">
      <c r="A1822" s="39" t="s">
        <v>2140</v>
      </c>
      <c r="B1822" s="39" t="s">
        <v>3203</v>
      </c>
      <c r="C1822" s="41" t="n">
        <v>31.81</v>
      </c>
    </row>
    <row r="1823" customFormat="false" ht="15" hidden="false" customHeight="false" outlineLevel="0" collapsed="false">
      <c r="A1823" s="39" t="s">
        <v>1720</v>
      </c>
      <c r="B1823" s="39" t="s">
        <v>3204</v>
      </c>
      <c r="C1823" s="41" t="n">
        <v>0.38</v>
      </c>
    </row>
    <row r="1824" customFormat="false" ht="15" hidden="false" customHeight="false" outlineLevel="0" collapsed="false">
      <c r="A1824" s="39" t="s">
        <v>2457</v>
      </c>
      <c r="B1824" s="39" t="s">
        <v>3203</v>
      </c>
      <c r="C1824" s="41" t="n">
        <v>7.25</v>
      </c>
    </row>
    <row r="1825" customFormat="false" ht="15" hidden="false" customHeight="false" outlineLevel="0" collapsed="false">
      <c r="A1825" s="39" t="s">
        <v>1495</v>
      </c>
      <c r="B1825" s="39" t="s">
        <v>3206</v>
      </c>
      <c r="C1825" s="41" t="n">
        <v>7.14</v>
      </c>
    </row>
    <row r="1826" customFormat="false" ht="15" hidden="false" customHeight="false" outlineLevel="0" collapsed="false">
      <c r="A1826" s="39" t="s">
        <v>2626</v>
      </c>
      <c r="B1826" s="39" t="s">
        <v>3203</v>
      </c>
      <c r="C1826" s="41" t="n">
        <v>3.4</v>
      </c>
    </row>
    <row r="1827" customFormat="false" ht="15" hidden="false" customHeight="false" outlineLevel="0" collapsed="false">
      <c r="A1827" s="39" t="s">
        <v>3042</v>
      </c>
      <c r="B1827" s="39" t="s">
        <v>3206</v>
      </c>
      <c r="C1827" s="41" t="n">
        <v>8.01</v>
      </c>
    </row>
    <row r="1828" customFormat="false" ht="15" hidden="false" customHeight="false" outlineLevel="0" collapsed="false">
      <c r="A1828" s="39" t="s">
        <v>3052</v>
      </c>
      <c r="B1828" s="39" t="s">
        <v>3205</v>
      </c>
      <c r="C1828" s="41" t="n">
        <v>1.44</v>
      </c>
    </row>
    <row r="1829" customFormat="false" ht="15" hidden="false" customHeight="false" outlineLevel="0" collapsed="false">
      <c r="A1829" s="39" t="s">
        <v>2225</v>
      </c>
      <c r="B1829" s="39" t="s">
        <v>3203</v>
      </c>
      <c r="C1829" s="41" t="n">
        <v>58.11</v>
      </c>
    </row>
    <row r="1830" customFormat="false" ht="15" hidden="false" customHeight="false" outlineLevel="0" collapsed="false">
      <c r="A1830" s="39" t="s">
        <v>1960</v>
      </c>
      <c r="B1830" s="39" t="s">
        <v>3204</v>
      </c>
      <c r="C1830" s="41" t="n">
        <v>7.1</v>
      </c>
    </row>
    <row r="1831" customFormat="false" ht="15" hidden="false" customHeight="false" outlineLevel="0" collapsed="false">
      <c r="A1831" s="39" t="s">
        <v>3027</v>
      </c>
      <c r="B1831" s="39" t="s">
        <v>3203</v>
      </c>
      <c r="C1831" s="41" t="n">
        <v>17.17</v>
      </c>
    </row>
    <row r="1832" customFormat="false" ht="15" hidden="false" customHeight="false" outlineLevel="0" collapsed="false">
      <c r="A1832" s="39" t="s">
        <v>1391</v>
      </c>
      <c r="B1832" s="39" t="s">
        <v>3205</v>
      </c>
      <c r="C1832" s="41" t="n">
        <v>12.6</v>
      </c>
    </row>
    <row r="1833" customFormat="false" ht="15" hidden="false" customHeight="false" outlineLevel="0" collapsed="false">
      <c r="A1833" s="39" t="s">
        <v>1711</v>
      </c>
      <c r="B1833" s="39" t="s">
        <v>3205</v>
      </c>
      <c r="C1833" s="41" t="n">
        <v>0.46</v>
      </c>
    </row>
    <row r="1834" customFormat="false" ht="15" hidden="false" customHeight="false" outlineLevel="0" collapsed="false">
      <c r="A1834" s="39" t="s">
        <v>2655</v>
      </c>
      <c r="B1834" s="39" t="s">
        <v>3206</v>
      </c>
      <c r="C1834" s="41" t="n">
        <v>3.18</v>
      </c>
    </row>
    <row r="1835" customFormat="false" ht="15" hidden="false" customHeight="false" outlineLevel="0" collapsed="false">
      <c r="A1835" s="39" t="s">
        <v>2633</v>
      </c>
      <c r="B1835" s="39" t="s">
        <v>3206</v>
      </c>
      <c r="C1835" s="41" t="n">
        <v>0.74</v>
      </c>
    </row>
    <row r="1836" customFormat="false" ht="15" hidden="false" customHeight="false" outlineLevel="0" collapsed="false">
      <c r="A1836" s="39" t="s">
        <v>1067</v>
      </c>
      <c r="B1836" s="39" t="s">
        <v>3206</v>
      </c>
      <c r="C1836" s="41" t="n">
        <v>31.2</v>
      </c>
    </row>
    <row r="1837" customFormat="false" ht="15" hidden="false" customHeight="false" outlineLevel="0" collapsed="false">
      <c r="A1837" s="39" t="s">
        <v>537</v>
      </c>
      <c r="B1837" s="39" t="s">
        <v>3206</v>
      </c>
      <c r="C1837" s="41" t="n">
        <v>3.55</v>
      </c>
    </row>
    <row r="1838" customFormat="false" ht="15" hidden="false" customHeight="false" outlineLevel="0" collapsed="false">
      <c r="A1838" s="39" t="s">
        <v>1400</v>
      </c>
      <c r="B1838" s="39" t="s">
        <v>3206</v>
      </c>
      <c r="C1838" s="41" t="n">
        <v>1.12</v>
      </c>
    </row>
    <row r="1839" customFormat="false" ht="15" hidden="false" customHeight="false" outlineLevel="0" collapsed="false">
      <c r="A1839" s="39" t="s">
        <v>1030</v>
      </c>
      <c r="B1839" s="39" t="s">
        <v>3206</v>
      </c>
      <c r="C1839" s="41" t="n">
        <v>10.06</v>
      </c>
    </row>
    <row r="1840" customFormat="false" ht="15" hidden="false" customHeight="false" outlineLevel="0" collapsed="false">
      <c r="A1840" s="39" t="s">
        <v>1500</v>
      </c>
      <c r="B1840" s="39" t="s">
        <v>3204</v>
      </c>
      <c r="C1840" s="41" t="n">
        <v>0.9</v>
      </c>
    </row>
    <row r="1841" customFormat="false" ht="15" hidden="false" customHeight="false" outlineLevel="0" collapsed="false">
      <c r="A1841" s="39" t="s">
        <v>2334</v>
      </c>
      <c r="B1841" s="39" t="s">
        <v>3203</v>
      </c>
      <c r="C1841" s="41" t="n">
        <v>0.47</v>
      </c>
    </row>
    <row r="1842" customFormat="false" ht="15" hidden="false" customHeight="false" outlineLevel="0" collapsed="false">
      <c r="A1842" s="39" t="s">
        <v>1844</v>
      </c>
      <c r="B1842" s="39" t="s">
        <v>3204</v>
      </c>
      <c r="C1842" s="41" t="n">
        <v>7.56</v>
      </c>
    </row>
    <row r="1843" customFormat="false" ht="15" hidden="false" customHeight="false" outlineLevel="0" collapsed="false">
      <c r="A1843" s="39" t="s">
        <v>1299</v>
      </c>
      <c r="B1843" s="39" t="s">
        <v>3206</v>
      </c>
      <c r="C1843" s="41" t="n">
        <v>10.5</v>
      </c>
    </row>
    <row r="1844" customFormat="false" ht="15" hidden="false" customHeight="false" outlineLevel="0" collapsed="false">
      <c r="A1844" s="39" t="s">
        <v>1382</v>
      </c>
      <c r="B1844" s="39" t="s">
        <v>3206</v>
      </c>
      <c r="C1844" s="41" t="n">
        <v>4.52</v>
      </c>
    </row>
    <row r="1845" customFormat="false" ht="15" hidden="false" customHeight="false" outlineLevel="0" collapsed="false">
      <c r="A1845" s="39" t="s">
        <v>1633</v>
      </c>
      <c r="B1845" s="39" t="s">
        <v>3206</v>
      </c>
      <c r="C1845" s="41" t="n">
        <v>4.86</v>
      </c>
    </row>
    <row r="1846" customFormat="false" ht="15" hidden="false" customHeight="false" outlineLevel="0" collapsed="false">
      <c r="A1846" s="39" t="s">
        <v>2751</v>
      </c>
      <c r="B1846" s="39" t="s">
        <v>3205</v>
      </c>
      <c r="C1846" s="41" t="n">
        <v>1.13</v>
      </c>
    </row>
    <row r="1847" customFormat="false" ht="15" hidden="false" customHeight="false" outlineLevel="0" collapsed="false">
      <c r="A1847" s="39" t="s">
        <v>2119</v>
      </c>
      <c r="B1847" s="39" t="s">
        <v>3205</v>
      </c>
      <c r="C1847" s="41" t="n">
        <v>0.87</v>
      </c>
    </row>
    <row r="1848" customFormat="false" ht="15" hidden="false" customHeight="false" outlineLevel="0" collapsed="false">
      <c r="A1848" s="39" t="s">
        <v>1091</v>
      </c>
      <c r="B1848" s="39" t="s">
        <v>3205</v>
      </c>
      <c r="C1848" s="41" t="n">
        <v>1.33</v>
      </c>
    </row>
    <row r="1849" customFormat="false" ht="15" hidden="false" customHeight="false" outlineLevel="0" collapsed="false">
      <c r="A1849" s="39" t="s">
        <v>2377</v>
      </c>
      <c r="B1849" s="39" t="s">
        <v>3204</v>
      </c>
      <c r="C1849" s="41" t="n">
        <v>2.35</v>
      </c>
    </row>
    <row r="1850" customFormat="false" ht="15" hidden="false" customHeight="false" outlineLevel="0" collapsed="false">
      <c r="A1850" s="39" t="s">
        <v>1873</v>
      </c>
      <c r="B1850" s="39" t="s">
        <v>3206</v>
      </c>
      <c r="C1850" s="41" t="n">
        <v>2.04</v>
      </c>
    </row>
    <row r="1851" customFormat="false" ht="15" hidden="false" customHeight="false" outlineLevel="0" collapsed="false">
      <c r="A1851" s="39" t="s">
        <v>999</v>
      </c>
      <c r="B1851" s="39" t="s">
        <v>3204</v>
      </c>
      <c r="C1851" s="41" t="n">
        <v>2.99</v>
      </c>
    </row>
    <row r="1852" customFormat="false" ht="15" hidden="false" customHeight="false" outlineLevel="0" collapsed="false">
      <c r="A1852" s="39" t="s">
        <v>103</v>
      </c>
      <c r="B1852" s="39" t="s">
        <v>3206</v>
      </c>
      <c r="C1852" s="41" t="n">
        <v>1.93</v>
      </c>
    </row>
    <row r="1853" customFormat="false" ht="15" hidden="false" customHeight="false" outlineLevel="0" collapsed="false">
      <c r="A1853" s="39" t="s">
        <v>2138</v>
      </c>
      <c r="B1853" s="39" t="s">
        <v>3205</v>
      </c>
      <c r="C1853" s="41" t="n">
        <v>0.79</v>
      </c>
    </row>
    <row r="1854" customFormat="false" ht="15" hidden="false" customHeight="false" outlineLevel="0" collapsed="false">
      <c r="A1854" s="39" t="s">
        <v>2820</v>
      </c>
      <c r="B1854" s="39" t="s">
        <v>3206</v>
      </c>
      <c r="C1854" s="41" t="n">
        <v>12.3</v>
      </c>
    </row>
    <row r="1855" customFormat="false" ht="15" hidden="false" customHeight="false" outlineLevel="0" collapsed="false">
      <c r="A1855" s="39" t="s">
        <v>2082</v>
      </c>
      <c r="B1855" s="39" t="s">
        <v>3206</v>
      </c>
      <c r="C1855" s="41" t="n">
        <v>6.51</v>
      </c>
    </row>
    <row r="1856" customFormat="false" ht="15" hidden="false" customHeight="false" outlineLevel="0" collapsed="false">
      <c r="A1856" s="39" t="s">
        <v>1492</v>
      </c>
      <c r="B1856" s="39" t="s">
        <v>3205</v>
      </c>
      <c r="C1856" s="41" t="n">
        <v>0.51</v>
      </c>
    </row>
    <row r="1857" customFormat="false" ht="15" hidden="false" customHeight="false" outlineLevel="0" collapsed="false">
      <c r="A1857" s="39" t="s">
        <v>1412</v>
      </c>
      <c r="B1857" s="39" t="s">
        <v>3204</v>
      </c>
      <c r="C1857" s="41" t="n">
        <v>3.18</v>
      </c>
    </row>
    <row r="1858" customFormat="false" ht="15" hidden="false" customHeight="false" outlineLevel="0" collapsed="false">
      <c r="A1858" s="39" t="s">
        <v>113</v>
      </c>
      <c r="B1858" s="39" t="s">
        <v>3205</v>
      </c>
      <c r="C1858" s="41" t="n">
        <v>0.49</v>
      </c>
    </row>
    <row r="1859" customFormat="false" ht="15" hidden="false" customHeight="false" outlineLevel="0" collapsed="false">
      <c r="A1859" s="39" t="s">
        <v>1496</v>
      </c>
      <c r="B1859" s="39" t="s">
        <v>3205</v>
      </c>
      <c r="C1859" s="41" t="n">
        <v>15.01</v>
      </c>
    </row>
    <row r="1860" customFormat="false" ht="15" hidden="false" customHeight="false" outlineLevel="0" collapsed="false">
      <c r="A1860" s="39" t="s">
        <v>1970</v>
      </c>
      <c r="B1860" s="39" t="s">
        <v>3204</v>
      </c>
      <c r="C1860" s="41" t="n">
        <v>2.48</v>
      </c>
    </row>
    <row r="1861" customFormat="false" ht="15" hidden="false" customHeight="false" outlineLevel="0" collapsed="false">
      <c r="A1861" s="39" t="s">
        <v>1757</v>
      </c>
      <c r="B1861" s="39" t="s">
        <v>3204</v>
      </c>
      <c r="C1861" s="41" t="n">
        <v>5.52</v>
      </c>
    </row>
    <row r="1862" customFormat="false" ht="15" hidden="false" customHeight="false" outlineLevel="0" collapsed="false">
      <c r="A1862" s="39" t="s">
        <v>1605</v>
      </c>
      <c r="B1862" s="39" t="s">
        <v>3204</v>
      </c>
      <c r="C1862" s="41" t="n">
        <v>37.74</v>
      </c>
    </row>
    <row r="1863" customFormat="false" ht="15" hidden="false" customHeight="false" outlineLevel="0" collapsed="false">
      <c r="A1863" s="39" t="s">
        <v>1750</v>
      </c>
      <c r="B1863" s="39" t="s">
        <v>3203</v>
      </c>
      <c r="C1863" s="41" t="n">
        <v>7.49</v>
      </c>
    </row>
    <row r="1864" customFormat="false" ht="15" hidden="false" customHeight="false" outlineLevel="0" collapsed="false">
      <c r="A1864" s="39" t="s">
        <v>120</v>
      </c>
      <c r="B1864" s="39" t="s">
        <v>3203</v>
      </c>
      <c r="C1864" s="41" t="n">
        <v>17.45</v>
      </c>
    </row>
    <row r="1865" customFormat="false" ht="15" hidden="false" customHeight="false" outlineLevel="0" collapsed="false">
      <c r="A1865" s="39" t="s">
        <v>1108</v>
      </c>
      <c r="B1865" s="39" t="s">
        <v>3205</v>
      </c>
      <c r="C1865" s="41" t="n">
        <v>0.64</v>
      </c>
    </row>
    <row r="1866" customFormat="false" ht="15" hidden="false" customHeight="false" outlineLevel="0" collapsed="false">
      <c r="A1866" s="39" t="s">
        <v>2354</v>
      </c>
      <c r="B1866" s="39" t="s">
        <v>3203</v>
      </c>
      <c r="C1866" s="41" t="n">
        <v>6.34</v>
      </c>
    </row>
    <row r="1867" customFormat="false" ht="15" hidden="false" customHeight="false" outlineLevel="0" collapsed="false">
      <c r="A1867" s="39" t="s">
        <v>713</v>
      </c>
      <c r="B1867" s="39" t="s">
        <v>3204</v>
      </c>
      <c r="C1867" s="41" t="n">
        <v>5.18</v>
      </c>
    </row>
    <row r="1868" customFormat="false" ht="15" hidden="false" customHeight="false" outlineLevel="0" collapsed="false">
      <c r="A1868" s="39" t="s">
        <v>3011</v>
      </c>
      <c r="B1868" s="39" t="s">
        <v>3203</v>
      </c>
      <c r="C1868" s="41" t="n">
        <v>9.29</v>
      </c>
    </row>
    <row r="1869" customFormat="false" ht="15" hidden="false" customHeight="false" outlineLevel="0" collapsed="false">
      <c r="A1869" s="39" t="s">
        <v>1735</v>
      </c>
      <c r="B1869" s="39" t="s">
        <v>3206</v>
      </c>
      <c r="C1869" s="41" t="n">
        <v>0.39</v>
      </c>
    </row>
    <row r="1870" customFormat="false" ht="15" hidden="false" customHeight="false" outlineLevel="0" collapsed="false">
      <c r="A1870" s="39" t="s">
        <v>1182</v>
      </c>
      <c r="B1870" s="39" t="s">
        <v>3204</v>
      </c>
      <c r="C1870" s="41" t="n">
        <v>10.31</v>
      </c>
    </row>
    <row r="1871" customFormat="false" ht="15" hidden="false" customHeight="false" outlineLevel="0" collapsed="false">
      <c r="A1871" s="39" t="s">
        <v>1683</v>
      </c>
      <c r="B1871" s="39" t="s">
        <v>3205</v>
      </c>
      <c r="C1871" s="41" t="n">
        <v>0.34</v>
      </c>
    </row>
    <row r="1872" customFormat="false" ht="15" hidden="false" customHeight="false" outlineLevel="0" collapsed="false">
      <c r="A1872" s="39" t="s">
        <v>1475</v>
      </c>
      <c r="B1872" s="39" t="s">
        <v>3205</v>
      </c>
      <c r="C1872" s="41" t="n">
        <v>2.53</v>
      </c>
    </row>
    <row r="1873" customFormat="false" ht="15" hidden="false" customHeight="false" outlineLevel="0" collapsed="false">
      <c r="A1873" s="39" t="s">
        <v>1450</v>
      </c>
      <c r="B1873" s="39" t="s">
        <v>3205</v>
      </c>
      <c r="C1873" s="41" t="n">
        <v>12.03</v>
      </c>
    </row>
    <row r="1874" customFormat="false" ht="15" hidden="false" customHeight="false" outlineLevel="0" collapsed="false">
      <c r="A1874" s="39" t="s">
        <v>2741</v>
      </c>
      <c r="B1874" s="39" t="s">
        <v>3206</v>
      </c>
      <c r="C1874" s="41" t="n">
        <v>4.4</v>
      </c>
    </row>
    <row r="1875" customFormat="false" ht="15" hidden="false" customHeight="false" outlineLevel="0" collapsed="false">
      <c r="A1875" s="39" t="s">
        <v>1975</v>
      </c>
      <c r="B1875" s="39" t="s">
        <v>3205</v>
      </c>
      <c r="C1875" s="41" t="n">
        <v>2.79</v>
      </c>
    </row>
    <row r="1876" customFormat="false" ht="15" hidden="false" customHeight="false" outlineLevel="0" collapsed="false">
      <c r="A1876" s="39" t="s">
        <v>1263</v>
      </c>
      <c r="B1876" s="39" t="s">
        <v>3206</v>
      </c>
      <c r="C1876" s="41" t="n">
        <v>9.56</v>
      </c>
    </row>
    <row r="1877" customFormat="false" ht="15" hidden="false" customHeight="false" outlineLevel="0" collapsed="false">
      <c r="A1877" s="39" t="s">
        <v>1547</v>
      </c>
      <c r="B1877" s="39" t="s">
        <v>3206</v>
      </c>
      <c r="C1877" s="41" t="n">
        <v>1.06</v>
      </c>
    </row>
    <row r="1878" customFormat="false" ht="15" hidden="false" customHeight="false" outlineLevel="0" collapsed="false">
      <c r="A1878" s="39" t="s">
        <v>1356</v>
      </c>
      <c r="B1878" s="39" t="s">
        <v>3203</v>
      </c>
      <c r="C1878" s="41" t="n">
        <v>31.44</v>
      </c>
    </row>
    <row r="1879" customFormat="false" ht="15" hidden="false" customHeight="false" outlineLevel="0" collapsed="false">
      <c r="A1879" s="39" t="s">
        <v>2750</v>
      </c>
      <c r="B1879" s="39" t="s">
        <v>3204</v>
      </c>
      <c r="C1879" s="41" t="n">
        <v>1.46</v>
      </c>
    </row>
    <row r="1880" customFormat="false" ht="15" hidden="false" customHeight="false" outlineLevel="0" collapsed="false">
      <c r="A1880" s="39" t="s">
        <v>427</v>
      </c>
      <c r="B1880" s="39" t="s">
        <v>3203</v>
      </c>
      <c r="C1880" s="41" t="n">
        <v>0.24</v>
      </c>
    </row>
    <row r="1881" customFormat="false" ht="15" hidden="false" customHeight="false" outlineLevel="0" collapsed="false">
      <c r="A1881" s="39" t="s">
        <v>3197</v>
      </c>
      <c r="B1881" s="39" t="s">
        <v>3205</v>
      </c>
      <c r="C1881" s="41" t="n">
        <v>8.72</v>
      </c>
    </row>
    <row r="1882" customFormat="false" ht="15" hidden="false" customHeight="false" outlineLevel="0" collapsed="false">
      <c r="A1882" s="39" t="s">
        <v>556</v>
      </c>
      <c r="B1882" s="39" t="s">
        <v>3204</v>
      </c>
      <c r="C1882" s="41" t="n">
        <v>3.33</v>
      </c>
    </row>
    <row r="1883" customFormat="false" ht="15" hidden="false" customHeight="false" outlineLevel="0" collapsed="false">
      <c r="A1883" s="39" t="s">
        <v>384</v>
      </c>
      <c r="B1883" s="39" t="s">
        <v>3204</v>
      </c>
      <c r="C1883" s="41" t="n">
        <v>20.71</v>
      </c>
    </row>
    <row r="1884" customFormat="false" ht="15" hidden="false" customHeight="false" outlineLevel="0" collapsed="false">
      <c r="A1884" s="39" t="s">
        <v>912</v>
      </c>
      <c r="B1884" s="39" t="s">
        <v>3206</v>
      </c>
      <c r="C1884" s="41" t="n">
        <v>4.42</v>
      </c>
    </row>
    <row r="1885" customFormat="false" ht="15" hidden="false" customHeight="false" outlineLevel="0" collapsed="false">
      <c r="A1885" s="39" t="s">
        <v>877</v>
      </c>
      <c r="B1885" s="39" t="s">
        <v>3206</v>
      </c>
      <c r="C1885" s="41" t="n">
        <v>52.1</v>
      </c>
    </row>
    <row r="1886" customFormat="false" ht="15" hidden="false" customHeight="false" outlineLevel="0" collapsed="false">
      <c r="A1886" s="39" t="s">
        <v>1116</v>
      </c>
      <c r="B1886" s="39" t="s">
        <v>3204</v>
      </c>
      <c r="C1886" s="41" t="n">
        <v>42.1</v>
      </c>
    </row>
    <row r="1887" customFormat="false" ht="15" hidden="false" customHeight="false" outlineLevel="0" collapsed="false">
      <c r="A1887" s="39" t="s">
        <v>2872</v>
      </c>
      <c r="B1887" s="39" t="s">
        <v>3204</v>
      </c>
      <c r="C1887" s="41" t="n">
        <v>2.97</v>
      </c>
    </row>
    <row r="1888" customFormat="false" ht="15" hidden="false" customHeight="false" outlineLevel="0" collapsed="false">
      <c r="A1888" s="39" t="s">
        <v>196</v>
      </c>
      <c r="B1888" s="39" t="s">
        <v>3206</v>
      </c>
      <c r="C1888" s="41" t="n">
        <v>0.5</v>
      </c>
    </row>
    <row r="1889" customFormat="false" ht="15" hidden="false" customHeight="false" outlineLevel="0" collapsed="false">
      <c r="A1889" s="39" t="s">
        <v>2731</v>
      </c>
      <c r="B1889" s="39" t="s">
        <v>3206</v>
      </c>
      <c r="C1889" s="41" t="n">
        <v>2.28</v>
      </c>
    </row>
    <row r="1890" customFormat="false" ht="15" hidden="false" customHeight="false" outlineLevel="0" collapsed="false">
      <c r="A1890" s="39" t="s">
        <v>311</v>
      </c>
      <c r="B1890" s="39" t="s">
        <v>3203</v>
      </c>
      <c r="C1890" s="41" t="n">
        <v>1.99</v>
      </c>
    </row>
    <row r="1891" customFormat="false" ht="15" hidden="false" customHeight="false" outlineLevel="0" collapsed="false">
      <c r="A1891" s="39" t="s">
        <v>528</v>
      </c>
      <c r="B1891" s="39" t="s">
        <v>3205</v>
      </c>
      <c r="C1891" s="41" t="n">
        <v>1.23</v>
      </c>
    </row>
    <row r="1892" customFormat="false" ht="15" hidden="false" customHeight="false" outlineLevel="0" collapsed="false">
      <c r="A1892" s="39" t="s">
        <v>122</v>
      </c>
      <c r="B1892" s="39" t="s">
        <v>3203</v>
      </c>
      <c r="C1892" s="41" t="n">
        <v>1.41</v>
      </c>
    </row>
    <row r="1893" customFormat="false" ht="15" hidden="false" customHeight="false" outlineLevel="0" collapsed="false">
      <c r="A1893" s="39" t="s">
        <v>872</v>
      </c>
      <c r="B1893" s="39" t="s">
        <v>3206</v>
      </c>
      <c r="C1893" s="41" t="n">
        <v>7.6</v>
      </c>
    </row>
    <row r="1894" customFormat="false" ht="15" hidden="false" customHeight="false" outlineLevel="0" collapsed="false">
      <c r="A1894" s="39" t="s">
        <v>819</v>
      </c>
      <c r="B1894" s="39" t="s">
        <v>3203</v>
      </c>
      <c r="C1894" s="41" t="n">
        <v>3.3</v>
      </c>
    </row>
    <row r="1895" customFormat="false" ht="15" hidden="false" customHeight="false" outlineLevel="0" collapsed="false">
      <c r="A1895" s="39" t="s">
        <v>2770</v>
      </c>
      <c r="B1895" s="39" t="s">
        <v>3204</v>
      </c>
      <c r="C1895" s="41" t="n">
        <v>0.64</v>
      </c>
    </row>
    <row r="1896" customFormat="false" ht="15" hidden="false" customHeight="false" outlineLevel="0" collapsed="false">
      <c r="A1896" s="39" t="s">
        <v>1144</v>
      </c>
      <c r="B1896" s="39" t="s">
        <v>3203</v>
      </c>
      <c r="C1896" s="41" t="n">
        <v>2.41</v>
      </c>
    </row>
    <row r="1897" customFormat="false" ht="15" hidden="false" customHeight="false" outlineLevel="0" collapsed="false">
      <c r="A1897" s="39" t="s">
        <v>1714</v>
      </c>
      <c r="B1897" s="39" t="s">
        <v>3205</v>
      </c>
      <c r="C1897" s="41" t="n">
        <v>0.28</v>
      </c>
    </row>
    <row r="1898" customFormat="false" ht="15" hidden="false" customHeight="false" outlineLevel="0" collapsed="false">
      <c r="A1898" s="39" t="s">
        <v>1786</v>
      </c>
      <c r="B1898" s="39" t="s">
        <v>3206</v>
      </c>
      <c r="C1898" s="41" t="n">
        <v>61.33</v>
      </c>
    </row>
    <row r="1899" customFormat="false" ht="15" hidden="false" customHeight="false" outlineLevel="0" collapsed="false">
      <c r="A1899" s="39" t="s">
        <v>2797</v>
      </c>
      <c r="B1899" s="39" t="s">
        <v>3206</v>
      </c>
      <c r="C1899" s="41" t="n">
        <v>38.64</v>
      </c>
    </row>
    <row r="1900" customFormat="false" ht="15" hidden="false" customHeight="false" outlineLevel="0" collapsed="false">
      <c r="A1900" s="39" t="s">
        <v>2699</v>
      </c>
      <c r="B1900" s="39" t="s">
        <v>3203</v>
      </c>
      <c r="C1900" s="41" t="n">
        <v>2.79</v>
      </c>
    </row>
    <row r="1901" customFormat="false" ht="15" hidden="false" customHeight="false" outlineLevel="0" collapsed="false">
      <c r="A1901" s="39" t="s">
        <v>1432</v>
      </c>
      <c r="B1901" s="39" t="s">
        <v>3205</v>
      </c>
      <c r="C1901" s="41" t="n">
        <v>14.03</v>
      </c>
    </row>
    <row r="1902" customFormat="false" ht="15" hidden="false" customHeight="false" outlineLevel="0" collapsed="false">
      <c r="A1902" s="39" t="s">
        <v>1890</v>
      </c>
      <c r="B1902" s="39" t="s">
        <v>3203</v>
      </c>
      <c r="C1902" s="41" t="n">
        <v>6.43</v>
      </c>
    </row>
    <row r="1903" customFormat="false" ht="15" hidden="false" customHeight="false" outlineLevel="0" collapsed="false">
      <c r="A1903" s="39" t="s">
        <v>908</v>
      </c>
      <c r="B1903" s="39" t="s">
        <v>3204</v>
      </c>
      <c r="C1903" s="41" t="n">
        <v>2.05</v>
      </c>
    </row>
    <row r="1904" customFormat="false" ht="15" hidden="false" customHeight="false" outlineLevel="0" collapsed="false">
      <c r="A1904" s="39" t="s">
        <v>2087</v>
      </c>
      <c r="B1904" s="39" t="s">
        <v>3205</v>
      </c>
      <c r="C1904" s="41" t="n">
        <v>2.69</v>
      </c>
    </row>
    <row r="1905" customFormat="false" ht="15" hidden="false" customHeight="false" outlineLevel="0" collapsed="false">
      <c r="A1905" s="39" t="s">
        <v>1823</v>
      </c>
      <c r="B1905" s="39" t="s">
        <v>3204</v>
      </c>
      <c r="C1905" s="41" t="n">
        <v>5.3</v>
      </c>
    </row>
    <row r="1906" customFormat="false" ht="15" hidden="false" customHeight="false" outlineLevel="0" collapsed="false">
      <c r="A1906" s="39" t="s">
        <v>261</v>
      </c>
      <c r="B1906" s="39" t="s">
        <v>3205</v>
      </c>
      <c r="C1906" s="41" t="n">
        <v>0.79</v>
      </c>
    </row>
    <row r="1907" customFormat="false" ht="15" hidden="false" customHeight="false" outlineLevel="0" collapsed="false">
      <c r="A1907" s="39" t="s">
        <v>1369</v>
      </c>
      <c r="B1907" s="39" t="s">
        <v>3206</v>
      </c>
      <c r="C1907" s="41" t="n">
        <v>9.2</v>
      </c>
    </row>
    <row r="1908" customFormat="false" ht="15" hidden="false" customHeight="false" outlineLevel="0" collapsed="false">
      <c r="A1908" s="39" t="s">
        <v>953</v>
      </c>
      <c r="B1908" s="39" t="s">
        <v>3203</v>
      </c>
      <c r="C1908" s="41" t="n">
        <v>16.47</v>
      </c>
    </row>
    <row r="1909" customFormat="false" ht="15" hidden="false" customHeight="false" outlineLevel="0" collapsed="false">
      <c r="A1909" s="39" t="s">
        <v>2837</v>
      </c>
      <c r="B1909" s="39" t="s">
        <v>3204</v>
      </c>
      <c r="C1909" s="41" t="n">
        <v>1.39</v>
      </c>
    </row>
    <row r="1910" customFormat="false" ht="15" hidden="false" customHeight="false" outlineLevel="0" collapsed="false">
      <c r="A1910" s="39" t="s">
        <v>1262</v>
      </c>
      <c r="B1910" s="39" t="s">
        <v>3206</v>
      </c>
      <c r="C1910" s="41" t="n">
        <v>1.4</v>
      </c>
    </row>
    <row r="1911" customFormat="false" ht="15" hidden="false" customHeight="false" outlineLevel="0" collapsed="false">
      <c r="A1911" s="39" t="s">
        <v>634</v>
      </c>
      <c r="B1911" s="39" t="s">
        <v>3204</v>
      </c>
      <c r="C1911" s="41" t="n">
        <v>3.59</v>
      </c>
    </row>
    <row r="1912" customFormat="false" ht="15" hidden="false" customHeight="false" outlineLevel="0" collapsed="false">
      <c r="A1912" s="39" t="s">
        <v>989</v>
      </c>
      <c r="B1912" s="39" t="s">
        <v>3204</v>
      </c>
      <c r="C1912" s="41" t="n">
        <v>7.86</v>
      </c>
    </row>
    <row r="1913" customFormat="false" ht="15" hidden="false" customHeight="false" outlineLevel="0" collapsed="false">
      <c r="A1913" s="39" t="s">
        <v>2811</v>
      </c>
      <c r="B1913" s="39" t="s">
        <v>3206</v>
      </c>
      <c r="C1913" s="41" t="n">
        <v>1.79</v>
      </c>
    </row>
    <row r="1914" customFormat="false" ht="15" hidden="false" customHeight="false" outlineLevel="0" collapsed="false">
      <c r="A1914" s="39" t="s">
        <v>2653</v>
      </c>
      <c r="B1914" s="39" t="s">
        <v>3206</v>
      </c>
      <c r="C1914" s="41" t="n">
        <v>1.22</v>
      </c>
    </row>
    <row r="1915" customFormat="false" ht="15" hidden="false" customHeight="false" outlineLevel="0" collapsed="false">
      <c r="A1915" s="39" t="s">
        <v>1254</v>
      </c>
      <c r="B1915" s="39" t="s">
        <v>3204</v>
      </c>
      <c r="C1915" s="41" t="n">
        <v>4.99</v>
      </c>
    </row>
    <row r="1916" customFormat="false" ht="15" hidden="false" customHeight="false" outlineLevel="0" collapsed="false">
      <c r="A1916" s="39" t="s">
        <v>1129</v>
      </c>
      <c r="B1916" s="39" t="s">
        <v>3206</v>
      </c>
      <c r="C1916" s="41" t="n">
        <v>4.76</v>
      </c>
    </row>
    <row r="1917" customFormat="false" ht="15" hidden="false" customHeight="false" outlineLevel="0" collapsed="false">
      <c r="A1917" s="39" t="s">
        <v>2435</v>
      </c>
      <c r="B1917" s="39" t="s">
        <v>3203</v>
      </c>
      <c r="C1917" s="41" t="n">
        <v>1.73</v>
      </c>
    </row>
    <row r="1918" customFormat="false" ht="15" hidden="false" customHeight="false" outlineLevel="0" collapsed="false">
      <c r="A1918" s="39" t="s">
        <v>2452</v>
      </c>
      <c r="B1918" s="39" t="s">
        <v>3205</v>
      </c>
      <c r="C1918" s="41" t="n">
        <v>18.46</v>
      </c>
    </row>
    <row r="1919" customFormat="false" ht="15" hidden="false" customHeight="false" outlineLevel="0" collapsed="false">
      <c r="A1919" s="39" t="s">
        <v>2816</v>
      </c>
      <c r="B1919" s="39" t="s">
        <v>3206</v>
      </c>
      <c r="C1919" s="41" t="n">
        <v>2.32</v>
      </c>
    </row>
    <row r="1920" customFormat="false" ht="15" hidden="false" customHeight="false" outlineLevel="0" collapsed="false">
      <c r="A1920" s="39" t="s">
        <v>1882</v>
      </c>
      <c r="B1920" s="39" t="s">
        <v>3204</v>
      </c>
      <c r="C1920" s="41" t="n">
        <v>1.05</v>
      </c>
    </row>
    <row r="1921" customFormat="false" ht="15" hidden="false" customHeight="false" outlineLevel="0" collapsed="false">
      <c r="A1921" s="39" t="s">
        <v>2913</v>
      </c>
      <c r="B1921" s="39" t="s">
        <v>3206</v>
      </c>
      <c r="C1921" s="41" t="n">
        <v>1.96</v>
      </c>
    </row>
    <row r="1922" customFormat="false" ht="15" hidden="false" customHeight="false" outlineLevel="0" collapsed="false">
      <c r="A1922" s="39" t="s">
        <v>2259</v>
      </c>
      <c r="B1922" s="39" t="s">
        <v>3203</v>
      </c>
      <c r="C1922" s="41" t="n">
        <v>1.2</v>
      </c>
    </row>
    <row r="1923" customFormat="false" ht="15" hidden="false" customHeight="false" outlineLevel="0" collapsed="false">
      <c r="A1923" s="39" t="s">
        <v>2764</v>
      </c>
      <c r="B1923" s="39" t="s">
        <v>3205</v>
      </c>
      <c r="C1923" s="41" t="n">
        <v>4.72</v>
      </c>
    </row>
    <row r="1924" customFormat="false" ht="15" hidden="false" customHeight="false" outlineLevel="0" collapsed="false">
      <c r="A1924" s="39" t="s">
        <v>1795</v>
      </c>
      <c r="B1924" s="39" t="s">
        <v>3203</v>
      </c>
      <c r="C1924" s="41" t="n">
        <v>0.26</v>
      </c>
    </row>
    <row r="1925" customFormat="false" ht="15" hidden="false" customHeight="false" outlineLevel="0" collapsed="false">
      <c r="A1925" s="39" t="s">
        <v>2101</v>
      </c>
      <c r="B1925" s="39" t="s">
        <v>3203</v>
      </c>
      <c r="C1925" s="41" t="n">
        <v>5.7</v>
      </c>
    </row>
    <row r="1926" customFormat="false" ht="15" hidden="false" customHeight="false" outlineLevel="0" collapsed="false">
      <c r="A1926" s="39" t="s">
        <v>1074</v>
      </c>
      <c r="B1926" s="39" t="s">
        <v>3203</v>
      </c>
      <c r="C1926" s="41" t="n">
        <v>3.16</v>
      </c>
    </row>
    <row r="1927" customFormat="false" ht="15" hidden="false" customHeight="false" outlineLevel="0" collapsed="false">
      <c r="A1927" s="39" t="s">
        <v>846</v>
      </c>
      <c r="B1927" s="39" t="s">
        <v>3205</v>
      </c>
      <c r="C1927" s="41" t="n">
        <v>1.21</v>
      </c>
    </row>
    <row r="1928" customFormat="false" ht="15" hidden="false" customHeight="false" outlineLevel="0" collapsed="false">
      <c r="A1928" s="39" t="s">
        <v>1573</v>
      </c>
      <c r="B1928" s="39" t="s">
        <v>3203</v>
      </c>
      <c r="C1928" s="41" t="n">
        <v>1.45</v>
      </c>
    </row>
    <row r="1929" customFormat="false" ht="15" hidden="false" customHeight="false" outlineLevel="0" collapsed="false">
      <c r="A1929" s="39" t="s">
        <v>2543</v>
      </c>
      <c r="B1929" s="39" t="s">
        <v>3206</v>
      </c>
      <c r="C1929" s="41" t="n">
        <v>53.01</v>
      </c>
    </row>
    <row r="1930" customFormat="false" ht="15" hidden="false" customHeight="false" outlineLevel="0" collapsed="false">
      <c r="A1930" s="39" t="s">
        <v>2987</v>
      </c>
      <c r="B1930" s="39" t="s">
        <v>3204</v>
      </c>
      <c r="C1930" s="41" t="n">
        <v>17.84</v>
      </c>
    </row>
    <row r="1931" customFormat="false" ht="15" hidden="false" customHeight="false" outlineLevel="0" collapsed="false">
      <c r="A1931" s="39" t="s">
        <v>1326</v>
      </c>
      <c r="B1931" s="39" t="s">
        <v>3206</v>
      </c>
      <c r="C1931" s="41" t="n">
        <v>32.69</v>
      </c>
    </row>
    <row r="1932" customFormat="false" ht="15" hidden="false" customHeight="false" outlineLevel="0" collapsed="false">
      <c r="A1932" s="39" t="s">
        <v>1816</v>
      </c>
      <c r="B1932" s="39" t="s">
        <v>3205</v>
      </c>
      <c r="C1932" s="41" t="n">
        <v>4.53</v>
      </c>
    </row>
    <row r="1933" customFormat="false" ht="15" hidden="false" customHeight="false" outlineLevel="0" collapsed="false">
      <c r="A1933" s="39" t="s">
        <v>2483</v>
      </c>
      <c r="B1933" s="39" t="s">
        <v>3205</v>
      </c>
      <c r="C1933" s="41" t="n">
        <v>2.53</v>
      </c>
    </row>
    <row r="1934" customFormat="false" ht="15" hidden="false" customHeight="false" outlineLevel="0" collapsed="false">
      <c r="A1934" s="39" t="s">
        <v>2369</v>
      </c>
      <c r="B1934" s="39" t="s">
        <v>3205</v>
      </c>
      <c r="C1934" s="41" t="n">
        <v>2.22</v>
      </c>
    </row>
    <row r="1935" customFormat="false" ht="15" hidden="false" customHeight="false" outlineLevel="0" collapsed="false">
      <c r="A1935" s="39" t="s">
        <v>312</v>
      </c>
      <c r="B1935" s="39" t="s">
        <v>3205</v>
      </c>
      <c r="C1935" s="41" t="n">
        <v>7.92</v>
      </c>
    </row>
    <row r="1936" customFormat="false" ht="15" hidden="false" customHeight="false" outlineLevel="0" collapsed="false">
      <c r="A1936" s="39" t="s">
        <v>257</v>
      </c>
      <c r="B1936" s="39" t="s">
        <v>3203</v>
      </c>
      <c r="C1936" s="41" t="n">
        <v>2.31</v>
      </c>
    </row>
    <row r="1937" customFormat="false" ht="15" hidden="false" customHeight="false" outlineLevel="0" collapsed="false">
      <c r="A1937" s="39" t="s">
        <v>379</v>
      </c>
      <c r="B1937" s="39" t="s">
        <v>3204</v>
      </c>
      <c r="C1937" s="41" t="n">
        <v>1.15</v>
      </c>
    </row>
    <row r="1938" customFormat="false" ht="15" hidden="false" customHeight="false" outlineLevel="0" collapsed="false">
      <c r="A1938" s="39" t="s">
        <v>678</v>
      </c>
      <c r="B1938" s="39" t="s">
        <v>3205</v>
      </c>
      <c r="C1938" s="41" t="n">
        <v>1.21</v>
      </c>
    </row>
    <row r="1939" customFormat="false" ht="15" hidden="false" customHeight="false" outlineLevel="0" collapsed="false">
      <c r="A1939" s="39" t="s">
        <v>2705</v>
      </c>
      <c r="B1939" s="39" t="s">
        <v>3203</v>
      </c>
      <c r="C1939" s="41" t="n">
        <v>2.62</v>
      </c>
    </row>
    <row r="1940" customFormat="false" ht="15" hidden="false" customHeight="false" outlineLevel="0" collapsed="false">
      <c r="A1940" s="39" t="s">
        <v>2189</v>
      </c>
      <c r="B1940" s="39" t="s">
        <v>3205</v>
      </c>
      <c r="C1940" s="41" t="n">
        <v>6.68</v>
      </c>
    </row>
    <row r="1941" customFormat="false" ht="15" hidden="false" customHeight="false" outlineLevel="0" collapsed="false">
      <c r="A1941" s="39" t="s">
        <v>1203</v>
      </c>
      <c r="B1941" s="39" t="s">
        <v>3203</v>
      </c>
      <c r="C1941" s="41" t="n">
        <v>8.61</v>
      </c>
    </row>
    <row r="1942" customFormat="false" ht="15" hidden="false" customHeight="false" outlineLevel="0" collapsed="false">
      <c r="A1942" s="39" t="s">
        <v>814</v>
      </c>
      <c r="B1942" s="39" t="s">
        <v>3203</v>
      </c>
      <c r="C1942" s="41" t="n">
        <v>3.53</v>
      </c>
    </row>
    <row r="1943" customFormat="false" ht="15" hidden="false" customHeight="false" outlineLevel="0" collapsed="false">
      <c r="A1943" s="39" t="s">
        <v>587</v>
      </c>
      <c r="B1943" s="39" t="s">
        <v>3205</v>
      </c>
      <c r="C1943" s="41" t="n">
        <v>0.73</v>
      </c>
    </row>
    <row r="1944" customFormat="false" ht="15" hidden="false" customHeight="false" outlineLevel="0" collapsed="false">
      <c r="A1944" s="39" t="s">
        <v>2260</v>
      </c>
      <c r="B1944" s="39" t="s">
        <v>3204</v>
      </c>
      <c r="C1944" s="41" t="n">
        <v>2.8</v>
      </c>
    </row>
    <row r="1945" customFormat="false" ht="15" hidden="false" customHeight="false" outlineLevel="0" collapsed="false">
      <c r="A1945" s="39" t="s">
        <v>314</v>
      </c>
      <c r="B1945" s="39" t="s">
        <v>3205</v>
      </c>
      <c r="C1945" s="41" t="n">
        <v>17.87</v>
      </c>
    </row>
    <row r="1946" customFormat="false" ht="15" hidden="false" customHeight="false" outlineLevel="0" collapsed="false">
      <c r="A1946" s="39" t="s">
        <v>2635</v>
      </c>
      <c r="B1946" s="39" t="s">
        <v>3206</v>
      </c>
      <c r="C1946" s="41" t="n">
        <v>1.6</v>
      </c>
    </row>
    <row r="1947" customFormat="false" ht="15" hidden="false" customHeight="false" outlineLevel="0" collapsed="false">
      <c r="A1947" s="39" t="s">
        <v>2991</v>
      </c>
      <c r="B1947" s="39" t="s">
        <v>3205</v>
      </c>
      <c r="C1947" s="41" t="n">
        <v>3.4</v>
      </c>
    </row>
    <row r="1948" customFormat="false" ht="15" hidden="false" customHeight="false" outlineLevel="0" collapsed="false">
      <c r="A1948" s="39" t="s">
        <v>2362</v>
      </c>
      <c r="B1948" s="39" t="s">
        <v>3203</v>
      </c>
      <c r="C1948" s="41" t="n">
        <v>2.24</v>
      </c>
    </row>
    <row r="1949" customFormat="false" ht="15" hidden="false" customHeight="false" outlineLevel="0" collapsed="false">
      <c r="A1949" s="39" t="s">
        <v>275</v>
      </c>
      <c r="B1949" s="39" t="s">
        <v>3205</v>
      </c>
      <c r="C1949" s="41" t="n">
        <v>5.65</v>
      </c>
    </row>
    <row r="1950" customFormat="false" ht="15" hidden="false" customHeight="false" outlineLevel="0" collapsed="false">
      <c r="A1950" s="39" t="s">
        <v>1591</v>
      </c>
      <c r="B1950" s="39" t="s">
        <v>3206</v>
      </c>
      <c r="C1950" s="41" t="n">
        <v>4.37</v>
      </c>
    </row>
    <row r="1951" customFormat="false" ht="15" hidden="false" customHeight="false" outlineLevel="0" collapsed="false">
      <c r="A1951" s="39" t="s">
        <v>2941</v>
      </c>
      <c r="B1951" s="39" t="s">
        <v>3206</v>
      </c>
      <c r="C1951" s="41" t="n">
        <v>0.43</v>
      </c>
    </row>
    <row r="1952" customFormat="false" ht="15" hidden="false" customHeight="false" outlineLevel="0" collapsed="false">
      <c r="A1952" s="39" t="s">
        <v>2438</v>
      </c>
      <c r="B1952" s="39" t="s">
        <v>3206</v>
      </c>
      <c r="C1952" s="41" t="n">
        <v>3.02</v>
      </c>
    </row>
    <row r="1953" customFormat="false" ht="15" hidden="false" customHeight="false" outlineLevel="0" collapsed="false">
      <c r="A1953" s="39" t="s">
        <v>2194</v>
      </c>
      <c r="B1953" s="39" t="s">
        <v>3205</v>
      </c>
      <c r="C1953" s="41" t="n">
        <v>0.25</v>
      </c>
    </row>
    <row r="1954" customFormat="false" ht="15" hidden="false" customHeight="false" outlineLevel="0" collapsed="false">
      <c r="A1954" s="39" t="s">
        <v>376</v>
      </c>
      <c r="B1954" s="39" t="s">
        <v>3205</v>
      </c>
      <c r="C1954" s="41" t="n">
        <v>17.63</v>
      </c>
    </row>
    <row r="1955" customFormat="false" ht="15" hidden="false" customHeight="false" outlineLevel="0" collapsed="false">
      <c r="A1955" s="39" t="s">
        <v>906</v>
      </c>
      <c r="B1955" s="39" t="s">
        <v>3204</v>
      </c>
      <c r="C1955" s="41" t="n">
        <v>2.12</v>
      </c>
    </row>
    <row r="1956" customFormat="false" ht="15" hidden="false" customHeight="false" outlineLevel="0" collapsed="false">
      <c r="A1956" s="39" t="s">
        <v>1462</v>
      </c>
      <c r="B1956" s="39" t="s">
        <v>3205</v>
      </c>
      <c r="C1956" s="41" t="n">
        <v>4.81</v>
      </c>
    </row>
    <row r="1957" customFormat="false" ht="15" hidden="false" customHeight="false" outlineLevel="0" collapsed="false">
      <c r="A1957" s="39" t="s">
        <v>1409</v>
      </c>
      <c r="B1957" s="39" t="s">
        <v>3204</v>
      </c>
      <c r="C1957" s="41" t="n">
        <v>3.26</v>
      </c>
    </row>
    <row r="1958" customFormat="false" ht="15" hidden="false" customHeight="false" outlineLevel="0" collapsed="false">
      <c r="A1958" s="39" t="s">
        <v>1938</v>
      </c>
      <c r="B1958" s="39" t="s">
        <v>3204</v>
      </c>
      <c r="C1958" s="41" t="n">
        <v>1.73</v>
      </c>
    </row>
    <row r="1959" customFormat="false" ht="15" hidden="false" customHeight="false" outlineLevel="0" collapsed="false">
      <c r="A1959" s="39" t="s">
        <v>489</v>
      </c>
      <c r="B1959" s="39" t="s">
        <v>3204</v>
      </c>
      <c r="C1959" s="41" t="n">
        <v>26.56</v>
      </c>
    </row>
    <row r="1960" customFormat="false" ht="15" hidden="false" customHeight="false" outlineLevel="0" collapsed="false">
      <c r="A1960" s="39" t="s">
        <v>378</v>
      </c>
      <c r="B1960" s="39" t="s">
        <v>3204</v>
      </c>
      <c r="C1960" s="41" t="n">
        <v>2.12</v>
      </c>
    </row>
    <row r="1961" customFormat="false" ht="15" hidden="false" customHeight="false" outlineLevel="0" collapsed="false">
      <c r="A1961" s="39" t="s">
        <v>3009</v>
      </c>
      <c r="B1961" s="39" t="s">
        <v>3203</v>
      </c>
      <c r="C1961" s="41" t="n">
        <v>7.06</v>
      </c>
    </row>
    <row r="1962" customFormat="false" ht="15" hidden="false" customHeight="false" outlineLevel="0" collapsed="false">
      <c r="A1962" s="39" t="s">
        <v>638</v>
      </c>
      <c r="B1962" s="39" t="s">
        <v>3205</v>
      </c>
      <c r="C1962" s="41" t="n">
        <v>2.28</v>
      </c>
    </row>
    <row r="1963" customFormat="false" ht="15" hidden="false" customHeight="false" outlineLevel="0" collapsed="false">
      <c r="A1963" s="39" t="s">
        <v>2231</v>
      </c>
      <c r="B1963" s="39" t="s">
        <v>3203</v>
      </c>
      <c r="C1963" s="41" t="n">
        <v>6.94</v>
      </c>
    </row>
    <row r="1964" customFormat="false" ht="15" hidden="false" customHeight="false" outlineLevel="0" collapsed="false">
      <c r="A1964" s="39" t="s">
        <v>2510</v>
      </c>
      <c r="B1964" s="39" t="s">
        <v>3206</v>
      </c>
      <c r="C1964" s="41" t="n">
        <v>7.31</v>
      </c>
    </row>
    <row r="1965" customFormat="false" ht="15" hidden="false" customHeight="false" outlineLevel="0" collapsed="false">
      <c r="A1965" s="39" t="s">
        <v>1561</v>
      </c>
      <c r="B1965" s="39" t="s">
        <v>3205</v>
      </c>
      <c r="C1965" s="41" t="n">
        <v>45.88</v>
      </c>
    </row>
    <row r="1966" customFormat="false" ht="15" hidden="false" customHeight="false" outlineLevel="0" collapsed="false">
      <c r="A1966" s="39" t="s">
        <v>2171</v>
      </c>
      <c r="B1966" s="39" t="s">
        <v>3205</v>
      </c>
      <c r="C1966" s="41" t="n">
        <v>2.54</v>
      </c>
    </row>
    <row r="1967" customFormat="false" ht="15" hidden="false" customHeight="false" outlineLevel="0" collapsed="false">
      <c r="A1967" s="39" t="s">
        <v>3061</v>
      </c>
      <c r="B1967" s="39" t="s">
        <v>3206</v>
      </c>
      <c r="C1967" s="41" t="n">
        <v>2.01</v>
      </c>
    </row>
    <row r="1968" customFormat="false" ht="15" hidden="false" customHeight="false" outlineLevel="0" collapsed="false">
      <c r="A1968" s="39" t="s">
        <v>1806</v>
      </c>
      <c r="B1968" s="39" t="s">
        <v>3206</v>
      </c>
      <c r="C1968" s="41" t="n">
        <v>0.61</v>
      </c>
    </row>
    <row r="1969" customFormat="false" ht="15" hidden="false" customHeight="false" outlineLevel="0" collapsed="false">
      <c r="A1969" s="39" t="s">
        <v>1055</v>
      </c>
      <c r="B1969" s="39" t="s">
        <v>3206</v>
      </c>
      <c r="C1969" s="41" t="n">
        <v>21.5</v>
      </c>
    </row>
    <row r="1970" customFormat="false" ht="15" hidden="false" customHeight="false" outlineLevel="0" collapsed="false">
      <c r="A1970" s="39" t="s">
        <v>397</v>
      </c>
      <c r="B1970" s="39" t="s">
        <v>3203</v>
      </c>
      <c r="C1970" s="41" t="n">
        <v>0.29</v>
      </c>
    </row>
    <row r="1971" customFormat="false" ht="15" hidden="false" customHeight="false" outlineLevel="0" collapsed="false">
      <c r="A1971" s="39" t="s">
        <v>766</v>
      </c>
      <c r="B1971" s="39" t="s">
        <v>3205</v>
      </c>
      <c r="C1971" s="41" t="n">
        <v>8.71</v>
      </c>
    </row>
    <row r="1972" customFormat="false" ht="15" hidden="false" customHeight="false" outlineLevel="0" collapsed="false">
      <c r="A1972" s="39" t="s">
        <v>1861</v>
      </c>
      <c r="B1972" s="39" t="s">
        <v>3203</v>
      </c>
      <c r="C1972" s="41" t="n">
        <v>7.71</v>
      </c>
    </row>
    <row r="1973" customFormat="false" ht="15" hidden="false" customHeight="false" outlineLevel="0" collapsed="false">
      <c r="A1973" s="39" t="s">
        <v>2928</v>
      </c>
      <c r="B1973" s="39" t="s">
        <v>3204</v>
      </c>
      <c r="C1973" s="41" t="n">
        <v>7.3</v>
      </c>
    </row>
    <row r="1974" customFormat="false" ht="15" hidden="false" customHeight="false" outlineLevel="0" collapsed="false">
      <c r="A1974" s="39" t="s">
        <v>219</v>
      </c>
      <c r="B1974" s="39" t="s">
        <v>3206</v>
      </c>
      <c r="C1974" s="41" t="n">
        <v>1.76</v>
      </c>
    </row>
    <row r="1975" customFormat="false" ht="15" hidden="false" customHeight="false" outlineLevel="0" collapsed="false">
      <c r="A1975" s="39" t="s">
        <v>2955</v>
      </c>
      <c r="B1975" s="39" t="s">
        <v>3203</v>
      </c>
      <c r="C1975" s="41" t="n">
        <v>12.53</v>
      </c>
    </row>
    <row r="1976" customFormat="false" ht="15" hidden="false" customHeight="false" outlineLevel="0" collapsed="false">
      <c r="A1976" s="39" t="s">
        <v>2014</v>
      </c>
      <c r="B1976" s="39" t="s">
        <v>3205</v>
      </c>
      <c r="C1976" s="41" t="n">
        <v>0.34</v>
      </c>
    </row>
    <row r="1977" customFormat="false" ht="15" hidden="false" customHeight="false" outlineLevel="0" collapsed="false">
      <c r="A1977" s="39" t="s">
        <v>193</v>
      </c>
      <c r="B1977" s="39" t="s">
        <v>3205</v>
      </c>
      <c r="C1977" s="41" t="n">
        <v>1.31</v>
      </c>
    </row>
    <row r="1978" customFormat="false" ht="15" hidden="false" customHeight="false" outlineLevel="0" collapsed="false">
      <c r="A1978" s="39" t="s">
        <v>1583</v>
      </c>
      <c r="B1978" s="39" t="s">
        <v>3206</v>
      </c>
      <c r="C1978" s="41" t="n">
        <v>2.63</v>
      </c>
    </row>
    <row r="1979" customFormat="false" ht="15" hidden="false" customHeight="false" outlineLevel="0" collapsed="false">
      <c r="A1979" s="39" t="s">
        <v>1083</v>
      </c>
      <c r="B1979" s="39" t="s">
        <v>3204</v>
      </c>
      <c r="C1979" s="41" t="n">
        <v>2.8</v>
      </c>
    </row>
    <row r="1980" customFormat="false" ht="15" hidden="false" customHeight="false" outlineLevel="0" collapsed="false">
      <c r="A1980" s="39" t="s">
        <v>1538</v>
      </c>
      <c r="B1980" s="39" t="s">
        <v>3203</v>
      </c>
      <c r="C1980" s="41" t="n">
        <v>1.2</v>
      </c>
    </row>
    <row r="1981" customFormat="false" ht="15" hidden="false" customHeight="false" outlineLevel="0" collapsed="false">
      <c r="A1981" s="39" t="s">
        <v>1801</v>
      </c>
      <c r="B1981" s="39" t="s">
        <v>3204</v>
      </c>
      <c r="C1981" s="41" t="n">
        <v>15.03</v>
      </c>
    </row>
    <row r="1982" customFormat="false" ht="15" hidden="false" customHeight="false" outlineLevel="0" collapsed="false">
      <c r="A1982" s="39" t="s">
        <v>986</v>
      </c>
      <c r="B1982" s="39" t="s">
        <v>3204</v>
      </c>
      <c r="C1982" s="41" t="n">
        <v>2.77</v>
      </c>
    </row>
    <row r="1983" customFormat="false" ht="15" hidden="false" customHeight="false" outlineLevel="0" collapsed="false">
      <c r="A1983" s="39" t="s">
        <v>2502</v>
      </c>
      <c r="B1983" s="39" t="s">
        <v>3203</v>
      </c>
      <c r="C1983" s="41" t="n">
        <v>17.31</v>
      </c>
    </row>
    <row r="1984" customFormat="false" ht="15" hidden="false" customHeight="false" outlineLevel="0" collapsed="false">
      <c r="A1984" s="39" t="s">
        <v>606</v>
      </c>
      <c r="B1984" s="39" t="s">
        <v>3203</v>
      </c>
      <c r="C1984" s="41" t="n">
        <v>1.41</v>
      </c>
    </row>
    <row r="1985" customFormat="false" ht="15" hidden="false" customHeight="false" outlineLevel="0" collapsed="false">
      <c r="A1985" s="39" t="s">
        <v>471</v>
      </c>
      <c r="B1985" s="39" t="s">
        <v>3205</v>
      </c>
      <c r="C1985" s="41" t="n">
        <v>75.59</v>
      </c>
    </row>
    <row r="1986" customFormat="false" ht="15" hidden="false" customHeight="false" outlineLevel="0" collapsed="false">
      <c r="A1986" s="39" t="s">
        <v>915</v>
      </c>
      <c r="B1986" s="39" t="s">
        <v>3205</v>
      </c>
      <c r="C1986" s="41" t="n">
        <v>1.02</v>
      </c>
    </row>
    <row r="1987" customFormat="false" ht="15" hidden="false" customHeight="false" outlineLevel="0" collapsed="false">
      <c r="A1987" s="39" t="s">
        <v>1061</v>
      </c>
      <c r="B1987" s="39" t="s">
        <v>3206</v>
      </c>
      <c r="C1987" s="41" t="n">
        <v>1.25</v>
      </c>
    </row>
    <row r="1988" customFormat="false" ht="15" hidden="false" customHeight="false" outlineLevel="0" collapsed="false">
      <c r="A1988" s="39" t="s">
        <v>2940</v>
      </c>
      <c r="B1988" s="39" t="s">
        <v>3204</v>
      </c>
      <c r="C1988" s="41" t="n">
        <v>5.74</v>
      </c>
    </row>
    <row r="1989" customFormat="false" ht="15" hidden="false" customHeight="false" outlineLevel="0" collapsed="false">
      <c r="A1989" s="39" t="s">
        <v>3055</v>
      </c>
      <c r="B1989" s="39" t="s">
        <v>3204</v>
      </c>
      <c r="C1989" s="41" t="n">
        <v>2.28</v>
      </c>
    </row>
    <row r="1990" customFormat="false" ht="15" hidden="false" customHeight="false" outlineLevel="0" collapsed="false">
      <c r="A1990" s="39" t="s">
        <v>3026</v>
      </c>
      <c r="B1990" s="39" t="s">
        <v>3205</v>
      </c>
      <c r="C1990" s="41" t="n">
        <v>3.91</v>
      </c>
    </row>
    <row r="1991" customFormat="false" ht="15" hidden="false" customHeight="false" outlineLevel="0" collapsed="false">
      <c r="A1991" s="39" t="s">
        <v>597</v>
      </c>
      <c r="B1991" s="39" t="s">
        <v>3206</v>
      </c>
      <c r="C1991" s="41" t="n">
        <v>0.67</v>
      </c>
    </row>
    <row r="1992" customFormat="false" ht="15" hidden="false" customHeight="false" outlineLevel="0" collapsed="false">
      <c r="A1992" s="39" t="s">
        <v>2192</v>
      </c>
      <c r="B1992" s="39" t="s">
        <v>3203</v>
      </c>
      <c r="C1992" s="41" t="n">
        <v>2.2</v>
      </c>
    </row>
    <row r="1993" customFormat="false" ht="15" hidden="false" customHeight="false" outlineLevel="0" collapsed="false">
      <c r="A1993" s="39" t="s">
        <v>1325</v>
      </c>
      <c r="B1993" s="39" t="s">
        <v>3204</v>
      </c>
      <c r="C1993" s="41" t="n">
        <v>3.41</v>
      </c>
    </row>
    <row r="1994" customFormat="false" ht="15" hidden="false" customHeight="false" outlineLevel="0" collapsed="false">
      <c r="A1994" s="39" t="s">
        <v>119</v>
      </c>
      <c r="B1994" s="39" t="s">
        <v>3204</v>
      </c>
      <c r="C1994" s="41" t="n">
        <v>2.2</v>
      </c>
    </row>
    <row r="1995" customFormat="false" ht="15" hidden="false" customHeight="false" outlineLevel="0" collapsed="false">
      <c r="A1995" s="39" t="s">
        <v>310</v>
      </c>
      <c r="B1995" s="39" t="s">
        <v>3203</v>
      </c>
      <c r="C1995" s="41" t="n">
        <v>2.97</v>
      </c>
    </row>
    <row r="1996" customFormat="false" ht="15" hidden="false" customHeight="false" outlineLevel="0" collapsed="false">
      <c r="A1996" s="39" t="s">
        <v>829</v>
      </c>
      <c r="B1996" s="39" t="s">
        <v>3205</v>
      </c>
      <c r="C1996" s="41" t="n">
        <v>3.05</v>
      </c>
    </row>
    <row r="1997" customFormat="false" ht="15" hidden="false" customHeight="false" outlineLevel="0" collapsed="false">
      <c r="A1997" s="39" t="s">
        <v>2673</v>
      </c>
      <c r="B1997" s="39" t="s">
        <v>3206</v>
      </c>
      <c r="C1997" s="41" t="n">
        <v>2.34</v>
      </c>
    </row>
    <row r="1998" customFormat="false" ht="15" hidden="false" customHeight="false" outlineLevel="0" collapsed="false">
      <c r="A1998" s="39" t="s">
        <v>2061</v>
      </c>
      <c r="B1998" s="39" t="s">
        <v>3204</v>
      </c>
      <c r="C1998" s="41" t="n">
        <v>11.88</v>
      </c>
    </row>
    <row r="1999" customFormat="false" ht="15" hidden="false" customHeight="false" outlineLevel="0" collapsed="false">
      <c r="A1999" s="39" t="s">
        <v>674</v>
      </c>
      <c r="B1999" s="39" t="s">
        <v>3204</v>
      </c>
      <c r="C1999" s="41" t="n">
        <v>21.35</v>
      </c>
    </row>
    <row r="2000" customFormat="false" ht="15" hidden="false" customHeight="false" outlineLevel="0" collapsed="false">
      <c r="A2000" s="39" t="s">
        <v>1015</v>
      </c>
      <c r="B2000" s="39" t="s">
        <v>3206</v>
      </c>
      <c r="C2000" s="41" t="n">
        <v>24.89</v>
      </c>
    </row>
    <row r="2001" customFormat="false" ht="15" hidden="false" customHeight="false" outlineLevel="0" collapsed="false">
      <c r="A2001" s="39" t="s">
        <v>167</v>
      </c>
      <c r="B2001" s="39" t="s">
        <v>3203</v>
      </c>
      <c r="C2001" s="41" t="n">
        <v>19.13</v>
      </c>
    </row>
    <row r="2002" customFormat="false" ht="15" hidden="false" customHeight="false" outlineLevel="0" collapsed="false">
      <c r="A2002" s="39" t="s">
        <v>3015</v>
      </c>
      <c r="B2002" s="39" t="s">
        <v>3203</v>
      </c>
      <c r="C2002" s="41" t="n">
        <v>4.52</v>
      </c>
    </row>
    <row r="2003" customFormat="false" ht="15" hidden="false" customHeight="false" outlineLevel="0" collapsed="false">
      <c r="A2003" s="39" t="s">
        <v>552</v>
      </c>
      <c r="B2003" s="39" t="s">
        <v>3204</v>
      </c>
      <c r="C2003" s="41" t="n">
        <v>12.67</v>
      </c>
    </row>
    <row r="2004" customFormat="false" ht="15" hidden="false" customHeight="false" outlineLevel="0" collapsed="false">
      <c r="A2004" s="39" t="s">
        <v>1087</v>
      </c>
      <c r="B2004" s="39" t="s">
        <v>3204</v>
      </c>
      <c r="C2004" s="41" t="n">
        <v>1.51</v>
      </c>
    </row>
    <row r="2005" customFormat="false" ht="15" hidden="false" customHeight="false" outlineLevel="0" collapsed="false">
      <c r="A2005" s="39" t="s">
        <v>2387</v>
      </c>
      <c r="B2005" s="39" t="s">
        <v>3204</v>
      </c>
      <c r="C2005" s="41" t="n">
        <v>9.35</v>
      </c>
    </row>
    <row r="2006" customFormat="false" ht="15" hidden="false" customHeight="false" outlineLevel="0" collapsed="false">
      <c r="A2006" s="39" t="s">
        <v>1200</v>
      </c>
      <c r="B2006" s="39" t="s">
        <v>3206</v>
      </c>
      <c r="C2006" s="41" t="n">
        <v>10.94</v>
      </c>
    </row>
    <row r="2007" customFormat="false" ht="15" hidden="false" customHeight="false" outlineLevel="0" collapsed="false">
      <c r="A2007" s="39" t="s">
        <v>408</v>
      </c>
      <c r="B2007" s="39" t="s">
        <v>3206</v>
      </c>
      <c r="C2007" s="41" t="n">
        <v>4.28</v>
      </c>
    </row>
    <row r="2008" customFormat="false" ht="15" hidden="false" customHeight="false" outlineLevel="0" collapsed="false">
      <c r="A2008" s="39" t="s">
        <v>1238</v>
      </c>
      <c r="B2008" s="39" t="s">
        <v>3204</v>
      </c>
      <c r="C2008" s="41" t="n">
        <v>30.75</v>
      </c>
    </row>
    <row r="2009" customFormat="false" ht="15" hidden="false" customHeight="false" outlineLevel="0" collapsed="false">
      <c r="A2009" s="39" t="s">
        <v>1560</v>
      </c>
      <c r="B2009" s="39" t="s">
        <v>3203</v>
      </c>
      <c r="C2009" s="41" t="n">
        <v>4.48</v>
      </c>
    </row>
    <row r="2010" customFormat="false" ht="15" hidden="false" customHeight="false" outlineLevel="0" collapsed="false">
      <c r="A2010" s="39" t="s">
        <v>276</v>
      </c>
      <c r="B2010" s="39" t="s">
        <v>3204</v>
      </c>
      <c r="C2010" s="41" t="n">
        <v>5.4</v>
      </c>
    </row>
    <row r="2011" customFormat="false" ht="15" hidden="false" customHeight="false" outlineLevel="0" collapsed="false">
      <c r="A2011" s="39" t="s">
        <v>1022</v>
      </c>
      <c r="B2011" s="39" t="s">
        <v>3206</v>
      </c>
      <c r="C2011" s="41" t="n">
        <v>7.19</v>
      </c>
    </row>
    <row r="2012" customFormat="false" ht="15" hidden="false" customHeight="false" outlineLevel="0" collapsed="false">
      <c r="A2012" s="39" t="s">
        <v>1870</v>
      </c>
      <c r="B2012" s="39" t="s">
        <v>3205</v>
      </c>
      <c r="C2012" s="41" t="n">
        <v>5.83</v>
      </c>
    </row>
    <row r="2013" customFormat="false" ht="15" hidden="false" customHeight="false" outlineLevel="0" collapsed="false">
      <c r="A2013" s="39" t="s">
        <v>185</v>
      </c>
      <c r="B2013" s="39" t="s">
        <v>3206</v>
      </c>
      <c r="C2013" s="41" t="n">
        <v>9.95</v>
      </c>
    </row>
    <row r="2014" customFormat="false" ht="15" hidden="false" customHeight="false" outlineLevel="0" collapsed="false">
      <c r="A2014" s="39" t="s">
        <v>966</v>
      </c>
      <c r="B2014" s="39" t="s">
        <v>3205</v>
      </c>
      <c r="C2014" s="41" t="n">
        <v>12.69</v>
      </c>
    </row>
    <row r="2015" customFormat="false" ht="15" hidden="false" customHeight="false" outlineLevel="0" collapsed="false">
      <c r="A2015" s="39" t="s">
        <v>1524</v>
      </c>
      <c r="B2015" s="39" t="s">
        <v>3203</v>
      </c>
      <c r="C2015" s="41" t="n">
        <v>1.51</v>
      </c>
    </row>
    <row r="2016" customFormat="false" ht="15" hidden="false" customHeight="false" outlineLevel="0" collapsed="false">
      <c r="A2016" s="39" t="s">
        <v>1210</v>
      </c>
      <c r="B2016" s="39" t="s">
        <v>3204</v>
      </c>
      <c r="C2016" s="41" t="n">
        <v>6.66</v>
      </c>
    </row>
    <row r="2017" customFormat="false" ht="15" hidden="false" customHeight="false" outlineLevel="0" collapsed="false">
      <c r="A2017" s="39" t="s">
        <v>916</v>
      </c>
      <c r="B2017" s="39" t="s">
        <v>3205</v>
      </c>
      <c r="C2017" s="41" t="n">
        <v>1.43</v>
      </c>
    </row>
    <row r="2018" customFormat="false" ht="15" hidden="false" customHeight="false" outlineLevel="0" collapsed="false">
      <c r="A2018" s="39" t="s">
        <v>1759</v>
      </c>
      <c r="B2018" s="39" t="s">
        <v>3203</v>
      </c>
      <c r="C2018" s="41" t="n">
        <v>13.14</v>
      </c>
    </row>
    <row r="2019" customFormat="false" ht="15" hidden="false" customHeight="false" outlineLevel="0" collapsed="false">
      <c r="A2019" s="39" t="s">
        <v>1117</v>
      </c>
      <c r="B2019" s="39" t="s">
        <v>3203</v>
      </c>
      <c r="C2019" s="41" t="n">
        <v>6.89</v>
      </c>
    </row>
    <row r="2020" customFormat="false" ht="15" hidden="false" customHeight="false" outlineLevel="0" collapsed="false">
      <c r="A2020" s="39" t="s">
        <v>1669</v>
      </c>
      <c r="B2020" s="39" t="s">
        <v>3205</v>
      </c>
      <c r="C2020" s="41" t="n">
        <v>20.76</v>
      </c>
    </row>
    <row r="2021" customFormat="false" ht="15" hidden="false" customHeight="false" outlineLevel="0" collapsed="false">
      <c r="A2021" s="39" t="s">
        <v>2383</v>
      </c>
      <c r="B2021" s="39" t="s">
        <v>3203</v>
      </c>
      <c r="C2021" s="41" t="n">
        <v>0.3</v>
      </c>
    </row>
    <row r="2022" customFormat="false" ht="15" hidden="false" customHeight="false" outlineLevel="0" collapsed="false">
      <c r="A2022" s="39" t="s">
        <v>1252</v>
      </c>
      <c r="B2022" s="39" t="s">
        <v>3205</v>
      </c>
      <c r="C2022" s="41" t="n">
        <v>0.76</v>
      </c>
    </row>
    <row r="2023" customFormat="false" ht="15" hidden="false" customHeight="false" outlineLevel="0" collapsed="false">
      <c r="A2023" s="39" t="s">
        <v>1776</v>
      </c>
      <c r="B2023" s="39" t="s">
        <v>3205</v>
      </c>
      <c r="C2023" s="41" t="n">
        <v>1.39</v>
      </c>
    </row>
    <row r="2024" customFormat="false" ht="15" hidden="false" customHeight="false" outlineLevel="0" collapsed="false">
      <c r="A2024" s="39" t="s">
        <v>2908</v>
      </c>
      <c r="B2024" s="39" t="s">
        <v>3205</v>
      </c>
      <c r="C2024" s="41" t="n">
        <v>2.53</v>
      </c>
    </row>
    <row r="2025" customFormat="false" ht="15" hidden="false" customHeight="false" outlineLevel="0" collapsed="false">
      <c r="A2025" s="39" t="s">
        <v>1130</v>
      </c>
      <c r="B2025" s="39" t="s">
        <v>3204</v>
      </c>
      <c r="C2025" s="41" t="n">
        <v>3.7</v>
      </c>
    </row>
    <row r="2026" customFormat="false" ht="15" hidden="false" customHeight="false" outlineLevel="0" collapsed="false">
      <c r="A2026" s="39" t="s">
        <v>2232</v>
      </c>
      <c r="B2026" s="39" t="s">
        <v>3204</v>
      </c>
      <c r="C2026" s="41" t="n">
        <v>7.21</v>
      </c>
    </row>
    <row r="2027" customFormat="false" ht="15" hidden="false" customHeight="false" outlineLevel="0" collapsed="false">
      <c r="A2027" s="39" t="s">
        <v>2496</v>
      </c>
      <c r="B2027" s="39" t="s">
        <v>3205</v>
      </c>
      <c r="C2027" s="41" t="n">
        <v>5.96</v>
      </c>
    </row>
    <row r="2028" customFormat="false" ht="15" hidden="false" customHeight="false" outlineLevel="0" collapsed="false">
      <c r="A2028" s="39" t="s">
        <v>2738</v>
      </c>
      <c r="B2028" s="39" t="s">
        <v>3204</v>
      </c>
      <c r="C2028" s="41" t="n">
        <v>4.86</v>
      </c>
    </row>
    <row r="2029" customFormat="false" ht="15" hidden="false" customHeight="false" outlineLevel="0" collapsed="false">
      <c r="A2029" s="39" t="s">
        <v>2532</v>
      </c>
      <c r="B2029" s="39" t="s">
        <v>3203</v>
      </c>
      <c r="C2029" s="41" t="n">
        <v>2.51</v>
      </c>
    </row>
    <row r="2030" customFormat="false" ht="15" hidden="false" customHeight="false" outlineLevel="0" collapsed="false">
      <c r="A2030" s="39" t="s">
        <v>2529</v>
      </c>
      <c r="B2030" s="39" t="s">
        <v>3203</v>
      </c>
      <c r="C2030" s="41" t="n">
        <v>4.8</v>
      </c>
    </row>
    <row r="2031" customFormat="false" ht="15" hidden="false" customHeight="false" outlineLevel="0" collapsed="false">
      <c r="A2031" s="39" t="s">
        <v>1932</v>
      </c>
      <c r="B2031" s="39" t="s">
        <v>3203</v>
      </c>
      <c r="C2031" s="41" t="n">
        <v>1.09</v>
      </c>
    </row>
    <row r="2032" customFormat="false" ht="15" hidden="false" customHeight="false" outlineLevel="0" collapsed="false">
      <c r="A2032" s="39" t="s">
        <v>336</v>
      </c>
      <c r="B2032" s="39" t="s">
        <v>3204</v>
      </c>
      <c r="C2032" s="41" t="n">
        <v>6.85</v>
      </c>
    </row>
    <row r="2033" customFormat="false" ht="15" hidden="false" customHeight="false" outlineLevel="0" collapsed="false">
      <c r="A2033" s="39" t="s">
        <v>221</v>
      </c>
      <c r="B2033" s="39" t="s">
        <v>3205</v>
      </c>
      <c r="C2033" s="41" t="n">
        <v>0.44</v>
      </c>
    </row>
    <row r="2034" customFormat="false" ht="15" hidden="false" customHeight="false" outlineLevel="0" collapsed="false">
      <c r="A2034" s="39" t="s">
        <v>388</v>
      </c>
      <c r="B2034" s="39" t="s">
        <v>3203</v>
      </c>
      <c r="C2034" s="41" t="n">
        <v>2.38</v>
      </c>
    </row>
    <row r="2035" customFormat="false" ht="15" hidden="false" customHeight="false" outlineLevel="0" collapsed="false">
      <c r="A2035" s="39" t="s">
        <v>1899</v>
      </c>
      <c r="B2035" s="39" t="s">
        <v>3204</v>
      </c>
      <c r="C2035" s="41" t="n">
        <v>3.82</v>
      </c>
    </row>
    <row r="2036" customFormat="false" ht="15" hidden="false" customHeight="false" outlineLevel="0" collapsed="false">
      <c r="A2036" s="39" t="s">
        <v>2484</v>
      </c>
      <c r="B2036" s="39" t="s">
        <v>3205</v>
      </c>
      <c r="C2036" s="41" t="n">
        <v>14.86</v>
      </c>
    </row>
    <row r="2037" customFormat="false" ht="15" hidden="false" customHeight="false" outlineLevel="0" collapsed="false">
      <c r="A2037" s="39" t="s">
        <v>778</v>
      </c>
      <c r="B2037" s="39" t="s">
        <v>3205</v>
      </c>
      <c r="C2037" s="41" t="n">
        <v>0.48</v>
      </c>
    </row>
    <row r="2038" customFormat="false" ht="15" hidden="false" customHeight="false" outlineLevel="0" collapsed="false">
      <c r="A2038" s="39" t="s">
        <v>2943</v>
      </c>
      <c r="B2038" s="39" t="s">
        <v>3204</v>
      </c>
      <c r="C2038" s="41" t="n">
        <v>4.01</v>
      </c>
    </row>
    <row r="2039" customFormat="false" ht="15" hidden="false" customHeight="false" outlineLevel="0" collapsed="false">
      <c r="A2039" s="39" t="s">
        <v>1366</v>
      </c>
      <c r="B2039" s="39" t="s">
        <v>3203</v>
      </c>
      <c r="C2039" s="41" t="n">
        <v>14.31</v>
      </c>
    </row>
    <row r="2040" customFormat="false" ht="15" hidden="false" customHeight="false" outlineLevel="0" collapsed="false">
      <c r="A2040" s="39" t="s">
        <v>3003</v>
      </c>
      <c r="B2040" s="39" t="s">
        <v>3203</v>
      </c>
      <c r="C2040" s="41" t="n">
        <v>2.15</v>
      </c>
    </row>
    <row r="2041" customFormat="false" ht="15" hidden="false" customHeight="false" outlineLevel="0" collapsed="false">
      <c r="A2041" s="39" t="s">
        <v>2708</v>
      </c>
      <c r="B2041" s="39" t="s">
        <v>3203</v>
      </c>
      <c r="C2041" s="41" t="n">
        <v>1.19</v>
      </c>
    </row>
    <row r="2042" customFormat="false" ht="15" hidden="false" customHeight="false" outlineLevel="0" collapsed="false">
      <c r="A2042" s="39" t="s">
        <v>1808</v>
      </c>
      <c r="B2042" s="39" t="s">
        <v>3203</v>
      </c>
      <c r="C2042" s="41" t="n">
        <v>2.71</v>
      </c>
    </row>
    <row r="2043" customFormat="false" ht="15" hidden="false" customHeight="false" outlineLevel="0" collapsed="false">
      <c r="A2043" s="39" t="s">
        <v>945</v>
      </c>
      <c r="B2043" s="39" t="s">
        <v>3206</v>
      </c>
      <c r="C2043" s="41" t="n">
        <v>2.75</v>
      </c>
    </row>
    <row r="2044" customFormat="false" ht="15" hidden="false" customHeight="false" outlineLevel="0" collapsed="false">
      <c r="A2044" s="39" t="s">
        <v>2542</v>
      </c>
      <c r="B2044" s="39" t="s">
        <v>3206</v>
      </c>
      <c r="C2044" s="41" t="n">
        <v>0.77</v>
      </c>
    </row>
    <row r="2045" customFormat="false" ht="15" hidden="false" customHeight="false" outlineLevel="0" collapsed="false">
      <c r="A2045" s="39" t="s">
        <v>323</v>
      </c>
      <c r="B2045" s="39" t="s">
        <v>3204</v>
      </c>
      <c r="C2045" s="41" t="n">
        <v>0.53</v>
      </c>
    </row>
    <row r="2046" customFormat="false" ht="15" hidden="false" customHeight="false" outlineLevel="0" collapsed="false">
      <c r="A2046" s="39" t="s">
        <v>1907</v>
      </c>
      <c r="B2046" s="39" t="s">
        <v>3206</v>
      </c>
      <c r="C2046" s="41" t="n">
        <v>8.6</v>
      </c>
    </row>
    <row r="2047" customFormat="false" ht="15" hidden="false" customHeight="false" outlineLevel="0" collapsed="false">
      <c r="A2047" s="39" t="s">
        <v>2215</v>
      </c>
      <c r="B2047" s="39" t="s">
        <v>3203</v>
      </c>
      <c r="C2047" s="41" t="n">
        <v>11.88</v>
      </c>
    </row>
    <row r="2048" customFormat="false" ht="15" hidden="false" customHeight="false" outlineLevel="0" collapsed="false">
      <c r="A2048" s="39" t="s">
        <v>511</v>
      </c>
      <c r="B2048" s="39" t="s">
        <v>3206</v>
      </c>
      <c r="C2048" s="41" t="n">
        <v>6.02</v>
      </c>
    </row>
    <row r="2049" customFormat="false" ht="15" hidden="false" customHeight="false" outlineLevel="0" collapsed="false">
      <c r="A2049" s="39" t="s">
        <v>181</v>
      </c>
      <c r="B2049" s="39" t="s">
        <v>3203</v>
      </c>
      <c r="C2049" s="41" t="n">
        <v>2.94</v>
      </c>
    </row>
    <row r="2050" customFormat="false" ht="15" hidden="false" customHeight="false" outlineLevel="0" collapsed="false">
      <c r="A2050" s="39" t="s">
        <v>1826</v>
      </c>
      <c r="B2050" s="39" t="s">
        <v>3204</v>
      </c>
      <c r="C2050" s="41" t="n">
        <v>16.13</v>
      </c>
    </row>
    <row r="2051" customFormat="false" ht="15" hidden="false" customHeight="false" outlineLevel="0" collapsed="false">
      <c r="A2051" s="39" t="s">
        <v>1065</v>
      </c>
      <c r="B2051" s="39" t="s">
        <v>3203</v>
      </c>
      <c r="C2051" s="41" t="n">
        <v>1.92</v>
      </c>
    </row>
    <row r="2052" customFormat="false" ht="15" hidden="false" customHeight="false" outlineLevel="0" collapsed="false">
      <c r="A2052" s="39" t="s">
        <v>2719</v>
      </c>
      <c r="B2052" s="39" t="s">
        <v>3206</v>
      </c>
      <c r="C2052" s="41" t="n">
        <v>8.66</v>
      </c>
    </row>
    <row r="2053" customFormat="false" ht="15" hidden="false" customHeight="false" outlineLevel="0" collapsed="false">
      <c r="A2053" s="39" t="s">
        <v>1596</v>
      </c>
      <c r="B2053" s="39" t="s">
        <v>3206</v>
      </c>
      <c r="C2053" s="41" t="n">
        <v>0.78</v>
      </c>
    </row>
    <row r="2054" customFormat="false" ht="15" hidden="false" customHeight="false" outlineLevel="0" collapsed="false">
      <c r="A2054" s="39" t="s">
        <v>935</v>
      </c>
      <c r="B2054" s="39" t="s">
        <v>3203</v>
      </c>
      <c r="C2054" s="41" t="n">
        <v>1.32</v>
      </c>
    </row>
    <row r="2055" customFormat="false" ht="15" hidden="false" customHeight="false" outlineLevel="0" collapsed="false">
      <c r="A2055" s="39" t="s">
        <v>2178</v>
      </c>
      <c r="B2055" s="39" t="s">
        <v>3205</v>
      </c>
      <c r="C2055" s="41" t="n">
        <v>16.8</v>
      </c>
    </row>
    <row r="2056" customFormat="false" ht="15" hidden="false" customHeight="false" outlineLevel="0" collapsed="false">
      <c r="A2056" s="39" t="s">
        <v>1576</v>
      </c>
      <c r="B2056" s="39" t="s">
        <v>3206</v>
      </c>
      <c r="C2056" s="41" t="n">
        <v>0.45</v>
      </c>
    </row>
    <row r="2057" customFormat="false" ht="15" hidden="false" customHeight="false" outlineLevel="0" collapsed="false">
      <c r="A2057" s="39" t="s">
        <v>1336</v>
      </c>
      <c r="B2057" s="39" t="s">
        <v>3205</v>
      </c>
      <c r="C2057" s="41" t="n">
        <v>2.35</v>
      </c>
    </row>
    <row r="2058" customFormat="false" ht="15" hidden="false" customHeight="false" outlineLevel="0" collapsed="false">
      <c r="A2058" s="39" t="s">
        <v>1565</v>
      </c>
      <c r="B2058" s="39" t="s">
        <v>3203</v>
      </c>
      <c r="C2058" s="41" t="n">
        <v>3.45</v>
      </c>
    </row>
    <row r="2059" customFormat="false" ht="15" hidden="false" customHeight="false" outlineLevel="0" collapsed="false">
      <c r="A2059" s="39" t="s">
        <v>703</v>
      </c>
      <c r="B2059" s="39" t="s">
        <v>3206</v>
      </c>
      <c r="C2059" s="41" t="n">
        <v>3.47</v>
      </c>
    </row>
    <row r="2060" customFormat="false" ht="15" hidden="false" customHeight="false" outlineLevel="0" collapsed="false">
      <c r="A2060" s="39" t="s">
        <v>2844</v>
      </c>
      <c r="B2060" s="39" t="s">
        <v>3206</v>
      </c>
      <c r="C2060" s="41" t="n">
        <v>3.22</v>
      </c>
    </row>
    <row r="2061" customFormat="false" ht="15" hidden="false" customHeight="false" outlineLevel="0" collapsed="false">
      <c r="A2061" s="39" t="s">
        <v>1875</v>
      </c>
      <c r="B2061" s="39" t="s">
        <v>3205</v>
      </c>
      <c r="C2061" s="41" t="n">
        <v>4.41</v>
      </c>
    </row>
    <row r="2062" customFormat="false" ht="15" hidden="false" customHeight="false" outlineLevel="0" collapsed="false">
      <c r="A2062" s="39" t="s">
        <v>2344</v>
      </c>
      <c r="B2062" s="39" t="s">
        <v>3206</v>
      </c>
      <c r="C2062" s="41" t="n">
        <v>0.79</v>
      </c>
    </row>
    <row r="2063" customFormat="false" ht="15" hidden="false" customHeight="false" outlineLevel="0" collapsed="false">
      <c r="A2063" s="39" t="s">
        <v>1662</v>
      </c>
      <c r="B2063" s="39" t="s">
        <v>3205</v>
      </c>
      <c r="C2063" s="41" t="n">
        <v>2.17</v>
      </c>
    </row>
    <row r="2064" customFormat="false" ht="15" hidden="false" customHeight="false" outlineLevel="0" collapsed="false">
      <c r="A2064" s="39" t="s">
        <v>951</v>
      </c>
      <c r="B2064" s="39" t="s">
        <v>3205</v>
      </c>
      <c r="C2064" s="41" t="n">
        <v>3.39</v>
      </c>
    </row>
    <row r="2065" customFormat="false" ht="15" hidden="false" customHeight="false" outlineLevel="0" collapsed="false">
      <c r="A2065" s="39" t="s">
        <v>2704</v>
      </c>
      <c r="B2065" s="39" t="s">
        <v>3205</v>
      </c>
      <c r="C2065" s="41" t="n">
        <v>3.95</v>
      </c>
    </row>
    <row r="2066" customFormat="false" ht="15" hidden="false" customHeight="false" outlineLevel="0" collapsed="false">
      <c r="A2066" s="39" t="s">
        <v>2852</v>
      </c>
      <c r="B2066" s="39" t="s">
        <v>3204</v>
      </c>
      <c r="C2066" s="41" t="n">
        <v>3.17</v>
      </c>
    </row>
    <row r="2067" customFormat="false" ht="15" hidden="false" customHeight="false" outlineLevel="0" collapsed="false">
      <c r="A2067" s="39" t="s">
        <v>938</v>
      </c>
      <c r="B2067" s="39" t="s">
        <v>3204</v>
      </c>
      <c r="C2067" s="41" t="n">
        <v>6.39</v>
      </c>
    </row>
    <row r="2068" customFormat="false" ht="15" hidden="false" customHeight="false" outlineLevel="0" collapsed="false">
      <c r="A2068" s="39" t="s">
        <v>2778</v>
      </c>
      <c r="B2068" s="39" t="s">
        <v>3205</v>
      </c>
      <c r="C2068" s="41" t="n">
        <v>10.87</v>
      </c>
    </row>
    <row r="2069" customFormat="false" ht="15" hidden="false" customHeight="false" outlineLevel="0" collapsed="false">
      <c r="A2069" s="39" t="s">
        <v>186</v>
      </c>
      <c r="B2069" s="39" t="s">
        <v>3205</v>
      </c>
      <c r="C2069" s="41" t="n">
        <v>20.98</v>
      </c>
    </row>
    <row r="2070" customFormat="false" ht="15" hidden="false" customHeight="false" outlineLevel="0" collapsed="false">
      <c r="A2070" s="39" t="s">
        <v>2242</v>
      </c>
      <c r="B2070" s="39" t="s">
        <v>3204</v>
      </c>
      <c r="C2070" s="41" t="n">
        <v>20.97</v>
      </c>
    </row>
    <row r="2071" customFormat="false" ht="15" hidden="false" customHeight="false" outlineLevel="0" collapsed="false">
      <c r="A2071" s="39" t="s">
        <v>2535</v>
      </c>
      <c r="B2071" s="39" t="s">
        <v>3206</v>
      </c>
      <c r="C2071" s="41" t="n">
        <v>7.51</v>
      </c>
    </row>
    <row r="2072" customFormat="false" ht="15" hidden="false" customHeight="false" outlineLevel="0" collapsed="false">
      <c r="A2072" s="39" t="s">
        <v>542</v>
      </c>
      <c r="B2072" s="39" t="s">
        <v>3205</v>
      </c>
      <c r="C2072" s="41" t="n">
        <v>9.5</v>
      </c>
    </row>
    <row r="2073" customFormat="false" ht="15" hidden="false" customHeight="false" outlineLevel="0" collapsed="false">
      <c r="A2073" s="39" t="s">
        <v>1070</v>
      </c>
      <c r="B2073" s="39" t="s">
        <v>3205</v>
      </c>
      <c r="C2073" s="41" t="n">
        <v>2.47</v>
      </c>
    </row>
    <row r="2074" customFormat="false" ht="15" hidden="false" customHeight="false" outlineLevel="0" collapsed="false">
      <c r="A2074" s="39" t="s">
        <v>1314</v>
      </c>
      <c r="B2074" s="39" t="s">
        <v>3205</v>
      </c>
      <c r="C2074" s="41" t="n">
        <v>8.54</v>
      </c>
    </row>
    <row r="2075" customFormat="false" ht="15" hidden="false" customHeight="false" outlineLevel="0" collapsed="false">
      <c r="A2075" s="39" t="s">
        <v>2766</v>
      </c>
      <c r="B2075" s="39" t="s">
        <v>3204</v>
      </c>
      <c r="C2075" s="41" t="n">
        <v>5.84</v>
      </c>
    </row>
    <row r="2076" customFormat="false" ht="15" hidden="false" customHeight="false" outlineLevel="0" collapsed="false">
      <c r="A2076" s="39" t="s">
        <v>1127</v>
      </c>
      <c r="B2076" s="39" t="s">
        <v>3204</v>
      </c>
      <c r="C2076" s="41" t="n">
        <v>0.44</v>
      </c>
    </row>
    <row r="2077" customFormat="false" ht="15" hidden="false" customHeight="false" outlineLevel="0" collapsed="false">
      <c r="A2077" s="39" t="s">
        <v>2021</v>
      </c>
      <c r="B2077" s="39" t="s">
        <v>3204</v>
      </c>
      <c r="C2077" s="41" t="n">
        <v>0.52</v>
      </c>
    </row>
    <row r="2078" customFormat="false" ht="15" hidden="false" customHeight="false" outlineLevel="0" collapsed="false">
      <c r="A2078" s="39" t="s">
        <v>2243</v>
      </c>
      <c r="B2078" s="39" t="s">
        <v>3204</v>
      </c>
      <c r="C2078" s="41" t="n">
        <v>1.53</v>
      </c>
    </row>
    <row r="2079" customFormat="false" ht="15" hidden="false" customHeight="false" outlineLevel="0" collapsed="false">
      <c r="A2079" s="39" t="s">
        <v>1634</v>
      </c>
      <c r="B2079" s="39" t="s">
        <v>3203</v>
      </c>
      <c r="C2079" s="41" t="n">
        <v>0.6</v>
      </c>
    </row>
    <row r="2080" customFormat="false" ht="15" hidden="false" customHeight="false" outlineLevel="0" collapsed="false">
      <c r="A2080" s="39" t="s">
        <v>1835</v>
      </c>
      <c r="B2080" s="39" t="s">
        <v>3206</v>
      </c>
      <c r="C2080" s="41" t="n">
        <v>3.69</v>
      </c>
    </row>
    <row r="2081" customFormat="false" ht="15" hidden="false" customHeight="false" outlineLevel="0" collapsed="false">
      <c r="A2081" s="39" t="s">
        <v>2454</v>
      </c>
      <c r="B2081" s="39" t="s">
        <v>3206</v>
      </c>
      <c r="C2081" s="41" t="n">
        <v>2.04</v>
      </c>
    </row>
    <row r="2082" customFormat="false" ht="15" hidden="false" customHeight="false" outlineLevel="0" collapsed="false">
      <c r="A2082" s="39" t="s">
        <v>2639</v>
      </c>
      <c r="B2082" s="39" t="s">
        <v>3206</v>
      </c>
      <c r="C2082" s="41" t="n">
        <v>8.68</v>
      </c>
    </row>
    <row r="2083" customFormat="false" ht="15" hidden="false" customHeight="false" outlineLevel="0" collapsed="false">
      <c r="A2083" s="39" t="s">
        <v>858</v>
      </c>
      <c r="B2083" s="39" t="s">
        <v>3204</v>
      </c>
      <c r="C2083" s="41" t="n">
        <v>1.94</v>
      </c>
    </row>
    <row r="2084" customFormat="false" ht="15" hidden="false" customHeight="false" outlineLevel="0" collapsed="false">
      <c r="A2084" s="39" t="s">
        <v>1470</v>
      </c>
      <c r="B2084" s="39" t="s">
        <v>3204</v>
      </c>
      <c r="C2084" s="41" t="n">
        <v>0.8</v>
      </c>
    </row>
    <row r="2085" customFormat="false" ht="15" hidden="false" customHeight="false" outlineLevel="0" collapsed="false">
      <c r="A2085" s="39" t="s">
        <v>1380</v>
      </c>
      <c r="B2085" s="39" t="s">
        <v>3205</v>
      </c>
      <c r="C2085" s="41" t="n">
        <v>12.49</v>
      </c>
    </row>
    <row r="2086" customFormat="false" ht="15" hidden="false" customHeight="false" outlineLevel="0" collapsed="false">
      <c r="A2086" s="39" t="s">
        <v>2007</v>
      </c>
      <c r="B2086" s="39" t="s">
        <v>3203</v>
      </c>
      <c r="C2086" s="41" t="n">
        <v>3.02</v>
      </c>
    </row>
    <row r="2087" customFormat="false" ht="15" hidden="false" customHeight="false" outlineLevel="0" collapsed="false">
      <c r="A2087" s="39" t="s">
        <v>2614</v>
      </c>
      <c r="B2087" s="39" t="s">
        <v>3206</v>
      </c>
      <c r="C2087" s="41" t="n">
        <v>2.63</v>
      </c>
    </row>
    <row r="2088" customFormat="false" ht="15" hidden="false" customHeight="false" outlineLevel="0" collapsed="false">
      <c r="A2088" s="39" t="s">
        <v>284</v>
      </c>
      <c r="B2088" s="39" t="s">
        <v>3204</v>
      </c>
      <c r="C2088" s="41" t="n">
        <v>1.62</v>
      </c>
    </row>
    <row r="2089" customFormat="false" ht="15" hidden="false" customHeight="false" outlineLevel="0" collapsed="false">
      <c r="A2089" s="39" t="s">
        <v>2054</v>
      </c>
      <c r="B2089" s="39" t="s">
        <v>3203</v>
      </c>
      <c r="C2089" s="41" t="n">
        <v>5.07</v>
      </c>
    </row>
    <row r="2090" customFormat="false" ht="15" hidden="false" customHeight="false" outlineLevel="0" collapsed="false">
      <c r="A2090" s="39" t="s">
        <v>607</v>
      </c>
      <c r="B2090" s="39" t="s">
        <v>3205</v>
      </c>
      <c r="C2090" s="41" t="n">
        <v>2.25</v>
      </c>
    </row>
    <row r="2091" customFormat="false" ht="15" hidden="false" customHeight="false" outlineLevel="0" collapsed="false">
      <c r="A2091" s="39" t="s">
        <v>1580</v>
      </c>
      <c r="B2091" s="39" t="s">
        <v>3204</v>
      </c>
      <c r="C2091" s="41" t="n">
        <v>0.88</v>
      </c>
    </row>
    <row r="2092" customFormat="false" ht="15" hidden="false" customHeight="false" outlineLevel="0" collapsed="false">
      <c r="A2092" s="39" t="s">
        <v>2323</v>
      </c>
      <c r="B2092" s="39" t="s">
        <v>3206</v>
      </c>
      <c r="C2092" s="41" t="n">
        <v>12.83</v>
      </c>
    </row>
    <row r="2093" customFormat="false" ht="15" hidden="false" customHeight="false" outlineLevel="0" collapsed="false">
      <c r="A2093" s="39" t="s">
        <v>3084</v>
      </c>
      <c r="B2093" s="39" t="s">
        <v>3206</v>
      </c>
      <c r="C2093" s="41" t="n">
        <v>8.47</v>
      </c>
    </row>
    <row r="2094" customFormat="false" ht="15" hidden="false" customHeight="false" outlineLevel="0" collapsed="false">
      <c r="A2094" s="39" t="s">
        <v>1220</v>
      </c>
      <c r="B2094" s="39" t="s">
        <v>3204</v>
      </c>
      <c r="C2094" s="41" t="n">
        <v>1.86</v>
      </c>
    </row>
    <row r="2095" customFormat="false" ht="15" hidden="false" customHeight="false" outlineLevel="0" collapsed="false">
      <c r="A2095" s="39" t="s">
        <v>2223</v>
      </c>
      <c r="B2095" s="39" t="s">
        <v>3204</v>
      </c>
      <c r="C2095" s="41" t="n">
        <v>0.45</v>
      </c>
    </row>
    <row r="2096" customFormat="false" ht="15" hidden="false" customHeight="false" outlineLevel="0" collapsed="false">
      <c r="A2096" s="39" t="s">
        <v>1674</v>
      </c>
      <c r="B2096" s="39" t="s">
        <v>3204</v>
      </c>
      <c r="C2096" s="41" t="n">
        <v>5.17</v>
      </c>
    </row>
    <row r="2097" customFormat="false" ht="15" hidden="false" customHeight="false" outlineLevel="0" collapsed="false">
      <c r="A2097" s="39" t="s">
        <v>2819</v>
      </c>
      <c r="B2097" s="39" t="s">
        <v>3203</v>
      </c>
      <c r="C2097" s="41" t="n">
        <v>8.37</v>
      </c>
    </row>
    <row r="2098" customFormat="false" ht="15" hidden="false" customHeight="false" outlineLevel="0" collapsed="false">
      <c r="A2098" s="39" t="s">
        <v>882</v>
      </c>
      <c r="B2098" s="39" t="s">
        <v>3204</v>
      </c>
      <c r="C2098" s="41" t="n">
        <v>17.91</v>
      </c>
    </row>
    <row r="2099" customFormat="false" ht="15" hidden="false" customHeight="false" outlineLevel="0" collapsed="false">
      <c r="A2099" s="39" t="s">
        <v>2034</v>
      </c>
      <c r="B2099" s="39" t="s">
        <v>3203</v>
      </c>
      <c r="C2099" s="41" t="n">
        <v>2.65</v>
      </c>
    </row>
    <row r="2100" customFormat="false" ht="15" hidden="false" customHeight="false" outlineLevel="0" collapsed="false">
      <c r="A2100" s="39" t="s">
        <v>106</v>
      </c>
      <c r="B2100" s="39" t="s">
        <v>3206</v>
      </c>
      <c r="C2100" s="41" t="n">
        <v>7.9</v>
      </c>
    </row>
    <row r="2101" customFormat="false" ht="15" hidden="false" customHeight="false" outlineLevel="0" collapsed="false">
      <c r="A2101" s="39" t="s">
        <v>3184</v>
      </c>
      <c r="B2101" s="39" t="s">
        <v>3204</v>
      </c>
      <c r="C2101" s="41" t="n">
        <v>27.42</v>
      </c>
    </row>
    <row r="2102" customFormat="false" ht="15" hidden="false" customHeight="false" outlineLevel="0" collapsed="false">
      <c r="A2102" s="39" t="s">
        <v>2589</v>
      </c>
      <c r="B2102" s="39" t="s">
        <v>3204</v>
      </c>
      <c r="C2102" s="41" t="n">
        <v>0.85</v>
      </c>
    </row>
    <row r="2103" customFormat="false" ht="15" hidden="false" customHeight="false" outlineLevel="0" collapsed="false">
      <c r="A2103" s="39" t="s">
        <v>2685</v>
      </c>
      <c r="B2103" s="39" t="s">
        <v>3203</v>
      </c>
      <c r="C2103" s="41" t="n">
        <v>2.38</v>
      </c>
    </row>
    <row r="2104" customFormat="false" ht="15" hidden="false" customHeight="false" outlineLevel="0" collapsed="false">
      <c r="A2104" s="39" t="s">
        <v>338</v>
      </c>
      <c r="B2104" s="39" t="s">
        <v>3204</v>
      </c>
      <c r="C2104" s="41" t="n">
        <v>24.28</v>
      </c>
    </row>
    <row r="2105" customFormat="false" ht="15" hidden="false" customHeight="false" outlineLevel="0" collapsed="false">
      <c r="A2105" s="39" t="s">
        <v>1962</v>
      </c>
      <c r="B2105" s="39" t="s">
        <v>3206</v>
      </c>
      <c r="C2105" s="41" t="n">
        <v>9.17</v>
      </c>
    </row>
    <row r="2106" customFormat="false" ht="15" hidden="false" customHeight="false" outlineLevel="0" collapsed="false">
      <c r="A2106" s="39" t="s">
        <v>720</v>
      </c>
      <c r="B2106" s="39" t="s">
        <v>3206</v>
      </c>
      <c r="C2106" s="41" t="n">
        <v>6.05</v>
      </c>
    </row>
    <row r="2107" customFormat="false" ht="15" hidden="false" customHeight="false" outlineLevel="0" collapsed="false">
      <c r="A2107" s="39" t="s">
        <v>242</v>
      </c>
      <c r="B2107" s="39" t="s">
        <v>3206</v>
      </c>
      <c r="C2107" s="41" t="n">
        <v>3.78</v>
      </c>
    </row>
    <row r="2108" customFormat="false" ht="15" hidden="false" customHeight="false" outlineLevel="0" collapsed="false">
      <c r="A2108" s="39" t="s">
        <v>754</v>
      </c>
      <c r="B2108" s="39" t="s">
        <v>3205</v>
      </c>
      <c r="C2108" s="41" t="n">
        <v>12.4</v>
      </c>
    </row>
    <row r="2109" customFormat="false" ht="15" hidden="false" customHeight="false" outlineLevel="0" collapsed="false">
      <c r="A2109" s="39" t="s">
        <v>180</v>
      </c>
      <c r="B2109" s="39" t="s">
        <v>3203</v>
      </c>
      <c r="C2109" s="41" t="n">
        <v>17.36</v>
      </c>
    </row>
    <row r="2110" customFormat="false" ht="15" hidden="false" customHeight="false" outlineLevel="0" collapsed="false">
      <c r="A2110" s="39" t="s">
        <v>264</v>
      </c>
      <c r="B2110" s="39" t="s">
        <v>3203</v>
      </c>
      <c r="C2110" s="41" t="n">
        <v>3.3</v>
      </c>
    </row>
    <row r="2111" customFormat="false" ht="15" hidden="false" customHeight="false" outlineLevel="0" collapsed="false">
      <c r="A2111" s="39" t="s">
        <v>2927</v>
      </c>
      <c r="B2111" s="39" t="s">
        <v>3206</v>
      </c>
      <c r="C2111" s="41" t="n">
        <v>3.36</v>
      </c>
    </row>
    <row r="2112" customFormat="false" ht="15" hidden="false" customHeight="false" outlineLevel="0" collapsed="false">
      <c r="A2112" s="39" t="s">
        <v>1376</v>
      </c>
      <c r="B2112" s="39" t="s">
        <v>3203</v>
      </c>
      <c r="C2112" s="41" t="n">
        <v>2.79</v>
      </c>
    </row>
    <row r="2113" customFormat="false" ht="15" hidden="false" customHeight="false" outlineLevel="0" collapsed="false">
      <c r="A2113" s="39" t="s">
        <v>759</v>
      </c>
      <c r="B2113" s="39" t="s">
        <v>3204</v>
      </c>
      <c r="C2113" s="41" t="n">
        <v>0.34</v>
      </c>
    </row>
    <row r="2114" customFormat="false" ht="15" hidden="false" customHeight="false" outlineLevel="0" collapsed="false">
      <c r="A2114" s="39" t="s">
        <v>251</v>
      </c>
      <c r="B2114" s="39" t="s">
        <v>3206</v>
      </c>
      <c r="C2114" s="41" t="n">
        <v>4.95</v>
      </c>
    </row>
    <row r="2115" customFormat="false" ht="15" hidden="false" customHeight="false" outlineLevel="0" collapsed="false">
      <c r="A2115" s="39" t="s">
        <v>433</v>
      </c>
      <c r="B2115" s="39" t="s">
        <v>3203</v>
      </c>
      <c r="C2115" s="41" t="n">
        <v>2.87</v>
      </c>
    </row>
    <row r="2116" customFormat="false" ht="15" hidden="false" customHeight="false" outlineLevel="0" collapsed="false">
      <c r="A2116" s="39" t="s">
        <v>1697</v>
      </c>
      <c r="B2116" s="39" t="s">
        <v>3204</v>
      </c>
      <c r="C2116" s="41" t="n">
        <v>24.17</v>
      </c>
    </row>
    <row r="2117" customFormat="false" ht="15" hidden="false" customHeight="false" outlineLevel="0" collapsed="false">
      <c r="A2117" s="39" t="s">
        <v>1261</v>
      </c>
      <c r="B2117" s="39" t="s">
        <v>3203</v>
      </c>
      <c r="C2117" s="41" t="n">
        <v>11.06</v>
      </c>
    </row>
    <row r="2118" customFormat="false" ht="15" hidden="false" customHeight="false" outlineLevel="0" collapsed="false">
      <c r="A2118" s="39" t="s">
        <v>2229</v>
      </c>
      <c r="B2118" s="39" t="s">
        <v>3205</v>
      </c>
      <c r="C2118" s="41" t="n">
        <v>9.65</v>
      </c>
    </row>
    <row r="2119" customFormat="false" ht="15" hidden="false" customHeight="false" outlineLevel="0" collapsed="false">
      <c r="A2119" s="39" t="s">
        <v>805</v>
      </c>
      <c r="B2119" s="39" t="s">
        <v>3205</v>
      </c>
      <c r="C2119" s="41" t="n">
        <v>4.68</v>
      </c>
    </row>
    <row r="2120" customFormat="false" ht="15" hidden="false" customHeight="false" outlineLevel="0" collapsed="false">
      <c r="A2120" s="39" t="s">
        <v>2611</v>
      </c>
      <c r="B2120" s="39" t="s">
        <v>3203</v>
      </c>
      <c r="C2120" s="41" t="n">
        <v>13.17</v>
      </c>
    </row>
    <row r="2121" customFormat="false" ht="15" hidden="false" customHeight="false" outlineLevel="0" collapsed="false">
      <c r="A2121" s="39" t="s">
        <v>1775</v>
      </c>
      <c r="B2121" s="39" t="s">
        <v>3206</v>
      </c>
      <c r="C2121" s="41" t="n">
        <v>4.57</v>
      </c>
    </row>
    <row r="2122" customFormat="false" ht="15" hidden="false" customHeight="false" outlineLevel="0" collapsed="false">
      <c r="A2122" s="39" t="s">
        <v>1436</v>
      </c>
      <c r="B2122" s="39" t="s">
        <v>3206</v>
      </c>
      <c r="C2122" s="41" t="n">
        <v>4.19</v>
      </c>
    </row>
    <row r="2123" customFormat="false" ht="15" hidden="false" customHeight="false" outlineLevel="0" collapsed="false">
      <c r="A2123" s="39" t="s">
        <v>2410</v>
      </c>
      <c r="B2123" s="39" t="s">
        <v>3203</v>
      </c>
      <c r="C2123" s="41" t="n">
        <v>5.64</v>
      </c>
    </row>
    <row r="2124" customFormat="false" ht="15" hidden="false" customHeight="false" outlineLevel="0" collapsed="false">
      <c r="A2124" s="39" t="s">
        <v>523</v>
      </c>
      <c r="B2124" s="39" t="s">
        <v>3203</v>
      </c>
      <c r="C2124" s="41" t="n">
        <v>3.6</v>
      </c>
    </row>
    <row r="2125" customFormat="false" ht="15" hidden="false" customHeight="false" outlineLevel="0" collapsed="false">
      <c r="A2125" s="39" t="s">
        <v>795</v>
      </c>
      <c r="B2125" s="39" t="s">
        <v>3204</v>
      </c>
      <c r="C2125" s="41" t="n">
        <v>0.98</v>
      </c>
    </row>
    <row r="2126" customFormat="false" ht="15" hidden="false" customHeight="false" outlineLevel="0" collapsed="false">
      <c r="A2126" s="39" t="s">
        <v>789</v>
      </c>
      <c r="B2126" s="39" t="s">
        <v>3206</v>
      </c>
      <c r="C2126" s="41" t="n">
        <v>1.34</v>
      </c>
    </row>
    <row r="2127" customFormat="false" ht="15" hidden="false" customHeight="false" outlineLevel="0" collapsed="false">
      <c r="A2127" s="39" t="s">
        <v>1746</v>
      </c>
      <c r="B2127" s="39" t="s">
        <v>3204</v>
      </c>
      <c r="C2127" s="41" t="n">
        <v>7.8</v>
      </c>
    </row>
    <row r="2128" customFormat="false" ht="15" hidden="false" customHeight="false" outlineLevel="0" collapsed="false">
      <c r="A2128" s="39" t="s">
        <v>1516</v>
      </c>
      <c r="B2128" s="39" t="s">
        <v>3203</v>
      </c>
      <c r="C2128" s="41" t="n">
        <v>3.87</v>
      </c>
    </row>
    <row r="2129" customFormat="false" ht="15" hidden="false" customHeight="false" outlineLevel="0" collapsed="false">
      <c r="A2129" s="39" t="s">
        <v>2088</v>
      </c>
      <c r="B2129" s="39" t="s">
        <v>3203</v>
      </c>
      <c r="C2129" s="41" t="n">
        <v>3.56</v>
      </c>
    </row>
    <row r="2130" customFormat="false" ht="15" hidden="false" customHeight="false" outlineLevel="0" collapsed="false">
      <c r="A2130" s="39" t="s">
        <v>444</v>
      </c>
      <c r="B2130" s="39" t="s">
        <v>3204</v>
      </c>
      <c r="C2130" s="41" t="n">
        <v>2.38</v>
      </c>
    </row>
    <row r="2131" customFormat="false" ht="15" hidden="false" customHeight="false" outlineLevel="0" collapsed="false">
      <c r="A2131" s="39" t="s">
        <v>3023</v>
      </c>
      <c r="B2131" s="39" t="s">
        <v>3206</v>
      </c>
      <c r="C2131" s="41" t="n">
        <v>1.79</v>
      </c>
    </row>
    <row r="2132" customFormat="false" ht="15" hidden="false" customHeight="false" outlineLevel="0" collapsed="false">
      <c r="A2132" s="39" t="s">
        <v>508</v>
      </c>
      <c r="B2132" s="39" t="s">
        <v>3203</v>
      </c>
      <c r="C2132" s="41" t="n">
        <v>0.78</v>
      </c>
    </row>
    <row r="2133" customFormat="false" ht="15" hidden="false" customHeight="false" outlineLevel="0" collapsed="false">
      <c r="A2133" s="39" t="s">
        <v>801</v>
      </c>
      <c r="B2133" s="39" t="s">
        <v>3206</v>
      </c>
      <c r="C2133" s="41" t="n">
        <v>2.16</v>
      </c>
    </row>
    <row r="2134" customFormat="false" ht="15" hidden="false" customHeight="false" outlineLevel="0" collapsed="false">
      <c r="A2134" s="39" t="s">
        <v>1915</v>
      </c>
      <c r="B2134" s="39" t="s">
        <v>3206</v>
      </c>
      <c r="C2134" s="41" t="n">
        <v>20.59</v>
      </c>
    </row>
    <row r="2135" customFormat="false" ht="15" hidden="false" customHeight="false" outlineLevel="0" collapsed="false">
      <c r="A2135" s="39" t="s">
        <v>1090</v>
      </c>
      <c r="B2135" s="39" t="s">
        <v>3203</v>
      </c>
      <c r="C2135" s="41" t="n">
        <v>5.46</v>
      </c>
    </row>
    <row r="2136" customFormat="false" ht="15" hidden="false" customHeight="false" outlineLevel="0" collapsed="false">
      <c r="A2136" s="39" t="s">
        <v>1043</v>
      </c>
      <c r="B2136" s="39" t="s">
        <v>3206</v>
      </c>
      <c r="C2136" s="41" t="n">
        <v>2.66</v>
      </c>
    </row>
    <row r="2137" customFormat="false" ht="15" hidden="false" customHeight="false" outlineLevel="0" collapsed="false">
      <c r="A2137" s="39" t="s">
        <v>2040</v>
      </c>
      <c r="B2137" s="39" t="s">
        <v>3203</v>
      </c>
      <c r="C2137" s="41" t="n">
        <v>1.84</v>
      </c>
    </row>
    <row r="2138" customFormat="false" ht="15" hidden="false" customHeight="false" outlineLevel="0" collapsed="false">
      <c r="A2138" s="39" t="s">
        <v>792</v>
      </c>
      <c r="B2138" s="39" t="s">
        <v>3206</v>
      </c>
      <c r="C2138" s="41" t="n">
        <v>0.58</v>
      </c>
    </row>
    <row r="2139" customFormat="false" ht="15" hidden="false" customHeight="false" outlineLevel="0" collapsed="false">
      <c r="A2139" s="39" t="s">
        <v>1743</v>
      </c>
      <c r="B2139" s="39" t="s">
        <v>3203</v>
      </c>
      <c r="C2139" s="41" t="n">
        <v>0.88</v>
      </c>
    </row>
    <row r="2140" customFormat="false" ht="15" hidden="false" customHeight="false" outlineLevel="0" collapsed="false">
      <c r="A2140" s="39" t="s">
        <v>2095</v>
      </c>
      <c r="B2140" s="39" t="s">
        <v>3205</v>
      </c>
      <c r="C2140" s="41" t="n">
        <v>1.65</v>
      </c>
    </row>
    <row r="2141" customFormat="false" ht="15" hidden="false" customHeight="false" outlineLevel="0" collapsed="false">
      <c r="A2141" s="39" t="s">
        <v>1064</v>
      </c>
      <c r="B2141" s="39" t="s">
        <v>3203</v>
      </c>
      <c r="C2141" s="41" t="n">
        <v>0.39</v>
      </c>
    </row>
    <row r="2142" customFormat="false" ht="15" hidden="false" customHeight="false" outlineLevel="0" collapsed="false">
      <c r="A2142" s="39" t="s">
        <v>990</v>
      </c>
      <c r="B2142" s="39" t="s">
        <v>3206</v>
      </c>
      <c r="C2142" s="41" t="n">
        <v>5.76</v>
      </c>
    </row>
    <row r="2143" customFormat="false" ht="15" hidden="false" customHeight="false" outlineLevel="0" collapsed="false">
      <c r="A2143" s="39" t="s">
        <v>1323</v>
      </c>
      <c r="B2143" s="39" t="s">
        <v>3203</v>
      </c>
      <c r="C2143" s="41" t="n">
        <v>0.81</v>
      </c>
    </row>
    <row r="2144" customFormat="false" ht="15" hidden="false" customHeight="false" outlineLevel="0" collapsed="false">
      <c r="A2144" s="39" t="s">
        <v>1478</v>
      </c>
      <c r="B2144" s="39" t="s">
        <v>3206</v>
      </c>
      <c r="C2144" s="41" t="n">
        <v>6.2</v>
      </c>
    </row>
    <row r="2145" customFormat="false" ht="15" hidden="false" customHeight="false" outlineLevel="0" collapsed="false">
      <c r="A2145" s="39" t="s">
        <v>1717</v>
      </c>
      <c r="B2145" s="39" t="s">
        <v>3205</v>
      </c>
      <c r="C2145" s="41" t="n">
        <v>0.64</v>
      </c>
    </row>
    <row r="2146" customFormat="false" ht="15" hidden="false" customHeight="false" outlineLevel="0" collapsed="false">
      <c r="A2146" s="39" t="s">
        <v>1718</v>
      </c>
      <c r="B2146" s="39" t="s">
        <v>3205</v>
      </c>
      <c r="C2146" s="41" t="n">
        <v>0.55</v>
      </c>
    </row>
    <row r="2147" customFormat="false" ht="15" hidden="false" customHeight="false" outlineLevel="0" collapsed="false">
      <c r="A2147" s="39" t="s">
        <v>299</v>
      </c>
      <c r="B2147" s="39" t="s">
        <v>3205</v>
      </c>
      <c r="C2147" s="41" t="n">
        <v>7.67</v>
      </c>
    </row>
    <row r="2148" customFormat="false" ht="15" hidden="false" customHeight="false" outlineLevel="0" collapsed="false">
      <c r="A2148" s="39" t="s">
        <v>1701</v>
      </c>
      <c r="B2148" s="39" t="s">
        <v>3203</v>
      </c>
      <c r="C2148" s="41" t="n">
        <v>13.37</v>
      </c>
    </row>
    <row r="2149" customFormat="false" ht="15" hidden="false" customHeight="false" outlineLevel="0" collapsed="false">
      <c r="A2149" s="39" t="s">
        <v>2584</v>
      </c>
      <c r="B2149" s="39" t="s">
        <v>3203</v>
      </c>
      <c r="C2149" s="41" t="n">
        <v>20.08</v>
      </c>
    </row>
    <row r="2150" customFormat="false" ht="15" hidden="false" customHeight="false" outlineLevel="0" collapsed="false">
      <c r="A2150" s="39" t="s">
        <v>510</v>
      </c>
      <c r="B2150" s="39" t="s">
        <v>3205</v>
      </c>
      <c r="C2150" s="41" t="n">
        <v>2.48</v>
      </c>
    </row>
    <row r="2151" customFormat="false" ht="15" hidden="false" customHeight="false" outlineLevel="0" collapsed="false">
      <c r="A2151" s="39" t="s">
        <v>1994</v>
      </c>
      <c r="B2151" s="39" t="s">
        <v>3204</v>
      </c>
      <c r="C2151" s="41" t="n">
        <v>0.74</v>
      </c>
    </row>
    <row r="2152" customFormat="false" ht="15" hidden="false" customHeight="false" outlineLevel="0" collapsed="false">
      <c r="A2152" s="39" t="s">
        <v>1206</v>
      </c>
      <c r="B2152" s="39" t="s">
        <v>3203</v>
      </c>
      <c r="C2152" s="41" t="n">
        <v>26.13</v>
      </c>
    </row>
    <row r="2153" customFormat="false" ht="15" hidden="false" customHeight="false" outlineLevel="0" collapsed="false">
      <c r="A2153" s="39" t="s">
        <v>1276</v>
      </c>
      <c r="B2153" s="39" t="s">
        <v>3204</v>
      </c>
      <c r="C2153" s="41" t="n">
        <v>21.1</v>
      </c>
    </row>
    <row r="2154" customFormat="false" ht="15" hidden="false" customHeight="false" outlineLevel="0" collapsed="false">
      <c r="A2154" s="39" t="s">
        <v>687</v>
      </c>
      <c r="B2154" s="39" t="s">
        <v>3205</v>
      </c>
      <c r="C2154" s="41" t="n">
        <v>1.32</v>
      </c>
    </row>
    <row r="2155" customFormat="false" ht="15" hidden="false" customHeight="false" outlineLevel="0" collapsed="false">
      <c r="A2155" s="39" t="s">
        <v>3082</v>
      </c>
      <c r="B2155" s="39" t="s">
        <v>3206</v>
      </c>
      <c r="C2155" s="41" t="n">
        <v>28.34</v>
      </c>
    </row>
    <row r="2156" customFormat="false" ht="15" hidden="false" customHeight="false" outlineLevel="0" collapsed="false">
      <c r="A2156" s="39" t="s">
        <v>1340</v>
      </c>
      <c r="B2156" s="39" t="s">
        <v>3204</v>
      </c>
      <c r="C2156" s="41" t="n">
        <v>3.04</v>
      </c>
    </row>
    <row r="2157" customFormat="false" ht="15" hidden="false" customHeight="false" outlineLevel="0" collapsed="false">
      <c r="A2157" s="39" t="s">
        <v>893</v>
      </c>
      <c r="B2157" s="39" t="s">
        <v>3205</v>
      </c>
      <c r="C2157" s="41" t="n">
        <v>6.64</v>
      </c>
    </row>
    <row r="2158" customFormat="false" ht="15" hidden="false" customHeight="false" outlineLevel="0" collapsed="false">
      <c r="A2158" s="39" t="s">
        <v>1405</v>
      </c>
      <c r="B2158" s="39" t="s">
        <v>3205</v>
      </c>
      <c r="C2158" s="41" t="n">
        <v>19.78</v>
      </c>
    </row>
    <row r="2159" customFormat="false" ht="15" hidden="false" customHeight="false" outlineLevel="0" collapsed="false">
      <c r="A2159" s="39" t="s">
        <v>3109</v>
      </c>
      <c r="B2159" s="39" t="s">
        <v>3203</v>
      </c>
      <c r="C2159" s="41" t="n">
        <v>1.23</v>
      </c>
    </row>
    <row r="2160" customFormat="false" ht="15" hidden="false" customHeight="false" outlineLevel="0" collapsed="false">
      <c r="A2160" s="39" t="s">
        <v>2046</v>
      </c>
      <c r="B2160" s="39" t="s">
        <v>3203</v>
      </c>
      <c r="C2160" s="41" t="n">
        <v>60.18</v>
      </c>
    </row>
    <row r="2161" customFormat="false" ht="15" hidden="false" customHeight="false" outlineLevel="0" collapsed="false">
      <c r="A2161" s="39" t="s">
        <v>2471</v>
      </c>
      <c r="B2161" s="39" t="s">
        <v>3203</v>
      </c>
      <c r="C2161" s="41" t="n">
        <v>0.27</v>
      </c>
    </row>
    <row r="2162" customFormat="false" ht="15" hidden="false" customHeight="false" outlineLevel="0" collapsed="false">
      <c r="A2162" s="39" t="s">
        <v>1371</v>
      </c>
      <c r="B2162" s="39" t="s">
        <v>3204</v>
      </c>
      <c r="C2162" s="41" t="n">
        <v>9.22</v>
      </c>
    </row>
    <row r="2163" customFormat="false" ht="15" hidden="false" customHeight="false" outlineLevel="0" collapsed="false">
      <c r="A2163" s="39" t="s">
        <v>1570</v>
      </c>
      <c r="B2163" s="39" t="s">
        <v>3205</v>
      </c>
      <c r="C2163" s="41" t="n">
        <v>10.84</v>
      </c>
    </row>
    <row r="2164" customFormat="false" ht="15" hidden="false" customHeight="false" outlineLevel="0" collapsed="false">
      <c r="A2164" s="39" t="s">
        <v>539</v>
      </c>
      <c r="B2164" s="39" t="s">
        <v>3205</v>
      </c>
      <c r="C2164" s="41" t="n">
        <v>21.54</v>
      </c>
    </row>
    <row r="2165" customFormat="false" ht="15" hidden="false" customHeight="false" outlineLevel="0" collapsed="false">
      <c r="A2165" s="39" t="s">
        <v>1219</v>
      </c>
      <c r="B2165" s="39" t="s">
        <v>3204</v>
      </c>
      <c r="C2165" s="41" t="n">
        <v>0.98</v>
      </c>
    </row>
    <row r="2166" customFormat="false" ht="15" hidden="false" customHeight="false" outlineLevel="0" collapsed="false">
      <c r="A2166" s="39" t="s">
        <v>2947</v>
      </c>
      <c r="B2166" s="39" t="s">
        <v>3205</v>
      </c>
      <c r="C2166" s="41" t="n">
        <v>1.33</v>
      </c>
    </row>
    <row r="2167" customFormat="false" ht="15" hidden="false" customHeight="false" outlineLevel="0" collapsed="false">
      <c r="A2167" s="39" t="s">
        <v>1228</v>
      </c>
      <c r="B2167" s="39" t="s">
        <v>3206</v>
      </c>
      <c r="C2167" s="41" t="n">
        <v>1.74</v>
      </c>
    </row>
    <row r="2168" customFormat="false" ht="15" hidden="false" customHeight="false" outlineLevel="0" collapsed="false">
      <c r="A2168" s="39" t="s">
        <v>570</v>
      </c>
      <c r="B2168" s="39" t="s">
        <v>3205</v>
      </c>
      <c r="C2168" s="41" t="n">
        <v>0.68</v>
      </c>
    </row>
    <row r="2169" customFormat="false" ht="15" hidden="false" customHeight="false" outlineLevel="0" collapsed="false">
      <c r="A2169" s="39" t="s">
        <v>1599</v>
      </c>
      <c r="B2169" s="39" t="s">
        <v>3204</v>
      </c>
      <c r="C2169" s="41" t="n">
        <v>2.1</v>
      </c>
    </row>
    <row r="2170" customFormat="false" ht="15" hidden="false" customHeight="false" outlineLevel="0" collapsed="false">
      <c r="A2170" s="39" t="s">
        <v>1312</v>
      </c>
      <c r="B2170" s="39" t="s">
        <v>3203</v>
      </c>
      <c r="C2170" s="41" t="n">
        <v>7.51</v>
      </c>
    </row>
    <row r="2171" customFormat="false" ht="15" hidden="false" customHeight="false" outlineLevel="0" collapsed="false">
      <c r="A2171" s="39" t="s">
        <v>2422</v>
      </c>
      <c r="B2171" s="39" t="s">
        <v>3204</v>
      </c>
      <c r="C2171" s="41" t="n">
        <v>3.82</v>
      </c>
    </row>
    <row r="2172" customFormat="false" ht="15" hidden="false" customHeight="false" outlineLevel="0" collapsed="false">
      <c r="A2172" s="39" t="s">
        <v>1690</v>
      </c>
      <c r="B2172" s="39" t="s">
        <v>3203</v>
      </c>
      <c r="C2172" s="41" t="n">
        <v>23.69</v>
      </c>
    </row>
    <row r="2173" customFormat="false" ht="15" hidden="false" customHeight="false" outlineLevel="0" collapsed="false">
      <c r="A2173" s="39" t="s">
        <v>2886</v>
      </c>
      <c r="B2173" s="39" t="s">
        <v>3206</v>
      </c>
      <c r="C2173" s="41" t="n">
        <v>19.42</v>
      </c>
    </row>
    <row r="2174" customFormat="false" ht="15" hidden="false" customHeight="false" outlineLevel="0" collapsed="false">
      <c r="A2174" s="39" t="s">
        <v>1151</v>
      </c>
      <c r="B2174" s="39" t="s">
        <v>3203</v>
      </c>
      <c r="C2174" s="41" t="n">
        <v>0.35</v>
      </c>
    </row>
    <row r="2175" customFormat="false" ht="15" hidden="false" customHeight="false" outlineLevel="0" collapsed="false">
      <c r="A2175" s="39" t="s">
        <v>2613</v>
      </c>
      <c r="B2175" s="39" t="s">
        <v>3206</v>
      </c>
      <c r="C2175" s="41" t="n">
        <v>3.01</v>
      </c>
    </row>
    <row r="2176" customFormat="false" ht="15" hidden="false" customHeight="false" outlineLevel="0" collapsed="false">
      <c r="A2176" s="39" t="s">
        <v>2593</v>
      </c>
      <c r="B2176" s="39" t="s">
        <v>3205</v>
      </c>
      <c r="C2176" s="41" t="n">
        <v>18.53</v>
      </c>
    </row>
    <row r="2177" customFormat="false" ht="15" hidden="false" customHeight="false" outlineLevel="0" collapsed="false">
      <c r="A2177" s="39" t="s">
        <v>1964</v>
      </c>
      <c r="B2177" s="39" t="s">
        <v>3204</v>
      </c>
      <c r="C2177" s="41" t="n">
        <v>3.47</v>
      </c>
    </row>
    <row r="2178" customFormat="false" ht="15" hidden="false" customHeight="false" outlineLevel="0" collapsed="false">
      <c r="A2178" s="39" t="s">
        <v>621</v>
      </c>
      <c r="B2178" s="39" t="s">
        <v>3204</v>
      </c>
      <c r="C2178" s="41" t="n">
        <v>45.8</v>
      </c>
    </row>
    <row r="2179" customFormat="false" ht="15" hidden="false" customHeight="false" outlineLevel="0" collapsed="false">
      <c r="A2179" s="39" t="s">
        <v>1572</v>
      </c>
      <c r="B2179" s="39" t="s">
        <v>3203</v>
      </c>
      <c r="C2179" s="41" t="n">
        <v>0.28</v>
      </c>
    </row>
    <row r="2180" customFormat="false" ht="15" hidden="false" customHeight="false" outlineLevel="0" collapsed="false">
      <c r="A2180" s="39" t="s">
        <v>2756</v>
      </c>
      <c r="B2180" s="39" t="s">
        <v>3205</v>
      </c>
      <c r="C2180" s="41" t="n">
        <v>1.8</v>
      </c>
    </row>
    <row r="2181" customFormat="false" ht="15" hidden="false" customHeight="false" outlineLevel="0" collapsed="false">
      <c r="A2181" s="39" t="s">
        <v>949</v>
      </c>
      <c r="B2181" s="39" t="s">
        <v>3204</v>
      </c>
      <c r="C2181" s="41" t="n">
        <v>3.54</v>
      </c>
    </row>
    <row r="2182" customFormat="false" ht="15" hidden="false" customHeight="false" outlineLevel="0" collapsed="false">
      <c r="A2182" s="39" t="s">
        <v>1923</v>
      </c>
      <c r="B2182" s="39" t="s">
        <v>3205</v>
      </c>
      <c r="C2182" s="41" t="n">
        <v>46.37</v>
      </c>
    </row>
    <row r="2183" customFormat="false" ht="15" hidden="false" customHeight="false" outlineLevel="0" collapsed="false">
      <c r="A2183" s="39" t="s">
        <v>1782</v>
      </c>
      <c r="B2183" s="39" t="s">
        <v>3205</v>
      </c>
      <c r="C2183" s="41" t="n">
        <v>17.04</v>
      </c>
    </row>
    <row r="2184" customFormat="false" ht="15" hidden="false" customHeight="false" outlineLevel="0" collapsed="false">
      <c r="A2184" s="39" t="s">
        <v>1953</v>
      </c>
      <c r="B2184" s="39" t="s">
        <v>3203</v>
      </c>
      <c r="C2184" s="41" t="n">
        <v>52.21</v>
      </c>
    </row>
    <row r="2185" customFormat="false" ht="15" hidden="false" customHeight="false" outlineLevel="0" collapsed="false">
      <c r="A2185" s="39" t="s">
        <v>1098</v>
      </c>
      <c r="B2185" s="39" t="s">
        <v>3205</v>
      </c>
      <c r="C2185" s="41" t="n">
        <v>1.86</v>
      </c>
    </row>
    <row r="2186" customFormat="false" ht="15" hidden="false" customHeight="false" outlineLevel="0" collapsed="false">
      <c r="A2186" s="39" t="s">
        <v>2982</v>
      </c>
      <c r="B2186" s="39" t="s">
        <v>3204</v>
      </c>
      <c r="C2186" s="41" t="n">
        <v>9.47</v>
      </c>
    </row>
    <row r="2187" customFormat="false" ht="15" hidden="false" customHeight="false" outlineLevel="0" collapsed="false">
      <c r="A2187" s="39" t="s">
        <v>2084</v>
      </c>
      <c r="B2187" s="39" t="s">
        <v>3203</v>
      </c>
      <c r="C2187" s="41" t="n">
        <v>0.77</v>
      </c>
    </row>
    <row r="2188" customFormat="false" ht="15" hidden="false" customHeight="false" outlineLevel="0" collapsed="false">
      <c r="A2188" s="39" t="s">
        <v>1367</v>
      </c>
      <c r="B2188" s="39" t="s">
        <v>3206</v>
      </c>
      <c r="C2188" s="41" t="n">
        <v>25.39</v>
      </c>
    </row>
    <row r="2189" customFormat="false" ht="15" hidden="false" customHeight="false" outlineLevel="0" collapsed="false">
      <c r="A2189" s="39" t="s">
        <v>2534</v>
      </c>
      <c r="B2189" s="39" t="s">
        <v>3204</v>
      </c>
      <c r="C2189" s="41" t="n">
        <v>3.68</v>
      </c>
    </row>
    <row r="2190" customFormat="false" ht="15" hidden="false" customHeight="false" outlineLevel="0" collapsed="false">
      <c r="A2190" s="39" t="s">
        <v>2408</v>
      </c>
      <c r="B2190" s="39" t="s">
        <v>3204</v>
      </c>
      <c r="C2190" s="41" t="n">
        <v>0.83</v>
      </c>
    </row>
    <row r="2191" customFormat="false" ht="15" hidden="false" customHeight="false" outlineLevel="0" collapsed="false">
      <c r="A2191" s="39" t="s">
        <v>364</v>
      </c>
      <c r="B2191" s="39" t="s">
        <v>3204</v>
      </c>
      <c r="C2191" s="41" t="n">
        <v>0.69</v>
      </c>
    </row>
    <row r="2192" customFormat="false" ht="15" hidden="false" customHeight="false" outlineLevel="0" collapsed="false">
      <c r="A2192" s="39" t="s">
        <v>1187</v>
      </c>
      <c r="B2192" s="39" t="s">
        <v>3203</v>
      </c>
      <c r="C2192" s="41" t="n">
        <v>6.57</v>
      </c>
    </row>
    <row r="2193" customFormat="false" ht="15" hidden="false" customHeight="false" outlineLevel="0" collapsed="false">
      <c r="A2193" s="39" t="s">
        <v>308</v>
      </c>
      <c r="B2193" s="39" t="s">
        <v>3206</v>
      </c>
      <c r="C2193" s="41" t="n">
        <v>0.71</v>
      </c>
    </row>
    <row r="2194" customFormat="false" ht="15" hidden="false" customHeight="false" outlineLevel="0" collapsed="false">
      <c r="A2194" s="39" t="s">
        <v>332</v>
      </c>
      <c r="B2194" s="39" t="s">
        <v>3206</v>
      </c>
      <c r="C2194" s="41" t="n">
        <v>4.02</v>
      </c>
    </row>
    <row r="2195" customFormat="false" ht="15" hidden="false" customHeight="false" outlineLevel="0" collapsed="false">
      <c r="A2195" s="39" t="s">
        <v>1587</v>
      </c>
      <c r="B2195" s="39" t="s">
        <v>3205</v>
      </c>
      <c r="C2195" s="41" t="n">
        <v>1.67</v>
      </c>
    </row>
    <row r="2196" customFormat="false" ht="15" hidden="false" customHeight="false" outlineLevel="0" collapsed="false">
      <c r="A2196" s="39" t="s">
        <v>3058</v>
      </c>
      <c r="B2196" s="39" t="s">
        <v>3205</v>
      </c>
      <c r="C2196" s="41" t="n">
        <v>10.86</v>
      </c>
    </row>
    <row r="2197" customFormat="false" ht="15" hidden="false" customHeight="false" outlineLevel="0" collapsed="false">
      <c r="A2197" s="39" t="s">
        <v>1673</v>
      </c>
      <c r="B2197" s="39" t="s">
        <v>3205</v>
      </c>
      <c r="C2197" s="41" t="n">
        <v>9.7</v>
      </c>
    </row>
    <row r="2198" customFormat="false" ht="15" hidden="false" customHeight="false" outlineLevel="0" collapsed="false">
      <c r="A2198" s="39" t="s">
        <v>3025</v>
      </c>
      <c r="B2198" s="39" t="s">
        <v>3204</v>
      </c>
      <c r="C2198" s="41" t="n">
        <v>0.48</v>
      </c>
    </row>
    <row r="2199" customFormat="false" ht="15" hidden="false" customHeight="false" outlineLevel="0" collapsed="false">
      <c r="A2199" s="39" t="s">
        <v>290</v>
      </c>
      <c r="B2199" s="39" t="s">
        <v>3204</v>
      </c>
      <c r="C2199" s="41" t="n">
        <v>0.59</v>
      </c>
    </row>
    <row r="2200" customFormat="false" ht="15" hidden="false" customHeight="false" outlineLevel="0" collapsed="false">
      <c r="A2200" s="39" t="s">
        <v>2074</v>
      </c>
      <c r="B2200" s="39" t="s">
        <v>3205</v>
      </c>
      <c r="C2200" s="41" t="n">
        <v>0.71</v>
      </c>
    </row>
    <row r="2201" customFormat="false" ht="15" hidden="false" customHeight="false" outlineLevel="0" collapsed="false">
      <c r="A2201" s="39" t="s">
        <v>1167</v>
      </c>
      <c r="B2201" s="39" t="s">
        <v>3203</v>
      </c>
      <c r="C2201" s="41" t="n">
        <v>1.32</v>
      </c>
    </row>
    <row r="2202" customFormat="false" ht="15" hidden="false" customHeight="false" outlineLevel="0" collapsed="false">
      <c r="A2202" s="39" t="s">
        <v>1551</v>
      </c>
      <c r="B2202" s="39" t="s">
        <v>3203</v>
      </c>
      <c r="C2202" s="41" t="n">
        <v>5.91</v>
      </c>
    </row>
    <row r="2203" customFormat="false" ht="15" hidden="false" customHeight="false" outlineLevel="0" collapsed="false">
      <c r="A2203" s="39" t="s">
        <v>1906</v>
      </c>
      <c r="B2203" s="39" t="s">
        <v>3203</v>
      </c>
      <c r="C2203" s="41" t="n">
        <v>6.6</v>
      </c>
    </row>
    <row r="2204" customFormat="false" ht="15" hidden="false" customHeight="false" outlineLevel="0" collapsed="false">
      <c r="A2204" s="39" t="s">
        <v>962</v>
      </c>
      <c r="B2204" s="39" t="s">
        <v>3203</v>
      </c>
      <c r="C2204" s="41" t="n">
        <v>1.2</v>
      </c>
    </row>
    <row r="2205" customFormat="false" ht="15" hidden="false" customHeight="false" outlineLevel="0" collapsed="false">
      <c r="A2205" s="39" t="s">
        <v>3108</v>
      </c>
      <c r="B2205" s="39" t="s">
        <v>3204</v>
      </c>
      <c r="C2205" s="41" t="n">
        <v>27.75</v>
      </c>
    </row>
    <row r="2206" customFormat="false" ht="15" hidden="false" customHeight="false" outlineLevel="0" collapsed="false">
      <c r="A2206" s="39" t="s">
        <v>1709</v>
      </c>
      <c r="B2206" s="39" t="s">
        <v>3206</v>
      </c>
      <c r="C2206" s="41" t="n">
        <v>6.1</v>
      </c>
    </row>
    <row r="2207" customFormat="false" ht="15" hidden="false" customHeight="false" outlineLevel="0" collapsed="false">
      <c r="A2207" s="39" t="s">
        <v>327</v>
      </c>
      <c r="B2207" s="39" t="s">
        <v>3205</v>
      </c>
      <c r="C2207" s="41" t="n">
        <v>1.45</v>
      </c>
    </row>
    <row r="2208" customFormat="false" ht="15" hidden="false" customHeight="false" outlineLevel="0" collapsed="false">
      <c r="A2208" s="39" t="s">
        <v>2802</v>
      </c>
      <c r="B2208" s="39" t="s">
        <v>3203</v>
      </c>
      <c r="C2208" s="41" t="n">
        <v>7.91</v>
      </c>
    </row>
    <row r="2209" customFormat="false" ht="15" hidden="false" customHeight="false" outlineLevel="0" collapsed="false">
      <c r="A2209" s="39" t="s">
        <v>2235</v>
      </c>
      <c r="B2209" s="39" t="s">
        <v>3203</v>
      </c>
      <c r="C2209" s="41" t="n">
        <v>24.04</v>
      </c>
    </row>
    <row r="2210" customFormat="false" ht="15" hidden="false" customHeight="false" outlineLevel="0" collapsed="false">
      <c r="A2210" s="39" t="s">
        <v>1128</v>
      </c>
      <c r="B2210" s="39" t="s">
        <v>3206</v>
      </c>
      <c r="C2210" s="41" t="n">
        <v>3.47</v>
      </c>
    </row>
    <row r="2211" customFormat="false" ht="15" hidden="false" customHeight="false" outlineLevel="0" collapsed="false">
      <c r="A2211" s="39" t="s">
        <v>252</v>
      </c>
      <c r="B2211" s="39" t="s">
        <v>3206</v>
      </c>
      <c r="C2211" s="41" t="n">
        <v>3.58</v>
      </c>
    </row>
    <row r="2212" customFormat="false" ht="15" hidden="false" customHeight="false" outlineLevel="0" collapsed="false">
      <c r="A2212" s="39" t="s">
        <v>2469</v>
      </c>
      <c r="B2212" s="39" t="s">
        <v>3206</v>
      </c>
      <c r="C2212" s="41" t="n">
        <v>6.04</v>
      </c>
    </row>
    <row r="2213" customFormat="false" ht="15" hidden="false" customHeight="false" outlineLevel="0" collapsed="false">
      <c r="A2213" s="39" t="s">
        <v>988</v>
      </c>
      <c r="B2213" s="39" t="s">
        <v>3204</v>
      </c>
      <c r="C2213" s="41" t="n">
        <v>5</v>
      </c>
    </row>
    <row r="2214" customFormat="false" ht="15" hidden="false" customHeight="false" outlineLevel="0" collapsed="false">
      <c r="A2214" s="39" t="s">
        <v>2826</v>
      </c>
      <c r="B2214" s="39" t="s">
        <v>3203</v>
      </c>
      <c r="C2214" s="41" t="n">
        <v>1.32</v>
      </c>
    </row>
    <row r="2215" customFormat="false" ht="15" hidden="false" customHeight="false" outlineLevel="0" collapsed="false">
      <c r="A2215" s="39" t="s">
        <v>1288</v>
      </c>
      <c r="B2215" s="39" t="s">
        <v>3204</v>
      </c>
      <c r="C2215" s="41" t="n">
        <v>3.61</v>
      </c>
    </row>
    <row r="2216" customFormat="false" ht="15" hidden="false" customHeight="false" outlineLevel="0" collapsed="false">
      <c r="A2216" s="39" t="s">
        <v>1968</v>
      </c>
      <c r="B2216" s="39" t="s">
        <v>3203</v>
      </c>
      <c r="C2216" s="41" t="n">
        <v>7.9</v>
      </c>
    </row>
    <row r="2217" customFormat="false" ht="15" hidden="false" customHeight="false" outlineLevel="0" collapsed="false">
      <c r="A2217" s="39" t="s">
        <v>2784</v>
      </c>
      <c r="B2217" s="39" t="s">
        <v>3204</v>
      </c>
      <c r="C2217" s="41" t="n">
        <v>0.34</v>
      </c>
    </row>
    <row r="2218" customFormat="false" ht="15" hidden="false" customHeight="false" outlineLevel="0" collapsed="false">
      <c r="A2218" s="39" t="s">
        <v>1373</v>
      </c>
      <c r="B2218" s="39" t="s">
        <v>3203</v>
      </c>
      <c r="C2218" s="41" t="n">
        <v>1.52</v>
      </c>
    </row>
    <row r="2219" customFormat="false" ht="15" hidden="false" customHeight="false" outlineLevel="0" collapsed="false">
      <c r="A2219" s="39" t="s">
        <v>581</v>
      </c>
      <c r="B2219" s="39" t="s">
        <v>3203</v>
      </c>
      <c r="C2219" s="41" t="n">
        <v>15.81</v>
      </c>
    </row>
    <row r="2220" customFormat="false" ht="15" hidden="false" customHeight="false" outlineLevel="0" collapsed="false">
      <c r="A2220" s="39" t="s">
        <v>2885</v>
      </c>
      <c r="B2220" s="39" t="s">
        <v>3204</v>
      </c>
      <c r="C2220" s="41" t="n">
        <v>15.59</v>
      </c>
    </row>
    <row r="2221" customFormat="false" ht="15" hidden="false" customHeight="false" outlineLevel="0" collapsed="false">
      <c r="A2221" s="39" t="s">
        <v>2302</v>
      </c>
      <c r="B2221" s="39" t="s">
        <v>3204</v>
      </c>
      <c r="C2221" s="41" t="n">
        <v>7.94</v>
      </c>
    </row>
    <row r="2222" customFormat="false" ht="15" hidden="false" customHeight="false" outlineLevel="0" collapsed="false">
      <c r="A2222" s="39" t="s">
        <v>422</v>
      </c>
      <c r="B2222" s="39" t="s">
        <v>3203</v>
      </c>
      <c r="C2222" s="41" t="n">
        <v>4.01</v>
      </c>
    </row>
    <row r="2223" customFormat="false" ht="15" hidden="false" customHeight="false" outlineLevel="0" collapsed="false">
      <c r="A2223" s="39" t="s">
        <v>2769</v>
      </c>
      <c r="B2223" s="39" t="s">
        <v>3205</v>
      </c>
      <c r="C2223" s="41" t="n">
        <v>3.1</v>
      </c>
    </row>
    <row r="2224" customFormat="false" ht="15" hidden="false" customHeight="false" outlineLevel="0" collapsed="false">
      <c r="A2224" s="39" t="s">
        <v>2445</v>
      </c>
      <c r="B2224" s="39" t="s">
        <v>3205</v>
      </c>
      <c r="C2224" s="41" t="n">
        <v>0.93</v>
      </c>
    </row>
    <row r="2225" customFormat="false" ht="15" hidden="false" customHeight="false" outlineLevel="0" collapsed="false">
      <c r="A2225" s="39" t="s">
        <v>1155</v>
      </c>
      <c r="B2225" s="39" t="s">
        <v>3206</v>
      </c>
      <c r="C2225" s="41" t="n">
        <v>0.96</v>
      </c>
    </row>
    <row r="2226" customFormat="false" ht="15" hidden="false" customHeight="false" outlineLevel="0" collapsed="false">
      <c r="A2226" s="39" t="s">
        <v>983</v>
      </c>
      <c r="B2226" s="39" t="s">
        <v>3204</v>
      </c>
      <c r="C2226" s="41" t="n">
        <v>3.09</v>
      </c>
    </row>
    <row r="2227" customFormat="false" ht="15" hidden="false" customHeight="false" outlineLevel="0" collapsed="false">
      <c r="A2227" s="39" t="s">
        <v>1799</v>
      </c>
      <c r="B2227" s="39" t="s">
        <v>3206</v>
      </c>
      <c r="C2227" s="41" t="n">
        <v>14.27</v>
      </c>
    </row>
    <row r="2228" customFormat="false" ht="15" hidden="false" customHeight="false" outlineLevel="0" collapsed="false">
      <c r="A2228" s="39" t="s">
        <v>2276</v>
      </c>
      <c r="B2228" s="39" t="s">
        <v>3206</v>
      </c>
      <c r="C2228" s="41" t="n">
        <v>0.73</v>
      </c>
    </row>
    <row r="2229" customFormat="false" ht="15" hidden="false" customHeight="false" outlineLevel="0" collapsed="false">
      <c r="A2229" s="39" t="s">
        <v>3160</v>
      </c>
      <c r="B2229" s="39" t="s">
        <v>3203</v>
      </c>
      <c r="C2229" s="41" t="n">
        <v>1.02</v>
      </c>
    </row>
    <row r="2230" customFormat="false" ht="15" hidden="false" customHeight="false" outlineLevel="0" collapsed="false">
      <c r="A2230" s="39" t="s">
        <v>2925</v>
      </c>
      <c r="B2230" s="39" t="s">
        <v>3203</v>
      </c>
      <c r="C2230" s="41" t="n">
        <v>7.97</v>
      </c>
    </row>
    <row r="2231" customFormat="false" ht="15" hidden="false" customHeight="false" outlineLevel="0" collapsed="false">
      <c r="A2231" s="39" t="s">
        <v>1121</v>
      </c>
      <c r="B2231" s="39" t="s">
        <v>3205</v>
      </c>
      <c r="C2231" s="41" t="n">
        <v>2.44</v>
      </c>
    </row>
    <row r="2232" customFormat="false" ht="15" hidden="false" customHeight="false" outlineLevel="0" collapsed="false">
      <c r="A2232" s="39" t="s">
        <v>2907</v>
      </c>
      <c r="B2232" s="39" t="s">
        <v>3204</v>
      </c>
      <c r="C2232" s="41" t="n">
        <v>2.91</v>
      </c>
    </row>
    <row r="2233" customFormat="false" ht="15" hidden="false" customHeight="false" outlineLevel="0" collapsed="false">
      <c r="A2233" s="39" t="s">
        <v>1476</v>
      </c>
      <c r="B2233" s="39" t="s">
        <v>3205</v>
      </c>
      <c r="C2233" s="41" t="n">
        <v>0.81</v>
      </c>
    </row>
    <row r="2234" customFormat="false" ht="15" hidden="false" customHeight="false" outlineLevel="0" collapsed="false">
      <c r="A2234" s="39" t="s">
        <v>2191</v>
      </c>
      <c r="B2234" s="39" t="s">
        <v>3204</v>
      </c>
      <c r="C2234" s="41" t="n">
        <v>8.07</v>
      </c>
    </row>
    <row r="2235" customFormat="false" ht="15" hidden="false" customHeight="false" outlineLevel="0" collapsed="false">
      <c r="A2235" s="39" t="s">
        <v>2667</v>
      </c>
      <c r="B2235" s="39" t="s">
        <v>3204</v>
      </c>
      <c r="C2235" s="41" t="n">
        <v>5.91</v>
      </c>
    </row>
    <row r="2236" customFormat="false" ht="15" hidden="false" customHeight="false" outlineLevel="0" collapsed="false">
      <c r="A2236" s="39" t="s">
        <v>2972</v>
      </c>
      <c r="B2236" s="39" t="s">
        <v>3203</v>
      </c>
      <c r="C2236" s="41" t="n">
        <v>10.26</v>
      </c>
    </row>
    <row r="2237" customFormat="false" ht="15" hidden="false" customHeight="false" outlineLevel="0" collapsed="false">
      <c r="A2237" s="39" t="s">
        <v>2388</v>
      </c>
      <c r="B2237" s="39" t="s">
        <v>3203</v>
      </c>
      <c r="C2237" s="41" t="n">
        <v>1.37</v>
      </c>
    </row>
    <row r="2238" customFormat="false" ht="15" hidden="false" customHeight="false" outlineLevel="0" collapsed="false">
      <c r="A2238" s="39" t="s">
        <v>2403</v>
      </c>
      <c r="B2238" s="39" t="s">
        <v>3203</v>
      </c>
      <c r="C2238" s="41" t="n">
        <v>8.57</v>
      </c>
    </row>
    <row r="2239" customFormat="false" ht="15" hidden="false" customHeight="false" outlineLevel="0" collapsed="false">
      <c r="A2239" s="39" t="s">
        <v>1006</v>
      </c>
      <c r="B2239" s="39" t="s">
        <v>3203</v>
      </c>
      <c r="C2239" s="41" t="n">
        <v>68.64</v>
      </c>
    </row>
    <row r="2240" customFormat="false" ht="15" hidden="false" customHeight="false" outlineLevel="0" collapsed="false">
      <c r="A2240" s="39" t="s">
        <v>1032</v>
      </c>
      <c r="B2240" s="39" t="s">
        <v>3205</v>
      </c>
      <c r="C2240" s="41" t="n">
        <v>7.93</v>
      </c>
    </row>
    <row r="2241" customFormat="false" ht="15" hidden="false" customHeight="false" outlineLevel="0" collapsed="false">
      <c r="A2241" s="39" t="s">
        <v>2804</v>
      </c>
      <c r="B2241" s="39" t="s">
        <v>3203</v>
      </c>
      <c r="C2241" s="41" t="n">
        <v>0.31</v>
      </c>
    </row>
    <row r="2242" customFormat="false" ht="15" hidden="false" customHeight="false" outlineLevel="0" collapsed="false">
      <c r="A2242" s="39" t="s">
        <v>917</v>
      </c>
      <c r="B2242" s="39" t="s">
        <v>3204</v>
      </c>
      <c r="C2242" s="41" t="n">
        <v>1.46</v>
      </c>
    </row>
    <row r="2243" customFormat="false" ht="15" hidden="false" customHeight="false" outlineLevel="0" collapsed="false">
      <c r="A2243" s="39" t="s">
        <v>492</v>
      </c>
      <c r="B2243" s="39" t="s">
        <v>3205</v>
      </c>
      <c r="C2243" s="41" t="n">
        <v>4.15</v>
      </c>
    </row>
    <row r="2244" customFormat="false" ht="15" hidden="false" customHeight="false" outlineLevel="0" collapsed="false">
      <c r="A2244" s="39" t="s">
        <v>2430</v>
      </c>
      <c r="B2244" s="39" t="s">
        <v>3204</v>
      </c>
      <c r="C2244" s="41" t="n">
        <v>4.82</v>
      </c>
    </row>
    <row r="2245" customFormat="false" ht="15" hidden="false" customHeight="false" outlineLevel="0" collapsed="false">
      <c r="A2245" s="39" t="s">
        <v>1935</v>
      </c>
      <c r="B2245" s="39" t="s">
        <v>3203</v>
      </c>
      <c r="C2245" s="41" t="n">
        <v>6.24</v>
      </c>
    </row>
    <row r="2246" customFormat="false" ht="15" hidden="false" customHeight="false" outlineLevel="0" collapsed="false">
      <c r="A2246" s="39" t="s">
        <v>1104</v>
      </c>
      <c r="B2246" s="39" t="s">
        <v>3206</v>
      </c>
      <c r="C2246" s="41" t="n">
        <v>2.86</v>
      </c>
    </row>
    <row r="2247" customFormat="false" ht="15" hidden="false" customHeight="false" outlineLevel="0" collapsed="false">
      <c r="A2247" s="39" t="s">
        <v>1532</v>
      </c>
      <c r="B2247" s="39" t="s">
        <v>3206</v>
      </c>
      <c r="C2247" s="41" t="n">
        <v>13.93</v>
      </c>
    </row>
    <row r="2248" customFormat="false" ht="15" hidden="false" customHeight="false" outlineLevel="0" collapsed="false">
      <c r="A2248" s="39" t="s">
        <v>608</v>
      </c>
      <c r="B2248" s="39" t="s">
        <v>3203</v>
      </c>
      <c r="C2248" s="41" t="n">
        <v>9.54</v>
      </c>
    </row>
    <row r="2249" customFormat="false" ht="15" hidden="false" customHeight="false" outlineLevel="0" collapsed="false">
      <c r="A2249" s="39" t="s">
        <v>1585</v>
      </c>
      <c r="B2249" s="39" t="s">
        <v>3206</v>
      </c>
      <c r="C2249" s="41" t="n">
        <v>0.73</v>
      </c>
    </row>
    <row r="2250" customFormat="false" ht="15" hidden="false" customHeight="false" outlineLevel="0" collapsed="false">
      <c r="A2250" s="39" t="s">
        <v>2055</v>
      </c>
      <c r="B2250" s="39" t="s">
        <v>3203</v>
      </c>
      <c r="C2250" s="41" t="n">
        <v>3.96</v>
      </c>
    </row>
    <row r="2251" customFormat="false" ht="15" hidden="false" customHeight="false" outlineLevel="0" collapsed="false">
      <c r="A2251" s="39" t="s">
        <v>494</v>
      </c>
      <c r="B2251" s="39" t="s">
        <v>3205</v>
      </c>
      <c r="C2251" s="41" t="n">
        <v>17.12</v>
      </c>
    </row>
    <row r="2252" customFormat="false" ht="15" hidden="false" customHeight="false" outlineLevel="0" collapsed="false">
      <c r="A2252" s="39" t="s">
        <v>1783</v>
      </c>
      <c r="B2252" s="39" t="s">
        <v>3205</v>
      </c>
      <c r="C2252" s="41" t="n">
        <v>11.74</v>
      </c>
    </row>
    <row r="2253" customFormat="false" ht="15" hidden="false" customHeight="false" outlineLevel="0" collapsed="false">
      <c r="A2253" s="39" t="s">
        <v>909</v>
      </c>
      <c r="B2253" s="39" t="s">
        <v>3204</v>
      </c>
      <c r="C2253" s="41" t="n">
        <v>0.23</v>
      </c>
    </row>
    <row r="2254" customFormat="false" ht="15" hidden="false" customHeight="false" outlineLevel="0" collapsed="false">
      <c r="A2254" s="39" t="s">
        <v>446</v>
      </c>
      <c r="B2254" s="39" t="s">
        <v>3206</v>
      </c>
      <c r="C2254" s="41" t="n">
        <v>52.09</v>
      </c>
    </row>
    <row r="2255" customFormat="false" ht="15" hidden="false" customHeight="false" outlineLevel="0" collapsed="false">
      <c r="A2255" s="39" t="s">
        <v>2993</v>
      </c>
      <c r="B2255" s="39" t="s">
        <v>3203</v>
      </c>
      <c r="C2255" s="41" t="n">
        <v>3.36</v>
      </c>
    </row>
    <row r="2256" customFormat="false" ht="15" hidden="false" customHeight="false" outlineLevel="0" collapsed="false">
      <c r="A2256" s="39" t="s">
        <v>253</v>
      </c>
      <c r="B2256" s="39" t="s">
        <v>3203</v>
      </c>
      <c r="C2256" s="41" t="n">
        <v>3.62</v>
      </c>
    </row>
    <row r="2257" customFormat="false" ht="15" hidden="false" customHeight="false" outlineLevel="0" collapsed="false">
      <c r="A2257" s="39" t="s">
        <v>2262</v>
      </c>
      <c r="B2257" s="39" t="s">
        <v>3205</v>
      </c>
      <c r="C2257" s="41" t="n">
        <v>1.52</v>
      </c>
    </row>
    <row r="2258" customFormat="false" ht="15" hidden="false" customHeight="false" outlineLevel="0" collapsed="false">
      <c r="A2258" s="39" t="s">
        <v>1892</v>
      </c>
      <c r="B2258" s="39" t="s">
        <v>3203</v>
      </c>
      <c r="C2258" s="41" t="n">
        <v>1.11</v>
      </c>
    </row>
    <row r="2259" customFormat="false" ht="15" hidden="false" customHeight="false" outlineLevel="0" collapsed="false">
      <c r="A2259" s="39" t="s">
        <v>455</v>
      </c>
      <c r="B2259" s="39" t="s">
        <v>3206</v>
      </c>
      <c r="C2259" s="41" t="n">
        <v>8.9</v>
      </c>
    </row>
    <row r="2260" customFormat="false" ht="15" hidden="false" customHeight="false" outlineLevel="0" collapsed="false">
      <c r="A2260" s="39" t="s">
        <v>1602</v>
      </c>
      <c r="B2260" s="39" t="s">
        <v>3206</v>
      </c>
      <c r="C2260" s="41" t="n">
        <v>7.75</v>
      </c>
    </row>
    <row r="2261" customFormat="false" ht="15" hidden="false" customHeight="false" outlineLevel="0" collapsed="false">
      <c r="A2261" s="39" t="s">
        <v>1221</v>
      </c>
      <c r="B2261" s="39" t="s">
        <v>3203</v>
      </c>
      <c r="C2261" s="41" t="n">
        <v>2.07</v>
      </c>
    </row>
    <row r="2262" customFormat="false" ht="15" hidden="false" customHeight="false" outlineLevel="0" collapsed="false">
      <c r="A2262" s="39" t="s">
        <v>111</v>
      </c>
      <c r="B2262" s="39" t="s">
        <v>3203</v>
      </c>
      <c r="C2262" s="41" t="n">
        <v>7.06</v>
      </c>
    </row>
    <row r="2263" customFormat="false" ht="15" hidden="false" customHeight="false" outlineLevel="0" collapsed="false">
      <c r="A2263" s="39" t="s">
        <v>233</v>
      </c>
      <c r="B2263" s="39" t="s">
        <v>3203</v>
      </c>
      <c r="C2263" s="41" t="n">
        <v>1.51</v>
      </c>
    </row>
    <row r="2264" customFormat="false" ht="15" hidden="false" customHeight="false" outlineLevel="0" collapsed="false">
      <c r="A2264" s="39" t="s">
        <v>2318</v>
      </c>
      <c r="B2264" s="39" t="s">
        <v>3204</v>
      </c>
      <c r="C2264" s="41" t="n">
        <v>2.42</v>
      </c>
    </row>
    <row r="2265" customFormat="false" ht="15" hidden="false" customHeight="false" outlineLevel="0" collapsed="false">
      <c r="A2265" s="39" t="s">
        <v>2487</v>
      </c>
      <c r="B2265" s="39" t="s">
        <v>3206</v>
      </c>
      <c r="C2265" s="41" t="n">
        <v>8.79</v>
      </c>
    </row>
    <row r="2266" customFormat="false" ht="15" hidden="false" customHeight="false" outlineLevel="0" collapsed="false">
      <c r="A2266" s="39" t="s">
        <v>1467</v>
      </c>
      <c r="B2266" s="39" t="s">
        <v>3205</v>
      </c>
      <c r="C2266" s="41" t="n">
        <v>2.86</v>
      </c>
    </row>
    <row r="2267" customFormat="false" ht="15" hidden="false" customHeight="false" outlineLevel="0" collapsed="false">
      <c r="A2267" s="39" t="s">
        <v>190</v>
      </c>
      <c r="B2267" s="39" t="s">
        <v>3205</v>
      </c>
      <c r="C2267" s="41" t="n">
        <v>2.08</v>
      </c>
    </row>
    <row r="2268" customFormat="false" ht="15" hidden="false" customHeight="false" outlineLevel="0" collapsed="false">
      <c r="A2268" s="39" t="s">
        <v>827</v>
      </c>
      <c r="B2268" s="39" t="s">
        <v>3204</v>
      </c>
      <c r="C2268" s="41" t="n">
        <v>3.42</v>
      </c>
    </row>
    <row r="2269" customFormat="false" ht="15" hidden="false" customHeight="false" outlineLevel="0" collapsed="false">
      <c r="A2269" s="39" t="s">
        <v>2889</v>
      </c>
      <c r="B2269" s="39" t="s">
        <v>3205</v>
      </c>
      <c r="C2269" s="41" t="n">
        <v>5.57</v>
      </c>
    </row>
    <row r="2270" customFormat="false" ht="15" hidden="false" customHeight="false" outlineLevel="0" collapsed="false">
      <c r="A2270" s="39" t="s">
        <v>2358</v>
      </c>
      <c r="B2270" s="39" t="s">
        <v>3204</v>
      </c>
      <c r="C2270" s="41" t="n">
        <v>17.25</v>
      </c>
    </row>
    <row r="2271" customFormat="false" ht="15" hidden="false" customHeight="false" outlineLevel="0" collapsed="false">
      <c r="A2271" s="39" t="s">
        <v>2203</v>
      </c>
      <c r="B2271" s="39" t="s">
        <v>3205</v>
      </c>
      <c r="C2271" s="41" t="n">
        <v>29.63</v>
      </c>
    </row>
    <row r="2272" customFormat="false" ht="15" hidden="false" customHeight="false" outlineLevel="0" collapsed="false">
      <c r="A2272" s="39" t="s">
        <v>1589</v>
      </c>
      <c r="B2272" s="39" t="s">
        <v>3205</v>
      </c>
      <c r="C2272" s="41" t="n">
        <v>1.17</v>
      </c>
    </row>
    <row r="2273" customFormat="false" ht="15" hidden="false" customHeight="false" outlineLevel="0" collapsed="false">
      <c r="A2273" s="39" t="s">
        <v>2665</v>
      </c>
      <c r="B2273" s="39" t="s">
        <v>3206</v>
      </c>
      <c r="C2273" s="41" t="n">
        <v>26.02</v>
      </c>
    </row>
    <row r="2274" customFormat="false" ht="15" hidden="false" customHeight="false" outlineLevel="0" collapsed="false">
      <c r="A2274" s="39" t="s">
        <v>1929</v>
      </c>
      <c r="B2274" s="39" t="s">
        <v>3206</v>
      </c>
      <c r="C2274" s="41" t="n">
        <v>6.55</v>
      </c>
    </row>
    <row r="2275" customFormat="false" ht="15" hidden="false" customHeight="false" outlineLevel="0" collapsed="false">
      <c r="A2275" s="39" t="s">
        <v>1153</v>
      </c>
      <c r="B2275" s="39" t="s">
        <v>3206</v>
      </c>
      <c r="C2275" s="41" t="n">
        <v>1.63</v>
      </c>
    </row>
    <row r="2276" customFormat="false" ht="15" hidden="false" customHeight="false" outlineLevel="0" collapsed="false">
      <c r="A2276" s="39" t="s">
        <v>462</v>
      </c>
      <c r="B2276" s="39" t="s">
        <v>3205</v>
      </c>
      <c r="C2276" s="41" t="n">
        <v>7.55</v>
      </c>
    </row>
    <row r="2277" customFormat="false" ht="15" hidden="false" customHeight="false" outlineLevel="0" collapsed="false">
      <c r="A2277" s="39" t="s">
        <v>1958</v>
      </c>
      <c r="B2277" s="39" t="s">
        <v>3204</v>
      </c>
      <c r="C2277" s="41" t="n">
        <v>0.4</v>
      </c>
    </row>
    <row r="2278" customFormat="false" ht="15" hidden="false" customHeight="false" outlineLevel="0" collapsed="false">
      <c r="A2278" s="39" t="s">
        <v>2537</v>
      </c>
      <c r="B2278" s="39" t="s">
        <v>3205</v>
      </c>
      <c r="C2278" s="41" t="n">
        <v>0.49</v>
      </c>
    </row>
    <row r="2279" customFormat="false" ht="15" hidden="false" customHeight="false" outlineLevel="0" collapsed="false">
      <c r="A2279" s="39" t="s">
        <v>1042</v>
      </c>
      <c r="B2279" s="39" t="s">
        <v>3205</v>
      </c>
      <c r="C2279" s="41" t="n">
        <v>0.38</v>
      </c>
    </row>
    <row r="2280" customFormat="false" ht="15" hidden="false" customHeight="false" outlineLevel="0" collapsed="false">
      <c r="A2280" s="39" t="s">
        <v>2849</v>
      </c>
      <c r="B2280" s="39" t="s">
        <v>3203</v>
      </c>
      <c r="C2280" s="41" t="n">
        <v>13.6</v>
      </c>
    </row>
    <row r="2281" customFormat="false" ht="15" hidden="false" customHeight="false" outlineLevel="0" collapsed="false">
      <c r="A2281" s="39" t="s">
        <v>473</v>
      </c>
      <c r="B2281" s="39" t="s">
        <v>3204</v>
      </c>
      <c r="C2281" s="41" t="n">
        <v>2.75</v>
      </c>
    </row>
    <row r="2282" customFormat="false" ht="15" hidden="false" customHeight="false" outlineLevel="0" collapsed="false">
      <c r="A2282" s="39" t="s">
        <v>547</v>
      </c>
      <c r="B2282" s="39" t="s">
        <v>3206</v>
      </c>
      <c r="C2282" s="41" t="n">
        <v>0.33</v>
      </c>
    </row>
    <row r="2283" customFormat="false" ht="15" hidden="false" customHeight="false" outlineLevel="0" collapsed="false">
      <c r="A2283" s="39" t="s">
        <v>1424</v>
      </c>
      <c r="B2283" s="39" t="s">
        <v>3204</v>
      </c>
      <c r="C2283" s="41" t="n">
        <v>0.52</v>
      </c>
    </row>
    <row r="2284" customFormat="false" ht="15" hidden="false" customHeight="false" outlineLevel="0" collapsed="false">
      <c r="A2284" s="39" t="s">
        <v>1912</v>
      </c>
      <c r="B2284" s="39" t="s">
        <v>3203</v>
      </c>
      <c r="C2284" s="41" t="n">
        <v>0.57</v>
      </c>
    </row>
    <row r="2285" customFormat="false" ht="15" hidden="false" customHeight="false" outlineLevel="0" collapsed="false">
      <c r="A2285" s="39" t="s">
        <v>641</v>
      </c>
      <c r="B2285" s="39" t="s">
        <v>3205</v>
      </c>
      <c r="C2285" s="41" t="n">
        <v>0.98</v>
      </c>
    </row>
    <row r="2286" customFormat="false" ht="15" hidden="false" customHeight="false" outlineLevel="0" collapsed="false">
      <c r="A2286" s="39" t="s">
        <v>565</v>
      </c>
      <c r="B2286" s="39" t="s">
        <v>3206</v>
      </c>
      <c r="C2286" s="41" t="n">
        <v>5.5</v>
      </c>
    </row>
    <row r="2287" customFormat="false" ht="15" hidden="false" customHeight="false" outlineLevel="0" collapsed="false">
      <c r="A2287" s="39" t="s">
        <v>729</v>
      </c>
      <c r="B2287" s="39" t="s">
        <v>3203</v>
      </c>
      <c r="C2287" s="41" t="n">
        <v>8.08</v>
      </c>
    </row>
    <row r="2288" customFormat="false" ht="15" hidden="false" customHeight="false" outlineLevel="0" collapsed="false">
      <c r="A2288" s="39" t="s">
        <v>2732</v>
      </c>
      <c r="B2288" s="39" t="s">
        <v>3205</v>
      </c>
      <c r="C2288" s="41" t="n">
        <v>2.31</v>
      </c>
    </row>
    <row r="2289" customFormat="false" ht="15" hidden="false" customHeight="false" outlineLevel="0" collapsed="false">
      <c r="A2289" s="39" t="s">
        <v>1930</v>
      </c>
      <c r="B2289" s="39" t="s">
        <v>3205</v>
      </c>
      <c r="C2289" s="41" t="n">
        <v>15.66</v>
      </c>
    </row>
    <row r="2290" customFormat="false" ht="15" hidden="false" customHeight="false" outlineLevel="0" collapsed="false">
      <c r="A2290" s="39" t="s">
        <v>1255</v>
      </c>
      <c r="B2290" s="39" t="s">
        <v>3203</v>
      </c>
      <c r="C2290" s="41" t="n">
        <v>54.6</v>
      </c>
    </row>
    <row r="2291" customFormat="false" ht="15" hidden="false" customHeight="false" outlineLevel="0" collapsed="false">
      <c r="A2291" s="39" t="s">
        <v>1440</v>
      </c>
      <c r="B2291" s="39" t="s">
        <v>3204</v>
      </c>
      <c r="C2291" s="41" t="n">
        <v>22.8</v>
      </c>
    </row>
    <row r="2292" customFormat="false" ht="15" hidden="false" customHeight="false" outlineLevel="0" collapsed="false">
      <c r="A2292" s="39" t="s">
        <v>2442</v>
      </c>
      <c r="B2292" s="39" t="s">
        <v>3206</v>
      </c>
      <c r="C2292" s="41" t="n">
        <v>0.58</v>
      </c>
    </row>
    <row r="2293" customFormat="false" ht="15" hidden="false" customHeight="false" outlineLevel="0" collapsed="false">
      <c r="A2293" s="39" t="s">
        <v>1862</v>
      </c>
      <c r="B2293" s="39" t="s">
        <v>3204</v>
      </c>
      <c r="C2293" s="41" t="n">
        <v>2.05</v>
      </c>
    </row>
    <row r="2294" customFormat="false" ht="15" hidden="false" customHeight="false" outlineLevel="0" collapsed="false">
      <c r="A2294" s="39" t="s">
        <v>3092</v>
      </c>
      <c r="B2294" s="39" t="s">
        <v>3204</v>
      </c>
      <c r="C2294" s="41" t="n">
        <v>1.06</v>
      </c>
    </row>
    <row r="2295" customFormat="false" ht="15" hidden="false" customHeight="false" outlineLevel="0" collapsed="false">
      <c r="A2295" s="39" t="s">
        <v>768</v>
      </c>
      <c r="B2295" s="39" t="s">
        <v>3204</v>
      </c>
      <c r="C2295" s="41" t="n">
        <v>0.95</v>
      </c>
    </row>
    <row r="2296" customFormat="false" ht="15" hidden="false" customHeight="false" outlineLevel="0" collapsed="false">
      <c r="A2296" s="39" t="s">
        <v>2823</v>
      </c>
      <c r="B2296" s="39" t="s">
        <v>3203</v>
      </c>
      <c r="C2296" s="41" t="n">
        <v>3.57</v>
      </c>
    </row>
    <row r="2297" customFormat="false" ht="15" hidden="false" customHeight="false" outlineLevel="0" collapsed="false">
      <c r="A2297" s="39" t="s">
        <v>627</v>
      </c>
      <c r="B2297" s="39" t="s">
        <v>3206</v>
      </c>
      <c r="C2297" s="41" t="n">
        <v>4.64</v>
      </c>
    </row>
    <row r="2298" customFormat="false" ht="15" hidden="false" customHeight="false" outlineLevel="0" collapsed="false">
      <c r="A2298" s="39" t="s">
        <v>420</v>
      </c>
      <c r="B2298" s="39" t="s">
        <v>3206</v>
      </c>
      <c r="C2298" s="41" t="n">
        <v>9.38</v>
      </c>
    </row>
    <row r="2299" customFormat="false" ht="15" hidden="false" customHeight="false" outlineLevel="0" collapsed="false">
      <c r="A2299" s="39" t="s">
        <v>2404</v>
      </c>
      <c r="B2299" s="39" t="s">
        <v>3206</v>
      </c>
      <c r="C2299" s="41" t="n">
        <v>1.06</v>
      </c>
    </row>
    <row r="2300" customFormat="false" ht="15" hidden="false" customHeight="false" outlineLevel="0" collapsed="false">
      <c r="A2300" s="39" t="s">
        <v>2001</v>
      </c>
      <c r="B2300" s="39" t="s">
        <v>3203</v>
      </c>
      <c r="C2300" s="41" t="n">
        <v>1.17</v>
      </c>
    </row>
    <row r="2301" customFormat="false" ht="15" hidden="false" customHeight="false" outlineLevel="0" collapsed="false">
      <c r="A2301" s="39" t="s">
        <v>3020</v>
      </c>
      <c r="B2301" s="39" t="s">
        <v>3204</v>
      </c>
      <c r="C2301" s="41" t="n">
        <v>0.29</v>
      </c>
    </row>
    <row r="2302" customFormat="false" ht="15" hidden="false" customHeight="false" outlineLevel="0" collapsed="false">
      <c r="A2302" s="39" t="s">
        <v>2466</v>
      </c>
      <c r="B2302" s="39" t="s">
        <v>3203</v>
      </c>
      <c r="C2302" s="41" t="n">
        <v>5.11</v>
      </c>
    </row>
    <row r="2303" customFormat="false" ht="15" hidden="false" customHeight="false" outlineLevel="0" collapsed="false">
      <c r="A2303" s="39" t="s">
        <v>2976</v>
      </c>
      <c r="B2303" s="39" t="s">
        <v>3205</v>
      </c>
      <c r="C2303" s="41" t="n">
        <v>2.17</v>
      </c>
    </row>
    <row r="2304" customFormat="false" ht="15" hidden="false" customHeight="false" outlineLevel="0" collapsed="false">
      <c r="A2304" s="39" t="s">
        <v>543</v>
      </c>
      <c r="B2304" s="39" t="s">
        <v>3205</v>
      </c>
      <c r="C2304" s="41" t="n">
        <v>2.3</v>
      </c>
    </row>
    <row r="2305" customFormat="false" ht="15" hidden="false" customHeight="false" outlineLevel="0" collapsed="false">
      <c r="A2305" s="39" t="s">
        <v>1619</v>
      </c>
      <c r="B2305" s="39" t="s">
        <v>3205</v>
      </c>
      <c r="C2305" s="41" t="n">
        <v>15.36</v>
      </c>
    </row>
    <row r="2306" customFormat="false" ht="15" hidden="false" customHeight="false" outlineLevel="0" collapsed="false">
      <c r="A2306" s="39" t="s">
        <v>645</v>
      </c>
      <c r="B2306" s="39" t="s">
        <v>3204</v>
      </c>
      <c r="C2306" s="41" t="n">
        <v>17.46</v>
      </c>
    </row>
    <row r="2307" customFormat="false" ht="15" hidden="false" customHeight="false" outlineLevel="0" collapsed="false">
      <c r="A2307" s="39" t="s">
        <v>845</v>
      </c>
      <c r="B2307" s="39" t="s">
        <v>3204</v>
      </c>
      <c r="C2307" s="41" t="n">
        <v>13.47</v>
      </c>
    </row>
    <row r="2308" customFormat="false" ht="15" hidden="false" customHeight="false" outlineLevel="0" collapsed="false">
      <c r="A2308" s="39" t="s">
        <v>1542</v>
      </c>
      <c r="B2308" s="39" t="s">
        <v>3206</v>
      </c>
      <c r="C2308" s="41" t="n">
        <v>7.48</v>
      </c>
    </row>
    <row r="2309" customFormat="false" ht="15" hidden="false" customHeight="false" outlineLevel="0" collapsed="false">
      <c r="A2309" s="39" t="s">
        <v>753</v>
      </c>
      <c r="B2309" s="39" t="s">
        <v>3205</v>
      </c>
      <c r="C2309" s="41" t="n">
        <v>11.63</v>
      </c>
    </row>
    <row r="2310" customFormat="false" ht="15" hidden="false" customHeight="false" outlineLevel="0" collapsed="false">
      <c r="A2310" s="39" t="s">
        <v>1286</v>
      </c>
      <c r="B2310" s="39" t="s">
        <v>3206</v>
      </c>
      <c r="C2310" s="41" t="n">
        <v>6.66</v>
      </c>
    </row>
    <row r="2311" customFormat="false" ht="15" hidden="false" customHeight="false" outlineLevel="0" collapsed="false">
      <c r="A2311" s="39" t="s">
        <v>1266</v>
      </c>
      <c r="B2311" s="39" t="s">
        <v>3206</v>
      </c>
      <c r="C2311" s="41" t="n">
        <v>16</v>
      </c>
    </row>
    <row r="2312" customFormat="false" ht="15" hidden="false" customHeight="false" outlineLevel="0" collapsed="false">
      <c r="A2312" s="39" t="s">
        <v>1705</v>
      </c>
      <c r="B2312" s="39" t="s">
        <v>3206</v>
      </c>
      <c r="C2312" s="41" t="n">
        <v>0.86</v>
      </c>
    </row>
    <row r="2313" customFormat="false" ht="15" hidden="false" customHeight="false" outlineLevel="0" collapsed="false">
      <c r="A2313" s="39" t="s">
        <v>976</v>
      </c>
      <c r="B2313" s="39" t="s">
        <v>3204</v>
      </c>
      <c r="C2313" s="41" t="n">
        <v>10.51</v>
      </c>
    </row>
    <row r="2314" customFormat="false" ht="15" hidden="false" customHeight="false" outlineLevel="0" collapsed="false">
      <c r="A2314" s="39" t="s">
        <v>2125</v>
      </c>
      <c r="B2314" s="39" t="s">
        <v>3206</v>
      </c>
      <c r="C2314" s="41" t="n">
        <v>8.39</v>
      </c>
    </row>
    <row r="2315" customFormat="false" ht="15" hidden="false" customHeight="false" outlineLevel="0" collapsed="false">
      <c r="A2315" s="39" t="s">
        <v>735</v>
      </c>
      <c r="B2315" s="39" t="s">
        <v>3205</v>
      </c>
      <c r="C2315" s="41" t="n">
        <v>3.82</v>
      </c>
    </row>
    <row r="2316" customFormat="false" ht="15" hidden="false" customHeight="false" outlineLevel="0" collapsed="false">
      <c r="A2316" s="39" t="s">
        <v>2663</v>
      </c>
      <c r="B2316" s="39" t="s">
        <v>3205</v>
      </c>
      <c r="C2316" s="41" t="n">
        <v>1.53</v>
      </c>
    </row>
    <row r="2317" customFormat="false" ht="15" hidden="false" customHeight="false" outlineLevel="0" collapsed="false">
      <c r="A2317" s="39" t="s">
        <v>2111</v>
      </c>
      <c r="B2317" s="39" t="s">
        <v>3203</v>
      </c>
      <c r="C2317" s="41" t="n">
        <v>3.42</v>
      </c>
    </row>
    <row r="2318" customFormat="false" ht="15" hidden="false" customHeight="false" outlineLevel="0" collapsed="false">
      <c r="A2318" s="39" t="s">
        <v>1354</v>
      </c>
      <c r="B2318" s="39" t="s">
        <v>3206</v>
      </c>
      <c r="C2318" s="41" t="n">
        <v>3.08</v>
      </c>
    </row>
    <row r="2319" customFormat="false" ht="15" hidden="false" customHeight="false" outlineLevel="0" collapsed="false">
      <c r="A2319" s="39" t="s">
        <v>1345</v>
      </c>
      <c r="B2319" s="39" t="s">
        <v>3203</v>
      </c>
      <c r="C2319" s="41" t="n">
        <v>5.23</v>
      </c>
    </row>
    <row r="2320" customFormat="false" ht="15" hidden="false" customHeight="false" outlineLevel="0" collapsed="false">
      <c r="A2320" s="39" t="s">
        <v>1499</v>
      </c>
      <c r="B2320" s="39" t="s">
        <v>3203</v>
      </c>
      <c r="C2320" s="41" t="n">
        <v>4.2</v>
      </c>
    </row>
    <row r="2321" customFormat="false" ht="15" hidden="false" customHeight="false" outlineLevel="0" collapsed="false">
      <c r="A2321" s="39" t="s">
        <v>1033</v>
      </c>
      <c r="B2321" s="39" t="s">
        <v>3204</v>
      </c>
      <c r="C2321" s="41" t="n">
        <v>2.39</v>
      </c>
    </row>
    <row r="2322" customFormat="false" ht="15" hidden="false" customHeight="false" outlineLevel="0" collapsed="false">
      <c r="A2322" s="39" t="s">
        <v>2045</v>
      </c>
      <c r="B2322" s="39" t="s">
        <v>3205</v>
      </c>
      <c r="C2322" s="41" t="n">
        <v>0.77</v>
      </c>
    </row>
    <row r="2323" customFormat="false" ht="15" hidden="false" customHeight="false" outlineLevel="0" collapsed="false">
      <c r="A2323" s="39" t="s">
        <v>273</v>
      </c>
      <c r="B2323" s="39" t="s">
        <v>3205</v>
      </c>
      <c r="C2323" s="41" t="n">
        <v>9.18</v>
      </c>
    </row>
    <row r="2324" customFormat="false" ht="15" hidden="false" customHeight="false" outlineLevel="0" collapsed="false">
      <c r="A2324" s="39" t="s">
        <v>1878</v>
      </c>
      <c r="B2324" s="39" t="s">
        <v>3206</v>
      </c>
      <c r="C2324" s="41" t="n">
        <v>3.45</v>
      </c>
    </row>
    <row r="2325" customFormat="false" ht="15" hidden="false" customHeight="false" outlineLevel="0" collapsed="false">
      <c r="A2325" s="39" t="s">
        <v>2005</v>
      </c>
      <c r="B2325" s="39" t="s">
        <v>3206</v>
      </c>
      <c r="C2325" s="41" t="n">
        <v>2.16</v>
      </c>
    </row>
    <row r="2326" customFormat="false" ht="15" hidden="false" customHeight="false" outlineLevel="0" collapsed="false">
      <c r="A2326" s="39" t="s">
        <v>477</v>
      </c>
      <c r="B2326" s="39" t="s">
        <v>3204</v>
      </c>
      <c r="C2326" s="41" t="n">
        <v>0.81</v>
      </c>
    </row>
    <row r="2327" customFormat="false" ht="15" hidden="false" customHeight="false" outlineLevel="0" collapsed="false">
      <c r="A2327" s="39" t="s">
        <v>1889</v>
      </c>
      <c r="B2327" s="39" t="s">
        <v>3205</v>
      </c>
      <c r="C2327" s="41" t="n">
        <v>2.67</v>
      </c>
    </row>
    <row r="2328" customFormat="false" ht="15" hidden="false" customHeight="false" outlineLevel="0" collapsed="false">
      <c r="A2328" s="39" t="s">
        <v>2373</v>
      </c>
      <c r="B2328" s="39" t="s">
        <v>3204</v>
      </c>
      <c r="C2328" s="41" t="n">
        <v>20.36</v>
      </c>
    </row>
    <row r="2329" customFormat="false" ht="15" hidden="false" customHeight="false" outlineLevel="0" collapsed="false">
      <c r="A2329" s="39" t="s">
        <v>2957</v>
      </c>
      <c r="B2329" s="39" t="s">
        <v>3205</v>
      </c>
      <c r="C2329" s="41" t="n">
        <v>0.74</v>
      </c>
    </row>
    <row r="2330" customFormat="false" ht="15" hidden="false" customHeight="false" outlineLevel="0" collapsed="false">
      <c r="A2330" s="39" t="s">
        <v>339</v>
      </c>
      <c r="B2330" s="39" t="s">
        <v>3205</v>
      </c>
      <c r="C2330" s="41" t="n">
        <v>6.47</v>
      </c>
    </row>
    <row r="2331" customFormat="false" ht="15" hidden="false" customHeight="false" outlineLevel="0" collapsed="false">
      <c r="A2331" s="39" t="s">
        <v>868</v>
      </c>
      <c r="B2331" s="39" t="s">
        <v>3203</v>
      </c>
      <c r="C2331" s="41" t="n">
        <v>16.49</v>
      </c>
    </row>
    <row r="2332" customFormat="false" ht="15" hidden="false" customHeight="false" outlineLevel="0" collapsed="false">
      <c r="A2332" s="39" t="s">
        <v>3086</v>
      </c>
      <c r="B2332" s="39" t="s">
        <v>3204</v>
      </c>
      <c r="C2332" s="41" t="n">
        <v>13.35</v>
      </c>
    </row>
    <row r="2333" customFormat="false" ht="15" hidden="false" customHeight="false" outlineLevel="0" collapsed="false">
      <c r="A2333" s="39" t="s">
        <v>2196</v>
      </c>
      <c r="B2333" s="39" t="s">
        <v>3206</v>
      </c>
      <c r="C2333" s="41" t="n">
        <v>5.99</v>
      </c>
    </row>
    <row r="2334" customFormat="false" ht="15" hidden="false" customHeight="false" outlineLevel="0" collapsed="false">
      <c r="A2334" s="39" t="s">
        <v>3008</v>
      </c>
      <c r="B2334" s="39" t="s">
        <v>3206</v>
      </c>
      <c r="C2334" s="41" t="n">
        <v>13.09</v>
      </c>
    </row>
    <row r="2335" customFormat="false" ht="15" hidden="false" customHeight="false" outlineLevel="0" collapsed="false">
      <c r="A2335" s="39" t="s">
        <v>2038</v>
      </c>
      <c r="B2335" s="39" t="s">
        <v>3205</v>
      </c>
      <c r="C2335" s="41" t="n">
        <v>8.29</v>
      </c>
    </row>
    <row r="2336" customFormat="false" ht="15" hidden="false" customHeight="false" outlineLevel="0" collapsed="false">
      <c r="A2336" s="39" t="s">
        <v>2690</v>
      </c>
      <c r="B2336" s="39" t="s">
        <v>3203</v>
      </c>
      <c r="C2336" s="41" t="n">
        <v>17.11</v>
      </c>
    </row>
    <row r="2337" customFormat="false" ht="15" hidden="false" customHeight="false" outlineLevel="0" collapsed="false">
      <c r="A2337" s="39" t="s">
        <v>2198</v>
      </c>
      <c r="B2337" s="39" t="s">
        <v>3204</v>
      </c>
      <c r="C2337" s="41" t="n">
        <v>24.02</v>
      </c>
    </row>
    <row r="2338" customFormat="false" ht="15" hidden="false" customHeight="false" outlineLevel="0" collapsed="false">
      <c r="A2338" s="39" t="s">
        <v>2562</v>
      </c>
      <c r="B2338" s="39" t="s">
        <v>3205</v>
      </c>
      <c r="C2338" s="41" t="n">
        <v>4.36</v>
      </c>
    </row>
    <row r="2339" customFormat="false" ht="15" hidden="false" customHeight="false" outlineLevel="0" collapsed="false">
      <c r="A2339" s="39" t="s">
        <v>468</v>
      </c>
      <c r="B2339" s="39" t="s">
        <v>3206</v>
      </c>
      <c r="C2339" s="41" t="n">
        <v>14.3</v>
      </c>
    </row>
    <row r="2340" customFormat="false" ht="15" hidden="false" customHeight="false" outlineLevel="0" collapsed="false">
      <c r="A2340" s="39" t="s">
        <v>2398</v>
      </c>
      <c r="B2340" s="39" t="s">
        <v>3204</v>
      </c>
      <c r="C2340" s="41" t="n">
        <v>0.61</v>
      </c>
    </row>
    <row r="2341" customFormat="false" ht="15" hidden="false" customHeight="false" outlineLevel="0" collapsed="false">
      <c r="A2341" s="39" t="s">
        <v>1494</v>
      </c>
      <c r="B2341" s="39" t="s">
        <v>3206</v>
      </c>
      <c r="C2341" s="41" t="n">
        <v>5.92</v>
      </c>
    </row>
    <row r="2342" customFormat="false" ht="15" hidden="false" customHeight="false" outlineLevel="0" collapsed="false">
      <c r="A2342" s="39" t="s">
        <v>1796</v>
      </c>
      <c r="B2342" s="39" t="s">
        <v>3206</v>
      </c>
      <c r="C2342" s="41" t="n">
        <v>93.43</v>
      </c>
    </row>
    <row r="2343" customFormat="false" ht="15" hidden="false" customHeight="false" outlineLevel="0" collapsed="false">
      <c r="A2343" s="39" t="s">
        <v>1760</v>
      </c>
      <c r="B2343" s="39" t="s">
        <v>3204</v>
      </c>
      <c r="C2343" s="41" t="n">
        <v>22.45</v>
      </c>
    </row>
    <row r="2344" customFormat="false" ht="15" hidden="false" customHeight="false" outlineLevel="0" collapsed="false">
      <c r="A2344" s="39" t="s">
        <v>1815</v>
      </c>
      <c r="B2344" s="39" t="s">
        <v>3204</v>
      </c>
      <c r="C2344" s="41" t="n">
        <v>28.41</v>
      </c>
    </row>
    <row r="2345" customFormat="false" ht="15" hidden="false" customHeight="false" outlineLevel="0" collapsed="false">
      <c r="A2345" s="39" t="s">
        <v>2256</v>
      </c>
      <c r="B2345" s="39" t="s">
        <v>3203</v>
      </c>
      <c r="C2345" s="41" t="n">
        <v>1.17</v>
      </c>
    </row>
    <row r="2346" customFormat="false" ht="15" hidden="false" customHeight="false" outlineLevel="0" collapsed="false">
      <c r="A2346" s="39" t="s">
        <v>2754</v>
      </c>
      <c r="B2346" s="39" t="s">
        <v>3204</v>
      </c>
      <c r="C2346" s="41" t="n">
        <v>7.9</v>
      </c>
    </row>
    <row r="2347" customFormat="false" ht="15" hidden="false" customHeight="false" outlineLevel="0" collapsed="false">
      <c r="A2347" s="39" t="s">
        <v>818</v>
      </c>
      <c r="B2347" s="39" t="s">
        <v>3204</v>
      </c>
      <c r="C2347" s="41" t="n">
        <v>0.81</v>
      </c>
    </row>
    <row r="2348" customFormat="false" ht="15" hidden="false" customHeight="false" outlineLevel="0" collapsed="false">
      <c r="A2348" s="39" t="s">
        <v>1393</v>
      </c>
      <c r="B2348" s="39" t="s">
        <v>3206</v>
      </c>
      <c r="C2348" s="41" t="n">
        <v>12.47</v>
      </c>
    </row>
    <row r="2349" customFormat="false" ht="15" hidden="false" customHeight="false" outlineLevel="0" collapsed="false">
      <c r="A2349" s="39" t="s">
        <v>3077</v>
      </c>
      <c r="B2349" s="39" t="s">
        <v>3205</v>
      </c>
      <c r="C2349" s="41" t="n">
        <v>3.65</v>
      </c>
    </row>
    <row r="2350" customFormat="false" ht="15" hidden="false" customHeight="false" outlineLevel="0" collapsed="false">
      <c r="A2350" s="39" t="s">
        <v>2117</v>
      </c>
      <c r="B2350" s="39" t="s">
        <v>3206</v>
      </c>
      <c r="C2350" s="41" t="n">
        <v>7.92</v>
      </c>
    </row>
    <row r="2351" customFormat="false" ht="15" hidden="false" customHeight="false" outlineLevel="0" collapsed="false">
      <c r="A2351" s="39" t="s">
        <v>696</v>
      </c>
      <c r="B2351" s="39" t="s">
        <v>3205</v>
      </c>
      <c r="C2351" s="41" t="n">
        <v>1.84</v>
      </c>
    </row>
    <row r="2352" customFormat="false" ht="15" hidden="false" customHeight="false" outlineLevel="0" collapsed="false">
      <c r="A2352" s="39" t="s">
        <v>920</v>
      </c>
      <c r="B2352" s="39" t="s">
        <v>3203</v>
      </c>
      <c r="C2352" s="41" t="n">
        <v>17.91</v>
      </c>
    </row>
    <row r="2353" customFormat="false" ht="15" hidden="false" customHeight="false" outlineLevel="0" collapsed="false">
      <c r="A2353" s="39" t="s">
        <v>1426</v>
      </c>
      <c r="B2353" s="39" t="s">
        <v>3205</v>
      </c>
      <c r="C2353" s="41" t="n">
        <v>11.97</v>
      </c>
    </row>
    <row r="2354" customFormat="false" ht="15" hidden="false" customHeight="false" outlineLevel="0" collapsed="false">
      <c r="A2354" s="39" t="s">
        <v>231</v>
      </c>
      <c r="B2354" s="39" t="s">
        <v>3206</v>
      </c>
      <c r="C2354" s="41" t="n">
        <v>2.23</v>
      </c>
    </row>
    <row r="2355" customFormat="false" ht="15" hidden="false" customHeight="false" outlineLevel="0" collapsed="false">
      <c r="A2355" s="39" t="s">
        <v>1686</v>
      </c>
      <c r="B2355" s="39" t="s">
        <v>3204</v>
      </c>
      <c r="C2355" s="41" t="n">
        <v>6.62</v>
      </c>
    </row>
    <row r="2356" customFormat="false" ht="15" hidden="false" customHeight="false" outlineLevel="0" collapsed="false">
      <c r="A2356" s="39" t="s">
        <v>2355</v>
      </c>
      <c r="B2356" s="39" t="s">
        <v>3203</v>
      </c>
      <c r="C2356" s="41" t="n">
        <v>4.11</v>
      </c>
    </row>
    <row r="2357" customFormat="false" ht="15" hidden="false" customHeight="false" outlineLevel="0" collapsed="false">
      <c r="A2357" s="39" t="s">
        <v>2846</v>
      </c>
      <c r="B2357" s="39" t="s">
        <v>3206</v>
      </c>
      <c r="C2357" s="41" t="n">
        <v>4.09</v>
      </c>
    </row>
    <row r="2358" customFormat="false" ht="15" hidden="false" customHeight="false" outlineLevel="0" collapsed="false">
      <c r="A2358" s="39" t="s">
        <v>1188</v>
      </c>
      <c r="B2358" s="39" t="s">
        <v>3204</v>
      </c>
      <c r="C2358" s="41" t="n">
        <v>8.24</v>
      </c>
    </row>
    <row r="2359" customFormat="false" ht="15" hidden="false" customHeight="false" outlineLevel="0" collapsed="false">
      <c r="A2359" s="39" t="s">
        <v>1267</v>
      </c>
      <c r="B2359" s="39" t="s">
        <v>3203</v>
      </c>
      <c r="C2359" s="41" t="n">
        <v>1.35</v>
      </c>
    </row>
    <row r="2360" customFormat="false" ht="15" hidden="false" customHeight="false" outlineLevel="0" collapsed="false">
      <c r="A2360" s="39" t="s">
        <v>2677</v>
      </c>
      <c r="B2360" s="39" t="s">
        <v>3206</v>
      </c>
      <c r="C2360" s="41" t="n">
        <v>3.38</v>
      </c>
    </row>
    <row r="2361" customFormat="false" ht="15" hidden="false" customHeight="false" outlineLevel="0" collapsed="false">
      <c r="A2361" s="39" t="s">
        <v>1381</v>
      </c>
      <c r="B2361" s="39" t="s">
        <v>3204</v>
      </c>
      <c r="C2361" s="41" t="n">
        <v>2.06</v>
      </c>
    </row>
    <row r="2362" customFormat="false" ht="15" hidden="false" customHeight="false" outlineLevel="0" collapsed="false">
      <c r="A2362" s="39" t="s">
        <v>254</v>
      </c>
      <c r="B2362" s="39" t="s">
        <v>3204</v>
      </c>
      <c r="C2362" s="41" t="n">
        <v>28.56</v>
      </c>
    </row>
    <row r="2363" customFormat="false" ht="15" hidden="false" customHeight="false" outlineLevel="0" collapsed="false">
      <c r="A2363" s="39" t="s">
        <v>2551</v>
      </c>
      <c r="B2363" s="39" t="s">
        <v>3205</v>
      </c>
      <c r="C2363" s="41" t="n">
        <v>1.33</v>
      </c>
    </row>
    <row r="2364" customFormat="false" ht="15" hidden="false" customHeight="false" outlineLevel="0" collapsed="false">
      <c r="A2364" s="39" t="s">
        <v>2278</v>
      </c>
      <c r="B2364" s="39" t="s">
        <v>3205</v>
      </c>
      <c r="C2364" s="41" t="n">
        <v>2.43</v>
      </c>
    </row>
    <row r="2365" customFormat="false" ht="15" hidden="false" customHeight="false" outlineLevel="0" collapsed="false">
      <c r="A2365" s="39" t="s">
        <v>1482</v>
      </c>
      <c r="B2365" s="39" t="s">
        <v>3203</v>
      </c>
      <c r="C2365" s="41" t="n">
        <v>1.02</v>
      </c>
    </row>
    <row r="2366" customFormat="false" ht="15" hidden="false" customHeight="false" outlineLevel="0" collapsed="false">
      <c r="A2366" s="39" t="s">
        <v>2396</v>
      </c>
      <c r="B2366" s="39" t="s">
        <v>3203</v>
      </c>
      <c r="C2366" s="41" t="n">
        <v>33.44</v>
      </c>
    </row>
    <row r="2367" customFormat="false" ht="15" hidden="false" customHeight="false" outlineLevel="0" collapsed="false">
      <c r="A2367" s="39" t="s">
        <v>2269</v>
      </c>
      <c r="B2367" s="39" t="s">
        <v>3203</v>
      </c>
      <c r="C2367" s="41" t="n">
        <v>1.9</v>
      </c>
    </row>
    <row r="2368" customFormat="false" ht="15" hidden="false" customHeight="false" outlineLevel="0" collapsed="false">
      <c r="A2368" s="39" t="s">
        <v>1879</v>
      </c>
      <c r="B2368" s="39" t="s">
        <v>3204</v>
      </c>
      <c r="C2368" s="41" t="n">
        <v>12.11</v>
      </c>
    </row>
    <row r="2369" customFormat="false" ht="15" hidden="false" customHeight="false" outlineLevel="0" collapsed="false">
      <c r="A2369" s="39" t="s">
        <v>1183</v>
      </c>
      <c r="B2369" s="39" t="s">
        <v>3204</v>
      </c>
      <c r="C2369" s="41" t="n">
        <v>2.47</v>
      </c>
    </row>
    <row r="2370" customFormat="false" ht="15" hidden="false" customHeight="false" outlineLevel="0" collapsed="false">
      <c r="A2370" s="39" t="s">
        <v>773</v>
      </c>
      <c r="B2370" s="39" t="s">
        <v>3205</v>
      </c>
      <c r="C2370" s="41" t="n">
        <v>3.44</v>
      </c>
    </row>
    <row r="2371" customFormat="false" ht="15" hidden="false" customHeight="false" outlineLevel="0" collapsed="false">
      <c r="A2371" s="39" t="s">
        <v>2335</v>
      </c>
      <c r="B2371" s="39" t="s">
        <v>3204</v>
      </c>
      <c r="C2371" s="41" t="n">
        <v>0.3</v>
      </c>
    </row>
    <row r="2372" customFormat="false" ht="15" hidden="false" customHeight="false" outlineLevel="0" collapsed="false">
      <c r="A2372" s="39" t="s">
        <v>2862</v>
      </c>
      <c r="B2372" s="39" t="s">
        <v>3204</v>
      </c>
      <c r="C2372" s="41" t="n">
        <v>24.12</v>
      </c>
    </row>
    <row r="2373" customFormat="false" ht="15" hidden="false" customHeight="false" outlineLevel="0" collapsed="false">
      <c r="A2373" s="39" t="s">
        <v>554</v>
      </c>
      <c r="B2373" s="39" t="s">
        <v>3203</v>
      </c>
      <c r="C2373" s="41" t="n">
        <v>10.31</v>
      </c>
    </row>
    <row r="2374" customFormat="false" ht="15" hidden="false" customHeight="false" outlineLevel="0" collapsed="false">
      <c r="A2374" s="39" t="s">
        <v>134</v>
      </c>
      <c r="B2374" s="39" t="s">
        <v>3206</v>
      </c>
      <c r="C2374" s="41" t="n">
        <v>0.81</v>
      </c>
    </row>
    <row r="2375" customFormat="false" ht="15" hidden="false" customHeight="false" outlineLevel="0" collapsed="false">
      <c r="A2375" s="39" t="s">
        <v>1903</v>
      </c>
      <c r="B2375" s="39" t="s">
        <v>3206</v>
      </c>
      <c r="C2375" s="41" t="n">
        <v>1.31</v>
      </c>
    </row>
    <row r="2376" customFormat="false" ht="15" hidden="false" customHeight="false" outlineLevel="0" collapsed="false">
      <c r="A2376" s="39" t="s">
        <v>1919</v>
      </c>
      <c r="B2376" s="39" t="s">
        <v>3204</v>
      </c>
      <c r="C2376" s="41" t="n">
        <v>2.33</v>
      </c>
    </row>
    <row r="2377" customFormat="false" ht="15" hidden="false" customHeight="false" outlineLevel="0" collapsed="false">
      <c r="A2377" s="39" t="s">
        <v>2518</v>
      </c>
      <c r="B2377" s="39" t="s">
        <v>3203</v>
      </c>
      <c r="C2377" s="41" t="n">
        <v>0.47</v>
      </c>
    </row>
    <row r="2378" customFormat="false" ht="15" hidden="false" customHeight="false" outlineLevel="0" collapsed="false">
      <c r="A2378" s="39" t="s">
        <v>950</v>
      </c>
      <c r="B2378" s="39" t="s">
        <v>3206</v>
      </c>
      <c r="C2378" s="41" t="n">
        <v>4.71</v>
      </c>
    </row>
    <row r="2379" customFormat="false" ht="15" hidden="false" customHeight="false" outlineLevel="0" collapsed="false">
      <c r="A2379" s="39" t="s">
        <v>1047</v>
      </c>
      <c r="B2379" s="39" t="s">
        <v>3204</v>
      </c>
      <c r="C2379" s="41" t="n">
        <v>1.34</v>
      </c>
    </row>
    <row r="2380" customFormat="false" ht="15" hidden="false" customHeight="false" outlineLevel="0" collapsed="false">
      <c r="A2380" s="39" t="s">
        <v>2960</v>
      </c>
      <c r="B2380" s="39" t="s">
        <v>3205</v>
      </c>
      <c r="C2380" s="41" t="n">
        <v>4.16</v>
      </c>
    </row>
    <row r="2381" customFormat="false" ht="15" hidden="false" customHeight="false" outlineLevel="0" collapsed="false">
      <c r="A2381" s="39" t="s">
        <v>1977</v>
      </c>
      <c r="B2381" s="39" t="s">
        <v>3203</v>
      </c>
      <c r="C2381" s="41" t="n">
        <v>2.79</v>
      </c>
    </row>
    <row r="2382" customFormat="false" ht="15" hidden="false" customHeight="false" outlineLevel="0" collapsed="false">
      <c r="A2382" s="39" t="s">
        <v>1017</v>
      </c>
      <c r="B2382" s="39" t="s">
        <v>3203</v>
      </c>
      <c r="C2382" s="41" t="n">
        <v>5.76</v>
      </c>
    </row>
    <row r="2383" customFormat="false" ht="15" hidden="false" customHeight="false" outlineLevel="0" collapsed="false">
      <c r="A2383" s="39" t="s">
        <v>2956</v>
      </c>
      <c r="B2383" s="39" t="s">
        <v>3203</v>
      </c>
      <c r="C2383" s="41" t="n">
        <v>2.27</v>
      </c>
    </row>
    <row r="2384" customFormat="false" ht="15" hidden="false" customHeight="false" outlineLevel="0" collapsed="false">
      <c r="A2384" s="39" t="s">
        <v>405</v>
      </c>
      <c r="B2384" s="39" t="s">
        <v>3205</v>
      </c>
      <c r="C2384" s="41" t="n">
        <v>0.49</v>
      </c>
    </row>
    <row r="2385" customFormat="false" ht="15" hidden="false" customHeight="false" outlineLevel="0" collapsed="false">
      <c r="A2385" s="39" t="s">
        <v>2206</v>
      </c>
      <c r="B2385" s="39" t="s">
        <v>3206</v>
      </c>
      <c r="C2385" s="41" t="n">
        <v>1.85</v>
      </c>
    </row>
    <row r="2386" customFormat="false" ht="15" hidden="false" customHeight="false" outlineLevel="0" collapsed="false">
      <c r="A2386" s="39" t="s">
        <v>243</v>
      </c>
      <c r="B2386" s="39" t="s">
        <v>3206</v>
      </c>
      <c r="C2386" s="41" t="n">
        <v>6.87</v>
      </c>
    </row>
    <row r="2387" customFormat="false" ht="15" hidden="false" customHeight="false" outlineLevel="0" collapsed="false">
      <c r="A2387" s="39" t="s">
        <v>1194</v>
      </c>
      <c r="B2387" s="39" t="s">
        <v>3203</v>
      </c>
      <c r="C2387" s="41" t="n">
        <v>11.76</v>
      </c>
    </row>
    <row r="2388" customFormat="false" ht="15" hidden="false" customHeight="false" outlineLevel="0" collapsed="false">
      <c r="A2388" s="39" t="s">
        <v>731</v>
      </c>
      <c r="B2388" s="39" t="s">
        <v>3205</v>
      </c>
      <c r="C2388" s="41" t="n">
        <v>2.72</v>
      </c>
    </row>
    <row r="2389" customFormat="false" ht="15" hidden="false" customHeight="false" outlineLevel="0" collapsed="false">
      <c r="A2389" s="39" t="s">
        <v>1202</v>
      </c>
      <c r="B2389" s="39" t="s">
        <v>3204</v>
      </c>
      <c r="C2389" s="41" t="n">
        <v>1</v>
      </c>
    </row>
    <row r="2390" customFormat="false" ht="15" hidden="false" customHeight="false" outlineLevel="0" collapsed="false">
      <c r="A2390" s="39" t="s">
        <v>274</v>
      </c>
      <c r="B2390" s="39" t="s">
        <v>3205</v>
      </c>
      <c r="C2390" s="41" t="n">
        <v>2.46</v>
      </c>
    </row>
    <row r="2391" customFormat="false" ht="15" hidden="false" customHeight="false" outlineLevel="0" collapsed="false">
      <c r="A2391" s="39" t="s">
        <v>711</v>
      </c>
      <c r="B2391" s="39" t="s">
        <v>3205</v>
      </c>
      <c r="C2391" s="41" t="n">
        <v>17.73</v>
      </c>
    </row>
    <row r="2392" customFormat="false" ht="15" hidden="false" customHeight="false" outlineLevel="0" collapsed="false">
      <c r="A2392" s="39" t="s">
        <v>1139</v>
      </c>
      <c r="B2392" s="39" t="s">
        <v>3206</v>
      </c>
      <c r="C2392" s="41" t="n">
        <v>1.41</v>
      </c>
    </row>
    <row r="2393" customFormat="false" ht="15" hidden="false" customHeight="false" outlineLevel="0" collapsed="false">
      <c r="A2393" s="39" t="s">
        <v>964</v>
      </c>
      <c r="B2393" s="39" t="s">
        <v>3206</v>
      </c>
      <c r="C2393" s="41" t="n">
        <v>3.69</v>
      </c>
    </row>
    <row r="2394" customFormat="false" ht="15" hidden="false" customHeight="false" outlineLevel="0" collapsed="false">
      <c r="A2394" s="39" t="s">
        <v>2581</v>
      </c>
      <c r="B2394" s="39" t="s">
        <v>3205</v>
      </c>
      <c r="C2394" s="41" t="n">
        <v>2.29</v>
      </c>
    </row>
    <row r="2395" customFormat="false" ht="15" hidden="false" customHeight="false" outlineLevel="0" collapsed="false">
      <c r="A2395" s="39" t="s">
        <v>946</v>
      </c>
      <c r="B2395" s="39" t="s">
        <v>3205</v>
      </c>
      <c r="C2395" s="41" t="n">
        <v>4.35</v>
      </c>
    </row>
    <row r="2396" customFormat="false" ht="15" hidden="false" customHeight="false" outlineLevel="0" collapsed="false">
      <c r="A2396" s="39" t="s">
        <v>925</v>
      </c>
      <c r="B2396" s="39" t="s">
        <v>3204</v>
      </c>
      <c r="C2396" s="41" t="n">
        <v>3.08</v>
      </c>
    </row>
    <row r="2397" customFormat="false" ht="15" hidden="false" customHeight="false" outlineLevel="0" collapsed="false">
      <c r="A2397" s="39" t="s">
        <v>2717</v>
      </c>
      <c r="B2397" s="39" t="s">
        <v>3205</v>
      </c>
      <c r="C2397" s="41" t="n">
        <v>0.55</v>
      </c>
    </row>
    <row r="2398" customFormat="false" ht="15" hidden="false" customHeight="false" outlineLevel="0" collapsed="false">
      <c r="A2398" s="39" t="s">
        <v>1012</v>
      </c>
      <c r="B2398" s="39" t="s">
        <v>3203</v>
      </c>
      <c r="C2398" s="41" t="n">
        <v>15.05</v>
      </c>
    </row>
    <row r="2399" customFormat="false" ht="15" hidden="false" customHeight="false" outlineLevel="0" collapsed="false">
      <c r="A2399" s="39" t="s">
        <v>1046</v>
      </c>
      <c r="B2399" s="39" t="s">
        <v>3203</v>
      </c>
      <c r="C2399" s="41" t="n">
        <v>2.66</v>
      </c>
    </row>
    <row r="2400" customFormat="false" ht="15" hidden="false" customHeight="false" outlineLevel="0" collapsed="false">
      <c r="A2400" s="39" t="s">
        <v>2798</v>
      </c>
      <c r="B2400" s="39" t="s">
        <v>3206</v>
      </c>
      <c r="C2400" s="41" t="n">
        <v>1.02</v>
      </c>
    </row>
    <row r="2401" customFormat="false" ht="15" hidden="false" customHeight="false" outlineLevel="0" collapsed="false">
      <c r="A2401" s="39" t="s">
        <v>1157</v>
      </c>
      <c r="B2401" s="39" t="s">
        <v>3204</v>
      </c>
      <c r="C2401" s="41" t="n">
        <v>0.61</v>
      </c>
    </row>
    <row r="2402" customFormat="false" ht="15" hidden="false" customHeight="false" outlineLevel="0" collapsed="false">
      <c r="A2402" s="39" t="s">
        <v>1411</v>
      </c>
      <c r="B2402" s="39" t="s">
        <v>3206</v>
      </c>
      <c r="C2402" s="41" t="n">
        <v>8.78</v>
      </c>
    </row>
    <row r="2403" customFormat="false" ht="15" hidden="false" customHeight="false" outlineLevel="0" collapsed="false">
      <c r="A2403" s="39" t="s">
        <v>245</v>
      </c>
      <c r="B2403" s="39" t="s">
        <v>3206</v>
      </c>
      <c r="C2403" s="41" t="n">
        <v>41.4</v>
      </c>
    </row>
    <row r="2404" customFormat="false" ht="15" hidden="false" customHeight="false" outlineLevel="0" collapsed="false">
      <c r="A2404" s="39" t="s">
        <v>2394</v>
      </c>
      <c r="B2404" s="39" t="s">
        <v>3203</v>
      </c>
      <c r="C2404" s="41" t="n">
        <v>1.64</v>
      </c>
    </row>
    <row r="2405" customFormat="false" ht="15" hidden="false" customHeight="false" outlineLevel="0" collapsed="false">
      <c r="A2405" s="39" t="s">
        <v>2390</v>
      </c>
      <c r="B2405" s="39" t="s">
        <v>3204</v>
      </c>
      <c r="C2405" s="41" t="n">
        <v>2.33</v>
      </c>
    </row>
    <row r="2406" customFormat="false" ht="15" hidden="false" customHeight="false" outlineLevel="0" collapsed="false">
      <c r="A2406" s="39" t="s">
        <v>839</v>
      </c>
      <c r="B2406" s="39" t="s">
        <v>3203</v>
      </c>
      <c r="C2406" s="41" t="n">
        <v>5.76</v>
      </c>
    </row>
    <row r="2407" customFormat="false" ht="15" hidden="false" customHeight="false" outlineLevel="0" collapsed="false">
      <c r="A2407" s="39" t="s">
        <v>2669</v>
      </c>
      <c r="B2407" s="39" t="s">
        <v>3203</v>
      </c>
      <c r="C2407" s="41" t="n">
        <v>2.17</v>
      </c>
    </row>
    <row r="2408" customFormat="false" ht="15" hidden="false" customHeight="false" outlineLevel="0" collapsed="false">
      <c r="A2408" s="39" t="s">
        <v>821</v>
      </c>
      <c r="B2408" s="39" t="s">
        <v>3205</v>
      </c>
      <c r="C2408" s="41" t="n">
        <v>13</v>
      </c>
    </row>
    <row r="2409" customFormat="false" ht="15" hidden="false" customHeight="false" outlineLevel="0" collapsed="false">
      <c r="A2409" s="39" t="s">
        <v>2132</v>
      </c>
      <c r="B2409" s="39" t="s">
        <v>3203</v>
      </c>
      <c r="C2409" s="41" t="n">
        <v>2.43</v>
      </c>
    </row>
    <row r="2410" customFormat="false" ht="15" hidden="false" customHeight="false" outlineLevel="0" collapsed="false">
      <c r="A2410" s="39" t="s">
        <v>993</v>
      </c>
      <c r="B2410" s="39" t="s">
        <v>3205</v>
      </c>
      <c r="C2410" s="41" t="n">
        <v>30.47</v>
      </c>
    </row>
    <row r="2411" customFormat="false" ht="15" hidden="false" customHeight="false" outlineLevel="0" collapsed="false">
      <c r="A2411" s="39" t="s">
        <v>498</v>
      </c>
      <c r="B2411" s="39" t="s">
        <v>3206</v>
      </c>
      <c r="C2411" s="41" t="n">
        <v>19.02</v>
      </c>
    </row>
    <row r="2412" customFormat="false" ht="15" hidden="false" customHeight="false" outlineLevel="0" collapsed="false">
      <c r="A2412" s="39" t="s">
        <v>2843</v>
      </c>
      <c r="B2412" s="39" t="s">
        <v>3204</v>
      </c>
      <c r="C2412" s="41" t="n">
        <v>13.39</v>
      </c>
    </row>
    <row r="2413" customFormat="false" ht="15" hidden="false" customHeight="false" outlineLevel="0" collapsed="false">
      <c r="A2413" s="39" t="s">
        <v>3016</v>
      </c>
      <c r="B2413" s="39" t="s">
        <v>3204</v>
      </c>
      <c r="C2413" s="41" t="n">
        <v>0.57</v>
      </c>
    </row>
    <row r="2414" customFormat="false" ht="15" hidden="false" customHeight="false" outlineLevel="0" collapsed="false">
      <c r="A2414" s="39" t="s">
        <v>1784</v>
      </c>
      <c r="B2414" s="39" t="s">
        <v>3205</v>
      </c>
      <c r="C2414" s="41" t="n">
        <v>0.28</v>
      </c>
    </row>
    <row r="2415" customFormat="false" ht="15" hidden="false" customHeight="false" outlineLevel="0" collapsed="false">
      <c r="A2415" s="39" t="s">
        <v>1328</v>
      </c>
      <c r="B2415" s="39" t="s">
        <v>3204</v>
      </c>
      <c r="C2415" s="41" t="n">
        <v>2.1</v>
      </c>
    </row>
    <row r="2416" customFormat="false" ht="15" hidden="false" customHeight="false" outlineLevel="0" collapsed="false">
      <c r="A2416" s="39" t="s">
        <v>1719</v>
      </c>
      <c r="B2416" s="39" t="s">
        <v>3205</v>
      </c>
      <c r="C2416" s="41" t="n">
        <v>1.92</v>
      </c>
    </row>
    <row r="2417" customFormat="false" ht="15" hidden="false" customHeight="false" outlineLevel="0" collapsed="false">
      <c r="A2417" s="39" t="s">
        <v>1291</v>
      </c>
      <c r="B2417" s="39" t="s">
        <v>3206</v>
      </c>
      <c r="C2417" s="41" t="n">
        <v>18.45</v>
      </c>
    </row>
    <row r="2418" customFormat="false" ht="15" hidden="false" customHeight="false" outlineLevel="0" collapsed="false">
      <c r="A2418" s="39" t="s">
        <v>1841</v>
      </c>
      <c r="B2418" s="39" t="s">
        <v>3203</v>
      </c>
      <c r="C2418" s="41" t="n">
        <v>2.6</v>
      </c>
    </row>
    <row r="2419" customFormat="false" ht="15" hidden="false" customHeight="false" outlineLevel="0" collapsed="false">
      <c r="A2419" s="39" t="s">
        <v>1085</v>
      </c>
      <c r="B2419" s="39" t="s">
        <v>3204</v>
      </c>
      <c r="C2419" s="41" t="n">
        <v>3.87</v>
      </c>
    </row>
    <row r="2420" customFormat="false" ht="15" hidden="false" customHeight="false" outlineLevel="0" collapsed="false">
      <c r="A2420" s="39" t="s">
        <v>486</v>
      </c>
      <c r="B2420" s="39" t="s">
        <v>3205</v>
      </c>
      <c r="C2420" s="41" t="n">
        <v>10.33</v>
      </c>
    </row>
    <row r="2421" customFormat="false" ht="15" hidden="false" customHeight="false" outlineLevel="0" collapsed="false">
      <c r="A2421" s="39" t="s">
        <v>775</v>
      </c>
      <c r="B2421" s="39" t="s">
        <v>3206</v>
      </c>
      <c r="C2421" s="41" t="n">
        <v>2.58</v>
      </c>
    </row>
    <row r="2422" customFormat="false" ht="15" hidden="false" customHeight="false" outlineLevel="0" collapsed="false">
      <c r="A2422" s="39" t="s">
        <v>2755</v>
      </c>
      <c r="B2422" s="39" t="s">
        <v>3204</v>
      </c>
      <c r="C2422" s="41" t="n">
        <v>3.71</v>
      </c>
    </row>
    <row r="2423" customFormat="false" ht="15" hidden="false" customHeight="false" outlineLevel="0" collapsed="false">
      <c r="A2423" s="39" t="s">
        <v>258</v>
      </c>
      <c r="B2423" s="39" t="s">
        <v>3205</v>
      </c>
      <c r="C2423" s="41" t="n">
        <v>0.67</v>
      </c>
    </row>
    <row r="2424" customFormat="false" ht="15" hidden="false" customHeight="false" outlineLevel="0" collapsed="false">
      <c r="A2424" s="39" t="s">
        <v>2079</v>
      </c>
      <c r="B2424" s="39" t="s">
        <v>3204</v>
      </c>
      <c r="C2424" s="41" t="n">
        <v>3.98</v>
      </c>
    </row>
    <row r="2425" customFormat="false" ht="15" hidden="false" customHeight="false" outlineLevel="0" collapsed="false">
      <c r="A2425" s="39" t="s">
        <v>847</v>
      </c>
      <c r="B2425" s="39" t="s">
        <v>3203</v>
      </c>
      <c r="C2425" s="41" t="n">
        <v>28.4</v>
      </c>
    </row>
    <row r="2426" customFormat="false" ht="15" hidden="false" customHeight="false" outlineLevel="0" collapsed="false">
      <c r="A2426" s="39" t="s">
        <v>2406</v>
      </c>
      <c r="B2426" s="39" t="s">
        <v>3206</v>
      </c>
      <c r="C2426" s="41" t="n">
        <v>18.71</v>
      </c>
    </row>
    <row r="2427" customFormat="false" ht="15" hidden="false" customHeight="false" outlineLevel="0" collapsed="false">
      <c r="A2427" s="39" t="s">
        <v>357</v>
      </c>
      <c r="B2427" s="39" t="s">
        <v>3205</v>
      </c>
      <c r="C2427" s="41" t="n">
        <v>10.24</v>
      </c>
    </row>
    <row r="2428" customFormat="false" ht="15" hidden="false" customHeight="false" outlineLevel="0" collapsed="false">
      <c r="A2428" s="39" t="s">
        <v>1050</v>
      </c>
      <c r="B2428" s="39" t="s">
        <v>3203</v>
      </c>
      <c r="C2428" s="41" t="n">
        <v>11.74</v>
      </c>
    </row>
    <row r="2429" customFormat="false" ht="15" hidden="false" customHeight="false" outlineLevel="0" collapsed="false">
      <c r="A2429" s="39" t="s">
        <v>449</v>
      </c>
      <c r="B2429" s="39" t="s">
        <v>3204</v>
      </c>
      <c r="C2429" s="41" t="n">
        <v>4.03</v>
      </c>
    </row>
    <row r="2430" customFormat="false" ht="15" hidden="false" customHeight="false" outlineLevel="0" collapsed="false">
      <c r="A2430" s="39" t="s">
        <v>1283</v>
      </c>
      <c r="B2430" s="39" t="s">
        <v>3206</v>
      </c>
      <c r="C2430" s="41" t="n">
        <v>34.73</v>
      </c>
    </row>
    <row r="2431" customFormat="false" ht="15" hidden="false" customHeight="false" outlineLevel="0" collapsed="false">
      <c r="A2431" s="39" t="s">
        <v>1000</v>
      </c>
      <c r="B2431" s="39" t="s">
        <v>3206</v>
      </c>
      <c r="C2431" s="41" t="n">
        <v>11.14</v>
      </c>
    </row>
    <row r="2432" customFormat="false" ht="15" hidden="false" customHeight="false" outlineLevel="0" collapsed="false">
      <c r="A2432" s="39" t="s">
        <v>1830</v>
      </c>
      <c r="B2432" s="39" t="s">
        <v>3203</v>
      </c>
      <c r="C2432" s="41" t="n">
        <v>1.42</v>
      </c>
    </row>
    <row r="2433" customFormat="false" ht="15" hidden="false" customHeight="false" outlineLevel="0" collapsed="false">
      <c r="A2433" s="39" t="s">
        <v>2873</v>
      </c>
      <c r="B2433" s="39" t="s">
        <v>3203</v>
      </c>
      <c r="C2433" s="41" t="n">
        <v>1.73</v>
      </c>
    </row>
    <row r="2434" customFormat="false" ht="15" hidden="false" customHeight="false" outlineLevel="0" collapsed="false">
      <c r="A2434" s="39" t="s">
        <v>2706</v>
      </c>
      <c r="B2434" s="39" t="s">
        <v>3204</v>
      </c>
      <c r="C2434" s="41" t="n">
        <v>52.48</v>
      </c>
    </row>
    <row r="2435" customFormat="false" ht="15" hidden="false" customHeight="false" outlineLevel="0" collapsed="false">
      <c r="A2435" s="39" t="s">
        <v>2734</v>
      </c>
      <c r="B2435" s="39" t="s">
        <v>3203</v>
      </c>
      <c r="C2435" s="41" t="n">
        <v>11.06</v>
      </c>
    </row>
    <row r="2436" customFormat="false" ht="15" hidden="false" customHeight="false" outlineLevel="0" collapsed="false">
      <c r="A2436" s="39" t="s">
        <v>1616</v>
      </c>
      <c r="B2436" s="39" t="s">
        <v>3206</v>
      </c>
      <c r="C2436" s="41" t="n">
        <v>0.91</v>
      </c>
    </row>
    <row r="2437" customFormat="false" ht="15" hidden="false" customHeight="false" outlineLevel="0" collapsed="false">
      <c r="A2437" s="39" t="s">
        <v>195</v>
      </c>
      <c r="B2437" s="39" t="s">
        <v>3204</v>
      </c>
      <c r="C2437" s="41" t="n">
        <v>1.31</v>
      </c>
    </row>
    <row r="2438" customFormat="false" ht="15" hidden="false" customHeight="false" outlineLevel="0" collapsed="false">
      <c r="A2438" s="39" t="s">
        <v>1023</v>
      </c>
      <c r="B2438" s="39" t="s">
        <v>3205</v>
      </c>
      <c r="C2438" s="41" t="n">
        <v>8.65</v>
      </c>
    </row>
    <row r="2439" customFormat="false" ht="15" hidden="false" customHeight="false" outlineLevel="0" collapsed="false">
      <c r="A2439" s="39" t="s">
        <v>2037</v>
      </c>
      <c r="B2439" s="39" t="s">
        <v>3203</v>
      </c>
      <c r="C2439" s="41" t="n">
        <v>3.68</v>
      </c>
    </row>
    <row r="2440" customFormat="false" ht="15" hidden="false" customHeight="false" outlineLevel="0" collapsed="false">
      <c r="A2440" s="39" t="s">
        <v>2381</v>
      </c>
      <c r="B2440" s="39" t="s">
        <v>3206</v>
      </c>
      <c r="C2440" s="41" t="n">
        <v>0.9</v>
      </c>
    </row>
    <row r="2441" customFormat="false" ht="15" hidden="false" customHeight="false" outlineLevel="0" collapsed="false">
      <c r="A2441" s="39" t="s">
        <v>2043</v>
      </c>
      <c r="B2441" s="39" t="s">
        <v>3204</v>
      </c>
      <c r="C2441" s="41" t="n">
        <v>16.13</v>
      </c>
    </row>
    <row r="2442" customFormat="false" ht="15" hidden="false" customHeight="false" outlineLevel="0" collapsed="false">
      <c r="A2442" s="39" t="s">
        <v>563</v>
      </c>
      <c r="B2442" s="39" t="s">
        <v>3203</v>
      </c>
      <c r="C2442" s="41" t="n">
        <v>6.12</v>
      </c>
    </row>
    <row r="2443" customFormat="false" ht="15" hidden="false" customHeight="false" outlineLevel="0" collapsed="false">
      <c r="A2443" s="39" t="s">
        <v>2407</v>
      </c>
      <c r="B2443" s="39" t="s">
        <v>3205</v>
      </c>
      <c r="C2443" s="41" t="n">
        <v>4.19</v>
      </c>
    </row>
    <row r="2444" customFormat="false" ht="15" hidden="false" customHeight="false" outlineLevel="0" collapsed="false">
      <c r="A2444" s="39" t="s">
        <v>2434</v>
      </c>
      <c r="B2444" s="39" t="s">
        <v>3203</v>
      </c>
      <c r="C2444" s="41" t="n">
        <v>5.35</v>
      </c>
    </row>
    <row r="2445" customFormat="false" ht="15" hidden="false" customHeight="false" outlineLevel="0" collapsed="false">
      <c r="A2445" s="39" t="s">
        <v>1448</v>
      </c>
      <c r="B2445" s="39" t="s">
        <v>3205</v>
      </c>
      <c r="C2445" s="41" t="n">
        <v>2.1</v>
      </c>
    </row>
    <row r="2446" customFormat="false" ht="15" hidden="false" customHeight="false" outlineLevel="0" collapsed="false">
      <c r="A2446" s="39" t="s">
        <v>1082</v>
      </c>
      <c r="B2446" s="39" t="s">
        <v>3204</v>
      </c>
      <c r="C2446" s="41" t="n">
        <v>11.07</v>
      </c>
    </row>
    <row r="2447" customFormat="false" ht="15" hidden="false" customHeight="false" outlineLevel="0" collapsed="false">
      <c r="A2447" s="39" t="s">
        <v>2812</v>
      </c>
      <c r="B2447" s="39" t="s">
        <v>3206</v>
      </c>
      <c r="C2447" s="41" t="n">
        <v>10.32</v>
      </c>
    </row>
    <row r="2448" customFormat="false" ht="15" hidden="false" customHeight="false" outlineLevel="0" collapsed="false">
      <c r="A2448" s="39" t="s">
        <v>998</v>
      </c>
      <c r="B2448" s="39" t="s">
        <v>3206</v>
      </c>
      <c r="C2448" s="41" t="n">
        <v>0.61</v>
      </c>
    </row>
    <row r="2449" customFormat="false" ht="15" hidden="false" customHeight="false" outlineLevel="0" collapsed="false">
      <c r="A2449" s="39" t="s">
        <v>2319</v>
      </c>
      <c r="B2449" s="39" t="s">
        <v>3204</v>
      </c>
      <c r="C2449" s="41" t="n">
        <v>7.23</v>
      </c>
    </row>
    <row r="2450" customFormat="false" ht="15" hidden="false" customHeight="false" outlineLevel="0" collapsed="false">
      <c r="A2450" s="39" t="s">
        <v>2121</v>
      </c>
      <c r="B2450" s="39" t="s">
        <v>3205</v>
      </c>
      <c r="C2450" s="41" t="n">
        <v>1.45</v>
      </c>
    </row>
    <row r="2451" customFormat="false" ht="15" hidden="false" customHeight="false" outlineLevel="0" collapsed="false">
      <c r="A2451" s="39" t="s">
        <v>2772</v>
      </c>
      <c r="B2451" s="39" t="s">
        <v>3204</v>
      </c>
      <c r="C2451" s="41" t="n">
        <v>0.81</v>
      </c>
    </row>
    <row r="2452" customFormat="false" ht="15" hidden="false" customHeight="false" outlineLevel="0" collapsed="false">
      <c r="A2452" s="39" t="s">
        <v>509</v>
      </c>
      <c r="B2452" s="39" t="s">
        <v>3204</v>
      </c>
      <c r="C2452" s="41" t="n">
        <v>21.69</v>
      </c>
    </row>
    <row r="2453" customFormat="false" ht="15" hidden="false" customHeight="false" outlineLevel="0" collapsed="false">
      <c r="A2453" s="39" t="s">
        <v>2033</v>
      </c>
      <c r="B2453" s="39" t="s">
        <v>3204</v>
      </c>
      <c r="C2453" s="41" t="n">
        <v>3.79</v>
      </c>
    </row>
    <row r="2454" customFormat="false" ht="15" hidden="false" customHeight="false" outlineLevel="0" collapsed="false">
      <c r="A2454" s="39" t="s">
        <v>187</v>
      </c>
      <c r="B2454" s="39" t="s">
        <v>3203</v>
      </c>
      <c r="C2454" s="41" t="n">
        <v>5.86</v>
      </c>
    </row>
    <row r="2455" customFormat="false" ht="15" hidden="false" customHeight="false" outlineLevel="0" collapsed="false">
      <c r="A2455" s="39" t="s">
        <v>764</v>
      </c>
      <c r="B2455" s="39" t="s">
        <v>3204</v>
      </c>
      <c r="C2455" s="41" t="n">
        <v>14.45</v>
      </c>
    </row>
    <row r="2456" customFormat="false" ht="15" hidden="false" customHeight="false" outlineLevel="0" collapsed="false">
      <c r="A2456" s="39" t="s">
        <v>1025</v>
      </c>
      <c r="B2456" s="39" t="s">
        <v>3204</v>
      </c>
      <c r="C2456" s="41" t="n">
        <v>13.66</v>
      </c>
    </row>
    <row r="2457" customFormat="false" ht="15" hidden="false" customHeight="false" outlineLevel="0" collapsed="false">
      <c r="A2457" s="39" t="s">
        <v>2877</v>
      </c>
      <c r="B2457" s="39" t="s">
        <v>3205</v>
      </c>
      <c r="C2457" s="41" t="n">
        <v>2.47</v>
      </c>
    </row>
    <row r="2458" customFormat="false" ht="15" hidden="false" customHeight="false" outlineLevel="0" collapsed="false">
      <c r="A2458" s="39" t="s">
        <v>2424</v>
      </c>
      <c r="B2458" s="39" t="s">
        <v>3206</v>
      </c>
      <c r="C2458" s="41" t="n">
        <v>13.07</v>
      </c>
    </row>
    <row r="2459" customFormat="false" ht="15" hidden="false" customHeight="false" outlineLevel="0" collapsed="false">
      <c r="A2459" s="39" t="s">
        <v>2747</v>
      </c>
      <c r="B2459" s="39" t="s">
        <v>3206</v>
      </c>
      <c r="C2459" s="41" t="n">
        <v>2.37</v>
      </c>
    </row>
    <row r="2460" customFormat="false" ht="15" hidden="false" customHeight="false" outlineLevel="0" collapsed="false">
      <c r="A2460" s="39" t="s">
        <v>1848</v>
      </c>
      <c r="B2460" s="39" t="s">
        <v>3204</v>
      </c>
      <c r="C2460" s="41" t="n">
        <v>1.98</v>
      </c>
    </row>
    <row r="2461" customFormat="false" ht="15" hidden="false" customHeight="false" outlineLevel="0" collapsed="false">
      <c r="A2461" s="39" t="s">
        <v>1579</v>
      </c>
      <c r="B2461" s="39" t="s">
        <v>3205</v>
      </c>
      <c r="C2461" s="41" t="n">
        <v>0.78</v>
      </c>
    </row>
    <row r="2462" customFormat="false" ht="15" hidden="false" customHeight="false" outlineLevel="0" collapsed="false">
      <c r="A2462" s="39" t="s">
        <v>636</v>
      </c>
      <c r="B2462" s="39" t="s">
        <v>3203</v>
      </c>
      <c r="C2462" s="41" t="n">
        <v>0.77</v>
      </c>
    </row>
    <row r="2463" customFormat="false" ht="15" hidden="false" customHeight="false" outlineLevel="0" collapsed="false">
      <c r="A2463" s="39" t="s">
        <v>2076</v>
      </c>
      <c r="B2463" s="39" t="s">
        <v>3206</v>
      </c>
      <c r="C2463" s="41" t="n">
        <v>0.55</v>
      </c>
    </row>
    <row r="2464" customFormat="false" ht="15" hidden="false" customHeight="false" outlineLevel="0" collapsed="false">
      <c r="A2464" s="39" t="s">
        <v>2975</v>
      </c>
      <c r="B2464" s="39" t="s">
        <v>3204</v>
      </c>
      <c r="C2464" s="41" t="n">
        <v>51.22</v>
      </c>
    </row>
    <row r="2465" customFormat="false" ht="15" hidden="false" customHeight="false" outlineLevel="0" collapsed="false">
      <c r="A2465" s="39" t="s">
        <v>1256</v>
      </c>
      <c r="B2465" s="39" t="s">
        <v>3206</v>
      </c>
      <c r="C2465" s="41" t="n">
        <v>5.03</v>
      </c>
    </row>
    <row r="2466" customFormat="false" ht="15" hidden="false" customHeight="false" outlineLevel="0" collapsed="false">
      <c r="A2466" s="39" t="s">
        <v>2588</v>
      </c>
      <c r="B2466" s="39" t="s">
        <v>3205</v>
      </c>
      <c r="C2466" s="41" t="n">
        <v>9.2</v>
      </c>
    </row>
    <row r="2467" customFormat="false" ht="15" hidden="false" customHeight="false" outlineLevel="0" collapsed="false">
      <c r="A2467" s="39" t="s">
        <v>980</v>
      </c>
      <c r="B2467" s="39" t="s">
        <v>3203</v>
      </c>
      <c r="C2467" s="41" t="n">
        <v>27.01</v>
      </c>
    </row>
    <row r="2468" customFormat="false" ht="15" hidden="false" customHeight="false" outlineLevel="0" collapsed="false">
      <c r="A2468" s="39" t="s">
        <v>472</v>
      </c>
      <c r="B2468" s="39" t="s">
        <v>3204</v>
      </c>
      <c r="C2468" s="41" t="n">
        <v>1.9</v>
      </c>
    </row>
    <row r="2469" customFormat="false" ht="15" hidden="false" customHeight="false" outlineLevel="0" collapsed="false">
      <c r="A2469" s="39" t="s">
        <v>212</v>
      </c>
      <c r="B2469" s="39" t="s">
        <v>3206</v>
      </c>
      <c r="C2469" s="41" t="n">
        <v>21.37</v>
      </c>
    </row>
    <row r="2470" customFormat="false" ht="15" hidden="false" customHeight="false" outlineLevel="0" collapsed="false">
      <c r="A2470" s="39" t="s">
        <v>2599</v>
      </c>
      <c r="B2470" s="39" t="s">
        <v>3206</v>
      </c>
      <c r="C2470" s="41" t="n">
        <v>5.59</v>
      </c>
    </row>
    <row r="2471" customFormat="false" ht="15" hidden="false" customHeight="false" outlineLevel="0" collapsed="false">
      <c r="A2471" s="39" t="s">
        <v>2565</v>
      </c>
      <c r="B2471" s="39" t="s">
        <v>3206</v>
      </c>
      <c r="C2471" s="41" t="n">
        <v>0.73</v>
      </c>
    </row>
    <row r="2472" customFormat="false" ht="15" hidden="false" customHeight="false" outlineLevel="0" collapsed="false">
      <c r="A2472" s="39" t="s">
        <v>1895</v>
      </c>
      <c r="B2472" s="39" t="s">
        <v>3205</v>
      </c>
      <c r="C2472" s="41" t="n">
        <v>6.51</v>
      </c>
    </row>
    <row r="2473" customFormat="false" ht="15" hidden="false" customHeight="false" outlineLevel="0" collapsed="false">
      <c r="A2473" s="39" t="s">
        <v>2868</v>
      </c>
      <c r="B2473" s="39" t="s">
        <v>3206</v>
      </c>
      <c r="C2473" s="41" t="n">
        <v>0.65</v>
      </c>
    </row>
    <row r="2474" customFormat="false" ht="15" hidden="false" customHeight="false" outlineLevel="0" collapsed="false">
      <c r="A2474" s="39" t="s">
        <v>2248</v>
      </c>
      <c r="B2474" s="39" t="s">
        <v>3203</v>
      </c>
      <c r="C2474" s="41" t="n">
        <v>58.6</v>
      </c>
    </row>
    <row r="2475" customFormat="false" ht="15" hidden="false" customHeight="false" outlineLevel="0" collapsed="false">
      <c r="A2475" s="39" t="s">
        <v>3062</v>
      </c>
      <c r="B2475" s="39" t="s">
        <v>3203</v>
      </c>
      <c r="C2475" s="41" t="n">
        <v>2.47</v>
      </c>
    </row>
    <row r="2476" customFormat="false" ht="15" hidden="false" customHeight="false" outlineLevel="0" collapsed="false">
      <c r="A2476" s="39" t="s">
        <v>2006</v>
      </c>
      <c r="B2476" s="39" t="s">
        <v>3203</v>
      </c>
      <c r="C2476" s="41" t="n">
        <v>2</v>
      </c>
    </row>
    <row r="2477" customFormat="false" ht="15" hidden="false" customHeight="false" outlineLevel="0" collapsed="false">
      <c r="A2477" s="39" t="s">
        <v>2500</v>
      </c>
      <c r="B2477" s="39" t="s">
        <v>3205</v>
      </c>
      <c r="C2477" s="41" t="n">
        <v>7.63</v>
      </c>
    </row>
    <row r="2478" customFormat="false" ht="15" hidden="false" customHeight="false" outlineLevel="0" collapsed="false">
      <c r="A2478" s="39" t="s">
        <v>2094</v>
      </c>
      <c r="B2478" s="39" t="s">
        <v>3203</v>
      </c>
      <c r="C2478" s="41" t="n">
        <v>17.76</v>
      </c>
    </row>
    <row r="2479" customFormat="false" ht="15" hidden="false" customHeight="false" outlineLevel="0" collapsed="false">
      <c r="A2479" s="39" t="s">
        <v>247</v>
      </c>
      <c r="B2479" s="39" t="s">
        <v>3203</v>
      </c>
      <c r="C2479" s="41" t="n">
        <v>26.16</v>
      </c>
    </row>
    <row r="2480" customFormat="false" ht="15" hidden="false" customHeight="false" outlineLevel="0" collapsed="false">
      <c r="A2480" s="39" t="s">
        <v>1621</v>
      </c>
      <c r="B2480" s="39" t="s">
        <v>3204</v>
      </c>
      <c r="C2480" s="41" t="n">
        <v>2.08</v>
      </c>
    </row>
    <row r="2481" customFormat="false" ht="15" hidden="false" customHeight="false" outlineLevel="0" collapsed="false">
      <c r="A2481" s="39" t="s">
        <v>1549</v>
      </c>
      <c r="B2481" s="39" t="s">
        <v>3205</v>
      </c>
      <c r="C2481" s="41" t="n">
        <v>40.22</v>
      </c>
    </row>
    <row r="2482" customFormat="false" ht="15" hidden="false" customHeight="false" outlineLevel="0" collapsed="false">
      <c r="A2482" s="39" t="s">
        <v>2353</v>
      </c>
      <c r="B2482" s="39" t="s">
        <v>3206</v>
      </c>
      <c r="C2482" s="41" t="n">
        <v>2.39</v>
      </c>
    </row>
    <row r="2483" customFormat="false" ht="15" hidden="false" customHeight="false" outlineLevel="0" collapsed="false">
      <c r="A2483" s="39" t="s">
        <v>2909</v>
      </c>
      <c r="B2483" s="39" t="s">
        <v>3205</v>
      </c>
      <c r="C2483" s="41" t="n">
        <v>1.34</v>
      </c>
    </row>
    <row r="2484" customFormat="false" ht="15" hidden="false" customHeight="false" outlineLevel="0" collapsed="false">
      <c r="A2484" s="39" t="s">
        <v>1178</v>
      </c>
      <c r="B2484" s="39" t="s">
        <v>3205</v>
      </c>
      <c r="C2484" s="41" t="n">
        <v>1.13</v>
      </c>
    </row>
    <row r="2485" customFormat="false" ht="15" hidden="false" customHeight="false" outlineLevel="0" collapsed="false">
      <c r="A2485" s="39" t="s">
        <v>2165</v>
      </c>
      <c r="B2485" s="39" t="s">
        <v>3204</v>
      </c>
      <c r="C2485" s="41" t="n">
        <v>0.78</v>
      </c>
    </row>
    <row r="2486" customFormat="false" ht="15" hidden="false" customHeight="false" outlineLevel="0" collapsed="false">
      <c r="A2486" s="39" t="s">
        <v>1107</v>
      </c>
      <c r="B2486" s="39" t="s">
        <v>3204</v>
      </c>
      <c r="C2486" s="41" t="n">
        <v>0.91</v>
      </c>
    </row>
    <row r="2487" customFormat="false" ht="15" hidden="false" customHeight="false" outlineLevel="0" collapsed="false">
      <c r="A2487" s="39" t="s">
        <v>2053</v>
      </c>
      <c r="B2487" s="39" t="s">
        <v>3203</v>
      </c>
      <c r="C2487" s="41" t="n">
        <v>11.17</v>
      </c>
    </row>
    <row r="2488" customFormat="false" ht="15" hidden="false" customHeight="false" outlineLevel="0" collapsed="false">
      <c r="A2488" s="39" t="s">
        <v>1597</v>
      </c>
      <c r="B2488" s="39" t="s">
        <v>3204</v>
      </c>
      <c r="C2488" s="41" t="n">
        <v>0.97</v>
      </c>
    </row>
    <row r="2489" customFormat="false" ht="15" hidden="false" customHeight="false" outlineLevel="0" collapsed="false">
      <c r="A2489" s="39" t="s">
        <v>1564</v>
      </c>
      <c r="B2489" s="39" t="s">
        <v>3204</v>
      </c>
      <c r="C2489" s="41" t="n">
        <v>1.77</v>
      </c>
    </row>
    <row r="2490" customFormat="false" ht="15" hidden="false" customHeight="false" outlineLevel="0" collapsed="false">
      <c r="A2490" s="39" t="s">
        <v>2173</v>
      </c>
      <c r="B2490" s="39" t="s">
        <v>3205</v>
      </c>
      <c r="C2490" s="41" t="n">
        <v>4.02</v>
      </c>
    </row>
    <row r="2491" customFormat="false" ht="15" hidden="false" customHeight="false" outlineLevel="0" collapsed="false">
      <c r="A2491" s="39" t="s">
        <v>2737</v>
      </c>
      <c r="B2491" s="39" t="s">
        <v>3204</v>
      </c>
      <c r="C2491" s="41" t="n">
        <v>7.62</v>
      </c>
    </row>
    <row r="2492" customFormat="false" ht="15" hidden="false" customHeight="false" outlineLevel="0" collapsed="false">
      <c r="A2492" s="39" t="s">
        <v>1737</v>
      </c>
      <c r="B2492" s="39" t="s">
        <v>3204</v>
      </c>
      <c r="C2492" s="41" t="n">
        <v>4.31</v>
      </c>
    </row>
    <row r="2493" customFormat="false" ht="15" hidden="false" customHeight="false" outlineLevel="0" collapsed="false">
      <c r="A2493" s="39" t="s">
        <v>692</v>
      </c>
      <c r="B2493" s="39" t="s">
        <v>3206</v>
      </c>
      <c r="C2493" s="41" t="n">
        <v>0.56</v>
      </c>
    </row>
    <row r="2494" customFormat="false" ht="15" hidden="false" customHeight="false" outlineLevel="0" collapsed="false">
      <c r="A2494" s="39" t="s">
        <v>1927</v>
      </c>
      <c r="B2494" s="39" t="s">
        <v>3206</v>
      </c>
      <c r="C2494" s="41" t="n">
        <v>22.13</v>
      </c>
    </row>
    <row r="2495" customFormat="false" ht="15" hidden="false" customHeight="false" outlineLevel="0" collapsed="false">
      <c r="A2495" s="39" t="s">
        <v>1609</v>
      </c>
      <c r="B2495" s="39" t="s">
        <v>3204</v>
      </c>
      <c r="C2495" s="41" t="n">
        <v>1.39</v>
      </c>
    </row>
    <row r="2496" customFormat="false" ht="15" hidden="false" customHeight="false" outlineLevel="0" collapsed="false">
      <c r="A2496" s="39" t="s">
        <v>1732</v>
      </c>
      <c r="B2496" s="39" t="s">
        <v>3205</v>
      </c>
      <c r="C2496" s="41" t="n">
        <v>30.48</v>
      </c>
    </row>
    <row r="2497" customFormat="false" ht="15" hidden="false" customHeight="false" outlineLevel="0" collapsed="false">
      <c r="A2497" s="39" t="s">
        <v>348</v>
      </c>
      <c r="B2497" s="39" t="s">
        <v>3204</v>
      </c>
      <c r="C2497" s="41" t="n">
        <v>39.34</v>
      </c>
    </row>
    <row r="2498" customFormat="false" ht="15" hidden="false" customHeight="false" outlineLevel="0" collapsed="false">
      <c r="A2498" s="39" t="s">
        <v>2309</v>
      </c>
      <c r="B2498" s="39" t="s">
        <v>3206</v>
      </c>
      <c r="C2498" s="41" t="n">
        <v>5.04</v>
      </c>
    </row>
    <row r="2499" customFormat="false" ht="15" hidden="false" customHeight="false" outlineLevel="0" collapsed="false">
      <c r="A2499" s="39" t="s">
        <v>2702</v>
      </c>
      <c r="B2499" s="39" t="s">
        <v>3206</v>
      </c>
      <c r="C2499" s="41" t="n">
        <v>13.78</v>
      </c>
    </row>
    <row r="2500" customFormat="false" ht="15" hidden="false" customHeight="false" outlineLevel="0" collapsed="false">
      <c r="A2500" s="39" t="s">
        <v>2409</v>
      </c>
      <c r="B2500" s="39" t="s">
        <v>3204</v>
      </c>
      <c r="C2500" s="41" t="n">
        <v>7.17</v>
      </c>
    </row>
    <row r="2501" customFormat="false" ht="15" hidden="false" customHeight="false" outlineLevel="0" collapsed="false">
      <c r="A2501" s="39" t="s">
        <v>2572</v>
      </c>
      <c r="B2501" s="39" t="s">
        <v>3205</v>
      </c>
      <c r="C2501" s="41" t="n">
        <v>11.72</v>
      </c>
    </row>
    <row r="2502" customFormat="false" ht="15" hidden="false" customHeight="false" outlineLevel="0" collapsed="false">
      <c r="A2502" s="39" t="s">
        <v>439</v>
      </c>
      <c r="B2502" s="39" t="s">
        <v>3203</v>
      </c>
      <c r="C2502" s="41" t="n">
        <v>3.01</v>
      </c>
    </row>
    <row r="2503" customFormat="false" ht="15" hidden="false" customHeight="false" outlineLevel="0" collapsed="false">
      <c r="A2503" s="39" t="s">
        <v>443</v>
      </c>
      <c r="B2503" s="39" t="s">
        <v>3203</v>
      </c>
      <c r="C2503" s="41" t="n">
        <v>8.02</v>
      </c>
    </row>
    <row r="2504" customFormat="false" ht="15" hidden="false" customHeight="false" outlineLevel="0" collapsed="false">
      <c r="A2504" s="39" t="s">
        <v>1237</v>
      </c>
      <c r="B2504" s="39" t="s">
        <v>3206</v>
      </c>
      <c r="C2504" s="41" t="n">
        <v>55.02</v>
      </c>
    </row>
    <row r="2505" customFormat="false" ht="15" hidden="false" customHeight="false" outlineLevel="0" collapsed="false">
      <c r="A2505" s="39" t="s">
        <v>2378</v>
      </c>
      <c r="B2505" s="39" t="s">
        <v>3204</v>
      </c>
      <c r="C2505" s="41" t="n">
        <v>16.55</v>
      </c>
    </row>
    <row r="2506" customFormat="false" ht="15" hidden="false" customHeight="false" outlineLevel="0" collapsed="false">
      <c r="A2506" s="39" t="s">
        <v>2250</v>
      </c>
      <c r="B2506" s="39" t="s">
        <v>3205</v>
      </c>
      <c r="C2506" s="41" t="n">
        <v>3.29</v>
      </c>
    </row>
    <row r="2507" customFormat="false" ht="15" hidden="false" customHeight="false" outlineLevel="0" collapsed="false">
      <c r="A2507" s="39" t="s">
        <v>1721</v>
      </c>
      <c r="B2507" s="39" t="s">
        <v>3203</v>
      </c>
      <c r="C2507" s="41" t="n">
        <v>2.02</v>
      </c>
    </row>
    <row r="2508" customFormat="false" ht="15" hidden="false" customHeight="false" outlineLevel="0" collapsed="false">
      <c r="A2508" s="39" t="s">
        <v>2680</v>
      </c>
      <c r="B2508" s="39" t="s">
        <v>3205</v>
      </c>
      <c r="C2508" s="41" t="n">
        <v>38.96</v>
      </c>
    </row>
    <row r="2509" customFormat="false" ht="15" hidden="false" customHeight="false" outlineLevel="0" collapsed="false">
      <c r="A2509" s="39" t="s">
        <v>2718</v>
      </c>
      <c r="B2509" s="39" t="s">
        <v>3206</v>
      </c>
      <c r="C2509" s="41" t="n">
        <v>5.1</v>
      </c>
    </row>
    <row r="2510" customFormat="false" ht="15" hidden="false" customHeight="false" outlineLevel="0" collapsed="false">
      <c r="A2510" s="39" t="s">
        <v>1192</v>
      </c>
      <c r="B2510" s="39" t="s">
        <v>3203</v>
      </c>
      <c r="C2510" s="41" t="n">
        <v>2.22</v>
      </c>
    </row>
    <row r="2511" customFormat="false" ht="15" hidden="false" customHeight="false" outlineLevel="0" collapsed="false">
      <c r="A2511" s="39" t="s">
        <v>2032</v>
      </c>
      <c r="B2511" s="39" t="s">
        <v>3204</v>
      </c>
      <c r="C2511" s="41" t="n">
        <v>0.36</v>
      </c>
    </row>
    <row r="2512" customFormat="false" ht="15" hidden="false" customHeight="false" outlineLevel="0" collapsed="false">
      <c r="A2512" s="39" t="s">
        <v>2963</v>
      </c>
      <c r="B2512" s="39" t="s">
        <v>3206</v>
      </c>
      <c r="C2512" s="41" t="n">
        <v>5.18</v>
      </c>
    </row>
    <row r="2513" customFormat="false" ht="15" hidden="false" customHeight="false" outlineLevel="0" collapsed="false">
      <c r="A2513" s="39" t="s">
        <v>2594</v>
      </c>
      <c r="B2513" s="39" t="s">
        <v>3204</v>
      </c>
      <c r="C2513" s="41" t="n">
        <v>1.41</v>
      </c>
    </row>
    <row r="2514" customFormat="false" ht="15" hidden="false" customHeight="false" outlineLevel="0" collapsed="false">
      <c r="A2514" s="39" t="s">
        <v>1423</v>
      </c>
      <c r="B2514" s="39" t="s">
        <v>3203</v>
      </c>
      <c r="C2514" s="41" t="n">
        <v>4.88</v>
      </c>
    </row>
    <row r="2515" customFormat="false" ht="15" hidden="false" customHeight="false" outlineLevel="0" collapsed="false">
      <c r="A2515" s="39" t="s">
        <v>2123</v>
      </c>
      <c r="B2515" s="39" t="s">
        <v>3206</v>
      </c>
      <c r="C2515" s="41" t="n">
        <v>20.04</v>
      </c>
    </row>
    <row r="2516" customFormat="false" ht="15" hidden="false" customHeight="false" outlineLevel="0" collapsed="false">
      <c r="A2516" s="39" t="s">
        <v>1388</v>
      </c>
      <c r="B2516" s="39" t="s">
        <v>3204</v>
      </c>
      <c r="C2516" s="41" t="n">
        <v>13.41</v>
      </c>
    </row>
    <row r="2517" customFormat="false" ht="15" hidden="false" customHeight="false" outlineLevel="0" collapsed="false">
      <c r="A2517" s="39" t="s">
        <v>965</v>
      </c>
      <c r="B2517" s="39" t="s">
        <v>3203</v>
      </c>
      <c r="C2517" s="41" t="n">
        <v>1.51</v>
      </c>
    </row>
    <row r="2518" customFormat="false" ht="15" hidden="false" customHeight="false" outlineLevel="0" collapsed="false">
      <c r="A2518" s="39" t="s">
        <v>2519</v>
      </c>
      <c r="B2518" s="39" t="s">
        <v>3204</v>
      </c>
      <c r="C2518" s="41" t="n">
        <v>1.35</v>
      </c>
    </row>
    <row r="2519" customFormat="false" ht="15" hidden="false" customHeight="false" outlineLevel="0" collapsed="false">
      <c r="A2519" s="39" t="s">
        <v>2729</v>
      </c>
      <c r="B2519" s="39" t="s">
        <v>3205</v>
      </c>
      <c r="C2519" s="41" t="n">
        <v>0.83</v>
      </c>
    </row>
    <row r="2520" customFormat="false" ht="15" hidden="false" customHeight="false" outlineLevel="0" collapsed="false">
      <c r="A2520" s="39" t="s">
        <v>2432</v>
      </c>
      <c r="B2520" s="39" t="s">
        <v>3203</v>
      </c>
      <c r="C2520" s="41" t="n">
        <v>4.9</v>
      </c>
    </row>
    <row r="2521" customFormat="false" ht="15" hidden="false" customHeight="false" outlineLevel="0" collapsed="false">
      <c r="A2521" s="39" t="s">
        <v>1355</v>
      </c>
      <c r="B2521" s="39" t="s">
        <v>3206</v>
      </c>
      <c r="C2521" s="41" t="n">
        <v>6.39</v>
      </c>
    </row>
    <row r="2522" customFormat="false" ht="15" hidden="false" customHeight="false" outlineLevel="0" collapsed="false">
      <c r="A2522" s="39" t="s">
        <v>2444</v>
      </c>
      <c r="B2522" s="39" t="s">
        <v>3204</v>
      </c>
      <c r="C2522" s="41" t="n">
        <v>6.44</v>
      </c>
    </row>
    <row r="2523" customFormat="false" ht="15" hidden="false" customHeight="false" outlineLevel="0" collapsed="false">
      <c r="A2523" s="39" t="s">
        <v>1285</v>
      </c>
      <c r="B2523" s="39" t="s">
        <v>3206</v>
      </c>
      <c r="C2523" s="41" t="n">
        <v>7.63</v>
      </c>
    </row>
    <row r="2524" customFormat="false" ht="15" hidden="false" customHeight="false" outlineLevel="0" collapsed="false">
      <c r="A2524" s="39" t="s">
        <v>2782</v>
      </c>
      <c r="B2524" s="39" t="s">
        <v>3206</v>
      </c>
      <c r="C2524" s="41" t="n">
        <v>51.93</v>
      </c>
    </row>
    <row r="2525" customFormat="false" ht="15" hidden="false" customHeight="false" outlineLevel="0" collapsed="false">
      <c r="A2525" s="39" t="s">
        <v>1278</v>
      </c>
      <c r="B2525" s="39" t="s">
        <v>3204</v>
      </c>
      <c r="C2525" s="41" t="n">
        <v>122.06</v>
      </c>
    </row>
    <row r="2526" customFormat="false" ht="15" hidden="false" customHeight="false" outlineLevel="0" collapsed="false">
      <c r="A2526" s="39" t="s">
        <v>1688</v>
      </c>
      <c r="B2526" s="39" t="s">
        <v>3206</v>
      </c>
      <c r="C2526" s="41" t="n">
        <v>1.78</v>
      </c>
    </row>
    <row r="2527" customFormat="false" ht="15" hidden="false" customHeight="false" outlineLevel="0" collapsed="false">
      <c r="A2527" s="39" t="s">
        <v>1897</v>
      </c>
      <c r="B2527" s="39" t="s">
        <v>3204</v>
      </c>
      <c r="C2527" s="41" t="n">
        <v>14.34</v>
      </c>
    </row>
    <row r="2528" customFormat="false" ht="15" hidden="false" customHeight="false" outlineLevel="0" collapsed="false">
      <c r="A2528" s="39" t="s">
        <v>2129</v>
      </c>
      <c r="B2528" s="39" t="s">
        <v>3205</v>
      </c>
      <c r="C2528" s="41" t="n">
        <v>16.15</v>
      </c>
    </row>
    <row r="2529" customFormat="false" ht="15" hidden="false" customHeight="false" outlineLevel="0" collapsed="false">
      <c r="A2529" s="39" t="s">
        <v>2644</v>
      </c>
      <c r="B2529" s="39" t="s">
        <v>3204</v>
      </c>
      <c r="C2529" s="41" t="n">
        <v>5.81</v>
      </c>
    </row>
    <row r="2530" customFormat="false" ht="15" hidden="false" customHeight="false" outlineLevel="0" collapsed="false">
      <c r="A2530" s="39" t="s">
        <v>1446</v>
      </c>
      <c r="B2530" s="39" t="s">
        <v>3204</v>
      </c>
      <c r="C2530" s="41" t="n">
        <v>0.45</v>
      </c>
    </row>
    <row r="2531" customFormat="false" ht="15" hidden="false" customHeight="false" outlineLevel="0" collapsed="false">
      <c r="A2531" s="39" t="s">
        <v>1613</v>
      </c>
      <c r="B2531" s="39" t="s">
        <v>3205</v>
      </c>
      <c r="C2531" s="41" t="n">
        <v>16.32</v>
      </c>
    </row>
    <row r="2532" customFormat="false" ht="15" hidden="false" customHeight="false" outlineLevel="0" collapsed="false">
      <c r="A2532" s="39" t="s">
        <v>2459</v>
      </c>
      <c r="B2532" s="39" t="s">
        <v>3205</v>
      </c>
      <c r="C2532" s="41" t="n">
        <v>13.8</v>
      </c>
    </row>
    <row r="2533" customFormat="false" ht="15" hidden="false" customHeight="false" outlineLevel="0" collapsed="false">
      <c r="A2533" s="39" t="s">
        <v>2985</v>
      </c>
      <c r="B2533" s="39" t="s">
        <v>3203</v>
      </c>
      <c r="C2533" s="41" t="n">
        <v>0.74</v>
      </c>
    </row>
    <row r="2534" customFormat="false" ht="15" hidden="false" customHeight="false" outlineLevel="0" collapsed="false">
      <c r="A2534" s="39" t="s">
        <v>1253</v>
      </c>
      <c r="B2534" s="39" t="s">
        <v>3205</v>
      </c>
      <c r="C2534" s="41" t="n">
        <v>3.23</v>
      </c>
    </row>
    <row r="2535" customFormat="false" ht="15" hidden="false" customHeight="false" outlineLevel="0" collapsed="false">
      <c r="A2535" s="39" t="s">
        <v>3037</v>
      </c>
      <c r="B2535" s="39" t="s">
        <v>3205</v>
      </c>
      <c r="C2535" s="41" t="n">
        <v>2.19</v>
      </c>
    </row>
    <row r="2536" customFormat="false" ht="15" hidden="false" customHeight="false" outlineLevel="0" collapsed="false">
      <c r="A2536" s="39" t="s">
        <v>1744</v>
      </c>
      <c r="B2536" s="39" t="s">
        <v>3205</v>
      </c>
      <c r="C2536" s="41" t="n">
        <v>0.8</v>
      </c>
    </row>
    <row r="2537" customFormat="false" ht="15" hidden="false" customHeight="false" outlineLevel="0" collapsed="false">
      <c r="A2537" s="39" t="s">
        <v>744</v>
      </c>
      <c r="B2537" s="39" t="s">
        <v>3206</v>
      </c>
      <c r="C2537" s="41" t="n">
        <v>17.28</v>
      </c>
    </row>
    <row r="2538" customFormat="false" ht="15" hidden="false" customHeight="false" outlineLevel="0" collapsed="false">
      <c r="A2538" s="39" t="s">
        <v>385</v>
      </c>
      <c r="B2538" s="39" t="s">
        <v>3206</v>
      </c>
      <c r="C2538" s="41" t="n">
        <v>1.7</v>
      </c>
    </row>
    <row r="2539" customFormat="false" ht="15" hidden="false" customHeight="false" outlineLevel="0" collapsed="false">
      <c r="A2539" s="39" t="s">
        <v>2902</v>
      </c>
      <c r="B2539" s="39" t="s">
        <v>3204</v>
      </c>
      <c r="C2539" s="41" t="n">
        <v>3.75</v>
      </c>
    </row>
    <row r="2540" customFormat="false" ht="15" hidden="false" customHeight="false" outlineLevel="0" collapsed="false">
      <c r="A2540" s="39" t="s">
        <v>2166</v>
      </c>
      <c r="B2540" s="39" t="s">
        <v>3203</v>
      </c>
      <c r="C2540" s="41" t="n">
        <v>9.47</v>
      </c>
    </row>
    <row r="2541" customFormat="false" ht="15" hidden="false" customHeight="false" outlineLevel="0" collapsed="false">
      <c r="A2541" s="39" t="s">
        <v>1270</v>
      </c>
      <c r="B2541" s="39" t="s">
        <v>3203</v>
      </c>
      <c r="C2541" s="41" t="n">
        <v>3.57</v>
      </c>
    </row>
    <row r="2542" customFormat="false" ht="15" hidden="false" customHeight="false" outlineLevel="0" collapsed="false">
      <c r="A2542" s="39" t="s">
        <v>3107</v>
      </c>
      <c r="B2542" s="39" t="s">
        <v>3203</v>
      </c>
      <c r="C2542" s="41" t="n">
        <v>7.75</v>
      </c>
    </row>
    <row r="2543" customFormat="false" ht="15" hidden="false" customHeight="false" outlineLevel="0" collapsed="false">
      <c r="A2543" s="39" t="s">
        <v>630</v>
      </c>
      <c r="B2543" s="39" t="s">
        <v>3205</v>
      </c>
      <c r="C2543" s="41" t="n">
        <v>37.76</v>
      </c>
    </row>
    <row r="2544" customFormat="false" ht="15" hidden="false" customHeight="false" outlineLevel="0" collapsed="false">
      <c r="A2544" s="39" t="s">
        <v>1554</v>
      </c>
      <c r="B2544" s="39" t="s">
        <v>3206</v>
      </c>
      <c r="C2544" s="41" t="n">
        <v>1.28</v>
      </c>
    </row>
    <row r="2545" customFormat="false" ht="15" hidden="false" customHeight="false" outlineLevel="0" collapsed="false">
      <c r="A2545" s="39" t="s">
        <v>2188</v>
      </c>
      <c r="B2545" s="39" t="s">
        <v>3206</v>
      </c>
      <c r="C2545" s="41" t="n">
        <v>7.71</v>
      </c>
    </row>
    <row r="2546" customFormat="false" ht="15" hidden="false" customHeight="false" outlineLevel="0" collapsed="false">
      <c r="A2546" s="39" t="s">
        <v>835</v>
      </c>
      <c r="B2546" s="39" t="s">
        <v>3204</v>
      </c>
      <c r="C2546" s="41" t="n">
        <v>7.45</v>
      </c>
    </row>
    <row r="2547" customFormat="false" ht="15" hidden="false" customHeight="false" outlineLevel="0" collapsed="false">
      <c r="A2547" s="39" t="s">
        <v>2859</v>
      </c>
      <c r="B2547" s="39" t="s">
        <v>3206</v>
      </c>
      <c r="C2547" s="41" t="n">
        <v>5.77</v>
      </c>
    </row>
    <row r="2548" customFormat="false" ht="15" hidden="false" customHeight="false" outlineLevel="0" collapsed="false">
      <c r="A2548" s="39" t="s">
        <v>3171</v>
      </c>
      <c r="B2548" s="39" t="s">
        <v>3204</v>
      </c>
      <c r="C2548" s="41" t="n">
        <v>0.34</v>
      </c>
    </row>
    <row r="2549" customFormat="false" ht="15" hidden="false" customHeight="false" outlineLevel="0" collapsed="false">
      <c r="A2549" s="39" t="s">
        <v>1100</v>
      </c>
      <c r="B2549" s="39" t="s">
        <v>3204</v>
      </c>
      <c r="C2549" s="41" t="n">
        <v>1.65</v>
      </c>
    </row>
    <row r="2550" customFormat="false" ht="15" hidden="false" customHeight="false" outlineLevel="0" collapsed="false">
      <c r="A2550" s="39" t="s">
        <v>698</v>
      </c>
      <c r="B2550" s="39" t="s">
        <v>3205</v>
      </c>
      <c r="C2550" s="41" t="n">
        <v>10.07</v>
      </c>
    </row>
    <row r="2551" customFormat="false" ht="15" hidden="false" customHeight="false" outlineLevel="0" collapsed="false">
      <c r="A2551" s="39" t="s">
        <v>137</v>
      </c>
      <c r="B2551" s="39" t="s">
        <v>3203</v>
      </c>
      <c r="C2551" s="41" t="n">
        <v>3.75</v>
      </c>
    </row>
    <row r="2552" customFormat="false" ht="15" hidden="false" customHeight="false" outlineLevel="0" collapsed="false">
      <c r="A2552" s="39" t="s">
        <v>2538</v>
      </c>
      <c r="B2552" s="39" t="s">
        <v>3203</v>
      </c>
      <c r="C2552" s="41" t="n">
        <v>2.91</v>
      </c>
    </row>
    <row r="2553" customFormat="false" ht="15" hidden="false" customHeight="false" outlineLevel="0" collapsed="false">
      <c r="A2553" s="39" t="s">
        <v>3034</v>
      </c>
      <c r="B2553" s="39" t="s">
        <v>3203</v>
      </c>
      <c r="C2553" s="41" t="n">
        <v>3.04</v>
      </c>
    </row>
    <row r="2554" customFormat="false" ht="15" hidden="false" customHeight="false" outlineLevel="0" collapsed="false">
      <c r="A2554" s="39" t="s">
        <v>767</v>
      </c>
      <c r="B2554" s="39" t="s">
        <v>3205</v>
      </c>
      <c r="C2554" s="41" t="n">
        <v>7.42</v>
      </c>
    </row>
    <row r="2555" customFormat="false" ht="15" hidden="false" customHeight="false" outlineLevel="0" collapsed="false">
      <c r="A2555" s="39" t="s">
        <v>2509</v>
      </c>
      <c r="B2555" s="39" t="s">
        <v>3206</v>
      </c>
      <c r="C2555" s="41" t="n">
        <v>2.22</v>
      </c>
    </row>
    <row r="2556" customFormat="false" ht="15" hidden="false" customHeight="false" outlineLevel="0" collapsed="false">
      <c r="A2556" s="39" t="s">
        <v>3019</v>
      </c>
      <c r="B2556" s="39" t="s">
        <v>3206</v>
      </c>
      <c r="C2556" s="41" t="n">
        <v>10.09</v>
      </c>
    </row>
    <row r="2557" customFormat="false" ht="15" hidden="false" customHeight="false" outlineLevel="0" collapsed="false">
      <c r="A2557" s="39" t="s">
        <v>2493</v>
      </c>
      <c r="B2557" s="39" t="s">
        <v>3206</v>
      </c>
      <c r="C2557" s="41" t="n">
        <v>2.14</v>
      </c>
    </row>
    <row r="2558" customFormat="false" ht="15" hidden="false" customHeight="false" outlineLevel="0" collapsed="false">
      <c r="A2558" s="39" t="s">
        <v>507</v>
      </c>
      <c r="B2558" s="39" t="s">
        <v>3205</v>
      </c>
      <c r="C2558" s="41" t="n">
        <v>35.93</v>
      </c>
    </row>
    <row r="2559" customFormat="false" ht="15" hidden="false" customHeight="false" outlineLevel="0" collapsed="false">
      <c r="A2559" s="39" t="s">
        <v>2136</v>
      </c>
      <c r="B2559" s="39" t="s">
        <v>3204</v>
      </c>
      <c r="C2559" s="41" t="n">
        <v>1.93</v>
      </c>
    </row>
    <row r="2560" customFormat="false" ht="15" hidden="false" customHeight="false" outlineLevel="0" collapsed="false">
      <c r="A2560" s="39" t="s">
        <v>1872</v>
      </c>
      <c r="B2560" s="39" t="s">
        <v>3204</v>
      </c>
      <c r="C2560" s="41" t="n">
        <v>0.65</v>
      </c>
    </row>
    <row r="2561" customFormat="false" ht="15" hidden="false" customHeight="false" outlineLevel="0" collapsed="false">
      <c r="A2561" s="39" t="s">
        <v>3005</v>
      </c>
      <c r="B2561" s="39" t="s">
        <v>3204</v>
      </c>
      <c r="C2561" s="41" t="n">
        <v>7.06</v>
      </c>
    </row>
    <row r="2562" customFormat="false" ht="15" hidden="false" customHeight="false" outlineLevel="0" collapsed="false">
      <c r="A2562" s="39" t="s">
        <v>260</v>
      </c>
      <c r="B2562" s="39" t="s">
        <v>3206</v>
      </c>
      <c r="C2562" s="41" t="n">
        <v>0.99</v>
      </c>
    </row>
    <row r="2563" customFormat="false" ht="15" hidden="false" customHeight="false" outlineLevel="0" collapsed="false">
      <c r="A2563" s="39" t="s">
        <v>1914</v>
      </c>
      <c r="B2563" s="39" t="s">
        <v>3204</v>
      </c>
      <c r="C2563" s="41" t="n">
        <v>0.38</v>
      </c>
    </row>
    <row r="2564" customFormat="false" ht="15" hidden="false" customHeight="false" outlineLevel="0" collapsed="false">
      <c r="A2564" s="39" t="s">
        <v>1433</v>
      </c>
      <c r="B2564" s="39" t="s">
        <v>3206</v>
      </c>
      <c r="C2564" s="41" t="n">
        <v>2.61</v>
      </c>
    </row>
    <row r="2565" customFormat="false" ht="15" hidden="false" customHeight="false" outlineLevel="0" collapsed="false">
      <c r="A2565" s="39" t="s">
        <v>2606</v>
      </c>
      <c r="B2565" s="39" t="s">
        <v>3204</v>
      </c>
      <c r="C2565" s="41" t="n">
        <v>14.63</v>
      </c>
    </row>
    <row r="2566" customFormat="false" ht="15" hidden="false" customHeight="false" outlineLevel="0" collapsed="false">
      <c r="A2566" s="39" t="s">
        <v>1745</v>
      </c>
      <c r="B2566" s="39" t="s">
        <v>3204</v>
      </c>
      <c r="C2566" s="41" t="n">
        <v>3.67</v>
      </c>
    </row>
    <row r="2567" customFormat="false" ht="15" hidden="false" customHeight="false" outlineLevel="0" collapsed="false">
      <c r="A2567" s="39" t="s">
        <v>2124</v>
      </c>
      <c r="B2567" s="39" t="s">
        <v>3204</v>
      </c>
      <c r="C2567" s="41" t="n">
        <v>0.25</v>
      </c>
    </row>
    <row r="2568" customFormat="false" ht="15" hidden="false" customHeight="false" outlineLevel="0" collapsed="false">
      <c r="A2568" s="39" t="s">
        <v>2752</v>
      </c>
      <c r="B2568" s="39" t="s">
        <v>3204</v>
      </c>
      <c r="C2568" s="41" t="n">
        <v>14.91</v>
      </c>
    </row>
    <row r="2569" customFormat="false" ht="15" hidden="false" customHeight="false" outlineLevel="0" collapsed="false">
      <c r="A2569" s="39" t="s">
        <v>1632</v>
      </c>
      <c r="B2569" s="39" t="s">
        <v>3204</v>
      </c>
      <c r="C2569" s="41" t="n">
        <v>39.47</v>
      </c>
    </row>
    <row r="2570" customFormat="false" ht="15" hidden="false" customHeight="false" outlineLevel="0" collapsed="false">
      <c r="A2570" s="39" t="s">
        <v>2102</v>
      </c>
      <c r="B2570" s="39" t="s">
        <v>3203</v>
      </c>
      <c r="C2570" s="41" t="n">
        <v>0.48</v>
      </c>
    </row>
    <row r="2571" customFormat="false" ht="15" hidden="false" customHeight="false" outlineLevel="0" collapsed="false">
      <c r="A2571" s="39" t="s">
        <v>1305</v>
      </c>
      <c r="B2571" s="39" t="s">
        <v>3204</v>
      </c>
      <c r="C2571" s="41" t="n">
        <v>9.93</v>
      </c>
    </row>
    <row r="2572" customFormat="false" ht="15" hidden="false" customHeight="false" outlineLevel="0" collapsed="false">
      <c r="A2572" s="39" t="s">
        <v>192</v>
      </c>
      <c r="B2572" s="39" t="s">
        <v>3205</v>
      </c>
      <c r="C2572" s="41" t="n">
        <v>4.41</v>
      </c>
    </row>
    <row r="2573" customFormat="false" ht="15" hidden="false" customHeight="false" outlineLevel="0" collapsed="false">
      <c r="A2573" s="39" t="s">
        <v>2172</v>
      </c>
      <c r="B2573" s="39" t="s">
        <v>3203</v>
      </c>
      <c r="C2573" s="41" t="n">
        <v>34.58</v>
      </c>
    </row>
    <row r="2574" customFormat="false" ht="15" hidden="false" customHeight="false" outlineLevel="0" collapsed="false">
      <c r="A2574" s="39" t="s">
        <v>2876</v>
      </c>
      <c r="B2574" s="39" t="s">
        <v>3203</v>
      </c>
      <c r="C2574" s="41" t="n">
        <v>15.97</v>
      </c>
    </row>
    <row r="2575" customFormat="false" ht="15" hidden="false" customHeight="false" outlineLevel="0" collapsed="false">
      <c r="A2575" s="39" t="s">
        <v>403</v>
      </c>
      <c r="B2575" s="39" t="s">
        <v>3206</v>
      </c>
      <c r="C2575" s="41" t="n">
        <v>2.98</v>
      </c>
    </row>
    <row r="2576" customFormat="false" ht="15" hidden="false" customHeight="false" outlineLevel="0" collapsed="false">
      <c r="A2576" s="39" t="s">
        <v>2291</v>
      </c>
      <c r="B2576" s="39" t="s">
        <v>3204</v>
      </c>
      <c r="C2576" s="41" t="n">
        <v>0.41</v>
      </c>
    </row>
    <row r="2577" customFormat="false" ht="15" hidden="false" customHeight="false" outlineLevel="0" collapsed="false">
      <c r="A2577" s="39" t="s">
        <v>954</v>
      </c>
      <c r="B2577" s="39" t="s">
        <v>3206</v>
      </c>
      <c r="C2577" s="41" t="n">
        <v>1.52</v>
      </c>
    </row>
    <row r="2578" customFormat="false" ht="15" hidden="false" customHeight="false" outlineLevel="0" collapsed="false">
      <c r="A2578" s="39" t="s">
        <v>1539</v>
      </c>
      <c r="B2578" s="39" t="s">
        <v>3205</v>
      </c>
      <c r="C2578" s="41" t="n">
        <v>7.88</v>
      </c>
    </row>
    <row r="2579" customFormat="false" ht="15" hidden="false" customHeight="false" outlineLevel="0" collapsed="false">
      <c r="A2579" s="39" t="s">
        <v>1920</v>
      </c>
      <c r="B2579" s="39" t="s">
        <v>3203</v>
      </c>
      <c r="C2579" s="41" t="n">
        <v>21.37</v>
      </c>
    </row>
    <row r="2580" customFormat="false" ht="15" hidden="false" customHeight="false" outlineLevel="0" collapsed="false">
      <c r="A2580" s="39" t="s">
        <v>1109</v>
      </c>
      <c r="B2580" s="39" t="s">
        <v>3205</v>
      </c>
      <c r="C2580" s="41" t="n">
        <v>0.8</v>
      </c>
    </row>
    <row r="2581" customFormat="false" ht="15" hidden="false" customHeight="false" outlineLevel="0" collapsed="false">
      <c r="A2581" s="39" t="s">
        <v>1699</v>
      </c>
      <c r="B2581" s="39" t="s">
        <v>3206</v>
      </c>
      <c r="C2581" s="41" t="n">
        <v>0.71</v>
      </c>
    </row>
    <row r="2582" customFormat="false" ht="15" hidden="false" customHeight="false" outlineLevel="0" collapsed="false">
      <c r="A2582" s="39" t="s">
        <v>806</v>
      </c>
      <c r="B2582" s="39" t="s">
        <v>3205</v>
      </c>
      <c r="C2582" s="41" t="n">
        <v>27.49</v>
      </c>
    </row>
    <row r="2583" customFormat="false" ht="15" hidden="false" customHeight="false" outlineLevel="0" collapsed="false">
      <c r="A2583" s="39" t="s">
        <v>2569</v>
      </c>
      <c r="B2583" s="39" t="s">
        <v>3203</v>
      </c>
      <c r="C2583" s="41" t="n">
        <v>3.78</v>
      </c>
    </row>
    <row r="2584" customFormat="false" ht="15" hidden="false" customHeight="false" outlineLevel="0" collapsed="false">
      <c r="A2584" s="39" t="s">
        <v>2895</v>
      </c>
      <c r="B2584" s="39" t="s">
        <v>3206</v>
      </c>
      <c r="C2584" s="41" t="n">
        <v>2.29</v>
      </c>
    </row>
    <row r="2585" customFormat="false" ht="15" hidden="false" customHeight="false" outlineLevel="0" collapsed="false">
      <c r="A2585" s="39" t="s">
        <v>561</v>
      </c>
      <c r="B2585" s="39" t="s">
        <v>3203</v>
      </c>
      <c r="C2585" s="41" t="n">
        <v>4.03</v>
      </c>
    </row>
    <row r="2586" customFormat="false" ht="15" hidden="false" customHeight="false" outlineLevel="0" collapsed="false">
      <c r="A2586" s="39" t="s">
        <v>2036</v>
      </c>
      <c r="B2586" s="39" t="s">
        <v>3203</v>
      </c>
      <c r="C2586" s="41" t="n">
        <v>17.54</v>
      </c>
    </row>
    <row r="2587" customFormat="false" ht="15" hidden="false" customHeight="false" outlineLevel="0" collapsed="false">
      <c r="A2587" s="39" t="s">
        <v>2949</v>
      </c>
      <c r="B2587" s="39" t="s">
        <v>3205</v>
      </c>
      <c r="C2587" s="41" t="n">
        <v>6.57</v>
      </c>
    </row>
    <row r="2588" customFormat="false" ht="15" hidden="false" customHeight="false" outlineLevel="0" collapsed="false">
      <c r="A2588" s="39" t="s">
        <v>1729</v>
      </c>
      <c r="B2588" s="39" t="s">
        <v>3205</v>
      </c>
      <c r="C2588" s="41" t="n">
        <v>2.94</v>
      </c>
    </row>
    <row r="2589" customFormat="false" ht="15" hidden="false" customHeight="false" outlineLevel="0" collapsed="false">
      <c r="A2589" s="39" t="s">
        <v>644</v>
      </c>
      <c r="B2589" s="39" t="s">
        <v>3204</v>
      </c>
      <c r="C2589" s="41" t="n">
        <v>5.32</v>
      </c>
    </row>
    <row r="2590" customFormat="false" ht="15" hidden="false" customHeight="false" outlineLevel="0" collapsed="false">
      <c r="A2590" s="39" t="s">
        <v>1282</v>
      </c>
      <c r="B2590" s="39" t="s">
        <v>3206</v>
      </c>
      <c r="C2590" s="41" t="n">
        <v>4.31</v>
      </c>
    </row>
    <row r="2591" customFormat="false" ht="15" hidden="false" customHeight="false" outlineLevel="0" collapsed="false">
      <c r="A2591" s="39" t="s">
        <v>811</v>
      </c>
      <c r="B2591" s="39" t="s">
        <v>3206</v>
      </c>
      <c r="C2591" s="41" t="n">
        <v>0.55</v>
      </c>
    </row>
    <row r="2592" customFormat="false" ht="15" hidden="false" customHeight="false" outlineLevel="0" collapsed="false">
      <c r="A2592" s="39" t="s">
        <v>479</v>
      </c>
      <c r="B2592" s="39" t="s">
        <v>3206</v>
      </c>
      <c r="C2592" s="41" t="n">
        <v>2.92</v>
      </c>
    </row>
    <row r="2593" customFormat="false" ht="15" hidden="false" customHeight="false" outlineLevel="0" collapsed="false">
      <c r="A2593" s="39" t="s">
        <v>1886</v>
      </c>
      <c r="B2593" s="39" t="s">
        <v>3204</v>
      </c>
      <c r="C2593" s="41" t="n">
        <v>1.33</v>
      </c>
    </row>
    <row r="2594" customFormat="false" ht="15" hidden="false" customHeight="false" outlineLevel="0" collapsed="false">
      <c r="A2594" s="39" t="s">
        <v>1465</v>
      </c>
      <c r="B2594" s="39" t="s">
        <v>3205</v>
      </c>
      <c r="C2594" s="41" t="n">
        <v>27.29</v>
      </c>
    </row>
    <row r="2595" customFormat="false" ht="15" hidden="false" customHeight="false" outlineLevel="0" collapsed="false">
      <c r="A2595" s="39" t="s">
        <v>1900</v>
      </c>
      <c r="B2595" s="39" t="s">
        <v>3205</v>
      </c>
      <c r="C2595" s="41" t="n">
        <v>18.15</v>
      </c>
    </row>
    <row r="2596" customFormat="false" ht="15" hidden="false" customHeight="false" outlineLevel="0" collapsed="false">
      <c r="A2596" s="39" t="s">
        <v>2267</v>
      </c>
      <c r="B2596" s="39" t="s">
        <v>3204</v>
      </c>
      <c r="C2596" s="41" t="n">
        <v>51.08</v>
      </c>
    </row>
    <row r="2597" customFormat="false" ht="15" hidden="false" customHeight="false" outlineLevel="0" collapsed="false">
      <c r="A2597" s="39" t="s">
        <v>978</v>
      </c>
      <c r="B2597" s="39" t="s">
        <v>3204</v>
      </c>
      <c r="C2597" s="41" t="n">
        <v>2.79</v>
      </c>
    </row>
    <row r="2598" customFormat="false" ht="15" hidden="false" customHeight="false" outlineLevel="0" collapsed="false">
      <c r="A2598" s="39" t="s">
        <v>1891</v>
      </c>
      <c r="B2598" s="39" t="s">
        <v>3206</v>
      </c>
      <c r="C2598" s="41" t="n">
        <v>5.93</v>
      </c>
    </row>
    <row r="2599" customFormat="false" ht="15" hidden="false" customHeight="false" outlineLevel="0" collapsed="false">
      <c r="A2599" s="39" t="s">
        <v>1515</v>
      </c>
      <c r="B2599" s="39" t="s">
        <v>3205</v>
      </c>
      <c r="C2599" s="41" t="n">
        <v>1.39</v>
      </c>
    </row>
    <row r="2600" customFormat="false" ht="15" hidden="false" customHeight="false" outlineLevel="0" collapsed="false">
      <c r="A2600" s="39" t="s">
        <v>910</v>
      </c>
      <c r="B2600" s="39" t="s">
        <v>3205</v>
      </c>
      <c r="C2600" s="41" t="n">
        <v>6.91</v>
      </c>
    </row>
    <row r="2601" customFormat="false" ht="15" hidden="false" customHeight="false" outlineLevel="0" collapsed="false">
      <c r="A2601" s="39" t="s">
        <v>1884</v>
      </c>
      <c r="B2601" s="39" t="s">
        <v>3205</v>
      </c>
      <c r="C2601" s="41" t="n">
        <v>8.8</v>
      </c>
    </row>
    <row r="2602" customFormat="false" ht="15" hidden="false" customHeight="false" outlineLevel="0" collapsed="false">
      <c r="A2602" s="39" t="s">
        <v>1706</v>
      </c>
      <c r="B2602" s="39" t="s">
        <v>3205</v>
      </c>
      <c r="C2602" s="41" t="n">
        <v>6.67</v>
      </c>
    </row>
    <row r="2603" customFormat="false" ht="15" hidden="false" customHeight="false" outlineLevel="0" collapsed="false">
      <c r="A2603" s="39" t="s">
        <v>1418</v>
      </c>
      <c r="B2603" s="39" t="s">
        <v>3203</v>
      </c>
      <c r="C2603" s="41" t="n">
        <v>1.22</v>
      </c>
    </row>
    <row r="2604" customFormat="false" ht="15" hidden="false" customHeight="false" outlineLevel="0" collapsed="false">
      <c r="A2604" s="39" t="s">
        <v>1765</v>
      </c>
      <c r="B2604" s="39" t="s">
        <v>3206</v>
      </c>
      <c r="C2604" s="41" t="n">
        <v>1.79</v>
      </c>
    </row>
    <row r="2605" customFormat="false" ht="15" hidden="false" customHeight="false" outlineLevel="0" collapsed="false">
      <c r="A2605" s="39" t="s">
        <v>2900</v>
      </c>
      <c r="B2605" s="39" t="s">
        <v>3204</v>
      </c>
      <c r="C2605" s="41" t="n">
        <v>10.21</v>
      </c>
    </row>
    <row r="2606" customFormat="false" ht="15" hidden="false" customHeight="false" outlineLevel="0" collapsed="false">
      <c r="A2606" s="39" t="s">
        <v>782</v>
      </c>
      <c r="B2606" s="39" t="s">
        <v>3205</v>
      </c>
      <c r="C2606" s="41" t="n">
        <v>4.24</v>
      </c>
    </row>
    <row r="2607" customFormat="false" ht="15" hidden="false" customHeight="false" outlineLevel="0" collapsed="false">
      <c r="A2607" s="39" t="s">
        <v>2853</v>
      </c>
      <c r="B2607" s="39" t="s">
        <v>3206</v>
      </c>
      <c r="C2607" s="41" t="n">
        <v>9.59</v>
      </c>
    </row>
    <row r="2608" customFormat="false" ht="15" hidden="false" customHeight="false" outlineLevel="0" collapsed="false">
      <c r="A2608" s="39" t="s">
        <v>879</v>
      </c>
      <c r="B2608" s="39" t="s">
        <v>3203</v>
      </c>
      <c r="C2608" s="41" t="n">
        <v>26.21</v>
      </c>
    </row>
    <row r="2609" customFormat="false" ht="15" hidden="false" customHeight="false" outlineLevel="0" collapsed="false">
      <c r="A2609" s="39" t="s">
        <v>969</v>
      </c>
      <c r="B2609" s="39" t="s">
        <v>3206</v>
      </c>
      <c r="C2609" s="41" t="n">
        <v>3.47</v>
      </c>
    </row>
    <row r="2610" customFormat="false" ht="15" hidden="false" customHeight="false" outlineLevel="0" collapsed="false">
      <c r="A2610" s="39" t="s">
        <v>1374</v>
      </c>
      <c r="B2610" s="39" t="s">
        <v>3205</v>
      </c>
      <c r="C2610" s="41" t="n">
        <v>1.89</v>
      </c>
    </row>
    <row r="2611" customFormat="false" ht="15" hidden="false" customHeight="false" outlineLevel="0" collapsed="false">
      <c r="A2611" s="39" t="s">
        <v>564</v>
      </c>
      <c r="B2611" s="39" t="s">
        <v>3204</v>
      </c>
      <c r="C2611" s="41" t="n">
        <v>0.53</v>
      </c>
    </row>
    <row r="2612" customFormat="false" ht="15" hidden="false" customHeight="false" outlineLevel="0" collapsed="false">
      <c r="A2612" s="39" t="s">
        <v>725</v>
      </c>
      <c r="B2612" s="39" t="s">
        <v>3203</v>
      </c>
      <c r="C2612" s="41" t="n">
        <v>0.72</v>
      </c>
    </row>
    <row r="2613" customFormat="false" ht="15" hidden="false" customHeight="false" outlineLevel="0" collapsed="false">
      <c r="A2613" s="39" t="s">
        <v>481</v>
      </c>
      <c r="B2613" s="39" t="s">
        <v>3205</v>
      </c>
      <c r="C2613" s="41" t="n">
        <v>2.21</v>
      </c>
    </row>
    <row r="2614" customFormat="false" ht="15" hidden="false" customHeight="false" outlineLevel="0" collapsed="false">
      <c r="A2614" s="39" t="s">
        <v>1712</v>
      </c>
      <c r="B2614" s="39" t="s">
        <v>3204</v>
      </c>
      <c r="C2614" s="41" t="n">
        <v>1.45</v>
      </c>
    </row>
    <row r="2615" customFormat="false" ht="15" hidden="false" customHeight="false" outlineLevel="0" collapsed="false">
      <c r="A2615" s="39" t="s">
        <v>2063</v>
      </c>
      <c r="B2615" s="39" t="s">
        <v>3204</v>
      </c>
      <c r="C2615" s="41" t="n">
        <v>15.12</v>
      </c>
    </row>
    <row r="2616" customFormat="false" ht="15" hidden="false" customHeight="false" outlineLevel="0" collapsed="false">
      <c r="A2616" s="39" t="s">
        <v>2107</v>
      </c>
      <c r="B2616" s="39" t="s">
        <v>3203</v>
      </c>
      <c r="C2616" s="41" t="n">
        <v>7.98</v>
      </c>
    </row>
    <row r="2617" customFormat="false" ht="15" hidden="false" customHeight="false" outlineLevel="0" collapsed="false">
      <c r="A2617" s="39" t="s">
        <v>1637</v>
      </c>
      <c r="B2617" s="39" t="s">
        <v>3204</v>
      </c>
      <c r="C2617" s="41" t="n">
        <v>0.67</v>
      </c>
    </row>
    <row r="2618" customFormat="false" ht="15" hidden="false" customHeight="false" outlineLevel="0" collapsed="false">
      <c r="A2618" s="39" t="s">
        <v>2951</v>
      </c>
      <c r="B2618" s="39" t="s">
        <v>3205</v>
      </c>
      <c r="C2618" s="41" t="n">
        <v>2.7</v>
      </c>
    </row>
    <row r="2619" customFormat="false" ht="15" hidden="false" customHeight="false" outlineLevel="0" collapsed="false">
      <c r="A2619" s="39" t="s">
        <v>694</v>
      </c>
      <c r="B2619" s="39" t="s">
        <v>3203</v>
      </c>
      <c r="C2619" s="41" t="n">
        <v>3.12</v>
      </c>
    </row>
    <row r="2620" customFormat="false" ht="15" hidden="false" customHeight="false" outlineLevel="0" collapsed="false">
      <c r="A2620" s="39" t="s">
        <v>2371</v>
      </c>
      <c r="B2620" s="39" t="s">
        <v>3203</v>
      </c>
      <c r="C2620" s="41" t="n">
        <v>14.2</v>
      </c>
    </row>
    <row r="2621" customFormat="false" ht="15" hidden="false" customHeight="false" outlineLevel="0" collapsed="false">
      <c r="A2621" s="39" t="s">
        <v>2683</v>
      </c>
      <c r="B2621" s="39" t="s">
        <v>3205</v>
      </c>
      <c r="C2621" s="41" t="n">
        <v>1.53</v>
      </c>
    </row>
    <row r="2622" customFormat="false" ht="15" hidden="false" customHeight="false" outlineLevel="0" collapsed="false">
      <c r="A2622" s="39" t="s">
        <v>2228</v>
      </c>
      <c r="B2622" s="39" t="s">
        <v>3203</v>
      </c>
      <c r="C2622" s="41" t="n">
        <v>0.68</v>
      </c>
    </row>
    <row r="2623" customFormat="false" ht="15" hidden="false" customHeight="false" outlineLevel="0" collapsed="false">
      <c r="A2623" s="39" t="s">
        <v>2106</v>
      </c>
      <c r="B2623" s="39" t="s">
        <v>3203</v>
      </c>
      <c r="C2623" s="41" t="n">
        <v>13.9</v>
      </c>
    </row>
    <row r="2624" customFormat="false" ht="15" hidden="false" customHeight="false" outlineLevel="0" collapsed="false">
      <c r="A2624" s="39" t="s">
        <v>2057</v>
      </c>
      <c r="B2624" s="39" t="s">
        <v>3203</v>
      </c>
      <c r="C2624" s="41" t="n">
        <v>0.48</v>
      </c>
    </row>
    <row r="2625" customFormat="false" ht="15" hidden="false" customHeight="false" outlineLevel="0" collapsed="false">
      <c r="A2625" s="39" t="s">
        <v>2854</v>
      </c>
      <c r="B2625" s="39" t="s">
        <v>3206</v>
      </c>
      <c r="C2625" s="41" t="n">
        <v>6.57</v>
      </c>
    </row>
    <row r="2626" customFormat="false" ht="15" hidden="false" customHeight="false" outlineLevel="0" collapsed="false">
      <c r="A2626" s="39" t="s">
        <v>522</v>
      </c>
      <c r="B2626" s="39" t="s">
        <v>3204</v>
      </c>
      <c r="C2626" s="41" t="n">
        <v>2.34</v>
      </c>
    </row>
    <row r="2627" customFormat="false" ht="15" hidden="false" customHeight="false" outlineLevel="0" collapsed="false">
      <c r="A2627" s="39" t="s">
        <v>2395</v>
      </c>
      <c r="B2627" s="39" t="s">
        <v>3203</v>
      </c>
      <c r="C2627" s="41" t="n">
        <v>1.17</v>
      </c>
    </row>
    <row r="2628" customFormat="false" ht="15" hidden="false" customHeight="false" outlineLevel="0" collapsed="false">
      <c r="A2628" s="39" t="s">
        <v>2255</v>
      </c>
      <c r="B2628" s="39" t="s">
        <v>3204</v>
      </c>
      <c r="C2628" s="41" t="n">
        <v>7.16</v>
      </c>
    </row>
    <row r="2629" customFormat="false" ht="15" hidden="false" customHeight="false" outlineLevel="0" collapsed="false">
      <c r="A2629" s="39" t="s">
        <v>2806</v>
      </c>
      <c r="B2629" s="39" t="s">
        <v>3204</v>
      </c>
      <c r="C2629" s="41" t="n">
        <v>10.41</v>
      </c>
    </row>
    <row r="2630" customFormat="false" ht="15" hidden="false" customHeight="false" outlineLevel="0" collapsed="false">
      <c r="A2630" s="39" t="s">
        <v>1917</v>
      </c>
      <c r="B2630" s="39" t="s">
        <v>3205</v>
      </c>
      <c r="C2630" s="41" t="n">
        <v>1.63</v>
      </c>
    </row>
    <row r="2631" customFormat="false" ht="15" hidden="false" customHeight="false" outlineLevel="0" collapsed="false">
      <c r="A2631" s="39" t="s">
        <v>358</v>
      </c>
      <c r="B2631" s="39" t="s">
        <v>3203</v>
      </c>
      <c r="C2631" s="41" t="n">
        <v>0.61</v>
      </c>
    </row>
    <row r="2632" customFormat="false" ht="15" hidden="false" customHeight="false" outlineLevel="0" collapsed="false">
      <c r="A2632" s="39" t="s">
        <v>370</v>
      </c>
      <c r="B2632" s="39" t="s">
        <v>3204</v>
      </c>
      <c r="C2632" s="41" t="n">
        <v>2.15</v>
      </c>
    </row>
    <row r="2633" customFormat="false" ht="15" hidden="false" customHeight="false" outlineLevel="0" collapsed="false">
      <c r="A2633" s="39" t="s">
        <v>876</v>
      </c>
      <c r="B2633" s="39" t="s">
        <v>3206</v>
      </c>
      <c r="C2633" s="41" t="n">
        <v>1.57</v>
      </c>
    </row>
    <row r="2634" customFormat="false" ht="15" hidden="false" customHeight="false" outlineLevel="0" collapsed="false">
      <c r="A2634" s="39" t="s">
        <v>1135</v>
      </c>
      <c r="B2634" s="39" t="s">
        <v>3203</v>
      </c>
      <c r="C2634" s="41" t="n">
        <v>26.96</v>
      </c>
    </row>
    <row r="2635" customFormat="false" ht="15" hidden="false" customHeight="false" outlineLevel="0" collapsed="false">
      <c r="A2635" s="39" t="s">
        <v>940</v>
      </c>
      <c r="B2635" s="39" t="s">
        <v>3204</v>
      </c>
      <c r="C2635" s="41" t="n">
        <v>10.25</v>
      </c>
    </row>
    <row r="2636" customFormat="false" ht="15" hidden="false" customHeight="false" outlineLevel="0" collapsed="false">
      <c r="A2636" s="39" t="s">
        <v>2274</v>
      </c>
      <c r="B2636" s="39" t="s">
        <v>3206</v>
      </c>
      <c r="C2636" s="41" t="n">
        <v>0.97</v>
      </c>
    </row>
    <row r="2637" customFormat="false" ht="15" hidden="false" customHeight="false" outlineLevel="0" collapsed="false">
      <c r="A2637" s="39" t="s">
        <v>2326</v>
      </c>
      <c r="B2637" s="39" t="s">
        <v>3204</v>
      </c>
      <c r="C2637" s="41" t="n">
        <v>7.55</v>
      </c>
    </row>
    <row r="2638" customFormat="false" ht="15" hidden="false" customHeight="false" outlineLevel="0" collapsed="false">
      <c r="A2638" s="39" t="s">
        <v>2724</v>
      </c>
      <c r="B2638" s="39" t="s">
        <v>3206</v>
      </c>
      <c r="C2638" s="41" t="n">
        <v>1.86</v>
      </c>
    </row>
    <row r="2639" customFormat="false" ht="15" hidden="false" customHeight="false" outlineLevel="0" collapsed="false">
      <c r="A2639" s="39" t="s">
        <v>610</v>
      </c>
      <c r="B2639" s="39" t="s">
        <v>3205</v>
      </c>
      <c r="C2639" s="41" t="n">
        <v>9.87</v>
      </c>
    </row>
    <row r="2640" customFormat="false" ht="15" hidden="false" customHeight="false" outlineLevel="0" collapsed="false">
      <c r="A2640" s="39" t="s">
        <v>1438</v>
      </c>
      <c r="B2640" s="39" t="s">
        <v>3205</v>
      </c>
      <c r="C2640" s="41" t="n">
        <v>11.05</v>
      </c>
    </row>
    <row r="2641" customFormat="false" ht="15" hidden="false" customHeight="false" outlineLevel="0" collapsed="false">
      <c r="A2641" s="39" t="s">
        <v>3067</v>
      </c>
      <c r="B2641" s="39" t="s">
        <v>3206</v>
      </c>
      <c r="C2641" s="41" t="n">
        <v>18.03</v>
      </c>
    </row>
    <row r="2642" customFormat="false" ht="15" hidden="false" customHeight="false" outlineLevel="0" collapsed="false">
      <c r="A2642" s="39" t="s">
        <v>1009</v>
      </c>
      <c r="B2642" s="39" t="s">
        <v>3204</v>
      </c>
      <c r="C2642" s="41" t="n">
        <v>13.86</v>
      </c>
    </row>
    <row r="2643" customFormat="false" ht="15" hidden="false" customHeight="false" outlineLevel="0" collapsed="false">
      <c r="A2643" s="39" t="s">
        <v>1052</v>
      </c>
      <c r="B2643" s="39" t="s">
        <v>3204</v>
      </c>
      <c r="C2643" s="41" t="n">
        <v>2.13</v>
      </c>
    </row>
    <row r="2644" customFormat="false" ht="15" hidden="false" customHeight="false" outlineLevel="0" collapsed="false">
      <c r="A2644" s="39" t="s">
        <v>491</v>
      </c>
      <c r="B2644" s="39" t="s">
        <v>3203</v>
      </c>
      <c r="C2644" s="41" t="n">
        <v>2.68</v>
      </c>
    </row>
    <row r="2645" customFormat="false" ht="15" hidden="false" customHeight="false" outlineLevel="0" collapsed="false">
      <c r="A2645" s="39" t="s">
        <v>2489</v>
      </c>
      <c r="B2645" s="39" t="s">
        <v>3203</v>
      </c>
      <c r="C2645" s="41" t="n">
        <v>5.46</v>
      </c>
    </row>
    <row r="2646" customFormat="false" ht="15" hidden="false" customHeight="false" outlineLevel="0" collapsed="false">
      <c r="A2646" s="39" t="s">
        <v>2501</v>
      </c>
      <c r="B2646" s="39" t="s">
        <v>3205</v>
      </c>
      <c r="C2646" s="41" t="n">
        <v>1.79</v>
      </c>
    </row>
    <row r="2647" customFormat="false" ht="15" hidden="false" customHeight="false" outlineLevel="0" collapsed="false">
      <c r="A2647" s="39" t="s">
        <v>2920</v>
      </c>
      <c r="B2647" s="39" t="s">
        <v>3204</v>
      </c>
      <c r="C2647" s="41" t="n">
        <v>5.27</v>
      </c>
    </row>
    <row r="2648" customFormat="false" ht="15" hidden="false" customHeight="false" outlineLevel="0" collapsed="false">
      <c r="A2648" s="39" t="s">
        <v>658</v>
      </c>
      <c r="B2648" s="39" t="s">
        <v>3206</v>
      </c>
      <c r="C2648" s="41" t="n">
        <v>70.63</v>
      </c>
    </row>
    <row r="2649" customFormat="false" ht="15" hidden="false" customHeight="false" outlineLevel="0" collapsed="false">
      <c r="A2649" s="39" t="s">
        <v>1208</v>
      </c>
      <c r="B2649" s="39" t="s">
        <v>3204</v>
      </c>
      <c r="C2649" s="41" t="n">
        <v>8.94</v>
      </c>
    </row>
    <row r="2650" customFormat="false" ht="15" hidden="false" customHeight="false" outlineLevel="0" collapsed="false">
      <c r="A2650" s="39" t="s">
        <v>623</v>
      </c>
      <c r="B2650" s="39" t="s">
        <v>3206</v>
      </c>
      <c r="C2650" s="41" t="n">
        <v>19.12</v>
      </c>
    </row>
    <row r="2651" customFormat="false" ht="15" hidden="false" customHeight="false" outlineLevel="0" collapsed="false">
      <c r="A2651" s="39" t="s">
        <v>715</v>
      </c>
      <c r="B2651" s="39" t="s">
        <v>3206</v>
      </c>
      <c r="C2651" s="41" t="n">
        <v>6.33</v>
      </c>
    </row>
    <row r="2652" customFormat="false" ht="15" hidden="false" customHeight="false" outlineLevel="0" collapsed="false">
      <c r="A2652" s="39" t="s">
        <v>2397</v>
      </c>
      <c r="B2652" s="39" t="s">
        <v>3206</v>
      </c>
      <c r="C2652" s="41" t="n">
        <v>1.33</v>
      </c>
    </row>
    <row r="2653" customFormat="false" ht="15" hidden="false" customHeight="false" outlineLevel="0" collapsed="false">
      <c r="A2653" s="39" t="s">
        <v>1395</v>
      </c>
      <c r="B2653" s="39" t="s">
        <v>3206</v>
      </c>
      <c r="C2653" s="41" t="n">
        <v>1.83</v>
      </c>
    </row>
    <row r="2654" customFormat="false" ht="15" hidden="false" customHeight="false" outlineLevel="0" collapsed="false">
      <c r="A2654" s="39" t="s">
        <v>717</v>
      </c>
      <c r="B2654" s="39" t="s">
        <v>3203</v>
      </c>
      <c r="C2654" s="41" t="n">
        <v>0.73</v>
      </c>
    </row>
    <row r="2655" customFormat="false" ht="15" hidden="false" customHeight="false" outlineLevel="0" collapsed="false">
      <c r="A2655" s="39" t="s">
        <v>1924</v>
      </c>
      <c r="B2655" s="39" t="s">
        <v>3204</v>
      </c>
      <c r="C2655" s="41" t="n">
        <v>4.78</v>
      </c>
    </row>
    <row r="2656" customFormat="false" ht="15" hidden="false" customHeight="false" outlineLevel="0" collapsed="false">
      <c r="A2656" s="39" t="s">
        <v>1885</v>
      </c>
      <c r="B2656" s="39" t="s">
        <v>3205</v>
      </c>
      <c r="C2656" s="41" t="n">
        <v>1.07</v>
      </c>
    </row>
    <row r="2657" customFormat="false" ht="15" hidden="false" customHeight="false" outlineLevel="0" collapsed="false">
      <c r="A2657" s="39" t="s">
        <v>2133</v>
      </c>
      <c r="B2657" s="39" t="s">
        <v>3205</v>
      </c>
      <c r="C2657" s="41" t="n">
        <v>2.8</v>
      </c>
    </row>
    <row r="2658" customFormat="false" ht="15" hidden="false" customHeight="false" outlineLevel="0" collapsed="false">
      <c r="A2658" s="39" t="s">
        <v>1603</v>
      </c>
      <c r="B2658" s="39" t="s">
        <v>3206</v>
      </c>
      <c r="C2658" s="41" t="n">
        <v>28.89</v>
      </c>
    </row>
    <row r="2659" customFormat="false" ht="15" hidden="false" customHeight="false" outlineLevel="0" collapsed="false">
      <c r="A2659" s="39" t="s">
        <v>2866</v>
      </c>
      <c r="B2659" s="39" t="s">
        <v>3205</v>
      </c>
      <c r="C2659" s="41" t="n">
        <v>0.34</v>
      </c>
    </row>
    <row r="2660" customFormat="false" ht="15" hidden="false" customHeight="false" outlineLevel="0" collapsed="false">
      <c r="A2660" s="39" t="s">
        <v>2400</v>
      </c>
      <c r="B2660" s="39" t="s">
        <v>3206</v>
      </c>
      <c r="C2660" s="41" t="n">
        <v>12.27</v>
      </c>
    </row>
    <row r="2661" customFormat="false" ht="15" hidden="false" customHeight="false" outlineLevel="0" collapsed="false">
      <c r="A2661" s="39" t="s">
        <v>3111</v>
      </c>
      <c r="B2661" s="39" t="s">
        <v>3203</v>
      </c>
      <c r="C2661" s="41" t="n">
        <v>1.42</v>
      </c>
    </row>
    <row r="2662" customFormat="false" ht="15" hidden="false" customHeight="false" outlineLevel="0" collapsed="false">
      <c r="A2662" s="39" t="s">
        <v>524</v>
      </c>
      <c r="B2662" s="39" t="s">
        <v>3205</v>
      </c>
      <c r="C2662" s="41" t="n">
        <v>43.56</v>
      </c>
    </row>
    <row r="2663" customFormat="false" ht="15" hidden="false" customHeight="false" outlineLevel="0" collapsed="false">
      <c r="A2663" s="39" t="s">
        <v>2961</v>
      </c>
      <c r="B2663" s="39" t="s">
        <v>3203</v>
      </c>
      <c r="C2663" s="41" t="n">
        <v>3.17</v>
      </c>
    </row>
    <row r="2664" customFormat="false" ht="15" hidden="false" customHeight="false" outlineLevel="0" collapsed="false">
      <c r="A2664" s="39" t="s">
        <v>2399</v>
      </c>
      <c r="B2664" s="39" t="s">
        <v>3205</v>
      </c>
      <c r="C2664" s="41" t="n">
        <v>8.86</v>
      </c>
    </row>
    <row r="2665" customFormat="false" ht="15" hidden="false" customHeight="false" outlineLevel="0" collapsed="false">
      <c r="A2665" s="39" t="s">
        <v>2647</v>
      </c>
      <c r="B2665" s="39" t="s">
        <v>3204</v>
      </c>
      <c r="C2665" s="41" t="n">
        <v>0.7</v>
      </c>
    </row>
    <row r="2666" customFormat="false" ht="15" hidden="false" customHeight="false" outlineLevel="0" collapsed="false">
      <c r="A2666" s="39" t="s">
        <v>236</v>
      </c>
      <c r="B2666" s="39" t="s">
        <v>3203</v>
      </c>
      <c r="C2666" s="41" t="n">
        <v>10.32</v>
      </c>
    </row>
    <row r="2667" customFormat="false" ht="15" hidden="false" customHeight="false" outlineLevel="0" collapsed="false">
      <c r="A2667" s="39" t="s">
        <v>1246</v>
      </c>
      <c r="B2667" s="39" t="s">
        <v>3206</v>
      </c>
      <c r="C2667" s="41" t="n">
        <v>10.08</v>
      </c>
    </row>
    <row r="2668" customFormat="false" ht="15" hidden="false" customHeight="false" outlineLevel="0" collapsed="false">
      <c r="A2668" s="39" t="s">
        <v>2786</v>
      </c>
      <c r="B2668" s="39" t="s">
        <v>3205</v>
      </c>
      <c r="C2668" s="41" t="n">
        <v>9.69</v>
      </c>
    </row>
    <row r="2669" customFormat="false" ht="15" hidden="false" customHeight="false" outlineLevel="0" collapsed="false">
      <c r="A2669" s="39" t="s">
        <v>1663</v>
      </c>
      <c r="B2669" s="39" t="s">
        <v>3206</v>
      </c>
      <c r="C2669" s="41" t="n">
        <v>7.55</v>
      </c>
    </row>
    <row r="2670" customFormat="false" ht="15" hidden="false" customHeight="false" outlineLevel="0" collapsed="false">
      <c r="A2670" s="39" t="s">
        <v>396</v>
      </c>
      <c r="B2670" s="39" t="s">
        <v>3204</v>
      </c>
      <c r="C2670" s="41" t="n">
        <v>7.86</v>
      </c>
    </row>
    <row r="2671" customFormat="false" ht="15" hidden="false" customHeight="false" outlineLevel="0" collapsed="false">
      <c r="A2671" s="39" t="s">
        <v>2836</v>
      </c>
      <c r="B2671" s="39" t="s">
        <v>3206</v>
      </c>
      <c r="C2671" s="41" t="n">
        <v>0.38</v>
      </c>
    </row>
    <row r="2672" customFormat="false" ht="15" hidden="false" customHeight="false" outlineLevel="0" collapsed="false">
      <c r="A2672" s="39" t="s">
        <v>2077</v>
      </c>
      <c r="B2672" s="39" t="s">
        <v>3203</v>
      </c>
      <c r="C2672" s="41" t="n">
        <v>2.51</v>
      </c>
    </row>
    <row r="2673" customFormat="false" ht="15" hidden="false" customHeight="false" outlineLevel="0" collapsed="false">
      <c r="A2673" s="39" t="s">
        <v>2380</v>
      </c>
      <c r="B2673" s="39" t="s">
        <v>3206</v>
      </c>
      <c r="C2673" s="41" t="n">
        <v>2.8</v>
      </c>
    </row>
    <row r="2674" customFormat="false" ht="15" hidden="false" customHeight="false" outlineLevel="0" collapsed="false">
      <c r="A2674" s="39" t="s">
        <v>2008</v>
      </c>
      <c r="B2674" s="39" t="s">
        <v>3205</v>
      </c>
      <c r="C2674" s="41" t="n">
        <v>4.01</v>
      </c>
    </row>
    <row r="2675" customFormat="false" ht="15" hidden="false" customHeight="false" outlineLevel="0" collapsed="false">
      <c r="A2675" s="39" t="s">
        <v>2085</v>
      </c>
      <c r="B2675" s="39" t="s">
        <v>3206</v>
      </c>
      <c r="C2675" s="41" t="n">
        <v>7.26</v>
      </c>
    </row>
    <row r="2676" customFormat="false" ht="15" hidden="false" customHeight="false" outlineLevel="0" collapsed="false">
      <c r="A2676" s="39" t="s">
        <v>285</v>
      </c>
      <c r="B2676" s="39" t="s">
        <v>3203</v>
      </c>
      <c r="C2676" s="41" t="n">
        <v>6.75</v>
      </c>
    </row>
    <row r="2677" customFormat="false" ht="15" hidden="false" customHeight="false" outlineLevel="0" collapsed="false">
      <c r="A2677" s="39" t="s">
        <v>997</v>
      </c>
      <c r="B2677" s="39" t="s">
        <v>3203</v>
      </c>
      <c r="C2677" s="41" t="n">
        <v>1.83</v>
      </c>
    </row>
    <row r="2678" customFormat="false" ht="15" hidden="false" customHeight="false" outlineLevel="0" collapsed="false">
      <c r="A2678" s="39" t="s">
        <v>1341</v>
      </c>
      <c r="B2678" s="39" t="s">
        <v>3206</v>
      </c>
      <c r="C2678" s="41" t="n">
        <v>0.59</v>
      </c>
    </row>
    <row r="2679" customFormat="false" ht="15" hidden="false" customHeight="false" outlineLevel="0" collapsed="false">
      <c r="A2679" s="39" t="s">
        <v>3085</v>
      </c>
      <c r="B2679" s="39" t="s">
        <v>3205</v>
      </c>
      <c r="C2679" s="41" t="n">
        <v>4.87</v>
      </c>
    </row>
    <row r="2680" customFormat="false" ht="15" hidden="false" customHeight="false" outlineLevel="0" collapsed="false">
      <c r="A2680" s="39" t="s">
        <v>1310</v>
      </c>
      <c r="B2680" s="39" t="s">
        <v>3203</v>
      </c>
      <c r="C2680" s="41" t="n">
        <v>16.04</v>
      </c>
    </row>
    <row r="2681" customFormat="false" ht="15" hidden="false" customHeight="false" outlineLevel="0" collapsed="false">
      <c r="A2681" s="39" t="s">
        <v>926</v>
      </c>
      <c r="B2681" s="39" t="s">
        <v>3205</v>
      </c>
      <c r="C2681" s="41" t="n">
        <v>0.99</v>
      </c>
    </row>
    <row r="2682" customFormat="false" ht="15" hidden="false" customHeight="false" outlineLevel="0" collapsed="false">
      <c r="A2682" s="39" t="s">
        <v>237</v>
      </c>
      <c r="B2682" s="39" t="s">
        <v>3204</v>
      </c>
      <c r="C2682" s="41" t="n">
        <v>3.38</v>
      </c>
    </row>
    <row r="2683" customFormat="false" ht="15" hidden="false" customHeight="false" outlineLevel="0" collapsed="false">
      <c r="A2683" s="39" t="s">
        <v>932</v>
      </c>
      <c r="B2683" s="39" t="s">
        <v>3206</v>
      </c>
      <c r="C2683" s="41" t="n">
        <v>1.63</v>
      </c>
    </row>
    <row r="2684" customFormat="false" ht="15" hidden="false" customHeight="false" outlineLevel="0" collapsed="false">
      <c r="A2684" s="39" t="s">
        <v>626</v>
      </c>
      <c r="B2684" s="39" t="s">
        <v>3206</v>
      </c>
      <c r="C2684" s="41" t="n">
        <v>29.33</v>
      </c>
    </row>
    <row r="2685" customFormat="false" ht="15" hidden="false" customHeight="false" outlineLevel="0" collapsed="false">
      <c r="A2685" s="39" t="s">
        <v>2332</v>
      </c>
      <c r="B2685" s="39" t="s">
        <v>3203</v>
      </c>
      <c r="C2685" s="41" t="n">
        <v>6.27</v>
      </c>
    </row>
    <row r="2686" customFormat="false" ht="15" hidden="false" customHeight="false" outlineLevel="0" collapsed="false">
      <c r="A2686" s="39" t="s">
        <v>2456</v>
      </c>
      <c r="B2686" s="39" t="s">
        <v>3203</v>
      </c>
      <c r="C2686" s="41" t="n">
        <v>10.54</v>
      </c>
    </row>
    <row r="2687" customFormat="false" ht="15" hidden="false" customHeight="false" outlineLevel="0" collapsed="false">
      <c r="A2687" s="39" t="s">
        <v>541</v>
      </c>
      <c r="B2687" s="39" t="s">
        <v>3204</v>
      </c>
      <c r="C2687" s="41" t="n">
        <v>16.3</v>
      </c>
    </row>
    <row r="2688" customFormat="false" ht="15" hidden="false" customHeight="false" outlineLevel="0" collapsed="false">
      <c r="A2688" s="39" t="s">
        <v>152</v>
      </c>
      <c r="B2688" s="39" t="s">
        <v>3206</v>
      </c>
      <c r="C2688" s="41" t="n">
        <v>11.08</v>
      </c>
    </row>
    <row r="2689" customFormat="false" ht="15" hidden="false" customHeight="false" outlineLevel="0" collapsed="false">
      <c r="A2689" s="39" t="s">
        <v>1165</v>
      </c>
      <c r="B2689" s="39" t="s">
        <v>3204</v>
      </c>
      <c r="C2689" s="41" t="n">
        <v>10.91</v>
      </c>
    </row>
    <row r="2690" customFormat="false" ht="15" hidden="false" customHeight="false" outlineLevel="0" collapsed="false">
      <c r="A2690" s="39" t="s">
        <v>1010</v>
      </c>
      <c r="B2690" s="39" t="s">
        <v>3205</v>
      </c>
      <c r="C2690" s="41" t="n">
        <v>17.6</v>
      </c>
    </row>
    <row r="2691" customFormat="false" ht="15" hidden="false" customHeight="false" outlineLevel="0" collapsed="false">
      <c r="A2691" s="39" t="s">
        <v>2829</v>
      </c>
      <c r="B2691" s="39" t="s">
        <v>3205</v>
      </c>
      <c r="C2691" s="41" t="n">
        <v>6.73</v>
      </c>
    </row>
    <row r="2692" customFormat="false" ht="15" hidden="false" customHeight="false" outlineLevel="0" collapsed="false">
      <c r="A2692" s="39" t="s">
        <v>2969</v>
      </c>
      <c r="B2692" s="39" t="s">
        <v>3205</v>
      </c>
      <c r="C2692" s="41" t="n">
        <v>6.23</v>
      </c>
    </row>
    <row r="2693" customFormat="false" ht="15" hidden="false" customHeight="false" outlineLevel="0" collapsed="false">
      <c r="A2693" s="39" t="s">
        <v>354</v>
      </c>
      <c r="B2693" s="39" t="s">
        <v>3203</v>
      </c>
      <c r="C2693" s="41" t="n">
        <v>5.59</v>
      </c>
    </row>
    <row r="2694" customFormat="false" ht="15" hidden="false" customHeight="false" outlineLevel="0" collapsed="false">
      <c r="A2694" s="39" t="s">
        <v>1020</v>
      </c>
      <c r="B2694" s="39" t="s">
        <v>3203</v>
      </c>
      <c r="C2694" s="41" t="n">
        <v>20.92</v>
      </c>
    </row>
    <row r="2695" customFormat="false" ht="15" hidden="false" customHeight="false" outlineLevel="0" collapsed="false">
      <c r="A2695" s="39" t="s">
        <v>214</v>
      </c>
      <c r="B2695" s="39" t="s">
        <v>3203</v>
      </c>
      <c r="C2695" s="41" t="n">
        <v>6.01</v>
      </c>
    </row>
    <row r="2696" customFormat="false" ht="15" hidden="false" customHeight="false" outlineLevel="0" collapsed="false">
      <c r="A2696" s="39" t="s">
        <v>1260</v>
      </c>
      <c r="B2696" s="39" t="s">
        <v>3204</v>
      </c>
      <c r="C2696" s="41" t="n">
        <v>5.23</v>
      </c>
    </row>
    <row r="2697" customFormat="false" ht="15" hidden="false" customHeight="false" outlineLevel="0" collapsed="false">
      <c r="A2697" s="39" t="s">
        <v>235</v>
      </c>
      <c r="B2697" s="39" t="s">
        <v>3206</v>
      </c>
      <c r="C2697" s="41" t="n">
        <v>0.85</v>
      </c>
    </row>
    <row r="2698" customFormat="false" ht="15" hidden="false" customHeight="false" outlineLevel="0" collapsed="false">
      <c r="A2698" s="39" t="s">
        <v>1805</v>
      </c>
      <c r="B2698" s="39" t="s">
        <v>3204</v>
      </c>
      <c r="C2698" s="41" t="n">
        <v>8.56</v>
      </c>
    </row>
    <row r="2699" customFormat="false" ht="15" hidden="false" customHeight="false" outlineLevel="0" collapsed="false">
      <c r="A2699" s="39" t="s">
        <v>2792</v>
      </c>
      <c r="B2699" s="39" t="s">
        <v>3203</v>
      </c>
      <c r="C2699" s="41" t="n">
        <v>1.38</v>
      </c>
    </row>
    <row r="2700" customFormat="false" ht="15" hidden="false" customHeight="false" outlineLevel="0" collapsed="false">
      <c r="A2700" s="39" t="s">
        <v>1659</v>
      </c>
      <c r="B2700" s="39" t="s">
        <v>3203</v>
      </c>
      <c r="C2700" s="41" t="n">
        <v>6.56</v>
      </c>
    </row>
    <row r="2701" customFormat="false" ht="15" hidden="false" customHeight="false" outlineLevel="0" collapsed="false">
      <c r="A2701" s="39" t="s">
        <v>2433</v>
      </c>
      <c r="B2701" s="39" t="s">
        <v>3206</v>
      </c>
      <c r="C2701" s="41" t="n">
        <v>8.05</v>
      </c>
    </row>
    <row r="2702" customFormat="false" ht="15" hidden="false" customHeight="false" outlineLevel="0" collapsed="false">
      <c r="A2702" s="39" t="s">
        <v>1740</v>
      </c>
      <c r="B2702" s="39" t="s">
        <v>3206</v>
      </c>
      <c r="C2702" s="41" t="n">
        <v>15.23</v>
      </c>
    </row>
    <row r="2703" customFormat="false" ht="15" hidden="false" customHeight="false" outlineLevel="0" collapsed="false">
      <c r="A2703" s="39" t="s">
        <v>2415</v>
      </c>
      <c r="B2703" s="39" t="s">
        <v>3203</v>
      </c>
      <c r="C2703" s="41" t="n">
        <v>43.9</v>
      </c>
    </row>
    <row r="2704" customFormat="false" ht="15" hidden="false" customHeight="false" outlineLevel="0" collapsed="false">
      <c r="A2704" s="39" t="s">
        <v>1044</v>
      </c>
      <c r="B2704" s="39" t="s">
        <v>3206</v>
      </c>
      <c r="C2704" s="41" t="n">
        <v>69.85</v>
      </c>
    </row>
    <row r="2705" customFormat="false" ht="15" hidden="false" customHeight="false" outlineLevel="0" collapsed="false">
      <c r="A2705" s="39" t="s">
        <v>2919</v>
      </c>
      <c r="B2705" s="39" t="s">
        <v>3206</v>
      </c>
      <c r="C2705" s="41" t="n">
        <v>4.81</v>
      </c>
    </row>
    <row r="2706" customFormat="false" ht="15" hidden="false" customHeight="false" outlineLevel="0" collapsed="false">
      <c r="A2706" s="39" t="s">
        <v>1150</v>
      </c>
      <c r="B2706" s="39" t="s">
        <v>3203</v>
      </c>
      <c r="C2706" s="41" t="n">
        <v>12.13</v>
      </c>
    </row>
    <row r="2707" customFormat="false" ht="15" hidden="false" customHeight="false" outlineLevel="0" collapsed="false">
      <c r="A2707" s="39" t="s">
        <v>1143</v>
      </c>
      <c r="B2707" s="39" t="s">
        <v>3204</v>
      </c>
      <c r="C2707" s="41" t="n">
        <v>8.47</v>
      </c>
    </row>
    <row r="2708" customFormat="false" ht="15" hidden="false" customHeight="false" outlineLevel="0" collapsed="false">
      <c r="A2708" s="39" t="s">
        <v>2375</v>
      </c>
      <c r="B2708" s="39" t="s">
        <v>3206</v>
      </c>
      <c r="C2708" s="41" t="n">
        <v>3.65</v>
      </c>
    </row>
    <row r="2709" customFormat="false" ht="15" hidden="false" customHeight="false" outlineLevel="0" collapsed="false">
      <c r="A2709" s="39" t="s">
        <v>800</v>
      </c>
      <c r="B2709" s="39" t="s">
        <v>3204</v>
      </c>
      <c r="C2709" s="41" t="n">
        <v>1.83</v>
      </c>
    </row>
    <row r="2710" customFormat="false" ht="15" hidden="false" customHeight="false" outlineLevel="0" collapsed="false">
      <c r="A2710" s="39" t="s">
        <v>2451</v>
      </c>
      <c r="B2710" s="39" t="s">
        <v>3205</v>
      </c>
      <c r="C2710" s="41" t="n">
        <v>6.07</v>
      </c>
    </row>
    <row r="2711" customFormat="false" ht="15" hidden="false" customHeight="false" outlineLevel="0" collapsed="false">
      <c r="A2711" s="39" t="s">
        <v>970</v>
      </c>
      <c r="B2711" s="39" t="s">
        <v>3203</v>
      </c>
      <c r="C2711" s="41" t="n">
        <v>0.72</v>
      </c>
    </row>
    <row r="2712" customFormat="false" ht="15" hidden="false" customHeight="false" outlineLevel="0" collapsed="false">
      <c r="A2712" s="39" t="s">
        <v>2069</v>
      </c>
      <c r="B2712" s="39" t="s">
        <v>3205</v>
      </c>
      <c r="C2712" s="41" t="n">
        <v>4.75</v>
      </c>
    </row>
    <row r="2713" customFormat="false" ht="15" hidden="false" customHeight="false" outlineLevel="0" collapsed="false">
      <c r="A2713" s="39" t="s">
        <v>278</v>
      </c>
      <c r="B2713" s="39" t="s">
        <v>3206</v>
      </c>
      <c r="C2713" s="41" t="n">
        <v>5.95</v>
      </c>
    </row>
    <row r="2714" customFormat="false" ht="15" hidden="false" customHeight="false" outlineLevel="0" collapsed="false">
      <c r="A2714" s="39" t="s">
        <v>1657</v>
      </c>
      <c r="B2714" s="39" t="s">
        <v>3204</v>
      </c>
      <c r="C2714" s="41" t="n">
        <v>7.74</v>
      </c>
    </row>
    <row r="2715" customFormat="false" ht="15" hidden="false" customHeight="false" outlineLevel="0" collapsed="false">
      <c r="A2715" s="39" t="s">
        <v>2841</v>
      </c>
      <c r="B2715" s="39" t="s">
        <v>3203</v>
      </c>
      <c r="C2715" s="41" t="n">
        <v>20.93</v>
      </c>
    </row>
    <row r="2716" customFormat="false" ht="15" hidden="false" customHeight="false" outlineLevel="0" collapsed="false">
      <c r="A2716" s="39" t="s">
        <v>1060</v>
      </c>
      <c r="B2716" s="39" t="s">
        <v>3204</v>
      </c>
      <c r="C2716" s="41" t="n">
        <v>2.45</v>
      </c>
    </row>
    <row r="2717" customFormat="false" ht="15" hidden="false" customHeight="false" outlineLevel="0" collapsed="false">
      <c r="A2717" s="39" t="s">
        <v>202</v>
      </c>
      <c r="B2717" s="39" t="s">
        <v>3203</v>
      </c>
      <c r="C2717" s="41" t="n">
        <v>0.39</v>
      </c>
    </row>
    <row r="2718" customFormat="false" ht="15" hidden="false" customHeight="false" outlineLevel="0" collapsed="false">
      <c r="A2718" s="39" t="s">
        <v>3166</v>
      </c>
      <c r="B2718" s="39" t="s">
        <v>3203</v>
      </c>
      <c r="C2718" s="41" t="n">
        <v>1.41</v>
      </c>
    </row>
    <row r="2719" customFormat="false" ht="15" hidden="false" customHeight="false" outlineLevel="0" collapsed="false">
      <c r="A2719" s="39" t="s">
        <v>2477</v>
      </c>
      <c r="B2719" s="39" t="s">
        <v>3204</v>
      </c>
      <c r="C2719" s="41" t="n">
        <v>83.69</v>
      </c>
    </row>
    <row r="2720" customFormat="false" ht="15" hidden="false" customHeight="false" outlineLevel="0" collapsed="false">
      <c r="A2720" s="39" t="s">
        <v>2710</v>
      </c>
      <c r="B2720" s="39" t="s">
        <v>3204</v>
      </c>
      <c r="C2720" s="41" t="n">
        <v>13.6</v>
      </c>
    </row>
    <row r="2721" customFormat="false" ht="15" hidden="false" customHeight="false" outlineLevel="0" collapsed="false">
      <c r="A2721" s="39" t="s">
        <v>1952</v>
      </c>
      <c r="B2721" s="39" t="s">
        <v>3206</v>
      </c>
      <c r="C2721" s="41" t="n">
        <v>32.04</v>
      </c>
    </row>
    <row r="2722" customFormat="false" ht="15" hidden="false" customHeight="false" outlineLevel="0" collapsed="false">
      <c r="A2722" s="39" t="s">
        <v>2044</v>
      </c>
      <c r="B2722" s="39" t="s">
        <v>3206</v>
      </c>
      <c r="C2722" s="41" t="n">
        <v>3.58</v>
      </c>
    </row>
    <row r="2723" customFormat="false" ht="15" hidden="false" customHeight="false" outlineLevel="0" collapsed="false">
      <c r="A2723" s="39" t="s">
        <v>1315</v>
      </c>
      <c r="B2723" s="39" t="s">
        <v>3205</v>
      </c>
      <c r="C2723" s="41" t="n">
        <v>13.63</v>
      </c>
    </row>
    <row r="2724" customFormat="false" ht="15" hidden="false" customHeight="false" outlineLevel="0" collapsed="false">
      <c r="A2724" s="39" t="s">
        <v>2144</v>
      </c>
      <c r="B2724" s="39" t="s">
        <v>3204</v>
      </c>
      <c r="C2724" s="41" t="n">
        <v>0.43</v>
      </c>
    </row>
    <row r="2725" customFormat="false" ht="15" hidden="false" customHeight="false" outlineLevel="0" collapsed="false">
      <c r="A2725" s="39" t="s">
        <v>526</v>
      </c>
      <c r="B2725" s="39" t="s">
        <v>3205</v>
      </c>
      <c r="C2725" s="41" t="n">
        <v>14.69</v>
      </c>
    </row>
    <row r="2726" customFormat="false" ht="15" hidden="false" customHeight="false" outlineLevel="0" collapsed="false">
      <c r="A2726" s="39" t="s">
        <v>728</v>
      </c>
      <c r="B2726" s="39" t="s">
        <v>3203</v>
      </c>
      <c r="C2726" s="41" t="n">
        <v>2.06</v>
      </c>
    </row>
    <row r="2727" customFormat="false" ht="15" hidden="false" customHeight="false" outlineLevel="0" collapsed="false">
      <c r="A2727" s="39" t="s">
        <v>2744</v>
      </c>
      <c r="B2727" s="39" t="s">
        <v>3205</v>
      </c>
      <c r="C2727" s="41" t="n">
        <v>1.42</v>
      </c>
    </row>
    <row r="2728" customFormat="false" ht="15" hidden="false" customHeight="false" outlineLevel="0" collapsed="false">
      <c r="A2728" s="39" t="s">
        <v>246</v>
      </c>
      <c r="B2728" s="39" t="s">
        <v>3205</v>
      </c>
      <c r="C2728" s="41" t="n">
        <v>2.44</v>
      </c>
    </row>
    <row r="2729" customFormat="false" ht="15" hidden="false" customHeight="false" outlineLevel="0" collapsed="false">
      <c r="A2729" s="39" t="s">
        <v>2964</v>
      </c>
      <c r="B2729" s="39" t="s">
        <v>3205</v>
      </c>
      <c r="C2729" s="41" t="n">
        <v>3.77</v>
      </c>
    </row>
    <row r="2730" customFormat="false" ht="15" hidden="false" customHeight="false" outlineLevel="0" collapsed="false">
      <c r="A2730" s="39" t="s">
        <v>182</v>
      </c>
      <c r="B2730" s="39" t="s">
        <v>3205</v>
      </c>
      <c r="C2730" s="41" t="n">
        <v>29.29</v>
      </c>
    </row>
    <row r="2731" customFormat="false" ht="15" hidden="false" customHeight="false" outlineLevel="0" collapsed="false">
      <c r="A2731" s="39" t="s">
        <v>1097</v>
      </c>
      <c r="B2731" s="39" t="s">
        <v>3204</v>
      </c>
      <c r="C2731" s="41" t="n">
        <v>8.07</v>
      </c>
    </row>
    <row r="2732" customFormat="false" ht="15" hidden="false" customHeight="false" outlineLevel="0" collapsed="false">
      <c r="A2732" s="39" t="s">
        <v>2156</v>
      </c>
      <c r="B2732" s="39" t="s">
        <v>3206</v>
      </c>
      <c r="C2732" s="41" t="n">
        <v>2.71</v>
      </c>
    </row>
    <row r="2733" customFormat="false" ht="15" hidden="false" customHeight="false" outlineLevel="0" collapsed="false">
      <c r="A2733" s="39" t="s">
        <v>2887</v>
      </c>
      <c r="B2733" s="39" t="s">
        <v>3206</v>
      </c>
      <c r="C2733" s="41" t="n">
        <v>19.18</v>
      </c>
    </row>
    <row r="2734" customFormat="false" ht="15" hidden="false" customHeight="false" outlineLevel="0" collapsed="false">
      <c r="A2734" s="39" t="s">
        <v>2239</v>
      </c>
      <c r="B2734" s="39" t="s">
        <v>3205</v>
      </c>
      <c r="C2734" s="41" t="n">
        <v>6.55</v>
      </c>
    </row>
    <row r="2735" customFormat="false" ht="15" hidden="false" customHeight="false" outlineLevel="0" collapsed="false">
      <c r="A2735" s="39" t="s">
        <v>2555</v>
      </c>
      <c r="B2735" s="39" t="s">
        <v>3203</v>
      </c>
      <c r="C2735" s="41" t="n">
        <v>5.92</v>
      </c>
    </row>
    <row r="2736" customFormat="false" ht="15" hidden="false" customHeight="false" outlineLevel="0" collapsed="false">
      <c r="A2736" s="39" t="s">
        <v>2495</v>
      </c>
      <c r="B2736" s="39" t="s">
        <v>3206</v>
      </c>
      <c r="C2736" s="41" t="n">
        <v>0.89</v>
      </c>
    </row>
    <row r="2737" customFormat="false" ht="15" hidden="false" customHeight="false" outlineLevel="0" collapsed="false">
      <c r="A2737" s="39" t="s">
        <v>1530</v>
      </c>
      <c r="B2737" s="39" t="s">
        <v>3205</v>
      </c>
      <c r="C2737" s="41" t="n">
        <v>17.66</v>
      </c>
    </row>
    <row r="2738" customFormat="false" ht="15" hidden="false" customHeight="false" outlineLevel="0" collapsed="false">
      <c r="A2738" s="39" t="s">
        <v>878</v>
      </c>
      <c r="B2738" s="39" t="s">
        <v>3206</v>
      </c>
      <c r="C2738" s="41" t="n">
        <v>1.17</v>
      </c>
    </row>
    <row r="2739" customFormat="false" ht="15" hidden="false" customHeight="false" outlineLevel="0" collapsed="false">
      <c r="A2739" s="39" t="s">
        <v>488</v>
      </c>
      <c r="B2739" s="39" t="s">
        <v>3204</v>
      </c>
      <c r="C2739" s="41" t="n">
        <v>63.5</v>
      </c>
    </row>
    <row r="2740" customFormat="false" ht="15" hidden="false" customHeight="false" outlineLevel="0" collapsed="false">
      <c r="A2740" s="39" t="s">
        <v>1689</v>
      </c>
      <c r="B2740" s="39" t="s">
        <v>3205</v>
      </c>
      <c r="C2740" s="41" t="n">
        <v>6.33</v>
      </c>
    </row>
    <row r="2741" customFormat="false" ht="15" hidden="false" customHeight="false" outlineLevel="0" collapsed="false">
      <c r="A2741" s="39" t="s">
        <v>2930</v>
      </c>
      <c r="B2741" s="39" t="s">
        <v>3204</v>
      </c>
      <c r="C2741" s="41" t="n">
        <v>3.33</v>
      </c>
    </row>
    <row r="2742" customFormat="false" ht="15" hidden="false" customHeight="false" outlineLevel="0" collapsed="false">
      <c r="A2742" s="39" t="s">
        <v>2251</v>
      </c>
      <c r="B2742" s="39" t="s">
        <v>3206</v>
      </c>
      <c r="C2742" s="41" t="n">
        <v>7.87</v>
      </c>
    </row>
    <row r="2743" customFormat="false" ht="15" hidden="false" customHeight="false" outlineLevel="0" collapsed="false">
      <c r="A2743" s="39" t="s">
        <v>495</v>
      </c>
      <c r="B2743" s="39" t="s">
        <v>3203</v>
      </c>
      <c r="C2743" s="41" t="n">
        <v>2.94</v>
      </c>
    </row>
    <row r="2744" customFormat="false" ht="15" hidden="false" customHeight="false" outlineLevel="0" collapsed="false">
      <c r="A2744" s="39" t="s">
        <v>2609</v>
      </c>
      <c r="B2744" s="39" t="s">
        <v>3206</v>
      </c>
      <c r="C2744" s="41" t="n">
        <v>0.54</v>
      </c>
    </row>
    <row r="2745" customFormat="false" ht="15" hidden="false" customHeight="false" outlineLevel="0" collapsed="false">
      <c r="A2745" s="39" t="s">
        <v>1170</v>
      </c>
      <c r="B2745" s="39" t="s">
        <v>3206</v>
      </c>
      <c r="C2745" s="41" t="n">
        <v>9.02</v>
      </c>
    </row>
    <row r="2746" customFormat="false" ht="15" hidden="false" customHeight="false" outlineLevel="0" collapsed="false">
      <c r="A2746" s="39" t="s">
        <v>210</v>
      </c>
      <c r="B2746" s="39" t="s">
        <v>3206</v>
      </c>
      <c r="C2746" s="41" t="n">
        <v>2.48</v>
      </c>
    </row>
    <row r="2747" customFormat="false" ht="15" hidden="false" customHeight="false" outlineLevel="0" collapsed="false">
      <c r="A2747" s="39" t="s">
        <v>1577</v>
      </c>
      <c r="B2747" s="39" t="s">
        <v>3203</v>
      </c>
      <c r="C2747" s="41" t="n">
        <v>13.92</v>
      </c>
    </row>
    <row r="2748" customFormat="false" ht="15" hidden="false" customHeight="false" outlineLevel="0" collapsed="false">
      <c r="A2748" s="39" t="s">
        <v>3103</v>
      </c>
      <c r="B2748" s="39" t="s">
        <v>3206</v>
      </c>
      <c r="C2748" s="41" t="n">
        <v>2.37</v>
      </c>
    </row>
    <row r="2749" customFormat="false" ht="15" hidden="false" customHeight="false" outlineLevel="0" collapsed="false">
      <c r="A2749" s="39" t="s">
        <v>749</v>
      </c>
      <c r="B2749" s="39" t="s">
        <v>3205</v>
      </c>
      <c r="C2749" s="41" t="n">
        <v>1.73</v>
      </c>
    </row>
    <row r="2750" customFormat="false" ht="15" hidden="false" customHeight="false" outlineLevel="0" collapsed="false">
      <c r="A2750" s="39" t="s">
        <v>899</v>
      </c>
      <c r="B2750" s="39" t="s">
        <v>3204</v>
      </c>
      <c r="C2750" s="41" t="n">
        <v>1.13</v>
      </c>
    </row>
    <row r="2751" customFormat="false" ht="15" hidden="false" customHeight="false" outlineLevel="0" collapsed="false">
      <c r="A2751" s="39" t="s">
        <v>895</v>
      </c>
      <c r="B2751" s="39" t="s">
        <v>3206</v>
      </c>
      <c r="C2751" s="41" t="n">
        <v>8.76</v>
      </c>
    </row>
    <row r="2752" customFormat="false" ht="15" hidden="false" customHeight="false" outlineLevel="0" collapsed="false">
      <c r="A2752" s="39" t="s">
        <v>808</v>
      </c>
      <c r="B2752" s="39" t="s">
        <v>3204</v>
      </c>
      <c r="C2752" s="41" t="n">
        <v>5.07</v>
      </c>
    </row>
    <row r="2753" customFormat="false" ht="15" hidden="false" customHeight="false" outlineLevel="0" collapsed="false">
      <c r="A2753" s="39" t="s">
        <v>1578</v>
      </c>
      <c r="B2753" s="39" t="s">
        <v>3206</v>
      </c>
      <c r="C2753" s="41" t="n">
        <v>16.51</v>
      </c>
    </row>
    <row r="2754" customFormat="false" ht="15" hidden="false" customHeight="false" outlineLevel="0" collapsed="false">
      <c r="A2754" s="39" t="s">
        <v>2027</v>
      </c>
      <c r="B2754" s="39" t="s">
        <v>3206</v>
      </c>
      <c r="C2754" s="41" t="n">
        <v>2.81</v>
      </c>
    </row>
    <row r="2755" customFormat="false" ht="15" hidden="false" customHeight="false" outlineLevel="0" collapsed="false">
      <c r="A2755" s="39" t="s">
        <v>2508</v>
      </c>
      <c r="B2755" s="39" t="s">
        <v>3206</v>
      </c>
      <c r="C2755" s="41" t="n">
        <v>1.21</v>
      </c>
    </row>
    <row r="2756" customFormat="false" ht="15" hidden="false" customHeight="false" outlineLevel="0" collapsed="false">
      <c r="A2756" s="39" t="s">
        <v>2159</v>
      </c>
      <c r="B2756" s="39" t="s">
        <v>3206</v>
      </c>
      <c r="C2756" s="41" t="n">
        <v>0.34</v>
      </c>
    </row>
    <row r="2757" customFormat="false" ht="15" hidden="false" customHeight="false" outlineLevel="0" collapsed="false">
      <c r="A2757" s="39" t="s">
        <v>762</v>
      </c>
      <c r="B2757" s="39" t="s">
        <v>3204</v>
      </c>
      <c r="C2757" s="41" t="n">
        <v>1</v>
      </c>
    </row>
    <row r="2758" customFormat="false" ht="15" hidden="false" customHeight="false" outlineLevel="0" collapsed="false">
      <c r="A2758" s="39" t="s">
        <v>223</v>
      </c>
      <c r="B2758" s="39" t="s">
        <v>3203</v>
      </c>
      <c r="C2758" s="41" t="n">
        <v>4.14</v>
      </c>
    </row>
    <row r="2759" customFormat="false" ht="15" hidden="false" customHeight="false" outlineLevel="0" collapsed="false">
      <c r="A2759" s="39" t="s">
        <v>1361</v>
      </c>
      <c r="B2759" s="39" t="s">
        <v>3204</v>
      </c>
      <c r="C2759" s="41" t="n">
        <v>2.22</v>
      </c>
    </row>
    <row r="2760" customFormat="false" ht="15" hidden="false" customHeight="false" outlineLevel="0" collapsed="false">
      <c r="A2760" s="39" t="s">
        <v>617</v>
      </c>
      <c r="B2760" s="39" t="s">
        <v>3203</v>
      </c>
      <c r="C2760" s="41" t="n">
        <v>27.86</v>
      </c>
    </row>
    <row r="2761" customFormat="false" ht="15" hidden="false" customHeight="false" outlineLevel="0" collapsed="false">
      <c r="A2761" s="39" t="s">
        <v>2418</v>
      </c>
      <c r="B2761" s="39" t="s">
        <v>3203</v>
      </c>
      <c r="C2761" s="41" t="n">
        <v>0.32</v>
      </c>
    </row>
    <row r="2762" customFormat="false" ht="15" hidden="false" customHeight="false" outlineLevel="0" collapsed="false">
      <c r="A2762" s="39" t="s">
        <v>1105</v>
      </c>
      <c r="B2762" s="39" t="s">
        <v>3206</v>
      </c>
      <c r="C2762" s="41" t="n">
        <v>1.26</v>
      </c>
    </row>
    <row r="2763" customFormat="false" ht="15" hidden="false" customHeight="false" outlineLevel="0" collapsed="false">
      <c r="A2763" s="39" t="s">
        <v>289</v>
      </c>
      <c r="B2763" s="39" t="s">
        <v>3204</v>
      </c>
      <c r="C2763" s="41" t="n">
        <v>2.29</v>
      </c>
    </row>
    <row r="2764" customFormat="false" ht="15" hidden="false" customHeight="false" outlineLevel="0" collapsed="false">
      <c r="A2764" s="39" t="s">
        <v>881</v>
      </c>
      <c r="B2764" s="39" t="s">
        <v>3203</v>
      </c>
      <c r="C2764" s="41" t="n">
        <v>2.46</v>
      </c>
    </row>
    <row r="2765" customFormat="false" ht="15" hidden="false" customHeight="false" outlineLevel="0" collapsed="false">
      <c r="A2765" s="39" t="s">
        <v>2048</v>
      </c>
      <c r="B2765" s="39" t="s">
        <v>3206</v>
      </c>
      <c r="C2765" s="41" t="n">
        <v>13.45</v>
      </c>
    </row>
    <row r="2766" customFormat="false" ht="15" hidden="false" customHeight="false" outlineLevel="0" collapsed="false">
      <c r="A2766" s="39" t="s">
        <v>148</v>
      </c>
      <c r="B2766" s="39" t="s">
        <v>3204</v>
      </c>
      <c r="C2766" s="41" t="n">
        <v>1.41</v>
      </c>
    </row>
    <row r="2767" customFormat="false" ht="15" hidden="false" customHeight="false" outlineLevel="0" collapsed="false">
      <c r="A2767" s="39" t="s">
        <v>1398</v>
      </c>
      <c r="B2767" s="39" t="s">
        <v>3206</v>
      </c>
      <c r="C2767" s="41" t="n">
        <v>68.64</v>
      </c>
    </row>
    <row r="2768" customFormat="false" ht="15" hidden="false" customHeight="false" outlineLevel="0" collapsed="false">
      <c r="A2768" s="39" t="s">
        <v>129</v>
      </c>
      <c r="B2768" s="39" t="s">
        <v>3203</v>
      </c>
      <c r="C2768" s="41" t="n">
        <v>0.52</v>
      </c>
    </row>
    <row r="2769" customFormat="false" ht="15" hidden="false" customHeight="false" outlineLevel="0" collapsed="false">
      <c r="A2769" s="39" t="s">
        <v>2549</v>
      </c>
      <c r="B2769" s="39" t="s">
        <v>3205</v>
      </c>
      <c r="C2769" s="41" t="n">
        <v>2.71</v>
      </c>
    </row>
    <row r="2770" customFormat="false" ht="15" hidden="false" customHeight="false" outlineLevel="0" collapsed="false">
      <c r="A2770" s="39" t="s">
        <v>293</v>
      </c>
      <c r="B2770" s="39" t="s">
        <v>3203</v>
      </c>
      <c r="C2770" s="41" t="n">
        <v>2.62</v>
      </c>
    </row>
    <row r="2771" customFormat="false" ht="15" hidden="false" customHeight="false" outlineLevel="0" collapsed="false">
      <c r="A2771" s="39" t="s">
        <v>333</v>
      </c>
      <c r="B2771" s="39" t="s">
        <v>3204</v>
      </c>
      <c r="C2771" s="41" t="n">
        <v>1.39</v>
      </c>
    </row>
    <row r="2772" customFormat="false" ht="15" hidden="false" customHeight="false" outlineLevel="0" collapsed="false">
      <c r="A2772" s="39" t="s">
        <v>977</v>
      </c>
      <c r="B2772" s="39" t="s">
        <v>3206</v>
      </c>
      <c r="C2772" s="41" t="n">
        <v>35.03</v>
      </c>
    </row>
    <row r="2773" customFormat="false" ht="15" hidden="false" customHeight="false" outlineLevel="0" collapsed="false">
      <c r="A2773" s="39" t="s">
        <v>437</v>
      </c>
      <c r="B2773" s="39" t="s">
        <v>3203</v>
      </c>
      <c r="C2773" s="41" t="n">
        <v>6.84</v>
      </c>
    </row>
    <row r="2774" customFormat="false" ht="15" hidden="false" customHeight="false" outlineLevel="0" collapsed="false">
      <c r="A2774" s="39" t="s">
        <v>2307</v>
      </c>
      <c r="B2774" s="39" t="s">
        <v>3205</v>
      </c>
      <c r="C2774" s="41" t="n">
        <v>2.34</v>
      </c>
    </row>
    <row r="2775" customFormat="false" ht="15" hidden="false" customHeight="false" outlineLevel="0" collapsed="false">
      <c r="A2775" s="39" t="s">
        <v>706</v>
      </c>
      <c r="B2775" s="39" t="s">
        <v>3204</v>
      </c>
      <c r="C2775" s="41" t="n">
        <v>1.86</v>
      </c>
    </row>
    <row r="2776" customFormat="false" ht="15" hidden="false" customHeight="false" outlineLevel="0" collapsed="false">
      <c r="A2776" s="39" t="s">
        <v>2715</v>
      </c>
      <c r="B2776" s="39" t="s">
        <v>3203</v>
      </c>
      <c r="C2776" s="41" t="n">
        <v>10.72</v>
      </c>
    </row>
    <row r="2777" customFormat="false" ht="15" hidden="false" customHeight="false" outlineLevel="0" collapsed="false">
      <c r="A2777" s="39" t="s">
        <v>2244</v>
      </c>
      <c r="B2777" s="39" t="s">
        <v>3206</v>
      </c>
      <c r="C2777" s="41" t="n">
        <v>6.73</v>
      </c>
    </row>
    <row r="2778" customFormat="false" ht="15" hidden="false" customHeight="false" outlineLevel="0" collapsed="false">
      <c r="A2778" s="39" t="s">
        <v>690</v>
      </c>
      <c r="B2778" s="39" t="s">
        <v>3204</v>
      </c>
      <c r="C2778" s="41" t="n">
        <v>5.95</v>
      </c>
    </row>
    <row r="2779" customFormat="false" ht="15" hidden="false" customHeight="false" outlineLevel="0" collapsed="false">
      <c r="A2779" s="39" t="s">
        <v>659</v>
      </c>
      <c r="B2779" s="39" t="s">
        <v>3206</v>
      </c>
      <c r="C2779" s="41" t="n">
        <v>0.36</v>
      </c>
    </row>
    <row r="2780" customFormat="false" ht="15" hidden="false" customHeight="false" outlineLevel="0" collapsed="false">
      <c r="A2780" s="39" t="s">
        <v>2324</v>
      </c>
      <c r="B2780" s="39" t="s">
        <v>3206</v>
      </c>
      <c r="C2780" s="41" t="n">
        <v>9.06</v>
      </c>
    </row>
    <row r="2781" customFormat="false" ht="15" hidden="false" customHeight="false" outlineLevel="0" collapsed="false">
      <c r="A2781" s="39" t="s">
        <v>2701</v>
      </c>
      <c r="B2781" s="39" t="s">
        <v>3206</v>
      </c>
      <c r="C2781" s="41" t="n">
        <v>1.18</v>
      </c>
    </row>
    <row r="2782" customFormat="false" ht="15" hidden="false" customHeight="false" outlineLevel="0" collapsed="false">
      <c r="A2782" s="39" t="s">
        <v>232</v>
      </c>
      <c r="B2782" s="39" t="s">
        <v>3204</v>
      </c>
      <c r="C2782" s="41" t="n">
        <v>9.25</v>
      </c>
    </row>
    <row r="2783" customFormat="false" ht="15" hidden="false" customHeight="false" outlineLevel="0" collapsed="false">
      <c r="A2783" s="39" t="s">
        <v>173</v>
      </c>
      <c r="B2783" s="39" t="s">
        <v>3203</v>
      </c>
      <c r="C2783" s="41" t="n">
        <v>1.68</v>
      </c>
    </row>
    <row r="2784" customFormat="false" ht="15" hidden="false" customHeight="false" outlineLevel="0" collapsed="false">
      <c r="A2784" s="39" t="s">
        <v>2042</v>
      </c>
      <c r="B2784" s="39" t="s">
        <v>3204</v>
      </c>
      <c r="C2784" s="41" t="n">
        <v>1.1</v>
      </c>
    </row>
    <row r="2785" customFormat="false" ht="15" hidden="false" customHeight="false" outlineLevel="0" collapsed="false">
      <c r="A2785" s="39" t="s">
        <v>2831</v>
      </c>
      <c r="B2785" s="39" t="s">
        <v>3205</v>
      </c>
      <c r="C2785" s="41" t="n">
        <v>5.36</v>
      </c>
    </row>
    <row r="2786" customFormat="false" ht="15" hidden="false" customHeight="false" outlineLevel="0" collapsed="false">
      <c r="A2786" s="39" t="s">
        <v>1362</v>
      </c>
      <c r="B2786" s="39" t="s">
        <v>3206</v>
      </c>
      <c r="C2786" s="41" t="n">
        <v>7.28</v>
      </c>
    </row>
    <row r="2787" customFormat="false" ht="15" hidden="false" customHeight="false" outlineLevel="0" collapsed="false">
      <c r="A2787" s="39" t="s">
        <v>851</v>
      </c>
      <c r="B2787" s="39" t="s">
        <v>3206</v>
      </c>
      <c r="C2787" s="41" t="n">
        <v>1.87</v>
      </c>
    </row>
    <row r="2788" customFormat="false" ht="15" hidden="false" customHeight="false" outlineLevel="0" collapsed="false">
      <c r="A2788" s="39" t="s">
        <v>454</v>
      </c>
      <c r="B2788" s="39" t="s">
        <v>3205</v>
      </c>
      <c r="C2788" s="41" t="n">
        <v>2.81</v>
      </c>
    </row>
    <row r="2789" customFormat="false" ht="15" hidden="false" customHeight="false" outlineLevel="0" collapsed="false">
      <c r="A2789" s="39" t="s">
        <v>1163</v>
      </c>
      <c r="B2789" s="39" t="s">
        <v>3205</v>
      </c>
      <c r="C2789" s="41" t="n">
        <v>5.72</v>
      </c>
    </row>
    <row r="2790" customFormat="false" ht="15" hidden="false" customHeight="false" outlineLevel="0" collapsed="false">
      <c r="A2790" s="39" t="s">
        <v>2512</v>
      </c>
      <c r="B2790" s="39" t="s">
        <v>3203</v>
      </c>
      <c r="C2790" s="41" t="n">
        <v>1.05</v>
      </c>
    </row>
    <row r="2791" customFormat="false" ht="15" hidden="false" customHeight="false" outlineLevel="0" collapsed="false">
      <c r="A2791" s="39" t="s">
        <v>2780</v>
      </c>
      <c r="B2791" s="39" t="s">
        <v>3205</v>
      </c>
      <c r="C2791" s="41" t="n">
        <v>3.42</v>
      </c>
    </row>
    <row r="2792" customFormat="false" ht="15" hidden="false" customHeight="false" outlineLevel="0" collapsed="false">
      <c r="A2792" s="39" t="s">
        <v>605</v>
      </c>
      <c r="B2792" s="39" t="s">
        <v>3205</v>
      </c>
      <c r="C2792" s="41" t="n">
        <v>2.28</v>
      </c>
    </row>
    <row r="2793" customFormat="false" ht="15" hidden="false" customHeight="false" outlineLevel="0" collapsed="false">
      <c r="A2793" s="39" t="s">
        <v>1166</v>
      </c>
      <c r="B2793" s="39" t="s">
        <v>3205</v>
      </c>
      <c r="C2793" s="41" t="n">
        <v>0.76</v>
      </c>
    </row>
    <row r="2794" customFormat="false" ht="15" hidden="false" customHeight="false" outlineLevel="0" collapsed="false">
      <c r="A2794" s="39" t="s">
        <v>2254</v>
      </c>
      <c r="B2794" s="39" t="s">
        <v>3205</v>
      </c>
      <c r="C2794" s="41" t="n">
        <v>5.81</v>
      </c>
    </row>
    <row r="2795" customFormat="false" ht="15" hidden="false" customHeight="false" outlineLevel="0" collapsed="false">
      <c r="A2795" s="39" t="s">
        <v>270</v>
      </c>
      <c r="B2795" s="39" t="s">
        <v>3204</v>
      </c>
      <c r="C2795" s="41" t="n">
        <v>15.36</v>
      </c>
    </row>
    <row r="2796" customFormat="false" ht="15" hidden="false" customHeight="false" outlineLevel="0" collapsed="false">
      <c r="A2796" s="39" t="s">
        <v>1279</v>
      </c>
      <c r="B2796" s="39" t="s">
        <v>3203</v>
      </c>
      <c r="C2796" s="41" t="n">
        <v>6.72</v>
      </c>
    </row>
    <row r="2797" customFormat="false" ht="15" hidden="false" customHeight="false" outlineLevel="0" collapsed="false">
      <c r="A2797" s="39" t="s">
        <v>3068</v>
      </c>
      <c r="B2797" s="39" t="s">
        <v>3206</v>
      </c>
      <c r="C2797" s="41" t="n">
        <v>7.61</v>
      </c>
    </row>
    <row r="2798" customFormat="false" ht="15" hidden="false" customHeight="false" outlineLevel="0" collapsed="false">
      <c r="A2798" s="39" t="s">
        <v>1390</v>
      </c>
      <c r="B2798" s="39" t="s">
        <v>3206</v>
      </c>
      <c r="C2798" s="41" t="n">
        <v>8.08</v>
      </c>
    </row>
    <row r="2799" customFormat="false" ht="15" hidden="false" customHeight="false" outlineLevel="0" collapsed="false">
      <c r="A2799" s="39" t="s">
        <v>2558</v>
      </c>
      <c r="B2799" s="39" t="s">
        <v>3203</v>
      </c>
      <c r="C2799" s="41" t="n">
        <v>0.84</v>
      </c>
    </row>
    <row r="2800" customFormat="false" ht="15" hidden="false" customHeight="false" outlineLevel="0" collapsed="false">
      <c r="A2800" s="39" t="s">
        <v>1464</v>
      </c>
      <c r="B2800" s="39" t="s">
        <v>3206</v>
      </c>
      <c r="C2800" s="41" t="n">
        <v>0.4</v>
      </c>
    </row>
    <row r="2801" customFormat="false" ht="15" hidden="false" customHeight="false" outlineLevel="0" collapsed="false">
      <c r="A2801" s="39" t="s">
        <v>288</v>
      </c>
      <c r="B2801" s="39" t="s">
        <v>3203</v>
      </c>
      <c r="C2801" s="41" t="n">
        <v>2.35</v>
      </c>
    </row>
    <row r="2802" customFormat="false" ht="15" hidden="false" customHeight="false" outlineLevel="0" collapsed="false">
      <c r="A2802" s="39" t="s">
        <v>1110</v>
      </c>
      <c r="B2802" s="39" t="s">
        <v>3203</v>
      </c>
      <c r="C2802" s="41" t="n">
        <v>1.66</v>
      </c>
    </row>
    <row r="2803" customFormat="false" ht="15" hidden="false" customHeight="false" outlineLevel="0" collapsed="false">
      <c r="A2803" s="39" t="s">
        <v>230</v>
      </c>
      <c r="B2803" s="39" t="s">
        <v>3206</v>
      </c>
      <c r="C2803" s="41" t="n">
        <v>1.66</v>
      </c>
    </row>
    <row r="2804" customFormat="false" ht="15" hidden="false" customHeight="false" outlineLevel="0" collapsed="false">
      <c r="A2804" s="39" t="s">
        <v>797</v>
      </c>
      <c r="B2804" s="39" t="s">
        <v>3203</v>
      </c>
      <c r="C2804" s="41" t="n">
        <v>4.66</v>
      </c>
    </row>
    <row r="2805" customFormat="false" ht="15" hidden="false" customHeight="false" outlineLevel="0" collapsed="false">
      <c r="A2805" s="39" t="s">
        <v>300</v>
      </c>
      <c r="B2805" s="39" t="s">
        <v>3205</v>
      </c>
      <c r="C2805" s="41" t="n">
        <v>1.74</v>
      </c>
    </row>
    <row r="2806" customFormat="false" ht="15" hidden="false" customHeight="false" outlineLevel="0" collapsed="false">
      <c r="A2806" s="39" t="s">
        <v>2610</v>
      </c>
      <c r="B2806" s="39" t="s">
        <v>3203</v>
      </c>
      <c r="C2806" s="41" t="n">
        <v>18.61</v>
      </c>
    </row>
    <row r="2807" customFormat="false" ht="15" hidden="false" customHeight="false" outlineLevel="0" collapsed="false">
      <c r="A2807" s="39" t="s">
        <v>367</v>
      </c>
      <c r="B2807" s="39" t="s">
        <v>3203</v>
      </c>
      <c r="C2807" s="41" t="n">
        <v>10.56</v>
      </c>
    </row>
    <row r="2808" customFormat="false" ht="15" hidden="false" customHeight="false" outlineLevel="0" collapsed="false">
      <c r="A2808" s="39" t="s">
        <v>2142</v>
      </c>
      <c r="B2808" s="39" t="s">
        <v>3204</v>
      </c>
      <c r="C2808" s="41" t="n">
        <v>0.54</v>
      </c>
    </row>
    <row r="2809" customFormat="false" ht="15" hidden="false" customHeight="false" outlineLevel="0" collapsed="false">
      <c r="A2809" s="39" t="s">
        <v>515</v>
      </c>
      <c r="B2809" s="39" t="s">
        <v>3206</v>
      </c>
      <c r="C2809" s="41" t="n">
        <v>0.87</v>
      </c>
    </row>
    <row r="2810" customFormat="false" ht="15" hidden="false" customHeight="false" outlineLevel="0" collapsed="false">
      <c r="A2810" s="39" t="s">
        <v>1854</v>
      </c>
      <c r="B2810" s="39" t="s">
        <v>3205</v>
      </c>
      <c r="C2810" s="41" t="n">
        <v>1.09</v>
      </c>
    </row>
    <row r="2811" customFormat="false" ht="15" hidden="false" customHeight="false" outlineLevel="0" collapsed="false">
      <c r="A2811" s="39" t="s">
        <v>1330</v>
      </c>
      <c r="B2811" s="39" t="s">
        <v>3204</v>
      </c>
      <c r="C2811" s="41" t="n">
        <v>6.02</v>
      </c>
    </row>
    <row r="2812" customFormat="false" ht="15" hidden="false" customHeight="false" outlineLevel="0" collapsed="false">
      <c r="A2812" s="39" t="s">
        <v>1375</v>
      </c>
      <c r="B2812" s="39" t="s">
        <v>3203</v>
      </c>
      <c r="C2812" s="41" t="n">
        <v>0.42</v>
      </c>
    </row>
    <row r="2813" customFormat="false" ht="15" hidden="false" customHeight="false" outlineLevel="0" collapsed="false">
      <c r="A2813" s="39" t="s">
        <v>1758</v>
      </c>
      <c r="B2813" s="39" t="s">
        <v>3206</v>
      </c>
      <c r="C2813" s="41" t="n">
        <v>1.7</v>
      </c>
    </row>
    <row r="2814" customFormat="false" ht="15" hidden="false" customHeight="false" outlineLevel="0" collapsed="false">
      <c r="A2814" s="39" t="s">
        <v>1753</v>
      </c>
      <c r="B2814" s="39" t="s">
        <v>3204</v>
      </c>
      <c r="C2814" s="41" t="n">
        <v>29.18</v>
      </c>
    </row>
    <row r="2815" customFormat="false" ht="15" hidden="false" customHeight="false" outlineLevel="0" collapsed="false">
      <c r="A2815" s="39" t="s">
        <v>1670</v>
      </c>
      <c r="B2815" s="39" t="s">
        <v>3203</v>
      </c>
      <c r="C2815" s="41" t="n">
        <v>0.74</v>
      </c>
    </row>
    <row r="2816" customFormat="false" ht="15" hidden="false" customHeight="false" outlineLevel="0" collapsed="false">
      <c r="A2816" s="39" t="s">
        <v>3040</v>
      </c>
      <c r="B2816" s="39" t="s">
        <v>3206</v>
      </c>
      <c r="C2816" s="41" t="n">
        <v>14.31</v>
      </c>
    </row>
    <row r="2817" customFormat="false" ht="15" hidden="false" customHeight="false" outlineLevel="0" collapsed="false">
      <c r="A2817" s="39" t="s">
        <v>2015</v>
      </c>
      <c r="B2817" s="39" t="s">
        <v>3203</v>
      </c>
      <c r="C2817" s="41" t="n">
        <v>2.14</v>
      </c>
    </row>
    <row r="2818" customFormat="false" ht="15" hidden="false" customHeight="false" outlineLevel="0" collapsed="false">
      <c r="A2818" s="39" t="s">
        <v>1624</v>
      </c>
      <c r="B2818" s="39" t="s">
        <v>3206</v>
      </c>
      <c r="C2818" s="41" t="n">
        <v>2.31</v>
      </c>
    </row>
    <row r="2819" customFormat="false" ht="15" hidden="false" customHeight="false" outlineLevel="0" collapsed="false">
      <c r="A2819" s="39" t="s">
        <v>1300</v>
      </c>
      <c r="B2819" s="39" t="s">
        <v>3203</v>
      </c>
      <c r="C2819" s="41" t="n">
        <v>4.59</v>
      </c>
    </row>
    <row r="2820" customFormat="false" ht="15" hidden="false" customHeight="false" outlineLevel="0" collapsed="false">
      <c r="A2820" s="39" t="s">
        <v>639</v>
      </c>
      <c r="B2820" s="39" t="s">
        <v>3203</v>
      </c>
      <c r="C2820" s="41" t="n">
        <v>11.27</v>
      </c>
    </row>
    <row r="2821" customFormat="false" ht="15" hidden="false" customHeight="false" outlineLevel="0" collapsed="false">
      <c r="A2821" s="39" t="s">
        <v>708</v>
      </c>
      <c r="B2821" s="39" t="s">
        <v>3205</v>
      </c>
      <c r="C2821" s="41" t="n">
        <v>2.5</v>
      </c>
    </row>
    <row r="2822" customFormat="false" ht="15" hidden="false" customHeight="false" outlineLevel="0" collapsed="false">
      <c r="A2822" s="39" t="s">
        <v>709</v>
      </c>
      <c r="B2822" s="39" t="s">
        <v>3203</v>
      </c>
      <c r="C2822" s="41" t="n">
        <v>3.69</v>
      </c>
    </row>
    <row r="2823" customFormat="false" ht="15" hidden="false" customHeight="false" outlineLevel="0" collapsed="false">
      <c r="A2823" s="39" t="s">
        <v>2066</v>
      </c>
      <c r="B2823" s="39" t="s">
        <v>3204</v>
      </c>
      <c r="C2823" s="41" t="n">
        <v>38.24</v>
      </c>
    </row>
    <row r="2824" customFormat="false" ht="15" hidden="false" customHeight="false" outlineLevel="0" collapsed="false">
      <c r="A2824" s="39" t="s">
        <v>2417</v>
      </c>
      <c r="B2824" s="39" t="s">
        <v>3205</v>
      </c>
      <c r="C2824" s="41" t="n">
        <v>4.22</v>
      </c>
    </row>
    <row r="2825" customFormat="false" ht="15" hidden="false" customHeight="false" outlineLevel="0" collapsed="false">
      <c r="A2825" s="39" t="s">
        <v>1481</v>
      </c>
      <c r="B2825" s="39" t="s">
        <v>3204</v>
      </c>
      <c r="C2825" s="41" t="n">
        <v>2.96</v>
      </c>
    </row>
    <row r="2826" customFormat="false" ht="15" hidden="false" customHeight="false" outlineLevel="0" collapsed="false">
      <c r="A2826" s="39" t="s">
        <v>905</v>
      </c>
      <c r="B2826" s="39" t="s">
        <v>3206</v>
      </c>
      <c r="C2826" s="41" t="n">
        <v>5.64</v>
      </c>
    </row>
    <row r="2827" customFormat="false" ht="15" hidden="false" customHeight="false" outlineLevel="0" collapsed="false">
      <c r="A2827" s="39" t="s">
        <v>1159</v>
      </c>
      <c r="B2827" s="39" t="s">
        <v>3204</v>
      </c>
      <c r="C2827" s="41" t="n">
        <v>2.88</v>
      </c>
    </row>
    <row r="2828" customFormat="false" ht="15" hidden="false" customHeight="false" outlineLevel="0" collapsed="false">
      <c r="A2828" s="39" t="s">
        <v>2649</v>
      </c>
      <c r="B2828" s="39" t="s">
        <v>3204</v>
      </c>
      <c r="C2828" s="41" t="n">
        <v>1.46</v>
      </c>
    </row>
    <row r="2829" customFormat="false" ht="15" hidden="false" customHeight="false" outlineLevel="0" collapsed="false">
      <c r="A2829" s="39" t="s">
        <v>2017</v>
      </c>
      <c r="B2829" s="39" t="s">
        <v>3203</v>
      </c>
      <c r="C2829" s="41" t="n">
        <v>1.62</v>
      </c>
    </row>
    <row r="2830" customFormat="false" ht="15" hidden="false" customHeight="false" outlineLevel="0" collapsed="false">
      <c r="A2830" s="39" t="s">
        <v>2211</v>
      </c>
      <c r="B2830" s="39" t="s">
        <v>3204</v>
      </c>
      <c r="C2830" s="41" t="n">
        <v>0.85</v>
      </c>
    </row>
    <row r="2831" customFormat="false" ht="15" hidden="false" customHeight="false" outlineLevel="0" collapsed="false">
      <c r="A2831" s="39" t="s">
        <v>1002</v>
      </c>
      <c r="B2831" s="39" t="s">
        <v>3206</v>
      </c>
      <c r="C2831" s="41" t="n">
        <v>15.46</v>
      </c>
    </row>
    <row r="2832" customFormat="false" ht="15" hidden="false" customHeight="false" outlineLevel="0" collapsed="false">
      <c r="A2832" s="39" t="s">
        <v>2047</v>
      </c>
      <c r="B2832" s="39" t="s">
        <v>3206</v>
      </c>
      <c r="C2832" s="41" t="n">
        <v>6.42</v>
      </c>
    </row>
    <row r="2833" customFormat="false" ht="15" hidden="false" customHeight="false" outlineLevel="0" collapsed="false">
      <c r="A2833" s="39" t="s">
        <v>1979</v>
      </c>
      <c r="B2833" s="39" t="s">
        <v>3206</v>
      </c>
      <c r="C2833" s="41" t="n">
        <v>9</v>
      </c>
    </row>
    <row r="2834" customFormat="false" ht="15" hidden="false" customHeight="false" outlineLevel="0" collapsed="false">
      <c r="A2834" s="39" t="s">
        <v>643</v>
      </c>
      <c r="B2834" s="39" t="s">
        <v>3203</v>
      </c>
      <c r="C2834" s="41" t="n">
        <v>6.08</v>
      </c>
    </row>
    <row r="2835" customFormat="false" ht="15" hidden="false" customHeight="false" outlineLevel="0" collapsed="false">
      <c r="A2835" s="39" t="s">
        <v>1898</v>
      </c>
      <c r="B2835" s="39" t="s">
        <v>3206</v>
      </c>
      <c r="C2835" s="41" t="n">
        <v>2.71</v>
      </c>
    </row>
    <row r="2836" customFormat="false" ht="15" hidden="false" customHeight="false" outlineLevel="0" collapsed="false">
      <c r="A2836" s="39" t="s">
        <v>854</v>
      </c>
      <c r="B2836" s="39" t="s">
        <v>3205</v>
      </c>
      <c r="C2836" s="41" t="n">
        <v>2.2</v>
      </c>
    </row>
    <row r="2837" customFormat="false" ht="15" hidden="false" customHeight="false" outlineLevel="0" collapsed="false">
      <c r="A2837" s="39" t="s">
        <v>2416</v>
      </c>
      <c r="B2837" s="39" t="s">
        <v>3203</v>
      </c>
      <c r="C2837" s="41" t="n">
        <v>2.02</v>
      </c>
    </row>
    <row r="2838" customFormat="false" ht="15" hidden="false" customHeight="false" outlineLevel="0" collapsed="false">
      <c r="A2838" s="39" t="s">
        <v>1846</v>
      </c>
      <c r="B2838" s="39" t="s">
        <v>3206</v>
      </c>
      <c r="C2838" s="41" t="n">
        <v>5.22</v>
      </c>
    </row>
    <row r="2839" customFormat="false" ht="15" hidden="false" customHeight="false" outlineLevel="0" collapsed="false">
      <c r="A2839" s="39" t="s">
        <v>2716</v>
      </c>
      <c r="B2839" s="39" t="s">
        <v>3203</v>
      </c>
      <c r="C2839" s="41" t="n">
        <v>14.31</v>
      </c>
    </row>
    <row r="2840" customFormat="false" ht="15" hidden="false" customHeight="false" outlineLevel="0" collapsed="false">
      <c r="A2840" s="39" t="s">
        <v>440</v>
      </c>
      <c r="B2840" s="39" t="s">
        <v>3205</v>
      </c>
      <c r="C2840" s="41" t="n">
        <v>1.44</v>
      </c>
    </row>
    <row r="2841" customFormat="false" ht="15" hidden="false" customHeight="false" outlineLevel="0" collapsed="false">
      <c r="A2841" s="39" t="s">
        <v>1466</v>
      </c>
      <c r="B2841" s="39" t="s">
        <v>3206</v>
      </c>
      <c r="C2841" s="41" t="n">
        <v>5.81</v>
      </c>
    </row>
    <row r="2842" customFormat="false" ht="15" hidden="false" customHeight="false" outlineLevel="0" collapsed="false">
      <c r="A2842" s="39" t="s">
        <v>1946</v>
      </c>
      <c r="B2842" s="39" t="s">
        <v>3205</v>
      </c>
      <c r="C2842" s="41" t="n">
        <v>8.75</v>
      </c>
    </row>
    <row r="2843" customFormat="false" ht="15" hidden="false" customHeight="false" outlineLevel="0" collapsed="false">
      <c r="A2843" s="39" t="s">
        <v>1518</v>
      </c>
      <c r="B2843" s="39" t="s">
        <v>3206</v>
      </c>
      <c r="C2843" s="41" t="n">
        <v>3.14</v>
      </c>
    </row>
    <row r="2844" customFormat="false" ht="15" hidden="false" customHeight="false" outlineLevel="0" collapsed="false">
      <c r="A2844" s="39" t="s">
        <v>1024</v>
      </c>
      <c r="B2844" s="39" t="s">
        <v>3203</v>
      </c>
      <c r="C2844" s="41" t="n">
        <v>17.46</v>
      </c>
    </row>
    <row r="2845" customFormat="false" ht="15" hidden="false" customHeight="false" outlineLevel="0" collapsed="false">
      <c r="A2845" s="39" t="s">
        <v>1352</v>
      </c>
      <c r="B2845" s="39" t="s">
        <v>3206</v>
      </c>
      <c r="C2845" s="41" t="n">
        <v>3.42</v>
      </c>
    </row>
    <row r="2846" customFormat="false" ht="15" hidden="false" customHeight="false" outlineLevel="0" collapsed="false">
      <c r="A2846" s="39" t="s">
        <v>1771</v>
      </c>
      <c r="B2846" s="39" t="s">
        <v>3203</v>
      </c>
      <c r="C2846" s="41" t="n">
        <v>1.43</v>
      </c>
    </row>
    <row r="2847" customFormat="false" ht="15" hidden="false" customHeight="false" outlineLevel="0" collapsed="false">
      <c r="A2847" s="39" t="s">
        <v>2464</v>
      </c>
      <c r="B2847" s="39" t="s">
        <v>3203</v>
      </c>
      <c r="C2847" s="41" t="n">
        <v>1.38</v>
      </c>
    </row>
    <row r="2848" customFormat="false" ht="15" hidden="false" customHeight="false" outlineLevel="0" collapsed="false">
      <c r="A2848" s="39" t="s">
        <v>2742</v>
      </c>
      <c r="B2848" s="39" t="s">
        <v>3206</v>
      </c>
      <c r="C2848" s="41" t="n">
        <v>2.34</v>
      </c>
    </row>
    <row r="2849" customFormat="false" ht="15" hidden="false" customHeight="false" outlineLevel="0" collapsed="false">
      <c r="A2849" s="39" t="s">
        <v>2714</v>
      </c>
      <c r="B2849" s="39" t="s">
        <v>3204</v>
      </c>
      <c r="C2849" s="41" t="n">
        <v>1.59</v>
      </c>
    </row>
    <row r="2850" customFormat="false" ht="15" hidden="false" customHeight="false" outlineLevel="0" collapsed="false">
      <c r="A2850" s="39" t="s">
        <v>2592</v>
      </c>
      <c r="B2850" s="39" t="s">
        <v>3205</v>
      </c>
      <c r="C2850" s="41" t="n">
        <v>5.06</v>
      </c>
    </row>
    <row r="2851" customFormat="false" ht="15" hidden="false" customHeight="false" outlineLevel="0" collapsed="false">
      <c r="A2851" s="39" t="s">
        <v>1230</v>
      </c>
      <c r="B2851" s="39" t="s">
        <v>3206</v>
      </c>
      <c r="C2851" s="41" t="n">
        <v>5.53</v>
      </c>
    </row>
    <row r="2852" customFormat="false" ht="15" hidden="false" customHeight="false" outlineLevel="0" collapsed="false">
      <c r="A2852" s="39" t="s">
        <v>3035</v>
      </c>
      <c r="B2852" s="39" t="s">
        <v>3205</v>
      </c>
      <c r="C2852" s="41" t="n">
        <v>6.33</v>
      </c>
    </row>
    <row r="2853" customFormat="false" ht="15" hidden="false" customHeight="false" outlineLevel="0" collapsed="false">
      <c r="A2853" s="39" t="s">
        <v>1505</v>
      </c>
      <c r="B2853" s="39" t="s">
        <v>3204</v>
      </c>
      <c r="C2853" s="41" t="n">
        <v>0.78</v>
      </c>
    </row>
    <row r="2854" customFormat="false" ht="15" hidden="false" customHeight="false" outlineLevel="0" collapsed="false">
      <c r="A2854" s="39" t="s">
        <v>2131</v>
      </c>
      <c r="B2854" s="39" t="s">
        <v>3206</v>
      </c>
      <c r="C2854" s="41" t="n">
        <v>0.66</v>
      </c>
    </row>
    <row r="2855" customFormat="false" ht="15" hidden="false" customHeight="false" outlineLevel="0" collapsed="false">
      <c r="A2855" s="39" t="s">
        <v>2874</v>
      </c>
      <c r="B2855" s="39" t="s">
        <v>3205</v>
      </c>
      <c r="C2855" s="41" t="n">
        <v>13.08</v>
      </c>
    </row>
    <row r="2856" customFormat="false" ht="15" hidden="false" customHeight="false" outlineLevel="0" collapsed="false">
      <c r="A2856" s="39" t="s">
        <v>277</v>
      </c>
      <c r="B2856" s="39" t="s">
        <v>3203</v>
      </c>
      <c r="C2856" s="41" t="n">
        <v>3.7</v>
      </c>
    </row>
    <row r="2857" customFormat="false" ht="15" hidden="false" customHeight="false" outlineLevel="0" collapsed="false">
      <c r="A2857" s="39" t="s">
        <v>2455</v>
      </c>
      <c r="B2857" s="39" t="s">
        <v>3206</v>
      </c>
      <c r="C2857" s="41" t="n">
        <v>1.6</v>
      </c>
    </row>
    <row r="2858" customFormat="false" ht="15" hidden="false" customHeight="false" outlineLevel="0" collapsed="false">
      <c r="A2858" s="39" t="s">
        <v>3050</v>
      </c>
      <c r="B2858" s="39" t="s">
        <v>3206</v>
      </c>
      <c r="C2858" s="41" t="n">
        <v>33.94</v>
      </c>
    </row>
    <row r="2859" customFormat="false" ht="15" hidden="false" customHeight="false" outlineLevel="0" collapsed="false">
      <c r="A2859" s="39" t="s">
        <v>1346</v>
      </c>
      <c r="B2859" s="39" t="s">
        <v>3204</v>
      </c>
      <c r="C2859" s="41" t="n">
        <v>19.87</v>
      </c>
    </row>
    <row r="2860" customFormat="false" ht="15" hidden="false" customHeight="false" outlineLevel="0" collapsed="false">
      <c r="A2860" s="39" t="s">
        <v>567</v>
      </c>
      <c r="B2860" s="39" t="s">
        <v>3205</v>
      </c>
      <c r="C2860" s="41" t="n">
        <v>6.7</v>
      </c>
    </row>
    <row r="2861" customFormat="false" ht="15" hidden="false" customHeight="false" outlineLevel="0" collapsed="false">
      <c r="A2861" s="39" t="s">
        <v>2878</v>
      </c>
      <c r="B2861" s="39" t="s">
        <v>3206</v>
      </c>
      <c r="C2861" s="41" t="n">
        <v>12.55</v>
      </c>
    </row>
    <row r="2862" customFormat="false" ht="15" hidden="false" customHeight="false" outlineLevel="0" collapsed="false">
      <c r="A2862" s="39" t="s">
        <v>209</v>
      </c>
      <c r="B2862" s="39" t="s">
        <v>3205</v>
      </c>
      <c r="C2862" s="41" t="n">
        <v>1.08</v>
      </c>
    </row>
    <row r="2863" customFormat="false" ht="15" hidden="false" customHeight="false" outlineLevel="0" collapsed="false">
      <c r="A2863" s="39" t="s">
        <v>2661</v>
      </c>
      <c r="B2863" s="39" t="s">
        <v>3203</v>
      </c>
      <c r="C2863" s="41" t="n">
        <v>2.89</v>
      </c>
    </row>
    <row r="2864" customFormat="false" ht="15" hidden="false" customHeight="false" outlineLevel="0" collapsed="false">
      <c r="A2864" s="39" t="s">
        <v>942</v>
      </c>
      <c r="B2864" s="39" t="s">
        <v>3204</v>
      </c>
      <c r="C2864" s="41" t="n">
        <v>0.72</v>
      </c>
    </row>
    <row r="2865" customFormat="false" ht="15" hidden="false" customHeight="false" outlineLevel="0" collapsed="false">
      <c r="A2865" s="39" t="s">
        <v>1295</v>
      </c>
      <c r="B2865" s="39" t="s">
        <v>3204</v>
      </c>
      <c r="C2865" s="41" t="n">
        <v>9.71</v>
      </c>
    </row>
    <row r="2866" customFormat="false" ht="15" hidden="false" customHeight="false" outlineLevel="0" collapsed="false">
      <c r="A2866" s="39" t="s">
        <v>1093</v>
      </c>
      <c r="B2866" s="39" t="s">
        <v>3204</v>
      </c>
      <c r="C2866" s="41" t="n">
        <v>1.49</v>
      </c>
    </row>
    <row r="2867" customFormat="false" ht="15" hidden="false" customHeight="false" outlineLevel="0" collapsed="false">
      <c r="A2867" s="39" t="s">
        <v>349</v>
      </c>
      <c r="B2867" s="39" t="s">
        <v>3206</v>
      </c>
      <c r="C2867" s="41" t="n">
        <v>0.91</v>
      </c>
    </row>
    <row r="2868" customFormat="false" ht="15" hidden="false" customHeight="false" outlineLevel="0" collapsed="false">
      <c r="A2868" s="39" t="s">
        <v>1896</v>
      </c>
      <c r="B2868" s="39" t="s">
        <v>3205</v>
      </c>
      <c r="C2868" s="41" t="n">
        <v>1.05</v>
      </c>
    </row>
    <row r="2869" customFormat="false" ht="15" hidden="false" customHeight="false" outlineLevel="0" collapsed="false">
      <c r="A2869" s="39" t="s">
        <v>545</v>
      </c>
      <c r="B2869" s="39" t="s">
        <v>3204</v>
      </c>
      <c r="C2869" s="41" t="n">
        <v>0.87</v>
      </c>
    </row>
    <row r="2870" customFormat="false" ht="15" hidden="false" customHeight="false" outlineLevel="0" collapsed="false">
      <c r="A2870" s="39" t="s">
        <v>2906</v>
      </c>
      <c r="B2870" s="39" t="s">
        <v>3206</v>
      </c>
      <c r="C2870" s="41" t="n">
        <v>7.99</v>
      </c>
    </row>
    <row r="2871" customFormat="false" ht="15" hidden="false" customHeight="false" outlineLevel="0" collapsed="false">
      <c r="A2871" s="39" t="s">
        <v>991</v>
      </c>
      <c r="B2871" s="39" t="s">
        <v>3205</v>
      </c>
      <c r="C2871" s="41" t="n">
        <v>0.99</v>
      </c>
    </row>
    <row r="2872" customFormat="false" ht="15" hidden="false" customHeight="false" outlineLevel="0" collapsed="false">
      <c r="A2872" s="39" t="s">
        <v>2809</v>
      </c>
      <c r="B2872" s="39" t="s">
        <v>3205</v>
      </c>
      <c r="C2872" s="41" t="n">
        <v>10.57</v>
      </c>
    </row>
    <row r="2873" customFormat="false" ht="15" hidden="false" customHeight="false" outlineLevel="0" collapsed="false">
      <c r="A2873" s="39" t="s">
        <v>1881</v>
      </c>
      <c r="B2873" s="39" t="s">
        <v>3205</v>
      </c>
      <c r="C2873" s="41" t="n">
        <v>2.27</v>
      </c>
    </row>
    <row r="2874" customFormat="false" ht="15" hidden="false" customHeight="false" outlineLevel="0" collapsed="false">
      <c r="A2874" s="39" t="s">
        <v>3007</v>
      </c>
      <c r="B2874" s="39" t="s">
        <v>3204</v>
      </c>
      <c r="C2874" s="41" t="n">
        <v>4.55</v>
      </c>
    </row>
    <row r="2875" customFormat="false" ht="15" hidden="false" customHeight="false" outlineLevel="0" collapsed="false">
      <c r="A2875" s="39" t="s">
        <v>2472</v>
      </c>
      <c r="B2875" s="39" t="s">
        <v>3205</v>
      </c>
      <c r="C2875" s="41" t="n">
        <v>4.68</v>
      </c>
    </row>
    <row r="2876" customFormat="false" ht="15" hidden="false" customHeight="false" outlineLevel="0" collapsed="false">
      <c r="A2876" s="39" t="s">
        <v>2137</v>
      </c>
      <c r="B2876" s="39" t="s">
        <v>3206</v>
      </c>
      <c r="C2876" s="41" t="n">
        <v>8.47</v>
      </c>
    </row>
    <row r="2877" customFormat="false" ht="15" hidden="false" customHeight="false" outlineLevel="0" collapsed="false">
      <c r="A2877" s="39" t="s">
        <v>2317</v>
      </c>
      <c r="B2877" s="39" t="s">
        <v>3203</v>
      </c>
      <c r="C2877" s="41" t="n">
        <v>4.87</v>
      </c>
    </row>
    <row r="2878" customFormat="false" ht="15" hidden="false" customHeight="false" outlineLevel="0" collapsed="false">
      <c r="A2878" s="39" t="s">
        <v>2139</v>
      </c>
      <c r="B2878" s="39" t="s">
        <v>3203</v>
      </c>
      <c r="C2878" s="41" t="n">
        <v>24.68</v>
      </c>
    </row>
    <row r="2879" customFormat="false" ht="15" hidden="false" customHeight="false" outlineLevel="0" collapsed="false">
      <c r="A2879" s="39" t="s">
        <v>3060</v>
      </c>
      <c r="B2879" s="39" t="s">
        <v>3205</v>
      </c>
      <c r="C2879" s="41" t="n">
        <v>2.87</v>
      </c>
    </row>
    <row r="2880" customFormat="false" ht="15" hidden="false" customHeight="false" outlineLevel="0" collapsed="false">
      <c r="A2880" s="39" t="s">
        <v>1992</v>
      </c>
      <c r="B2880" s="39" t="s">
        <v>3204</v>
      </c>
      <c r="C2880" s="41" t="n">
        <v>0.54</v>
      </c>
    </row>
    <row r="2881" customFormat="false" ht="15" hidden="false" customHeight="false" outlineLevel="0" collapsed="false">
      <c r="A2881" s="39" t="s">
        <v>2839</v>
      </c>
      <c r="B2881" s="39" t="s">
        <v>3206</v>
      </c>
      <c r="C2881" s="41" t="n">
        <v>9.68</v>
      </c>
    </row>
    <row r="2882" customFormat="false" ht="15" hidden="false" customHeight="false" outlineLevel="0" collapsed="false">
      <c r="A2882" s="39" t="s">
        <v>1692</v>
      </c>
      <c r="B2882" s="39" t="s">
        <v>3203</v>
      </c>
      <c r="C2882" s="41" t="n">
        <v>0.71</v>
      </c>
    </row>
    <row r="2883" customFormat="false" ht="15" hidden="false" customHeight="false" outlineLevel="0" collapsed="false">
      <c r="A2883" s="39" t="s">
        <v>342</v>
      </c>
      <c r="B2883" s="39" t="s">
        <v>3203</v>
      </c>
      <c r="C2883" s="41" t="n">
        <v>1.75</v>
      </c>
    </row>
    <row r="2884" customFormat="false" ht="15" hidden="false" customHeight="false" outlineLevel="0" collapsed="false">
      <c r="A2884" s="39" t="s">
        <v>3047</v>
      </c>
      <c r="B2884" s="39" t="s">
        <v>3203</v>
      </c>
      <c r="C2884" s="41" t="n">
        <v>2.07</v>
      </c>
    </row>
    <row r="2885" customFormat="false" ht="15" hidden="false" customHeight="false" outlineLevel="0" collapsed="false">
      <c r="A2885" s="39" t="s">
        <v>855</v>
      </c>
      <c r="B2885" s="39" t="s">
        <v>3204</v>
      </c>
      <c r="C2885" s="41" t="n">
        <v>0.86</v>
      </c>
    </row>
    <row r="2886" customFormat="false" ht="15" hidden="false" customHeight="false" outlineLevel="0" collapsed="false">
      <c r="A2886" s="39" t="s">
        <v>3059</v>
      </c>
      <c r="B2886" s="39" t="s">
        <v>3204</v>
      </c>
      <c r="C2886" s="41" t="n">
        <v>5.21</v>
      </c>
    </row>
    <row r="2887" customFormat="false" ht="15" hidden="false" customHeight="false" outlineLevel="0" collapsed="false">
      <c r="A2887" s="39" t="s">
        <v>598</v>
      </c>
      <c r="B2887" s="39" t="s">
        <v>3206</v>
      </c>
      <c r="C2887" s="41" t="n">
        <v>17.78</v>
      </c>
    </row>
    <row r="2888" customFormat="false" ht="15" hidden="false" customHeight="false" outlineLevel="0" collapsed="false">
      <c r="A2888" s="39" t="s">
        <v>2458</v>
      </c>
      <c r="B2888" s="39" t="s">
        <v>3203</v>
      </c>
      <c r="C2888" s="41" t="n">
        <v>1.29</v>
      </c>
    </row>
    <row r="2889" customFormat="false" ht="15" hidden="false" customHeight="false" outlineLevel="0" collapsed="false">
      <c r="A2889" s="39" t="s">
        <v>1347</v>
      </c>
      <c r="B2889" s="39" t="s">
        <v>3204</v>
      </c>
      <c r="C2889" s="41" t="n">
        <v>2.9</v>
      </c>
    </row>
    <row r="2890" customFormat="false" ht="15" hidden="false" customHeight="false" outlineLevel="0" collapsed="false">
      <c r="A2890" s="39" t="s">
        <v>2901</v>
      </c>
      <c r="B2890" s="39" t="s">
        <v>3203</v>
      </c>
      <c r="C2890" s="41" t="n">
        <v>0.99</v>
      </c>
    </row>
    <row r="2891" customFormat="false" ht="15" hidden="false" customHeight="false" outlineLevel="0" collapsed="false">
      <c r="A2891" s="39" t="s">
        <v>2587</v>
      </c>
      <c r="B2891" s="39" t="s">
        <v>3203</v>
      </c>
      <c r="C2891" s="41" t="n">
        <v>2.33</v>
      </c>
    </row>
    <row r="2892" customFormat="false" ht="15" hidden="false" customHeight="false" outlineLevel="0" collapsed="false">
      <c r="A2892" s="39" t="s">
        <v>900</v>
      </c>
      <c r="B2892" s="39" t="s">
        <v>3205</v>
      </c>
      <c r="C2892" s="41" t="n">
        <v>0.41</v>
      </c>
    </row>
    <row r="2893" customFormat="false" ht="15" hidden="false" customHeight="false" outlineLevel="0" collapsed="false">
      <c r="A2893" s="39" t="s">
        <v>1824</v>
      </c>
      <c r="B2893" s="39" t="s">
        <v>3203</v>
      </c>
      <c r="C2893" s="41" t="n">
        <v>1.23</v>
      </c>
    </row>
    <row r="2894" customFormat="false" ht="15" hidden="false" customHeight="false" outlineLevel="0" collapsed="false">
      <c r="A2894" s="39" t="s">
        <v>2896</v>
      </c>
      <c r="B2894" s="39" t="s">
        <v>3203</v>
      </c>
      <c r="C2894" s="41" t="n">
        <v>1.45</v>
      </c>
    </row>
    <row r="2895" customFormat="false" ht="15" hidden="false" customHeight="false" outlineLevel="0" collapsed="false">
      <c r="A2895" s="39" t="s">
        <v>2155</v>
      </c>
      <c r="B2895" s="39" t="s">
        <v>3206</v>
      </c>
      <c r="C2895" s="41" t="n">
        <v>13.61</v>
      </c>
    </row>
    <row r="2896" customFormat="false" ht="15" hidden="false" customHeight="false" outlineLevel="0" collapsed="false">
      <c r="A2896" s="39" t="s">
        <v>657</v>
      </c>
      <c r="B2896" s="39" t="s">
        <v>3204</v>
      </c>
      <c r="C2896" s="41" t="n">
        <v>5.24</v>
      </c>
    </row>
    <row r="2897" customFormat="false" ht="15" hidden="false" customHeight="false" outlineLevel="0" collapsed="false">
      <c r="A2897" s="39" t="s">
        <v>664</v>
      </c>
      <c r="B2897" s="39" t="s">
        <v>3204</v>
      </c>
      <c r="C2897" s="41" t="n">
        <v>6</v>
      </c>
    </row>
    <row r="2898" customFormat="false" ht="15" hidden="false" customHeight="false" outlineLevel="0" collapsed="false">
      <c r="A2898" s="39" t="s">
        <v>2245</v>
      </c>
      <c r="B2898" s="39" t="s">
        <v>3204</v>
      </c>
      <c r="C2898" s="41" t="n">
        <v>1.2</v>
      </c>
    </row>
    <row r="2899" customFormat="false" ht="15" hidden="false" customHeight="false" outlineLevel="0" collapsed="false">
      <c r="A2899" s="39" t="s">
        <v>1198</v>
      </c>
      <c r="B2899" s="39" t="s">
        <v>3203</v>
      </c>
      <c r="C2899" s="41" t="n">
        <v>19.41</v>
      </c>
    </row>
    <row r="2900" customFormat="false" ht="15" hidden="false" customHeight="false" outlineLevel="0" collapsed="false">
      <c r="A2900" s="39" t="s">
        <v>2857</v>
      </c>
      <c r="B2900" s="39" t="s">
        <v>3206</v>
      </c>
      <c r="C2900" s="41" t="n">
        <v>1.22</v>
      </c>
    </row>
    <row r="2901" customFormat="false" ht="15" hidden="false" customHeight="false" outlineLevel="0" collapsed="false">
      <c r="A2901" s="39" t="s">
        <v>3072</v>
      </c>
      <c r="B2901" s="39" t="s">
        <v>3206</v>
      </c>
      <c r="C2901" s="41" t="n">
        <v>2.57</v>
      </c>
    </row>
    <row r="2902" customFormat="false" ht="15" hidden="false" customHeight="false" outlineLevel="0" collapsed="false">
      <c r="A2902" s="39" t="s">
        <v>688</v>
      </c>
      <c r="B2902" s="39" t="s">
        <v>3206</v>
      </c>
      <c r="C2902" s="41" t="n">
        <v>8.86</v>
      </c>
    </row>
    <row r="2903" customFormat="false" ht="15" hidden="false" customHeight="false" outlineLevel="0" collapsed="false">
      <c r="A2903" s="39" t="s">
        <v>1803</v>
      </c>
      <c r="B2903" s="39" t="s">
        <v>3204</v>
      </c>
      <c r="C2903" s="41" t="n">
        <v>7.06</v>
      </c>
    </row>
    <row r="2904" customFormat="false" ht="15" hidden="false" customHeight="false" outlineLevel="0" collapsed="false">
      <c r="A2904" s="39" t="s">
        <v>3041</v>
      </c>
      <c r="B2904" s="39" t="s">
        <v>3203</v>
      </c>
      <c r="C2904" s="41" t="n">
        <v>23.83</v>
      </c>
    </row>
    <row r="2905" customFormat="false" ht="15" hidden="false" customHeight="false" outlineLevel="0" collapsed="false">
      <c r="A2905" s="39" t="s">
        <v>483</v>
      </c>
      <c r="B2905" s="39" t="s">
        <v>3206</v>
      </c>
      <c r="C2905" s="41" t="n">
        <v>4.36</v>
      </c>
    </row>
    <row r="2906" customFormat="false" ht="15" hidden="false" customHeight="false" outlineLevel="0" collapsed="false">
      <c r="A2906" s="39" t="s">
        <v>2313</v>
      </c>
      <c r="B2906" s="39" t="s">
        <v>3206</v>
      </c>
      <c r="C2906" s="41" t="n">
        <v>2.83</v>
      </c>
    </row>
    <row r="2907" customFormat="false" ht="15" hidden="false" customHeight="false" outlineLevel="0" collapsed="false">
      <c r="A2907" s="39" t="s">
        <v>1062</v>
      </c>
      <c r="B2907" s="39" t="s">
        <v>3205</v>
      </c>
      <c r="C2907" s="41" t="n">
        <v>62.55</v>
      </c>
    </row>
    <row r="2908" customFormat="false" ht="15" hidden="false" customHeight="false" outlineLevel="0" collapsed="false">
      <c r="A2908" s="39" t="s">
        <v>259</v>
      </c>
      <c r="B2908" s="39" t="s">
        <v>3206</v>
      </c>
      <c r="C2908" s="41" t="n">
        <v>8.21</v>
      </c>
    </row>
    <row r="2909" customFormat="false" ht="15" hidden="false" customHeight="false" outlineLevel="0" collapsed="false">
      <c r="A2909" s="39" t="s">
        <v>1598</v>
      </c>
      <c r="B2909" s="39" t="s">
        <v>3205</v>
      </c>
      <c r="C2909" s="41" t="n">
        <v>0.41</v>
      </c>
    </row>
    <row r="2910" customFormat="false" ht="15" hidden="false" customHeight="false" outlineLevel="0" collapsed="false">
      <c r="A2910" s="39" t="s">
        <v>1040</v>
      </c>
      <c r="B2910" s="39" t="s">
        <v>3206</v>
      </c>
      <c r="C2910" s="41" t="n">
        <v>7.87</v>
      </c>
    </row>
    <row r="2911" customFormat="false" ht="15" hidden="false" customHeight="false" outlineLevel="0" collapsed="false">
      <c r="A2911" s="39" t="s">
        <v>2174</v>
      </c>
      <c r="B2911" s="39" t="s">
        <v>3204</v>
      </c>
      <c r="C2911" s="41" t="n">
        <v>16.94</v>
      </c>
    </row>
    <row r="2912" customFormat="false" ht="15" hidden="false" customHeight="false" outlineLevel="0" collapsed="false">
      <c r="A2912" s="39" t="s">
        <v>2980</v>
      </c>
      <c r="B2912" s="39" t="s">
        <v>3204</v>
      </c>
      <c r="C2912" s="41" t="n">
        <v>0.82</v>
      </c>
    </row>
    <row r="2913" customFormat="false" ht="15" hidden="false" customHeight="false" outlineLevel="0" collapsed="false">
      <c r="A2913" s="39" t="s">
        <v>2234</v>
      </c>
      <c r="B2913" s="39" t="s">
        <v>3205</v>
      </c>
      <c r="C2913" s="41" t="n">
        <v>27.6</v>
      </c>
    </row>
    <row r="2914" customFormat="false" ht="15" hidden="false" customHeight="false" outlineLevel="0" collapsed="false">
      <c r="A2914" s="39" t="s">
        <v>2280</v>
      </c>
      <c r="B2914" s="39" t="s">
        <v>3204</v>
      </c>
      <c r="C2914" s="41" t="n">
        <v>1.65</v>
      </c>
    </row>
    <row r="2915" customFormat="false" ht="15" hidden="false" customHeight="false" outlineLevel="0" collapsed="false">
      <c r="A2915" s="39" t="s">
        <v>1761</v>
      </c>
      <c r="B2915" s="39" t="s">
        <v>3203</v>
      </c>
      <c r="C2915" s="41" t="n">
        <v>14.95</v>
      </c>
    </row>
    <row r="2916" customFormat="false" ht="15" hidden="false" customHeight="false" outlineLevel="0" collapsed="false">
      <c r="A2916" s="39" t="s">
        <v>1379</v>
      </c>
      <c r="B2916" s="39" t="s">
        <v>3206</v>
      </c>
      <c r="C2916" s="41" t="n">
        <v>18.77</v>
      </c>
    </row>
    <row r="2917" customFormat="false" ht="15" hidden="false" customHeight="false" outlineLevel="0" collapsed="false">
      <c r="A2917" s="39" t="s">
        <v>1519</v>
      </c>
      <c r="B2917" s="39" t="s">
        <v>3206</v>
      </c>
      <c r="C2917" s="41" t="n">
        <v>5.46</v>
      </c>
    </row>
    <row r="2918" customFormat="false" ht="15" hidden="false" customHeight="false" outlineLevel="0" collapsed="false">
      <c r="A2918" s="39" t="s">
        <v>1980</v>
      </c>
      <c r="B2918" s="39" t="s">
        <v>3203</v>
      </c>
      <c r="C2918" s="41" t="n">
        <v>6.98</v>
      </c>
    </row>
    <row r="2919" customFormat="false" ht="15" hidden="false" customHeight="false" outlineLevel="0" collapsed="false">
      <c r="A2919" s="39" t="s">
        <v>1377</v>
      </c>
      <c r="B2919" s="39" t="s">
        <v>3206</v>
      </c>
      <c r="C2919" s="41" t="n">
        <v>1.59</v>
      </c>
    </row>
    <row r="2920" customFormat="false" ht="15" hidden="false" customHeight="false" outlineLevel="0" collapsed="false">
      <c r="A2920" s="39" t="s">
        <v>2999</v>
      </c>
      <c r="B2920" s="39" t="s">
        <v>3205</v>
      </c>
      <c r="C2920" s="41" t="n">
        <v>1.66</v>
      </c>
    </row>
    <row r="2921" customFormat="false" ht="15" hidden="false" customHeight="false" outlineLevel="0" collapsed="false">
      <c r="A2921" s="39" t="s">
        <v>536</v>
      </c>
      <c r="B2921" s="39" t="s">
        <v>3206</v>
      </c>
      <c r="C2921" s="41" t="n">
        <v>3.09</v>
      </c>
    </row>
    <row r="2922" customFormat="false" ht="15" hidden="false" customHeight="false" outlineLevel="0" collapsed="false">
      <c r="A2922" s="39" t="s">
        <v>2935</v>
      </c>
      <c r="B2922" s="39" t="s">
        <v>3203</v>
      </c>
      <c r="C2922" s="41" t="n">
        <v>1.12</v>
      </c>
    </row>
    <row r="2923" customFormat="false" ht="15" hidden="false" customHeight="false" outlineLevel="0" collapsed="false">
      <c r="A2923" s="39" t="s">
        <v>788</v>
      </c>
      <c r="B2923" s="39" t="s">
        <v>3204</v>
      </c>
      <c r="C2923" s="41" t="n">
        <v>4.27</v>
      </c>
    </row>
    <row r="2924" customFormat="false" ht="15" hidden="false" customHeight="false" outlineLevel="0" collapsed="false">
      <c r="A2924" s="39" t="s">
        <v>975</v>
      </c>
      <c r="B2924" s="39" t="s">
        <v>3205</v>
      </c>
      <c r="C2924" s="41" t="n">
        <v>4.36</v>
      </c>
    </row>
    <row r="2925" customFormat="false" ht="15" hidden="false" customHeight="false" outlineLevel="0" collapsed="false">
      <c r="A2925" s="39" t="s">
        <v>178</v>
      </c>
      <c r="B2925" s="39" t="s">
        <v>3204</v>
      </c>
      <c r="C2925" s="41" t="n">
        <v>7.31</v>
      </c>
    </row>
    <row r="2926" customFormat="false" ht="15" hidden="false" customHeight="false" outlineLevel="0" collapsed="false">
      <c r="A2926" s="39" t="s">
        <v>668</v>
      </c>
      <c r="B2926" s="39" t="s">
        <v>3206</v>
      </c>
      <c r="C2926" s="41" t="n">
        <v>39.49</v>
      </c>
    </row>
    <row r="2927" customFormat="false" ht="15" hidden="false" customHeight="false" outlineLevel="0" collapsed="false">
      <c r="A2927" s="39" t="s">
        <v>1034</v>
      </c>
      <c r="B2927" s="39" t="s">
        <v>3205</v>
      </c>
      <c r="C2927" s="41" t="n">
        <v>6.1</v>
      </c>
    </row>
    <row r="2928" customFormat="false" ht="15" hidden="false" customHeight="false" outlineLevel="0" collapsed="false">
      <c r="A2928" s="39" t="s">
        <v>1351</v>
      </c>
      <c r="B2928" s="39" t="s">
        <v>3204</v>
      </c>
      <c r="C2928" s="41" t="n">
        <v>1.58</v>
      </c>
    </row>
    <row r="2929" customFormat="false" ht="15" hidden="false" customHeight="false" outlineLevel="0" collapsed="false">
      <c r="A2929" s="39" t="s">
        <v>2507</v>
      </c>
      <c r="B2929" s="39" t="s">
        <v>3206</v>
      </c>
      <c r="C2929" s="41" t="n">
        <v>3.74</v>
      </c>
    </row>
    <row r="2930" customFormat="false" ht="15" hidden="false" customHeight="false" outlineLevel="0" collapsed="false">
      <c r="A2930" s="39" t="s">
        <v>362</v>
      </c>
      <c r="B2930" s="39" t="s">
        <v>3206</v>
      </c>
      <c r="C2930" s="41" t="n">
        <v>13.27</v>
      </c>
    </row>
    <row r="2931" customFormat="false" ht="15" hidden="false" customHeight="false" outlineLevel="0" collapsed="false">
      <c r="A2931" s="39" t="s">
        <v>505</v>
      </c>
      <c r="B2931" s="39" t="s">
        <v>3206</v>
      </c>
      <c r="C2931" s="41" t="n">
        <v>127.48</v>
      </c>
    </row>
    <row r="2932" customFormat="false" ht="15" hidden="false" customHeight="false" outlineLevel="0" collapsed="false">
      <c r="A2932" s="39" t="s">
        <v>2288</v>
      </c>
      <c r="B2932" s="39" t="s">
        <v>3204</v>
      </c>
      <c r="C2932" s="41" t="n">
        <v>2.33</v>
      </c>
    </row>
    <row r="2933" customFormat="false" ht="15" hidden="false" customHeight="false" outlineLevel="0" collapsed="false">
      <c r="A2933" s="39" t="s">
        <v>2030</v>
      </c>
      <c r="B2933" s="39" t="s">
        <v>3205</v>
      </c>
      <c r="C2933" s="41" t="n">
        <v>0.56</v>
      </c>
    </row>
    <row r="2934" customFormat="false" ht="15" hidden="false" customHeight="false" outlineLevel="0" collapsed="false">
      <c r="A2934" s="39" t="s">
        <v>263</v>
      </c>
      <c r="B2934" s="39" t="s">
        <v>3204</v>
      </c>
      <c r="C2934" s="41" t="n">
        <v>43.39</v>
      </c>
    </row>
    <row r="2935" customFormat="false" ht="15" hidden="false" customHeight="false" outlineLevel="0" collapsed="false">
      <c r="A2935" s="39" t="s">
        <v>1569</v>
      </c>
      <c r="B2935" s="39" t="s">
        <v>3206</v>
      </c>
      <c r="C2935" s="41" t="n">
        <v>2.37</v>
      </c>
    </row>
    <row r="2936" customFormat="false" ht="15" hidden="false" customHeight="false" outlineLevel="0" collapsed="false">
      <c r="A2936" s="39" t="s">
        <v>1152</v>
      </c>
      <c r="B2936" s="39" t="s">
        <v>3203</v>
      </c>
      <c r="C2936" s="41" t="n">
        <v>1.92</v>
      </c>
    </row>
    <row r="2937" customFormat="false" ht="15" hidden="false" customHeight="false" outlineLevel="0" collapsed="false">
      <c r="A2937" s="39" t="s">
        <v>2781</v>
      </c>
      <c r="B2937" s="39" t="s">
        <v>3203</v>
      </c>
      <c r="C2937" s="41" t="n">
        <v>17.12</v>
      </c>
    </row>
    <row r="2938" customFormat="false" ht="15" hidden="false" customHeight="false" outlineLevel="0" collapsed="false">
      <c r="A2938" s="39" t="s">
        <v>761</v>
      </c>
      <c r="B2938" s="39" t="s">
        <v>3206</v>
      </c>
      <c r="C2938" s="41" t="n">
        <v>1.65</v>
      </c>
    </row>
    <row r="2939" customFormat="false" ht="15" hidden="false" customHeight="false" outlineLevel="0" collapsed="false">
      <c r="A2939" s="39" t="s">
        <v>1259</v>
      </c>
      <c r="B2939" s="39" t="s">
        <v>3206</v>
      </c>
      <c r="C2939" s="41" t="n">
        <v>11.69</v>
      </c>
    </row>
    <row r="2940" customFormat="false" ht="15" hidden="false" customHeight="false" outlineLevel="0" collapsed="false">
      <c r="A2940" s="39" t="s">
        <v>1303</v>
      </c>
      <c r="B2940" s="39" t="s">
        <v>3206</v>
      </c>
      <c r="C2940" s="41" t="n">
        <v>0.46</v>
      </c>
    </row>
    <row r="2941" customFormat="false" ht="15" hidden="false" customHeight="false" outlineLevel="0" collapsed="false">
      <c r="A2941" s="39" t="s">
        <v>1089</v>
      </c>
      <c r="B2941" s="39" t="s">
        <v>3206</v>
      </c>
      <c r="C2941" s="41" t="n">
        <v>2.7</v>
      </c>
    </row>
    <row r="2942" customFormat="false" ht="15" hidden="false" customHeight="false" outlineLevel="0" collapsed="false">
      <c r="A2942" s="39" t="s">
        <v>1410</v>
      </c>
      <c r="B2942" s="39" t="s">
        <v>3204</v>
      </c>
      <c r="C2942" s="41" t="n">
        <v>9.6</v>
      </c>
    </row>
    <row r="2943" customFormat="false" ht="15" hidden="false" customHeight="false" outlineLevel="0" collapsed="false">
      <c r="A2943" s="39" t="s">
        <v>206</v>
      </c>
      <c r="B2943" s="39" t="s">
        <v>3204</v>
      </c>
      <c r="C2943" s="41" t="n">
        <v>3.61</v>
      </c>
    </row>
    <row r="2944" customFormat="false" ht="15" hidden="false" customHeight="false" outlineLevel="0" collapsed="false">
      <c r="A2944" s="39" t="s">
        <v>2167</v>
      </c>
      <c r="B2944" s="39" t="s">
        <v>3205</v>
      </c>
      <c r="C2944" s="41" t="n">
        <v>6.13</v>
      </c>
    </row>
    <row r="2945" customFormat="false" ht="15" hidden="false" customHeight="false" outlineLevel="0" collapsed="false">
      <c r="A2945" s="39" t="s">
        <v>474</v>
      </c>
      <c r="B2945" s="39" t="s">
        <v>3205</v>
      </c>
      <c r="C2945" s="41" t="n">
        <v>4.54</v>
      </c>
    </row>
    <row r="2946" customFormat="false" ht="15" hidden="false" customHeight="false" outlineLevel="0" collapsed="false">
      <c r="A2946" s="39" t="s">
        <v>402</v>
      </c>
      <c r="B2946" s="39" t="s">
        <v>3204</v>
      </c>
      <c r="C2946" s="41" t="n">
        <v>9.48</v>
      </c>
    </row>
    <row r="2947" customFormat="false" ht="15" hidden="false" customHeight="false" outlineLevel="0" collapsed="false">
      <c r="A2947" s="39" t="s">
        <v>1902</v>
      </c>
      <c r="B2947" s="39" t="s">
        <v>3203</v>
      </c>
      <c r="C2947" s="41" t="n">
        <v>4.6</v>
      </c>
    </row>
    <row r="2948" customFormat="false" ht="15" hidden="false" customHeight="false" outlineLevel="0" collapsed="false">
      <c r="A2948" s="39" t="s">
        <v>2511</v>
      </c>
      <c r="B2948" s="39" t="s">
        <v>3204</v>
      </c>
      <c r="C2948" s="41" t="n">
        <v>8</v>
      </c>
    </row>
    <row r="2949" customFormat="false" ht="15" hidden="false" customHeight="false" outlineLevel="0" collapsed="false">
      <c r="A2949" s="39" t="s">
        <v>615</v>
      </c>
      <c r="B2949" s="39" t="s">
        <v>3203</v>
      </c>
      <c r="C2949" s="41" t="n">
        <v>6.77</v>
      </c>
    </row>
    <row r="2950" customFormat="false" ht="15" hidden="false" customHeight="false" outlineLevel="0" collapsed="false">
      <c r="A2950" s="39" t="s">
        <v>2175</v>
      </c>
      <c r="B2950" s="39" t="s">
        <v>3205</v>
      </c>
      <c r="C2950" s="41" t="n">
        <v>6.99</v>
      </c>
    </row>
    <row r="2951" customFormat="false" ht="15" hidden="false" customHeight="false" outlineLevel="0" collapsed="false">
      <c r="A2951" s="39" t="s">
        <v>2322</v>
      </c>
      <c r="B2951" s="39" t="s">
        <v>3204</v>
      </c>
      <c r="C2951" s="41" t="n">
        <v>5.2</v>
      </c>
    </row>
    <row r="2952" customFormat="false" ht="15" hidden="false" customHeight="false" outlineLevel="0" collapsed="false">
      <c r="A2952" s="39" t="s">
        <v>2003</v>
      </c>
      <c r="B2952" s="39" t="s">
        <v>3204</v>
      </c>
      <c r="C2952" s="41" t="n">
        <v>54.94</v>
      </c>
    </row>
    <row r="2953" customFormat="false" ht="15" hidden="false" customHeight="false" outlineLevel="0" collapsed="false">
      <c r="A2953" s="39" t="s">
        <v>3000</v>
      </c>
      <c r="B2953" s="39" t="s">
        <v>3205</v>
      </c>
      <c r="C2953" s="41" t="n">
        <v>17.14</v>
      </c>
    </row>
    <row r="2954" customFormat="false" ht="15" hidden="false" customHeight="false" outlineLevel="0" collapsed="false">
      <c r="A2954" s="39" t="s">
        <v>699</v>
      </c>
      <c r="B2954" s="39" t="s">
        <v>3203</v>
      </c>
      <c r="C2954" s="41" t="n">
        <v>13.55</v>
      </c>
    </row>
    <row r="2955" customFormat="false" ht="15" hidden="false" customHeight="false" outlineLevel="0" collapsed="false">
      <c r="A2955" s="39" t="s">
        <v>1650</v>
      </c>
      <c r="B2955" s="39" t="s">
        <v>3205</v>
      </c>
      <c r="C2955" s="41" t="n">
        <v>10.75</v>
      </c>
    </row>
    <row r="2956" customFormat="false" ht="15" hidden="false" customHeight="false" outlineLevel="0" collapsed="false">
      <c r="A2956" s="39" t="s">
        <v>2657</v>
      </c>
      <c r="B2956" s="39" t="s">
        <v>3204</v>
      </c>
      <c r="C2956" s="41" t="n">
        <v>3.26</v>
      </c>
    </row>
    <row r="2957" customFormat="false" ht="15" hidden="false" customHeight="false" outlineLevel="0" collapsed="false">
      <c r="A2957" s="39" t="s">
        <v>2467</v>
      </c>
      <c r="B2957" s="39" t="s">
        <v>3206</v>
      </c>
      <c r="C2957" s="41" t="n">
        <v>1.6</v>
      </c>
    </row>
    <row r="2958" customFormat="false" ht="15" hidden="false" customHeight="false" outlineLevel="0" collapsed="false">
      <c r="A2958" s="39" t="s">
        <v>1642</v>
      </c>
      <c r="B2958" s="39" t="s">
        <v>3206</v>
      </c>
      <c r="C2958" s="41" t="n">
        <v>1.82</v>
      </c>
    </row>
    <row r="2959" customFormat="false" ht="15" hidden="false" customHeight="false" outlineLevel="0" collapsed="false">
      <c r="A2959" s="39" t="s">
        <v>1997</v>
      </c>
      <c r="B2959" s="39" t="s">
        <v>3204</v>
      </c>
      <c r="C2959" s="41" t="n">
        <v>16.17</v>
      </c>
    </row>
    <row r="2960" customFormat="false" ht="15" hidden="false" customHeight="false" outlineLevel="0" collapsed="false">
      <c r="A2960" s="39" t="s">
        <v>399</v>
      </c>
      <c r="B2960" s="39" t="s">
        <v>3205</v>
      </c>
      <c r="C2960" s="41" t="n">
        <v>1.76</v>
      </c>
    </row>
    <row r="2961" customFormat="false" ht="15" hidden="false" customHeight="false" outlineLevel="0" collapsed="false">
      <c r="A2961" s="39" t="s">
        <v>760</v>
      </c>
      <c r="B2961" s="39" t="s">
        <v>3203</v>
      </c>
      <c r="C2961" s="41" t="n">
        <v>1.92</v>
      </c>
    </row>
    <row r="2962" customFormat="false" ht="15" hidden="false" customHeight="false" outlineLevel="0" collapsed="false">
      <c r="A2962" s="39" t="s">
        <v>1703</v>
      </c>
      <c r="B2962" s="39" t="s">
        <v>3204</v>
      </c>
      <c r="C2962" s="41" t="n">
        <v>12.48</v>
      </c>
    </row>
    <row r="2963" customFormat="false" ht="15" hidden="false" customHeight="false" outlineLevel="0" collapsed="false">
      <c r="A2963" s="39" t="s">
        <v>1723</v>
      </c>
      <c r="B2963" s="39" t="s">
        <v>3206</v>
      </c>
      <c r="C2963" s="41" t="n">
        <v>7.74</v>
      </c>
    </row>
    <row r="2964" customFormat="false" ht="15" hidden="false" customHeight="false" outlineLevel="0" collapsed="false">
      <c r="A2964" s="39" t="s">
        <v>1623</v>
      </c>
      <c r="B2964" s="39" t="s">
        <v>3205</v>
      </c>
      <c r="C2964" s="41" t="n">
        <v>5.48</v>
      </c>
    </row>
    <row r="2965" customFormat="false" ht="15" hidden="false" customHeight="false" outlineLevel="0" collapsed="false">
      <c r="A2965" s="39" t="s">
        <v>2360</v>
      </c>
      <c r="B2965" s="39" t="s">
        <v>3203</v>
      </c>
      <c r="C2965" s="41" t="n">
        <v>10.08</v>
      </c>
    </row>
    <row r="2966" customFormat="false" ht="15" hidden="false" customHeight="false" outlineLevel="0" collapsed="false">
      <c r="A2966" s="39" t="s">
        <v>1441</v>
      </c>
      <c r="B2966" s="39" t="s">
        <v>3203</v>
      </c>
      <c r="C2966" s="41" t="n">
        <v>0.61</v>
      </c>
    </row>
    <row r="2967" customFormat="false" ht="15" hidden="false" customHeight="false" outlineLevel="0" collapsed="false">
      <c r="A2967" s="39" t="s">
        <v>568</v>
      </c>
      <c r="B2967" s="39" t="s">
        <v>3203</v>
      </c>
      <c r="C2967" s="41" t="n">
        <v>0.74</v>
      </c>
    </row>
    <row r="2968" customFormat="false" ht="15" hidden="false" customHeight="false" outlineLevel="0" collapsed="false">
      <c r="A2968" s="39" t="s">
        <v>3089</v>
      </c>
      <c r="B2968" s="39" t="s">
        <v>3203</v>
      </c>
      <c r="C2968" s="41" t="n">
        <v>1.44</v>
      </c>
    </row>
    <row r="2969" customFormat="false" ht="15" hidden="false" customHeight="false" outlineLevel="0" collapsed="false">
      <c r="A2969" s="39" t="s">
        <v>2299</v>
      </c>
      <c r="B2969" s="39" t="s">
        <v>3205</v>
      </c>
      <c r="C2969" s="41" t="n">
        <v>1.76</v>
      </c>
    </row>
    <row r="2970" customFormat="false" ht="15" hidden="false" customHeight="false" outlineLevel="0" collapsed="false">
      <c r="A2970" s="39" t="s">
        <v>685</v>
      </c>
      <c r="B2970" s="39" t="s">
        <v>3203</v>
      </c>
      <c r="C2970" s="41" t="n">
        <v>4.61</v>
      </c>
    </row>
    <row r="2971" customFormat="false" ht="15" hidden="false" customHeight="false" outlineLevel="0" collapsed="false">
      <c r="A2971" s="39" t="s">
        <v>438</v>
      </c>
      <c r="B2971" s="39" t="s">
        <v>3206</v>
      </c>
      <c r="C2971" s="41" t="n">
        <v>2.35</v>
      </c>
    </row>
    <row r="2972" customFormat="false" ht="15" hidden="false" customHeight="false" outlineLevel="0" collapsed="false">
      <c r="A2972" s="39" t="s">
        <v>1004</v>
      </c>
      <c r="B2972" s="39" t="s">
        <v>3203</v>
      </c>
      <c r="C2972" s="41" t="n">
        <v>40.03</v>
      </c>
    </row>
    <row r="2973" customFormat="false" ht="15" hidden="false" customHeight="false" outlineLevel="0" collapsed="false">
      <c r="A2973" s="39" t="s">
        <v>1984</v>
      </c>
      <c r="B2973" s="39" t="s">
        <v>3206</v>
      </c>
      <c r="C2973" s="41" t="n">
        <v>11.21</v>
      </c>
    </row>
    <row r="2974" customFormat="false" ht="15" hidden="false" customHeight="false" outlineLevel="0" collapsed="false">
      <c r="A2974" s="39" t="s">
        <v>2425</v>
      </c>
      <c r="B2974" s="39" t="s">
        <v>3205</v>
      </c>
      <c r="C2974" s="41" t="n">
        <v>0.37</v>
      </c>
    </row>
    <row r="2975" customFormat="false" ht="15" hidden="false" customHeight="false" outlineLevel="0" collapsed="false">
      <c r="A2975" s="39" t="s">
        <v>772</v>
      </c>
      <c r="B2975" s="39" t="s">
        <v>3205</v>
      </c>
      <c r="C2975" s="41" t="n">
        <v>13.39</v>
      </c>
    </row>
    <row r="2976" customFormat="false" ht="15" hidden="false" customHeight="false" outlineLevel="0" collapsed="false">
      <c r="A2976" s="39" t="s">
        <v>2465</v>
      </c>
      <c r="B2976" s="39" t="s">
        <v>3203</v>
      </c>
      <c r="C2976" s="41" t="n">
        <v>1.37</v>
      </c>
    </row>
    <row r="2977" customFormat="false" ht="15" hidden="false" customHeight="false" outlineLevel="0" collapsed="false">
      <c r="A2977" s="39" t="s">
        <v>1820</v>
      </c>
      <c r="B2977" s="39" t="s">
        <v>3204</v>
      </c>
      <c r="C2977" s="41" t="n">
        <v>2.24</v>
      </c>
    </row>
    <row r="2978" customFormat="false" ht="15" hidden="false" customHeight="false" outlineLevel="0" collapsed="false">
      <c r="A2978" s="39" t="s">
        <v>2440</v>
      </c>
      <c r="B2978" s="39" t="s">
        <v>3205</v>
      </c>
      <c r="C2978" s="41" t="n">
        <v>2.92</v>
      </c>
    </row>
    <row r="2979" customFormat="false" ht="15" hidden="false" customHeight="false" outlineLevel="0" collapsed="false">
      <c r="A2979" s="39" t="s">
        <v>1653</v>
      </c>
      <c r="B2979" s="39" t="s">
        <v>3203</v>
      </c>
      <c r="C2979" s="41" t="n">
        <v>3.17</v>
      </c>
    </row>
  </sheetData>
  <autoFilter ref="A4:C297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21" t="s">
        <v>3207</v>
      </c>
    </row>
    <row r="2" customFormat="false" ht="15" hidden="false" customHeight="false" outlineLevel="0" collapsed="false">
      <c r="A2" s="22" t="s">
        <v>3208</v>
      </c>
    </row>
    <row r="3" customFormat="false" ht="15" hidden="false" customHeight="false" outlineLevel="0" collapsed="false">
      <c r="A3" s="23"/>
      <c r="B3" s="23"/>
      <c r="C3" s="23"/>
      <c r="D3" s="23"/>
      <c r="E3" s="23"/>
    </row>
    <row r="4" customFormat="false" ht="30" hidden="false" customHeight="true" outlineLevel="0" collapsed="false">
      <c r="A4" s="6" t="s">
        <v>87</v>
      </c>
      <c r="B4" s="6" t="s">
        <v>88</v>
      </c>
      <c r="C4" s="6" t="s">
        <v>89</v>
      </c>
      <c r="D4" s="6" t="s">
        <v>102</v>
      </c>
      <c r="E4" s="6" t="s">
        <v>3209</v>
      </c>
    </row>
    <row r="5" customFormat="false" ht="15" hidden="false" customHeight="false" outlineLevel="0" collapsed="false">
      <c r="A5" s="46" t="s">
        <v>126</v>
      </c>
      <c r="B5" s="46" t="s">
        <v>3210</v>
      </c>
      <c r="C5" s="46" t="s">
        <v>3211</v>
      </c>
      <c r="D5" s="47" t="n">
        <v>12</v>
      </c>
      <c r="E5" s="47" t="n">
        <v>25</v>
      </c>
    </row>
    <row r="6" customFormat="false" ht="15" hidden="false" customHeight="false" outlineLevel="0" collapsed="false">
      <c r="A6" s="46" t="s">
        <v>136</v>
      </c>
      <c r="B6" s="46" t="s">
        <v>3212</v>
      </c>
      <c r="C6" s="46" t="s">
        <v>3211</v>
      </c>
      <c r="D6" s="47" t="n">
        <v>38</v>
      </c>
      <c r="E6" s="47" t="n">
        <v>79</v>
      </c>
    </row>
    <row r="7" customFormat="false" ht="15" hidden="false" customHeight="false" outlineLevel="0" collapsed="false">
      <c r="A7" s="46" t="s">
        <v>107</v>
      </c>
      <c r="B7" s="46" t="s">
        <v>3213</v>
      </c>
      <c r="C7" s="46" t="s">
        <v>3211</v>
      </c>
      <c r="D7" s="47" t="n">
        <v>14</v>
      </c>
      <c r="E7" s="47" t="n">
        <v>35</v>
      </c>
    </row>
    <row r="8" customFormat="false" ht="15" hidden="false" customHeight="false" outlineLevel="0" collapsed="false">
      <c r="A8" s="46" t="s">
        <v>169</v>
      </c>
      <c r="B8" s="46" t="s">
        <v>3214</v>
      </c>
      <c r="C8" s="46" t="s">
        <v>3215</v>
      </c>
      <c r="D8" s="47" t="n">
        <v>11</v>
      </c>
      <c r="E8" s="47" t="n">
        <v>29</v>
      </c>
    </row>
    <row r="9" customFormat="false" ht="15" hidden="false" customHeight="false" outlineLevel="0" collapsed="false">
      <c r="A9" s="46" t="s">
        <v>112</v>
      </c>
      <c r="B9" s="46" t="s">
        <v>3216</v>
      </c>
      <c r="C9" s="46" t="s">
        <v>3211</v>
      </c>
      <c r="D9" s="47" t="n">
        <v>22</v>
      </c>
      <c r="E9" s="47" t="n">
        <v>55</v>
      </c>
    </row>
    <row r="10" customFormat="false" ht="15" hidden="false" customHeight="false" outlineLevel="0" collapsed="false">
      <c r="A10" s="46" t="s">
        <v>139</v>
      </c>
      <c r="B10" s="46" t="s">
        <v>3217</v>
      </c>
      <c r="C10" s="46" t="s">
        <v>3211</v>
      </c>
      <c r="D10" s="47" t="n">
        <v>55</v>
      </c>
      <c r="E10" s="47" t="n">
        <v>129</v>
      </c>
    </row>
    <row r="11" customFormat="false" ht="15" hidden="false" customHeight="false" outlineLevel="0" collapsed="false">
      <c r="A11" s="46" t="s">
        <v>183</v>
      </c>
      <c r="B11" s="46" t="s">
        <v>3218</v>
      </c>
      <c r="C11" s="46" t="s">
        <v>3219</v>
      </c>
      <c r="D11" s="47" t="n">
        <v>85</v>
      </c>
      <c r="E11" s="47" t="n">
        <v>189</v>
      </c>
    </row>
    <row r="12" customFormat="false" ht="15" hidden="false" customHeight="false" outlineLevel="0" collapsed="false">
      <c r="A12" s="46" t="s">
        <v>305</v>
      </c>
      <c r="B12" s="46" t="s">
        <v>3220</v>
      </c>
      <c r="C12" s="46" t="s">
        <v>3219</v>
      </c>
      <c r="D12" s="47" t="n">
        <v>160</v>
      </c>
      <c r="E12" s="47" t="n">
        <v>349</v>
      </c>
    </row>
    <row r="13" customFormat="false" ht="15" hidden="false" customHeight="false" outlineLevel="0" collapsed="false">
      <c r="A13" s="46" t="s">
        <v>117</v>
      </c>
      <c r="B13" s="46" t="s">
        <v>3221</v>
      </c>
      <c r="C13" s="46" t="s">
        <v>3219</v>
      </c>
      <c r="D13" s="47" t="n">
        <v>13</v>
      </c>
      <c r="E13" s="47" t="n">
        <v>32</v>
      </c>
    </row>
    <row r="14" customFormat="false" ht="15" hidden="false" customHeight="false" outlineLevel="0" collapsed="false">
      <c r="A14" s="46" t="s">
        <v>153</v>
      </c>
      <c r="B14" s="46" t="s">
        <v>3222</v>
      </c>
      <c r="C14" s="46" t="s">
        <v>3211</v>
      </c>
      <c r="D14" s="47" t="n">
        <v>90</v>
      </c>
      <c r="E14" s="47" t="n">
        <v>179</v>
      </c>
    </row>
    <row r="15" customFormat="false" ht="15" hidden="false" customHeight="false" outlineLevel="0" collapsed="false">
      <c r="A15" s="46" t="s">
        <v>130</v>
      </c>
      <c r="B15" s="46" t="s">
        <v>3223</v>
      </c>
      <c r="C15" s="46" t="s">
        <v>3224</v>
      </c>
      <c r="D15" s="47" t="n">
        <v>3</v>
      </c>
      <c r="E15" s="47" t="n">
        <v>9</v>
      </c>
    </row>
    <row r="16" customFormat="false" ht="15" hidden="false" customHeight="false" outlineLevel="0" collapsed="false">
      <c r="A16" s="46" t="s">
        <v>114</v>
      </c>
      <c r="B16" s="46" t="s">
        <v>3225</v>
      </c>
      <c r="C16" s="46" t="s">
        <v>3224</v>
      </c>
      <c r="D16" s="47" t="n">
        <v>2</v>
      </c>
      <c r="E16" s="47" t="n">
        <v>6</v>
      </c>
    </row>
    <row r="17" customFormat="false" ht="15" hidden="false" customHeight="false" outlineLevel="0" collapsed="false">
      <c r="A17" s="46" t="s">
        <v>144</v>
      </c>
      <c r="B17" s="46" t="s">
        <v>3226</v>
      </c>
      <c r="C17" s="46" t="s">
        <v>3219</v>
      </c>
      <c r="D17" s="47" t="n">
        <v>28</v>
      </c>
      <c r="E17" s="47" t="n">
        <v>59</v>
      </c>
    </row>
    <row r="18" customFormat="false" ht="15" hidden="false" customHeight="false" outlineLevel="0" collapsed="false">
      <c r="A18" s="46" t="s">
        <v>177</v>
      </c>
      <c r="B18" s="46" t="s">
        <v>3227</v>
      </c>
      <c r="C18" s="46" t="s">
        <v>3215</v>
      </c>
      <c r="D18" s="47" t="n">
        <v>17</v>
      </c>
      <c r="E18" s="47" t="n">
        <v>45</v>
      </c>
    </row>
    <row r="19" customFormat="false" ht="15" hidden="false" customHeight="false" outlineLevel="0" collapsed="false">
      <c r="A19" s="46" t="s">
        <v>104</v>
      </c>
      <c r="B19" s="46" t="s">
        <v>3228</v>
      </c>
      <c r="C19" s="46" t="s">
        <v>3215</v>
      </c>
      <c r="D19" s="47" t="n">
        <v>5</v>
      </c>
      <c r="E19" s="47" t="n">
        <v>16</v>
      </c>
    </row>
    <row r="20" customFormat="false" ht="15" hidden="false" customHeight="false" outlineLevel="0" collapsed="false">
      <c r="A20" s="46" t="s">
        <v>110</v>
      </c>
      <c r="B20" s="46" t="s">
        <v>3229</v>
      </c>
      <c r="C20" s="46" t="s">
        <v>3215</v>
      </c>
      <c r="D20" s="47" t="n">
        <v>4</v>
      </c>
      <c r="E20" s="47" t="n">
        <v>14</v>
      </c>
    </row>
    <row r="21" customFormat="false" ht="15" hidden="false" customHeight="false" outlineLevel="0" collapsed="false">
      <c r="A21" s="46" t="s">
        <v>162</v>
      </c>
      <c r="B21" s="46" t="s">
        <v>3230</v>
      </c>
      <c r="C21" s="46" t="s">
        <v>3211</v>
      </c>
      <c r="D21" s="47" t="n">
        <v>28</v>
      </c>
      <c r="E21" s="47" t="n">
        <v>69</v>
      </c>
    </row>
    <row r="22" customFormat="false" ht="15" hidden="false" customHeight="false" outlineLevel="0" collapsed="false">
      <c r="A22" s="46" t="s">
        <v>121</v>
      </c>
      <c r="B22" s="46" t="s">
        <v>3231</v>
      </c>
      <c r="C22" s="46" t="s">
        <v>3211</v>
      </c>
      <c r="D22" s="47" t="n">
        <v>62</v>
      </c>
      <c r="E22" s="47" t="n">
        <v>119</v>
      </c>
    </row>
    <row r="23" customFormat="false" ht="15" hidden="false" customHeight="false" outlineLevel="0" collapsed="false">
      <c r="A23" s="46" t="s">
        <v>133</v>
      </c>
      <c r="B23" s="46" t="s">
        <v>3232</v>
      </c>
      <c r="C23" s="46" t="s">
        <v>3224</v>
      </c>
      <c r="D23" s="47" t="n">
        <v>4</v>
      </c>
      <c r="E23" s="47" t="n">
        <v>9</v>
      </c>
    </row>
    <row r="24" customFormat="false" ht="15" hidden="false" customHeight="false" outlineLevel="0" collapsed="false">
      <c r="A24" s="46" t="s">
        <v>128</v>
      </c>
      <c r="B24" s="46" t="s">
        <v>3233</v>
      </c>
      <c r="C24" s="46" t="s">
        <v>3219</v>
      </c>
      <c r="D24" s="47" t="n">
        <v>15</v>
      </c>
      <c r="E24" s="47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2026-10-29T09:17:26Z</dcterms:created>
  <dc:creator>openpyxl</dc:creator>
  <dc:description/>
  <dc:language>en-US</dc:language>
  <cp:lastModifiedBy/>
  <dcterms:modified xsi:type="dcterms:W3CDTF">2026-10-29T09:17:31Z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